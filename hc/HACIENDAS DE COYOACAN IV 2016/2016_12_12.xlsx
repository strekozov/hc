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20730" windowHeight="11475" activeTab="6"/>
  </bookViews>
  <sheets>
    <sheet name="base" sheetId="4" r:id="rId1"/>
    <sheet name="criterios" sheetId="9" r:id="rId2"/>
    <sheet name="Comprobación" sheetId="3" r:id="rId3"/>
    <sheet name="Cobranza" sheetId="2" r:id="rId4"/>
    <sheet name="Gasto" sheetId="8" r:id="rId5"/>
    <sheet name="Recibos" sheetId="1" r:id="rId6"/>
    <sheet name="financiero" sheetId="7" r:id="rId7"/>
    <sheet name="chequera" sheetId="5" r:id="rId8"/>
  </sheets>
  <definedNames>
    <definedName name="_xlnm._FilterDatabase" localSheetId="0" hidden="1">base!$B$5:$E$5</definedName>
    <definedName name="_xlnm._FilterDatabase" localSheetId="7" hidden="1">chequera!$B$3:$K$303</definedName>
    <definedName name="_xlnm._FilterDatabase" localSheetId="3" hidden="1">Cobranza!$B$1:$AX$465</definedName>
    <definedName name="_xlnm._FilterDatabase" localSheetId="6" hidden="1">financiero!$A$6:$A$57</definedName>
    <definedName name="_xlnm._FilterDatabase" localSheetId="4" hidden="1">Gasto!$B$3:$H$1444</definedName>
    <definedName name="_xlnm._FilterDatabase" localSheetId="5" hidden="1">Recibos!$B$3:$Y$3010</definedName>
    <definedName name="ABR_2016">Recibos!$B$590:$H$785</definedName>
    <definedName name="AGO_2016">Recibos!$B$1806:$H$2081</definedName>
    <definedName name="_xlnm.Print_Area" localSheetId="6">financiero!$C$3:$BC$57</definedName>
    <definedName name="BASE">base!$B$5:$D$465</definedName>
    <definedName name="DIC_2016">Recibos!$B$2779:$AJ$2975</definedName>
    <definedName name="ENE_2016">Recibos!$B$24:$H$274</definedName>
    <definedName name="FEB_2016">Recibos!$B$275:$H$432</definedName>
    <definedName name="G_ABR_2016">Gasto!$B$321:$H$414</definedName>
    <definedName name="G_ADQ">criterios!$P$3:$P$4</definedName>
    <definedName name="G_AGO_2016">Gasto!$B$748:$H$875</definedName>
    <definedName name="G_AGUA">criterios!$Q$3:$Q$4</definedName>
    <definedName name="G_ALMVG">criterios!$R$3:$R$4</definedName>
    <definedName name="G_ASLE">criterios!$S$3:$S$4</definedName>
    <definedName name="G_CBR">criterios!$T$3:$T$4</definedName>
    <definedName name="G_DIC_2016">Gasto!$B$1277:$H$1435</definedName>
    <definedName name="G_DIF">criterios!$U$3:$U$4</definedName>
    <definedName name="G_ENE_2016">Gasto!$B$3:$H$96</definedName>
    <definedName name="G_FEB_2016">Gasto!$B$97:$H$204</definedName>
    <definedName name="G_HCTB">criterios!$V$3:$V$4</definedName>
    <definedName name="G_HJRD">criterios!$W$3:$W$4</definedName>
    <definedName name="G_INFRA">criterios!$X$3:$X$4</definedName>
    <definedName name="G_IVA">criterios!$Y$3:$Y$4</definedName>
    <definedName name="G_JDN">criterios!$Z$3:$Z$4</definedName>
    <definedName name="G_JUL_2016">Gasto!$B$629:$H$747</definedName>
    <definedName name="G_JUN_2016">Gasto!$B$514:$H$628</definedName>
    <definedName name="G_MAR_2016">Gasto!$B$205:$H$320</definedName>
    <definedName name="G_MAY_2016">Gasto!$B$415:$H$513</definedName>
    <definedName name="G_MDC">criterios!$AA$3:$AA$4</definedName>
    <definedName name="G_MTCBQ">criterios!$AB$3:$AB$4</definedName>
    <definedName name="G_MTCP">criterios!$AC$3:$AC$4</definedName>
    <definedName name="G_MTCST">criterios!$AD$3:$AD$4</definedName>
    <definedName name="G_MTCYP">criterios!$AE$3:$AE$4</definedName>
    <definedName name="G_MTILM">criterios!$AF$3:$AF$4</definedName>
    <definedName name="G_MTLPZ">criterios!$AG$3:$AG$4</definedName>
    <definedName name="G_MTPTA">criterios!$AH$3:$AH$4</definedName>
    <definedName name="G_NMNVG">criterios!$AI$3:$AI$4</definedName>
    <definedName name="G_NOV_2016">Gasto!$B$1139:$H$1274</definedName>
    <definedName name="G_OCT_2016">Gasto!$B$1003:$H$1138</definedName>
    <definedName name="G_ORG">criterios!$AJ$3:$AJ$4</definedName>
    <definedName name="G_P_FIN">criterios!$AK$3:$AK$4</definedName>
    <definedName name="G_P_IVA">criterios!$AL$3:$AL$4</definedName>
    <definedName name="G_PAPE">criterios!$AM$3:$AM$4</definedName>
    <definedName name="G_SEP_2016">Gasto!$B$876:$H$1002</definedName>
    <definedName name="G_SÑ">criterios!$AN$3:$AN$4</definedName>
    <definedName name="G_TLF">criterios!$AO$3:$AO$4</definedName>
    <definedName name="G_TOTAL">criterios!$AT$3:$AT$4</definedName>
    <definedName name="G_TRSP">criterios!$AP$3:$AP$4</definedName>
    <definedName name="G_UNF">criterios!$AQ$3:$AQ$4</definedName>
    <definedName name="G_USB">criterios!$AR$3:$AR$4</definedName>
    <definedName name="G_VRS">criterios!$AS$3:$AS$4</definedName>
    <definedName name="GASTO">Gasto!$F$3</definedName>
    <definedName name="importe">Recibos!$H$24</definedName>
    <definedName name="ING_CUOTAS">criterios!$G$3:$G$4</definedName>
    <definedName name="ING_EXTRA">criterios!$H$3:$H$4</definedName>
    <definedName name="ING_LLAVES">criterios!$I$3:$I$4</definedName>
    <definedName name="ING_OTROS">criterios!$M$3:$M$4</definedName>
    <definedName name="ING_TAR">criterios!$K$3:$K$4</definedName>
    <definedName name="ING_TELE">criterios!$J$3:$J$4</definedName>
    <definedName name="IVA">Gasto!$G$3</definedName>
    <definedName name="JUL_2016">Recibos!$B$1424:$H$1805</definedName>
    <definedName name="JUN_2016">Recibos!$B$1019:$H$1423</definedName>
    <definedName name="MAR_2016">Recibos!$B$433:$H$589</definedName>
    <definedName name="MAY_2016">Recibos!$B$786:$H$1018</definedName>
    <definedName name="NOV_2016">Recibos!$B$2561:$AK$2778</definedName>
    <definedName name="OCT_2016">Recibos!$C$2342:$H$2557</definedName>
    <definedName name="SEP_2016">Recibos!$B$2082:$H$2341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434" i="8" l="1"/>
  <c r="H1433" i="8"/>
  <c r="H1432" i="8"/>
  <c r="H1429" i="8"/>
  <c r="H1428" i="8"/>
  <c r="AK2993" i="1" l="1"/>
  <c r="BC38" i="7" l="1"/>
  <c r="BD38" i="7"/>
  <c r="H1431" i="8"/>
  <c r="H1430" i="8"/>
  <c r="BD47" i="7"/>
  <c r="BD46" i="7" s="1"/>
  <c r="BD45" i="7"/>
  <c r="BD44" i="7"/>
  <c r="BD43" i="7"/>
  <c r="BC42" i="7"/>
  <c r="BD42" i="7"/>
  <c r="BD41" i="7"/>
  <c r="BD40" i="7"/>
  <c r="BD39" i="7"/>
  <c r="BD37" i="7"/>
  <c r="BD35" i="7"/>
  <c r="BD34" i="7"/>
  <c r="BD33" i="7"/>
  <c r="BD32" i="7"/>
  <c r="BD31" i="7"/>
  <c r="BD30" i="7"/>
  <c r="BD29" i="7"/>
  <c r="BD27" i="7"/>
  <c r="BD26" i="7"/>
  <c r="BD25" i="7"/>
  <c r="BC25" i="7"/>
  <c r="BD24" i="7"/>
  <c r="BD22" i="7"/>
  <c r="BD21" i="7"/>
  <c r="BD20" i="7"/>
  <c r="BD19" i="7"/>
  <c r="BD18" i="7"/>
  <c r="BD17" i="7"/>
  <c r="BD16" i="7"/>
  <c r="BD11" i="7"/>
  <c r="BD10" i="7"/>
  <c r="BD9" i="7"/>
  <c r="BD8" i="7"/>
  <c r="BD7" i="7"/>
  <c r="BD6" i="7"/>
  <c r="AK2972" i="1"/>
  <c r="H1417" i="8"/>
  <c r="H1418" i="8"/>
  <c r="H1419" i="8"/>
  <c r="H1420" i="8"/>
  <c r="H1421" i="8"/>
  <c r="H1422" i="8"/>
  <c r="H1416" i="8"/>
  <c r="H1415" i="8"/>
  <c r="H1414" i="8"/>
  <c r="H1413" i="8"/>
  <c r="H1412" i="8"/>
  <c r="H1411" i="8"/>
  <c r="BD23" i="7" l="1"/>
  <c r="BD15" i="7"/>
  <c r="H1423" i="8" l="1"/>
  <c r="H1377" i="8" l="1"/>
  <c r="H1425" i="8" l="1"/>
  <c r="H1376" i="8" l="1"/>
  <c r="H1378" i="8"/>
  <c r="H1379" i="8"/>
  <c r="H1380" i="8"/>
  <c r="H1381" i="8"/>
  <c r="H1382" i="8"/>
  <c r="H1383" i="8"/>
  <c r="H1384" i="8"/>
  <c r="H1385" i="8"/>
  <c r="H1386" i="8"/>
  <c r="H1387" i="8"/>
  <c r="H1388" i="8"/>
  <c r="H1389" i="8"/>
  <c r="H1390" i="8"/>
  <c r="H1391" i="8"/>
  <c r="H1392" i="8"/>
  <c r="H1393" i="8"/>
  <c r="H1394" i="8"/>
  <c r="H1395" i="8"/>
  <c r="H1396" i="8"/>
  <c r="H1397" i="8"/>
  <c r="H1398" i="8"/>
  <c r="H1399" i="8"/>
  <c r="H1400" i="8"/>
  <c r="H1401" i="8"/>
  <c r="H1402" i="8"/>
  <c r="H1403" i="8"/>
  <c r="H1404" i="8"/>
  <c r="H1405" i="8"/>
  <c r="H1406" i="8"/>
  <c r="H1407" i="8"/>
  <c r="H1408" i="8"/>
  <c r="H1409" i="8"/>
  <c r="H1410" i="8"/>
  <c r="H1424" i="8"/>
  <c r="H1426" i="8"/>
  <c r="H1427" i="8"/>
  <c r="AO2965" i="1" l="1"/>
  <c r="AK2965" i="1"/>
  <c r="E2942" i="1" l="1"/>
  <c r="F2942" i="1"/>
  <c r="W2942" i="1"/>
  <c r="AJ2942" i="1"/>
  <c r="J2942" i="1" s="1"/>
  <c r="E2943" i="1"/>
  <c r="F2943" i="1"/>
  <c r="W2943" i="1"/>
  <c r="J2943" i="1" s="1"/>
  <c r="AJ2943" i="1"/>
  <c r="E2944" i="1"/>
  <c r="F2944" i="1"/>
  <c r="W2944" i="1"/>
  <c r="J2944" i="1" s="1"/>
  <c r="AJ2944" i="1"/>
  <c r="E2945" i="1"/>
  <c r="F2945" i="1"/>
  <c r="J2945" i="1"/>
  <c r="W2945" i="1"/>
  <c r="AJ2945" i="1"/>
  <c r="E2946" i="1"/>
  <c r="F2946" i="1"/>
  <c r="W2946" i="1"/>
  <c r="J2946" i="1" s="1"/>
  <c r="AJ2946" i="1"/>
  <c r="E2947" i="1"/>
  <c r="F2947" i="1"/>
  <c r="W2947" i="1"/>
  <c r="J2947" i="1" s="1"/>
  <c r="AJ2947" i="1"/>
  <c r="E2948" i="1"/>
  <c r="F2948" i="1"/>
  <c r="W2948" i="1"/>
  <c r="J2948" i="1" s="1"/>
  <c r="AJ2948" i="1"/>
  <c r="E2949" i="1"/>
  <c r="F2949" i="1"/>
  <c r="W2949" i="1"/>
  <c r="J2949" i="1" s="1"/>
  <c r="AJ2949" i="1"/>
  <c r="E2950" i="1"/>
  <c r="F2950" i="1"/>
  <c r="W2950" i="1"/>
  <c r="J2950" i="1" s="1"/>
  <c r="AJ2950" i="1"/>
  <c r="H1369" i="8" l="1"/>
  <c r="H1370" i="8"/>
  <c r="H1371" i="8"/>
  <c r="H1372" i="8"/>
  <c r="H1373" i="8"/>
  <c r="H1374" i="8"/>
  <c r="H1375" i="8"/>
  <c r="H1435" i="8"/>
  <c r="H1436" i="8"/>
  <c r="H1437" i="8"/>
  <c r="H1438" i="8"/>
  <c r="H1439" i="8"/>
  <c r="H1440" i="8"/>
  <c r="H1355" i="8"/>
  <c r="H1348" i="8"/>
  <c r="H1346" i="8" l="1"/>
  <c r="AK2940" i="1" l="1"/>
  <c r="H1356" i="8" l="1"/>
  <c r="H1357" i="8"/>
  <c r="H1358" i="8"/>
  <c r="H1359" i="8"/>
  <c r="H1360" i="8"/>
  <c r="H1361" i="8"/>
  <c r="H1362" i="8"/>
  <c r="H1363" i="8"/>
  <c r="H1364" i="8"/>
  <c r="H1365" i="8"/>
  <c r="H1366" i="8"/>
  <c r="H1367" i="8"/>
  <c r="H1368" i="8"/>
  <c r="H1441" i="8"/>
  <c r="H1442" i="8"/>
  <c r="H1443" i="8"/>
  <c r="H1327" i="8"/>
  <c r="H1328" i="8"/>
  <c r="H1329" i="8"/>
  <c r="H1330" i="8"/>
  <c r="H1331" i="8"/>
  <c r="H1332" i="8"/>
  <c r="H1333" i="8"/>
  <c r="H1334" i="8"/>
  <c r="H1335" i="8"/>
  <c r="H1336" i="8"/>
  <c r="H1337" i="8"/>
  <c r="H1338" i="8"/>
  <c r="H1339" i="8"/>
  <c r="H1340" i="8"/>
  <c r="H1341" i="8"/>
  <c r="H1342" i="8"/>
  <c r="H1343" i="8"/>
  <c r="H1344" i="8"/>
  <c r="H1345" i="8"/>
  <c r="H1347" i="8"/>
  <c r="H1349" i="8"/>
  <c r="H1350" i="8"/>
  <c r="H1351" i="8"/>
  <c r="H1352" i="8"/>
  <c r="H1353" i="8"/>
  <c r="H1354" i="8"/>
  <c r="H1306" i="8"/>
  <c r="H1307" i="8"/>
  <c r="H1308" i="8"/>
  <c r="H1309" i="8"/>
  <c r="H1310" i="8"/>
  <c r="H1311" i="8"/>
  <c r="H1312" i="8"/>
  <c r="H1313" i="8"/>
  <c r="H1314" i="8"/>
  <c r="H1315" i="8"/>
  <c r="H1316" i="8"/>
  <c r="H1317" i="8"/>
  <c r="H1318" i="8"/>
  <c r="H1319" i="8"/>
  <c r="H1320" i="8"/>
  <c r="H1321" i="8"/>
  <c r="H1276" i="8"/>
  <c r="H1278" i="8"/>
  <c r="H1279" i="8"/>
  <c r="H1280" i="8"/>
  <c r="H1281" i="8"/>
  <c r="H1282" i="8"/>
  <c r="H1283" i="8"/>
  <c r="H1284" i="8"/>
  <c r="H1285" i="8"/>
  <c r="H1286" i="8"/>
  <c r="H1287" i="8"/>
  <c r="H1288" i="8"/>
  <c r="H1289" i="8"/>
  <c r="H1290" i="8"/>
  <c r="H1291" i="8"/>
  <c r="H1292" i="8"/>
  <c r="H1293" i="8"/>
  <c r="H1294" i="8"/>
  <c r="H1295" i="8"/>
  <c r="H1296" i="8"/>
  <c r="H1297" i="8"/>
  <c r="H1298" i="8"/>
  <c r="H1299" i="8"/>
  <c r="H1300" i="8"/>
  <c r="H1301" i="8"/>
  <c r="H1302" i="8"/>
  <c r="H1303" i="8"/>
  <c r="H1304" i="8"/>
  <c r="H1305" i="8"/>
  <c r="H1322" i="8"/>
  <c r="H1323" i="8"/>
  <c r="H1324" i="8"/>
  <c r="H1325" i="8"/>
  <c r="H1326" i="8"/>
  <c r="H1444" i="8"/>
  <c r="H1275" i="8"/>
  <c r="I1426" i="8" l="1"/>
  <c r="I1382" i="8"/>
  <c r="AK2894" i="1"/>
  <c r="E2851" i="1"/>
  <c r="F2851" i="1"/>
  <c r="E2852" i="1"/>
  <c r="F2852" i="1"/>
  <c r="E2853" i="1"/>
  <c r="F2853" i="1"/>
  <c r="E2854" i="1"/>
  <c r="F2854" i="1"/>
  <c r="E2855" i="1"/>
  <c r="F2855" i="1"/>
  <c r="E2856" i="1"/>
  <c r="F2856" i="1"/>
  <c r="E2857" i="1"/>
  <c r="F2857" i="1"/>
  <c r="E2858" i="1"/>
  <c r="F2858" i="1"/>
  <c r="E2859" i="1"/>
  <c r="F2859" i="1"/>
  <c r="E2860" i="1"/>
  <c r="F2860" i="1"/>
  <c r="E2861" i="1"/>
  <c r="F2861" i="1"/>
  <c r="E2862" i="1"/>
  <c r="F2862" i="1"/>
  <c r="E2863" i="1"/>
  <c r="F2863" i="1"/>
  <c r="E2864" i="1"/>
  <c r="F2864" i="1"/>
  <c r="E2865" i="1"/>
  <c r="F2865" i="1"/>
  <c r="E2866" i="1"/>
  <c r="F2866" i="1"/>
  <c r="E2867" i="1"/>
  <c r="F2867" i="1"/>
  <c r="E2868" i="1"/>
  <c r="F2868" i="1"/>
  <c r="E2869" i="1"/>
  <c r="F2869" i="1"/>
  <c r="E2870" i="1"/>
  <c r="F2870" i="1"/>
  <c r="E2871" i="1"/>
  <c r="F2871" i="1"/>
  <c r="E2872" i="1"/>
  <c r="F2872" i="1"/>
  <c r="E2873" i="1"/>
  <c r="F2873" i="1"/>
  <c r="E2874" i="1"/>
  <c r="F2874" i="1"/>
  <c r="E2875" i="1"/>
  <c r="F2875" i="1"/>
  <c r="E2876" i="1"/>
  <c r="F2876" i="1"/>
  <c r="E2877" i="1"/>
  <c r="F2877" i="1"/>
  <c r="E2878" i="1"/>
  <c r="F2878" i="1"/>
  <c r="E2879" i="1"/>
  <c r="F2879" i="1"/>
  <c r="E2880" i="1"/>
  <c r="F2880" i="1"/>
  <c r="E2881" i="1"/>
  <c r="F2881" i="1"/>
  <c r="E2882" i="1"/>
  <c r="F2882" i="1"/>
  <c r="E2883" i="1"/>
  <c r="F2883" i="1"/>
  <c r="E2884" i="1"/>
  <c r="F2884" i="1"/>
  <c r="E2885" i="1"/>
  <c r="F2885" i="1"/>
  <c r="E2886" i="1"/>
  <c r="F2886" i="1"/>
  <c r="E2887" i="1"/>
  <c r="F2887" i="1"/>
  <c r="E2888" i="1"/>
  <c r="F2888" i="1"/>
  <c r="E2889" i="1"/>
  <c r="F2889" i="1"/>
  <c r="E2890" i="1"/>
  <c r="F2890" i="1"/>
  <c r="E2891" i="1"/>
  <c r="F2891" i="1"/>
  <c r="E2892" i="1"/>
  <c r="F2892" i="1"/>
  <c r="E2893" i="1"/>
  <c r="F2893" i="1"/>
  <c r="E2894" i="1"/>
  <c r="F2894" i="1"/>
  <c r="E2895" i="1"/>
  <c r="F2895" i="1"/>
  <c r="E2896" i="1"/>
  <c r="F2896" i="1"/>
  <c r="E2897" i="1"/>
  <c r="F2897" i="1"/>
  <c r="E2898" i="1"/>
  <c r="F2898" i="1"/>
  <c r="E2899" i="1"/>
  <c r="F2899" i="1"/>
  <c r="E2900" i="1"/>
  <c r="F2900" i="1"/>
  <c r="E2901" i="1"/>
  <c r="F2901" i="1"/>
  <c r="E2902" i="1"/>
  <c r="F2902" i="1"/>
  <c r="E2903" i="1"/>
  <c r="F2903" i="1"/>
  <c r="E2904" i="1"/>
  <c r="F2904" i="1"/>
  <c r="E2905" i="1"/>
  <c r="F2905" i="1"/>
  <c r="E2906" i="1"/>
  <c r="F2906" i="1"/>
  <c r="E2907" i="1"/>
  <c r="F2907" i="1"/>
  <c r="E2908" i="1"/>
  <c r="F2908" i="1"/>
  <c r="E2909" i="1"/>
  <c r="F2909" i="1"/>
  <c r="E2910" i="1"/>
  <c r="F2910" i="1"/>
  <c r="E2911" i="1"/>
  <c r="F2911" i="1"/>
  <c r="E2912" i="1"/>
  <c r="F2912" i="1"/>
  <c r="E2913" i="1"/>
  <c r="F2913" i="1"/>
  <c r="E2914" i="1"/>
  <c r="F2914" i="1"/>
  <c r="E2915" i="1"/>
  <c r="F2915" i="1"/>
  <c r="E2916" i="1"/>
  <c r="F2916" i="1"/>
  <c r="E2917" i="1"/>
  <c r="F2917" i="1"/>
  <c r="E2918" i="1"/>
  <c r="F2918" i="1"/>
  <c r="E2919" i="1"/>
  <c r="F2919" i="1"/>
  <c r="E2920" i="1"/>
  <c r="F2920" i="1"/>
  <c r="E2921" i="1"/>
  <c r="F2921" i="1"/>
  <c r="E2922" i="1"/>
  <c r="F2922" i="1"/>
  <c r="E2923" i="1"/>
  <c r="F2923" i="1"/>
  <c r="E2924" i="1"/>
  <c r="F2924" i="1"/>
  <c r="E2925" i="1"/>
  <c r="F2925" i="1"/>
  <c r="E2926" i="1"/>
  <c r="F2926" i="1"/>
  <c r="E2927" i="1"/>
  <c r="F2927" i="1"/>
  <c r="E2928" i="1"/>
  <c r="F2928" i="1"/>
  <c r="E2929" i="1"/>
  <c r="F2929" i="1"/>
  <c r="E2930" i="1"/>
  <c r="F2930" i="1"/>
  <c r="E2931" i="1"/>
  <c r="F2931" i="1"/>
  <c r="E2932" i="1"/>
  <c r="F2932" i="1"/>
  <c r="E2933" i="1"/>
  <c r="F2933" i="1"/>
  <c r="E2934" i="1"/>
  <c r="F2934" i="1"/>
  <c r="E2935" i="1"/>
  <c r="F2935" i="1"/>
  <c r="E2936" i="1"/>
  <c r="F2936" i="1"/>
  <c r="E2937" i="1"/>
  <c r="F2937" i="1"/>
  <c r="E2938" i="1"/>
  <c r="F2938" i="1"/>
  <c r="E2939" i="1"/>
  <c r="F2939" i="1"/>
  <c r="E2940" i="1"/>
  <c r="F2940" i="1"/>
  <c r="E2941" i="1"/>
  <c r="F2941" i="1"/>
  <c r="E2951" i="1"/>
  <c r="F2951" i="1"/>
  <c r="E2952" i="1"/>
  <c r="F2952" i="1"/>
  <c r="E2953" i="1"/>
  <c r="F2953" i="1"/>
  <c r="E2954" i="1"/>
  <c r="F2954" i="1"/>
  <c r="E2955" i="1"/>
  <c r="F2955" i="1"/>
  <c r="E2956" i="1"/>
  <c r="F2956" i="1"/>
  <c r="E2957" i="1"/>
  <c r="F2957" i="1"/>
  <c r="E2958" i="1"/>
  <c r="F2958" i="1"/>
  <c r="E2959" i="1"/>
  <c r="F2959" i="1"/>
  <c r="E2960" i="1"/>
  <c r="F2960" i="1"/>
  <c r="E2961" i="1"/>
  <c r="F2961" i="1"/>
  <c r="E2962" i="1"/>
  <c r="F2962" i="1"/>
  <c r="E2963" i="1"/>
  <c r="F2963" i="1"/>
  <c r="E2964" i="1"/>
  <c r="F2964" i="1"/>
  <c r="E2965" i="1"/>
  <c r="F2965" i="1"/>
  <c r="E2966" i="1"/>
  <c r="F2966" i="1"/>
  <c r="E2967" i="1"/>
  <c r="F2967" i="1"/>
  <c r="E2968" i="1"/>
  <c r="F2968" i="1"/>
  <c r="E2969" i="1"/>
  <c r="F2969" i="1"/>
  <c r="E2970" i="1"/>
  <c r="F2970" i="1"/>
  <c r="E2971" i="1"/>
  <c r="F2971" i="1"/>
  <c r="E2972" i="1"/>
  <c r="F2972" i="1"/>
  <c r="E2975" i="1"/>
  <c r="F2975" i="1"/>
  <c r="E2977" i="1"/>
  <c r="F2977" i="1"/>
  <c r="E2978" i="1"/>
  <c r="F2978" i="1"/>
  <c r="E2979" i="1"/>
  <c r="F2979" i="1"/>
  <c r="E2980" i="1"/>
  <c r="F2980" i="1"/>
  <c r="E2981" i="1"/>
  <c r="F2981" i="1"/>
  <c r="E2982" i="1"/>
  <c r="F2982" i="1"/>
  <c r="E2983" i="1"/>
  <c r="F2983" i="1"/>
  <c r="E2984" i="1"/>
  <c r="F2984" i="1"/>
  <c r="E2985" i="1"/>
  <c r="F2985" i="1"/>
  <c r="E2986" i="1"/>
  <c r="F2986" i="1"/>
  <c r="E2987" i="1"/>
  <c r="F2987" i="1"/>
  <c r="E2988" i="1"/>
  <c r="F2988" i="1"/>
  <c r="E2989" i="1"/>
  <c r="F2989" i="1"/>
  <c r="E2990" i="1"/>
  <c r="F2990" i="1"/>
  <c r="E2991" i="1"/>
  <c r="F2991" i="1"/>
  <c r="E2992" i="1"/>
  <c r="F2992" i="1"/>
  <c r="E2993" i="1"/>
  <c r="F2993" i="1"/>
  <c r="E2994" i="1"/>
  <c r="F2994" i="1"/>
  <c r="E2995" i="1"/>
  <c r="F2995" i="1"/>
  <c r="E2996" i="1"/>
  <c r="F2996" i="1"/>
  <c r="E2997" i="1"/>
  <c r="F2997" i="1"/>
  <c r="E2998" i="1"/>
  <c r="F2998" i="1"/>
  <c r="E2999" i="1"/>
  <c r="F2999" i="1"/>
  <c r="E3000" i="1"/>
  <c r="F3000" i="1"/>
  <c r="E3001" i="1"/>
  <c r="F3001" i="1"/>
  <c r="E3002" i="1"/>
  <c r="F3002" i="1"/>
  <c r="E3003" i="1"/>
  <c r="F3003" i="1"/>
  <c r="E3004" i="1"/>
  <c r="F3004" i="1"/>
  <c r="E3005" i="1"/>
  <c r="F3005" i="1"/>
  <c r="E3006" i="1"/>
  <c r="F3006" i="1"/>
  <c r="E3007" i="1"/>
  <c r="F3007" i="1"/>
  <c r="E3008" i="1"/>
  <c r="F3008" i="1"/>
  <c r="E3009" i="1"/>
  <c r="F3009" i="1"/>
  <c r="E3010" i="1"/>
  <c r="F3010" i="1"/>
  <c r="E2850" i="1"/>
  <c r="F2850" i="1"/>
  <c r="E2849" i="1"/>
  <c r="F2849" i="1"/>
  <c r="W2849" i="1"/>
  <c r="AJ2849" i="1"/>
  <c r="J2850" i="1"/>
  <c r="W2850" i="1"/>
  <c r="AJ2850" i="1"/>
  <c r="W2851" i="1"/>
  <c r="AJ2851" i="1"/>
  <c r="W2852" i="1"/>
  <c r="J2852" i="1" s="1"/>
  <c r="AJ2852" i="1"/>
  <c r="W2853" i="1"/>
  <c r="AJ2853" i="1"/>
  <c r="W2854" i="1"/>
  <c r="AJ2854" i="1"/>
  <c r="W2855" i="1"/>
  <c r="AJ2855" i="1"/>
  <c r="J2856" i="1"/>
  <c r="W2856" i="1"/>
  <c r="AJ2856" i="1"/>
  <c r="J2857" i="1"/>
  <c r="W2857" i="1"/>
  <c r="AJ2857" i="1"/>
  <c r="W2858" i="1"/>
  <c r="AJ2858" i="1"/>
  <c r="W2859" i="1"/>
  <c r="AJ2859" i="1"/>
  <c r="W2860" i="1"/>
  <c r="AJ2860" i="1"/>
  <c r="W2861" i="1"/>
  <c r="AJ2861" i="1"/>
  <c r="W2862" i="1"/>
  <c r="AJ2862" i="1"/>
  <c r="W2863" i="1"/>
  <c r="AJ2863" i="1"/>
  <c r="W2864" i="1"/>
  <c r="AJ2864" i="1"/>
  <c r="W2865" i="1"/>
  <c r="AJ2865" i="1"/>
  <c r="W2866" i="1"/>
  <c r="AJ2866" i="1"/>
  <c r="J2867" i="1"/>
  <c r="W2867" i="1"/>
  <c r="AJ2867" i="1"/>
  <c r="W2868" i="1"/>
  <c r="AJ2868" i="1"/>
  <c r="W2869" i="1"/>
  <c r="AJ2869" i="1"/>
  <c r="W2870" i="1"/>
  <c r="AJ2870" i="1"/>
  <c r="W2871" i="1"/>
  <c r="AJ2871" i="1"/>
  <c r="W2872" i="1"/>
  <c r="AJ2872" i="1"/>
  <c r="W2873" i="1"/>
  <c r="AJ2873" i="1"/>
  <c r="W2874" i="1"/>
  <c r="AJ2874" i="1"/>
  <c r="W2875" i="1"/>
  <c r="AJ2875" i="1"/>
  <c r="W2876" i="1"/>
  <c r="AJ2876" i="1"/>
  <c r="W2877" i="1"/>
  <c r="AJ2877" i="1"/>
  <c r="W2878" i="1"/>
  <c r="AJ2878" i="1"/>
  <c r="W2879" i="1"/>
  <c r="AJ2879" i="1"/>
  <c r="W2880" i="1"/>
  <c r="AJ2880" i="1"/>
  <c r="W2881" i="1"/>
  <c r="AJ2881" i="1"/>
  <c r="W2882" i="1"/>
  <c r="AJ2882" i="1"/>
  <c r="J2883" i="1"/>
  <c r="W2883" i="1"/>
  <c r="AJ2883" i="1"/>
  <c r="J2884" i="1"/>
  <c r="W2884" i="1"/>
  <c r="AJ2884" i="1"/>
  <c r="W2885" i="1"/>
  <c r="AJ2885" i="1"/>
  <c r="W2886" i="1"/>
  <c r="AJ2886" i="1"/>
  <c r="W2887" i="1"/>
  <c r="AJ2887" i="1"/>
  <c r="W2888" i="1"/>
  <c r="AJ2888" i="1"/>
  <c r="W2889" i="1"/>
  <c r="AJ2889" i="1"/>
  <c r="W2890" i="1"/>
  <c r="AJ2890" i="1"/>
  <c r="W2891" i="1"/>
  <c r="AJ2891" i="1"/>
  <c r="W2892" i="1"/>
  <c r="AJ2892" i="1"/>
  <c r="J2893" i="1"/>
  <c r="W2893" i="1"/>
  <c r="AJ2893" i="1"/>
  <c r="W2894" i="1"/>
  <c r="AJ2894" i="1"/>
  <c r="W2895" i="1"/>
  <c r="AJ2895" i="1"/>
  <c r="W2896" i="1"/>
  <c r="AJ2896" i="1"/>
  <c r="W2897" i="1"/>
  <c r="AJ2897" i="1"/>
  <c r="W2898" i="1"/>
  <c r="AJ2898" i="1"/>
  <c r="J2899" i="1"/>
  <c r="W2899" i="1"/>
  <c r="AJ2899" i="1"/>
  <c r="W2900" i="1"/>
  <c r="AJ2900" i="1"/>
  <c r="W2901" i="1"/>
  <c r="AJ2901" i="1"/>
  <c r="W2902" i="1"/>
  <c r="AJ2902" i="1"/>
  <c r="W2903" i="1"/>
  <c r="AJ2903" i="1"/>
  <c r="J2904" i="1"/>
  <c r="W2904" i="1"/>
  <c r="AJ2904" i="1"/>
  <c r="W2905" i="1"/>
  <c r="AJ2905" i="1"/>
  <c r="W2906" i="1"/>
  <c r="AJ2906" i="1"/>
  <c r="W2907" i="1"/>
  <c r="AJ2907" i="1"/>
  <c r="W2908" i="1"/>
  <c r="AJ2908" i="1"/>
  <c r="W2909" i="1"/>
  <c r="AJ2909" i="1"/>
  <c r="W2910" i="1"/>
  <c r="AJ2910" i="1"/>
  <c r="W2911" i="1"/>
  <c r="AJ2911" i="1"/>
  <c r="J2912" i="1"/>
  <c r="W2912" i="1"/>
  <c r="AJ2912" i="1"/>
  <c r="W2913" i="1"/>
  <c r="AJ2913" i="1"/>
  <c r="J2914" i="1"/>
  <c r="W2914" i="1"/>
  <c r="AJ2914" i="1"/>
  <c r="W2915" i="1"/>
  <c r="AJ2915" i="1"/>
  <c r="W2916" i="1"/>
  <c r="AJ2916" i="1"/>
  <c r="W2917" i="1"/>
  <c r="AJ2917" i="1"/>
  <c r="W2918" i="1"/>
  <c r="AJ2918" i="1"/>
  <c r="W2919" i="1"/>
  <c r="AJ2919" i="1"/>
  <c r="W2920" i="1"/>
  <c r="AJ2920" i="1"/>
  <c r="J2921" i="1"/>
  <c r="W2921" i="1"/>
  <c r="AJ2921" i="1"/>
  <c r="J2922" i="1"/>
  <c r="W2922" i="1"/>
  <c r="AJ2922" i="1"/>
  <c r="W2923" i="1"/>
  <c r="AJ2923" i="1"/>
  <c r="J2924" i="1"/>
  <c r="W2924" i="1"/>
  <c r="AJ2924" i="1"/>
  <c r="W2925" i="1"/>
  <c r="AJ2925" i="1"/>
  <c r="W2926" i="1"/>
  <c r="AJ2926" i="1"/>
  <c r="J2927" i="1"/>
  <c r="W2927" i="1"/>
  <c r="AJ2927" i="1"/>
  <c r="W2928" i="1"/>
  <c r="AJ2928" i="1"/>
  <c r="W2929" i="1"/>
  <c r="AJ2929" i="1"/>
  <c r="W2930" i="1"/>
  <c r="AJ2930" i="1"/>
  <c r="W2931" i="1"/>
  <c r="AJ2931" i="1"/>
  <c r="W2932" i="1"/>
  <c r="AJ2932" i="1"/>
  <c r="J2933" i="1"/>
  <c r="W2933" i="1"/>
  <c r="AJ2933" i="1"/>
  <c r="W2934" i="1"/>
  <c r="AJ2934" i="1"/>
  <c r="W2935" i="1"/>
  <c r="AJ2935" i="1"/>
  <c r="W2936" i="1"/>
  <c r="AJ2936" i="1"/>
  <c r="W2937" i="1"/>
  <c r="AJ2937" i="1"/>
  <c r="J2938" i="1"/>
  <c r="W2938" i="1"/>
  <c r="AJ2938" i="1"/>
  <c r="W2939" i="1"/>
  <c r="AJ2939" i="1"/>
  <c r="W2940" i="1"/>
  <c r="AJ2940" i="1"/>
  <c r="J2941" i="1"/>
  <c r="W2941" i="1"/>
  <c r="AJ2941" i="1"/>
  <c r="W2951" i="1"/>
  <c r="J2951" i="1" s="1"/>
  <c r="AJ2951" i="1"/>
  <c r="W2952" i="1"/>
  <c r="J2952" i="1" s="1"/>
  <c r="AJ2952" i="1"/>
  <c r="W2953" i="1"/>
  <c r="J2953" i="1" s="1"/>
  <c r="AJ2953" i="1"/>
  <c r="W2954" i="1"/>
  <c r="J2954" i="1" s="1"/>
  <c r="AJ2954" i="1"/>
  <c r="J2955" i="1"/>
  <c r="W2955" i="1"/>
  <c r="AJ2955" i="1"/>
  <c r="W2956" i="1"/>
  <c r="J2956" i="1" s="1"/>
  <c r="AJ2956" i="1"/>
  <c r="J2957" i="1"/>
  <c r="W2957" i="1"/>
  <c r="AJ2957" i="1"/>
  <c r="W2958" i="1"/>
  <c r="J2958" i="1" s="1"/>
  <c r="AJ2958" i="1"/>
  <c r="W2959" i="1"/>
  <c r="J2959" i="1" s="1"/>
  <c r="AJ2959" i="1"/>
  <c r="W2960" i="1"/>
  <c r="J2960" i="1" s="1"/>
  <c r="AJ2960" i="1"/>
  <c r="W2961" i="1"/>
  <c r="AJ2961" i="1"/>
  <c r="J2961" i="1" s="1"/>
  <c r="J2962" i="1"/>
  <c r="W2962" i="1"/>
  <c r="AJ2962" i="1"/>
  <c r="W2963" i="1"/>
  <c r="J2963" i="1" s="1"/>
  <c r="AJ2963" i="1"/>
  <c r="W2964" i="1"/>
  <c r="AJ2964" i="1"/>
  <c r="J2964" i="1" s="1"/>
  <c r="J2965" i="1"/>
  <c r="W2965" i="1"/>
  <c r="AJ2965" i="1"/>
  <c r="W2966" i="1"/>
  <c r="J2966" i="1" s="1"/>
  <c r="AJ2966" i="1"/>
  <c r="W2967" i="1"/>
  <c r="AJ2967" i="1"/>
  <c r="J2967" i="1" s="1"/>
  <c r="J2968" i="1"/>
  <c r="W2968" i="1"/>
  <c r="AJ2968" i="1"/>
  <c r="W2969" i="1"/>
  <c r="AJ2969" i="1"/>
  <c r="W2970" i="1"/>
  <c r="J2970" i="1" s="1"/>
  <c r="AJ2970" i="1"/>
  <c r="J2971" i="1"/>
  <c r="W2971" i="1"/>
  <c r="AJ2971" i="1"/>
  <c r="W2972" i="1"/>
  <c r="AJ2972" i="1"/>
  <c r="W2975" i="1"/>
  <c r="J2975" i="1" s="1"/>
  <c r="AJ2975" i="1"/>
  <c r="W2977" i="1"/>
  <c r="AJ2977" i="1"/>
  <c r="J2977" i="1" s="1"/>
  <c r="W2978" i="1"/>
  <c r="AJ2978" i="1"/>
  <c r="J2978" i="1" s="1"/>
  <c r="W2979" i="1"/>
  <c r="AJ2979" i="1"/>
  <c r="J2979" i="1" s="1"/>
  <c r="W2980" i="1"/>
  <c r="AJ2980" i="1"/>
  <c r="J2980" i="1" s="1"/>
  <c r="W2981" i="1"/>
  <c r="J2981" i="1" s="1"/>
  <c r="AJ2981" i="1"/>
  <c r="W2982" i="1"/>
  <c r="AJ2982" i="1"/>
  <c r="W2983" i="1"/>
  <c r="AJ2983" i="1"/>
  <c r="J2983" i="1" s="1"/>
  <c r="W2984" i="1"/>
  <c r="AJ2984" i="1"/>
  <c r="J2984" i="1" s="1"/>
  <c r="W2985" i="1"/>
  <c r="AJ2985" i="1"/>
  <c r="J2985" i="1" s="1"/>
  <c r="J2986" i="1"/>
  <c r="W2986" i="1"/>
  <c r="AJ2986" i="1"/>
  <c r="W2987" i="1"/>
  <c r="AJ2987" i="1"/>
  <c r="W2988" i="1"/>
  <c r="AJ2988" i="1"/>
  <c r="J2988" i="1" s="1"/>
  <c r="W2989" i="1"/>
  <c r="AJ2989" i="1"/>
  <c r="W2990" i="1"/>
  <c r="AJ2990" i="1"/>
  <c r="J2990" i="1" s="1"/>
  <c r="W2991" i="1"/>
  <c r="AJ2991" i="1"/>
  <c r="J2991" i="1" s="1"/>
  <c r="J2992" i="1"/>
  <c r="W2992" i="1"/>
  <c r="AJ2992" i="1"/>
  <c r="W2993" i="1"/>
  <c r="AJ2993" i="1"/>
  <c r="J2993" i="1" s="1"/>
  <c r="J2994" i="1"/>
  <c r="W2994" i="1"/>
  <c r="AJ2994" i="1"/>
  <c r="J2995" i="1"/>
  <c r="W2995" i="1"/>
  <c r="AJ2995" i="1"/>
  <c r="J2996" i="1"/>
  <c r="W2996" i="1"/>
  <c r="AJ2996" i="1"/>
  <c r="J2997" i="1"/>
  <c r="W2997" i="1"/>
  <c r="AJ2997" i="1"/>
  <c r="J2998" i="1"/>
  <c r="W2998" i="1"/>
  <c r="AJ2998" i="1"/>
  <c r="J2999" i="1"/>
  <c r="W2999" i="1"/>
  <c r="AJ2999" i="1"/>
  <c r="J3000" i="1"/>
  <c r="W3000" i="1"/>
  <c r="AJ3000" i="1"/>
  <c r="J3001" i="1"/>
  <c r="W3001" i="1"/>
  <c r="AJ3001" i="1"/>
  <c r="J3002" i="1"/>
  <c r="W3002" i="1"/>
  <c r="AJ3002" i="1"/>
  <c r="J3003" i="1"/>
  <c r="W3003" i="1"/>
  <c r="AJ3003" i="1"/>
  <c r="J3004" i="1"/>
  <c r="W3004" i="1"/>
  <c r="AJ3004" i="1"/>
  <c r="J3005" i="1"/>
  <c r="W3005" i="1"/>
  <c r="AJ3005" i="1"/>
  <c r="J3006" i="1"/>
  <c r="W3006" i="1"/>
  <c r="AJ3006" i="1"/>
  <c r="J3007" i="1"/>
  <c r="W3007" i="1"/>
  <c r="AJ3007" i="1"/>
  <c r="J3008" i="1"/>
  <c r="W3008" i="1"/>
  <c r="AJ3008" i="1"/>
  <c r="J3009" i="1"/>
  <c r="W3009" i="1"/>
  <c r="AJ3009" i="1"/>
  <c r="J3010" i="1"/>
  <c r="W3010" i="1"/>
  <c r="AJ3010" i="1"/>
  <c r="BD52" i="7"/>
  <c r="J2989" i="1" l="1"/>
  <c r="J2987" i="1"/>
  <c r="J2982" i="1"/>
  <c r="J2972" i="1"/>
  <c r="J2969" i="1"/>
  <c r="J2940" i="1"/>
  <c r="J2937" i="1"/>
  <c r="J2934" i="1"/>
  <c r="J2919" i="1"/>
  <c r="J2913" i="1"/>
  <c r="J2907" i="1"/>
  <c r="J2902" i="1"/>
  <c r="J2901" i="1"/>
  <c r="J2896" i="1"/>
  <c r="J2894" i="1"/>
  <c r="J2891" i="1"/>
  <c r="J2889" i="1"/>
  <c r="J2879" i="1"/>
  <c r="J2875" i="1"/>
  <c r="J2870" i="1"/>
  <c r="J2866" i="1"/>
  <c r="J2865" i="1"/>
  <c r="J2864" i="1"/>
  <c r="J2862" i="1"/>
  <c r="J2860" i="1"/>
  <c r="J2858" i="1"/>
  <c r="J2854" i="1"/>
  <c r="J2853" i="1"/>
  <c r="J2851" i="1"/>
  <c r="J2939" i="1"/>
  <c r="J2935" i="1"/>
  <c r="J2930" i="1"/>
  <c r="J2928" i="1"/>
  <c r="J2915" i="1"/>
  <c r="J2909" i="1"/>
  <c r="J2908" i="1"/>
  <c r="J2906" i="1"/>
  <c r="J2936" i="1"/>
  <c r="J2932" i="1"/>
  <c r="J2931" i="1"/>
  <c r="J2929" i="1"/>
  <c r="J2926" i="1"/>
  <c r="J2925" i="1"/>
  <c r="J2923" i="1"/>
  <c r="J2920" i="1"/>
  <c r="J2918" i="1"/>
  <c r="J2917" i="1"/>
  <c r="J2916" i="1"/>
  <c r="J2911" i="1"/>
  <c r="J2905" i="1"/>
  <c r="J2897" i="1"/>
  <c r="J2895" i="1"/>
  <c r="J2890" i="1"/>
  <c r="J2888" i="1"/>
  <c r="J2887" i="1"/>
  <c r="J2886" i="1"/>
  <c r="J2885" i="1"/>
  <c r="J2882" i="1"/>
  <c r="J2881" i="1"/>
  <c r="J2880" i="1"/>
  <c r="J2878" i="1"/>
  <c r="J2876" i="1"/>
  <c r="J2874" i="1"/>
  <c r="J2873" i="1"/>
  <c r="J2872" i="1"/>
  <c r="J2869" i="1"/>
  <c r="J2868" i="1"/>
  <c r="J2861" i="1"/>
  <c r="J2859" i="1"/>
  <c r="J2855" i="1"/>
  <c r="J2903" i="1"/>
  <c r="J2900" i="1"/>
  <c r="J2898" i="1"/>
  <c r="J2892" i="1"/>
  <c r="J2871" i="1"/>
  <c r="BD36" i="7"/>
  <c r="BD28" i="7"/>
  <c r="J2877" i="1"/>
  <c r="J2863" i="1"/>
  <c r="J2849" i="1"/>
  <c r="BD13" i="7"/>
  <c r="BW465" i="2"/>
  <c r="BV465" i="2"/>
  <c r="BU465" i="2"/>
  <c r="BT465" i="2"/>
  <c r="BS465" i="2"/>
  <c r="BR465" i="2"/>
  <c r="BQ465" i="2"/>
  <c r="BP465" i="2"/>
  <c r="BO465" i="2"/>
  <c r="BN465" i="2"/>
  <c r="BM465" i="2"/>
  <c r="BL465" i="2"/>
  <c r="BJ465" i="2"/>
  <c r="BI465" i="2"/>
  <c r="BH465" i="2"/>
  <c r="BG465" i="2"/>
  <c r="BF465" i="2"/>
  <c r="BE465" i="2"/>
  <c r="BD465" i="2"/>
  <c r="BC465" i="2"/>
  <c r="BB465" i="2"/>
  <c r="BA465" i="2"/>
  <c r="AZ465" i="2"/>
  <c r="AY465" i="2"/>
  <c r="BW464" i="2"/>
  <c r="BV464" i="2"/>
  <c r="BU464" i="2"/>
  <c r="BT464" i="2"/>
  <c r="BS464" i="2"/>
  <c r="BR464" i="2"/>
  <c r="BQ464" i="2"/>
  <c r="BP464" i="2"/>
  <c r="BO464" i="2"/>
  <c r="BN464" i="2"/>
  <c r="BM464" i="2"/>
  <c r="BL464" i="2"/>
  <c r="BJ464" i="2"/>
  <c r="BI464" i="2"/>
  <c r="BH464" i="2"/>
  <c r="BG464" i="2"/>
  <c r="BF464" i="2"/>
  <c r="BE464" i="2"/>
  <c r="BD464" i="2"/>
  <c r="BC464" i="2"/>
  <c r="BB464" i="2"/>
  <c r="BA464" i="2"/>
  <c r="AZ464" i="2"/>
  <c r="AY464" i="2"/>
  <c r="BW463" i="2"/>
  <c r="BV463" i="2"/>
  <c r="BU463" i="2"/>
  <c r="BT463" i="2"/>
  <c r="BS463" i="2"/>
  <c r="BR463" i="2"/>
  <c r="BQ463" i="2"/>
  <c r="BP463" i="2"/>
  <c r="BO463" i="2"/>
  <c r="BN463" i="2"/>
  <c r="BM463" i="2"/>
  <c r="BL463" i="2"/>
  <c r="BJ463" i="2"/>
  <c r="BI463" i="2"/>
  <c r="BH463" i="2"/>
  <c r="BG463" i="2"/>
  <c r="BF463" i="2"/>
  <c r="BE463" i="2"/>
  <c r="BD463" i="2"/>
  <c r="BC463" i="2"/>
  <c r="BB463" i="2"/>
  <c r="BA463" i="2"/>
  <c r="AZ463" i="2"/>
  <c r="AY463" i="2"/>
  <c r="BW462" i="2"/>
  <c r="BV462" i="2"/>
  <c r="BU462" i="2"/>
  <c r="BT462" i="2"/>
  <c r="BS462" i="2"/>
  <c r="BR462" i="2"/>
  <c r="BQ462" i="2"/>
  <c r="BP462" i="2"/>
  <c r="BO462" i="2"/>
  <c r="BN462" i="2"/>
  <c r="BM462" i="2"/>
  <c r="BL462" i="2"/>
  <c r="BJ462" i="2"/>
  <c r="BI462" i="2"/>
  <c r="BH462" i="2"/>
  <c r="BG462" i="2"/>
  <c r="BF462" i="2"/>
  <c r="BE462" i="2"/>
  <c r="BD462" i="2"/>
  <c r="BC462" i="2"/>
  <c r="BB462" i="2"/>
  <c r="BA462" i="2"/>
  <c r="AZ462" i="2"/>
  <c r="AY462" i="2"/>
  <c r="BW461" i="2"/>
  <c r="BV461" i="2"/>
  <c r="BU461" i="2"/>
  <c r="BT461" i="2"/>
  <c r="BS461" i="2"/>
  <c r="BR461" i="2"/>
  <c r="BQ461" i="2"/>
  <c r="BP461" i="2"/>
  <c r="BO461" i="2"/>
  <c r="BN461" i="2"/>
  <c r="BM461" i="2"/>
  <c r="BL461" i="2"/>
  <c r="BJ461" i="2"/>
  <c r="BI461" i="2"/>
  <c r="BH461" i="2"/>
  <c r="BG461" i="2"/>
  <c r="BF461" i="2"/>
  <c r="BE461" i="2"/>
  <c r="BD461" i="2"/>
  <c r="BC461" i="2"/>
  <c r="BB461" i="2"/>
  <c r="BA461" i="2"/>
  <c r="AZ461" i="2"/>
  <c r="AY461" i="2"/>
  <c r="BW460" i="2"/>
  <c r="BV460" i="2"/>
  <c r="BU460" i="2"/>
  <c r="BT460" i="2"/>
  <c r="BS460" i="2"/>
  <c r="BR460" i="2"/>
  <c r="BQ460" i="2"/>
  <c r="BP460" i="2"/>
  <c r="BO460" i="2"/>
  <c r="BN460" i="2"/>
  <c r="BM460" i="2"/>
  <c r="BL460" i="2"/>
  <c r="BJ460" i="2"/>
  <c r="BI460" i="2"/>
  <c r="BH460" i="2"/>
  <c r="BG460" i="2"/>
  <c r="BF460" i="2"/>
  <c r="BE460" i="2"/>
  <c r="BD460" i="2"/>
  <c r="BC460" i="2"/>
  <c r="BB460" i="2"/>
  <c r="BA460" i="2"/>
  <c r="AZ460" i="2"/>
  <c r="AY460" i="2"/>
  <c r="BW459" i="2"/>
  <c r="BV459" i="2"/>
  <c r="BU459" i="2"/>
  <c r="BT459" i="2"/>
  <c r="BS459" i="2"/>
  <c r="BR459" i="2"/>
  <c r="BQ459" i="2"/>
  <c r="BP459" i="2"/>
  <c r="BO459" i="2"/>
  <c r="BN459" i="2"/>
  <c r="BM459" i="2"/>
  <c r="BL459" i="2"/>
  <c r="BJ459" i="2"/>
  <c r="BI459" i="2"/>
  <c r="BH459" i="2"/>
  <c r="BG459" i="2"/>
  <c r="BF459" i="2"/>
  <c r="BE459" i="2"/>
  <c r="BD459" i="2"/>
  <c r="BC459" i="2"/>
  <c r="BB459" i="2"/>
  <c r="BA459" i="2"/>
  <c r="AZ459" i="2"/>
  <c r="AY459" i="2"/>
  <c r="BW458" i="2"/>
  <c r="BV458" i="2"/>
  <c r="BU458" i="2"/>
  <c r="BT458" i="2"/>
  <c r="BS458" i="2"/>
  <c r="BR458" i="2"/>
  <c r="BQ458" i="2"/>
  <c r="BP458" i="2"/>
  <c r="BO458" i="2"/>
  <c r="BN458" i="2"/>
  <c r="BM458" i="2"/>
  <c r="BL458" i="2"/>
  <c r="BJ458" i="2"/>
  <c r="BI458" i="2"/>
  <c r="BH458" i="2"/>
  <c r="BG458" i="2"/>
  <c r="BF458" i="2"/>
  <c r="BE458" i="2"/>
  <c r="BD458" i="2"/>
  <c r="BC458" i="2"/>
  <c r="BB458" i="2"/>
  <c r="BA458" i="2"/>
  <c r="AZ458" i="2"/>
  <c r="AY458" i="2"/>
  <c r="BW457" i="2"/>
  <c r="BV457" i="2"/>
  <c r="BU457" i="2"/>
  <c r="BT457" i="2"/>
  <c r="BS457" i="2"/>
  <c r="BR457" i="2"/>
  <c r="BQ457" i="2"/>
  <c r="BP457" i="2"/>
  <c r="BO457" i="2"/>
  <c r="BN457" i="2"/>
  <c r="BM457" i="2"/>
  <c r="BL457" i="2"/>
  <c r="BJ457" i="2"/>
  <c r="BI457" i="2"/>
  <c r="BH457" i="2"/>
  <c r="BG457" i="2"/>
  <c r="BF457" i="2"/>
  <c r="BE457" i="2"/>
  <c r="BD457" i="2"/>
  <c r="BC457" i="2"/>
  <c r="BB457" i="2"/>
  <c r="BA457" i="2"/>
  <c r="AZ457" i="2"/>
  <c r="AY457" i="2"/>
  <c r="BW456" i="2"/>
  <c r="BV456" i="2"/>
  <c r="BU456" i="2"/>
  <c r="BT456" i="2"/>
  <c r="BS456" i="2"/>
  <c r="BR456" i="2"/>
  <c r="BQ456" i="2"/>
  <c r="BP456" i="2"/>
  <c r="BO456" i="2"/>
  <c r="BN456" i="2"/>
  <c r="BM456" i="2"/>
  <c r="BL456" i="2"/>
  <c r="BJ456" i="2"/>
  <c r="BI456" i="2"/>
  <c r="BH456" i="2"/>
  <c r="BG456" i="2"/>
  <c r="BF456" i="2"/>
  <c r="BE456" i="2"/>
  <c r="BD456" i="2"/>
  <c r="BC456" i="2"/>
  <c r="BB456" i="2"/>
  <c r="BA456" i="2"/>
  <c r="AZ456" i="2"/>
  <c r="AY456" i="2"/>
  <c r="BW455" i="2"/>
  <c r="BV455" i="2"/>
  <c r="BU455" i="2"/>
  <c r="BT455" i="2"/>
  <c r="BS455" i="2"/>
  <c r="BR455" i="2"/>
  <c r="BQ455" i="2"/>
  <c r="BP455" i="2"/>
  <c r="BO455" i="2"/>
  <c r="BN455" i="2"/>
  <c r="BM455" i="2"/>
  <c r="BL455" i="2"/>
  <c r="BJ455" i="2"/>
  <c r="BI455" i="2"/>
  <c r="BH455" i="2"/>
  <c r="BG455" i="2"/>
  <c r="BF455" i="2"/>
  <c r="BE455" i="2"/>
  <c r="BD455" i="2"/>
  <c r="BC455" i="2"/>
  <c r="BB455" i="2"/>
  <c r="BA455" i="2"/>
  <c r="AZ455" i="2"/>
  <c r="AY455" i="2"/>
  <c r="BW454" i="2"/>
  <c r="BV454" i="2"/>
  <c r="BU454" i="2"/>
  <c r="BT454" i="2"/>
  <c r="BS454" i="2"/>
  <c r="BR454" i="2"/>
  <c r="BQ454" i="2"/>
  <c r="BP454" i="2"/>
  <c r="BO454" i="2"/>
  <c r="BN454" i="2"/>
  <c r="BM454" i="2"/>
  <c r="BL454" i="2"/>
  <c r="BJ454" i="2"/>
  <c r="BI454" i="2"/>
  <c r="BH454" i="2"/>
  <c r="BG454" i="2"/>
  <c r="BF454" i="2"/>
  <c r="BE454" i="2"/>
  <c r="BD454" i="2"/>
  <c r="BC454" i="2"/>
  <c r="BB454" i="2"/>
  <c r="BA454" i="2"/>
  <c r="AZ454" i="2"/>
  <c r="AY454" i="2"/>
  <c r="BW453" i="2"/>
  <c r="BV453" i="2"/>
  <c r="BU453" i="2"/>
  <c r="BT453" i="2"/>
  <c r="BS453" i="2"/>
  <c r="BR453" i="2"/>
  <c r="BQ453" i="2"/>
  <c r="BP453" i="2"/>
  <c r="BO453" i="2"/>
  <c r="BN453" i="2"/>
  <c r="BM453" i="2"/>
  <c r="BL453" i="2"/>
  <c r="BJ453" i="2"/>
  <c r="BI453" i="2"/>
  <c r="BH453" i="2"/>
  <c r="BG453" i="2"/>
  <c r="BF453" i="2"/>
  <c r="BE453" i="2"/>
  <c r="BD453" i="2"/>
  <c r="BC453" i="2"/>
  <c r="BB453" i="2"/>
  <c r="BA453" i="2"/>
  <c r="AZ453" i="2"/>
  <c r="AY453" i="2"/>
  <c r="BW452" i="2"/>
  <c r="BV452" i="2"/>
  <c r="BU452" i="2"/>
  <c r="BT452" i="2"/>
  <c r="BS452" i="2"/>
  <c r="BR452" i="2"/>
  <c r="BQ452" i="2"/>
  <c r="BP452" i="2"/>
  <c r="BO452" i="2"/>
  <c r="BN452" i="2"/>
  <c r="BM452" i="2"/>
  <c r="BL452" i="2"/>
  <c r="BJ452" i="2"/>
  <c r="BI452" i="2"/>
  <c r="BH452" i="2"/>
  <c r="BG452" i="2"/>
  <c r="BF452" i="2"/>
  <c r="BE452" i="2"/>
  <c r="BD452" i="2"/>
  <c r="BC452" i="2"/>
  <c r="BB452" i="2"/>
  <c r="BA452" i="2"/>
  <c r="AZ452" i="2"/>
  <c r="AY452" i="2"/>
  <c r="BW451" i="2"/>
  <c r="BV451" i="2"/>
  <c r="BU451" i="2"/>
  <c r="BT451" i="2"/>
  <c r="BS451" i="2"/>
  <c r="BR451" i="2"/>
  <c r="BQ451" i="2"/>
  <c r="BP451" i="2"/>
  <c r="BO451" i="2"/>
  <c r="BN451" i="2"/>
  <c r="BM451" i="2"/>
  <c r="BL451" i="2"/>
  <c r="BJ451" i="2"/>
  <c r="BI451" i="2"/>
  <c r="BH451" i="2"/>
  <c r="BG451" i="2"/>
  <c r="BF451" i="2"/>
  <c r="BE451" i="2"/>
  <c r="BD451" i="2"/>
  <c r="BC451" i="2"/>
  <c r="BB451" i="2"/>
  <c r="BA451" i="2"/>
  <c r="AZ451" i="2"/>
  <c r="AY451" i="2"/>
  <c r="BW450" i="2"/>
  <c r="BV450" i="2"/>
  <c r="BU450" i="2"/>
  <c r="BT450" i="2"/>
  <c r="BS450" i="2"/>
  <c r="BR450" i="2"/>
  <c r="BQ450" i="2"/>
  <c r="BP450" i="2"/>
  <c r="BO450" i="2"/>
  <c r="BN450" i="2"/>
  <c r="BM450" i="2"/>
  <c r="BL450" i="2"/>
  <c r="BJ450" i="2"/>
  <c r="BI450" i="2"/>
  <c r="BH450" i="2"/>
  <c r="BG450" i="2"/>
  <c r="BF450" i="2"/>
  <c r="BE450" i="2"/>
  <c r="BD450" i="2"/>
  <c r="BC450" i="2"/>
  <c r="BB450" i="2"/>
  <c r="BA450" i="2"/>
  <c r="AZ450" i="2"/>
  <c r="AY450" i="2"/>
  <c r="BW449" i="2"/>
  <c r="BV449" i="2"/>
  <c r="BU449" i="2"/>
  <c r="BT449" i="2"/>
  <c r="BS449" i="2"/>
  <c r="BR449" i="2"/>
  <c r="BQ449" i="2"/>
  <c r="BP449" i="2"/>
  <c r="BO449" i="2"/>
  <c r="BN449" i="2"/>
  <c r="BM449" i="2"/>
  <c r="BL449" i="2"/>
  <c r="BJ449" i="2"/>
  <c r="BI449" i="2"/>
  <c r="BH449" i="2"/>
  <c r="BG449" i="2"/>
  <c r="BF449" i="2"/>
  <c r="BE449" i="2"/>
  <c r="BD449" i="2"/>
  <c r="BC449" i="2"/>
  <c r="BB449" i="2"/>
  <c r="BA449" i="2"/>
  <c r="AZ449" i="2"/>
  <c r="AY449" i="2"/>
  <c r="BW448" i="2"/>
  <c r="BV448" i="2"/>
  <c r="BU448" i="2"/>
  <c r="BT448" i="2"/>
  <c r="BS448" i="2"/>
  <c r="BR448" i="2"/>
  <c r="BQ448" i="2"/>
  <c r="BP448" i="2"/>
  <c r="BO448" i="2"/>
  <c r="BN448" i="2"/>
  <c r="BM448" i="2"/>
  <c r="BL448" i="2"/>
  <c r="BJ448" i="2"/>
  <c r="BI448" i="2"/>
  <c r="BH448" i="2"/>
  <c r="BG448" i="2"/>
  <c r="BF448" i="2"/>
  <c r="BE448" i="2"/>
  <c r="BD448" i="2"/>
  <c r="BC448" i="2"/>
  <c r="BB448" i="2"/>
  <c r="BA448" i="2"/>
  <c r="AZ448" i="2"/>
  <c r="AY448" i="2"/>
  <c r="BW447" i="2"/>
  <c r="BV447" i="2"/>
  <c r="BU447" i="2"/>
  <c r="BT447" i="2"/>
  <c r="BS447" i="2"/>
  <c r="BR447" i="2"/>
  <c r="BQ447" i="2"/>
  <c r="BP447" i="2"/>
  <c r="BO447" i="2"/>
  <c r="BN447" i="2"/>
  <c r="BM447" i="2"/>
  <c r="BL447" i="2"/>
  <c r="BJ447" i="2"/>
  <c r="BI447" i="2"/>
  <c r="BH447" i="2"/>
  <c r="BG447" i="2"/>
  <c r="BF447" i="2"/>
  <c r="BE447" i="2"/>
  <c r="BD447" i="2"/>
  <c r="BC447" i="2"/>
  <c r="BB447" i="2"/>
  <c r="BA447" i="2"/>
  <c r="AZ447" i="2"/>
  <c r="AY447" i="2"/>
  <c r="BW446" i="2"/>
  <c r="BV446" i="2"/>
  <c r="BU446" i="2"/>
  <c r="BT446" i="2"/>
  <c r="BS446" i="2"/>
  <c r="BR446" i="2"/>
  <c r="BQ446" i="2"/>
  <c r="BP446" i="2"/>
  <c r="BO446" i="2"/>
  <c r="BN446" i="2"/>
  <c r="BM446" i="2"/>
  <c r="BL446" i="2"/>
  <c r="BJ446" i="2"/>
  <c r="BI446" i="2"/>
  <c r="BH446" i="2"/>
  <c r="BG446" i="2"/>
  <c r="BF446" i="2"/>
  <c r="BE446" i="2"/>
  <c r="BD446" i="2"/>
  <c r="BC446" i="2"/>
  <c r="BB446" i="2"/>
  <c r="BA446" i="2"/>
  <c r="AZ446" i="2"/>
  <c r="AY446" i="2"/>
  <c r="BW445" i="2"/>
  <c r="BV445" i="2"/>
  <c r="BU445" i="2"/>
  <c r="BT445" i="2"/>
  <c r="BS445" i="2"/>
  <c r="BR445" i="2"/>
  <c r="BQ445" i="2"/>
  <c r="BP445" i="2"/>
  <c r="BO445" i="2"/>
  <c r="BN445" i="2"/>
  <c r="BM445" i="2"/>
  <c r="BL445" i="2"/>
  <c r="BJ445" i="2"/>
  <c r="BI445" i="2"/>
  <c r="BH445" i="2"/>
  <c r="BG445" i="2"/>
  <c r="BF445" i="2"/>
  <c r="BE445" i="2"/>
  <c r="BD445" i="2"/>
  <c r="BC445" i="2"/>
  <c r="BB445" i="2"/>
  <c r="BA445" i="2"/>
  <c r="AZ445" i="2"/>
  <c r="AY445" i="2"/>
  <c r="BW444" i="2"/>
  <c r="BV444" i="2"/>
  <c r="BU444" i="2"/>
  <c r="BT444" i="2"/>
  <c r="BS444" i="2"/>
  <c r="BR444" i="2"/>
  <c r="BQ444" i="2"/>
  <c r="BP444" i="2"/>
  <c r="BO444" i="2"/>
  <c r="BN444" i="2"/>
  <c r="BM444" i="2"/>
  <c r="BL444" i="2"/>
  <c r="BJ444" i="2"/>
  <c r="BI444" i="2"/>
  <c r="BH444" i="2"/>
  <c r="BG444" i="2"/>
  <c r="BF444" i="2"/>
  <c r="BE444" i="2"/>
  <c r="BD444" i="2"/>
  <c r="BC444" i="2"/>
  <c r="BB444" i="2"/>
  <c r="BA444" i="2"/>
  <c r="AZ444" i="2"/>
  <c r="AY444" i="2"/>
  <c r="BW443" i="2"/>
  <c r="BV443" i="2"/>
  <c r="BU443" i="2"/>
  <c r="BT443" i="2"/>
  <c r="BS443" i="2"/>
  <c r="BR443" i="2"/>
  <c r="BQ443" i="2"/>
  <c r="BP443" i="2"/>
  <c r="BO443" i="2"/>
  <c r="BN443" i="2"/>
  <c r="BM443" i="2"/>
  <c r="BL443" i="2"/>
  <c r="BJ443" i="2"/>
  <c r="BI443" i="2"/>
  <c r="BH443" i="2"/>
  <c r="BG443" i="2"/>
  <c r="BF443" i="2"/>
  <c r="BE443" i="2"/>
  <c r="BD443" i="2"/>
  <c r="BC443" i="2"/>
  <c r="BB443" i="2"/>
  <c r="BA443" i="2"/>
  <c r="AZ443" i="2"/>
  <c r="AY443" i="2"/>
  <c r="BW442" i="2"/>
  <c r="BV442" i="2"/>
  <c r="BU442" i="2"/>
  <c r="BT442" i="2"/>
  <c r="BS442" i="2"/>
  <c r="BR442" i="2"/>
  <c r="BQ442" i="2"/>
  <c r="BP442" i="2"/>
  <c r="BO442" i="2"/>
  <c r="BN442" i="2"/>
  <c r="BM442" i="2"/>
  <c r="BL442" i="2"/>
  <c r="BJ442" i="2"/>
  <c r="BI442" i="2"/>
  <c r="BH442" i="2"/>
  <c r="BG442" i="2"/>
  <c r="BF442" i="2"/>
  <c r="BE442" i="2"/>
  <c r="BD442" i="2"/>
  <c r="BC442" i="2"/>
  <c r="BB442" i="2"/>
  <c r="BA442" i="2"/>
  <c r="AZ442" i="2"/>
  <c r="AY442" i="2"/>
  <c r="BW441" i="2"/>
  <c r="BV441" i="2"/>
  <c r="BU441" i="2"/>
  <c r="BT441" i="2"/>
  <c r="BS441" i="2"/>
  <c r="BR441" i="2"/>
  <c r="BQ441" i="2"/>
  <c r="BP441" i="2"/>
  <c r="BO441" i="2"/>
  <c r="BN441" i="2"/>
  <c r="BM441" i="2"/>
  <c r="BL441" i="2"/>
  <c r="BJ441" i="2"/>
  <c r="BI441" i="2"/>
  <c r="BH441" i="2"/>
  <c r="BG441" i="2"/>
  <c r="BF441" i="2"/>
  <c r="BE441" i="2"/>
  <c r="BD441" i="2"/>
  <c r="BC441" i="2"/>
  <c r="BB441" i="2"/>
  <c r="BA441" i="2"/>
  <c r="AZ441" i="2"/>
  <c r="AY441" i="2"/>
  <c r="BW440" i="2"/>
  <c r="BV440" i="2"/>
  <c r="BU440" i="2"/>
  <c r="BT440" i="2"/>
  <c r="BS440" i="2"/>
  <c r="BR440" i="2"/>
  <c r="BQ440" i="2"/>
  <c r="BP440" i="2"/>
  <c r="BO440" i="2"/>
  <c r="BN440" i="2"/>
  <c r="BM440" i="2"/>
  <c r="BL440" i="2"/>
  <c r="BJ440" i="2"/>
  <c r="BI440" i="2"/>
  <c r="BH440" i="2"/>
  <c r="BG440" i="2"/>
  <c r="BF440" i="2"/>
  <c r="BE440" i="2"/>
  <c r="BD440" i="2"/>
  <c r="BC440" i="2"/>
  <c r="BB440" i="2"/>
  <c r="BA440" i="2"/>
  <c r="AZ440" i="2"/>
  <c r="AY440" i="2"/>
  <c r="BW439" i="2"/>
  <c r="BV439" i="2"/>
  <c r="BU439" i="2"/>
  <c r="BT439" i="2"/>
  <c r="BS439" i="2"/>
  <c r="BR439" i="2"/>
  <c r="BQ439" i="2"/>
  <c r="BP439" i="2"/>
  <c r="BO439" i="2"/>
  <c r="BN439" i="2"/>
  <c r="BM439" i="2"/>
  <c r="BL439" i="2"/>
  <c r="BJ439" i="2"/>
  <c r="BI439" i="2"/>
  <c r="BH439" i="2"/>
  <c r="BG439" i="2"/>
  <c r="BF439" i="2"/>
  <c r="BE439" i="2"/>
  <c r="BD439" i="2"/>
  <c r="BC439" i="2"/>
  <c r="BB439" i="2"/>
  <c r="BA439" i="2"/>
  <c r="AZ439" i="2"/>
  <c r="AY439" i="2"/>
  <c r="BW438" i="2"/>
  <c r="BV438" i="2"/>
  <c r="BU438" i="2"/>
  <c r="BT438" i="2"/>
  <c r="BS438" i="2"/>
  <c r="BR438" i="2"/>
  <c r="BQ438" i="2"/>
  <c r="BP438" i="2"/>
  <c r="BO438" i="2"/>
  <c r="BN438" i="2"/>
  <c r="BM438" i="2"/>
  <c r="BL438" i="2"/>
  <c r="BJ438" i="2"/>
  <c r="BI438" i="2"/>
  <c r="BH438" i="2"/>
  <c r="BG438" i="2"/>
  <c r="BF438" i="2"/>
  <c r="BE438" i="2"/>
  <c r="BD438" i="2"/>
  <c r="BC438" i="2"/>
  <c r="BB438" i="2"/>
  <c r="BA438" i="2"/>
  <c r="AZ438" i="2"/>
  <c r="AY438" i="2"/>
  <c r="BW437" i="2"/>
  <c r="BV437" i="2"/>
  <c r="BU437" i="2"/>
  <c r="BT437" i="2"/>
  <c r="BS437" i="2"/>
  <c r="BR437" i="2"/>
  <c r="BQ437" i="2"/>
  <c r="BP437" i="2"/>
  <c r="BO437" i="2"/>
  <c r="BN437" i="2"/>
  <c r="BM437" i="2"/>
  <c r="BL437" i="2"/>
  <c r="BJ437" i="2"/>
  <c r="BI437" i="2"/>
  <c r="BH437" i="2"/>
  <c r="BG437" i="2"/>
  <c r="BF437" i="2"/>
  <c r="BE437" i="2"/>
  <c r="BD437" i="2"/>
  <c r="BC437" i="2"/>
  <c r="BB437" i="2"/>
  <c r="BA437" i="2"/>
  <c r="AZ437" i="2"/>
  <c r="AY437" i="2"/>
  <c r="BW436" i="2"/>
  <c r="BV436" i="2"/>
  <c r="BU436" i="2"/>
  <c r="BT436" i="2"/>
  <c r="BS436" i="2"/>
  <c r="BR436" i="2"/>
  <c r="BQ436" i="2"/>
  <c r="BP436" i="2"/>
  <c r="BO436" i="2"/>
  <c r="BN436" i="2"/>
  <c r="BM436" i="2"/>
  <c r="BL436" i="2"/>
  <c r="BJ436" i="2"/>
  <c r="BI436" i="2"/>
  <c r="BH436" i="2"/>
  <c r="BG436" i="2"/>
  <c r="BF436" i="2"/>
  <c r="BE436" i="2"/>
  <c r="BD436" i="2"/>
  <c r="BC436" i="2"/>
  <c r="BB436" i="2"/>
  <c r="BA436" i="2"/>
  <c r="AZ436" i="2"/>
  <c r="AY436" i="2"/>
  <c r="BW435" i="2"/>
  <c r="BV435" i="2"/>
  <c r="BU435" i="2"/>
  <c r="BT435" i="2"/>
  <c r="BS435" i="2"/>
  <c r="BR435" i="2"/>
  <c r="BQ435" i="2"/>
  <c r="BP435" i="2"/>
  <c r="BO435" i="2"/>
  <c r="BN435" i="2"/>
  <c r="BM435" i="2"/>
  <c r="BL435" i="2"/>
  <c r="BJ435" i="2"/>
  <c r="BI435" i="2"/>
  <c r="BH435" i="2"/>
  <c r="BG435" i="2"/>
  <c r="BF435" i="2"/>
  <c r="BE435" i="2"/>
  <c r="BD435" i="2"/>
  <c r="BC435" i="2"/>
  <c r="BB435" i="2"/>
  <c r="BA435" i="2"/>
  <c r="AZ435" i="2"/>
  <c r="AY435" i="2"/>
  <c r="BW434" i="2"/>
  <c r="BV434" i="2"/>
  <c r="BU434" i="2"/>
  <c r="BT434" i="2"/>
  <c r="BS434" i="2"/>
  <c r="BR434" i="2"/>
  <c r="BQ434" i="2"/>
  <c r="BP434" i="2"/>
  <c r="BO434" i="2"/>
  <c r="BN434" i="2"/>
  <c r="BM434" i="2"/>
  <c r="BL434" i="2"/>
  <c r="BJ434" i="2"/>
  <c r="BI434" i="2"/>
  <c r="BH434" i="2"/>
  <c r="BG434" i="2"/>
  <c r="BF434" i="2"/>
  <c r="BE434" i="2"/>
  <c r="BD434" i="2"/>
  <c r="BC434" i="2"/>
  <c r="BB434" i="2"/>
  <c r="BA434" i="2"/>
  <c r="AZ434" i="2"/>
  <c r="AY434" i="2"/>
  <c r="BW433" i="2"/>
  <c r="BV433" i="2"/>
  <c r="BU433" i="2"/>
  <c r="BT433" i="2"/>
  <c r="BS433" i="2"/>
  <c r="BR433" i="2"/>
  <c r="BQ433" i="2"/>
  <c r="BP433" i="2"/>
  <c r="BO433" i="2"/>
  <c r="BN433" i="2"/>
  <c r="BM433" i="2"/>
  <c r="BL433" i="2"/>
  <c r="BJ433" i="2"/>
  <c r="BI433" i="2"/>
  <c r="BH433" i="2"/>
  <c r="BG433" i="2"/>
  <c r="BF433" i="2"/>
  <c r="BE433" i="2"/>
  <c r="BD433" i="2"/>
  <c r="BC433" i="2"/>
  <c r="BB433" i="2"/>
  <c r="BA433" i="2"/>
  <c r="AZ433" i="2"/>
  <c r="AY433" i="2"/>
  <c r="BW432" i="2"/>
  <c r="BV432" i="2"/>
  <c r="BU432" i="2"/>
  <c r="BT432" i="2"/>
  <c r="BS432" i="2"/>
  <c r="BR432" i="2"/>
  <c r="BQ432" i="2"/>
  <c r="BP432" i="2"/>
  <c r="BO432" i="2"/>
  <c r="BN432" i="2"/>
  <c r="BM432" i="2"/>
  <c r="BL432" i="2"/>
  <c r="BJ432" i="2"/>
  <c r="BI432" i="2"/>
  <c r="BH432" i="2"/>
  <c r="BG432" i="2"/>
  <c r="BF432" i="2"/>
  <c r="BE432" i="2"/>
  <c r="BD432" i="2"/>
  <c r="BC432" i="2"/>
  <c r="BB432" i="2"/>
  <c r="BA432" i="2"/>
  <c r="AZ432" i="2"/>
  <c r="AY432" i="2"/>
  <c r="BW431" i="2"/>
  <c r="BV431" i="2"/>
  <c r="BU431" i="2"/>
  <c r="BT431" i="2"/>
  <c r="BS431" i="2"/>
  <c r="BR431" i="2"/>
  <c r="BQ431" i="2"/>
  <c r="BP431" i="2"/>
  <c r="BO431" i="2"/>
  <c r="BN431" i="2"/>
  <c r="BM431" i="2"/>
  <c r="BL431" i="2"/>
  <c r="BJ431" i="2"/>
  <c r="BI431" i="2"/>
  <c r="BH431" i="2"/>
  <c r="BG431" i="2"/>
  <c r="BF431" i="2"/>
  <c r="BE431" i="2"/>
  <c r="BD431" i="2"/>
  <c r="BC431" i="2"/>
  <c r="BB431" i="2"/>
  <c r="BA431" i="2"/>
  <c r="AZ431" i="2"/>
  <c r="AY431" i="2"/>
  <c r="BW430" i="2"/>
  <c r="BV430" i="2"/>
  <c r="BU430" i="2"/>
  <c r="BT430" i="2"/>
  <c r="BS430" i="2"/>
  <c r="BR430" i="2"/>
  <c r="BQ430" i="2"/>
  <c r="BP430" i="2"/>
  <c r="BO430" i="2"/>
  <c r="BN430" i="2"/>
  <c r="BM430" i="2"/>
  <c r="BL430" i="2"/>
  <c r="BJ430" i="2"/>
  <c r="BI430" i="2"/>
  <c r="BH430" i="2"/>
  <c r="BG430" i="2"/>
  <c r="BF430" i="2"/>
  <c r="BE430" i="2"/>
  <c r="BD430" i="2"/>
  <c r="BC430" i="2"/>
  <c r="BB430" i="2"/>
  <c r="BA430" i="2"/>
  <c r="AZ430" i="2"/>
  <c r="AY430" i="2"/>
  <c r="BW429" i="2"/>
  <c r="BV429" i="2"/>
  <c r="BU429" i="2"/>
  <c r="BT429" i="2"/>
  <c r="BS429" i="2"/>
  <c r="BR429" i="2"/>
  <c r="BQ429" i="2"/>
  <c r="BP429" i="2"/>
  <c r="BO429" i="2"/>
  <c r="BN429" i="2"/>
  <c r="BM429" i="2"/>
  <c r="BL429" i="2"/>
  <c r="BJ429" i="2"/>
  <c r="BI429" i="2"/>
  <c r="BH429" i="2"/>
  <c r="BG429" i="2"/>
  <c r="BF429" i="2"/>
  <c r="BE429" i="2"/>
  <c r="BD429" i="2"/>
  <c r="BC429" i="2"/>
  <c r="BB429" i="2"/>
  <c r="BA429" i="2"/>
  <c r="AZ429" i="2"/>
  <c r="AY429" i="2"/>
  <c r="BW428" i="2"/>
  <c r="BV428" i="2"/>
  <c r="BU428" i="2"/>
  <c r="BT428" i="2"/>
  <c r="BS428" i="2"/>
  <c r="BR428" i="2"/>
  <c r="BQ428" i="2"/>
  <c r="BP428" i="2"/>
  <c r="BO428" i="2"/>
  <c r="BN428" i="2"/>
  <c r="BM428" i="2"/>
  <c r="BL428" i="2"/>
  <c r="BJ428" i="2"/>
  <c r="BI428" i="2"/>
  <c r="BH428" i="2"/>
  <c r="BG428" i="2"/>
  <c r="BF428" i="2"/>
  <c r="BE428" i="2"/>
  <c r="BD428" i="2"/>
  <c r="BC428" i="2"/>
  <c r="BB428" i="2"/>
  <c r="BA428" i="2"/>
  <c r="AZ428" i="2"/>
  <c r="AY428" i="2"/>
  <c r="BW427" i="2"/>
  <c r="BV427" i="2"/>
  <c r="BU427" i="2"/>
  <c r="BT427" i="2"/>
  <c r="BS427" i="2"/>
  <c r="BR427" i="2"/>
  <c r="BQ427" i="2"/>
  <c r="BP427" i="2"/>
  <c r="BO427" i="2"/>
  <c r="BN427" i="2"/>
  <c r="BM427" i="2"/>
  <c r="BL427" i="2"/>
  <c r="BJ427" i="2"/>
  <c r="BI427" i="2"/>
  <c r="BH427" i="2"/>
  <c r="BG427" i="2"/>
  <c r="BF427" i="2"/>
  <c r="BE427" i="2"/>
  <c r="BD427" i="2"/>
  <c r="BC427" i="2"/>
  <c r="BB427" i="2"/>
  <c r="BA427" i="2"/>
  <c r="AZ427" i="2"/>
  <c r="AY427" i="2"/>
  <c r="BW426" i="2"/>
  <c r="BV426" i="2"/>
  <c r="BU426" i="2"/>
  <c r="BT426" i="2"/>
  <c r="BS426" i="2"/>
  <c r="BR426" i="2"/>
  <c r="BQ426" i="2"/>
  <c r="BP426" i="2"/>
  <c r="BO426" i="2"/>
  <c r="BN426" i="2"/>
  <c r="BM426" i="2"/>
  <c r="BL426" i="2"/>
  <c r="BJ426" i="2"/>
  <c r="BI426" i="2"/>
  <c r="BH426" i="2"/>
  <c r="BG426" i="2"/>
  <c r="BF426" i="2"/>
  <c r="BE426" i="2"/>
  <c r="BD426" i="2"/>
  <c r="BC426" i="2"/>
  <c r="BB426" i="2"/>
  <c r="BA426" i="2"/>
  <c r="AZ426" i="2"/>
  <c r="AY426" i="2"/>
  <c r="BW425" i="2"/>
  <c r="BV425" i="2"/>
  <c r="BU425" i="2"/>
  <c r="BT425" i="2"/>
  <c r="BS425" i="2"/>
  <c r="BR425" i="2"/>
  <c r="BQ425" i="2"/>
  <c r="BP425" i="2"/>
  <c r="BO425" i="2"/>
  <c r="BN425" i="2"/>
  <c r="BM425" i="2"/>
  <c r="BL425" i="2"/>
  <c r="BJ425" i="2"/>
  <c r="BI425" i="2"/>
  <c r="BH425" i="2"/>
  <c r="BG425" i="2"/>
  <c r="BF425" i="2"/>
  <c r="BE425" i="2"/>
  <c r="BD425" i="2"/>
  <c r="BC425" i="2"/>
  <c r="BB425" i="2"/>
  <c r="BA425" i="2"/>
  <c r="AZ425" i="2"/>
  <c r="AY425" i="2"/>
  <c r="BW424" i="2"/>
  <c r="BV424" i="2"/>
  <c r="BU424" i="2"/>
  <c r="BT424" i="2"/>
  <c r="BS424" i="2"/>
  <c r="BR424" i="2"/>
  <c r="BQ424" i="2"/>
  <c r="BP424" i="2"/>
  <c r="BO424" i="2"/>
  <c r="BN424" i="2"/>
  <c r="BM424" i="2"/>
  <c r="BL424" i="2"/>
  <c r="BJ424" i="2"/>
  <c r="BI424" i="2"/>
  <c r="BH424" i="2"/>
  <c r="BG424" i="2"/>
  <c r="BF424" i="2"/>
  <c r="BE424" i="2"/>
  <c r="BD424" i="2"/>
  <c r="BC424" i="2"/>
  <c r="BB424" i="2"/>
  <c r="BA424" i="2"/>
  <c r="AZ424" i="2"/>
  <c r="AY424" i="2"/>
  <c r="BW423" i="2"/>
  <c r="BV423" i="2"/>
  <c r="BU423" i="2"/>
  <c r="BT423" i="2"/>
  <c r="BS423" i="2"/>
  <c r="BR423" i="2"/>
  <c r="BQ423" i="2"/>
  <c r="BP423" i="2"/>
  <c r="BO423" i="2"/>
  <c r="BN423" i="2"/>
  <c r="BM423" i="2"/>
  <c r="BL423" i="2"/>
  <c r="BJ423" i="2"/>
  <c r="BI423" i="2"/>
  <c r="BH423" i="2"/>
  <c r="BG423" i="2"/>
  <c r="BF423" i="2"/>
  <c r="BE423" i="2"/>
  <c r="BD423" i="2"/>
  <c r="BC423" i="2"/>
  <c r="BB423" i="2"/>
  <c r="BA423" i="2"/>
  <c r="AZ423" i="2"/>
  <c r="AY423" i="2"/>
  <c r="BW422" i="2"/>
  <c r="BV422" i="2"/>
  <c r="BU422" i="2"/>
  <c r="BT422" i="2"/>
  <c r="BS422" i="2"/>
  <c r="BR422" i="2"/>
  <c r="BQ422" i="2"/>
  <c r="BP422" i="2"/>
  <c r="BO422" i="2"/>
  <c r="BN422" i="2"/>
  <c r="BM422" i="2"/>
  <c r="BL422" i="2"/>
  <c r="BJ422" i="2"/>
  <c r="BI422" i="2"/>
  <c r="BH422" i="2"/>
  <c r="BG422" i="2"/>
  <c r="BF422" i="2"/>
  <c r="BE422" i="2"/>
  <c r="BD422" i="2"/>
  <c r="BC422" i="2"/>
  <c r="BB422" i="2"/>
  <c r="BA422" i="2"/>
  <c r="AZ422" i="2"/>
  <c r="AY422" i="2"/>
  <c r="BW421" i="2"/>
  <c r="BV421" i="2"/>
  <c r="BU421" i="2"/>
  <c r="BT421" i="2"/>
  <c r="BS421" i="2"/>
  <c r="BR421" i="2"/>
  <c r="BQ421" i="2"/>
  <c r="BP421" i="2"/>
  <c r="BO421" i="2"/>
  <c r="BN421" i="2"/>
  <c r="BM421" i="2"/>
  <c r="BL421" i="2"/>
  <c r="BJ421" i="2"/>
  <c r="BI421" i="2"/>
  <c r="BH421" i="2"/>
  <c r="BG421" i="2"/>
  <c r="BF421" i="2"/>
  <c r="BE421" i="2"/>
  <c r="BD421" i="2"/>
  <c r="BC421" i="2"/>
  <c r="BB421" i="2"/>
  <c r="BA421" i="2"/>
  <c r="AZ421" i="2"/>
  <c r="AY421" i="2"/>
  <c r="BW420" i="2"/>
  <c r="BV420" i="2"/>
  <c r="BU420" i="2"/>
  <c r="BT420" i="2"/>
  <c r="BS420" i="2"/>
  <c r="BR420" i="2"/>
  <c r="BQ420" i="2"/>
  <c r="BP420" i="2"/>
  <c r="BO420" i="2"/>
  <c r="BN420" i="2"/>
  <c r="BM420" i="2"/>
  <c r="BL420" i="2"/>
  <c r="BJ420" i="2"/>
  <c r="BI420" i="2"/>
  <c r="BH420" i="2"/>
  <c r="BG420" i="2"/>
  <c r="BF420" i="2"/>
  <c r="BE420" i="2"/>
  <c r="BD420" i="2"/>
  <c r="BC420" i="2"/>
  <c r="BB420" i="2"/>
  <c r="BA420" i="2"/>
  <c r="AZ420" i="2"/>
  <c r="AY420" i="2"/>
  <c r="BW419" i="2"/>
  <c r="BV419" i="2"/>
  <c r="BU419" i="2"/>
  <c r="BT419" i="2"/>
  <c r="BS419" i="2"/>
  <c r="BR419" i="2"/>
  <c r="BQ419" i="2"/>
  <c r="BP419" i="2"/>
  <c r="BO419" i="2"/>
  <c r="BN419" i="2"/>
  <c r="BM419" i="2"/>
  <c r="BL419" i="2"/>
  <c r="BJ419" i="2"/>
  <c r="BI419" i="2"/>
  <c r="BH419" i="2"/>
  <c r="BG419" i="2"/>
  <c r="BF419" i="2"/>
  <c r="BE419" i="2"/>
  <c r="BD419" i="2"/>
  <c r="BC419" i="2"/>
  <c r="BB419" i="2"/>
  <c r="BA419" i="2"/>
  <c r="AZ419" i="2"/>
  <c r="AY419" i="2"/>
  <c r="BW418" i="2"/>
  <c r="BV418" i="2"/>
  <c r="BU418" i="2"/>
  <c r="BT418" i="2"/>
  <c r="BS418" i="2"/>
  <c r="BR418" i="2"/>
  <c r="BQ418" i="2"/>
  <c r="BP418" i="2"/>
  <c r="BO418" i="2"/>
  <c r="BN418" i="2"/>
  <c r="BM418" i="2"/>
  <c r="BL418" i="2"/>
  <c r="BJ418" i="2"/>
  <c r="BI418" i="2"/>
  <c r="BH418" i="2"/>
  <c r="BG418" i="2"/>
  <c r="BF418" i="2"/>
  <c r="BE418" i="2"/>
  <c r="BD418" i="2"/>
  <c r="BC418" i="2"/>
  <c r="BB418" i="2"/>
  <c r="BA418" i="2"/>
  <c r="AZ418" i="2"/>
  <c r="AY418" i="2"/>
  <c r="BW417" i="2"/>
  <c r="BV417" i="2"/>
  <c r="BU417" i="2"/>
  <c r="BT417" i="2"/>
  <c r="BS417" i="2"/>
  <c r="BR417" i="2"/>
  <c r="BQ417" i="2"/>
  <c r="BP417" i="2"/>
  <c r="BO417" i="2"/>
  <c r="BN417" i="2"/>
  <c r="BM417" i="2"/>
  <c r="BL417" i="2"/>
  <c r="BJ417" i="2"/>
  <c r="BI417" i="2"/>
  <c r="BH417" i="2"/>
  <c r="BG417" i="2"/>
  <c r="BF417" i="2"/>
  <c r="BE417" i="2"/>
  <c r="BD417" i="2"/>
  <c r="BC417" i="2"/>
  <c r="BB417" i="2"/>
  <c r="BA417" i="2"/>
  <c r="AZ417" i="2"/>
  <c r="AY417" i="2"/>
  <c r="BW416" i="2"/>
  <c r="BV416" i="2"/>
  <c r="BU416" i="2"/>
  <c r="BT416" i="2"/>
  <c r="BS416" i="2"/>
  <c r="BR416" i="2"/>
  <c r="BQ416" i="2"/>
  <c r="BP416" i="2"/>
  <c r="BO416" i="2"/>
  <c r="BN416" i="2"/>
  <c r="BM416" i="2"/>
  <c r="BL416" i="2"/>
  <c r="BJ416" i="2"/>
  <c r="BI416" i="2"/>
  <c r="BH416" i="2"/>
  <c r="BG416" i="2"/>
  <c r="BF416" i="2"/>
  <c r="BE416" i="2"/>
  <c r="BD416" i="2"/>
  <c r="BC416" i="2"/>
  <c r="BB416" i="2"/>
  <c r="BA416" i="2"/>
  <c r="AZ416" i="2"/>
  <c r="AY416" i="2"/>
  <c r="BW415" i="2"/>
  <c r="BV415" i="2"/>
  <c r="BU415" i="2"/>
  <c r="BT415" i="2"/>
  <c r="BS415" i="2"/>
  <c r="BR415" i="2"/>
  <c r="BQ415" i="2"/>
  <c r="BP415" i="2"/>
  <c r="BO415" i="2"/>
  <c r="BN415" i="2"/>
  <c r="BM415" i="2"/>
  <c r="BL415" i="2"/>
  <c r="BJ415" i="2"/>
  <c r="BI415" i="2"/>
  <c r="BH415" i="2"/>
  <c r="BG415" i="2"/>
  <c r="BF415" i="2"/>
  <c r="BE415" i="2"/>
  <c r="BD415" i="2"/>
  <c r="BC415" i="2"/>
  <c r="BB415" i="2"/>
  <c r="BA415" i="2"/>
  <c r="AZ415" i="2"/>
  <c r="AY415" i="2"/>
  <c r="BW414" i="2"/>
  <c r="BV414" i="2"/>
  <c r="BU414" i="2"/>
  <c r="BT414" i="2"/>
  <c r="BS414" i="2"/>
  <c r="BR414" i="2"/>
  <c r="BQ414" i="2"/>
  <c r="BP414" i="2"/>
  <c r="BO414" i="2"/>
  <c r="BN414" i="2"/>
  <c r="BM414" i="2"/>
  <c r="BL414" i="2"/>
  <c r="BJ414" i="2"/>
  <c r="BI414" i="2"/>
  <c r="BH414" i="2"/>
  <c r="BG414" i="2"/>
  <c r="BF414" i="2"/>
  <c r="BE414" i="2"/>
  <c r="BD414" i="2"/>
  <c r="BC414" i="2"/>
  <c r="BB414" i="2"/>
  <c r="BA414" i="2"/>
  <c r="AZ414" i="2"/>
  <c r="AY414" i="2"/>
  <c r="BW413" i="2"/>
  <c r="BV413" i="2"/>
  <c r="BU413" i="2"/>
  <c r="BT413" i="2"/>
  <c r="BS413" i="2"/>
  <c r="BR413" i="2"/>
  <c r="BQ413" i="2"/>
  <c r="BP413" i="2"/>
  <c r="BO413" i="2"/>
  <c r="BN413" i="2"/>
  <c r="BM413" i="2"/>
  <c r="BL413" i="2"/>
  <c r="BJ413" i="2"/>
  <c r="BI413" i="2"/>
  <c r="BH413" i="2"/>
  <c r="BG413" i="2"/>
  <c r="BF413" i="2"/>
  <c r="BE413" i="2"/>
  <c r="BD413" i="2"/>
  <c r="BC413" i="2"/>
  <c r="BB413" i="2"/>
  <c r="BA413" i="2"/>
  <c r="AZ413" i="2"/>
  <c r="AY413" i="2"/>
  <c r="BW412" i="2"/>
  <c r="BV412" i="2"/>
  <c r="BU412" i="2"/>
  <c r="BT412" i="2"/>
  <c r="BS412" i="2"/>
  <c r="BR412" i="2"/>
  <c r="BQ412" i="2"/>
  <c r="BP412" i="2"/>
  <c r="BO412" i="2"/>
  <c r="BN412" i="2"/>
  <c r="BM412" i="2"/>
  <c r="BL412" i="2"/>
  <c r="BJ412" i="2"/>
  <c r="BI412" i="2"/>
  <c r="BH412" i="2"/>
  <c r="BG412" i="2"/>
  <c r="BF412" i="2"/>
  <c r="BE412" i="2"/>
  <c r="BD412" i="2"/>
  <c r="BC412" i="2"/>
  <c r="BB412" i="2"/>
  <c r="BA412" i="2"/>
  <c r="AZ412" i="2"/>
  <c r="AY412" i="2"/>
  <c r="BW411" i="2"/>
  <c r="BV411" i="2"/>
  <c r="BU411" i="2"/>
  <c r="BT411" i="2"/>
  <c r="BS411" i="2"/>
  <c r="BR411" i="2"/>
  <c r="BQ411" i="2"/>
  <c r="BP411" i="2"/>
  <c r="BO411" i="2"/>
  <c r="BN411" i="2"/>
  <c r="BM411" i="2"/>
  <c r="BL411" i="2"/>
  <c r="BJ411" i="2"/>
  <c r="BI411" i="2"/>
  <c r="BH411" i="2"/>
  <c r="BG411" i="2"/>
  <c r="BF411" i="2"/>
  <c r="BE411" i="2"/>
  <c r="BD411" i="2"/>
  <c r="BC411" i="2"/>
  <c r="BB411" i="2"/>
  <c r="BA411" i="2"/>
  <c r="AZ411" i="2"/>
  <c r="AY411" i="2"/>
  <c r="BW410" i="2"/>
  <c r="BV410" i="2"/>
  <c r="BU410" i="2"/>
  <c r="BT410" i="2"/>
  <c r="BS410" i="2"/>
  <c r="BR410" i="2"/>
  <c r="BQ410" i="2"/>
  <c r="BP410" i="2"/>
  <c r="BO410" i="2"/>
  <c r="BN410" i="2"/>
  <c r="BM410" i="2"/>
  <c r="BL410" i="2"/>
  <c r="BJ410" i="2"/>
  <c r="BI410" i="2"/>
  <c r="BH410" i="2"/>
  <c r="BG410" i="2"/>
  <c r="BF410" i="2"/>
  <c r="BE410" i="2"/>
  <c r="BD410" i="2"/>
  <c r="BC410" i="2"/>
  <c r="BB410" i="2"/>
  <c r="BA410" i="2"/>
  <c r="AZ410" i="2"/>
  <c r="AY410" i="2"/>
  <c r="BW409" i="2"/>
  <c r="BV409" i="2"/>
  <c r="BU409" i="2"/>
  <c r="BT409" i="2"/>
  <c r="BS409" i="2"/>
  <c r="BR409" i="2"/>
  <c r="BQ409" i="2"/>
  <c r="BP409" i="2"/>
  <c r="BO409" i="2"/>
  <c r="BN409" i="2"/>
  <c r="BM409" i="2"/>
  <c r="BL409" i="2"/>
  <c r="BJ409" i="2"/>
  <c r="BI409" i="2"/>
  <c r="BH409" i="2"/>
  <c r="BG409" i="2"/>
  <c r="BF409" i="2"/>
  <c r="BE409" i="2"/>
  <c r="BD409" i="2"/>
  <c r="BC409" i="2"/>
  <c r="BB409" i="2"/>
  <c r="BA409" i="2"/>
  <c r="AZ409" i="2"/>
  <c r="AY409" i="2"/>
  <c r="BW408" i="2"/>
  <c r="BV408" i="2"/>
  <c r="BU408" i="2"/>
  <c r="BT408" i="2"/>
  <c r="BS408" i="2"/>
  <c r="BR408" i="2"/>
  <c r="BQ408" i="2"/>
  <c r="BP408" i="2"/>
  <c r="BO408" i="2"/>
  <c r="BN408" i="2"/>
  <c r="BM408" i="2"/>
  <c r="BL408" i="2"/>
  <c r="BJ408" i="2"/>
  <c r="BI408" i="2"/>
  <c r="BH408" i="2"/>
  <c r="BG408" i="2"/>
  <c r="BF408" i="2"/>
  <c r="BE408" i="2"/>
  <c r="BD408" i="2"/>
  <c r="BC408" i="2"/>
  <c r="BB408" i="2"/>
  <c r="BA408" i="2"/>
  <c r="AZ408" i="2"/>
  <c r="AY408" i="2"/>
  <c r="BW407" i="2"/>
  <c r="BV407" i="2"/>
  <c r="BU407" i="2"/>
  <c r="BT407" i="2"/>
  <c r="BS407" i="2"/>
  <c r="BR407" i="2"/>
  <c r="BQ407" i="2"/>
  <c r="BP407" i="2"/>
  <c r="BO407" i="2"/>
  <c r="BN407" i="2"/>
  <c r="BM407" i="2"/>
  <c r="BL407" i="2"/>
  <c r="BJ407" i="2"/>
  <c r="BI407" i="2"/>
  <c r="BH407" i="2"/>
  <c r="BG407" i="2"/>
  <c r="BF407" i="2"/>
  <c r="BE407" i="2"/>
  <c r="BD407" i="2"/>
  <c r="BC407" i="2"/>
  <c r="BB407" i="2"/>
  <c r="BA407" i="2"/>
  <c r="AZ407" i="2"/>
  <c r="AY407" i="2"/>
  <c r="BW406" i="2"/>
  <c r="BV406" i="2"/>
  <c r="BU406" i="2"/>
  <c r="BT406" i="2"/>
  <c r="BS406" i="2"/>
  <c r="BR406" i="2"/>
  <c r="BQ406" i="2"/>
  <c r="BP406" i="2"/>
  <c r="BO406" i="2"/>
  <c r="BN406" i="2"/>
  <c r="BM406" i="2"/>
  <c r="BL406" i="2"/>
  <c r="BJ406" i="2"/>
  <c r="BI406" i="2"/>
  <c r="BH406" i="2"/>
  <c r="BG406" i="2"/>
  <c r="BF406" i="2"/>
  <c r="BE406" i="2"/>
  <c r="BD406" i="2"/>
  <c r="BC406" i="2"/>
  <c r="BB406" i="2"/>
  <c r="BA406" i="2"/>
  <c r="AZ406" i="2"/>
  <c r="AY406" i="2"/>
  <c r="BW405" i="2"/>
  <c r="BV405" i="2"/>
  <c r="BU405" i="2"/>
  <c r="BT405" i="2"/>
  <c r="BS405" i="2"/>
  <c r="BR405" i="2"/>
  <c r="BQ405" i="2"/>
  <c r="BP405" i="2"/>
  <c r="BO405" i="2"/>
  <c r="BN405" i="2"/>
  <c r="BM405" i="2"/>
  <c r="BL405" i="2"/>
  <c r="BJ405" i="2"/>
  <c r="BI405" i="2"/>
  <c r="BH405" i="2"/>
  <c r="BG405" i="2"/>
  <c r="BF405" i="2"/>
  <c r="BE405" i="2"/>
  <c r="BD405" i="2"/>
  <c r="BC405" i="2"/>
  <c r="BB405" i="2"/>
  <c r="BA405" i="2"/>
  <c r="AZ405" i="2"/>
  <c r="AY405" i="2"/>
  <c r="BW404" i="2"/>
  <c r="BV404" i="2"/>
  <c r="BU404" i="2"/>
  <c r="BT404" i="2"/>
  <c r="BS404" i="2"/>
  <c r="BR404" i="2"/>
  <c r="BQ404" i="2"/>
  <c r="BP404" i="2"/>
  <c r="BO404" i="2"/>
  <c r="BN404" i="2"/>
  <c r="BM404" i="2"/>
  <c r="BL404" i="2"/>
  <c r="BJ404" i="2"/>
  <c r="BI404" i="2"/>
  <c r="BH404" i="2"/>
  <c r="BG404" i="2"/>
  <c r="BF404" i="2"/>
  <c r="BE404" i="2"/>
  <c r="BD404" i="2"/>
  <c r="BC404" i="2"/>
  <c r="BB404" i="2"/>
  <c r="BA404" i="2"/>
  <c r="AZ404" i="2"/>
  <c r="AY404" i="2"/>
  <c r="BW403" i="2"/>
  <c r="BV403" i="2"/>
  <c r="BU403" i="2"/>
  <c r="BT403" i="2"/>
  <c r="BS403" i="2"/>
  <c r="BR403" i="2"/>
  <c r="BQ403" i="2"/>
  <c r="BP403" i="2"/>
  <c r="BO403" i="2"/>
  <c r="BN403" i="2"/>
  <c r="BM403" i="2"/>
  <c r="BL403" i="2"/>
  <c r="BJ403" i="2"/>
  <c r="BI403" i="2"/>
  <c r="BH403" i="2"/>
  <c r="BG403" i="2"/>
  <c r="BF403" i="2"/>
  <c r="BE403" i="2"/>
  <c r="BD403" i="2"/>
  <c r="BC403" i="2"/>
  <c r="BB403" i="2"/>
  <c r="BA403" i="2"/>
  <c r="AZ403" i="2"/>
  <c r="AY403" i="2"/>
  <c r="BW402" i="2"/>
  <c r="BV402" i="2"/>
  <c r="BU402" i="2"/>
  <c r="BT402" i="2"/>
  <c r="BS402" i="2"/>
  <c r="BR402" i="2"/>
  <c r="BQ402" i="2"/>
  <c r="BP402" i="2"/>
  <c r="BO402" i="2"/>
  <c r="BN402" i="2"/>
  <c r="BM402" i="2"/>
  <c r="BL402" i="2"/>
  <c r="BJ402" i="2"/>
  <c r="BI402" i="2"/>
  <c r="BH402" i="2"/>
  <c r="BG402" i="2"/>
  <c r="BF402" i="2"/>
  <c r="BE402" i="2"/>
  <c r="BD402" i="2"/>
  <c r="BC402" i="2"/>
  <c r="BB402" i="2"/>
  <c r="BA402" i="2"/>
  <c r="AZ402" i="2"/>
  <c r="AY402" i="2"/>
  <c r="BW401" i="2"/>
  <c r="BV401" i="2"/>
  <c r="BU401" i="2"/>
  <c r="BT401" i="2"/>
  <c r="BS401" i="2"/>
  <c r="BR401" i="2"/>
  <c r="BQ401" i="2"/>
  <c r="BP401" i="2"/>
  <c r="BO401" i="2"/>
  <c r="BN401" i="2"/>
  <c r="BM401" i="2"/>
  <c r="BL401" i="2"/>
  <c r="BJ401" i="2"/>
  <c r="BI401" i="2"/>
  <c r="BH401" i="2"/>
  <c r="BG401" i="2"/>
  <c r="BF401" i="2"/>
  <c r="BE401" i="2"/>
  <c r="BD401" i="2"/>
  <c r="BC401" i="2"/>
  <c r="BB401" i="2"/>
  <c r="BA401" i="2"/>
  <c r="AZ401" i="2"/>
  <c r="AY401" i="2"/>
  <c r="BW400" i="2"/>
  <c r="BV400" i="2"/>
  <c r="BU400" i="2"/>
  <c r="BT400" i="2"/>
  <c r="BS400" i="2"/>
  <c r="BR400" i="2"/>
  <c r="BQ400" i="2"/>
  <c r="BP400" i="2"/>
  <c r="BO400" i="2"/>
  <c r="BN400" i="2"/>
  <c r="BM400" i="2"/>
  <c r="BL400" i="2"/>
  <c r="BJ400" i="2"/>
  <c r="BI400" i="2"/>
  <c r="BH400" i="2"/>
  <c r="BG400" i="2"/>
  <c r="BF400" i="2"/>
  <c r="BE400" i="2"/>
  <c r="BD400" i="2"/>
  <c r="BC400" i="2"/>
  <c r="BB400" i="2"/>
  <c r="BA400" i="2"/>
  <c r="AZ400" i="2"/>
  <c r="AY400" i="2"/>
  <c r="BW399" i="2"/>
  <c r="BV399" i="2"/>
  <c r="BU399" i="2"/>
  <c r="BT399" i="2"/>
  <c r="BS399" i="2"/>
  <c r="BR399" i="2"/>
  <c r="BQ399" i="2"/>
  <c r="BP399" i="2"/>
  <c r="BO399" i="2"/>
  <c r="BN399" i="2"/>
  <c r="BM399" i="2"/>
  <c r="BL399" i="2"/>
  <c r="BJ399" i="2"/>
  <c r="BI399" i="2"/>
  <c r="BH399" i="2"/>
  <c r="BG399" i="2"/>
  <c r="BF399" i="2"/>
  <c r="BE399" i="2"/>
  <c r="BD399" i="2"/>
  <c r="BC399" i="2"/>
  <c r="BB399" i="2"/>
  <c r="BA399" i="2"/>
  <c r="AZ399" i="2"/>
  <c r="AY399" i="2"/>
  <c r="BW398" i="2"/>
  <c r="BV398" i="2"/>
  <c r="BU398" i="2"/>
  <c r="BT398" i="2"/>
  <c r="BS398" i="2"/>
  <c r="BR398" i="2"/>
  <c r="BQ398" i="2"/>
  <c r="BP398" i="2"/>
  <c r="BO398" i="2"/>
  <c r="BN398" i="2"/>
  <c r="BM398" i="2"/>
  <c r="BL398" i="2"/>
  <c r="BJ398" i="2"/>
  <c r="BI398" i="2"/>
  <c r="BH398" i="2"/>
  <c r="BG398" i="2"/>
  <c r="BF398" i="2"/>
  <c r="BE398" i="2"/>
  <c r="BD398" i="2"/>
  <c r="BC398" i="2"/>
  <c r="BB398" i="2"/>
  <c r="BA398" i="2"/>
  <c r="AZ398" i="2"/>
  <c r="AY398" i="2"/>
  <c r="BW397" i="2"/>
  <c r="BV397" i="2"/>
  <c r="BU397" i="2"/>
  <c r="BT397" i="2"/>
  <c r="BS397" i="2"/>
  <c r="BR397" i="2"/>
  <c r="BQ397" i="2"/>
  <c r="BP397" i="2"/>
  <c r="BO397" i="2"/>
  <c r="BN397" i="2"/>
  <c r="BM397" i="2"/>
  <c r="BL397" i="2"/>
  <c r="BJ397" i="2"/>
  <c r="BI397" i="2"/>
  <c r="BH397" i="2"/>
  <c r="BG397" i="2"/>
  <c r="BF397" i="2"/>
  <c r="BE397" i="2"/>
  <c r="BD397" i="2"/>
  <c r="BC397" i="2"/>
  <c r="BB397" i="2"/>
  <c r="BA397" i="2"/>
  <c r="AZ397" i="2"/>
  <c r="AY397" i="2"/>
  <c r="BW396" i="2"/>
  <c r="BV396" i="2"/>
  <c r="BU396" i="2"/>
  <c r="BT396" i="2"/>
  <c r="BS396" i="2"/>
  <c r="BR396" i="2"/>
  <c r="BQ396" i="2"/>
  <c r="BP396" i="2"/>
  <c r="BO396" i="2"/>
  <c r="BN396" i="2"/>
  <c r="BM396" i="2"/>
  <c r="BL396" i="2"/>
  <c r="BJ396" i="2"/>
  <c r="BI396" i="2"/>
  <c r="BH396" i="2"/>
  <c r="BG396" i="2"/>
  <c r="BF396" i="2"/>
  <c r="BE396" i="2"/>
  <c r="BD396" i="2"/>
  <c r="BC396" i="2"/>
  <c r="BB396" i="2"/>
  <c r="BA396" i="2"/>
  <c r="AZ396" i="2"/>
  <c r="AY396" i="2"/>
  <c r="BW395" i="2"/>
  <c r="BV395" i="2"/>
  <c r="BU395" i="2"/>
  <c r="BT395" i="2"/>
  <c r="BS395" i="2"/>
  <c r="BR395" i="2"/>
  <c r="BQ395" i="2"/>
  <c r="BP395" i="2"/>
  <c r="BO395" i="2"/>
  <c r="BN395" i="2"/>
  <c r="BM395" i="2"/>
  <c r="BL395" i="2"/>
  <c r="BJ395" i="2"/>
  <c r="BI395" i="2"/>
  <c r="BH395" i="2"/>
  <c r="BG395" i="2"/>
  <c r="BF395" i="2"/>
  <c r="BE395" i="2"/>
  <c r="BD395" i="2"/>
  <c r="BC395" i="2"/>
  <c r="BB395" i="2"/>
  <c r="BA395" i="2"/>
  <c r="AZ395" i="2"/>
  <c r="AY395" i="2"/>
  <c r="BW394" i="2"/>
  <c r="BV394" i="2"/>
  <c r="BU394" i="2"/>
  <c r="BT394" i="2"/>
  <c r="BS394" i="2"/>
  <c r="BR394" i="2"/>
  <c r="BQ394" i="2"/>
  <c r="BP394" i="2"/>
  <c r="BO394" i="2"/>
  <c r="BN394" i="2"/>
  <c r="BM394" i="2"/>
  <c r="BL394" i="2"/>
  <c r="BJ394" i="2"/>
  <c r="BI394" i="2"/>
  <c r="BH394" i="2"/>
  <c r="BG394" i="2"/>
  <c r="BF394" i="2"/>
  <c r="BE394" i="2"/>
  <c r="BD394" i="2"/>
  <c r="BC394" i="2"/>
  <c r="BB394" i="2"/>
  <c r="BA394" i="2"/>
  <c r="AZ394" i="2"/>
  <c r="AY394" i="2"/>
  <c r="BW393" i="2"/>
  <c r="BV393" i="2"/>
  <c r="BU393" i="2"/>
  <c r="BT393" i="2"/>
  <c r="BS393" i="2"/>
  <c r="BR393" i="2"/>
  <c r="BQ393" i="2"/>
  <c r="BP393" i="2"/>
  <c r="BO393" i="2"/>
  <c r="BN393" i="2"/>
  <c r="BM393" i="2"/>
  <c r="BL393" i="2"/>
  <c r="BJ393" i="2"/>
  <c r="BI393" i="2"/>
  <c r="BH393" i="2"/>
  <c r="BG393" i="2"/>
  <c r="BF393" i="2"/>
  <c r="BE393" i="2"/>
  <c r="BD393" i="2"/>
  <c r="BC393" i="2"/>
  <c r="BB393" i="2"/>
  <c r="BA393" i="2"/>
  <c r="AZ393" i="2"/>
  <c r="AY393" i="2"/>
  <c r="BW392" i="2"/>
  <c r="BV392" i="2"/>
  <c r="BU392" i="2"/>
  <c r="BT392" i="2"/>
  <c r="BS392" i="2"/>
  <c r="BR392" i="2"/>
  <c r="BQ392" i="2"/>
  <c r="BP392" i="2"/>
  <c r="BO392" i="2"/>
  <c r="BN392" i="2"/>
  <c r="BM392" i="2"/>
  <c r="BL392" i="2"/>
  <c r="BJ392" i="2"/>
  <c r="BI392" i="2"/>
  <c r="BH392" i="2"/>
  <c r="BG392" i="2"/>
  <c r="BF392" i="2"/>
  <c r="BE392" i="2"/>
  <c r="BD392" i="2"/>
  <c r="BC392" i="2"/>
  <c r="BB392" i="2"/>
  <c r="BA392" i="2"/>
  <c r="AZ392" i="2"/>
  <c r="AY392" i="2"/>
  <c r="BW391" i="2"/>
  <c r="BV391" i="2"/>
  <c r="BU391" i="2"/>
  <c r="BT391" i="2"/>
  <c r="BS391" i="2"/>
  <c r="BR391" i="2"/>
  <c r="BQ391" i="2"/>
  <c r="BP391" i="2"/>
  <c r="BO391" i="2"/>
  <c r="BN391" i="2"/>
  <c r="BM391" i="2"/>
  <c r="BL391" i="2"/>
  <c r="BJ391" i="2"/>
  <c r="BI391" i="2"/>
  <c r="BH391" i="2"/>
  <c r="BG391" i="2"/>
  <c r="BF391" i="2"/>
  <c r="BE391" i="2"/>
  <c r="BD391" i="2"/>
  <c r="BC391" i="2"/>
  <c r="BB391" i="2"/>
  <c r="BA391" i="2"/>
  <c r="AZ391" i="2"/>
  <c r="AY391" i="2"/>
  <c r="BW390" i="2"/>
  <c r="BV390" i="2"/>
  <c r="BU390" i="2"/>
  <c r="BT390" i="2"/>
  <c r="BS390" i="2"/>
  <c r="BR390" i="2"/>
  <c r="BQ390" i="2"/>
  <c r="BP390" i="2"/>
  <c r="BO390" i="2"/>
  <c r="BN390" i="2"/>
  <c r="BM390" i="2"/>
  <c r="BL390" i="2"/>
  <c r="BJ390" i="2"/>
  <c r="BI390" i="2"/>
  <c r="BH390" i="2"/>
  <c r="BG390" i="2"/>
  <c r="BF390" i="2"/>
  <c r="BE390" i="2"/>
  <c r="BD390" i="2"/>
  <c r="BC390" i="2"/>
  <c r="BB390" i="2"/>
  <c r="BA390" i="2"/>
  <c r="AZ390" i="2"/>
  <c r="AY390" i="2"/>
  <c r="BW389" i="2"/>
  <c r="BV389" i="2"/>
  <c r="BU389" i="2"/>
  <c r="BT389" i="2"/>
  <c r="BS389" i="2"/>
  <c r="BR389" i="2"/>
  <c r="BQ389" i="2"/>
  <c r="BP389" i="2"/>
  <c r="BO389" i="2"/>
  <c r="BN389" i="2"/>
  <c r="BM389" i="2"/>
  <c r="BL389" i="2"/>
  <c r="BJ389" i="2"/>
  <c r="BI389" i="2"/>
  <c r="BH389" i="2"/>
  <c r="BG389" i="2"/>
  <c r="BF389" i="2"/>
  <c r="BE389" i="2"/>
  <c r="BD389" i="2"/>
  <c r="BC389" i="2"/>
  <c r="BB389" i="2"/>
  <c r="BA389" i="2"/>
  <c r="AZ389" i="2"/>
  <c r="AY389" i="2"/>
  <c r="BW388" i="2"/>
  <c r="BV388" i="2"/>
  <c r="BU388" i="2"/>
  <c r="BT388" i="2"/>
  <c r="BS388" i="2"/>
  <c r="BR388" i="2"/>
  <c r="BQ388" i="2"/>
  <c r="BP388" i="2"/>
  <c r="BO388" i="2"/>
  <c r="BN388" i="2"/>
  <c r="BM388" i="2"/>
  <c r="BL388" i="2"/>
  <c r="BJ388" i="2"/>
  <c r="BI388" i="2"/>
  <c r="BH388" i="2"/>
  <c r="BG388" i="2"/>
  <c r="BF388" i="2"/>
  <c r="BE388" i="2"/>
  <c r="BD388" i="2"/>
  <c r="BC388" i="2"/>
  <c r="BB388" i="2"/>
  <c r="BA388" i="2"/>
  <c r="AZ388" i="2"/>
  <c r="AY388" i="2"/>
  <c r="BW387" i="2"/>
  <c r="BV387" i="2"/>
  <c r="BU387" i="2"/>
  <c r="BT387" i="2"/>
  <c r="BS387" i="2"/>
  <c r="BR387" i="2"/>
  <c r="BQ387" i="2"/>
  <c r="BP387" i="2"/>
  <c r="BO387" i="2"/>
  <c r="BN387" i="2"/>
  <c r="BM387" i="2"/>
  <c r="BL387" i="2"/>
  <c r="BJ387" i="2"/>
  <c r="BI387" i="2"/>
  <c r="BH387" i="2"/>
  <c r="BG387" i="2"/>
  <c r="BF387" i="2"/>
  <c r="BE387" i="2"/>
  <c r="BD387" i="2"/>
  <c r="BC387" i="2"/>
  <c r="BB387" i="2"/>
  <c r="BA387" i="2"/>
  <c r="AZ387" i="2"/>
  <c r="AY387" i="2"/>
  <c r="BW386" i="2"/>
  <c r="BV386" i="2"/>
  <c r="BU386" i="2"/>
  <c r="BT386" i="2"/>
  <c r="BS386" i="2"/>
  <c r="BR386" i="2"/>
  <c r="BQ386" i="2"/>
  <c r="BP386" i="2"/>
  <c r="BO386" i="2"/>
  <c r="BN386" i="2"/>
  <c r="BM386" i="2"/>
  <c r="BL386" i="2"/>
  <c r="BJ386" i="2"/>
  <c r="BI386" i="2"/>
  <c r="BH386" i="2"/>
  <c r="BG386" i="2"/>
  <c r="BF386" i="2"/>
  <c r="BE386" i="2"/>
  <c r="BD386" i="2"/>
  <c r="BC386" i="2"/>
  <c r="BB386" i="2"/>
  <c r="BA386" i="2"/>
  <c r="AZ386" i="2"/>
  <c r="AY386" i="2"/>
  <c r="BW385" i="2"/>
  <c r="BV385" i="2"/>
  <c r="BU385" i="2"/>
  <c r="BT385" i="2"/>
  <c r="BS385" i="2"/>
  <c r="BR385" i="2"/>
  <c r="BQ385" i="2"/>
  <c r="BP385" i="2"/>
  <c r="BO385" i="2"/>
  <c r="BN385" i="2"/>
  <c r="BM385" i="2"/>
  <c r="BL385" i="2"/>
  <c r="BJ385" i="2"/>
  <c r="BI385" i="2"/>
  <c r="BH385" i="2"/>
  <c r="BG385" i="2"/>
  <c r="BF385" i="2"/>
  <c r="BE385" i="2"/>
  <c r="BD385" i="2"/>
  <c r="BC385" i="2"/>
  <c r="BB385" i="2"/>
  <c r="BA385" i="2"/>
  <c r="AZ385" i="2"/>
  <c r="AY385" i="2"/>
  <c r="BW384" i="2"/>
  <c r="BV384" i="2"/>
  <c r="BU384" i="2"/>
  <c r="BT384" i="2"/>
  <c r="BS384" i="2"/>
  <c r="BR384" i="2"/>
  <c r="BQ384" i="2"/>
  <c r="BP384" i="2"/>
  <c r="BO384" i="2"/>
  <c r="BN384" i="2"/>
  <c r="BM384" i="2"/>
  <c r="BL384" i="2"/>
  <c r="BJ384" i="2"/>
  <c r="BI384" i="2"/>
  <c r="BH384" i="2"/>
  <c r="BG384" i="2"/>
  <c r="BF384" i="2"/>
  <c r="BE384" i="2"/>
  <c r="BD384" i="2"/>
  <c r="BC384" i="2"/>
  <c r="BB384" i="2"/>
  <c r="BA384" i="2"/>
  <c r="AZ384" i="2"/>
  <c r="AY384" i="2"/>
  <c r="BW383" i="2"/>
  <c r="BV383" i="2"/>
  <c r="BU383" i="2"/>
  <c r="BT383" i="2"/>
  <c r="BS383" i="2"/>
  <c r="BR383" i="2"/>
  <c r="BQ383" i="2"/>
  <c r="BP383" i="2"/>
  <c r="BO383" i="2"/>
  <c r="BN383" i="2"/>
  <c r="BM383" i="2"/>
  <c r="BL383" i="2"/>
  <c r="BJ383" i="2"/>
  <c r="BI383" i="2"/>
  <c r="BH383" i="2"/>
  <c r="BG383" i="2"/>
  <c r="BF383" i="2"/>
  <c r="BE383" i="2"/>
  <c r="BD383" i="2"/>
  <c r="BC383" i="2"/>
  <c r="BB383" i="2"/>
  <c r="BA383" i="2"/>
  <c r="AZ383" i="2"/>
  <c r="AY383" i="2"/>
  <c r="BW382" i="2"/>
  <c r="BV382" i="2"/>
  <c r="BU382" i="2"/>
  <c r="BT382" i="2"/>
  <c r="BS382" i="2"/>
  <c r="BR382" i="2"/>
  <c r="BQ382" i="2"/>
  <c r="BP382" i="2"/>
  <c r="BO382" i="2"/>
  <c r="BN382" i="2"/>
  <c r="BM382" i="2"/>
  <c r="BL382" i="2"/>
  <c r="BJ382" i="2"/>
  <c r="BI382" i="2"/>
  <c r="BH382" i="2"/>
  <c r="BG382" i="2"/>
  <c r="BF382" i="2"/>
  <c r="BE382" i="2"/>
  <c r="BD382" i="2"/>
  <c r="BC382" i="2"/>
  <c r="BB382" i="2"/>
  <c r="BA382" i="2"/>
  <c r="AZ382" i="2"/>
  <c r="AY382" i="2"/>
  <c r="BW381" i="2"/>
  <c r="BV381" i="2"/>
  <c r="BU381" i="2"/>
  <c r="BT381" i="2"/>
  <c r="BS381" i="2"/>
  <c r="BR381" i="2"/>
  <c r="BQ381" i="2"/>
  <c r="BP381" i="2"/>
  <c r="BO381" i="2"/>
  <c r="BN381" i="2"/>
  <c r="BM381" i="2"/>
  <c r="BL381" i="2"/>
  <c r="BJ381" i="2"/>
  <c r="BI381" i="2"/>
  <c r="BH381" i="2"/>
  <c r="BG381" i="2"/>
  <c r="BF381" i="2"/>
  <c r="BE381" i="2"/>
  <c r="BD381" i="2"/>
  <c r="BC381" i="2"/>
  <c r="BB381" i="2"/>
  <c r="BA381" i="2"/>
  <c r="AZ381" i="2"/>
  <c r="AY381" i="2"/>
  <c r="BW380" i="2"/>
  <c r="BV380" i="2"/>
  <c r="BU380" i="2"/>
  <c r="BT380" i="2"/>
  <c r="BS380" i="2"/>
  <c r="BR380" i="2"/>
  <c r="BQ380" i="2"/>
  <c r="BP380" i="2"/>
  <c r="BO380" i="2"/>
  <c r="BN380" i="2"/>
  <c r="BM380" i="2"/>
  <c r="BL380" i="2"/>
  <c r="BJ380" i="2"/>
  <c r="BI380" i="2"/>
  <c r="BH380" i="2"/>
  <c r="BG380" i="2"/>
  <c r="BF380" i="2"/>
  <c r="BE380" i="2"/>
  <c r="BD380" i="2"/>
  <c r="BC380" i="2"/>
  <c r="BB380" i="2"/>
  <c r="BA380" i="2"/>
  <c r="AZ380" i="2"/>
  <c r="AY380" i="2"/>
  <c r="BW379" i="2"/>
  <c r="BV379" i="2"/>
  <c r="BU379" i="2"/>
  <c r="BT379" i="2"/>
  <c r="BS379" i="2"/>
  <c r="BR379" i="2"/>
  <c r="BQ379" i="2"/>
  <c r="BP379" i="2"/>
  <c r="BO379" i="2"/>
  <c r="BN379" i="2"/>
  <c r="BM379" i="2"/>
  <c r="BL379" i="2"/>
  <c r="BJ379" i="2"/>
  <c r="BI379" i="2"/>
  <c r="BH379" i="2"/>
  <c r="BG379" i="2"/>
  <c r="BF379" i="2"/>
  <c r="BE379" i="2"/>
  <c r="BD379" i="2"/>
  <c r="BC379" i="2"/>
  <c r="BB379" i="2"/>
  <c r="BA379" i="2"/>
  <c r="AZ379" i="2"/>
  <c r="AY379" i="2"/>
  <c r="BW378" i="2"/>
  <c r="BV378" i="2"/>
  <c r="BU378" i="2"/>
  <c r="BT378" i="2"/>
  <c r="BS378" i="2"/>
  <c r="BR378" i="2"/>
  <c r="BQ378" i="2"/>
  <c r="BP378" i="2"/>
  <c r="BO378" i="2"/>
  <c r="BN378" i="2"/>
  <c r="BM378" i="2"/>
  <c r="BL378" i="2"/>
  <c r="BJ378" i="2"/>
  <c r="BI378" i="2"/>
  <c r="BH378" i="2"/>
  <c r="BG378" i="2"/>
  <c r="BF378" i="2"/>
  <c r="BE378" i="2"/>
  <c r="BD378" i="2"/>
  <c r="BC378" i="2"/>
  <c r="BB378" i="2"/>
  <c r="BA378" i="2"/>
  <c r="AZ378" i="2"/>
  <c r="AY378" i="2"/>
  <c r="BW377" i="2"/>
  <c r="BV377" i="2"/>
  <c r="BU377" i="2"/>
  <c r="BT377" i="2"/>
  <c r="BS377" i="2"/>
  <c r="BR377" i="2"/>
  <c r="BQ377" i="2"/>
  <c r="BP377" i="2"/>
  <c r="BO377" i="2"/>
  <c r="BN377" i="2"/>
  <c r="BM377" i="2"/>
  <c r="BL377" i="2"/>
  <c r="BJ377" i="2"/>
  <c r="BI377" i="2"/>
  <c r="BH377" i="2"/>
  <c r="BG377" i="2"/>
  <c r="BF377" i="2"/>
  <c r="BE377" i="2"/>
  <c r="BD377" i="2"/>
  <c r="BC377" i="2"/>
  <c r="BB377" i="2"/>
  <c r="BA377" i="2"/>
  <c r="AZ377" i="2"/>
  <c r="AY377" i="2"/>
  <c r="BW376" i="2"/>
  <c r="BV376" i="2"/>
  <c r="BU376" i="2"/>
  <c r="BT376" i="2"/>
  <c r="BS376" i="2"/>
  <c r="BR376" i="2"/>
  <c r="BQ376" i="2"/>
  <c r="BP376" i="2"/>
  <c r="BO376" i="2"/>
  <c r="BN376" i="2"/>
  <c r="BM376" i="2"/>
  <c r="BL376" i="2"/>
  <c r="BJ376" i="2"/>
  <c r="BI376" i="2"/>
  <c r="BH376" i="2"/>
  <c r="BG376" i="2"/>
  <c r="BF376" i="2"/>
  <c r="BE376" i="2"/>
  <c r="BD376" i="2"/>
  <c r="BC376" i="2"/>
  <c r="BB376" i="2"/>
  <c r="BA376" i="2"/>
  <c r="AZ376" i="2"/>
  <c r="AY376" i="2"/>
  <c r="BW375" i="2"/>
  <c r="BV375" i="2"/>
  <c r="BU375" i="2"/>
  <c r="BT375" i="2"/>
  <c r="BS375" i="2"/>
  <c r="BR375" i="2"/>
  <c r="BQ375" i="2"/>
  <c r="BP375" i="2"/>
  <c r="BO375" i="2"/>
  <c r="BN375" i="2"/>
  <c r="BM375" i="2"/>
  <c r="BL375" i="2"/>
  <c r="BJ375" i="2"/>
  <c r="BI375" i="2"/>
  <c r="BH375" i="2"/>
  <c r="BG375" i="2"/>
  <c r="BF375" i="2"/>
  <c r="BE375" i="2"/>
  <c r="BD375" i="2"/>
  <c r="BC375" i="2"/>
  <c r="BB375" i="2"/>
  <c r="BA375" i="2"/>
  <c r="AZ375" i="2"/>
  <c r="AY375" i="2"/>
  <c r="BW374" i="2"/>
  <c r="BV374" i="2"/>
  <c r="BU374" i="2"/>
  <c r="BT374" i="2"/>
  <c r="BS374" i="2"/>
  <c r="BR374" i="2"/>
  <c r="BQ374" i="2"/>
  <c r="BP374" i="2"/>
  <c r="BO374" i="2"/>
  <c r="BN374" i="2"/>
  <c r="BM374" i="2"/>
  <c r="BL374" i="2"/>
  <c r="BJ374" i="2"/>
  <c r="BI374" i="2"/>
  <c r="BH374" i="2"/>
  <c r="BG374" i="2"/>
  <c r="BF374" i="2"/>
  <c r="BE374" i="2"/>
  <c r="BD374" i="2"/>
  <c r="BC374" i="2"/>
  <c r="BB374" i="2"/>
  <c r="BA374" i="2"/>
  <c r="AZ374" i="2"/>
  <c r="AY374" i="2"/>
  <c r="BW373" i="2"/>
  <c r="BV373" i="2"/>
  <c r="BU373" i="2"/>
  <c r="BT373" i="2"/>
  <c r="BS373" i="2"/>
  <c r="BR373" i="2"/>
  <c r="BQ373" i="2"/>
  <c r="BP373" i="2"/>
  <c r="BO373" i="2"/>
  <c r="BN373" i="2"/>
  <c r="BM373" i="2"/>
  <c r="BL373" i="2"/>
  <c r="BJ373" i="2"/>
  <c r="BI373" i="2"/>
  <c r="BH373" i="2"/>
  <c r="BG373" i="2"/>
  <c r="BF373" i="2"/>
  <c r="BE373" i="2"/>
  <c r="BD373" i="2"/>
  <c r="BC373" i="2"/>
  <c r="BB373" i="2"/>
  <c r="BA373" i="2"/>
  <c r="AZ373" i="2"/>
  <c r="AY373" i="2"/>
  <c r="BW372" i="2"/>
  <c r="BV372" i="2"/>
  <c r="BU372" i="2"/>
  <c r="BT372" i="2"/>
  <c r="BS372" i="2"/>
  <c r="BR372" i="2"/>
  <c r="BQ372" i="2"/>
  <c r="BP372" i="2"/>
  <c r="BO372" i="2"/>
  <c r="BN372" i="2"/>
  <c r="BM372" i="2"/>
  <c r="BL372" i="2"/>
  <c r="BJ372" i="2"/>
  <c r="BI372" i="2"/>
  <c r="BH372" i="2"/>
  <c r="BG372" i="2"/>
  <c r="BF372" i="2"/>
  <c r="BE372" i="2"/>
  <c r="BD372" i="2"/>
  <c r="BC372" i="2"/>
  <c r="BB372" i="2"/>
  <c r="BA372" i="2"/>
  <c r="AZ372" i="2"/>
  <c r="AY372" i="2"/>
  <c r="BW371" i="2"/>
  <c r="BV371" i="2"/>
  <c r="BU371" i="2"/>
  <c r="BT371" i="2"/>
  <c r="BS371" i="2"/>
  <c r="BR371" i="2"/>
  <c r="BQ371" i="2"/>
  <c r="BP371" i="2"/>
  <c r="BO371" i="2"/>
  <c r="BN371" i="2"/>
  <c r="BM371" i="2"/>
  <c r="BL371" i="2"/>
  <c r="BJ371" i="2"/>
  <c r="BI371" i="2"/>
  <c r="BH371" i="2"/>
  <c r="BG371" i="2"/>
  <c r="BF371" i="2"/>
  <c r="BE371" i="2"/>
  <c r="BD371" i="2"/>
  <c r="BC371" i="2"/>
  <c r="BB371" i="2"/>
  <c r="BA371" i="2"/>
  <c r="AZ371" i="2"/>
  <c r="AY371" i="2"/>
  <c r="BW370" i="2"/>
  <c r="BV370" i="2"/>
  <c r="BU370" i="2"/>
  <c r="BT370" i="2"/>
  <c r="BS370" i="2"/>
  <c r="BR370" i="2"/>
  <c r="BQ370" i="2"/>
  <c r="BP370" i="2"/>
  <c r="BO370" i="2"/>
  <c r="BN370" i="2"/>
  <c r="BM370" i="2"/>
  <c r="BL370" i="2"/>
  <c r="BJ370" i="2"/>
  <c r="BI370" i="2"/>
  <c r="BH370" i="2"/>
  <c r="BG370" i="2"/>
  <c r="BF370" i="2"/>
  <c r="BE370" i="2"/>
  <c r="BD370" i="2"/>
  <c r="BC370" i="2"/>
  <c r="BB370" i="2"/>
  <c r="BA370" i="2"/>
  <c r="AZ370" i="2"/>
  <c r="AY370" i="2"/>
  <c r="BW369" i="2"/>
  <c r="BV369" i="2"/>
  <c r="BU369" i="2"/>
  <c r="BT369" i="2"/>
  <c r="BS369" i="2"/>
  <c r="BR369" i="2"/>
  <c r="BQ369" i="2"/>
  <c r="BP369" i="2"/>
  <c r="BO369" i="2"/>
  <c r="BN369" i="2"/>
  <c r="BM369" i="2"/>
  <c r="BL369" i="2"/>
  <c r="BJ369" i="2"/>
  <c r="BI369" i="2"/>
  <c r="BH369" i="2"/>
  <c r="BG369" i="2"/>
  <c r="BF369" i="2"/>
  <c r="BE369" i="2"/>
  <c r="BD369" i="2"/>
  <c r="BC369" i="2"/>
  <c r="BB369" i="2"/>
  <c r="BA369" i="2"/>
  <c r="AZ369" i="2"/>
  <c r="AY369" i="2"/>
  <c r="BW368" i="2"/>
  <c r="BV368" i="2"/>
  <c r="BU368" i="2"/>
  <c r="BT368" i="2"/>
  <c r="BS368" i="2"/>
  <c r="BR368" i="2"/>
  <c r="BQ368" i="2"/>
  <c r="BP368" i="2"/>
  <c r="BO368" i="2"/>
  <c r="BN368" i="2"/>
  <c r="BM368" i="2"/>
  <c r="BL368" i="2"/>
  <c r="BJ368" i="2"/>
  <c r="BI368" i="2"/>
  <c r="BH368" i="2"/>
  <c r="BG368" i="2"/>
  <c r="BF368" i="2"/>
  <c r="BE368" i="2"/>
  <c r="BD368" i="2"/>
  <c r="BC368" i="2"/>
  <c r="BB368" i="2"/>
  <c r="BA368" i="2"/>
  <c r="AZ368" i="2"/>
  <c r="AY368" i="2"/>
  <c r="BW367" i="2"/>
  <c r="BV367" i="2"/>
  <c r="BU367" i="2"/>
  <c r="BT367" i="2"/>
  <c r="BS367" i="2"/>
  <c r="BR367" i="2"/>
  <c r="BQ367" i="2"/>
  <c r="BP367" i="2"/>
  <c r="BO367" i="2"/>
  <c r="BN367" i="2"/>
  <c r="BM367" i="2"/>
  <c r="BL367" i="2"/>
  <c r="BJ367" i="2"/>
  <c r="BI367" i="2"/>
  <c r="BH367" i="2"/>
  <c r="BG367" i="2"/>
  <c r="BF367" i="2"/>
  <c r="BE367" i="2"/>
  <c r="BD367" i="2"/>
  <c r="BC367" i="2"/>
  <c r="BB367" i="2"/>
  <c r="BA367" i="2"/>
  <c r="AZ367" i="2"/>
  <c r="AY367" i="2"/>
  <c r="BW366" i="2"/>
  <c r="BV366" i="2"/>
  <c r="BU366" i="2"/>
  <c r="BT366" i="2"/>
  <c r="BS366" i="2"/>
  <c r="BR366" i="2"/>
  <c r="BQ366" i="2"/>
  <c r="BP366" i="2"/>
  <c r="BO366" i="2"/>
  <c r="BN366" i="2"/>
  <c r="BM366" i="2"/>
  <c r="BL366" i="2"/>
  <c r="BJ366" i="2"/>
  <c r="BI366" i="2"/>
  <c r="BH366" i="2"/>
  <c r="BG366" i="2"/>
  <c r="BF366" i="2"/>
  <c r="BE366" i="2"/>
  <c r="BD366" i="2"/>
  <c r="BC366" i="2"/>
  <c r="BB366" i="2"/>
  <c r="BA366" i="2"/>
  <c r="AZ366" i="2"/>
  <c r="AY366" i="2"/>
  <c r="BW365" i="2"/>
  <c r="BV365" i="2"/>
  <c r="BU365" i="2"/>
  <c r="BT365" i="2"/>
  <c r="BS365" i="2"/>
  <c r="BR365" i="2"/>
  <c r="BQ365" i="2"/>
  <c r="BP365" i="2"/>
  <c r="BO365" i="2"/>
  <c r="BN365" i="2"/>
  <c r="BM365" i="2"/>
  <c r="BL365" i="2"/>
  <c r="BJ365" i="2"/>
  <c r="BI365" i="2"/>
  <c r="BH365" i="2"/>
  <c r="BG365" i="2"/>
  <c r="BF365" i="2"/>
  <c r="BE365" i="2"/>
  <c r="BD365" i="2"/>
  <c r="BC365" i="2"/>
  <c r="BB365" i="2"/>
  <c r="BA365" i="2"/>
  <c r="AZ365" i="2"/>
  <c r="AY365" i="2"/>
  <c r="BW364" i="2"/>
  <c r="BV364" i="2"/>
  <c r="BU364" i="2"/>
  <c r="BT364" i="2"/>
  <c r="BS364" i="2"/>
  <c r="BR364" i="2"/>
  <c r="BQ364" i="2"/>
  <c r="BP364" i="2"/>
  <c r="BO364" i="2"/>
  <c r="BN364" i="2"/>
  <c r="BM364" i="2"/>
  <c r="BL364" i="2"/>
  <c r="BJ364" i="2"/>
  <c r="BI364" i="2"/>
  <c r="BH364" i="2"/>
  <c r="BG364" i="2"/>
  <c r="BF364" i="2"/>
  <c r="BE364" i="2"/>
  <c r="BD364" i="2"/>
  <c r="BC364" i="2"/>
  <c r="BB364" i="2"/>
  <c r="BA364" i="2"/>
  <c r="AZ364" i="2"/>
  <c r="AY364" i="2"/>
  <c r="BW363" i="2"/>
  <c r="BV363" i="2"/>
  <c r="BU363" i="2"/>
  <c r="BT363" i="2"/>
  <c r="BS363" i="2"/>
  <c r="BR363" i="2"/>
  <c r="BQ363" i="2"/>
  <c r="BP363" i="2"/>
  <c r="BO363" i="2"/>
  <c r="BN363" i="2"/>
  <c r="BM363" i="2"/>
  <c r="BL363" i="2"/>
  <c r="BJ363" i="2"/>
  <c r="BI363" i="2"/>
  <c r="BH363" i="2"/>
  <c r="BG363" i="2"/>
  <c r="BF363" i="2"/>
  <c r="BE363" i="2"/>
  <c r="BD363" i="2"/>
  <c r="BC363" i="2"/>
  <c r="BB363" i="2"/>
  <c r="BA363" i="2"/>
  <c r="AZ363" i="2"/>
  <c r="AY363" i="2"/>
  <c r="BW362" i="2"/>
  <c r="BV362" i="2"/>
  <c r="BU362" i="2"/>
  <c r="BT362" i="2"/>
  <c r="BS362" i="2"/>
  <c r="BR362" i="2"/>
  <c r="BQ362" i="2"/>
  <c r="BP362" i="2"/>
  <c r="BO362" i="2"/>
  <c r="BN362" i="2"/>
  <c r="BM362" i="2"/>
  <c r="BL362" i="2"/>
  <c r="BJ362" i="2"/>
  <c r="BI362" i="2"/>
  <c r="BH362" i="2"/>
  <c r="BG362" i="2"/>
  <c r="BF362" i="2"/>
  <c r="BE362" i="2"/>
  <c r="BD362" i="2"/>
  <c r="BC362" i="2"/>
  <c r="BB362" i="2"/>
  <c r="BA362" i="2"/>
  <c r="AZ362" i="2"/>
  <c r="AY362" i="2"/>
  <c r="BW361" i="2"/>
  <c r="BV361" i="2"/>
  <c r="BU361" i="2"/>
  <c r="BT361" i="2"/>
  <c r="BS361" i="2"/>
  <c r="BR361" i="2"/>
  <c r="BQ361" i="2"/>
  <c r="BP361" i="2"/>
  <c r="BO361" i="2"/>
  <c r="BN361" i="2"/>
  <c r="BM361" i="2"/>
  <c r="BL361" i="2"/>
  <c r="BJ361" i="2"/>
  <c r="BI361" i="2"/>
  <c r="BH361" i="2"/>
  <c r="BG361" i="2"/>
  <c r="BF361" i="2"/>
  <c r="BE361" i="2"/>
  <c r="BD361" i="2"/>
  <c r="BC361" i="2"/>
  <c r="BB361" i="2"/>
  <c r="BA361" i="2"/>
  <c r="AZ361" i="2"/>
  <c r="AY361" i="2"/>
  <c r="BW360" i="2"/>
  <c r="BV360" i="2"/>
  <c r="BU360" i="2"/>
  <c r="BT360" i="2"/>
  <c r="BS360" i="2"/>
  <c r="BR360" i="2"/>
  <c r="BQ360" i="2"/>
  <c r="BP360" i="2"/>
  <c r="BO360" i="2"/>
  <c r="BN360" i="2"/>
  <c r="BM360" i="2"/>
  <c r="BL360" i="2"/>
  <c r="BJ360" i="2"/>
  <c r="BI360" i="2"/>
  <c r="BH360" i="2"/>
  <c r="BG360" i="2"/>
  <c r="BF360" i="2"/>
  <c r="BE360" i="2"/>
  <c r="BD360" i="2"/>
  <c r="BC360" i="2"/>
  <c r="BB360" i="2"/>
  <c r="BA360" i="2"/>
  <c r="AZ360" i="2"/>
  <c r="AY360" i="2"/>
  <c r="BW359" i="2"/>
  <c r="BV359" i="2"/>
  <c r="BU359" i="2"/>
  <c r="BT359" i="2"/>
  <c r="BS359" i="2"/>
  <c r="BR359" i="2"/>
  <c r="BQ359" i="2"/>
  <c r="BP359" i="2"/>
  <c r="BO359" i="2"/>
  <c r="BN359" i="2"/>
  <c r="BM359" i="2"/>
  <c r="BL359" i="2"/>
  <c r="BJ359" i="2"/>
  <c r="BI359" i="2"/>
  <c r="BH359" i="2"/>
  <c r="BG359" i="2"/>
  <c r="BF359" i="2"/>
  <c r="BE359" i="2"/>
  <c r="BD359" i="2"/>
  <c r="BC359" i="2"/>
  <c r="BB359" i="2"/>
  <c r="BA359" i="2"/>
  <c r="AZ359" i="2"/>
  <c r="AY359" i="2"/>
  <c r="BW358" i="2"/>
  <c r="BV358" i="2"/>
  <c r="BU358" i="2"/>
  <c r="BT358" i="2"/>
  <c r="BS358" i="2"/>
  <c r="BR358" i="2"/>
  <c r="BQ358" i="2"/>
  <c r="BP358" i="2"/>
  <c r="BO358" i="2"/>
  <c r="BN358" i="2"/>
  <c r="BM358" i="2"/>
  <c r="BL358" i="2"/>
  <c r="BJ358" i="2"/>
  <c r="BI358" i="2"/>
  <c r="BH358" i="2"/>
  <c r="BG358" i="2"/>
  <c r="BF358" i="2"/>
  <c r="BE358" i="2"/>
  <c r="BD358" i="2"/>
  <c r="BC358" i="2"/>
  <c r="BB358" i="2"/>
  <c r="BA358" i="2"/>
  <c r="AZ358" i="2"/>
  <c r="AY358" i="2"/>
  <c r="BW357" i="2"/>
  <c r="BV357" i="2"/>
  <c r="BU357" i="2"/>
  <c r="BT357" i="2"/>
  <c r="BS357" i="2"/>
  <c r="BR357" i="2"/>
  <c r="BQ357" i="2"/>
  <c r="BP357" i="2"/>
  <c r="BO357" i="2"/>
  <c r="BN357" i="2"/>
  <c r="BM357" i="2"/>
  <c r="BL357" i="2"/>
  <c r="BJ357" i="2"/>
  <c r="BI357" i="2"/>
  <c r="BH357" i="2"/>
  <c r="BG357" i="2"/>
  <c r="BF357" i="2"/>
  <c r="BE357" i="2"/>
  <c r="BD357" i="2"/>
  <c r="BC357" i="2"/>
  <c r="BB357" i="2"/>
  <c r="BA357" i="2"/>
  <c r="AZ357" i="2"/>
  <c r="AY357" i="2"/>
  <c r="BW356" i="2"/>
  <c r="BV356" i="2"/>
  <c r="BU356" i="2"/>
  <c r="BT356" i="2"/>
  <c r="BS356" i="2"/>
  <c r="BR356" i="2"/>
  <c r="BQ356" i="2"/>
  <c r="BP356" i="2"/>
  <c r="BO356" i="2"/>
  <c r="BN356" i="2"/>
  <c r="BM356" i="2"/>
  <c r="BL356" i="2"/>
  <c r="BJ356" i="2"/>
  <c r="BI356" i="2"/>
  <c r="BH356" i="2"/>
  <c r="BG356" i="2"/>
  <c r="BF356" i="2"/>
  <c r="BE356" i="2"/>
  <c r="BD356" i="2"/>
  <c r="BC356" i="2"/>
  <c r="BB356" i="2"/>
  <c r="BA356" i="2"/>
  <c r="AZ356" i="2"/>
  <c r="AY356" i="2"/>
  <c r="BW355" i="2"/>
  <c r="BV355" i="2"/>
  <c r="BU355" i="2"/>
  <c r="BT355" i="2"/>
  <c r="BS355" i="2"/>
  <c r="BR355" i="2"/>
  <c r="BQ355" i="2"/>
  <c r="BP355" i="2"/>
  <c r="BO355" i="2"/>
  <c r="BN355" i="2"/>
  <c r="BM355" i="2"/>
  <c r="BL355" i="2"/>
  <c r="BJ355" i="2"/>
  <c r="BI355" i="2"/>
  <c r="BH355" i="2"/>
  <c r="BG355" i="2"/>
  <c r="BF355" i="2"/>
  <c r="BE355" i="2"/>
  <c r="BD355" i="2"/>
  <c r="BC355" i="2"/>
  <c r="BB355" i="2"/>
  <c r="BA355" i="2"/>
  <c r="AZ355" i="2"/>
  <c r="AY355" i="2"/>
  <c r="BW354" i="2"/>
  <c r="BV354" i="2"/>
  <c r="BU354" i="2"/>
  <c r="BT354" i="2"/>
  <c r="BS354" i="2"/>
  <c r="BR354" i="2"/>
  <c r="BQ354" i="2"/>
  <c r="BP354" i="2"/>
  <c r="BO354" i="2"/>
  <c r="BN354" i="2"/>
  <c r="BM354" i="2"/>
  <c r="BL354" i="2"/>
  <c r="BJ354" i="2"/>
  <c r="BI354" i="2"/>
  <c r="BH354" i="2"/>
  <c r="BG354" i="2"/>
  <c r="BF354" i="2"/>
  <c r="BE354" i="2"/>
  <c r="BD354" i="2"/>
  <c r="BC354" i="2"/>
  <c r="BB354" i="2"/>
  <c r="BA354" i="2"/>
  <c r="AZ354" i="2"/>
  <c r="AY354" i="2"/>
  <c r="BW353" i="2"/>
  <c r="BV353" i="2"/>
  <c r="BU353" i="2"/>
  <c r="BT353" i="2"/>
  <c r="BS353" i="2"/>
  <c r="BR353" i="2"/>
  <c r="BQ353" i="2"/>
  <c r="BP353" i="2"/>
  <c r="BO353" i="2"/>
  <c r="BN353" i="2"/>
  <c r="BM353" i="2"/>
  <c r="BL353" i="2"/>
  <c r="BJ353" i="2"/>
  <c r="BI353" i="2"/>
  <c r="BH353" i="2"/>
  <c r="BG353" i="2"/>
  <c r="BF353" i="2"/>
  <c r="BE353" i="2"/>
  <c r="BD353" i="2"/>
  <c r="BC353" i="2"/>
  <c r="BB353" i="2"/>
  <c r="BA353" i="2"/>
  <c r="AZ353" i="2"/>
  <c r="AY353" i="2"/>
  <c r="BW352" i="2"/>
  <c r="BV352" i="2"/>
  <c r="BU352" i="2"/>
  <c r="BT352" i="2"/>
  <c r="BS352" i="2"/>
  <c r="BR352" i="2"/>
  <c r="BQ352" i="2"/>
  <c r="BP352" i="2"/>
  <c r="BO352" i="2"/>
  <c r="BN352" i="2"/>
  <c r="BM352" i="2"/>
  <c r="BL352" i="2"/>
  <c r="BJ352" i="2"/>
  <c r="BI352" i="2"/>
  <c r="BH352" i="2"/>
  <c r="BG352" i="2"/>
  <c r="BF352" i="2"/>
  <c r="BE352" i="2"/>
  <c r="BD352" i="2"/>
  <c r="BC352" i="2"/>
  <c r="BB352" i="2"/>
  <c r="BA352" i="2"/>
  <c r="AZ352" i="2"/>
  <c r="AY352" i="2"/>
  <c r="BW351" i="2"/>
  <c r="BV351" i="2"/>
  <c r="BU351" i="2"/>
  <c r="BT351" i="2"/>
  <c r="BS351" i="2"/>
  <c r="BR351" i="2"/>
  <c r="BQ351" i="2"/>
  <c r="BP351" i="2"/>
  <c r="BO351" i="2"/>
  <c r="BN351" i="2"/>
  <c r="BM351" i="2"/>
  <c r="BL351" i="2"/>
  <c r="BJ351" i="2"/>
  <c r="BI351" i="2"/>
  <c r="BH351" i="2"/>
  <c r="BG351" i="2"/>
  <c r="BF351" i="2"/>
  <c r="BE351" i="2"/>
  <c r="BD351" i="2"/>
  <c r="BC351" i="2"/>
  <c r="BB351" i="2"/>
  <c r="BA351" i="2"/>
  <c r="AZ351" i="2"/>
  <c r="AY351" i="2"/>
  <c r="BW350" i="2"/>
  <c r="BV350" i="2"/>
  <c r="BU350" i="2"/>
  <c r="BT350" i="2"/>
  <c r="BS350" i="2"/>
  <c r="BR350" i="2"/>
  <c r="BQ350" i="2"/>
  <c r="BP350" i="2"/>
  <c r="BO350" i="2"/>
  <c r="BN350" i="2"/>
  <c r="BM350" i="2"/>
  <c r="BL350" i="2"/>
  <c r="BJ350" i="2"/>
  <c r="BI350" i="2"/>
  <c r="BH350" i="2"/>
  <c r="BG350" i="2"/>
  <c r="BF350" i="2"/>
  <c r="BE350" i="2"/>
  <c r="BD350" i="2"/>
  <c r="BC350" i="2"/>
  <c r="BB350" i="2"/>
  <c r="BA350" i="2"/>
  <c r="AZ350" i="2"/>
  <c r="AY350" i="2"/>
  <c r="BW349" i="2"/>
  <c r="BV349" i="2"/>
  <c r="BU349" i="2"/>
  <c r="BT349" i="2"/>
  <c r="BS349" i="2"/>
  <c r="BR349" i="2"/>
  <c r="BQ349" i="2"/>
  <c r="BP349" i="2"/>
  <c r="BO349" i="2"/>
  <c r="BN349" i="2"/>
  <c r="BM349" i="2"/>
  <c r="BL349" i="2"/>
  <c r="BJ349" i="2"/>
  <c r="BI349" i="2"/>
  <c r="BH349" i="2"/>
  <c r="BG349" i="2"/>
  <c r="BF349" i="2"/>
  <c r="BE349" i="2"/>
  <c r="BD349" i="2"/>
  <c r="BC349" i="2"/>
  <c r="BB349" i="2"/>
  <c r="BA349" i="2"/>
  <c r="AZ349" i="2"/>
  <c r="AY349" i="2"/>
  <c r="BW348" i="2"/>
  <c r="BV348" i="2"/>
  <c r="BU348" i="2"/>
  <c r="BT348" i="2"/>
  <c r="BS348" i="2"/>
  <c r="BR348" i="2"/>
  <c r="BQ348" i="2"/>
  <c r="BP348" i="2"/>
  <c r="BO348" i="2"/>
  <c r="BN348" i="2"/>
  <c r="BM348" i="2"/>
  <c r="BL348" i="2"/>
  <c r="BJ348" i="2"/>
  <c r="BI348" i="2"/>
  <c r="BH348" i="2"/>
  <c r="BG348" i="2"/>
  <c r="BF348" i="2"/>
  <c r="BE348" i="2"/>
  <c r="BD348" i="2"/>
  <c r="BC348" i="2"/>
  <c r="BB348" i="2"/>
  <c r="BA348" i="2"/>
  <c r="AZ348" i="2"/>
  <c r="AY348" i="2"/>
  <c r="BW347" i="2"/>
  <c r="BV347" i="2"/>
  <c r="BU347" i="2"/>
  <c r="BT347" i="2"/>
  <c r="BS347" i="2"/>
  <c r="BR347" i="2"/>
  <c r="BQ347" i="2"/>
  <c r="BP347" i="2"/>
  <c r="BO347" i="2"/>
  <c r="BN347" i="2"/>
  <c r="BM347" i="2"/>
  <c r="BL347" i="2"/>
  <c r="BJ347" i="2"/>
  <c r="BI347" i="2"/>
  <c r="BH347" i="2"/>
  <c r="BG347" i="2"/>
  <c r="BF347" i="2"/>
  <c r="BE347" i="2"/>
  <c r="BD347" i="2"/>
  <c r="BC347" i="2"/>
  <c r="BB347" i="2"/>
  <c r="BA347" i="2"/>
  <c r="AZ347" i="2"/>
  <c r="AY347" i="2"/>
  <c r="BW346" i="2"/>
  <c r="BV346" i="2"/>
  <c r="BU346" i="2"/>
  <c r="BT346" i="2"/>
  <c r="BS346" i="2"/>
  <c r="BR346" i="2"/>
  <c r="BQ346" i="2"/>
  <c r="BP346" i="2"/>
  <c r="BO346" i="2"/>
  <c r="BN346" i="2"/>
  <c r="BM346" i="2"/>
  <c r="BL346" i="2"/>
  <c r="BJ346" i="2"/>
  <c r="BI346" i="2"/>
  <c r="BH346" i="2"/>
  <c r="BG346" i="2"/>
  <c r="BF346" i="2"/>
  <c r="BE346" i="2"/>
  <c r="BD346" i="2"/>
  <c r="BC346" i="2"/>
  <c r="BB346" i="2"/>
  <c r="BA346" i="2"/>
  <c r="AZ346" i="2"/>
  <c r="AY346" i="2"/>
  <c r="BW345" i="2"/>
  <c r="BV345" i="2"/>
  <c r="BU345" i="2"/>
  <c r="BT345" i="2"/>
  <c r="BS345" i="2"/>
  <c r="BR345" i="2"/>
  <c r="BQ345" i="2"/>
  <c r="BP345" i="2"/>
  <c r="BO345" i="2"/>
  <c r="BN345" i="2"/>
  <c r="BM345" i="2"/>
  <c r="BL345" i="2"/>
  <c r="BJ345" i="2"/>
  <c r="BI345" i="2"/>
  <c r="BH345" i="2"/>
  <c r="BG345" i="2"/>
  <c r="BF345" i="2"/>
  <c r="BE345" i="2"/>
  <c r="BD345" i="2"/>
  <c r="BC345" i="2"/>
  <c r="BB345" i="2"/>
  <c r="BA345" i="2"/>
  <c r="AZ345" i="2"/>
  <c r="AY345" i="2"/>
  <c r="BW344" i="2"/>
  <c r="BV344" i="2"/>
  <c r="BU344" i="2"/>
  <c r="BT344" i="2"/>
  <c r="BS344" i="2"/>
  <c r="BR344" i="2"/>
  <c r="BQ344" i="2"/>
  <c r="BP344" i="2"/>
  <c r="BO344" i="2"/>
  <c r="BN344" i="2"/>
  <c r="BM344" i="2"/>
  <c r="BL344" i="2"/>
  <c r="BJ344" i="2"/>
  <c r="BI344" i="2"/>
  <c r="BH344" i="2"/>
  <c r="BG344" i="2"/>
  <c r="BF344" i="2"/>
  <c r="BE344" i="2"/>
  <c r="BD344" i="2"/>
  <c r="BC344" i="2"/>
  <c r="BB344" i="2"/>
  <c r="BA344" i="2"/>
  <c r="AZ344" i="2"/>
  <c r="AY344" i="2"/>
  <c r="BW343" i="2"/>
  <c r="BV343" i="2"/>
  <c r="BU343" i="2"/>
  <c r="BT343" i="2"/>
  <c r="BS343" i="2"/>
  <c r="BR343" i="2"/>
  <c r="BQ343" i="2"/>
  <c r="BP343" i="2"/>
  <c r="BO343" i="2"/>
  <c r="BN343" i="2"/>
  <c r="BM343" i="2"/>
  <c r="BL343" i="2"/>
  <c r="BJ343" i="2"/>
  <c r="BI343" i="2"/>
  <c r="BH343" i="2"/>
  <c r="BG343" i="2"/>
  <c r="BF343" i="2"/>
  <c r="BE343" i="2"/>
  <c r="BD343" i="2"/>
  <c r="BC343" i="2"/>
  <c r="BB343" i="2"/>
  <c r="BA343" i="2"/>
  <c r="AZ343" i="2"/>
  <c r="AY343" i="2"/>
  <c r="BW342" i="2"/>
  <c r="BV342" i="2"/>
  <c r="BU342" i="2"/>
  <c r="BT342" i="2"/>
  <c r="BS342" i="2"/>
  <c r="BR342" i="2"/>
  <c r="BQ342" i="2"/>
  <c r="BP342" i="2"/>
  <c r="BO342" i="2"/>
  <c r="BN342" i="2"/>
  <c r="BM342" i="2"/>
  <c r="BL342" i="2"/>
  <c r="BJ342" i="2"/>
  <c r="BI342" i="2"/>
  <c r="BH342" i="2"/>
  <c r="BG342" i="2"/>
  <c r="BF342" i="2"/>
  <c r="BE342" i="2"/>
  <c r="BD342" i="2"/>
  <c r="BC342" i="2"/>
  <c r="BB342" i="2"/>
  <c r="BA342" i="2"/>
  <c r="AZ342" i="2"/>
  <c r="AY342" i="2"/>
  <c r="BW341" i="2"/>
  <c r="BV341" i="2"/>
  <c r="BU341" i="2"/>
  <c r="BT341" i="2"/>
  <c r="BS341" i="2"/>
  <c r="BR341" i="2"/>
  <c r="BQ341" i="2"/>
  <c r="BP341" i="2"/>
  <c r="BO341" i="2"/>
  <c r="BN341" i="2"/>
  <c r="BM341" i="2"/>
  <c r="BL341" i="2"/>
  <c r="BJ341" i="2"/>
  <c r="BI341" i="2"/>
  <c r="BH341" i="2"/>
  <c r="BG341" i="2"/>
  <c r="BF341" i="2"/>
  <c r="BE341" i="2"/>
  <c r="BD341" i="2"/>
  <c r="BC341" i="2"/>
  <c r="BB341" i="2"/>
  <c r="BA341" i="2"/>
  <c r="AZ341" i="2"/>
  <c r="AY341" i="2"/>
  <c r="BW340" i="2"/>
  <c r="BV340" i="2"/>
  <c r="BU340" i="2"/>
  <c r="BT340" i="2"/>
  <c r="BS340" i="2"/>
  <c r="BR340" i="2"/>
  <c r="BQ340" i="2"/>
  <c r="BP340" i="2"/>
  <c r="BO340" i="2"/>
  <c r="BN340" i="2"/>
  <c r="BM340" i="2"/>
  <c r="BL340" i="2"/>
  <c r="BJ340" i="2"/>
  <c r="BI340" i="2"/>
  <c r="BH340" i="2"/>
  <c r="BG340" i="2"/>
  <c r="BF340" i="2"/>
  <c r="BE340" i="2"/>
  <c r="BD340" i="2"/>
  <c r="BC340" i="2"/>
  <c r="BB340" i="2"/>
  <c r="BA340" i="2"/>
  <c r="AZ340" i="2"/>
  <c r="AY340" i="2"/>
  <c r="BW339" i="2"/>
  <c r="BV339" i="2"/>
  <c r="BU339" i="2"/>
  <c r="BT339" i="2"/>
  <c r="BS339" i="2"/>
  <c r="BR339" i="2"/>
  <c r="BQ339" i="2"/>
  <c r="BP339" i="2"/>
  <c r="BO339" i="2"/>
  <c r="BN339" i="2"/>
  <c r="BM339" i="2"/>
  <c r="BL339" i="2"/>
  <c r="BJ339" i="2"/>
  <c r="BI339" i="2"/>
  <c r="BH339" i="2"/>
  <c r="BG339" i="2"/>
  <c r="BF339" i="2"/>
  <c r="BE339" i="2"/>
  <c r="BD339" i="2"/>
  <c r="BC339" i="2"/>
  <c r="BB339" i="2"/>
  <c r="BA339" i="2"/>
  <c r="AZ339" i="2"/>
  <c r="AY339" i="2"/>
  <c r="BW338" i="2"/>
  <c r="BV338" i="2"/>
  <c r="BU338" i="2"/>
  <c r="BT338" i="2"/>
  <c r="BS338" i="2"/>
  <c r="BR338" i="2"/>
  <c r="BQ338" i="2"/>
  <c r="BP338" i="2"/>
  <c r="BO338" i="2"/>
  <c r="BN338" i="2"/>
  <c r="BM338" i="2"/>
  <c r="BL338" i="2"/>
  <c r="BJ338" i="2"/>
  <c r="BI338" i="2"/>
  <c r="BH338" i="2"/>
  <c r="BG338" i="2"/>
  <c r="BF338" i="2"/>
  <c r="BE338" i="2"/>
  <c r="BD338" i="2"/>
  <c r="BC338" i="2"/>
  <c r="BB338" i="2"/>
  <c r="BA338" i="2"/>
  <c r="AZ338" i="2"/>
  <c r="AY338" i="2"/>
  <c r="BW337" i="2"/>
  <c r="BV337" i="2"/>
  <c r="BU337" i="2"/>
  <c r="BT337" i="2"/>
  <c r="BS337" i="2"/>
  <c r="BR337" i="2"/>
  <c r="BQ337" i="2"/>
  <c r="BP337" i="2"/>
  <c r="BO337" i="2"/>
  <c r="BN337" i="2"/>
  <c r="BM337" i="2"/>
  <c r="BL337" i="2"/>
  <c r="BJ337" i="2"/>
  <c r="BI337" i="2"/>
  <c r="BH337" i="2"/>
  <c r="BG337" i="2"/>
  <c r="BF337" i="2"/>
  <c r="BE337" i="2"/>
  <c r="BD337" i="2"/>
  <c r="BC337" i="2"/>
  <c r="BB337" i="2"/>
  <c r="BA337" i="2"/>
  <c r="AZ337" i="2"/>
  <c r="AY337" i="2"/>
  <c r="BW336" i="2"/>
  <c r="BV336" i="2"/>
  <c r="BU336" i="2"/>
  <c r="BT336" i="2"/>
  <c r="BS336" i="2"/>
  <c r="BR336" i="2"/>
  <c r="BQ336" i="2"/>
  <c r="BP336" i="2"/>
  <c r="BO336" i="2"/>
  <c r="BN336" i="2"/>
  <c r="BM336" i="2"/>
  <c r="BL336" i="2"/>
  <c r="BJ336" i="2"/>
  <c r="BI336" i="2"/>
  <c r="BH336" i="2"/>
  <c r="BG336" i="2"/>
  <c r="BF336" i="2"/>
  <c r="BE336" i="2"/>
  <c r="BD336" i="2"/>
  <c r="BC336" i="2"/>
  <c r="BB336" i="2"/>
  <c r="BA336" i="2"/>
  <c r="AZ336" i="2"/>
  <c r="AY336" i="2"/>
  <c r="BW335" i="2"/>
  <c r="BV335" i="2"/>
  <c r="BU335" i="2"/>
  <c r="BT335" i="2"/>
  <c r="BS335" i="2"/>
  <c r="BR335" i="2"/>
  <c r="BQ335" i="2"/>
  <c r="BP335" i="2"/>
  <c r="BO335" i="2"/>
  <c r="BN335" i="2"/>
  <c r="BM335" i="2"/>
  <c r="BL335" i="2"/>
  <c r="BJ335" i="2"/>
  <c r="BI335" i="2"/>
  <c r="BH335" i="2"/>
  <c r="BG335" i="2"/>
  <c r="BF335" i="2"/>
  <c r="BE335" i="2"/>
  <c r="BD335" i="2"/>
  <c r="BC335" i="2"/>
  <c r="BB335" i="2"/>
  <c r="BA335" i="2"/>
  <c r="AZ335" i="2"/>
  <c r="AY335" i="2"/>
  <c r="BW334" i="2"/>
  <c r="BV334" i="2"/>
  <c r="BU334" i="2"/>
  <c r="BT334" i="2"/>
  <c r="BS334" i="2"/>
  <c r="BR334" i="2"/>
  <c r="BQ334" i="2"/>
  <c r="BP334" i="2"/>
  <c r="BO334" i="2"/>
  <c r="BN334" i="2"/>
  <c r="BM334" i="2"/>
  <c r="BL334" i="2"/>
  <c r="BJ334" i="2"/>
  <c r="BI334" i="2"/>
  <c r="BH334" i="2"/>
  <c r="BG334" i="2"/>
  <c r="BF334" i="2"/>
  <c r="BE334" i="2"/>
  <c r="BD334" i="2"/>
  <c r="BC334" i="2"/>
  <c r="BB334" i="2"/>
  <c r="BA334" i="2"/>
  <c r="AZ334" i="2"/>
  <c r="AY334" i="2"/>
  <c r="BW333" i="2"/>
  <c r="BV333" i="2"/>
  <c r="BU333" i="2"/>
  <c r="BT333" i="2"/>
  <c r="BS333" i="2"/>
  <c r="BR333" i="2"/>
  <c r="BQ333" i="2"/>
  <c r="BP333" i="2"/>
  <c r="BO333" i="2"/>
  <c r="BN333" i="2"/>
  <c r="BM333" i="2"/>
  <c r="BL333" i="2"/>
  <c r="BJ333" i="2"/>
  <c r="BI333" i="2"/>
  <c r="BH333" i="2"/>
  <c r="BG333" i="2"/>
  <c r="BF333" i="2"/>
  <c r="BE333" i="2"/>
  <c r="BD333" i="2"/>
  <c r="BC333" i="2"/>
  <c r="BB333" i="2"/>
  <c r="BA333" i="2"/>
  <c r="AZ333" i="2"/>
  <c r="AY333" i="2"/>
  <c r="BW332" i="2"/>
  <c r="BV332" i="2"/>
  <c r="BU332" i="2"/>
  <c r="BT332" i="2"/>
  <c r="BS332" i="2"/>
  <c r="BR332" i="2"/>
  <c r="BQ332" i="2"/>
  <c r="BP332" i="2"/>
  <c r="BO332" i="2"/>
  <c r="BN332" i="2"/>
  <c r="BM332" i="2"/>
  <c r="BL332" i="2"/>
  <c r="BJ332" i="2"/>
  <c r="BI332" i="2"/>
  <c r="BH332" i="2"/>
  <c r="BG332" i="2"/>
  <c r="BF332" i="2"/>
  <c r="BE332" i="2"/>
  <c r="BD332" i="2"/>
  <c r="BC332" i="2"/>
  <c r="BB332" i="2"/>
  <c r="BA332" i="2"/>
  <c r="AZ332" i="2"/>
  <c r="AY332" i="2"/>
  <c r="BW331" i="2"/>
  <c r="BV331" i="2"/>
  <c r="BU331" i="2"/>
  <c r="BT331" i="2"/>
  <c r="BS331" i="2"/>
  <c r="BR331" i="2"/>
  <c r="BQ331" i="2"/>
  <c r="BP331" i="2"/>
  <c r="BO331" i="2"/>
  <c r="BN331" i="2"/>
  <c r="BM331" i="2"/>
  <c r="BL331" i="2"/>
  <c r="BJ331" i="2"/>
  <c r="BI331" i="2"/>
  <c r="BH331" i="2"/>
  <c r="BG331" i="2"/>
  <c r="BF331" i="2"/>
  <c r="BE331" i="2"/>
  <c r="BD331" i="2"/>
  <c r="BC331" i="2"/>
  <c r="BB331" i="2"/>
  <c r="BA331" i="2"/>
  <c r="AZ331" i="2"/>
  <c r="AY331" i="2"/>
  <c r="BW330" i="2"/>
  <c r="BV330" i="2"/>
  <c r="BU330" i="2"/>
  <c r="BT330" i="2"/>
  <c r="BS330" i="2"/>
  <c r="BR330" i="2"/>
  <c r="BQ330" i="2"/>
  <c r="BP330" i="2"/>
  <c r="BO330" i="2"/>
  <c r="BN330" i="2"/>
  <c r="BM330" i="2"/>
  <c r="BL330" i="2"/>
  <c r="BJ330" i="2"/>
  <c r="BI330" i="2"/>
  <c r="BH330" i="2"/>
  <c r="BG330" i="2"/>
  <c r="BF330" i="2"/>
  <c r="BE330" i="2"/>
  <c r="BD330" i="2"/>
  <c r="BC330" i="2"/>
  <c r="BB330" i="2"/>
  <c r="BA330" i="2"/>
  <c r="AZ330" i="2"/>
  <c r="AY330" i="2"/>
  <c r="BW329" i="2"/>
  <c r="BV329" i="2"/>
  <c r="BU329" i="2"/>
  <c r="BT329" i="2"/>
  <c r="BS329" i="2"/>
  <c r="BR329" i="2"/>
  <c r="BQ329" i="2"/>
  <c r="BP329" i="2"/>
  <c r="BO329" i="2"/>
  <c r="BN329" i="2"/>
  <c r="BM329" i="2"/>
  <c r="BL329" i="2"/>
  <c r="BJ329" i="2"/>
  <c r="BI329" i="2"/>
  <c r="BH329" i="2"/>
  <c r="BG329" i="2"/>
  <c r="BF329" i="2"/>
  <c r="BE329" i="2"/>
  <c r="BD329" i="2"/>
  <c r="BC329" i="2"/>
  <c r="BB329" i="2"/>
  <c r="BA329" i="2"/>
  <c r="AZ329" i="2"/>
  <c r="AY329" i="2"/>
  <c r="BW328" i="2"/>
  <c r="BV328" i="2"/>
  <c r="BU328" i="2"/>
  <c r="BT328" i="2"/>
  <c r="BS328" i="2"/>
  <c r="BR328" i="2"/>
  <c r="BQ328" i="2"/>
  <c r="BP328" i="2"/>
  <c r="BO328" i="2"/>
  <c r="BN328" i="2"/>
  <c r="BM328" i="2"/>
  <c r="BL328" i="2"/>
  <c r="BJ328" i="2"/>
  <c r="BI328" i="2"/>
  <c r="BH328" i="2"/>
  <c r="BG328" i="2"/>
  <c r="BF328" i="2"/>
  <c r="BE328" i="2"/>
  <c r="BD328" i="2"/>
  <c r="BC328" i="2"/>
  <c r="BB328" i="2"/>
  <c r="BA328" i="2"/>
  <c r="AZ328" i="2"/>
  <c r="AY328" i="2"/>
  <c r="BW327" i="2"/>
  <c r="BV327" i="2"/>
  <c r="BU327" i="2"/>
  <c r="BT327" i="2"/>
  <c r="BS327" i="2"/>
  <c r="BR327" i="2"/>
  <c r="BQ327" i="2"/>
  <c r="BP327" i="2"/>
  <c r="BO327" i="2"/>
  <c r="BN327" i="2"/>
  <c r="BM327" i="2"/>
  <c r="BL327" i="2"/>
  <c r="BJ327" i="2"/>
  <c r="BI327" i="2"/>
  <c r="BH327" i="2"/>
  <c r="BG327" i="2"/>
  <c r="BF327" i="2"/>
  <c r="BE327" i="2"/>
  <c r="BD327" i="2"/>
  <c r="BC327" i="2"/>
  <c r="BB327" i="2"/>
  <c r="BA327" i="2"/>
  <c r="AZ327" i="2"/>
  <c r="AY327" i="2"/>
  <c r="BW326" i="2"/>
  <c r="BV326" i="2"/>
  <c r="BU326" i="2"/>
  <c r="BT326" i="2"/>
  <c r="BS326" i="2"/>
  <c r="BR326" i="2"/>
  <c r="BQ326" i="2"/>
  <c r="BP326" i="2"/>
  <c r="BO326" i="2"/>
  <c r="BN326" i="2"/>
  <c r="BM326" i="2"/>
  <c r="BL326" i="2"/>
  <c r="BJ326" i="2"/>
  <c r="BI326" i="2"/>
  <c r="BH326" i="2"/>
  <c r="BG326" i="2"/>
  <c r="BF326" i="2"/>
  <c r="BE326" i="2"/>
  <c r="BD326" i="2"/>
  <c r="BC326" i="2"/>
  <c r="BB326" i="2"/>
  <c r="BA326" i="2"/>
  <c r="AZ326" i="2"/>
  <c r="AY326" i="2"/>
  <c r="BW325" i="2"/>
  <c r="BV325" i="2"/>
  <c r="BU325" i="2"/>
  <c r="BT325" i="2"/>
  <c r="BS325" i="2"/>
  <c r="BR325" i="2"/>
  <c r="BQ325" i="2"/>
  <c r="BP325" i="2"/>
  <c r="BO325" i="2"/>
  <c r="BN325" i="2"/>
  <c r="BM325" i="2"/>
  <c r="BL325" i="2"/>
  <c r="BJ325" i="2"/>
  <c r="BI325" i="2"/>
  <c r="BH325" i="2"/>
  <c r="BG325" i="2"/>
  <c r="BF325" i="2"/>
  <c r="BE325" i="2"/>
  <c r="BD325" i="2"/>
  <c r="BC325" i="2"/>
  <c r="BB325" i="2"/>
  <c r="BA325" i="2"/>
  <c r="AZ325" i="2"/>
  <c r="AY325" i="2"/>
  <c r="BW324" i="2"/>
  <c r="BV324" i="2"/>
  <c r="BU324" i="2"/>
  <c r="BT324" i="2"/>
  <c r="BS324" i="2"/>
  <c r="BR324" i="2"/>
  <c r="BQ324" i="2"/>
  <c r="BP324" i="2"/>
  <c r="BO324" i="2"/>
  <c r="BN324" i="2"/>
  <c r="BM324" i="2"/>
  <c r="BL324" i="2"/>
  <c r="BJ324" i="2"/>
  <c r="BI324" i="2"/>
  <c r="BH324" i="2"/>
  <c r="BG324" i="2"/>
  <c r="BF324" i="2"/>
  <c r="BE324" i="2"/>
  <c r="BD324" i="2"/>
  <c r="BC324" i="2"/>
  <c r="BB324" i="2"/>
  <c r="BA324" i="2"/>
  <c r="AZ324" i="2"/>
  <c r="AY324" i="2"/>
  <c r="BW323" i="2"/>
  <c r="BV323" i="2"/>
  <c r="BU323" i="2"/>
  <c r="BT323" i="2"/>
  <c r="BS323" i="2"/>
  <c r="BR323" i="2"/>
  <c r="BQ323" i="2"/>
  <c r="BP323" i="2"/>
  <c r="BO323" i="2"/>
  <c r="BN323" i="2"/>
  <c r="BM323" i="2"/>
  <c r="BL323" i="2"/>
  <c r="BJ323" i="2"/>
  <c r="BI323" i="2"/>
  <c r="BH323" i="2"/>
  <c r="BG323" i="2"/>
  <c r="BF323" i="2"/>
  <c r="BE323" i="2"/>
  <c r="BD323" i="2"/>
  <c r="BC323" i="2"/>
  <c r="BB323" i="2"/>
  <c r="BA323" i="2"/>
  <c r="AZ323" i="2"/>
  <c r="AY323" i="2"/>
  <c r="BW322" i="2"/>
  <c r="BV322" i="2"/>
  <c r="BU322" i="2"/>
  <c r="BT322" i="2"/>
  <c r="BS322" i="2"/>
  <c r="BR322" i="2"/>
  <c r="BQ322" i="2"/>
  <c r="BP322" i="2"/>
  <c r="BO322" i="2"/>
  <c r="BN322" i="2"/>
  <c r="BM322" i="2"/>
  <c r="BL322" i="2"/>
  <c r="BJ322" i="2"/>
  <c r="BI322" i="2"/>
  <c r="BH322" i="2"/>
  <c r="BG322" i="2"/>
  <c r="BF322" i="2"/>
  <c r="BE322" i="2"/>
  <c r="BD322" i="2"/>
  <c r="BC322" i="2"/>
  <c r="BB322" i="2"/>
  <c r="BA322" i="2"/>
  <c r="AZ322" i="2"/>
  <c r="AY322" i="2"/>
  <c r="BW321" i="2"/>
  <c r="BV321" i="2"/>
  <c r="BU321" i="2"/>
  <c r="BT321" i="2"/>
  <c r="BS321" i="2"/>
  <c r="BR321" i="2"/>
  <c r="BQ321" i="2"/>
  <c r="BP321" i="2"/>
  <c r="BO321" i="2"/>
  <c r="BN321" i="2"/>
  <c r="BM321" i="2"/>
  <c r="BL321" i="2"/>
  <c r="BJ321" i="2"/>
  <c r="BI321" i="2"/>
  <c r="BH321" i="2"/>
  <c r="BG321" i="2"/>
  <c r="BF321" i="2"/>
  <c r="BE321" i="2"/>
  <c r="BD321" i="2"/>
  <c r="BC321" i="2"/>
  <c r="BB321" i="2"/>
  <c r="BA321" i="2"/>
  <c r="AZ321" i="2"/>
  <c r="AY321" i="2"/>
  <c r="BW320" i="2"/>
  <c r="BV320" i="2"/>
  <c r="BU320" i="2"/>
  <c r="BT320" i="2"/>
  <c r="BS320" i="2"/>
  <c r="BR320" i="2"/>
  <c r="BQ320" i="2"/>
  <c r="BP320" i="2"/>
  <c r="BO320" i="2"/>
  <c r="BN320" i="2"/>
  <c r="BM320" i="2"/>
  <c r="BL320" i="2"/>
  <c r="BJ320" i="2"/>
  <c r="BI320" i="2"/>
  <c r="BH320" i="2"/>
  <c r="BG320" i="2"/>
  <c r="BF320" i="2"/>
  <c r="BE320" i="2"/>
  <c r="BD320" i="2"/>
  <c r="BC320" i="2"/>
  <c r="BB320" i="2"/>
  <c r="BA320" i="2"/>
  <c r="AZ320" i="2"/>
  <c r="AY320" i="2"/>
  <c r="BW319" i="2"/>
  <c r="BV319" i="2"/>
  <c r="BU319" i="2"/>
  <c r="BT319" i="2"/>
  <c r="BS319" i="2"/>
  <c r="BR319" i="2"/>
  <c r="BQ319" i="2"/>
  <c r="BP319" i="2"/>
  <c r="BO319" i="2"/>
  <c r="BN319" i="2"/>
  <c r="BM319" i="2"/>
  <c r="BL319" i="2"/>
  <c r="BJ319" i="2"/>
  <c r="BI319" i="2"/>
  <c r="BH319" i="2"/>
  <c r="BG319" i="2"/>
  <c r="BF319" i="2"/>
  <c r="BE319" i="2"/>
  <c r="BD319" i="2"/>
  <c r="BC319" i="2"/>
  <c r="BB319" i="2"/>
  <c r="BA319" i="2"/>
  <c r="AZ319" i="2"/>
  <c r="AY319" i="2"/>
  <c r="BW318" i="2"/>
  <c r="BV318" i="2"/>
  <c r="BU318" i="2"/>
  <c r="BT318" i="2"/>
  <c r="BS318" i="2"/>
  <c r="BR318" i="2"/>
  <c r="BQ318" i="2"/>
  <c r="BP318" i="2"/>
  <c r="BO318" i="2"/>
  <c r="BN318" i="2"/>
  <c r="BM318" i="2"/>
  <c r="BL318" i="2"/>
  <c r="BJ318" i="2"/>
  <c r="BI318" i="2"/>
  <c r="BH318" i="2"/>
  <c r="BG318" i="2"/>
  <c r="BF318" i="2"/>
  <c r="BE318" i="2"/>
  <c r="BD318" i="2"/>
  <c r="BC318" i="2"/>
  <c r="BB318" i="2"/>
  <c r="BA318" i="2"/>
  <c r="AZ318" i="2"/>
  <c r="AY318" i="2"/>
  <c r="BW317" i="2"/>
  <c r="BV317" i="2"/>
  <c r="BU317" i="2"/>
  <c r="BT317" i="2"/>
  <c r="BS317" i="2"/>
  <c r="BR317" i="2"/>
  <c r="BQ317" i="2"/>
  <c r="BP317" i="2"/>
  <c r="BO317" i="2"/>
  <c r="BN317" i="2"/>
  <c r="BM317" i="2"/>
  <c r="BL317" i="2"/>
  <c r="BJ317" i="2"/>
  <c r="BI317" i="2"/>
  <c r="BH317" i="2"/>
  <c r="BG317" i="2"/>
  <c r="BF317" i="2"/>
  <c r="BE317" i="2"/>
  <c r="BD317" i="2"/>
  <c r="BC317" i="2"/>
  <c r="BB317" i="2"/>
  <c r="BA317" i="2"/>
  <c r="AZ317" i="2"/>
  <c r="AY317" i="2"/>
  <c r="BW316" i="2"/>
  <c r="BV316" i="2"/>
  <c r="BU316" i="2"/>
  <c r="BT316" i="2"/>
  <c r="BS316" i="2"/>
  <c r="BR316" i="2"/>
  <c r="BQ316" i="2"/>
  <c r="BP316" i="2"/>
  <c r="BO316" i="2"/>
  <c r="BN316" i="2"/>
  <c r="BM316" i="2"/>
  <c r="BL316" i="2"/>
  <c r="BJ316" i="2"/>
  <c r="BI316" i="2"/>
  <c r="BH316" i="2"/>
  <c r="BG316" i="2"/>
  <c r="BF316" i="2"/>
  <c r="BE316" i="2"/>
  <c r="BD316" i="2"/>
  <c r="BC316" i="2"/>
  <c r="BB316" i="2"/>
  <c r="BA316" i="2"/>
  <c r="AZ316" i="2"/>
  <c r="AY316" i="2"/>
  <c r="BW315" i="2"/>
  <c r="BV315" i="2"/>
  <c r="BU315" i="2"/>
  <c r="BT315" i="2"/>
  <c r="BS315" i="2"/>
  <c r="BR315" i="2"/>
  <c r="BQ315" i="2"/>
  <c r="BP315" i="2"/>
  <c r="BO315" i="2"/>
  <c r="BN315" i="2"/>
  <c r="BM315" i="2"/>
  <c r="BL315" i="2"/>
  <c r="BJ315" i="2"/>
  <c r="BI315" i="2"/>
  <c r="BH315" i="2"/>
  <c r="BG315" i="2"/>
  <c r="BF315" i="2"/>
  <c r="BE315" i="2"/>
  <c r="BD315" i="2"/>
  <c r="BC315" i="2"/>
  <c r="BB315" i="2"/>
  <c r="BA315" i="2"/>
  <c r="AZ315" i="2"/>
  <c r="AY315" i="2"/>
  <c r="BW314" i="2"/>
  <c r="BV314" i="2"/>
  <c r="BU314" i="2"/>
  <c r="BT314" i="2"/>
  <c r="BS314" i="2"/>
  <c r="BR314" i="2"/>
  <c r="BQ314" i="2"/>
  <c r="BP314" i="2"/>
  <c r="BO314" i="2"/>
  <c r="BN314" i="2"/>
  <c r="BM314" i="2"/>
  <c r="BL314" i="2"/>
  <c r="BJ314" i="2"/>
  <c r="BI314" i="2"/>
  <c r="BH314" i="2"/>
  <c r="BG314" i="2"/>
  <c r="BF314" i="2"/>
  <c r="BE314" i="2"/>
  <c r="BD314" i="2"/>
  <c r="BC314" i="2"/>
  <c r="BB314" i="2"/>
  <c r="BA314" i="2"/>
  <c r="AZ314" i="2"/>
  <c r="AY314" i="2"/>
  <c r="BW313" i="2"/>
  <c r="BV313" i="2"/>
  <c r="BU313" i="2"/>
  <c r="BT313" i="2"/>
  <c r="BS313" i="2"/>
  <c r="BR313" i="2"/>
  <c r="BQ313" i="2"/>
  <c r="BP313" i="2"/>
  <c r="BO313" i="2"/>
  <c r="BN313" i="2"/>
  <c r="BM313" i="2"/>
  <c r="BL313" i="2"/>
  <c r="BJ313" i="2"/>
  <c r="BI313" i="2"/>
  <c r="BH313" i="2"/>
  <c r="BG313" i="2"/>
  <c r="BF313" i="2"/>
  <c r="BE313" i="2"/>
  <c r="BD313" i="2"/>
  <c r="BC313" i="2"/>
  <c r="BB313" i="2"/>
  <c r="BA313" i="2"/>
  <c r="AZ313" i="2"/>
  <c r="AY313" i="2"/>
  <c r="BW312" i="2"/>
  <c r="BV312" i="2"/>
  <c r="BU312" i="2"/>
  <c r="BT312" i="2"/>
  <c r="BS312" i="2"/>
  <c r="BR312" i="2"/>
  <c r="BQ312" i="2"/>
  <c r="BP312" i="2"/>
  <c r="BO312" i="2"/>
  <c r="BN312" i="2"/>
  <c r="BM312" i="2"/>
  <c r="BL312" i="2"/>
  <c r="BJ312" i="2"/>
  <c r="BI312" i="2"/>
  <c r="BH312" i="2"/>
  <c r="BG312" i="2"/>
  <c r="BF312" i="2"/>
  <c r="BE312" i="2"/>
  <c r="BD312" i="2"/>
  <c r="BC312" i="2"/>
  <c r="BB312" i="2"/>
  <c r="BA312" i="2"/>
  <c r="AZ312" i="2"/>
  <c r="AY312" i="2"/>
  <c r="BW311" i="2"/>
  <c r="BV311" i="2"/>
  <c r="BU311" i="2"/>
  <c r="BT311" i="2"/>
  <c r="BS311" i="2"/>
  <c r="BR311" i="2"/>
  <c r="BQ311" i="2"/>
  <c r="BP311" i="2"/>
  <c r="BO311" i="2"/>
  <c r="BN311" i="2"/>
  <c r="BM311" i="2"/>
  <c r="BL311" i="2"/>
  <c r="BJ311" i="2"/>
  <c r="BI311" i="2"/>
  <c r="BH311" i="2"/>
  <c r="BG311" i="2"/>
  <c r="BF311" i="2"/>
  <c r="BE311" i="2"/>
  <c r="BD311" i="2"/>
  <c r="BC311" i="2"/>
  <c r="BB311" i="2"/>
  <c r="BA311" i="2"/>
  <c r="AZ311" i="2"/>
  <c r="AY311" i="2"/>
  <c r="BW310" i="2"/>
  <c r="BV310" i="2"/>
  <c r="BU310" i="2"/>
  <c r="BT310" i="2"/>
  <c r="BS310" i="2"/>
  <c r="BR310" i="2"/>
  <c r="BQ310" i="2"/>
  <c r="BP310" i="2"/>
  <c r="BO310" i="2"/>
  <c r="BN310" i="2"/>
  <c r="BM310" i="2"/>
  <c r="BL310" i="2"/>
  <c r="BJ310" i="2"/>
  <c r="BI310" i="2"/>
  <c r="BH310" i="2"/>
  <c r="BG310" i="2"/>
  <c r="BF310" i="2"/>
  <c r="BE310" i="2"/>
  <c r="BD310" i="2"/>
  <c r="BC310" i="2"/>
  <c r="BB310" i="2"/>
  <c r="BA310" i="2"/>
  <c r="AZ310" i="2"/>
  <c r="AY310" i="2"/>
  <c r="BW309" i="2"/>
  <c r="BV309" i="2"/>
  <c r="BU309" i="2"/>
  <c r="BT309" i="2"/>
  <c r="BS309" i="2"/>
  <c r="BR309" i="2"/>
  <c r="BQ309" i="2"/>
  <c r="BP309" i="2"/>
  <c r="BO309" i="2"/>
  <c r="BN309" i="2"/>
  <c r="BM309" i="2"/>
  <c r="BL309" i="2"/>
  <c r="BJ309" i="2"/>
  <c r="BI309" i="2"/>
  <c r="BH309" i="2"/>
  <c r="BG309" i="2"/>
  <c r="BF309" i="2"/>
  <c r="BE309" i="2"/>
  <c r="BD309" i="2"/>
  <c r="BC309" i="2"/>
  <c r="BB309" i="2"/>
  <c r="BA309" i="2"/>
  <c r="AZ309" i="2"/>
  <c r="AY309" i="2"/>
  <c r="BW308" i="2"/>
  <c r="BV308" i="2"/>
  <c r="BU308" i="2"/>
  <c r="BT308" i="2"/>
  <c r="BS308" i="2"/>
  <c r="BR308" i="2"/>
  <c r="BQ308" i="2"/>
  <c r="BP308" i="2"/>
  <c r="BO308" i="2"/>
  <c r="BN308" i="2"/>
  <c r="BM308" i="2"/>
  <c r="BL308" i="2"/>
  <c r="BJ308" i="2"/>
  <c r="BI308" i="2"/>
  <c r="BH308" i="2"/>
  <c r="BG308" i="2"/>
  <c r="BF308" i="2"/>
  <c r="BE308" i="2"/>
  <c r="BD308" i="2"/>
  <c r="BC308" i="2"/>
  <c r="BB308" i="2"/>
  <c r="BA308" i="2"/>
  <c r="AZ308" i="2"/>
  <c r="AY308" i="2"/>
  <c r="BW307" i="2"/>
  <c r="BV307" i="2"/>
  <c r="BU307" i="2"/>
  <c r="BT307" i="2"/>
  <c r="BS307" i="2"/>
  <c r="BR307" i="2"/>
  <c r="BQ307" i="2"/>
  <c r="BP307" i="2"/>
  <c r="BO307" i="2"/>
  <c r="BN307" i="2"/>
  <c r="BM307" i="2"/>
  <c r="BL307" i="2"/>
  <c r="BJ307" i="2"/>
  <c r="BI307" i="2"/>
  <c r="BH307" i="2"/>
  <c r="BG307" i="2"/>
  <c r="BF307" i="2"/>
  <c r="BE307" i="2"/>
  <c r="BD307" i="2"/>
  <c r="BC307" i="2"/>
  <c r="BB307" i="2"/>
  <c r="BA307" i="2"/>
  <c r="AZ307" i="2"/>
  <c r="AY307" i="2"/>
  <c r="BW306" i="2"/>
  <c r="BV306" i="2"/>
  <c r="BU306" i="2"/>
  <c r="BT306" i="2"/>
  <c r="BS306" i="2"/>
  <c r="BR306" i="2"/>
  <c r="BQ306" i="2"/>
  <c r="BP306" i="2"/>
  <c r="BO306" i="2"/>
  <c r="BN306" i="2"/>
  <c r="BM306" i="2"/>
  <c r="BL306" i="2"/>
  <c r="BJ306" i="2"/>
  <c r="BI306" i="2"/>
  <c r="BH306" i="2"/>
  <c r="BG306" i="2"/>
  <c r="BF306" i="2"/>
  <c r="BE306" i="2"/>
  <c r="BD306" i="2"/>
  <c r="BC306" i="2"/>
  <c r="BB306" i="2"/>
  <c r="BA306" i="2"/>
  <c r="AZ306" i="2"/>
  <c r="AY306" i="2"/>
  <c r="BW305" i="2"/>
  <c r="BV305" i="2"/>
  <c r="BU305" i="2"/>
  <c r="BT305" i="2"/>
  <c r="BS305" i="2"/>
  <c r="BR305" i="2"/>
  <c r="BQ305" i="2"/>
  <c r="BP305" i="2"/>
  <c r="BO305" i="2"/>
  <c r="BN305" i="2"/>
  <c r="BM305" i="2"/>
  <c r="BL305" i="2"/>
  <c r="BJ305" i="2"/>
  <c r="BI305" i="2"/>
  <c r="BH305" i="2"/>
  <c r="BG305" i="2"/>
  <c r="BF305" i="2"/>
  <c r="BE305" i="2"/>
  <c r="BD305" i="2"/>
  <c r="BC305" i="2"/>
  <c r="BB305" i="2"/>
  <c r="BA305" i="2"/>
  <c r="AZ305" i="2"/>
  <c r="AY305" i="2"/>
  <c r="BW304" i="2"/>
  <c r="BV304" i="2"/>
  <c r="BU304" i="2"/>
  <c r="BT304" i="2"/>
  <c r="BS304" i="2"/>
  <c r="BR304" i="2"/>
  <c r="BQ304" i="2"/>
  <c r="BP304" i="2"/>
  <c r="BO304" i="2"/>
  <c r="BN304" i="2"/>
  <c r="BM304" i="2"/>
  <c r="BL304" i="2"/>
  <c r="BJ304" i="2"/>
  <c r="BI304" i="2"/>
  <c r="BH304" i="2"/>
  <c r="BG304" i="2"/>
  <c r="BF304" i="2"/>
  <c r="BE304" i="2"/>
  <c r="BD304" i="2"/>
  <c r="BC304" i="2"/>
  <c r="BB304" i="2"/>
  <c r="BA304" i="2"/>
  <c r="AZ304" i="2"/>
  <c r="AY304" i="2"/>
  <c r="BW303" i="2"/>
  <c r="BV303" i="2"/>
  <c r="BU303" i="2"/>
  <c r="BT303" i="2"/>
  <c r="BS303" i="2"/>
  <c r="BR303" i="2"/>
  <c r="BQ303" i="2"/>
  <c r="BP303" i="2"/>
  <c r="BO303" i="2"/>
  <c r="BN303" i="2"/>
  <c r="BM303" i="2"/>
  <c r="BL303" i="2"/>
  <c r="BJ303" i="2"/>
  <c r="BI303" i="2"/>
  <c r="BH303" i="2"/>
  <c r="BG303" i="2"/>
  <c r="BF303" i="2"/>
  <c r="BE303" i="2"/>
  <c r="BD303" i="2"/>
  <c r="BC303" i="2"/>
  <c r="BB303" i="2"/>
  <c r="BA303" i="2"/>
  <c r="AZ303" i="2"/>
  <c r="AY303" i="2"/>
  <c r="BW302" i="2"/>
  <c r="BV302" i="2"/>
  <c r="BU302" i="2"/>
  <c r="BT302" i="2"/>
  <c r="BS302" i="2"/>
  <c r="BR302" i="2"/>
  <c r="BQ302" i="2"/>
  <c r="BP302" i="2"/>
  <c r="BO302" i="2"/>
  <c r="BN302" i="2"/>
  <c r="BM302" i="2"/>
  <c r="BL302" i="2"/>
  <c r="BJ302" i="2"/>
  <c r="BI302" i="2"/>
  <c r="BH302" i="2"/>
  <c r="BG302" i="2"/>
  <c r="BF302" i="2"/>
  <c r="BE302" i="2"/>
  <c r="BD302" i="2"/>
  <c r="BC302" i="2"/>
  <c r="BB302" i="2"/>
  <c r="BA302" i="2"/>
  <c r="AZ302" i="2"/>
  <c r="AY302" i="2"/>
  <c r="BW301" i="2"/>
  <c r="BV301" i="2"/>
  <c r="BU301" i="2"/>
  <c r="BT301" i="2"/>
  <c r="BS301" i="2"/>
  <c r="BR301" i="2"/>
  <c r="BQ301" i="2"/>
  <c r="BP301" i="2"/>
  <c r="BO301" i="2"/>
  <c r="BN301" i="2"/>
  <c r="BM301" i="2"/>
  <c r="BL301" i="2"/>
  <c r="BJ301" i="2"/>
  <c r="BI301" i="2"/>
  <c r="BH301" i="2"/>
  <c r="BG301" i="2"/>
  <c r="BF301" i="2"/>
  <c r="BE301" i="2"/>
  <c r="BD301" i="2"/>
  <c r="BC301" i="2"/>
  <c r="BB301" i="2"/>
  <c r="BA301" i="2"/>
  <c r="AZ301" i="2"/>
  <c r="AY301" i="2"/>
  <c r="BW300" i="2"/>
  <c r="BV300" i="2"/>
  <c r="BU300" i="2"/>
  <c r="BT300" i="2"/>
  <c r="BS300" i="2"/>
  <c r="BR300" i="2"/>
  <c r="BQ300" i="2"/>
  <c r="BP300" i="2"/>
  <c r="BO300" i="2"/>
  <c r="BN300" i="2"/>
  <c r="BM300" i="2"/>
  <c r="BL300" i="2"/>
  <c r="BJ300" i="2"/>
  <c r="BI300" i="2"/>
  <c r="BH300" i="2"/>
  <c r="BG300" i="2"/>
  <c r="BF300" i="2"/>
  <c r="BE300" i="2"/>
  <c r="BD300" i="2"/>
  <c r="BC300" i="2"/>
  <c r="BB300" i="2"/>
  <c r="BA300" i="2"/>
  <c r="AZ300" i="2"/>
  <c r="AY300" i="2"/>
  <c r="BW299" i="2"/>
  <c r="BV299" i="2"/>
  <c r="BU299" i="2"/>
  <c r="BT299" i="2"/>
  <c r="BS299" i="2"/>
  <c r="BR299" i="2"/>
  <c r="BQ299" i="2"/>
  <c r="BP299" i="2"/>
  <c r="BO299" i="2"/>
  <c r="BN299" i="2"/>
  <c r="BM299" i="2"/>
  <c r="BL299" i="2"/>
  <c r="BJ299" i="2"/>
  <c r="BI299" i="2"/>
  <c r="BH299" i="2"/>
  <c r="BG299" i="2"/>
  <c r="BF299" i="2"/>
  <c r="BE299" i="2"/>
  <c r="BD299" i="2"/>
  <c r="BC299" i="2"/>
  <c r="BB299" i="2"/>
  <c r="BA299" i="2"/>
  <c r="AZ299" i="2"/>
  <c r="AY299" i="2"/>
  <c r="BW298" i="2"/>
  <c r="BV298" i="2"/>
  <c r="BU298" i="2"/>
  <c r="BT298" i="2"/>
  <c r="BS298" i="2"/>
  <c r="BR298" i="2"/>
  <c r="BQ298" i="2"/>
  <c r="BP298" i="2"/>
  <c r="BO298" i="2"/>
  <c r="BN298" i="2"/>
  <c r="BM298" i="2"/>
  <c r="BL298" i="2"/>
  <c r="BJ298" i="2"/>
  <c r="BI298" i="2"/>
  <c r="BH298" i="2"/>
  <c r="BG298" i="2"/>
  <c r="BF298" i="2"/>
  <c r="BE298" i="2"/>
  <c r="BD298" i="2"/>
  <c r="BC298" i="2"/>
  <c r="BB298" i="2"/>
  <c r="BA298" i="2"/>
  <c r="AZ298" i="2"/>
  <c r="AY298" i="2"/>
  <c r="BW297" i="2"/>
  <c r="BV297" i="2"/>
  <c r="BU297" i="2"/>
  <c r="BT297" i="2"/>
  <c r="BS297" i="2"/>
  <c r="BR297" i="2"/>
  <c r="BQ297" i="2"/>
  <c r="BP297" i="2"/>
  <c r="BO297" i="2"/>
  <c r="BN297" i="2"/>
  <c r="BM297" i="2"/>
  <c r="BL297" i="2"/>
  <c r="BJ297" i="2"/>
  <c r="BI297" i="2"/>
  <c r="BH297" i="2"/>
  <c r="BG297" i="2"/>
  <c r="BF297" i="2"/>
  <c r="BE297" i="2"/>
  <c r="BD297" i="2"/>
  <c r="BC297" i="2"/>
  <c r="BB297" i="2"/>
  <c r="BA297" i="2"/>
  <c r="AZ297" i="2"/>
  <c r="AY297" i="2"/>
  <c r="BW296" i="2"/>
  <c r="BV296" i="2"/>
  <c r="BU296" i="2"/>
  <c r="BT296" i="2"/>
  <c r="BS296" i="2"/>
  <c r="BR296" i="2"/>
  <c r="BQ296" i="2"/>
  <c r="BP296" i="2"/>
  <c r="BO296" i="2"/>
  <c r="BN296" i="2"/>
  <c r="BM296" i="2"/>
  <c r="BL296" i="2"/>
  <c r="BJ296" i="2"/>
  <c r="BI296" i="2"/>
  <c r="BH296" i="2"/>
  <c r="BG296" i="2"/>
  <c r="BF296" i="2"/>
  <c r="BE296" i="2"/>
  <c r="BD296" i="2"/>
  <c r="BC296" i="2"/>
  <c r="BB296" i="2"/>
  <c r="BA296" i="2"/>
  <c r="AZ296" i="2"/>
  <c r="AY296" i="2"/>
  <c r="BW295" i="2"/>
  <c r="BV295" i="2"/>
  <c r="BU295" i="2"/>
  <c r="BT295" i="2"/>
  <c r="BS295" i="2"/>
  <c r="BR295" i="2"/>
  <c r="BQ295" i="2"/>
  <c r="BP295" i="2"/>
  <c r="BO295" i="2"/>
  <c r="BN295" i="2"/>
  <c r="BM295" i="2"/>
  <c r="BL295" i="2"/>
  <c r="BJ295" i="2"/>
  <c r="BI295" i="2"/>
  <c r="BH295" i="2"/>
  <c r="BG295" i="2"/>
  <c r="BF295" i="2"/>
  <c r="BE295" i="2"/>
  <c r="BD295" i="2"/>
  <c r="BC295" i="2"/>
  <c r="BB295" i="2"/>
  <c r="BA295" i="2"/>
  <c r="AZ295" i="2"/>
  <c r="AY295" i="2"/>
  <c r="BW294" i="2"/>
  <c r="BV294" i="2"/>
  <c r="BU294" i="2"/>
  <c r="BT294" i="2"/>
  <c r="BS294" i="2"/>
  <c r="BR294" i="2"/>
  <c r="BQ294" i="2"/>
  <c r="BP294" i="2"/>
  <c r="BO294" i="2"/>
  <c r="BN294" i="2"/>
  <c r="BM294" i="2"/>
  <c r="BL294" i="2"/>
  <c r="BJ294" i="2"/>
  <c r="BI294" i="2"/>
  <c r="BH294" i="2"/>
  <c r="BG294" i="2"/>
  <c r="BF294" i="2"/>
  <c r="BE294" i="2"/>
  <c r="BD294" i="2"/>
  <c r="BC294" i="2"/>
  <c r="BB294" i="2"/>
  <c r="BA294" i="2"/>
  <c r="AZ294" i="2"/>
  <c r="AY294" i="2"/>
  <c r="BW293" i="2"/>
  <c r="BV293" i="2"/>
  <c r="BU293" i="2"/>
  <c r="BT293" i="2"/>
  <c r="BS293" i="2"/>
  <c r="BR293" i="2"/>
  <c r="BQ293" i="2"/>
  <c r="BP293" i="2"/>
  <c r="BO293" i="2"/>
  <c r="BN293" i="2"/>
  <c r="BM293" i="2"/>
  <c r="BL293" i="2"/>
  <c r="BJ293" i="2"/>
  <c r="BI293" i="2"/>
  <c r="BH293" i="2"/>
  <c r="BG293" i="2"/>
  <c r="BF293" i="2"/>
  <c r="BE293" i="2"/>
  <c r="BD293" i="2"/>
  <c r="BC293" i="2"/>
  <c r="BB293" i="2"/>
  <c r="BA293" i="2"/>
  <c r="AZ293" i="2"/>
  <c r="AY293" i="2"/>
  <c r="BW292" i="2"/>
  <c r="BV292" i="2"/>
  <c r="BU292" i="2"/>
  <c r="BT292" i="2"/>
  <c r="BS292" i="2"/>
  <c r="BR292" i="2"/>
  <c r="BQ292" i="2"/>
  <c r="BP292" i="2"/>
  <c r="BO292" i="2"/>
  <c r="BN292" i="2"/>
  <c r="BM292" i="2"/>
  <c r="BL292" i="2"/>
  <c r="BJ292" i="2"/>
  <c r="BI292" i="2"/>
  <c r="BH292" i="2"/>
  <c r="BG292" i="2"/>
  <c r="BF292" i="2"/>
  <c r="BE292" i="2"/>
  <c r="BD292" i="2"/>
  <c r="BC292" i="2"/>
  <c r="BB292" i="2"/>
  <c r="BA292" i="2"/>
  <c r="AZ292" i="2"/>
  <c r="AY292" i="2"/>
  <c r="BW291" i="2"/>
  <c r="BV291" i="2"/>
  <c r="BU291" i="2"/>
  <c r="BT291" i="2"/>
  <c r="BS291" i="2"/>
  <c r="BR291" i="2"/>
  <c r="BQ291" i="2"/>
  <c r="BP291" i="2"/>
  <c r="BO291" i="2"/>
  <c r="BN291" i="2"/>
  <c r="BM291" i="2"/>
  <c r="BL291" i="2"/>
  <c r="BJ291" i="2"/>
  <c r="BI291" i="2"/>
  <c r="BH291" i="2"/>
  <c r="BG291" i="2"/>
  <c r="BF291" i="2"/>
  <c r="BE291" i="2"/>
  <c r="BD291" i="2"/>
  <c r="BC291" i="2"/>
  <c r="BB291" i="2"/>
  <c r="BA291" i="2"/>
  <c r="AZ291" i="2"/>
  <c r="AY291" i="2"/>
  <c r="BW290" i="2"/>
  <c r="BV290" i="2"/>
  <c r="BU290" i="2"/>
  <c r="BT290" i="2"/>
  <c r="BS290" i="2"/>
  <c r="BR290" i="2"/>
  <c r="BQ290" i="2"/>
  <c r="BP290" i="2"/>
  <c r="BO290" i="2"/>
  <c r="BN290" i="2"/>
  <c r="BM290" i="2"/>
  <c r="BL290" i="2"/>
  <c r="BJ290" i="2"/>
  <c r="BI290" i="2"/>
  <c r="BH290" i="2"/>
  <c r="BG290" i="2"/>
  <c r="BF290" i="2"/>
  <c r="BE290" i="2"/>
  <c r="BD290" i="2"/>
  <c r="BC290" i="2"/>
  <c r="BB290" i="2"/>
  <c r="BA290" i="2"/>
  <c r="AZ290" i="2"/>
  <c r="AY290" i="2"/>
  <c r="BW289" i="2"/>
  <c r="BV289" i="2"/>
  <c r="BU289" i="2"/>
  <c r="BT289" i="2"/>
  <c r="BS289" i="2"/>
  <c r="BR289" i="2"/>
  <c r="BQ289" i="2"/>
  <c r="BP289" i="2"/>
  <c r="BO289" i="2"/>
  <c r="BN289" i="2"/>
  <c r="BM289" i="2"/>
  <c r="BL289" i="2"/>
  <c r="BJ289" i="2"/>
  <c r="BI289" i="2"/>
  <c r="BH289" i="2"/>
  <c r="BG289" i="2"/>
  <c r="BF289" i="2"/>
  <c r="BE289" i="2"/>
  <c r="BD289" i="2"/>
  <c r="BC289" i="2"/>
  <c r="BB289" i="2"/>
  <c r="BA289" i="2"/>
  <c r="AZ289" i="2"/>
  <c r="AY289" i="2"/>
  <c r="BW288" i="2"/>
  <c r="BV288" i="2"/>
  <c r="BU288" i="2"/>
  <c r="BT288" i="2"/>
  <c r="BS288" i="2"/>
  <c r="BR288" i="2"/>
  <c r="BQ288" i="2"/>
  <c r="BP288" i="2"/>
  <c r="BO288" i="2"/>
  <c r="BN288" i="2"/>
  <c r="BM288" i="2"/>
  <c r="BL288" i="2"/>
  <c r="BJ288" i="2"/>
  <c r="BI288" i="2"/>
  <c r="BH288" i="2"/>
  <c r="BG288" i="2"/>
  <c r="BF288" i="2"/>
  <c r="BE288" i="2"/>
  <c r="BD288" i="2"/>
  <c r="BC288" i="2"/>
  <c r="BB288" i="2"/>
  <c r="BA288" i="2"/>
  <c r="AZ288" i="2"/>
  <c r="AY288" i="2"/>
  <c r="BW287" i="2"/>
  <c r="BV287" i="2"/>
  <c r="BU287" i="2"/>
  <c r="BT287" i="2"/>
  <c r="BS287" i="2"/>
  <c r="BR287" i="2"/>
  <c r="BQ287" i="2"/>
  <c r="BP287" i="2"/>
  <c r="BO287" i="2"/>
  <c r="BN287" i="2"/>
  <c r="BM287" i="2"/>
  <c r="BL287" i="2"/>
  <c r="BJ287" i="2"/>
  <c r="BI287" i="2"/>
  <c r="BH287" i="2"/>
  <c r="BG287" i="2"/>
  <c r="BF287" i="2"/>
  <c r="BE287" i="2"/>
  <c r="BD287" i="2"/>
  <c r="BC287" i="2"/>
  <c r="BB287" i="2"/>
  <c r="BA287" i="2"/>
  <c r="AZ287" i="2"/>
  <c r="AY287" i="2"/>
  <c r="BW286" i="2"/>
  <c r="BV286" i="2"/>
  <c r="BU286" i="2"/>
  <c r="BT286" i="2"/>
  <c r="BS286" i="2"/>
  <c r="BR286" i="2"/>
  <c r="BQ286" i="2"/>
  <c r="BP286" i="2"/>
  <c r="BO286" i="2"/>
  <c r="BN286" i="2"/>
  <c r="BM286" i="2"/>
  <c r="BL286" i="2"/>
  <c r="BJ286" i="2"/>
  <c r="BI286" i="2"/>
  <c r="BH286" i="2"/>
  <c r="BG286" i="2"/>
  <c r="BF286" i="2"/>
  <c r="BE286" i="2"/>
  <c r="BD286" i="2"/>
  <c r="BC286" i="2"/>
  <c r="BB286" i="2"/>
  <c r="BA286" i="2"/>
  <c r="AZ286" i="2"/>
  <c r="AY286" i="2"/>
  <c r="BW285" i="2"/>
  <c r="BV285" i="2"/>
  <c r="BU285" i="2"/>
  <c r="BT285" i="2"/>
  <c r="BS285" i="2"/>
  <c r="BR285" i="2"/>
  <c r="BQ285" i="2"/>
  <c r="BP285" i="2"/>
  <c r="BO285" i="2"/>
  <c r="BN285" i="2"/>
  <c r="BM285" i="2"/>
  <c r="BL285" i="2"/>
  <c r="BJ285" i="2"/>
  <c r="BI285" i="2"/>
  <c r="BH285" i="2"/>
  <c r="BG285" i="2"/>
  <c r="BF285" i="2"/>
  <c r="BE285" i="2"/>
  <c r="BD285" i="2"/>
  <c r="BC285" i="2"/>
  <c r="BB285" i="2"/>
  <c r="BA285" i="2"/>
  <c r="AZ285" i="2"/>
  <c r="AY285" i="2"/>
  <c r="BW284" i="2"/>
  <c r="BV284" i="2"/>
  <c r="BU284" i="2"/>
  <c r="BT284" i="2"/>
  <c r="BS284" i="2"/>
  <c r="BR284" i="2"/>
  <c r="BQ284" i="2"/>
  <c r="BP284" i="2"/>
  <c r="BO284" i="2"/>
  <c r="BN284" i="2"/>
  <c r="BM284" i="2"/>
  <c r="BL284" i="2"/>
  <c r="BJ284" i="2"/>
  <c r="BI284" i="2"/>
  <c r="BH284" i="2"/>
  <c r="BG284" i="2"/>
  <c r="BF284" i="2"/>
  <c r="BE284" i="2"/>
  <c r="BD284" i="2"/>
  <c r="BC284" i="2"/>
  <c r="BB284" i="2"/>
  <c r="BA284" i="2"/>
  <c r="AZ284" i="2"/>
  <c r="AY284" i="2"/>
  <c r="BW283" i="2"/>
  <c r="BV283" i="2"/>
  <c r="BU283" i="2"/>
  <c r="BT283" i="2"/>
  <c r="BS283" i="2"/>
  <c r="BR283" i="2"/>
  <c r="BQ283" i="2"/>
  <c r="BP283" i="2"/>
  <c r="BO283" i="2"/>
  <c r="BN283" i="2"/>
  <c r="BM283" i="2"/>
  <c r="BL283" i="2"/>
  <c r="BJ283" i="2"/>
  <c r="BI283" i="2"/>
  <c r="BH283" i="2"/>
  <c r="BG283" i="2"/>
  <c r="BF283" i="2"/>
  <c r="BE283" i="2"/>
  <c r="BD283" i="2"/>
  <c r="BC283" i="2"/>
  <c r="BB283" i="2"/>
  <c r="BA283" i="2"/>
  <c r="AZ283" i="2"/>
  <c r="AY283" i="2"/>
  <c r="BW282" i="2"/>
  <c r="BV282" i="2"/>
  <c r="BU282" i="2"/>
  <c r="BT282" i="2"/>
  <c r="BS282" i="2"/>
  <c r="BR282" i="2"/>
  <c r="BQ282" i="2"/>
  <c r="BP282" i="2"/>
  <c r="BO282" i="2"/>
  <c r="BN282" i="2"/>
  <c r="BM282" i="2"/>
  <c r="BL282" i="2"/>
  <c r="BJ282" i="2"/>
  <c r="BI282" i="2"/>
  <c r="BH282" i="2"/>
  <c r="BG282" i="2"/>
  <c r="BF282" i="2"/>
  <c r="BE282" i="2"/>
  <c r="BD282" i="2"/>
  <c r="BC282" i="2"/>
  <c r="BB282" i="2"/>
  <c r="BA282" i="2"/>
  <c r="AZ282" i="2"/>
  <c r="AY282" i="2"/>
  <c r="BW281" i="2"/>
  <c r="BV281" i="2"/>
  <c r="BU281" i="2"/>
  <c r="BT281" i="2"/>
  <c r="BS281" i="2"/>
  <c r="BR281" i="2"/>
  <c r="BQ281" i="2"/>
  <c r="BP281" i="2"/>
  <c r="BO281" i="2"/>
  <c r="BN281" i="2"/>
  <c r="BM281" i="2"/>
  <c r="BL281" i="2"/>
  <c r="BJ281" i="2"/>
  <c r="BI281" i="2"/>
  <c r="BH281" i="2"/>
  <c r="BG281" i="2"/>
  <c r="BF281" i="2"/>
  <c r="BE281" i="2"/>
  <c r="BD281" i="2"/>
  <c r="BC281" i="2"/>
  <c r="BB281" i="2"/>
  <c r="BA281" i="2"/>
  <c r="AZ281" i="2"/>
  <c r="AY281" i="2"/>
  <c r="BW280" i="2"/>
  <c r="BV280" i="2"/>
  <c r="BU280" i="2"/>
  <c r="BT280" i="2"/>
  <c r="BS280" i="2"/>
  <c r="BR280" i="2"/>
  <c r="BQ280" i="2"/>
  <c r="BP280" i="2"/>
  <c r="BO280" i="2"/>
  <c r="BN280" i="2"/>
  <c r="BM280" i="2"/>
  <c r="BL280" i="2"/>
  <c r="BJ280" i="2"/>
  <c r="BI280" i="2"/>
  <c r="BH280" i="2"/>
  <c r="BG280" i="2"/>
  <c r="BF280" i="2"/>
  <c r="BE280" i="2"/>
  <c r="BD280" i="2"/>
  <c r="BC280" i="2"/>
  <c r="BB280" i="2"/>
  <c r="BA280" i="2"/>
  <c r="AZ280" i="2"/>
  <c r="AY280" i="2"/>
  <c r="BW279" i="2"/>
  <c r="BV279" i="2"/>
  <c r="BU279" i="2"/>
  <c r="BT279" i="2"/>
  <c r="BS279" i="2"/>
  <c r="BR279" i="2"/>
  <c r="BQ279" i="2"/>
  <c r="BP279" i="2"/>
  <c r="BO279" i="2"/>
  <c r="BN279" i="2"/>
  <c r="BM279" i="2"/>
  <c r="BL279" i="2"/>
  <c r="BJ279" i="2"/>
  <c r="BI279" i="2"/>
  <c r="BH279" i="2"/>
  <c r="BG279" i="2"/>
  <c r="BF279" i="2"/>
  <c r="BE279" i="2"/>
  <c r="BD279" i="2"/>
  <c r="BC279" i="2"/>
  <c r="BB279" i="2"/>
  <c r="BA279" i="2"/>
  <c r="AZ279" i="2"/>
  <c r="AY279" i="2"/>
  <c r="BW278" i="2"/>
  <c r="BV278" i="2"/>
  <c r="BU278" i="2"/>
  <c r="BT278" i="2"/>
  <c r="BS278" i="2"/>
  <c r="BR278" i="2"/>
  <c r="BQ278" i="2"/>
  <c r="BP278" i="2"/>
  <c r="BO278" i="2"/>
  <c r="BN278" i="2"/>
  <c r="BM278" i="2"/>
  <c r="BL278" i="2"/>
  <c r="BJ278" i="2"/>
  <c r="BI278" i="2"/>
  <c r="BH278" i="2"/>
  <c r="BG278" i="2"/>
  <c r="BF278" i="2"/>
  <c r="BE278" i="2"/>
  <c r="BD278" i="2"/>
  <c r="BC278" i="2"/>
  <c r="BB278" i="2"/>
  <c r="BA278" i="2"/>
  <c r="AZ278" i="2"/>
  <c r="AY278" i="2"/>
  <c r="BW277" i="2"/>
  <c r="BV277" i="2"/>
  <c r="BU277" i="2"/>
  <c r="BT277" i="2"/>
  <c r="BS277" i="2"/>
  <c r="BR277" i="2"/>
  <c r="BQ277" i="2"/>
  <c r="BP277" i="2"/>
  <c r="BO277" i="2"/>
  <c r="BN277" i="2"/>
  <c r="BM277" i="2"/>
  <c r="BL277" i="2"/>
  <c r="BJ277" i="2"/>
  <c r="BI277" i="2"/>
  <c r="BH277" i="2"/>
  <c r="BG277" i="2"/>
  <c r="BF277" i="2"/>
  <c r="BE277" i="2"/>
  <c r="BD277" i="2"/>
  <c r="BC277" i="2"/>
  <c r="BB277" i="2"/>
  <c r="BA277" i="2"/>
  <c r="AZ277" i="2"/>
  <c r="AY277" i="2"/>
  <c r="BW276" i="2"/>
  <c r="BV276" i="2"/>
  <c r="BU276" i="2"/>
  <c r="BT276" i="2"/>
  <c r="BS276" i="2"/>
  <c r="BR276" i="2"/>
  <c r="BQ276" i="2"/>
  <c r="BP276" i="2"/>
  <c r="BO276" i="2"/>
  <c r="BN276" i="2"/>
  <c r="BM276" i="2"/>
  <c r="BL276" i="2"/>
  <c r="BJ276" i="2"/>
  <c r="BI276" i="2"/>
  <c r="BH276" i="2"/>
  <c r="BG276" i="2"/>
  <c r="BF276" i="2"/>
  <c r="BE276" i="2"/>
  <c r="BD276" i="2"/>
  <c r="BC276" i="2"/>
  <c r="BB276" i="2"/>
  <c r="BA276" i="2"/>
  <c r="AZ276" i="2"/>
  <c r="AY276" i="2"/>
  <c r="BW275" i="2"/>
  <c r="BV275" i="2"/>
  <c r="BU275" i="2"/>
  <c r="BT275" i="2"/>
  <c r="BS275" i="2"/>
  <c r="BR275" i="2"/>
  <c r="BQ275" i="2"/>
  <c r="BP275" i="2"/>
  <c r="BO275" i="2"/>
  <c r="BN275" i="2"/>
  <c r="BM275" i="2"/>
  <c r="BL275" i="2"/>
  <c r="BJ275" i="2"/>
  <c r="BI275" i="2"/>
  <c r="BH275" i="2"/>
  <c r="BG275" i="2"/>
  <c r="BF275" i="2"/>
  <c r="BE275" i="2"/>
  <c r="BD275" i="2"/>
  <c r="BC275" i="2"/>
  <c r="BB275" i="2"/>
  <c r="BA275" i="2"/>
  <c r="AZ275" i="2"/>
  <c r="AY275" i="2"/>
  <c r="BW274" i="2"/>
  <c r="BV274" i="2"/>
  <c r="BU274" i="2"/>
  <c r="BT274" i="2"/>
  <c r="BS274" i="2"/>
  <c r="BR274" i="2"/>
  <c r="BQ274" i="2"/>
  <c r="BP274" i="2"/>
  <c r="BO274" i="2"/>
  <c r="BN274" i="2"/>
  <c r="BM274" i="2"/>
  <c r="BL274" i="2"/>
  <c r="BJ274" i="2"/>
  <c r="BI274" i="2"/>
  <c r="BH274" i="2"/>
  <c r="BG274" i="2"/>
  <c r="BF274" i="2"/>
  <c r="BE274" i="2"/>
  <c r="BD274" i="2"/>
  <c r="BC274" i="2"/>
  <c r="BB274" i="2"/>
  <c r="BA274" i="2"/>
  <c r="AZ274" i="2"/>
  <c r="AY274" i="2"/>
  <c r="BW273" i="2"/>
  <c r="BV273" i="2"/>
  <c r="BU273" i="2"/>
  <c r="BT273" i="2"/>
  <c r="BS273" i="2"/>
  <c r="BR273" i="2"/>
  <c r="BQ273" i="2"/>
  <c r="BP273" i="2"/>
  <c r="BO273" i="2"/>
  <c r="BN273" i="2"/>
  <c r="BM273" i="2"/>
  <c r="BL273" i="2"/>
  <c r="BJ273" i="2"/>
  <c r="BI273" i="2"/>
  <c r="BH273" i="2"/>
  <c r="BG273" i="2"/>
  <c r="BF273" i="2"/>
  <c r="BE273" i="2"/>
  <c r="BD273" i="2"/>
  <c r="BC273" i="2"/>
  <c r="BB273" i="2"/>
  <c r="BA273" i="2"/>
  <c r="AZ273" i="2"/>
  <c r="AY273" i="2"/>
  <c r="BW272" i="2"/>
  <c r="BV272" i="2"/>
  <c r="BU272" i="2"/>
  <c r="BT272" i="2"/>
  <c r="BS272" i="2"/>
  <c r="BR272" i="2"/>
  <c r="BQ272" i="2"/>
  <c r="BP272" i="2"/>
  <c r="BO272" i="2"/>
  <c r="BN272" i="2"/>
  <c r="BM272" i="2"/>
  <c r="BL272" i="2"/>
  <c r="BJ272" i="2"/>
  <c r="BI272" i="2"/>
  <c r="BH272" i="2"/>
  <c r="BG272" i="2"/>
  <c r="BF272" i="2"/>
  <c r="BE272" i="2"/>
  <c r="BD272" i="2"/>
  <c r="BC272" i="2"/>
  <c r="BB272" i="2"/>
  <c r="BA272" i="2"/>
  <c r="AZ272" i="2"/>
  <c r="AY272" i="2"/>
  <c r="BW271" i="2"/>
  <c r="BV271" i="2"/>
  <c r="BU271" i="2"/>
  <c r="BT271" i="2"/>
  <c r="BS271" i="2"/>
  <c r="BR271" i="2"/>
  <c r="BQ271" i="2"/>
  <c r="BP271" i="2"/>
  <c r="BO271" i="2"/>
  <c r="BN271" i="2"/>
  <c r="BM271" i="2"/>
  <c r="BL271" i="2"/>
  <c r="BJ271" i="2"/>
  <c r="BI271" i="2"/>
  <c r="BH271" i="2"/>
  <c r="BG271" i="2"/>
  <c r="BF271" i="2"/>
  <c r="BE271" i="2"/>
  <c r="BD271" i="2"/>
  <c r="BC271" i="2"/>
  <c r="BB271" i="2"/>
  <c r="BA271" i="2"/>
  <c r="AZ271" i="2"/>
  <c r="AY271" i="2"/>
  <c r="BW270" i="2"/>
  <c r="BV270" i="2"/>
  <c r="BU270" i="2"/>
  <c r="BT270" i="2"/>
  <c r="BS270" i="2"/>
  <c r="BR270" i="2"/>
  <c r="BQ270" i="2"/>
  <c r="BP270" i="2"/>
  <c r="BO270" i="2"/>
  <c r="BN270" i="2"/>
  <c r="BM270" i="2"/>
  <c r="BL270" i="2"/>
  <c r="BJ270" i="2"/>
  <c r="BI270" i="2"/>
  <c r="BH270" i="2"/>
  <c r="BG270" i="2"/>
  <c r="BF270" i="2"/>
  <c r="BE270" i="2"/>
  <c r="BD270" i="2"/>
  <c r="BC270" i="2"/>
  <c r="BB270" i="2"/>
  <c r="BA270" i="2"/>
  <c r="AZ270" i="2"/>
  <c r="AY270" i="2"/>
  <c r="BW269" i="2"/>
  <c r="BV269" i="2"/>
  <c r="BU269" i="2"/>
  <c r="BT269" i="2"/>
  <c r="BS269" i="2"/>
  <c r="BR269" i="2"/>
  <c r="BQ269" i="2"/>
  <c r="BP269" i="2"/>
  <c r="BO269" i="2"/>
  <c r="BN269" i="2"/>
  <c r="BM269" i="2"/>
  <c r="BL269" i="2"/>
  <c r="BJ269" i="2"/>
  <c r="BI269" i="2"/>
  <c r="BH269" i="2"/>
  <c r="BG269" i="2"/>
  <c r="BF269" i="2"/>
  <c r="BE269" i="2"/>
  <c r="BD269" i="2"/>
  <c r="BC269" i="2"/>
  <c r="BB269" i="2"/>
  <c r="BA269" i="2"/>
  <c r="AZ269" i="2"/>
  <c r="AY269" i="2"/>
  <c r="BW268" i="2"/>
  <c r="BV268" i="2"/>
  <c r="BU268" i="2"/>
  <c r="BT268" i="2"/>
  <c r="BS268" i="2"/>
  <c r="BR268" i="2"/>
  <c r="BQ268" i="2"/>
  <c r="BP268" i="2"/>
  <c r="BO268" i="2"/>
  <c r="BN268" i="2"/>
  <c r="BM268" i="2"/>
  <c r="BL268" i="2"/>
  <c r="BJ268" i="2"/>
  <c r="BI268" i="2"/>
  <c r="BH268" i="2"/>
  <c r="BG268" i="2"/>
  <c r="BF268" i="2"/>
  <c r="BE268" i="2"/>
  <c r="BD268" i="2"/>
  <c r="BC268" i="2"/>
  <c r="BB268" i="2"/>
  <c r="BA268" i="2"/>
  <c r="AZ268" i="2"/>
  <c r="AY268" i="2"/>
  <c r="BW267" i="2"/>
  <c r="BV267" i="2"/>
  <c r="BU267" i="2"/>
  <c r="BT267" i="2"/>
  <c r="BS267" i="2"/>
  <c r="BR267" i="2"/>
  <c r="BQ267" i="2"/>
  <c r="BP267" i="2"/>
  <c r="BO267" i="2"/>
  <c r="BN267" i="2"/>
  <c r="BM267" i="2"/>
  <c r="BL267" i="2"/>
  <c r="BJ267" i="2"/>
  <c r="BI267" i="2"/>
  <c r="BH267" i="2"/>
  <c r="BG267" i="2"/>
  <c r="BF267" i="2"/>
  <c r="BE267" i="2"/>
  <c r="BD267" i="2"/>
  <c r="BC267" i="2"/>
  <c r="BB267" i="2"/>
  <c r="BA267" i="2"/>
  <c r="AZ267" i="2"/>
  <c r="AY267" i="2"/>
  <c r="BW266" i="2"/>
  <c r="BV266" i="2"/>
  <c r="BU266" i="2"/>
  <c r="BT266" i="2"/>
  <c r="BS266" i="2"/>
  <c r="BR266" i="2"/>
  <c r="BQ266" i="2"/>
  <c r="BP266" i="2"/>
  <c r="BO266" i="2"/>
  <c r="BN266" i="2"/>
  <c r="BM266" i="2"/>
  <c r="BL266" i="2"/>
  <c r="BJ266" i="2"/>
  <c r="BI266" i="2"/>
  <c r="BH266" i="2"/>
  <c r="BG266" i="2"/>
  <c r="BF266" i="2"/>
  <c r="BE266" i="2"/>
  <c r="BD266" i="2"/>
  <c r="BC266" i="2"/>
  <c r="BB266" i="2"/>
  <c r="BA266" i="2"/>
  <c r="AZ266" i="2"/>
  <c r="AY266" i="2"/>
  <c r="BW265" i="2"/>
  <c r="BV265" i="2"/>
  <c r="BU265" i="2"/>
  <c r="BT265" i="2"/>
  <c r="BS265" i="2"/>
  <c r="BR265" i="2"/>
  <c r="BQ265" i="2"/>
  <c r="BP265" i="2"/>
  <c r="BO265" i="2"/>
  <c r="BN265" i="2"/>
  <c r="BM265" i="2"/>
  <c r="BL265" i="2"/>
  <c r="BJ265" i="2"/>
  <c r="BI265" i="2"/>
  <c r="BH265" i="2"/>
  <c r="BG265" i="2"/>
  <c r="BF265" i="2"/>
  <c r="BE265" i="2"/>
  <c r="BD265" i="2"/>
  <c r="BC265" i="2"/>
  <c r="BB265" i="2"/>
  <c r="BA265" i="2"/>
  <c r="AZ265" i="2"/>
  <c r="AY265" i="2"/>
  <c r="BW264" i="2"/>
  <c r="BV264" i="2"/>
  <c r="BU264" i="2"/>
  <c r="BT264" i="2"/>
  <c r="BS264" i="2"/>
  <c r="BR264" i="2"/>
  <c r="BQ264" i="2"/>
  <c r="BP264" i="2"/>
  <c r="BO264" i="2"/>
  <c r="BN264" i="2"/>
  <c r="BM264" i="2"/>
  <c r="BL264" i="2"/>
  <c r="BJ264" i="2"/>
  <c r="BI264" i="2"/>
  <c r="BH264" i="2"/>
  <c r="BG264" i="2"/>
  <c r="BF264" i="2"/>
  <c r="BE264" i="2"/>
  <c r="BD264" i="2"/>
  <c r="BC264" i="2"/>
  <c r="BB264" i="2"/>
  <c r="BA264" i="2"/>
  <c r="AZ264" i="2"/>
  <c r="AY264" i="2"/>
  <c r="BW263" i="2"/>
  <c r="BV263" i="2"/>
  <c r="BU263" i="2"/>
  <c r="BT263" i="2"/>
  <c r="BS263" i="2"/>
  <c r="BR263" i="2"/>
  <c r="BQ263" i="2"/>
  <c r="BP263" i="2"/>
  <c r="BO263" i="2"/>
  <c r="BN263" i="2"/>
  <c r="BM263" i="2"/>
  <c r="BL263" i="2"/>
  <c r="BJ263" i="2"/>
  <c r="BI263" i="2"/>
  <c r="BH263" i="2"/>
  <c r="BG263" i="2"/>
  <c r="BF263" i="2"/>
  <c r="BE263" i="2"/>
  <c r="BD263" i="2"/>
  <c r="BC263" i="2"/>
  <c r="BB263" i="2"/>
  <c r="BA263" i="2"/>
  <c r="AZ263" i="2"/>
  <c r="AY263" i="2"/>
  <c r="BW262" i="2"/>
  <c r="BV262" i="2"/>
  <c r="BU262" i="2"/>
  <c r="BT262" i="2"/>
  <c r="BS262" i="2"/>
  <c r="BR262" i="2"/>
  <c r="BQ262" i="2"/>
  <c r="BP262" i="2"/>
  <c r="BO262" i="2"/>
  <c r="BN262" i="2"/>
  <c r="BM262" i="2"/>
  <c r="BL262" i="2"/>
  <c r="BJ262" i="2"/>
  <c r="BI262" i="2"/>
  <c r="BH262" i="2"/>
  <c r="BG262" i="2"/>
  <c r="BF262" i="2"/>
  <c r="BE262" i="2"/>
  <c r="BD262" i="2"/>
  <c r="BC262" i="2"/>
  <c r="BB262" i="2"/>
  <c r="BA262" i="2"/>
  <c r="AZ262" i="2"/>
  <c r="AY262" i="2"/>
  <c r="BW261" i="2"/>
  <c r="BV261" i="2"/>
  <c r="BU261" i="2"/>
  <c r="BT261" i="2"/>
  <c r="BS261" i="2"/>
  <c r="BR261" i="2"/>
  <c r="BQ261" i="2"/>
  <c r="BP261" i="2"/>
  <c r="BO261" i="2"/>
  <c r="BN261" i="2"/>
  <c r="BM261" i="2"/>
  <c r="BL261" i="2"/>
  <c r="BJ261" i="2"/>
  <c r="BI261" i="2"/>
  <c r="BH261" i="2"/>
  <c r="BG261" i="2"/>
  <c r="BF261" i="2"/>
  <c r="BE261" i="2"/>
  <c r="BD261" i="2"/>
  <c r="BC261" i="2"/>
  <c r="BB261" i="2"/>
  <c r="BA261" i="2"/>
  <c r="AZ261" i="2"/>
  <c r="AY261" i="2"/>
  <c r="BW260" i="2"/>
  <c r="BV260" i="2"/>
  <c r="BU260" i="2"/>
  <c r="BT260" i="2"/>
  <c r="BS260" i="2"/>
  <c r="BR260" i="2"/>
  <c r="BQ260" i="2"/>
  <c r="BP260" i="2"/>
  <c r="BO260" i="2"/>
  <c r="BN260" i="2"/>
  <c r="BM260" i="2"/>
  <c r="BL260" i="2"/>
  <c r="BJ260" i="2"/>
  <c r="BI260" i="2"/>
  <c r="BH260" i="2"/>
  <c r="BG260" i="2"/>
  <c r="BF260" i="2"/>
  <c r="BE260" i="2"/>
  <c r="BD260" i="2"/>
  <c r="BC260" i="2"/>
  <c r="BB260" i="2"/>
  <c r="BA260" i="2"/>
  <c r="AZ260" i="2"/>
  <c r="AY260" i="2"/>
  <c r="BW259" i="2"/>
  <c r="BV259" i="2"/>
  <c r="BU259" i="2"/>
  <c r="BT259" i="2"/>
  <c r="BS259" i="2"/>
  <c r="BR259" i="2"/>
  <c r="BQ259" i="2"/>
  <c r="BP259" i="2"/>
  <c r="BO259" i="2"/>
  <c r="BN259" i="2"/>
  <c r="BM259" i="2"/>
  <c r="BL259" i="2"/>
  <c r="BJ259" i="2"/>
  <c r="BI259" i="2"/>
  <c r="BH259" i="2"/>
  <c r="BG259" i="2"/>
  <c r="BF259" i="2"/>
  <c r="BE259" i="2"/>
  <c r="BD259" i="2"/>
  <c r="BC259" i="2"/>
  <c r="BB259" i="2"/>
  <c r="BA259" i="2"/>
  <c r="AZ259" i="2"/>
  <c r="AY259" i="2"/>
  <c r="BW258" i="2"/>
  <c r="BV258" i="2"/>
  <c r="BU258" i="2"/>
  <c r="BT258" i="2"/>
  <c r="BS258" i="2"/>
  <c r="BR258" i="2"/>
  <c r="BQ258" i="2"/>
  <c r="BP258" i="2"/>
  <c r="BO258" i="2"/>
  <c r="BN258" i="2"/>
  <c r="BM258" i="2"/>
  <c r="BL258" i="2"/>
  <c r="BJ258" i="2"/>
  <c r="BI258" i="2"/>
  <c r="BH258" i="2"/>
  <c r="BG258" i="2"/>
  <c r="BF258" i="2"/>
  <c r="BE258" i="2"/>
  <c r="BD258" i="2"/>
  <c r="BC258" i="2"/>
  <c r="BB258" i="2"/>
  <c r="BA258" i="2"/>
  <c r="AZ258" i="2"/>
  <c r="AY258" i="2"/>
  <c r="BW257" i="2"/>
  <c r="BV257" i="2"/>
  <c r="BU257" i="2"/>
  <c r="BT257" i="2"/>
  <c r="BS257" i="2"/>
  <c r="BR257" i="2"/>
  <c r="BQ257" i="2"/>
  <c r="BP257" i="2"/>
  <c r="BO257" i="2"/>
  <c r="BN257" i="2"/>
  <c r="BM257" i="2"/>
  <c r="BL257" i="2"/>
  <c r="BJ257" i="2"/>
  <c r="BI257" i="2"/>
  <c r="BH257" i="2"/>
  <c r="BG257" i="2"/>
  <c r="BF257" i="2"/>
  <c r="BE257" i="2"/>
  <c r="BD257" i="2"/>
  <c r="BC257" i="2"/>
  <c r="BB257" i="2"/>
  <c r="BA257" i="2"/>
  <c r="AZ257" i="2"/>
  <c r="AY257" i="2"/>
  <c r="BW256" i="2"/>
  <c r="BV256" i="2"/>
  <c r="BU256" i="2"/>
  <c r="BT256" i="2"/>
  <c r="BS256" i="2"/>
  <c r="BR256" i="2"/>
  <c r="BQ256" i="2"/>
  <c r="BP256" i="2"/>
  <c r="BO256" i="2"/>
  <c r="BN256" i="2"/>
  <c r="BM256" i="2"/>
  <c r="BL256" i="2"/>
  <c r="BJ256" i="2"/>
  <c r="BI256" i="2"/>
  <c r="BH256" i="2"/>
  <c r="BG256" i="2"/>
  <c r="BF256" i="2"/>
  <c r="BE256" i="2"/>
  <c r="BD256" i="2"/>
  <c r="BC256" i="2"/>
  <c r="BB256" i="2"/>
  <c r="BA256" i="2"/>
  <c r="AZ256" i="2"/>
  <c r="AY256" i="2"/>
  <c r="BW255" i="2"/>
  <c r="BV255" i="2"/>
  <c r="BU255" i="2"/>
  <c r="BT255" i="2"/>
  <c r="BS255" i="2"/>
  <c r="BR255" i="2"/>
  <c r="BQ255" i="2"/>
  <c r="BP255" i="2"/>
  <c r="BO255" i="2"/>
  <c r="BN255" i="2"/>
  <c r="BM255" i="2"/>
  <c r="BL255" i="2"/>
  <c r="BJ255" i="2"/>
  <c r="BI255" i="2"/>
  <c r="BH255" i="2"/>
  <c r="BG255" i="2"/>
  <c r="BF255" i="2"/>
  <c r="BE255" i="2"/>
  <c r="BD255" i="2"/>
  <c r="BC255" i="2"/>
  <c r="BB255" i="2"/>
  <c r="BA255" i="2"/>
  <c r="AZ255" i="2"/>
  <c r="AY255" i="2"/>
  <c r="BW254" i="2"/>
  <c r="BV254" i="2"/>
  <c r="BU254" i="2"/>
  <c r="BT254" i="2"/>
  <c r="BS254" i="2"/>
  <c r="BR254" i="2"/>
  <c r="BQ254" i="2"/>
  <c r="BP254" i="2"/>
  <c r="BO254" i="2"/>
  <c r="BN254" i="2"/>
  <c r="BM254" i="2"/>
  <c r="BL254" i="2"/>
  <c r="BJ254" i="2"/>
  <c r="BI254" i="2"/>
  <c r="BH254" i="2"/>
  <c r="BG254" i="2"/>
  <c r="BF254" i="2"/>
  <c r="BE254" i="2"/>
  <c r="BD254" i="2"/>
  <c r="BC254" i="2"/>
  <c r="BB254" i="2"/>
  <c r="BA254" i="2"/>
  <c r="AZ254" i="2"/>
  <c r="AY254" i="2"/>
  <c r="BW253" i="2"/>
  <c r="BV253" i="2"/>
  <c r="BU253" i="2"/>
  <c r="BT253" i="2"/>
  <c r="BS253" i="2"/>
  <c r="BR253" i="2"/>
  <c r="BQ253" i="2"/>
  <c r="BP253" i="2"/>
  <c r="BO253" i="2"/>
  <c r="BN253" i="2"/>
  <c r="BM253" i="2"/>
  <c r="BL253" i="2"/>
  <c r="BJ253" i="2"/>
  <c r="BI253" i="2"/>
  <c r="BH253" i="2"/>
  <c r="BG253" i="2"/>
  <c r="BF253" i="2"/>
  <c r="BE253" i="2"/>
  <c r="BD253" i="2"/>
  <c r="BC253" i="2"/>
  <c r="BB253" i="2"/>
  <c r="BA253" i="2"/>
  <c r="AZ253" i="2"/>
  <c r="AY253" i="2"/>
  <c r="BW252" i="2"/>
  <c r="BV252" i="2"/>
  <c r="BU252" i="2"/>
  <c r="BT252" i="2"/>
  <c r="BS252" i="2"/>
  <c r="BR252" i="2"/>
  <c r="BQ252" i="2"/>
  <c r="BP252" i="2"/>
  <c r="BO252" i="2"/>
  <c r="BN252" i="2"/>
  <c r="BM252" i="2"/>
  <c r="BL252" i="2"/>
  <c r="BJ252" i="2"/>
  <c r="BI252" i="2"/>
  <c r="BH252" i="2"/>
  <c r="BG252" i="2"/>
  <c r="BF252" i="2"/>
  <c r="BE252" i="2"/>
  <c r="BD252" i="2"/>
  <c r="BC252" i="2"/>
  <c r="BB252" i="2"/>
  <c r="BA252" i="2"/>
  <c r="AZ252" i="2"/>
  <c r="AY252" i="2"/>
  <c r="BW251" i="2"/>
  <c r="BV251" i="2"/>
  <c r="BU251" i="2"/>
  <c r="BT251" i="2"/>
  <c r="BS251" i="2"/>
  <c r="BR251" i="2"/>
  <c r="BQ251" i="2"/>
  <c r="BP251" i="2"/>
  <c r="BO251" i="2"/>
  <c r="BN251" i="2"/>
  <c r="BM251" i="2"/>
  <c r="BL251" i="2"/>
  <c r="BJ251" i="2"/>
  <c r="BI251" i="2"/>
  <c r="BH251" i="2"/>
  <c r="BG251" i="2"/>
  <c r="BF251" i="2"/>
  <c r="BE251" i="2"/>
  <c r="BD251" i="2"/>
  <c r="BC251" i="2"/>
  <c r="BB251" i="2"/>
  <c r="BA251" i="2"/>
  <c r="AZ251" i="2"/>
  <c r="AY251" i="2"/>
  <c r="BW250" i="2"/>
  <c r="BV250" i="2"/>
  <c r="BU250" i="2"/>
  <c r="BT250" i="2"/>
  <c r="BS250" i="2"/>
  <c r="BR250" i="2"/>
  <c r="BQ250" i="2"/>
  <c r="BP250" i="2"/>
  <c r="BO250" i="2"/>
  <c r="BN250" i="2"/>
  <c r="BM250" i="2"/>
  <c r="BL250" i="2"/>
  <c r="BJ250" i="2"/>
  <c r="BI250" i="2"/>
  <c r="BH250" i="2"/>
  <c r="BG250" i="2"/>
  <c r="BF250" i="2"/>
  <c r="BE250" i="2"/>
  <c r="BD250" i="2"/>
  <c r="BC250" i="2"/>
  <c r="BB250" i="2"/>
  <c r="BA250" i="2"/>
  <c r="AZ250" i="2"/>
  <c r="AY250" i="2"/>
  <c r="BW249" i="2"/>
  <c r="BV249" i="2"/>
  <c r="BU249" i="2"/>
  <c r="BT249" i="2"/>
  <c r="BS249" i="2"/>
  <c r="BR249" i="2"/>
  <c r="BQ249" i="2"/>
  <c r="BP249" i="2"/>
  <c r="BO249" i="2"/>
  <c r="BN249" i="2"/>
  <c r="BM249" i="2"/>
  <c r="BL249" i="2"/>
  <c r="BJ249" i="2"/>
  <c r="BI249" i="2"/>
  <c r="BH249" i="2"/>
  <c r="BG249" i="2"/>
  <c r="BF249" i="2"/>
  <c r="BE249" i="2"/>
  <c r="BD249" i="2"/>
  <c r="BC249" i="2"/>
  <c r="BB249" i="2"/>
  <c r="BA249" i="2"/>
  <c r="AZ249" i="2"/>
  <c r="AY249" i="2"/>
  <c r="BW248" i="2"/>
  <c r="BV248" i="2"/>
  <c r="BU248" i="2"/>
  <c r="BT248" i="2"/>
  <c r="BS248" i="2"/>
  <c r="BR248" i="2"/>
  <c r="BQ248" i="2"/>
  <c r="BP248" i="2"/>
  <c r="BO248" i="2"/>
  <c r="BN248" i="2"/>
  <c r="BM248" i="2"/>
  <c r="BL248" i="2"/>
  <c r="BJ248" i="2"/>
  <c r="BI248" i="2"/>
  <c r="BH248" i="2"/>
  <c r="BG248" i="2"/>
  <c r="BF248" i="2"/>
  <c r="BE248" i="2"/>
  <c r="BD248" i="2"/>
  <c r="BC248" i="2"/>
  <c r="BB248" i="2"/>
  <c r="BA248" i="2"/>
  <c r="AZ248" i="2"/>
  <c r="AY248" i="2"/>
  <c r="BW247" i="2"/>
  <c r="BV247" i="2"/>
  <c r="BU247" i="2"/>
  <c r="BT247" i="2"/>
  <c r="BS247" i="2"/>
  <c r="BR247" i="2"/>
  <c r="BQ247" i="2"/>
  <c r="BP247" i="2"/>
  <c r="BO247" i="2"/>
  <c r="BN247" i="2"/>
  <c r="BM247" i="2"/>
  <c r="BL247" i="2"/>
  <c r="BJ247" i="2"/>
  <c r="BI247" i="2"/>
  <c r="BH247" i="2"/>
  <c r="BG247" i="2"/>
  <c r="BF247" i="2"/>
  <c r="BE247" i="2"/>
  <c r="BD247" i="2"/>
  <c r="BC247" i="2"/>
  <c r="BB247" i="2"/>
  <c r="BA247" i="2"/>
  <c r="AZ247" i="2"/>
  <c r="AY247" i="2"/>
  <c r="BW246" i="2"/>
  <c r="BV246" i="2"/>
  <c r="BU246" i="2"/>
  <c r="BT246" i="2"/>
  <c r="BS246" i="2"/>
  <c r="BR246" i="2"/>
  <c r="BQ246" i="2"/>
  <c r="BP246" i="2"/>
  <c r="BO246" i="2"/>
  <c r="BN246" i="2"/>
  <c r="BM246" i="2"/>
  <c r="BL246" i="2"/>
  <c r="BJ246" i="2"/>
  <c r="BI246" i="2"/>
  <c r="BH246" i="2"/>
  <c r="BG246" i="2"/>
  <c r="BF246" i="2"/>
  <c r="BE246" i="2"/>
  <c r="BD246" i="2"/>
  <c r="BC246" i="2"/>
  <c r="BB246" i="2"/>
  <c r="BA246" i="2"/>
  <c r="AZ246" i="2"/>
  <c r="AY246" i="2"/>
  <c r="BW245" i="2"/>
  <c r="BV245" i="2"/>
  <c r="BU245" i="2"/>
  <c r="BT245" i="2"/>
  <c r="BS245" i="2"/>
  <c r="BR245" i="2"/>
  <c r="BQ245" i="2"/>
  <c r="BP245" i="2"/>
  <c r="BO245" i="2"/>
  <c r="BN245" i="2"/>
  <c r="BM245" i="2"/>
  <c r="BL245" i="2"/>
  <c r="BJ245" i="2"/>
  <c r="BI245" i="2"/>
  <c r="BH245" i="2"/>
  <c r="BG245" i="2"/>
  <c r="BF245" i="2"/>
  <c r="BE245" i="2"/>
  <c r="BD245" i="2"/>
  <c r="BC245" i="2"/>
  <c r="BB245" i="2"/>
  <c r="BA245" i="2"/>
  <c r="AZ245" i="2"/>
  <c r="AY245" i="2"/>
  <c r="BW244" i="2"/>
  <c r="BV244" i="2"/>
  <c r="BU244" i="2"/>
  <c r="BT244" i="2"/>
  <c r="BS244" i="2"/>
  <c r="BR244" i="2"/>
  <c r="BQ244" i="2"/>
  <c r="BP244" i="2"/>
  <c r="BO244" i="2"/>
  <c r="BN244" i="2"/>
  <c r="BM244" i="2"/>
  <c r="BL244" i="2"/>
  <c r="BJ244" i="2"/>
  <c r="BI244" i="2"/>
  <c r="BH244" i="2"/>
  <c r="BG244" i="2"/>
  <c r="BF244" i="2"/>
  <c r="BE244" i="2"/>
  <c r="BD244" i="2"/>
  <c r="BC244" i="2"/>
  <c r="BB244" i="2"/>
  <c r="BA244" i="2"/>
  <c r="AZ244" i="2"/>
  <c r="AY244" i="2"/>
  <c r="BW243" i="2"/>
  <c r="BV243" i="2"/>
  <c r="BU243" i="2"/>
  <c r="BT243" i="2"/>
  <c r="BS243" i="2"/>
  <c r="BR243" i="2"/>
  <c r="BQ243" i="2"/>
  <c r="BP243" i="2"/>
  <c r="BO243" i="2"/>
  <c r="BN243" i="2"/>
  <c r="BM243" i="2"/>
  <c r="BL243" i="2"/>
  <c r="BJ243" i="2"/>
  <c r="BI243" i="2"/>
  <c r="BH243" i="2"/>
  <c r="BG243" i="2"/>
  <c r="BF243" i="2"/>
  <c r="BE243" i="2"/>
  <c r="BD243" i="2"/>
  <c r="BC243" i="2"/>
  <c r="BB243" i="2"/>
  <c r="BA243" i="2"/>
  <c r="AZ243" i="2"/>
  <c r="AY243" i="2"/>
  <c r="BW242" i="2"/>
  <c r="BV242" i="2"/>
  <c r="BU242" i="2"/>
  <c r="BT242" i="2"/>
  <c r="BS242" i="2"/>
  <c r="BR242" i="2"/>
  <c r="BQ242" i="2"/>
  <c r="BP242" i="2"/>
  <c r="BO242" i="2"/>
  <c r="BN242" i="2"/>
  <c r="BM242" i="2"/>
  <c r="BL242" i="2"/>
  <c r="BJ242" i="2"/>
  <c r="BI242" i="2"/>
  <c r="BH242" i="2"/>
  <c r="BG242" i="2"/>
  <c r="BF242" i="2"/>
  <c r="BE242" i="2"/>
  <c r="BD242" i="2"/>
  <c r="BC242" i="2"/>
  <c r="BB242" i="2"/>
  <c r="BA242" i="2"/>
  <c r="AZ242" i="2"/>
  <c r="AY242" i="2"/>
  <c r="BW241" i="2"/>
  <c r="BV241" i="2"/>
  <c r="BU241" i="2"/>
  <c r="BT241" i="2"/>
  <c r="BS241" i="2"/>
  <c r="BR241" i="2"/>
  <c r="BQ241" i="2"/>
  <c r="BP241" i="2"/>
  <c r="BO241" i="2"/>
  <c r="BN241" i="2"/>
  <c r="BM241" i="2"/>
  <c r="BL241" i="2"/>
  <c r="BJ241" i="2"/>
  <c r="BI241" i="2"/>
  <c r="BH241" i="2"/>
  <c r="BG241" i="2"/>
  <c r="BF241" i="2"/>
  <c r="BE241" i="2"/>
  <c r="BD241" i="2"/>
  <c r="BC241" i="2"/>
  <c r="BB241" i="2"/>
  <c r="BA241" i="2"/>
  <c r="AZ241" i="2"/>
  <c r="AY241" i="2"/>
  <c r="BW240" i="2"/>
  <c r="BV240" i="2"/>
  <c r="BU240" i="2"/>
  <c r="BT240" i="2"/>
  <c r="BS240" i="2"/>
  <c r="BR240" i="2"/>
  <c r="BQ240" i="2"/>
  <c r="BP240" i="2"/>
  <c r="BO240" i="2"/>
  <c r="BN240" i="2"/>
  <c r="BM240" i="2"/>
  <c r="BL240" i="2"/>
  <c r="BJ240" i="2"/>
  <c r="BI240" i="2"/>
  <c r="BH240" i="2"/>
  <c r="BG240" i="2"/>
  <c r="BF240" i="2"/>
  <c r="BE240" i="2"/>
  <c r="BD240" i="2"/>
  <c r="BC240" i="2"/>
  <c r="BB240" i="2"/>
  <c r="BA240" i="2"/>
  <c r="AZ240" i="2"/>
  <c r="AY240" i="2"/>
  <c r="BW239" i="2"/>
  <c r="BV239" i="2"/>
  <c r="BU239" i="2"/>
  <c r="BT239" i="2"/>
  <c r="BS239" i="2"/>
  <c r="BR239" i="2"/>
  <c r="BQ239" i="2"/>
  <c r="BP239" i="2"/>
  <c r="BO239" i="2"/>
  <c r="BN239" i="2"/>
  <c r="BM239" i="2"/>
  <c r="BL239" i="2"/>
  <c r="BJ239" i="2"/>
  <c r="BI239" i="2"/>
  <c r="BH239" i="2"/>
  <c r="BG239" i="2"/>
  <c r="BF239" i="2"/>
  <c r="BE239" i="2"/>
  <c r="BD239" i="2"/>
  <c r="BC239" i="2"/>
  <c r="BB239" i="2"/>
  <c r="BA239" i="2"/>
  <c r="AZ239" i="2"/>
  <c r="AY239" i="2"/>
  <c r="BW238" i="2"/>
  <c r="BV238" i="2"/>
  <c r="BU238" i="2"/>
  <c r="BT238" i="2"/>
  <c r="BS238" i="2"/>
  <c r="BR238" i="2"/>
  <c r="BQ238" i="2"/>
  <c r="BP238" i="2"/>
  <c r="BO238" i="2"/>
  <c r="BN238" i="2"/>
  <c r="BM238" i="2"/>
  <c r="BL238" i="2"/>
  <c r="BJ238" i="2"/>
  <c r="BI238" i="2"/>
  <c r="BH238" i="2"/>
  <c r="BG238" i="2"/>
  <c r="BF238" i="2"/>
  <c r="BE238" i="2"/>
  <c r="BD238" i="2"/>
  <c r="BC238" i="2"/>
  <c r="BB238" i="2"/>
  <c r="BA238" i="2"/>
  <c r="AZ238" i="2"/>
  <c r="AY238" i="2"/>
  <c r="BW237" i="2"/>
  <c r="BV237" i="2"/>
  <c r="BU237" i="2"/>
  <c r="BT237" i="2"/>
  <c r="BS237" i="2"/>
  <c r="BR237" i="2"/>
  <c r="BQ237" i="2"/>
  <c r="BP237" i="2"/>
  <c r="BO237" i="2"/>
  <c r="BN237" i="2"/>
  <c r="BM237" i="2"/>
  <c r="BL237" i="2"/>
  <c r="BJ237" i="2"/>
  <c r="BI237" i="2"/>
  <c r="BH237" i="2"/>
  <c r="BG237" i="2"/>
  <c r="BF237" i="2"/>
  <c r="BE237" i="2"/>
  <c r="BD237" i="2"/>
  <c r="BC237" i="2"/>
  <c r="BB237" i="2"/>
  <c r="BA237" i="2"/>
  <c r="AZ237" i="2"/>
  <c r="AY237" i="2"/>
  <c r="BW236" i="2"/>
  <c r="BV236" i="2"/>
  <c r="BU236" i="2"/>
  <c r="BT236" i="2"/>
  <c r="BS236" i="2"/>
  <c r="BR236" i="2"/>
  <c r="BQ236" i="2"/>
  <c r="BP236" i="2"/>
  <c r="BO236" i="2"/>
  <c r="BN236" i="2"/>
  <c r="BM236" i="2"/>
  <c r="BL236" i="2"/>
  <c r="BJ236" i="2"/>
  <c r="BI236" i="2"/>
  <c r="BH236" i="2"/>
  <c r="BG236" i="2"/>
  <c r="BF236" i="2"/>
  <c r="BE236" i="2"/>
  <c r="BD236" i="2"/>
  <c r="BC236" i="2"/>
  <c r="BB236" i="2"/>
  <c r="BA236" i="2"/>
  <c r="AZ236" i="2"/>
  <c r="AY236" i="2"/>
  <c r="BW235" i="2"/>
  <c r="BV235" i="2"/>
  <c r="BU235" i="2"/>
  <c r="BT235" i="2"/>
  <c r="BS235" i="2"/>
  <c r="BR235" i="2"/>
  <c r="BQ235" i="2"/>
  <c r="BP235" i="2"/>
  <c r="BO235" i="2"/>
  <c r="BN235" i="2"/>
  <c r="BM235" i="2"/>
  <c r="BL235" i="2"/>
  <c r="BJ235" i="2"/>
  <c r="BI235" i="2"/>
  <c r="BH235" i="2"/>
  <c r="BG235" i="2"/>
  <c r="BF235" i="2"/>
  <c r="BE235" i="2"/>
  <c r="BD235" i="2"/>
  <c r="BC235" i="2"/>
  <c r="BB235" i="2"/>
  <c r="BA235" i="2"/>
  <c r="AZ235" i="2"/>
  <c r="AY235" i="2"/>
  <c r="BW234" i="2"/>
  <c r="BV234" i="2"/>
  <c r="BU234" i="2"/>
  <c r="BT234" i="2"/>
  <c r="BS234" i="2"/>
  <c r="BR234" i="2"/>
  <c r="BQ234" i="2"/>
  <c r="BP234" i="2"/>
  <c r="BO234" i="2"/>
  <c r="BN234" i="2"/>
  <c r="BM234" i="2"/>
  <c r="BL234" i="2"/>
  <c r="BJ234" i="2"/>
  <c r="BI234" i="2"/>
  <c r="BH234" i="2"/>
  <c r="BG234" i="2"/>
  <c r="BF234" i="2"/>
  <c r="BE234" i="2"/>
  <c r="BD234" i="2"/>
  <c r="BC234" i="2"/>
  <c r="BB234" i="2"/>
  <c r="BA234" i="2"/>
  <c r="AZ234" i="2"/>
  <c r="AY234" i="2"/>
  <c r="BW233" i="2"/>
  <c r="BV233" i="2"/>
  <c r="BU233" i="2"/>
  <c r="BT233" i="2"/>
  <c r="BS233" i="2"/>
  <c r="BR233" i="2"/>
  <c r="BQ233" i="2"/>
  <c r="BP233" i="2"/>
  <c r="BO233" i="2"/>
  <c r="BN233" i="2"/>
  <c r="BM233" i="2"/>
  <c r="BL233" i="2"/>
  <c r="BJ233" i="2"/>
  <c r="BI233" i="2"/>
  <c r="BH233" i="2"/>
  <c r="BG233" i="2"/>
  <c r="BF233" i="2"/>
  <c r="BE233" i="2"/>
  <c r="BD233" i="2"/>
  <c r="BC233" i="2"/>
  <c r="BB233" i="2"/>
  <c r="BA233" i="2"/>
  <c r="AZ233" i="2"/>
  <c r="AY233" i="2"/>
  <c r="BW232" i="2"/>
  <c r="BV232" i="2"/>
  <c r="BU232" i="2"/>
  <c r="BT232" i="2"/>
  <c r="BS232" i="2"/>
  <c r="BR232" i="2"/>
  <c r="BQ232" i="2"/>
  <c r="BP232" i="2"/>
  <c r="BO232" i="2"/>
  <c r="BN232" i="2"/>
  <c r="BM232" i="2"/>
  <c r="BL232" i="2"/>
  <c r="BJ232" i="2"/>
  <c r="BI232" i="2"/>
  <c r="BH232" i="2"/>
  <c r="BG232" i="2"/>
  <c r="BF232" i="2"/>
  <c r="BE232" i="2"/>
  <c r="BD232" i="2"/>
  <c r="BC232" i="2"/>
  <c r="BB232" i="2"/>
  <c r="BA232" i="2"/>
  <c r="AZ232" i="2"/>
  <c r="AY232" i="2"/>
  <c r="BW231" i="2"/>
  <c r="BV231" i="2"/>
  <c r="BU231" i="2"/>
  <c r="BT231" i="2"/>
  <c r="BS231" i="2"/>
  <c r="BR231" i="2"/>
  <c r="BQ231" i="2"/>
  <c r="BP231" i="2"/>
  <c r="BO231" i="2"/>
  <c r="BN231" i="2"/>
  <c r="BM231" i="2"/>
  <c r="BL231" i="2"/>
  <c r="BJ231" i="2"/>
  <c r="BI231" i="2"/>
  <c r="BH231" i="2"/>
  <c r="BG231" i="2"/>
  <c r="BF231" i="2"/>
  <c r="BE231" i="2"/>
  <c r="BD231" i="2"/>
  <c r="BC231" i="2"/>
  <c r="BB231" i="2"/>
  <c r="BA231" i="2"/>
  <c r="AZ231" i="2"/>
  <c r="AY231" i="2"/>
  <c r="BW230" i="2"/>
  <c r="BV230" i="2"/>
  <c r="BU230" i="2"/>
  <c r="BT230" i="2"/>
  <c r="BS230" i="2"/>
  <c r="BR230" i="2"/>
  <c r="BQ230" i="2"/>
  <c r="BP230" i="2"/>
  <c r="BO230" i="2"/>
  <c r="BN230" i="2"/>
  <c r="BM230" i="2"/>
  <c r="BL230" i="2"/>
  <c r="BJ230" i="2"/>
  <c r="BI230" i="2"/>
  <c r="BH230" i="2"/>
  <c r="BG230" i="2"/>
  <c r="BF230" i="2"/>
  <c r="BE230" i="2"/>
  <c r="BD230" i="2"/>
  <c r="BC230" i="2"/>
  <c r="BB230" i="2"/>
  <c r="BA230" i="2"/>
  <c r="AZ230" i="2"/>
  <c r="AY230" i="2"/>
  <c r="BW229" i="2"/>
  <c r="BV229" i="2"/>
  <c r="BU229" i="2"/>
  <c r="BT229" i="2"/>
  <c r="BS229" i="2"/>
  <c r="BR229" i="2"/>
  <c r="BQ229" i="2"/>
  <c r="BP229" i="2"/>
  <c r="BO229" i="2"/>
  <c r="BN229" i="2"/>
  <c r="BM229" i="2"/>
  <c r="BL229" i="2"/>
  <c r="BJ229" i="2"/>
  <c r="BI229" i="2"/>
  <c r="BH229" i="2"/>
  <c r="BG229" i="2"/>
  <c r="BF229" i="2"/>
  <c r="BE229" i="2"/>
  <c r="BD229" i="2"/>
  <c r="BC229" i="2"/>
  <c r="BB229" i="2"/>
  <c r="BA229" i="2"/>
  <c r="AZ229" i="2"/>
  <c r="AY229" i="2"/>
  <c r="BW228" i="2"/>
  <c r="BV228" i="2"/>
  <c r="BU228" i="2"/>
  <c r="BT228" i="2"/>
  <c r="BS228" i="2"/>
  <c r="BR228" i="2"/>
  <c r="BQ228" i="2"/>
  <c r="BP228" i="2"/>
  <c r="BO228" i="2"/>
  <c r="BN228" i="2"/>
  <c r="BM228" i="2"/>
  <c r="BL228" i="2"/>
  <c r="BJ228" i="2"/>
  <c r="BI228" i="2"/>
  <c r="BH228" i="2"/>
  <c r="BG228" i="2"/>
  <c r="BF228" i="2"/>
  <c r="BE228" i="2"/>
  <c r="BD228" i="2"/>
  <c r="BC228" i="2"/>
  <c r="BB228" i="2"/>
  <c r="BA228" i="2"/>
  <c r="AZ228" i="2"/>
  <c r="AY228" i="2"/>
  <c r="BW227" i="2"/>
  <c r="BV227" i="2"/>
  <c r="BU227" i="2"/>
  <c r="BT227" i="2"/>
  <c r="BS227" i="2"/>
  <c r="BR227" i="2"/>
  <c r="BQ227" i="2"/>
  <c r="BP227" i="2"/>
  <c r="BO227" i="2"/>
  <c r="BN227" i="2"/>
  <c r="BM227" i="2"/>
  <c r="BL227" i="2"/>
  <c r="BJ227" i="2"/>
  <c r="BI227" i="2"/>
  <c r="BH227" i="2"/>
  <c r="BG227" i="2"/>
  <c r="BF227" i="2"/>
  <c r="BE227" i="2"/>
  <c r="BD227" i="2"/>
  <c r="BC227" i="2"/>
  <c r="BB227" i="2"/>
  <c r="BA227" i="2"/>
  <c r="AZ227" i="2"/>
  <c r="AY227" i="2"/>
  <c r="BW226" i="2"/>
  <c r="BV226" i="2"/>
  <c r="BU226" i="2"/>
  <c r="BT226" i="2"/>
  <c r="BS226" i="2"/>
  <c r="BR226" i="2"/>
  <c r="BQ226" i="2"/>
  <c r="BP226" i="2"/>
  <c r="BO226" i="2"/>
  <c r="BN226" i="2"/>
  <c r="BM226" i="2"/>
  <c r="BL226" i="2"/>
  <c r="BJ226" i="2"/>
  <c r="BI226" i="2"/>
  <c r="BH226" i="2"/>
  <c r="BG226" i="2"/>
  <c r="BF226" i="2"/>
  <c r="BE226" i="2"/>
  <c r="BD226" i="2"/>
  <c r="BC226" i="2"/>
  <c r="BB226" i="2"/>
  <c r="BA226" i="2"/>
  <c r="AZ226" i="2"/>
  <c r="AY226" i="2"/>
  <c r="BW225" i="2"/>
  <c r="BV225" i="2"/>
  <c r="BU225" i="2"/>
  <c r="BT225" i="2"/>
  <c r="BS225" i="2"/>
  <c r="BR225" i="2"/>
  <c r="BQ225" i="2"/>
  <c r="BP225" i="2"/>
  <c r="BO225" i="2"/>
  <c r="BN225" i="2"/>
  <c r="BM225" i="2"/>
  <c r="BL225" i="2"/>
  <c r="BJ225" i="2"/>
  <c r="BI225" i="2"/>
  <c r="BH225" i="2"/>
  <c r="BG225" i="2"/>
  <c r="BF225" i="2"/>
  <c r="BE225" i="2"/>
  <c r="BD225" i="2"/>
  <c r="BC225" i="2"/>
  <c r="BB225" i="2"/>
  <c r="BA225" i="2"/>
  <c r="AZ225" i="2"/>
  <c r="AY225" i="2"/>
  <c r="BW224" i="2"/>
  <c r="BV224" i="2"/>
  <c r="BU224" i="2"/>
  <c r="BT224" i="2"/>
  <c r="BS224" i="2"/>
  <c r="BR224" i="2"/>
  <c r="BQ224" i="2"/>
  <c r="BP224" i="2"/>
  <c r="BO224" i="2"/>
  <c r="BN224" i="2"/>
  <c r="BM224" i="2"/>
  <c r="BL224" i="2"/>
  <c r="BJ224" i="2"/>
  <c r="BI224" i="2"/>
  <c r="BH224" i="2"/>
  <c r="BG224" i="2"/>
  <c r="BF224" i="2"/>
  <c r="BE224" i="2"/>
  <c r="BD224" i="2"/>
  <c r="BC224" i="2"/>
  <c r="BB224" i="2"/>
  <c r="BA224" i="2"/>
  <c r="AZ224" i="2"/>
  <c r="AY224" i="2"/>
  <c r="BW223" i="2"/>
  <c r="BV223" i="2"/>
  <c r="BU223" i="2"/>
  <c r="BT223" i="2"/>
  <c r="BS223" i="2"/>
  <c r="BR223" i="2"/>
  <c r="BQ223" i="2"/>
  <c r="BP223" i="2"/>
  <c r="BO223" i="2"/>
  <c r="BN223" i="2"/>
  <c r="BM223" i="2"/>
  <c r="BL223" i="2"/>
  <c r="BJ223" i="2"/>
  <c r="BI223" i="2"/>
  <c r="BH223" i="2"/>
  <c r="BG223" i="2"/>
  <c r="BF223" i="2"/>
  <c r="BE223" i="2"/>
  <c r="BD223" i="2"/>
  <c r="BC223" i="2"/>
  <c r="BB223" i="2"/>
  <c r="BA223" i="2"/>
  <c r="AZ223" i="2"/>
  <c r="AY223" i="2"/>
  <c r="BW222" i="2"/>
  <c r="BV222" i="2"/>
  <c r="BU222" i="2"/>
  <c r="BT222" i="2"/>
  <c r="BS222" i="2"/>
  <c r="BR222" i="2"/>
  <c r="BQ222" i="2"/>
  <c r="BP222" i="2"/>
  <c r="BO222" i="2"/>
  <c r="BN222" i="2"/>
  <c r="BM222" i="2"/>
  <c r="BL222" i="2"/>
  <c r="BJ222" i="2"/>
  <c r="BI222" i="2"/>
  <c r="BH222" i="2"/>
  <c r="BG222" i="2"/>
  <c r="BF222" i="2"/>
  <c r="BE222" i="2"/>
  <c r="BD222" i="2"/>
  <c r="BC222" i="2"/>
  <c r="BB222" i="2"/>
  <c r="BA222" i="2"/>
  <c r="AZ222" i="2"/>
  <c r="AY222" i="2"/>
  <c r="BW221" i="2"/>
  <c r="BV221" i="2"/>
  <c r="BU221" i="2"/>
  <c r="BT221" i="2"/>
  <c r="BS221" i="2"/>
  <c r="BR221" i="2"/>
  <c r="BQ221" i="2"/>
  <c r="BP221" i="2"/>
  <c r="BO221" i="2"/>
  <c r="BN221" i="2"/>
  <c r="BM221" i="2"/>
  <c r="BL221" i="2"/>
  <c r="BJ221" i="2"/>
  <c r="BI221" i="2"/>
  <c r="BH221" i="2"/>
  <c r="BG221" i="2"/>
  <c r="BF221" i="2"/>
  <c r="BE221" i="2"/>
  <c r="BD221" i="2"/>
  <c r="BC221" i="2"/>
  <c r="BB221" i="2"/>
  <c r="BA221" i="2"/>
  <c r="AZ221" i="2"/>
  <c r="AY221" i="2"/>
  <c r="BW220" i="2"/>
  <c r="BV220" i="2"/>
  <c r="BU220" i="2"/>
  <c r="BT220" i="2"/>
  <c r="BS220" i="2"/>
  <c r="BR220" i="2"/>
  <c r="BQ220" i="2"/>
  <c r="BP220" i="2"/>
  <c r="BO220" i="2"/>
  <c r="BN220" i="2"/>
  <c r="BM220" i="2"/>
  <c r="BL220" i="2"/>
  <c r="BJ220" i="2"/>
  <c r="BI220" i="2"/>
  <c r="BH220" i="2"/>
  <c r="BG220" i="2"/>
  <c r="BF220" i="2"/>
  <c r="BE220" i="2"/>
  <c r="BD220" i="2"/>
  <c r="BC220" i="2"/>
  <c r="BB220" i="2"/>
  <c r="BA220" i="2"/>
  <c r="AZ220" i="2"/>
  <c r="AY220" i="2"/>
  <c r="BW219" i="2"/>
  <c r="BV219" i="2"/>
  <c r="BU219" i="2"/>
  <c r="BT219" i="2"/>
  <c r="BS219" i="2"/>
  <c r="BR219" i="2"/>
  <c r="BQ219" i="2"/>
  <c r="BP219" i="2"/>
  <c r="BO219" i="2"/>
  <c r="BN219" i="2"/>
  <c r="BM219" i="2"/>
  <c r="BL219" i="2"/>
  <c r="BJ219" i="2"/>
  <c r="BI219" i="2"/>
  <c r="BH219" i="2"/>
  <c r="BG219" i="2"/>
  <c r="BF219" i="2"/>
  <c r="BE219" i="2"/>
  <c r="BD219" i="2"/>
  <c r="BC219" i="2"/>
  <c r="BB219" i="2"/>
  <c r="BA219" i="2"/>
  <c r="AZ219" i="2"/>
  <c r="AY219" i="2"/>
  <c r="BW218" i="2"/>
  <c r="BV218" i="2"/>
  <c r="BU218" i="2"/>
  <c r="BT218" i="2"/>
  <c r="BS218" i="2"/>
  <c r="BR218" i="2"/>
  <c r="BQ218" i="2"/>
  <c r="BP218" i="2"/>
  <c r="BO218" i="2"/>
  <c r="BN218" i="2"/>
  <c r="BM218" i="2"/>
  <c r="BL218" i="2"/>
  <c r="BJ218" i="2"/>
  <c r="BI218" i="2"/>
  <c r="BH218" i="2"/>
  <c r="BG218" i="2"/>
  <c r="BF218" i="2"/>
  <c r="BE218" i="2"/>
  <c r="BD218" i="2"/>
  <c r="BC218" i="2"/>
  <c r="BB218" i="2"/>
  <c r="BA218" i="2"/>
  <c r="AZ218" i="2"/>
  <c r="AY218" i="2"/>
  <c r="BW217" i="2"/>
  <c r="BV217" i="2"/>
  <c r="BU217" i="2"/>
  <c r="BT217" i="2"/>
  <c r="BS217" i="2"/>
  <c r="BR217" i="2"/>
  <c r="BQ217" i="2"/>
  <c r="BP217" i="2"/>
  <c r="BO217" i="2"/>
  <c r="BN217" i="2"/>
  <c r="BM217" i="2"/>
  <c r="BL217" i="2"/>
  <c r="BJ217" i="2"/>
  <c r="BI217" i="2"/>
  <c r="BH217" i="2"/>
  <c r="BG217" i="2"/>
  <c r="BF217" i="2"/>
  <c r="BE217" i="2"/>
  <c r="BD217" i="2"/>
  <c r="BC217" i="2"/>
  <c r="BB217" i="2"/>
  <c r="BA217" i="2"/>
  <c r="AZ217" i="2"/>
  <c r="AY217" i="2"/>
  <c r="BW216" i="2"/>
  <c r="BV216" i="2"/>
  <c r="BU216" i="2"/>
  <c r="BT216" i="2"/>
  <c r="BS216" i="2"/>
  <c r="BR216" i="2"/>
  <c r="BQ216" i="2"/>
  <c r="BP216" i="2"/>
  <c r="BO216" i="2"/>
  <c r="BN216" i="2"/>
  <c r="BM216" i="2"/>
  <c r="BL216" i="2"/>
  <c r="BJ216" i="2"/>
  <c r="BI216" i="2"/>
  <c r="BH216" i="2"/>
  <c r="BG216" i="2"/>
  <c r="BF216" i="2"/>
  <c r="BE216" i="2"/>
  <c r="BD216" i="2"/>
  <c r="BC216" i="2"/>
  <c r="BB216" i="2"/>
  <c r="BA216" i="2"/>
  <c r="AZ216" i="2"/>
  <c r="AY216" i="2"/>
  <c r="BW215" i="2"/>
  <c r="BV215" i="2"/>
  <c r="BU215" i="2"/>
  <c r="BT215" i="2"/>
  <c r="BS215" i="2"/>
  <c r="BR215" i="2"/>
  <c r="BQ215" i="2"/>
  <c r="BP215" i="2"/>
  <c r="BO215" i="2"/>
  <c r="BN215" i="2"/>
  <c r="BM215" i="2"/>
  <c r="BL215" i="2"/>
  <c r="BJ215" i="2"/>
  <c r="BI215" i="2"/>
  <c r="BH215" i="2"/>
  <c r="BG215" i="2"/>
  <c r="BF215" i="2"/>
  <c r="BE215" i="2"/>
  <c r="BD215" i="2"/>
  <c r="BC215" i="2"/>
  <c r="BB215" i="2"/>
  <c r="BA215" i="2"/>
  <c r="AZ215" i="2"/>
  <c r="AY215" i="2"/>
  <c r="BW214" i="2"/>
  <c r="BV214" i="2"/>
  <c r="BU214" i="2"/>
  <c r="BT214" i="2"/>
  <c r="BS214" i="2"/>
  <c r="BR214" i="2"/>
  <c r="BQ214" i="2"/>
  <c r="BP214" i="2"/>
  <c r="BO214" i="2"/>
  <c r="BN214" i="2"/>
  <c r="BM214" i="2"/>
  <c r="BL214" i="2"/>
  <c r="BJ214" i="2"/>
  <c r="BI214" i="2"/>
  <c r="BH214" i="2"/>
  <c r="BG214" i="2"/>
  <c r="BF214" i="2"/>
  <c r="BE214" i="2"/>
  <c r="BD214" i="2"/>
  <c r="BC214" i="2"/>
  <c r="BB214" i="2"/>
  <c r="BA214" i="2"/>
  <c r="AZ214" i="2"/>
  <c r="AY214" i="2"/>
  <c r="BW213" i="2"/>
  <c r="BV213" i="2"/>
  <c r="BU213" i="2"/>
  <c r="BT213" i="2"/>
  <c r="BS213" i="2"/>
  <c r="BR213" i="2"/>
  <c r="BQ213" i="2"/>
  <c r="BP213" i="2"/>
  <c r="BO213" i="2"/>
  <c r="BN213" i="2"/>
  <c r="BM213" i="2"/>
  <c r="BL213" i="2"/>
  <c r="BJ213" i="2"/>
  <c r="BI213" i="2"/>
  <c r="BH213" i="2"/>
  <c r="BG213" i="2"/>
  <c r="BF213" i="2"/>
  <c r="BE213" i="2"/>
  <c r="BD213" i="2"/>
  <c r="BC213" i="2"/>
  <c r="BB213" i="2"/>
  <c r="BA213" i="2"/>
  <c r="AZ213" i="2"/>
  <c r="AY213" i="2"/>
  <c r="BW212" i="2"/>
  <c r="BV212" i="2"/>
  <c r="BU212" i="2"/>
  <c r="BT212" i="2"/>
  <c r="BS212" i="2"/>
  <c r="BR212" i="2"/>
  <c r="BQ212" i="2"/>
  <c r="BP212" i="2"/>
  <c r="BO212" i="2"/>
  <c r="BN212" i="2"/>
  <c r="BM212" i="2"/>
  <c r="BL212" i="2"/>
  <c r="BJ212" i="2"/>
  <c r="BI212" i="2"/>
  <c r="BH212" i="2"/>
  <c r="BG212" i="2"/>
  <c r="BF212" i="2"/>
  <c r="BE212" i="2"/>
  <c r="BD212" i="2"/>
  <c r="BC212" i="2"/>
  <c r="BB212" i="2"/>
  <c r="BA212" i="2"/>
  <c r="AZ212" i="2"/>
  <c r="AY212" i="2"/>
  <c r="BW211" i="2"/>
  <c r="BV211" i="2"/>
  <c r="BU211" i="2"/>
  <c r="BT211" i="2"/>
  <c r="BS211" i="2"/>
  <c r="BR211" i="2"/>
  <c r="BQ211" i="2"/>
  <c r="BP211" i="2"/>
  <c r="BO211" i="2"/>
  <c r="BN211" i="2"/>
  <c r="BM211" i="2"/>
  <c r="BL211" i="2"/>
  <c r="BJ211" i="2"/>
  <c r="BI211" i="2"/>
  <c r="BH211" i="2"/>
  <c r="BG211" i="2"/>
  <c r="BF211" i="2"/>
  <c r="BE211" i="2"/>
  <c r="BD211" i="2"/>
  <c r="BC211" i="2"/>
  <c r="BB211" i="2"/>
  <c r="BA211" i="2"/>
  <c r="AZ211" i="2"/>
  <c r="AY211" i="2"/>
  <c r="BW210" i="2"/>
  <c r="BV210" i="2"/>
  <c r="BU210" i="2"/>
  <c r="BT210" i="2"/>
  <c r="BS210" i="2"/>
  <c r="BR210" i="2"/>
  <c r="BQ210" i="2"/>
  <c r="BP210" i="2"/>
  <c r="BO210" i="2"/>
  <c r="BN210" i="2"/>
  <c r="BM210" i="2"/>
  <c r="BL210" i="2"/>
  <c r="BJ210" i="2"/>
  <c r="BI210" i="2"/>
  <c r="BH210" i="2"/>
  <c r="BG210" i="2"/>
  <c r="BF210" i="2"/>
  <c r="BE210" i="2"/>
  <c r="BD210" i="2"/>
  <c r="BC210" i="2"/>
  <c r="BB210" i="2"/>
  <c r="BA210" i="2"/>
  <c r="AZ210" i="2"/>
  <c r="AY210" i="2"/>
  <c r="BW209" i="2"/>
  <c r="BV209" i="2"/>
  <c r="BU209" i="2"/>
  <c r="BT209" i="2"/>
  <c r="BS209" i="2"/>
  <c r="BR209" i="2"/>
  <c r="BQ209" i="2"/>
  <c r="BP209" i="2"/>
  <c r="BO209" i="2"/>
  <c r="BN209" i="2"/>
  <c r="BM209" i="2"/>
  <c r="BL209" i="2"/>
  <c r="BJ209" i="2"/>
  <c r="BI209" i="2"/>
  <c r="BH209" i="2"/>
  <c r="BG209" i="2"/>
  <c r="BF209" i="2"/>
  <c r="BE209" i="2"/>
  <c r="BD209" i="2"/>
  <c r="BC209" i="2"/>
  <c r="BB209" i="2"/>
  <c r="BA209" i="2"/>
  <c r="AZ209" i="2"/>
  <c r="AY209" i="2"/>
  <c r="BW208" i="2"/>
  <c r="BV208" i="2"/>
  <c r="BU208" i="2"/>
  <c r="BT208" i="2"/>
  <c r="BS208" i="2"/>
  <c r="BR208" i="2"/>
  <c r="BQ208" i="2"/>
  <c r="BP208" i="2"/>
  <c r="BO208" i="2"/>
  <c r="BN208" i="2"/>
  <c r="BM208" i="2"/>
  <c r="BL208" i="2"/>
  <c r="BJ208" i="2"/>
  <c r="BI208" i="2"/>
  <c r="BH208" i="2"/>
  <c r="BG208" i="2"/>
  <c r="BF208" i="2"/>
  <c r="BE208" i="2"/>
  <c r="BD208" i="2"/>
  <c r="BC208" i="2"/>
  <c r="BB208" i="2"/>
  <c r="BA208" i="2"/>
  <c r="AZ208" i="2"/>
  <c r="AY208" i="2"/>
  <c r="BW207" i="2"/>
  <c r="BV207" i="2"/>
  <c r="BU207" i="2"/>
  <c r="BT207" i="2"/>
  <c r="BS207" i="2"/>
  <c r="BR207" i="2"/>
  <c r="BQ207" i="2"/>
  <c r="BP207" i="2"/>
  <c r="BO207" i="2"/>
  <c r="BN207" i="2"/>
  <c r="BM207" i="2"/>
  <c r="BL207" i="2"/>
  <c r="BJ207" i="2"/>
  <c r="BI207" i="2"/>
  <c r="BH207" i="2"/>
  <c r="BG207" i="2"/>
  <c r="BF207" i="2"/>
  <c r="BE207" i="2"/>
  <c r="BD207" i="2"/>
  <c r="BC207" i="2"/>
  <c r="BB207" i="2"/>
  <c r="BA207" i="2"/>
  <c r="AZ207" i="2"/>
  <c r="AY207" i="2"/>
  <c r="BW206" i="2"/>
  <c r="BV206" i="2"/>
  <c r="BU206" i="2"/>
  <c r="BT206" i="2"/>
  <c r="BS206" i="2"/>
  <c r="BR206" i="2"/>
  <c r="BQ206" i="2"/>
  <c r="BP206" i="2"/>
  <c r="BO206" i="2"/>
  <c r="BN206" i="2"/>
  <c r="BM206" i="2"/>
  <c r="BL206" i="2"/>
  <c r="BJ206" i="2"/>
  <c r="BI206" i="2"/>
  <c r="BH206" i="2"/>
  <c r="BG206" i="2"/>
  <c r="BF206" i="2"/>
  <c r="BE206" i="2"/>
  <c r="BD206" i="2"/>
  <c r="BC206" i="2"/>
  <c r="BB206" i="2"/>
  <c r="BA206" i="2"/>
  <c r="AZ206" i="2"/>
  <c r="AY206" i="2"/>
  <c r="BW205" i="2"/>
  <c r="BV205" i="2"/>
  <c r="BU205" i="2"/>
  <c r="BT205" i="2"/>
  <c r="BS205" i="2"/>
  <c r="BR205" i="2"/>
  <c r="BQ205" i="2"/>
  <c r="BP205" i="2"/>
  <c r="BO205" i="2"/>
  <c r="BN205" i="2"/>
  <c r="BM205" i="2"/>
  <c r="BL205" i="2"/>
  <c r="BJ205" i="2"/>
  <c r="BI205" i="2"/>
  <c r="BH205" i="2"/>
  <c r="BG205" i="2"/>
  <c r="BF205" i="2"/>
  <c r="BE205" i="2"/>
  <c r="BD205" i="2"/>
  <c r="BC205" i="2"/>
  <c r="BB205" i="2"/>
  <c r="BA205" i="2"/>
  <c r="AZ205" i="2"/>
  <c r="AY205" i="2"/>
  <c r="BW204" i="2"/>
  <c r="BV204" i="2"/>
  <c r="BU204" i="2"/>
  <c r="BT204" i="2"/>
  <c r="BS204" i="2"/>
  <c r="BR204" i="2"/>
  <c r="BQ204" i="2"/>
  <c r="BP204" i="2"/>
  <c r="BO204" i="2"/>
  <c r="BN204" i="2"/>
  <c r="BM204" i="2"/>
  <c r="BL204" i="2"/>
  <c r="BJ204" i="2"/>
  <c r="BI204" i="2"/>
  <c r="BH204" i="2"/>
  <c r="BG204" i="2"/>
  <c r="BF204" i="2"/>
  <c r="BE204" i="2"/>
  <c r="BD204" i="2"/>
  <c r="BC204" i="2"/>
  <c r="BB204" i="2"/>
  <c r="BA204" i="2"/>
  <c r="AZ204" i="2"/>
  <c r="AY204" i="2"/>
  <c r="BW203" i="2"/>
  <c r="BV203" i="2"/>
  <c r="BU203" i="2"/>
  <c r="BT203" i="2"/>
  <c r="BS203" i="2"/>
  <c r="BR203" i="2"/>
  <c r="BQ203" i="2"/>
  <c r="BP203" i="2"/>
  <c r="BO203" i="2"/>
  <c r="BN203" i="2"/>
  <c r="BM203" i="2"/>
  <c r="BL203" i="2"/>
  <c r="BJ203" i="2"/>
  <c r="BI203" i="2"/>
  <c r="BH203" i="2"/>
  <c r="BG203" i="2"/>
  <c r="BF203" i="2"/>
  <c r="BE203" i="2"/>
  <c r="BD203" i="2"/>
  <c r="BC203" i="2"/>
  <c r="BB203" i="2"/>
  <c r="BA203" i="2"/>
  <c r="AZ203" i="2"/>
  <c r="AY203" i="2"/>
  <c r="BW202" i="2"/>
  <c r="BV202" i="2"/>
  <c r="BU202" i="2"/>
  <c r="BT202" i="2"/>
  <c r="BS202" i="2"/>
  <c r="BR202" i="2"/>
  <c r="BQ202" i="2"/>
  <c r="BP202" i="2"/>
  <c r="BO202" i="2"/>
  <c r="BN202" i="2"/>
  <c r="BM202" i="2"/>
  <c r="BL202" i="2"/>
  <c r="BJ202" i="2"/>
  <c r="BI202" i="2"/>
  <c r="BH202" i="2"/>
  <c r="BG202" i="2"/>
  <c r="BF202" i="2"/>
  <c r="BE202" i="2"/>
  <c r="BD202" i="2"/>
  <c r="BC202" i="2"/>
  <c r="BB202" i="2"/>
  <c r="BA202" i="2"/>
  <c r="AZ202" i="2"/>
  <c r="AY202" i="2"/>
  <c r="BW201" i="2"/>
  <c r="BV201" i="2"/>
  <c r="BU201" i="2"/>
  <c r="BT201" i="2"/>
  <c r="BS201" i="2"/>
  <c r="BR201" i="2"/>
  <c r="BQ201" i="2"/>
  <c r="BP201" i="2"/>
  <c r="BO201" i="2"/>
  <c r="BN201" i="2"/>
  <c r="BM201" i="2"/>
  <c r="BL201" i="2"/>
  <c r="BJ201" i="2"/>
  <c r="BI201" i="2"/>
  <c r="BH201" i="2"/>
  <c r="BG201" i="2"/>
  <c r="BF201" i="2"/>
  <c r="BE201" i="2"/>
  <c r="BD201" i="2"/>
  <c r="BC201" i="2"/>
  <c r="BB201" i="2"/>
  <c r="BA201" i="2"/>
  <c r="AZ201" i="2"/>
  <c r="AY201" i="2"/>
  <c r="BW200" i="2"/>
  <c r="BV200" i="2"/>
  <c r="BU200" i="2"/>
  <c r="BT200" i="2"/>
  <c r="BS200" i="2"/>
  <c r="BR200" i="2"/>
  <c r="BQ200" i="2"/>
  <c r="BP200" i="2"/>
  <c r="BO200" i="2"/>
  <c r="BN200" i="2"/>
  <c r="BM200" i="2"/>
  <c r="BL200" i="2"/>
  <c r="BJ200" i="2"/>
  <c r="BI200" i="2"/>
  <c r="BH200" i="2"/>
  <c r="BG200" i="2"/>
  <c r="BF200" i="2"/>
  <c r="BE200" i="2"/>
  <c r="BD200" i="2"/>
  <c r="BC200" i="2"/>
  <c r="BB200" i="2"/>
  <c r="BA200" i="2"/>
  <c r="AZ200" i="2"/>
  <c r="AY200" i="2"/>
  <c r="BW199" i="2"/>
  <c r="BV199" i="2"/>
  <c r="BU199" i="2"/>
  <c r="BT199" i="2"/>
  <c r="BS199" i="2"/>
  <c r="BR199" i="2"/>
  <c r="BQ199" i="2"/>
  <c r="BP199" i="2"/>
  <c r="BO199" i="2"/>
  <c r="BN199" i="2"/>
  <c r="BM199" i="2"/>
  <c r="BL199" i="2"/>
  <c r="BJ199" i="2"/>
  <c r="BI199" i="2"/>
  <c r="BH199" i="2"/>
  <c r="BG199" i="2"/>
  <c r="BF199" i="2"/>
  <c r="BE199" i="2"/>
  <c r="BD199" i="2"/>
  <c r="BC199" i="2"/>
  <c r="BB199" i="2"/>
  <c r="BA199" i="2"/>
  <c r="AZ199" i="2"/>
  <c r="AY199" i="2"/>
  <c r="BW198" i="2"/>
  <c r="BV198" i="2"/>
  <c r="BU198" i="2"/>
  <c r="BT198" i="2"/>
  <c r="BS198" i="2"/>
  <c r="BR198" i="2"/>
  <c r="BQ198" i="2"/>
  <c r="BP198" i="2"/>
  <c r="BO198" i="2"/>
  <c r="BN198" i="2"/>
  <c r="BM198" i="2"/>
  <c r="BL198" i="2"/>
  <c r="BJ198" i="2"/>
  <c r="BI198" i="2"/>
  <c r="BH198" i="2"/>
  <c r="BG198" i="2"/>
  <c r="BF198" i="2"/>
  <c r="BE198" i="2"/>
  <c r="BD198" i="2"/>
  <c r="BC198" i="2"/>
  <c r="BB198" i="2"/>
  <c r="BA198" i="2"/>
  <c r="AZ198" i="2"/>
  <c r="AY198" i="2"/>
  <c r="BW197" i="2"/>
  <c r="BV197" i="2"/>
  <c r="BU197" i="2"/>
  <c r="BT197" i="2"/>
  <c r="BS197" i="2"/>
  <c r="BR197" i="2"/>
  <c r="BQ197" i="2"/>
  <c r="BP197" i="2"/>
  <c r="BO197" i="2"/>
  <c r="BN197" i="2"/>
  <c r="BM197" i="2"/>
  <c r="BL197" i="2"/>
  <c r="BJ197" i="2"/>
  <c r="BI197" i="2"/>
  <c r="BH197" i="2"/>
  <c r="BG197" i="2"/>
  <c r="BF197" i="2"/>
  <c r="BE197" i="2"/>
  <c r="BD197" i="2"/>
  <c r="BC197" i="2"/>
  <c r="BB197" i="2"/>
  <c r="BA197" i="2"/>
  <c r="AZ197" i="2"/>
  <c r="AY197" i="2"/>
  <c r="BW196" i="2"/>
  <c r="BV196" i="2"/>
  <c r="BU196" i="2"/>
  <c r="BT196" i="2"/>
  <c r="BS196" i="2"/>
  <c r="BR196" i="2"/>
  <c r="BQ196" i="2"/>
  <c r="BP196" i="2"/>
  <c r="BO196" i="2"/>
  <c r="BN196" i="2"/>
  <c r="BM196" i="2"/>
  <c r="BL196" i="2"/>
  <c r="BJ196" i="2"/>
  <c r="BI196" i="2"/>
  <c r="BH196" i="2"/>
  <c r="BG196" i="2"/>
  <c r="BF196" i="2"/>
  <c r="BE196" i="2"/>
  <c r="BD196" i="2"/>
  <c r="BC196" i="2"/>
  <c r="BB196" i="2"/>
  <c r="BA196" i="2"/>
  <c r="AZ196" i="2"/>
  <c r="AY196" i="2"/>
  <c r="BW195" i="2"/>
  <c r="BV195" i="2"/>
  <c r="BU195" i="2"/>
  <c r="BT195" i="2"/>
  <c r="BS195" i="2"/>
  <c r="BR195" i="2"/>
  <c r="BQ195" i="2"/>
  <c r="BP195" i="2"/>
  <c r="BO195" i="2"/>
  <c r="BN195" i="2"/>
  <c r="BM195" i="2"/>
  <c r="BL195" i="2"/>
  <c r="BJ195" i="2"/>
  <c r="BI195" i="2"/>
  <c r="BH195" i="2"/>
  <c r="BG195" i="2"/>
  <c r="BF195" i="2"/>
  <c r="BE195" i="2"/>
  <c r="BD195" i="2"/>
  <c r="BC195" i="2"/>
  <c r="BB195" i="2"/>
  <c r="BA195" i="2"/>
  <c r="AZ195" i="2"/>
  <c r="AY195" i="2"/>
  <c r="BW194" i="2"/>
  <c r="BV194" i="2"/>
  <c r="BU194" i="2"/>
  <c r="BT194" i="2"/>
  <c r="BS194" i="2"/>
  <c r="BR194" i="2"/>
  <c r="BQ194" i="2"/>
  <c r="BP194" i="2"/>
  <c r="BO194" i="2"/>
  <c r="BN194" i="2"/>
  <c r="BM194" i="2"/>
  <c r="BL194" i="2"/>
  <c r="BJ194" i="2"/>
  <c r="BI194" i="2"/>
  <c r="BH194" i="2"/>
  <c r="BG194" i="2"/>
  <c r="BF194" i="2"/>
  <c r="BE194" i="2"/>
  <c r="BD194" i="2"/>
  <c r="BC194" i="2"/>
  <c r="BB194" i="2"/>
  <c r="BA194" i="2"/>
  <c r="AZ194" i="2"/>
  <c r="AY194" i="2"/>
  <c r="BW193" i="2"/>
  <c r="BV193" i="2"/>
  <c r="BU193" i="2"/>
  <c r="BT193" i="2"/>
  <c r="BS193" i="2"/>
  <c r="BR193" i="2"/>
  <c r="BQ193" i="2"/>
  <c r="BP193" i="2"/>
  <c r="BO193" i="2"/>
  <c r="BN193" i="2"/>
  <c r="BM193" i="2"/>
  <c r="BL193" i="2"/>
  <c r="BJ193" i="2"/>
  <c r="BI193" i="2"/>
  <c r="BH193" i="2"/>
  <c r="BG193" i="2"/>
  <c r="BF193" i="2"/>
  <c r="BE193" i="2"/>
  <c r="BD193" i="2"/>
  <c r="BC193" i="2"/>
  <c r="BB193" i="2"/>
  <c r="BA193" i="2"/>
  <c r="AZ193" i="2"/>
  <c r="AY193" i="2"/>
  <c r="BW192" i="2"/>
  <c r="BV192" i="2"/>
  <c r="BU192" i="2"/>
  <c r="BT192" i="2"/>
  <c r="BS192" i="2"/>
  <c r="BR192" i="2"/>
  <c r="BQ192" i="2"/>
  <c r="BP192" i="2"/>
  <c r="BO192" i="2"/>
  <c r="BN192" i="2"/>
  <c r="BM192" i="2"/>
  <c r="BL192" i="2"/>
  <c r="BJ192" i="2"/>
  <c r="BI192" i="2"/>
  <c r="BH192" i="2"/>
  <c r="BG192" i="2"/>
  <c r="BF192" i="2"/>
  <c r="BE192" i="2"/>
  <c r="BD192" i="2"/>
  <c r="BC192" i="2"/>
  <c r="BB192" i="2"/>
  <c r="BA192" i="2"/>
  <c r="AZ192" i="2"/>
  <c r="AY192" i="2"/>
  <c r="BW191" i="2"/>
  <c r="BV191" i="2"/>
  <c r="BU191" i="2"/>
  <c r="BT191" i="2"/>
  <c r="BS191" i="2"/>
  <c r="BR191" i="2"/>
  <c r="BQ191" i="2"/>
  <c r="BP191" i="2"/>
  <c r="BO191" i="2"/>
  <c r="BN191" i="2"/>
  <c r="BM191" i="2"/>
  <c r="BL191" i="2"/>
  <c r="BJ191" i="2"/>
  <c r="BI191" i="2"/>
  <c r="BH191" i="2"/>
  <c r="BG191" i="2"/>
  <c r="BF191" i="2"/>
  <c r="BE191" i="2"/>
  <c r="BD191" i="2"/>
  <c r="BC191" i="2"/>
  <c r="BB191" i="2"/>
  <c r="BA191" i="2"/>
  <c r="AZ191" i="2"/>
  <c r="AY191" i="2"/>
  <c r="BW190" i="2"/>
  <c r="BV190" i="2"/>
  <c r="BU190" i="2"/>
  <c r="BT190" i="2"/>
  <c r="BS190" i="2"/>
  <c r="BR190" i="2"/>
  <c r="BQ190" i="2"/>
  <c r="BP190" i="2"/>
  <c r="BO190" i="2"/>
  <c r="BN190" i="2"/>
  <c r="BM190" i="2"/>
  <c r="BL190" i="2"/>
  <c r="BJ190" i="2"/>
  <c r="BI190" i="2"/>
  <c r="BH190" i="2"/>
  <c r="BG190" i="2"/>
  <c r="BF190" i="2"/>
  <c r="BE190" i="2"/>
  <c r="BD190" i="2"/>
  <c r="BC190" i="2"/>
  <c r="BB190" i="2"/>
  <c r="BA190" i="2"/>
  <c r="AZ190" i="2"/>
  <c r="AY190" i="2"/>
  <c r="BW189" i="2"/>
  <c r="BV189" i="2"/>
  <c r="BU189" i="2"/>
  <c r="BT189" i="2"/>
  <c r="BS189" i="2"/>
  <c r="BR189" i="2"/>
  <c r="BQ189" i="2"/>
  <c r="BP189" i="2"/>
  <c r="BO189" i="2"/>
  <c r="BN189" i="2"/>
  <c r="BM189" i="2"/>
  <c r="BL189" i="2"/>
  <c r="BJ189" i="2"/>
  <c r="BI189" i="2"/>
  <c r="BH189" i="2"/>
  <c r="BG189" i="2"/>
  <c r="BF189" i="2"/>
  <c r="BE189" i="2"/>
  <c r="BD189" i="2"/>
  <c r="BC189" i="2"/>
  <c r="BB189" i="2"/>
  <c r="BA189" i="2"/>
  <c r="AZ189" i="2"/>
  <c r="AY189" i="2"/>
  <c r="BW188" i="2"/>
  <c r="BV188" i="2"/>
  <c r="BU188" i="2"/>
  <c r="BT188" i="2"/>
  <c r="BS188" i="2"/>
  <c r="BR188" i="2"/>
  <c r="BQ188" i="2"/>
  <c r="BP188" i="2"/>
  <c r="BO188" i="2"/>
  <c r="BN188" i="2"/>
  <c r="BM188" i="2"/>
  <c r="BL188" i="2"/>
  <c r="BJ188" i="2"/>
  <c r="BI188" i="2"/>
  <c r="BH188" i="2"/>
  <c r="BG188" i="2"/>
  <c r="BF188" i="2"/>
  <c r="BE188" i="2"/>
  <c r="BD188" i="2"/>
  <c r="BC188" i="2"/>
  <c r="BB188" i="2"/>
  <c r="BA188" i="2"/>
  <c r="AZ188" i="2"/>
  <c r="AY188" i="2"/>
  <c r="BW187" i="2"/>
  <c r="BV187" i="2"/>
  <c r="BU187" i="2"/>
  <c r="BT187" i="2"/>
  <c r="BS187" i="2"/>
  <c r="BR187" i="2"/>
  <c r="BQ187" i="2"/>
  <c r="BP187" i="2"/>
  <c r="BO187" i="2"/>
  <c r="BN187" i="2"/>
  <c r="BM187" i="2"/>
  <c r="BL187" i="2"/>
  <c r="BJ187" i="2"/>
  <c r="BI187" i="2"/>
  <c r="BH187" i="2"/>
  <c r="BG187" i="2"/>
  <c r="BF187" i="2"/>
  <c r="BE187" i="2"/>
  <c r="BD187" i="2"/>
  <c r="BC187" i="2"/>
  <c r="BB187" i="2"/>
  <c r="BA187" i="2"/>
  <c r="AZ187" i="2"/>
  <c r="AY187" i="2"/>
  <c r="BW186" i="2"/>
  <c r="BV186" i="2"/>
  <c r="BU186" i="2"/>
  <c r="BT186" i="2"/>
  <c r="BS186" i="2"/>
  <c r="BR186" i="2"/>
  <c r="BQ186" i="2"/>
  <c r="BP186" i="2"/>
  <c r="BO186" i="2"/>
  <c r="BN186" i="2"/>
  <c r="BM186" i="2"/>
  <c r="BL186" i="2"/>
  <c r="BJ186" i="2"/>
  <c r="BI186" i="2"/>
  <c r="BH186" i="2"/>
  <c r="BG186" i="2"/>
  <c r="BF186" i="2"/>
  <c r="BE186" i="2"/>
  <c r="BD186" i="2"/>
  <c r="BC186" i="2"/>
  <c r="BB186" i="2"/>
  <c r="BA186" i="2"/>
  <c r="AZ186" i="2"/>
  <c r="AY186" i="2"/>
  <c r="BW185" i="2"/>
  <c r="BV185" i="2"/>
  <c r="BU185" i="2"/>
  <c r="BT185" i="2"/>
  <c r="BS185" i="2"/>
  <c r="BR185" i="2"/>
  <c r="BQ185" i="2"/>
  <c r="BP185" i="2"/>
  <c r="BO185" i="2"/>
  <c r="BN185" i="2"/>
  <c r="BM185" i="2"/>
  <c r="BL185" i="2"/>
  <c r="BJ185" i="2"/>
  <c r="BI185" i="2"/>
  <c r="BH185" i="2"/>
  <c r="BG185" i="2"/>
  <c r="BF185" i="2"/>
  <c r="BE185" i="2"/>
  <c r="BD185" i="2"/>
  <c r="BC185" i="2"/>
  <c r="BB185" i="2"/>
  <c r="BA185" i="2"/>
  <c r="AZ185" i="2"/>
  <c r="AY185" i="2"/>
  <c r="BW184" i="2"/>
  <c r="BV184" i="2"/>
  <c r="BU184" i="2"/>
  <c r="BT184" i="2"/>
  <c r="BS184" i="2"/>
  <c r="BR184" i="2"/>
  <c r="BQ184" i="2"/>
  <c r="BP184" i="2"/>
  <c r="BO184" i="2"/>
  <c r="BN184" i="2"/>
  <c r="BM184" i="2"/>
  <c r="BL184" i="2"/>
  <c r="BJ184" i="2"/>
  <c r="BI184" i="2"/>
  <c r="BH184" i="2"/>
  <c r="BG184" i="2"/>
  <c r="BF184" i="2"/>
  <c r="BE184" i="2"/>
  <c r="BD184" i="2"/>
  <c r="BC184" i="2"/>
  <c r="BB184" i="2"/>
  <c r="BA184" i="2"/>
  <c r="AZ184" i="2"/>
  <c r="AY184" i="2"/>
  <c r="BW183" i="2"/>
  <c r="BV183" i="2"/>
  <c r="BU183" i="2"/>
  <c r="BT183" i="2"/>
  <c r="BS183" i="2"/>
  <c r="BR183" i="2"/>
  <c r="BQ183" i="2"/>
  <c r="BP183" i="2"/>
  <c r="BO183" i="2"/>
  <c r="BN183" i="2"/>
  <c r="BM183" i="2"/>
  <c r="BL183" i="2"/>
  <c r="BJ183" i="2"/>
  <c r="BI183" i="2"/>
  <c r="BH183" i="2"/>
  <c r="BG183" i="2"/>
  <c r="BF183" i="2"/>
  <c r="BE183" i="2"/>
  <c r="BD183" i="2"/>
  <c r="BC183" i="2"/>
  <c r="BB183" i="2"/>
  <c r="BA183" i="2"/>
  <c r="AZ183" i="2"/>
  <c r="AY183" i="2"/>
  <c r="BW182" i="2"/>
  <c r="BV182" i="2"/>
  <c r="BU182" i="2"/>
  <c r="BT182" i="2"/>
  <c r="BS182" i="2"/>
  <c r="BR182" i="2"/>
  <c r="BQ182" i="2"/>
  <c r="BP182" i="2"/>
  <c r="BO182" i="2"/>
  <c r="BN182" i="2"/>
  <c r="BM182" i="2"/>
  <c r="BL182" i="2"/>
  <c r="BJ182" i="2"/>
  <c r="BI182" i="2"/>
  <c r="BH182" i="2"/>
  <c r="BG182" i="2"/>
  <c r="BF182" i="2"/>
  <c r="BE182" i="2"/>
  <c r="BD182" i="2"/>
  <c r="BC182" i="2"/>
  <c r="BB182" i="2"/>
  <c r="BA182" i="2"/>
  <c r="AZ182" i="2"/>
  <c r="AY182" i="2"/>
  <c r="BW181" i="2"/>
  <c r="BV181" i="2"/>
  <c r="BU181" i="2"/>
  <c r="BT181" i="2"/>
  <c r="BS181" i="2"/>
  <c r="BR181" i="2"/>
  <c r="BQ181" i="2"/>
  <c r="BP181" i="2"/>
  <c r="BO181" i="2"/>
  <c r="BN181" i="2"/>
  <c r="BM181" i="2"/>
  <c r="BL181" i="2"/>
  <c r="BJ181" i="2"/>
  <c r="BI181" i="2"/>
  <c r="BH181" i="2"/>
  <c r="BG181" i="2"/>
  <c r="BF181" i="2"/>
  <c r="BE181" i="2"/>
  <c r="BD181" i="2"/>
  <c r="BC181" i="2"/>
  <c r="BB181" i="2"/>
  <c r="BA181" i="2"/>
  <c r="AZ181" i="2"/>
  <c r="AY181" i="2"/>
  <c r="BW180" i="2"/>
  <c r="BV180" i="2"/>
  <c r="BU180" i="2"/>
  <c r="BT180" i="2"/>
  <c r="BS180" i="2"/>
  <c r="BR180" i="2"/>
  <c r="BQ180" i="2"/>
  <c r="BP180" i="2"/>
  <c r="BO180" i="2"/>
  <c r="BN180" i="2"/>
  <c r="BM180" i="2"/>
  <c r="BL180" i="2"/>
  <c r="BJ180" i="2"/>
  <c r="BI180" i="2"/>
  <c r="BH180" i="2"/>
  <c r="BG180" i="2"/>
  <c r="BF180" i="2"/>
  <c r="BE180" i="2"/>
  <c r="BD180" i="2"/>
  <c r="BC180" i="2"/>
  <c r="BB180" i="2"/>
  <c r="BA180" i="2"/>
  <c r="AZ180" i="2"/>
  <c r="AY180" i="2"/>
  <c r="BW179" i="2"/>
  <c r="BV179" i="2"/>
  <c r="BU179" i="2"/>
  <c r="BT179" i="2"/>
  <c r="BS179" i="2"/>
  <c r="BR179" i="2"/>
  <c r="BQ179" i="2"/>
  <c r="BP179" i="2"/>
  <c r="BO179" i="2"/>
  <c r="BN179" i="2"/>
  <c r="BM179" i="2"/>
  <c r="BL179" i="2"/>
  <c r="BJ179" i="2"/>
  <c r="BI179" i="2"/>
  <c r="BH179" i="2"/>
  <c r="BG179" i="2"/>
  <c r="BF179" i="2"/>
  <c r="BE179" i="2"/>
  <c r="BD179" i="2"/>
  <c r="BC179" i="2"/>
  <c r="BB179" i="2"/>
  <c r="BA179" i="2"/>
  <c r="AZ179" i="2"/>
  <c r="AY179" i="2"/>
  <c r="BW178" i="2"/>
  <c r="BV178" i="2"/>
  <c r="BU178" i="2"/>
  <c r="BT178" i="2"/>
  <c r="BS178" i="2"/>
  <c r="BR178" i="2"/>
  <c r="BQ178" i="2"/>
  <c r="BP178" i="2"/>
  <c r="BO178" i="2"/>
  <c r="BN178" i="2"/>
  <c r="BM178" i="2"/>
  <c r="BL178" i="2"/>
  <c r="BJ178" i="2"/>
  <c r="BI178" i="2"/>
  <c r="BH178" i="2"/>
  <c r="BG178" i="2"/>
  <c r="BF178" i="2"/>
  <c r="BE178" i="2"/>
  <c r="BD178" i="2"/>
  <c r="BC178" i="2"/>
  <c r="BB178" i="2"/>
  <c r="BA178" i="2"/>
  <c r="AZ178" i="2"/>
  <c r="AY178" i="2"/>
  <c r="BW177" i="2"/>
  <c r="BV177" i="2"/>
  <c r="BU177" i="2"/>
  <c r="BT177" i="2"/>
  <c r="BS177" i="2"/>
  <c r="BR177" i="2"/>
  <c r="BQ177" i="2"/>
  <c r="BP177" i="2"/>
  <c r="BO177" i="2"/>
  <c r="BN177" i="2"/>
  <c r="BM177" i="2"/>
  <c r="BL177" i="2"/>
  <c r="BJ177" i="2"/>
  <c r="BI177" i="2"/>
  <c r="BH177" i="2"/>
  <c r="BG177" i="2"/>
  <c r="BF177" i="2"/>
  <c r="BE177" i="2"/>
  <c r="BD177" i="2"/>
  <c r="BC177" i="2"/>
  <c r="BB177" i="2"/>
  <c r="BA177" i="2"/>
  <c r="AZ177" i="2"/>
  <c r="AY177" i="2"/>
  <c r="BW176" i="2"/>
  <c r="BV176" i="2"/>
  <c r="BU176" i="2"/>
  <c r="BT176" i="2"/>
  <c r="BS176" i="2"/>
  <c r="BR176" i="2"/>
  <c r="BQ176" i="2"/>
  <c r="BP176" i="2"/>
  <c r="BO176" i="2"/>
  <c r="BN176" i="2"/>
  <c r="BM176" i="2"/>
  <c r="BL176" i="2"/>
  <c r="BJ176" i="2"/>
  <c r="BI176" i="2"/>
  <c r="BH176" i="2"/>
  <c r="BG176" i="2"/>
  <c r="BF176" i="2"/>
  <c r="BE176" i="2"/>
  <c r="BD176" i="2"/>
  <c r="BC176" i="2"/>
  <c r="BB176" i="2"/>
  <c r="BA176" i="2"/>
  <c r="AZ176" i="2"/>
  <c r="AY176" i="2"/>
  <c r="BW175" i="2"/>
  <c r="BV175" i="2"/>
  <c r="BU175" i="2"/>
  <c r="BT175" i="2"/>
  <c r="BS175" i="2"/>
  <c r="BR175" i="2"/>
  <c r="BQ175" i="2"/>
  <c r="BP175" i="2"/>
  <c r="BO175" i="2"/>
  <c r="BN175" i="2"/>
  <c r="BM175" i="2"/>
  <c r="BL175" i="2"/>
  <c r="BJ175" i="2"/>
  <c r="BI175" i="2"/>
  <c r="BH175" i="2"/>
  <c r="BG175" i="2"/>
  <c r="BF175" i="2"/>
  <c r="BE175" i="2"/>
  <c r="BD175" i="2"/>
  <c r="BC175" i="2"/>
  <c r="BB175" i="2"/>
  <c r="BA175" i="2"/>
  <c r="AZ175" i="2"/>
  <c r="AY175" i="2"/>
  <c r="BW174" i="2"/>
  <c r="BV174" i="2"/>
  <c r="BU174" i="2"/>
  <c r="BT174" i="2"/>
  <c r="BS174" i="2"/>
  <c r="BR174" i="2"/>
  <c r="BQ174" i="2"/>
  <c r="BP174" i="2"/>
  <c r="BO174" i="2"/>
  <c r="BN174" i="2"/>
  <c r="BM174" i="2"/>
  <c r="BL174" i="2"/>
  <c r="BJ174" i="2"/>
  <c r="BI174" i="2"/>
  <c r="BH174" i="2"/>
  <c r="BG174" i="2"/>
  <c r="BF174" i="2"/>
  <c r="BE174" i="2"/>
  <c r="BD174" i="2"/>
  <c r="BC174" i="2"/>
  <c r="BB174" i="2"/>
  <c r="BA174" i="2"/>
  <c r="AZ174" i="2"/>
  <c r="AY174" i="2"/>
  <c r="BW173" i="2"/>
  <c r="BV173" i="2"/>
  <c r="BU173" i="2"/>
  <c r="BT173" i="2"/>
  <c r="BS173" i="2"/>
  <c r="BR173" i="2"/>
  <c r="BQ173" i="2"/>
  <c r="BP173" i="2"/>
  <c r="BO173" i="2"/>
  <c r="BN173" i="2"/>
  <c r="BM173" i="2"/>
  <c r="BL173" i="2"/>
  <c r="BJ173" i="2"/>
  <c r="BI173" i="2"/>
  <c r="BH173" i="2"/>
  <c r="BG173" i="2"/>
  <c r="BF173" i="2"/>
  <c r="BE173" i="2"/>
  <c r="BD173" i="2"/>
  <c r="BC173" i="2"/>
  <c r="BB173" i="2"/>
  <c r="BA173" i="2"/>
  <c r="AZ173" i="2"/>
  <c r="AY173" i="2"/>
  <c r="BW172" i="2"/>
  <c r="BV172" i="2"/>
  <c r="BU172" i="2"/>
  <c r="BT172" i="2"/>
  <c r="BS172" i="2"/>
  <c r="BR172" i="2"/>
  <c r="BQ172" i="2"/>
  <c r="BP172" i="2"/>
  <c r="BO172" i="2"/>
  <c r="BN172" i="2"/>
  <c r="BM172" i="2"/>
  <c r="BL172" i="2"/>
  <c r="BJ172" i="2"/>
  <c r="BI172" i="2"/>
  <c r="BH172" i="2"/>
  <c r="BG172" i="2"/>
  <c r="BF172" i="2"/>
  <c r="BE172" i="2"/>
  <c r="BD172" i="2"/>
  <c r="BC172" i="2"/>
  <c r="BB172" i="2"/>
  <c r="BA172" i="2"/>
  <c r="AZ172" i="2"/>
  <c r="AY172" i="2"/>
  <c r="BW171" i="2"/>
  <c r="BV171" i="2"/>
  <c r="BU171" i="2"/>
  <c r="BT171" i="2"/>
  <c r="BS171" i="2"/>
  <c r="BR171" i="2"/>
  <c r="BQ171" i="2"/>
  <c r="BP171" i="2"/>
  <c r="BO171" i="2"/>
  <c r="BN171" i="2"/>
  <c r="BM171" i="2"/>
  <c r="BL171" i="2"/>
  <c r="BJ171" i="2"/>
  <c r="BI171" i="2"/>
  <c r="BH171" i="2"/>
  <c r="BG171" i="2"/>
  <c r="BF171" i="2"/>
  <c r="BE171" i="2"/>
  <c r="BD171" i="2"/>
  <c r="BC171" i="2"/>
  <c r="BB171" i="2"/>
  <c r="BA171" i="2"/>
  <c r="AZ171" i="2"/>
  <c r="AY171" i="2"/>
  <c r="BW170" i="2"/>
  <c r="BV170" i="2"/>
  <c r="BU170" i="2"/>
  <c r="BT170" i="2"/>
  <c r="BS170" i="2"/>
  <c r="BR170" i="2"/>
  <c r="BQ170" i="2"/>
  <c r="BP170" i="2"/>
  <c r="BO170" i="2"/>
  <c r="BN170" i="2"/>
  <c r="BM170" i="2"/>
  <c r="BL170" i="2"/>
  <c r="BJ170" i="2"/>
  <c r="BI170" i="2"/>
  <c r="BH170" i="2"/>
  <c r="BG170" i="2"/>
  <c r="BF170" i="2"/>
  <c r="BE170" i="2"/>
  <c r="BD170" i="2"/>
  <c r="BC170" i="2"/>
  <c r="BB170" i="2"/>
  <c r="BA170" i="2"/>
  <c r="AZ170" i="2"/>
  <c r="AY170" i="2"/>
  <c r="BW169" i="2"/>
  <c r="BV169" i="2"/>
  <c r="BU169" i="2"/>
  <c r="BT169" i="2"/>
  <c r="BS169" i="2"/>
  <c r="BR169" i="2"/>
  <c r="BQ169" i="2"/>
  <c r="BP169" i="2"/>
  <c r="BO169" i="2"/>
  <c r="BN169" i="2"/>
  <c r="BM169" i="2"/>
  <c r="BL169" i="2"/>
  <c r="BJ169" i="2"/>
  <c r="BI169" i="2"/>
  <c r="BH169" i="2"/>
  <c r="BG169" i="2"/>
  <c r="BF169" i="2"/>
  <c r="BE169" i="2"/>
  <c r="BD169" i="2"/>
  <c r="BC169" i="2"/>
  <c r="BB169" i="2"/>
  <c r="BA169" i="2"/>
  <c r="AZ169" i="2"/>
  <c r="AY169" i="2"/>
  <c r="BW168" i="2"/>
  <c r="BV168" i="2"/>
  <c r="BU168" i="2"/>
  <c r="BT168" i="2"/>
  <c r="BS168" i="2"/>
  <c r="BR168" i="2"/>
  <c r="BQ168" i="2"/>
  <c r="BP168" i="2"/>
  <c r="BO168" i="2"/>
  <c r="BN168" i="2"/>
  <c r="BM168" i="2"/>
  <c r="BL168" i="2"/>
  <c r="BJ168" i="2"/>
  <c r="BI168" i="2"/>
  <c r="BH168" i="2"/>
  <c r="BG168" i="2"/>
  <c r="BF168" i="2"/>
  <c r="BE168" i="2"/>
  <c r="BD168" i="2"/>
  <c r="BC168" i="2"/>
  <c r="BB168" i="2"/>
  <c r="BA168" i="2"/>
  <c r="AZ168" i="2"/>
  <c r="AY168" i="2"/>
  <c r="BW167" i="2"/>
  <c r="BV167" i="2"/>
  <c r="BU167" i="2"/>
  <c r="BT167" i="2"/>
  <c r="BS167" i="2"/>
  <c r="BR167" i="2"/>
  <c r="BQ167" i="2"/>
  <c r="BP167" i="2"/>
  <c r="BO167" i="2"/>
  <c r="BN167" i="2"/>
  <c r="BM167" i="2"/>
  <c r="BL167" i="2"/>
  <c r="BJ167" i="2"/>
  <c r="BI167" i="2"/>
  <c r="BH167" i="2"/>
  <c r="BG167" i="2"/>
  <c r="BF167" i="2"/>
  <c r="BE167" i="2"/>
  <c r="BD167" i="2"/>
  <c r="BC167" i="2"/>
  <c r="BB167" i="2"/>
  <c r="BA167" i="2"/>
  <c r="AZ167" i="2"/>
  <c r="AY167" i="2"/>
  <c r="BW166" i="2"/>
  <c r="BV166" i="2"/>
  <c r="BU166" i="2"/>
  <c r="BT166" i="2"/>
  <c r="BS166" i="2"/>
  <c r="BR166" i="2"/>
  <c r="BQ166" i="2"/>
  <c r="BP166" i="2"/>
  <c r="BO166" i="2"/>
  <c r="BN166" i="2"/>
  <c r="BM166" i="2"/>
  <c r="BL166" i="2"/>
  <c r="BJ166" i="2"/>
  <c r="BI166" i="2"/>
  <c r="BH166" i="2"/>
  <c r="BG166" i="2"/>
  <c r="BF166" i="2"/>
  <c r="BE166" i="2"/>
  <c r="BD166" i="2"/>
  <c r="BC166" i="2"/>
  <c r="BB166" i="2"/>
  <c r="BA166" i="2"/>
  <c r="AZ166" i="2"/>
  <c r="AY166" i="2"/>
  <c r="BW165" i="2"/>
  <c r="BV165" i="2"/>
  <c r="BU165" i="2"/>
  <c r="BT165" i="2"/>
  <c r="BS165" i="2"/>
  <c r="BR165" i="2"/>
  <c r="BQ165" i="2"/>
  <c r="BP165" i="2"/>
  <c r="BO165" i="2"/>
  <c r="BN165" i="2"/>
  <c r="BM165" i="2"/>
  <c r="BL165" i="2"/>
  <c r="BJ165" i="2"/>
  <c r="BI165" i="2"/>
  <c r="BH165" i="2"/>
  <c r="BG165" i="2"/>
  <c r="BF165" i="2"/>
  <c r="BE165" i="2"/>
  <c r="BD165" i="2"/>
  <c r="BC165" i="2"/>
  <c r="BB165" i="2"/>
  <c r="BA165" i="2"/>
  <c r="AZ165" i="2"/>
  <c r="AY165" i="2"/>
  <c r="BW164" i="2"/>
  <c r="BV164" i="2"/>
  <c r="BU164" i="2"/>
  <c r="BT164" i="2"/>
  <c r="BS164" i="2"/>
  <c r="BR164" i="2"/>
  <c r="BQ164" i="2"/>
  <c r="BP164" i="2"/>
  <c r="BO164" i="2"/>
  <c r="BN164" i="2"/>
  <c r="BM164" i="2"/>
  <c r="BL164" i="2"/>
  <c r="BJ164" i="2"/>
  <c r="BI164" i="2"/>
  <c r="BH164" i="2"/>
  <c r="BG164" i="2"/>
  <c r="BF164" i="2"/>
  <c r="BE164" i="2"/>
  <c r="BD164" i="2"/>
  <c r="BC164" i="2"/>
  <c r="BB164" i="2"/>
  <c r="BA164" i="2"/>
  <c r="AZ164" i="2"/>
  <c r="AY164" i="2"/>
  <c r="BW163" i="2"/>
  <c r="BV163" i="2"/>
  <c r="BU163" i="2"/>
  <c r="BT163" i="2"/>
  <c r="BS163" i="2"/>
  <c r="BR163" i="2"/>
  <c r="BQ163" i="2"/>
  <c r="BP163" i="2"/>
  <c r="BO163" i="2"/>
  <c r="BN163" i="2"/>
  <c r="BM163" i="2"/>
  <c r="BL163" i="2"/>
  <c r="BJ163" i="2"/>
  <c r="BI163" i="2"/>
  <c r="BH163" i="2"/>
  <c r="BG163" i="2"/>
  <c r="BF163" i="2"/>
  <c r="BE163" i="2"/>
  <c r="BD163" i="2"/>
  <c r="BC163" i="2"/>
  <c r="BB163" i="2"/>
  <c r="BA163" i="2"/>
  <c r="AZ163" i="2"/>
  <c r="AY163" i="2"/>
  <c r="BW162" i="2"/>
  <c r="BV162" i="2"/>
  <c r="BU162" i="2"/>
  <c r="BT162" i="2"/>
  <c r="BS162" i="2"/>
  <c r="BR162" i="2"/>
  <c r="BQ162" i="2"/>
  <c r="BP162" i="2"/>
  <c r="BO162" i="2"/>
  <c r="BN162" i="2"/>
  <c r="BM162" i="2"/>
  <c r="BL162" i="2"/>
  <c r="BJ162" i="2"/>
  <c r="BI162" i="2"/>
  <c r="BH162" i="2"/>
  <c r="BG162" i="2"/>
  <c r="BF162" i="2"/>
  <c r="BE162" i="2"/>
  <c r="BD162" i="2"/>
  <c r="BC162" i="2"/>
  <c r="BB162" i="2"/>
  <c r="BA162" i="2"/>
  <c r="AZ162" i="2"/>
  <c r="AY162" i="2"/>
  <c r="BW161" i="2"/>
  <c r="BV161" i="2"/>
  <c r="BU161" i="2"/>
  <c r="BT161" i="2"/>
  <c r="BS161" i="2"/>
  <c r="BR161" i="2"/>
  <c r="BQ161" i="2"/>
  <c r="BP161" i="2"/>
  <c r="BO161" i="2"/>
  <c r="BN161" i="2"/>
  <c r="BM161" i="2"/>
  <c r="BL161" i="2"/>
  <c r="BJ161" i="2"/>
  <c r="BI161" i="2"/>
  <c r="BH161" i="2"/>
  <c r="BG161" i="2"/>
  <c r="BF161" i="2"/>
  <c r="BE161" i="2"/>
  <c r="BD161" i="2"/>
  <c r="BC161" i="2"/>
  <c r="BB161" i="2"/>
  <c r="BA161" i="2"/>
  <c r="AZ161" i="2"/>
  <c r="AY161" i="2"/>
  <c r="BW160" i="2"/>
  <c r="BV160" i="2"/>
  <c r="BU160" i="2"/>
  <c r="BT160" i="2"/>
  <c r="BS160" i="2"/>
  <c r="BR160" i="2"/>
  <c r="BQ160" i="2"/>
  <c r="BP160" i="2"/>
  <c r="BO160" i="2"/>
  <c r="BN160" i="2"/>
  <c r="BM160" i="2"/>
  <c r="BL160" i="2"/>
  <c r="BJ160" i="2"/>
  <c r="BI160" i="2"/>
  <c r="BH160" i="2"/>
  <c r="BG160" i="2"/>
  <c r="BF160" i="2"/>
  <c r="BE160" i="2"/>
  <c r="BD160" i="2"/>
  <c r="BC160" i="2"/>
  <c r="BB160" i="2"/>
  <c r="BA160" i="2"/>
  <c r="AZ160" i="2"/>
  <c r="AY160" i="2"/>
  <c r="BW159" i="2"/>
  <c r="BV159" i="2"/>
  <c r="BU159" i="2"/>
  <c r="BT159" i="2"/>
  <c r="BS159" i="2"/>
  <c r="BR159" i="2"/>
  <c r="BQ159" i="2"/>
  <c r="BP159" i="2"/>
  <c r="BO159" i="2"/>
  <c r="BN159" i="2"/>
  <c r="BM159" i="2"/>
  <c r="BL159" i="2"/>
  <c r="BJ159" i="2"/>
  <c r="BI159" i="2"/>
  <c r="BH159" i="2"/>
  <c r="BG159" i="2"/>
  <c r="BF159" i="2"/>
  <c r="BE159" i="2"/>
  <c r="BD159" i="2"/>
  <c r="BC159" i="2"/>
  <c r="BB159" i="2"/>
  <c r="BA159" i="2"/>
  <c r="AZ159" i="2"/>
  <c r="AY159" i="2"/>
  <c r="BW158" i="2"/>
  <c r="BV158" i="2"/>
  <c r="BU158" i="2"/>
  <c r="BT158" i="2"/>
  <c r="BS158" i="2"/>
  <c r="BR158" i="2"/>
  <c r="BQ158" i="2"/>
  <c r="BP158" i="2"/>
  <c r="BO158" i="2"/>
  <c r="BN158" i="2"/>
  <c r="BM158" i="2"/>
  <c r="BL158" i="2"/>
  <c r="BJ158" i="2"/>
  <c r="BI158" i="2"/>
  <c r="BH158" i="2"/>
  <c r="BG158" i="2"/>
  <c r="BF158" i="2"/>
  <c r="BE158" i="2"/>
  <c r="BD158" i="2"/>
  <c r="BC158" i="2"/>
  <c r="BB158" i="2"/>
  <c r="BA158" i="2"/>
  <c r="AZ158" i="2"/>
  <c r="AY158" i="2"/>
  <c r="BW157" i="2"/>
  <c r="BV157" i="2"/>
  <c r="BU157" i="2"/>
  <c r="BT157" i="2"/>
  <c r="BS157" i="2"/>
  <c r="BR157" i="2"/>
  <c r="BQ157" i="2"/>
  <c r="BP157" i="2"/>
  <c r="BO157" i="2"/>
  <c r="BN157" i="2"/>
  <c r="BM157" i="2"/>
  <c r="BL157" i="2"/>
  <c r="BJ157" i="2"/>
  <c r="BI157" i="2"/>
  <c r="BH157" i="2"/>
  <c r="BG157" i="2"/>
  <c r="BF157" i="2"/>
  <c r="BE157" i="2"/>
  <c r="BD157" i="2"/>
  <c r="BC157" i="2"/>
  <c r="BB157" i="2"/>
  <c r="BA157" i="2"/>
  <c r="AZ157" i="2"/>
  <c r="AY157" i="2"/>
  <c r="BW156" i="2"/>
  <c r="BV156" i="2"/>
  <c r="BU156" i="2"/>
  <c r="BT156" i="2"/>
  <c r="BS156" i="2"/>
  <c r="BR156" i="2"/>
  <c r="BQ156" i="2"/>
  <c r="BP156" i="2"/>
  <c r="BO156" i="2"/>
  <c r="BN156" i="2"/>
  <c r="BM156" i="2"/>
  <c r="BL156" i="2"/>
  <c r="BJ156" i="2"/>
  <c r="BI156" i="2"/>
  <c r="BH156" i="2"/>
  <c r="BG156" i="2"/>
  <c r="BF156" i="2"/>
  <c r="BE156" i="2"/>
  <c r="BD156" i="2"/>
  <c r="BC156" i="2"/>
  <c r="BB156" i="2"/>
  <c r="BA156" i="2"/>
  <c r="AZ156" i="2"/>
  <c r="AY156" i="2"/>
  <c r="BW155" i="2"/>
  <c r="BV155" i="2"/>
  <c r="BU155" i="2"/>
  <c r="BT155" i="2"/>
  <c r="BS155" i="2"/>
  <c r="BR155" i="2"/>
  <c r="BQ155" i="2"/>
  <c r="BP155" i="2"/>
  <c r="BO155" i="2"/>
  <c r="BN155" i="2"/>
  <c r="BM155" i="2"/>
  <c r="BL155" i="2"/>
  <c r="BJ155" i="2"/>
  <c r="BI155" i="2"/>
  <c r="BH155" i="2"/>
  <c r="BG155" i="2"/>
  <c r="BF155" i="2"/>
  <c r="BE155" i="2"/>
  <c r="BD155" i="2"/>
  <c r="BC155" i="2"/>
  <c r="BB155" i="2"/>
  <c r="BA155" i="2"/>
  <c r="AZ155" i="2"/>
  <c r="AY155" i="2"/>
  <c r="BW154" i="2"/>
  <c r="BV154" i="2"/>
  <c r="BU154" i="2"/>
  <c r="BT154" i="2"/>
  <c r="BS154" i="2"/>
  <c r="BR154" i="2"/>
  <c r="BQ154" i="2"/>
  <c r="BP154" i="2"/>
  <c r="BO154" i="2"/>
  <c r="BN154" i="2"/>
  <c r="BM154" i="2"/>
  <c r="BL154" i="2"/>
  <c r="BJ154" i="2"/>
  <c r="BI154" i="2"/>
  <c r="BH154" i="2"/>
  <c r="BG154" i="2"/>
  <c r="BF154" i="2"/>
  <c r="BE154" i="2"/>
  <c r="BD154" i="2"/>
  <c r="BC154" i="2"/>
  <c r="BB154" i="2"/>
  <c r="BA154" i="2"/>
  <c r="AZ154" i="2"/>
  <c r="AY154" i="2"/>
  <c r="BW153" i="2"/>
  <c r="BV153" i="2"/>
  <c r="BU153" i="2"/>
  <c r="BT153" i="2"/>
  <c r="BS153" i="2"/>
  <c r="BR153" i="2"/>
  <c r="BQ153" i="2"/>
  <c r="BP153" i="2"/>
  <c r="BO153" i="2"/>
  <c r="BN153" i="2"/>
  <c r="BM153" i="2"/>
  <c r="BL153" i="2"/>
  <c r="BJ153" i="2"/>
  <c r="BI153" i="2"/>
  <c r="BH153" i="2"/>
  <c r="BG153" i="2"/>
  <c r="BF153" i="2"/>
  <c r="BE153" i="2"/>
  <c r="BD153" i="2"/>
  <c r="BC153" i="2"/>
  <c r="BB153" i="2"/>
  <c r="BA153" i="2"/>
  <c r="AZ153" i="2"/>
  <c r="AY153" i="2"/>
  <c r="BW152" i="2"/>
  <c r="BV152" i="2"/>
  <c r="BU152" i="2"/>
  <c r="BT152" i="2"/>
  <c r="BS152" i="2"/>
  <c r="BR152" i="2"/>
  <c r="BQ152" i="2"/>
  <c r="BP152" i="2"/>
  <c r="BO152" i="2"/>
  <c r="BN152" i="2"/>
  <c r="BM152" i="2"/>
  <c r="BL152" i="2"/>
  <c r="BJ152" i="2"/>
  <c r="BI152" i="2"/>
  <c r="BH152" i="2"/>
  <c r="BG152" i="2"/>
  <c r="BF152" i="2"/>
  <c r="BE152" i="2"/>
  <c r="BD152" i="2"/>
  <c r="BC152" i="2"/>
  <c r="BB152" i="2"/>
  <c r="BA152" i="2"/>
  <c r="AZ152" i="2"/>
  <c r="AY152" i="2"/>
  <c r="BW151" i="2"/>
  <c r="BV151" i="2"/>
  <c r="BU151" i="2"/>
  <c r="BT151" i="2"/>
  <c r="BS151" i="2"/>
  <c r="BR151" i="2"/>
  <c r="BQ151" i="2"/>
  <c r="BP151" i="2"/>
  <c r="BO151" i="2"/>
  <c r="BN151" i="2"/>
  <c r="BM151" i="2"/>
  <c r="BL151" i="2"/>
  <c r="BJ151" i="2"/>
  <c r="BI151" i="2"/>
  <c r="BH151" i="2"/>
  <c r="BG151" i="2"/>
  <c r="BF151" i="2"/>
  <c r="BE151" i="2"/>
  <c r="BD151" i="2"/>
  <c r="BC151" i="2"/>
  <c r="BB151" i="2"/>
  <c r="BA151" i="2"/>
  <c r="AZ151" i="2"/>
  <c r="AY151" i="2"/>
  <c r="BW150" i="2"/>
  <c r="BV150" i="2"/>
  <c r="BU150" i="2"/>
  <c r="BT150" i="2"/>
  <c r="BS150" i="2"/>
  <c r="BR150" i="2"/>
  <c r="BQ150" i="2"/>
  <c r="BP150" i="2"/>
  <c r="BO150" i="2"/>
  <c r="BN150" i="2"/>
  <c r="BM150" i="2"/>
  <c r="BL150" i="2"/>
  <c r="BJ150" i="2"/>
  <c r="BI150" i="2"/>
  <c r="BH150" i="2"/>
  <c r="BG150" i="2"/>
  <c r="BF150" i="2"/>
  <c r="BE150" i="2"/>
  <c r="BD150" i="2"/>
  <c r="BC150" i="2"/>
  <c r="BB150" i="2"/>
  <c r="BA150" i="2"/>
  <c r="AZ150" i="2"/>
  <c r="AY150" i="2"/>
  <c r="BW149" i="2"/>
  <c r="BV149" i="2"/>
  <c r="BU149" i="2"/>
  <c r="BT149" i="2"/>
  <c r="BS149" i="2"/>
  <c r="BR149" i="2"/>
  <c r="BQ149" i="2"/>
  <c r="BP149" i="2"/>
  <c r="BO149" i="2"/>
  <c r="BN149" i="2"/>
  <c r="BM149" i="2"/>
  <c r="BL149" i="2"/>
  <c r="BJ149" i="2"/>
  <c r="BI149" i="2"/>
  <c r="BH149" i="2"/>
  <c r="BG149" i="2"/>
  <c r="BF149" i="2"/>
  <c r="BE149" i="2"/>
  <c r="BD149" i="2"/>
  <c r="BC149" i="2"/>
  <c r="BB149" i="2"/>
  <c r="BA149" i="2"/>
  <c r="AZ149" i="2"/>
  <c r="AY149" i="2"/>
  <c r="BW148" i="2"/>
  <c r="BV148" i="2"/>
  <c r="BU148" i="2"/>
  <c r="BT148" i="2"/>
  <c r="BS148" i="2"/>
  <c r="BR148" i="2"/>
  <c r="BQ148" i="2"/>
  <c r="BP148" i="2"/>
  <c r="BO148" i="2"/>
  <c r="BN148" i="2"/>
  <c r="BM148" i="2"/>
  <c r="BL148" i="2"/>
  <c r="BJ148" i="2"/>
  <c r="BI148" i="2"/>
  <c r="BH148" i="2"/>
  <c r="BG148" i="2"/>
  <c r="BF148" i="2"/>
  <c r="BE148" i="2"/>
  <c r="BD148" i="2"/>
  <c r="BC148" i="2"/>
  <c r="BB148" i="2"/>
  <c r="BA148" i="2"/>
  <c r="AZ148" i="2"/>
  <c r="AY148" i="2"/>
  <c r="BW147" i="2"/>
  <c r="BV147" i="2"/>
  <c r="BU147" i="2"/>
  <c r="BT147" i="2"/>
  <c r="BS147" i="2"/>
  <c r="BR147" i="2"/>
  <c r="BQ147" i="2"/>
  <c r="BP147" i="2"/>
  <c r="BO147" i="2"/>
  <c r="BN147" i="2"/>
  <c r="BM147" i="2"/>
  <c r="BL147" i="2"/>
  <c r="BJ147" i="2"/>
  <c r="BI147" i="2"/>
  <c r="BH147" i="2"/>
  <c r="BG147" i="2"/>
  <c r="BF147" i="2"/>
  <c r="BE147" i="2"/>
  <c r="BD147" i="2"/>
  <c r="BC147" i="2"/>
  <c r="BB147" i="2"/>
  <c r="BA147" i="2"/>
  <c r="AZ147" i="2"/>
  <c r="AY147" i="2"/>
  <c r="BW146" i="2"/>
  <c r="BV146" i="2"/>
  <c r="BU146" i="2"/>
  <c r="BT146" i="2"/>
  <c r="BS146" i="2"/>
  <c r="BR146" i="2"/>
  <c r="BQ146" i="2"/>
  <c r="BP146" i="2"/>
  <c r="BO146" i="2"/>
  <c r="BN146" i="2"/>
  <c r="BM146" i="2"/>
  <c r="BL146" i="2"/>
  <c r="BJ146" i="2"/>
  <c r="BI146" i="2"/>
  <c r="BH146" i="2"/>
  <c r="BG146" i="2"/>
  <c r="BF146" i="2"/>
  <c r="BE146" i="2"/>
  <c r="BD146" i="2"/>
  <c r="BC146" i="2"/>
  <c r="BB146" i="2"/>
  <c r="BA146" i="2"/>
  <c r="AZ146" i="2"/>
  <c r="AY146" i="2"/>
  <c r="BW145" i="2"/>
  <c r="BV145" i="2"/>
  <c r="BU145" i="2"/>
  <c r="BT145" i="2"/>
  <c r="BS145" i="2"/>
  <c r="BR145" i="2"/>
  <c r="BQ145" i="2"/>
  <c r="BP145" i="2"/>
  <c r="BO145" i="2"/>
  <c r="BN145" i="2"/>
  <c r="BM145" i="2"/>
  <c r="BL145" i="2"/>
  <c r="BJ145" i="2"/>
  <c r="BI145" i="2"/>
  <c r="BH145" i="2"/>
  <c r="BG145" i="2"/>
  <c r="BF145" i="2"/>
  <c r="BE145" i="2"/>
  <c r="BD145" i="2"/>
  <c r="BC145" i="2"/>
  <c r="BB145" i="2"/>
  <c r="BA145" i="2"/>
  <c r="AZ145" i="2"/>
  <c r="AY145" i="2"/>
  <c r="BW144" i="2"/>
  <c r="BV144" i="2"/>
  <c r="BU144" i="2"/>
  <c r="BT144" i="2"/>
  <c r="BS144" i="2"/>
  <c r="BR144" i="2"/>
  <c r="BQ144" i="2"/>
  <c r="BP144" i="2"/>
  <c r="BO144" i="2"/>
  <c r="BN144" i="2"/>
  <c r="BM144" i="2"/>
  <c r="BL144" i="2"/>
  <c r="BJ144" i="2"/>
  <c r="BI144" i="2"/>
  <c r="BH144" i="2"/>
  <c r="BG144" i="2"/>
  <c r="BF144" i="2"/>
  <c r="BE144" i="2"/>
  <c r="BD144" i="2"/>
  <c r="BC144" i="2"/>
  <c r="BB144" i="2"/>
  <c r="BA144" i="2"/>
  <c r="AZ144" i="2"/>
  <c r="AY144" i="2"/>
  <c r="BW143" i="2"/>
  <c r="BV143" i="2"/>
  <c r="BU143" i="2"/>
  <c r="BT143" i="2"/>
  <c r="BS143" i="2"/>
  <c r="BR143" i="2"/>
  <c r="BQ143" i="2"/>
  <c r="BP143" i="2"/>
  <c r="BO143" i="2"/>
  <c r="BN143" i="2"/>
  <c r="BM143" i="2"/>
  <c r="BL143" i="2"/>
  <c r="BJ143" i="2"/>
  <c r="BI143" i="2"/>
  <c r="BH143" i="2"/>
  <c r="BG143" i="2"/>
  <c r="BF143" i="2"/>
  <c r="BE143" i="2"/>
  <c r="BD143" i="2"/>
  <c r="BC143" i="2"/>
  <c r="BB143" i="2"/>
  <c r="BA143" i="2"/>
  <c r="AZ143" i="2"/>
  <c r="AY143" i="2"/>
  <c r="BW142" i="2"/>
  <c r="BV142" i="2"/>
  <c r="BU142" i="2"/>
  <c r="BT142" i="2"/>
  <c r="BS142" i="2"/>
  <c r="BR142" i="2"/>
  <c r="BQ142" i="2"/>
  <c r="BP142" i="2"/>
  <c r="BO142" i="2"/>
  <c r="BN142" i="2"/>
  <c r="BM142" i="2"/>
  <c r="BL142" i="2"/>
  <c r="BJ142" i="2"/>
  <c r="BI142" i="2"/>
  <c r="BH142" i="2"/>
  <c r="BG142" i="2"/>
  <c r="BF142" i="2"/>
  <c r="BE142" i="2"/>
  <c r="BD142" i="2"/>
  <c r="BC142" i="2"/>
  <c r="BB142" i="2"/>
  <c r="BA142" i="2"/>
  <c r="AZ142" i="2"/>
  <c r="AY142" i="2"/>
  <c r="BW141" i="2"/>
  <c r="BV141" i="2"/>
  <c r="BU141" i="2"/>
  <c r="BT141" i="2"/>
  <c r="BS141" i="2"/>
  <c r="BR141" i="2"/>
  <c r="BQ141" i="2"/>
  <c r="BP141" i="2"/>
  <c r="BO141" i="2"/>
  <c r="BN141" i="2"/>
  <c r="BM141" i="2"/>
  <c r="BL141" i="2"/>
  <c r="BJ141" i="2"/>
  <c r="BI141" i="2"/>
  <c r="BH141" i="2"/>
  <c r="BG141" i="2"/>
  <c r="BF141" i="2"/>
  <c r="BE141" i="2"/>
  <c r="BD141" i="2"/>
  <c r="BC141" i="2"/>
  <c r="BB141" i="2"/>
  <c r="BA141" i="2"/>
  <c r="AZ141" i="2"/>
  <c r="AY141" i="2"/>
  <c r="BW140" i="2"/>
  <c r="BV140" i="2"/>
  <c r="BU140" i="2"/>
  <c r="BT140" i="2"/>
  <c r="BS140" i="2"/>
  <c r="BR140" i="2"/>
  <c r="BQ140" i="2"/>
  <c r="BP140" i="2"/>
  <c r="BO140" i="2"/>
  <c r="BN140" i="2"/>
  <c r="BM140" i="2"/>
  <c r="BL140" i="2"/>
  <c r="BJ140" i="2"/>
  <c r="BI140" i="2"/>
  <c r="BH140" i="2"/>
  <c r="BG140" i="2"/>
  <c r="BF140" i="2"/>
  <c r="BE140" i="2"/>
  <c r="BD140" i="2"/>
  <c r="BC140" i="2"/>
  <c r="BB140" i="2"/>
  <c r="BA140" i="2"/>
  <c r="AZ140" i="2"/>
  <c r="AY140" i="2"/>
  <c r="BW139" i="2"/>
  <c r="BV139" i="2"/>
  <c r="BU139" i="2"/>
  <c r="BT139" i="2"/>
  <c r="BS139" i="2"/>
  <c r="BR139" i="2"/>
  <c r="BQ139" i="2"/>
  <c r="BP139" i="2"/>
  <c r="BO139" i="2"/>
  <c r="BN139" i="2"/>
  <c r="BM139" i="2"/>
  <c r="BL139" i="2"/>
  <c r="BJ139" i="2"/>
  <c r="BI139" i="2"/>
  <c r="BH139" i="2"/>
  <c r="BG139" i="2"/>
  <c r="BF139" i="2"/>
  <c r="BE139" i="2"/>
  <c r="BD139" i="2"/>
  <c r="BC139" i="2"/>
  <c r="BB139" i="2"/>
  <c r="BA139" i="2"/>
  <c r="AZ139" i="2"/>
  <c r="AY139" i="2"/>
  <c r="BW138" i="2"/>
  <c r="BV138" i="2"/>
  <c r="BU138" i="2"/>
  <c r="BT138" i="2"/>
  <c r="BS138" i="2"/>
  <c r="BR138" i="2"/>
  <c r="BQ138" i="2"/>
  <c r="BP138" i="2"/>
  <c r="BO138" i="2"/>
  <c r="BN138" i="2"/>
  <c r="BM138" i="2"/>
  <c r="BL138" i="2"/>
  <c r="BJ138" i="2"/>
  <c r="BI138" i="2"/>
  <c r="BH138" i="2"/>
  <c r="BG138" i="2"/>
  <c r="BF138" i="2"/>
  <c r="BE138" i="2"/>
  <c r="BD138" i="2"/>
  <c r="BC138" i="2"/>
  <c r="BB138" i="2"/>
  <c r="BA138" i="2"/>
  <c r="AZ138" i="2"/>
  <c r="AY138" i="2"/>
  <c r="BW137" i="2"/>
  <c r="BV137" i="2"/>
  <c r="BU137" i="2"/>
  <c r="BT137" i="2"/>
  <c r="BS137" i="2"/>
  <c r="BR137" i="2"/>
  <c r="BQ137" i="2"/>
  <c r="BP137" i="2"/>
  <c r="BO137" i="2"/>
  <c r="BN137" i="2"/>
  <c r="BM137" i="2"/>
  <c r="BL137" i="2"/>
  <c r="BJ137" i="2"/>
  <c r="BI137" i="2"/>
  <c r="BH137" i="2"/>
  <c r="BG137" i="2"/>
  <c r="BF137" i="2"/>
  <c r="BE137" i="2"/>
  <c r="BD137" i="2"/>
  <c r="BC137" i="2"/>
  <c r="BB137" i="2"/>
  <c r="BA137" i="2"/>
  <c r="AZ137" i="2"/>
  <c r="AY137" i="2"/>
  <c r="BW136" i="2"/>
  <c r="BV136" i="2"/>
  <c r="BU136" i="2"/>
  <c r="BT136" i="2"/>
  <c r="BS136" i="2"/>
  <c r="BR136" i="2"/>
  <c r="BQ136" i="2"/>
  <c r="BP136" i="2"/>
  <c r="BO136" i="2"/>
  <c r="BN136" i="2"/>
  <c r="BM136" i="2"/>
  <c r="BL136" i="2"/>
  <c r="BJ136" i="2"/>
  <c r="BI136" i="2"/>
  <c r="BH136" i="2"/>
  <c r="BG136" i="2"/>
  <c r="BF136" i="2"/>
  <c r="BE136" i="2"/>
  <c r="BD136" i="2"/>
  <c r="BC136" i="2"/>
  <c r="BB136" i="2"/>
  <c r="BA136" i="2"/>
  <c r="AZ136" i="2"/>
  <c r="AY136" i="2"/>
  <c r="BW135" i="2"/>
  <c r="BV135" i="2"/>
  <c r="BU135" i="2"/>
  <c r="BT135" i="2"/>
  <c r="BS135" i="2"/>
  <c r="BR135" i="2"/>
  <c r="BQ135" i="2"/>
  <c r="BP135" i="2"/>
  <c r="BO135" i="2"/>
  <c r="BN135" i="2"/>
  <c r="BM135" i="2"/>
  <c r="BL135" i="2"/>
  <c r="BJ135" i="2"/>
  <c r="BI135" i="2"/>
  <c r="BH135" i="2"/>
  <c r="BG135" i="2"/>
  <c r="BF135" i="2"/>
  <c r="BE135" i="2"/>
  <c r="BD135" i="2"/>
  <c r="BC135" i="2"/>
  <c r="BB135" i="2"/>
  <c r="BA135" i="2"/>
  <c r="AZ135" i="2"/>
  <c r="AY135" i="2"/>
  <c r="BW134" i="2"/>
  <c r="BV134" i="2"/>
  <c r="BU134" i="2"/>
  <c r="BT134" i="2"/>
  <c r="BS134" i="2"/>
  <c r="BR134" i="2"/>
  <c r="BQ134" i="2"/>
  <c r="BP134" i="2"/>
  <c r="BO134" i="2"/>
  <c r="BN134" i="2"/>
  <c r="BM134" i="2"/>
  <c r="BL134" i="2"/>
  <c r="BJ134" i="2"/>
  <c r="BI134" i="2"/>
  <c r="BH134" i="2"/>
  <c r="BG134" i="2"/>
  <c r="BF134" i="2"/>
  <c r="BE134" i="2"/>
  <c r="BD134" i="2"/>
  <c r="BC134" i="2"/>
  <c r="BB134" i="2"/>
  <c r="BA134" i="2"/>
  <c r="AZ134" i="2"/>
  <c r="AY134" i="2"/>
  <c r="BW133" i="2"/>
  <c r="BV133" i="2"/>
  <c r="BU133" i="2"/>
  <c r="BT133" i="2"/>
  <c r="BS133" i="2"/>
  <c r="BR133" i="2"/>
  <c r="BQ133" i="2"/>
  <c r="BP133" i="2"/>
  <c r="BO133" i="2"/>
  <c r="BN133" i="2"/>
  <c r="BM133" i="2"/>
  <c r="BL133" i="2"/>
  <c r="BJ133" i="2"/>
  <c r="BI133" i="2"/>
  <c r="BH133" i="2"/>
  <c r="BG133" i="2"/>
  <c r="BF133" i="2"/>
  <c r="BE133" i="2"/>
  <c r="BD133" i="2"/>
  <c r="BC133" i="2"/>
  <c r="BB133" i="2"/>
  <c r="BA133" i="2"/>
  <c r="AZ133" i="2"/>
  <c r="AY133" i="2"/>
  <c r="BW132" i="2"/>
  <c r="BV132" i="2"/>
  <c r="BU132" i="2"/>
  <c r="BT132" i="2"/>
  <c r="BS132" i="2"/>
  <c r="BR132" i="2"/>
  <c r="BQ132" i="2"/>
  <c r="BP132" i="2"/>
  <c r="BO132" i="2"/>
  <c r="BN132" i="2"/>
  <c r="BM132" i="2"/>
  <c r="BL132" i="2"/>
  <c r="BJ132" i="2"/>
  <c r="BI132" i="2"/>
  <c r="BH132" i="2"/>
  <c r="BG132" i="2"/>
  <c r="BF132" i="2"/>
  <c r="BE132" i="2"/>
  <c r="BD132" i="2"/>
  <c r="BC132" i="2"/>
  <c r="BB132" i="2"/>
  <c r="BA132" i="2"/>
  <c r="AZ132" i="2"/>
  <c r="AY132" i="2"/>
  <c r="BW131" i="2"/>
  <c r="BV131" i="2"/>
  <c r="BU131" i="2"/>
  <c r="BT131" i="2"/>
  <c r="BS131" i="2"/>
  <c r="BR131" i="2"/>
  <c r="BQ131" i="2"/>
  <c r="BP131" i="2"/>
  <c r="BO131" i="2"/>
  <c r="BN131" i="2"/>
  <c r="BM131" i="2"/>
  <c r="BL131" i="2"/>
  <c r="BJ131" i="2"/>
  <c r="BI131" i="2"/>
  <c r="BH131" i="2"/>
  <c r="BG131" i="2"/>
  <c r="BF131" i="2"/>
  <c r="BE131" i="2"/>
  <c r="BD131" i="2"/>
  <c r="BC131" i="2"/>
  <c r="BB131" i="2"/>
  <c r="BA131" i="2"/>
  <c r="AZ131" i="2"/>
  <c r="AY131" i="2"/>
  <c r="BW130" i="2"/>
  <c r="BV130" i="2"/>
  <c r="BU130" i="2"/>
  <c r="BT130" i="2"/>
  <c r="BS130" i="2"/>
  <c r="BR130" i="2"/>
  <c r="BQ130" i="2"/>
  <c r="BP130" i="2"/>
  <c r="BO130" i="2"/>
  <c r="BN130" i="2"/>
  <c r="BM130" i="2"/>
  <c r="BL130" i="2"/>
  <c r="BJ130" i="2"/>
  <c r="BI130" i="2"/>
  <c r="BH130" i="2"/>
  <c r="BG130" i="2"/>
  <c r="BF130" i="2"/>
  <c r="BE130" i="2"/>
  <c r="BD130" i="2"/>
  <c r="BC130" i="2"/>
  <c r="BB130" i="2"/>
  <c r="BA130" i="2"/>
  <c r="AZ130" i="2"/>
  <c r="AY130" i="2"/>
  <c r="BW129" i="2"/>
  <c r="BV129" i="2"/>
  <c r="BU129" i="2"/>
  <c r="BT129" i="2"/>
  <c r="BS129" i="2"/>
  <c r="BR129" i="2"/>
  <c r="BQ129" i="2"/>
  <c r="BP129" i="2"/>
  <c r="BO129" i="2"/>
  <c r="BN129" i="2"/>
  <c r="BM129" i="2"/>
  <c r="BL129" i="2"/>
  <c r="BJ129" i="2"/>
  <c r="BI129" i="2"/>
  <c r="BH129" i="2"/>
  <c r="BG129" i="2"/>
  <c r="BF129" i="2"/>
  <c r="BE129" i="2"/>
  <c r="BD129" i="2"/>
  <c r="BC129" i="2"/>
  <c r="BB129" i="2"/>
  <c r="BA129" i="2"/>
  <c r="AZ129" i="2"/>
  <c r="AY129" i="2"/>
  <c r="BW128" i="2"/>
  <c r="BV128" i="2"/>
  <c r="BU128" i="2"/>
  <c r="BT128" i="2"/>
  <c r="BS128" i="2"/>
  <c r="BR128" i="2"/>
  <c r="BQ128" i="2"/>
  <c r="BP128" i="2"/>
  <c r="BO128" i="2"/>
  <c r="BN128" i="2"/>
  <c r="BM128" i="2"/>
  <c r="BL128" i="2"/>
  <c r="BJ128" i="2"/>
  <c r="BI128" i="2"/>
  <c r="BH128" i="2"/>
  <c r="BG128" i="2"/>
  <c r="BF128" i="2"/>
  <c r="BE128" i="2"/>
  <c r="BD128" i="2"/>
  <c r="BC128" i="2"/>
  <c r="BB128" i="2"/>
  <c r="BA128" i="2"/>
  <c r="AZ128" i="2"/>
  <c r="AY128" i="2"/>
  <c r="BW127" i="2"/>
  <c r="BV127" i="2"/>
  <c r="BU127" i="2"/>
  <c r="BT127" i="2"/>
  <c r="BS127" i="2"/>
  <c r="BR127" i="2"/>
  <c r="BQ127" i="2"/>
  <c r="BP127" i="2"/>
  <c r="BO127" i="2"/>
  <c r="BN127" i="2"/>
  <c r="BM127" i="2"/>
  <c r="BL127" i="2"/>
  <c r="BJ127" i="2"/>
  <c r="BI127" i="2"/>
  <c r="BH127" i="2"/>
  <c r="BG127" i="2"/>
  <c r="BF127" i="2"/>
  <c r="BE127" i="2"/>
  <c r="BD127" i="2"/>
  <c r="BC127" i="2"/>
  <c r="BB127" i="2"/>
  <c r="BA127" i="2"/>
  <c r="AZ127" i="2"/>
  <c r="AY127" i="2"/>
  <c r="BW126" i="2"/>
  <c r="BV126" i="2"/>
  <c r="BU126" i="2"/>
  <c r="BT126" i="2"/>
  <c r="BS126" i="2"/>
  <c r="BR126" i="2"/>
  <c r="BQ126" i="2"/>
  <c r="BP126" i="2"/>
  <c r="BO126" i="2"/>
  <c r="BN126" i="2"/>
  <c r="BM126" i="2"/>
  <c r="BL126" i="2"/>
  <c r="BJ126" i="2"/>
  <c r="BI126" i="2"/>
  <c r="BH126" i="2"/>
  <c r="BG126" i="2"/>
  <c r="BF126" i="2"/>
  <c r="BE126" i="2"/>
  <c r="BD126" i="2"/>
  <c r="BC126" i="2"/>
  <c r="BB126" i="2"/>
  <c r="BA126" i="2"/>
  <c r="AZ126" i="2"/>
  <c r="AY126" i="2"/>
  <c r="BW125" i="2"/>
  <c r="BV125" i="2"/>
  <c r="BU125" i="2"/>
  <c r="BT125" i="2"/>
  <c r="BS125" i="2"/>
  <c r="BR125" i="2"/>
  <c r="BQ125" i="2"/>
  <c r="BP125" i="2"/>
  <c r="BO125" i="2"/>
  <c r="BN125" i="2"/>
  <c r="BM125" i="2"/>
  <c r="BL125" i="2"/>
  <c r="BJ125" i="2"/>
  <c r="BI125" i="2"/>
  <c r="BH125" i="2"/>
  <c r="BG125" i="2"/>
  <c r="BF125" i="2"/>
  <c r="BE125" i="2"/>
  <c r="BD125" i="2"/>
  <c r="BC125" i="2"/>
  <c r="BB125" i="2"/>
  <c r="BA125" i="2"/>
  <c r="AZ125" i="2"/>
  <c r="AY125" i="2"/>
  <c r="BW124" i="2"/>
  <c r="BV124" i="2"/>
  <c r="BU124" i="2"/>
  <c r="BT124" i="2"/>
  <c r="BS124" i="2"/>
  <c r="BR124" i="2"/>
  <c r="BQ124" i="2"/>
  <c r="BP124" i="2"/>
  <c r="BO124" i="2"/>
  <c r="BN124" i="2"/>
  <c r="BM124" i="2"/>
  <c r="BL124" i="2"/>
  <c r="BJ124" i="2"/>
  <c r="BI124" i="2"/>
  <c r="BH124" i="2"/>
  <c r="BG124" i="2"/>
  <c r="BF124" i="2"/>
  <c r="BE124" i="2"/>
  <c r="BD124" i="2"/>
  <c r="BC124" i="2"/>
  <c r="BB124" i="2"/>
  <c r="BA124" i="2"/>
  <c r="AZ124" i="2"/>
  <c r="AY124" i="2"/>
  <c r="BW123" i="2"/>
  <c r="BV123" i="2"/>
  <c r="BU123" i="2"/>
  <c r="BT123" i="2"/>
  <c r="BS123" i="2"/>
  <c r="BR123" i="2"/>
  <c r="BQ123" i="2"/>
  <c r="BP123" i="2"/>
  <c r="BO123" i="2"/>
  <c r="BN123" i="2"/>
  <c r="BM123" i="2"/>
  <c r="BL123" i="2"/>
  <c r="BJ123" i="2"/>
  <c r="BI123" i="2"/>
  <c r="BH123" i="2"/>
  <c r="BG123" i="2"/>
  <c r="BF123" i="2"/>
  <c r="BE123" i="2"/>
  <c r="BD123" i="2"/>
  <c r="BC123" i="2"/>
  <c r="BB123" i="2"/>
  <c r="BA123" i="2"/>
  <c r="AZ123" i="2"/>
  <c r="AY123" i="2"/>
  <c r="BW122" i="2"/>
  <c r="BV122" i="2"/>
  <c r="BU122" i="2"/>
  <c r="BT122" i="2"/>
  <c r="BS122" i="2"/>
  <c r="BR122" i="2"/>
  <c r="BQ122" i="2"/>
  <c r="BP122" i="2"/>
  <c r="BO122" i="2"/>
  <c r="BN122" i="2"/>
  <c r="BM122" i="2"/>
  <c r="BL122" i="2"/>
  <c r="BJ122" i="2"/>
  <c r="BI122" i="2"/>
  <c r="BH122" i="2"/>
  <c r="BG122" i="2"/>
  <c r="BF122" i="2"/>
  <c r="BE122" i="2"/>
  <c r="BD122" i="2"/>
  <c r="BC122" i="2"/>
  <c r="BB122" i="2"/>
  <c r="BA122" i="2"/>
  <c r="AZ122" i="2"/>
  <c r="AY122" i="2"/>
  <c r="BW121" i="2"/>
  <c r="BV121" i="2"/>
  <c r="BU121" i="2"/>
  <c r="BT121" i="2"/>
  <c r="BS121" i="2"/>
  <c r="BR121" i="2"/>
  <c r="BQ121" i="2"/>
  <c r="BP121" i="2"/>
  <c r="BO121" i="2"/>
  <c r="BN121" i="2"/>
  <c r="BM121" i="2"/>
  <c r="BL121" i="2"/>
  <c r="BJ121" i="2"/>
  <c r="BI121" i="2"/>
  <c r="BH121" i="2"/>
  <c r="BG121" i="2"/>
  <c r="BF121" i="2"/>
  <c r="BE121" i="2"/>
  <c r="BD121" i="2"/>
  <c r="BC121" i="2"/>
  <c r="BB121" i="2"/>
  <c r="BA121" i="2"/>
  <c r="AZ121" i="2"/>
  <c r="AY121" i="2"/>
  <c r="BW120" i="2"/>
  <c r="BV120" i="2"/>
  <c r="BU120" i="2"/>
  <c r="BT120" i="2"/>
  <c r="BS120" i="2"/>
  <c r="BR120" i="2"/>
  <c r="BQ120" i="2"/>
  <c r="BP120" i="2"/>
  <c r="BO120" i="2"/>
  <c r="BN120" i="2"/>
  <c r="BM120" i="2"/>
  <c r="BL120" i="2"/>
  <c r="BJ120" i="2"/>
  <c r="BI120" i="2"/>
  <c r="BH120" i="2"/>
  <c r="BG120" i="2"/>
  <c r="BF120" i="2"/>
  <c r="BE120" i="2"/>
  <c r="BD120" i="2"/>
  <c r="BC120" i="2"/>
  <c r="BB120" i="2"/>
  <c r="BA120" i="2"/>
  <c r="AZ120" i="2"/>
  <c r="AY120" i="2"/>
  <c r="BW119" i="2"/>
  <c r="BV119" i="2"/>
  <c r="BU119" i="2"/>
  <c r="BT119" i="2"/>
  <c r="BS119" i="2"/>
  <c r="BR119" i="2"/>
  <c r="BQ119" i="2"/>
  <c r="BP119" i="2"/>
  <c r="BO119" i="2"/>
  <c r="BN119" i="2"/>
  <c r="BM119" i="2"/>
  <c r="BL119" i="2"/>
  <c r="BJ119" i="2"/>
  <c r="BI119" i="2"/>
  <c r="BH119" i="2"/>
  <c r="BG119" i="2"/>
  <c r="BF119" i="2"/>
  <c r="BE119" i="2"/>
  <c r="BD119" i="2"/>
  <c r="BC119" i="2"/>
  <c r="BB119" i="2"/>
  <c r="BA119" i="2"/>
  <c r="AZ119" i="2"/>
  <c r="AY119" i="2"/>
  <c r="BW118" i="2"/>
  <c r="BV118" i="2"/>
  <c r="BU118" i="2"/>
  <c r="BT118" i="2"/>
  <c r="BS118" i="2"/>
  <c r="BR118" i="2"/>
  <c r="BQ118" i="2"/>
  <c r="BP118" i="2"/>
  <c r="BO118" i="2"/>
  <c r="BN118" i="2"/>
  <c r="BM118" i="2"/>
  <c r="BL118" i="2"/>
  <c r="BJ118" i="2"/>
  <c r="BI118" i="2"/>
  <c r="BH118" i="2"/>
  <c r="BG118" i="2"/>
  <c r="BF118" i="2"/>
  <c r="BE118" i="2"/>
  <c r="BD118" i="2"/>
  <c r="BC118" i="2"/>
  <c r="BB118" i="2"/>
  <c r="BA118" i="2"/>
  <c r="AZ118" i="2"/>
  <c r="AY118" i="2"/>
  <c r="BW117" i="2"/>
  <c r="BV117" i="2"/>
  <c r="BU117" i="2"/>
  <c r="BT117" i="2"/>
  <c r="BS117" i="2"/>
  <c r="BR117" i="2"/>
  <c r="BQ117" i="2"/>
  <c r="BP117" i="2"/>
  <c r="BO117" i="2"/>
  <c r="BN117" i="2"/>
  <c r="BM117" i="2"/>
  <c r="BL117" i="2"/>
  <c r="BJ117" i="2"/>
  <c r="BI117" i="2"/>
  <c r="BH117" i="2"/>
  <c r="BG117" i="2"/>
  <c r="BF117" i="2"/>
  <c r="BE117" i="2"/>
  <c r="BD117" i="2"/>
  <c r="BC117" i="2"/>
  <c r="BB117" i="2"/>
  <c r="BA117" i="2"/>
  <c r="AZ117" i="2"/>
  <c r="AY117" i="2"/>
  <c r="BW116" i="2"/>
  <c r="BV116" i="2"/>
  <c r="BU116" i="2"/>
  <c r="BT116" i="2"/>
  <c r="BS116" i="2"/>
  <c r="BR116" i="2"/>
  <c r="BQ116" i="2"/>
  <c r="BP116" i="2"/>
  <c r="BO116" i="2"/>
  <c r="BN116" i="2"/>
  <c r="BM116" i="2"/>
  <c r="BL116" i="2"/>
  <c r="BJ116" i="2"/>
  <c r="BI116" i="2"/>
  <c r="BH116" i="2"/>
  <c r="BG116" i="2"/>
  <c r="BF116" i="2"/>
  <c r="BE116" i="2"/>
  <c r="BD116" i="2"/>
  <c r="BC116" i="2"/>
  <c r="BB116" i="2"/>
  <c r="BA116" i="2"/>
  <c r="AZ116" i="2"/>
  <c r="AY116" i="2"/>
  <c r="BW115" i="2"/>
  <c r="BV115" i="2"/>
  <c r="BU115" i="2"/>
  <c r="BT115" i="2"/>
  <c r="BS115" i="2"/>
  <c r="BR115" i="2"/>
  <c r="BQ115" i="2"/>
  <c r="BP115" i="2"/>
  <c r="BO115" i="2"/>
  <c r="BN115" i="2"/>
  <c r="BM115" i="2"/>
  <c r="BL115" i="2"/>
  <c r="BJ115" i="2"/>
  <c r="BI115" i="2"/>
  <c r="BH115" i="2"/>
  <c r="BG115" i="2"/>
  <c r="BF115" i="2"/>
  <c r="BE115" i="2"/>
  <c r="BD115" i="2"/>
  <c r="BC115" i="2"/>
  <c r="BB115" i="2"/>
  <c r="BA115" i="2"/>
  <c r="AZ115" i="2"/>
  <c r="AY115" i="2"/>
  <c r="BW114" i="2"/>
  <c r="BV114" i="2"/>
  <c r="BU114" i="2"/>
  <c r="BT114" i="2"/>
  <c r="BS114" i="2"/>
  <c r="BR114" i="2"/>
  <c r="BQ114" i="2"/>
  <c r="BP114" i="2"/>
  <c r="BO114" i="2"/>
  <c r="BN114" i="2"/>
  <c r="BM114" i="2"/>
  <c r="BL114" i="2"/>
  <c r="BJ114" i="2"/>
  <c r="BI114" i="2"/>
  <c r="BH114" i="2"/>
  <c r="BG114" i="2"/>
  <c r="BF114" i="2"/>
  <c r="BE114" i="2"/>
  <c r="BD114" i="2"/>
  <c r="BC114" i="2"/>
  <c r="BB114" i="2"/>
  <c r="BA114" i="2"/>
  <c r="AZ114" i="2"/>
  <c r="AY114" i="2"/>
  <c r="BW113" i="2"/>
  <c r="BV113" i="2"/>
  <c r="BU113" i="2"/>
  <c r="BT113" i="2"/>
  <c r="BS113" i="2"/>
  <c r="BR113" i="2"/>
  <c r="BQ113" i="2"/>
  <c r="BP113" i="2"/>
  <c r="BO113" i="2"/>
  <c r="BN113" i="2"/>
  <c r="BM113" i="2"/>
  <c r="BL113" i="2"/>
  <c r="BJ113" i="2"/>
  <c r="BI113" i="2"/>
  <c r="BH113" i="2"/>
  <c r="BG113" i="2"/>
  <c r="BF113" i="2"/>
  <c r="BE113" i="2"/>
  <c r="BD113" i="2"/>
  <c r="BC113" i="2"/>
  <c r="BB113" i="2"/>
  <c r="BA113" i="2"/>
  <c r="AZ113" i="2"/>
  <c r="AY113" i="2"/>
  <c r="BW112" i="2"/>
  <c r="BV112" i="2"/>
  <c r="BU112" i="2"/>
  <c r="BT112" i="2"/>
  <c r="BS112" i="2"/>
  <c r="BR112" i="2"/>
  <c r="BQ112" i="2"/>
  <c r="BP112" i="2"/>
  <c r="BO112" i="2"/>
  <c r="BN112" i="2"/>
  <c r="BM112" i="2"/>
  <c r="BL112" i="2"/>
  <c r="BJ112" i="2"/>
  <c r="BI112" i="2"/>
  <c r="BH112" i="2"/>
  <c r="BG112" i="2"/>
  <c r="BF112" i="2"/>
  <c r="BE112" i="2"/>
  <c r="BD112" i="2"/>
  <c r="BC112" i="2"/>
  <c r="BB112" i="2"/>
  <c r="BA112" i="2"/>
  <c r="AZ112" i="2"/>
  <c r="AY112" i="2"/>
  <c r="BW111" i="2"/>
  <c r="BV111" i="2"/>
  <c r="BU111" i="2"/>
  <c r="BT111" i="2"/>
  <c r="BS111" i="2"/>
  <c r="BR111" i="2"/>
  <c r="BQ111" i="2"/>
  <c r="BP111" i="2"/>
  <c r="BO111" i="2"/>
  <c r="BN111" i="2"/>
  <c r="BM111" i="2"/>
  <c r="BL111" i="2"/>
  <c r="BJ111" i="2"/>
  <c r="BI111" i="2"/>
  <c r="BH111" i="2"/>
  <c r="BG111" i="2"/>
  <c r="BF111" i="2"/>
  <c r="BE111" i="2"/>
  <c r="BD111" i="2"/>
  <c r="BC111" i="2"/>
  <c r="BB111" i="2"/>
  <c r="BA111" i="2"/>
  <c r="AZ111" i="2"/>
  <c r="AY111" i="2"/>
  <c r="BW110" i="2"/>
  <c r="BV110" i="2"/>
  <c r="BU110" i="2"/>
  <c r="BT110" i="2"/>
  <c r="BS110" i="2"/>
  <c r="BR110" i="2"/>
  <c r="BQ110" i="2"/>
  <c r="BP110" i="2"/>
  <c r="BO110" i="2"/>
  <c r="BN110" i="2"/>
  <c r="BM110" i="2"/>
  <c r="BL110" i="2"/>
  <c r="BJ110" i="2"/>
  <c r="BI110" i="2"/>
  <c r="BH110" i="2"/>
  <c r="BG110" i="2"/>
  <c r="BF110" i="2"/>
  <c r="BE110" i="2"/>
  <c r="BD110" i="2"/>
  <c r="BC110" i="2"/>
  <c r="BB110" i="2"/>
  <c r="BA110" i="2"/>
  <c r="AZ110" i="2"/>
  <c r="AY110" i="2"/>
  <c r="BW109" i="2"/>
  <c r="BV109" i="2"/>
  <c r="BU109" i="2"/>
  <c r="BT109" i="2"/>
  <c r="BS109" i="2"/>
  <c r="BR109" i="2"/>
  <c r="BQ109" i="2"/>
  <c r="BP109" i="2"/>
  <c r="BO109" i="2"/>
  <c r="BN109" i="2"/>
  <c r="BM109" i="2"/>
  <c r="BL109" i="2"/>
  <c r="BJ109" i="2"/>
  <c r="BI109" i="2"/>
  <c r="BH109" i="2"/>
  <c r="BG109" i="2"/>
  <c r="BF109" i="2"/>
  <c r="BE109" i="2"/>
  <c r="BD109" i="2"/>
  <c r="BC109" i="2"/>
  <c r="BB109" i="2"/>
  <c r="BA109" i="2"/>
  <c r="AZ109" i="2"/>
  <c r="AY109" i="2"/>
  <c r="BW108" i="2"/>
  <c r="BV108" i="2"/>
  <c r="BU108" i="2"/>
  <c r="BT108" i="2"/>
  <c r="BS108" i="2"/>
  <c r="BR108" i="2"/>
  <c r="BQ108" i="2"/>
  <c r="BP108" i="2"/>
  <c r="BO108" i="2"/>
  <c r="BN108" i="2"/>
  <c r="BM108" i="2"/>
  <c r="BL108" i="2"/>
  <c r="BJ108" i="2"/>
  <c r="BI108" i="2"/>
  <c r="BH108" i="2"/>
  <c r="BG108" i="2"/>
  <c r="BF108" i="2"/>
  <c r="BE108" i="2"/>
  <c r="BD108" i="2"/>
  <c r="BC108" i="2"/>
  <c r="BB108" i="2"/>
  <c r="BA108" i="2"/>
  <c r="AZ108" i="2"/>
  <c r="AY108" i="2"/>
  <c r="BW107" i="2"/>
  <c r="BV107" i="2"/>
  <c r="BU107" i="2"/>
  <c r="BT107" i="2"/>
  <c r="BS107" i="2"/>
  <c r="BR107" i="2"/>
  <c r="BQ107" i="2"/>
  <c r="BP107" i="2"/>
  <c r="BO107" i="2"/>
  <c r="BN107" i="2"/>
  <c r="BM107" i="2"/>
  <c r="BL107" i="2"/>
  <c r="BJ107" i="2"/>
  <c r="BI107" i="2"/>
  <c r="BH107" i="2"/>
  <c r="BG107" i="2"/>
  <c r="BF107" i="2"/>
  <c r="BE107" i="2"/>
  <c r="BD107" i="2"/>
  <c r="BC107" i="2"/>
  <c r="BB107" i="2"/>
  <c r="BA107" i="2"/>
  <c r="AZ107" i="2"/>
  <c r="AY107" i="2"/>
  <c r="BW106" i="2"/>
  <c r="BV106" i="2"/>
  <c r="BU106" i="2"/>
  <c r="BT106" i="2"/>
  <c r="BS106" i="2"/>
  <c r="BR106" i="2"/>
  <c r="BQ106" i="2"/>
  <c r="BP106" i="2"/>
  <c r="BO106" i="2"/>
  <c r="BN106" i="2"/>
  <c r="BM106" i="2"/>
  <c r="BL106" i="2"/>
  <c r="BJ106" i="2"/>
  <c r="BI106" i="2"/>
  <c r="BH106" i="2"/>
  <c r="BG106" i="2"/>
  <c r="BF106" i="2"/>
  <c r="BE106" i="2"/>
  <c r="BD106" i="2"/>
  <c r="BC106" i="2"/>
  <c r="BB106" i="2"/>
  <c r="BA106" i="2"/>
  <c r="AZ106" i="2"/>
  <c r="AY106" i="2"/>
  <c r="BW105" i="2"/>
  <c r="BV105" i="2"/>
  <c r="BU105" i="2"/>
  <c r="BT105" i="2"/>
  <c r="BS105" i="2"/>
  <c r="BR105" i="2"/>
  <c r="BQ105" i="2"/>
  <c r="BP105" i="2"/>
  <c r="BO105" i="2"/>
  <c r="BN105" i="2"/>
  <c r="BM105" i="2"/>
  <c r="BL105" i="2"/>
  <c r="BJ105" i="2"/>
  <c r="BI105" i="2"/>
  <c r="BH105" i="2"/>
  <c r="BG105" i="2"/>
  <c r="BF105" i="2"/>
  <c r="BE105" i="2"/>
  <c r="BD105" i="2"/>
  <c r="BC105" i="2"/>
  <c r="BB105" i="2"/>
  <c r="BA105" i="2"/>
  <c r="AZ105" i="2"/>
  <c r="AY105" i="2"/>
  <c r="BW104" i="2"/>
  <c r="BV104" i="2"/>
  <c r="BU104" i="2"/>
  <c r="BT104" i="2"/>
  <c r="BS104" i="2"/>
  <c r="BR104" i="2"/>
  <c r="BQ104" i="2"/>
  <c r="BP104" i="2"/>
  <c r="BO104" i="2"/>
  <c r="BN104" i="2"/>
  <c r="BM104" i="2"/>
  <c r="BL104" i="2"/>
  <c r="BJ104" i="2"/>
  <c r="BI104" i="2"/>
  <c r="BH104" i="2"/>
  <c r="BG104" i="2"/>
  <c r="BF104" i="2"/>
  <c r="BE104" i="2"/>
  <c r="BD104" i="2"/>
  <c r="BC104" i="2"/>
  <c r="BB104" i="2"/>
  <c r="BA104" i="2"/>
  <c r="AZ104" i="2"/>
  <c r="AY104" i="2"/>
  <c r="BW103" i="2"/>
  <c r="BV103" i="2"/>
  <c r="BU103" i="2"/>
  <c r="BT103" i="2"/>
  <c r="BS103" i="2"/>
  <c r="BR103" i="2"/>
  <c r="BQ103" i="2"/>
  <c r="BP103" i="2"/>
  <c r="BO103" i="2"/>
  <c r="BN103" i="2"/>
  <c r="BM103" i="2"/>
  <c r="BL103" i="2"/>
  <c r="BJ103" i="2"/>
  <c r="BI103" i="2"/>
  <c r="BH103" i="2"/>
  <c r="BG103" i="2"/>
  <c r="BF103" i="2"/>
  <c r="BE103" i="2"/>
  <c r="BD103" i="2"/>
  <c r="BC103" i="2"/>
  <c r="BB103" i="2"/>
  <c r="BA103" i="2"/>
  <c r="AZ103" i="2"/>
  <c r="AY103" i="2"/>
  <c r="BW102" i="2"/>
  <c r="BV102" i="2"/>
  <c r="BU102" i="2"/>
  <c r="BT102" i="2"/>
  <c r="BS102" i="2"/>
  <c r="BR102" i="2"/>
  <c r="BQ102" i="2"/>
  <c r="BP102" i="2"/>
  <c r="BO102" i="2"/>
  <c r="BN102" i="2"/>
  <c r="BM102" i="2"/>
  <c r="BL102" i="2"/>
  <c r="BJ102" i="2"/>
  <c r="BI102" i="2"/>
  <c r="BH102" i="2"/>
  <c r="BG102" i="2"/>
  <c r="BF102" i="2"/>
  <c r="BE102" i="2"/>
  <c r="BD102" i="2"/>
  <c r="BC102" i="2"/>
  <c r="BB102" i="2"/>
  <c r="BA102" i="2"/>
  <c r="AZ102" i="2"/>
  <c r="AY102" i="2"/>
  <c r="BW101" i="2"/>
  <c r="BV101" i="2"/>
  <c r="BU101" i="2"/>
  <c r="BT101" i="2"/>
  <c r="BS101" i="2"/>
  <c r="BR101" i="2"/>
  <c r="BQ101" i="2"/>
  <c r="BP101" i="2"/>
  <c r="BO101" i="2"/>
  <c r="BN101" i="2"/>
  <c r="BM101" i="2"/>
  <c r="BL101" i="2"/>
  <c r="BJ101" i="2"/>
  <c r="BI101" i="2"/>
  <c r="BH101" i="2"/>
  <c r="BG101" i="2"/>
  <c r="BF101" i="2"/>
  <c r="BE101" i="2"/>
  <c r="BD101" i="2"/>
  <c r="BC101" i="2"/>
  <c r="BB101" i="2"/>
  <c r="BA101" i="2"/>
  <c r="AZ101" i="2"/>
  <c r="AY101" i="2"/>
  <c r="BW100" i="2"/>
  <c r="BV100" i="2"/>
  <c r="BU100" i="2"/>
  <c r="BT100" i="2"/>
  <c r="BS100" i="2"/>
  <c r="BR100" i="2"/>
  <c r="BQ100" i="2"/>
  <c r="BP100" i="2"/>
  <c r="BO100" i="2"/>
  <c r="BN100" i="2"/>
  <c r="BM100" i="2"/>
  <c r="BL100" i="2"/>
  <c r="BJ100" i="2"/>
  <c r="BI100" i="2"/>
  <c r="BH100" i="2"/>
  <c r="BG100" i="2"/>
  <c r="BF100" i="2"/>
  <c r="BE100" i="2"/>
  <c r="BD100" i="2"/>
  <c r="BC100" i="2"/>
  <c r="BB100" i="2"/>
  <c r="BA100" i="2"/>
  <c r="AZ100" i="2"/>
  <c r="AY100" i="2"/>
  <c r="BW99" i="2"/>
  <c r="BV99" i="2"/>
  <c r="BU99" i="2"/>
  <c r="BT99" i="2"/>
  <c r="BS99" i="2"/>
  <c r="BR99" i="2"/>
  <c r="BQ99" i="2"/>
  <c r="BP99" i="2"/>
  <c r="BO99" i="2"/>
  <c r="BN99" i="2"/>
  <c r="BM99" i="2"/>
  <c r="BL99" i="2"/>
  <c r="BJ99" i="2"/>
  <c r="BI99" i="2"/>
  <c r="BH99" i="2"/>
  <c r="BG99" i="2"/>
  <c r="BF99" i="2"/>
  <c r="BE99" i="2"/>
  <c r="BD99" i="2"/>
  <c r="BC99" i="2"/>
  <c r="BB99" i="2"/>
  <c r="BA99" i="2"/>
  <c r="AZ99" i="2"/>
  <c r="AY99" i="2"/>
  <c r="BW98" i="2"/>
  <c r="BV98" i="2"/>
  <c r="BU98" i="2"/>
  <c r="BT98" i="2"/>
  <c r="BS98" i="2"/>
  <c r="BR98" i="2"/>
  <c r="BQ98" i="2"/>
  <c r="BP98" i="2"/>
  <c r="BO98" i="2"/>
  <c r="BN98" i="2"/>
  <c r="BM98" i="2"/>
  <c r="BL98" i="2"/>
  <c r="BJ98" i="2"/>
  <c r="BI98" i="2"/>
  <c r="BH98" i="2"/>
  <c r="BG98" i="2"/>
  <c r="BF98" i="2"/>
  <c r="BE98" i="2"/>
  <c r="BD98" i="2"/>
  <c r="BC98" i="2"/>
  <c r="BB98" i="2"/>
  <c r="BA98" i="2"/>
  <c r="AZ98" i="2"/>
  <c r="AY98" i="2"/>
  <c r="BW97" i="2"/>
  <c r="BV97" i="2"/>
  <c r="BU97" i="2"/>
  <c r="BT97" i="2"/>
  <c r="BS97" i="2"/>
  <c r="BR97" i="2"/>
  <c r="BQ97" i="2"/>
  <c r="BP97" i="2"/>
  <c r="BO97" i="2"/>
  <c r="BN97" i="2"/>
  <c r="BM97" i="2"/>
  <c r="BL97" i="2"/>
  <c r="BJ97" i="2"/>
  <c r="BI97" i="2"/>
  <c r="BH97" i="2"/>
  <c r="BG97" i="2"/>
  <c r="BF97" i="2"/>
  <c r="BE97" i="2"/>
  <c r="BD97" i="2"/>
  <c r="BC97" i="2"/>
  <c r="BB97" i="2"/>
  <c r="BA97" i="2"/>
  <c r="AZ97" i="2"/>
  <c r="AY97" i="2"/>
  <c r="BW96" i="2"/>
  <c r="BV96" i="2"/>
  <c r="BU96" i="2"/>
  <c r="BT96" i="2"/>
  <c r="BS96" i="2"/>
  <c r="BR96" i="2"/>
  <c r="BQ96" i="2"/>
  <c r="BP96" i="2"/>
  <c r="BO96" i="2"/>
  <c r="BN96" i="2"/>
  <c r="BM96" i="2"/>
  <c r="BL96" i="2"/>
  <c r="BJ96" i="2"/>
  <c r="BI96" i="2"/>
  <c r="BH96" i="2"/>
  <c r="BG96" i="2"/>
  <c r="BF96" i="2"/>
  <c r="BE96" i="2"/>
  <c r="BD96" i="2"/>
  <c r="BC96" i="2"/>
  <c r="BB96" i="2"/>
  <c r="BA96" i="2"/>
  <c r="AZ96" i="2"/>
  <c r="AY96" i="2"/>
  <c r="BW95" i="2"/>
  <c r="BV95" i="2"/>
  <c r="BU95" i="2"/>
  <c r="BT95" i="2"/>
  <c r="BS95" i="2"/>
  <c r="BR95" i="2"/>
  <c r="BQ95" i="2"/>
  <c r="BP95" i="2"/>
  <c r="BO95" i="2"/>
  <c r="BN95" i="2"/>
  <c r="BM95" i="2"/>
  <c r="BL95" i="2"/>
  <c r="BJ95" i="2"/>
  <c r="BI95" i="2"/>
  <c r="BH95" i="2"/>
  <c r="BG95" i="2"/>
  <c r="BF95" i="2"/>
  <c r="BE95" i="2"/>
  <c r="BD95" i="2"/>
  <c r="BC95" i="2"/>
  <c r="BB95" i="2"/>
  <c r="BA95" i="2"/>
  <c r="AZ95" i="2"/>
  <c r="AY95" i="2"/>
  <c r="BW94" i="2"/>
  <c r="BV94" i="2"/>
  <c r="BU94" i="2"/>
  <c r="BT94" i="2"/>
  <c r="BS94" i="2"/>
  <c r="BR94" i="2"/>
  <c r="BQ94" i="2"/>
  <c r="BP94" i="2"/>
  <c r="BO94" i="2"/>
  <c r="BN94" i="2"/>
  <c r="BM94" i="2"/>
  <c r="BL94" i="2"/>
  <c r="BJ94" i="2"/>
  <c r="BI94" i="2"/>
  <c r="BH94" i="2"/>
  <c r="BG94" i="2"/>
  <c r="BF94" i="2"/>
  <c r="BE94" i="2"/>
  <c r="BD94" i="2"/>
  <c r="BC94" i="2"/>
  <c r="BB94" i="2"/>
  <c r="BA94" i="2"/>
  <c r="AZ94" i="2"/>
  <c r="AY94" i="2"/>
  <c r="BW93" i="2"/>
  <c r="BV93" i="2"/>
  <c r="BU93" i="2"/>
  <c r="BT93" i="2"/>
  <c r="BS93" i="2"/>
  <c r="BR93" i="2"/>
  <c r="BQ93" i="2"/>
  <c r="BP93" i="2"/>
  <c r="BO93" i="2"/>
  <c r="BN93" i="2"/>
  <c r="BM93" i="2"/>
  <c r="BL93" i="2"/>
  <c r="BJ93" i="2"/>
  <c r="BI93" i="2"/>
  <c r="BH93" i="2"/>
  <c r="BG93" i="2"/>
  <c r="BF93" i="2"/>
  <c r="BE93" i="2"/>
  <c r="BD93" i="2"/>
  <c r="BC93" i="2"/>
  <c r="BB93" i="2"/>
  <c r="BA93" i="2"/>
  <c r="AZ93" i="2"/>
  <c r="AY93" i="2"/>
  <c r="BW92" i="2"/>
  <c r="BV92" i="2"/>
  <c r="BU92" i="2"/>
  <c r="BT92" i="2"/>
  <c r="BS92" i="2"/>
  <c r="BR92" i="2"/>
  <c r="BQ92" i="2"/>
  <c r="BP92" i="2"/>
  <c r="BO92" i="2"/>
  <c r="BN92" i="2"/>
  <c r="BM92" i="2"/>
  <c r="BL92" i="2"/>
  <c r="BJ92" i="2"/>
  <c r="BI92" i="2"/>
  <c r="BH92" i="2"/>
  <c r="BG92" i="2"/>
  <c r="BF92" i="2"/>
  <c r="BE92" i="2"/>
  <c r="BD92" i="2"/>
  <c r="BC92" i="2"/>
  <c r="BB92" i="2"/>
  <c r="BA92" i="2"/>
  <c r="AZ92" i="2"/>
  <c r="AY92" i="2"/>
  <c r="BW91" i="2"/>
  <c r="BV91" i="2"/>
  <c r="BU91" i="2"/>
  <c r="BT91" i="2"/>
  <c r="BS91" i="2"/>
  <c r="BR91" i="2"/>
  <c r="BQ91" i="2"/>
  <c r="BP91" i="2"/>
  <c r="BO91" i="2"/>
  <c r="BN91" i="2"/>
  <c r="BM91" i="2"/>
  <c r="BL91" i="2"/>
  <c r="BJ91" i="2"/>
  <c r="BI91" i="2"/>
  <c r="BH91" i="2"/>
  <c r="BG91" i="2"/>
  <c r="BF91" i="2"/>
  <c r="BE91" i="2"/>
  <c r="BD91" i="2"/>
  <c r="BC91" i="2"/>
  <c r="BB91" i="2"/>
  <c r="BA91" i="2"/>
  <c r="AZ91" i="2"/>
  <c r="AY91" i="2"/>
  <c r="BW90" i="2"/>
  <c r="BV90" i="2"/>
  <c r="BU90" i="2"/>
  <c r="BT90" i="2"/>
  <c r="BS90" i="2"/>
  <c r="BR90" i="2"/>
  <c r="BQ90" i="2"/>
  <c r="BP90" i="2"/>
  <c r="BO90" i="2"/>
  <c r="BN90" i="2"/>
  <c r="BM90" i="2"/>
  <c r="BL90" i="2"/>
  <c r="BJ90" i="2"/>
  <c r="BI90" i="2"/>
  <c r="BH90" i="2"/>
  <c r="BG90" i="2"/>
  <c r="BF90" i="2"/>
  <c r="BE90" i="2"/>
  <c r="BD90" i="2"/>
  <c r="BC90" i="2"/>
  <c r="BB90" i="2"/>
  <c r="BA90" i="2"/>
  <c r="AZ90" i="2"/>
  <c r="AY90" i="2"/>
  <c r="BW89" i="2"/>
  <c r="BV89" i="2"/>
  <c r="BU89" i="2"/>
  <c r="BT89" i="2"/>
  <c r="BS89" i="2"/>
  <c r="BR89" i="2"/>
  <c r="BQ89" i="2"/>
  <c r="BP89" i="2"/>
  <c r="BO89" i="2"/>
  <c r="BN89" i="2"/>
  <c r="BM89" i="2"/>
  <c r="BL89" i="2"/>
  <c r="BJ89" i="2"/>
  <c r="BI89" i="2"/>
  <c r="BH89" i="2"/>
  <c r="BG89" i="2"/>
  <c r="BF89" i="2"/>
  <c r="BE89" i="2"/>
  <c r="BD89" i="2"/>
  <c r="BC89" i="2"/>
  <c r="BB89" i="2"/>
  <c r="BA89" i="2"/>
  <c r="AZ89" i="2"/>
  <c r="AY89" i="2"/>
  <c r="BW88" i="2"/>
  <c r="BV88" i="2"/>
  <c r="BU88" i="2"/>
  <c r="BT88" i="2"/>
  <c r="BS88" i="2"/>
  <c r="BR88" i="2"/>
  <c r="BQ88" i="2"/>
  <c r="BP88" i="2"/>
  <c r="BO88" i="2"/>
  <c r="BN88" i="2"/>
  <c r="BM88" i="2"/>
  <c r="BL88" i="2"/>
  <c r="BJ88" i="2"/>
  <c r="BI88" i="2"/>
  <c r="BH88" i="2"/>
  <c r="BG88" i="2"/>
  <c r="BF88" i="2"/>
  <c r="BE88" i="2"/>
  <c r="BD88" i="2"/>
  <c r="BC88" i="2"/>
  <c r="BB88" i="2"/>
  <c r="BA88" i="2"/>
  <c r="AZ88" i="2"/>
  <c r="AY88" i="2"/>
  <c r="BW87" i="2"/>
  <c r="BV87" i="2"/>
  <c r="BU87" i="2"/>
  <c r="BT87" i="2"/>
  <c r="BS87" i="2"/>
  <c r="BR87" i="2"/>
  <c r="BQ87" i="2"/>
  <c r="BP87" i="2"/>
  <c r="BO87" i="2"/>
  <c r="BN87" i="2"/>
  <c r="BM87" i="2"/>
  <c r="BL87" i="2"/>
  <c r="BJ87" i="2"/>
  <c r="BI87" i="2"/>
  <c r="BH87" i="2"/>
  <c r="BG87" i="2"/>
  <c r="BF87" i="2"/>
  <c r="BE87" i="2"/>
  <c r="BD87" i="2"/>
  <c r="BC87" i="2"/>
  <c r="BB87" i="2"/>
  <c r="BA87" i="2"/>
  <c r="AZ87" i="2"/>
  <c r="AY87" i="2"/>
  <c r="BW86" i="2"/>
  <c r="BV86" i="2"/>
  <c r="BU86" i="2"/>
  <c r="BT86" i="2"/>
  <c r="BS86" i="2"/>
  <c r="BR86" i="2"/>
  <c r="BQ86" i="2"/>
  <c r="BP86" i="2"/>
  <c r="BO86" i="2"/>
  <c r="BN86" i="2"/>
  <c r="BM86" i="2"/>
  <c r="BL86" i="2"/>
  <c r="BJ86" i="2"/>
  <c r="BI86" i="2"/>
  <c r="BH86" i="2"/>
  <c r="BG86" i="2"/>
  <c r="BF86" i="2"/>
  <c r="BE86" i="2"/>
  <c r="BD86" i="2"/>
  <c r="BC86" i="2"/>
  <c r="BB86" i="2"/>
  <c r="BA86" i="2"/>
  <c r="AZ86" i="2"/>
  <c r="AY86" i="2"/>
  <c r="BW85" i="2"/>
  <c r="BV85" i="2"/>
  <c r="BU85" i="2"/>
  <c r="BT85" i="2"/>
  <c r="BS85" i="2"/>
  <c r="BR85" i="2"/>
  <c r="BQ85" i="2"/>
  <c r="BP85" i="2"/>
  <c r="BO85" i="2"/>
  <c r="BN85" i="2"/>
  <c r="BM85" i="2"/>
  <c r="BL85" i="2"/>
  <c r="BJ85" i="2"/>
  <c r="BI85" i="2"/>
  <c r="BH85" i="2"/>
  <c r="BG85" i="2"/>
  <c r="BF85" i="2"/>
  <c r="BE85" i="2"/>
  <c r="BD85" i="2"/>
  <c r="BC85" i="2"/>
  <c r="BB85" i="2"/>
  <c r="BA85" i="2"/>
  <c r="AZ85" i="2"/>
  <c r="AY85" i="2"/>
  <c r="BW84" i="2"/>
  <c r="BV84" i="2"/>
  <c r="BU84" i="2"/>
  <c r="BT84" i="2"/>
  <c r="BS84" i="2"/>
  <c r="BR84" i="2"/>
  <c r="BQ84" i="2"/>
  <c r="BP84" i="2"/>
  <c r="BO84" i="2"/>
  <c r="BN84" i="2"/>
  <c r="BM84" i="2"/>
  <c r="BL84" i="2"/>
  <c r="BJ84" i="2"/>
  <c r="BI84" i="2"/>
  <c r="BH84" i="2"/>
  <c r="BG84" i="2"/>
  <c r="BF84" i="2"/>
  <c r="BE84" i="2"/>
  <c r="BD84" i="2"/>
  <c r="BC84" i="2"/>
  <c r="BB84" i="2"/>
  <c r="BA84" i="2"/>
  <c r="AZ84" i="2"/>
  <c r="AY84" i="2"/>
  <c r="BW83" i="2"/>
  <c r="BV83" i="2"/>
  <c r="BU83" i="2"/>
  <c r="BT83" i="2"/>
  <c r="BS83" i="2"/>
  <c r="BR83" i="2"/>
  <c r="BQ83" i="2"/>
  <c r="BP83" i="2"/>
  <c r="BO83" i="2"/>
  <c r="BN83" i="2"/>
  <c r="BM83" i="2"/>
  <c r="BL83" i="2"/>
  <c r="BJ83" i="2"/>
  <c r="BI83" i="2"/>
  <c r="BH83" i="2"/>
  <c r="BG83" i="2"/>
  <c r="BF83" i="2"/>
  <c r="BE83" i="2"/>
  <c r="BD83" i="2"/>
  <c r="BC83" i="2"/>
  <c r="BB83" i="2"/>
  <c r="BA83" i="2"/>
  <c r="AZ83" i="2"/>
  <c r="AY83" i="2"/>
  <c r="BW82" i="2"/>
  <c r="BV82" i="2"/>
  <c r="BU82" i="2"/>
  <c r="BT82" i="2"/>
  <c r="BS82" i="2"/>
  <c r="BR82" i="2"/>
  <c r="BQ82" i="2"/>
  <c r="BP82" i="2"/>
  <c r="BO82" i="2"/>
  <c r="BN82" i="2"/>
  <c r="BM82" i="2"/>
  <c r="BL82" i="2"/>
  <c r="BJ82" i="2"/>
  <c r="BI82" i="2"/>
  <c r="BH82" i="2"/>
  <c r="BG82" i="2"/>
  <c r="BF82" i="2"/>
  <c r="BE82" i="2"/>
  <c r="BD82" i="2"/>
  <c r="BC82" i="2"/>
  <c r="BB82" i="2"/>
  <c r="BA82" i="2"/>
  <c r="AZ82" i="2"/>
  <c r="AY82" i="2"/>
  <c r="BW81" i="2"/>
  <c r="BV81" i="2"/>
  <c r="BU81" i="2"/>
  <c r="BT81" i="2"/>
  <c r="BS81" i="2"/>
  <c r="BR81" i="2"/>
  <c r="BQ81" i="2"/>
  <c r="BP81" i="2"/>
  <c r="BO81" i="2"/>
  <c r="BN81" i="2"/>
  <c r="BM81" i="2"/>
  <c r="BL81" i="2"/>
  <c r="BJ81" i="2"/>
  <c r="BI81" i="2"/>
  <c r="BH81" i="2"/>
  <c r="BG81" i="2"/>
  <c r="BF81" i="2"/>
  <c r="BE81" i="2"/>
  <c r="BD81" i="2"/>
  <c r="BC81" i="2"/>
  <c r="BB81" i="2"/>
  <c r="BA81" i="2"/>
  <c r="AZ81" i="2"/>
  <c r="AY81" i="2"/>
  <c r="BW80" i="2"/>
  <c r="BV80" i="2"/>
  <c r="BU80" i="2"/>
  <c r="BT80" i="2"/>
  <c r="BS80" i="2"/>
  <c r="BR80" i="2"/>
  <c r="BQ80" i="2"/>
  <c r="BP80" i="2"/>
  <c r="BO80" i="2"/>
  <c r="BN80" i="2"/>
  <c r="BM80" i="2"/>
  <c r="BL80" i="2"/>
  <c r="BJ80" i="2"/>
  <c r="BI80" i="2"/>
  <c r="BH80" i="2"/>
  <c r="BG80" i="2"/>
  <c r="BF80" i="2"/>
  <c r="BE80" i="2"/>
  <c r="BD80" i="2"/>
  <c r="BC80" i="2"/>
  <c r="BB80" i="2"/>
  <c r="BA80" i="2"/>
  <c r="AZ80" i="2"/>
  <c r="AY80" i="2"/>
  <c r="BW79" i="2"/>
  <c r="BV79" i="2"/>
  <c r="BU79" i="2"/>
  <c r="BT79" i="2"/>
  <c r="BS79" i="2"/>
  <c r="BR79" i="2"/>
  <c r="BQ79" i="2"/>
  <c r="BP79" i="2"/>
  <c r="BO79" i="2"/>
  <c r="BN79" i="2"/>
  <c r="BM79" i="2"/>
  <c r="BL79" i="2"/>
  <c r="BJ79" i="2"/>
  <c r="BI79" i="2"/>
  <c r="BH79" i="2"/>
  <c r="BG79" i="2"/>
  <c r="BF79" i="2"/>
  <c r="BE79" i="2"/>
  <c r="BD79" i="2"/>
  <c r="BC79" i="2"/>
  <c r="BB79" i="2"/>
  <c r="BA79" i="2"/>
  <c r="AZ79" i="2"/>
  <c r="AY79" i="2"/>
  <c r="BW78" i="2"/>
  <c r="BV78" i="2"/>
  <c r="BU78" i="2"/>
  <c r="BT78" i="2"/>
  <c r="BS78" i="2"/>
  <c r="BR78" i="2"/>
  <c r="BQ78" i="2"/>
  <c r="BP78" i="2"/>
  <c r="BO78" i="2"/>
  <c r="BN78" i="2"/>
  <c r="BM78" i="2"/>
  <c r="BL78" i="2"/>
  <c r="BJ78" i="2"/>
  <c r="BI78" i="2"/>
  <c r="BH78" i="2"/>
  <c r="BG78" i="2"/>
  <c r="BF78" i="2"/>
  <c r="BE78" i="2"/>
  <c r="BD78" i="2"/>
  <c r="BC78" i="2"/>
  <c r="BB78" i="2"/>
  <c r="BA78" i="2"/>
  <c r="AZ78" i="2"/>
  <c r="AY78" i="2"/>
  <c r="BW77" i="2"/>
  <c r="BV77" i="2"/>
  <c r="BU77" i="2"/>
  <c r="BT77" i="2"/>
  <c r="BS77" i="2"/>
  <c r="BR77" i="2"/>
  <c r="BQ77" i="2"/>
  <c r="BP77" i="2"/>
  <c r="BO77" i="2"/>
  <c r="BN77" i="2"/>
  <c r="BM77" i="2"/>
  <c r="BL77" i="2"/>
  <c r="BJ77" i="2"/>
  <c r="BI77" i="2"/>
  <c r="BH77" i="2"/>
  <c r="BG77" i="2"/>
  <c r="BF77" i="2"/>
  <c r="BE77" i="2"/>
  <c r="BD77" i="2"/>
  <c r="BC77" i="2"/>
  <c r="BB77" i="2"/>
  <c r="BA77" i="2"/>
  <c r="AZ77" i="2"/>
  <c r="AY77" i="2"/>
  <c r="BW76" i="2"/>
  <c r="BV76" i="2"/>
  <c r="BU76" i="2"/>
  <c r="BT76" i="2"/>
  <c r="BS76" i="2"/>
  <c r="BR76" i="2"/>
  <c r="BQ76" i="2"/>
  <c r="BP76" i="2"/>
  <c r="BO76" i="2"/>
  <c r="BN76" i="2"/>
  <c r="BM76" i="2"/>
  <c r="BL76" i="2"/>
  <c r="BJ76" i="2"/>
  <c r="BI76" i="2"/>
  <c r="BH76" i="2"/>
  <c r="BG76" i="2"/>
  <c r="BF76" i="2"/>
  <c r="BE76" i="2"/>
  <c r="BD76" i="2"/>
  <c r="BC76" i="2"/>
  <c r="BB76" i="2"/>
  <c r="BA76" i="2"/>
  <c r="AZ76" i="2"/>
  <c r="AY76" i="2"/>
  <c r="BW75" i="2"/>
  <c r="BV75" i="2"/>
  <c r="BU75" i="2"/>
  <c r="BT75" i="2"/>
  <c r="BS75" i="2"/>
  <c r="BR75" i="2"/>
  <c r="BQ75" i="2"/>
  <c r="BP75" i="2"/>
  <c r="BO75" i="2"/>
  <c r="BN75" i="2"/>
  <c r="BM75" i="2"/>
  <c r="BL75" i="2"/>
  <c r="BJ75" i="2"/>
  <c r="BI75" i="2"/>
  <c r="BH75" i="2"/>
  <c r="BG75" i="2"/>
  <c r="BF75" i="2"/>
  <c r="BE75" i="2"/>
  <c r="BD75" i="2"/>
  <c r="BC75" i="2"/>
  <c r="BB75" i="2"/>
  <c r="BA75" i="2"/>
  <c r="AZ75" i="2"/>
  <c r="AY75" i="2"/>
  <c r="BW74" i="2"/>
  <c r="BV74" i="2"/>
  <c r="BU74" i="2"/>
  <c r="BT74" i="2"/>
  <c r="BS74" i="2"/>
  <c r="BR74" i="2"/>
  <c r="BQ74" i="2"/>
  <c r="BP74" i="2"/>
  <c r="BO74" i="2"/>
  <c r="BN74" i="2"/>
  <c r="BM74" i="2"/>
  <c r="BL74" i="2"/>
  <c r="BJ74" i="2"/>
  <c r="BI74" i="2"/>
  <c r="BH74" i="2"/>
  <c r="BG74" i="2"/>
  <c r="BF74" i="2"/>
  <c r="BE74" i="2"/>
  <c r="BD74" i="2"/>
  <c r="BC74" i="2"/>
  <c r="BB74" i="2"/>
  <c r="BA74" i="2"/>
  <c r="AZ74" i="2"/>
  <c r="AY74" i="2"/>
  <c r="BW73" i="2"/>
  <c r="BV73" i="2"/>
  <c r="BU73" i="2"/>
  <c r="BT73" i="2"/>
  <c r="BS73" i="2"/>
  <c r="BR73" i="2"/>
  <c r="BQ73" i="2"/>
  <c r="BP73" i="2"/>
  <c r="BO73" i="2"/>
  <c r="BN73" i="2"/>
  <c r="BM73" i="2"/>
  <c r="BL73" i="2"/>
  <c r="BJ73" i="2"/>
  <c r="BI73" i="2"/>
  <c r="BH73" i="2"/>
  <c r="BG73" i="2"/>
  <c r="BF73" i="2"/>
  <c r="BE73" i="2"/>
  <c r="BD73" i="2"/>
  <c r="BC73" i="2"/>
  <c r="BB73" i="2"/>
  <c r="BA73" i="2"/>
  <c r="AZ73" i="2"/>
  <c r="AY73" i="2"/>
  <c r="BW72" i="2"/>
  <c r="BV72" i="2"/>
  <c r="BU72" i="2"/>
  <c r="BT72" i="2"/>
  <c r="BS72" i="2"/>
  <c r="BR72" i="2"/>
  <c r="BQ72" i="2"/>
  <c r="BP72" i="2"/>
  <c r="BO72" i="2"/>
  <c r="BN72" i="2"/>
  <c r="BM72" i="2"/>
  <c r="BL72" i="2"/>
  <c r="BJ72" i="2"/>
  <c r="BI72" i="2"/>
  <c r="BH72" i="2"/>
  <c r="BG72" i="2"/>
  <c r="BF72" i="2"/>
  <c r="BE72" i="2"/>
  <c r="BD72" i="2"/>
  <c r="BC72" i="2"/>
  <c r="BB72" i="2"/>
  <c r="BA72" i="2"/>
  <c r="AZ72" i="2"/>
  <c r="AY72" i="2"/>
  <c r="BW71" i="2"/>
  <c r="BV71" i="2"/>
  <c r="BU71" i="2"/>
  <c r="BT71" i="2"/>
  <c r="BS71" i="2"/>
  <c r="BR71" i="2"/>
  <c r="BQ71" i="2"/>
  <c r="BP71" i="2"/>
  <c r="BO71" i="2"/>
  <c r="BN71" i="2"/>
  <c r="BM71" i="2"/>
  <c r="BL71" i="2"/>
  <c r="BJ71" i="2"/>
  <c r="BI71" i="2"/>
  <c r="BH71" i="2"/>
  <c r="BG71" i="2"/>
  <c r="BF71" i="2"/>
  <c r="BE71" i="2"/>
  <c r="BD71" i="2"/>
  <c r="BC71" i="2"/>
  <c r="BB71" i="2"/>
  <c r="BA71" i="2"/>
  <c r="AZ71" i="2"/>
  <c r="AY71" i="2"/>
  <c r="BW70" i="2"/>
  <c r="BV70" i="2"/>
  <c r="BU70" i="2"/>
  <c r="BT70" i="2"/>
  <c r="BS70" i="2"/>
  <c r="BR70" i="2"/>
  <c r="BQ70" i="2"/>
  <c r="BP70" i="2"/>
  <c r="BO70" i="2"/>
  <c r="BN70" i="2"/>
  <c r="BM70" i="2"/>
  <c r="BL70" i="2"/>
  <c r="BJ70" i="2"/>
  <c r="BI70" i="2"/>
  <c r="BH70" i="2"/>
  <c r="BG70" i="2"/>
  <c r="BF70" i="2"/>
  <c r="BE70" i="2"/>
  <c r="BD70" i="2"/>
  <c r="BC70" i="2"/>
  <c r="BB70" i="2"/>
  <c r="BA70" i="2"/>
  <c r="AZ70" i="2"/>
  <c r="AY70" i="2"/>
  <c r="BW69" i="2"/>
  <c r="BV69" i="2"/>
  <c r="BU69" i="2"/>
  <c r="BT69" i="2"/>
  <c r="BS69" i="2"/>
  <c r="BR69" i="2"/>
  <c r="BQ69" i="2"/>
  <c r="BP69" i="2"/>
  <c r="BO69" i="2"/>
  <c r="BN69" i="2"/>
  <c r="BM69" i="2"/>
  <c r="BL69" i="2"/>
  <c r="BJ69" i="2"/>
  <c r="BI69" i="2"/>
  <c r="BH69" i="2"/>
  <c r="BG69" i="2"/>
  <c r="BF69" i="2"/>
  <c r="BE69" i="2"/>
  <c r="BD69" i="2"/>
  <c r="BC69" i="2"/>
  <c r="BB69" i="2"/>
  <c r="BA69" i="2"/>
  <c r="AZ69" i="2"/>
  <c r="AY69" i="2"/>
  <c r="BW68" i="2"/>
  <c r="BV68" i="2"/>
  <c r="BU68" i="2"/>
  <c r="BT68" i="2"/>
  <c r="BS68" i="2"/>
  <c r="BR68" i="2"/>
  <c r="BQ68" i="2"/>
  <c r="BP68" i="2"/>
  <c r="BO68" i="2"/>
  <c r="BN68" i="2"/>
  <c r="BM68" i="2"/>
  <c r="BL68" i="2"/>
  <c r="BJ68" i="2"/>
  <c r="BI68" i="2"/>
  <c r="BH68" i="2"/>
  <c r="BG68" i="2"/>
  <c r="BF68" i="2"/>
  <c r="BE68" i="2"/>
  <c r="BD68" i="2"/>
  <c r="BC68" i="2"/>
  <c r="BB68" i="2"/>
  <c r="BA68" i="2"/>
  <c r="AZ68" i="2"/>
  <c r="AY68" i="2"/>
  <c r="BW67" i="2"/>
  <c r="BV67" i="2"/>
  <c r="BU67" i="2"/>
  <c r="BT67" i="2"/>
  <c r="BS67" i="2"/>
  <c r="BR67" i="2"/>
  <c r="BQ67" i="2"/>
  <c r="BP67" i="2"/>
  <c r="BO67" i="2"/>
  <c r="BN67" i="2"/>
  <c r="BM67" i="2"/>
  <c r="BL67" i="2"/>
  <c r="BJ67" i="2"/>
  <c r="BI67" i="2"/>
  <c r="BH67" i="2"/>
  <c r="BG67" i="2"/>
  <c r="BF67" i="2"/>
  <c r="BE67" i="2"/>
  <c r="BD67" i="2"/>
  <c r="BC67" i="2"/>
  <c r="BB67" i="2"/>
  <c r="BA67" i="2"/>
  <c r="AZ67" i="2"/>
  <c r="AY67" i="2"/>
  <c r="BW66" i="2"/>
  <c r="BV66" i="2"/>
  <c r="BU66" i="2"/>
  <c r="BT66" i="2"/>
  <c r="BS66" i="2"/>
  <c r="BR66" i="2"/>
  <c r="BQ66" i="2"/>
  <c r="BP66" i="2"/>
  <c r="BO66" i="2"/>
  <c r="BN66" i="2"/>
  <c r="BM66" i="2"/>
  <c r="BL66" i="2"/>
  <c r="BJ66" i="2"/>
  <c r="BI66" i="2"/>
  <c r="BH66" i="2"/>
  <c r="BG66" i="2"/>
  <c r="BF66" i="2"/>
  <c r="BE66" i="2"/>
  <c r="BD66" i="2"/>
  <c r="BC66" i="2"/>
  <c r="BB66" i="2"/>
  <c r="BA66" i="2"/>
  <c r="AZ66" i="2"/>
  <c r="AY66" i="2"/>
  <c r="BW65" i="2"/>
  <c r="BV65" i="2"/>
  <c r="BU65" i="2"/>
  <c r="BT65" i="2"/>
  <c r="BS65" i="2"/>
  <c r="BR65" i="2"/>
  <c r="BQ65" i="2"/>
  <c r="BP65" i="2"/>
  <c r="BO65" i="2"/>
  <c r="BN65" i="2"/>
  <c r="BM65" i="2"/>
  <c r="BL65" i="2"/>
  <c r="BJ65" i="2"/>
  <c r="BI65" i="2"/>
  <c r="BH65" i="2"/>
  <c r="BG65" i="2"/>
  <c r="BF65" i="2"/>
  <c r="BE65" i="2"/>
  <c r="BD65" i="2"/>
  <c r="BC65" i="2"/>
  <c r="BB65" i="2"/>
  <c r="BA65" i="2"/>
  <c r="AZ65" i="2"/>
  <c r="AY65" i="2"/>
  <c r="BW64" i="2"/>
  <c r="BV64" i="2"/>
  <c r="BU64" i="2"/>
  <c r="BT64" i="2"/>
  <c r="BS64" i="2"/>
  <c r="BR64" i="2"/>
  <c r="BQ64" i="2"/>
  <c r="BP64" i="2"/>
  <c r="BO64" i="2"/>
  <c r="BN64" i="2"/>
  <c r="BM64" i="2"/>
  <c r="BL64" i="2"/>
  <c r="BJ64" i="2"/>
  <c r="BI64" i="2"/>
  <c r="BH64" i="2"/>
  <c r="BG64" i="2"/>
  <c r="BF64" i="2"/>
  <c r="BE64" i="2"/>
  <c r="BD64" i="2"/>
  <c r="BC64" i="2"/>
  <c r="BB64" i="2"/>
  <c r="BA64" i="2"/>
  <c r="AZ64" i="2"/>
  <c r="AY64" i="2"/>
  <c r="BW63" i="2"/>
  <c r="BV63" i="2"/>
  <c r="BU63" i="2"/>
  <c r="BT63" i="2"/>
  <c r="BS63" i="2"/>
  <c r="BR63" i="2"/>
  <c r="BQ63" i="2"/>
  <c r="BP63" i="2"/>
  <c r="BO63" i="2"/>
  <c r="BN63" i="2"/>
  <c r="BM63" i="2"/>
  <c r="BL63" i="2"/>
  <c r="BJ63" i="2"/>
  <c r="BI63" i="2"/>
  <c r="BH63" i="2"/>
  <c r="BG63" i="2"/>
  <c r="BF63" i="2"/>
  <c r="BE63" i="2"/>
  <c r="BD63" i="2"/>
  <c r="BC63" i="2"/>
  <c r="BB63" i="2"/>
  <c r="BA63" i="2"/>
  <c r="AZ63" i="2"/>
  <c r="AY63" i="2"/>
  <c r="BW62" i="2"/>
  <c r="BV62" i="2"/>
  <c r="BU62" i="2"/>
  <c r="BT62" i="2"/>
  <c r="BS62" i="2"/>
  <c r="BR62" i="2"/>
  <c r="BQ62" i="2"/>
  <c r="BP62" i="2"/>
  <c r="BO62" i="2"/>
  <c r="BN62" i="2"/>
  <c r="BM62" i="2"/>
  <c r="BL62" i="2"/>
  <c r="BJ62" i="2"/>
  <c r="BI62" i="2"/>
  <c r="BH62" i="2"/>
  <c r="BG62" i="2"/>
  <c r="BF62" i="2"/>
  <c r="BE62" i="2"/>
  <c r="BD62" i="2"/>
  <c r="BC62" i="2"/>
  <c r="BB62" i="2"/>
  <c r="BA62" i="2"/>
  <c r="AZ62" i="2"/>
  <c r="AY62" i="2"/>
  <c r="BW61" i="2"/>
  <c r="BV61" i="2"/>
  <c r="BU61" i="2"/>
  <c r="BT61" i="2"/>
  <c r="BS61" i="2"/>
  <c r="BR61" i="2"/>
  <c r="BQ61" i="2"/>
  <c r="BP61" i="2"/>
  <c r="BO61" i="2"/>
  <c r="BN61" i="2"/>
  <c r="BM61" i="2"/>
  <c r="BL61" i="2"/>
  <c r="BJ61" i="2"/>
  <c r="BI61" i="2"/>
  <c r="BH61" i="2"/>
  <c r="BG61" i="2"/>
  <c r="BF61" i="2"/>
  <c r="BE61" i="2"/>
  <c r="BD61" i="2"/>
  <c r="BC61" i="2"/>
  <c r="BB61" i="2"/>
  <c r="BA61" i="2"/>
  <c r="AZ61" i="2"/>
  <c r="AY61" i="2"/>
  <c r="BW60" i="2"/>
  <c r="BV60" i="2"/>
  <c r="BU60" i="2"/>
  <c r="BT60" i="2"/>
  <c r="BS60" i="2"/>
  <c r="BR60" i="2"/>
  <c r="BQ60" i="2"/>
  <c r="BP60" i="2"/>
  <c r="BO60" i="2"/>
  <c r="BN60" i="2"/>
  <c r="BM60" i="2"/>
  <c r="BL60" i="2"/>
  <c r="BJ60" i="2"/>
  <c r="BI60" i="2"/>
  <c r="BH60" i="2"/>
  <c r="BG60" i="2"/>
  <c r="BF60" i="2"/>
  <c r="BE60" i="2"/>
  <c r="BD60" i="2"/>
  <c r="BC60" i="2"/>
  <c r="BB60" i="2"/>
  <c r="BA60" i="2"/>
  <c r="AZ60" i="2"/>
  <c r="AY60" i="2"/>
  <c r="BW59" i="2"/>
  <c r="BV59" i="2"/>
  <c r="BU59" i="2"/>
  <c r="BT59" i="2"/>
  <c r="BS59" i="2"/>
  <c r="BR59" i="2"/>
  <c r="BQ59" i="2"/>
  <c r="BP59" i="2"/>
  <c r="BO59" i="2"/>
  <c r="BN59" i="2"/>
  <c r="BM59" i="2"/>
  <c r="BL59" i="2"/>
  <c r="BJ59" i="2"/>
  <c r="BI59" i="2"/>
  <c r="BH59" i="2"/>
  <c r="BG59" i="2"/>
  <c r="BF59" i="2"/>
  <c r="BE59" i="2"/>
  <c r="BD59" i="2"/>
  <c r="BC59" i="2"/>
  <c r="BB59" i="2"/>
  <c r="BA59" i="2"/>
  <c r="AZ59" i="2"/>
  <c r="AY59" i="2"/>
  <c r="BW58" i="2"/>
  <c r="BV58" i="2"/>
  <c r="BU58" i="2"/>
  <c r="BT58" i="2"/>
  <c r="BS58" i="2"/>
  <c r="BR58" i="2"/>
  <c r="BQ58" i="2"/>
  <c r="BP58" i="2"/>
  <c r="BO58" i="2"/>
  <c r="BN58" i="2"/>
  <c r="BM58" i="2"/>
  <c r="BL58" i="2"/>
  <c r="BJ58" i="2"/>
  <c r="BI58" i="2"/>
  <c r="BH58" i="2"/>
  <c r="BG58" i="2"/>
  <c r="BF58" i="2"/>
  <c r="BE58" i="2"/>
  <c r="BD58" i="2"/>
  <c r="BC58" i="2"/>
  <c r="BB58" i="2"/>
  <c r="BA58" i="2"/>
  <c r="AZ58" i="2"/>
  <c r="AY58" i="2"/>
  <c r="BW57" i="2"/>
  <c r="BV57" i="2"/>
  <c r="BU57" i="2"/>
  <c r="BT57" i="2"/>
  <c r="BS57" i="2"/>
  <c r="BR57" i="2"/>
  <c r="BQ57" i="2"/>
  <c r="BP57" i="2"/>
  <c r="BO57" i="2"/>
  <c r="BN57" i="2"/>
  <c r="BM57" i="2"/>
  <c r="BL57" i="2"/>
  <c r="BJ57" i="2"/>
  <c r="BI57" i="2"/>
  <c r="BH57" i="2"/>
  <c r="BG57" i="2"/>
  <c r="BF57" i="2"/>
  <c r="BE57" i="2"/>
  <c r="BD57" i="2"/>
  <c r="BC57" i="2"/>
  <c r="BB57" i="2"/>
  <c r="BA57" i="2"/>
  <c r="AZ57" i="2"/>
  <c r="AY57" i="2"/>
  <c r="BW56" i="2"/>
  <c r="BV56" i="2"/>
  <c r="BU56" i="2"/>
  <c r="BT56" i="2"/>
  <c r="BS56" i="2"/>
  <c r="BR56" i="2"/>
  <c r="BQ56" i="2"/>
  <c r="BP56" i="2"/>
  <c r="BO56" i="2"/>
  <c r="BN56" i="2"/>
  <c r="BM56" i="2"/>
  <c r="BL56" i="2"/>
  <c r="BJ56" i="2"/>
  <c r="BI56" i="2"/>
  <c r="BH56" i="2"/>
  <c r="BG56" i="2"/>
  <c r="BF56" i="2"/>
  <c r="BE56" i="2"/>
  <c r="BD56" i="2"/>
  <c r="BC56" i="2"/>
  <c r="BB56" i="2"/>
  <c r="BA56" i="2"/>
  <c r="AZ56" i="2"/>
  <c r="AY56" i="2"/>
  <c r="BW55" i="2"/>
  <c r="BV55" i="2"/>
  <c r="BU55" i="2"/>
  <c r="BT55" i="2"/>
  <c r="BS55" i="2"/>
  <c r="BR55" i="2"/>
  <c r="BQ55" i="2"/>
  <c r="BP55" i="2"/>
  <c r="BO55" i="2"/>
  <c r="BN55" i="2"/>
  <c r="BM55" i="2"/>
  <c r="BL55" i="2"/>
  <c r="BJ55" i="2"/>
  <c r="BI55" i="2"/>
  <c r="BH55" i="2"/>
  <c r="BG55" i="2"/>
  <c r="BF55" i="2"/>
  <c r="BE55" i="2"/>
  <c r="BD55" i="2"/>
  <c r="BC55" i="2"/>
  <c r="BB55" i="2"/>
  <c r="BA55" i="2"/>
  <c r="AZ55" i="2"/>
  <c r="AY55" i="2"/>
  <c r="BW54" i="2"/>
  <c r="BV54" i="2"/>
  <c r="BU54" i="2"/>
  <c r="BT54" i="2"/>
  <c r="BS54" i="2"/>
  <c r="BR54" i="2"/>
  <c r="BQ54" i="2"/>
  <c r="BP54" i="2"/>
  <c r="BO54" i="2"/>
  <c r="BN54" i="2"/>
  <c r="BM54" i="2"/>
  <c r="BL54" i="2"/>
  <c r="BJ54" i="2"/>
  <c r="BI54" i="2"/>
  <c r="BH54" i="2"/>
  <c r="BG54" i="2"/>
  <c r="BF54" i="2"/>
  <c r="BE54" i="2"/>
  <c r="BD54" i="2"/>
  <c r="BC54" i="2"/>
  <c r="BB54" i="2"/>
  <c r="BA54" i="2"/>
  <c r="AZ54" i="2"/>
  <c r="AY54" i="2"/>
  <c r="BW53" i="2"/>
  <c r="BV53" i="2"/>
  <c r="BU53" i="2"/>
  <c r="BT53" i="2"/>
  <c r="BS53" i="2"/>
  <c r="BR53" i="2"/>
  <c r="BQ53" i="2"/>
  <c r="BP53" i="2"/>
  <c r="BO53" i="2"/>
  <c r="BN53" i="2"/>
  <c r="BM53" i="2"/>
  <c r="BL53" i="2"/>
  <c r="BJ53" i="2"/>
  <c r="BI53" i="2"/>
  <c r="BH53" i="2"/>
  <c r="BG53" i="2"/>
  <c r="BF53" i="2"/>
  <c r="BE53" i="2"/>
  <c r="BD53" i="2"/>
  <c r="BC53" i="2"/>
  <c r="BB53" i="2"/>
  <c r="BA53" i="2"/>
  <c r="AZ53" i="2"/>
  <c r="AY53" i="2"/>
  <c r="BW52" i="2"/>
  <c r="BV52" i="2"/>
  <c r="BU52" i="2"/>
  <c r="BT52" i="2"/>
  <c r="BS52" i="2"/>
  <c r="BR52" i="2"/>
  <c r="BQ52" i="2"/>
  <c r="BP52" i="2"/>
  <c r="BO52" i="2"/>
  <c r="BN52" i="2"/>
  <c r="BM52" i="2"/>
  <c r="BL52" i="2"/>
  <c r="BJ52" i="2"/>
  <c r="BI52" i="2"/>
  <c r="BH52" i="2"/>
  <c r="BG52" i="2"/>
  <c r="BF52" i="2"/>
  <c r="BE52" i="2"/>
  <c r="BD52" i="2"/>
  <c r="BC52" i="2"/>
  <c r="BB52" i="2"/>
  <c r="BA52" i="2"/>
  <c r="AZ52" i="2"/>
  <c r="AY52" i="2"/>
  <c r="BW51" i="2"/>
  <c r="BV51" i="2"/>
  <c r="BU51" i="2"/>
  <c r="BT51" i="2"/>
  <c r="BS51" i="2"/>
  <c r="BR51" i="2"/>
  <c r="BQ51" i="2"/>
  <c r="BP51" i="2"/>
  <c r="BO51" i="2"/>
  <c r="BN51" i="2"/>
  <c r="BM51" i="2"/>
  <c r="BL51" i="2"/>
  <c r="BJ51" i="2"/>
  <c r="BI51" i="2"/>
  <c r="BH51" i="2"/>
  <c r="BG51" i="2"/>
  <c r="BF51" i="2"/>
  <c r="BE51" i="2"/>
  <c r="BD51" i="2"/>
  <c r="BC51" i="2"/>
  <c r="BB51" i="2"/>
  <c r="BA51" i="2"/>
  <c r="AZ51" i="2"/>
  <c r="AY51" i="2"/>
  <c r="BW50" i="2"/>
  <c r="BV50" i="2"/>
  <c r="BU50" i="2"/>
  <c r="BT50" i="2"/>
  <c r="BS50" i="2"/>
  <c r="BR50" i="2"/>
  <c r="BQ50" i="2"/>
  <c r="BP50" i="2"/>
  <c r="BO50" i="2"/>
  <c r="BN50" i="2"/>
  <c r="BM50" i="2"/>
  <c r="BL50" i="2"/>
  <c r="BJ50" i="2"/>
  <c r="BI50" i="2"/>
  <c r="BH50" i="2"/>
  <c r="BG50" i="2"/>
  <c r="BF50" i="2"/>
  <c r="BE50" i="2"/>
  <c r="BD50" i="2"/>
  <c r="BC50" i="2"/>
  <c r="BB50" i="2"/>
  <c r="BA50" i="2"/>
  <c r="AZ50" i="2"/>
  <c r="AY50" i="2"/>
  <c r="BW49" i="2"/>
  <c r="BV49" i="2"/>
  <c r="BU49" i="2"/>
  <c r="BT49" i="2"/>
  <c r="BS49" i="2"/>
  <c r="BR49" i="2"/>
  <c r="BQ49" i="2"/>
  <c r="BP49" i="2"/>
  <c r="BO49" i="2"/>
  <c r="BN49" i="2"/>
  <c r="BM49" i="2"/>
  <c r="BL49" i="2"/>
  <c r="BJ49" i="2"/>
  <c r="BI49" i="2"/>
  <c r="BH49" i="2"/>
  <c r="BG49" i="2"/>
  <c r="BF49" i="2"/>
  <c r="BE49" i="2"/>
  <c r="BD49" i="2"/>
  <c r="BC49" i="2"/>
  <c r="BB49" i="2"/>
  <c r="BA49" i="2"/>
  <c r="AZ49" i="2"/>
  <c r="AY49" i="2"/>
  <c r="BW48" i="2"/>
  <c r="BV48" i="2"/>
  <c r="BU48" i="2"/>
  <c r="BT48" i="2"/>
  <c r="BS48" i="2"/>
  <c r="BR48" i="2"/>
  <c r="BQ48" i="2"/>
  <c r="BP48" i="2"/>
  <c r="BO48" i="2"/>
  <c r="BN48" i="2"/>
  <c r="BM48" i="2"/>
  <c r="BL48" i="2"/>
  <c r="BJ48" i="2"/>
  <c r="BI48" i="2"/>
  <c r="BH48" i="2"/>
  <c r="BG48" i="2"/>
  <c r="BF48" i="2"/>
  <c r="BE48" i="2"/>
  <c r="BD48" i="2"/>
  <c r="BC48" i="2"/>
  <c r="BB48" i="2"/>
  <c r="BA48" i="2"/>
  <c r="AZ48" i="2"/>
  <c r="AY48" i="2"/>
  <c r="BW47" i="2"/>
  <c r="BV47" i="2"/>
  <c r="BU47" i="2"/>
  <c r="BT47" i="2"/>
  <c r="BS47" i="2"/>
  <c r="BR47" i="2"/>
  <c r="BQ47" i="2"/>
  <c r="BP47" i="2"/>
  <c r="BO47" i="2"/>
  <c r="BN47" i="2"/>
  <c r="BM47" i="2"/>
  <c r="BL47" i="2"/>
  <c r="BJ47" i="2"/>
  <c r="BI47" i="2"/>
  <c r="BH47" i="2"/>
  <c r="BG47" i="2"/>
  <c r="BF47" i="2"/>
  <c r="BE47" i="2"/>
  <c r="BD47" i="2"/>
  <c r="BC47" i="2"/>
  <c r="BB47" i="2"/>
  <c r="BA47" i="2"/>
  <c r="AZ47" i="2"/>
  <c r="AY47" i="2"/>
  <c r="BW46" i="2"/>
  <c r="BV46" i="2"/>
  <c r="BU46" i="2"/>
  <c r="BT46" i="2"/>
  <c r="BS46" i="2"/>
  <c r="BR46" i="2"/>
  <c r="BQ46" i="2"/>
  <c r="BP46" i="2"/>
  <c r="BO46" i="2"/>
  <c r="BN46" i="2"/>
  <c r="BM46" i="2"/>
  <c r="BL46" i="2"/>
  <c r="BJ46" i="2"/>
  <c r="BI46" i="2"/>
  <c r="BH46" i="2"/>
  <c r="BG46" i="2"/>
  <c r="BF46" i="2"/>
  <c r="BE46" i="2"/>
  <c r="BD46" i="2"/>
  <c r="BC46" i="2"/>
  <c r="BB46" i="2"/>
  <c r="BA46" i="2"/>
  <c r="AZ46" i="2"/>
  <c r="AY46" i="2"/>
  <c r="BW45" i="2"/>
  <c r="BV45" i="2"/>
  <c r="BU45" i="2"/>
  <c r="BT45" i="2"/>
  <c r="BS45" i="2"/>
  <c r="BR45" i="2"/>
  <c r="BQ45" i="2"/>
  <c r="BP45" i="2"/>
  <c r="BO45" i="2"/>
  <c r="BN45" i="2"/>
  <c r="BM45" i="2"/>
  <c r="BL45" i="2"/>
  <c r="BJ45" i="2"/>
  <c r="BI45" i="2"/>
  <c r="BH45" i="2"/>
  <c r="BG45" i="2"/>
  <c r="BF45" i="2"/>
  <c r="BE45" i="2"/>
  <c r="BD45" i="2"/>
  <c r="BC45" i="2"/>
  <c r="BB45" i="2"/>
  <c r="BA45" i="2"/>
  <c r="AZ45" i="2"/>
  <c r="AY45" i="2"/>
  <c r="BW44" i="2"/>
  <c r="BV44" i="2"/>
  <c r="BU44" i="2"/>
  <c r="BT44" i="2"/>
  <c r="BS44" i="2"/>
  <c r="BR44" i="2"/>
  <c r="BQ44" i="2"/>
  <c r="BP44" i="2"/>
  <c r="BO44" i="2"/>
  <c r="BN44" i="2"/>
  <c r="BM44" i="2"/>
  <c r="BL44" i="2"/>
  <c r="BJ44" i="2"/>
  <c r="BI44" i="2"/>
  <c r="BH44" i="2"/>
  <c r="BG44" i="2"/>
  <c r="BF44" i="2"/>
  <c r="BE44" i="2"/>
  <c r="BD44" i="2"/>
  <c r="BC44" i="2"/>
  <c r="BB44" i="2"/>
  <c r="BA44" i="2"/>
  <c r="AZ44" i="2"/>
  <c r="AY44" i="2"/>
  <c r="BW43" i="2"/>
  <c r="BV43" i="2"/>
  <c r="BU43" i="2"/>
  <c r="BT43" i="2"/>
  <c r="BS43" i="2"/>
  <c r="BR43" i="2"/>
  <c r="BQ43" i="2"/>
  <c r="BP43" i="2"/>
  <c r="BO43" i="2"/>
  <c r="BN43" i="2"/>
  <c r="BM43" i="2"/>
  <c r="BL43" i="2"/>
  <c r="BJ43" i="2"/>
  <c r="BI43" i="2"/>
  <c r="BH43" i="2"/>
  <c r="BG43" i="2"/>
  <c r="BF43" i="2"/>
  <c r="BE43" i="2"/>
  <c r="BD43" i="2"/>
  <c r="BC43" i="2"/>
  <c r="BB43" i="2"/>
  <c r="BA43" i="2"/>
  <c r="AZ43" i="2"/>
  <c r="AY43" i="2"/>
  <c r="BW42" i="2"/>
  <c r="BV42" i="2"/>
  <c r="BU42" i="2"/>
  <c r="BT42" i="2"/>
  <c r="BS42" i="2"/>
  <c r="BR42" i="2"/>
  <c r="BQ42" i="2"/>
  <c r="BP42" i="2"/>
  <c r="BO42" i="2"/>
  <c r="BN42" i="2"/>
  <c r="BM42" i="2"/>
  <c r="BL42" i="2"/>
  <c r="BJ42" i="2"/>
  <c r="BI42" i="2"/>
  <c r="BH42" i="2"/>
  <c r="BG42" i="2"/>
  <c r="BF42" i="2"/>
  <c r="BE42" i="2"/>
  <c r="BD42" i="2"/>
  <c r="BC42" i="2"/>
  <c r="BB42" i="2"/>
  <c r="BA42" i="2"/>
  <c r="AZ42" i="2"/>
  <c r="AY42" i="2"/>
  <c r="BW41" i="2"/>
  <c r="BV41" i="2"/>
  <c r="BU41" i="2"/>
  <c r="BT41" i="2"/>
  <c r="BS41" i="2"/>
  <c r="BR41" i="2"/>
  <c r="BQ41" i="2"/>
  <c r="BP41" i="2"/>
  <c r="BO41" i="2"/>
  <c r="BN41" i="2"/>
  <c r="BM41" i="2"/>
  <c r="BL41" i="2"/>
  <c r="BJ41" i="2"/>
  <c r="BI41" i="2"/>
  <c r="BH41" i="2"/>
  <c r="BG41" i="2"/>
  <c r="BF41" i="2"/>
  <c r="BE41" i="2"/>
  <c r="BD41" i="2"/>
  <c r="BC41" i="2"/>
  <c r="BB41" i="2"/>
  <c r="BA41" i="2"/>
  <c r="AZ41" i="2"/>
  <c r="AY41" i="2"/>
  <c r="BW40" i="2"/>
  <c r="BV40" i="2"/>
  <c r="BU40" i="2"/>
  <c r="BT40" i="2"/>
  <c r="BS40" i="2"/>
  <c r="BR40" i="2"/>
  <c r="BQ40" i="2"/>
  <c r="BP40" i="2"/>
  <c r="BO40" i="2"/>
  <c r="BN40" i="2"/>
  <c r="BM40" i="2"/>
  <c r="BL40" i="2"/>
  <c r="BJ40" i="2"/>
  <c r="BI40" i="2"/>
  <c r="BH40" i="2"/>
  <c r="BG40" i="2"/>
  <c r="BF40" i="2"/>
  <c r="BE40" i="2"/>
  <c r="BD40" i="2"/>
  <c r="BC40" i="2"/>
  <c r="BB40" i="2"/>
  <c r="BA40" i="2"/>
  <c r="AZ40" i="2"/>
  <c r="AY40" i="2"/>
  <c r="BW39" i="2"/>
  <c r="BV39" i="2"/>
  <c r="BU39" i="2"/>
  <c r="BT39" i="2"/>
  <c r="BS39" i="2"/>
  <c r="BR39" i="2"/>
  <c r="BQ39" i="2"/>
  <c r="BP39" i="2"/>
  <c r="BO39" i="2"/>
  <c r="BN39" i="2"/>
  <c r="BM39" i="2"/>
  <c r="BL39" i="2"/>
  <c r="BJ39" i="2"/>
  <c r="BI39" i="2"/>
  <c r="BH39" i="2"/>
  <c r="BG39" i="2"/>
  <c r="BF39" i="2"/>
  <c r="BE39" i="2"/>
  <c r="BD39" i="2"/>
  <c r="BC39" i="2"/>
  <c r="BB39" i="2"/>
  <c r="BA39" i="2"/>
  <c r="AZ39" i="2"/>
  <c r="AY39" i="2"/>
  <c r="BW38" i="2"/>
  <c r="BV38" i="2"/>
  <c r="BU38" i="2"/>
  <c r="BT38" i="2"/>
  <c r="BS38" i="2"/>
  <c r="BR38" i="2"/>
  <c r="BQ38" i="2"/>
  <c r="BP38" i="2"/>
  <c r="BO38" i="2"/>
  <c r="BN38" i="2"/>
  <c r="BM38" i="2"/>
  <c r="BL38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BW37" i="2"/>
  <c r="BV37" i="2"/>
  <c r="BU37" i="2"/>
  <c r="BT37" i="2"/>
  <c r="BS37" i="2"/>
  <c r="BR37" i="2"/>
  <c r="BQ37" i="2"/>
  <c r="BP37" i="2"/>
  <c r="BO37" i="2"/>
  <c r="BN37" i="2"/>
  <c r="BM37" i="2"/>
  <c r="BL37" i="2"/>
  <c r="BJ37" i="2"/>
  <c r="BI37" i="2"/>
  <c r="BH37" i="2"/>
  <c r="BG37" i="2"/>
  <c r="BF37" i="2"/>
  <c r="BE37" i="2"/>
  <c r="BD37" i="2"/>
  <c r="BC37" i="2"/>
  <c r="BB37" i="2"/>
  <c r="BA37" i="2"/>
  <c r="AZ37" i="2"/>
  <c r="AY37" i="2"/>
  <c r="BW36" i="2"/>
  <c r="BV36" i="2"/>
  <c r="BU36" i="2"/>
  <c r="BT36" i="2"/>
  <c r="BS36" i="2"/>
  <c r="BR36" i="2"/>
  <c r="BQ36" i="2"/>
  <c r="BP36" i="2"/>
  <c r="BO36" i="2"/>
  <c r="BN36" i="2"/>
  <c r="BM36" i="2"/>
  <c r="BL36" i="2"/>
  <c r="BJ36" i="2"/>
  <c r="BI36" i="2"/>
  <c r="BH36" i="2"/>
  <c r="BG36" i="2"/>
  <c r="BF36" i="2"/>
  <c r="BE36" i="2"/>
  <c r="BD36" i="2"/>
  <c r="BC36" i="2"/>
  <c r="BB36" i="2"/>
  <c r="BA36" i="2"/>
  <c r="AZ36" i="2"/>
  <c r="AY36" i="2"/>
  <c r="BW35" i="2"/>
  <c r="BV35" i="2"/>
  <c r="BU35" i="2"/>
  <c r="BT35" i="2"/>
  <c r="BS35" i="2"/>
  <c r="BR35" i="2"/>
  <c r="BQ35" i="2"/>
  <c r="BP35" i="2"/>
  <c r="BO35" i="2"/>
  <c r="BN35" i="2"/>
  <c r="BM35" i="2"/>
  <c r="BL35" i="2"/>
  <c r="BJ35" i="2"/>
  <c r="BI35" i="2"/>
  <c r="BH35" i="2"/>
  <c r="BG35" i="2"/>
  <c r="BF35" i="2"/>
  <c r="BE35" i="2"/>
  <c r="BD35" i="2"/>
  <c r="BC35" i="2"/>
  <c r="BB35" i="2"/>
  <c r="BA35" i="2"/>
  <c r="AZ35" i="2"/>
  <c r="AY35" i="2"/>
  <c r="BW34" i="2"/>
  <c r="BV34" i="2"/>
  <c r="BU34" i="2"/>
  <c r="BT34" i="2"/>
  <c r="BS34" i="2"/>
  <c r="BR34" i="2"/>
  <c r="BQ34" i="2"/>
  <c r="BP34" i="2"/>
  <c r="BO34" i="2"/>
  <c r="BN34" i="2"/>
  <c r="BM34" i="2"/>
  <c r="BL34" i="2"/>
  <c r="BJ34" i="2"/>
  <c r="BI34" i="2"/>
  <c r="BH34" i="2"/>
  <c r="BG34" i="2"/>
  <c r="BF34" i="2"/>
  <c r="BE34" i="2"/>
  <c r="BD34" i="2"/>
  <c r="BC34" i="2"/>
  <c r="BB34" i="2"/>
  <c r="BA34" i="2"/>
  <c r="AZ34" i="2"/>
  <c r="AY34" i="2"/>
  <c r="BW33" i="2"/>
  <c r="BV33" i="2"/>
  <c r="BU33" i="2"/>
  <c r="BT33" i="2"/>
  <c r="BS33" i="2"/>
  <c r="BR33" i="2"/>
  <c r="BQ33" i="2"/>
  <c r="BP33" i="2"/>
  <c r="BO33" i="2"/>
  <c r="BN33" i="2"/>
  <c r="BM33" i="2"/>
  <c r="BL33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BW32" i="2"/>
  <c r="BV32" i="2"/>
  <c r="BU32" i="2"/>
  <c r="BT32" i="2"/>
  <c r="BS32" i="2"/>
  <c r="BR32" i="2"/>
  <c r="BQ32" i="2"/>
  <c r="BP32" i="2"/>
  <c r="BO32" i="2"/>
  <c r="BN32" i="2"/>
  <c r="BM32" i="2"/>
  <c r="BL32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BW31" i="2"/>
  <c r="BV31" i="2"/>
  <c r="BU31" i="2"/>
  <c r="BT31" i="2"/>
  <c r="BS31" i="2"/>
  <c r="BR31" i="2"/>
  <c r="BQ31" i="2"/>
  <c r="BP31" i="2"/>
  <c r="BO31" i="2"/>
  <c r="BN31" i="2"/>
  <c r="BM31" i="2"/>
  <c r="BL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BW30" i="2"/>
  <c r="BV30" i="2"/>
  <c r="BU30" i="2"/>
  <c r="BT30" i="2"/>
  <c r="BS30" i="2"/>
  <c r="BR30" i="2"/>
  <c r="BQ30" i="2"/>
  <c r="BP30" i="2"/>
  <c r="BO30" i="2"/>
  <c r="BN30" i="2"/>
  <c r="BM30" i="2"/>
  <c r="BL30" i="2"/>
  <c r="BJ30" i="2"/>
  <c r="BI30" i="2"/>
  <c r="BH30" i="2"/>
  <c r="BG30" i="2"/>
  <c r="BF30" i="2"/>
  <c r="BE30" i="2"/>
  <c r="BD30" i="2"/>
  <c r="BC30" i="2"/>
  <c r="BB30" i="2"/>
  <c r="BA30" i="2"/>
  <c r="AZ30" i="2"/>
  <c r="AY30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J26" i="2"/>
  <c r="BI26" i="2"/>
  <c r="BH26" i="2"/>
  <c r="BG26" i="2"/>
  <c r="BF26" i="2"/>
  <c r="BE26" i="2"/>
  <c r="BD26" i="2"/>
  <c r="BC26" i="2"/>
  <c r="BB26" i="2"/>
  <c r="BA26" i="2"/>
  <c r="AZ26" i="2"/>
  <c r="AY26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J22" i="2"/>
  <c r="BI22" i="2"/>
  <c r="BH22" i="2"/>
  <c r="BG22" i="2"/>
  <c r="BF22" i="2"/>
  <c r="BE22" i="2"/>
  <c r="BD22" i="2"/>
  <c r="BC22" i="2"/>
  <c r="BB22" i="2"/>
  <c r="BA22" i="2"/>
  <c r="AZ22" i="2"/>
  <c r="AY22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J17" i="2"/>
  <c r="BI17" i="2"/>
  <c r="BH17" i="2"/>
  <c r="BG17" i="2"/>
  <c r="BF17" i="2"/>
  <c r="BE17" i="2"/>
  <c r="BD17" i="2"/>
  <c r="BC17" i="2"/>
  <c r="BB17" i="2"/>
  <c r="BA17" i="2"/>
  <c r="AZ17" i="2"/>
  <c r="AY17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J16" i="2"/>
  <c r="BI16" i="2"/>
  <c r="BH16" i="2"/>
  <c r="BG16" i="2"/>
  <c r="BF16" i="2"/>
  <c r="BE16" i="2"/>
  <c r="BD16" i="2"/>
  <c r="BC16" i="2"/>
  <c r="BB16" i="2"/>
  <c r="BA16" i="2"/>
  <c r="AZ16" i="2"/>
  <c r="AY16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J15" i="2"/>
  <c r="BI15" i="2"/>
  <c r="BH15" i="2"/>
  <c r="BG15" i="2"/>
  <c r="BF15" i="2"/>
  <c r="BE15" i="2"/>
  <c r="BD15" i="2"/>
  <c r="BC15" i="2"/>
  <c r="BB15" i="2"/>
  <c r="BA15" i="2"/>
  <c r="AZ15" i="2"/>
  <c r="AY15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J14" i="2"/>
  <c r="BI14" i="2"/>
  <c r="BH14" i="2"/>
  <c r="BG14" i="2"/>
  <c r="BF14" i="2"/>
  <c r="BE14" i="2"/>
  <c r="BD14" i="2"/>
  <c r="BC14" i="2"/>
  <c r="BB14" i="2"/>
  <c r="BA14" i="2"/>
  <c r="AZ14" i="2"/>
  <c r="AY14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J13" i="2"/>
  <c r="BI13" i="2"/>
  <c r="BH13" i="2"/>
  <c r="BG13" i="2"/>
  <c r="BF13" i="2"/>
  <c r="BE13" i="2"/>
  <c r="BD13" i="2"/>
  <c r="BC13" i="2"/>
  <c r="BB13" i="2"/>
  <c r="BA13" i="2"/>
  <c r="AZ13" i="2"/>
  <c r="AY13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J12" i="2"/>
  <c r="BI12" i="2"/>
  <c r="BH12" i="2"/>
  <c r="BG12" i="2"/>
  <c r="BF12" i="2"/>
  <c r="BE12" i="2"/>
  <c r="BD12" i="2"/>
  <c r="BC12" i="2"/>
  <c r="BB12" i="2"/>
  <c r="BA12" i="2"/>
  <c r="AZ12" i="2"/>
  <c r="AY12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J11" i="2"/>
  <c r="BI11" i="2"/>
  <c r="BH11" i="2"/>
  <c r="BG11" i="2"/>
  <c r="BF11" i="2"/>
  <c r="BE11" i="2"/>
  <c r="BD11" i="2"/>
  <c r="BC11" i="2"/>
  <c r="BB11" i="2"/>
  <c r="BA11" i="2"/>
  <c r="AZ11" i="2"/>
  <c r="AY11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J10" i="2"/>
  <c r="BI10" i="2"/>
  <c r="BH10" i="2"/>
  <c r="BG10" i="2"/>
  <c r="BF10" i="2"/>
  <c r="BE10" i="2"/>
  <c r="BD10" i="2"/>
  <c r="BC10" i="2"/>
  <c r="BB10" i="2"/>
  <c r="BA10" i="2"/>
  <c r="AZ10" i="2"/>
  <c r="AY10" i="2"/>
  <c r="BW9" i="2"/>
  <c r="BV9" i="2"/>
  <c r="BU9" i="2"/>
  <c r="BT9" i="2"/>
  <c r="BS9" i="2"/>
  <c r="BR9" i="2"/>
  <c r="BQ9" i="2"/>
  <c r="BP9" i="2"/>
  <c r="BO9" i="2"/>
  <c r="BN9" i="2"/>
  <c r="BM9" i="2"/>
  <c r="BL9" i="2"/>
  <c r="BJ9" i="2"/>
  <c r="BI9" i="2"/>
  <c r="BH9" i="2"/>
  <c r="BG9" i="2"/>
  <c r="BF9" i="2"/>
  <c r="BE9" i="2"/>
  <c r="BD9" i="2"/>
  <c r="BC9" i="2"/>
  <c r="BB9" i="2"/>
  <c r="BA9" i="2"/>
  <c r="AZ9" i="2"/>
  <c r="AY9" i="2"/>
  <c r="BW8" i="2"/>
  <c r="BV8" i="2"/>
  <c r="BU8" i="2"/>
  <c r="BT8" i="2"/>
  <c r="BS8" i="2"/>
  <c r="BR8" i="2"/>
  <c r="BQ8" i="2"/>
  <c r="BP8" i="2"/>
  <c r="BO8" i="2"/>
  <c r="BN8" i="2"/>
  <c r="BM8" i="2"/>
  <c r="BL8" i="2"/>
  <c r="BJ8" i="2"/>
  <c r="BI8" i="2"/>
  <c r="BH8" i="2"/>
  <c r="BG8" i="2"/>
  <c r="BF8" i="2"/>
  <c r="BE8" i="2"/>
  <c r="BD8" i="2"/>
  <c r="BC8" i="2"/>
  <c r="BB8" i="2"/>
  <c r="BA8" i="2"/>
  <c r="AZ8" i="2"/>
  <c r="AY8" i="2"/>
  <c r="BW7" i="2"/>
  <c r="BV7" i="2"/>
  <c r="BU7" i="2"/>
  <c r="BT7" i="2"/>
  <c r="BS7" i="2"/>
  <c r="BR7" i="2"/>
  <c r="BQ7" i="2"/>
  <c r="BP7" i="2"/>
  <c r="BO7" i="2"/>
  <c r="BN7" i="2"/>
  <c r="BM7" i="2"/>
  <c r="BL7" i="2"/>
  <c r="BJ7" i="2"/>
  <c r="BI7" i="2"/>
  <c r="BH7" i="2"/>
  <c r="BG7" i="2"/>
  <c r="BF7" i="2"/>
  <c r="BE7" i="2"/>
  <c r="BD7" i="2"/>
  <c r="BC7" i="2"/>
  <c r="BB7" i="2"/>
  <c r="BA7" i="2"/>
  <c r="AZ7" i="2"/>
  <c r="AY7" i="2"/>
  <c r="BW6" i="2"/>
  <c r="BV6" i="2"/>
  <c r="BU6" i="2"/>
  <c r="BT6" i="2"/>
  <c r="BS6" i="2"/>
  <c r="BR6" i="2"/>
  <c r="BQ6" i="2"/>
  <c r="BP6" i="2"/>
  <c r="BO6" i="2"/>
  <c r="BN6" i="2"/>
  <c r="BM6" i="2"/>
  <c r="BL6" i="2"/>
  <c r="BJ6" i="2"/>
  <c r="BI6" i="2"/>
  <c r="BH6" i="2"/>
  <c r="BG6" i="2"/>
  <c r="BF6" i="2"/>
  <c r="BE6" i="2"/>
  <c r="BD6" i="2"/>
  <c r="BC6" i="2"/>
  <c r="BB6" i="2"/>
  <c r="BA6" i="2"/>
  <c r="AZ6" i="2"/>
  <c r="AY6" i="2"/>
  <c r="E2739" i="1"/>
  <c r="F2739" i="1"/>
  <c r="E2740" i="1"/>
  <c r="F2740" i="1"/>
  <c r="F1631" i="1"/>
  <c r="E1631" i="1"/>
  <c r="BC47" i="7"/>
  <c r="BC45" i="7"/>
  <c r="BC44" i="7"/>
  <c r="BC43" i="7"/>
  <c r="BC41" i="7"/>
  <c r="BC40" i="7"/>
  <c r="BC39" i="7"/>
  <c r="BC37" i="7"/>
  <c r="BC35" i="7"/>
  <c r="BC34" i="7"/>
  <c r="BC33" i="7"/>
  <c r="BC32" i="7"/>
  <c r="BC31" i="7"/>
  <c r="BC30" i="7"/>
  <c r="BC29" i="7"/>
  <c r="BC27" i="7"/>
  <c r="BC26" i="7"/>
  <c r="BC24" i="7"/>
  <c r="BC22" i="7"/>
  <c r="BC21" i="7"/>
  <c r="BC20" i="7"/>
  <c r="BC19" i="7"/>
  <c r="BC18" i="7"/>
  <c r="BC17" i="7"/>
  <c r="BC16" i="7"/>
  <c r="BC46" i="7"/>
  <c r="BC52" i="7"/>
  <c r="BC11" i="7"/>
  <c r="BC10" i="7"/>
  <c r="BC9" i="7"/>
  <c r="BC8" i="7"/>
  <c r="BC7" i="7"/>
  <c r="BC6" i="7"/>
  <c r="AL2848" i="1"/>
  <c r="AJ2848" i="1"/>
  <c r="W2848" i="1"/>
  <c r="J2848" i="1"/>
  <c r="F2848" i="1"/>
  <c r="E2848" i="1"/>
  <c r="AJ2847" i="1"/>
  <c r="W2847" i="1"/>
  <c r="F2847" i="1"/>
  <c r="E2847" i="1"/>
  <c r="AJ2846" i="1"/>
  <c r="W2846" i="1"/>
  <c r="F2846" i="1"/>
  <c r="E2846" i="1"/>
  <c r="AJ2845" i="1"/>
  <c r="W2845" i="1"/>
  <c r="F2845" i="1"/>
  <c r="E2845" i="1"/>
  <c r="AJ2844" i="1"/>
  <c r="W2844" i="1"/>
  <c r="F2844" i="1"/>
  <c r="E2844" i="1"/>
  <c r="AJ2843" i="1"/>
  <c r="W2843" i="1"/>
  <c r="F2843" i="1"/>
  <c r="E2843" i="1"/>
  <c r="AJ2842" i="1"/>
  <c r="W2842" i="1"/>
  <c r="F2842" i="1"/>
  <c r="E2842" i="1"/>
  <c r="AJ2841" i="1"/>
  <c r="W2841" i="1"/>
  <c r="F2841" i="1"/>
  <c r="E2841" i="1"/>
  <c r="AJ2840" i="1"/>
  <c r="W2840" i="1"/>
  <c r="F2840" i="1"/>
  <c r="E2840" i="1"/>
  <c r="AJ2839" i="1"/>
  <c r="W2839" i="1"/>
  <c r="F2839" i="1"/>
  <c r="E2839" i="1"/>
  <c r="AJ2838" i="1"/>
  <c r="W2838" i="1"/>
  <c r="J2838" i="1"/>
  <c r="F2838" i="1"/>
  <c r="E2838" i="1"/>
  <c r="AJ2837" i="1"/>
  <c r="W2837" i="1"/>
  <c r="F2837" i="1"/>
  <c r="E2837" i="1"/>
  <c r="AJ2836" i="1"/>
  <c r="W2836" i="1"/>
  <c r="F2836" i="1"/>
  <c r="E2836" i="1"/>
  <c r="AJ2835" i="1"/>
  <c r="W2835" i="1"/>
  <c r="J2835" i="1"/>
  <c r="F2835" i="1"/>
  <c r="E2835" i="1"/>
  <c r="AJ2834" i="1"/>
  <c r="W2834" i="1"/>
  <c r="F2834" i="1"/>
  <c r="E2834" i="1"/>
  <c r="AJ2833" i="1"/>
  <c r="W2833" i="1"/>
  <c r="F2833" i="1"/>
  <c r="E2833" i="1"/>
  <c r="AJ2832" i="1"/>
  <c r="W2832" i="1"/>
  <c r="F2832" i="1"/>
  <c r="E2832" i="1"/>
  <c r="AJ2831" i="1"/>
  <c r="W2831" i="1"/>
  <c r="F2831" i="1"/>
  <c r="E2831" i="1"/>
  <c r="AJ2830" i="1"/>
  <c r="W2830" i="1"/>
  <c r="F2830" i="1"/>
  <c r="E2830" i="1"/>
  <c r="AJ2829" i="1"/>
  <c r="W2829" i="1"/>
  <c r="F2829" i="1"/>
  <c r="E2829" i="1"/>
  <c r="AJ2828" i="1"/>
  <c r="W2828" i="1"/>
  <c r="F2828" i="1"/>
  <c r="E2828" i="1"/>
  <c r="AJ2827" i="1"/>
  <c r="W2827" i="1"/>
  <c r="F2827" i="1"/>
  <c r="E2827" i="1"/>
  <c r="AJ2826" i="1"/>
  <c r="W2826" i="1"/>
  <c r="F2826" i="1"/>
  <c r="E2826" i="1"/>
  <c r="AJ2825" i="1"/>
  <c r="W2825" i="1"/>
  <c r="F2825" i="1"/>
  <c r="E2825" i="1"/>
  <c r="AJ2824" i="1"/>
  <c r="W2824" i="1"/>
  <c r="F2824" i="1"/>
  <c r="E2824" i="1"/>
  <c r="AJ2823" i="1"/>
  <c r="W2823" i="1"/>
  <c r="F2823" i="1"/>
  <c r="E2823" i="1"/>
  <c r="AJ2822" i="1"/>
  <c r="W2822" i="1"/>
  <c r="J2822" i="1"/>
  <c r="F2822" i="1"/>
  <c r="E2822" i="1"/>
  <c r="AJ2821" i="1"/>
  <c r="W2821" i="1"/>
  <c r="F2821" i="1"/>
  <c r="E2821" i="1"/>
  <c r="AJ2820" i="1"/>
  <c r="W2820" i="1"/>
  <c r="F2820" i="1"/>
  <c r="E2820" i="1"/>
  <c r="AJ2819" i="1"/>
  <c r="W2819" i="1"/>
  <c r="F2819" i="1"/>
  <c r="E2819" i="1"/>
  <c r="AJ2818" i="1"/>
  <c r="W2818" i="1"/>
  <c r="F2818" i="1"/>
  <c r="E2818" i="1"/>
  <c r="AJ2817" i="1"/>
  <c r="W2817" i="1"/>
  <c r="F2817" i="1"/>
  <c r="E2817" i="1"/>
  <c r="AJ2816" i="1"/>
  <c r="W2816" i="1"/>
  <c r="J2816" i="1"/>
  <c r="F2816" i="1"/>
  <c r="E2816" i="1"/>
  <c r="AJ2815" i="1"/>
  <c r="W2815" i="1"/>
  <c r="J2815" i="1"/>
  <c r="F2815" i="1"/>
  <c r="E2815" i="1"/>
  <c r="AJ2814" i="1"/>
  <c r="W2814" i="1"/>
  <c r="F2814" i="1"/>
  <c r="E2814" i="1"/>
  <c r="AJ2813" i="1"/>
  <c r="W2813" i="1"/>
  <c r="F2813" i="1"/>
  <c r="E2813" i="1"/>
  <c r="AJ2812" i="1"/>
  <c r="W2812" i="1"/>
  <c r="F2812" i="1"/>
  <c r="E2812" i="1"/>
  <c r="AJ2811" i="1"/>
  <c r="W2811" i="1"/>
  <c r="F2811" i="1"/>
  <c r="E2811" i="1"/>
  <c r="AJ2810" i="1"/>
  <c r="W2810" i="1"/>
  <c r="F2810" i="1"/>
  <c r="E2810" i="1"/>
  <c r="AJ2809" i="1"/>
  <c r="W2809" i="1"/>
  <c r="F2809" i="1"/>
  <c r="E2809" i="1"/>
  <c r="AJ2808" i="1"/>
  <c r="W2808" i="1"/>
  <c r="J2808" i="1"/>
  <c r="F2808" i="1"/>
  <c r="E2808" i="1"/>
  <c r="AJ2807" i="1"/>
  <c r="W2807" i="1"/>
  <c r="F2807" i="1"/>
  <c r="E2807" i="1"/>
  <c r="AJ2806" i="1"/>
  <c r="W2806" i="1"/>
  <c r="F2806" i="1"/>
  <c r="E2806" i="1"/>
  <c r="AJ2805" i="1"/>
  <c r="W2805" i="1"/>
  <c r="J2805" i="1"/>
  <c r="F2805" i="1"/>
  <c r="E2805" i="1"/>
  <c r="AJ2804" i="1"/>
  <c r="W2804" i="1"/>
  <c r="F2804" i="1"/>
  <c r="E2804" i="1"/>
  <c r="AJ2803" i="1"/>
  <c r="W2803" i="1"/>
  <c r="F2803" i="1"/>
  <c r="E2803" i="1"/>
  <c r="AJ2802" i="1"/>
  <c r="W2802" i="1"/>
  <c r="F2802" i="1"/>
  <c r="E2802" i="1"/>
  <c r="AJ2801" i="1"/>
  <c r="W2801" i="1"/>
  <c r="F2801" i="1"/>
  <c r="E2801" i="1"/>
  <c r="AJ2800" i="1"/>
  <c r="W2800" i="1"/>
  <c r="F2800" i="1"/>
  <c r="E2800" i="1"/>
  <c r="AJ2799" i="1"/>
  <c r="W2799" i="1"/>
  <c r="F2799" i="1"/>
  <c r="E2799" i="1"/>
  <c r="AJ2798" i="1"/>
  <c r="W2798" i="1"/>
  <c r="J2798" i="1"/>
  <c r="F2798" i="1"/>
  <c r="E2798" i="1"/>
  <c r="AJ2797" i="1"/>
  <c r="W2797" i="1"/>
  <c r="F2797" i="1"/>
  <c r="E2797" i="1"/>
  <c r="AJ2796" i="1"/>
  <c r="W2796" i="1"/>
  <c r="F2796" i="1"/>
  <c r="E2796" i="1"/>
  <c r="AJ2795" i="1"/>
  <c r="W2795" i="1"/>
  <c r="F2795" i="1"/>
  <c r="E2795" i="1"/>
  <c r="AJ2794" i="1"/>
  <c r="W2794" i="1"/>
  <c r="F2794" i="1"/>
  <c r="E2794" i="1"/>
  <c r="AJ2793" i="1"/>
  <c r="W2793" i="1"/>
  <c r="F2793" i="1"/>
  <c r="E2793" i="1"/>
  <c r="AJ2792" i="1"/>
  <c r="W2792" i="1"/>
  <c r="F2792" i="1"/>
  <c r="E2792" i="1"/>
  <c r="AJ2791" i="1"/>
  <c r="W2791" i="1"/>
  <c r="F2791" i="1"/>
  <c r="E2791" i="1"/>
  <c r="AJ2790" i="1"/>
  <c r="W2790" i="1"/>
  <c r="F2790" i="1"/>
  <c r="E2790" i="1"/>
  <c r="AJ2789" i="1"/>
  <c r="W2789" i="1"/>
  <c r="F2789" i="1"/>
  <c r="E2789" i="1"/>
  <c r="AJ2788" i="1"/>
  <c r="W2788" i="1"/>
  <c r="F2788" i="1"/>
  <c r="E2788" i="1"/>
  <c r="AJ2787" i="1"/>
  <c r="W2787" i="1"/>
  <c r="F2787" i="1"/>
  <c r="E2787" i="1"/>
  <c r="AJ2786" i="1"/>
  <c r="W2786" i="1"/>
  <c r="F2786" i="1"/>
  <c r="E2786" i="1"/>
  <c r="AJ2785" i="1"/>
  <c r="W2785" i="1"/>
  <c r="F2785" i="1"/>
  <c r="E2785" i="1"/>
  <c r="AJ2784" i="1"/>
  <c r="W2784" i="1"/>
  <c r="J2784" i="1"/>
  <c r="F2784" i="1"/>
  <c r="E2784" i="1"/>
  <c r="AJ2783" i="1"/>
  <c r="W2783" i="1"/>
  <c r="F2783" i="1"/>
  <c r="E2783" i="1"/>
  <c r="AJ2782" i="1"/>
  <c r="W2782" i="1"/>
  <c r="F2782" i="1"/>
  <c r="E2782" i="1"/>
  <c r="AJ2781" i="1"/>
  <c r="W2781" i="1"/>
  <c r="F2781" i="1"/>
  <c r="E2781" i="1"/>
  <c r="AJ2780" i="1"/>
  <c r="W2780" i="1"/>
  <c r="F2780" i="1"/>
  <c r="E2780" i="1"/>
  <c r="AL2778" i="1"/>
  <c r="AJ2778" i="1"/>
  <c r="W2778" i="1"/>
  <c r="J2778" i="1"/>
  <c r="AJ2777" i="1"/>
  <c r="W2777" i="1"/>
  <c r="J2777" i="1"/>
  <c r="AJ2776" i="1"/>
  <c r="W2776" i="1"/>
  <c r="AJ2775" i="1"/>
  <c r="W2775" i="1"/>
  <c r="AL2774" i="1"/>
  <c r="AJ2774" i="1"/>
  <c r="W2774" i="1"/>
  <c r="AJ2773" i="1"/>
  <c r="W2773" i="1"/>
  <c r="J2773" i="1"/>
  <c r="AL2772" i="1"/>
  <c r="AJ2772" i="1"/>
  <c r="W2772" i="1"/>
  <c r="J2772" i="1"/>
  <c r="AJ2771" i="1"/>
  <c r="W2771" i="1"/>
  <c r="J2771" i="1"/>
  <c r="AJ2770" i="1"/>
  <c r="W2770" i="1"/>
  <c r="AJ2769" i="1"/>
  <c r="W2769" i="1"/>
  <c r="AJ2768" i="1"/>
  <c r="W2768" i="1"/>
  <c r="AJ2767" i="1"/>
  <c r="W2767" i="1"/>
  <c r="AJ2766" i="1"/>
  <c r="W2766" i="1"/>
  <c r="AJ2765" i="1"/>
  <c r="W2765" i="1"/>
  <c r="J2765" i="1"/>
  <c r="AJ2764" i="1"/>
  <c r="W2764" i="1"/>
  <c r="J2764" i="1"/>
  <c r="AJ2763" i="1"/>
  <c r="W2763" i="1"/>
  <c r="AJ2762" i="1"/>
  <c r="W2762" i="1"/>
  <c r="AJ2761" i="1"/>
  <c r="W2761" i="1"/>
  <c r="AJ2760" i="1"/>
  <c r="W2760" i="1"/>
  <c r="J2760" i="1"/>
  <c r="AJ2759" i="1"/>
  <c r="W2759" i="1"/>
  <c r="AJ2758" i="1"/>
  <c r="W2758" i="1"/>
  <c r="J2758" i="1"/>
  <c r="AJ2757" i="1"/>
  <c r="W2757" i="1"/>
  <c r="AJ2756" i="1"/>
  <c r="W2756" i="1"/>
  <c r="J2756" i="1"/>
  <c r="AJ2755" i="1"/>
  <c r="W2755" i="1"/>
  <c r="AJ2754" i="1"/>
  <c r="W2754" i="1"/>
  <c r="AJ2753" i="1"/>
  <c r="W2753" i="1"/>
  <c r="AJ2752" i="1"/>
  <c r="W2752" i="1"/>
  <c r="J2752" i="1"/>
  <c r="AJ2751" i="1"/>
  <c r="W2751" i="1"/>
  <c r="AJ2750" i="1"/>
  <c r="W2750" i="1"/>
  <c r="AJ2749" i="1"/>
  <c r="W2749" i="1"/>
  <c r="AJ2748" i="1"/>
  <c r="W2748" i="1"/>
  <c r="AJ2747" i="1"/>
  <c r="W2747" i="1"/>
  <c r="AJ2746" i="1"/>
  <c r="W2746" i="1"/>
  <c r="AJ2745" i="1"/>
  <c r="W2745" i="1"/>
  <c r="AJ2744" i="1"/>
  <c r="W2744" i="1"/>
  <c r="AJ2743" i="1"/>
  <c r="W2743" i="1"/>
  <c r="AJ2742" i="1"/>
  <c r="W2742" i="1"/>
  <c r="AJ2741" i="1"/>
  <c r="W2741" i="1"/>
  <c r="AJ2740" i="1"/>
  <c r="W2740" i="1"/>
  <c r="J2740" i="1"/>
  <c r="AJ2739" i="1"/>
  <c r="W2739" i="1"/>
  <c r="AJ2738" i="1"/>
  <c r="W2738" i="1"/>
  <c r="J2738" i="1"/>
  <c r="AJ2737" i="1"/>
  <c r="W2737" i="1"/>
  <c r="J2737" i="1"/>
  <c r="AJ2736" i="1"/>
  <c r="W2736" i="1"/>
  <c r="J2736" i="1"/>
  <c r="AJ2735" i="1"/>
  <c r="W2735" i="1"/>
  <c r="AJ2734" i="1"/>
  <c r="W2734" i="1"/>
  <c r="AJ2733" i="1"/>
  <c r="W2733" i="1"/>
  <c r="AJ2732" i="1"/>
  <c r="W2732" i="1"/>
  <c r="AJ2731" i="1"/>
  <c r="W2731" i="1"/>
  <c r="J2731" i="1"/>
  <c r="AJ2730" i="1"/>
  <c r="W2730" i="1"/>
  <c r="AJ2729" i="1"/>
  <c r="W2729" i="1"/>
  <c r="J2729" i="1"/>
  <c r="AJ2728" i="1"/>
  <c r="W2728" i="1"/>
  <c r="AJ2727" i="1"/>
  <c r="W2727" i="1"/>
  <c r="AJ2726" i="1"/>
  <c r="W2726" i="1"/>
  <c r="AJ2725" i="1"/>
  <c r="W2725" i="1"/>
  <c r="AJ2724" i="1"/>
  <c r="W2724" i="1"/>
  <c r="AK2723" i="1"/>
  <c r="AJ2723" i="1"/>
  <c r="W2723" i="1"/>
  <c r="AJ2722" i="1"/>
  <c r="W2722" i="1"/>
  <c r="J2722" i="1"/>
  <c r="AJ2721" i="1"/>
  <c r="W2721" i="1"/>
  <c r="AJ2720" i="1"/>
  <c r="W2720" i="1"/>
  <c r="AJ2719" i="1"/>
  <c r="W2719" i="1"/>
  <c r="AJ2718" i="1"/>
  <c r="W2718" i="1"/>
  <c r="J2718" i="1"/>
  <c r="AJ2717" i="1"/>
  <c r="W2717" i="1"/>
  <c r="J2717" i="1"/>
  <c r="AJ2716" i="1"/>
  <c r="W2716" i="1"/>
  <c r="AJ2715" i="1"/>
  <c r="W2715" i="1"/>
  <c r="AJ2714" i="1"/>
  <c r="W2714" i="1"/>
  <c r="AJ2713" i="1"/>
  <c r="W2713" i="1"/>
  <c r="AJ2712" i="1"/>
  <c r="W2712" i="1"/>
  <c r="J2712" i="1"/>
  <c r="AJ2711" i="1"/>
  <c r="W2711" i="1"/>
  <c r="AJ2710" i="1"/>
  <c r="W2710" i="1"/>
  <c r="AJ2709" i="1"/>
  <c r="W2709" i="1"/>
  <c r="AJ2708" i="1"/>
  <c r="W2708" i="1"/>
  <c r="J2708" i="1"/>
  <c r="AJ2707" i="1"/>
  <c r="W2707" i="1"/>
  <c r="AJ2706" i="1"/>
  <c r="W2706" i="1"/>
  <c r="AJ2705" i="1"/>
  <c r="W2705" i="1"/>
  <c r="J2705" i="1"/>
  <c r="AJ2704" i="1"/>
  <c r="W2704" i="1"/>
  <c r="AJ2703" i="1"/>
  <c r="W2703" i="1"/>
  <c r="J2703" i="1"/>
  <c r="AJ2702" i="1"/>
  <c r="W2702" i="1"/>
  <c r="AJ2701" i="1"/>
  <c r="W2701" i="1"/>
  <c r="AJ2700" i="1"/>
  <c r="W2700" i="1"/>
  <c r="AJ2699" i="1"/>
  <c r="W2699" i="1"/>
  <c r="AJ2698" i="1"/>
  <c r="W2698" i="1"/>
  <c r="J2698" i="1"/>
  <c r="AJ2697" i="1"/>
  <c r="W2697" i="1"/>
  <c r="AJ2696" i="1"/>
  <c r="W2696" i="1"/>
  <c r="J2696" i="1"/>
  <c r="AJ2695" i="1"/>
  <c r="W2695" i="1"/>
  <c r="J2695" i="1"/>
  <c r="AJ2694" i="1"/>
  <c r="W2694" i="1"/>
  <c r="AJ2693" i="1"/>
  <c r="W2693" i="1"/>
  <c r="AJ2692" i="1"/>
  <c r="W2692" i="1"/>
  <c r="AJ2691" i="1"/>
  <c r="W2691" i="1"/>
  <c r="AJ2690" i="1"/>
  <c r="W2690" i="1"/>
  <c r="J2690" i="1"/>
  <c r="AL2689" i="1"/>
  <c r="AJ2689" i="1"/>
  <c r="W2689" i="1"/>
  <c r="AJ2688" i="1"/>
  <c r="W2688" i="1"/>
  <c r="AJ2687" i="1"/>
  <c r="W2687" i="1"/>
  <c r="AJ2686" i="1"/>
  <c r="W2686" i="1"/>
  <c r="AJ2685" i="1"/>
  <c r="W2685" i="1"/>
  <c r="AJ2684" i="1"/>
  <c r="W2684" i="1"/>
  <c r="AJ2683" i="1"/>
  <c r="W2683" i="1"/>
  <c r="J2683" i="1"/>
  <c r="AJ2682" i="1"/>
  <c r="W2682" i="1"/>
  <c r="AJ2681" i="1"/>
  <c r="W2681" i="1"/>
  <c r="J2681" i="1"/>
  <c r="AJ2680" i="1"/>
  <c r="W2680" i="1"/>
  <c r="AJ2679" i="1"/>
  <c r="W2679" i="1"/>
  <c r="AJ2678" i="1"/>
  <c r="W2678" i="1"/>
  <c r="AJ2677" i="1"/>
  <c r="W2677" i="1"/>
  <c r="AJ2676" i="1"/>
  <c r="W2676" i="1"/>
  <c r="J2676" i="1"/>
  <c r="AJ2675" i="1"/>
  <c r="W2675" i="1"/>
  <c r="J2675" i="1"/>
  <c r="AJ2674" i="1"/>
  <c r="W2674" i="1"/>
  <c r="AJ2673" i="1"/>
  <c r="W2673" i="1"/>
  <c r="J2673" i="1"/>
  <c r="AJ2672" i="1"/>
  <c r="W2672" i="1"/>
  <c r="AJ2671" i="1"/>
  <c r="W2671" i="1"/>
  <c r="AJ2670" i="1"/>
  <c r="W2670" i="1"/>
  <c r="AJ2669" i="1"/>
  <c r="W2669" i="1"/>
  <c r="AJ2668" i="1"/>
  <c r="W2668" i="1"/>
  <c r="AJ2667" i="1"/>
  <c r="W2667" i="1"/>
  <c r="AJ2666" i="1"/>
  <c r="W2666" i="1"/>
  <c r="J2666" i="1"/>
  <c r="AJ2665" i="1"/>
  <c r="W2665" i="1"/>
  <c r="AJ2664" i="1"/>
  <c r="W2664" i="1"/>
  <c r="AJ2663" i="1"/>
  <c r="W2663" i="1"/>
  <c r="J2663" i="1"/>
  <c r="AJ2662" i="1"/>
  <c r="W2662" i="1"/>
  <c r="AJ2661" i="1"/>
  <c r="W2661" i="1"/>
  <c r="AJ2660" i="1"/>
  <c r="W2660" i="1"/>
  <c r="AJ2659" i="1"/>
  <c r="W2659" i="1"/>
  <c r="AJ2658" i="1"/>
  <c r="W2658" i="1"/>
  <c r="AJ2657" i="1"/>
  <c r="W2657" i="1"/>
  <c r="AJ2656" i="1"/>
  <c r="W2656" i="1"/>
  <c r="J2656" i="1"/>
  <c r="AJ2655" i="1"/>
  <c r="W2655" i="1"/>
  <c r="AJ2654" i="1"/>
  <c r="W2654" i="1"/>
  <c r="AJ2653" i="1"/>
  <c r="W2653" i="1"/>
  <c r="AJ2652" i="1"/>
  <c r="W2652" i="1"/>
  <c r="AJ2651" i="1"/>
  <c r="W2651" i="1"/>
  <c r="AJ2650" i="1"/>
  <c r="W2650" i="1"/>
  <c r="AJ2649" i="1"/>
  <c r="W2649" i="1"/>
  <c r="AJ2648" i="1"/>
  <c r="W2648" i="1"/>
  <c r="AJ2647" i="1"/>
  <c r="W2647" i="1"/>
  <c r="AJ2646" i="1"/>
  <c r="W2646" i="1"/>
  <c r="J2646" i="1"/>
  <c r="AJ2645" i="1"/>
  <c r="W2645" i="1"/>
  <c r="AJ2644" i="1"/>
  <c r="W2644" i="1"/>
  <c r="AJ2643" i="1"/>
  <c r="W2643" i="1"/>
  <c r="AJ2642" i="1"/>
  <c r="W2642" i="1"/>
  <c r="AJ2641" i="1"/>
  <c r="W2641" i="1"/>
  <c r="J2641" i="1"/>
  <c r="AJ2640" i="1"/>
  <c r="W2640" i="1"/>
  <c r="J2640" i="1"/>
  <c r="AJ2639" i="1"/>
  <c r="W2639" i="1"/>
  <c r="AJ2638" i="1"/>
  <c r="W2638" i="1"/>
  <c r="AJ2637" i="1"/>
  <c r="W2637" i="1"/>
  <c r="J2637" i="1"/>
  <c r="AJ2636" i="1"/>
  <c r="W2636" i="1"/>
  <c r="J2636" i="1"/>
  <c r="AJ2635" i="1"/>
  <c r="W2635" i="1"/>
  <c r="AJ2634" i="1"/>
  <c r="W2634" i="1"/>
  <c r="J2634" i="1"/>
  <c r="AJ2633" i="1"/>
  <c r="W2633" i="1"/>
  <c r="AJ2632" i="1"/>
  <c r="W2632" i="1"/>
  <c r="J2632" i="1"/>
  <c r="AL2631" i="1"/>
  <c r="AJ2631" i="1"/>
  <c r="W2631" i="1"/>
  <c r="AJ2630" i="1"/>
  <c r="W2630" i="1"/>
  <c r="AJ2629" i="1"/>
  <c r="W2629" i="1"/>
  <c r="J2629" i="1"/>
  <c r="AJ2628" i="1"/>
  <c r="W2628" i="1"/>
  <c r="AJ2627" i="1"/>
  <c r="W2627" i="1"/>
  <c r="AJ2626" i="1"/>
  <c r="W2626" i="1"/>
  <c r="AJ2625" i="1"/>
  <c r="W2625" i="1"/>
  <c r="J2625" i="1"/>
  <c r="AJ2624" i="1"/>
  <c r="W2624" i="1"/>
  <c r="J2624" i="1"/>
  <c r="AJ2623" i="1"/>
  <c r="W2623" i="1"/>
  <c r="AJ2622" i="1"/>
  <c r="W2622" i="1"/>
  <c r="AJ2621" i="1"/>
  <c r="W2621" i="1"/>
  <c r="AJ2620" i="1"/>
  <c r="W2620" i="1"/>
  <c r="AJ2619" i="1"/>
  <c r="W2619" i="1"/>
  <c r="AJ2618" i="1"/>
  <c r="W2618" i="1"/>
  <c r="AJ2617" i="1"/>
  <c r="W2617" i="1"/>
  <c r="AJ2616" i="1"/>
  <c r="W2616" i="1"/>
  <c r="AJ2615" i="1"/>
  <c r="W2615" i="1"/>
  <c r="AJ2614" i="1"/>
  <c r="W2614" i="1"/>
  <c r="AJ2613" i="1"/>
  <c r="W2613" i="1"/>
  <c r="AJ2612" i="1"/>
  <c r="W2612" i="1"/>
  <c r="AJ2611" i="1"/>
  <c r="W2611" i="1"/>
  <c r="AJ2610" i="1"/>
  <c r="W2610" i="1"/>
  <c r="AJ2609" i="1"/>
  <c r="W2609" i="1"/>
  <c r="AJ2608" i="1"/>
  <c r="W2608" i="1"/>
  <c r="AJ2607" i="1"/>
  <c r="W2607" i="1"/>
  <c r="AJ2606" i="1"/>
  <c r="W2606" i="1"/>
  <c r="AJ2605" i="1"/>
  <c r="W2605" i="1"/>
  <c r="AJ2604" i="1"/>
  <c r="W2604" i="1"/>
  <c r="AJ2603" i="1"/>
  <c r="W2603" i="1"/>
  <c r="AJ2602" i="1"/>
  <c r="W2602" i="1"/>
  <c r="J2602" i="1"/>
  <c r="AJ2601" i="1"/>
  <c r="W2601" i="1"/>
  <c r="AJ2600" i="1"/>
  <c r="W2600" i="1"/>
  <c r="AJ2599" i="1"/>
  <c r="W2599" i="1"/>
  <c r="AJ2598" i="1"/>
  <c r="W2598" i="1"/>
  <c r="AJ2597" i="1"/>
  <c r="W2597" i="1"/>
  <c r="AJ2596" i="1"/>
  <c r="W2596" i="1"/>
  <c r="AJ2595" i="1"/>
  <c r="W2595" i="1"/>
  <c r="J2595" i="1"/>
  <c r="AJ2594" i="1"/>
  <c r="W2594" i="1"/>
  <c r="AJ2593" i="1"/>
  <c r="W2593" i="1"/>
  <c r="AJ2592" i="1"/>
  <c r="W2592" i="1"/>
  <c r="AJ2591" i="1"/>
  <c r="W2591" i="1"/>
  <c r="AJ2590" i="1"/>
  <c r="W2590" i="1"/>
  <c r="AJ2589" i="1"/>
  <c r="W2589" i="1"/>
  <c r="AJ2588" i="1"/>
  <c r="W2588" i="1"/>
  <c r="AJ2587" i="1"/>
  <c r="W2587" i="1"/>
  <c r="J2587" i="1"/>
  <c r="AJ2586" i="1"/>
  <c r="W2586" i="1"/>
  <c r="J2586" i="1"/>
  <c r="AJ2585" i="1"/>
  <c r="W2585" i="1"/>
  <c r="AJ2584" i="1"/>
  <c r="W2584" i="1"/>
  <c r="AJ2583" i="1"/>
  <c r="W2583" i="1"/>
  <c r="AJ2582" i="1"/>
  <c r="W2582" i="1"/>
  <c r="AJ2581" i="1"/>
  <c r="W2581" i="1"/>
  <c r="J2581" i="1"/>
  <c r="AJ2580" i="1"/>
  <c r="W2580" i="1"/>
  <c r="AJ2579" i="1"/>
  <c r="W2579" i="1"/>
  <c r="AJ2578" i="1"/>
  <c r="W2578" i="1"/>
  <c r="AJ2577" i="1"/>
  <c r="W2577" i="1"/>
  <c r="AJ2576" i="1"/>
  <c r="W2576" i="1"/>
  <c r="AJ2575" i="1"/>
  <c r="W2575" i="1"/>
  <c r="J2575" i="1"/>
  <c r="AJ2574" i="1"/>
  <c r="W2574" i="1"/>
  <c r="AJ2573" i="1"/>
  <c r="W2573" i="1"/>
  <c r="AJ2572" i="1"/>
  <c r="W2572" i="1"/>
  <c r="AJ2571" i="1"/>
  <c r="W2571" i="1"/>
  <c r="AJ2570" i="1"/>
  <c r="W2570" i="1"/>
  <c r="J2570" i="1"/>
  <c r="AJ2569" i="1"/>
  <c r="W2569" i="1"/>
  <c r="AJ2568" i="1"/>
  <c r="W2568" i="1"/>
  <c r="AJ2567" i="1"/>
  <c r="W2567" i="1"/>
  <c r="J2567" i="1"/>
  <c r="AJ2566" i="1"/>
  <c r="W2566" i="1"/>
  <c r="AJ2565" i="1"/>
  <c r="W2565" i="1"/>
  <c r="J2565" i="1"/>
  <c r="AJ2564" i="1"/>
  <c r="W2564" i="1"/>
  <c r="AJ2563" i="1"/>
  <c r="W2563" i="1"/>
  <c r="AJ2562" i="1"/>
  <c r="W2562" i="1"/>
  <c r="H1274" i="8"/>
  <c r="H1273" i="8"/>
  <c r="H1272" i="8"/>
  <c r="H1271" i="8"/>
  <c r="H1270" i="8"/>
  <c r="H1269" i="8"/>
  <c r="H1268" i="8"/>
  <c r="H1267" i="8"/>
  <c r="H1266" i="8"/>
  <c r="H1265" i="8"/>
  <c r="H1264" i="8"/>
  <c r="H1263" i="8"/>
  <c r="H1262" i="8"/>
  <c r="H1261" i="8"/>
  <c r="H1260" i="8"/>
  <c r="H1259" i="8"/>
  <c r="H1258" i="8"/>
  <c r="H1257" i="8"/>
  <c r="H1256" i="8"/>
  <c r="H1255" i="8"/>
  <c r="H1254" i="8"/>
  <c r="H1253" i="8"/>
  <c r="H1252" i="8"/>
  <c r="H1251" i="8"/>
  <c r="H1250" i="8"/>
  <c r="H1249" i="8"/>
  <c r="H1248" i="8"/>
  <c r="H1247" i="8"/>
  <c r="H1246" i="8"/>
  <c r="H1245" i="8"/>
  <c r="H1244" i="8"/>
  <c r="H1243" i="8"/>
  <c r="H1242" i="8"/>
  <c r="H1241" i="8"/>
  <c r="H1240" i="8"/>
  <c r="H1239" i="8"/>
  <c r="H1238" i="8"/>
  <c r="H1237" i="8"/>
  <c r="H1236" i="8"/>
  <c r="H1235" i="8"/>
  <c r="H1234" i="8"/>
  <c r="H1233" i="8"/>
  <c r="H1232" i="8"/>
  <c r="H1231" i="8"/>
  <c r="H1230" i="8"/>
  <c r="H1229" i="8"/>
  <c r="H1228" i="8"/>
  <c r="H1227" i="8"/>
  <c r="H1226" i="8"/>
  <c r="H1225" i="8"/>
  <c r="H1224" i="8"/>
  <c r="H1223" i="8"/>
  <c r="H1222" i="8"/>
  <c r="H1221" i="8"/>
  <c r="H1220" i="8"/>
  <c r="H1219" i="8"/>
  <c r="H1218" i="8"/>
  <c r="H1217" i="8"/>
  <c r="H1216" i="8"/>
  <c r="H1215" i="8"/>
  <c r="H1214" i="8"/>
  <c r="H1213" i="8"/>
  <c r="H1212" i="8"/>
  <c r="H1211" i="8"/>
  <c r="H1210" i="8"/>
  <c r="H1209" i="8"/>
  <c r="H1208" i="8"/>
  <c r="H1207" i="8"/>
  <c r="H1206" i="8"/>
  <c r="H1205" i="8"/>
  <c r="H1204" i="8"/>
  <c r="H1203" i="8"/>
  <c r="H1202" i="8"/>
  <c r="H1201" i="8"/>
  <c r="H1200" i="8"/>
  <c r="H1199" i="8"/>
  <c r="H1198" i="8"/>
  <c r="H1197" i="8"/>
  <c r="H1196" i="8"/>
  <c r="H1195" i="8"/>
  <c r="H1194" i="8"/>
  <c r="H1193" i="8"/>
  <c r="H1192" i="8"/>
  <c r="H1191" i="8"/>
  <c r="H1190" i="8"/>
  <c r="H1189" i="8"/>
  <c r="H1188" i="8"/>
  <c r="H1187" i="8"/>
  <c r="H1186" i="8"/>
  <c r="H1185" i="8"/>
  <c r="H1184" i="8"/>
  <c r="H1183" i="8"/>
  <c r="H1182" i="8"/>
  <c r="H1181" i="8"/>
  <c r="H1180" i="8"/>
  <c r="H1179" i="8"/>
  <c r="H1178" i="8"/>
  <c r="H1177" i="8"/>
  <c r="H1176" i="8"/>
  <c r="H1175" i="8"/>
  <c r="H1174" i="8"/>
  <c r="H1173" i="8"/>
  <c r="H1172" i="8"/>
  <c r="H1171" i="8"/>
  <c r="H1170" i="8"/>
  <c r="H1169" i="8"/>
  <c r="H1168" i="8"/>
  <c r="H1167" i="8"/>
  <c r="H1166" i="8"/>
  <c r="H1165" i="8"/>
  <c r="H1164" i="8"/>
  <c r="H1163" i="8"/>
  <c r="H1162" i="8"/>
  <c r="H1161" i="8"/>
  <c r="H1160" i="8"/>
  <c r="H1159" i="8"/>
  <c r="H1158" i="8"/>
  <c r="H1157" i="8"/>
  <c r="H1156" i="8"/>
  <c r="H1155" i="8"/>
  <c r="H1154" i="8"/>
  <c r="H1153" i="8"/>
  <c r="H1152" i="8"/>
  <c r="H1151" i="8"/>
  <c r="H1150" i="8"/>
  <c r="H1149" i="8"/>
  <c r="H1148" i="8"/>
  <c r="H1147" i="8"/>
  <c r="H1146" i="8"/>
  <c r="H1145" i="8"/>
  <c r="H1144" i="8"/>
  <c r="H1143" i="8"/>
  <c r="H1142" i="8"/>
  <c r="H1141" i="8"/>
  <c r="H1140" i="8"/>
  <c r="BD48" i="7" l="1"/>
  <c r="BD49" i="7" s="1"/>
  <c r="I1274" i="8"/>
  <c r="J2564" i="1"/>
  <c r="J2576" i="1"/>
  <c r="J2580" i="1"/>
  <c r="J2584" i="1"/>
  <c r="J2597" i="1"/>
  <c r="J2599" i="1"/>
  <c r="J2601" i="1"/>
  <c r="J2651" i="1"/>
  <c r="J2639" i="1"/>
  <c r="BC23" i="7"/>
  <c r="BC28" i="7"/>
  <c r="BC15" i="7"/>
  <c r="BC36" i="7"/>
  <c r="J2588" i="1"/>
  <c r="J2592" i="1"/>
  <c r="J2608" i="1"/>
  <c r="J2612" i="1"/>
  <c r="J2617" i="1"/>
  <c r="J2619" i="1"/>
  <c r="J2628" i="1"/>
  <c r="J2647" i="1"/>
  <c r="J2660" i="1"/>
  <c r="J2662" i="1"/>
  <c r="J2671" i="1"/>
  <c r="J2715" i="1"/>
  <c r="J2732" i="1"/>
  <c r="J2742" i="1"/>
  <c r="J2746" i="1"/>
  <c r="J2748" i="1"/>
  <c r="J2761" i="1"/>
  <c r="J2770" i="1"/>
  <c r="J2776" i="1"/>
  <c r="J2801" i="1"/>
  <c r="J2804" i="1"/>
  <c r="J2817" i="1"/>
  <c r="J2585" i="1"/>
  <c r="J2604" i="1"/>
  <c r="J2642" i="1"/>
  <c r="J2644" i="1"/>
  <c r="J2655" i="1"/>
  <c r="J2679" i="1"/>
  <c r="J2684" i="1"/>
  <c r="J2694" i="1"/>
  <c r="J2697" i="1"/>
  <c r="J2710" i="1"/>
  <c r="J2797" i="1"/>
  <c r="J2824" i="1"/>
  <c r="J2828" i="1"/>
  <c r="J2832" i="1"/>
  <c r="J2834" i="1"/>
  <c r="J2839" i="1"/>
  <c r="J2841" i="1"/>
  <c r="J2750" i="1"/>
  <c r="J2840" i="1"/>
  <c r="J2573" i="1"/>
  <c r="J2616" i="1"/>
  <c r="J2659" i="1"/>
  <c r="J2661" i="1"/>
  <c r="J2674" i="1"/>
  <c r="J2682" i="1"/>
  <c r="J2706" i="1"/>
  <c r="J2713" i="1"/>
  <c r="J2730" i="1"/>
  <c r="J2753" i="1"/>
  <c r="J2780" i="1"/>
  <c r="J2796" i="1"/>
  <c r="J2809" i="1"/>
  <c r="J2812" i="1"/>
  <c r="J2836" i="1"/>
  <c r="J2593" i="1"/>
  <c r="J2598" i="1"/>
  <c r="J2613" i="1"/>
  <c r="J2716" i="1"/>
  <c r="J2726" i="1"/>
  <c r="J2747" i="1"/>
  <c r="J2759" i="1"/>
  <c r="J2688" i="1"/>
  <c r="J2691" i="1"/>
  <c r="J2785" i="1"/>
  <c r="J2789" i="1"/>
  <c r="J2844" i="1"/>
  <c r="J2837" i="1"/>
  <c r="J2563" i="1"/>
  <c r="J2568" i="1"/>
  <c r="J2577" i="1"/>
  <c r="J2579" i="1"/>
  <c r="J2603" i="1"/>
  <c r="J2620" i="1"/>
  <c r="J2627" i="1"/>
  <c r="J2668" i="1"/>
  <c r="J2670" i="1"/>
  <c r="J2672" i="1"/>
  <c r="J2680" i="1"/>
  <c r="J2707" i="1"/>
  <c r="J2762" i="1"/>
  <c r="J2769" i="1"/>
  <c r="J2782" i="1"/>
  <c r="J2783" i="1"/>
  <c r="J2821" i="1"/>
  <c r="J2823" i="1"/>
  <c r="BK89" i="2"/>
  <c r="BX89" i="2"/>
  <c r="J2813" i="1"/>
  <c r="J2626" i="1"/>
  <c r="J2766" i="1"/>
  <c r="J2774" i="1"/>
  <c r="J2572" i="1"/>
  <c r="J2610" i="1"/>
  <c r="J2667" i="1"/>
  <c r="J2689" i="1"/>
  <c r="J2702" i="1"/>
  <c r="J2800" i="1"/>
  <c r="J2825" i="1"/>
  <c r="J2829" i="1"/>
  <c r="J2843" i="1"/>
  <c r="J2845" i="1"/>
  <c r="J2847" i="1"/>
  <c r="J2578" i="1"/>
  <c r="J2621" i="1"/>
  <c r="J2687" i="1"/>
  <c r="J2723" i="1"/>
  <c r="J2751" i="1"/>
  <c r="J2590" i="1"/>
  <c r="J2653" i="1"/>
  <c r="J2720" i="1"/>
  <c r="J2734" i="1"/>
  <c r="J2562" i="1"/>
  <c r="J2569" i="1"/>
  <c r="J2574" i="1"/>
  <c r="J2589" i="1"/>
  <c r="J2591" i="1"/>
  <c r="J2596" i="1"/>
  <c r="J2600" i="1"/>
  <c r="J2605" i="1"/>
  <c r="J2609" i="1"/>
  <c r="J2611" i="1"/>
  <c r="J2618" i="1"/>
  <c r="J2635" i="1"/>
  <c r="J2643" i="1"/>
  <c r="J2648" i="1"/>
  <c r="J2652" i="1"/>
  <c r="J2654" i="1"/>
  <c r="J2664" i="1"/>
  <c r="J2669" i="1"/>
  <c r="J2699" i="1"/>
  <c r="J2704" i="1"/>
  <c r="J2709" i="1"/>
  <c r="J2711" i="1"/>
  <c r="J2719" i="1"/>
  <c r="J2721" i="1"/>
  <c r="J2724" i="1"/>
  <c r="J2739" i="1"/>
  <c r="J2741" i="1"/>
  <c r="J2745" i="1"/>
  <c r="J2754" i="1"/>
  <c r="J2788" i="1"/>
  <c r="J2792" i="1"/>
  <c r="J2794" i="1"/>
  <c r="J2795" i="1"/>
  <c r="J2802" i="1"/>
  <c r="J2803" i="1"/>
  <c r="J2810" i="1"/>
  <c r="J2811" i="1"/>
  <c r="J2820" i="1"/>
  <c r="BC13" i="7"/>
  <c r="J2594" i="1"/>
  <c r="J2606" i="1"/>
  <c r="J2614" i="1"/>
  <c r="J2622" i="1"/>
  <c r="J2630" i="1"/>
  <c r="J2633" i="1"/>
  <c r="J2649" i="1"/>
  <c r="J2657" i="1"/>
  <c r="J2665" i="1"/>
  <c r="J2677" i="1"/>
  <c r="J2692" i="1"/>
  <c r="J2727" i="1"/>
  <c r="J2735" i="1"/>
  <c r="J2767" i="1"/>
  <c r="J2793" i="1"/>
  <c r="J2826" i="1"/>
  <c r="J2827" i="1"/>
  <c r="J2833" i="1"/>
  <c r="J2846" i="1"/>
  <c r="J2582" i="1"/>
  <c r="J2566" i="1"/>
  <c r="J2583" i="1"/>
  <c r="J2607" i="1"/>
  <c r="J2615" i="1"/>
  <c r="J2623" i="1"/>
  <c r="J2631" i="1"/>
  <c r="J2638" i="1"/>
  <c r="J2645" i="1"/>
  <c r="J2650" i="1"/>
  <c r="J2658" i="1"/>
  <c r="J2678" i="1"/>
  <c r="J2685" i="1"/>
  <c r="J2693" i="1"/>
  <c r="J2700" i="1"/>
  <c r="J2714" i="1"/>
  <c r="J2728" i="1"/>
  <c r="J2743" i="1"/>
  <c r="J2749" i="1"/>
  <c r="J2755" i="1"/>
  <c r="J2757" i="1"/>
  <c r="J2763" i="1"/>
  <c r="J2768" i="1"/>
  <c r="J2775" i="1"/>
  <c r="J2781" i="1"/>
  <c r="J2786" i="1"/>
  <c r="J2787" i="1"/>
  <c r="J2818" i="1"/>
  <c r="J2819" i="1"/>
  <c r="J2571" i="1"/>
  <c r="J2686" i="1"/>
  <c r="J2701" i="1"/>
  <c r="J2725" i="1"/>
  <c r="J2733" i="1"/>
  <c r="J2744" i="1"/>
  <c r="J2790" i="1"/>
  <c r="J2791" i="1"/>
  <c r="J2799" i="1"/>
  <c r="J2806" i="1"/>
  <c r="J2807" i="1"/>
  <c r="J2814" i="1"/>
  <c r="J2830" i="1"/>
  <c r="J2831" i="1"/>
  <c r="J2842" i="1"/>
  <c r="BC48" i="7" l="1"/>
  <c r="BC49" i="7" s="1"/>
  <c r="H1137" i="8"/>
  <c r="H1138" i="8" l="1"/>
  <c r="H1136" i="8"/>
  <c r="H1135" i="8"/>
  <c r="H1134" i="8"/>
  <c r="H1133" i="8"/>
  <c r="H1132" i="8"/>
  <c r="H1131" i="8"/>
  <c r="H1130" i="8"/>
  <c r="H1129" i="8"/>
  <c r="H1128" i="8"/>
  <c r="H1127" i="8"/>
  <c r="H1126" i="8"/>
  <c r="H1125" i="8"/>
  <c r="H1124" i="8"/>
  <c r="H1123" i="8"/>
  <c r="H1122" i="8"/>
  <c r="H1121" i="8"/>
  <c r="H1120" i="8"/>
  <c r="H1119" i="8"/>
  <c r="H1118" i="8"/>
  <c r="H1117" i="8"/>
  <c r="H1116" i="8"/>
  <c r="H1115" i="8"/>
  <c r="H1114" i="8"/>
  <c r="H1113" i="8"/>
  <c r="H1112" i="8"/>
  <c r="H1111" i="8"/>
  <c r="H1110" i="8"/>
  <c r="H1109" i="8"/>
  <c r="H1108" i="8"/>
  <c r="H1107" i="8"/>
  <c r="H1106" i="8"/>
  <c r="H1105" i="8"/>
  <c r="H1104" i="8"/>
  <c r="H1103" i="8"/>
  <c r="H1102" i="8"/>
  <c r="H1101" i="8"/>
  <c r="H1100" i="8"/>
  <c r="H1099" i="8"/>
  <c r="H1098" i="8"/>
  <c r="H1097" i="8"/>
  <c r="H1096" i="8"/>
  <c r="H1095" i="8"/>
  <c r="H1094" i="8"/>
  <c r="H1093" i="8"/>
  <c r="H1092" i="8"/>
  <c r="H1091" i="8"/>
  <c r="H1090" i="8"/>
  <c r="H1089" i="8"/>
  <c r="H1088" i="8"/>
  <c r="H1087" i="8"/>
  <c r="H1086" i="8"/>
  <c r="H1085" i="8"/>
  <c r="H1084" i="8"/>
  <c r="H1083" i="8"/>
  <c r="H1082" i="8"/>
  <c r="H1081" i="8"/>
  <c r="H1080" i="8"/>
  <c r="H1079" i="8"/>
  <c r="H1078" i="8"/>
  <c r="H1077" i="8"/>
  <c r="H1076" i="8"/>
  <c r="H1075" i="8"/>
  <c r="H1074" i="8"/>
  <c r="H1073" i="8"/>
  <c r="H1072" i="8"/>
  <c r="H1071" i="8"/>
  <c r="H1070" i="8"/>
  <c r="H1069" i="8"/>
  <c r="H1068" i="8"/>
  <c r="H1067" i="8"/>
  <c r="H1066" i="8"/>
  <c r="H1065" i="8"/>
  <c r="H1064" i="8"/>
  <c r="H1063" i="8"/>
  <c r="H1062" i="8"/>
  <c r="H1061" i="8"/>
  <c r="H1060" i="8"/>
  <c r="H1059" i="8"/>
  <c r="H1058" i="8"/>
  <c r="H1057" i="8"/>
  <c r="H1056" i="8"/>
  <c r="H1055" i="8"/>
  <c r="H1054" i="8"/>
  <c r="H1053" i="8"/>
  <c r="H1052" i="8"/>
  <c r="H1051" i="8"/>
  <c r="H1050" i="8"/>
  <c r="H1049" i="8"/>
  <c r="H1048" i="8"/>
  <c r="H1047" i="8"/>
  <c r="H1046" i="8"/>
  <c r="H1045" i="8"/>
  <c r="H1044" i="8"/>
  <c r="H1043" i="8"/>
  <c r="H1042" i="8"/>
  <c r="H1041" i="8"/>
  <c r="H1040" i="8"/>
  <c r="H1039" i="8"/>
  <c r="H1038" i="8"/>
  <c r="H1037" i="8"/>
  <c r="H1036" i="8"/>
  <c r="H1035" i="8"/>
  <c r="H1034" i="8"/>
  <c r="H1033" i="8"/>
  <c r="H1032" i="8"/>
  <c r="H1031" i="8"/>
  <c r="H1030" i="8"/>
  <c r="H1029" i="8"/>
  <c r="H1028" i="8"/>
  <c r="H1027" i="8"/>
  <c r="H1026" i="8"/>
  <c r="H1025" i="8"/>
  <c r="H1024" i="8"/>
  <c r="H1023" i="8"/>
  <c r="H1022" i="8"/>
  <c r="H1021" i="8"/>
  <c r="H1020" i="8"/>
  <c r="H1019" i="8"/>
  <c r="H1018" i="8"/>
  <c r="H1017" i="8"/>
  <c r="H1016" i="8"/>
  <c r="H1015" i="8"/>
  <c r="H1014" i="8"/>
  <c r="H1013" i="8"/>
  <c r="H1012" i="8"/>
  <c r="H1011" i="8"/>
  <c r="H1010" i="8"/>
  <c r="H1009" i="8"/>
  <c r="H1008" i="8"/>
  <c r="H1007" i="8"/>
  <c r="H1006" i="8"/>
  <c r="H1005" i="8"/>
  <c r="H1004" i="8"/>
  <c r="H1002" i="8"/>
  <c r="H1001" i="8"/>
  <c r="H1000" i="8"/>
  <c r="H999" i="8"/>
  <c r="H998" i="8"/>
  <c r="H997" i="8"/>
  <c r="H996" i="8"/>
  <c r="H995" i="8"/>
  <c r="H994" i="8"/>
  <c r="H993" i="8"/>
  <c r="H992" i="8"/>
  <c r="H991" i="8"/>
  <c r="H990" i="8"/>
  <c r="H989" i="8"/>
  <c r="H988" i="8"/>
  <c r="H987" i="8"/>
  <c r="H986" i="8"/>
  <c r="H985" i="8"/>
  <c r="H984" i="8"/>
  <c r="H983" i="8"/>
  <c r="H982" i="8"/>
  <c r="H981" i="8"/>
  <c r="H980" i="8"/>
  <c r="H979" i="8"/>
  <c r="H978" i="8"/>
  <c r="H977" i="8"/>
  <c r="H976" i="8"/>
  <c r="H975" i="8"/>
  <c r="H974" i="8"/>
  <c r="H973" i="8"/>
  <c r="H972" i="8"/>
  <c r="H971" i="8"/>
  <c r="H970" i="8"/>
  <c r="H969" i="8"/>
  <c r="H968" i="8"/>
  <c r="H967" i="8"/>
  <c r="H966" i="8"/>
  <c r="H965" i="8"/>
  <c r="H964" i="8"/>
  <c r="H963" i="8"/>
  <c r="H962" i="8"/>
  <c r="H961" i="8"/>
  <c r="H960" i="8"/>
  <c r="H959" i="8"/>
  <c r="H958" i="8"/>
  <c r="H957" i="8"/>
  <c r="H956" i="8"/>
  <c r="H955" i="8"/>
  <c r="H954" i="8"/>
  <c r="H953" i="8"/>
  <c r="H952" i="8"/>
  <c r="H951" i="8"/>
  <c r="H950" i="8"/>
  <c r="H949" i="8"/>
  <c r="H948" i="8"/>
  <c r="H947" i="8"/>
  <c r="H946" i="8"/>
  <c r="H945" i="8"/>
  <c r="H944" i="8"/>
  <c r="H943" i="8"/>
  <c r="H942" i="8"/>
  <c r="H941" i="8"/>
  <c r="H940" i="8"/>
  <c r="H939" i="8"/>
  <c r="H938" i="8"/>
  <c r="H937" i="8"/>
  <c r="H936" i="8"/>
  <c r="H935" i="8"/>
  <c r="H934" i="8"/>
  <c r="H933" i="8"/>
  <c r="H932" i="8"/>
  <c r="H931" i="8"/>
  <c r="H930" i="8"/>
  <c r="H929" i="8"/>
  <c r="H928" i="8"/>
  <c r="H927" i="8"/>
  <c r="H926" i="8"/>
  <c r="H925" i="8"/>
  <c r="H924" i="8"/>
  <c r="H923" i="8"/>
  <c r="H922" i="8"/>
  <c r="H921" i="8"/>
  <c r="H920" i="8"/>
  <c r="H919" i="8"/>
  <c r="H918" i="8"/>
  <c r="H917" i="8"/>
  <c r="H916" i="8"/>
  <c r="H915" i="8"/>
  <c r="H914" i="8"/>
  <c r="H913" i="8"/>
  <c r="H912" i="8"/>
  <c r="H911" i="8"/>
  <c r="H910" i="8"/>
  <c r="H909" i="8"/>
  <c r="H908" i="8"/>
  <c r="H907" i="8"/>
  <c r="H906" i="8"/>
  <c r="H905" i="8"/>
  <c r="H904" i="8"/>
  <c r="H903" i="8"/>
  <c r="H902" i="8"/>
  <c r="H901" i="8"/>
  <c r="H900" i="8"/>
  <c r="H899" i="8"/>
  <c r="H898" i="8"/>
  <c r="H897" i="8"/>
  <c r="H896" i="8"/>
  <c r="H895" i="8"/>
  <c r="H894" i="8"/>
  <c r="H893" i="8"/>
  <c r="H892" i="8"/>
  <c r="H891" i="8"/>
  <c r="H890" i="8"/>
  <c r="H889" i="8"/>
  <c r="H888" i="8"/>
  <c r="H887" i="8"/>
  <c r="H886" i="8"/>
  <c r="H885" i="8"/>
  <c r="H884" i="8"/>
  <c r="H883" i="8"/>
  <c r="H882" i="8"/>
  <c r="H881" i="8"/>
  <c r="H880" i="8"/>
  <c r="H879" i="8"/>
  <c r="H878" i="8"/>
  <c r="H877" i="8"/>
  <c r="H875" i="8"/>
  <c r="H874" i="8"/>
  <c r="H873" i="8"/>
  <c r="H872" i="8"/>
  <c r="H871" i="8"/>
  <c r="H870" i="8"/>
  <c r="H869" i="8"/>
  <c r="H868" i="8"/>
  <c r="H867" i="8"/>
  <c r="H866" i="8"/>
  <c r="H865" i="8"/>
  <c r="H864" i="8"/>
  <c r="H863" i="8"/>
  <c r="H862" i="8"/>
  <c r="H861" i="8"/>
  <c r="H860" i="8"/>
  <c r="H859" i="8"/>
  <c r="H858" i="8"/>
  <c r="H857" i="8"/>
  <c r="H856" i="8"/>
  <c r="H855" i="8"/>
  <c r="H854" i="8"/>
  <c r="H853" i="8"/>
  <c r="H852" i="8"/>
  <c r="H851" i="8"/>
  <c r="H850" i="8"/>
  <c r="H849" i="8"/>
  <c r="H848" i="8"/>
  <c r="H847" i="8"/>
  <c r="H846" i="8"/>
  <c r="H845" i="8"/>
  <c r="H844" i="8"/>
  <c r="H843" i="8"/>
  <c r="H842" i="8"/>
  <c r="H841" i="8"/>
  <c r="H840" i="8"/>
  <c r="H839" i="8"/>
  <c r="H838" i="8"/>
  <c r="H837" i="8"/>
  <c r="H836" i="8"/>
  <c r="H835" i="8"/>
  <c r="H834" i="8"/>
  <c r="H833" i="8"/>
  <c r="H832" i="8"/>
  <c r="H831" i="8"/>
  <c r="H830" i="8"/>
  <c r="H829" i="8"/>
  <c r="H828" i="8"/>
  <c r="H827" i="8"/>
  <c r="H826" i="8"/>
  <c r="H825" i="8"/>
  <c r="H824" i="8"/>
  <c r="H823" i="8"/>
  <c r="H822" i="8"/>
  <c r="H821" i="8"/>
  <c r="H820" i="8"/>
  <c r="H819" i="8"/>
  <c r="H818" i="8"/>
  <c r="H817" i="8"/>
  <c r="H816" i="8"/>
  <c r="H815" i="8"/>
  <c r="H814" i="8"/>
  <c r="H813" i="8"/>
  <c r="H812" i="8"/>
  <c r="H811" i="8"/>
  <c r="H810" i="8"/>
  <c r="H809" i="8"/>
  <c r="H808" i="8"/>
  <c r="H807" i="8"/>
  <c r="H806" i="8"/>
  <c r="H805" i="8"/>
  <c r="H804" i="8"/>
  <c r="H803" i="8"/>
  <c r="H802" i="8"/>
  <c r="H801" i="8"/>
  <c r="H800" i="8"/>
  <c r="H799" i="8"/>
  <c r="H798" i="8"/>
  <c r="H797" i="8"/>
  <c r="H796" i="8"/>
  <c r="H795" i="8"/>
  <c r="H794" i="8"/>
  <c r="H793" i="8"/>
  <c r="H792" i="8"/>
  <c r="H791" i="8"/>
  <c r="H790" i="8"/>
  <c r="H789" i="8"/>
  <c r="H788" i="8"/>
  <c r="H787" i="8"/>
  <c r="H786" i="8"/>
  <c r="H785" i="8"/>
  <c r="H784" i="8"/>
  <c r="H783" i="8"/>
  <c r="H782" i="8"/>
  <c r="H781" i="8"/>
  <c r="H780" i="8"/>
  <c r="H779" i="8"/>
  <c r="H778" i="8"/>
  <c r="H777" i="8"/>
  <c r="H776" i="8"/>
  <c r="H775" i="8"/>
  <c r="H774" i="8"/>
  <c r="H773" i="8"/>
  <c r="H772" i="8"/>
  <c r="H771" i="8"/>
  <c r="H770" i="8"/>
  <c r="H769" i="8"/>
  <c r="H768" i="8"/>
  <c r="H767" i="8"/>
  <c r="H766" i="8"/>
  <c r="H765" i="8"/>
  <c r="H764" i="8"/>
  <c r="H763" i="8"/>
  <c r="H762" i="8"/>
  <c r="H761" i="8"/>
  <c r="H760" i="8"/>
  <c r="H759" i="8"/>
  <c r="H758" i="8"/>
  <c r="H757" i="8"/>
  <c r="H756" i="8"/>
  <c r="H755" i="8"/>
  <c r="H754" i="8"/>
  <c r="H753" i="8"/>
  <c r="H752" i="8"/>
  <c r="H751" i="8"/>
  <c r="H750" i="8"/>
  <c r="H749" i="8"/>
  <c r="H747" i="8"/>
  <c r="H746" i="8"/>
  <c r="H745" i="8"/>
  <c r="H744" i="8"/>
  <c r="H743" i="8"/>
  <c r="H742" i="8"/>
  <c r="H741" i="8"/>
  <c r="H740" i="8"/>
  <c r="H739" i="8"/>
  <c r="H738" i="8"/>
  <c r="H737" i="8"/>
  <c r="H736" i="8"/>
  <c r="H735" i="8"/>
  <c r="H734" i="8"/>
  <c r="H733" i="8"/>
  <c r="H732" i="8"/>
  <c r="H731" i="8"/>
  <c r="H730" i="8"/>
  <c r="H729" i="8"/>
  <c r="H728" i="8"/>
  <c r="H727" i="8"/>
  <c r="H726" i="8"/>
  <c r="H725" i="8"/>
  <c r="H724" i="8"/>
  <c r="H723" i="8"/>
  <c r="H722" i="8"/>
  <c r="H721" i="8"/>
  <c r="H720" i="8"/>
  <c r="H719" i="8"/>
  <c r="H718" i="8"/>
  <c r="H717" i="8"/>
  <c r="H716" i="8"/>
  <c r="H715" i="8"/>
  <c r="H714" i="8"/>
  <c r="H713" i="8"/>
  <c r="H712" i="8"/>
  <c r="H711" i="8"/>
  <c r="H710" i="8"/>
  <c r="H709" i="8"/>
  <c r="H708" i="8"/>
  <c r="H707" i="8"/>
  <c r="H706" i="8"/>
  <c r="H705" i="8"/>
  <c r="H704" i="8"/>
  <c r="H703" i="8"/>
  <c r="H702" i="8"/>
  <c r="H701" i="8"/>
  <c r="H700" i="8"/>
  <c r="H699" i="8"/>
  <c r="H698" i="8"/>
  <c r="H697" i="8"/>
  <c r="H696" i="8"/>
  <c r="H695" i="8"/>
  <c r="H694" i="8"/>
  <c r="H693" i="8"/>
  <c r="H692" i="8"/>
  <c r="H691" i="8"/>
  <c r="H690" i="8"/>
  <c r="H689" i="8"/>
  <c r="H688" i="8"/>
  <c r="H687" i="8"/>
  <c r="H686" i="8"/>
  <c r="H685" i="8"/>
  <c r="H684" i="8"/>
  <c r="H683" i="8"/>
  <c r="H682" i="8"/>
  <c r="H681" i="8"/>
  <c r="H680" i="8"/>
  <c r="H679" i="8"/>
  <c r="H678" i="8"/>
  <c r="H677" i="8"/>
  <c r="H676" i="8"/>
  <c r="H675" i="8"/>
  <c r="H674" i="8"/>
  <c r="H673" i="8"/>
  <c r="H672" i="8"/>
  <c r="H671" i="8"/>
  <c r="H670" i="8"/>
  <c r="H669" i="8"/>
  <c r="H668" i="8"/>
  <c r="H667" i="8"/>
  <c r="H666" i="8"/>
  <c r="H665" i="8"/>
  <c r="H664" i="8"/>
  <c r="H663" i="8"/>
  <c r="H662" i="8"/>
  <c r="H661" i="8"/>
  <c r="H660" i="8"/>
  <c r="H659" i="8"/>
  <c r="H658" i="8"/>
  <c r="H657" i="8"/>
  <c r="H656" i="8"/>
  <c r="H655" i="8"/>
  <c r="H654" i="8"/>
  <c r="H653" i="8"/>
  <c r="H652" i="8"/>
  <c r="H651" i="8"/>
  <c r="H650" i="8"/>
  <c r="H649" i="8"/>
  <c r="H648" i="8"/>
  <c r="H647" i="8"/>
  <c r="H646" i="8"/>
  <c r="H645" i="8"/>
  <c r="H644" i="8"/>
  <c r="H643" i="8"/>
  <c r="H642" i="8"/>
  <c r="H641" i="8"/>
  <c r="H640" i="8"/>
  <c r="H639" i="8"/>
  <c r="H638" i="8"/>
  <c r="H637" i="8"/>
  <c r="H636" i="8"/>
  <c r="H635" i="8"/>
  <c r="H634" i="8"/>
  <c r="H633" i="8"/>
  <c r="H632" i="8"/>
  <c r="H631" i="8"/>
  <c r="H630" i="8"/>
  <c r="H628" i="8"/>
  <c r="H627" i="8"/>
  <c r="H626" i="8"/>
  <c r="H625" i="8"/>
  <c r="H624" i="8"/>
  <c r="H623" i="8"/>
  <c r="H622" i="8"/>
  <c r="H621" i="8"/>
  <c r="H620" i="8"/>
  <c r="H619" i="8"/>
  <c r="H618" i="8"/>
  <c r="H617" i="8"/>
  <c r="H616" i="8"/>
  <c r="H615" i="8"/>
  <c r="H614" i="8"/>
  <c r="H613" i="8"/>
  <c r="H612" i="8"/>
  <c r="H611" i="8"/>
  <c r="H610" i="8"/>
  <c r="H609" i="8"/>
  <c r="H608" i="8"/>
  <c r="H607" i="8"/>
  <c r="H606" i="8"/>
  <c r="H605" i="8"/>
  <c r="H604" i="8"/>
  <c r="H603" i="8"/>
  <c r="H602" i="8"/>
  <c r="H601" i="8"/>
  <c r="H600" i="8"/>
  <c r="H599" i="8"/>
  <c r="H598" i="8"/>
  <c r="H597" i="8"/>
  <c r="H596" i="8"/>
  <c r="H595" i="8"/>
  <c r="H594" i="8"/>
  <c r="H593" i="8"/>
  <c r="H592" i="8"/>
  <c r="H591" i="8"/>
  <c r="H590" i="8"/>
  <c r="H589" i="8"/>
  <c r="H588" i="8"/>
  <c r="H587" i="8"/>
  <c r="H586" i="8"/>
  <c r="H585" i="8"/>
  <c r="H584" i="8"/>
  <c r="H583" i="8"/>
  <c r="H582" i="8"/>
  <c r="H581" i="8"/>
  <c r="H580" i="8"/>
  <c r="H579" i="8"/>
  <c r="H578" i="8"/>
  <c r="H577" i="8"/>
  <c r="H576" i="8"/>
  <c r="H575" i="8"/>
  <c r="H574" i="8"/>
  <c r="H573" i="8"/>
  <c r="H572" i="8"/>
  <c r="H571" i="8"/>
  <c r="H570" i="8"/>
  <c r="H569" i="8"/>
  <c r="H568" i="8"/>
  <c r="H567" i="8"/>
  <c r="H566" i="8"/>
  <c r="H565" i="8"/>
  <c r="H564" i="8"/>
  <c r="H563" i="8"/>
  <c r="H562" i="8"/>
  <c r="H561" i="8"/>
  <c r="H560" i="8"/>
  <c r="H559" i="8"/>
  <c r="H558" i="8"/>
  <c r="H557" i="8"/>
  <c r="H556" i="8"/>
  <c r="H555" i="8"/>
  <c r="H554" i="8"/>
  <c r="H553" i="8"/>
  <c r="H552" i="8"/>
  <c r="H551" i="8"/>
  <c r="H550" i="8"/>
  <c r="H549" i="8"/>
  <c r="H548" i="8"/>
  <c r="H547" i="8"/>
  <c r="H546" i="8"/>
  <c r="H545" i="8"/>
  <c r="H544" i="8"/>
  <c r="H543" i="8"/>
  <c r="H542" i="8"/>
  <c r="H541" i="8"/>
  <c r="H540" i="8"/>
  <c r="H539" i="8"/>
  <c r="H538" i="8"/>
  <c r="H537" i="8"/>
  <c r="H536" i="8"/>
  <c r="H535" i="8"/>
  <c r="H534" i="8"/>
  <c r="H533" i="8"/>
  <c r="H532" i="8"/>
  <c r="H531" i="8"/>
  <c r="H530" i="8"/>
  <c r="H529" i="8"/>
  <c r="H528" i="8"/>
  <c r="H527" i="8"/>
  <c r="H526" i="8"/>
  <c r="H525" i="8"/>
  <c r="H524" i="8"/>
  <c r="H523" i="8"/>
  <c r="H522" i="8"/>
  <c r="H521" i="8"/>
  <c r="H520" i="8"/>
  <c r="H519" i="8"/>
  <c r="H518" i="8"/>
  <c r="H517" i="8"/>
  <c r="H516" i="8"/>
  <c r="H515" i="8"/>
  <c r="H513" i="8"/>
  <c r="H512" i="8"/>
  <c r="H511" i="8"/>
  <c r="H510" i="8"/>
  <c r="H509" i="8"/>
  <c r="H508" i="8"/>
  <c r="H507" i="8"/>
  <c r="H506" i="8"/>
  <c r="H505" i="8"/>
  <c r="H504" i="8"/>
  <c r="H503" i="8"/>
  <c r="H502" i="8"/>
  <c r="H501" i="8"/>
  <c r="H500" i="8"/>
  <c r="H499" i="8"/>
  <c r="H498" i="8"/>
  <c r="H497" i="8"/>
  <c r="H496" i="8"/>
  <c r="H495" i="8"/>
  <c r="H494" i="8"/>
  <c r="H493" i="8"/>
  <c r="H492" i="8"/>
  <c r="H491" i="8"/>
  <c r="H490" i="8"/>
  <c r="H489" i="8"/>
  <c r="H488" i="8"/>
  <c r="H487" i="8"/>
  <c r="H486" i="8"/>
  <c r="H485" i="8"/>
  <c r="H484" i="8"/>
  <c r="H483" i="8"/>
  <c r="H482" i="8"/>
  <c r="H481" i="8"/>
  <c r="H480" i="8"/>
  <c r="H479" i="8"/>
  <c r="H478" i="8"/>
  <c r="H477" i="8"/>
  <c r="H476" i="8"/>
  <c r="H475" i="8"/>
  <c r="H474" i="8"/>
  <c r="H473" i="8"/>
  <c r="H472" i="8"/>
  <c r="H471" i="8"/>
  <c r="H470" i="8"/>
  <c r="H469" i="8"/>
  <c r="H468" i="8"/>
  <c r="H467" i="8"/>
  <c r="H466" i="8"/>
  <c r="H465" i="8"/>
  <c r="H464" i="8"/>
  <c r="H463" i="8"/>
  <c r="H462" i="8"/>
  <c r="H461" i="8"/>
  <c r="H460" i="8"/>
  <c r="H459" i="8"/>
  <c r="H458" i="8"/>
  <c r="H457" i="8"/>
  <c r="H456" i="8"/>
  <c r="H455" i="8"/>
  <c r="H454" i="8"/>
  <c r="H453" i="8"/>
  <c r="H452" i="8"/>
  <c r="H451" i="8"/>
  <c r="H450" i="8"/>
  <c r="H449" i="8"/>
  <c r="H448" i="8"/>
  <c r="H447" i="8"/>
  <c r="H446" i="8"/>
  <c r="H445" i="8"/>
  <c r="H444" i="8"/>
  <c r="H443" i="8"/>
  <c r="H442" i="8"/>
  <c r="H441" i="8"/>
  <c r="H440" i="8"/>
  <c r="H439" i="8"/>
  <c r="H438" i="8"/>
  <c r="H437" i="8"/>
  <c r="H436" i="8"/>
  <c r="H435" i="8"/>
  <c r="H434" i="8"/>
  <c r="H433" i="8"/>
  <c r="H432" i="8"/>
  <c r="H431" i="8"/>
  <c r="H430" i="8"/>
  <c r="H429" i="8"/>
  <c r="H428" i="8"/>
  <c r="H427" i="8"/>
  <c r="H426" i="8"/>
  <c r="H425" i="8"/>
  <c r="H424" i="8"/>
  <c r="H423" i="8"/>
  <c r="H422" i="8"/>
  <c r="H421" i="8"/>
  <c r="H420" i="8"/>
  <c r="H419" i="8"/>
  <c r="H418" i="8"/>
  <c r="H417" i="8"/>
  <c r="H416" i="8"/>
  <c r="H414" i="8"/>
  <c r="H413" i="8"/>
  <c r="H412" i="8"/>
  <c r="H411" i="8"/>
  <c r="H410" i="8"/>
  <c r="H409" i="8"/>
  <c r="H408" i="8"/>
  <c r="H407" i="8"/>
  <c r="H406" i="8"/>
  <c r="H405" i="8"/>
  <c r="H404" i="8"/>
  <c r="H403" i="8"/>
  <c r="H402" i="8"/>
  <c r="H401" i="8"/>
  <c r="H400" i="8"/>
  <c r="H399" i="8"/>
  <c r="H398" i="8"/>
  <c r="H397" i="8"/>
  <c r="H396" i="8"/>
  <c r="H395" i="8"/>
  <c r="H394" i="8"/>
  <c r="H393" i="8"/>
  <c r="H392" i="8"/>
  <c r="H391" i="8"/>
  <c r="H390" i="8"/>
  <c r="H389" i="8"/>
  <c r="H388" i="8"/>
  <c r="H387" i="8"/>
  <c r="H386" i="8"/>
  <c r="H385" i="8"/>
  <c r="H384" i="8"/>
  <c r="H383" i="8"/>
  <c r="H382" i="8"/>
  <c r="H381" i="8"/>
  <c r="H380" i="8"/>
  <c r="H379" i="8"/>
  <c r="H378" i="8"/>
  <c r="H377" i="8"/>
  <c r="H376" i="8"/>
  <c r="H375" i="8"/>
  <c r="H374" i="8"/>
  <c r="H373" i="8"/>
  <c r="H372" i="8"/>
  <c r="H371" i="8"/>
  <c r="H370" i="8"/>
  <c r="H369" i="8"/>
  <c r="H368" i="8"/>
  <c r="H367" i="8"/>
  <c r="H366" i="8"/>
  <c r="H365" i="8"/>
  <c r="H364" i="8"/>
  <c r="H363" i="8"/>
  <c r="H362" i="8"/>
  <c r="H361" i="8"/>
  <c r="H360" i="8"/>
  <c r="H359" i="8"/>
  <c r="H358" i="8"/>
  <c r="H357" i="8"/>
  <c r="H356" i="8"/>
  <c r="H355" i="8"/>
  <c r="H354" i="8"/>
  <c r="H353" i="8"/>
  <c r="H352" i="8"/>
  <c r="H351" i="8"/>
  <c r="H350" i="8"/>
  <c r="H349" i="8"/>
  <c r="H348" i="8"/>
  <c r="H347" i="8"/>
  <c r="H346" i="8"/>
  <c r="H345" i="8"/>
  <c r="H344" i="8"/>
  <c r="H343" i="8"/>
  <c r="H342" i="8"/>
  <c r="H341" i="8"/>
  <c r="H340" i="8"/>
  <c r="H339" i="8"/>
  <c r="H338" i="8"/>
  <c r="H337" i="8"/>
  <c r="H336" i="8"/>
  <c r="H335" i="8"/>
  <c r="H334" i="8"/>
  <c r="H333" i="8"/>
  <c r="H332" i="8"/>
  <c r="H331" i="8"/>
  <c r="H330" i="8"/>
  <c r="H329" i="8"/>
  <c r="H328" i="8"/>
  <c r="H327" i="8"/>
  <c r="H326" i="8"/>
  <c r="H325" i="8"/>
  <c r="H324" i="8"/>
  <c r="H323" i="8"/>
  <c r="H322" i="8"/>
  <c r="H320" i="8"/>
  <c r="H319" i="8"/>
  <c r="H318" i="8"/>
  <c r="H317" i="8"/>
  <c r="H316" i="8"/>
  <c r="H315" i="8"/>
  <c r="H314" i="8"/>
  <c r="H313" i="8"/>
  <c r="H312" i="8"/>
  <c r="H311" i="8"/>
  <c r="H310" i="8"/>
  <c r="H309" i="8"/>
  <c r="H308" i="8"/>
  <c r="H307" i="8"/>
  <c r="H306" i="8"/>
  <c r="H305" i="8"/>
  <c r="H304" i="8"/>
  <c r="H303" i="8"/>
  <c r="H302" i="8"/>
  <c r="H301" i="8"/>
  <c r="H300" i="8"/>
  <c r="H299" i="8"/>
  <c r="H298" i="8"/>
  <c r="H297" i="8"/>
  <c r="H296" i="8"/>
  <c r="H295" i="8"/>
  <c r="H294" i="8"/>
  <c r="H293" i="8"/>
  <c r="H292" i="8"/>
  <c r="H291" i="8"/>
  <c r="H290" i="8"/>
  <c r="H289" i="8"/>
  <c r="H288" i="8"/>
  <c r="H287" i="8"/>
  <c r="H286" i="8"/>
  <c r="H285" i="8"/>
  <c r="H284" i="8"/>
  <c r="H283" i="8"/>
  <c r="H282" i="8"/>
  <c r="H281" i="8"/>
  <c r="H280" i="8"/>
  <c r="H279" i="8"/>
  <c r="H278" i="8"/>
  <c r="H277" i="8"/>
  <c r="H276" i="8"/>
  <c r="H275" i="8"/>
  <c r="H274" i="8"/>
  <c r="H273" i="8"/>
  <c r="H272" i="8"/>
  <c r="H271" i="8"/>
  <c r="H270" i="8"/>
  <c r="H269" i="8"/>
  <c r="H268" i="8"/>
  <c r="H267" i="8"/>
  <c r="H266" i="8"/>
  <c r="H265" i="8"/>
  <c r="H264" i="8"/>
  <c r="H263" i="8"/>
  <c r="H262" i="8"/>
  <c r="H261" i="8"/>
  <c r="H260" i="8"/>
  <c r="H259" i="8"/>
  <c r="H258" i="8"/>
  <c r="H257" i="8"/>
  <c r="H256" i="8"/>
  <c r="H255" i="8"/>
  <c r="H254" i="8"/>
  <c r="H253" i="8"/>
  <c r="H252" i="8"/>
  <c r="H251" i="8"/>
  <c r="H250" i="8"/>
  <c r="H249" i="8"/>
  <c r="H248" i="8"/>
  <c r="H247" i="8"/>
  <c r="H246" i="8"/>
  <c r="H245" i="8"/>
  <c r="H244" i="8"/>
  <c r="H243" i="8"/>
  <c r="H242" i="8"/>
  <c r="H241" i="8"/>
  <c r="H240" i="8"/>
  <c r="H239" i="8"/>
  <c r="H238" i="8"/>
  <c r="H237" i="8"/>
  <c r="H236" i="8"/>
  <c r="H235" i="8"/>
  <c r="H234" i="8"/>
  <c r="H233" i="8"/>
  <c r="H232" i="8"/>
  <c r="H231" i="8"/>
  <c r="H230" i="8"/>
  <c r="H229" i="8"/>
  <c r="H228" i="8"/>
  <c r="H227" i="8"/>
  <c r="H226" i="8"/>
  <c r="H225" i="8"/>
  <c r="H224" i="8"/>
  <c r="H223" i="8"/>
  <c r="H222" i="8"/>
  <c r="H221" i="8"/>
  <c r="H220" i="8"/>
  <c r="H219" i="8"/>
  <c r="H218" i="8"/>
  <c r="H217" i="8"/>
  <c r="H216" i="8"/>
  <c r="H215" i="8"/>
  <c r="H214" i="8"/>
  <c r="H213" i="8"/>
  <c r="H212" i="8"/>
  <c r="H211" i="8"/>
  <c r="H210" i="8"/>
  <c r="H209" i="8"/>
  <c r="H208" i="8"/>
  <c r="H207" i="8"/>
  <c r="H206" i="8"/>
  <c r="H204" i="8"/>
  <c r="H203" i="8"/>
  <c r="H202" i="8"/>
  <c r="H201" i="8"/>
  <c r="H200" i="8"/>
  <c r="H199" i="8"/>
  <c r="H198" i="8"/>
  <c r="H197" i="8"/>
  <c r="H196" i="8"/>
  <c r="H195" i="8"/>
  <c r="H194" i="8"/>
  <c r="H193" i="8"/>
  <c r="H192" i="8"/>
  <c r="H191" i="8"/>
  <c r="H190" i="8"/>
  <c r="H189" i="8"/>
  <c r="H188" i="8"/>
  <c r="H187" i="8"/>
  <c r="H186" i="8"/>
  <c r="H185" i="8"/>
  <c r="H184" i="8"/>
  <c r="H183" i="8"/>
  <c r="H182" i="8"/>
  <c r="H181" i="8"/>
  <c r="H180" i="8"/>
  <c r="H179" i="8"/>
  <c r="H178" i="8"/>
  <c r="H177" i="8"/>
  <c r="H176" i="8"/>
  <c r="H175" i="8"/>
  <c r="H174" i="8"/>
  <c r="H173" i="8"/>
  <c r="H172" i="8"/>
  <c r="H171" i="8"/>
  <c r="H170" i="8"/>
  <c r="H169" i="8"/>
  <c r="H168" i="8"/>
  <c r="H167" i="8"/>
  <c r="H166" i="8"/>
  <c r="H165" i="8"/>
  <c r="H164" i="8"/>
  <c r="H163" i="8"/>
  <c r="H162" i="8"/>
  <c r="H161" i="8"/>
  <c r="H160" i="8"/>
  <c r="H159" i="8"/>
  <c r="H158" i="8"/>
  <c r="H157" i="8"/>
  <c r="H156" i="8"/>
  <c r="H155" i="8"/>
  <c r="H154" i="8"/>
  <c r="H153" i="8"/>
  <c r="H152" i="8"/>
  <c r="H151" i="8"/>
  <c r="H150" i="8"/>
  <c r="H149" i="8"/>
  <c r="H148" i="8"/>
  <c r="H147" i="8"/>
  <c r="H146" i="8"/>
  <c r="H145" i="8"/>
  <c r="H144" i="8"/>
  <c r="H143" i="8"/>
  <c r="H142" i="8"/>
  <c r="H141" i="8"/>
  <c r="H140" i="8"/>
  <c r="H139" i="8"/>
  <c r="H138" i="8"/>
  <c r="H137" i="8"/>
  <c r="H136" i="8"/>
  <c r="H135" i="8"/>
  <c r="H134" i="8"/>
  <c r="H133" i="8"/>
  <c r="H132" i="8"/>
  <c r="H131" i="8"/>
  <c r="H130" i="8"/>
  <c r="H129" i="8"/>
  <c r="H128" i="8"/>
  <c r="H127" i="8"/>
  <c r="H126" i="8"/>
  <c r="H125" i="8"/>
  <c r="H124" i="8"/>
  <c r="H123" i="8"/>
  <c r="H122" i="8"/>
  <c r="H121" i="8"/>
  <c r="H120" i="8"/>
  <c r="H119" i="8"/>
  <c r="H118" i="8"/>
  <c r="H117" i="8"/>
  <c r="H116" i="8"/>
  <c r="H115" i="8"/>
  <c r="H114" i="8"/>
  <c r="H113" i="8"/>
  <c r="H112" i="8"/>
  <c r="H111" i="8"/>
  <c r="H110" i="8"/>
  <c r="H109" i="8"/>
  <c r="H108" i="8"/>
  <c r="H107" i="8"/>
  <c r="H106" i="8"/>
  <c r="H105" i="8"/>
  <c r="H104" i="8"/>
  <c r="H103" i="8"/>
  <c r="H102" i="8"/>
  <c r="H101" i="8"/>
  <c r="H100" i="8"/>
  <c r="H99" i="8"/>
  <c r="H98" i="8"/>
  <c r="H96" i="8"/>
  <c r="H95" i="8"/>
  <c r="H94" i="8"/>
  <c r="H93" i="8"/>
  <c r="H92" i="8"/>
  <c r="H91" i="8"/>
  <c r="H90" i="8"/>
  <c r="H89" i="8"/>
  <c r="H88" i="8"/>
  <c r="H87" i="8"/>
  <c r="H86" i="8"/>
  <c r="H85" i="8"/>
  <c r="H84" i="8"/>
  <c r="H83" i="8"/>
  <c r="H82" i="8"/>
  <c r="H81" i="8"/>
  <c r="H80" i="8"/>
  <c r="H79" i="8"/>
  <c r="H78" i="8"/>
  <c r="H77" i="8"/>
  <c r="H76" i="8"/>
  <c r="H75" i="8"/>
  <c r="H74" i="8"/>
  <c r="H73" i="8"/>
  <c r="H72" i="8"/>
  <c r="H71" i="8"/>
  <c r="H70" i="8"/>
  <c r="H69" i="8"/>
  <c r="H68" i="8"/>
  <c r="H67" i="8"/>
  <c r="H66" i="8"/>
  <c r="H65" i="8"/>
  <c r="H64" i="8"/>
  <c r="H63" i="8"/>
  <c r="H62" i="8"/>
  <c r="H61" i="8"/>
  <c r="H60" i="8"/>
  <c r="H59" i="8"/>
  <c r="H58" i="8"/>
  <c r="H57" i="8"/>
  <c r="H56" i="8"/>
  <c r="H55" i="8"/>
  <c r="H54" i="8"/>
  <c r="H53" i="8"/>
  <c r="H52" i="8"/>
  <c r="H51" i="8"/>
  <c r="H50" i="8"/>
  <c r="H49" i="8"/>
  <c r="H48" i="8"/>
  <c r="H47" i="8"/>
  <c r="H46" i="8"/>
  <c r="H45" i="8"/>
  <c r="H44" i="8"/>
  <c r="H43" i="8"/>
  <c r="H42" i="8"/>
  <c r="H41" i="8"/>
  <c r="H40" i="8"/>
  <c r="H39" i="8"/>
  <c r="H38" i="8"/>
  <c r="H37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H8" i="8"/>
  <c r="H7" i="8"/>
  <c r="H6" i="8"/>
  <c r="H5" i="8"/>
  <c r="H4" i="8"/>
  <c r="I1002" i="8" l="1"/>
  <c r="AL1018" i="1" l="1"/>
  <c r="AL849" i="1" l="1"/>
  <c r="AL901" i="1" l="1"/>
  <c r="AL942" i="1"/>
  <c r="AL990" i="1"/>
  <c r="AL1014" i="1"/>
  <c r="I513" i="8" l="1"/>
  <c r="I509" i="8"/>
  <c r="I628" i="8"/>
  <c r="AJ2556" i="1" l="1"/>
  <c r="W2556" i="1"/>
  <c r="J2556" i="1" l="1"/>
  <c r="I1136" i="8"/>
  <c r="I1097" i="8"/>
  <c r="I1131" i="8"/>
  <c r="AL2560" i="1"/>
  <c r="BB47" i="7"/>
  <c r="BB46" i="7" s="1"/>
  <c r="BB52" i="7"/>
  <c r="BB45" i="7"/>
  <c r="BB44" i="7"/>
  <c r="BB43" i="7"/>
  <c r="BB41" i="7"/>
  <c r="BB40" i="7"/>
  <c r="BB39" i="7"/>
  <c r="BB38" i="7"/>
  <c r="BB37" i="7"/>
  <c r="BB35" i="7"/>
  <c r="BB34" i="7"/>
  <c r="BB33" i="7"/>
  <c r="BB32" i="7"/>
  <c r="BB31" i="7"/>
  <c r="BB30" i="7"/>
  <c r="BB29" i="7"/>
  <c r="BB27" i="7"/>
  <c r="BB26" i="7"/>
  <c r="BB25" i="7"/>
  <c r="BB24" i="7"/>
  <c r="BB22" i="7"/>
  <c r="BB21" i="7"/>
  <c r="BB20" i="7"/>
  <c r="BB19" i="7"/>
  <c r="BB18" i="7"/>
  <c r="BB17" i="7"/>
  <c r="BB16" i="7"/>
  <c r="BB42" i="7"/>
  <c r="BB23" i="7" l="1"/>
  <c r="BB36" i="7"/>
  <c r="BB15" i="7"/>
  <c r="BB28" i="7"/>
  <c r="AJ2550" i="1"/>
  <c r="W2550" i="1"/>
  <c r="J2550" i="1"/>
  <c r="BB48" i="7" l="1"/>
  <c r="AK2555" i="1"/>
  <c r="J2558" i="1"/>
  <c r="W2558" i="1"/>
  <c r="AJ2558" i="1"/>
  <c r="J2559" i="1"/>
  <c r="W2559" i="1"/>
  <c r="AJ2559" i="1"/>
  <c r="W2551" i="1"/>
  <c r="AJ2551" i="1"/>
  <c r="J2552" i="1"/>
  <c r="W2552" i="1"/>
  <c r="AJ2552" i="1"/>
  <c r="J2539" i="1"/>
  <c r="W2539" i="1"/>
  <c r="AJ2539" i="1"/>
  <c r="W2540" i="1"/>
  <c r="AJ2540" i="1"/>
  <c r="J2541" i="1"/>
  <c r="W2541" i="1"/>
  <c r="AJ2541" i="1"/>
  <c r="W2542" i="1"/>
  <c r="AJ2542" i="1"/>
  <c r="J2543" i="1"/>
  <c r="W2543" i="1"/>
  <c r="AJ2543" i="1"/>
  <c r="W2544" i="1"/>
  <c r="AJ2544" i="1"/>
  <c r="W2545" i="1"/>
  <c r="AJ2545" i="1"/>
  <c r="W2546" i="1"/>
  <c r="AJ2546" i="1"/>
  <c r="W2547" i="1"/>
  <c r="AJ2547" i="1"/>
  <c r="J2548" i="1"/>
  <c r="W2548" i="1"/>
  <c r="AJ2548" i="1"/>
  <c r="AJ2555" i="1"/>
  <c r="W2555" i="1"/>
  <c r="J2555" i="1"/>
  <c r="AJ2554" i="1"/>
  <c r="W2554" i="1"/>
  <c r="AJ2553" i="1"/>
  <c r="W2553" i="1"/>
  <c r="AJ2549" i="1"/>
  <c r="W2549" i="1"/>
  <c r="AJ2538" i="1"/>
  <c r="W2538" i="1"/>
  <c r="AJ2537" i="1"/>
  <c r="W2537" i="1"/>
  <c r="J2537" i="1"/>
  <c r="AJ2536" i="1"/>
  <c r="W2536" i="1"/>
  <c r="AJ2535" i="1"/>
  <c r="W2535" i="1"/>
  <c r="J2535" i="1"/>
  <c r="AJ2534" i="1"/>
  <c r="W2534" i="1"/>
  <c r="AJ2533" i="1"/>
  <c r="W2533" i="1"/>
  <c r="AJ2532" i="1"/>
  <c r="W2532" i="1"/>
  <c r="AJ2531" i="1"/>
  <c r="W2531" i="1"/>
  <c r="AJ2530" i="1"/>
  <c r="W2530" i="1"/>
  <c r="J2530" i="1"/>
  <c r="AJ2529" i="1"/>
  <c r="W2529" i="1"/>
  <c r="AJ2528" i="1"/>
  <c r="W2528" i="1"/>
  <c r="AJ2527" i="1"/>
  <c r="W2527" i="1"/>
  <c r="AJ2526" i="1"/>
  <c r="W2526" i="1"/>
  <c r="AJ2525" i="1"/>
  <c r="W2525" i="1"/>
  <c r="AJ2524" i="1"/>
  <c r="W2524" i="1"/>
  <c r="AJ2523" i="1"/>
  <c r="W2523" i="1"/>
  <c r="AJ2522" i="1"/>
  <c r="W2522" i="1"/>
  <c r="AJ2521" i="1"/>
  <c r="W2521" i="1"/>
  <c r="AJ2520" i="1"/>
  <c r="W2520" i="1"/>
  <c r="J2520" i="1"/>
  <c r="AJ2519" i="1"/>
  <c r="W2519" i="1"/>
  <c r="J2519" i="1"/>
  <c r="AJ2518" i="1"/>
  <c r="W2518" i="1"/>
  <c r="AJ2517" i="1"/>
  <c r="W2517" i="1"/>
  <c r="J2517" i="1"/>
  <c r="AJ2516" i="1"/>
  <c r="W2516" i="1"/>
  <c r="J2516" i="1"/>
  <c r="AJ2515" i="1"/>
  <c r="W2515" i="1"/>
  <c r="AJ2514" i="1"/>
  <c r="W2514" i="1"/>
  <c r="J2514" i="1"/>
  <c r="AJ2513" i="1"/>
  <c r="W2513" i="1"/>
  <c r="AJ2512" i="1"/>
  <c r="W2512" i="1"/>
  <c r="J2512" i="1"/>
  <c r="AJ2511" i="1"/>
  <c r="W2511" i="1"/>
  <c r="J2511" i="1"/>
  <c r="AJ2510" i="1"/>
  <c r="W2510" i="1"/>
  <c r="AJ2509" i="1"/>
  <c r="W2509" i="1"/>
  <c r="J2536" i="1" l="1"/>
  <c r="J2553" i="1"/>
  <c r="J2551" i="1"/>
  <c r="J2521" i="1"/>
  <c r="J2532" i="1"/>
  <c r="J2518" i="1"/>
  <c r="J2531" i="1"/>
  <c r="J2538" i="1"/>
  <c r="J2549" i="1"/>
  <c r="J2547" i="1"/>
  <c r="J2546" i="1"/>
  <c r="J2545" i="1"/>
  <c r="J2544" i="1"/>
  <c r="J2540" i="1"/>
  <c r="J2554" i="1"/>
  <c r="J2542" i="1"/>
  <c r="J2513" i="1"/>
  <c r="J2515" i="1"/>
  <c r="J2522" i="1"/>
  <c r="J2523" i="1"/>
  <c r="J2524" i="1"/>
  <c r="J2526" i="1"/>
  <c r="J2527" i="1"/>
  <c r="J2528" i="1"/>
  <c r="J2529" i="1"/>
  <c r="J2533" i="1"/>
  <c r="J2534" i="1"/>
  <c r="J2510" i="1"/>
  <c r="J2509" i="1"/>
  <c r="J2525" i="1"/>
  <c r="AK2508" i="1" l="1"/>
  <c r="W2498" i="1"/>
  <c r="AJ2498" i="1"/>
  <c r="W2499" i="1"/>
  <c r="AJ2499" i="1"/>
  <c r="J2500" i="1"/>
  <c r="W2500" i="1"/>
  <c r="AJ2500" i="1"/>
  <c r="W2501" i="1"/>
  <c r="AJ2501" i="1"/>
  <c r="W2502" i="1"/>
  <c r="AJ2502" i="1"/>
  <c r="W2503" i="1"/>
  <c r="AJ2503" i="1"/>
  <c r="W2504" i="1"/>
  <c r="AJ2504" i="1"/>
  <c r="W2505" i="1"/>
  <c r="AJ2505" i="1"/>
  <c r="W2506" i="1"/>
  <c r="AJ2506" i="1"/>
  <c r="J2507" i="1"/>
  <c r="W2507" i="1"/>
  <c r="AJ2507" i="1"/>
  <c r="W2484" i="1"/>
  <c r="AJ2484" i="1"/>
  <c r="W2485" i="1"/>
  <c r="AJ2485" i="1"/>
  <c r="J2486" i="1"/>
  <c r="W2486" i="1"/>
  <c r="AJ2486" i="1"/>
  <c r="W2487" i="1"/>
  <c r="AJ2487" i="1"/>
  <c r="W2488" i="1"/>
  <c r="AJ2488" i="1"/>
  <c r="J2489" i="1"/>
  <c r="W2489" i="1"/>
  <c r="AJ2489" i="1"/>
  <c r="W2490" i="1"/>
  <c r="AJ2490" i="1"/>
  <c r="W2491" i="1"/>
  <c r="AJ2491" i="1"/>
  <c r="W2492" i="1"/>
  <c r="AJ2492" i="1"/>
  <c r="W2493" i="1"/>
  <c r="AJ2493" i="1"/>
  <c r="W2494" i="1"/>
  <c r="AJ2494" i="1"/>
  <c r="W2495" i="1"/>
  <c r="AJ2495" i="1"/>
  <c r="W2496" i="1"/>
  <c r="AJ2496" i="1"/>
  <c r="W2497" i="1"/>
  <c r="AJ2497" i="1"/>
  <c r="J2508" i="1"/>
  <c r="W2508" i="1"/>
  <c r="AJ2508" i="1"/>
  <c r="J2501" i="1" l="1"/>
  <c r="J2497" i="1"/>
  <c r="J2496" i="1"/>
  <c r="J2494" i="1"/>
  <c r="J2492" i="1"/>
  <c r="J2491" i="1"/>
  <c r="J2490" i="1"/>
  <c r="J2487" i="1"/>
  <c r="J2484" i="1"/>
  <c r="J2502" i="1"/>
  <c r="J2495" i="1"/>
  <c r="J2493" i="1"/>
  <c r="J2488" i="1"/>
  <c r="J2485" i="1"/>
  <c r="J2506" i="1"/>
  <c r="J2499" i="1"/>
  <c r="J2498" i="1"/>
  <c r="J2505" i="1"/>
  <c r="J2504" i="1"/>
  <c r="J2503" i="1"/>
  <c r="BB11" i="7"/>
  <c r="BB10" i="7"/>
  <c r="BB9" i="7"/>
  <c r="BB8" i="7"/>
  <c r="BB7" i="7"/>
  <c r="BB6" i="7"/>
  <c r="BB13" i="7" l="1"/>
  <c r="BB49" i="7" s="1"/>
  <c r="J2479" i="1"/>
  <c r="J2482" i="1"/>
  <c r="J2483" i="1"/>
  <c r="J2560" i="1"/>
  <c r="AJ2408" i="1"/>
  <c r="AJ2409" i="1"/>
  <c r="AJ2410" i="1"/>
  <c r="AJ2411" i="1"/>
  <c r="AJ2412" i="1"/>
  <c r="AJ2413" i="1"/>
  <c r="AJ2414" i="1"/>
  <c r="AJ2415" i="1"/>
  <c r="AJ2416" i="1"/>
  <c r="AJ2417" i="1"/>
  <c r="AJ2418" i="1"/>
  <c r="AJ2419" i="1"/>
  <c r="AJ2420" i="1"/>
  <c r="AJ2421" i="1"/>
  <c r="AJ2422" i="1"/>
  <c r="AJ2423" i="1"/>
  <c r="AJ2424" i="1"/>
  <c r="AJ2425" i="1"/>
  <c r="AJ2426" i="1"/>
  <c r="AJ2427" i="1"/>
  <c r="AJ2428" i="1"/>
  <c r="AJ2429" i="1"/>
  <c r="AJ2430" i="1"/>
  <c r="AJ2431" i="1"/>
  <c r="AJ2432" i="1"/>
  <c r="AJ2433" i="1"/>
  <c r="AJ2434" i="1"/>
  <c r="AJ2435" i="1"/>
  <c r="AJ2436" i="1"/>
  <c r="AJ2437" i="1"/>
  <c r="AJ2438" i="1"/>
  <c r="AJ2439" i="1"/>
  <c r="AJ2440" i="1"/>
  <c r="AJ2441" i="1"/>
  <c r="AJ2442" i="1"/>
  <c r="AJ2443" i="1"/>
  <c r="AJ2444" i="1"/>
  <c r="AJ2445" i="1"/>
  <c r="AJ2446" i="1"/>
  <c r="AJ2447" i="1"/>
  <c r="AJ2448" i="1"/>
  <c r="AJ2449" i="1"/>
  <c r="AJ2450" i="1"/>
  <c r="AJ2451" i="1"/>
  <c r="AJ2452" i="1"/>
  <c r="AJ2453" i="1"/>
  <c r="AJ2454" i="1"/>
  <c r="AJ2455" i="1"/>
  <c r="AJ2456" i="1"/>
  <c r="AJ2457" i="1"/>
  <c r="AJ2458" i="1"/>
  <c r="AJ2459" i="1"/>
  <c r="AJ2460" i="1"/>
  <c r="AJ2461" i="1"/>
  <c r="AJ2462" i="1"/>
  <c r="AJ2463" i="1"/>
  <c r="AJ2464" i="1"/>
  <c r="AJ2465" i="1"/>
  <c r="AJ2466" i="1"/>
  <c r="AJ2467" i="1"/>
  <c r="AJ2468" i="1"/>
  <c r="AJ2469" i="1"/>
  <c r="AJ2470" i="1"/>
  <c r="AJ2471" i="1"/>
  <c r="AJ2472" i="1"/>
  <c r="AJ2473" i="1"/>
  <c r="AJ2474" i="1"/>
  <c r="AJ2475" i="1"/>
  <c r="AJ2476" i="1"/>
  <c r="AJ2477" i="1"/>
  <c r="AJ2478" i="1"/>
  <c r="AJ2479" i="1"/>
  <c r="AJ2480" i="1"/>
  <c r="AJ2481" i="1"/>
  <c r="AJ2482" i="1"/>
  <c r="AJ2483" i="1"/>
  <c r="AJ2557" i="1"/>
  <c r="AJ2560" i="1"/>
  <c r="W2479" i="1"/>
  <c r="W2480" i="1"/>
  <c r="J2480" i="1" l="1"/>
  <c r="C14" i="3"/>
  <c r="AS6" i="7" l="1"/>
  <c r="AT6" i="7"/>
  <c r="AU11" i="7" l="1"/>
  <c r="AT10" i="7"/>
  <c r="AT9" i="7"/>
  <c r="AT8" i="7"/>
  <c r="AT7" i="7"/>
  <c r="AR56" i="7" l="1"/>
  <c r="AR55" i="7"/>
  <c r="BA52" i="7"/>
  <c r="AZ52" i="7"/>
  <c r="AY52" i="7"/>
  <c r="AX52" i="7"/>
  <c r="AW52" i="7"/>
  <c r="AV52" i="7"/>
  <c r="AU52" i="7"/>
  <c r="AT52" i="7"/>
  <c r="AS52" i="7"/>
  <c r="AR52" i="7"/>
  <c r="AS51" i="7"/>
  <c r="AR51" i="7"/>
  <c r="BA47" i="7"/>
  <c r="AZ47" i="7"/>
  <c r="AY47" i="7"/>
  <c r="AX47" i="7"/>
  <c r="AW47" i="7"/>
  <c r="AV47" i="7"/>
  <c r="AU47" i="7"/>
  <c r="AT47" i="7"/>
  <c r="AS47" i="7"/>
  <c r="BA45" i="7"/>
  <c r="AZ45" i="7"/>
  <c r="AY45" i="7"/>
  <c r="AX45" i="7"/>
  <c r="AW45" i="7"/>
  <c r="AV45" i="7"/>
  <c r="AU45" i="7"/>
  <c r="AT45" i="7"/>
  <c r="AS45" i="7"/>
  <c r="BA44" i="7"/>
  <c r="AZ44" i="7"/>
  <c r="AY44" i="7"/>
  <c r="AX44" i="7"/>
  <c r="AW44" i="7"/>
  <c r="AV44" i="7"/>
  <c r="AU44" i="7"/>
  <c r="AT44" i="7"/>
  <c r="AS44" i="7"/>
  <c r="BA43" i="7"/>
  <c r="AZ43" i="7"/>
  <c r="AY43" i="7"/>
  <c r="AX43" i="7"/>
  <c r="AW43" i="7"/>
  <c r="AV43" i="7"/>
  <c r="AU43" i="7"/>
  <c r="AT43" i="7"/>
  <c r="AS43" i="7"/>
  <c r="BA42" i="7"/>
  <c r="AZ42" i="7"/>
  <c r="AY42" i="7"/>
  <c r="AX42" i="7"/>
  <c r="AW42" i="7"/>
  <c r="AV42" i="7"/>
  <c r="AU42" i="7"/>
  <c r="AT42" i="7"/>
  <c r="AS42" i="7"/>
  <c r="BA41" i="7"/>
  <c r="AZ41" i="7"/>
  <c r="AY41" i="7"/>
  <c r="AX41" i="7"/>
  <c r="AW41" i="7"/>
  <c r="AV41" i="7"/>
  <c r="AU41" i="7"/>
  <c r="AT41" i="7"/>
  <c r="AS41" i="7"/>
  <c r="BA40" i="7"/>
  <c r="AZ40" i="7"/>
  <c r="AY40" i="7"/>
  <c r="AX40" i="7"/>
  <c r="AW40" i="7"/>
  <c r="AV40" i="7"/>
  <c r="AU40" i="7"/>
  <c r="AT40" i="7"/>
  <c r="AS40" i="7"/>
  <c r="BA39" i="7"/>
  <c r="AZ39" i="7"/>
  <c r="AY39" i="7"/>
  <c r="AX39" i="7"/>
  <c r="AW39" i="7"/>
  <c r="AV39" i="7"/>
  <c r="AU39" i="7"/>
  <c r="AT39" i="7"/>
  <c r="AS39" i="7"/>
  <c r="BA38" i="7"/>
  <c r="AZ38" i="7"/>
  <c r="AY38" i="7"/>
  <c r="AX38" i="7"/>
  <c r="AW38" i="7"/>
  <c r="AV38" i="7"/>
  <c r="AU38" i="7"/>
  <c r="AT38" i="7"/>
  <c r="AS38" i="7"/>
  <c r="BA37" i="7"/>
  <c r="AZ37" i="7"/>
  <c r="AY37" i="7"/>
  <c r="AX37" i="7"/>
  <c r="AW37" i="7"/>
  <c r="AV37" i="7"/>
  <c r="AU37" i="7"/>
  <c r="AT37" i="7"/>
  <c r="AS37" i="7"/>
  <c r="BA35" i="7"/>
  <c r="AZ35" i="7"/>
  <c r="AY35" i="7"/>
  <c r="AX35" i="7"/>
  <c r="AW35" i="7"/>
  <c r="AV35" i="7"/>
  <c r="AU35" i="7"/>
  <c r="AT35" i="7"/>
  <c r="AS35" i="7"/>
  <c r="BA34" i="7"/>
  <c r="AZ34" i="7"/>
  <c r="AY34" i="7"/>
  <c r="AX34" i="7"/>
  <c r="AW34" i="7"/>
  <c r="AV34" i="7"/>
  <c r="AU34" i="7"/>
  <c r="AT34" i="7"/>
  <c r="AS34" i="7"/>
  <c r="BA33" i="7"/>
  <c r="AZ33" i="7"/>
  <c r="AY33" i="7"/>
  <c r="AX33" i="7"/>
  <c r="AW33" i="7"/>
  <c r="AV33" i="7"/>
  <c r="AU33" i="7"/>
  <c r="AT33" i="7"/>
  <c r="AS33" i="7"/>
  <c r="BA32" i="7"/>
  <c r="AZ32" i="7"/>
  <c r="AY32" i="7"/>
  <c r="AX32" i="7"/>
  <c r="AW32" i="7"/>
  <c r="AV32" i="7"/>
  <c r="AU32" i="7"/>
  <c r="AT32" i="7"/>
  <c r="AS32" i="7"/>
  <c r="BA31" i="7"/>
  <c r="AZ31" i="7"/>
  <c r="AY31" i="7"/>
  <c r="AX31" i="7"/>
  <c r="AW31" i="7"/>
  <c r="AV31" i="7"/>
  <c r="AU31" i="7"/>
  <c r="AT31" i="7"/>
  <c r="AS31" i="7"/>
  <c r="BA30" i="7"/>
  <c r="AZ30" i="7"/>
  <c r="AY30" i="7"/>
  <c r="AX30" i="7"/>
  <c r="AW30" i="7"/>
  <c r="AV30" i="7"/>
  <c r="AU30" i="7"/>
  <c r="AT30" i="7"/>
  <c r="AS30" i="7"/>
  <c r="BA29" i="7"/>
  <c r="AZ29" i="7"/>
  <c r="AY29" i="7"/>
  <c r="AX29" i="7"/>
  <c r="AW29" i="7"/>
  <c r="AV29" i="7"/>
  <c r="AU29" i="7"/>
  <c r="AT29" i="7"/>
  <c r="AS29" i="7"/>
  <c r="BA27" i="7"/>
  <c r="AZ27" i="7"/>
  <c r="AY27" i="7"/>
  <c r="AX27" i="7"/>
  <c r="AW27" i="7"/>
  <c r="AV27" i="7"/>
  <c r="AU27" i="7"/>
  <c r="AT27" i="7"/>
  <c r="AS27" i="7"/>
  <c r="BA26" i="7"/>
  <c r="AZ26" i="7"/>
  <c r="AY26" i="7"/>
  <c r="AX26" i="7"/>
  <c r="AW26" i="7"/>
  <c r="AV26" i="7"/>
  <c r="AU26" i="7"/>
  <c r="AT26" i="7"/>
  <c r="AS26" i="7"/>
  <c r="BA25" i="7"/>
  <c r="AZ25" i="7"/>
  <c r="AY25" i="7"/>
  <c r="AX25" i="7"/>
  <c r="AW25" i="7"/>
  <c r="AV25" i="7"/>
  <c r="AU25" i="7"/>
  <c r="AT25" i="7"/>
  <c r="AS25" i="7"/>
  <c r="BA24" i="7"/>
  <c r="AZ24" i="7"/>
  <c r="AY24" i="7"/>
  <c r="AX24" i="7"/>
  <c r="AW24" i="7"/>
  <c r="AV24" i="7"/>
  <c r="AU24" i="7"/>
  <c r="AT24" i="7"/>
  <c r="AS24" i="7"/>
  <c r="BA22" i="7"/>
  <c r="AZ22" i="7"/>
  <c r="AY22" i="7"/>
  <c r="AX22" i="7"/>
  <c r="AW22" i="7"/>
  <c r="AV22" i="7"/>
  <c r="AU22" i="7"/>
  <c r="AT22" i="7"/>
  <c r="AS22" i="7"/>
  <c r="BA21" i="7"/>
  <c r="AZ21" i="7"/>
  <c r="AY21" i="7"/>
  <c r="AX21" i="7"/>
  <c r="AW21" i="7"/>
  <c r="AV21" i="7"/>
  <c r="AU21" i="7"/>
  <c r="AT21" i="7"/>
  <c r="AS21" i="7"/>
  <c r="BA20" i="7"/>
  <c r="AZ20" i="7"/>
  <c r="AY20" i="7"/>
  <c r="AX20" i="7"/>
  <c r="AW20" i="7"/>
  <c r="AV20" i="7"/>
  <c r="AU20" i="7"/>
  <c r="AT20" i="7"/>
  <c r="AS20" i="7"/>
  <c r="BA19" i="7"/>
  <c r="AZ19" i="7"/>
  <c r="AY19" i="7"/>
  <c r="AX19" i="7"/>
  <c r="AW19" i="7"/>
  <c r="AV19" i="7"/>
  <c r="AU19" i="7"/>
  <c r="AT19" i="7"/>
  <c r="AS19" i="7"/>
  <c r="BA18" i="7"/>
  <c r="AZ18" i="7"/>
  <c r="AY18" i="7"/>
  <c r="AX18" i="7"/>
  <c r="AW18" i="7"/>
  <c r="AV18" i="7"/>
  <c r="AU18" i="7"/>
  <c r="AT18" i="7"/>
  <c r="AS18" i="7"/>
  <c r="BA17" i="7"/>
  <c r="AZ17" i="7"/>
  <c r="AY17" i="7"/>
  <c r="AX17" i="7"/>
  <c r="AW17" i="7"/>
  <c r="AV17" i="7"/>
  <c r="AU17" i="7"/>
  <c r="AT17" i="7"/>
  <c r="AS17" i="7"/>
  <c r="BA16" i="7"/>
  <c r="AZ16" i="7"/>
  <c r="AY16" i="7"/>
  <c r="AX16" i="7"/>
  <c r="AW16" i="7"/>
  <c r="AV16" i="7"/>
  <c r="AU16" i="7"/>
  <c r="AT16" i="7"/>
  <c r="AS16" i="7"/>
  <c r="BA11" i="7"/>
  <c r="AZ11" i="7"/>
  <c r="AY11" i="7"/>
  <c r="AX11" i="7"/>
  <c r="AW11" i="7"/>
  <c r="AV11" i="7"/>
  <c r="AT11" i="7"/>
  <c r="AT13" i="7" s="1"/>
  <c r="AS11" i="7"/>
  <c r="BA10" i="7"/>
  <c r="AZ10" i="7"/>
  <c r="AY10" i="7"/>
  <c r="AX10" i="7"/>
  <c r="AW10" i="7"/>
  <c r="AV10" i="7"/>
  <c r="AU10" i="7"/>
  <c r="AS10" i="7"/>
  <c r="BA9" i="7"/>
  <c r="AZ9" i="7"/>
  <c r="AY9" i="7"/>
  <c r="AX9" i="7"/>
  <c r="AW9" i="7"/>
  <c r="AV9" i="7"/>
  <c r="AU9" i="7"/>
  <c r="AS9" i="7"/>
  <c r="BA8" i="7"/>
  <c r="AZ8" i="7"/>
  <c r="AY8" i="7"/>
  <c r="AX8" i="7"/>
  <c r="AW8" i="7"/>
  <c r="AV8" i="7"/>
  <c r="AU8" i="7"/>
  <c r="AS8" i="7"/>
  <c r="BA7" i="7"/>
  <c r="AZ7" i="7"/>
  <c r="AY7" i="7"/>
  <c r="AX7" i="7"/>
  <c r="AW7" i="7"/>
  <c r="AV7" i="7"/>
  <c r="AU7" i="7"/>
  <c r="AS7" i="7"/>
  <c r="BA6" i="7"/>
  <c r="AZ6" i="7"/>
  <c r="AY6" i="7"/>
  <c r="AX6" i="7"/>
  <c r="AW6" i="7"/>
  <c r="AV6" i="7"/>
  <c r="AV13" i="7" s="1"/>
  <c r="AU6" i="7"/>
  <c r="J448" i="5"/>
  <c r="J449" i="5" s="1"/>
  <c r="J450" i="5" s="1"/>
  <c r="J451" i="5" s="1"/>
  <c r="J452" i="5" s="1"/>
  <c r="J453" i="5" s="1"/>
  <c r="J454" i="5" s="1"/>
  <c r="J455" i="5" s="1"/>
  <c r="J456" i="5" s="1"/>
  <c r="J458" i="5" s="1"/>
  <c r="J459" i="5" s="1"/>
  <c r="J460" i="5" s="1"/>
  <c r="J461" i="5" s="1"/>
  <c r="J462" i="5" s="1"/>
  <c r="J463" i="5" s="1"/>
  <c r="J464" i="5" s="1"/>
  <c r="J465" i="5" s="1"/>
  <c r="J466" i="5" s="1"/>
  <c r="J467" i="5" s="1"/>
  <c r="J468" i="5" s="1"/>
  <c r="J469" i="5" s="1"/>
  <c r="J470" i="5" s="1"/>
  <c r="J471" i="5" s="1"/>
  <c r="J472" i="5" s="1"/>
  <c r="J474" i="5" s="1"/>
  <c r="J475" i="5" s="1"/>
  <c r="J476" i="5" s="1"/>
  <c r="J477" i="5" s="1"/>
  <c r="J478" i="5" s="1"/>
  <c r="J479" i="5" s="1"/>
  <c r="J480" i="5" s="1"/>
  <c r="J481" i="5" s="1"/>
  <c r="J482" i="5" s="1"/>
  <c r="J483" i="5" s="1"/>
  <c r="J484" i="5" s="1"/>
  <c r="J485" i="5" s="1"/>
  <c r="J486" i="5" s="1"/>
  <c r="J487" i="5" s="1"/>
  <c r="J488" i="5" s="1"/>
  <c r="J489" i="5" s="1"/>
  <c r="J490" i="5" s="1"/>
  <c r="J492" i="5" s="1"/>
  <c r="J493" i="5" s="1"/>
  <c r="J494" i="5" s="1"/>
  <c r="J495" i="5" s="1"/>
  <c r="J496" i="5" s="1"/>
  <c r="J497" i="5" s="1"/>
  <c r="J498" i="5" s="1"/>
  <c r="J499" i="5" s="1"/>
  <c r="J500" i="5" s="1"/>
  <c r="J501" i="5" s="1"/>
  <c r="J502" i="5" s="1"/>
  <c r="J503" i="5" s="1"/>
  <c r="J504" i="5" s="1"/>
  <c r="J506" i="5" s="1"/>
  <c r="J507" i="5" s="1"/>
  <c r="J508" i="5" s="1"/>
  <c r="J509" i="5" s="1"/>
  <c r="J510" i="5" s="1"/>
  <c r="J511" i="5" s="1"/>
  <c r="J512" i="5" s="1"/>
  <c r="J513" i="5" s="1"/>
  <c r="J514" i="5" s="1"/>
  <c r="J515" i="5" s="1"/>
  <c r="J516" i="5" s="1"/>
  <c r="J517" i="5" s="1"/>
  <c r="J518" i="5" s="1"/>
  <c r="J520" i="5" s="1"/>
  <c r="J521" i="5" s="1"/>
  <c r="J522" i="5" s="1"/>
  <c r="J523" i="5" s="1"/>
  <c r="J524" i="5" s="1"/>
  <c r="J525" i="5" s="1"/>
  <c r="J526" i="5" s="1"/>
  <c r="J527" i="5" s="1"/>
  <c r="J528" i="5" s="1"/>
  <c r="J530" i="5" s="1"/>
  <c r="J531" i="5" s="1"/>
  <c r="J532" i="5" s="1"/>
  <c r="J533" i="5" s="1"/>
  <c r="J534" i="5" s="1"/>
  <c r="J535" i="5" s="1"/>
  <c r="J536" i="5" s="1"/>
  <c r="J537" i="5" s="1"/>
  <c r="J538" i="5" s="1"/>
  <c r="J539" i="5" s="1"/>
  <c r="J540" i="5" s="1"/>
  <c r="J541" i="5" s="1"/>
  <c r="J542" i="5" s="1"/>
  <c r="J544" i="5" s="1"/>
  <c r="J545" i="5" s="1"/>
  <c r="J546" i="5" s="1"/>
  <c r="J547" i="5" s="1"/>
  <c r="J548" i="5" s="1"/>
  <c r="J549" i="5" s="1"/>
  <c r="J550" i="5" s="1"/>
  <c r="J551" i="5" s="1"/>
  <c r="J552" i="5" s="1"/>
  <c r="J553" i="5" s="1"/>
  <c r="J554" i="5" s="1"/>
  <c r="J555" i="5" s="1"/>
  <c r="J556" i="5" s="1"/>
  <c r="J558" i="5" s="1"/>
  <c r="J559" i="5" s="1"/>
  <c r="L148" i="5"/>
  <c r="K148" i="5"/>
  <c r="J5" i="5"/>
  <c r="J6" i="5" s="1"/>
  <c r="J7" i="5" s="1"/>
  <c r="J8" i="5" s="1"/>
  <c r="J9" i="5" s="1"/>
  <c r="J10" i="5" s="1"/>
  <c r="J11" i="5" s="1"/>
  <c r="J12" i="5" s="1"/>
  <c r="J13" i="5" s="1"/>
  <c r="J14" i="5" s="1"/>
  <c r="J15" i="5" s="1"/>
  <c r="J16" i="5" s="1"/>
  <c r="J17" i="5" s="1"/>
  <c r="J18" i="5" s="1"/>
  <c r="J19" i="5" s="1"/>
  <c r="J20" i="5" s="1"/>
  <c r="J21" i="5" s="1"/>
  <c r="J22" i="5" s="1"/>
  <c r="J24" i="5" s="1"/>
  <c r="J25" i="5" s="1"/>
  <c r="J26" i="5" s="1"/>
  <c r="J27" i="5" s="1"/>
  <c r="J28" i="5" s="1"/>
  <c r="J29" i="5" s="1"/>
  <c r="J30" i="5" s="1"/>
  <c r="J31" i="5" s="1"/>
  <c r="J32" i="5" s="1"/>
  <c r="J33" i="5" s="1"/>
  <c r="J34" i="5" s="1"/>
  <c r="J35" i="5" s="1"/>
  <c r="J36" i="5" s="1"/>
  <c r="J37" i="5" s="1"/>
  <c r="J38" i="5" s="1"/>
  <c r="J39" i="5" s="1"/>
  <c r="J41" i="5" s="1"/>
  <c r="J42" i="5" s="1"/>
  <c r="J43" i="5" s="1"/>
  <c r="J44" i="5" s="1"/>
  <c r="J45" i="5" s="1"/>
  <c r="J46" i="5" s="1"/>
  <c r="J47" i="5" s="1"/>
  <c r="J48" i="5" s="1"/>
  <c r="J49" i="5" s="1"/>
  <c r="J50" i="5" s="1"/>
  <c r="J51" i="5" s="1"/>
  <c r="J53" i="5" s="1"/>
  <c r="J54" i="5" s="1"/>
  <c r="J55" i="5" s="1"/>
  <c r="J56" i="5" s="1"/>
  <c r="J57" i="5" s="1"/>
  <c r="J58" i="5" s="1"/>
  <c r="J59" i="5" s="1"/>
  <c r="J60" i="5" s="1"/>
  <c r="J62" i="5" s="1"/>
  <c r="J63" i="5" s="1"/>
  <c r="J64" i="5" s="1"/>
  <c r="J65" i="5" s="1"/>
  <c r="J66" i="5" s="1"/>
  <c r="J67" i="5" s="1"/>
  <c r="J68" i="5" s="1"/>
  <c r="J69" i="5" s="1"/>
  <c r="J70" i="5" s="1"/>
  <c r="J71" i="5" s="1"/>
  <c r="J72" i="5" s="1"/>
  <c r="J73" i="5" s="1"/>
  <c r="J75" i="5" s="1"/>
  <c r="J76" i="5" s="1"/>
  <c r="J77" i="5" s="1"/>
  <c r="J78" i="5" s="1"/>
  <c r="J79" i="5" s="1"/>
  <c r="J80" i="5" s="1"/>
  <c r="J81" i="5" s="1"/>
  <c r="J82" i="5" s="1"/>
  <c r="J84" i="5" s="1"/>
  <c r="J85" i="5" s="1"/>
  <c r="J86" i="5" s="1"/>
  <c r="J87" i="5" s="1"/>
  <c r="J88" i="5" s="1"/>
  <c r="J89" i="5" s="1"/>
  <c r="J90" i="5" s="1"/>
  <c r="J92" i="5" s="1"/>
  <c r="J93" i="5" s="1"/>
  <c r="J94" i="5" s="1"/>
  <c r="J95" i="5" s="1"/>
  <c r="J96" i="5" s="1"/>
  <c r="J98" i="5" s="1"/>
  <c r="J99" i="5" s="1"/>
  <c r="J100" i="5" s="1"/>
  <c r="J101" i="5" s="1"/>
  <c r="J102" i="5" s="1"/>
  <c r="J103" i="5" s="1"/>
  <c r="J104" i="5" s="1"/>
  <c r="J105" i="5" s="1"/>
  <c r="J106" i="5" s="1"/>
  <c r="J108" i="5" s="1"/>
  <c r="J109" i="5" s="1"/>
  <c r="J110" i="5" s="1"/>
  <c r="J111" i="5" s="1"/>
  <c r="J112" i="5" s="1"/>
  <c r="J114" i="5" s="1"/>
  <c r="J115" i="5" s="1"/>
  <c r="J116" i="5" s="1"/>
  <c r="J118" i="5" s="1"/>
  <c r="J119" i="5" s="1"/>
  <c r="J120" i="5" s="1"/>
  <c r="J121" i="5" s="1"/>
  <c r="J122" i="5" s="1"/>
  <c r="J123" i="5" s="1"/>
  <c r="J124" i="5" s="1"/>
  <c r="J125" i="5" s="1"/>
  <c r="J126" i="5" s="1"/>
  <c r="J127" i="5" s="1"/>
  <c r="J128" i="5" s="1"/>
  <c r="J130" i="5" s="1"/>
  <c r="J131" i="5" s="1"/>
  <c r="J132" i="5" s="1"/>
  <c r="J133" i="5" s="1"/>
  <c r="J134" i="5" s="1"/>
  <c r="J135" i="5" s="1"/>
  <c r="J136" i="5" s="1"/>
  <c r="J137" i="5" s="1"/>
  <c r="J138" i="5" s="1"/>
  <c r="J139" i="5" s="1"/>
  <c r="J140" i="5" s="1"/>
  <c r="J141" i="5" s="1"/>
  <c r="J142" i="5" s="1"/>
  <c r="J143" i="5" s="1"/>
  <c r="J144" i="5" s="1"/>
  <c r="J145" i="5" s="1"/>
  <c r="J146" i="5" s="1"/>
  <c r="J147" i="5" s="1"/>
  <c r="J148" i="5" s="1"/>
  <c r="J150" i="5" s="1"/>
  <c r="J151" i="5" s="1"/>
  <c r="J152" i="5" s="1"/>
  <c r="J153" i="5" s="1"/>
  <c r="J154" i="5" s="1"/>
  <c r="J155" i="5" s="1"/>
  <c r="J156" i="5" s="1"/>
  <c r="J157" i="5" s="1"/>
  <c r="J158" i="5" s="1"/>
  <c r="J159" i="5" s="1"/>
  <c r="J160" i="5" s="1"/>
  <c r="J161" i="5" s="1"/>
  <c r="J162" i="5" s="1"/>
  <c r="J163" i="5" s="1"/>
  <c r="J164" i="5" s="1"/>
  <c r="J165" i="5" s="1"/>
  <c r="J166" i="5" s="1"/>
  <c r="J167" i="5" s="1"/>
  <c r="J168" i="5" s="1"/>
  <c r="J169" i="5" s="1"/>
  <c r="J170" i="5" s="1"/>
  <c r="J171" i="5" s="1"/>
  <c r="J173" i="5" s="1"/>
  <c r="J174" i="5" s="1"/>
  <c r="J175" i="5" s="1"/>
  <c r="J176" i="5" s="1"/>
  <c r="J177" i="5" s="1"/>
  <c r="J178" i="5" s="1"/>
  <c r="J179" i="5" s="1"/>
  <c r="J180" i="5" s="1"/>
  <c r="J181" i="5" s="1"/>
  <c r="J182" i="5" s="1"/>
  <c r="J183" i="5" s="1"/>
  <c r="J184" i="5" s="1"/>
  <c r="J185" i="5" s="1"/>
  <c r="J186" i="5" s="1"/>
  <c r="J187" i="5" s="1"/>
  <c r="J189" i="5" s="1"/>
  <c r="J190" i="5" s="1"/>
  <c r="J191" i="5" s="1"/>
  <c r="J192" i="5" s="1"/>
  <c r="J193" i="5" s="1"/>
  <c r="J194" i="5" s="1"/>
  <c r="J195" i="5" s="1"/>
  <c r="J196" i="5" s="1"/>
  <c r="J197" i="5" s="1"/>
  <c r="J198" i="5" s="1"/>
  <c r="J199" i="5" s="1"/>
  <c r="J200" i="5" s="1"/>
  <c r="J201" i="5" s="1"/>
  <c r="J202" i="5" s="1"/>
  <c r="J203" i="5" s="1"/>
  <c r="J204" i="5" s="1"/>
  <c r="J205" i="5" s="1"/>
  <c r="J207" i="5" s="1"/>
  <c r="J208" i="5" s="1"/>
  <c r="J209" i="5" s="1"/>
  <c r="J210" i="5" s="1"/>
  <c r="J211" i="5" s="1"/>
  <c r="J212" i="5" s="1"/>
  <c r="J213" i="5" s="1"/>
  <c r="J214" i="5" s="1"/>
  <c r="J215" i="5" s="1"/>
  <c r="J216" i="5" s="1"/>
  <c r="J217" i="5" s="1"/>
  <c r="J218" i="5" s="1"/>
  <c r="J219" i="5" s="1"/>
  <c r="J221" i="5" s="1"/>
  <c r="J222" i="5" s="1"/>
  <c r="J223" i="5" s="1"/>
  <c r="J224" i="5" s="1"/>
  <c r="J225" i="5" s="1"/>
  <c r="J226" i="5" s="1"/>
  <c r="J227" i="5" s="1"/>
  <c r="J228" i="5" s="1"/>
  <c r="J229" i="5" s="1"/>
  <c r="J230" i="5" s="1"/>
  <c r="J231" i="5" s="1"/>
  <c r="J232" i="5" s="1"/>
  <c r="J234" i="5" s="1"/>
  <c r="J235" i="5" s="1"/>
  <c r="J236" i="5" s="1"/>
  <c r="J237" i="5" s="1"/>
  <c r="J239" i="5" s="1"/>
  <c r="J240" i="5" s="1"/>
  <c r="J241" i="5" s="1"/>
  <c r="J242" i="5" s="1"/>
  <c r="J243" i="5" s="1"/>
  <c r="J244" i="5" s="1"/>
  <c r="J246" i="5" s="1"/>
  <c r="J247" i="5" s="1"/>
  <c r="J248" i="5" s="1"/>
  <c r="J249" i="5" s="1"/>
  <c r="J250" i="5" s="1"/>
  <c r="J251" i="5" s="1"/>
  <c r="J252" i="5" s="1"/>
  <c r="J253" i="5" s="1"/>
  <c r="J254" i="5" s="1"/>
  <c r="J255" i="5" s="1"/>
  <c r="J256" i="5" s="1"/>
  <c r="J257" i="5" s="1"/>
  <c r="J258" i="5" s="1"/>
  <c r="J259" i="5" s="1"/>
  <c r="J260" i="5" s="1"/>
  <c r="J261" i="5" s="1"/>
  <c r="J262" i="5" s="1"/>
  <c r="J263" i="5" s="1"/>
  <c r="J264" i="5" s="1"/>
  <c r="J266" i="5" s="1"/>
  <c r="J267" i="5" s="1"/>
  <c r="J268" i="5" s="1"/>
  <c r="J269" i="5" s="1"/>
  <c r="J272" i="5" s="1"/>
  <c r="J273" i="5" s="1"/>
  <c r="J274" i="5" s="1"/>
  <c r="J275" i="5" s="1"/>
  <c r="J276" i="5" s="1"/>
  <c r="J277" i="5" s="1"/>
  <c r="J279" i="5" s="1"/>
  <c r="J280" i="5" s="1"/>
  <c r="J281" i="5" s="1"/>
  <c r="J282" i="5" s="1"/>
  <c r="J283" i="5" s="1"/>
  <c r="J284" i="5" s="1"/>
  <c r="J285" i="5" s="1"/>
  <c r="J286" i="5" s="1"/>
  <c r="J287" i="5" s="1"/>
  <c r="J288" i="5" s="1"/>
  <c r="J289" i="5" s="1"/>
  <c r="J290" i="5" s="1"/>
  <c r="J292" i="5" s="1"/>
  <c r="J293" i="5" s="1"/>
  <c r="J294" i="5" s="1"/>
  <c r="J295" i="5" s="1"/>
  <c r="J296" i="5" s="1"/>
  <c r="J297" i="5" s="1"/>
  <c r="J298" i="5" s="1"/>
  <c r="J299" i="5" s="1"/>
  <c r="J300" i="5" s="1"/>
  <c r="J301" i="5" s="1"/>
  <c r="J303" i="5" s="1"/>
  <c r="J304" i="5" s="1"/>
  <c r="J305" i="5" s="1"/>
  <c r="J306" i="5" s="1"/>
  <c r="J308" i="5" s="1"/>
  <c r="J309" i="5" s="1"/>
  <c r="J310" i="5" s="1"/>
  <c r="J311" i="5" s="1"/>
  <c r="J312" i="5" s="1"/>
  <c r="J313" i="5" s="1"/>
  <c r="J314" i="5" s="1"/>
  <c r="J315" i="5" s="1"/>
  <c r="J316" i="5" s="1"/>
  <c r="J317" i="5" s="1"/>
  <c r="J319" i="5" s="1"/>
  <c r="J320" i="5" s="1"/>
  <c r="J321" i="5" s="1"/>
  <c r="J322" i="5" s="1"/>
  <c r="J323" i="5" s="1"/>
  <c r="J324" i="5" s="1"/>
  <c r="J325" i="5" s="1"/>
  <c r="J326" i="5" s="1"/>
  <c r="J327" i="5" s="1"/>
  <c r="J329" i="5" s="1"/>
  <c r="J330" i="5" s="1"/>
  <c r="J331" i="5" s="1"/>
  <c r="J332" i="5" s="1"/>
  <c r="J333" i="5" s="1"/>
  <c r="J334" i="5" s="1"/>
  <c r="J335" i="5" s="1"/>
  <c r="J336" i="5" s="1"/>
  <c r="J337" i="5" s="1"/>
  <c r="J338" i="5" s="1"/>
  <c r="J339" i="5" s="1"/>
  <c r="J340" i="5" s="1"/>
  <c r="J342" i="5" s="1"/>
  <c r="J343" i="5" s="1"/>
  <c r="J344" i="5" s="1"/>
  <c r="J345" i="5" s="1"/>
  <c r="J346" i="5" s="1"/>
  <c r="J347" i="5" s="1"/>
  <c r="J348" i="5" s="1"/>
  <c r="J349" i="5" s="1"/>
  <c r="J350" i="5" s="1"/>
  <c r="J351" i="5" s="1"/>
  <c r="J352" i="5" s="1"/>
  <c r="J353" i="5" s="1"/>
  <c r="J354" i="5" s="1"/>
  <c r="J355" i="5" s="1"/>
  <c r="J356" i="5" s="1"/>
  <c r="J357" i="5" s="1"/>
  <c r="J358" i="5" s="1"/>
  <c r="J359" i="5" s="1"/>
  <c r="J360" i="5" s="1"/>
  <c r="J361" i="5" s="1"/>
  <c r="J362" i="5" s="1"/>
  <c r="J363" i="5" s="1"/>
  <c r="J365" i="5" s="1"/>
  <c r="J366" i="5" s="1"/>
  <c r="J367" i="5" s="1"/>
  <c r="J368" i="5" s="1"/>
  <c r="J369" i="5" s="1"/>
  <c r="J370" i="5" s="1"/>
  <c r="J371" i="5" s="1"/>
  <c r="J372" i="5" s="1"/>
  <c r="J373" i="5" s="1"/>
  <c r="J374" i="5" s="1"/>
  <c r="J375" i="5" s="1"/>
  <c r="J376" i="5" s="1"/>
  <c r="J377" i="5" s="1"/>
  <c r="J379" i="5" s="1"/>
  <c r="J380" i="5" s="1"/>
  <c r="J381" i="5" s="1"/>
  <c r="J382" i="5" s="1"/>
  <c r="J383" i="5" s="1"/>
  <c r="J384" i="5" s="1"/>
  <c r="J385" i="5" s="1"/>
  <c r="J386" i="5" s="1"/>
  <c r="J387" i="5" s="1"/>
  <c r="J388" i="5" s="1"/>
  <c r="J390" i="5" s="1"/>
  <c r="J391" i="5" s="1"/>
  <c r="J392" i="5" s="1"/>
  <c r="J393" i="5" s="1"/>
  <c r="J394" i="5" s="1"/>
  <c r="J395" i="5" s="1"/>
  <c r="J396" i="5" s="1"/>
  <c r="J397" i="5" s="1"/>
  <c r="J398" i="5" s="1"/>
  <c r="J399" i="5" s="1"/>
  <c r="J400" i="5" s="1"/>
  <c r="J401" i="5" s="1"/>
  <c r="J402" i="5" s="1"/>
  <c r="J403" i="5" s="1"/>
  <c r="J404" i="5" s="1"/>
  <c r="J405" i="5" s="1"/>
  <c r="J407" i="5" s="1"/>
  <c r="J408" i="5" s="1"/>
  <c r="J409" i="5" s="1"/>
  <c r="J410" i="5" s="1"/>
  <c r="J411" i="5" s="1"/>
  <c r="J412" i="5" s="1"/>
  <c r="J413" i="5" s="1"/>
  <c r="J414" i="5" s="1"/>
  <c r="J415" i="5" s="1"/>
  <c r="J416" i="5" s="1"/>
  <c r="J417" i="5" s="1"/>
  <c r="J418" i="5" s="1"/>
  <c r="J420" i="5" s="1"/>
  <c r="J421" i="5" s="1"/>
  <c r="J422" i="5" s="1"/>
  <c r="J423" i="5" s="1"/>
  <c r="J424" i="5" s="1"/>
  <c r="J425" i="5" s="1"/>
  <c r="J426" i="5" s="1"/>
  <c r="J427" i="5" s="1"/>
  <c r="J428" i="5" s="1"/>
  <c r="J429" i="5" s="1"/>
  <c r="J430" i="5" s="1"/>
  <c r="J431" i="5" s="1"/>
  <c r="J432" i="5" s="1"/>
  <c r="J434" i="5" s="1"/>
  <c r="J435" i="5" s="1"/>
  <c r="J436" i="5" s="1"/>
  <c r="J437" i="5" s="1"/>
  <c r="J438" i="5" s="1"/>
  <c r="J439" i="5" s="1"/>
  <c r="J440" i="5" s="1"/>
  <c r="J441" i="5" s="1"/>
  <c r="J442" i="5" s="1"/>
  <c r="J443" i="5" s="1"/>
  <c r="J444" i="5" s="1"/>
  <c r="W2560" i="1"/>
  <c r="W2557" i="1"/>
  <c r="J2557" i="1" s="1"/>
  <c r="W2483" i="1"/>
  <c r="W2482" i="1"/>
  <c r="W2481" i="1"/>
  <c r="J2481" i="1" s="1"/>
  <c r="W2478" i="1"/>
  <c r="J2478" i="1" s="1"/>
  <c r="W2477" i="1"/>
  <c r="J2477" i="1" s="1"/>
  <c r="W2476" i="1"/>
  <c r="J2476" i="1" s="1"/>
  <c r="W2475" i="1"/>
  <c r="J2475" i="1" s="1"/>
  <c r="W2474" i="1"/>
  <c r="J2474" i="1" s="1"/>
  <c r="W2473" i="1"/>
  <c r="J2473" i="1"/>
  <c r="W2472" i="1"/>
  <c r="J2472" i="1" s="1"/>
  <c r="W2471" i="1"/>
  <c r="J2471" i="1" s="1"/>
  <c r="W2470" i="1"/>
  <c r="J2470" i="1" s="1"/>
  <c r="W2469" i="1"/>
  <c r="J2469" i="1" s="1"/>
  <c r="W2468" i="1"/>
  <c r="J2468" i="1" s="1"/>
  <c r="W2467" i="1"/>
  <c r="J2467" i="1" s="1"/>
  <c r="W2466" i="1"/>
  <c r="J2466" i="1" s="1"/>
  <c r="W2465" i="1"/>
  <c r="J2465" i="1" s="1"/>
  <c r="W2464" i="1"/>
  <c r="J2464" i="1" s="1"/>
  <c r="W2463" i="1"/>
  <c r="J2463" i="1" s="1"/>
  <c r="W2462" i="1"/>
  <c r="J2462" i="1" s="1"/>
  <c r="W2461" i="1"/>
  <c r="J2461" i="1" s="1"/>
  <c r="W2460" i="1"/>
  <c r="J2460" i="1" s="1"/>
  <c r="W2459" i="1"/>
  <c r="J2459" i="1" s="1"/>
  <c r="W2458" i="1"/>
  <c r="J2458" i="1" s="1"/>
  <c r="W2457" i="1"/>
  <c r="J2457" i="1" s="1"/>
  <c r="W2456" i="1"/>
  <c r="J2456" i="1" s="1"/>
  <c r="W2455" i="1"/>
  <c r="J2455" i="1" s="1"/>
  <c r="W2454" i="1"/>
  <c r="J2454" i="1" s="1"/>
  <c r="W2453" i="1"/>
  <c r="J2453" i="1"/>
  <c r="W2452" i="1"/>
  <c r="J2452" i="1" s="1"/>
  <c r="W2451" i="1"/>
  <c r="J2451" i="1"/>
  <c r="W2450" i="1"/>
  <c r="J2450" i="1"/>
  <c r="W2449" i="1"/>
  <c r="J2449" i="1" s="1"/>
  <c r="W2448" i="1"/>
  <c r="J2448" i="1" s="1"/>
  <c r="W2447" i="1"/>
  <c r="J2447" i="1" s="1"/>
  <c r="W2446" i="1"/>
  <c r="J2446" i="1" s="1"/>
  <c r="W2445" i="1"/>
  <c r="J2445" i="1"/>
  <c r="W2444" i="1"/>
  <c r="J2444" i="1"/>
  <c r="W2443" i="1"/>
  <c r="J2443" i="1" s="1"/>
  <c r="W2442" i="1"/>
  <c r="J2442" i="1" s="1"/>
  <c r="W2441" i="1"/>
  <c r="J2441" i="1" s="1"/>
  <c r="W2440" i="1"/>
  <c r="J2440" i="1" s="1"/>
  <c r="W2439" i="1"/>
  <c r="J2439" i="1" s="1"/>
  <c r="W2438" i="1"/>
  <c r="J2438" i="1" s="1"/>
  <c r="W2437" i="1"/>
  <c r="J2437" i="1" s="1"/>
  <c r="W2436" i="1"/>
  <c r="J2436" i="1"/>
  <c r="W2435" i="1"/>
  <c r="J2435" i="1" s="1"/>
  <c r="W2434" i="1"/>
  <c r="J2434" i="1" s="1"/>
  <c r="W2433" i="1"/>
  <c r="J2433" i="1" s="1"/>
  <c r="W2432" i="1"/>
  <c r="J2432" i="1"/>
  <c r="W2431" i="1"/>
  <c r="J2431" i="1" s="1"/>
  <c r="W2430" i="1"/>
  <c r="J2430" i="1" s="1"/>
  <c r="W2429" i="1"/>
  <c r="J2429" i="1"/>
  <c r="W2428" i="1"/>
  <c r="J2428" i="1" s="1"/>
  <c r="W2427" i="1"/>
  <c r="J2427" i="1" s="1"/>
  <c r="W2426" i="1"/>
  <c r="J2426" i="1" s="1"/>
  <c r="W2425" i="1"/>
  <c r="J2425" i="1" s="1"/>
  <c r="W2424" i="1"/>
  <c r="J2424" i="1" s="1"/>
  <c r="W2423" i="1"/>
  <c r="J2423" i="1" s="1"/>
  <c r="W2422" i="1"/>
  <c r="J2422" i="1" s="1"/>
  <c r="W2421" i="1"/>
  <c r="J2421" i="1" s="1"/>
  <c r="W2420" i="1"/>
  <c r="J2420" i="1" s="1"/>
  <c r="W2419" i="1"/>
  <c r="J2419" i="1" s="1"/>
  <c r="W2418" i="1"/>
  <c r="J2418" i="1" s="1"/>
  <c r="W2417" i="1"/>
  <c r="J2417" i="1" s="1"/>
  <c r="W2416" i="1"/>
  <c r="J2416" i="1" s="1"/>
  <c r="W2415" i="1"/>
  <c r="J2415" i="1" s="1"/>
  <c r="W2414" i="1"/>
  <c r="J2414" i="1" s="1"/>
  <c r="W2413" i="1"/>
  <c r="J2413" i="1"/>
  <c r="W2412" i="1"/>
  <c r="J2412" i="1" s="1"/>
  <c r="W2411" i="1"/>
  <c r="J2411" i="1"/>
  <c r="W2410" i="1"/>
  <c r="J2410" i="1" s="1"/>
  <c r="W2409" i="1"/>
  <c r="J2409" i="1" s="1"/>
  <c r="W2408" i="1"/>
  <c r="J2408" i="1" s="1"/>
  <c r="AJ2407" i="1"/>
  <c r="W2407" i="1"/>
  <c r="AJ2406" i="1"/>
  <c r="W2406" i="1"/>
  <c r="J2406" i="1"/>
  <c r="AJ2405" i="1"/>
  <c r="W2405" i="1"/>
  <c r="J2405" i="1"/>
  <c r="AJ2404" i="1"/>
  <c r="W2404" i="1"/>
  <c r="J2404" i="1"/>
  <c r="AJ2403" i="1"/>
  <c r="W2403" i="1"/>
  <c r="J2403" i="1"/>
  <c r="AJ2402" i="1"/>
  <c r="W2402" i="1"/>
  <c r="J2402" i="1"/>
  <c r="AJ2401" i="1"/>
  <c r="W2401" i="1"/>
  <c r="J2401" i="1"/>
  <c r="AJ2400" i="1"/>
  <c r="W2400" i="1"/>
  <c r="AJ2399" i="1"/>
  <c r="W2399" i="1"/>
  <c r="AJ2398" i="1"/>
  <c r="W2398" i="1"/>
  <c r="J2398" i="1"/>
  <c r="AJ2397" i="1"/>
  <c r="W2397" i="1"/>
  <c r="AJ2396" i="1"/>
  <c r="W2396" i="1"/>
  <c r="J2396" i="1"/>
  <c r="AJ2395" i="1"/>
  <c r="W2395" i="1"/>
  <c r="J2395" i="1"/>
  <c r="AJ2394" i="1"/>
  <c r="W2394" i="1"/>
  <c r="AJ2393" i="1"/>
  <c r="W2393" i="1"/>
  <c r="AJ2392" i="1"/>
  <c r="W2392" i="1"/>
  <c r="AJ2391" i="1"/>
  <c r="W2391" i="1"/>
  <c r="AJ2390" i="1"/>
  <c r="W2390" i="1"/>
  <c r="AJ2389" i="1"/>
  <c r="W2389" i="1"/>
  <c r="AJ2388" i="1"/>
  <c r="W2388" i="1"/>
  <c r="AJ2387" i="1"/>
  <c r="W2387" i="1"/>
  <c r="AJ2386" i="1"/>
  <c r="W2386" i="1"/>
  <c r="J2386" i="1"/>
  <c r="AJ2385" i="1"/>
  <c r="W2385" i="1"/>
  <c r="AJ2384" i="1"/>
  <c r="W2384" i="1"/>
  <c r="AJ2383" i="1"/>
  <c r="W2383" i="1"/>
  <c r="AJ2382" i="1"/>
  <c r="W2382" i="1"/>
  <c r="AJ2381" i="1"/>
  <c r="W2381" i="1"/>
  <c r="AJ2380" i="1"/>
  <c r="W2380" i="1"/>
  <c r="AJ2379" i="1"/>
  <c r="W2379" i="1"/>
  <c r="AJ2378" i="1"/>
  <c r="W2378" i="1"/>
  <c r="J2378" i="1"/>
  <c r="AJ2377" i="1"/>
  <c r="W2377" i="1"/>
  <c r="AJ2376" i="1"/>
  <c r="W2376" i="1"/>
  <c r="AJ2375" i="1"/>
  <c r="W2375" i="1"/>
  <c r="AJ2374" i="1"/>
  <c r="W2374" i="1"/>
  <c r="AJ2373" i="1"/>
  <c r="W2373" i="1"/>
  <c r="AJ2372" i="1"/>
  <c r="W2372" i="1"/>
  <c r="AJ2371" i="1"/>
  <c r="W2371" i="1"/>
  <c r="AJ2370" i="1"/>
  <c r="W2370" i="1"/>
  <c r="AJ2369" i="1"/>
  <c r="W2369" i="1"/>
  <c r="AJ2368" i="1"/>
  <c r="W2368" i="1"/>
  <c r="AJ2367" i="1"/>
  <c r="W2367" i="1"/>
  <c r="AJ2366" i="1"/>
  <c r="W2366" i="1"/>
  <c r="AJ2365" i="1"/>
  <c r="W2365" i="1"/>
  <c r="AJ2364" i="1"/>
  <c r="W2364" i="1"/>
  <c r="AJ2363" i="1"/>
  <c r="W2363" i="1"/>
  <c r="AJ2362" i="1"/>
  <c r="W2362" i="1"/>
  <c r="J2362" i="1"/>
  <c r="AJ2361" i="1"/>
  <c r="W2361" i="1"/>
  <c r="AJ2360" i="1"/>
  <c r="W2360" i="1"/>
  <c r="AJ2359" i="1"/>
  <c r="W2359" i="1"/>
  <c r="AJ2358" i="1"/>
  <c r="W2358" i="1"/>
  <c r="AJ2357" i="1"/>
  <c r="W2357" i="1"/>
  <c r="J2357" i="1"/>
  <c r="AJ2356" i="1"/>
  <c r="W2356" i="1"/>
  <c r="AJ2355" i="1"/>
  <c r="W2355" i="1"/>
  <c r="AJ2354" i="1"/>
  <c r="W2354" i="1"/>
  <c r="AJ2353" i="1"/>
  <c r="W2353" i="1"/>
  <c r="AJ2352" i="1"/>
  <c r="W2352" i="1"/>
  <c r="J2352" i="1"/>
  <c r="AJ2351" i="1"/>
  <c r="W2351" i="1"/>
  <c r="AJ2350" i="1"/>
  <c r="W2350" i="1"/>
  <c r="AJ2349" i="1"/>
  <c r="W2349" i="1"/>
  <c r="AJ2348" i="1"/>
  <c r="W2348" i="1"/>
  <c r="AJ2347" i="1"/>
  <c r="W2347" i="1"/>
  <c r="AJ2346" i="1"/>
  <c r="W2346" i="1"/>
  <c r="J2346" i="1"/>
  <c r="AJ2345" i="1"/>
  <c r="W2345" i="1"/>
  <c r="AJ2344" i="1"/>
  <c r="W2344" i="1"/>
  <c r="J2344" i="1"/>
  <c r="AJ2343" i="1"/>
  <c r="W2343" i="1"/>
  <c r="W2341" i="1"/>
  <c r="J2341" i="1"/>
  <c r="W2340" i="1"/>
  <c r="J2340" i="1"/>
  <c r="W2339" i="1"/>
  <c r="J2339" i="1"/>
  <c r="W2338" i="1"/>
  <c r="J2338" i="1" s="1"/>
  <c r="W2337" i="1"/>
  <c r="J2337" i="1" s="1"/>
  <c r="W2336" i="1"/>
  <c r="J2336" i="1" s="1"/>
  <c r="W2335" i="1"/>
  <c r="J2335" i="1"/>
  <c r="W2334" i="1"/>
  <c r="J2334" i="1" s="1"/>
  <c r="W2333" i="1"/>
  <c r="J2333" i="1"/>
  <c r="W2332" i="1"/>
  <c r="J2332" i="1" s="1"/>
  <c r="W2331" i="1"/>
  <c r="J2331" i="1"/>
  <c r="W2330" i="1"/>
  <c r="J2330" i="1" s="1"/>
  <c r="W2329" i="1"/>
  <c r="J2329" i="1" s="1"/>
  <c r="W2328" i="1"/>
  <c r="J2328" i="1"/>
  <c r="W2327" i="1"/>
  <c r="J2327" i="1"/>
  <c r="W2326" i="1"/>
  <c r="J2326" i="1"/>
  <c r="W2325" i="1"/>
  <c r="J2325" i="1" s="1"/>
  <c r="W2324" i="1"/>
  <c r="J2324" i="1"/>
  <c r="W2323" i="1"/>
  <c r="J2323" i="1"/>
  <c r="W2322" i="1"/>
  <c r="J2322" i="1"/>
  <c r="W2321" i="1"/>
  <c r="J2321" i="1" s="1"/>
  <c r="W2320" i="1"/>
  <c r="J2320" i="1" s="1"/>
  <c r="W2319" i="1"/>
  <c r="J2319" i="1" s="1"/>
  <c r="W2318" i="1"/>
  <c r="J2318" i="1" s="1"/>
  <c r="W2317" i="1"/>
  <c r="J2317" i="1"/>
  <c r="W2316" i="1"/>
  <c r="J2316" i="1"/>
  <c r="W2315" i="1"/>
  <c r="J2315" i="1" s="1"/>
  <c r="W2314" i="1"/>
  <c r="J2314" i="1"/>
  <c r="W2313" i="1"/>
  <c r="J2313" i="1" s="1"/>
  <c r="W2312" i="1"/>
  <c r="J2312" i="1" s="1"/>
  <c r="W2311" i="1"/>
  <c r="J2311" i="1"/>
  <c r="W2310" i="1"/>
  <c r="J2310" i="1" s="1"/>
  <c r="W2309" i="1"/>
  <c r="J2309" i="1"/>
  <c r="W2308" i="1"/>
  <c r="J2308" i="1" s="1"/>
  <c r="W2307" i="1"/>
  <c r="J2307" i="1"/>
  <c r="W2306" i="1"/>
  <c r="J2306" i="1" s="1"/>
  <c r="W2305" i="1"/>
  <c r="J2305" i="1"/>
  <c r="W2304" i="1"/>
  <c r="J2304" i="1" s="1"/>
  <c r="W2303" i="1"/>
  <c r="J2303" i="1"/>
  <c r="W2302" i="1"/>
  <c r="J2302" i="1" s="1"/>
  <c r="W2301" i="1"/>
  <c r="J2301" i="1" s="1"/>
  <c r="W2300" i="1"/>
  <c r="J2300" i="1" s="1"/>
  <c r="W2299" i="1"/>
  <c r="J2299" i="1"/>
  <c r="W2298" i="1"/>
  <c r="J2298" i="1" s="1"/>
  <c r="W2297" i="1"/>
  <c r="J2297" i="1" s="1"/>
  <c r="W2296" i="1"/>
  <c r="J2296" i="1"/>
  <c r="W2295" i="1"/>
  <c r="J2295" i="1" s="1"/>
  <c r="W2294" i="1"/>
  <c r="J2294" i="1" s="1"/>
  <c r="W2293" i="1"/>
  <c r="J2293" i="1" s="1"/>
  <c r="W2292" i="1"/>
  <c r="J2292" i="1" s="1"/>
  <c r="W2291" i="1"/>
  <c r="J2291" i="1" s="1"/>
  <c r="W2290" i="1"/>
  <c r="J2290" i="1" s="1"/>
  <c r="W2289" i="1"/>
  <c r="J2289" i="1" s="1"/>
  <c r="W2288" i="1"/>
  <c r="J2288" i="1" s="1"/>
  <c r="W2287" i="1"/>
  <c r="J2287" i="1" s="1"/>
  <c r="W2286" i="1"/>
  <c r="J2286" i="1"/>
  <c r="W2285" i="1"/>
  <c r="J2285" i="1" s="1"/>
  <c r="W2284" i="1"/>
  <c r="J2284" i="1"/>
  <c r="W2283" i="1"/>
  <c r="J2283" i="1"/>
  <c r="W2282" i="1"/>
  <c r="J2282" i="1" s="1"/>
  <c r="W2281" i="1"/>
  <c r="J2281" i="1" s="1"/>
  <c r="W2280" i="1"/>
  <c r="J2280" i="1" s="1"/>
  <c r="W2279" i="1"/>
  <c r="J2279" i="1" s="1"/>
  <c r="W2278" i="1"/>
  <c r="J2278" i="1"/>
  <c r="W2277" i="1"/>
  <c r="J2277" i="1"/>
  <c r="W2276" i="1"/>
  <c r="J2276" i="1" s="1"/>
  <c r="W2275" i="1"/>
  <c r="J2275" i="1"/>
  <c r="W2274" i="1"/>
  <c r="J2274" i="1"/>
  <c r="W2273" i="1"/>
  <c r="J2273" i="1"/>
  <c r="W2272" i="1"/>
  <c r="J2272" i="1" s="1"/>
  <c r="W2271" i="1"/>
  <c r="J2271" i="1"/>
  <c r="W2270" i="1"/>
  <c r="J2270" i="1"/>
  <c r="W2269" i="1"/>
  <c r="J2269" i="1" s="1"/>
  <c r="W2268" i="1"/>
  <c r="J2268" i="1" s="1"/>
  <c r="W2267" i="1"/>
  <c r="J2267" i="1" s="1"/>
  <c r="W2266" i="1"/>
  <c r="J2266" i="1"/>
  <c r="W2265" i="1"/>
  <c r="J2265" i="1" s="1"/>
  <c r="W2264" i="1"/>
  <c r="J2264" i="1" s="1"/>
  <c r="W2263" i="1"/>
  <c r="J2263" i="1" s="1"/>
  <c r="W2262" i="1"/>
  <c r="J2262" i="1" s="1"/>
  <c r="W2261" i="1"/>
  <c r="J2261" i="1" s="1"/>
  <c r="W2260" i="1"/>
  <c r="J2260" i="1" s="1"/>
  <c r="W2259" i="1"/>
  <c r="J2259" i="1"/>
  <c r="W2258" i="1"/>
  <c r="J2258" i="1" s="1"/>
  <c r="W2257" i="1"/>
  <c r="J2257" i="1" s="1"/>
  <c r="W2256" i="1"/>
  <c r="J2256" i="1"/>
  <c r="W2255" i="1"/>
  <c r="J2255" i="1" s="1"/>
  <c r="W2254" i="1"/>
  <c r="J2254" i="1" s="1"/>
  <c r="W2253" i="1"/>
  <c r="J2253" i="1"/>
  <c r="W2252" i="1"/>
  <c r="J2252" i="1" s="1"/>
  <c r="W2251" i="1"/>
  <c r="J2251" i="1" s="1"/>
  <c r="W2250" i="1"/>
  <c r="J2250" i="1" s="1"/>
  <c r="W2249" i="1"/>
  <c r="J2249" i="1" s="1"/>
  <c r="W2248" i="1"/>
  <c r="J2248" i="1"/>
  <c r="W2247" i="1"/>
  <c r="J2247" i="1" s="1"/>
  <c r="W2246" i="1"/>
  <c r="J2246" i="1" s="1"/>
  <c r="W2245" i="1"/>
  <c r="J2245" i="1" s="1"/>
  <c r="W2244" i="1"/>
  <c r="J2244" i="1" s="1"/>
  <c r="W2243" i="1"/>
  <c r="J2243" i="1" s="1"/>
  <c r="W2242" i="1"/>
  <c r="J2242" i="1" s="1"/>
  <c r="W2241" i="1"/>
  <c r="J2241" i="1" s="1"/>
  <c r="W2240" i="1"/>
  <c r="J2240" i="1" s="1"/>
  <c r="W2239" i="1"/>
  <c r="J2239" i="1"/>
  <c r="W2238" i="1"/>
  <c r="J2238" i="1"/>
  <c r="W2237" i="1"/>
  <c r="J2237" i="1" s="1"/>
  <c r="W2236" i="1"/>
  <c r="J2236" i="1" s="1"/>
  <c r="W2235" i="1"/>
  <c r="J2235" i="1" s="1"/>
  <c r="W2234" i="1"/>
  <c r="J2234" i="1" s="1"/>
  <c r="W2233" i="1"/>
  <c r="J2233" i="1" s="1"/>
  <c r="W2232" i="1"/>
  <c r="J2232" i="1" s="1"/>
  <c r="W2231" i="1"/>
  <c r="J2231" i="1"/>
  <c r="W2230" i="1"/>
  <c r="J2230" i="1"/>
  <c r="W2229" i="1"/>
  <c r="J2229" i="1" s="1"/>
  <c r="W2228" i="1"/>
  <c r="J2228" i="1" s="1"/>
  <c r="W2227" i="1"/>
  <c r="J2227" i="1"/>
  <c r="W2226" i="1"/>
  <c r="J2226" i="1" s="1"/>
  <c r="W2225" i="1"/>
  <c r="J2225" i="1"/>
  <c r="W2224" i="1"/>
  <c r="J2224" i="1" s="1"/>
  <c r="W2223" i="1"/>
  <c r="J2223" i="1"/>
  <c r="W2222" i="1"/>
  <c r="J2222" i="1"/>
  <c r="W2221" i="1"/>
  <c r="J2221" i="1" s="1"/>
  <c r="W2220" i="1"/>
  <c r="J2220" i="1"/>
  <c r="W2219" i="1"/>
  <c r="J2219" i="1" s="1"/>
  <c r="W2218" i="1"/>
  <c r="J2218" i="1"/>
  <c r="W2217" i="1"/>
  <c r="J2217" i="1" s="1"/>
  <c r="W2216" i="1"/>
  <c r="J2216" i="1"/>
  <c r="W2215" i="1"/>
  <c r="J2215" i="1" s="1"/>
  <c r="W2214" i="1"/>
  <c r="J2214" i="1" s="1"/>
  <c r="W2213" i="1"/>
  <c r="J2213" i="1"/>
  <c r="W2212" i="1"/>
  <c r="J2212" i="1" s="1"/>
  <c r="W2211" i="1"/>
  <c r="J2211" i="1"/>
  <c r="W2210" i="1"/>
  <c r="J2210" i="1"/>
  <c r="W2209" i="1"/>
  <c r="J2209" i="1" s="1"/>
  <c r="W2208" i="1"/>
  <c r="J2208" i="1" s="1"/>
  <c r="W2207" i="1"/>
  <c r="J2207" i="1" s="1"/>
  <c r="W2206" i="1"/>
  <c r="J2206" i="1" s="1"/>
  <c r="W2205" i="1"/>
  <c r="J2205" i="1" s="1"/>
  <c r="W2204" i="1"/>
  <c r="J2204" i="1" s="1"/>
  <c r="W2203" i="1"/>
  <c r="J2203" i="1"/>
  <c r="W2202" i="1"/>
  <c r="J2202" i="1" s="1"/>
  <c r="W2201" i="1"/>
  <c r="J2201" i="1"/>
  <c r="W2200" i="1"/>
  <c r="J2200" i="1" s="1"/>
  <c r="W2199" i="1"/>
  <c r="J2199" i="1"/>
  <c r="W2198" i="1"/>
  <c r="J2198" i="1" s="1"/>
  <c r="W2197" i="1"/>
  <c r="J2197" i="1" s="1"/>
  <c r="W2196" i="1"/>
  <c r="J2196" i="1" s="1"/>
  <c r="W2195" i="1"/>
  <c r="J2195" i="1" s="1"/>
  <c r="W2194" i="1"/>
  <c r="J2194" i="1"/>
  <c r="W2193" i="1"/>
  <c r="J2193" i="1"/>
  <c r="W2192" i="1"/>
  <c r="J2192" i="1" s="1"/>
  <c r="W2191" i="1"/>
  <c r="J2191" i="1"/>
  <c r="W2190" i="1"/>
  <c r="J2190" i="1" s="1"/>
  <c r="W2189" i="1"/>
  <c r="J2189" i="1"/>
  <c r="W2188" i="1"/>
  <c r="J2188" i="1" s="1"/>
  <c r="W2187" i="1"/>
  <c r="J2187" i="1"/>
  <c r="W2186" i="1"/>
  <c r="J2186" i="1" s="1"/>
  <c r="W2185" i="1"/>
  <c r="J2185" i="1"/>
  <c r="W2184" i="1"/>
  <c r="J2184" i="1" s="1"/>
  <c r="W2183" i="1"/>
  <c r="J2183" i="1" s="1"/>
  <c r="W2182" i="1"/>
  <c r="J2182" i="1"/>
  <c r="W2181" i="1"/>
  <c r="J2181" i="1" s="1"/>
  <c r="W2180" i="1"/>
  <c r="J2180" i="1" s="1"/>
  <c r="W2179" i="1"/>
  <c r="J2179" i="1"/>
  <c r="W2178" i="1"/>
  <c r="J2178" i="1"/>
  <c r="W2177" i="1"/>
  <c r="J2177" i="1" s="1"/>
  <c r="W2176" i="1"/>
  <c r="J2176" i="1" s="1"/>
  <c r="W2175" i="1"/>
  <c r="J2175" i="1"/>
  <c r="W2174" i="1"/>
  <c r="J2174" i="1" s="1"/>
  <c r="W2173" i="1"/>
  <c r="J2173" i="1" s="1"/>
  <c r="W2172" i="1"/>
  <c r="J2172" i="1"/>
  <c r="W2171" i="1"/>
  <c r="J2171" i="1" s="1"/>
  <c r="W2170" i="1"/>
  <c r="J2170" i="1" s="1"/>
  <c r="W2169" i="1"/>
  <c r="J2169" i="1" s="1"/>
  <c r="W2168" i="1"/>
  <c r="J2168" i="1" s="1"/>
  <c r="W2167" i="1"/>
  <c r="J2167" i="1" s="1"/>
  <c r="W2166" i="1"/>
  <c r="J2166" i="1"/>
  <c r="W2165" i="1"/>
  <c r="J2165" i="1"/>
  <c r="W2164" i="1"/>
  <c r="J2164" i="1" s="1"/>
  <c r="W2163" i="1"/>
  <c r="J2163" i="1" s="1"/>
  <c r="W2162" i="1"/>
  <c r="J2162" i="1" s="1"/>
  <c r="W2161" i="1"/>
  <c r="J2161" i="1"/>
  <c r="W2160" i="1"/>
  <c r="J2160" i="1" s="1"/>
  <c r="W2159" i="1"/>
  <c r="J2159" i="1" s="1"/>
  <c r="W2158" i="1"/>
  <c r="J2158" i="1"/>
  <c r="W2157" i="1"/>
  <c r="J2157" i="1" s="1"/>
  <c r="W2156" i="1"/>
  <c r="J2156" i="1"/>
  <c r="W2155" i="1"/>
  <c r="J2155" i="1" s="1"/>
  <c r="W2154" i="1"/>
  <c r="J2154" i="1"/>
  <c r="W2153" i="1"/>
  <c r="J2153" i="1"/>
  <c r="W2152" i="1"/>
  <c r="J2152" i="1" s="1"/>
  <c r="W2151" i="1"/>
  <c r="J2151" i="1"/>
  <c r="W2150" i="1"/>
  <c r="J2150" i="1" s="1"/>
  <c r="W2149" i="1"/>
  <c r="J2149" i="1"/>
  <c r="W2148" i="1"/>
  <c r="J2148" i="1"/>
  <c r="W2147" i="1"/>
  <c r="J2147" i="1" s="1"/>
  <c r="W2146" i="1"/>
  <c r="J2146" i="1"/>
  <c r="W2145" i="1"/>
  <c r="J2145" i="1"/>
  <c r="W2144" i="1"/>
  <c r="J2144" i="1" s="1"/>
  <c r="W2143" i="1"/>
  <c r="J2143" i="1" s="1"/>
  <c r="W2142" i="1"/>
  <c r="J2142" i="1"/>
  <c r="W2141" i="1"/>
  <c r="J2141" i="1" s="1"/>
  <c r="W2140" i="1"/>
  <c r="J2140" i="1" s="1"/>
  <c r="W2139" i="1"/>
  <c r="J2139" i="1" s="1"/>
  <c r="W2138" i="1"/>
  <c r="J2138" i="1" s="1"/>
  <c r="W2137" i="1"/>
  <c r="J2137" i="1" s="1"/>
  <c r="W2136" i="1"/>
  <c r="J2136" i="1"/>
  <c r="W2135" i="1"/>
  <c r="J2135" i="1"/>
  <c r="W2134" i="1"/>
  <c r="J2134" i="1" s="1"/>
  <c r="W2133" i="1"/>
  <c r="J2133" i="1" s="1"/>
  <c r="W2132" i="1"/>
  <c r="J2132" i="1" s="1"/>
  <c r="W2131" i="1"/>
  <c r="J2131" i="1"/>
  <c r="W2130" i="1"/>
  <c r="J2130" i="1"/>
  <c r="W2129" i="1"/>
  <c r="J2129" i="1" s="1"/>
  <c r="W2128" i="1"/>
  <c r="J2128" i="1" s="1"/>
  <c r="W2127" i="1"/>
  <c r="J2127" i="1"/>
  <c r="W2126" i="1"/>
  <c r="J2126" i="1"/>
  <c r="W2125" i="1"/>
  <c r="J2125" i="1" s="1"/>
  <c r="W2124" i="1"/>
  <c r="J2124" i="1"/>
  <c r="W2123" i="1"/>
  <c r="J2123" i="1" s="1"/>
  <c r="W2122" i="1"/>
  <c r="J2122" i="1" s="1"/>
  <c r="W2121" i="1"/>
  <c r="J2121" i="1" s="1"/>
  <c r="W2120" i="1"/>
  <c r="J2120" i="1"/>
  <c r="W2119" i="1"/>
  <c r="J2119" i="1" s="1"/>
  <c r="W2118" i="1"/>
  <c r="J2118" i="1" s="1"/>
  <c r="W2117" i="1"/>
  <c r="J2117" i="1" s="1"/>
  <c r="W2116" i="1"/>
  <c r="J2116" i="1" s="1"/>
  <c r="W2115" i="1"/>
  <c r="J2115" i="1"/>
  <c r="W2114" i="1"/>
  <c r="J2114" i="1" s="1"/>
  <c r="W2113" i="1"/>
  <c r="J2113" i="1" s="1"/>
  <c r="W2112" i="1"/>
  <c r="J2112" i="1" s="1"/>
  <c r="W2111" i="1"/>
  <c r="J2111" i="1" s="1"/>
  <c r="W2110" i="1"/>
  <c r="J2110" i="1" s="1"/>
  <c r="W2109" i="1"/>
  <c r="J2109" i="1"/>
  <c r="W2108" i="1"/>
  <c r="J2108" i="1" s="1"/>
  <c r="W2107" i="1"/>
  <c r="J2107" i="1" s="1"/>
  <c r="W2106" i="1"/>
  <c r="J2106" i="1" s="1"/>
  <c r="W2105" i="1"/>
  <c r="J2105" i="1" s="1"/>
  <c r="W2104" i="1"/>
  <c r="J2104" i="1" s="1"/>
  <c r="W2103" i="1"/>
  <c r="J2103" i="1" s="1"/>
  <c r="W2102" i="1"/>
  <c r="J2102" i="1"/>
  <c r="W2101" i="1"/>
  <c r="J2101" i="1" s="1"/>
  <c r="W2100" i="1"/>
  <c r="J2100" i="1" s="1"/>
  <c r="W2099" i="1"/>
  <c r="J2099" i="1" s="1"/>
  <c r="W2098" i="1"/>
  <c r="J2098" i="1"/>
  <c r="W2097" i="1"/>
  <c r="J2097" i="1" s="1"/>
  <c r="W2096" i="1"/>
  <c r="J2096" i="1" s="1"/>
  <c r="W2095" i="1"/>
  <c r="J2095" i="1" s="1"/>
  <c r="W2094" i="1"/>
  <c r="J2094" i="1"/>
  <c r="W2093" i="1"/>
  <c r="J2093" i="1" s="1"/>
  <c r="W2092" i="1"/>
  <c r="J2092" i="1" s="1"/>
  <c r="W2091" i="1"/>
  <c r="J2091" i="1"/>
  <c r="W2090" i="1"/>
  <c r="J2090" i="1"/>
  <c r="W2089" i="1"/>
  <c r="J2089" i="1" s="1"/>
  <c r="W2088" i="1"/>
  <c r="J2088" i="1"/>
  <c r="W2087" i="1"/>
  <c r="J2087" i="1" s="1"/>
  <c r="W2086" i="1"/>
  <c r="J2086" i="1" s="1"/>
  <c r="W2085" i="1"/>
  <c r="J2085" i="1" s="1"/>
  <c r="W2084" i="1"/>
  <c r="J2084" i="1"/>
  <c r="W2083" i="1"/>
  <c r="J2083" i="1"/>
  <c r="W2081" i="1"/>
  <c r="J2081" i="1"/>
  <c r="W2080" i="1"/>
  <c r="J2080" i="1"/>
  <c r="W2079" i="1"/>
  <c r="J2079" i="1" s="1"/>
  <c r="W2078" i="1"/>
  <c r="J2078" i="1" s="1"/>
  <c r="W2077" i="1"/>
  <c r="J2077" i="1" s="1"/>
  <c r="W2076" i="1"/>
  <c r="J2076" i="1"/>
  <c r="W2075" i="1"/>
  <c r="J2075" i="1" s="1"/>
  <c r="W2074" i="1"/>
  <c r="J2074" i="1"/>
  <c r="W2073" i="1"/>
  <c r="J2073" i="1"/>
  <c r="W2072" i="1"/>
  <c r="J2072" i="1" s="1"/>
  <c r="W2071" i="1"/>
  <c r="J2071" i="1" s="1"/>
  <c r="W2070" i="1"/>
  <c r="J2070" i="1"/>
  <c r="W2069" i="1"/>
  <c r="J2069" i="1" s="1"/>
  <c r="W2068" i="1"/>
  <c r="J2068" i="1"/>
  <c r="W2067" i="1"/>
  <c r="J2067" i="1"/>
  <c r="W2066" i="1"/>
  <c r="J2066" i="1"/>
  <c r="W2065" i="1"/>
  <c r="J2065" i="1" s="1"/>
  <c r="W2064" i="1"/>
  <c r="J2064" i="1" s="1"/>
  <c r="W2063" i="1"/>
  <c r="J2063" i="1"/>
  <c r="W2062" i="1"/>
  <c r="J2062" i="1" s="1"/>
  <c r="W2061" i="1"/>
  <c r="J2061" i="1"/>
  <c r="W2060" i="1"/>
  <c r="J2060" i="1"/>
  <c r="W2059" i="1"/>
  <c r="J2059" i="1"/>
  <c r="W2058" i="1"/>
  <c r="J2058" i="1" s="1"/>
  <c r="W2057" i="1"/>
  <c r="J2057" i="1" s="1"/>
  <c r="W2056" i="1"/>
  <c r="J2056" i="1" s="1"/>
  <c r="W2055" i="1"/>
  <c r="J2055" i="1"/>
  <c r="W2054" i="1"/>
  <c r="J2054" i="1"/>
  <c r="W2053" i="1"/>
  <c r="J2053" i="1" s="1"/>
  <c r="W2052" i="1"/>
  <c r="J2052" i="1" s="1"/>
  <c r="W2051" i="1"/>
  <c r="J2051" i="1"/>
  <c r="W2050" i="1"/>
  <c r="J2050" i="1"/>
  <c r="W2049" i="1"/>
  <c r="J2049" i="1" s="1"/>
  <c r="W2048" i="1"/>
  <c r="J2048" i="1"/>
  <c r="W2047" i="1"/>
  <c r="J2047" i="1" s="1"/>
  <c r="W2046" i="1"/>
  <c r="J2046" i="1"/>
  <c r="W2045" i="1"/>
  <c r="J2045" i="1"/>
  <c r="W2044" i="1"/>
  <c r="J2044" i="1"/>
  <c r="W2043" i="1"/>
  <c r="J2043" i="1"/>
  <c r="W2042" i="1"/>
  <c r="J2042" i="1" s="1"/>
  <c r="W2041" i="1"/>
  <c r="J2041" i="1"/>
  <c r="W2040" i="1"/>
  <c r="J2040" i="1"/>
  <c r="W2039" i="1"/>
  <c r="J2039" i="1" s="1"/>
  <c r="W2038" i="1"/>
  <c r="J2038" i="1"/>
  <c r="W2037" i="1"/>
  <c r="J2037" i="1" s="1"/>
  <c r="W2036" i="1"/>
  <c r="J2036" i="1" s="1"/>
  <c r="W2035" i="1"/>
  <c r="J2035" i="1"/>
  <c r="W2034" i="1"/>
  <c r="J2034" i="1"/>
  <c r="W2033" i="1"/>
  <c r="J2033" i="1"/>
  <c r="W2032" i="1"/>
  <c r="J2032" i="1"/>
  <c r="W2031" i="1"/>
  <c r="J2031" i="1" s="1"/>
  <c r="W2030" i="1"/>
  <c r="J2030" i="1"/>
  <c r="W2029" i="1"/>
  <c r="J2029" i="1"/>
  <c r="W2028" i="1"/>
  <c r="J2028" i="1" s="1"/>
  <c r="W2027" i="1"/>
  <c r="J2027" i="1" s="1"/>
  <c r="W2026" i="1"/>
  <c r="J2026" i="1"/>
  <c r="W2025" i="1"/>
  <c r="J2025" i="1" s="1"/>
  <c r="W2024" i="1"/>
  <c r="J2024" i="1" s="1"/>
  <c r="W2023" i="1"/>
  <c r="J2023" i="1"/>
  <c r="W2022" i="1"/>
  <c r="J2022" i="1" s="1"/>
  <c r="W2021" i="1"/>
  <c r="J2021" i="1"/>
  <c r="W2020" i="1"/>
  <c r="J2020" i="1"/>
  <c r="W2019" i="1"/>
  <c r="J2019" i="1"/>
  <c r="W2018" i="1"/>
  <c r="J2018" i="1" s="1"/>
  <c r="W2017" i="1"/>
  <c r="J2017" i="1"/>
  <c r="W2016" i="1"/>
  <c r="J2016" i="1" s="1"/>
  <c r="W2015" i="1"/>
  <c r="J2015" i="1" s="1"/>
  <c r="W2014" i="1"/>
  <c r="J2014" i="1" s="1"/>
  <c r="W2013" i="1"/>
  <c r="J2013" i="1" s="1"/>
  <c r="W2012" i="1"/>
  <c r="J2012" i="1" s="1"/>
  <c r="W2011" i="1"/>
  <c r="J2011" i="1" s="1"/>
  <c r="W2010" i="1"/>
  <c r="J2010" i="1" s="1"/>
  <c r="W2009" i="1"/>
  <c r="J2009" i="1" s="1"/>
  <c r="W2008" i="1"/>
  <c r="J2008" i="1"/>
  <c r="W2007" i="1"/>
  <c r="J2007" i="1" s="1"/>
  <c r="W2006" i="1"/>
  <c r="J2006" i="1" s="1"/>
  <c r="W2005" i="1"/>
  <c r="J2005" i="1"/>
  <c r="W2004" i="1"/>
  <c r="J2004" i="1" s="1"/>
  <c r="W2003" i="1"/>
  <c r="J2003" i="1" s="1"/>
  <c r="W2002" i="1"/>
  <c r="J2002" i="1"/>
  <c r="W2001" i="1"/>
  <c r="J2001" i="1"/>
  <c r="W2000" i="1"/>
  <c r="J2000" i="1" s="1"/>
  <c r="W1999" i="1"/>
  <c r="J1999" i="1" s="1"/>
  <c r="W1998" i="1"/>
  <c r="J1998" i="1" s="1"/>
  <c r="W1997" i="1"/>
  <c r="J1997" i="1"/>
  <c r="W1996" i="1"/>
  <c r="J1996" i="1" s="1"/>
  <c r="W1995" i="1"/>
  <c r="J1995" i="1" s="1"/>
  <c r="W1994" i="1"/>
  <c r="J1994" i="1" s="1"/>
  <c r="W1993" i="1"/>
  <c r="J1993" i="1" s="1"/>
  <c r="W1992" i="1"/>
  <c r="J1992" i="1" s="1"/>
  <c r="W1991" i="1"/>
  <c r="J1991" i="1" s="1"/>
  <c r="W1990" i="1"/>
  <c r="J1990" i="1" s="1"/>
  <c r="W1989" i="1"/>
  <c r="J1989" i="1"/>
  <c r="W1988" i="1"/>
  <c r="J1988" i="1"/>
  <c r="W1987" i="1"/>
  <c r="J1987" i="1"/>
  <c r="W1986" i="1"/>
  <c r="J1986" i="1" s="1"/>
  <c r="W1985" i="1"/>
  <c r="J1985" i="1" s="1"/>
  <c r="W1984" i="1"/>
  <c r="J1984" i="1" s="1"/>
  <c r="W1983" i="1"/>
  <c r="J1983" i="1"/>
  <c r="W1982" i="1"/>
  <c r="J1982" i="1"/>
  <c r="W1981" i="1"/>
  <c r="J1981" i="1" s="1"/>
  <c r="W1980" i="1"/>
  <c r="J1980" i="1"/>
  <c r="W1979" i="1"/>
  <c r="J1979" i="1"/>
  <c r="W1978" i="1"/>
  <c r="J1978" i="1" s="1"/>
  <c r="W1977" i="1"/>
  <c r="J1977" i="1" s="1"/>
  <c r="W1976" i="1"/>
  <c r="J1976" i="1"/>
  <c r="W1975" i="1"/>
  <c r="J1975" i="1" s="1"/>
  <c r="W1974" i="1"/>
  <c r="J1974" i="1" s="1"/>
  <c r="W1973" i="1"/>
  <c r="J1973" i="1" s="1"/>
  <c r="W1972" i="1"/>
  <c r="J1972" i="1" s="1"/>
  <c r="W1971" i="1"/>
  <c r="J1971" i="1" s="1"/>
  <c r="W1970" i="1"/>
  <c r="J1970" i="1"/>
  <c r="W1969" i="1"/>
  <c r="J1969" i="1" s="1"/>
  <c r="W1968" i="1"/>
  <c r="J1968" i="1" s="1"/>
  <c r="W1967" i="1"/>
  <c r="J1967" i="1" s="1"/>
  <c r="W1966" i="1"/>
  <c r="J1966" i="1"/>
  <c r="W1965" i="1"/>
  <c r="J1965" i="1" s="1"/>
  <c r="W1964" i="1"/>
  <c r="J1964" i="1" s="1"/>
  <c r="W1963" i="1"/>
  <c r="J1963" i="1"/>
  <c r="W1962" i="1"/>
  <c r="J1962" i="1" s="1"/>
  <c r="W1961" i="1"/>
  <c r="J1961" i="1" s="1"/>
  <c r="W1960" i="1"/>
  <c r="J1960" i="1" s="1"/>
  <c r="W1959" i="1"/>
  <c r="J1959" i="1"/>
  <c r="W1958" i="1"/>
  <c r="J1958" i="1" s="1"/>
  <c r="W1957" i="1"/>
  <c r="J1957" i="1" s="1"/>
  <c r="W1956" i="1"/>
  <c r="J1956" i="1"/>
  <c r="W1955" i="1"/>
  <c r="J1955" i="1"/>
  <c r="W1954" i="1"/>
  <c r="J1954" i="1" s="1"/>
  <c r="W1953" i="1"/>
  <c r="J1953" i="1"/>
  <c r="W1952" i="1"/>
  <c r="J1952" i="1" s="1"/>
  <c r="W1951" i="1"/>
  <c r="J1951" i="1"/>
  <c r="W1950" i="1"/>
  <c r="J1950" i="1"/>
  <c r="W1949" i="1"/>
  <c r="J1949" i="1" s="1"/>
  <c r="W1948" i="1"/>
  <c r="J1948" i="1" s="1"/>
  <c r="W1947" i="1"/>
  <c r="J1947" i="1"/>
  <c r="W1946" i="1"/>
  <c r="J1946" i="1" s="1"/>
  <c r="W1945" i="1"/>
  <c r="J1945" i="1"/>
  <c r="W1944" i="1"/>
  <c r="J1944" i="1" s="1"/>
  <c r="W1943" i="1"/>
  <c r="J1943" i="1" s="1"/>
  <c r="W1942" i="1"/>
  <c r="J1942" i="1" s="1"/>
  <c r="W1941" i="1"/>
  <c r="J1941" i="1"/>
  <c r="W1940" i="1"/>
  <c r="J1940" i="1"/>
  <c r="W1939" i="1"/>
  <c r="J1939" i="1"/>
  <c r="W1938" i="1"/>
  <c r="J1938" i="1" s="1"/>
  <c r="W1937" i="1"/>
  <c r="J1937" i="1" s="1"/>
  <c r="W1936" i="1"/>
  <c r="J1936" i="1" s="1"/>
  <c r="W1935" i="1"/>
  <c r="J1935" i="1" s="1"/>
  <c r="W1934" i="1"/>
  <c r="J1934" i="1"/>
  <c r="W1933" i="1"/>
  <c r="J1933" i="1" s="1"/>
  <c r="W1932" i="1"/>
  <c r="J1932" i="1" s="1"/>
  <c r="W1931" i="1"/>
  <c r="J1931" i="1" s="1"/>
  <c r="W1930" i="1"/>
  <c r="J1930" i="1" s="1"/>
  <c r="W1929" i="1"/>
  <c r="J1929" i="1"/>
  <c r="W1928" i="1"/>
  <c r="J1928" i="1" s="1"/>
  <c r="W1927" i="1"/>
  <c r="J1927" i="1"/>
  <c r="W1926" i="1"/>
  <c r="J1926" i="1" s="1"/>
  <c r="W1925" i="1"/>
  <c r="J1925" i="1" s="1"/>
  <c r="W1924" i="1"/>
  <c r="J1924" i="1"/>
  <c r="W1923" i="1"/>
  <c r="J1923" i="1" s="1"/>
  <c r="W1922" i="1"/>
  <c r="J1922" i="1"/>
  <c r="W1921" i="1"/>
  <c r="J1921" i="1" s="1"/>
  <c r="W1920" i="1"/>
  <c r="J1920" i="1" s="1"/>
  <c r="W1919" i="1"/>
  <c r="J1919" i="1" s="1"/>
  <c r="W1918" i="1"/>
  <c r="J1918" i="1" s="1"/>
  <c r="W1917" i="1"/>
  <c r="J1917" i="1" s="1"/>
  <c r="W1916" i="1"/>
  <c r="J1916" i="1" s="1"/>
  <c r="W1915" i="1"/>
  <c r="J1915" i="1"/>
  <c r="W1914" i="1"/>
  <c r="J1914" i="1" s="1"/>
  <c r="W1913" i="1"/>
  <c r="J1913" i="1"/>
  <c r="W1912" i="1"/>
  <c r="J1912" i="1" s="1"/>
  <c r="W1911" i="1"/>
  <c r="J1911" i="1" s="1"/>
  <c r="W1910" i="1"/>
  <c r="J1910" i="1" s="1"/>
  <c r="W1909" i="1"/>
  <c r="J1909" i="1"/>
  <c r="W1908" i="1"/>
  <c r="J1908" i="1" s="1"/>
  <c r="W1907" i="1"/>
  <c r="J1907" i="1" s="1"/>
  <c r="W1906" i="1"/>
  <c r="J1906" i="1" s="1"/>
  <c r="W1905" i="1"/>
  <c r="J1905" i="1" s="1"/>
  <c r="W1904" i="1"/>
  <c r="J1904" i="1" s="1"/>
  <c r="W1903" i="1"/>
  <c r="J1903" i="1" s="1"/>
  <c r="W1902" i="1"/>
  <c r="J1902" i="1" s="1"/>
  <c r="W1901" i="1"/>
  <c r="J1901" i="1"/>
  <c r="W1900" i="1"/>
  <c r="J1900" i="1" s="1"/>
  <c r="W1899" i="1"/>
  <c r="J1899" i="1" s="1"/>
  <c r="W1898" i="1"/>
  <c r="J1898" i="1"/>
  <c r="W1897" i="1"/>
  <c r="J1897" i="1" s="1"/>
  <c r="W1896" i="1"/>
  <c r="J1896" i="1" s="1"/>
  <c r="W1895" i="1"/>
  <c r="J1895" i="1"/>
  <c r="W1894" i="1"/>
  <c r="J1894" i="1" s="1"/>
  <c r="W1893" i="1"/>
  <c r="J1893" i="1" s="1"/>
  <c r="W1892" i="1"/>
  <c r="J1892" i="1" s="1"/>
  <c r="W1891" i="1"/>
  <c r="J1891" i="1" s="1"/>
  <c r="W1890" i="1"/>
  <c r="J1890" i="1" s="1"/>
  <c r="W1889" i="1"/>
  <c r="J1889" i="1" s="1"/>
  <c r="W1888" i="1"/>
  <c r="J1888" i="1" s="1"/>
  <c r="W1887" i="1"/>
  <c r="J1887" i="1"/>
  <c r="W1886" i="1"/>
  <c r="J1886" i="1" s="1"/>
  <c r="W1885" i="1"/>
  <c r="J1885" i="1"/>
  <c r="W1884" i="1"/>
  <c r="J1884" i="1" s="1"/>
  <c r="W1883" i="1"/>
  <c r="J1883" i="1"/>
  <c r="W1882" i="1"/>
  <c r="J1882" i="1"/>
  <c r="W1881" i="1"/>
  <c r="J1881" i="1" s="1"/>
  <c r="W1880" i="1"/>
  <c r="J1880" i="1"/>
  <c r="W1879" i="1"/>
  <c r="J1879" i="1" s="1"/>
  <c r="W1878" i="1"/>
  <c r="J1878" i="1"/>
  <c r="W1877" i="1"/>
  <c r="J1877" i="1" s="1"/>
  <c r="W1876" i="1"/>
  <c r="J1876" i="1"/>
  <c r="W1875" i="1"/>
  <c r="J1875" i="1"/>
  <c r="W1874" i="1"/>
  <c r="J1874" i="1" s="1"/>
  <c r="W1873" i="1"/>
  <c r="J1873" i="1"/>
  <c r="W1872" i="1"/>
  <c r="J1872" i="1" s="1"/>
  <c r="W1871" i="1"/>
  <c r="J1871" i="1"/>
  <c r="W1870" i="1"/>
  <c r="J1870" i="1" s="1"/>
  <c r="W1869" i="1"/>
  <c r="J1869" i="1"/>
  <c r="W1868" i="1"/>
  <c r="J1868" i="1"/>
  <c r="W1867" i="1"/>
  <c r="J1867" i="1" s="1"/>
  <c r="W1866" i="1"/>
  <c r="J1866" i="1"/>
  <c r="W1865" i="1"/>
  <c r="J1865" i="1"/>
  <c r="W1864" i="1"/>
  <c r="J1864" i="1" s="1"/>
  <c r="W1863" i="1"/>
  <c r="J1863" i="1" s="1"/>
  <c r="W1862" i="1"/>
  <c r="J1862" i="1" s="1"/>
  <c r="W1861" i="1"/>
  <c r="J1861" i="1" s="1"/>
  <c r="W1860" i="1"/>
  <c r="J1860" i="1" s="1"/>
  <c r="W1859" i="1"/>
  <c r="J1859" i="1" s="1"/>
  <c r="W1858" i="1"/>
  <c r="J1858" i="1"/>
  <c r="W1857" i="1"/>
  <c r="J1857" i="1" s="1"/>
  <c r="W1856" i="1"/>
  <c r="J1856" i="1" s="1"/>
  <c r="W1855" i="1"/>
  <c r="J1855" i="1" s="1"/>
  <c r="W1854" i="1"/>
  <c r="J1854" i="1" s="1"/>
  <c r="W1853" i="1"/>
  <c r="J1853" i="1" s="1"/>
  <c r="W1852" i="1"/>
  <c r="J1852" i="1" s="1"/>
  <c r="W1851" i="1"/>
  <c r="J1851" i="1" s="1"/>
  <c r="W1850" i="1"/>
  <c r="J1850" i="1" s="1"/>
  <c r="W1849" i="1"/>
  <c r="J1849" i="1" s="1"/>
  <c r="W1848" i="1"/>
  <c r="J1848" i="1"/>
  <c r="W1847" i="1"/>
  <c r="J1847" i="1" s="1"/>
  <c r="W1846" i="1"/>
  <c r="J1846" i="1" s="1"/>
  <c r="W1845" i="1"/>
  <c r="J1845" i="1" s="1"/>
  <c r="W1844" i="1"/>
  <c r="J1844" i="1" s="1"/>
  <c r="W1843" i="1"/>
  <c r="J1843" i="1" s="1"/>
  <c r="W1842" i="1"/>
  <c r="J1842" i="1" s="1"/>
  <c r="W1841" i="1"/>
  <c r="J1841" i="1"/>
  <c r="W1840" i="1"/>
  <c r="J1840" i="1" s="1"/>
  <c r="W1839" i="1"/>
  <c r="J1839" i="1" s="1"/>
  <c r="W1838" i="1"/>
  <c r="J1838" i="1"/>
  <c r="W1837" i="1"/>
  <c r="J1837" i="1" s="1"/>
  <c r="W1836" i="1"/>
  <c r="J1836" i="1" s="1"/>
  <c r="W1835" i="1"/>
  <c r="J1835" i="1" s="1"/>
  <c r="W1834" i="1"/>
  <c r="J1834" i="1" s="1"/>
  <c r="W1833" i="1"/>
  <c r="J1833" i="1" s="1"/>
  <c r="W1832" i="1"/>
  <c r="J1832" i="1"/>
  <c r="W1831" i="1"/>
  <c r="J1831" i="1"/>
  <c r="W1830" i="1"/>
  <c r="J1830" i="1" s="1"/>
  <c r="W1829" i="1"/>
  <c r="J1829" i="1" s="1"/>
  <c r="W1828" i="1"/>
  <c r="J1828" i="1"/>
  <c r="W1827" i="1"/>
  <c r="J1827" i="1" s="1"/>
  <c r="W1826" i="1"/>
  <c r="J1826" i="1"/>
  <c r="W1825" i="1"/>
  <c r="J1825" i="1" s="1"/>
  <c r="W1824" i="1"/>
  <c r="J1824" i="1" s="1"/>
  <c r="W1823" i="1"/>
  <c r="J1823" i="1" s="1"/>
  <c r="W1822" i="1"/>
  <c r="J1822" i="1"/>
  <c r="W1821" i="1"/>
  <c r="J1821" i="1" s="1"/>
  <c r="W1820" i="1"/>
  <c r="J1820" i="1"/>
  <c r="W1819" i="1"/>
  <c r="J1819" i="1" s="1"/>
  <c r="W1818" i="1"/>
  <c r="J1818" i="1" s="1"/>
  <c r="W1817" i="1"/>
  <c r="J1817" i="1" s="1"/>
  <c r="W1816" i="1"/>
  <c r="J1816" i="1" s="1"/>
  <c r="W1815" i="1"/>
  <c r="J1815" i="1" s="1"/>
  <c r="W1814" i="1"/>
  <c r="J1814" i="1"/>
  <c r="W1813" i="1"/>
  <c r="J1813" i="1" s="1"/>
  <c r="W1812" i="1"/>
  <c r="J1812" i="1" s="1"/>
  <c r="W1811" i="1"/>
  <c r="J1811" i="1"/>
  <c r="W1810" i="1"/>
  <c r="J1810" i="1" s="1"/>
  <c r="W1809" i="1"/>
  <c r="J1809" i="1"/>
  <c r="W1808" i="1"/>
  <c r="J1808" i="1"/>
  <c r="W1807" i="1"/>
  <c r="J1807" i="1" s="1"/>
  <c r="W1805" i="1"/>
  <c r="J1805" i="1"/>
  <c r="W1804" i="1"/>
  <c r="J1804" i="1"/>
  <c r="W1803" i="1"/>
  <c r="J1803" i="1"/>
  <c r="W1802" i="1"/>
  <c r="J1802" i="1" s="1"/>
  <c r="W1801" i="1"/>
  <c r="J1801" i="1"/>
  <c r="W1800" i="1"/>
  <c r="J1800" i="1" s="1"/>
  <c r="W1799" i="1"/>
  <c r="J1799" i="1"/>
  <c r="W1798" i="1"/>
  <c r="J1798" i="1"/>
  <c r="W1797" i="1"/>
  <c r="J1797" i="1"/>
  <c r="W1796" i="1"/>
  <c r="J1796" i="1" s="1"/>
  <c r="W1795" i="1"/>
  <c r="J1795" i="1" s="1"/>
  <c r="W1794" i="1"/>
  <c r="J1794" i="1" s="1"/>
  <c r="W1793" i="1"/>
  <c r="J1793" i="1" s="1"/>
  <c r="W1792" i="1"/>
  <c r="J1792" i="1"/>
  <c r="W1791" i="1"/>
  <c r="J1791" i="1" s="1"/>
  <c r="W1790" i="1"/>
  <c r="J1790" i="1"/>
  <c r="W1789" i="1"/>
  <c r="J1789" i="1"/>
  <c r="W1788" i="1"/>
  <c r="J1788" i="1"/>
  <c r="W1787" i="1"/>
  <c r="J1787" i="1"/>
  <c r="W1786" i="1"/>
  <c r="J1786" i="1" s="1"/>
  <c r="W1785" i="1"/>
  <c r="J1785" i="1" s="1"/>
  <c r="W1784" i="1"/>
  <c r="J1784" i="1" s="1"/>
  <c r="W1783" i="1"/>
  <c r="J1783" i="1"/>
  <c r="W1782" i="1"/>
  <c r="J1782" i="1" s="1"/>
  <c r="W1781" i="1"/>
  <c r="J1781" i="1" s="1"/>
  <c r="W1780" i="1"/>
  <c r="J1780" i="1"/>
  <c r="W1779" i="1"/>
  <c r="J1779" i="1" s="1"/>
  <c r="W1778" i="1"/>
  <c r="J1778" i="1"/>
  <c r="W1777" i="1"/>
  <c r="J1777" i="1"/>
  <c r="W1776" i="1"/>
  <c r="J1776" i="1" s="1"/>
  <c r="W1775" i="1"/>
  <c r="J1775" i="1"/>
  <c r="W1774" i="1"/>
  <c r="J1774" i="1"/>
  <c r="W1773" i="1"/>
  <c r="J1773" i="1" s="1"/>
  <c r="W1772" i="1"/>
  <c r="J1772" i="1" s="1"/>
  <c r="W1771" i="1"/>
  <c r="J1771" i="1"/>
  <c r="W1770" i="1"/>
  <c r="J1770" i="1" s="1"/>
  <c r="W1769" i="1"/>
  <c r="J1769" i="1" s="1"/>
  <c r="W1768" i="1"/>
  <c r="J1768" i="1"/>
  <c r="W1767" i="1"/>
  <c r="J1767" i="1"/>
  <c r="W1766" i="1"/>
  <c r="J1766" i="1" s="1"/>
  <c r="W1765" i="1"/>
  <c r="J1765" i="1"/>
  <c r="W1764" i="1"/>
  <c r="J1764" i="1"/>
  <c r="W1763" i="1"/>
  <c r="J1763" i="1" s="1"/>
  <c r="W1762" i="1"/>
  <c r="J1762" i="1" s="1"/>
  <c r="W1761" i="1"/>
  <c r="J1761" i="1"/>
  <c r="W1760" i="1"/>
  <c r="J1760" i="1"/>
  <c r="W1759" i="1"/>
  <c r="J1759" i="1" s="1"/>
  <c r="W1758" i="1"/>
  <c r="J1758" i="1" s="1"/>
  <c r="W1757" i="1"/>
  <c r="J1757" i="1"/>
  <c r="W1756" i="1"/>
  <c r="J1756" i="1" s="1"/>
  <c r="W1755" i="1"/>
  <c r="J1755" i="1" s="1"/>
  <c r="W1754" i="1"/>
  <c r="J1754" i="1" s="1"/>
  <c r="W1753" i="1"/>
  <c r="J1753" i="1" s="1"/>
  <c r="W1752" i="1"/>
  <c r="J1752" i="1" s="1"/>
  <c r="W1751" i="1"/>
  <c r="J1751" i="1" s="1"/>
  <c r="W1750" i="1"/>
  <c r="J1750" i="1" s="1"/>
  <c r="W1749" i="1"/>
  <c r="J1749" i="1"/>
  <c r="W1748" i="1"/>
  <c r="J1748" i="1" s="1"/>
  <c r="W1747" i="1"/>
  <c r="J1747" i="1"/>
  <c r="W1746" i="1"/>
  <c r="J1746" i="1" s="1"/>
  <c r="W1745" i="1"/>
  <c r="J1745" i="1"/>
  <c r="W1744" i="1"/>
  <c r="J1744" i="1" s="1"/>
  <c r="W1743" i="1"/>
  <c r="J1743" i="1"/>
  <c r="W1742" i="1"/>
  <c r="J1742" i="1"/>
  <c r="W1741" i="1"/>
  <c r="J1741" i="1" s="1"/>
  <c r="W1740" i="1"/>
  <c r="J1740" i="1" s="1"/>
  <c r="W1739" i="1"/>
  <c r="J1739" i="1"/>
  <c r="W1738" i="1"/>
  <c r="J1738" i="1"/>
  <c r="W1737" i="1"/>
  <c r="J1737" i="1"/>
  <c r="W1736" i="1"/>
  <c r="J1736" i="1"/>
  <c r="W1735" i="1"/>
  <c r="J1735" i="1"/>
  <c r="W1734" i="1"/>
  <c r="J1734" i="1" s="1"/>
  <c r="W1733" i="1"/>
  <c r="J1733" i="1"/>
  <c r="W1732" i="1"/>
  <c r="J1732" i="1"/>
  <c r="W1731" i="1"/>
  <c r="J1731" i="1" s="1"/>
  <c r="W1730" i="1"/>
  <c r="J1730" i="1" s="1"/>
  <c r="W1729" i="1"/>
  <c r="J1729" i="1"/>
  <c r="W1728" i="1"/>
  <c r="J1728" i="1"/>
  <c r="W1727" i="1"/>
  <c r="J1727" i="1" s="1"/>
  <c r="W1726" i="1"/>
  <c r="J1726" i="1"/>
  <c r="W1725" i="1"/>
  <c r="J1725" i="1"/>
  <c r="W1724" i="1"/>
  <c r="J1724" i="1"/>
  <c r="W1723" i="1"/>
  <c r="J1723" i="1" s="1"/>
  <c r="W1722" i="1"/>
  <c r="J1722" i="1"/>
  <c r="W1721" i="1"/>
  <c r="J1721" i="1" s="1"/>
  <c r="W1720" i="1"/>
  <c r="J1720" i="1" s="1"/>
  <c r="W1719" i="1"/>
  <c r="J1719" i="1"/>
  <c r="W1718" i="1"/>
  <c r="J1718" i="1" s="1"/>
  <c r="W1717" i="1"/>
  <c r="J1717" i="1"/>
  <c r="W1716" i="1"/>
  <c r="J1716" i="1"/>
  <c r="W1715" i="1"/>
  <c r="J1715" i="1"/>
  <c r="W1714" i="1"/>
  <c r="J1714" i="1"/>
  <c r="W1713" i="1"/>
  <c r="J1713" i="1"/>
  <c r="W1712" i="1"/>
  <c r="J1712" i="1"/>
  <c r="W1711" i="1"/>
  <c r="J1711" i="1"/>
  <c r="W1710" i="1"/>
  <c r="J1710" i="1"/>
  <c r="W1709" i="1"/>
  <c r="J1709" i="1"/>
  <c r="W1708" i="1"/>
  <c r="J1708" i="1"/>
  <c r="W1707" i="1"/>
  <c r="J1707" i="1"/>
  <c r="W1706" i="1"/>
  <c r="J1706" i="1"/>
  <c r="W1705" i="1"/>
  <c r="J1705" i="1"/>
  <c r="W1704" i="1"/>
  <c r="J1704" i="1" s="1"/>
  <c r="W1703" i="1"/>
  <c r="J1703" i="1" s="1"/>
  <c r="W1702" i="1"/>
  <c r="J1702" i="1" s="1"/>
  <c r="W1701" i="1"/>
  <c r="J1701" i="1"/>
  <c r="W1700" i="1"/>
  <c r="J1700" i="1"/>
  <c r="W1699" i="1"/>
  <c r="J1699" i="1"/>
  <c r="W1698" i="1"/>
  <c r="J1698" i="1"/>
  <c r="W1697" i="1"/>
  <c r="J1697" i="1"/>
  <c r="W1696" i="1"/>
  <c r="J1696" i="1" s="1"/>
  <c r="W1695" i="1"/>
  <c r="J1695" i="1"/>
  <c r="W1694" i="1"/>
  <c r="J1694" i="1"/>
  <c r="W1693" i="1"/>
  <c r="J1693" i="1" s="1"/>
  <c r="W1692" i="1"/>
  <c r="J1692" i="1"/>
  <c r="W1691" i="1"/>
  <c r="J1691" i="1"/>
  <c r="W1690" i="1"/>
  <c r="J1690" i="1"/>
  <c r="W1689" i="1"/>
  <c r="J1689" i="1" s="1"/>
  <c r="W1688" i="1"/>
  <c r="J1688" i="1"/>
  <c r="W1687" i="1"/>
  <c r="J1687" i="1" s="1"/>
  <c r="W1686" i="1"/>
  <c r="J1686" i="1" s="1"/>
  <c r="W1685" i="1"/>
  <c r="J1685" i="1"/>
  <c r="W1684" i="1"/>
  <c r="J1684" i="1"/>
  <c r="W1683" i="1"/>
  <c r="J1683" i="1" s="1"/>
  <c r="W1682" i="1"/>
  <c r="J1682" i="1"/>
  <c r="W1681" i="1"/>
  <c r="J1681" i="1" s="1"/>
  <c r="W1680" i="1"/>
  <c r="J1680" i="1"/>
  <c r="W1679" i="1"/>
  <c r="J1679" i="1" s="1"/>
  <c r="W1678" i="1"/>
  <c r="J1678" i="1" s="1"/>
  <c r="W1677" i="1"/>
  <c r="J1677" i="1"/>
  <c r="W1676" i="1"/>
  <c r="J1676" i="1" s="1"/>
  <c r="W1675" i="1"/>
  <c r="J1675" i="1"/>
  <c r="W1674" i="1"/>
  <c r="J1674" i="1"/>
  <c r="W1673" i="1"/>
  <c r="J1673" i="1" s="1"/>
  <c r="W1672" i="1"/>
  <c r="J1672" i="1"/>
  <c r="W1671" i="1"/>
  <c r="J1671" i="1" s="1"/>
  <c r="W1670" i="1"/>
  <c r="J1670" i="1"/>
  <c r="W1669" i="1"/>
  <c r="J1669" i="1" s="1"/>
  <c r="W1668" i="1"/>
  <c r="J1668" i="1" s="1"/>
  <c r="W1667" i="1"/>
  <c r="J1667" i="1" s="1"/>
  <c r="W1666" i="1"/>
  <c r="J1666" i="1"/>
  <c r="W1665" i="1"/>
  <c r="J1665" i="1" s="1"/>
  <c r="W1664" i="1"/>
  <c r="J1664" i="1"/>
  <c r="W1663" i="1"/>
  <c r="J1663" i="1"/>
  <c r="W1662" i="1"/>
  <c r="J1662" i="1" s="1"/>
  <c r="W1661" i="1"/>
  <c r="J1661" i="1" s="1"/>
  <c r="W1660" i="1"/>
  <c r="J1660" i="1"/>
  <c r="W1659" i="1"/>
  <c r="J1659" i="1"/>
  <c r="W1658" i="1"/>
  <c r="J1658" i="1"/>
  <c r="W1657" i="1"/>
  <c r="J1657" i="1" s="1"/>
  <c r="W1656" i="1"/>
  <c r="J1656" i="1"/>
  <c r="W1655" i="1"/>
  <c r="J1655" i="1" s="1"/>
  <c r="W1654" i="1"/>
  <c r="J1654" i="1" s="1"/>
  <c r="W1653" i="1"/>
  <c r="J1653" i="1" s="1"/>
  <c r="W1652" i="1"/>
  <c r="J1652" i="1" s="1"/>
  <c r="W1651" i="1"/>
  <c r="J1651" i="1"/>
  <c r="W1650" i="1"/>
  <c r="J1650" i="1" s="1"/>
  <c r="W1649" i="1"/>
  <c r="J1649" i="1" s="1"/>
  <c r="W1648" i="1"/>
  <c r="J1648" i="1"/>
  <c r="W1647" i="1"/>
  <c r="J1647" i="1"/>
  <c r="W1646" i="1"/>
  <c r="J1646" i="1" s="1"/>
  <c r="W1645" i="1"/>
  <c r="J1645" i="1" s="1"/>
  <c r="W1644" i="1"/>
  <c r="J1644" i="1"/>
  <c r="W1643" i="1"/>
  <c r="J1643" i="1"/>
  <c r="W1642" i="1"/>
  <c r="J1642" i="1" s="1"/>
  <c r="W1641" i="1"/>
  <c r="J1641" i="1" s="1"/>
  <c r="W1640" i="1"/>
  <c r="J1640" i="1" s="1"/>
  <c r="W1639" i="1"/>
  <c r="J1639" i="1"/>
  <c r="W1638" i="1"/>
  <c r="J1638" i="1" s="1"/>
  <c r="W1637" i="1"/>
  <c r="J1637" i="1"/>
  <c r="W1636" i="1"/>
  <c r="J1636" i="1" s="1"/>
  <c r="W1635" i="1"/>
  <c r="J1635" i="1" s="1"/>
  <c r="W1634" i="1"/>
  <c r="J1634" i="1"/>
  <c r="W1633" i="1"/>
  <c r="J1633" i="1"/>
  <c r="W1632" i="1"/>
  <c r="J1632" i="1" s="1"/>
  <c r="W1631" i="1"/>
  <c r="J1631" i="1"/>
  <c r="W1630" i="1"/>
  <c r="J1630" i="1" s="1"/>
  <c r="W1629" i="1"/>
  <c r="J1629" i="1" s="1"/>
  <c r="W1628" i="1"/>
  <c r="J1628" i="1" s="1"/>
  <c r="W1627" i="1"/>
  <c r="J1627" i="1" s="1"/>
  <c r="W1626" i="1"/>
  <c r="J1626" i="1" s="1"/>
  <c r="W1625" i="1"/>
  <c r="J1625" i="1" s="1"/>
  <c r="W1624" i="1"/>
  <c r="J1624" i="1"/>
  <c r="W1623" i="1"/>
  <c r="J1623" i="1"/>
  <c r="W1622" i="1"/>
  <c r="J1622" i="1" s="1"/>
  <c r="W1621" i="1"/>
  <c r="J1621" i="1"/>
  <c r="W1620" i="1"/>
  <c r="J1620" i="1"/>
  <c r="W1619" i="1"/>
  <c r="J1619" i="1" s="1"/>
  <c r="W1618" i="1"/>
  <c r="J1618" i="1" s="1"/>
  <c r="W1617" i="1"/>
  <c r="J1617" i="1" s="1"/>
  <c r="W1616" i="1"/>
  <c r="J1616" i="1" s="1"/>
  <c r="W1615" i="1"/>
  <c r="J1615" i="1"/>
  <c r="W1614" i="1"/>
  <c r="J1614" i="1" s="1"/>
  <c r="W1613" i="1"/>
  <c r="J1613" i="1" s="1"/>
  <c r="W1612" i="1"/>
  <c r="J1612" i="1"/>
  <c r="W1611" i="1"/>
  <c r="J1611" i="1" s="1"/>
  <c r="W1610" i="1"/>
  <c r="J1610" i="1"/>
  <c r="W1609" i="1"/>
  <c r="J1609" i="1"/>
  <c r="W1608" i="1"/>
  <c r="J1608" i="1" s="1"/>
  <c r="W1607" i="1"/>
  <c r="J1607" i="1"/>
  <c r="W1606" i="1"/>
  <c r="J1606" i="1"/>
  <c r="W1605" i="1"/>
  <c r="J1605" i="1" s="1"/>
  <c r="W1604" i="1"/>
  <c r="J1604" i="1" s="1"/>
  <c r="W1603" i="1"/>
  <c r="J1603" i="1" s="1"/>
  <c r="W1602" i="1"/>
  <c r="J1602" i="1" s="1"/>
  <c r="W1601" i="1"/>
  <c r="J1601" i="1" s="1"/>
  <c r="W1600" i="1"/>
  <c r="J1600" i="1" s="1"/>
  <c r="W1599" i="1"/>
  <c r="J1599" i="1" s="1"/>
  <c r="W1598" i="1"/>
  <c r="J1598" i="1" s="1"/>
  <c r="W1597" i="1"/>
  <c r="J1597" i="1" s="1"/>
  <c r="W1596" i="1"/>
  <c r="J1596" i="1" s="1"/>
  <c r="W1595" i="1"/>
  <c r="J1595" i="1" s="1"/>
  <c r="W1594" i="1"/>
  <c r="J1594" i="1" s="1"/>
  <c r="W1593" i="1"/>
  <c r="J1593" i="1" s="1"/>
  <c r="W1592" i="1"/>
  <c r="J1592" i="1" s="1"/>
  <c r="W1591" i="1"/>
  <c r="J1591" i="1" s="1"/>
  <c r="W1590" i="1"/>
  <c r="J1590" i="1" s="1"/>
  <c r="W1589" i="1"/>
  <c r="J1589" i="1" s="1"/>
  <c r="W1588" i="1"/>
  <c r="J1588" i="1" s="1"/>
  <c r="W1587" i="1"/>
  <c r="J1587" i="1" s="1"/>
  <c r="W1586" i="1"/>
  <c r="J1586" i="1" s="1"/>
  <c r="W1585" i="1"/>
  <c r="J1585" i="1" s="1"/>
  <c r="W1584" i="1"/>
  <c r="J1584" i="1" s="1"/>
  <c r="W1583" i="1"/>
  <c r="J1583" i="1" s="1"/>
  <c r="W1582" i="1"/>
  <c r="J1582" i="1" s="1"/>
  <c r="W1581" i="1"/>
  <c r="J1581" i="1" s="1"/>
  <c r="W1580" i="1"/>
  <c r="J1580" i="1" s="1"/>
  <c r="W1579" i="1"/>
  <c r="J1579" i="1"/>
  <c r="W1578" i="1"/>
  <c r="J1578" i="1" s="1"/>
  <c r="W1577" i="1"/>
  <c r="J1577" i="1" s="1"/>
  <c r="W1576" i="1"/>
  <c r="J1576" i="1"/>
  <c r="W1575" i="1"/>
  <c r="J1575" i="1" s="1"/>
  <c r="W1574" i="1"/>
  <c r="J1574" i="1" s="1"/>
  <c r="W1573" i="1"/>
  <c r="J1573" i="1" s="1"/>
  <c r="W1572" i="1"/>
  <c r="J1572" i="1" s="1"/>
  <c r="W1571" i="1"/>
  <c r="J1571" i="1" s="1"/>
  <c r="W1570" i="1"/>
  <c r="J1570" i="1" s="1"/>
  <c r="W1569" i="1"/>
  <c r="J1569" i="1"/>
  <c r="W1568" i="1"/>
  <c r="J1568" i="1"/>
  <c r="W1567" i="1"/>
  <c r="J1567" i="1"/>
  <c r="W1566" i="1"/>
  <c r="J1566" i="1"/>
  <c r="W1565" i="1"/>
  <c r="J1565" i="1"/>
  <c r="W1564" i="1"/>
  <c r="J1564" i="1"/>
  <c r="W1563" i="1"/>
  <c r="J1563" i="1"/>
  <c r="W1562" i="1"/>
  <c r="J1562" i="1"/>
  <c r="W1561" i="1"/>
  <c r="J1561" i="1"/>
  <c r="W1560" i="1"/>
  <c r="J1560" i="1"/>
  <c r="W1559" i="1"/>
  <c r="J1559" i="1"/>
  <c r="W1558" i="1"/>
  <c r="J1558" i="1"/>
  <c r="W1557" i="1"/>
  <c r="J1557" i="1"/>
  <c r="W1556" i="1"/>
  <c r="J1556" i="1"/>
  <c r="W1555" i="1"/>
  <c r="J1555" i="1"/>
  <c r="W1554" i="1"/>
  <c r="J1554" i="1"/>
  <c r="W1553" i="1"/>
  <c r="J1553" i="1"/>
  <c r="W1552" i="1"/>
  <c r="J1552" i="1"/>
  <c r="W1551" i="1"/>
  <c r="J1551" i="1"/>
  <c r="W1550" i="1"/>
  <c r="J1550" i="1" s="1"/>
  <c r="W1549" i="1"/>
  <c r="J1549" i="1"/>
  <c r="W1548" i="1"/>
  <c r="J1548" i="1" s="1"/>
  <c r="W1547" i="1"/>
  <c r="J1547" i="1" s="1"/>
  <c r="W1546" i="1"/>
  <c r="J1546" i="1" s="1"/>
  <c r="W1545" i="1"/>
  <c r="J1545" i="1"/>
  <c r="W1544" i="1"/>
  <c r="J1544" i="1" s="1"/>
  <c r="W1543" i="1"/>
  <c r="J1543" i="1" s="1"/>
  <c r="W1542" i="1"/>
  <c r="J1542" i="1"/>
  <c r="W1541" i="1"/>
  <c r="J1541" i="1"/>
  <c r="W1540" i="1"/>
  <c r="J1540" i="1" s="1"/>
  <c r="W1539" i="1"/>
  <c r="J1539" i="1"/>
  <c r="W1538" i="1"/>
  <c r="J1538" i="1"/>
  <c r="W1537" i="1"/>
  <c r="J1537" i="1"/>
  <c r="W1536" i="1"/>
  <c r="J1536" i="1"/>
  <c r="W1535" i="1"/>
  <c r="J1535" i="1" s="1"/>
  <c r="W1534" i="1"/>
  <c r="J1534" i="1" s="1"/>
  <c r="W1533" i="1"/>
  <c r="J1533" i="1" s="1"/>
  <c r="W1532" i="1"/>
  <c r="J1532" i="1" s="1"/>
  <c r="W1531" i="1"/>
  <c r="J1531" i="1" s="1"/>
  <c r="W1530" i="1"/>
  <c r="J1530" i="1" s="1"/>
  <c r="W1529" i="1"/>
  <c r="J1529" i="1" s="1"/>
  <c r="W1528" i="1"/>
  <c r="J1528" i="1"/>
  <c r="W1527" i="1"/>
  <c r="J1527" i="1" s="1"/>
  <c r="W1526" i="1"/>
  <c r="J1526" i="1" s="1"/>
  <c r="W1525" i="1"/>
  <c r="J1525" i="1" s="1"/>
  <c r="W1524" i="1"/>
  <c r="J1524" i="1" s="1"/>
  <c r="W1523" i="1"/>
  <c r="J1523" i="1" s="1"/>
  <c r="W1522" i="1"/>
  <c r="J1522" i="1" s="1"/>
  <c r="W1521" i="1"/>
  <c r="J1521" i="1"/>
  <c r="W1520" i="1"/>
  <c r="J1520" i="1" s="1"/>
  <c r="W1519" i="1"/>
  <c r="J1519" i="1" s="1"/>
  <c r="W1518" i="1"/>
  <c r="J1518" i="1" s="1"/>
  <c r="W1517" i="1"/>
  <c r="J1517" i="1" s="1"/>
  <c r="W1516" i="1"/>
  <c r="J1516" i="1" s="1"/>
  <c r="W1515" i="1"/>
  <c r="J1515" i="1" s="1"/>
  <c r="W1514" i="1"/>
  <c r="J1514" i="1" s="1"/>
  <c r="W1513" i="1"/>
  <c r="J1513" i="1"/>
  <c r="W1512" i="1"/>
  <c r="J1512" i="1"/>
  <c r="W1511" i="1"/>
  <c r="J1511" i="1"/>
  <c r="W1510" i="1"/>
  <c r="J1510" i="1"/>
  <c r="W1509" i="1"/>
  <c r="J1509" i="1"/>
  <c r="W1508" i="1"/>
  <c r="J1508" i="1"/>
  <c r="W1507" i="1"/>
  <c r="J1507" i="1"/>
  <c r="W1506" i="1"/>
  <c r="J1506" i="1"/>
  <c r="W1505" i="1"/>
  <c r="J1505" i="1"/>
  <c r="W1504" i="1"/>
  <c r="J1504" i="1"/>
  <c r="W1503" i="1"/>
  <c r="J1503" i="1"/>
  <c r="W1502" i="1"/>
  <c r="J1502" i="1"/>
  <c r="W1501" i="1"/>
  <c r="J1501" i="1"/>
  <c r="W1500" i="1"/>
  <c r="J1500" i="1"/>
  <c r="W1499" i="1"/>
  <c r="J1499" i="1"/>
  <c r="W1498" i="1"/>
  <c r="J1498" i="1"/>
  <c r="W1497" i="1"/>
  <c r="J1497" i="1"/>
  <c r="W1496" i="1"/>
  <c r="J1496" i="1"/>
  <c r="W1495" i="1"/>
  <c r="J1495" i="1"/>
  <c r="W1494" i="1"/>
  <c r="J1494" i="1" s="1"/>
  <c r="W1493" i="1"/>
  <c r="J1493" i="1" s="1"/>
  <c r="W1492" i="1"/>
  <c r="J1492" i="1" s="1"/>
  <c r="W1491" i="1"/>
  <c r="J1491" i="1" s="1"/>
  <c r="W1490" i="1"/>
  <c r="J1490" i="1" s="1"/>
  <c r="W1489" i="1"/>
  <c r="J1489" i="1" s="1"/>
  <c r="W1488" i="1"/>
  <c r="J1488" i="1" s="1"/>
  <c r="W1487" i="1"/>
  <c r="J1487" i="1" s="1"/>
  <c r="W1486" i="1"/>
  <c r="J1486" i="1" s="1"/>
  <c r="W1485" i="1"/>
  <c r="J1485" i="1" s="1"/>
  <c r="W1484" i="1"/>
  <c r="J1484" i="1" s="1"/>
  <c r="W1483" i="1"/>
  <c r="J1483" i="1" s="1"/>
  <c r="W1482" i="1"/>
  <c r="J1482" i="1" s="1"/>
  <c r="W1481" i="1"/>
  <c r="J1481" i="1" s="1"/>
  <c r="W1480" i="1"/>
  <c r="J1480" i="1"/>
  <c r="W1479" i="1"/>
  <c r="J1479" i="1"/>
  <c r="W1478" i="1"/>
  <c r="J1478" i="1" s="1"/>
  <c r="W1477" i="1"/>
  <c r="J1477" i="1"/>
  <c r="W1476" i="1"/>
  <c r="J1476" i="1" s="1"/>
  <c r="W1475" i="1"/>
  <c r="J1475" i="1" s="1"/>
  <c r="W1474" i="1"/>
  <c r="J1474" i="1" s="1"/>
  <c r="W1473" i="1"/>
  <c r="J1473" i="1" s="1"/>
  <c r="W1472" i="1"/>
  <c r="J1472" i="1" s="1"/>
  <c r="W1471" i="1"/>
  <c r="J1471" i="1" s="1"/>
  <c r="W1470" i="1"/>
  <c r="J1470" i="1" s="1"/>
  <c r="W1469" i="1"/>
  <c r="J1469" i="1" s="1"/>
  <c r="W1468" i="1"/>
  <c r="J1468" i="1" s="1"/>
  <c r="W1467" i="1"/>
  <c r="J1467" i="1" s="1"/>
  <c r="W1466" i="1"/>
  <c r="J1466" i="1" s="1"/>
  <c r="W1465" i="1"/>
  <c r="J1465" i="1" s="1"/>
  <c r="W1464" i="1"/>
  <c r="J1464" i="1"/>
  <c r="W1463" i="1"/>
  <c r="J1463" i="1" s="1"/>
  <c r="W1462" i="1"/>
  <c r="J1462" i="1" s="1"/>
  <c r="W1461" i="1"/>
  <c r="J1461" i="1" s="1"/>
  <c r="W1460" i="1"/>
  <c r="J1460" i="1" s="1"/>
  <c r="W1459" i="1"/>
  <c r="J1459" i="1" s="1"/>
  <c r="W1458" i="1"/>
  <c r="J1458" i="1" s="1"/>
  <c r="W1457" i="1"/>
  <c r="J1457" i="1"/>
  <c r="W1456" i="1"/>
  <c r="J1456" i="1"/>
  <c r="W1455" i="1"/>
  <c r="J1455" i="1"/>
  <c r="W1454" i="1"/>
  <c r="J1454" i="1"/>
  <c r="W1453" i="1"/>
  <c r="J1453" i="1"/>
  <c r="W1452" i="1"/>
  <c r="J1452" i="1"/>
  <c r="W1451" i="1"/>
  <c r="J1451" i="1"/>
  <c r="W1450" i="1"/>
  <c r="J1450" i="1"/>
  <c r="W1449" i="1"/>
  <c r="J1449" i="1"/>
  <c r="W1448" i="1"/>
  <c r="J1448" i="1"/>
  <c r="W1447" i="1"/>
  <c r="J1447" i="1"/>
  <c r="W1446" i="1"/>
  <c r="J1446" i="1"/>
  <c r="W1445" i="1"/>
  <c r="J1445" i="1"/>
  <c r="W1444" i="1"/>
  <c r="J1444" i="1"/>
  <c r="W1443" i="1"/>
  <c r="J1443" i="1"/>
  <c r="W1442" i="1"/>
  <c r="J1442" i="1"/>
  <c r="W1441" i="1"/>
  <c r="J1441" i="1"/>
  <c r="W1440" i="1"/>
  <c r="J1440" i="1"/>
  <c r="W1439" i="1"/>
  <c r="J1439" i="1"/>
  <c r="W1438" i="1"/>
  <c r="J1438" i="1"/>
  <c r="W1437" i="1"/>
  <c r="J1437" i="1"/>
  <c r="W1436" i="1"/>
  <c r="J1436" i="1"/>
  <c r="W1435" i="1"/>
  <c r="J1435" i="1"/>
  <c r="W1434" i="1"/>
  <c r="J1434" i="1"/>
  <c r="W1433" i="1"/>
  <c r="J1433" i="1" s="1"/>
  <c r="W1432" i="1"/>
  <c r="J1432" i="1"/>
  <c r="W1431" i="1"/>
  <c r="J1431" i="1"/>
  <c r="W1430" i="1"/>
  <c r="J1430" i="1" s="1"/>
  <c r="W1429" i="1"/>
  <c r="J1429" i="1"/>
  <c r="W1428" i="1"/>
  <c r="J1428" i="1" s="1"/>
  <c r="W1427" i="1"/>
  <c r="J1427" i="1"/>
  <c r="W1426" i="1"/>
  <c r="J1426" i="1" s="1"/>
  <c r="W1425" i="1"/>
  <c r="J1425" i="1" s="1"/>
  <c r="W1422" i="1"/>
  <c r="J1422" i="1"/>
  <c r="W1421" i="1"/>
  <c r="J1421" i="1"/>
  <c r="W1420" i="1"/>
  <c r="J1420" i="1" s="1"/>
  <c r="W1419" i="1"/>
  <c r="J1419" i="1" s="1"/>
  <c r="W1418" i="1"/>
  <c r="J1418" i="1" s="1"/>
  <c r="W1417" i="1"/>
  <c r="J1417" i="1" s="1"/>
  <c r="W1416" i="1"/>
  <c r="J1416" i="1"/>
  <c r="W1415" i="1"/>
  <c r="J1415" i="1"/>
  <c r="W1414" i="1"/>
  <c r="J1414" i="1"/>
  <c r="W1413" i="1"/>
  <c r="J1413" i="1"/>
  <c r="W1412" i="1"/>
  <c r="J1412" i="1"/>
  <c r="W1411" i="1"/>
  <c r="J1411" i="1"/>
  <c r="W1410" i="1"/>
  <c r="J1410" i="1"/>
  <c r="W1409" i="1"/>
  <c r="J1409" i="1"/>
  <c r="W1408" i="1"/>
  <c r="J1408" i="1"/>
  <c r="W1407" i="1"/>
  <c r="J1407" i="1"/>
  <c r="W1406" i="1"/>
  <c r="J1406" i="1"/>
  <c r="W1405" i="1"/>
  <c r="J1405" i="1"/>
  <c r="W1404" i="1"/>
  <c r="J1404" i="1"/>
  <c r="W1403" i="1"/>
  <c r="J1403" i="1"/>
  <c r="W1402" i="1"/>
  <c r="J1402" i="1"/>
  <c r="W1401" i="1"/>
  <c r="J1401" i="1"/>
  <c r="W1400" i="1"/>
  <c r="J1400" i="1"/>
  <c r="W1399" i="1"/>
  <c r="J1399" i="1"/>
  <c r="W1398" i="1"/>
  <c r="J1398" i="1"/>
  <c r="W1397" i="1"/>
  <c r="J1397" i="1"/>
  <c r="W1396" i="1"/>
  <c r="J1396" i="1"/>
  <c r="W1395" i="1"/>
  <c r="J1395" i="1"/>
  <c r="W1394" i="1"/>
  <c r="J1394" i="1"/>
  <c r="W1393" i="1"/>
  <c r="J1393" i="1"/>
  <c r="W1392" i="1"/>
  <c r="J1392" i="1"/>
  <c r="W1391" i="1"/>
  <c r="J1391" i="1"/>
  <c r="W1390" i="1"/>
  <c r="J1390" i="1"/>
  <c r="W1389" i="1"/>
  <c r="J1389" i="1"/>
  <c r="W1388" i="1"/>
  <c r="J1388" i="1"/>
  <c r="W1387" i="1"/>
  <c r="J1387" i="1"/>
  <c r="W1386" i="1"/>
  <c r="J1386" i="1"/>
  <c r="W1385" i="1"/>
  <c r="J1385" i="1"/>
  <c r="W1384" i="1"/>
  <c r="J1384" i="1"/>
  <c r="W1383" i="1"/>
  <c r="J1383" i="1"/>
  <c r="W1382" i="1"/>
  <c r="J1382" i="1"/>
  <c r="W1381" i="1"/>
  <c r="J1381" i="1"/>
  <c r="W1380" i="1"/>
  <c r="J1380" i="1"/>
  <c r="W1379" i="1"/>
  <c r="J1379" i="1"/>
  <c r="W1378" i="1"/>
  <c r="J1378" i="1"/>
  <c r="W1377" i="1"/>
  <c r="J1377" i="1"/>
  <c r="W1376" i="1"/>
  <c r="J1376" i="1"/>
  <c r="W1375" i="1"/>
  <c r="J1375" i="1"/>
  <c r="W1374" i="1"/>
  <c r="J1374" i="1" s="1"/>
  <c r="W1373" i="1"/>
  <c r="J1373" i="1"/>
  <c r="W1372" i="1"/>
  <c r="J1372" i="1"/>
  <c r="W1371" i="1"/>
  <c r="J1371" i="1"/>
  <c r="W1370" i="1"/>
  <c r="J1370" i="1" s="1"/>
  <c r="W1369" i="1"/>
  <c r="J1369" i="1" s="1"/>
  <c r="W1368" i="1"/>
  <c r="J1368" i="1" s="1"/>
  <c r="W1367" i="1"/>
  <c r="J1367" i="1" s="1"/>
  <c r="W1366" i="1"/>
  <c r="J1366" i="1" s="1"/>
  <c r="W1365" i="1"/>
  <c r="J1365" i="1" s="1"/>
  <c r="W1364" i="1"/>
  <c r="J1364" i="1" s="1"/>
  <c r="W1363" i="1"/>
  <c r="J1363" i="1" s="1"/>
  <c r="W1362" i="1"/>
  <c r="J1362" i="1"/>
  <c r="W1361" i="1"/>
  <c r="J1361" i="1" s="1"/>
  <c r="W1360" i="1"/>
  <c r="J1360" i="1" s="1"/>
  <c r="W1359" i="1"/>
  <c r="J1359" i="1" s="1"/>
  <c r="W1358" i="1"/>
  <c r="J1358" i="1" s="1"/>
  <c r="W1357" i="1"/>
  <c r="J1357" i="1" s="1"/>
  <c r="W1356" i="1"/>
  <c r="J1356" i="1" s="1"/>
  <c r="W1355" i="1"/>
  <c r="J1355" i="1"/>
  <c r="W1354" i="1"/>
  <c r="J1354" i="1" s="1"/>
  <c r="W1353" i="1"/>
  <c r="J1353" i="1" s="1"/>
  <c r="W1352" i="1"/>
  <c r="J1352" i="1" s="1"/>
  <c r="W1351" i="1"/>
  <c r="J1351" i="1"/>
  <c r="W1350" i="1"/>
  <c r="J1350" i="1" s="1"/>
  <c r="W1349" i="1"/>
  <c r="J1349" i="1" s="1"/>
  <c r="W1348" i="1"/>
  <c r="J1348" i="1" s="1"/>
  <c r="W1347" i="1"/>
  <c r="J1347" i="1"/>
  <c r="W1346" i="1"/>
  <c r="J1346" i="1" s="1"/>
  <c r="W1345" i="1"/>
  <c r="J1345" i="1" s="1"/>
  <c r="W1344" i="1"/>
  <c r="J1344" i="1" s="1"/>
  <c r="W1343" i="1"/>
  <c r="J1343" i="1" s="1"/>
  <c r="W1342" i="1"/>
  <c r="J1342" i="1" s="1"/>
  <c r="W1341" i="1"/>
  <c r="J1341" i="1"/>
  <c r="W1340" i="1"/>
  <c r="J1340" i="1" s="1"/>
  <c r="W1339" i="1"/>
  <c r="J1339" i="1"/>
  <c r="W1338" i="1"/>
  <c r="J1338" i="1"/>
  <c r="W1337" i="1"/>
  <c r="J1337" i="1"/>
  <c r="W1336" i="1"/>
  <c r="J1336" i="1"/>
  <c r="W1335" i="1"/>
  <c r="J1335" i="1"/>
  <c r="W1334" i="1"/>
  <c r="J1334" i="1"/>
  <c r="W1333" i="1"/>
  <c r="J1333" i="1"/>
  <c r="W1332" i="1"/>
  <c r="J1332" i="1" s="1"/>
  <c r="W1331" i="1"/>
  <c r="J1331" i="1" s="1"/>
  <c r="W1330" i="1"/>
  <c r="J1330" i="1" s="1"/>
  <c r="W1329" i="1"/>
  <c r="J1329" i="1" s="1"/>
  <c r="W1328" i="1"/>
  <c r="J1328" i="1"/>
  <c r="W1327" i="1"/>
  <c r="J1327" i="1"/>
  <c r="W1326" i="1"/>
  <c r="J1326" i="1"/>
  <c r="W1325" i="1"/>
  <c r="J1325" i="1"/>
  <c r="W1324" i="1"/>
  <c r="J1324" i="1"/>
  <c r="W1323" i="1"/>
  <c r="J1323" i="1"/>
  <c r="W1322" i="1"/>
  <c r="J1322" i="1"/>
  <c r="W1321" i="1"/>
  <c r="J1321" i="1"/>
  <c r="W1320" i="1"/>
  <c r="J1320" i="1"/>
  <c r="W1319" i="1"/>
  <c r="J1319" i="1" s="1"/>
  <c r="W1318" i="1"/>
  <c r="J1318" i="1"/>
  <c r="W1317" i="1"/>
  <c r="J1317" i="1" s="1"/>
  <c r="W1316" i="1"/>
  <c r="J1316" i="1" s="1"/>
  <c r="W1315" i="1"/>
  <c r="J1315" i="1" s="1"/>
  <c r="W1314" i="1"/>
  <c r="J1314" i="1" s="1"/>
  <c r="W1313" i="1"/>
  <c r="J1313" i="1"/>
  <c r="W1312" i="1"/>
  <c r="J1312" i="1" s="1"/>
  <c r="W1311" i="1"/>
  <c r="J1311" i="1" s="1"/>
  <c r="W1310" i="1"/>
  <c r="J1310" i="1" s="1"/>
  <c r="W1309" i="1"/>
  <c r="J1309" i="1" s="1"/>
  <c r="W1308" i="1"/>
  <c r="J1308" i="1" s="1"/>
  <c r="W1307" i="1"/>
  <c r="J1307" i="1" s="1"/>
  <c r="W1306" i="1"/>
  <c r="J1306" i="1" s="1"/>
  <c r="W1305" i="1"/>
  <c r="J1305" i="1" s="1"/>
  <c r="W1304" i="1"/>
  <c r="J1304" i="1" s="1"/>
  <c r="W1303" i="1"/>
  <c r="J1303" i="1" s="1"/>
  <c r="W1302" i="1"/>
  <c r="J1302" i="1" s="1"/>
  <c r="W1301" i="1"/>
  <c r="J1301" i="1" s="1"/>
  <c r="W1300" i="1"/>
  <c r="J1300" i="1" s="1"/>
  <c r="W1299" i="1"/>
  <c r="J1299" i="1" s="1"/>
  <c r="W1298" i="1"/>
  <c r="J1298" i="1" s="1"/>
  <c r="W1297" i="1"/>
  <c r="J1297" i="1" s="1"/>
  <c r="W1296" i="1"/>
  <c r="J1296" i="1" s="1"/>
  <c r="W1295" i="1"/>
  <c r="J1295" i="1" s="1"/>
  <c r="W1294" i="1"/>
  <c r="J1294" i="1" s="1"/>
  <c r="W1293" i="1"/>
  <c r="J1293" i="1"/>
  <c r="W1292" i="1"/>
  <c r="J1292" i="1" s="1"/>
  <c r="W1291" i="1"/>
  <c r="J1291" i="1" s="1"/>
  <c r="W1290" i="1"/>
  <c r="J1290" i="1" s="1"/>
  <c r="W1289" i="1"/>
  <c r="J1289" i="1" s="1"/>
  <c r="W1288" i="1"/>
  <c r="J1288" i="1" s="1"/>
  <c r="W1287" i="1"/>
  <c r="J1287" i="1" s="1"/>
  <c r="W1286" i="1"/>
  <c r="J1286" i="1" s="1"/>
  <c r="W1285" i="1"/>
  <c r="J1285" i="1" s="1"/>
  <c r="W1284" i="1"/>
  <c r="J1284" i="1"/>
  <c r="W1283" i="1"/>
  <c r="J1283" i="1" s="1"/>
  <c r="W1282" i="1"/>
  <c r="J1282" i="1" s="1"/>
  <c r="W1281" i="1"/>
  <c r="J1281" i="1" s="1"/>
  <c r="W1280" i="1"/>
  <c r="J1280" i="1" s="1"/>
  <c r="W1279" i="1"/>
  <c r="J1279" i="1" s="1"/>
  <c r="W1278" i="1"/>
  <c r="J1278" i="1"/>
  <c r="W1277" i="1"/>
  <c r="J1277" i="1"/>
  <c r="W1276" i="1"/>
  <c r="J1276" i="1"/>
  <c r="W1275" i="1"/>
  <c r="J1275" i="1"/>
  <c r="W1274" i="1"/>
  <c r="J1274" i="1"/>
  <c r="W1273" i="1"/>
  <c r="J1273" i="1"/>
  <c r="W1272" i="1"/>
  <c r="J1272" i="1"/>
  <c r="W1271" i="1"/>
  <c r="J1271" i="1"/>
  <c r="W1270" i="1"/>
  <c r="J1270" i="1"/>
  <c r="W1269" i="1"/>
  <c r="J1269" i="1"/>
  <c r="W1268" i="1"/>
  <c r="J1268" i="1"/>
  <c r="W1267" i="1"/>
  <c r="J1267" i="1"/>
  <c r="W1266" i="1"/>
  <c r="J1266" i="1"/>
  <c r="W1265" i="1"/>
  <c r="J1265" i="1"/>
  <c r="W1264" i="1"/>
  <c r="J1264" i="1"/>
  <c r="W1263" i="1"/>
  <c r="J1263" i="1"/>
  <c r="W1262" i="1"/>
  <c r="J1262" i="1"/>
  <c r="W1261" i="1"/>
  <c r="J1261" i="1"/>
  <c r="W1260" i="1"/>
  <c r="J1260" i="1"/>
  <c r="W1259" i="1"/>
  <c r="J1259" i="1"/>
  <c r="W1258" i="1"/>
  <c r="J1258" i="1"/>
  <c r="W1257" i="1"/>
  <c r="J1257" i="1"/>
  <c r="W1256" i="1"/>
  <c r="J1256" i="1"/>
  <c r="W1255" i="1"/>
  <c r="J1255" i="1"/>
  <c r="W1254" i="1"/>
  <c r="J1254" i="1"/>
  <c r="W1253" i="1"/>
  <c r="J1253" i="1"/>
  <c r="W1252" i="1"/>
  <c r="J1252" i="1"/>
  <c r="W1251" i="1"/>
  <c r="J1251" i="1"/>
  <c r="W1250" i="1"/>
  <c r="J1250" i="1"/>
  <c r="W1249" i="1"/>
  <c r="J1249" i="1"/>
  <c r="W1248" i="1"/>
  <c r="J1248" i="1"/>
  <c r="W1247" i="1"/>
  <c r="J1247" i="1"/>
  <c r="W1246" i="1"/>
  <c r="J1246" i="1"/>
  <c r="W1245" i="1"/>
  <c r="J1245" i="1"/>
  <c r="W1244" i="1"/>
  <c r="J1244" i="1"/>
  <c r="W1243" i="1"/>
  <c r="J1243" i="1"/>
  <c r="W1242" i="1"/>
  <c r="J1242" i="1"/>
  <c r="W1241" i="1"/>
  <c r="J1241" i="1" s="1"/>
  <c r="W1240" i="1"/>
  <c r="J1240" i="1"/>
  <c r="W1239" i="1"/>
  <c r="J1239" i="1"/>
  <c r="W1238" i="1"/>
  <c r="J1238" i="1" s="1"/>
  <c r="W1237" i="1"/>
  <c r="J1237" i="1" s="1"/>
  <c r="W1236" i="1"/>
  <c r="J1236" i="1"/>
  <c r="W1235" i="1"/>
  <c r="J1235" i="1"/>
  <c r="W1234" i="1"/>
  <c r="J1234" i="1"/>
  <c r="W1233" i="1"/>
  <c r="J1233" i="1"/>
  <c r="W1232" i="1"/>
  <c r="J1232" i="1" s="1"/>
  <c r="W1231" i="1"/>
  <c r="J1231" i="1" s="1"/>
  <c r="W1230" i="1"/>
  <c r="J1230" i="1"/>
  <c r="W1229" i="1"/>
  <c r="J1229" i="1"/>
  <c r="W1228" i="1"/>
  <c r="J1228" i="1" s="1"/>
  <c r="W1227" i="1"/>
  <c r="J1227" i="1" s="1"/>
  <c r="W1226" i="1"/>
  <c r="J1226" i="1"/>
  <c r="W1225" i="1"/>
  <c r="J1225" i="1"/>
  <c r="W1224" i="1"/>
  <c r="J1224" i="1" s="1"/>
  <c r="W1223" i="1"/>
  <c r="J1223" i="1"/>
  <c r="W1222" i="1"/>
  <c r="J1222" i="1"/>
  <c r="W1221" i="1"/>
  <c r="J1221" i="1" s="1"/>
  <c r="W1220" i="1"/>
  <c r="J1220" i="1"/>
  <c r="W1219" i="1"/>
  <c r="J1219" i="1"/>
  <c r="W1218" i="1"/>
  <c r="J1218" i="1"/>
  <c r="W1217" i="1"/>
  <c r="J1217" i="1"/>
  <c r="W1216" i="1"/>
  <c r="J1216" i="1"/>
  <c r="W1215" i="1"/>
  <c r="J1215" i="1"/>
  <c r="W1214" i="1"/>
  <c r="J1214" i="1"/>
  <c r="W1213" i="1"/>
  <c r="J1213" i="1"/>
  <c r="W1212" i="1"/>
  <c r="J1212" i="1"/>
  <c r="W1211" i="1"/>
  <c r="J1211" i="1"/>
  <c r="W1210" i="1"/>
  <c r="J1210" i="1"/>
  <c r="W1209" i="1"/>
  <c r="J1209" i="1"/>
  <c r="W1208" i="1"/>
  <c r="J1208" i="1"/>
  <c r="W1207" i="1"/>
  <c r="J1207" i="1"/>
  <c r="W1206" i="1"/>
  <c r="J1206" i="1"/>
  <c r="W1205" i="1"/>
  <c r="J1205" i="1"/>
  <c r="W1204" i="1"/>
  <c r="J1204" i="1"/>
  <c r="W1203" i="1"/>
  <c r="J1203" i="1"/>
  <c r="W1202" i="1"/>
  <c r="J1202" i="1"/>
  <c r="W1201" i="1"/>
  <c r="J1201" i="1"/>
  <c r="W1200" i="1"/>
  <c r="J1200" i="1"/>
  <c r="W1199" i="1"/>
  <c r="J1199" i="1"/>
  <c r="W1198" i="1"/>
  <c r="J1198" i="1"/>
  <c r="W1197" i="1"/>
  <c r="J1197" i="1"/>
  <c r="W1196" i="1"/>
  <c r="J1196" i="1"/>
  <c r="W1195" i="1"/>
  <c r="J1195" i="1"/>
  <c r="W1194" i="1"/>
  <c r="J1194" i="1"/>
  <c r="W1193" i="1"/>
  <c r="J1193" i="1"/>
  <c r="W1192" i="1"/>
  <c r="J1192" i="1"/>
  <c r="W1191" i="1"/>
  <c r="J1191" i="1"/>
  <c r="W1190" i="1"/>
  <c r="J1190" i="1"/>
  <c r="W1189" i="1"/>
  <c r="J1189" i="1"/>
  <c r="W1188" i="1"/>
  <c r="J1188" i="1"/>
  <c r="W1187" i="1"/>
  <c r="J1187" i="1"/>
  <c r="W1186" i="1"/>
  <c r="J1186" i="1"/>
  <c r="W1185" i="1"/>
  <c r="J1185" i="1"/>
  <c r="W1184" i="1"/>
  <c r="J1184" i="1"/>
  <c r="W1183" i="1"/>
  <c r="J1183" i="1"/>
  <c r="W1182" i="1"/>
  <c r="J1182" i="1"/>
  <c r="W1181" i="1"/>
  <c r="J1181" i="1"/>
  <c r="W1180" i="1"/>
  <c r="J1180" i="1"/>
  <c r="W1179" i="1"/>
  <c r="J1179" i="1"/>
  <c r="W1178" i="1"/>
  <c r="J1178" i="1"/>
  <c r="W1177" i="1"/>
  <c r="J1177" i="1"/>
  <c r="W1176" i="1"/>
  <c r="J1176" i="1"/>
  <c r="W1175" i="1"/>
  <c r="J1175" i="1"/>
  <c r="W1174" i="1"/>
  <c r="J1174" i="1"/>
  <c r="W1173" i="1"/>
  <c r="J1173" i="1"/>
  <c r="W1172" i="1"/>
  <c r="J1172" i="1"/>
  <c r="W1171" i="1"/>
  <c r="J1171" i="1"/>
  <c r="W1170" i="1"/>
  <c r="J1170" i="1"/>
  <c r="W1169" i="1"/>
  <c r="J1169" i="1"/>
  <c r="W1168" i="1"/>
  <c r="J1168" i="1"/>
  <c r="W1167" i="1"/>
  <c r="J1167" i="1"/>
  <c r="W1166" i="1"/>
  <c r="J1166" i="1"/>
  <c r="W1165" i="1"/>
  <c r="J1165" i="1"/>
  <c r="W1164" i="1"/>
  <c r="J1164" i="1"/>
  <c r="W1163" i="1"/>
  <c r="J1163" i="1"/>
  <c r="W1162" i="1"/>
  <c r="J1162" i="1"/>
  <c r="W1161" i="1"/>
  <c r="J1161" i="1"/>
  <c r="W1160" i="1"/>
  <c r="J1160" i="1"/>
  <c r="W1159" i="1"/>
  <c r="J1159" i="1"/>
  <c r="W1158" i="1"/>
  <c r="J1158" i="1"/>
  <c r="W1157" i="1"/>
  <c r="J1157" i="1"/>
  <c r="W1156" i="1"/>
  <c r="J1156" i="1"/>
  <c r="W1155" i="1"/>
  <c r="J1155" i="1"/>
  <c r="W1154" i="1"/>
  <c r="J1154" i="1"/>
  <c r="W1153" i="1"/>
  <c r="J1153" i="1"/>
  <c r="W1152" i="1"/>
  <c r="J1152" i="1"/>
  <c r="W1151" i="1"/>
  <c r="J1151" i="1"/>
  <c r="W1150" i="1"/>
  <c r="J1150" i="1"/>
  <c r="W1149" i="1"/>
  <c r="J1149" i="1"/>
  <c r="W1148" i="1"/>
  <c r="J1148" i="1"/>
  <c r="W1147" i="1"/>
  <c r="J1147" i="1"/>
  <c r="W1146" i="1"/>
  <c r="J1146" i="1" s="1"/>
  <c r="W1145" i="1"/>
  <c r="J1145" i="1"/>
  <c r="W1144" i="1"/>
  <c r="J1144" i="1"/>
  <c r="W1143" i="1"/>
  <c r="J1143" i="1"/>
  <c r="W1142" i="1"/>
  <c r="J1142" i="1" s="1"/>
  <c r="W1141" i="1"/>
  <c r="J1141" i="1"/>
  <c r="W1140" i="1"/>
  <c r="J1140" i="1" s="1"/>
  <c r="W1139" i="1"/>
  <c r="J1139" i="1"/>
  <c r="W1138" i="1"/>
  <c r="J1138" i="1" s="1"/>
  <c r="W1137" i="1"/>
  <c r="J1137" i="1" s="1"/>
  <c r="W1136" i="1"/>
  <c r="J1136" i="1" s="1"/>
  <c r="W1135" i="1"/>
  <c r="J1135" i="1"/>
  <c r="W1134" i="1"/>
  <c r="J1134" i="1"/>
  <c r="W1133" i="1"/>
  <c r="J1133" i="1" s="1"/>
  <c r="W1132" i="1"/>
  <c r="J1132" i="1" s="1"/>
  <c r="W1131" i="1"/>
  <c r="J1131" i="1" s="1"/>
  <c r="W1130" i="1"/>
  <c r="J1130" i="1" s="1"/>
  <c r="W1129" i="1"/>
  <c r="J1129" i="1" s="1"/>
  <c r="W1128" i="1"/>
  <c r="J1128" i="1" s="1"/>
  <c r="W1127" i="1"/>
  <c r="J1127" i="1" s="1"/>
  <c r="W1126" i="1"/>
  <c r="J1126" i="1" s="1"/>
  <c r="W1125" i="1"/>
  <c r="J1125" i="1" s="1"/>
  <c r="W1124" i="1"/>
  <c r="J1124" i="1"/>
  <c r="W1123" i="1"/>
  <c r="J1123" i="1"/>
  <c r="W1122" i="1"/>
  <c r="J1122" i="1"/>
  <c r="W1121" i="1"/>
  <c r="J1121" i="1"/>
  <c r="W1120" i="1"/>
  <c r="J1120" i="1" s="1"/>
  <c r="W1119" i="1"/>
  <c r="J1119" i="1" s="1"/>
  <c r="W1118" i="1"/>
  <c r="J1118" i="1" s="1"/>
  <c r="W1117" i="1"/>
  <c r="J1117" i="1" s="1"/>
  <c r="W1116" i="1"/>
  <c r="J1116" i="1" s="1"/>
  <c r="W1115" i="1"/>
  <c r="J1115" i="1" s="1"/>
  <c r="W1114" i="1"/>
  <c r="J1114" i="1" s="1"/>
  <c r="W1113" i="1"/>
  <c r="J1113" i="1" s="1"/>
  <c r="W1112" i="1"/>
  <c r="J1112" i="1" s="1"/>
  <c r="W1111" i="1"/>
  <c r="J1111" i="1" s="1"/>
  <c r="W1110" i="1"/>
  <c r="J1110" i="1" s="1"/>
  <c r="W1109" i="1"/>
  <c r="J1109" i="1" s="1"/>
  <c r="W1108" i="1"/>
  <c r="J1108" i="1" s="1"/>
  <c r="W1107" i="1"/>
  <c r="J1107" i="1" s="1"/>
  <c r="W1106" i="1"/>
  <c r="J1106" i="1" s="1"/>
  <c r="W1105" i="1"/>
  <c r="J1105" i="1" s="1"/>
  <c r="W1104" i="1"/>
  <c r="J1104" i="1" s="1"/>
  <c r="W1103" i="1"/>
  <c r="J1103" i="1" s="1"/>
  <c r="W1102" i="1"/>
  <c r="J1102" i="1" s="1"/>
  <c r="W1101" i="1"/>
  <c r="J1101" i="1" s="1"/>
  <c r="W1100" i="1"/>
  <c r="J1100" i="1" s="1"/>
  <c r="W1099" i="1"/>
  <c r="J1099" i="1" s="1"/>
  <c r="W1098" i="1"/>
  <c r="J1098" i="1" s="1"/>
  <c r="W1097" i="1"/>
  <c r="J1097" i="1"/>
  <c r="W1096" i="1"/>
  <c r="J1096" i="1" s="1"/>
  <c r="W1095" i="1"/>
  <c r="J1095" i="1" s="1"/>
  <c r="W1094" i="1"/>
  <c r="J1094" i="1"/>
  <c r="W1093" i="1"/>
  <c r="J1093" i="1"/>
  <c r="W1092" i="1"/>
  <c r="J1092" i="1"/>
  <c r="W1091" i="1"/>
  <c r="J1091" i="1" s="1"/>
  <c r="W1090" i="1"/>
  <c r="J1090" i="1" s="1"/>
  <c r="W1089" i="1"/>
  <c r="J1089" i="1" s="1"/>
  <c r="W1088" i="1"/>
  <c r="J1088" i="1" s="1"/>
  <c r="W1087" i="1"/>
  <c r="J1087" i="1"/>
  <c r="W1086" i="1"/>
  <c r="J1086" i="1" s="1"/>
  <c r="W1085" i="1"/>
  <c r="J1085" i="1" s="1"/>
  <c r="W1084" i="1"/>
  <c r="J1084" i="1" s="1"/>
  <c r="W1083" i="1"/>
  <c r="J1083" i="1"/>
  <c r="W1082" i="1"/>
  <c r="J1082" i="1" s="1"/>
  <c r="W1081" i="1"/>
  <c r="J1081" i="1" s="1"/>
  <c r="W1080" i="1"/>
  <c r="J1080" i="1" s="1"/>
  <c r="W1079" i="1"/>
  <c r="J1079" i="1" s="1"/>
  <c r="W1078" i="1"/>
  <c r="J1078" i="1" s="1"/>
  <c r="W1077" i="1"/>
  <c r="J1077" i="1" s="1"/>
  <c r="W1076" i="1"/>
  <c r="J1076" i="1" s="1"/>
  <c r="W1075" i="1"/>
  <c r="J1075" i="1" s="1"/>
  <c r="W1074" i="1"/>
  <c r="J1074" i="1" s="1"/>
  <c r="W1073" i="1"/>
  <c r="J1073" i="1" s="1"/>
  <c r="W1072" i="1"/>
  <c r="J1072" i="1" s="1"/>
  <c r="W1071" i="1"/>
  <c r="J1071" i="1"/>
  <c r="W1070" i="1"/>
  <c r="J1070" i="1" s="1"/>
  <c r="W1069" i="1"/>
  <c r="J1069" i="1" s="1"/>
  <c r="W1068" i="1"/>
  <c r="J1068" i="1" s="1"/>
  <c r="W1067" i="1"/>
  <c r="J1067" i="1" s="1"/>
  <c r="W1066" i="1"/>
  <c r="J1066" i="1" s="1"/>
  <c r="W1065" i="1"/>
  <c r="J1065" i="1" s="1"/>
  <c r="W1064" i="1"/>
  <c r="J1064" i="1" s="1"/>
  <c r="W1063" i="1"/>
  <c r="J1063" i="1" s="1"/>
  <c r="W1062" i="1"/>
  <c r="J1062" i="1" s="1"/>
  <c r="W1061" i="1"/>
  <c r="J1061" i="1" s="1"/>
  <c r="W1060" i="1"/>
  <c r="J1060" i="1" s="1"/>
  <c r="W1059" i="1"/>
  <c r="J1059" i="1" s="1"/>
  <c r="W1058" i="1"/>
  <c r="J1058" i="1" s="1"/>
  <c r="W1057" i="1"/>
  <c r="J1057" i="1" s="1"/>
  <c r="W1056" i="1"/>
  <c r="J1056" i="1" s="1"/>
  <c r="W1055" i="1"/>
  <c r="J1055" i="1" s="1"/>
  <c r="W1054" i="1"/>
  <c r="J1054" i="1" s="1"/>
  <c r="W1053" i="1"/>
  <c r="J1053" i="1" s="1"/>
  <c r="W1052" i="1"/>
  <c r="J1052" i="1" s="1"/>
  <c r="W1051" i="1"/>
  <c r="J1051" i="1" s="1"/>
  <c r="W1050" i="1"/>
  <c r="J1050" i="1" s="1"/>
  <c r="W1049" i="1"/>
  <c r="J1049" i="1" s="1"/>
  <c r="W1048" i="1"/>
  <c r="J1048" i="1" s="1"/>
  <c r="W1047" i="1"/>
  <c r="J1047" i="1" s="1"/>
  <c r="W1046" i="1"/>
  <c r="J1046" i="1" s="1"/>
  <c r="W1045" i="1"/>
  <c r="J1045" i="1" s="1"/>
  <c r="W1044" i="1"/>
  <c r="J1044" i="1" s="1"/>
  <c r="W1043" i="1"/>
  <c r="J1043" i="1" s="1"/>
  <c r="W1042" i="1"/>
  <c r="J1042" i="1" s="1"/>
  <c r="W1041" i="1"/>
  <c r="J1041" i="1" s="1"/>
  <c r="W1040" i="1"/>
  <c r="J1040" i="1" s="1"/>
  <c r="W1039" i="1"/>
  <c r="J1039" i="1" s="1"/>
  <c r="W1038" i="1"/>
  <c r="J1038" i="1" s="1"/>
  <c r="W1037" i="1"/>
  <c r="J1037" i="1" s="1"/>
  <c r="W1036" i="1"/>
  <c r="J1036" i="1" s="1"/>
  <c r="W1035" i="1"/>
  <c r="J1035" i="1" s="1"/>
  <c r="W1034" i="1"/>
  <c r="J1034" i="1" s="1"/>
  <c r="W1033" i="1"/>
  <c r="J1033" i="1" s="1"/>
  <c r="W1032" i="1"/>
  <c r="J1032" i="1" s="1"/>
  <c r="W1031" i="1"/>
  <c r="J1031" i="1" s="1"/>
  <c r="W1030" i="1"/>
  <c r="J1030" i="1" s="1"/>
  <c r="W1029" i="1"/>
  <c r="J1029" i="1"/>
  <c r="W1028" i="1"/>
  <c r="J1028" i="1"/>
  <c r="W1027" i="1"/>
  <c r="J1027" i="1" s="1"/>
  <c r="W1026" i="1"/>
  <c r="J1026" i="1" s="1"/>
  <c r="W1025" i="1"/>
  <c r="J1025" i="1" s="1"/>
  <c r="W1024" i="1"/>
  <c r="J1024" i="1" s="1"/>
  <c r="W1023" i="1"/>
  <c r="J1023" i="1"/>
  <c r="W1022" i="1"/>
  <c r="J1022" i="1" s="1"/>
  <c r="W1021" i="1"/>
  <c r="J1021" i="1" s="1"/>
  <c r="W1020" i="1"/>
  <c r="J1020" i="1" s="1"/>
  <c r="W1017" i="1"/>
  <c r="J1017" i="1"/>
  <c r="W1016" i="1"/>
  <c r="J1016" i="1" s="1"/>
  <c r="W1015" i="1"/>
  <c r="J1015" i="1" s="1"/>
  <c r="W1014" i="1"/>
  <c r="J1014" i="1" s="1"/>
  <c r="W1013" i="1"/>
  <c r="J1013" i="1" s="1"/>
  <c r="W1012" i="1"/>
  <c r="J1012" i="1" s="1"/>
  <c r="W1011" i="1"/>
  <c r="J1011" i="1" s="1"/>
  <c r="W1010" i="1"/>
  <c r="J1010" i="1" s="1"/>
  <c r="W1009" i="1"/>
  <c r="J1009" i="1"/>
  <c r="W1008" i="1"/>
  <c r="J1008" i="1" s="1"/>
  <c r="W1007" i="1"/>
  <c r="J1007" i="1" s="1"/>
  <c r="W1006" i="1"/>
  <c r="J1006" i="1" s="1"/>
  <c r="W1005" i="1"/>
  <c r="J1005" i="1"/>
  <c r="W1004" i="1"/>
  <c r="J1004" i="1" s="1"/>
  <c r="W1003" i="1"/>
  <c r="J1003" i="1" s="1"/>
  <c r="W1002" i="1"/>
  <c r="J1002" i="1" s="1"/>
  <c r="W1001" i="1"/>
  <c r="J1001" i="1"/>
  <c r="W1000" i="1"/>
  <c r="J1000" i="1" s="1"/>
  <c r="W999" i="1"/>
  <c r="J999" i="1" s="1"/>
  <c r="W998" i="1"/>
  <c r="J998" i="1" s="1"/>
  <c r="W997" i="1"/>
  <c r="J997" i="1" s="1"/>
  <c r="W996" i="1"/>
  <c r="J996" i="1" s="1"/>
  <c r="W995" i="1"/>
  <c r="J995" i="1" s="1"/>
  <c r="W994" i="1"/>
  <c r="J994" i="1" s="1"/>
  <c r="W993" i="1"/>
  <c r="J993" i="1" s="1"/>
  <c r="W992" i="1"/>
  <c r="J992" i="1"/>
  <c r="W991" i="1"/>
  <c r="J991" i="1" s="1"/>
  <c r="W990" i="1"/>
  <c r="J990" i="1" s="1"/>
  <c r="W989" i="1"/>
  <c r="J989" i="1"/>
  <c r="W988" i="1"/>
  <c r="J988" i="1" s="1"/>
  <c r="W987" i="1"/>
  <c r="J987" i="1" s="1"/>
  <c r="W986" i="1"/>
  <c r="J986" i="1" s="1"/>
  <c r="W985" i="1"/>
  <c r="J985" i="1" s="1"/>
  <c r="W984" i="1"/>
  <c r="J984" i="1" s="1"/>
  <c r="W983" i="1"/>
  <c r="J983" i="1"/>
  <c r="W982" i="1"/>
  <c r="J982" i="1"/>
  <c r="W981" i="1"/>
  <c r="J981" i="1" s="1"/>
  <c r="W980" i="1"/>
  <c r="J980" i="1" s="1"/>
  <c r="W979" i="1"/>
  <c r="J979" i="1" s="1"/>
  <c r="W978" i="1"/>
  <c r="J978" i="1" s="1"/>
  <c r="W977" i="1"/>
  <c r="J977" i="1" s="1"/>
  <c r="W976" i="1"/>
  <c r="J976" i="1" s="1"/>
  <c r="W975" i="1"/>
  <c r="J975" i="1" s="1"/>
  <c r="W974" i="1"/>
  <c r="J974" i="1" s="1"/>
  <c r="W973" i="1"/>
  <c r="J973" i="1" s="1"/>
  <c r="W972" i="1"/>
  <c r="J972" i="1" s="1"/>
  <c r="W971" i="1"/>
  <c r="J971" i="1" s="1"/>
  <c r="W970" i="1"/>
  <c r="J970" i="1" s="1"/>
  <c r="W969" i="1"/>
  <c r="J969" i="1" s="1"/>
  <c r="W968" i="1"/>
  <c r="J968" i="1" s="1"/>
  <c r="W967" i="1"/>
  <c r="J967" i="1" s="1"/>
  <c r="W966" i="1"/>
  <c r="J966" i="1" s="1"/>
  <c r="W965" i="1"/>
  <c r="J965" i="1" s="1"/>
  <c r="W964" i="1"/>
  <c r="J964" i="1" s="1"/>
  <c r="W963" i="1"/>
  <c r="J963" i="1" s="1"/>
  <c r="W962" i="1"/>
  <c r="J962" i="1" s="1"/>
  <c r="W961" i="1"/>
  <c r="J961" i="1" s="1"/>
  <c r="W960" i="1"/>
  <c r="J960" i="1" s="1"/>
  <c r="W959" i="1"/>
  <c r="J959" i="1" s="1"/>
  <c r="W958" i="1"/>
  <c r="J958" i="1" s="1"/>
  <c r="W957" i="1"/>
  <c r="J957" i="1" s="1"/>
  <c r="W956" i="1"/>
  <c r="J956" i="1" s="1"/>
  <c r="W955" i="1"/>
  <c r="J955" i="1"/>
  <c r="W954" i="1"/>
  <c r="J954" i="1" s="1"/>
  <c r="W953" i="1"/>
  <c r="J953" i="1"/>
  <c r="W952" i="1"/>
  <c r="J952" i="1"/>
  <c r="W951" i="1"/>
  <c r="J951" i="1" s="1"/>
  <c r="W950" i="1"/>
  <c r="J950" i="1" s="1"/>
  <c r="W949" i="1"/>
  <c r="J949" i="1"/>
  <c r="W948" i="1"/>
  <c r="J948" i="1" s="1"/>
  <c r="W947" i="1"/>
  <c r="J947" i="1" s="1"/>
  <c r="W946" i="1"/>
  <c r="J946" i="1"/>
  <c r="W945" i="1"/>
  <c r="J945" i="1" s="1"/>
  <c r="W944" i="1"/>
  <c r="J944" i="1" s="1"/>
  <c r="W943" i="1"/>
  <c r="J943" i="1" s="1"/>
  <c r="W942" i="1"/>
  <c r="J942" i="1"/>
  <c r="W941" i="1"/>
  <c r="J941" i="1"/>
  <c r="W940" i="1"/>
  <c r="J940" i="1" s="1"/>
  <c r="W939" i="1"/>
  <c r="J939" i="1"/>
  <c r="W938" i="1"/>
  <c r="J938" i="1" s="1"/>
  <c r="W937" i="1"/>
  <c r="J937" i="1" s="1"/>
  <c r="W936" i="1"/>
  <c r="J936" i="1" s="1"/>
  <c r="W935" i="1"/>
  <c r="J935" i="1" s="1"/>
  <c r="W934" i="1"/>
  <c r="J934" i="1"/>
  <c r="W933" i="1"/>
  <c r="J933" i="1" s="1"/>
  <c r="W932" i="1"/>
  <c r="J932" i="1" s="1"/>
  <c r="W931" i="1"/>
  <c r="J931" i="1" s="1"/>
  <c r="W930" i="1"/>
  <c r="J930" i="1" s="1"/>
  <c r="W929" i="1"/>
  <c r="J929" i="1" s="1"/>
  <c r="W928" i="1"/>
  <c r="J928" i="1" s="1"/>
  <c r="W927" i="1"/>
  <c r="J927" i="1" s="1"/>
  <c r="W926" i="1"/>
  <c r="J926" i="1"/>
  <c r="W925" i="1"/>
  <c r="J925" i="1" s="1"/>
  <c r="W924" i="1"/>
  <c r="J924" i="1" s="1"/>
  <c r="W923" i="1"/>
  <c r="J923" i="1" s="1"/>
  <c r="W922" i="1"/>
  <c r="J922" i="1"/>
  <c r="W921" i="1"/>
  <c r="J921" i="1" s="1"/>
  <c r="W920" i="1"/>
  <c r="J920" i="1" s="1"/>
  <c r="W919" i="1"/>
  <c r="J919" i="1" s="1"/>
  <c r="W918" i="1"/>
  <c r="J918" i="1"/>
  <c r="W917" i="1"/>
  <c r="J917" i="1" s="1"/>
  <c r="W916" i="1"/>
  <c r="J916" i="1" s="1"/>
  <c r="W915" i="1"/>
  <c r="J915" i="1" s="1"/>
  <c r="W914" i="1"/>
  <c r="J914" i="1" s="1"/>
  <c r="W913" i="1"/>
  <c r="J913" i="1" s="1"/>
  <c r="W912" i="1"/>
  <c r="J912" i="1" s="1"/>
  <c r="W911" i="1"/>
  <c r="J911" i="1" s="1"/>
  <c r="W910" i="1"/>
  <c r="J910" i="1"/>
  <c r="W909" i="1"/>
  <c r="J909" i="1"/>
  <c r="W908" i="1"/>
  <c r="J908" i="1" s="1"/>
  <c r="W907" i="1"/>
  <c r="J907" i="1" s="1"/>
  <c r="W906" i="1"/>
  <c r="J906" i="1" s="1"/>
  <c r="W905" i="1"/>
  <c r="J905" i="1"/>
  <c r="W904" i="1"/>
  <c r="J904" i="1" s="1"/>
  <c r="W903" i="1"/>
  <c r="J903" i="1"/>
  <c r="W902" i="1"/>
  <c r="J902" i="1" s="1"/>
  <c r="W901" i="1"/>
  <c r="J901" i="1" s="1"/>
  <c r="W900" i="1"/>
  <c r="J900" i="1" s="1"/>
  <c r="W899" i="1"/>
  <c r="J899" i="1" s="1"/>
  <c r="W898" i="1"/>
  <c r="J898" i="1" s="1"/>
  <c r="W897" i="1"/>
  <c r="J897" i="1"/>
  <c r="W896" i="1"/>
  <c r="J896" i="1" s="1"/>
  <c r="W895" i="1"/>
  <c r="J895" i="1" s="1"/>
  <c r="W894" i="1"/>
  <c r="J894" i="1" s="1"/>
  <c r="W893" i="1"/>
  <c r="J893" i="1" s="1"/>
  <c r="W892" i="1"/>
  <c r="J892" i="1"/>
  <c r="W891" i="1"/>
  <c r="J891" i="1" s="1"/>
  <c r="W890" i="1"/>
  <c r="J890" i="1" s="1"/>
  <c r="W889" i="1"/>
  <c r="J889" i="1" s="1"/>
  <c r="W888" i="1"/>
  <c r="J888" i="1" s="1"/>
  <c r="W887" i="1"/>
  <c r="J887" i="1" s="1"/>
  <c r="W886" i="1"/>
  <c r="J886" i="1" s="1"/>
  <c r="W885" i="1"/>
  <c r="J885" i="1" s="1"/>
  <c r="W884" i="1"/>
  <c r="J884" i="1" s="1"/>
  <c r="W883" i="1"/>
  <c r="J883" i="1" s="1"/>
  <c r="W882" i="1"/>
  <c r="J882" i="1" s="1"/>
  <c r="W881" i="1"/>
  <c r="J881" i="1" s="1"/>
  <c r="W880" i="1"/>
  <c r="J880" i="1"/>
  <c r="W879" i="1"/>
  <c r="J879" i="1" s="1"/>
  <c r="W878" i="1"/>
  <c r="J878" i="1" s="1"/>
  <c r="W877" i="1"/>
  <c r="J877" i="1"/>
  <c r="W876" i="1"/>
  <c r="J876" i="1" s="1"/>
  <c r="W875" i="1"/>
  <c r="J875" i="1" s="1"/>
  <c r="W874" i="1"/>
  <c r="J874" i="1"/>
  <c r="W873" i="1"/>
  <c r="J873" i="1" s="1"/>
  <c r="W872" i="1"/>
  <c r="J872" i="1" s="1"/>
  <c r="W871" i="1"/>
  <c r="J871" i="1" s="1"/>
  <c r="W870" i="1"/>
  <c r="J870" i="1" s="1"/>
  <c r="W869" i="1"/>
  <c r="J869" i="1" s="1"/>
  <c r="W868" i="1"/>
  <c r="J868" i="1"/>
  <c r="W867" i="1"/>
  <c r="J867" i="1" s="1"/>
  <c r="W866" i="1"/>
  <c r="J866" i="1" s="1"/>
  <c r="W865" i="1"/>
  <c r="J865" i="1" s="1"/>
  <c r="W864" i="1"/>
  <c r="J864" i="1" s="1"/>
  <c r="W863" i="1"/>
  <c r="J863" i="1" s="1"/>
  <c r="W862" i="1"/>
  <c r="J862" i="1" s="1"/>
  <c r="W861" i="1"/>
  <c r="J861" i="1" s="1"/>
  <c r="W860" i="1"/>
  <c r="J860" i="1" s="1"/>
  <c r="W859" i="1"/>
  <c r="J859" i="1"/>
  <c r="W858" i="1"/>
  <c r="J858" i="1" s="1"/>
  <c r="W857" i="1"/>
  <c r="J857" i="1"/>
  <c r="W856" i="1"/>
  <c r="J856" i="1" s="1"/>
  <c r="W855" i="1"/>
  <c r="J855" i="1"/>
  <c r="W854" i="1"/>
  <c r="J854" i="1"/>
  <c r="W853" i="1"/>
  <c r="J853" i="1" s="1"/>
  <c r="W852" i="1"/>
  <c r="J852" i="1"/>
  <c r="W851" i="1"/>
  <c r="J851" i="1" s="1"/>
  <c r="W850" i="1"/>
  <c r="J850" i="1" s="1"/>
  <c r="W849" i="1"/>
  <c r="J849" i="1" s="1"/>
  <c r="W848" i="1"/>
  <c r="J848" i="1"/>
  <c r="W847" i="1"/>
  <c r="J847" i="1" s="1"/>
  <c r="W846" i="1"/>
  <c r="J846" i="1" s="1"/>
  <c r="W845" i="1"/>
  <c r="J845" i="1" s="1"/>
  <c r="W844" i="1"/>
  <c r="J844" i="1" s="1"/>
  <c r="W843" i="1"/>
  <c r="J843" i="1" s="1"/>
  <c r="W842" i="1"/>
  <c r="J842" i="1" s="1"/>
  <c r="W841" i="1"/>
  <c r="J841" i="1" s="1"/>
  <c r="W840" i="1"/>
  <c r="J840" i="1" s="1"/>
  <c r="W839" i="1"/>
  <c r="J839" i="1" s="1"/>
  <c r="W838" i="1"/>
  <c r="J838" i="1" s="1"/>
  <c r="W837" i="1"/>
  <c r="J837" i="1" s="1"/>
  <c r="W836" i="1"/>
  <c r="J836" i="1" s="1"/>
  <c r="W835" i="1"/>
  <c r="J835" i="1" s="1"/>
  <c r="W834" i="1"/>
  <c r="J834" i="1"/>
  <c r="W833" i="1"/>
  <c r="J833" i="1" s="1"/>
  <c r="W832" i="1"/>
  <c r="J832" i="1" s="1"/>
  <c r="W831" i="1"/>
  <c r="J831" i="1" s="1"/>
  <c r="W830" i="1"/>
  <c r="J830" i="1"/>
  <c r="W829" i="1"/>
  <c r="J829" i="1" s="1"/>
  <c r="W828" i="1"/>
  <c r="J828" i="1"/>
  <c r="W827" i="1"/>
  <c r="J827" i="1" s="1"/>
  <c r="W826" i="1"/>
  <c r="J826" i="1" s="1"/>
  <c r="W825" i="1"/>
  <c r="J825" i="1" s="1"/>
  <c r="W824" i="1"/>
  <c r="J824" i="1" s="1"/>
  <c r="W823" i="1"/>
  <c r="J823" i="1" s="1"/>
  <c r="W822" i="1"/>
  <c r="J822" i="1" s="1"/>
  <c r="W821" i="1"/>
  <c r="J821" i="1"/>
  <c r="W820" i="1"/>
  <c r="J820" i="1" s="1"/>
  <c r="W819" i="1"/>
  <c r="J819" i="1" s="1"/>
  <c r="W818" i="1"/>
  <c r="J818" i="1" s="1"/>
  <c r="W817" i="1"/>
  <c r="J817" i="1" s="1"/>
  <c r="W816" i="1"/>
  <c r="J816" i="1" s="1"/>
  <c r="W815" i="1"/>
  <c r="J815" i="1"/>
  <c r="W814" i="1"/>
  <c r="J814" i="1"/>
  <c r="W813" i="1"/>
  <c r="J813" i="1" s="1"/>
  <c r="W812" i="1"/>
  <c r="J812" i="1" s="1"/>
  <c r="W811" i="1"/>
  <c r="J811" i="1" s="1"/>
  <c r="W810" i="1"/>
  <c r="J810" i="1"/>
  <c r="W809" i="1"/>
  <c r="J809" i="1" s="1"/>
  <c r="W808" i="1"/>
  <c r="J808" i="1" s="1"/>
  <c r="W807" i="1"/>
  <c r="J807" i="1" s="1"/>
  <c r="W806" i="1"/>
  <c r="J806" i="1" s="1"/>
  <c r="W805" i="1"/>
  <c r="J805" i="1" s="1"/>
  <c r="W804" i="1"/>
  <c r="J804" i="1" s="1"/>
  <c r="W803" i="1"/>
  <c r="J803" i="1" s="1"/>
  <c r="W802" i="1"/>
  <c r="J802" i="1" s="1"/>
  <c r="W801" i="1"/>
  <c r="J801" i="1" s="1"/>
  <c r="W800" i="1"/>
  <c r="J800" i="1" s="1"/>
  <c r="W799" i="1"/>
  <c r="J799" i="1" s="1"/>
  <c r="W798" i="1"/>
  <c r="J798" i="1" s="1"/>
  <c r="W797" i="1"/>
  <c r="J797" i="1" s="1"/>
  <c r="W796" i="1"/>
  <c r="J796" i="1" s="1"/>
  <c r="W795" i="1"/>
  <c r="J795" i="1" s="1"/>
  <c r="W794" i="1"/>
  <c r="J794" i="1" s="1"/>
  <c r="W793" i="1"/>
  <c r="J793" i="1" s="1"/>
  <c r="W792" i="1"/>
  <c r="J792" i="1" s="1"/>
  <c r="W791" i="1"/>
  <c r="J791" i="1" s="1"/>
  <c r="W790" i="1"/>
  <c r="J790" i="1" s="1"/>
  <c r="W789" i="1"/>
  <c r="J789" i="1" s="1"/>
  <c r="W788" i="1"/>
  <c r="J788" i="1" s="1"/>
  <c r="W787" i="1"/>
  <c r="J787" i="1" s="1"/>
  <c r="J784" i="1"/>
  <c r="W783" i="1"/>
  <c r="J783" i="1" s="1"/>
  <c r="W782" i="1"/>
  <c r="J782" i="1" s="1"/>
  <c r="W781" i="1"/>
  <c r="J781" i="1" s="1"/>
  <c r="W780" i="1"/>
  <c r="J780" i="1" s="1"/>
  <c r="W779" i="1"/>
  <c r="J779" i="1" s="1"/>
  <c r="W778" i="1"/>
  <c r="J778" i="1" s="1"/>
  <c r="W777" i="1"/>
  <c r="J777" i="1" s="1"/>
  <c r="W776" i="1"/>
  <c r="J776" i="1"/>
  <c r="W775" i="1"/>
  <c r="J775" i="1" s="1"/>
  <c r="W774" i="1"/>
  <c r="J774" i="1" s="1"/>
  <c r="W773" i="1"/>
  <c r="J773" i="1" s="1"/>
  <c r="W772" i="1"/>
  <c r="J772" i="1" s="1"/>
  <c r="W771" i="1"/>
  <c r="J771" i="1" s="1"/>
  <c r="W770" i="1"/>
  <c r="J770" i="1" s="1"/>
  <c r="W769" i="1"/>
  <c r="J769" i="1" s="1"/>
  <c r="W768" i="1"/>
  <c r="J768" i="1" s="1"/>
  <c r="W767" i="1"/>
  <c r="J767" i="1" s="1"/>
  <c r="W766" i="1"/>
  <c r="J766" i="1"/>
  <c r="W765" i="1"/>
  <c r="J765" i="1"/>
  <c r="W764" i="1"/>
  <c r="J764" i="1" s="1"/>
  <c r="W763" i="1"/>
  <c r="J763" i="1" s="1"/>
  <c r="W762" i="1"/>
  <c r="J762" i="1" s="1"/>
  <c r="W761" i="1"/>
  <c r="J761" i="1"/>
  <c r="W760" i="1"/>
  <c r="J760" i="1" s="1"/>
  <c r="W759" i="1"/>
  <c r="J759" i="1"/>
  <c r="W758" i="1"/>
  <c r="J758" i="1" s="1"/>
  <c r="W757" i="1"/>
  <c r="J757" i="1" s="1"/>
  <c r="W756" i="1"/>
  <c r="J756" i="1" s="1"/>
  <c r="W755" i="1"/>
  <c r="J755" i="1" s="1"/>
  <c r="W754" i="1"/>
  <c r="J754" i="1" s="1"/>
  <c r="W753" i="1"/>
  <c r="J753" i="1" s="1"/>
  <c r="W752" i="1"/>
  <c r="J752" i="1"/>
  <c r="W751" i="1"/>
  <c r="J751" i="1" s="1"/>
  <c r="W750" i="1"/>
  <c r="J750" i="1" s="1"/>
  <c r="W749" i="1"/>
  <c r="J749" i="1" s="1"/>
  <c r="W748" i="1"/>
  <c r="J748" i="1" s="1"/>
  <c r="W747" i="1"/>
  <c r="J747" i="1"/>
  <c r="W746" i="1"/>
  <c r="J746" i="1"/>
  <c r="W745" i="1"/>
  <c r="J745" i="1" s="1"/>
  <c r="W744" i="1"/>
  <c r="J744" i="1"/>
  <c r="W743" i="1"/>
  <c r="J743" i="1"/>
  <c r="W742" i="1"/>
  <c r="J742" i="1" s="1"/>
  <c r="W741" i="1"/>
  <c r="J741" i="1" s="1"/>
  <c r="W740" i="1"/>
  <c r="J740" i="1" s="1"/>
  <c r="W739" i="1"/>
  <c r="J739" i="1" s="1"/>
  <c r="W738" i="1"/>
  <c r="J738" i="1" s="1"/>
  <c r="W737" i="1"/>
  <c r="J737" i="1"/>
  <c r="W736" i="1"/>
  <c r="J736" i="1" s="1"/>
  <c r="W735" i="1"/>
  <c r="J735" i="1" s="1"/>
  <c r="W734" i="1"/>
  <c r="J734" i="1" s="1"/>
  <c r="W733" i="1"/>
  <c r="J733" i="1" s="1"/>
  <c r="W732" i="1"/>
  <c r="J732" i="1" s="1"/>
  <c r="W731" i="1"/>
  <c r="J731" i="1" s="1"/>
  <c r="W730" i="1"/>
  <c r="J730" i="1" s="1"/>
  <c r="W729" i="1"/>
  <c r="J729" i="1" s="1"/>
  <c r="W728" i="1"/>
  <c r="J728" i="1" s="1"/>
  <c r="W727" i="1"/>
  <c r="J727" i="1" s="1"/>
  <c r="W726" i="1"/>
  <c r="J726" i="1" s="1"/>
  <c r="W725" i="1"/>
  <c r="J725" i="1" s="1"/>
  <c r="W724" i="1"/>
  <c r="J724" i="1" s="1"/>
  <c r="W723" i="1"/>
  <c r="J723" i="1" s="1"/>
  <c r="W722" i="1"/>
  <c r="J722" i="1"/>
  <c r="W721" i="1"/>
  <c r="J721" i="1" s="1"/>
  <c r="W720" i="1"/>
  <c r="J720" i="1" s="1"/>
  <c r="W719" i="1"/>
  <c r="J719" i="1" s="1"/>
  <c r="W718" i="1"/>
  <c r="J718" i="1" s="1"/>
  <c r="W717" i="1"/>
  <c r="J717" i="1" s="1"/>
  <c r="W716" i="1"/>
  <c r="J716" i="1" s="1"/>
  <c r="W715" i="1"/>
  <c r="J715" i="1" s="1"/>
  <c r="W714" i="1"/>
  <c r="J714" i="1" s="1"/>
  <c r="W713" i="1"/>
  <c r="J713" i="1" s="1"/>
  <c r="W712" i="1"/>
  <c r="J712" i="1" s="1"/>
  <c r="W711" i="1"/>
  <c r="J711" i="1" s="1"/>
  <c r="W710" i="1"/>
  <c r="J710" i="1" s="1"/>
  <c r="W709" i="1"/>
  <c r="J709" i="1"/>
  <c r="W708" i="1"/>
  <c r="J708" i="1" s="1"/>
  <c r="W707" i="1"/>
  <c r="J707" i="1"/>
  <c r="W706" i="1"/>
  <c r="J706" i="1"/>
  <c r="W705" i="1"/>
  <c r="J705" i="1" s="1"/>
  <c r="W704" i="1"/>
  <c r="J704" i="1" s="1"/>
  <c r="W703" i="1"/>
  <c r="J703" i="1" s="1"/>
  <c r="W702" i="1"/>
  <c r="J702" i="1" s="1"/>
  <c r="W701" i="1"/>
  <c r="J701" i="1" s="1"/>
  <c r="W700" i="1"/>
  <c r="J700" i="1"/>
  <c r="W699" i="1"/>
  <c r="J699" i="1" s="1"/>
  <c r="W698" i="1"/>
  <c r="J698" i="1" s="1"/>
  <c r="W697" i="1"/>
  <c r="J697" i="1" s="1"/>
  <c r="W696" i="1"/>
  <c r="J696" i="1"/>
  <c r="W695" i="1"/>
  <c r="J695" i="1" s="1"/>
  <c r="W694" i="1"/>
  <c r="J694" i="1"/>
  <c r="W693" i="1"/>
  <c r="J693" i="1"/>
  <c r="W692" i="1"/>
  <c r="J692" i="1"/>
  <c r="W691" i="1"/>
  <c r="J691" i="1" s="1"/>
  <c r="W690" i="1"/>
  <c r="J690" i="1" s="1"/>
  <c r="W689" i="1"/>
  <c r="J689" i="1"/>
  <c r="W688" i="1"/>
  <c r="J688" i="1" s="1"/>
  <c r="W687" i="1"/>
  <c r="J687" i="1" s="1"/>
  <c r="W686" i="1"/>
  <c r="J686" i="1" s="1"/>
  <c r="W685" i="1"/>
  <c r="J685" i="1" s="1"/>
  <c r="W684" i="1"/>
  <c r="J684" i="1" s="1"/>
  <c r="W683" i="1"/>
  <c r="J683" i="1"/>
  <c r="W682" i="1"/>
  <c r="J682" i="1" s="1"/>
  <c r="W681" i="1"/>
  <c r="J681" i="1" s="1"/>
  <c r="W680" i="1"/>
  <c r="J680" i="1" s="1"/>
  <c r="W679" i="1"/>
  <c r="J679" i="1" s="1"/>
  <c r="W678" i="1"/>
  <c r="J678" i="1" s="1"/>
  <c r="W677" i="1"/>
  <c r="J677" i="1" s="1"/>
  <c r="W676" i="1"/>
  <c r="J676" i="1" s="1"/>
  <c r="W675" i="1"/>
  <c r="J675" i="1"/>
  <c r="W674" i="1"/>
  <c r="J674" i="1" s="1"/>
  <c r="W673" i="1"/>
  <c r="J673" i="1" s="1"/>
  <c r="W672" i="1"/>
  <c r="J672" i="1" s="1"/>
  <c r="W671" i="1"/>
  <c r="J671" i="1"/>
  <c r="W670" i="1"/>
  <c r="J670" i="1" s="1"/>
  <c r="W669" i="1"/>
  <c r="J669" i="1" s="1"/>
  <c r="W668" i="1"/>
  <c r="J668" i="1" s="1"/>
  <c r="W667" i="1"/>
  <c r="J667" i="1" s="1"/>
  <c r="W666" i="1"/>
  <c r="J666" i="1" s="1"/>
  <c r="W665" i="1"/>
  <c r="J665" i="1" s="1"/>
  <c r="W664" i="1"/>
  <c r="J664" i="1" s="1"/>
  <c r="W663" i="1"/>
  <c r="J663" i="1" s="1"/>
  <c r="W662" i="1"/>
  <c r="J662" i="1" s="1"/>
  <c r="W661" i="1"/>
  <c r="J661" i="1"/>
  <c r="W660" i="1"/>
  <c r="J660" i="1" s="1"/>
  <c r="W659" i="1"/>
  <c r="J659" i="1" s="1"/>
  <c r="W658" i="1"/>
  <c r="J658" i="1" s="1"/>
  <c r="W657" i="1"/>
  <c r="J657" i="1" s="1"/>
  <c r="W656" i="1"/>
  <c r="J656" i="1" s="1"/>
  <c r="W655" i="1"/>
  <c r="J655" i="1" s="1"/>
  <c r="W654" i="1"/>
  <c r="J654" i="1"/>
  <c r="W653" i="1"/>
  <c r="J653" i="1" s="1"/>
  <c r="W652" i="1"/>
  <c r="J652" i="1" s="1"/>
  <c r="W651" i="1"/>
  <c r="J651" i="1"/>
  <c r="W650" i="1"/>
  <c r="J650" i="1"/>
  <c r="W649" i="1"/>
  <c r="J649" i="1"/>
  <c r="W648" i="1"/>
  <c r="J648" i="1"/>
  <c r="W647" i="1"/>
  <c r="J647" i="1"/>
  <c r="W646" i="1"/>
  <c r="J646" i="1" s="1"/>
  <c r="W645" i="1"/>
  <c r="J645" i="1" s="1"/>
  <c r="W644" i="1"/>
  <c r="J644" i="1" s="1"/>
  <c r="W643" i="1"/>
  <c r="J643" i="1" s="1"/>
  <c r="W642" i="1"/>
  <c r="J642" i="1" s="1"/>
  <c r="W641" i="1"/>
  <c r="J641" i="1" s="1"/>
  <c r="W640" i="1"/>
  <c r="J640" i="1" s="1"/>
  <c r="W639" i="1"/>
  <c r="J639" i="1" s="1"/>
  <c r="W638" i="1"/>
  <c r="J638" i="1" s="1"/>
  <c r="W637" i="1"/>
  <c r="J637" i="1" s="1"/>
  <c r="W636" i="1"/>
  <c r="J636" i="1" s="1"/>
  <c r="W635" i="1"/>
  <c r="J635" i="1" s="1"/>
  <c r="W634" i="1"/>
  <c r="J634" i="1" s="1"/>
  <c r="W633" i="1"/>
  <c r="J633" i="1" s="1"/>
  <c r="W632" i="1"/>
  <c r="J632" i="1" s="1"/>
  <c r="W631" i="1"/>
  <c r="J631" i="1" s="1"/>
  <c r="W630" i="1"/>
  <c r="J630" i="1" s="1"/>
  <c r="W629" i="1"/>
  <c r="J629" i="1" s="1"/>
  <c r="W628" i="1"/>
  <c r="J628" i="1" s="1"/>
  <c r="W627" i="1"/>
  <c r="J627" i="1" s="1"/>
  <c r="W626" i="1"/>
  <c r="J626" i="1" s="1"/>
  <c r="W625" i="1"/>
  <c r="J625" i="1" s="1"/>
  <c r="W624" i="1"/>
  <c r="J624" i="1" s="1"/>
  <c r="W623" i="1"/>
  <c r="J623" i="1" s="1"/>
  <c r="W622" i="1"/>
  <c r="J622" i="1" s="1"/>
  <c r="W621" i="1"/>
  <c r="J621" i="1" s="1"/>
  <c r="W620" i="1"/>
  <c r="J620" i="1"/>
  <c r="W619" i="1"/>
  <c r="J619" i="1" s="1"/>
  <c r="W618" i="1"/>
  <c r="J618" i="1" s="1"/>
  <c r="W617" i="1"/>
  <c r="J617" i="1" s="1"/>
  <c r="W616" i="1"/>
  <c r="J616" i="1" s="1"/>
  <c r="W615" i="1"/>
  <c r="J615" i="1" s="1"/>
  <c r="W614" i="1"/>
  <c r="J614" i="1"/>
  <c r="W613" i="1"/>
  <c r="J613" i="1" s="1"/>
  <c r="W612" i="1"/>
  <c r="J612" i="1" s="1"/>
  <c r="W611" i="1"/>
  <c r="J611" i="1" s="1"/>
  <c r="W610" i="1"/>
  <c r="J610" i="1" s="1"/>
  <c r="W609" i="1"/>
  <c r="J609" i="1" s="1"/>
  <c r="W608" i="1"/>
  <c r="J608" i="1" s="1"/>
  <c r="W607" i="1"/>
  <c r="J607" i="1" s="1"/>
  <c r="W606" i="1"/>
  <c r="J606" i="1" s="1"/>
  <c r="W605" i="1"/>
  <c r="J605" i="1" s="1"/>
  <c r="W604" i="1"/>
  <c r="J604" i="1" s="1"/>
  <c r="W603" i="1"/>
  <c r="J603" i="1" s="1"/>
  <c r="W602" i="1"/>
  <c r="J602" i="1" s="1"/>
  <c r="W601" i="1"/>
  <c r="J601" i="1" s="1"/>
  <c r="W600" i="1"/>
  <c r="J600" i="1" s="1"/>
  <c r="W599" i="1"/>
  <c r="J599" i="1" s="1"/>
  <c r="W598" i="1"/>
  <c r="J598" i="1" s="1"/>
  <c r="W597" i="1"/>
  <c r="J597" i="1" s="1"/>
  <c r="W596" i="1"/>
  <c r="J596" i="1"/>
  <c r="W595" i="1"/>
  <c r="J595" i="1"/>
  <c r="W594" i="1"/>
  <c r="J594" i="1" s="1"/>
  <c r="W593" i="1"/>
  <c r="J593" i="1" s="1"/>
  <c r="W592" i="1"/>
  <c r="J592" i="1" s="1"/>
  <c r="W591" i="1"/>
  <c r="J591" i="1"/>
  <c r="W588" i="1"/>
  <c r="J588" i="1" s="1"/>
  <c r="W587" i="1"/>
  <c r="J587" i="1" s="1"/>
  <c r="W586" i="1"/>
  <c r="J586" i="1" s="1"/>
  <c r="W585" i="1"/>
  <c r="J585" i="1" s="1"/>
  <c r="W584" i="1"/>
  <c r="J584" i="1" s="1"/>
  <c r="W583" i="1"/>
  <c r="J583" i="1" s="1"/>
  <c r="W582" i="1"/>
  <c r="J582" i="1" s="1"/>
  <c r="W581" i="1"/>
  <c r="J581" i="1" s="1"/>
  <c r="W580" i="1"/>
  <c r="J580" i="1" s="1"/>
  <c r="W579" i="1"/>
  <c r="J579" i="1" s="1"/>
  <c r="W578" i="1"/>
  <c r="J578" i="1" s="1"/>
  <c r="W577" i="1"/>
  <c r="J577" i="1" s="1"/>
  <c r="W576" i="1"/>
  <c r="J576" i="1" s="1"/>
  <c r="W575" i="1"/>
  <c r="J575" i="1" s="1"/>
  <c r="W574" i="1"/>
  <c r="J574" i="1" s="1"/>
  <c r="W573" i="1"/>
  <c r="J573" i="1" s="1"/>
  <c r="W572" i="1"/>
  <c r="J572" i="1" s="1"/>
  <c r="W571" i="1"/>
  <c r="J571" i="1" s="1"/>
  <c r="W570" i="1"/>
  <c r="J570" i="1"/>
  <c r="W569" i="1"/>
  <c r="J569" i="1" s="1"/>
  <c r="W568" i="1"/>
  <c r="J568" i="1" s="1"/>
  <c r="W567" i="1"/>
  <c r="J567" i="1" s="1"/>
  <c r="W566" i="1"/>
  <c r="J566" i="1" s="1"/>
  <c r="W565" i="1"/>
  <c r="J565" i="1"/>
  <c r="W564" i="1"/>
  <c r="J564" i="1"/>
  <c r="W563" i="1"/>
  <c r="J563" i="1" s="1"/>
  <c r="W562" i="1"/>
  <c r="J562" i="1" s="1"/>
  <c r="W561" i="1"/>
  <c r="J561" i="1"/>
  <c r="W560" i="1"/>
  <c r="J560" i="1" s="1"/>
  <c r="W559" i="1"/>
  <c r="J559" i="1" s="1"/>
  <c r="W558" i="1"/>
  <c r="J558" i="1" s="1"/>
  <c r="W557" i="1"/>
  <c r="J557" i="1" s="1"/>
  <c r="W556" i="1"/>
  <c r="J556" i="1" s="1"/>
  <c r="W555" i="1"/>
  <c r="J555" i="1" s="1"/>
  <c r="W554" i="1"/>
  <c r="J554" i="1" s="1"/>
  <c r="W553" i="1"/>
  <c r="J553" i="1"/>
  <c r="W552" i="1"/>
  <c r="J552" i="1" s="1"/>
  <c r="W551" i="1"/>
  <c r="J551" i="1" s="1"/>
  <c r="W550" i="1"/>
  <c r="J550" i="1" s="1"/>
  <c r="W549" i="1"/>
  <c r="J549" i="1" s="1"/>
  <c r="W548" i="1"/>
  <c r="J548" i="1" s="1"/>
  <c r="W547" i="1"/>
  <c r="J547" i="1" s="1"/>
  <c r="W546" i="1"/>
  <c r="J546" i="1" s="1"/>
  <c r="W545" i="1"/>
  <c r="J545" i="1" s="1"/>
  <c r="W544" i="1"/>
  <c r="J544" i="1" s="1"/>
  <c r="W543" i="1"/>
  <c r="J543" i="1" s="1"/>
  <c r="W542" i="1"/>
  <c r="J542" i="1" s="1"/>
  <c r="W541" i="1"/>
  <c r="J541" i="1"/>
  <c r="W540" i="1"/>
  <c r="J540" i="1" s="1"/>
  <c r="W539" i="1"/>
  <c r="J539" i="1" s="1"/>
  <c r="W538" i="1"/>
  <c r="J538" i="1"/>
  <c r="W537" i="1"/>
  <c r="J537" i="1" s="1"/>
  <c r="W536" i="1"/>
  <c r="J536" i="1" s="1"/>
  <c r="W535" i="1"/>
  <c r="J535" i="1" s="1"/>
  <c r="W534" i="1"/>
  <c r="J534" i="1"/>
  <c r="W533" i="1"/>
  <c r="J533" i="1" s="1"/>
  <c r="W532" i="1"/>
  <c r="J532" i="1" s="1"/>
  <c r="W531" i="1"/>
  <c r="J531" i="1" s="1"/>
  <c r="W530" i="1"/>
  <c r="J530" i="1"/>
  <c r="W529" i="1"/>
  <c r="J529" i="1" s="1"/>
  <c r="W528" i="1"/>
  <c r="J528" i="1" s="1"/>
  <c r="W527" i="1"/>
  <c r="J527" i="1" s="1"/>
  <c r="W526" i="1"/>
  <c r="J526" i="1" s="1"/>
  <c r="W525" i="1"/>
  <c r="J525" i="1" s="1"/>
  <c r="W524" i="1"/>
  <c r="J524" i="1" s="1"/>
  <c r="W523" i="1"/>
  <c r="J523" i="1" s="1"/>
  <c r="W522" i="1"/>
  <c r="J522" i="1" s="1"/>
  <c r="W521" i="1"/>
  <c r="J521" i="1" s="1"/>
  <c r="W520" i="1"/>
  <c r="J520" i="1" s="1"/>
  <c r="W519" i="1"/>
  <c r="J519" i="1"/>
  <c r="W518" i="1"/>
  <c r="J518" i="1" s="1"/>
  <c r="W517" i="1"/>
  <c r="J517" i="1" s="1"/>
  <c r="W516" i="1"/>
  <c r="J516" i="1" s="1"/>
  <c r="W515" i="1"/>
  <c r="J515" i="1" s="1"/>
  <c r="W514" i="1"/>
  <c r="J514" i="1" s="1"/>
  <c r="W513" i="1"/>
  <c r="J513" i="1" s="1"/>
  <c r="W512" i="1"/>
  <c r="J512" i="1" s="1"/>
  <c r="W511" i="1"/>
  <c r="J511" i="1" s="1"/>
  <c r="W510" i="1"/>
  <c r="J510" i="1" s="1"/>
  <c r="W509" i="1"/>
  <c r="J509" i="1" s="1"/>
  <c r="W508" i="1"/>
  <c r="J508" i="1" s="1"/>
  <c r="W507" i="1"/>
  <c r="J507" i="1" s="1"/>
  <c r="W506" i="1"/>
  <c r="J506" i="1"/>
  <c r="W505" i="1"/>
  <c r="J505" i="1" s="1"/>
  <c r="W504" i="1"/>
  <c r="J504" i="1" s="1"/>
  <c r="W503" i="1"/>
  <c r="J503" i="1" s="1"/>
  <c r="W502" i="1"/>
  <c r="J502" i="1" s="1"/>
  <c r="W501" i="1"/>
  <c r="J501" i="1" s="1"/>
  <c r="W500" i="1"/>
  <c r="J500" i="1"/>
  <c r="W499" i="1"/>
  <c r="J499" i="1" s="1"/>
  <c r="W498" i="1"/>
  <c r="J498" i="1" s="1"/>
  <c r="W497" i="1"/>
  <c r="J497" i="1" s="1"/>
  <c r="W496" i="1"/>
  <c r="J496" i="1" s="1"/>
  <c r="W495" i="1"/>
  <c r="J495" i="1" s="1"/>
  <c r="W494" i="1"/>
  <c r="J494" i="1" s="1"/>
  <c r="W493" i="1"/>
  <c r="J493" i="1" s="1"/>
  <c r="W492" i="1"/>
  <c r="J492" i="1" s="1"/>
  <c r="W491" i="1"/>
  <c r="J491" i="1" s="1"/>
  <c r="W490" i="1"/>
  <c r="J490" i="1" s="1"/>
  <c r="W489" i="1"/>
  <c r="J489" i="1" s="1"/>
  <c r="W488" i="1"/>
  <c r="J488" i="1" s="1"/>
  <c r="W487" i="1"/>
  <c r="J487" i="1" s="1"/>
  <c r="W486" i="1"/>
  <c r="J486" i="1" s="1"/>
  <c r="W485" i="1"/>
  <c r="J485" i="1" s="1"/>
  <c r="W484" i="1"/>
  <c r="J484" i="1" s="1"/>
  <c r="W483" i="1"/>
  <c r="J483" i="1" s="1"/>
  <c r="W482" i="1"/>
  <c r="J482" i="1"/>
  <c r="W481" i="1"/>
  <c r="J481" i="1" s="1"/>
  <c r="W480" i="1"/>
  <c r="J480" i="1" s="1"/>
  <c r="W479" i="1"/>
  <c r="J479" i="1" s="1"/>
  <c r="W478" i="1"/>
  <c r="J478" i="1" s="1"/>
  <c r="W477" i="1"/>
  <c r="J477" i="1" s="1"/>
  <c r="W476" i="1"/>
  <c r="J476" i="1" s="1"/>
  <c r="W475" i="1"/>
  <c r="J475" i="1" s="1"/>
  <c r="W474" i="1"/>
  <c r="J474" i="1" s="1"/>
  <c r="W473" i="1"/>
  <c r="J473" i="1" s="1"/>
  <c r="W472" i="1"/>
  <c r="J472" i="1" s="1"/>
  <c r="W471" i="1"/>
  <c r="J471" i="1" s="1"/>
  <c r="W470" i="1"/>
  <c r="J470" i="1" s="1"/>
  <c r="W469" i="1"/>
  <c r="J469" i="1" s="1"/>
  <c r="W468" i="1"/>
  <c r="J468" i="1" s="1"/>
  <c r="W467" i="1"/>
  <c r="J467" i="1" s="1"/>
  <c r="W466" i="1"/>
  <c r="J466" i="1" s="1"/>
  <c r="W465" i="1"/>
  <c r="J465" i="1" s="1"/>
  <c r="W464" i="1"/>
  <c r="J464" i="1" s="1"/>
  <c r="W463" i="1"/>
  <c r="J463" i="1" s="1"/>
  <c r="W462" i="1"/>
  <c r="J462" i="1" s="1"/>
  <c r="W461" i="1"/>
  <c r="J461" i="1" s="1"/>
  <c r="W460" i="1"/>
  <c r="J460" i="1" s="1"/>
  <c r="W459" i="1"/>
  <c r="J459" i="1" s="1"/>
  <c r="W458" i="1"/>
  <c r="J458" i="1" s="1"/>
  <c r="W457" i="1"/>
  <c r="J457" i="1" s="1"/>
  <c r="W456" i="1"/>
  <c r="J456" i="1" s="1"/>
  <c r="W455" i="1"/>
  <c r="J455" i="1" s="1"/>
  <c r="W454" i="1"/>
  <c r="J454" i="1" s="1"/>
  <c r="W453" i="1"/>
  <c r="J453" i="1" s="1"/>
  <c r="W452" i="1"/>
  <c r="J452" i="1" s="1"/>
  <c r="W451" i="1"/>
  <c r="J451" i="1" s="1"/>
  <c r="W450" i="1"/>
  <c r="J450" i="1" s="1"/>
  <c r="W449" i="1"/>
  <c r="J449" i="1"/>
  <c r="W448" i="1"/>
  <c r="J448" i="1" s="1"/>
  <c r="W447" i="1"/>
  <c r="J447" i="1" s="1"/>
  <c r="W446" i="1"/>
  <c r="J446" i="1" s="1"/>
  <c r="W445" i="1"/>
  <c r="J445" i="1" s="1"/>
  <c r="W444" i="1"/>
  <c r="J444" i="1" s="1"/>
  <c r="W443" i="1"/>
  <c r="J443" i="1" s="1"/>
  <c r="W442" i="1"/>
  <c r="J442" i="1" s="1"/>
  <c r="W441" i="1"/>
  <c r="J441" i="1" s="1"/>
  <c r="W440" i="1"/>
  <c r="J440" i="1" s="1"/>
  <c r="W439" i="1"/>
  <c r="J439" i="1" s="1"/>
  <c r="W438" i="1"/>
  <c r="J438" i="1" s="1"/>
  <c r="W437" i="1"/>
  <c r="J437" i="1"/>
  <c r="W436" i="1"/>
  <c r="J436" i="1" s="1"/>
  <c r="W435" i="1"/>
  <c r="J435" i="1" s="1"/>
  <c r="W434" i="1"/>
  <c r="J434" i="1" s="1"/>
  <c r="W431" i="1"/>
  <c r="J431" i="1" s="1"/>
  <c r="F431" i="1"/>
  <c r="E431" i="1"/>
  <c r="W430" i="1"/>
  <c r="J430" i="1" s="1"/>
  <c r="F430" i="1"/>
  <c r="E430" i="1"/>
  <c r="W429" i="1"/>
  <c r="J429" i="1" s="1"/>
  <c r="W428" i="1"/>
  <c r="J428" i="1" s="1"/>
  <c r="W427" i="1"/>
  <c r="J427" i="1"/>
  <c r="W426" i="1"/>
  <c r="J426" i="1" s="1"/>
  <c r="W425" i="1"/>
  <c r="J425" i="1"/>
  <c r="W424" i="1"/>
  <c r="J424" i="1" s="1"/>
  <c r="W423" i="1"/>
  <c r="J423" i="1" s="1"/>
  <c r="W422" i="1"/>
  <c r="J422" i="1" s="1"/>
  <c r="W421" i="1"/>
  <c r="J421" i="1" s="1"/>
  <c r="W420" i="1"/>
  <c r="J420" i="1"/>
  <c r="W419" i="1"/>
  <c r="J419" i="1" s="1"/>
  <c r="W418" i="1"/>
  <c r="J418" i="1" s="1"/>
  <c r="W417" i="1"/>
  <c r="J417" i="1" s="1"/>
  <c r="W416" i="1"/>
  <c r="J416" i="1" s="1"/>
  <c r="W415" i="1"/>
  <c r="J415" i="1" s="1"/>
  <c r="W414" i="1"/>
  <c r="J414" i="1" s="1"/>
  <c r="W413" i="1"/>
  <c r="J413" i="1" s="1"/>
  <c r="W412" i="1"/>
  <c r="J412" i="1" s="1"/>
  <c r="W411" i="1"/>
  <c r="J411" i="1" s="1"/>
  <c r="W410" i="1"/>
  <c r="J410" i="1" s="1"/>
  <c r="W409" i="1"/>
  <c r="J409" i="1" s="1"/>
  <c r="W408" i="1"/>
  <c r="J408" i="1" s="1"/>
  <c r="W407" i="1"/>
  <c r="J407" i="1" s="1"/>
  <c r="W406" i="1"/>
  <c r="J406" i="1" s="1"/>
  <c r="W405" i="1"/>
  <c r="J405" i="1" s="1"/>
  <c r="W404" i="1"/>
  <c r="J404" i="1" s="1"/>
  <c r="W403" i="1"/>
  <c r="J403" i="1" s="1"/>
  <c r="W402" i="1"/>
  <c r="J402" i="1" s="1"/>
  <c r="W401" i="1"/>
  <c r="J401" i="1" s="1"/>
  <c r="W400" i="1"/>
  <c r="J400" i="1" s="1"/>
  <c r="W399" i="1"/>
  <c r="J399" i="1" s="1"/>
  <c r="W398" i="1"/>
  <c r="J398" i="1" s="1"/>
  <c r="W397" i="1"/>
  <c r="J397" i="1" s="1"/>
  <c r="W396" i="1"/>
  <c r="J396" i="1"/>
  <c r="W395" i="1"/>
  <c r="J395" i="1" s="1"/>
  <c r="W394" i="1"/>
  <c r="J394" i="1" s="1"/>
  <c r="W393" i="1"/>
  <c r="J393" i="1" s="1"/>
  <c r="W392" i="1"/>
  <c r="J392" i="1" s="1"/>
  <c r="W391" i="1"/>
  <c r="J391" i="1" s="1"/>
  <c r="W390" i="1"/>
  <c r="J390" i="1" s="1"/>
  <c r="W389" i="1"/>
  <c r="J389" i="1" s="1"/>
  <c r="W388" i="1"/>
  <c r="J388" i="1" s="1"/>
  <c r="W387" i="1"/>
  <c r="J387" i="1"/>
  <c r="W386" i="1"/>
  <c r="J386" i="1" s="1"/>
  <c r="W385" i="1"/>
  <c r="J385" i="1"/>
  <c r="W384" i="1"/>
  <c r="J384" i="1" s="1"/>
  <c r="W383" i="1"/>
  <c r="J383" i="1" s="1"/>
  <c r="W382" i="1"/>
  <c r="J382" i="1" s="1"/>
  <c r="W381" i="1"/>
  <c r="J381" i="1" s="1"/>
  <c r="W380" i="1"/>
  <c r="J380" i="1" s="1"/>
  <c r="W379" i="1"/>
  <c r="J379" i="1" s="1"/>
  <c r="W378" i="1"/>
  <c r="J378" i="1" s="1"/>
  <c r="W377" i="1"/>
  <c r="J377" i="1" s="1"/>
  <c r="W376" i="1"/>
  <c r="J376" i="1"/>
  <c r="W375" i="1"/>
  <c r="J375" i="1" s="1"/>
  <c r="W374" i="1"/>
  <c r="J374" i="1" s="1"/>
  <c r="W373" i="1"/>
  <c r="J373" i="1"/>
  <c r="W372" i="1"/>
  <c r="J372" i="1" s="1"/>
  <c r="W371" i="1"/>
  <c r="J371" i="1" s="1"/>
  <c r="W370" i="1"/>
  <c r="J370" i="1" s="1"/>
  <c r="W369" i="1"/>
  <c r="J369" i="1" s="1"/>
  <c r="W368" i="1"/>
  <c r="J368" i="1"/>
  <c r="W367" i="1"/>
  <c r="J367" i="1" s="1"/>
  <c r="W366" i="1"/>
  <c r="J366" i="1" s="1"/>
  <c r="W365" i="1"/>
  <c r="J365" i="1" s="1"/>
  <c r="W364" i="1"/>
  <c r="J364" i="1" s="1"/>
  <c r="W363" i="1"/>
  <c r="J363" i="1" s="1"/>
  <c r="W362" i="1"/>
  <c r="J362" i="1" s="1"/>
  <c r="W361" i="1"/>
  <c r="J361" i="1" s="1"/>
  <c r="W360" i="1"/>
  <c r="J360" i="1" s="1"/>
  <c r="W359" i="1"/>
  <c r="J359" i="1"/>
  <c r="W358" i="1"/>
  <c r="J358" i="1" s="1"/>
  <c r="W357" i="1"/>
  <c r="J357" i="1"/>
  <c r="W356" i="1"/>
  <c r="J356" i="1" s="1"/>
  <c r="W355" i="1"/>
  <c r="J355" i="1" s="1"/>
  <c r="W354" i="1"/>
  <c r="J354" i="1" s="1"/>
  <c r="W353" i="1"/>
  <c r="J353" i="1" s="1"/>
  <c r="W352" i="1"/>
  <c r="J352" i="1" s="1"/>
  <c r="W351" i="1"/>
  <c r="J351" i="1" s="1"/>
  <c r="W350" i="1"/>
  <c r="J350" i="1" s="1"/>
  <c r="W349" i="1"/>
  <c r="J349" i="1" s="1"/>
  <c r="W348" i="1"/>
  <c r="J348" i="1"/>
  <c r="W347" i="1"/>
  <c r="J347" i="1" s="1"/>
  <c r="W346" i="1"/>
  <c r="J346" i="1"/>
  <c r="W345" i="1"/>
  <c r="J345" i="1"/>
  <c r="W344" i="1"/>
  <c r="J344" i="1" s="1"/>
  <c r="W343" i="1"/>
  <c r="J343" i="1" s="1"/>
  <c r="W342" i="1"/>
  <c r="J342" i="1" s="1"/>
  <c r="W341" i="1"/>
  <c r="J341" i="1" s="1"/>
  <c r="W340" i="1"/>
  <c r="J340" i="1"/>
  <c r="W339" i="1"/>
  <c r="J339" i="1" s="1"/>
  <c r="W338" i="1"/>
  <c r="J338" i="1" s="1"/>
  <c r="W337" i="1"/>
  <c r="J337" i="1" s="1"/>
  <c r="W336" i="1"/>
  <c r="J336" i="1" s="1"/>
  <c r="W335" i="1"/>
  <c r="J335" i="1" s="1"/>
  <c r="W334" i="1"/>
  <c r="J334" i="1" s="1"/>
  <c r="W333" i="1"/>
  <c r="J333" i="1" s="1"/>
  <c r="W332" i="1"/>
  <c r="J332" i="1" s="1"/>
  <c r="W331" i="1"/>
  <c r="J331" i="1" s="1"/>
  <c r="W330" i="1"/>
  <c r="J330" i="1"/>
  <c r="W329" i="1"/>
  <c r="J329" i="1"/>
  <c r="W328" i="1"/>
  <c r="J328" i="1"/>
  <c r="W327" i="1"/>
  <c r="J327" i="1" s="1"/>
  <c r="W326" i="1"/>
  <c r="J326" i="1" s="1"/>
  <c r="W325" i="1"/>
  <c r="J325" i="1" s="1"/>
  <c r="W324" i="1"/>
  <c r="J324" i="1" s="1"/>
  <c r="W323" i="1"/>
  <c r="J323" i="1" s="1"/>
  <c r="W322" i="1"/>
  <c r="J322" i="1" s="1"/>
  <c r="W321" i="1"/>
  <c r="J321" i="1" s="1"/>
  <c r="W320" i="1"/>
  <c r="J320" i="1" s="1"/>
  <c r="W319" i="1"/>
  <c r="J319" i="1" s="1"/>
  <c r="W318" i="1"/>
  <c r="J318" i="1" s="1"/>
  <c r="W317" i="1"/>
  <c r="J317" i="1" s="1"/>
  <c r="W316" i="1"/>
  <c r="J316" i="1" s="1"/>
  <c r="W315" i="1"/>
  <c r="J315" i="1" s="1"/>
  <c r="W314" i="1"/>
  <c r="J314" i="1" s="1"/>
  <c r="W313" i="1"/>
  <c r="J313" i="1" s="1"/>
  <c r="W312" i="1"/>
  <c r="J312" i="1" s="1"/>
  <c r="W311" i="1"/>
  <c r="J311" i="1" s="1"/>
  <c r="W310" i="1"/>
  <c r="J310" i="1" s="1"/>
  <c r="W309" i="1"/>
  <c r="J309" i="1" s="1"/>
  <c r="W308" i="1"/>
  <c r="J308" i="1" s="1"/>
  <c r="W307" i="1"/>
  <c r="J307" i="1" s="1"/>
  <c r="W306" i="1"/>
  <c r="J306" i="1" s="1"/>
  <c r="W305" i="1"/>
  <c r="J305" i="1" s="1"/>
  <c r="W304" i="1"/>
  <c r="J304" i="1" s="1"/>
  <c r="W303" i="1"/>
  <c r="J303" i="1" s="1"/>
  <c r="W302" i="1"/>
  <c r="J302" i="1" s="1"/>
  <c r="W301" i="1"/>
  <c r="J301" i="1" s="1"/>
  <c r="W300" i="1"/>
  <c r="J300" i="1" s="1"/>
  <c r="W299" i="1"/>
  <c r="J299" i="1" s="1"/>
  <c r="W298" i="1"/>
  <c r="J298" i="1"/>
  <c r="W297" i="1"/>
  <c r="J297" i="1" s="1"/>
  <c r="W296" i="1"/>
  <c r="J296" i="1" s="1"/>
  <c r="W295" i="1"/>
  <c r="J295" i="1" s="1"/>
  <c r="W294" i="1"/>
  <c r="J294" i="1" s="1"/>
  <c r="W293" i="1"/>
  <c r="J293" i="1"/>
  <c r="W292" i="1"/>
  <c r="J292" i="1" s="1"/>
  <c r="W291" i="1"/>
  <c r="J291" i="1" s="1"/>
  <c r="W290" i="1"/>
  <c r="J290" i="1" s="1"/>
  <c r="W289" i="1"/>
  <c r="J289" i="1" s="1"/>
  <c r="W288" i="1"/>
  <c r="J288" i="1" s="1"/>
  <c r="W287" i="1"/>
  <c r="J287" i="1" s="1"/>
  <c r="W286" i="1"/>
  <c r="J286" i="1" s="1"/>
  <c r="W285" i="1"/>
  <c r="J285" i="1" s="1"/>
  <c r="W284" i="1"/>
  <c r="J284" i="1" s="1"/>
  <c r="W283" i="1"/>
  <c r="J283" i="1"/>
  <c r="W282" i="1"/>
  <c r="J282" i="1"/>
  <c r="W281" i="1"/>
  <c r="J281" i="1" s="1"/>
  <c r="W280" i="1"/>
  <c r="J280" i="1" s="1"/>
  <c r="W279" i="1"/>
  <c r="J279" i="1" s="1"/>
  <c r="W278" i="1"/>
  <c r="J278" i="1" s="1"/>
  <c r="W277" i="1"/>
  <c r="J277" i="1" s="1"/>
  <c r="W276" i="1"/>
  <c r="J276" i="1" s="1"/>
  <c r="W273" i="1"/>
  <c r="J273" i="1"/>
  <c r="W272" i="1"/>
  <c r="J272" i="1" s="1"/>
  <c r="W271" i="1"/>
  <c r="J271" i="1" s="1"/>
  <c r="W270" i="1"/>
  <c r="J270" i="1" s="1"/>
  <c r="W269" i="1"/>
  <c r="J269" i="1" s="1"/>
  <c r="W268" i="1"/>
  <c r="J268" i="1" s="1"/>
  <c r="W267" i="1"/>
  <c r="J267" i="1" s="1"/>
  <c r="W266" i="1"/>
  <c r="J266" i="1"/>
  <c r="W265" i="1"/>
  <c r="J265" i="1" s="1"/>
  <c r="W264" i="1"/>
  <c r="J264" i="1" s="1"/>
  <c r="W263" i="1"/>
  <c r="J263" i="1" s="1"/>
  <c r="W262" i="1"/>
  <c r="J262" i="1" s="1"/>
  <c r="W261" i="1"/>
  <c r="J261" i="1" s="1"/>
  <c r="W260" i="1"/>
  <c r="J260" i="1" s="1"/>
  <c r="W259" i="1"/>
  <c r="J259" i="1" s="1"/>
  <c r="W258" i="1"/>
  <c r="J258" i="1" s="1"/>
  <c r="W257" i="1"/>
  <c r="J257" i="1"/>
  <c r="W256" i="1"/>
  <c r="J256" i="1" s="1"/>
  <c r="W255" i="1"/>
  <c r="J255" i="1" s="1"/>
  <c r="W254" i="1"/>
  <c r="J254" i="1" s="1"/>
  <c r="W253" i="1"/>
  <c r="J253" i="1" s="1"/>
  <c r="W252" i="1"/>
  <c r="J252" i="1" s="1"/>
  <c r="W251" i="1"/>
  <c r="J251" i="1" s="1"/>
  <c r="W250" i="1"/>
  <c r="J250" i="1" s="1"/>
  <c r="W249" i="1"/>
  <c r="J249" i="1" s="1"/>
  <c r="W248" i="1"/>
  <c r="J248" i="1"/>
  <c r="W247" i="1"/>
  <c r="J247" i="1" s="1"/>
  <c r="W246" i="1"/>
  <c r="J246" i="1" s="1"/>
  <c r="W245" i="1"/>
  <c r="J245" i="1" s="1"/>
  <c r="W244" i="1"/>
  <c r="J244" i="1" s="1"/>
  <c r="W243" i="1"/>
  <c r="J243" i="1" s="1"/>
  <c r="W242" i="1"/>
  <c r="J242" i="1" s="1"/>
  <c r="W241" i="1"/>
  <c r="J241" i="1" s="1"/>
  <c r="W240" i="1"/>
  <c r="J240" i="1" s="1"/>
  <c r="W239" i="1"/>
  <c r="J239" i="1" s="1"/>
  <c r="W238" i="1"/>
  <c r="J238" i="1" s="1"/>
  <c r="W237" i="1"/>
  <c r="J237" i="1" s="1"/>
  <c r="W236" i="1"/>
  <c r="J236" i="1" s="1"/>
  <c r="W235" i="1"/>
  <c r="J235" i="1"/>
  <c r="W234" i="1"/>
  <c r="J234" i="1" s="1"/>
  <c r="W233" i="1"/>
  <c r="J233" i="1" s="1"/>
  <c r="W232" i="1"/>
  <c r="J232" i="1" s="1"/>
  <c r="W231" i="1"/>
  <c r="J231" i="1"/>
  <c r="W230" i="1"/>
  <c r="J230" i="1" s="1"/>
  <c r="W229" i="1"/>
  <c r="J229" i="1" s="1"/>
  <c r="W228" i="1"/>
  <c r="J228" i="1"/>
  <c r="W227" i="1"/>
  <c r="J227" i="1" s="1"/>
  <c r="W226" i="1"/>
  <c r="J226" i="1"/>
  <c r="W225" i="1"/>
  <c r="J225" i="1" s="1"/>
  <c r="W224" i="1"/>
  <c r="J224" i="1"/>
  <c r="W223" i="1"/>
  <c r="J223" i="1" s="1"/>
  <c r="W222" i="1"/>
  <c r="J222" i="1" s="1"/>
  <c r="W221" i="1"/>
  <c r="J221" i="1"/>
  <c r="W220" i="1"/>
  <c r="J220" i="1" s="1"/>
  <c r="W219" i="1"/>
  <c r="J219" i="1" s="1"/>
  <c r="W218" i="1"/>
  <c r="J218" i="1" s="1"/>
  <c r="W217" i="1"/>
  <c r="J217" i="1" s="1"/>
  <c r="W216" i="1"/>
  <c r="J216" i="1" s="1"/>
  <c r="W215" i="1"/>
  <c r="J215" i="1" s="1"/>
  <c r="W214" i="1"/>
  <c r="J214" i="1" s="1"/>
  <c r="W213" i="1"/>
  <c r="J213" i="1" s="1"/>
  <c r="W212" i="1"/>
  <c r="J212" i="1" s="1"/>
  <c r="W211" i="1"/>
  <c r="J211" i="1"/>
  <c r="W210" i="1"/>
  <c r="J210" i="1" s="1"/>
  <c r="W209" i="1"/>
  <c r="J209" i="1" s="1"/>
  <c r="W208" i="1"/>
  <c r="J208" i="1" s="1"/>
  <c r="W207" i="1"/>
  <c r="J207" i="1"/>
  <c r="W206" i="1"/>
  <c r="J206" i="1" s="1"/>
  <c r="W205" i="1"/>
  <c r="J205" i="1" s="1"/>
  <c r="W204" i="1"/>
  <c r="J204" i="1" s="1"/>
  <c r="W203" i="1"/>
  <c r="J203" i="1" s="1"/>
  <c r="W202" i="1"/>
  <c r="J202" i="1" s="1"/>
  <c r="W201" i="1"/>
  <c r="J201" i="1" s="1"/>
  <c r="W200" i="1"/>
  <c r="J200" i="1" s="1"/>
  <c r="W199" i="1"/>
  <c r="J199" i="1" s="1"/>
  <c r="W198" i="1"/>
  <c r="J198" i="1" s="1"/>
  <c r="W197" i="1"/>
  <c r="J197" i="1" s="1"/>
  <c r="W196" i="1"/>
  <c r="J196" i="1" s="1"/>
  <c r="W195" i="1"/>
  <c r="J195" i="1" s="1"/>
  <c r="W194" i="1"/>
  <c r="J194" i="1" s="1"/>
  <c r="W193" i="1"/>
  <c r="J193" i="1" s="1"/>
  <c r="W192" i="1"/>
  <c r="J192" i="1"/>
  <c r="W191" i="1"/>
  <c r="J191" i="1" s="1"/>
  <c r="W190" i="1"/>
  <c r="J190" i="1" s="1"/>
  <c r="W189" i="1"/>
  <c r="J189" i="1"/>
  <c r="W188" i="1"/>
  <c r="J188" i="1" s="1"/>
  <c r="W187" i="1"/>
  <c r="J187" i="1" s="1"/>
  <c r="W186" i="1"/>
  <c r="J186" i="1" s="1"/>
  <c r="W185" i="1"/>
  <c r="J185" i="1" s="1"/>
  <c r="W184" i="1"/>
  <c r="J184" i="1" s="1"/>
  <c r="W183" i="1"/>
  <c r="J183" i="1" s="1"/>
  <c r="W182" i="1"/>
  <c r="J182" i="1" s="1"/>
  <c r="W181" i="1"/>
  <c r="J181" i="1" s="1"/>
  <c r="W180" i="1"/>
  <c r="J180" i="1" s="1"/>
  <c r="W179" i="1"/>
  <c r="J179" i="1" s="1"/>
  <c r="W178" i="1"/>
  <c r="J178" i="1" s="1"/>
  <c r="W177" i="1"/>
  <c r="J177" i="1" s="1"/>
  <c r="W176" i="1"/>
  <c r="J176" i="1" s="1"/>
  <c r="W175" i="1"/>
  <c r="J175" i="1" s="1"/>
  <c r="W174" i="1"/>
  <c r="J174" i="1" s="1"/>
  <c r="W173" i="1"/>
  <c r="J173" i="1" s="1"/>
  <c r="W172" i="1"/>
  <c r="J172" i="1" s="1"/>
  <c r="W171" i="1"/>
  <c r="J171" i="1" s="1"/>
  <c r="W170" i="1"/>
  <c r="J170" i="1" s="1"/>
  <c r="W169" i="1"/>
  <c r="J169" i="1" s="1"/>
  <c r="W168" i="1"/>
  <c r="J168" i="1" s="1"/>
  <c r="W167" i="1"/>
  <c r="J167" i="1" s="1"/>
  <c r="W166" i="1"/>
  <c r="J166" i="1"/>
  <c r="W165" i="1"/>
  <c r="J165" i="1"/>
  <c r="W164" i="1"/>
  <c r="J164" i="1" s="1"/>
  <c r="W163" i="1"/>
  <c r="J163" i="1" s="1"/>
  <c r="W162" i="1"/>
  <c r="J162" i="1" s="1"/>
  <c r="W161" i="1"/>
  <c r="J161" i="1" s="1"/>
  <c r="W160" i="1"/>
  <c r="J160" i="1"/>
  <c r="W159" i="1"/>
  <c r="J159" i="1" s="1"/>
  <c r="W158" i="1"/>
  <c r="J158" i="1"/>
  <c r="W157" i="1"/>
  <c r="J157" i="1"/>
  <c r="W156" i="1"/>
  <c r="J156" i="1" s="1"/>
  <c r="W155" i="1"/>
  <c r="J155" i="1" s="1"/>
  <c r="W154" i="1"/>
  <c r="J154" i="1"/>
  <c r="W153" i="1"/>
  <c r="J153" i="1" s="1"/>
  <c r="W152" i="1"/>
  <c r="J152" i="1" s="1"/>
  <c r="W151" i="1"/>
  <c r="J151" i="1" s="1"/>
  <c r="W150" i="1"/>
  <c r="J150" i="1" s="1"/>
  <c r="W149" i="1"/>
  <c r="J149" i="1" s="1"/>
  <c r="W148" i="1"/>
  <c r="J148" i="1" s="1"/>
  <c r="W147" i="1"/>
  <c r="J147" i="1" s="1"/>
  <c r="W146" i="1"/>
  <c r="J146" i="1" s="1"/>
  <c r="W145" i="1"/>
  <c r="J145" i="1"/>
  <c r="W144" i="1"/>
  <c r="J144" i="1" s="1"/>
  <c r="W143" i="1"/>
  <c r="J143" i="1"/>
  <c r="W142" i="1"/>
  <c r="J142" i="1" s="1"/>
  <c r="W141" i="1"/>
  <c r="J141" i="1" s="1"/>
  <c r="W140" i="1"/>
  <c r="J140" i="1" s="1"/>
  <c r="W139" i="1"/>
  <c r="J139" i="1" s="1"/>
  <c r="W138" i="1"/>
  <c r="J138" i="1" s="1"/>
  <c r="W137" i="1"/>
  <c r="J137" i="1" s="1"/>
  <c r="W136" i="1"/>
  <c r="J136" i="1" s="1"/>
  <c r="W135" i="1"/>
  <c r="J135" i="1" s="1"/>
  <c r="W134" i="1"/>
  <c r="J134" i="1"/>
  <c r="W133" i="1"/>
  <c r="J133" i="1" s="1"/>
  <c r="W132" i="1"/>
  <c r="J132" i="1" s="1"/>
  <c r="W131" i="1"/>
  <c r="J131" i="1" s="1"/>
  <c r="W130" i="1"/>
  <c r="J130" i="1" s="1"/>
  <c r="W129" i="1"/>
  <c r="J129" i="1" s="1"/>
  <c r="W128" i="1"/>
  <c r="J128" i="1"/>
  <c r="W127" i="1"/>
  <c r="J127" i="1" s="1"/>
  <c r="W126" i="1"/>
  <c r="J126" i="1" s="1"/>
  <c r="W125" i="1"/>
  <c r="J125" i="1" s="1"/>
  <c r="W124" i="1"/>
  <c r="J124" i="1" s="1"/>
  <c r="W123" i="1"/>
  <c r="J123" i="1"/>
  <c r="W122" i="1"/>
  <c r="J122" i="1" s="1"/>
  <c r="W121" i="1"/>
  <c r="J121" i="1" s="1"/>
  <c r="W120" i="1"/>
  <c r="J120" i="1"/>
  <c r="W119" i="1"/>
  <c r="J119" i="1" s="1"/>
  <c r="W118" i="1"/>
  <c r="J118" i="1" s="1"/>
  <c r="W117" i="1"/>
  <c r="J117" i="1" s="1"/>
  <c r="W116" i="1"/>
  <c r="J116" i="1" s="1"/>
  <c r="W115" i="1"/>
  <c r="J115" i="1" s="1"/>
  <c r="W114" i="1"/>
  <c r="J114" i="1" s="1"/>
  <c r="W113" i="1"/>
  <c r="J113" i="1" s="1"/>
  <c r="W112" i="1"/>
  <c r="J112" i="1" s="1"/>
  <c r="W111" i="1"/>
  <c r="J111" i="1" s="1"/>
  <c r="W110" i="1"/>
  <c r="J110" i="1" s="1"/>
  <c r="W109" i="1"/>
  <c r="J109" i="1" s="1"/>
  <c r="W108" i="1"/>
  <c r="J108" i="1" s="1"/>
  <c r="W107" i="1"/>
  <c r="J107" i="1" s="1"/>
  <c r="W106" i="1"/>
  <c r="J106" i="1" s="1"/>
  <c r="W105" i="1"/>
  <c r="J105" i="1" s="1"/>
  <c r="W104" i="1"/>
  <c r="J104" i="1" s="1"/>
  <c r="W103" i="1"/>
  <c r="J103" i="1" s="1"/>
  <c r="W102" i="1"/>
  <c r="J102" i="1" s="1"/>
  <c r="W101" i="1"/>
  <c r="J101" i="1" s="1"/>
  <c r="W100" i="1"/>
  <c r="J100" i="1" s="1"/>
  <c r="W99" i="1"/>
  <c r="J99" i="1" s="1"/>
  <c r="W98" i="1"/>
  <c r="J98" i="1" s="1"/>
  <c r="W97" i="1"/>
  <c r="J97" i="1" s="1"/>
  <c r="W96" i="1"/>
  <c r="J96" i="1" s="1"/>
  <c r="W95" i="1"/>
  <c r="J95" i="1" s="1"/>
  <c r="W94" i="1"/>
  <c r="J94" i="1" s="1"/>
  <c r="W93" i="1"/>
  <c r="J93" i="1" s="1"/>
  <c r="W92" i="1"/>
  <c r="J92" i="1" s="1"/>
  <c r="W91" i="1"/>
  <c r="J91" i="1" s="1"/>
  <c r="W90" i="1"/>
  <c r="J90" i="1" s="1"/>
  <c r="W89" i="1"/>
  <c r="J89" i="1" s="1"/>
  <c r="W88" i="1"/>
  <c r="J88" i="1" s="1"/>
  <c r="W87" i="1"/>
  <c r="J87" i="1" s="1"/>
  <c r="W86" i="1"/>
  <c r="J86" i="1" s="1"/>
  <c r="W85" i="1"/>
  <c r="J85" i="1" s="1"/>
  <c r="W84" i="1"/>
  <c r="J84" i="1" s="1"/>
  <c r="W83" i="1"/>
  <c r="J83" i="1" s="1"/>
  <c r="W82" i="1"/>
  <c r="J82" i="1" s="1"/>
  <c r="W81" i="1"/>
  <c r="J81" i="1" s="1"/>
  <c r="W80" i="1"/>
  <c r="J80" i="1" s="1"/>
  <c r="W79" i="1"/>
  <c r="J79" i="1" s="1"/>
  <c r="W78" i="1"/>
  <c r="J78" i="1" s="1"/>
  <c r="W77" i="1"/>
  <c r="J77" i="1" s="1"/>
  <c r="W76" i="1"/>
  <c r="J76" i="1" s="1"/>
  <c r="W75" i="1"/>
  <c r="J75" i="1" s="1"/>
  <c r="W74" i="1"/>
  <c r="J74" i="1"/>
  <c r="W73" i="1"/>
  <c r="J73" i="1" s="1"/>
  <c r="W72" i="1"/>
  <c r="J72" i="1" s="1"/>
  <c r="W71" i="1"/>
  <c r="J71" i="1" s="1"/>
  <c r="W70" i="1"/>
  <c r="J70" i="1" s="1"/>
  <c r="W69" i="1"/>
  <c r="J69" i="1"/>
  <c r="W68" i="1"/>
  <c r="J68" i="1"/>
  <c r="W67" i="1"/>
  <c r="J67" i="1" s="1"/>
  <c r="W66" i="1"/>
  <c r="J66" i="1" s="1"/>
  <c r="W65" i="1"/>
  <c r="J65" i="1"/>
  <c r="W64" i="1"/>
  <c r="J64" i="1" s="1"/>
  <c r="W63" i="1"/>
  <c r="J63" i="1" s="1"/>
  <c r="W62" i="1"/>
  <c r="J62" i="1" s="1"/>
  <c r="W61" i="1"/>
  <c r="J61" i="1"/>
  <c r="W60" i="1"/>
  <c r="J60" i="1" s="1"/>
  <c r="W59" i="1"/>
  <c r="J59" i="1" s="1"/>
  <c r="W58" i="1"/>
  <c r="J58" i="1" s="1"/>
  <c r="W57" i="1"/>
  <c r="J57" i="1" s="1"/>
  <c r="W56" i="1"/>
  <c r="J56" i="1" s="1"/>
  <c r="W55" i="1"/>
  <c r="J55" i="1" s="1"/>
  <c r="W54" i="1"/>
  <c r="J54" i="1" s="1"/>
  <c r="W53" i="1"/>
  <c r="J53" i="1"/>
  <c r="W52" i="1"/>
  <c r="J52" i="1" s="1"/>
  <c r="W51" i="1"/>
  <c r="J51" i="1" s="1"/>
  <c r="W50" i="1"/>
  <c r="J50" i="1" s="1"/>
  <c r="W49" i="1"/>
  <c r="J49" i="1" s="1"/>
  <c r="W48" i="1"/>
  <c r="J48" i="1" s="1"/>
  <c r="W47" i="1"/>
  <c r="J47" i="1" s="1"/>
  <c r="W46" i="1"/>
  <c r="J46" i="1" s="1"/>
  <c r="W45" i="1"/>
  <c r="J45" i="1" s="1"/>
  <c r="W44" i="1"/>
  <c r="J44" i="1" s="1"/>
  <c r="W43" i="1"/>
  <c r="J43" i="1" s="1"/>
  <c r="W42" i="1"/>
  <c r="J42" i="1" s="1"/>
  <c r="W41" i="1"/>
  <c r="J41" i="1" s="1"/>
  <c r="W40" i="1"/>
  <c r="J40" i="1" s="1"/>
  <c r="W39" i="1"/>
  <c r="J39" i="1"/>
  <c r="W38" i="1"/>
  <c r="J38" i="1" s="1"/>
  <c r="W37" i="1"/>
  <c r="J37" i="1" s="1"/>
  <c r="W36" i="1"/>
  <c r="J36" i="1" s="1"/>
  <c r="W35" i="1"/>
  <c r="J35" i="1" s="1"/>
  <c r="W34" i="1"/>
  <c r="J34" i="1" s="1"/>
  <c r="W33" i="1"/>
  <c r="J33" i="1" s="1"/>
  <c r="W32" i="1"/>
  <c r="J32" i="1" s="1"/>
  <c r="W31" i="1"/>
  <c r="J31" i="1" s="1"/>
  <c r="W30" i="1"/>
  <c r="J30" i="1" s="1"/>
  <c r="W29" i="1"/>
  <c r="J29" i="1" s="1"/>
  <c r="W28" i="1"/>
  <c r="J28" i="1" s="1"/>
  <c r="W27" i="1"/>
  <c r="J27" i="1" s="1"/>
  <c r="W26" i="1"/>
  <c r="J26" i="1" s="1"/>
  <c r="W25" i="1"/>
  <c r="J25" i="1"/>
  <c r="H23" i="1"/>
  <c r="D16" i="3" s="1"/>
  <c r="W22" i="1"/>
  <c r="J22" i="1" s="1"/>
  <c r="W21" i="1"/>
  <c r="J21" i="1" s="1"/>
  <c r="W20" i="1"/>
  <c r="J20" i="1" s="1"/>
  <c r="W19" i="1"/>
  <c r="J19" i="1" s="1"/>
  <c r="W18" i="1"/>
  <c r="J18" i="1" s="1"/>
  <c r="W17" i="1"/>
  <c r="J17" i="1" s="1"/>
  <c r="W16" i="1"/>
  <c r="J16" i="1" s="1"/>
  <c r="W15" i="1"/>
  <c r="J15" i="1" s="1"/>
  <c r="W14" i="1"/>
  <c r="J14" i="1" s="1"/>
  <c r="W13" i="1"/>
  <c r="J13" i="1" s="1"/>
  <c r="W12" i="1"/>
  <c r="J12" i="1" s="1"/>
  <c r="W11" i="1"/>
  <c r="J11" i="1" s="1"/>
  <c r="H10" i="1"/>
  <c r="D15" i="3" s="1"/>
  <c r="W9" i="1"/>
  <c r="J9" i="1" s="1"/>
  <c r="W8" i="1"/>
  <c r="J8" i="1" s="1"/>
  <c r="H7" i="1"/>
  <c r="D12" i="3" s="1"/>
  <c r="W6" i="1"/>
  <c r="J6" i="1" s="1"/>
  <c r="H5" i="1"/>
  <c r="D11" i="3" s="1"/>
  <c r="W4" i="1"/>
  <c r="J4" i="1" s="1"/>
  <c r="BX465" i="2"/>
  <c r="BK465" i="2"/>
  <c r="AX465" i="2"/>
  <c r="AK465" i="2"/>
  <c r="X465" i="2"/>
  <c r="K465" i="2"/>
  <c r="BX464" i="2"/>
  <c r="BK464" i="2"/>
  <c r="AX464" i="2"/>
  <c r="AK464" i="2"/>
  <c r="X464" i="2"/>
  <c r="K464" i="2"/>
  <c r="BX463" i="2"/>
  <c r="BK463" i="2"/>
  <c r="AX463" i="2"/>
  <c r="AK463" i="2"/>
  <c r="X463" i="2"/>
  <c r="K463" i="2"/>
  <c r="BX462" i="2"/>
  <c r="BK462" i="2"/>
  <c r="AX462" i="2"/>
  <c r="AK462" i="2"/>
  <c r="X462" i="2"/>
  <c r="K462" i="2"/>
  <c r="BX461" i="2"/>
  <c r="BK461" i="2"/>
  <c r="AX461" i="2"/>
  <c r="AK461" i="2"/>
  <c r="X461" i="2"/>
  <c r="K461" i="2"/>
  <c r="BX460" i="2"/>
  <c r="BK460" i="2"/>
  <c r="AX460" i="2"/>
  <c r="AK460" i="2"/>
  <c r="X460" i="2"/>
  <c r="K460" i="2"/>
  <c r="BX459" i="2"/>
  <c r="BK459" i="2"/>
  <c r="AX459" i="2"/>
  <c r="AK459" i="2"/>
  <c r="X459" i="2"/>
  <c r="K459" i="2"/>
  <c r="BX458" i="2"/>
  <c r="BK458" i="2"/>
  <c r="AX458" i="2"/>
  <c r="AK458" i="2"/>
  <c r="X458" i="2"/>
  <c r="K458" i="2"/>
  <c r="BX457" i="2"/>
  <c r="BK457" i="2"/>
  <c r="AX457" i="2"/>
  <c r="AK457" i="2"/>
  <c r="X457" i="2"/>
  <c r="K457" i="2"/>
  <c r="BX456" i="2"/>
  <c r="BK456" i="2"/>
  <c r="AX456" i="2"/>
  <c r="AK456" i="2"/>
  <c r="X456" i="2"/>
  <c r="K456" i="2"/>
  <c r="BX455" i="2"/>
  <c r="BK455" i="2"/>
  <c r="AX455" i="2"/>
  <c r="AK455" i="2"/>
  <c r="X455" i="2"/>
  <c r="K455" i="2"/>
  <c r="BX454" i="2"/>
  <c r="BK454" i="2"/>
  <c r="AX454" i="2"/>
  <c r="AK454" i="2"/>
  <c r="X454" i="2"/>
  <c r="K454" i="2"/>
  <c r="BX453" i="2"/>
  <c r="BK453" i="2"/>
  <c r="AX453" i="2"/>
  <c r="AK453" i="2"/>
  <c r="X453" i="2"/>
  <c r="K453" i="2"/>
  <c r="BX452" i="2"/>
  <c r="BK452" i="2"/>
  <c r="AX452" i="2"/>
  <c r="AK452" i="2"/>
  <c r="X452" i="2"/>
  <c r="K452" i="2"/>
  <c r="BX451" i="2"/>
  <c r="BK451" i="2"/>
  <c r="AX451" i="2"/>
  <c r="AK451" i="2"/>
  <c r="X451" i="2"/>
  <c r="K451" i="2"/>
  <c r="BX450" i="2"/>
  <c r="BK450" i="2"/>
  <c r="AX450" i="2"/>
  <c r="AK450" i="2"/>
  <c r="X450" i="2"/>
  <c r="K450" i="2"/>
  <c r="BX449" i="2"/>
  <c r="BK449" i="2"/>
  <c r="AX449" i="2"/>
  <c r="AK449" i="2"/>
  <c r="X449" i="2"/>
  <c r="K449" i="2"/>
  <c r="BX448" i="2"/>
  <c r="BK448" i="2"/>
  <c r="AX448" i="2"/>
  <c r="AK448" i="2"/>
  <c r="X448" i="2"/>
  <c r="K448" i="2"/>
  <c r="BX447" i="2"/>
  <c r="BK447" i="2"/>
  <c r="AX447" i="2"/>
  <c r="AK447" i="2"/>
  <c r="X447" i="2"/>
  <c r="K447" i="2"/>
  <c r="BX446" i="2"/>
  <c r="BK446" i="2"/>
  <c r="AX446" i="2"/>
  <c r="AK446" i="2"/>
  <c r="X446" i="2"/>
  <c r="K446" i="2"/>
  <c r="BX445" i="2"/>
  <c r="BK445" i="2"/>
  <c r="AX445" i="2"/>
  <c r="AK445" i="2"/>
  <c r="X445" i="2"/>
  <c r="K445" i="2"/>
  <c r="BX444" i="2"/>
  <c r="BK444" i="2"/>
  <c r="AX444" i="2"/>
  <c r="AK444" i="2"/>
  <c r="X444" i="2"/>
  <c r="K444" i="2"/>
  <c r="BX443" i="2"/>
  <c r="BK443" i="2"/>
  <c r="AX443" i="2"/>
  <c r="AK443" i="2"/>
  <c r="X443" i="2"/>
  <c r="K443" i="2"/>
  <c r="BX442" i="2"/>
  <c r="BK442" i="2"/>
  <c r="AX442" i="2"/>
  <c r="AK442" i="2"/>
  <c r="X442" i="2"/>
  <c r="K442" i="2"/>
  <c r="BX441" i="2"/>
  <c r="BK441" i="2"/>
  <c r="AX441" i="2"/>
  <c r="AK441" i="2"/>
  <c r="X441" i="2"/>
  <c r="K441" i="2"/>
  <c r="BX440" i="2"/>
  <c r="BK440" i="2"/>
  <c r="AX440" i="2"/>
  <c r="AK440" i="2"/>
  <c r="X440" i="2"/>
  <c r="K440" i="2"/>
  <c r="BX439" i="2"/>
  <c r="BK439" i="2"/>
  <c r="AX439" i="2"/>
  <c r="AK439" i="2"/>
  <c r="X439" i="2"/>
  <c r="K439" i="2"/>
  <c r="BX438" i="2"/>
  <c r="BK438" i="2"/>
  <c r="AX438" i="2"/>
  <c r="AK438" i="2"/>
  <c r="X438" i="2"/>
  <c r="K438" i="2"/>
  <c r="BX437" i="2"/>
  <c r="BK437" i="2"/>
  <c r="AX437" i="2"/>
  <c r="AK437" i="2"/>
  <c r="X437" i="2"/>
  <c r="K437" i="2"/>
  <c r="BX436" i="2"/>
  <c r="BK436" i="2"/>
  <c r="AX436" i="2"/>
  <c r="AK436" i="2"/>
  <c r="X436" i="2"/>
  <c r="K436" i="2"/>
  <c r="BX435" i="2"/>
  <c r="BK435" i="2"/>
  <c r="AX435" i="2"/>
  <c r="AK435" i="2"/>
  <c r="X435" i="2"/>
  <c r="K435" i="2"/>
  <c r="BX434" i="2"/>
  <c r="BK434" i="2"/>
  <c r="AX434" i="2"/>
  <c r="AK434" i="2"/>
  <c r="X434" i="2"/>
  <c r="K434" i="2"/>
  <c r="BX433" i="2"/>
  <c r="BK433" i="2"/>
  <c r="AX433" i="2"/>
  <c r="AK433" i="2"/>
  <c r="X433" i="2"/>
  <c r="K433" i="2"/>
  <c r="BX432" i="2"/>
  <c r="BK432" i="2"/>
  <c r="AX432" i="2"/>
  <c r="AK432" i="2"/>
  <c r="X432" i="2"/>
  <c r="K432" i="2"/>
  <c r="BX431" i="2"/>
  <c r="BK431" i="2"/>
  <c r="AX431" i="2"/>
  <c r="AK431" i="2"/>
  <c r="X431" i="2"/>
  <c r="K431" i="2"/>
  <c r="BX430" i="2"/>
  <c r="BK430" i="2"/>
  <c r="AX430" i="2"/>
  <c r="AK430" i="2"/>
  <c r="X430" i="2"/>
  <c r="K430" i="2"/>
  <c r="BX429" i="2"/>
  <c r="BK429" i="2"/>
  <c r="AX429" i="2"/>
  <c r="AK429" i="2"/>
  <c r="X429" i="2"/>
  <c r="K429" i="2"/>
  <c r="BX428" i="2"/>
  <c r="BK428" i="2"/>
  <c r="AX428" i="2"/>
  <c r="AK428" i="2"/>
  <c r="X428" i="2"/>
  <c r="K428" i="2"/>
  <c r="BX427" i="2"/>
  <c r="BK427" i="2"/>
  <c r="AX427" i="2"/>
  <c r="AK427" i="2"/>
  <c r="X427" i="2"/>
  <c r="K427" i="2"/>
  <c r="BX426" i="2"/>
  <c r="BK426" i="2"/>
  <c r="AX426" i="2"/>
  <c r="AK426" i="2"/>
  <c r="X426" i="2"/>
  <c r="K426" i="2"/>
  <c r="BX425" i="2"/>
  <c r="BK425" i="2"/>
  <c r="AX425" i="2"/>
  <c r="AK425" i="2"/>
  <c r="X425" i="2"/>
  <c r="K425" i="2"/>
  <c r="BX424" i="2"/>
  <c r="BK424" i="2"/>
  <c r="AX424" i="2"/>
  <c r="AK424" i="2"/>
  <c r="X424" i="2"/>
  <c r="K424" i="2"/>
  <c r="BX423" i="2"/>
  <c r="BK423" i="2"/>
  <c r="AX423" i="2"/>
  <c r="AK423" i="2"/>
  <c r="X423" i="2"/>
  <c r="K423" i="2"/>
  <c r="BX422" i="2"/>
  <c r="BK422" i="2"/>
  <c r="AX422" i="2"/>
  <c r="AK422" i="2"/>
  <c r="X422" i="2"/>
  <c r="K422" i="2"/>
  <c r="BX421" i="2"/>
  <c r="BK421" i="2"/>
  <c r="AX421" i="2"/>
  <c r="AK421" i="2"/>
  <c r="X421" i="2"/>
  <c r="K421" i="2"/>
  <c r="BX420" i="2"/>
  <c r="BK420" i="2"/>
  <c r="AX420" i="2"/>
  <c r="AK420" i="2"/>
  <c r="X420" i="2"/>
  <c r="K420" i="2"/>
  <c r="BX419" i="2"/>
  <c r="BK419" i="2"/>
  <c r="AX419" i="2"/>
  <c r="AK419" i="2"/>
  <c r="X419" i="2"/>
  <c r="K419" i="2"/>
  <c r="BX418" i="2"/>
  <c r="BK418" i="2"/>
  <c r="AX418" i="2"/>
  <c r="AK418" i="2"/>
  <c r="X418" i="2"/>
  <c r="K418" i="2"/>
  <c r="BX417" i="2"/>
  <c r="BK417" i="2"/>
  <c r="AX417" i="2"/>
  <c r="AK417" i="2"/>
  <c r="X417" i="2"/>
  <c r="K417" i="2"/>
  <c r="BX416" i="2"/>
  <c r="BK416" i="2"/>
  <c r="AX416" i="2"/>
  <c r="AK416" i="2"/>
  <c r="X416" i="2"/>
  <c r="K416" i="2"/>
  <c r="BX415" i="2"/>
  <c r="BK415" i="2"/>
  <c r="AX415" i="2"/>
  <c r="AK415" i="2"/>
  <c r="X415" i="2"/>
  <c r="K415" i="2"/>
  <c r="BX414" i="2"/>
  <c r="BK414" i="2"/>
  <c r="AX414" i="2"/>
  <c r="AK414" i="2"/>
  <c r="X414" i="2"/>
  <c r="K414" i="2"/>
  <c r="BX413" i="2"/>
  <c r="BK413" i="2"/>
  <c r="AX413" i="2"/>
  <c r="AK413" i="2"/>
  <c r="X413" i="2"/>
  <c r="K413" i="2"/>
  <c r="BX412" i="2"/>
  <c r="BK412" i="2"/>
  <c r="AX412" i="2"/>
  <c r="AK412" i="2"/>
  <c r="X412" i="2"/>
  <c r="K412" i="2"/>
  <c r="BX411" i="2"/>
  <c r="BK411" i="2"/>
  <c r="AX411" i="2"/>
  <c r="AK411" i="2"/>
  <c r="X411" i="2"/>
  <c r="K411" i="2"/>
  <c r="BX410" i="2"/>
  <c r="BK410" i="2"/>
  <c r="AX410" i="2"/>
  <c r="AK410" i="2"/>
  <c r="X410" i="2"/>
  <c r="K410" i="2"/>
  <c r="BX409" i="2"/>
  <c r="BK409" i="2"/>
  <c r="AX409" i="2"/>
  <c r="AK409" i="2"/>
  <c r="X409" i="2"/>
  <c r="K409" i="2"/>
  <c r="BX408" i="2"/>
  <c r="BK408" i="2"/>
  <c r="AX408" i="2"/>
  <c r="AK408" i="2"/>
  <c r="X408" i="2"/>
  <c r="K408" i="2"/>
  <c r="BX407" i="2"/>
  <c r="BK407" i="2"/>
  <c r="AX407" i="2"/>
  <c r="AK407" i="2"/>
  <c r="X407" i="2"/>
  <c r="K407" i="2"/>
  <c r="BX406" i="2"/>
  <c r="BK406" i="2"/>
  <c r="AX406" i="2"/>
  <c r="AK406" i="2"/>
  <c r="X406" i="2"/>
  <c r="K406" i="2"/>
  <c r="BX405" i="2"/>
  <c r="BK405" i="2"/>
  <c r="AX405" i="2"/>
  <c r="AK405" i="2"/>
  <c r="X405" i="2"/>
  <c r="K405" i="2"/>
  <c r="BX404" i="2"/>
  <c r="BK404" i="2"/>
  <c r="AX404" i="2"/>
  <c r="AK404" i="2"/>
  <c r="X404" i="2"/>
  <c r="K404" i="2"/>
  <c r="BX403" i="2"/>
  <c r="BK403" i="2"/>
  <c r="AX403" i="2"/>
  <c r="AK403" i="2"/>
  <c r="X403" i="2"/>
  <c r="K403" i="2"/>
  <c r="BX402" i="2"/>
  <c r="BK402" i="2"/>
  <c r="AX402" i="2"/>
  <c r="AK402" i="2"/>
  <c r="X402" i="2"/>
  <c r="K402" i="2"/>
  <c r="BX401" i="2"/>
  <c r="BK401" i="2"/>
  <c r="AX401" i="2"/>
  <c r="AK401" i="2"/>
  <c r="X401" i="2"/>
  <c r="K401" i="2"/>
  <c r="BX400" i="2"/>
  <c r="BK400" i="2"/>
  <c r="AX400" i="2"/>
  <c r="AK400" i="2"/>
  <c r="X400" i="2"/>
  <c r="K400" i="2"/>
  <c r="BX399" i="2"/>
  <c r="BK399" i="2"/>
  <c r="AX399" i="2"/>
  <c r="AK399" i="2"/>
  <c r="X399" i="2"/>
  <c r="K399" i="2"/>
  <c r="BX398" i="2"/>
  <c r="BK398" i="2"/>
  <c r="AX398" i="2"/>
  <c r="AK398" i="2"/>
  <c r="X398" i="2"/>
  <c r="K398" i="2"/>
  <c r="BX397" i="2"/>
  <c r="BK397" i="2"/>
  <c r="AX397" i="2"/>
  <c r="AK397" i="2"/>
  <c r="X397" i="2"/>
  <c r="K397" i="2"/>
  <c r="BX396" i="2"/>
  <c r="BK396" i="2"/>
  <c r="AX396" i="2"/>
  <c r="AK396" i="2"/>
  <c r="X396" i="2"/>
  <c r="K396" i="2"/>
  <c r="BX395" i="2"/>
  <c r="BK395" i="2"/>
  <c r="AX395" i="2"/>
  <c r="AK395" i="2"/>
  <c r="X395" i="2"/>
  <c r="K395" i="2"/>
  <c r="BX394" i="2"/>
  <c r="BK394" i="2"/>
  <c r="AX394" i="2"/>
  <c r="AK394" i="2"/>
  <c r="X394" i="2"/>
  <c r="K394" i="2"/>
  <c r="BX393" i="2"/>
  <c r="BK393" i="2"/>
  <c r="AX393" i="2"/>
  <c r="AK393" i="2"/>
  <c r="X393" i="2"/>
  <c r="K393" i="2"/>
  <c r="BX392" i="2"/>
  <c r="BK392" i="2"/>
  <c r="AX392" i="2"/>
  <c r="AK392" i="2"/>
  <c r="X392" i="2"/>
  <c r="K392" i="2"/>
  <c r="BX391" i="2"/>
  <c r="BK391" i="2"/>
  <c r="AX391" i="2"/>
  <c r="AK391" i="2"/>
  <c r="X391" i="2"/>
  <c r="K391" i="2"/>
  <c r="BX390" i="2"/>
  <c r="BK390" i="2"/>
  <c r="AX390" i="2"/>
  <c r="AK390" i="2"/>
  <c r="X390" i="2"/>
  <c r="K390" i="2"/>
  <c r="BX389" i="2"/>
  <c r="BK389" i="2"/>
  <c r="AX389" i="2"/>
  <c r="AK389" i="2"/>
  <c r="X389" i="2"/>
  <c r="K389" i="2"/>
  <c r="BX388" i="2"/>
  <c r="BK388" i="2"/>
  <c r="AX388" i="2"/>
  <c r="AK388" i="2"/>
  <c r="X388" i="2"/>
  <c r="K388" i="2"/>
  <c r="BX387" i="2"/>
  <c r="BK387" i="2"/>
  <c r="AX387" i="2"/>
  <c r="AK387" i="2"/>
  <c r="X387" i="2"/>
  <c r="K387" i="2"/>
  <c r="BX386" i="2"/>
  <c r="BK386" i="2"/>
  <c r="AX386" i="2"/>
  <c r="AK386" i="2"/>
  <c r="X386" i="2"/>
  <c r="K386" i="2"/>
  <c r="BX385" i="2"/>
  <c r="BK385" i="2"/>
  <c r="AX385" i="2"/>
  <c r="AK385" i="2"/>
  <c r="X385" i="2"/>
  <c r="K385" i="2"/>
  <c r="BX384" i="2"/>
  <c r="BK384" i="2"/>
  <c r="AX384" i="2"/>
  <c r="AK384" i="2"/>
  <c r="X384" i="2"/>
  <c r="K384" i="2"/>
  <c r="BX383" i="2"/>
  <c r="BK383" i="2"/>
  <c r="AX383" i="2"/>
  <c r="AK383" i="2"/>
  <c r="X383" i="2"/>
  <c r="K383" i="2"/>
  <c r="BX382" i="2"/>
  <c r="BK382" i="2"/>
  <c r="AX382" i="2"/>
  <c r="AK382" i="2"/>
  <c r="X382" i="2"/>
  <c r="K382" i="2"/>
  <c r="BX381" i="2"/>
  <c r="BK381" i="2"/>
  <c r="AX381" i="2"/>
  <c r="AK381" i="2"/>
  <c r="X381" i="2"/>
  <c r="K381" i="2"/>
  <c r="BX380" i="2"/>
  <c r="BK380" i="2"/>
  <c r="AX380" i="2"/>
  <c r="AK380" i="2"/>
  <c r="X380" i="2"/>
  <c r="K380" i="2"/>
  <c r="BX379" i="2"/>
  <c r="BK379" i="2"/>
  <c r="AX379" i="2"/>
  <c r="AK379" i="2"/>
  <c r="X379" i="2"/>
  <c r="K379" i="2"/>
  <c r="BX378" i="2"/>
  <c r="BK378" i="2"/>
  <c r="AX378" i="2"/>
  <c r="AK378" i="2"/>
  <c r="X378" i="2"/>
  <c r="K378" i="2"/>
  <c r="BX377" i="2"/>
  <c r="BK377" i="2"/>
  <c r="AX377" i="2"/>
  <c r="AK377" i="2"/>
  <c r="X377" i="2"/>
  <c r="K377" i="2"/>
  <c r="BX376" i="2"/>
  <c r="BK376" i="2"/>
  <c r="AX376" i="2"/>
  <c r="AK376" i="2"/>
  <c r="X376" i="2"/>
  <c r="K376" i="2"/>
  <c r="BX375" i="2"/>
  <c r="BK375" i="2"/>
  <c r="AX375" i="2"/>
  <c r="AK375" i="2"/>
  <c r="X375" i="2"/>
  <c r="K375" i="2"/>
  <c r="BX374" i="2"/>
  <c r="BK374" i="2"/>
  <c r="AX374" i="2"/>
  <c r="AK374" i="2"/>
  <c r="X374" i="2"/>
  <c r="K374" i="2"/>
  <c r="BX373" i="2"/>
  <c r="BK373" i="2"/>
  <c r="AX373" i="2"/>
  <c r="AK373" i="2"/>
  <c r="X373" i="2"/>
  <c r="K373" i="2"/>
  <c r="BX372" i="2"/>
  <c r="BK372" i="2"/>
  <c r="AX372" i="2"/>
  <c r="AK372" i="2"/>
  <c r="X372" i="2"/>
  <c r="K372" i="2"/>
  <c r="BX371" i="2"/>
  <c r="BK371" i="2"/>
  <c r="AX371" i="2"/>
  <c r="AK371" i="2"/>
  <c r="X371" i="2"/>
  <c r="K371" i="2"/>
  <c r="BX370" i="2"/>
  <c r="BK370" i="2"/>
  <c r="AX370" i="2"/>
  <c r="AK370" i="2"/>
  <c r="X370" i="2"/>
  <c r="K370" i="2"/>
  <c r="BX369" i="2"/>
  <c r="BK369" i="2"/>
  <c r="AX369" i="2"/>
  <c r="AK369" i="2"/>
  <c r="X369" i="2"/>
  <c r="K369" i="2"/>
  <c r="BX368" i="2"/>
  <c r="BK368" i="2"/>
  <c r="AX368" i="2"/>
  <c r="AK368" i="2"/>
  <c r="X368" i="2"/>
  <c r="K368" i="2"/>
  <c r="BX367" i="2"/>
  <c r="BK367" i="2"/>
  <c r="AX367" i="2"/>
  <c r="AK367" i="2"/>
  <c r="X367" i="2"/>
  <c r="K367" i="2"/>
  <c r="BX366" i="2"/>
  <c r="BK366" i="2"/>
  <c r="AX366" i="2"/>
  <c r="AK366" i="2"/>
  <c r="X366" i="2"/>
  <c r="K366" i="2"/>
  <c r="BX365" i="2"/>
  <c r="BK365" i="2"/>
  <c r="AX365" i="2"/>
  <c r="AK365" i="2"/>
  <c r="X365" i="2"/>
  <c r="K365" i="2"/>
  <c r="BX364" i="2"/>
  <c r="BK364" i="2"/>
  <c r="AX364" i="2"/>
  <c r="AK364" i="2"/>
  <c r="X364" i="2"/>
  <c r="K364" i="2"/>
  <c r="BX363" i="2"/>
  <c r="BK363" i="2"/>
  <c r="AX363" i="2"/>
  <c r="AK363" i="2"/>
  <c r="X363" i="2"/>
  <c r="K363" i="2"/>
  <c r="BX362" i="2"/>
  <c r="BK362" i="2"/>
  <c r="AX362" i="2"/>
  <c r="AK362" i="2"/>
  <c r="X362" i="2"/>
  <c r="K362" i="2"/>
  <c r="BX361" i="2"/>
  <c r="BK361" i="2"/>
  <c r="AX361" i="2"/>
  <c r="AK361" i="2"/>
  <c r="X361" i="2"/>
  <c r="K361" i="2"/>
  <c r="BX360" i="2"/>
  <c r="BK360" i="2"/>
  <c r="AX360" i="2"/>
  <c r="AK360" i="2"/>
  <c r="X360" i="2"/>
  <c r="K360" i="2"/>
  <c r="BX359" i="2"/>
  <c r="BK359" i="2"/>
  <c r="AX359" i="2"/>
  <c r="AK359" i="2"/>
  <c r="X359" i="2"/>
  <c r="K359" i="2"/>
  <c r="BX358" i="2"/>
  <c r="BK358" i="2"/>
  <c r="AX358" i="2"/>
  <c r="AK358" i="2"/>
  <c r="X358" i="2"/>
  <c r="K358" i="2"/>
  <c r="BX357" i="2"/>
  <c r="BK357" i="2"/>
  <c r="AX357" i="2"/>
  <c r="AK357" i="2"/>
  <c r="X357" i="2"/>
  <c r="K357" i="2"/>
  <c r="BX356" i="2"/>
  <c r="BK356" i="2"/>
  <c r="AX356" i="2"/>
  <c r="AK356" i="2"/>
  <c r="X356" i="2"/>
  <c r="K356" i="2"/>
  <c r="BX355" i="2"/>
  <c r="BK355" i="2"/>
  <c r="AX355" i="2"/>
  <c r="AK355" i="2"/>
  <c r="X355" i="2"/>
  <c r="K355" i="2"/>
  <c r="BX354" i="2"/>
  <c r="BK354" i="2"/>
  <c r="AX354" i="2"/>
  <c r="AK354" i="2"/>
  <c r="X354" i="2"/>
  <c r="K354" i="2"/>
  <c r="BX353" i="2"/>
  <c r="BK353" i="2"/>
  <c r="AX353" i="2"/>
  <c r="AK353" i="2"/>
  <c r="X353" i="2"/>
  <c r="K353" i="2"/>
  <c r="BX352" i="2"/>
  <c r="BK352" i="2"/>
  <c r="AX352" i="2"/>
  <c r="AK352" i="2"/>
  <c r="X352" i="2"/>
  <c r="K352" i="2"/>
  <c r="BX351" i="2"/>
  <c r="BK351" i="2"/>
  <c r="AX351" i="2"/>
  <c r="AK351" i="2"/>
  <c r="X351" i="2"/>
  <c r="K351" i="2"/>
  <c r="BX350" i="2"/>
  <c r="BK350" i="2"/>
  <c r="AX350" i="2"/>
  <c r="AK350" i="2"/>
  <c r="X350" i="2"/>
  <c r="K350" i="2"/>
  <c r="BX349" i="2"/>
  <c r="BK349" i="2"/>
  <c r="AX349" i="2"/>
  <c r="AK349" i="2"/>
  <c r="X349" i="2"/>
  <c r="K349" i="2"/>
  <c r="BX348" i="2"/>
  <c r="BK348" i="2"/>
  <c r="AX348" i="2"/>
  <c r="AK348" i="2"/>
  <c r="X348" i="2"/>
  <c r="K348" i="2"/>
  <c r="BX347" i="2"/>
  <c r="BK347" i="2"/>
  <c r="AX347" i="2"/>
  <c r="AK347" i="2"/>
  <c r="X347" i="2"/>
  <c r="K347" i="2"/>
  <c r="BX346" i="2"/>
  <c r="BK346" i="2"/>
  <c r="AX346" i="2"/>
  <c r="AK346" i="2"/>
  <c r="X346" i="2"/>
  <c r="K346" i="2"/>
  <c r="BX345" i="2"/>
  <c r="BK345" i="2"/>
  <c r="AX345" i="2"/>
  <c r="AK345" i="2"/>
  <c r="X345" i="2"/>
  <c r="K345" i="2"/>
  <c r="BX344" i="2"/>
  <c r="BK344" i="2"/>
  <c r="AX344" i="2"/>
  <c r="AK344" i="2"/>
  <c r="X344" i="2"/>
  <c r="K344" i="2"/>
  <c r="BX343" i="2"/>
  <c r="BK343" i="2"/>
  <c r="AX343" i="2"/>
  <c r="AK343" i="2"/>
  <c r="X343" i="2"/>
  <c r="K343" i="2"/>
  <c r="BX342" i="2"/>
  <c r="BK342" i="2"/>
  <c r="AX342" i="2"/>
  <c r="AK342" i="2"/>
  <c r="X342" i="2"/>
  <c r="K342" i="2"/>
  <c r="BX341" i="2"/>
  <c r="BK341" i="2"/>
  <c r="AX341" i="2"/>
  <c r="AK341" i="2"/>
  <c r="X341" i="2"/>
  <c r="K341" i="2"/>
  <c r="BX340" i="2"/>
  <c r="BK340" i="2"/>
  <c r="AX340" i="2"/>
  <c r="AK340" i="2"/>
  <c r="X340" i="2"/>
  <c r="K340" i="2"/>
  <c r="BX339" i="2"/>
  <c r="BK339" i="2"/>
  <c r="AX339" i="2"/>
  <c r="AK339" i="2"/>
  <c r="X339" i="2"/>
  <c r="K339" i="2"/>
  <c r="BX338" i="2"/>
  <c r="BK338" i="2"/>
  <c r="AX338" i="2"/>
  <c r="AK338" i="2"/>
  <c r="X338" i="2"/>
  <c r="K338" i="2"/>
  <c r="BX337" i="2"/>
  <c r="BK337" i="2"/>
  <c r="AX337" i="2"/>
  <c r="AK337" i="2"/>
  <c r="X337" i="2"/>
  <c r="K337" i="2"/>
  <c r="BX336" i="2"/>
  <c r="BK336" i="2"/>
  <c r="AX336" i="2"/>
  <c r="AK336" i="2"/>
  <c r="X336" i="2"/>
  <c r="K336" i="2"/>
  <c r="BX335" i="2"/>
  <c r="BK335" i="2"/>
  <c r="AX335" i="2"/>
  <c r="AK335" i="2"/>
  <c r="X335" i="2"/>
  <c r="K335" i="2"/>
  <c r="BX334" i="2"/>
  <c r="BK334" i="2"/>
  <c r="AX334" i="2"/>
  <c r="AK334" i="2"/>
  <c r="X334" i="2"/>
  <c r="K334" i="2"/>
  <c r="BX333" i="2"/>
  <c r="BK333" i="2"/>
  <c r="AX333" i="2"/>
  <c r="AK333" i="2"/>
  <c r="X333" i="2"/>
  <c r="K333" i="2"/>
  <c r="BX332" i="2"/>
  <c r="BK332" i="2"/>
  <c r="AX332" i="2"/>
  <c r="AK332" i="2"/>
  <c r="X332" i="2"/>
  <c r="K332" i="2"/>
  <c r="BX331" i="2"/>
  <c r="BK331" i="2"/>
  <c r="AX331" i="2"/>
  <c r="AK331" i="2"/>
  <c r="X331" i="2"/>
  <c r="K331" i="2"/>
  <c r="BX330" i="2"/>
  <c r="BK330" i="2"/>
  <c r="AX330" i="2"/>
  <c r="AK330" i="2"/>
  <c r="X330" i="2"/>
  <c r="K330" i="2"/>
  <c r="BX329" i="2"/>
  <c r="BK329" i="2"/>
  <c r="AX329" i="2"/>
  <c r="AK329" i="2"/>
  <c r="X329" i="2"/>
  <c r="K329" i="2"/>
  <c r="BX328" i="2"/>
  <c r="BK328" i="2"/>
  <c r="AX328" i="2"/>
  <c r="AK328" i="2"/>
  <c r="X328" i="2"/>
  <c r="K328" i="2"/>
  <c r="BX327" i="2"/>
  <c r="BK327" i="2"/>
  <c r="AX327" i="2"/>
  <c r="AK327" i="2"/>
  <c r="X327" i="2"/>
  <c r="K327" i="2"/>
  <c r="BX326" i="2"/>
  <c r="BK326" i="2"/>
  <c r="AX326" i="2"/>
  <c r="AK326" i="2"/>
  <c r="X326" i="2"/>
  <c r="K326" i="2"/>
  <c r="BX325" i="2"/>
  <c r="BK325" i="2"/>
  <c r="AX325" i="2"/>
  <c r="AK325" i="2"/>
  <c r="X325" i="2"/>
  <c r="K325" i="2"/>
  <c r="BX324" i="2"/>
  <c r="BK324" i="2"/>
  <c r="AX324" i="2"/>
  <c r="AK324" i="2"/>
  <c r="X324" i="2"/>
  <c r="K324" i="2"/>
  <c r="BX323" i="2"/>
  <c r="BK323" i="2"/>
  <c r="AX323" i="2"/>
  <c r="AK323" i="2"/>
  <c r="X323" i="2"/>
  <c r="K323" i="2"/>
  <c r="BX322" i="2"/>
  <c r="BK322" i="2"/>
  <c r="AX322" i="2"/>
  <c r="AK322" i="2"/>
  <c r="X322" i="2"/>
  <c r="K322" i="2"/>
  <c r="BX321" i="2"/>
  <c r="BK321" i="2"/>
  <c r="AX321" i="2"/>
  <c r="AK321" i="2"/>
  <c r="X321" i="2"/>
  <c r="K321" i="2"/>
  <c r="BX320" i="2"/>
  <c r="BK320" i="2"/>
  <c r="AX320" i="2"/>
  <c r="AK320" i="2"/>
  <c r="X320" i="2"/>
  <c r="K320" i="2"/>
  <c r="BX319" i="2"/>
  <c r="BK319" i="2"/>
  <c r="AX319" i="2"/>
  <c r="AK319" i="2"/>
  <c r="X319" i="2"/>
  <c r="K319" i="2"/>
  <c r="BX318" i="2"/>
  <c r="BK318" i="2"/>
  <c r="AX318" i="2"/>
  <c r="AK318" i="2"/>
  <c r="X318" i="2"/>
  <c r="K318" i="2"/>
  <c r="BX317" i="2"/>
  <c r="BK317" i="2"/>
  <c r="AX317" i="2"/>
  <c r="AK317" i="2"/>
  <c r="X317" i="2"/>
  <c r="K317" i="2"/>
  <c r="BX316" i="2"/>
  <c r="BK316" i="2"/>
  <c r="AX316" i="2"/>
  <c r="AK316" i="2"/>
  <c r="X316" i="2"/>
  <c r="K316" i="2"/>
  <c r="BX315" i="2"/>
  <c r="BK315" i="2"/>
  <c r="AX315" i="2"/>
  <c r="AK315" i="2"/>
  <c r="X315" i="2"/>
  <c r="K315" i="2"/>
  <c r="BX314" i="2"/>
  <c r="BK314" i="2"/>
  <c r="AX314" i="2"/>
  <c r="AK314" i="2"/>
  <c r="X314" i="2"/>
  <c r="K314" i="2"/>
  <c r="BX313" i="2"/>
  <c r="BK313" i="2"/>
  <c r="AX313" i="2"/>
  <c r="AK313" i="2"/>
  <c r="X313" i="2"/>
  <c r="K313" i="2"/>
  <c r="BX312" i="2"/>
  <c r="BK312" i="2"/>
  <c r="AX312" i="2"/>
  <c r="AK312" i="2"/>
  <c r="X312" i="2"/>
  <c r="K312" i="2"/>
  <c r="BX311" i="2"/>
  <c r="BK311" i="2"/>
  <c r="AX311" i="2"/>
  <c r="AK311" i="2"/>
  <c r="X311" i="2"/>
  <c r="K311" i="2"/>
  <c r="BX310" i="2"/>
  <c r="BK310" i="2"/>
  <c r="AX310" i="2"/>
  <c r="AK310" i="2"/>
  <c r="X310" i="2"/>
  <c r="K310" i="2"/>
  <c r="BX309" i="2"/>
  <c r="BK309" i="2"/>
  <c r="AX309" i="2"/>
  <c r="AK309" i="2"/>
  <c r="X309" i="2"/>
  <c r="K309" i="2"/>
  <c r="BX308" i="2"/>
  <c r="BK308" i="2"/>
  <c r="AX308" i="2"/>
  <c r="AK308" i="2"/>
  <c r="X308" i="2"/>
  <c r="K308" i="2"/>
  <c r="BX307" i="2"/>
  <c r="BK307" i="2"/>
  <c r="AX307" i="2"/>
  <c r="AK307" i="2"/>
  <c r="X307" i="2"/>
  <c r="K307" i="2"/>
  <c r="BX306" i="2"/>
  <c r="BK306" i="2"/>
  <c r="AX306" i="2"/>
  <c r="AK306" i="2"/>
  <c r="X306" i="2"/>
  <c r="K306" i="2"/>
  <c r="BX305" i="2"/>
  <c r="BK305" i="2"/>
  <c r="AX305" i="2"/>
  <c r="AK305" i="2"/>
  <c r="X305" i="2"/>
  <c r="K305" i="2"/>
  <c r="BX304" i="2"/>
  <c r="BK304" i="2"/>
  <c r="AX304" i="2"/>
  <c r="AK304" i="2"/>
  <c r="X304" i="2"/>
  <c r="K304" i="2"/>
  <c r="BX303" i="2"/>
  <c r="BK303" i="2"/>
  <c r="AX303" i="2"/>
  <c r="AK303" i="2"/>
  <c r="X303" i="2"/>
  <c r="K303" i="2"/>
  <c r="BX302" i="2"/>
  <c r="BK302" i="2"/>
  <c r="AX302" i="2"/>
  <c r="AK302" i="2"/>
  <c r="X302" i="2"/>
  <c r="K302" i="2"/>
  <c r="BX301" i="2"/>
  <c r="BK301" i="2"/>
  <c r="AX301" i="2"/>
  <c r="AK301" i="2"/>
  <c r="X301" i="2"/>
  <c r="K301" i="2"/>
  <c r="BX300" i="2"/>
  <c r="BK300" i="2"/>
  <c r="AX300" i="2"/>
  <c r="AK300" i="2"/>
  <c r="X300" i="2"/>
  <c r="K300" i="2"/>
  <c r="BX299" i="2"/>
  <c r="BK299" i="2"/>
  <c r="AX299" i="2"/>
  <c r="AK299" i="2"/>
  <c r="X299" i="2"/>
  <c r="K299" i="2"/>
  <c r="BX298" i="2"/>
  <c r="BK298" i="2"/>
  <c r="AX298" i="2"/>
  <c r="AK298" i="2"/>
  <c r="X298" i="2"/>
  <c r="K298" i="2"/>
  <c r="BX297" i="2"/>
  <c r="BK297" i="2"/>
  <c r="AX297" i="2"/>
  <c r="AK297" i="2"/>
  <c r="X297" i="2"/>
  <c r="K297" i="2"/>
  <c r="BX296" i="2"/>
  <c r="BK296" i="2"/>
  <c r="AX296" i="2"/>
  <c r="AK296" i="2"/>
  <c r="X296" i="2"/>
  <c r="K296" i="2"/>
  <c r="BX295" i="2"/>
  <c r="BK295" i="2"/>
  <c r="AX295" i="2"/>
  <c r="AK295" i="2"/>
  <c r="X295" i="2"/>
  <c r="K295" i="2"/>
  <c r="BX294" i="2"/>
  <c r="BK294" i="2"/>
  <c r="AX294" i="2"/>
  <c r="AK294" i="2"/>
  <c r="X294" i="2"/>
  <c r="K294" i="2"/>
  <c r="BX293" i="2"/>
  <c r="BK293" i="2"/>
  <c r="AX293" i="2"/>
  <c r="AK293" i="2"/>
  <c r="X293" i="2"/>
  <c r="K293" i="2"/>
  <c r="BX292" i="2"/>
  <c r="BK292" i="2"/>
  <c r="AX292" i="2"/>
  <c r="AK292" i="2"/>
  <c r="X292" i="2"/>
  <c r="K292" i="2"/>
  <c r="BX291" i="2"/>
  <c r="BK291" i="2"/>
  <c r="AX291" i="2"/>
  <c r="AK291" i="2"/>
  <c r="X291" i="2"/>
  <c r="K291" i="2"/>
  <c r="BX290" i="2"/>
  <c r="BK290" i="2"/>
  <c r="AX290" i="2"/>
  <c r="AK290" i="2"/>
  <c r="X290" i="2"/>
  <c r="K290" i="2"/>
  <c r="BX289" i="2"/>
  <c r="BK289" i="2"/>
  <c r="AX289" i="2"/>
  <c r="AK289" i="2"/>
  <c r="X289" i="2"/>
  <c r="K289" i="2"/>
  <c r="BX288" i="2"/>
  <c r="BK288" i="2"/>
  <c r="AX288" i="2"/>
  <c r="AK288" i="2"/>
  <c r="X288" i="2"/>
  <c r="K288" i="2"/>
  <c r="BX287" i="2"/>
  <c r="BK287" i="2"/>
  <c r="AX287" i="2"/>
  <c r="AK287" i="2"/>
  <c r="X287" i="2"/>
  <c r="K287" i="2"/>
  <c r="BX286" i="2"/>
  <c r="BK286" i="2"/>
  <c r="AX286" i="2"/>
  <c r="AK286" i="2"/>
  <c r="X286" i="2"/>
  <c r="K286" i="2"/>
  <c r="BX285" i="2"/>
  <c r="BK285" i="2"/>
  <c r="AX285" i="2"/>
  <c r="AK285" i="2"/>
  <c r="X285" i="2"/>
  <c r="K285" i="2"/>
  <c r="BX284" i="2"/>
  <c r="BK284" i="2"/>
  <c r="AX284" i="2"/>
  <c r="AK284" i="2"/>
  <c r="X284" i="2"/>
  <c r="K284" i="2"/>
  <c r="BX283" i="2"/>
  <c r="BK283" i="2"/>
  <c r="AX283" i="2"/>
  <c r="AK283" i="2"/>
  <c r="X283" i="2"/>
  <c r="K283" i="2"/>
  <c r="BX282" i="2"/>
  <c r="BK282" i="2"/>
  <c r="AX282" i="2"/>
  <c r="AK282" i="2"/>
  <c r="X282" i="2"/>
  <c r="K282" i="2"/>
  <c r="BX281" i="2"/>
  <c r="BK281" i="2"/>
  <c r="AX281" i="2"/>
  <c r="AK281" i="2"/>
  <c r="X281" i="2"/>
  <c r="K281" i="2"/>
  <c r="BX280" i="2"/>
  <c r="BK280" i="2"/>
  <c r="AX280" i="2"/>
  <c r="AK280" i="2"/>
  <c r="X280" i="2"/>
  <c r="K280" i="2"/>
  <c r="BX279" i="2"/>
  <c r="BK279" i="2"/>
  <c r="AX279" i="2"/>
  <c r="AK279" i="2"/>
  <c r="X279" i="2"/>
  <c r="K279" i="2"/>
  <c r="BX278" i="2"/>
  <c r="BK278" i="2"/>
  <c r="AX278" i="2"/>
  <c r="AK278" i="2"/>
  <c r="X278" i="2"/>
  <c r="K278" i="2"/>
  <c r="BX277" i="2"/>
  <c r="BK277" i="2"/>
  <c r="AX277" i="2"/>
  <c r="AK277" i="2"/>
  <c r="X277" i="2"/>
  <c r="K277" i="2"/>
  <c r="BX276" i="2"/>
  <c r="BK276" i="2"/>
  <c r="AX276" i="2"/>
  <c r="AK276" i="2"/>
  <c r="X276" i="2"/>
  <c r="K276" i="2"/>
  <c r="BX275" i="2"/>
  <c r="BK275" i="2"/>
  <c r="AX275" i="2"/>
  <c r="AK275" i="2"/>
  <c r="X275" i="2"/>
  <c r="K275" i="2"/>
  <c r="BX274" i="2"/>
  <c r="BK274" i="2"/>
  <c r="AX274" i="2"/>
  <c r="AK274" i="2"/>
  <c r="X274" i="2"/>
  <c r="K274" i="2"/>
  <c r="BX273" i="2"/>
  <c r="BK273" i="2"/>
  <c r="AX273" i="2"/>
  <c r="AK273" i="2"/>
  <c r="X273" i="2"/>
  <c r="K273" i="2"/>
  <c r="BX272" i="2"/>
  <c r="BK272" i="2"/>
  <c r="AX272" i="2"/>
  <c r="AK272" i="2"/>
  <c r="X272" i="2"/>
  <c r="K272" i="2"/>
  <c r="BX271" i="2"/>
  <c r="BK271" i="2"/>
  <c r="AX271" i="2"/>
  <c r="AK271" i="2"/>
  <c r="X271" i="2"/>
  <c r="K271" i="2"/>
  <c r="BX270" i="2"/>
  <c r="BK270" i="2"/>
  <c r="AX270" i="2"/>
  <c r="AK270" i="2"/>
  <c r="X270" i="2"/>
  <c r="K270" i="2"/>
  <c r="BX269" i="2"/>
  <c r="BK269" i="2"/>
  <c r="AX269" i="2"/>
  <c r="AK269" i="2"/>
  <c r="X269" i="2"/>
  <c r="K269" i="2"/>
  <c r="BX268" i="2"/>
  <c r="BK268" i="2"/>
  <c r="AX268" i="2"/>
  <c r="AK268" i="2"/>
  <c r="X268" i="2"/>
  <c r="K268" i="2"/>
  <c r="BX267" i="2"/>
  <c r="BK267" i="2"/>
  <c r="AX267" i="2"/>
  <c r="AK267" i="2"/>
  <c r="X267" i="2"/>
  <c r="K267" i="2"/>
  <c r="BX266" i="2"/>
  <c r="BK266" i="2"/>
  <c r="AX266" i="2"/>
  <c r="AK266" i="2"/>
  <c r="X266" i="2"/>
  <c r="K266" i="2"/>
  <c r="BX265" i="2"/>
  <c r="BK265" i="2"/>
  <c r="AX265" i="2"/>
  <c r="AK265" i="2"/>
  <c r="X265" i="2"/>
  <c r="K265" i="2"/>
  <c r="BX264" i="2"/>
  <c r="BK264" i="2"/>
  <c r="AX264" i="2"/>
  <c r="AK264" i="2"/>
  <c r="X264" i="2"/>
  <c r="K264" i="2"/>
  <c r="BX263" i="2"/>
  <c r="BK263" i="2"/>
  <c r="AX263" i="2"/>
  <c r="AK263" i="2"/>
  <c r="X263" i="2"/>
  <c r="K263" i="2"/>
  <c r="BX262" i="2"/>
  <c r="BK262" i="2"/>
  <c r="AX262" i="2"/>
  <c r="AK262" i="2"/>
  <c r="X262" i="2"/>
  <c r="K262" i="2"/>
  <c r="BX261" i="2"/>
  <c r="BK261" i="2"/>
  <c r="AX261" i="2"/>
  <c r="AK261" i="2"/>
  <c r="X261" i="2"/>
  <c r="K261" i="2"/>
  <c r="BX260" i="2"/>
  <c r="BK260" i="2"/>
  <c r="AX260" i="2"/>
  <c r="AK260" i="2"/>
  <c r="X260" i="2"/>
  <c r="K260" i="2"/>
  <c r="BX259" i="2"/>
  <c r="BK259" i="2"/>
  <c r="AX259" i="2"/>
  <c r="AK259" i="2"/>
  <c r="X259" i="2"/>
  <c r="K259" i="2"/>
  <c r="BX258" i="2"/>
  <c r="BK258" i="2"/>
  <c r="AX258" i="2"/>
  <c r="AK258" i="2"/>
  <c r="X258" i="2"/>
  <c r="K258" i="2"/>
  <c r="BX257" i="2"/>
  <c r="BK257" i="2"/>
  <c r="AX257" i="2"/>
  <c r="AK257" i="2"/>
  <c r="X257" i="2"/>
  <c r="K257" i="2"/>
  <c r="BX256" i="2"/>
  <c r="BK256" i="2"/>
  <c r="AX256" i="2"/>
  <c r="AK256" i="2"/>
  <c r="X256" i="2"/>
  <c r="K256" i="2"/>
  <c r="BX255" i="2"/>
  <c r="BK255" i="2"/>
  <c r="AX255" i="2"/>
  <c r="AK255" i="2"/>
  <c r="X255" i="2"/>
  <c r="K255" i="2"/>
  <c r="BX254" i="2"/>
  <c r="BK254" i="2"/>
  <c r="AX254" i="2"/>
  <c r="AK254" i="2"/>
  <c r="X254" i="2"/>
  <c r="K254" i="2"/>
  <c r="BX253" i="2"/>
  <c r="BK253" i="2"/>
  <c r="AX253" i="2"/>
  <c r="AK253" i="2"/>
  <c r="X253" i="2"/>
  <c r="K253" i="2"/>
  <c r="BX252" i="2"/>
  <c r="BK252" i="2"/>
  <c r="AX252" i="2"/>
  <c r="AK252" i="2"/>
  <c r="X252" i="2"/>
  <c r="K252" i="2"/>
  <c r="BX251" i="2"/>
  <c r="BK251" i="2"/>
  <c r="AX251" i="2"/>
  <c r="AK251" i="2"/>
  <c r="X251" i="2"/>
  <c r="K251" i="2"/>
  <c r="BX250" i="2"/>
  <c r="BK250" i="2"/>
  <c r="AX250" i="2"/>
  <c r="AK250" i="2"/>
  <c r="X250" i="2"/>
  <c r="K250" i="2"/>
  <c r="BX249" i="2"/>
  <c r="BK249" i="2"/>
  <c r="AX249" i="2"/>
  <c r="AK249" i="2"/>
  <c r="X249" i="2"/>
  <c r="K249" i="2"/>
  <c r="BX248" i="2"/>
  <c r="BK248" i="2"/>
  <c r="AX248" i="2"/>
  <c r="AK248" i="2"/>
  <c r="X248" i="2"/>
  <c r="K248" i="2"/>
  <c r="BX247" i="2"/>
  <c r="BK247" i="2"/>
  <c r="AX247" i="2"/>
  <c r="AK247" i="2"/>
  <c r="X247" i="2"/>
  <c r="K247" i="2"/>
  <c r="BX246" i="2"/>
  <c r="BK246" i="2"/>
  <c r="AX246" i="2"/>
  <c r="AK246" i="2"/>
  <c r="X246" i="2"/>
  <c r="K246" i="2"/>
  <c r="BX245" i="2"/>
  <c r="BK245" i="2"/>
  <c r="AX245" i="2"/>
  <c r="AK245" i="2"/>
  <c r="X245" i="2"/>
  <c r="K245" i="2"/>
  <c r="BX244" i="2"/>
  <c r="BK244" i="2"/>
  <c r="AX244" i="2"/>
  <c r="AK244" i="2"/>
  <c r="X244" i="2"/>
  <c r="K244" i="2"/>
  <c r="BX243" i="2"/>
  <c r="BK243" i="2"/>
  <c r="AX243" i="2"/>
  <c r="AK243" i="2"/>
  <c r="X243" i="2"/>
  <c r="K243" i="2"/>
  <c r="BX242" i="2"/>
  <c r="BK242" i="2"/>
  <c r="AX242" i="2"/>
  <c r="AK242" i="2"/>
  <c r="X242" i="2"/>
  <c r="K242" i="2"/>
  <c r="BX241" i="2"/>
  <c r="BK241" i="2"/>
  <c r="AX241" i="2"/>
  <c r="AK241" i="2"/>
  <c r="X241" i="2"/>
  <c r="K241" i="2"/>
  <c r="BX240" i="2"/>
  <c r="BK240" i="2"/>
  <c r="AX240" i="2"/>
  <c r="AK240" i="2"/>
  <c r="X240" i="2"/>
  <c r="K240" i="2"/>
  <c r="BX239" i="2"/>
  <c r="BK239" i="2"/>
  <c r="AX239" i="2"/>
  <c r="AK239" i="2"/>
  <c r="X239" i="2"/>
  <c r="K239" i="2"/>
  <c r="BX238" i="2"/>
  <c r="BK238" i="2"/>
  <c r="AX238" i="2"/>
  <c r="AK238" i="2"/>
  <c r="X238" i="2"/>
  <c r="K238" i="2"/>
  <c r="BX237" i="2"/>
  <c r="BK237" i="2"/>
  <c r="AX237" i="2"/>
  <c r="AK237" i="2"/>
  <c r="X237" i="2"/>
  <c r="K237" i="2"/>
  <c r="BX236" i="2"/>
  <c r="BK236" i="2"/>
  <c r="AX236" i="2"/>
  <c r="AK236" i="2"/>
  <c r="X236" i="2"/>
  <c r="K236" i="2"/>
  <c r="BX235" i="2"/>
  <c r="BK235" i="2"/>
  <c r="AX235" i="2"/>
  <c r="AK235" i="2"/>
  <c r="X235" i="2"/>
  <c r="K235" i="2"/>
  <c r="BX234" i="2"/>
  <c r="BK234" i="2"/>
  <c r="AX234" i="2"/>
  <c r="AK234" i="2"/>
  <c r="X234" i="2"/>
  <c r="K234" i="2"/>
  <c r="BX233" i="2"/>
  <c r="BK233" i="2"/>
  <c r="AX233" i="2"/>
  <c r="AK233" i="2"/>
  <c r="X233" i="2"/>
  <c r="K233" i="2"/>
  <c r="BX232" i="2"/>
  <c r="BK232" i="2"/>
  <c r="AX232" i="2"/>
  <c r="AK232" i="2"/>
  <c r="X232" i="2"/>
  <c r="K232" i="2"/>
  <c r="BX231" i="2"/>
  <c r="BK231" i="2"/>
  <c r="AX231" i="2"/>
  <c r="AK231" i="2"/>
  <c r="X231" i="2"/>
  <c r="K231" i="2"/>
  <c r="BX230" i="2"/>
  <c r="BK230" i="2"/>
  <c r="AX230" i="2"/>
  <c r="AK230" i="2"/>
  <c r="X230" i="2"/>
  <c r="K230" i="2"/>
  <c r="BX229" i="2"/>
  <c r="BK229" i="2"/>
  <c r="AX229" i="2"/>
  <c r="AK229" i="2"/>
  <c r="X229" i="2"/>
  <c r="K229" i="2"/>
  <c r="BX228" i="2"/>
  <c r="BK228" i="2"/>
  <c r="AX228" i="2"/>
  <c r="AK228" i="2"/>
  <c r="X228" i="2"/>
  <c r="K228" i="2"/>
  <c r="BX227" i="2"/>
  <c r="BK227" i="2"/>
  <c r="AX227" i="2"/>
  <c r="AK227" i="2"/>
  <c r="X227" i="2"/>
  <c r="K227" i="2"/>
  <c r="BX226" i="2"/>
  <c r="BK226" i="2"/>
  <c r="AX226" i="2"/>
  <c r="AK226" i="2"/>
  <c r="X226" i="2"/>
  <c r="K226" i="2"/>
  <c r="BX225" i="2"/>
  <c r="BK225" i="2"/>
  <c r="AX225" i="2"/>
  <c r="AK225" i="2"/>
  <c r="X225" i="2"/>
  <c r="K225" i="2"/>
  <c r="BX224" i="2"/>
  <c r="BK224" i="2"/>
  <c r="AX224" i="2"/>
  <c r="AK224" i="2"/>
  <c r="X224" i="2"/>
  <c r="K224" i="2"/>
  <c r="BX223" i="2"/>
  <c r="BK223" i="2"/>
  <c r="AX223" i="2"/>
  <c r="AK223" i="2"/>
  <c r="X223" i="2"/>
  <c r="K223" i="2"/>
  <c r="BX222" i="2"/>
  <c r="BK222" i="2"/>
  <c r="AX222" i="2"/>
  <c r="AK222" i="2"/>
  <c r="X222" i="2"/>
  <c r="K222" i="2"/>
  <c r="BX221" i="2"/>
  <c r="BK221" i="2"/>
  <c r="AX221" i="2"/>
  <c r="AK221" i="2"/>
  <c r="X221" i="2"/>
  <c r="K221" i="2"/>
  <c r="BX220" i="2"/>
  <c r="BK220" i="2"/>
  <c r="AX220" i="2"/>
  <c r="AK220" i="2"/>
  <c r="X220" i="2"/>
  <c r="K220" i="2"/>
  <c r="BX219" i="2"/>
  <c r="BK219" i="2"/>
  <c r="AX219" i="2"/>
  <c r="AK219" i="2"/>
  <c r="X219" i="2"/>
  <c r="K219" i="2"/>
  <c r="BX218" i="2"/>
  <c r="BK218" i="2"/>
  <c r="AX218" i="2"/>
  <c r="AK218" i="2"/>
  <c r="X218" i="2"/>
  <c r="K218" i="2"/>
  <c r="BX217" i="2"/>
  <c r="BK217" i="2"/>
  <c r="AX217" i="2"/>
  <c r="AK217" i="2"/>
  <c r="X217" i="2"/>
  <c r="K217" i="2"/>
  <c r="BX216" i="2"/>
  <c r="BK216" i="2"/>
  <c r="AX216" i="2"/>
  <c r="AK216" i="2"/>
  <c r="X216" i="2"/>
  <c r="K216" i="2"/>
  <c r="BX215" i="2"/>
  <c r="BK215" i="2"/>
  <c r="AX215" i="2"/>
  <c r="AK215" i="2"/>
  <c r="X215" i="2"/>
  <c r="K215" i="2"/>
  <c r="BX214" i="2"/>
  <c r="BK214" i="2"/>
  <c r="AX214" i="2"/>
  <c r="AK214" i="2"/>
  <c r="X214" i="2"/>
  <c r="K214" i="2"/>
  <c r="BX213" i="2"/>
  <c r="BK213" i="2"/>
  <c r="AX213" i="2"/>
  <c r="AK213" i="2"/>
  <c r="X213" i="2"/>
  <c r="K213" i="2"/>
  <c r="BX212" i="2"/>
  <c r="BK212" i="2"/>
  <c r="AX212" i="2"/>
  <c r="AK212" i="2"/>
  <c r="X212" i="2"/>
  <c r="K212" i="2"/>
  <c r="BX211" i="2"/>
  <c r="BK211" i="2"/>
  <c r="AX211" i="2"/>
  <c r="AK211" i="2"/>
  <c r="X211" i="2"/>
  <c r="K211" i="2"/>
  <c r="BX210" i="2"/>
  <c r="BK210" i="2"/>
  <c r="AX210" i="2"/>
  <c r="AK210" i="2"/>
  <c r="X210" i="2"/>
  <c r="K210" i="2"/>
  <c r="BX209" i="2"/>
  <c r="BK209" i="2"/>
  <c r="AX209" i="2"/>
  <c r="AK209" i="2"/>
  <c r="X209" i="2"/>
  <c r="K209" i="2"/>
  <c r="BX208" i="2"/>
  <c r="BK208" i="2"/>
  <c r="AX208" i="2"/>
  <c r="AK208" i="2"/>
  <c r="X208" i="2"/>
  <c r="K208" i="2"/>
  <c r="BX207" i="2"/>
  <c r="BK207" i="2"/>
  <c r="AX207" i="2"/>
  <c r="AK207" i="2"/>
  <c r="X207" i="2"/>
  <c r="K207" i="2"/>
  <c r="BX206" i="2"/>
  <c r="BK206" i="2"/>
  <c r="AX206" i="2"/>
  <c r="AK206" i="2"/>
  <c r="X206" i="2"/>
  <c r="K206" i="2"/>
  <c r="BX205" i="2"/>
  <c r="BK205" i="2"/>
  <c r="AX205" i="2"/>
  <c r="AK205" i="2"/>
  <c r="X205" i="2"/>
  <c r="K205" i="2"/>
  <c r="BX204" i="2"/>
  <c r="BK204" i="2"/>
  <c r="AX204" i="2"/>
  <c r="AK204" i="2"/>
  <c r="X204" i="2"/>
  <c r="K204" i="2"/>
  <c r="BX203" i="2"/>
  <c r="BK203" i="2"/>
  <c r="AX203" i="2"/>
  <c r="AK203" i="2"/>
  <c r="X203" i="2"/>
  <c r="K203" i="2"/>
  <c r="BX202" i="2"/>
  <c r="BK202" i="2"/>
  <c r="AX202" i="2"/>
  <c r="AK202" i="2"/>
  <c r="X202" i="2"/>
  <c r="K202" i="2"/>
  <c r="BX201" i="2"/>
  <c r="BK201" i="2"/>
  <c r="AX201" i="2"/>
  <c r="AK201" i="2"/>
  <c r="X201" i="2"/>
  <c r="K201" i="2"/>
  <c r="BX200" i="2"/>
  <c r="BK200" i="2"/>
  <c r="AX200" i="2"/>
  <c r="AK200" i="2"/>
  <c r="X200" i="2"/>
  <c r="K200" i="2"/>
  <c r="BX199" i="2"/>
  <c r="BK199" i="2"/>
  <c r="AX199" i="2"/>
  <c r="AK199" i="2"/>
  <c r="X199" i="2"/>
  <c r="K199" i="2"/>
  <c r="BX198" i="2"/>
  <c r="BK198" i="2"/>
  <c r="AX198" i="2"/>
  <c r="AK198" i="2"/>
  <c r="X198" i="2"/>
  <c r="K198" i="2"/>
  <c r="BX197" i="2"/>
  <c r="BK197" i="2"/>
  <c r="AX197" i="2"/>
  <c r="AK197" i="2"/>
  <c r="X197" i="2"/>
  <c r="K197" i="2"/>
  <c r="BX196" i="2"/>
  <c r="BK196" i="2"/>
  <c r="AX196" i="2"/>
  <c r="AK196" i="2"/>
  <c r="X196" i="2"/>
  <c r="K196" i="2"/>
  <c r="BX195" i="2"/>
  <c r="BK195" i="2"/>
  <c r="AX195" i="2"/>
  <c r="AK195" i="2"/>
  <c r="X195" i="2"/>
  <c r="K195" i="2"/>
  <c r="BX194" i="2"/>
  <c r="BK194" i="2"/>
  <c r="AX194" i="2"/>
  <c r="AK194" i="2"/>
  <c r="X194" i="2"/>
  <c r="K194" i="2"/>
  <c r="BX193" i="2"/>
  <c r="BK193" i="2"/>
  <c r="AX193" i="2"/>
  <c r="AK193" i="2"/>
  <c r="X193" i="2"/>
  <c r="K193" i="2"/>
  <c r="BX192" i="2"/>
  <c r="BK192" i="2"/>
  <c r="AX192" i="2"/>
  <c r="AK192" i="2"/>
  <c r="X192" i="2"/>
  <c r="K192" i="2"/>
  <c r="BX191" i="2"/>
  <c r="BK191" i="2"/>
  <c r="AX191" i="2"/>
  <c r="AK191" i="2"/>
  <c r="X191" i="2"/>
  <c r="K191" i="2"/>
  <c r="BX190" i="2"/>
  <c r="BK190" i="2"/>
  <c r="AX190" i="2"/>
  <c r="AK190" i="2"/>
  <c r="X190" i="2"/>
  <c r="K190" i="2"/>
  <c r="BX189" i="2"/>
  <c r="BK189" i="2"/>
  <c r="AX189" i="2"/>
  <c r="AK189" i="2"/>
  <c r="X189" i="2"/>
  <c r="K189" i="2"/>
  <c r="BX188" i="2"/>
  <c r="BK188" i="2"/>
  <c r="AX188" i="2"/>
  <c r="AK188" i="2"/>
  <c r="X188" i="2"/>
  <c r="K188" i="2"/>
  <c r="BX187" i="2"/>
  <c r="BK187" i="2"/>
  <c r="AX187" i="2"/>
  <c r="AK187" i="2"/>
  <c r="X187" i="2"/>
  <c r="K187" i="2"/>
  <c r="BX186" i="2"/>
  <c r="BK186" i="2"/>
  <c r="AX186" i="2"/>
  <c r="AK186" i="2"/>
  <c r="X186" i="2"/>
  <c r="K186" i="2"/>
  <c r="BX185" i="2"/>
  <c r="BK185" i="2"/>
  <c r="AX185" i="2"/>
  <c r="AK185" i="2"/>
  <c r="X185" i="2"/>
  <c r="K185" i="2"/>
  <c r="BX184" i="2"/>
  <c r="BK184" i="2"/>
  <c r="AX184" i="2"/>
  <c r="AK184" i="2"/>
  <c r="X184" i="2"/>
  <c r="K184" i="2"/>
  <c r="BX183" i="2"/>
  <c r="BK183" i="2"/>
  <c r="AX183" i="2"/>
  <c r="AK183" i="2"/>
  <c r="X183" i="2"/>
  <c r="K183" i="2"/>
  <c r="BX182" i="2"/>
  <c r="BK182" i="2"/>
  <c r="AX182" i="2"/>
  <c r="AK182" i="2"/>
  <c r="X182" i="2"/>
  <c r="K182" i="2"/>
  <c r="BX181" i="2"/>
  <c r="BK181" i="2"/>
  <c r="AX181" i="2"/>
  <c r="AK181" i="2"/>
  <c r="X181" i="2"/>
  <c r="K181" i="2"/>
  <c r="BX180" i="2"/>
  <c r="BK180" i="2"/>
  <c r="AX180" i="2"/>
  <c r="AK180" i="2"/>
  <c r="X180" i="2"/>
  <c r="K180" i="2"/>
  <c r="BX179" i="2"/>
  <c r="BK179" i="2"/>
  <c r="AX179" i="2"/>
  <c r="AK179" i="2"/>
  <c r="X179" i="2"/>
  <c r="K179" i="2"/>
  <c r="BX178" i="2"/>
  <c r="BK178" i="2"/>
  <c r="AX178" i="2"/>
  <c r="AK178" i="2"/>
  <c r="X178" i="2"/>
  <c r="K178" i="2"/>
  <c r="BX177" i="2"/>
  <c r="BK177" i="2"/>
  <c r="AX177" i="2"/>
  <c r="AK177" i="2"/>
  <c r="X177" i="2"/>
  <c r="K177" i="2"/>
  <c r="BX176" i="2"/>
  <c r="BK176" i="2"/>
  <c r="AX176" i="2"/>
  <c r="AK176" i="2"/>
  <c r="X176" i="2"/>
  <c r="K176" i="2"/>
  <c r="BX175" i="2"/>
  <c r="BK175" i="2"/>
  <c r="AX175" i="2"/>
  <c r="AK175" i="2"/>
  <c r="X175" i="2"/>
  <c r="K175" i="2"/>
  <c r="BX174" i="2"/>
  <c r="BK174" i="2"/>
  <c r="AX174" i="2"/>
  <c r="AK174" i="2"/>
  <c r="X174" i="2"/>
  <c r="K174" i="2"/>
  <c r="BX173" i="2"/>
  <c r="BK173" i="2"/>
  <c r="AX173" i="2"/>
  <c r="AK173" i="2"/>
  <c r="X173" i="2"/>
  <c r="K173" i="2"/>
  <c r="BX172" i="2"/>
  <c r="BK172" i="2"/>
  <c r="AX172" i="2"/>
  <c r="AK172" i="2"/>
  <c r="X172" i="2"/>
  <c r="K172" i="2"/>
  <c r="BX171" i="2"/>
  <c r="BK171" i="2"/>
  <c r="AX171" i="2"/>
  <c r="AK171" i="2"/>
  <c r="X171" i="2"/>
  <c r="K171" i="2"/>
  <c r="BX170" i="2"/>
  <c r="BK170" i="2"/>
  <c r="AX170" i="2"/>
  <c r="AK170" i="2"/>
  <c r="X170" i="2"/>
  <c r="K170" i="2"/>
  <c r="BX169" i="2"/>
  <c r="BK169" i="2"/>
  <c r="AX169" i="2"/>
  <c r="AK169" i="2"/>
  <c r="X169" i="2"/>
  <c r="K169" i="2"/>
  <c r="BX168" i="2"/>
  <c r="BK168" i="2"/>
  <c r="AX168" i="2"/>
  <c r="AK168" i="2"/>
  <c r="X168" i="2"/>
  <c r="K168" i="2"/>
  <c r="BX167" i="2"/>
  <c r="BK167" i="2"/>
  <c r="AX167" i="2"/>
  <c r="AK167" i="2"/>
  <c r="X167" i="2"/>
  <c r="K167" i="2"/>
  <c r="BX166" i="2"/>
  <c r="BK166" i="2"/>
  <c r="AX166" i="2"/>
  <c r="AK166" i="2"/>
  <c r="X166" i="2"/>
  <c r="K166" i="2"/>
  <c r="BX165" i="2"/>
  <c r="BK165" i="2"/>
  <c r="AX165" i="2"/>
  <c r="AK165" i="2"/>
  <c r="X165" i="2"/>
  <c r="K165" i="2"/>
  <c r="BX164" i="2"/>
  <c r="BK164" i="2"/>
  <c r="AX164" i="2"/>
  <c r="AK164" i="2"/>
  <c r="X164" i="2"/>
  <c r="K164" i="2"/>
  <c r="BX163" i="2"/>
  <c r="BK163" i="2"/>
  <c r="AX163" i="2"/>
  <c r="AK163" i="2"/>
  <c r="X163" i="2"/>
  <c r="K163" i="2"/>
  <c r="BX162" i="2"/>
  <c r="BK162" i="2"/>
  <c r="AX162" i="2"/>
  <c r="AK162" i="2"/>
  <c r="X162" i="2"/>
  <c r="K162" i="2"/>
  <c r="BX161" i="2"/>
  <c r="BK161" i="2"/>
  <c r="AX161" i="2"/>
  <c r="AK161" i="2"/>
  <c r="X161" i="2"/>
  <c r="K161" i="2"/>
  <c r="BX160" i="2"/>
  <c r="BK160" i="2"/>
  <c r="AX160" i="2"/>
  <c r="AK160" i="2"/>
  <c r="X160" i="2"/>
  <c r="K160" i="2"/>
  <c r="BX159" i="2"/>
  <c r="BK159" i="2"/>
  <c r="AX159" i="2"/>
  <c r="AK159" i="2"/>
  <c r="X159" i="2"/>
  <c r="K159" i="2"/>
  <c r="BX158" i="2"/>
  <c r="BK158" i="2"/>
  <c r="AX158" i="2"/>
  <c r="AK158" i="2"/>
  <c r="X158" i="2"/>
  <c r="K158" i="2"/>
  <c r="BX157" i="2"/>
  <c r="BK157" i="2"/>
  <c r="AX157" i="2"/>
  <c r="AK157" i="2"/>
  <c r="X157" i="2"/>
  <c r="K157" i="2"/>
  <c r="BX156" i="2"/>
  <c r="BK156" i="2"/>
  <c r="AX156" i="2"/>
  <c r="AK156" i="2"/>
  <c r="X156" i="2"/>
  <c r="K156" i="2"/>
  <c r="BX155" i="2"/>
  <c r="BK155" i="2"/>
  <c r="AX155" i="2"/>
  <c r="AK155" i="2"/>
  <c r="X155" i="2"/>
  <c r="K155" i="2"/>
  <c r="BX154" i="2"/>
  <c r="BK154" i="2"/>
  <c r="AX154" i="2"/>
  <c r="AK154" i="2"/>
  <c r="X154" i="2"/>
  <c r="K154" i="2"/>
  <c r="BX153" i="2"/>
  <c r="BK153" i="2"/>
  <c r="AX153" i="2"/>
  <c r="AK153" i="2"/>
  <c r="X153" i="2"/>
  <c r="K153" i="2"/>
  <c r="BX152" i="2"/>
  <c r="BK152" i="2"/>
  <c r="AX152" i="2"/>
  <c r="AK152" i="2"/>
  <c r="X152" i="2"/>
  <c r="K152" i="2"/>
  <c r="BX151" i="2"/>
  <c r="BK151" i="2"/>
  <c r="AX151" i="2"/>
  <c r="AK151" i="2"/>
  <c r="X151" i="2"/>
  <c r="K151" i="2"/>
  <c r="BX150" i="2"/>
  <c r="BK150" i="2"/>
  <c r="AX150" i="2"/>
  <c r="AK150" i="2"/>
  <c r="X150" i="2"/>
  <c r="K150" i="2"/>
  <c r="BX149" i="2"/>
  <c r="BK149" i="2"/>
  <c r="AX149" i="2"/>
  <c r="AK149" i="2"/>
  <c r="X149" i="2"/>
  <c r="K149" i="2"/>
  <c r="BX148" i="2"/>
  <c r="BK148" i="2"/>
  <c r="AX148" i="2"/>
  <c r="AK148" i="2"/>
  <c r="X148" i="2"/>
  <c r="K148" i="2"/>
  <c r="BX147" i="2"/>
  <c r="BK147" i="2"/>
  <c r="AX147" i="2"/>
  <c r="AK147" i="2"/>
  <c r="X147" i="2"/>
  <c r="K147" i="2"/>
  <c r="BX146" i="2"/>
  <c r="BK146" i="2"/>
  <c r="AX146" i="2"/>
  <c r="AK146" i="2"/>
  <c r="X146" i="2"/>
  <c r="K146" i="2"/>
  <c r="BX145" i="2"/>
  <c r="BK145" i="2"/>
  <c r="AX145" i="2"/>
  <c r="AK145" i="2"/>
  <c r="X145" i="2"/>
  <c r="K145" i="2"/>
  <c r="BX144" i="2"/>
  <c r="BK144" i="2"/>
  <c r="AX144" i="2"/>
  <c r="AK144" i="2"/>
  <c r="X144" i="2"/>
  <c r="K144" i="2"/>
  <c r="BX143" i="2"/>
  <c r="BK143" i="2"/>
  <c r="AX143" i="2"/>
  <c r="AK143" i="2"/>
  <c r="X143" i="2"/>
  <c r="K143" i="2"/>
  <c r="BX142" i="2"/>
  <c r="BK142" i="2"/>
  <c r="AX142" i="2"/>
  <c r="AK142" i="2"/>
  <c r="X142" i="2"/>
  <c r="K142" i="2"/>
  <c r="BX141" i="2"/>
  <c r="BK141" i="2"/>
  <c r="AX141" i="2"/>
  <c r="AK141" i="2"/>
  <c r="X141" i="2"/>
  <c r="K141" i="2"/>
  <c r="BX140" i="2"/>
  <c r="BK140" i="2"/>
  <c r="AX140" i="2"/>
  <c r="AK140" i="2"/>
  <c r="X140" i="2"/>
  <c r="K140" i="2"/>
  <c r="BX139" i="2"/>
  <c r="BK139" i="2"/>
  <c r="AX139" i="2"/>
  <c r="AK139" i="2"/>
  <c r="X139" i="2"/>
  <c r="K139" i="2"/>
  <c r="BX138" i="2"/>
  <c r="BK138" i="2"/>
  <c r="AX138" i="2"/>
  <c r="AK138" i="2"/>
  <c r="X138" i="2"/>
  <c r="K138" i="2"/>
  <c r="BX137" i="2"/>
  <c r="BK137" i="2"/>
  <c r="AX137" i="2"/>
  <c r="AK137" i="2"/>
  <c r="X137" i="2"/>
  <c r="K137" i="2"/>
  <c r="BX136" i="2"/>
  <c r="BK136" i="2"/>
  <c r="AX136" i="2"/>
  <c r="AK136" i="2"/>
  <c r="X136" i="2"/>
  <c r="K136" i="2"/>
  <c r="BX135" i="2"/>
  <c r="BK135" i="2"/>
  <c r="AX135" i="2"/>
  <c r="AK135" i="2"/>
  <c r="X135" i="2"/>
  <c r="K135" i="2"/>
  <c r="BX134" i="2"/>
  <c r="BK134" i="2"/>
  <c r="AX134" i="2"/>
  <c r="AK134" i="2"/>
  <c r="X134" i="2"/>
  <c r="K134" i="2"/>
  <c r="BX133" i="2"/>
  <c r="BK133" i="2"/>
  <c r="AX133" i="2"/>
  <c r="AK133" i="2"/>
  <c r="X133" i="2"/>
  <c r="K133" i="2"/>
  <c r="BX132" i="2"/>
  <c r="BK132" i="2"/>
  <c r="AX132" i="2"/>
  <c r="AK132" i="2"/>
  <c r="X132" i="2"/>
  <c r="K132" i="2"/>
  <c r="BX131" i="2"/>
  <c r="BK131" i="2"/>
  <c r="AX131" i="2"/>
  <c r="AK131" i="2"/>
  <c r="X131" i="2"/>
  <c r="K131" i="2"/>
  <c r="BX130" i="2"/>
  <c r="BK130" i="2"/>
  <c r="AX130" i="2"/>
  <c r="AK130" i="2"/>
  <c r="X130" i="2"/>
  <c r="K130" i="2"/>
  <c r="BX129" i="2"/>
  <c r="BK129" i="2"/>
  <c r="AX129" i="2"/>
  <c r="AK129" i="2"/>
  <c r="X129" i="2"/>
  <c r="K129" i="2"/>
  <c r="BX128" i="2"/>
  <c r="BK128" i="2"/>
  <c r="AX128" i="2"/>
  <c r="AK128" i="2"/>
  <c r="X128" i="2"/>
  <c r="K128" i="2"/>
  <c r="BX127" i="2"/>
  <c r="BK127" i="2"/>
  <c r="AX127" i="2"/>
  <c r="AK127" i="2"/>
  <c r="X127" i="2"/>
  <c r="K127" i="2"/>
  <c r="BX126" i="2"/>
  <c r="BK126" i="2"/>
  <c r="AX126" i="2"/>
  <c r="AK126" i="2"/>
  <c r="X126" i="2"/>
  <c r="K126" i="2"/>
  <c r="BX125" i="2"/>
  <c r="BK125" i="2"/>
  <c r="AX125" i="2"/>
  <c r="AK125" i="2"/>
  <c r="X125" i="2"/>
  <c r="K125" i="2"/>
  <c r="BX124" i="2"/>
  <c r="BK124" i="2"/>
  <c r="AX124" i="2"/>
  <c r="AK124" i="2"/>
  <c r="X124" i="2"/>
  <c r="K124" i="2"/>
  <c r="BX123" i="2"/>
  <c r="BK123" i="2"/>
  <c r="AX123" i="2"/>
  <c r="AK123" i="2"/>
  <c r="X123" i="2"/>
  <c r="K123" i="2"/>
  <c r="BX122" i="2"/>
  <c r="BK122" i="2"/>
  <c r="AX122" i="2"/>
  <c r="AK122" i="2"/>
  <c r="X122" i="2"/>
  <c r="K122" i="2"/>
  <c r="BX121" i="2"/>
  <c r="BK121" i="2"/>
  <c r="AX121" i="2"/>
  <c r="AK121" i="2"/>
  <c r="X121" i="2"/>
  <c r="K121" i="2"/>
  <c r="BX120" i="2"/>
  <c r="BK120" i="2"/>
  <c r="AX120" i="2"/>
  <c r="AK120" i="2"/>
  <c r="X120" i="2"/>
  <c r="K120" i="2"/>
  <c r="BX119" i="2"/>
  <c r="BK119" i="2"/>
  <c r="AX119" i="2"/>
  <c r="AK119" i="2"/>
  <c r="X119" i="2"/>
  <c r="K119" i="2"/>
  <c r="BX118" i="2"/>
  <c r="BK118" i="2"/>
  <c r="AX118" i="2"/>
  <c r="AK118" i="2"/>
  <c r="X118" i="2"/>
  <c r="K118" i="2"/>
  <c r="BX117" i="2"/>
  <c r="BK117" i="2"/>
  <c r="AX117" i="2"/>
  <c r="AK117" i="2"/>
  <c r="X117" i="2"/>
  <c r="K117" i="2"/>
  <c r="BX116" i="2"/>
  <c r="BK116" i="2"/>
  <c r="AX116" i="2"/>
  <c r="AK116" i="2"/>
  <c r="X116" i="2"/>
  <c r="K116" i="2"/>
  <c r="BX115" i="2"/>
  <c r="BK115" i="2"/>
  <c r="AX115" i="2"/>
  <c r="AK115" i="2"/>
  <c r="X115" i="2"/>
  <c r="K115" i="2"/>
  <c r="BX114" i="2"/>
  <c r="BK114" i="2"/>
  <c r="AX114" i="2"/>
  <c r="AK114" i="2"/>
  <c r="X114" i="2"/>
  <c r="K114" i="2"/>
  <c r="BX113" i="2"/>
  <c r="BK113" i="2"/>
  <c r="AX113" i="2"/>
  <c r="AK113" i="2"/>
  <c r="X113" i="2"/>
  <c r="K113" i="2"/>
  <c r="BX112" i="2"/>
  <c r="BK112" i="2"/>
  <c r="AX112" i="2"/>
  <c r="AK112" i="2"/>
  <c r="X112" i="2"/>
  <c r="K112" i="2"/>
  <c r="BX111" i="2"/>
  <c r="BK111" i="2"/>
  <c r="AX111" i="2"/>
  <c r="AK111" i="2"/>
  <c r="X111" i="2"/>
  <c r="K111" i="2"/>
  <c r="BX110" i="2"/>
  <c r="BK110" i="2"/>
  <c r="AX110" i="2"/>
  <c r="AK110" i="2"/>
  <c r="X110" i="2"/>
  <c r="K110" i="2"/>
  <c r="BX109" i="2"/>
  <c r="BK109" i="2"/>
  <c r="AX109" i="2"/>
  <c r="AK109" i="2"/>
  <c r="X109" i="2"/>
  <c r="K109" i="2"/>
  <c r="BX108" i="2"/>
  <c r="BK108" i="2"/>
  <c r="AX108" i="2"/>
  <c r="AK108" i="2"/>
  <c r="X108" i="2"/>
  <c r="K108" i="2"/>
  <c r="BX107" i="2"/>
  <c r="BK107" i="2"/>
  <c r="AX107" i="2"/>
  <c r="AK107" i="2"/>
  <c r="X107" i="2"/>
  <c r="K107" i="2"/>
  <c r="BX106" i="2"/>
  <c r="BK106" i="2"/>
  <c r="AX106" i="2"/>
  <c r="AK106" i="2"/>
  <c r="X106" i="2"/>
  <c r="K106" i="2"/>
  <c r="BX105" i="2"/>
  <c r="BK105" i="2"/>
  <c r="AX105" i="2"/>
  <c r="AK105" i="2"/>
  <c r="X105" i="2"/>
  <c r="K105" i="2"/>
  <c r="BX104" i="2"/>
  <c r="BK104" i="2"/>
  <c r="AX104" i="2"/>
  <c r="AK104" i="2"/>
  <c r="X104" i="2"/>
  <c r="K104" i="2"/>
  <c r="BX103" i="2"/>
  <c r="BK103" i="2"/>
  <c r="AX103" i="2"/>
  <c r="AK103" i="2"/>
  <c r="X103" i="2"/>
  <c r="K103" i="2"/>
  <c r="BX102" i="2"/>
  <c r="BK102" i="2"/>
  <c r="AX102" i="2"/>
  <c r="AK102" i="2"/>
  <c r="X102" i="2"/>
  <c r="K102" i="2"/>
  <c r="BX101" i="2"/>
  <c r="BK101" i="2"/>
  <c r="AX101" i="2"/>
  <c r="AK101" i="2"/>
  <c r="X101" i="2"/>
  <c r="K101" i="2"/>
  <c r="BX100" i="2"/>
  <c r="BK100" i="2"/>
  <c r="AX100" i="2"/>
  <c r="AK100" i="2"/>
  <c r="X100" i="2"/>
  <c r="K100" i="2"/>
  <c r="BX99" i="2"/>
  <c r="BK99" i="2"/>
  <c r="AX99" i="2"/>
  <c r="AK99" i="2"/>
  <c r="X99" i="2"/>
  <c r="K99" i="2"/>
  <c r="BX98" i="2"/>
  <c r="BK98" i="2"/>
  <c r="AX98" i="2"/>
  <c r="AK98" i="2"/>
  <c r="X98" i="2"/>
  <c r="K98" i="2"/>
  <c r="BX97" i="2"/>
  <c r="BK97" i="2"/>
  <c r="AX97" i="2"/>
  <c r="AK97" i="2"/>
  <c r="X97" i="2"/>
  <c r="K97" i="2"/>
  <c r="BX96" i="2"/>
  <c r="BK96" i="2"/>
  <c r="AX96" i="2"/>
  <c r="AK96" i="2"/>
  <c r="X96" i="2"/>
  <c r="K96" i="2"/>
  <c r="BX95" i="2"/>
  <c r="BK95" i="2"/>
  <c r="AX95" i="2"/>
  <c r="AK95" i="2"/>
  <c r="X95" i="2"/>
  <c r="K95" i="2"/>
  <c r="BX94" i="2"/>
  <c r="BK94" i="2"/>
  <c r="AX94" i="2"/>
  <c r="AK94" i="2"/>
  <c r="X94" i="2"/>
  <c r="K94" i="2"/>
  <c r="BX93" i="2"/>
  <c r="BK93" i="2"/>
  <c r="AX93" i="2"/>
  <c r="AK93" i="2"/>
  <c r="X93" i="2"/>
  <c r="K93" i="2"/>
  <c r="BX92" i="2"/>
  <c r="BK92" i="2"/>
  <c r="AX92" i="2"/>
  <c r="AK92" i="2"/>
  <c r="X92" i="2"/>
  <c r="K92" i="2"/>
  <c r="BX91" i="2"/>
  <c r="BK91" i="2"/>
  <c r="AX91" i="2"/>
  <c r="AK91" i="2"/>
  <c r="X91" i="2"/>
  <c r="K91" i="2"/>
  <c r="BX90" i="2"/>
  <c r="BK90" i="2"/>
  <c r="AX90" i="2"/>
  <c r="AK90" i="2"/>
  <c r="X90" i="2"/>
  <c r="K90" i="2"/>
  <c r="BX88" i="2"/>
  <c r="BK88" i="2"/>
  <c r="AX88" i="2"/>
  <c r="AK88" i="2"/>
  <c r="X88" i="2"/>
  <c r="K88" i="2"/>
  <c r="BX87" i="2"/>
  <c r="BK87" i="2"/>
  <c r="AX87" i="2"/>
  <c r="AK87" i="2"/>
  <c r="X87" i="2"/>
  <c r="K87" i="2"/>
  <c r="BX86" i="2"/>
  <c r="BK86" i="2"/>
  <c r="AX86" i="2"/>
  <c r="AK86" i="2"/>
  <c r="X86" i="2"/>
  <c r="K86" i="2"/>
  <c r="BX85" i="2"/>
  <c r="BK85" i="2"/>
  <c r="AX85" i="2"/>
  <c r="AK85" i="2"/>
  <c r="X85" i="2"/>
  <c r="K85" i="2"/>
  <c r="BX84" i="2"/>
  <c r="BK84" i="2"/>
  <c r="AX84" i="2"/>
  <c r="AK84" i="2"/>
  <c r="X84" i="2"/>
  <c r="K84" i="2"/>
  <c r="BX83" i="2"/>
  <c r="BK83" i="2"/>
  <c r="AX83" i="2"/>
  <c r="AK83" i="2"/>
  <c r="X83" i="2"/>
  <c r="K83" i="2"/>
  <c r="BX82" i="2"/>
  <c r="BK82" i="2"/>
  <c r="AX82" i="2"/>
  <c r="AK82" i="2"/>
  <c r="X82" i="2"/>
  <c r="K82" i="2"/>
  <c r="BX81" i="2"/>
  <c r="BK81" i="2"/>
  <c r="AX81" i="2"/>
  <c r="AK81" i="2"/>
  <c r="X81" i="2"/>
  <c r="K81" i="2"/>
  <c r="BX80" i="2"/>
  <c r="BK80" i="2"/>
  <c r="AX80" i="2"/>
  <c r="AK80" i="2"/>
  <c r="X80" i="2"/>
  <c r="K80" i="2"/>
  <c r="BX79" i="2"/>
  <c r="BK79" i="2"/>
  <c r="AX79" i="2"/>
  <c r="AK79" i="2"/>
  <c r="X79" i="2"/>
  <c r="K79" i="2"/>
  <c r="BX78" i="2"/>
  <c r="BK78" i="2"/>
  <c r="AX78" i="2"/>
  <c r="AK78" i="2"/>
  <c r="X78" i="2"/>
  <c r="K78" i="2"/>
  <c r="BX77" i="2"/>
  <c r="BK77" i="2"/>
  <c r="AX77" i="2"/>
  <c r="AK77" i="2"/>
  <c r="X77" i="2"/>
  <c r="K77" i="2"/>
  <c r="BX76" i="2"/>
  <c r="BK76" i="2"/>
  <c r="AX76" i="2"/>
  <c r="AK76" i="2"/>
  <c r="X76" i="2"/>
  <c r="K76" i="2"/>
  <c r="BX75" i="2"/>
  <c r="BK75" i="2"/>
  <c r="AX75" i="2"/>
  <c r="AK75" i="2"/>
  <c r="X75" i="2"/>
  <c r="K75" i="2"/>
  <c r="BX74" i="2"/>
  <c r="BK74" i="2"/>
  <c r="AX74" i="2"/>
  <c r="AK74" i="2"/>
  <c r="X74" i="2"/>
  <c r="K74" i="2"/>
  <c r="BX73" i="2"/>
  <c r="BK73" i="2"/>
  <c r="AX73" i="2"/>
  <c r="AK73" i="2"/>
  <c r="X73" i="2"/>
  <c r="K73" i="2"/>
  <c r="BX72" i="2"/>
  <c r="BK72" i="2"/>
  <c r="AX72" i="2"/>
  <c r="AK72" i="2"/>
  <c r="X72" i="2"/>
  <c r="K72" i="2"/>
  <c r="BX71" i="2"/>
  <c r="BK71" i="2"/>
  <c r="AX71" i="2"/>
  <c r="AK71" i="2"/>
  <c r="X71" i="2"/>
  <c r="K71" i="2"/>
  <c r="BX70" i="2"/>
  <c r="BK70" i="2"/>
  <c r="AX70" i="2"/>
  <c r="AK70" i="2"/>
  <c r="X70" i="2"/>
  <c r="K70" i="2"/>
  <c r="BX69" i="2"/>
  <c r="BK69" i="2"/>
  <c r="AX69" i="2"/>
  <c r="AK69" i="2"/>
  <c r="X69" i="2"/>
  <c r="K69" i="2"/>
  <c r="BX68" i="2"/>
  <c r="BK68" i="2"/>
  <c r="AX68" i="2"/>
  <c r="AK68" i="2"/>
  <c r="X68" i="2"/>
  <c r="K68" i="2"/>
  <c r="BX67" i="2"/>
  <c r="BK67" i="2"/>
  <c r="AX67" i="2"/>
  <c r="AK67" i="2"/>
  <c r="X67" i="2"/>
  <c r="K67" i="2"/>
  <c r="BX66" i="2"/>
  <c r="BK66" i="2"/>
  <c r="AX66" i="2"/>
  <c r="AK66" i="2"/>
  <c r="X66" i="2"/>
  <c r="K66" i="2"/>
  <c r="BX65" i="2"/>
  <c r="BK65" i="2"/>
  <c r="AX65" i="2"/>
  <c r="AK65" i="2"/>
  <c r="X65" i="2"/>
  <c r="K65" i="2"/>
  <c r="BX64" i="2"/>
  <c r="BK64" i="2"/>
  <c r="AX64" i="2"/>
  <c r="AK64" i="2"/>
  <c r="X64" i="2"/>
  <c r="K64" i="2"/>
  <c r="BX63" i="2"/>
  <c r="BK63" i="2"/>
  <c r="AX63" i="2"/>
  <c r="AK63" i="2"/>
  <c r="X63" i="2"/>
  <c r="K63" i="2"/>
  <c r="BX62" i="2"/>
  <c r="BK62" i="2"/>
  <c r="AX62" i="2"/>
  <c r="AK62" i="2"/>
  <c r="X62" i="2"/>
  <c r="K62" i="2"/>
  <c r="BX61" i="2"/>
  <c r="BK61" i="2"/>
  <c r="AX61" i="2"/>
  <c r="AK61" i="2"/>
  <c r="X61" i="2"/>
  <c r="K61" i="2"/>
  <c r="BX60" i="2"/>
  <c r="BK60" i="2"/>
  <c r="AX60" i="2"/>
  <c r="AK60" i="2"/>
  <c r="X60" i="2"/>
  <c r="K60" i="2"/>
  <c r="BX59" i="2"/>
  <c r="BK59" i="2"/>
  <c r="AX59" i="2"/>
  <c r="AK59" i="2"/>
  <c r="X59" i="2"/>
  <c r="K59" i="2"/>
  <c r="BX58" i="2"/>
  <c r="BK58" i="2"/>
  <c r="AX58" i="2"/>
  <c r="AK58" i="2"/>
  <c r="X58" i="2"/>
  <c r="K58" i="2"/>
  <c r="BX57" i="2"/>
  <c r="BK57" i="2"/>
  <c r="AX57" i="2"/>
  <c r="AK57" i="2"/>
  <c r="X57" i="2"/>
  <c r="K57" i="2"/>
  <c r="BX56" i="2"/>
  <c r="BK56" i="2"/>
  <c r="AX56" i="2"/>
  <c r="AK56" i="2"/>
  <c r="X56" i="2"/>
  <c r="K56" i="2"/>
  <c r="BX55" i="2"/>
  <c r="BK55" i="2"/>
  <c r="AX55" i="2"/>
  <c r="AK55" i="2"/>
  <c r="X55" i="2"/>
  <c r="K55" i="2"/>
  <c r="BX54" i="2"/>
  <c r="BK54" i="2"/>
  <c r="AX54" i="2"/>
  <c r="AK54" i="2"/>
  <c r="X54" i="2"/>
  <c r="K54" i="2"/>
  <c r="BX53" i="2"/>
  <c r="BK53" i="2"/>
  <c r="AX53" i="2"/>
  <c r="AK53" i="2"/>
  <c r="X53" i="2"/>
  <c r="K53" i="2"/>
  <c r="BX52" i="2"/>
  <c r="BK52" i="2"/>
  <c r="AX52" i="2"/>
  <c r="AK52" i="2"/>
  <c r="X52" i="2"/>
  <c r="K52" i="2"/>
  <c r="BX51" i="2"/>
  <c r="BK51" i="2"/>
  <c r="AX51" i="2"/>
  <c r="AK51" i="2"/>
  <c r="X51" i="2"/>
  <c r="K51" i="2"/>
  <c r="BX50" i="2"/>
  <c r="BK50" i="2"/>
  <c r="AX50" i="2"/>
  <c r="AK50" i="2"/>
  <c r="X50" i="2"/>
  <c r="K50" i="2"/>
  <c r="BX49" i="2"/>
  <c r="BK49" i="2"/>
  <c r="AX49" i="2"/>
  <c r="AK49" i="2"/>
  <c r="X49" i="2"/>
  <c r="K49" i="2"/>
  <c r="BX48" i="2"/>
  <c r="BK48" i="2"/>
  <c r="AX48" i="2"/>
  <c r="AK48" i="2"/>
  <c r="X48" i="2"/>
  <c r="K48" i="2"/>
  <c r="BX47" i="2"/>
  <c r="BK47" i="2"/>
  <c r="AX47" i="2"/>
  <c r="AK47" i="2"/>
  <c r="X47" i="2"/>
  <c r="K47" i="2"/>
  <c r="BX46" i="2"/>
  <c r="BK46" i="2"/>
  <c r="AX46" i="2"/>
  <c r="AK46" i="2"/>
  <c r="X46" i="2"/>
  <c r="K46" i="2"/>
  <c r="BX45" i="2"/>
  <c r="BK45" i="2"/>
  <c r="AX45" i="2"/>
  <c r="AK45" i="2"/>
  <c r="X45" i="2"/>
  <c r="K45" i="2"/>
  <c r="BX44" i="2"/>
  <c r="BK44" i="2"/>
  <c r="AX44" i="2"/>
  <c r="AK44" i="2"/>
  <c r="X44" i="2"/>
  <c r="K44" i="2"/>
  <c r="BX43" i="2"/>
  <c r="BK43" i="2"/>
  <c r="AX43" i="2"/>
  <c r="AK43" i="2"/>
  <c r="X43" i="2"/>
  <c r="K43" i="2"/>
  <c r="BX42" i="2"/>
  <c r="BK42" i="2"/>
  <c r="AX42" i="2"/>
  <c r="AK42" i="2"/>
  <c r="X42" i="2"/>
  <c r="K42" i="2"/>
  <c r="BX41" i="2"/>
  <c r="BK41" i="2"/>
  <c r="AX41" i="2"/>
  <c r="AK41" i="2"/>
  <c r="X41" i="2"/>
  <c r="K41" i="2"/>
  <c r="BX40" i="2"/>
  <c r="BK40" i="2"/>
  <c r="AX40" i="2"/>
  <c r="AK40" i="2"/>
  <c r="X40" i="2"/>
  <c r="K40" i="2"/>
  <c r="BX39" i="2"/>
  <c r="BK39" i="2"/>
  <c r="AX39" i="2"/>
  <c r="AK39" i="2"/>
  <c r="X39" i="2"/>
  <c r="K39" i="2"/>
  <c r="BX38" i="2"/>
  <c r="BK38" i="2"/>
  <c r="AX38" i="2"/>
  <c r="AK38" i="2"/>
  <c r="X38" i="2"/>
  <c r="K38" i="2"/>
  <c r="BX37" i="2"/>
  <c r="BK37" i="2"/>
  <c r="AX37" i="2"/>
  <c r="AK37" i="2"/>
  <c r="X37" i="2"/>
  <c r="K37" i="2"/>
  <c r="BX36" i="2"/>
  <c r="BK36" i="2"/>
  <c r="AX36" i="2"/>
  <c r="AK36" i="2"/>
  <c r="X36" i="2"/>
  <c r="K36" i="2"/>
  <c r="BX35" i="2"/>
  <c r="BK35" i="2"/>
  <c r="AX35" i="2"/>
  <c r="AK35" i="2"/>
  <c r="X35" i="2"/>
  <c r="K35" i="2"/>
  <c r="BX34" i="2"/>
  <c r="BK34" i="2"/>
  <c r="AX34" i="2"/>
  <c r="AK34" i="2"/>
  <c r="X34" i="2"/>
  <c r="K34" i="2"/>
  <c r="BX33" i="2"/>
  <c r="BK33" i="2"/>
  <c r="AX33" i="2"/>
  <c r="AK33" i="2"/>
  <c r="X33" i="2"/>
  <c r="K33" i="2"/>
  <c r="BX32" i="2"/>
  <c r="BK32" i="2"/>
  <c r="AX32" i="2"/>
  <c r="AK32" i="2"/>
  <c r="X32" i="2"/>
  <c r="K32" i="2"/>
  <c r="BX31" i="2"/>
  <c r="BK31" i="2"/>
  <c r="AX31" i="2"/>
  <c r="AK31" i="2"/>
  <c r="X31" i="2"/>
  <c r="K31" i="2"/>
  <c r="BX30" i="2"/>
  <c r="BK30" i="2"/>
  <c r="AX30" i="2"/>
  <c r="AK30" i="2"/>
  <c r="X30" i="2"/>
  <c r="K30" i="2"/>
  <c r="BX29" i="2"/>
  <c r="BK29" i="2"/>
  <c r="AX29" i="2"/>
  <c r="AK29" i="2"/>
  <c r="X29" i="2"/>
  <c r="K29" i="2"/>
  <c r="BX28" i="2"/>
  <c r="BK28" i="2"/>
  <c r="AX28" i="2"/>
  <c r="AK28" i="2"/>
  <c r="X28" i="2"/>
  <c r="K28" i="2"/>
  <c r="BX27" i="2"/>
  <c r="BK27" i="2"/>
  <c r="AX27" i="2"/>
  <c r="AK27" i="2"/>
  <c r="X27" i="2"/>
  <c r="K27" i="2"/>
  <c r="BX26" i="2"/>
  <c r="BK26" i="2"/>
  <c r="AX26" i="2"/>
  <c r="AK26" i="2"/>
  <c r="X26" i="2"/>
  <c r="K26" i="2"/>
  <c r="BX25" i="2"/>
  <c r="BK25" i="2"/>
  <c r="AX25" i="2"/>
  <c r="AK25" i="2"/>
  <c r="X25" i="2"/>
  <c r="K25" i="2"/>
  <c r="BX24" i="2"/>
  <c r="BK24" i="2"/>
  <c r="AX24" i="2"/>
  <c r="AK24" i="2"/>
  <c r="X24" i="2"/>
  <c r="K24" i="2"/>
  <c r="BX23" i="2"/>
  <c r="BK23" i="2"/>
  <c r="AX23" i="2"/>
  <c r="AK23" i="2"/>
  <c r="X23" i="2"/>
  <c r="K23" i="2"/>
  <c r="BX22" i="2"/>
  <c r="BK22" i="2"/>
  <c r="AX22" i="2"/>
  <c r="AK22" i="2"/>
  <c r="X22" i="2"/>
  <c r="K22" i="2"/>
  <c r="BX21" i="2"/>
  <c r="BK21" i="2"/>
  <c r="AX21" i="2"/>
  <c r="AK21" i="2"/>
  <c r="X21" i="2"/>
  <c r="K21" i="2"/>
  <c r="BX20" i="2"/>
  <c r="BK20" i="2"/>
  <c r="AX20" i="2"/>
  <c r="AK20" i="2"/>
  <c r="X20" i="2"/>
  <c r="K20" i="2"/>
  <c r="BX19" i="2"/>
  <c r="BK19" i="2"/>
  <c r="AX19" i="2"/>
  <c r="AK19" i="2"/>
  <c r="X19" i="2"/>
  <c r="K19" i="2"/>
  <c r="BX18" i="2"/>
  <c r="BK18" i="2"/>
  <c r="AX18" i="2"/>
  <c r="AK18" i="2"/>
  <c r="X18" i="2"/>
  <c r="K18" i="2"/>
  <c r="BX17" i="2"/>
  <c r="BK17" i="2"/>
  <c r="AX17" i="2"/>
  <c r="AK17" i="2"/>
  <c r="X17" i="2"/>
  <c r="K17" i="2"/>
  <c r="BX16" i="2"/>
  <c r="BK16" i="2"/>
  <c r="AX16" i="2"/>
  <c r="X16" i="2"/>
  <c r="K16" i="2"/>
  <c r="BX15" i="2"/>
  <c r="BK15" i="2"/>
  <c r="AX15" i="2"/>
  <c r="AK15" i="2"/>
  <c r="X15" i="2"/>
  <c r="K15" i="2"/>
  <c r="BX14" i="2"/>
  <c r="BK14" i="2"/>
  <c r="AX14" i="2"/>
  <c r="AK14" i="2"/>
  <c r="X14" i="2"/>
  <c r="K14" i="2"/>
  <c r="BX13" i="2"/>
  <c r="BK13" i="2"/>
  <c r="AX13" i="2"/>
  <c r="AK13" i="2"/>
  <c r="X13" i="2"/>
  <c r="K13" i="2"/>
  <c r="BX12" i="2"/>
  <c r="BK12" i="2"/>
  <c r="AX12" i="2"/>
  <c r="AK12" i="2"/>
  <c r="X12" i="2"/>
  <c r="K12" i="2"/>
  <c r="BX11" i="2"/>
  <c r="BK11" i="2"/>
  <c r="AX11" i="2"/>
  <c r="AK11" i="2"/>
  <c r="X11" i="2"/>
  <c r="K11" i="2"/>
  <c r="BX10" i="2"/>
  <c r="BK10" i="2"/>
  <c r="AX10" i="2"/>
  <c r="AK10" i="2"/>
  <c r="X10" i="2"/>
  <c r="K10" i="2"/>
  <c r="BX9" i="2"/>
  <c r="BK9" i="2"/>
  <c r="AX9" i="2"/>
  <c r="AK9" i="2"/>
  <c r="X9" i="2"/>
  <c r="K9" i="2"/>
  <c r="BX8" i="2"/>
  <c r="BK8" i="2"/>
  <c r="AX8" i="2"/>
  <c r="AK8" i="2"/>
  <c r="X8" i="2"/>
  <c r="K8" i="2"/>
  <c r="BX7" i="2"/>
  <c r="BK7" i="2"/>
  <c r="AX7" i="2"/>
  <c r="AK7" i="2"/>
  <c r="X7" i="2"/>
  <c r="K7" i="2"/>
  <c r="BX6" i="2"/>
  <c r="BK6" i="2"/>
  <c r="AX6" i="2"/>
  <c r="AK6" i="2"/>
  <c r="X6" i="2"/>
  <c r="K6" i="2"/>
  <c r="C13" i="3"/>
  <c r="C12" i="3"/>
  <c r="C11" i="3"/>
  <c r="E10" i="3"/>
  <c r="C10" i="3"/>
  <c r="E9" i="3"/>
  <c r="C9" i="3"/>
  <c r="E8" i="3"/>
  <c r="C8" i="3"/>
  <c r="E7" i="3"/>
  <c r="C7" i="3"/>
  <c r="E6" i="3"/>
  <c r="C6" i="3"/>
  <c r="E5" i="3"/>
  <c r="C5" i="3"/>
  <c r="K4" i="2" l="1"/>
  <c r="AX4" i="2"/>
  <c r="AK4" i="2"/>
  <c r="X4" i="2"/>
  <c r="J560" i="5"/>
  <c r="J561" i="5" s="1"/>
  <c r="J562" i="5" s="1"/>
  <c r="J563" i="5" s="1"/>
  <c r="J564" i="5" s="1"/>
  <c r="J565" i="5" s="1"/>
  <c r="J566" i="5" s="1"/>
  <c r="J568" i="5" s="1"/>
  <c r="J2347" i="1"/>
  <c r="J2351" i="1"/>
  <c r="J2381" i="1"/>
  <c r="BA23" i="7"/>
  <c r="J2343" i="1"/>
  <c r="J2361" i="1"/>
  <c r="BA15" i="7"/>
  <c r="J2375" i="1"/>
  <c r="J2391" i="1"/>
  <c r="J2345" i="1"/>
  <c r="J2367" i="1"/>
  <c r="J2371" i="1"/>
  <c r="J2373" i="1"/>
  <c r="J2374" i="1"/>
  <c r="J2379" i="1"/>
  <c r="J2380" i="1"/>
  <c r="J2387" i="1"/>
  <c r="J2389" i="1"/>
  <c r="J2390" i="1"/>
  <c r="J2399" i="1"/>
  <c r="J2407" i="1"/>
  <c r="J2353" i="1"/>
  <c r="J2355" i="1"/>
  <c r="J2356" i="1"/>
  <c r="J2363" i="1"/>
  <c r="J2365" i="1"/>
  <c r="J2366" i="1"/>
  <c r="J2385" i="1"/>
  <c r="J2397" i="1"/>
  <c r="J2349" i="1"/>
  <c r="J2350" i="1"/>
  <c r="J2359" i="1"/>
  <c r="J2360" i="1"/>
  <c r="J2369" i="1"/>
  <c r="J2370" i="1"/>
  <c r="J2377" i="1"/>
  <c r="J2383" i="1"/>
  <c r="J2384" i="1"/>
  <c r="J2393" i="1"/>
  <c r="J2394" i="1"/>
  <c r="J2348" i="1"/>
  <c r="J2354" i="1"/>
  <c r="J2358" i="1"/>
  <c r="J2364" i="1"/>
  <c r="J2368" i="1"/>
  <c r="J2372" i="1"/>
  <c r="J2376" i="1"/>
  <c r="J2382" i="1"/>
  <c r="J2388" i="1"/>
  <c r="J2392" i="1"/>
  <c r="J2400" i="1"/>
  <c r="BX4" i="2"/>
  <c r="BK4" i="2"/>
  <c r="F17" i="3"/>
  <c r="W2" i="1"/>
  <c r="E17" i="3" s="1"/>
  <c r="C17" i="3"/>
  <c r="AS13" i="7"/>
  <c r="AU13" i="7"/>
  <c r="AY13" i="7"/>
  <c r="AS46" i="7"/>
  <c r="AW46" i="7"/>
  <c r="BA46" i="7"/>
  <c r="AZ46" i="7"/>
  <c r="AT46" i="7"/>
  <c r="AX46" i="7"/>
  <c r="AV46" i="7"/>
  <c r="AU46" i="7"/>
  <c r="AY46" i="7"/>
  <c r="BA13" i="7"/>
  <c r="AZ13" i="7"/>
  <c r="AR6" i="7"/>
  <c r="AX13" i="7"/>
  <c r="AW13" i="7"/>
  <c r="AR7" i="7"/>
  <c r="AR8" i="7"/>
  <c r="AR9" i="7"/>
  <c r="AR10" i="7"/>
  <c r="AR11" i="7"/>
  <c r="AR47" i="7"/>
  <c r="AR46" i="7" s="1"/>
  <c r="AR32" i="7"/>
  <c r="AR45" i="7"/>
  <c r="AR42" i="7"/>
  <c r="AZ36" i="7"/>
  <c r="AR22" i="7"/>
  <c r="AU15" i="7"/>
  <c r="AR20" i="7"/>
  <c r="AV28" i="7"/>
  <c r="AU23" i="7"/>
  <c r="AR34" i="7"/>
  <c r="AT15" i="7"/>
  <c r="AX15" i="7"/>
  <c r="AR17" i="7"/>
  <c r="AS23" i="7"/>
  <c r="AW23" i="7"/>
  <c r="AY23" i="7"/>
  <c r="AZ28" i="7"/>
  <c r="AU36" i="7"/>
  <c r="AY36" i="7"/>
  <c r="AR39" i="7"/>
  <c r="AW36" i="7"/>
  <c r="BA36" i="7"/>
  <c r="AT23" i="7"/>
  <c r="AR44" i="7"/>
  <c r="AR21" i="7"/>
  <c r="AY15" i="7"/>
  <c r="AR18" i="7"/>
  <c r="AX23" i="7"/>
  <c r="AR25" i="7"/>
  <c r="AR29" i="7"/>
  <c r="AW28" i="7"/>
  <c r="BA28" i="7"/>
  <c r="AR35" i="7"/>
  <c r="AV36" i="7"/>
  <c r="AR40" i="7"/>
  <c r="AR43" i="7"/>
  <c r="AR16" i="7"/>
  <c r="AV15" i="7"/>
  <c r="AZ15" i="7"/>
  <c r="AR19" i="7"/>
  <c r="AR26" i="7"/>
  <c r="AT28" i="7"/>
  <c r="AX28" i="7"/>
  <c r="AR30" i="7"/>
  <c r="AR33" i="7"/>
  <c r="AS36" i="7"/>
  <c r="AR37" i="7"/>
  <c r="AR41" i="7"/>
  <c r="AS15" i="7"/>
  <c r="AW15" i="7"/>
  <c r="AR24" i="7"/>
  <c r="AV23" i="7"/>
  <c r="AZ23" i="7"/>
  <c r="AR27" i="7"/>
  <c r="AU28" i="7"/>
  <c r="AY28" i="7"/>
  <c r="AR31" i="7"/>
  <c r="AT36" i="7"/>
  <c r="AX36" i="7"/>
  <c r="AR38" i="7"/>
  <c r="AS28" i="7"/>
  <c r="J569" i="5" l="1"/>
  <c r="J570" i="5" s="1"/>
  <c r="J571" i="5" s="1"/>
  <c r="J572" i="5" s="1"/>
  <c r="J573" i="5" s="1"/>
  <c r="J574" i="5" s="1"/>
  <c r="J575" i="5" s="1"/>
  <c r="J576" i="5" s="1"/>
  <c r="J577" i="5" s="1"/>
  <c r="J578" i="5" s="1"/>
  <c r="J579" i="5" s="1"/>
  <c r="J581" i="5" s="1"/>
  <c r="J582" i="5" s="1"/>
  <c r="AW48" i="7"/>
  <c r="F18" i="3"/>
  <c r="AR13" i="7"/>
  <c r="AV48" i="7"/>
  <c r="AY48" i="7"/>
  <c r="AT48" i="7"/>
  <c r="AS48" i="7"/>
  <c r="AU48" i="7"/>
  <c r="BA48" i="7"/>
  <c r="AZ48" i="7"/>
  <c r="AX48" i="7"/>
  <c r="AR23" i="7"/>
  <c r="AR28" i="7"/>
  <c r="AR36" i="7"/>
  <c r="AR15" i="7"/>
  <c r="BA49" i="7" l="1"/>
  <c r="AX49" i="7"/>
  <c r="AW49" i="7"/>
  <c r="AY49" i="7"/>
  <c r="AZ49" i="7"/>
  <c r="AR48" i="7"/>
  <c r="AR49" i="7" s="1"/>
  <c r="AR54" i="7" s="1"/>
  <c r="AV49" i="7"/>
  <c r="AS49" i="7"/>
  <c r="AT49" i="7"/>
  <c r="AU49" i="7"/>
  <c r="AS54" i="7" l="1"/>
  <c r="AT51" i="7" l="1"/>
  <c r="AT54" i="7" s="1"/>
  <c r="AU51" i="7" l="1"/>
  <c r="AU54" i="7" s="1"/>
  <c r="AT57" i="7"/>
  <c r="AU57" i="7" l="1"/>
  <c r="AV51" i="7"/>
  <c r="AV54" i="7" s="1"/>
  <c r="AW51" i="7" l="1"/>
  <c r="AV57" i="7"/>
  <c r="AW54" i="7" l="1"/>
  <c r="AW57" i="7" l="1"/>
  <c r="AX51" i="7"/>
  <c r="AX54" i="7" l="1"/>
  <c r="AX57" i="7" l="1"/>
  <c r="AY51" i="7"/>
  <c r="AY54" i="7" l="1"/>
  <c r="AY57" i="7" l="1"/>
  <c r="AZ51" i="7"/>
  <c r="AZ54" i="7" l="1"/>
  <c r="BA51" i="7" s="1"/>
  <c r="AZ57" i="7" l="1"/>
  <c r="BA54" i="7" l="1"/>
  <c r="BB51" i="7" s="1"/>
  <c r="BB54" i="7" s="1"/>
  <c r="BC51" i="7" s="1"/>
  <c r="BC54" i="7" s="1"/>
  <c r="BC57" i="7" l="1"/>
  <c r="BD51" i="7"/>
  <c r="BD54" i="7" s="1"/>
  <c r="BD57" i="7" s="1"/>
  <c r="BB57" i="7"/>
  <c r="BB61" i="7"/>
  <c r="BA57" i="7"/>
</calcChain>
</file>

<file path=xl/comments1.xml><?xml version="1.0" encoding="utf-8"?>
<comments xmlns="http://schemas.openxmlformats.org/spreadsheetml/2006/main">
  <authors>
    <author>ERamírez Lepe</author>
    <author>Baldemar Sala Bay</author>
  </authors>
  <commentList>
    <comment ref="D40" authorId="0">
      <text>
        <r>
          <rPr>
            <b/>
            <sz val="9"/>
            <color indexed="81"/>
            <rFont val="Tahoma"/>
            <family val="2"/>
          </rPr>
          <t>¿Es Estévez, únicamente?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46" authorId="0">
      <text>
        <r>
          <rPr>
            <i/>
            <sz val="9"/>
            <color indexed="81"/>
            <rFont val="Tahoma"/>
            <family val="2"/>
          </rPr>
          <t>El registro original es Edgar Mendoza</t>
        </r>
      </text>
    </comment>
    <comment ref="D164" authorId="0">
      <text>
        <r>
          <rPr>
            <sz val="9"/>
            <color indexed="81"/>
            <rFont val="Tahoma"/>
            <family val="2"/>
          </rPr>
          <t xml:space="preserve">El registro original es García María del C.
José Luis Salcedo es su esposo.
</t>
        </r>
      </text>
    </comment>
    <comment ref="D191" authorId="0">
      <text>
        <r>
          <rPr>
            <sz val="9"/>
            <color indexed="81"/>
            <rFont val="Tahoma"/>
            <family val="2"/>
          </rPr>
          <t>Conserje del colegio</t>
        </r>
      </text>
    </comment>
    <comment ref="D227" authorId="0">
      <text>
        <r>
          <rPr>
            <b/>
            <sz val="9"/>
            <color indexed="81"/>
            <rFont val="Tahoma"/>
            <family val="2"/>
          </rPr>
          <t>¿Es Zamudio - Pineda o Zamora Vera?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65" authorId="0">
      <text>
        <r>
          <rPr>
            <b/>
            <sz val="9"/>
            <color indexed="81"/>
            <rFont val="Tahoma"/>
            <family val="2"/>
          </rPr>
          <t>ERamírez Lepe:</t>
        </r>
        <r>
          <rPr>
            <sz val="9"/>
            <color indexed="81"/>
            <rFont val="Tahoma"/>
            <family val="2"/>
          </rPr>
          <t xml:space="preserve">
El número 53 se dio de baja. BS 14JUN13</t>
        </r>
      </text>
    </comment>
    <comment ref="D268" authorId="0">
      <text>
        <r>
          <rPr>
            <i/>
            <sz val="9"/>
            <color indexed="81"/>
            <rFont val="Tahoma"/>
            <family val="2"/>
          </rPr>
          <t>El registro original es Castillo Hernández.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314" authorId="0">
      <text>
        <r>
          <rPr>
            <b/>
            <sz val="9"/>
            <color indexed="81"/>
            <rFont val="Tahoma"/>
            <family val="2"/>
          </rPr>
          <t>¿Es González Alba?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321" authorId="0">
      <text>
        <r>
          <rPr>
            <b/>
            <sz val="9"/>
            <color indexed="81"/>
            <rFont val="Tahoma"/>
            <family val="2"/>
          </rPr>
          <t>¿Es Calderón o García Calderón?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324" authorId="0">
      <text>
        <r>
          <rPr>
            <sz val="9"/>
            <color indexed="81"/>
            <rFont val="Tahoma"/>
            <family val="2"/>
          </rPr>
          <t xml:space="preserve">El registro original es Torices González (arrendador).
</t>
        </r>
      </text>
    </comment>
    <comment ref="D331" authorId="1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Este residente era Calz. Del hueso 828 fam cervantes</t>
        </r>
      </text>
    </comment>
    <comment ref="D380" authorId="0">
      <text>
        <r>
          <rPr>
            <b/>
            <sz val="9"/>
            <color indexed="81"/>
            <rFont val="Tahoma"/>
            <family val="2"/>
          </rPr>
          <t>¿Es Lozano o Torres o Romero?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408" authorId="0">
      <text>
        <r>
          <rPr>
            <b/>
            <sz val="9"/>
            <color indexed="81"/>
            <rFont val="Tahoma"/>
            <family val="2"/>
          </rPr>
          <t>¿Es Carrasco o Chávez Cenieros?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435" authorId="0">
      <text>
        <r>
          <rPr>
            <b/>
            <sz val="9"/>
            <color indexed="81"/>
            <rFont val="Tahoma"/>
            <family val="2"/>
          </rPr>
          <t>¿Es SP Endoscopic, S. A. de C. V.?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436" authorId="0">
      <text>
        <r>
          <rPr>
            <b/>
            <sz val="9"/>
            <color indexed="81"/>
            <rFont val="Tahoma"/>
            <family val="2"/>
          </rPr>
          <t>¿Es García Reyes Guadalupe o Familia García Reyes</t>
        </r>
      </text>
    </comment>
  </commentList>
</comments>
</file>

<file path=xl/comments2.xml><?xml version="1.0" encoding="utf-8"?>
<comments xmlns="http://schemas.openxmlformats.org/spreadsheetml/2006/main">
  <authors>
    <author>Bsala</author>
    <author>Hacienda de Coyoacan</author>
  </authors>
  <commentList>
    <comment ref="D68" authorId="0">
      <text>
        <r>
          <rPr>
            <b/>
            <sz val="9"/>
            <color indexed="81"/>
            <rFont val="Tahoma"/>
            <family val="2"/>
          </rPr>
          <t>Bsala:</t>
        </r>
        <r>
          <rPr>
            <sz val="9"/>
            <color indexed="81"/>
            <rFont val="Tahoma"/>
            <family val="2"/>
          </rPr>
          <t xml:space="preserve">
ESTE RECIBO SE UTILIZO EN DICIEMBRE/15 POR TRANSFERENCIA BANCARIA</t>
        </r>
      </text>
    </comment>
    <comment ref="D69" authorId="0">
      <text>
        <r>
          <rPr>
            <b/>
            <sz val="9"/>
            <color indexed="81"/>
            <rFont val="Tahoma"/>
            <family val="2"/>
          </rPr>
          <t>Bsala:</t>
        </r>
        <r>
          <rPr>
            <sz val="9"/>
            <color indexed="81"/>
            <rFont val="Tahoma"/>
            <family val="2"/>
          </rPr>
          <t xml:space="preserve">
ESTE RECIBO SE UTILIZO EN DICIEMBRE POR TRANSFERENCIA BANCARIA
</t>
        </r>
      </text>
    </comment>
    <comment ref="C570" authorId="1">
      <text>
        <r>
          <rPr>
            <b/>
            <sz val="9"/>
            <color indexed="81"/>
            <rFont val="Tahoma"/>
            <family val="2"/>
          </rPr>
          <t>Hacienda de Coyoacan:</t>
        </r>
        <r>
          <rPr>
            <sz val="9"/>
            <color indexed="81"/>
            <rFont val="Tahoma"/>
            <family val="2"/>
          </rPr>
          <t xml:space="preserve">
este recibo se utilizò en febrero por transferencia bancaria
</t>
        </r>
      </text>
    </comment>
    <comment ref="C648" authorId="1">
      <text>
        <r>
          <rPr>
            <b/>
            <sz val="9"/>
            <color indexed="81"/>
            <rFont val="Tahoma"/>
            <family val="2"/>
          </rPr>
          <t>Hacienda de Coyoacan:</t>
        </r>
        <r>
          <rPr>
            <sz val="9"/>
            <color indexed="81"/>
            <rFont val="Tahoma"/>
            <family val="2"/>
          </rPr>
          <t xml:space="preserve">
ESTE RECIBO SE UTILIZO EN MARZO POR TRANSFERENCIA BANCARIA
</t>
        </r>
      </text>
    </comment>
    <comment ref="C649" authorId="1">
      <text>
        <r>
          <rPr>
            <b/>
            <sz val="9"/>
            <color indexed="81"/>
            <rFont val="Tahoma"/>
            <family val="2"/>
          </rPr>
          <t>Hacienda de Coyoacan:</t>
        </r>
        <r>
          <rPr>
            <sz val="9"/>
            <color indexed="81"/>
            <rFont val="Tahoma"/>
            <family val="2"/>
          </rPr>
          <t xml:space="preserve">
ESTE RECIBO SE UTILIZO PARA DESCONTAR LOS MESES QUE HABIAN PAGADO POR DEVOLUCIÒN DE CHEQUE</t>
        </r>
      </text>
    </comment>
    <comment ref="C650" authorId="1">
      <text>
        <r>
          <rPr>
            <b/>
            <sz val="9"/>
            <color indexed="81"/>
            <rFont val="Tahoma"/>
            <family val="2"/>
          </rPr>
          <t>Hacienda de Coyoacan:</t>
        </r>
        <r>
          <rPr>
            <sz val="9"/>
            <color indexed="81"/>
            <rFont val="Tahoma"/>
            <family val="2"/>
          </rPr>
          <t xml:space="preserve">
ESTE RECIBO SE UTILIZO PARA EL MES DE MARZO PAGO POR TRANSFERENCIA BANCARIA
</t>
        </r>
      </text>
    </comment>
    <comment ref="C687" authorId="1">
      <text>
        <r>
          <rPr>
            <b/>
            <sz val="9"/>
            <color indexed="81"/>
            <rFont val="Tahoma"/>
            <family val="2"/>
          </rPr>
          <t>Hacienda de Coyoacan:</t>
        </r>
        <r>
          <rPr>
            <sz val="9"/>
            <color indexed="81"/>
            <rFont val="Tahoma"/>
            <family val="2"/>
          </rPr>
          <t xml:space="preserve">
ESTE RECIBO SE TOMO POR EQUIVOCACION NO CHECA CONSECUTIVAMENTE</t>
        </r>
      </text>
    </comment>
    <comment ref="C700" authorId="1">
      <text>
        <r>
          <rPr>
            <b/>
            <sz val="9"/>
            <color indexed="81"/>
            <rFont val="Tahoma"/>
            <family val="2"/>
          </rPr>
          <t>Hacienda de Coyoacan:</t>
        </r>
        <r>
          <rPr>
            <sz val="9"/>
            <color indexed="81"/>
            <rFont val="Tahoma"/>
            <family val="2"/>
          </rPr>
          <t xml:space="preserve">
ESTE RECIBO SE TOMO POR EQUIVOCACION NO CHECA CONSECUTIVAMENTE</t>
        </r>
      </text>
    </comment>
    <comment ref="C746" authorId="1">
      <text>
        <r>
          <rPr>
            <b/>
            <sz val="9"/>
            <color indexed="81"/>
            <rFont val="Tahoma"/>
            <family val="2"/>
          </rPr>
          <t>Hacienda de Coyoacan:</t>
        </r>
        <r>
          <rPr>
            <sz val="9"/>
            <color indexed="81"/>
            <rFont val="Tahoma"/>
            <family val="2"/>
          </rPr>
          <t xml:space="preserve">
ESTE RECIBO SE CANCELO POR QUE DUPLICARON LOS PAGOS DEL MES DE MARZO Y ABRIL/16
</t>
        </r>
      </text>
    </comment>
    <comment ref="C766" authorId="1">
      <text>
        <r>
          <rPr>
            <b/>
            <sz val="9"/>
            <color indexed="81"/>
            <rFont val="Tahoma"/>
            <family val="2"/>
          </rPr>
          <t>Hacienda de Coyoacan:</t>
        </r>
        <r>
          <rPr>
            <sz val="9"/>
            <color indexed="81"/>
            <rFont val="Tahoma"/>
            <family val="2"/>
          </rPr>
          <t xml:space="preserve">
ESTE RECIBO SE CANCELA POR LA RAZON DE QUE EL VECINO NO DIO EL DINERO PERO LOS MESES MENCIONADOS QUE SON FEBRERO Y ABRIL QUEDAN PAGAGOS POR ERROR.
</t>
        </r>
      </text>
    </comment>
    <comment ref="C855" authorId="1">
      <text>
        <r>
          <rPr>
            <b/>
            <sz val="9"/>
            <color indexed="81"/>
            <rFont val="Tahoma"/>
            <family val="2"/>
          </rPr>
          <t>Hacienda de Coyoacan:</t>
        </r>
        <r>
          <rPr>
            <sz val="9"/>
            <color indexed="81"/>
            <rFont val="Tahoma"/>
            <family val="2"/>
          </rPr>
          <t xml:space="preserve">
ESTE RECIBO SE COBRO EN ABRIL, PORQUE HICIERON MAL EL RECIBO DUPLICARON PAGO DE MARZO Y ABRIL/16
</t>
        </r>
      </text>
    </comment>
    <comment ref="C857" authorId="1">
      <text>
        <r>
          <rPr>
            <b/>
            <sz val="9"/>
            <color indexed="81"/>
            <rFont val="Tahoma"/>
            <family val="2"/>
          </rPr>
          <t>Hacienda de Coyoacan:</t>
        </r>
        <r>
          <rPr>
            <sz val="9"/>
            <color indexed="81"/>
            <rFont val="Tahoma"/>
            <family val="2"/>
          </rPr>
          <t xml:space="preserve">
Este recibo se cobro en el mes de abril por transferencia bancarìa</t>
        </r>
      </text>
    </comment>
    <comment ref="C1419" authorId="1">
      <text>
        <r>
          <rPr>
            <b/>
            <sz val="9"/>
            <color indexed="81"/>
            <rFont val="Tahoma"/>
            <family val="2"/>
          </rPr>
          <t>Hacienda de Coyoacan:</t>
        </r>
        <r>
          <rPr>
            <sz val="9"/>
            <color indexed="81"/>
            <rFont val="Tahoma"/>
            <family val="2"/>
          </rPr>
          <t xml:space="preserve">
Este recibo es consecutivo del mes de julio se uso por transferencia bancaria</t>
        </r>
      </text>
    </comment>
    <comment ref="C1427" authorId="1">
      <text>
        <r>
          <rPr>
            <b/>
            <sz val="9"/>
            <color indexed="81"/>
            <rFont val="Tahoma"/>
            <family val="2"/>
          </rPr>
          <t>Hacienda de Coyoacan:</t>
        </r>
        <r>
          <rPr>
            <sz val="9"/>
            <color indexed="81"/>
            <rFont val="Tahoma"/>
            <family val="2"/>
          </rPr>
          <t xml:space="preserve">
Este recibo se cobro en el mes de junio por transferencia bancaria el 7 de junio/16</t>
        </r>
      </text>
    </comment>
    <comment ref="C1816" authorId="1">
      <text>
        <r>
          <rPr>
            <b/>
            <sz val="9"/>
            <color indexed="81"/>
            <rFont val="Tahoma"/>
            <family val="2"/>
          </rPr>
          <t>Hacienda de Coyoacan:</t>
        </r>
        <r>
          <rPr>
            <sz val="9"/>
            <color indexed="81"/>
            <rFont val="Tahoma"/>
            <family val="2"/>
          </rPr>
          <t xml:space="preserve">
ESTE RECIBO SE APLICO EN EL MES DE JULIO/16
</t>
        </r>
      </text>
    </comment>
    <comment ref="C2077" authorId="1">
      <text>
        <r>
          <rPr>
            <b/>
            <sz val="9"/>
            <color indexed="81"/>
            <rFont val="Tahoma"/>
            <family val="2"/>
          </rPr>
          <t xml:space="preserve">Hacienda de Coyoacan
Este recibo pertenece a la numeraciòn del mes de septiembre, se hizo por transferencia bancaria
</t>
        </r>
      </text>
    </comment>
    <comment ref="C2094" authorId="1">
      <text>
        <r>
          <rPr>
            <b/>
            <sz val="9"/>
            <color indexed="81"/>
            <rFont val="Tahoma"/>
            <family val="2"/>
          </rPr>
          <t xml:space="preserve">Hacienda de Coyoacan
ESTE RECIBO SE APLICO EN EL MES DE AGOSTO/16 POR TRANSFERENCIA BANCARIA
</t>
        </r>
      </text>
    </comment>
    <comment ref="C2147" authorId="1">
      <text>
        <r>
          <rPr>
            <b/>
            <sz val="9"/>
            <color indexed="81"/>
            <rFont val="Tahoma"/>
            <family val="2"/>
          </rPr>
          <t>Hacienda de Coyoacan:</t>
        </r>
        <r>
          <rPr>
            <sz val="9"/>
            <color indexed="81"/>
            <rFont val="Tahoma"/>
            <family val="2"/>
          </rPr>
          <t xml:space="preserve">
SE EQUIVOCARON DE TALONARIO Y AGARRARON ESTA NUMERACIÒN 
</t>
        </r>
      </text>
    </comment>
    <comment ref="C2343" authorId="1">
      <text>
        <r>
          <rPr>
            <b/>
            <sz val="9"/>
            <color indexed="81"/>
            <rFont val="Tahoma"/>
            <family val="2"/>
          </rPr>
          <t>Hacienda de Coyoacan:</t>
        </r>
        <r>
          <rPr>
            <sz val="9"/>
            <color indexed="81"/>
            <rFont val="Tahoma"/>
            <family val="2"/>
          </rPr>
          <t xml:space="preserve">
ESTA NUMERACIÓN SE QUEDO RESAGADA POR QUE LOS TENIAN LOS MIEMBROS DE LA MESA DIRECTIVA PARA COBRAR CASA POR CASA
</t>
        </r>
      </text>
    </comment>
    <comment ref="C2404" authorId="1">
      <text>
        <r>
          <rPr>
            <b/>
            <sz val="9"/>
            <color indexed="81"/>
            <rFont val="Tahoma"/>
            <family val="2"/>
          </rPr>
          <t>Hacienda de Coyoacan:</t>
        </r>
        <r>
          <rPr>
            <sz val="9"/>
            <color indexed="81"/>
            <rFont val="Tahoma"/>
            <family val="2"/>
          </rPr>
          <t xml:space="preserve">
Este recibo se utilizo en el mes de septiembre por transferencia bancaria
</t>
        </r>
      </text>
    </comment>
    <comment ref="C2556" authorId="1">
      <text>
        <r>
          <rPr>
            <b/>
            <sz val="9"/>
            <color indexed="81"/>
            <rFont val="Tahoma"/>
            <family val="2"/>
          </rPr>
          <t>Hacienda de Coyoacan:</t>
        </r>
        <r>
          <rPr>
            <sz val="9"/>
            <color indexed="81"/>
            <rFont val="Tahoma"/>
            <family val="2"/>
          </rPr>
          <t xml:space="preserve">
Este recibo pertenece a la numeración del mes de noviembre fue transferencia bancaria
</t>
        </r>
      </text>
    </comment>
    <comment ref="C2570" authorId="1">
      <text>
        <r>
          <rPr>
            <b/>
            <sz val="9"/>
            <color indexed="81"/>
            <rFont val="Tahoma"/>
            <family val="2"/>
          </rPr>
          <t>Hacienda de Coyoacan:</t>
        </r>
        <r>
          <rPr>
            <sz val="9"/>
            <color indexed="81"/>
            <rFont val="Tahoma"/>
            <family val="2"/>
          </rPr>
          <t xml:space="preserve">
Este recibo se utilizò en el mes de octubre por transferencia bancaria
</t>
        </r>
      </text>
    </comment>
    <comment ref="B2784" authorId="1">
      <text>
        <r>
          <rPr>
            <b/>
            <sz val="9"/>
            <color indexed="81"/>
            <rFont val="Tahoma"/>
            <family val="2"/>
          </rPr>
          <t>Hacienda de Coyoacan:</t>
        </r>
        <r>
          <rPr>
            <sz val="9"/>
            <color indexed="81"/>
            <rFont val="Tahoma"/>
            <family val="2"/>
          </rPr>
          <t xml:space="preserve">
TRANSFERENCIA BANCARIA EN EL MES NOVIEMBRE/16</t>
        </r>
      </text>
    </comment>
  </commentList>
</comments>
</file>

<file path=xl/sharedStrings.xml><?xml version="1.0" encoding="utf-8"?>
<sst xmlns="http://schemas.openxmlformats.org/spreadsheetml/2006/main" count="20570" uniqueCount="3381">
  <si>
    <t>aa</t>
  </si>
  <si>
    <t>CALLE</t>
  </si>
  <si>
    <t>NÚMERO</t>
  </si>
  <si>
    <t>CASA</t>
  </si>
  <si>
    <t>DOMICILIO</t>
  </si>
  <si>
    <t>FAMILIA</t>
  </si>
  <si>
    <t>C_ING</t>
  </si>
  <si>
    <t>IMPORTE</t>
  </si>
  <si>
    <t>FECHA</t>
  </si>
  <si>
    <t>CHK</t>
  </si>
  <si>
    <t>ENE
2016</t>
  </si>
  <si>
    <t>FEB
2016</t>
  </si>
  <si>
    <t>MAR
2016</t>
  </si>
  <si>
    <t>ABR
2016</t>
  </si>
  <si>
    <t>MAY
2016</t>
  </si>
  <si>
    <t>JUN
2016</t>
  </si>
  <si>
    <t>JUL
2016</t>
  </si>
  <si>
    <t>AGO
2016</t>
  </si>
  <si>
    <t>SEP
2016</t>
  </si>
  <si>
    <t>OCT
2016</t>
  </si>
  <si>
    <t>NOV
2016</t>
  </si>
  <si>
    <t>DIC
2016</t>
  </si>
  <si>
    <t>SUMA
2016</t>
  </si>
  <si>
    <t>ENE
2017</t>
  </si>
  <si>
    <t>FEB
2017</t>
  </si>
  <si>
    <t>MAR
2017</t>
  </si>
  <si>
    <t>ABR
2017</t>
  </si>
  <si>
    <t>MAY
2017</t>
  </si>
  <si>
    <t>JUN
2017</t>
  </si>
  <si>
    <t>JUL
2017</t>
  </si>
  <si>
    <t>AGO
2017</t>
  </si>
  <si>
    <t>SEP
2017</t>
  </si>
  <si>
    <t>OCT
2017</t>
  </si>
  <si>
    <t>NOV
2017</t>
  </si>
  <si>
    <t>DIC
2017</t>
  </si>
  <si>
    <t>SUMA
2017</t>
  </si>
  <si>
    <t>OBSERVACIONES</t>
  </si>
  <si>
    <t>Rancho Landero</t>
  </si>
  <si>
    <t>LD_2_3</t>
  </si>
  <si>
    <t>Rancho Landero No. 2, A</t>
  </si>
  <si>
    <t>Zepeda</t>
  </si>
  <si>
    <t>LD_54_2</t>
  </si>
  <si>
    <t>Rancho Landero No. 54, 2</t>
  </si>
  <si>
    <t>Montemayor Santana</t>
  </si>
  <si>
    <t>LD_14_</t>
  </si>
  <si>
    <t>Rancho Landero No. 14</t>
  </si>
  <si>
    <t xml:space="preserve">Castrejón  </t>
  </si>
  <si>
    <t>Rancho La Cuchilla</t>
  </si>
  <si>
    <t>CL_110_</t>
  </si>
  <si>
    <t>Rancho La Cuchilla No. 110</t>
  </si>
  <si>
    <t>Domínguez Canudas</t>
  </si>
  <si>
    <t>LD_22_</t>
  </si>
  <si>
    <t>Rancho Landero No. 22</t>
  </si>
  <si>
    <t>Reyes</t>
  </si>
  <si>
    <t>CL_80_</t>
  </si>
  <si>
    <t>Rancho La Cuchilla No. 80</t>
  </si>
  <si>
    <t>Aparicio</t>
  </si>
  <si>
    <t>Se condonó el mes de diciembre por pago de anualidad</t>
  </si>
  <si>
    <t>LD_19_</t>
  </si>
  <si>
    <t>Rancho Landero No. 19</t>
  </si>
  <si>
    <t>Jiménez Guadarrama</t>
  </si>
  <si>
    <t>Rancho Romeral</t>
  </si>
  <si>
    <t>RM_10_A</t>
  </si>
  <si>
    <t>Rancho Romeral No. 10, A</t>
  </si>
  <si>
    <t>Casillas Álvarez</t>
  </si>
  <si>
    <t>CL_141_</t>
  </si>
  <si>
    <t>Rancho La Cuchilla No. 141</t>
  </si>
  <si>
    <t>Salazar Torres</t>
  </si>
  <si>
    <t>Se condonó el mes de diciembre por pago de anualidad. Ch. # 2184 Bancomer</t>
  </si>
  <si>
    <t>Rancho Upácuaro</t>
  </si>
  <si>
    <t>UP_63_</t>
  </si>
  <si>
    <t>Rancho Upácuaro No. 63</t>
  </si>
  <si>
    <t>González Benavides</t>
  </si>
  <si>
    <t>Rancho Estanzuela</t>
  </si>
  <si>
    <t>EZ_9_B</t>
  </si>
  <si>
    <t>Rancho Estanzuela No. 9, B</t>
  </si>
  <si>
    <t>Velasco Rojas</t>
  </si>
  <si>
    <t>Rancho Zinamba</t>
  </si>
  <si>
    <t>ZB_12_</t>
  </si>
  <si>
    <t>Rancho Zinamba No. 12</t>
  </si>
  <si>
    <t>Ramírez Soto</t>
  </si>
  <si>
    <t>EZ_3_</t>
  </si>
  <si>
    <t>Rancho Estanzuela No. 3</t>
  </si>
  <si>
    <t>Villanueva Nájera</t>
  </si>
  <si>
    <t>CL_139_</t>
  </si>
  <si>
    <t>Rancho La Cuchilla No. 139</t>
  </si>
  <si>
    <t>Garcia</t>
  </si>
  <si>
    <t>ZB_36_</t>
  </si>
  <si>
    <t>Rancho Zinamba No. 36</t>
  </si>
  <si>
    <t>Rodríguez Ortiz</t>
  </si>
  <si>
    <t>EZ_69_</t>
  </si>
  <si>
    <t>Rancho Estanzuela No. 69</t>
  </si>
  <si>
    <t>Apaez</t>
  </si>
  <si>
    <t/>
  </si>
  <si>
    <t>LD_42_</t>
  </si>
  <si>
    <t>Rancho Landero No. 42</t>
  </si>
  <si>
    <t>Ávila Fidel</t>
  </si>
  <si>
    <t>CL_78_</t>
  </si>
  <si>
    <t>Rancho La Cuchilla No. 78</t>
  </si>
  <si>
    <t>García</t>
  </si>
  <si>
    <t>UP_32_</t>
  </si>
  <si>
    <t>Rancho Upácuaro No. 32</t>
  </si>
  <si>
    <t>Sairafi Carmen</t>
  </si>
  <si>
    <t>CL_41_</t>
  </si>
  <si>
    <t>Rancho La Cuchilla No. 41</t>
  </si>
  <si>
    <t>Arriaga Lemus</t>
  </si>
  <si>
    <t>CL_45_</t>
  </si>
  <si>
    <t>Rancho La Cuchilla No. 45</t>
  </si>
  <si>
    <t>Estévez Hernández</t>
  </si>
  <si>
    <t>EZ_31_</t>
  </si>
  <si>
    <t>Rancho Estanzuela No. 31</t>
  </si>
  <si>
    <t>Chávez Valdés</t>
  </si>
  <si>
    <t>EZ_129_</t>
  </si>
  <si>
    <t>Rancho Estanzuela No. 129</t>
  </si>
  <si>
    <t>Sta. María Mendoza</t>
  </si>
  <si>
    <t>EZ_127_</t>
  </si>
  <si>
    <t>Rancho Estanzuela No. 127</t>
  </si>
  <si>
    <t>Luna Zepeda</t>
  </si>
  <si>
    <t>Se condonó el mes de diciembre por pago de anualidad. CH.#42 IXE</t>
  </si>
  <si>
    <t>LD_25_</t>
  </si>
  <si>
    <t>Rancho Landero No. 25</t>
  </si>
  <si>
    <t>Escamilla Martínez</t>
  </si>
  <si>
    <t>Rancho Recoveco</t>
  </si>
  <si>
    <t>RV_175_B</t>
  </si>
  <si>
    <t>Rancho Recoveco No. 175, B</t>
  </si>
  <si>
    <t>García Calderón</t>
  </si>
  <si>
    <t>EZ_65_</t>
  </si>
  <si>
    <t>Rancho Estanzuela No. 65</t>
  </si>
  <si>
    <t>López Becerril</t>
  </si>
  <si>
    <t>ZB_44_</t>
  </si>
  <si>
    <t>Rancho Zinamba No. 44</t>
  </si>
  <si>
    <t>Canales</t>
  </si>
  <si>
    <t>CL_129_</t>
  </si>
  <si>
    <t>Rancho La Cuchilla No. 129</t>
  </si>
  <si>
    <t>Gamboa Rueda</t>
  </si>
  <si>
    <t>UP_70_</t>
  </si>
  <si>
    <t>Rancho Upácuaro No. 70</t>
  </si>
  <si>
    <t>Ramírez Tejeda</t>
  </si>
  <si>
    <t>CL_135_</t>
  </si>
  <si>
    <t>Rancho La Cuchilla No. 135</t>
  </si>
  <si>
    <t>Juárez Sánchez</t>
  </si>
  <si>
    <t>EZ_91_</t>
  </si>
  <si>
    <t>Rancho Estanzuela No. 91</t>
  </si>
  <si>
    <t>Lobato Torres</t>
  </si>
  <si>
    <t>CL_19_</t>
  </si>
  <si>
    <t>Rancho La Cuchilla No. 19</t>
  </si>
  <si>
    <t>Tapia Vázquez</t>
  </si>
  <si>
    <t>UP_37_</t>
  </si>
  <si>
    <t>Rancho Upácuaro No. 37</t>
  </si>
  <si>
    <t>García Valdés</t>
  </si>
  <si>
    <t>CL_33_</t>
  </si>
  <si>
    <t>Rancho La Cuchilla No. 33</t>
  </si>
  <si>
    <t>Tanús</t>
  </si>
  <si>
    <t>CL_92_</t>
  </si>
  <si>
    <t>Rancho La Cuchilla No. 92</t>
  </si>
  <si>
    <t>Cabrera</t>
  </si>
  <si>
    <t>ZB_80_</t>
  </si>
  <si>
    <t>Rancho Zinamba No. 80</t>
  </si>
  <si>
    <t>Vázquez</t>
  </si>
  <si>
    <t>ZB_24_</t>
  </si>
  <si>
    <t>Rancho Zinamba No. 24</t>
  </si>
  <si>
    <t>Monroy García</t>
  </si>
  <si>
    <t>CL_20_</t>
  </si>
  <si>
    <t>Rancho La Cuchilla No. 20</t>
  </si>
  <si>
    <t>Sánchez López</t>
  </si>
  <si>
    <t>UP_23_</t>
  </si>
  <si>
    <t>Rancho Upácuaro No. 23</t>
  </si>
  <si>
    <t>Arredondo</t>
  </si>
  <si>
    <t>UP_73_A</t>
  </si>
  <si>
    <t>Rancho Upácuaro No. 73, A</t>
  </si>
  <si>
    <t>Ortega</t>
  </si>
  <si>
    <t>CL_72_</t>
  </si>
  <si>
    <t>Rancho La Cuchilla No. 72</t>
  </si>
  <si>
    <t>Ortiz González</t>
  </si>
  <si>
    <t>UP_18_</t>
  </si>
  <si>
    <t>Rancho Upácuaro No. 18</t>
  </si>
  <si>
    <t>Guzmán</t>
  </si>
  <si>
    <t>LD_71_</t>
  </si>
  <si>
    <t>Rancho Landero No. 71</t>
  </si>
  <si>
    <t>Cabrera Balcázar</t>
  </si>
  <si>
    <t>LD_80_</t>
  </si>
  <si>
    <t>Rancho Landero No. 80</t>
  </si>
  <si>
    <t>Villaseñor Sánchez</t>
  </si>
  <si>
    <t>CL_54_</t>
  </si>
  <si>
    <t>Rancho La Cuchilla No. 54</t>
  </si>
  <si>
    <t>Mendoza León</t>
  </si>
  <si>
    <t>UP_100_</t>
  </si>
  <si>
    <t>Rancho Upácuaro No. 100</t>
  </si>
  <si>
    <t>Mancera Rodríguez</t>
  </si>
  <si>
    <t>CL_42_</t>
  </si>
  <si>
    <t>Rancho La Cuchilla No. 42</t>
  </si>
  <si>
    <t>Mac Kinney</t>
  </si>
  <si>
    <t>LD_77_</t>
  </si>
  <si>
    <t>Rancho Landero No. 77</t>
  </si>
  <si>
    <t>Muñoz</t>
  </si>
  <si>
    <t>EZ_100_</t>
  </si>
  <si>
    <t>Rancho Estanzuela No. 100</t>
  </si>
  <si>
    <t>Arias Monter</t>
  </si>
  <si>
    <t>Pago con cheque HSBC # 3466</t>
  </si>
  <si>
    <t>EZ_135_</t>
  </si>
  <si>
    <t>Rancho Estanzuela No. 135</t>
  </si>
  <si>
    <t>Iglesias</t>
  </si>
  <si>
    <t>EZ_25_</t>
  </si>
  <si>
    <t>Rancho Estanzuela No. 25</t>
  </si>
  <si>
    <t>Contreras Figueroa</t>
  </si>
  <si>
    <t>LD_1_A</t>
  </si>
  <si>
    <t>Rancho Landero No. 1, A</t>
  </si>
  <si>
    <t>Ebysos</t>
  </si>
  <si>
    <t>CL_29_</t>
  </si>
  <si>
    <t>Rancho La Cuchilla No. 29</t>
  </si>
  <si>
    <t>Vega Sánchez C.</t>
  </si>
  <si>
    <t>UP_46_</t>
  </si>
  <si>
    <t>Rancho Upácuaro No. 46</t>
  </si>
  <si>
    <t>Fuentes</t>
  </si>
  <si>
    <t>RM_30_</t>
  </si>
  <si>
    <t>Rancho Romeral No. 30</t>
  </si>
  <si>
    <t>Osorio</t>
  </si>
  <si>
    <t>RV_173_</t>
  </si>
  <si>
    <t>Rancho Recoveco No. 173</t>
  </si>
  <si>
    <t>Velarde</t>
  </si>
  <si>
    <t>RV_3_</t>
  </si>
  <si>
    <t>Rancho Recoveco No. 3</t>
  </si>
  <si>
    <t>Garduño</t>
  </si>
  <si>
    <t>LD_26_</t>
  </si>
  <si>
    <t>Rancho Landero No. 26</t>
  </si>
  <si>
    <t>Balderas Martínez</t>
  </si>
  <si>
    <t>LD_31_</t>
  </si>
  <si>
    <t>Rancho Landero No. 31</t>
  </si>
  <si>
    <t>Díaz Hernández</t>
  </si>
  <si>
    <t>CL_14_</t>
  </si>
  <si>
    <t>Rancho La Cuchilla No. 14</t>
  </si>
  <si>
    <t>Chávez Lara</t>
  </si>
  <si>
    <t>LD_15_</t>
  </si>
  <si>
    <t>Rancho Landero No. 15</t>
  </si>
  <si>
    <t>Morales D.</t>
  </si>
  <si>
    <t>CL_43_A</t>
  </si>
  <si>
    <t>Rancho La Cuchilla No. 43, A</t>
  </si>
  <si>
    <t>De la Rosa</t>
  </si>
  <si>
    <t>CL_43_B</t>
  </si>
  <si>
    <t>Rancho La Cuchilla No. 43, B</t>
  </si>
  <si>
    <t>Luna Albertano</t>
  </si>
  <si>
    <t>CL_81_A</t>
  </si>
  <si>
    <t>Rancho La Cuchilla No. 81, A</t>
  </si>
  <si>
    <t>Barrientos López</t>
  </si>
  <si>
    <t>CL_28_</t>
  </si>
  <si>
    <t>Rancho La Cuchilla No. 28</t>
  </si>
  <si>
    <t>Prado de los S.</t>
  </si>
  <si>
    <t>LD_91_</t>
  </si>
  <si>
    <t>Rancho Landero No. 91</t>
  </si>
  <si>
    <t>Llaca</t>
  </si>
  <si>
    <t>CL_74_</t>
  </si>
  <si>
    <t>Rancho La Cuchilla No. 74</t>
  </si>
  <si>
    <t>Gil</t>
  </si>
  <si>
    <t>UP_75_</t>
  </si>
  <si>
    <t>Rancho Upácuaro No. 75</t>
  </si>
  <si>
    <t>Montaño Zetina</t>
  </si>
  <si>
    <t>RV_179_</t>
  </si>
  <si>
    <t>Rancho Recoveco No. 179</t>
  </si>
  <si>
    <t>Flores Delgado</t>
  </si>
  <si>
    <t>EZ_55_</t>
  </si>
  <si>
    <t>Rancho Estanzuela No. 55</t>
  </si>
  <si>
    <t>Rodríguez Acevedo</t>
  </si>
  <si>
    <t>RV_1_</t>
  </si>
  <si>
    <t>Rancho Recoveco No. 1</t>
  </si>
  <si>
    <t>Díaz</t>
  </si>
  <si>
    <t>UP_85_</t>
  </si>
  <si>
    <t>Rancho Upácuaro No. 85</t>
  </si>
  <si>
    <t>Del Toro Huerta</t>
  </si>
  <si>
    <t>LD_90_</t>
  </si>
  <si>
    <t>Rancho Landero No. 90</t>
  </si>
  <si>
    <t>Córdova Reséndiz</t>
  </si>
  <si>
    <t>LD_76_</t>
  </si>
  <si>
    <t>Rancho Landero No. 76</t>
  </si>
  <si>
    <t>Ugarte</t>
  </si>
  <si>
    <t>ZB_82_</t>
  </si>
  <si>
    <t>Rancho Zinamba No. 82</t>
  </si>
  <si>
    <t>Morán Carmona</t>
  </si>
  <si>
    <t>EZ_7_A</t>
  </si>
  <si>
    <t>Rancho Estanzuela No. 7, A</t>
  </si>
  <si>
    <t>Herrera Izquierdo</t>
  </si>
  <si>
    <t>CL_40_</t>
  </si>
  <si>
    <t>Rancho La Cuchilla No. 40</t>
  </si>
  <si>
    <t>López Pico</t>
  </si>
  <si>
    <t>EZ_115_</t>
  </si>
  <si>
    <t>Rancho Estanzuela No. 115</t>
  </si>
  <si>
    <t>Frías Solórzano</t>
  </si>
  <si>
    <t>ZB_20_</t>
  </si>
  <si>
    <t>Rancho Zinamba No. 20</t>
  </si>
  <si>
    <t>Alegre Retana</t>
  </si>
  <si>
    <t>EZ_17_</t>
  </si>
  <si>
    <t>Rancho Estanzuela No. 17</t>
  </si>
  <si>
    <t>Enciso Ledesma</t>
  </si>
  <si>
    <t>UP_140_</t>
  </si>
  <si>
    <t>Rancho Upácuaro No. 140</t>
  </si>
  <si>
    <t>Gozain</t>
  </si>
  <si>
    <t>LD_99_</t>
  </si>
  <si>
    <t>Rancho Landero No. 99</t>
  </si>
  <si>
    <t>Rangel</t>
  </si>
  <si>
    <t>LD_94_</t>
  </si>
  <si>
    <t>Rancho Landero No. 94</t>
  </si>
  <si>
    <t>Medina</t>
  </si>
  <si>
    <t>UP_51_2</t>
  </si>
  <si>
    <t>Rancho Upácuaro No. 51, 2</t>
  </si>
  <si>
    <t>Gutierrez Colin</t>
  </si>
  <si>
    <t>UP_8_</t>
  </si>
  <si>
    <t>Rancho Upácuaro No. 8</t>
  </si>
  <si>
    <t>Ibarra</t>
  </si>
  <si>
    <t>LD_83_</t>
  </si>
  <si>
    <t>Rancho Landero No. 83</t>
  </si>
  <si>
    <t>Aguilar</t>
  </si>
  <si>
    <t>RV_181_</t>
  </si>
  <si>
    <t>Rancho Recoveco No. 181</t>
  </si>
  <si>
    <t>Castillo</t>
  </si>
  <si>
    <t>CL_87_</t>
  </si>
  <si>
    <t>Rancho La Cuchilla No. 87</t>
  </si>
  <si>
    <t>Villanueva S.</t>
  </si>
  <si>
    <t>EZ_147_1</t>
  </si>
  <si>
    <t>Rancho Estanzuela No. 147, 1</t>
  </si>
  <si>
    <t>De la Rosa Enrique</t>
  </si>
  <si>
    <t>EZ_147_2</t>
  </si>
  <si>
    <t>Rancho Estanzuela No. 147, 2</t>
  </si>
  <si>
    <t>Figueroa</t>
  </si>
  <si>
    <t>ZB_8_</t>
  </si>
  <si>
    <t>Rancho Zinamba No. 8</t>
  </si>
  <si>
    <t>Florido</t>
  </si>
  <si>
    <t>UP_120_</t>
  </si>
  <si>
    <t>Rancho Upácuaro No. 120</t>
  </si>
  <si>
    <t>Rayas Rivera</t>
  </si>
  <si>
    <t>CL_130_</t>
  </si>
  <si>
    <t>Rancho La Cuchilla No. 130</t>
  </si>
  <si>
    <t>Gonzalez</t>
  </si>
  <si>
    <t>RV_197_</t>
  </si>
  <si>
    <t>Rancho Recoveco No. 197</t>
  </si>
  <si>
    <t>Colín González</t>
  </si>
  <si>
    <t>UP_5_B</t>
  </si>
  <si>
    <t>Rancho Upácuaro No. 5, B</t>
  </si>
  <si>
    <t>Cervantes</t>
  </si>
  <si>
    <t>CL_96_</t>
  </si>
  <si>
    <t>Rancho La Cuchilla No. 96</t>
  </si>
  <si>
    <t>Valdez Álvarez</t>
  </si>
  <si>
    <t>RM_17_</t>
  </si>
  <si>
    <t>Rancho Romeral No. 17</t>
  </si>
  <si>
    <t>Aguilar Lomelí</t>
  </si>
  <si>
    <t>UP_88_</t>
  </si>
  <si>
    <t>Rancho Upácuaro No. 88</t>
  </si>
  <si>
    <t>Millán Núñez</t>
  </si>
  <si>
    <t>UP_108_</t>
  </si>
  <si>
    <t>Rancho Upácuaro No. 108</t>
  </si>
  <si>
    <t>Mejía</t>
  </si>
  <si>
    <t>CL_15_</t>
  </si>
  <si>
    <t>Rancho La Cuchilla No. 15</t>
  </si>
  <si>
    <t>Guerrero Ponce</t>
  </si>
  <si>
    <t>CL_21_</t>
  </si>
  <si>
    <t>Rancho La Cuchilla No. 21</t>
  </si>
  <si>
    <t>Solórzano Calderón</t>
  </si>
  <si>
    <t>EZ_11_A</t>
  </si>
  <si>
    <t>Rancho Estanzuela No. 11, A</t>
  </si>
  <si>
    <t>Evans González</t>
  </si>
  <si>
    <t>LD_2_4</t>
  </si>
  <si>
    <t>Rancho Landero No. 2, 4</t>
  </si>
  <si>
    <t>Cortés</t>
  </si>
  <si>
    <t>UP_101_</t>
  </si>
  <si>
    <t>Rancho Upácuaro No. 101</t>
  </si>
  <si>
    <t>Chávez, Arturo</t>
  </si>
  <si>
    <t>LD_37_</t>
  </si>
  <si>
    <t>Rancho Landero No. 37</t>
  </si>
  <si>
    <t>Hernández</t>
  </si>
  <si>
    <t>CL_145_</t>
  </si>
  <si>
    <t>Rancho La Cuchilla No. 145</t>
  </si>
  <si>
    <t>Arámburu C.</t>
  </si>
  <si>
    <t>UP_124_</t>
  </si>
  <si>
    <t>Rancho Upácuaro No. 124</t>
  </si>
  <si>
    <t>Reyes Nicandro</t>
  </si>
  <si>
    <t>UP_118_</t>
  </si>
  <si>
    <t>Rancho Upácuaro No. 118</t>
  </si>
  <si>
    <t>Siegrist</t>
  </si>
  <si>
    <t>EZ_33_</t>
  </si>
  <si>
    <t>Rancho Estanzuela No. 33</t>
  </si>
  <si>
    <t>Arauz</t>
  </si>
  <si>
    <t>Se condonó el mes de diciembre por pago de anualidad. CHEQUE</t>
  </si>
  <si>
    <t>ZB_10_</t>
  </si>
  <si>
    <t>Rancho Zinamba No. 10</t>
  </si>
  <si>
    <t>Roy Sánchez</t>
  </si>
  <si>
    <t>CHEQUE</t>
  </si>
  <si>
    <t>ZB_88_</t>
  </si>
  <si>
    <t>Rancho Zinamba No. 88</t>
  </si>
  <si>
    <t>Martínez</t>
  </si>
  <si>
    <t>UP_69_</t>
  </si>
  <si>
    <t>Rancho Upácuaro No. 69</t>
  </si>
  <si>
    <t>Gómez</t>
  </si>
  <si>
    <t>1021 - 1022 - 1029</t>
  </si>
  <si>
    <t>Rancho Estopila</t>
  </si>
  <si>
    <t>EP_18_</t>
  </si>
  <si>
    <t>Rancho Estopila No. 18</t>
  </si>
  <si>
    <t>Aguilar Zarmeño</t>
  </si>
  <si>
    <t>LD_7_</t>
  </si>
  <si>
    <t>Rancho Landero No. 7</t>
  </si>
  <si>
    <t>Robles</t>
  </si>
  <si>
    <t>EZ_151_</t>
  </si>
  <si>
    <t>Rancho Estanzuela No. 151</t>
  </si>
  <si>
    <t>Pérez Salazar</t>
  </si>
  <si>
    <t>LD_68_</t>
  </si>
  <si>
    <t>Rancho Landero No. 68</t>
  </si>
  <si>
    <t>Moreno</t>
  </si>
  <si>
    <t>CL_89_</t>
  </si>
  <si>
    <t>Rancho La Cuchilla No. 89</t>
  </si>
  <si>
    <t>Gálvez</t>
  </si>
  <si>
    <t>EZ_99_</t>
  </si>
  <si>
    <t>Rancho Estanzuela No. 99</t>
  </si>
  <si>
    <t>García López</t>
  </si>
  <si>
    <t>UP_7_</t>
  </si>
  <si>
    <t>Rancho Upácuaro No. 7</t>
  </si>
  <si>
    <t xml:space="preserve">Troncoso </t>
  </si>
  <si>
    <t>UP_79_</t>
  </si>
  <si>
    <t>Rancho Upácuaro No. 79</t>
  </si>
  <si>
    <t>Macías</t>
  </si>
  <si>
    <t>CL_112_PB</t>
  </si>
  <si>
    <t>Rancho La Cuchilla No. 112, PB</t>
  </si>
  <si>
    <t>Soreque</t>
  </si>
  <si>
    <t>ZB_6_</t>
  </si>
  <si>
    <t>Rancho Zinamba No. 6</t>
  </si>
  <si>
    <t>Villafaña</t>
  </si>
  <si>
    <t>RV_183_</t>
  </si>
  <si>
    <t>Rancho Recoveco No. 183</t>
  </si>
  <si>
    <t>Atilano Limón</t>
  </si>
  <si>
    <t>CL_120_</t>
  </si>
  <si>
    <t>Rancho La Cuchilla No. 120</t>
  </si>
  <si>
    <t>Pozos Vilchis</t>
  </si>
  <si>
    <t>UP_86_</t>
  </si>
  <si>
    <t>Rancho Upácuaro No. 86</t>
  </si>
  <si>
    <t>López Canseco</t>
  </si>
  <si>
    <t>LD_63_</t>
  </si>
  <si>
    <t>Rancho Landero No. 63</t>
  </si>
  <si>
    <t>Hernández Chávez</t>
  </si>
  <si>
    <t>CL_55_</t>
  </si>
  <si>
    <t>Rancho La Cuchilla No. 55</t>
  </si>
  <si>
    <t>López Velázquez</t>
  </si>
  <si>
    <t>UP_47_</t>
  </si>
  <si>
    <t>Rancho Upácuaro No. 47</t>
  </si>
  <si>
    <t>Flores Muñoz</t>
  </si>
  <si>
    <t>EZ_159_</t>
  </si>
  <si>
    <t>Rancho Estanzuela No. 159</t>
  </si>
  <si>
    <t>Silva</t>
  </si>
  <si>
    <t>LD_11_</t>
  </si>
  <si>
    <t>Rancho Landero No. 11</t>
  </si>
  <si>
    <t>Reyes Robles</t>
  </si>
  <si>
    <t>LD_44_</t>
  </si>
  <si>
    <t>Rancho Landero No. 44</t>
  </si>
  <si>
    <t>Rodríguez C.</t>
  </si>
  <si>
    <t>CL_132_</t>
  </si>
  <si>
    <t>Rancho La Cuchilla No. 132</t>
  </si>
  <si>
    <t>Téllez Girón</t>
  </si>
  <si>
    <t>UP_78_</t>
  </si>
  <si>
    <t>Rancho Upácuaro No. 78</t>
  </si>
  <si>
    <t>Villaseñor Carranza</t>
  </si>
  <si>
    <t>ZB_38_</t>
  </si>
  <si>
    <t>Rancho Zinamba No. 38</t>
  </si>
  <si>
    <t>Ramírez Díaz</t>
  </si>
  <si>
    <t>EZ_143_B</t>
  </si>
  <si>
    <t>Rancho Estanzuela No. 143, B</t>
  </si>
  <si>
    <t>López</t>
  </si>
  <si>
    <t>UP_93_</t>
  </si>
  <si>
    <t>Rancho Upácuaro No. 93</t>
  </si>
  <si>
    <t>Elizalde</t>
  </si>
  <si>
    <t>CL_68_</t>
  </si>
  <si>
    <t>Rancho La Cuchilla No. 68</t>
  </si>
  <si>
    <t>Montesinos</t>
  </si>
  <si>
    <t>UP_138_</t>
  </si>
  <si>
    <t>Rancho Upácuaro No. 138</t>
  </si>
  <si>
    <t>Ramírez Valencia</t>
  </si>
  <si>
    <t>ZB_42_</t>
  </si>
  <si>
    <t>Rancho Zinamba No. 42</t>
  </si>
  <si>
    <t>López Aldave</t>
  </si>
  <si>
    <t>ZB_14_</t>
  </si>
  <si>
    <t>Rancho Zinamba No. 14</t>
  </si>
  <si>
    <t>Gutiérrez García</t>
  </si>
  <si>
    <t>UP_33_</t>
  </si>
  <si>
    <t>Rancho Upácuaro No. 33</t>
  </si>
  <si>
    <t>Ulloa Miranda</t>
  </si>
  <si>
    <t>ZB_68_</t>
  </si>
  <si>
    <t>Rancho Zinamba No. 68</t>
  </si>
  <si>
    <t>Rivera Villicaña</t>
  </si>
  <si>
    <t>EP_22_B</t>
  </si>
  <si>
    <t>Rancho Estopila No. 22, B</t>
  </si>
  <si>
    <t xml:space="preserve">Carranza Díaz </t>
  </si>
  <si>
    <t>EZ_111_</t>
  </si>
  <si>
    <t>Rancho Estanzuela No. 111</t>
  </si>
  <si>
    <t>Flores Pérez</t>
  </si>
  <si>
    <t>LD_85_</t>
  </si>
  <si>
    <t>Rancho Landero No. 85</t>
  </si>
  <si>
    <t>Martínez Olague</t>
  </si>
  <si>
    <t>LD_70_</t>
  </si>
  <si>
    <t>Rancho Landero No. 70</t>
  </si>
  <si>
    <t>Olguín</t>
  </si>
  <si>
    <t>LD_2_B</t>
  </si>
  <si>
    <t>Rancho Landero No. 2, B</t>
  </si>
  <si>
    <t>Pack Mail</t>
  </si>
  <si>
    <t>CL_94_</t>
  </si>
  <si>
    <t>Rancho La Cuchilla No. 94</t>
  </si>
  <si>
    <t>Sánchez Márquez</t>
  </si>
  <si>
    <t>CL_125_</t>
  </si>
  <si>
    <t>Rancho La Cuchilla No. 125</t>
  </si>
  <si>
    <t>Ordoñez Villalpando</t>
  </si>
  <si>
    <t>LD_2_2</t>
  </si>
  <si>
    <t>Rancho Landero No. 2, 2</t>
  </si>
  <si>
    <t>Beatriz González</t>
  </si>
  <si>
    <t>UP_132_</t>
  </si>
  <si>
    <t>Rancho Upácuaro No. 132</t>
  </si>
  <si>
    <t>Tornero Saldaña</t>
  </si>
  <si>
    <t>CL_77_</t>
  </si>
  <si>
    <t>Rancho La Cuchilla No. 77</t>
  </si>
  <si>
    <t>Loperena</t>
  </si>
  <si>
    <t>LD_35_</t>
  </si>
  <si>
    <t>Rancho Landero No. 35</t>
  </si>
  <si>
    <t>UP_114_</t>
  </si>
  <si>
    <t>Rancho Upácuaro No. 114</t>
  </si>
  <si>
    <t>Hernández Cornejo</t>
  </si>
  <si>
    <t>CL_91_</t>
  </si>
  <si>
    <t>Rancho La Cuchilla No. 91</t>
  </si>
  <si>
    <t>Roldán Flores</t>
  </si>
  <si>
    <t>LD_38_</t>
  </si>
  <si>
    <t>Rancho Landero No. 38</t>
  </si>
  <si>
    <t>Sánchez Peña</t>
  </si>
  <si>
    <t>EZ_139_</t>
  </si>
  <si>
    <t>Rancho Estanzuela No. 139</t>
  </si>
  <si>
    <t xml:space="preserve">Ortiz   </t>
  </si>
  <si>
    <t>LD_62_</t>
  </si>
  <si>
    <t>Rancho Landero No. 62</t>
  </si>
  <si>
    <t>Narvaez Sara</t>
  </si>
  <si>
    <t>EZ_37_</t>
  </si>
  <si>
    <t>Rancho Estanzuela No. 37</t>
  </si>
  <si>
    <t>Cabello Eduardo</t>
  </si>
  <si>
    <t>EZ_101_</t>
  </si>
  <si>
    <t>Rancho Estanzuela No. 101</t>
  </si>
  <si>
    <t>Calderón Celis</t>
  </si>
  <si>
    <t>UP_142_</t>
  </si>
  <si>
    <t>Rancho Upácuaro No. 142</t>
  </si>
  <si>
    <t>Fierro Villaneda</t>
  </si>
  <si>
    <t>LD_73_</t>
  </si>
  <si>
    <t>Rancho Landero No. 73</t>
  </si>
  <si>
    <t>Islas Palacios</t>
  </si>
  <si>
    <t>EZ_103_B</t>
  </si>
  <si>
    <t>Rancho Estanzuela No. 103, B</t>
  </si>
  <si>
    <t>Olivares Flores</t>
  </si>
  <si>
    <t>EZ_89_</t>
  </si>
  <si>
    <t>Rancho Estanzuela No. 89</t>
  </si>
  <si>
    <t>Romero Ortiz</t>
  </si>
  <si>
    <t>ZB_72_</t>
  </si>
  <si>
    <t>Rancho Zinamba No. 72</t>
  </si>
  <si>
    <t>Romo de Vivar</t>
  </si>
  <si>
    <t>LD_89_</t>
  </si>
  <si>
    <t>Rancho Landero No. 89</t>
  </si>
  <si>
    <t>Del Pozo Solís</t>
  </si>
  <si>
    <t>LD_100_</t>
  </si>
  <si>
    <t>Rancho Landero No. 100</t>
  </si>
  <si>
    <t>Meingüer Gómez</t>
  </si>
  <si>
    <t>ZB_26_</t>
  </si>
  <si>
    <t>Rancho Zinamba No. 26</t>
  </si>
  <si>
    <t>Ayala</t>
  </si>
  <si>
    <t>EZ_149_</t>
  </si>
  <si>
    <t>Rancho Estanzuela No. 149</t>
  </si>
  <si>
    <t>Sala</t>
  </si>
  <si>
    <t>UP_87_</t>
  </si>
  <si>
    <t>Rancho Upácuaro No. 87</t>
  </si>
  <si>
    <t>Rodríguez Parés</t>
  </si>
  <si>
    <t>ZB_62_</t>
  </si>
  <si>
    <t>Rancho Zinamba No. 62</t>
  </si>
  <si>
    <t>Martínez León</t>
  </si>
  <si>
    <t>LD_95_</t>
  </si>
  <si>
    <t>Rancho Landero No. 95</t>
  </si>
  <si>
    <t>Rivas Rangel</t>
  </si>
  <si>
    <t>EZ_15_A</t>
  </si>
  <si>
    <t>Rancho Estanzuela No. 15, A</t>
  </si>
  <si>
    <t>González</t>
  </si>
  <si>
    <t>UP_94_</t>
  </si>
  <si>
    <t>Rancho Upácuaro No. 94</t>
  </si>
  <si>
    <t>Juárez Patiño</t>
  </si>
  <si>
    <t>CL_46_</t>
  </si>
  <si>
    <t>Rancho La Cuchilla No. 46</t>
  </si>
  <si>
    <t>Cruz López</t>
  </si>
  <si>
    <t>CL_59_</t>
  </si>
  <si>
    <t>Rancho La Cuchilla No. 59</t>
  </si>
  <si>
    <t>Ortega Vega</t>
  </si>
  <si>
    <t>CL_111_</t>
  </si>
  <si>
    <t>Rancho La Cuchilla No. 111</t>
  </si>
  <si>
    <t>García Santos Ofelia</t>
  </si>
  <si>
    <t>EZ_161_1</t>
  </si>
  <si>
    <t>Rancho Estanzuela No. 161, 1</t>
  </si>
  <si>
    <t>Guevara</t>
  </si>
  <si>
    <t>CL_149_</t>
  </si>
  <si>
    <t>Rancho La Cuchilla No. 149</t>
  </si>
  <si>
    <t>Montes Irineos</t>
  </si>
  <si>
    <t>LD_30_</t>
  </si>
  <si>
    <t>Rancho Landero No. 30</t>
  </si>
  <si>
    <t>Torres Guzmán</t>
  </si>
  <si>
    <t>UP_62_</t>
  </si>
  <si>
    <t>Rancho Upácuaro No. 62</t>
  </si>
  <si>
    <t>Jiménez Escutia</t>
  </si>
  <si>
    <t>EZ_21_</t>
  </si>
  <si>
    <t>Rancho Estanzuela No. 21</t>
  </si>
  <si>
    <t>Chavero Barrera</t>
  </si>
  <si>
    <t>Pago con cheque Banamex #15 posfechado para 28 de feb/16</t>
  </si>
  <si>
    <t>UP_30_</t>
  </si>
  <si>
    <t>Rancho Upácuaro No. 30</t>
  </si>
  <si>
    <t>Dorantes</t>
  </si>
  <si>
    <t>UP_50_</t>
  </si>
  <si>
    <t>Rancho Upácuaro No. 50</t>
  </si>
  <si>
    <t>Rivera Rodríguez</t>
  </si>
  <si>
    <t>UP_146_</t>
  </si>
  <si>
    <t>Rancho Upácuaro No. 146</t>
  </si>
  <si>
    <t>Islas</t>
  </si>
  <si>
    <t>EZ_47_</t>
  </si>
  <si>
    <t>Rancho Estanzuela No. 47</t>
  </si>
  <si>
    <t>Bussey García</t>
  </si>
  <si>
    <t>CL_82_</t>
  </si>
  <si>
    <t>Rancho La Cuchilla No. 82</t>
  </si>
  <si>
    <t>Cruz</t>
  </si>
  <si>
    <t>ZB_50_</t>
  </si>
  <si>
    <t>Rancho Zinamba No. 50</t>
  </si>
  <si>
    <t>Del Castillo</t>
  </si>
  <si>
    <t>CL_32_</t>
  </si>
  <si>
    <t>Rancho La Cuchilla No. 32</t>
  </si>
  <si>
    <t>RV_175_0</t>
  </si>
  <si>
    <t>Rancho Recoveco No. 175</t>
  </si>
  <si>
    <t>Ramírez</t>
  </si>
  <si>
    <t>UP_60_</t>
  </si>
  <si>
    <t>Rancho Upácuaro No. 60</t>
  </si>
  <si>
    <t>Zavala</t>
  </si>
  <si>
    <t>LD_51_</t>
  </si>
  <si>
    <t>Rancho Landero No. 51</t>
  </si>
  <si>
    <t>H. Robles Tamayo</t>
  </si>
  <si>
    <t>RM_10_B</t>
  </si>
  <si>
    <t>Rancho Romeral No. 10, B</t>
  </si>
  <si>
    <t>López Castellano</t>
  </si>
  <si>
    <t>UP_19_</t>
  </si>
  <si>
    <t>Rancho Upácuaro No. 19</t>
  </si>
  <si>
    <t>Peña Inclán</t>
  </si>
  <si>
    <t>RV_193_</t>
  </si>
  <si>
    <t>Rancho Recoveco No. 193</t>
  </si>
  <si>
    <t>Salazar Pérez</t>
  </si>
  <si>
    <t>EP_22_A</t>
  </si>
  <si>
    <t>Rancho Estopila No. 22, A</t>
  </si>
  <si>
    <t>Ayala Carranza</t>
  </si>
  <si>
    <t>UP_90_</t>
  </si>
  <si>
    <t>Rancho Upácuaro No. 90</t>
  </si>
  <si>
    <t>Moreno Calderón</t>
  </si>
  <si>
    <t>LD_84_</t>
  </si>
  <si>
    <t>Rancho Landero No. 84</t>
  </si>
  <si>
    <t>Alcántara</t>
  </si>
  <si>
    <t>EZ_57_</t>
  </si>
  <si>
    <t>Rancho Estanzuela No. 57</t>
  </si>
  <si>
    <t>Olivares</t>
  </si>
  <si>
    <t>ZB_74_</t>
  </si>
  <si>
    <t>Rancho Zinamba No. 74</t>
  </si>
  <si>
    <t>García Castellanos</t>
  </si>
  <si>
    <t>CL_115_</t>
  </si>
  <si>
    <t>Rancho La Cuchilla No. 115</t>
  </si>
  <si>
    <t>Alfaro</t>
  </si>
  <si>
    <t>CL_71_</t>
  </si>
  <si>
    <t>Rancho La Cuchilla No. 71</t>
  </si>
  <si>
    <t>Pulido</t>
  </si>
  <si>
    <t>LD_101_</t>
  </si>
  <si>
    <t>Rancho Landero No. 101</t>
  </si>
  <si>
    <t>RM_23_B</t>
  </si>
  <si>
    <t>Rancho Romeral No. 23, B</t>
  </si>
  <si>
    <t>Castillo Avila</t>
  </si>
  <si>
    <t>ZB_60_</t>
  </si>
  <si>
    <t>Rancho Zinamba No. 60</t>
  </si>
  <si>
    <t>Guerrero Jiménez</t>
  </si>
  <si>
    <t>LD_24_</t>
  </si>
  <si>
    <t>Rancho Landero No. 24</t>
  </si>
  <si>
    <t>Vázquez Peralta</t>
  </si>
  <si>
    <t>EZ_11_B</t>
  </si>
  <si>
    <t>Rancho Estanzuela No. 11, B</t>
  </si>
  <si>
    <t>Gómez Miguel</t>
  </si>
  <si>
    <t>EZ_155_</t>
  </si>
  <si>
    <t>Rancho Estanzuela No. 155</t>
  </si>
  <si>
    <t>Anchondo Valerio</t>
  </si>
  <si>
    <t>UP_76_</t>
  </si>
  <si>
    <t>Rancho Upácuaro No. 76</t>
  </si>
  <si>
    <t>Ruiz de San Pedro</t>
  </si>
  <si>
    <t>LD_87_</t>
  </si>
  <si>
    <t>Rancho Landero No. 87</t>
  </si>
  <si>
    <t>Fey Lafferla</t>
  </si>
  <si>
    <t>LD_65_</t>
  </si>
  <si>
    <t>Rancho Landero No. 65</t>
  </si>
  <si>
    <t>Alpizar</t>
  </si>
  <si>
    <t>UP_21_</t>
  </si>
  <si>
    <t>Rancho Upácuaro No. 21</t>
  </si>
  <si>
    <t>Fierro Betancourt</t>
  </si>
  <si>
    <t>EZ_121_</t>
  </si>
  <si>
    <t>Rancho Estanzuela No. 121</t>
  </si>
  <si>
    <t>López López</t>
  </si>
  <si>
    <t>RM_9_B</t>
  </si>
  <si>
    <t>Rancho Romeral No. 9, B</t>
  </si>
  <si>
    <t>Morales Macías</t>
  </si>
  <si>
    <t>UP_64_</t>
  </si>
  <si>
    <t>Rancho Upácuaro No. 64</t>
  </si>
  <si>
    <t>Méndez Oliva</t>
  </si>
  <si>
    <t>CL_18_</t>
  </si>
  <si>
    <t>Rancho La Cuchilla No. 18</t>
  </si>
  <si>
    <t>Aldana Sánchez</t>
  </si>
  <si>
    <t>CL_81_</t>
  </si>
  <si>
    <t>Rancho La Cuchilla No. 81</t>
  </si>
  <si>
    <t>Suárez</t>
  </si>
  <si>
    <t>CL_75_</t>
  </si>
  <si>
    <t>Rancho La Cuchilla No. 75</t>
  </si>
  <si>
    <t>Sosa Lucio</t>
  </si>
  <si>
    <t>LD_21_</t>
  </si>
  <si>
    <t>Rancho Landero No. 21</t>
  </si>
  <si>
    <t>Meza</t>
  </si>
  <si>
    <t>CL_133_</t>
  </si>
  <si>
    <t>Rancho La Cuchilla No. 133</t>
  </si>
  <si>
    <t>Rivas</t>
  </si>
  <si>
    <t>UP_134_</t>
  </si>
  <si>
    <t>Rancho Upácuaro No. 134</t>
  </si>
  <si>
    <t>LD_20_</t>
  </si>
  <si>
    <t>Rancho Landero No. 20</t>
  </si>
  <si>
    <t>Velasco</t>
  </si>
  <si>
    <t>EZ_119_1</t>
  </si>
  <si>
    <t>Rancho Estanzuela No. 119, 1</t>
  </si>
  <si>
    <t>López Tovar</t>
  </si>
  <si>
    <t>EZ_71_</t>
  </si>
  <si>
    <t>Rancho Estanzuela No. 71</t>
  </si>
  <si>
    <t>Soriano</t>
  </si>
  <si>
    <t>ZB_34_</t>
  </si>
  <si>
    <t>Rancho Zinamba No. 34</t>
  </si>
  <si>
    <t>Torres Zavala</t>
  </si>
  <si>
    <t>EZ_77_</t>
  </si>
  <si>
    <t>Rancho Estanzuela No. 77</t>
  </si>
  <si>
    <t>De la Rosa Rico</t>
  </si>
  <si>
    <t>EZ_133_</t>
  </si>
  <si>
    <t>Rancho Estanzuela No. 133</t>
  </si>
  <si>
    <t>Hernández Salazar</t>
  </si>
  <si>
    <t>CL_73_</t>
  </si>
  <si>
    <t>Rancho La Cuchilla No. 73</t>
  </si>
  <si>
    <t>Cooper</t>
  </si>
  <si>
    <t>RM_9_A</t>
  </si>
  <si>
    <t>Rancho Romeral No. 9, A</t>
  </si>
  <si>
    <t>Quiñones Hernández</t>
  </si>
  <si>
    <t>UP_65_</t>
  </si>
  <si>
    <t>Rancho Upácuaro No. 65</t>
  </si>
  <si>
    <t>Cruz González</t>
  </si>
  <si>
    <t>UP_106_</t>
  </si>
  <si>
    <t>Rancho Upácuaro No. 106</t>
  </si>
  <si>
    <t>Hernández Sánchez</t>
  </si>
  <si>
    <t>CL_12_</t>
  </si>
  <si>
    <t>Rancho La Cuchilla No. 12</t>
  </si>
  <si>
    <t>Rivera Flores</t>
  </si>
  <si>
    <t>LD_96_</t>
  </si>
  <si>
    <t>Rancho Landero No. 96</t>
  </si>
  <si>
    <t>Espinoza Aguirre</t>
  </si>
  <si>
    <t>CL_147_1</t>
  </si>
  <si>
    <t>Rancho La Cuchilla No. 147, 1</t>
  </si>
  <si>
    <t>Operadores Maritimos y de Logistica</t>
  </si>
  <si>
    <t>CL_147_2</t>
  </si>
  <si>
    <t>Rancho La Cuchilla No. 147, 2</t>
  </si>
  <si>
    <t>Cinta Gudiño</t>
  </si>
  <si>
    <t>UP_52_</t>
  </si>
  <si>
    <t>Rancho Upácuaro No. 52</t>
  </si>
  <si>
    <t>Velázquez V.</t>
  </si>
  <si>
    <t>RV_187_</t>
  </si>
  <si>
    <t>Rancho Recoveco No. 187</t>
  </si>
  <si>
    <t>EZ_79_</t>
  </si>
  <si>
    <t>Rancho Estanzuela No. 79</t>
  </si>
  <si>
    <t>Mendoza</t>
  </si>
  <si>
    <t>LD_88_</t>
  </si>
  <si>
    <t>Rancho Landero No. 88</t>
  </si>
  <si>
    <t>Torres Raúl</t>
  </si>
  <si>
    <t>CL_66_</t>
  </si>
  <si>
    <t>Rancho La Cuchilla No. 66</t>
  </si>
  <si>
    <t>Prieto</t>
  </si>
  <si>
    <t>CL_79_</t>
  </si>
  <si>
    <t>Rancho La Cuchilla No. 79</t>
  </si>
  <si>
    <t>LD_40_</t>
  </si>
  <si>
    <t>Rancho Landero No. 40</t>
  </si>
  <si>
    <t>Almaguer Mireles</t>
  </si>
  <si>
    <t>ZB_76_</t>
  </si>
  <si>
    <t>Rancho Zinamba No. 76</t>
  </si>
  <si>
    <t>Márquez</t>
  </si>
  <si>
    <t>LD_72_</t>
  </si>
  <si>
    <t>Rancho Landero No. 72</t>
  </si>
  <si>
    <t>EZ_35_</t>
  </si>
  <si>
    <t>Rancho Estanzuela No. 35</t>
  </si>
  <si>
    <t>Rodríguez</t>
  </si>
  <si>
    <t>EZ_61_</t>
  </si>
  <si>
    <t>Rancho Estanzuela No. 61</t>
  </si>
  <si>
    <t>González Almazán</t>
  </si>
  <si>
    <t>RV_175_A</t>
  </si>
  <si>
    <t>Rancho Recoveco No. 175, A</t>
  </si>
  <si>
    <t>Pérez</t>
  </si>
  <si>
    <t>UP_116_</t>
  </si>
  <si>
    <t>Rancho Upácuaro No. 116</t>
  </si>
  <si>
    <t>García Zamudio</t>
  </si>
  <si>
    <t>LD_18_</t>
  </si>
  <si>
    <t>Rancho Landero No. 18</t>
  </si>
  <si>
    <t>Rosado</t>
  </si>
  <si>
    <t>RV_195_</t>
  </si>
  <si>
    <t>Rancho Recoveco No. 195</t>
  </si>
  <si>
    <t>Sandoval</t>
  </si>
  <si>
    <t>UP_14_</t>
  </si>
  <si>
    <t>Rancho Upácuaro No. 14</t>
  </si>
  <si>
    <t>Castillo Hernández</t>
  </si>
  <si>
    <t>CL_36_</t>
  </si>
  <si>
    <t>Rancho La Cuchilla No. 36</t>
  </si>
  <si>
    <t>Colegio Carmel</t>
  </si>
  <si>
    <t>CM_130_A</t>
  </si>
  <si>
    <t>CL_61_</t>
  </si>
  <si>
    <t>Rancho La Cuchilla No. 61</t>
  </si>
  <si>
    <t>Rivera</t>
  </si>
  <si>
    <t>CL_90_</t>
  </si>
  <si>
    <t>Rancho La Cuchilla No. 90</t>
  </si>
  <si>
    <t>Porras Fuentes</t>
  </si>
  <si>
    <t>Pago de 1 USB</t>
  </si>
  <si>
    <t>LD_47_</t>
  </si>
  <si>
    <t>Rancho Landero No. 47</t>
  </si>
  <si>
    <t>García González</t>
  </si>
  <si>
    <t>EZ_7_B</t>
  </si>
  <si>
    <t>Rancho Estanzuela No. 7, B</t>
  </si>
  <si>
    <t>Camargo Romero</t>
  </si>
  <si>
    <t>ZB_84_</t>
  </si>
  <si>
    <t>Rancho Zinamba No. 84</t>
  </si>
  <si>
    <t>Lobato</t>
  </si>
  <si>
    <t>CL_122_</t>
  </si>
  <si>
    <t>Rancho La Cuchilla No. 122</t>
  </si>
  <si>
    <t>CL_69_</t>
  </si>
  <si>
    <t>Rancho La Cuchilla No. 69</t>
  </si>
  <si>
    <t>Romero</t>
  </si>
  <si>
    <t>UP_130_</t>
  </si>
  <si>
    <t>Rancho Upácuaro No. 130</t>
  </si>
  <si>
    <t>Rodríguez Álvarez</t>
  </si>
  <si>
    <t>UP_80_</t>
  </si>
  <si>
    <t>Rancho Upácuaro No. 80</t>
  </si>
  <si>
    <t>De los Ríos</t>
  </si>
  <si>
    <t>UP_110_</t>
  </si>
  <si>
    <t>Rancho Upácuaro No. 110</t>
  </si>
  <si>
    <t>Ruiz Mijangos</t>
  </si>
  <si>
    <t>EZ_67_</t>
  </si>
  <si>
    <t>Rancho Estanzuela No. 67</t>
  </si>
  <si>
    <t>Carmona Galarza</t>
  </si>
  <si>
    <t>LD_33_</t>
  </si>
  <si>
    <t>Rancho Landero No. 33</t>
  </si>
  <si>
    <t>González Uribe</t>
  </si>
  <si>
    <t>LD_12_</t>
  </si>
  <si>
    <t>Rancho Landero No. 12</t>
  </si>
  <si>
    <t>Guzmán Silva</t>
  </si>
  <si>
    <t>EZ_95_</t>
  </si>
  <si>
    <t>Rancho Estanzuela No. 95</t>
  </si>
  <si>
    <t>Castro Puente</t>
  </si>
  <si>
    <t>CL_127_</t>
  </si>
  <si>
    <t>Rancho La Cuchilla No. 127</t>
  </si>
  <si>
    <t>Quiñones</t>
  </si>
  <si>
    <t>CL_97_</t>
  </si>
  <si>
    <t>Rancho La Cuchilla No. 97</t>
  </si>
  <si>
    <t>López Ruiz</t>
  </si>
  <si>
    <t>UP_99_</t>
  </si>
  <si>
    <t>Rancho Upácuaro No. 99</t>
  </si>
  <si>
    <t>Frías</t>
  </si>
  <si>
    <t>LD_45_</t>
  </si>
  <si>
    <t>Rancho Landero No. 45</t>
  </si>
  <si>
    <t>Solano</t>
  </si>
  <si>
    <t>CL_7_202</t>
  </si>
  <si>
    <t>Rancho La Cuchilla No. 7, 202</t>
  </si>
  <si>
    <t>Carbajal Zayas</t>
  </si>
  <si>
    <t>UP_40_</t>
  </si>
  <si>
    <t>Rancho Upácuaro No. 40</t>
  </si>
  <si>
    <t>López Ramírez</t>
  </si>
  <si>
    <t>Crespo</t>
  </si>
  <si>
    <t>UP_12_</t>
  </si>
  <si>
    <t>Rancho Upácuaro No. 12</t>
  </si>
  <si>
    <t>Moreno Chávez</t>
  </si>
  <si>
    <t>UP_68_</t>
  </si>
  <si>
    <t>Rancho Upácuaro No. 68</t>
  </si>
  <si>
    <t>Colin Guerrero</t>
  </si>
  <si>
    <t>ZB_46_</t>
  </si>
  <si>
    <t>Rancho Zinamba No. 46</t>
  </si>
  <si>
    <t>EP_44_3</t>
  </si>
  <si>
    <t>Rancho Estopila No. 44_3</t>
  </si>
  <si>
    <t>Martìnez</t>
  </si>
  <si>
    <t>EP_44_5</t>
  </si>
  <si>
    <t>Rancho Estopila No. 44_5</t>
  </si>
  <si>
    <t>Maya</t>
  </si>
  <si>
    <t>UP_54_</t>
  </si>
  <si>
    <t>Rancho Upácuaro No. 54</t>
  </si>
  <si>
    <t>García Rueda</t>
  </si>
  <si>
    <t>Rancho Estanzuela No. 130, A</t>
  </si>
  <si>
    <t>Morales</t>
  </si>
  <si>
    <t>EP_44_4</t>
  </si>
  <si>
    <t>Rancho Estopila No. 44_4</t>
  </si>
  <si>
    <t>Acroy Mendoza</t>
  </si>
  <si>
    <t>UP_74_</t>
  </si>
  <si>
    <t>Rancho Upácuaro No. 74</t>
  </si>
  <si>
    <t>Flores</t>
  </si>
  <si>
    <t>UP_136_</t>
  </si>
  <si>
    <t>Rancho Upácuaro No. 136</t>
  </si>
  <si>
    <t>López Lena</t>
  </si>
  <si>
    <t>CL_7_102</t>
  </si>
  <si>
    <t>Rancho La Cuchilla No. 7, 102</t>
  </si>
  <si>
    <t>García Moreno</t>
  </si>
  <si>
    <t>LD_8_</t>
  </si>
  <si>
    <t>Rancho Landero No. 8</t>
  </si>
  <si>
    <t>Garces Suarez</t>
  </si>
  <si>
    <t>RM_33_</t>
  </si>
  <si>
    <t>Rancho Romeral No. 33</t>
  </si>
  <si>
    <t>Juárez Alva</t>
  </si>
  <si>
    <t>LD_81_</t>
  </si>
  <si>
    <t>Rancho Landero No. 81</t>
  </si>
  <si>
    <t>Cebrían Saldaña</t>
  </si>
  <si>
    <t>6588 - 6589</t>
  </si>
  <si>
    <t>CL_44_</t>
  </si>
  <si>
    <t>Rancho La Cuchilla No. 44</t>
  </si>
  <si>
    <t>EZ_19_</t>
  </si>
  <si>
    <t>Rancho Estanzuela No. 19</t>
  </si>
  <si>
    <t>8412 - 5529</t>
  </si>
  <si>
    <t>Cheque #635 Banco Santander al portador</t>
  </si>
  <si>
    <t>UP_73_B</t>
  </si>
  <si>
    <t>Rancho Upácuaro No. 73, B</t>
  </si>
  <si>
    <t>Chávez</t>
  </si>
  <si>
    <t>EP_44_1</t>
  </si>
  <si>
    <t>Rancho Estopila No. 44_1</t>
  </si>
  <si>
    <t>Olaguibel</t>
  </si>
  <si>
    <t xml:space="preserve">Flores </t>
  </si>
  <si>
    <t>EZ_75_</t>
  </si>
  <si>
    <t>Rancho Estanzuela No. 75</t>
  </si>
  <si>
    <t>Candela Pons</t>
  </si>
  <si>
    <t>Cheque</t>
  </si>
  <si>
    <t>EZ_157_2</t>
  </si>
  <si>
    <t>Rancho Estanzuela No. 157, 2</t>
  </si>
  <si>
    <t>Arias</t>
  </si>
  <si>
    <t>EZ_157_3</t>
  </si>
  <si>
    <t>Rancho Estanzuela No. 157, 3</t>
  </si>
  <si>
    <t>Valdez</t>
  </si>
  <si>
    <t>LD_58_</t>
  </si>
  <si>
    <t>Rancho Landero No. 58</t>
  </si>
  <si>
    <t>Valero</t>
  </si>
  <si>
    <t>LD_39_</t>
  </si>
  <si>
    <t>Rancho Landero No. 39</t>
  </si>
  <si>
    <t>Soto del Cueto</t>
  </si>
  <si>
    <t>EZ_163_</t>
  </si>
  <si>
    <t>Rancho Estanzuela No. 163</t>
  </si>
  <si>
    <t>González Rodríguez</t>
  </si>
  <si>
    <t>LD_29_</t>
  </si>
  <si>
    <t>Rancho Landero No. 29</t>
  </si>
  <si>
    <t>Ulrich Cervantes</t>
  </si>
  <si>
    <t>UP_104_</t>
  </si>
  <si>
    <t>Rancho Upácuaro No. 104</t>
  </si>
  <si>
    <t>Jiménez Almazo</t>
  </si>
  <si>
    <t>LD_60_</t>
  </si>
  <si>
    <t>Rancho Landero No. 60</t>
  </si>
  <si>
    <t>Guerrero Flores</t>
  </si>
  <si>
    <t>CL_93_</t>
  </si>
  <si>
    <t>Rancho La Cuchilla No. 93</t>
  </si>
  <si>
    <t>Alcántara Silva</t>
  </si>
  <si>
    <t>19167 - 19168 - 19163 - 19170</t>
  </si>
  <si>
    <t>LD_36_</t>
  </si>
  <si>
    <t>Rancho Landero No. 36</t>
  </si>
  <si>
    <t>Jaime</t>
  </si>
  <si>
    <t>CL_148_</t>
  </si>
  <si>
    <t>Rancho La Cuchilla No. 148</t>
  </si>
  <si>
    <t>Vázquez Vázquez</t>
  </si>
  <si>
    <t>LD_28_</t>
  </si>
  <si>
    <t>Rancho Landero No. 28</t>
  </si>
  <si>
    <t>Cortes Sànchez</t>
  </si>
  <si>
    <t>CL_47_</t>
  </si>
  <si>
    <t>Rancho La Cuchilla No. 47</t>
  </si>
  <si>
    <t>CL_52_</t>
  </si>
  <si>
    <t>Rancho La Cuchilla No. 52</t>
  </si>
  <si>
    <t>Velázquez</t>
  </si>
  <si>
    <t>CL_121_</t>
  </si>
  <si>
    <t>Rancho La Cuchilla No. 121</t>
  </si>
  <si>
    <t>Ramírez Márquez</t>
  </si>
  <si>
    <t>CL_53_</t>
  </si>
  <si>
    <t>Rancho La Cuchilla No. 53</t>
  </si>
  <si>
    <t>Rivera Hernández</t>
  </si>
  <si>
    <t>Sr. Fabian daños a pluma de acceso</t>
  </si>
  <si>
    <t>LD_17_</t>
  </si>
  <si>
    <t>Rancho Landero No. 17</t>
  </si>
  <si>
    <t>LD_34_</t>
  </si>
  <si>
    <t>Rancho Landero No. 34</t>
  </si>
  <si>
    <t>Barro</t>
  </si>
  <si>
    <t>EZ_141_</t>
  </si>
  <si>
    <t>Rancho Estanzuela No. 141</t>
  </si>
  <si>
    <t>Castillo Toledano</t>
  </si>
  <si>
    <t>LD_93_</t>
  </si>
  <si>
    <t>Rancho Landero No. 93</t>
  </si>
  <si>
    <t>Ortega López</t>
  </si>
  <si>
    <t>10422907 - 10422908</t>
  </si>
  <si>
    <t>ZB_22_</t>
  </si>
  <si>
    <t>Rancho Zinamba No. 22</t>
  </si>
  <si>
    <t>Berúmen</t>
  </si>
  <si>
    <t>CL_23_</t>
  </si>
  <si>
    <t>Rancho La Cuchilla No. 23</t>
  </si>
  <si>
    <t>Ocampo</t>
  </si>
  <si>
    <t>Rancho Landero No. 2, 3</t>
  </si>
  <si>
    <t>Pineda Laura</t>
  </si>
  <si>
    <t>No se lleva consecutividad por la venta de tarjetones</t>
  </si>
  <si>
    <t>UP_15_</t>
  </si>
  <si>
    <t>Rancho Upácuaro No. 15</t>
  </si>
  <si>
    <t>Chávez Miranda</t>
  </si>
  <si>
    <t>CL_116_</t>
  </si>
  <si>
    <t>Rancho La Cuchilla No. 116</t>
  </si>
  <si>
    <t>Miranda</t>
  </si>
  <si>
    <t>UP_39_</t>
  </si>
  <si>
    <t>Rancho Upácuaro No. 39</t>
  </si>
  <si>
    <t>Desde este recibo se cobra mantenimiento</t>
  </si>
  <si>
    <t>Este recibo se cobro en el mes de abril compostura pluma</t>
  </si>
  <si>
    <t>EZ_53_</t>
  </si>
  <si>
    <t>Rancho Estanzuela No. 53</t>
  </si>
  <si>
    <t>Cáceres Palomares</t>
  </si>
  <si>
    <t>Deposito en efectivo directo a cuenta asociaciòn en abril/16</t>
  </si>
  <si>
    <t>6 Tarjetones</t>
  </si>
  <si>
    <t>Pago reflejante para pluma que vecina rompio con su auto</t>
  </si>
  <si>
    <t>Este recibo se cobro en marzo/16 por deposito a chequera</t>
  </si>
  <si>
    <t>Este recibo se deposito en mayo directo a chequera</t>
  </si>
  <si>
    <t>CL_86_</t>
  </si>
  <si>
    <t>Rancho La Cuchilla No. 86</t>
  </si>
  <si>
    <t>Del Villar</t>
  </si>
  <si>
    <t>EZ_119_3</t>
  </si>
  <si>
    <t>Rancho Estanzuela No. 119, 3</t>
  </si>
  <si>
    <t>Montecillo Sánchez</t>
  </si>
  <si>
    <t>LD_52_</t>
  </si>
  <si>
    <t>Rancho Landero No. 52</t>
  </si>
  <si>
    <t>Feregrino</t>
  </si>
  <si>
    <t>EZ_63_</t>
  </si>
  <si>
    <t>Rancho Estanzuela No. 63</t>
  </si>
  <si>
    <t>Mendoza Q.</t>
  </si>
  <si>
    <t>EZ_119_2</t>
  </si>
  <si>
    <t>Rancho Estanzuela No. 119, 2</t>
  </si>
  <si>
    <t>Lòpez Tovar</t>
  </si>
  <si>
    <t>CL_134_</t>
  </si>
  <si>
    <t>Rancho La Cuchilla No. 134</t>
  </si>
  <si>
    <t>Moreno Sánchez</t>
  </si>
  <si>
    <t>EZ_157_1</t>
  </si>
  <si>
    <t>Rancho Estanzuela No. 157, 1</t>
  </si>
  <si>
    <t>Anzures</t>
  </si>
  <si>
    <t>RV_175_a</t>
  </si>
  <si>
    <t>LD_10_</t>
  </si>
  <si>
    <t>Rancho Landero No. 10</t>
  </si>
  <si>
    <t>Gómez Facio</t>
  </si>
  <si>
    <t>UP_77_</t>
  </si>
  <si>
    <t>Rancho Upácuaro No. 77</t>
  </si>
  <si>
    <t>Alvarado</t>
  </si>
  <si>
    <t>LD_74_</t>
  </si>
  <si>
    <t>Rancho Landero No. 74</t>
  </si>
  <si>
    <t>Rabadam</t>
  </si>
  <si>
    <t>10422897 - 10422898</t>
  </si>
  <si>
    <t>ZB_40_</t>
  </si>
  <si>
    <t>Rancho Zinamba No. 40</t>
  </si>
  <si>
    <t>Correa Rojas</t>
  </si>
  <si>
    <t>UP_42_</t>
  </si>
  <si>
    <t>Rancho Upácuaro No. 42</t>
  </si>
  <si>
    <t>García Ramírez</t>
  </si>
  <si>
    <t>EZ_165_B</t>
  </si>
  <si>
    <t>Rancho Estanzuela No. 165, B</t>
  </si>
  <si>
    <t>Cervantes Luis S.</t>
  </si>
  <si>
    <t>EZ_119_4</t>
  </si>
  <si>
    <t>Rancho Estanzuela No. 119, 4</t>
  </si>
  <si>
    <t>Pérez Martínez</t>
  </si>
  <si>
    <t>CL_38_</t>
  </si>
  <si>
    <t>Rancho La Cuchilla No. 38</t>
  </si>
  <si>
    <t>Cerecedo</t>
  </si>
  <si>
    <t>EZ_103_A</t>
  </si>
  <si>
    <t>Rancho Estanzuela No. 103, A</t>
  </si>
  <si>
    <t>Valencia Aranda</t>
  </si>
  <si>
    <t>EZ_105_</t>
  </si>
  <si>
    <t>Rancho Estanzuela No. 105</t>
  </si>
  <si>
    <t>Ochoa</t>
  </si>
  <si>
    <t>UP_49_</t>
  </si>
  <si>
    <t>Rancho Upácuaro No. 49</t>
  </si>
  <si>
    <t>Sánchez Romano</t>
  </si>
  <si>
    <t>CL_58_</t>
  </si>
  <si>
    <t>Rancho La Cuchilla No. 58</t>
  </si>
  <si>
    <t>Serdán</t>
  </si>
  <si>
    <t>UP_96_</t>
  </si>
  <si>
    <t>Rancho Upácuaro No. 96</t>
  </si>
  <si>
    <t>Daza Gutiérrez</t>
  </si>
  <si>
    <t>CL_67_</t>
  </si>
  <si>
    <t>Rancho La Cuchilla No. 67</t>
  </si>
  <si>
    <t>Quezada Viruega</t>
  </si>
  <si>
    <t>CL_39_</t>
  </si>
  <si>
    <t>Rancho La Cuchilla No. 39</t>
  </si>
  <si>
    <t>Arenas</t>
  </si>
  <si>
    <t>UP_36_</t>
  </si>
  <si>
    <t>Rancho Upácuaro No. 36</t>
  </si>
  <si>
    <t>Araiza</t>
  </si>
  <si>
    <t>LD_75_</t>
  </si>
  <si>
    <t>Rancho Landero No. 75</t>
  </si>
  <si>
    <t>López Fara</t>
  </si>
  <si>
    <t>Pago cheque #6164 BBVA</t>
  </si>
  <si>
    <t>UP_10_</t>
  </si>
  <si>
    <t>Rancho Upácuaro No. 10</t>
  </si>
  <si>
    <t>Fernández García</t>
  </si>
  <si>
    <t>EZ_9_A</t>
  </si>
  <si>
    <t>Rancho Estanzuela No. 9, A</t>
  </si>
  <si>
    <t>Castañeda</t>
  </si>
  <si>
    <t>CL_35_</t>
  </si>
  <si>
    <t>Rancho La Cuchilla No. 35</t>
  </si>
  <si>
    <t>UP_11_</t>
  </si>
  <si>
    <t>Rancho Upácuaro No. 11</t>
  </si>
  <si>
    <t>Partida</t>
  </si>
  <si>
    <t>UP_45_</t>
  </si>
  <si>
    <t>Rancho Upácuaro No. 45</t>
  </si>
  <si>
    <t>Enrique Vázquez</t>
  </si>
  <si>
    <t>LD_86_</t>
  </si>
  <si>
    <t>Rancho Landero No. 86</t>
  </si>
  <si>
    <t>Cuervo</t>
  </si>
  <si>
    <t>UP_44_</t>
  </si>
  <si>
    <t>Rancho Upácuaro No. 44</t>
  </si>
  <si>
    <t>Basurto</t>
  </si>
  <si>
    <t xml:space="preserve">  </t>
  </si>
  <si>
    <t>UP_103_</t>
  </si>
  <si>
    <t>Rancho Upácuaro No. 103</t>
  </si>
  <si>
    <t>CL_27_</t>
  </si>
  <si>
    <t>Rancho La Cuchilla No. 27</t>
  </si>
  <si>
    <t>Montoya</t>
  </si>
  <si>
    <t>Cheque bancomer #977798</t>
  </si>
  <si>
    <t>transferencia bancaria</t>
  </si>
  <si>
    <t>Pago un video</t>
  </si>
  <si>
    <t>Calzada del Hueso</t>
  </si>
  <si>
    <t>HS_840_2</t>
  </si>
  <si>
    <t>Calzada del Hueso No. 840_2</t>
  </si>
  <si>
    <t>Moto Space</t>
  </si>
  <si>
    <t>UP_51_1</t>
  </si>
  <si>
    <t>Rancho Upácuaro No. 51, 1</t>
  </si>
  <si>
    <t>Casas Nájera</t>
  </si>
  <si>
    <t>T.E. #10451907</t>
  </si>
  <si>
    <t>T.E. #10451908</t>
  </si>
  <si>
    <t>T.E.#10451862</t>
  </si>
  <si>
    <t>UP_26_</t>
  </si>
  <si>
    <t>Rancho Upácuaro No. 26</t>
  </si>
  <si>
    <t>Salazar</t>
  </si>
  <si>
    <t>EZ_93_</t>
  </si>
  <si>
    <t>Rancho Estanzuela No. 93</t>
  </si>
  <si>
    <t>Alcocer</t>
  </si>
  <si>
    <t>CL_30_</t>
  </si>
  <si>
    <t>Rancho La Cuchilla No. 30</t>
  </si>
  <si>
    <t>Ruiz Navarrete</t>
  </si>
  <si>
    <t>CL_7_101</t>
  </si>
  <si>
    <t>Rancho La Cuchilla No. 7, 101</t>
  </si>
  <si>
    <t>CL_7_201</t>
  </si>
  <si>
    <t>Rancho La Cuchilla No. 7, 201</t>
  </si>
  <si>
    <t>Solís Susana</t>
  </si>
  <si>
    <t>CL_49_</t>
  </si>
  <si>
    <t>Rancho La Cuchilla No. 49</t>
  </si>
  <si>
    <t>Orozco Castelazo</t>
  </si>
  <si>
    <t>CL_13_</t>
  </si>
  <si>
    <t>Rancho La Cuchilla No. 13</t>
  </si>
  <si>
    <t>Torres</t>
  </si>
  <si>
    <t>CL_118_</t>
  </si>
  <si>
    <t>Rancho La Cuchilla No. 118</t>
  </si>
  <si>
    <t>Astorga Ruiz</t>
  </si>
  <si>
    <t>EZ_15_B</t>
  </si>
  <si>
    <t>Rancho Estanzuela No. 15, B</t>
  </si>
  <si>
    <t>Frade Torres</t>
  </si>
  <si>
    <t>CL_112_PA</t>
  </si>
  <si>
    <t>Rancho La Cuchilla No. 112, PA</t>
  </si>
  <si>
    <t>Villalpando Pineda</t>
  </si>
  <si>
    <t>UP_43_</t>
  </si>
  <si>
    <t>Rancho Upácuaro No. 43</t>
  </si>
  <si>
    <t>Yolanda</t>
  </si>
  <si>
    <t>HS_A_</t>
  </si>
  <si>
    <t>Calzada del Hueso No. A</t>
  </si>
  <si>
    <t>La Lechuga</t>
  </si>
  <si>
    <t>Cheque BBVA # 6606</t>
  </si>
  <si>
    <t>LD_69_</t>
  </si>
  <si>
    <t>Rancho Landero No. 69</t>
  </si>
  <si>
    <t>Gómez Ayala</t>
  </si>
  <si>
    <t>LD_53_</t>
  </si>
  <si>
    <t>Rancho Landero No. 53</t>
  </si>
  <si>
    <t>Gutierrez Castillo</t>
  </si>
  <si>
    <t>CL_117_</t>
  </si>
  <si>
    <t>Rancho La Cuchilla No. 117</t>
  </si>
  <si>
    <t>UP_89_</t>
  </si>
  <si>
    <t>Rancho Upácuaro No. 89</t>
  </si>
  <si>
    <t>UP_61_</t>
  </si>
  <si>
    <t>Rancho Upácuaro No. 61</t>
  </si>
  <si>
    <t>Campos Granados</t>
  </si>
  <si>
    <t>Bailòn Mena</t>
  </si>
  <si>
    <t>UP_128_</t>
  </si>
  <si>
    <t>Rancho Upácuaro No. 128</t>
  </si>
  <si>
    <t>Alvarez</t>
  </si>
  <si>
    <t>UP_31_</t>
  </si>
  <si>
    <t>Rancho Upácuaro No. 31</t>
  </si>
  <si>
    <t>Gallardo Ávila</t>
  </si>
  <si>
    <t>ZB_66_</t>
  </si>
  <si>
    <t>Rancho Zinamba No. 66</t>
  </si>
  <si>
    <t>Pacheco</t>
  </si>
  <si>
    <t>10451893 - 10451894</t>
  </si>
  <si>
    <t>04--09-16</t>
  </si>
  <si>
    <t>Garcìa Martìnez</t>
  </si>
  <si>
    <t>Pago video USB</t>
  </si>
  <si>
    <t>T.E. #10451888</t>
  </si>
  <si>
    <t>LD_61_</t>
  </si>
  <si>
    <t>Rancho Landero No. 61</t>
  </si>
  <si>
    <t>Miramontes Pérez</t>
  </si>
  <si>
    <t>RV_189_</t>
  </si>
  <si>
    <t>Rancho Recoveco No. 189</t>
  </si>
  <si>
    <t>Vidal García</t>
  </si>
  <si>
    <t>UP_95_</t>
  </si>
  <si>
    <t>Rancho Upácuaro No. 95</t>
  </si>
  <si>
    <t>EZ_117_</t>
  </si>
  <si>
    <t>Rancho Estanzuela No. 117</t>
  </si>
  <si>
    <t>Cordero Nieto</t>
  </si>
  <si>
    <t>LD_92_</t>
  </si>
  <si>
    <t>Rancho Landero No. 92</t>
  </si>
  <si>
    <t>Ruiz Velasco</t>
  </si>
  <si>
    <t>LD_2_1</t>
  </si>
  <si>
    <t>Rancho Landero No. 2,1</t>
  </si>
  <si>
    <t>Zamora Vera</t>
  </si>
  <si>
    <t>Domicilio</t>
  </si>
  <si>
    <t>Familia</t>
  </si>
  <si>
    <t>JUL
2012</t>
  </si>
  <si>
    <t>AGO
2012</t>
  </si>
  <si>
    <t>SEP
2012</t>
  </si>
  <si>
    <t>OCT
2012</t>
  </si>
  <si>
    <t>NOV
2012</t>
  </si>
  <si>
    <t>DIC
2012</t>
  </si>
  <si>
    <t>SUMA
2012</t>
  </si>
  <si>
    <t>ENE
2013</t>
  </si>
  <si>
    <t>FEB
2013</t>
  </si>
  <si>
    <t>MAR
2013</t>
  </si>
  <si>
    <t>ABR
2013</t>
  </si>
  <si>
    <t>MAY
2013</t>
  </si>
  <si>
    <t>JUN
2013</t>
  </si>
  <si>
    <t>JUL
2013</t>
  </si>
  <si>
    <t>AGO
2013</t>
  </si>
  <si>
    <t>SEP
2013</t>
  </si>
  <si>
    <t>OCT
2013</t>
  </si>
  <si>
    <t>NOV
2013</t>
  </si>
  <si>
    <t>DIC
2013</t>
  </si>
  <si>
    <t>SUMA
2013</t>
  </si>
  <si>
    <t>ENE
2014</t>
  </si>
  <si>
    <t>FEB
2014</t>
  </si>
  <si>
    <t>MAR
2014</t>
  </si>
  <si>
    <t>ABR
2014</t>
  </si>
  <si>
    <t>MAY
2014</t>
  </si>
  <si>
    <t>JUN
2014</t>
  </si>
  <si>
    <t>JUL
2014</t>
  </si>
  <si>
    <t>AGO
2014</t>
  </si>
  <si>
    <t>SEP
2014</t>
  </si>
  <si>
    <t>OCT
2014</t>
  </si>
  <si>
    <t>NOV
2014</t>
  </si>
  <si>
    <t>DIC
2014</t>
  </si>
  <si>
    <t>SUMA
2014</t>
  </si>
  <si>
    <t>ENE
2015</t>
  </si>
  <si>
    <t>FEB
2015</t>
  </si>
  <si>
    <t>MAR
2015</t>
  </si>
  <si>
    <t>ABR
2015</t>
  </si>
  <si>
    <t>MAY
2015</t>
  </si>
  <si>
    <t>JUN
2015</t>
  </si>
  <si>
    <t>JUL
2015</t>
  </si>
  <si>
    <t>AGO
2015</t>
  </si>
  <si>
    <t>SEP
2015</t>
  </si>
  <si>
    <t>OCT
2015</t>
  </si>
  <si>
    <t>NOV
2015</t>
  </si>
  <si>
    <t>DIC
2015</t>
  </si>
  <si>
    <t>SUMA
2015</t>
  </si>
  <si>
    <t>CL_9_</t>
  </si>
  <si>
    <t>Rancho La Cuchilla No. 9</t>
  </si>
  <si>
    <t>Martín del Campo</t>
  </si>
  <si>
    <t>CL_11_</t>
  </si>
  <si>
    <t>Rancho La Cuchilla No. 11</t>
  </si>
  <si>
    <t>Santiago</t>
  </si>
  <si>
    <t>CL_17_A</t>
  </si>
  <si>
    <t>CL_25_</t>
  </si>
  <si>
    <t>Rancho La Cuchilla No. 25</t>
  </si>
  <si>
    <t>García de León</t>
  </si>
  <si>
    <t>CL_31_</t>
  </si>
  <si>
    <t>Rancho La Cuchilla No. 31</t>
  </si>
  <si>
    <t>Lince</t>
  </si>
  <si>
    <t>CL_57_</t>
  </si>
  <si>
    <t>Rancho La Cuchilla No. 57</t>
  </si>
  <si>
    <t>CL_60_</t>
  </si>
  <si>
    <t>Rancho La Cuchilla No. 60</t>
  </si>
  <si>
    <t>CL_62_</t>
  </si>
  <si>
    <t>Rancho La Cuchilla No. 62</t>
  </si>
  <si>
    <t>CL_63_</t>
  </si>
  <si>
    <t>Rancho La Cuchilla No. 63</t>
  </si>
  <si>
    <t>Díaz de la Rosa</t>
  </si>
  <si>
    <t>CL_65_</t>
  </si>
  <si>
    <t>Rancho La Cuchilla No. 65</t>
  </si>
  <si>
    <t>CL_70_</t>
  </si>
  <si>
    <t>Rancho La Cuchilla No. 70</t>
  </si>
  <si>
    <t>CL_76_</t>
  </si>
  <si>
    <t>Rancho La Cuchilla No. 76</t>
  </si>
  <si>
    <t>De La Rosa</t>
  </si>
  <si>
    <t>CL_81_B</t>
  </si>
  <si>
    <t>Rancho La Cuchilla No. 81, B</t>
  </si>
  <si>
    <t>Suarez</t>
  </si>
  <si>
    <t>CL_83_</t>
  </si>
  <si>
    <t>Rancho La Cuchilla No. 83</t>
  </si>
  <si>
    <t>Barradas</t>
  </si>
  <si>
    <t>CL_88_</t>
  </si>
  <si>
    <t>Rancho La Cuchilla No. 88</t>
  </si>
  <si>
    <t>CL_95_</t>
  </si>
  <si>
    <t>Rancho La Cuchilla No. 95</t>
  </si>
  <si>
    <t>Gutiérrez Sánchez</t>
  </si>
  <si>
    <t>CL_101_</t>
  </si>
  <si>
    <t>Rancho La Cuchilla No. 101</t>
  </si>
  <si>
    <t>Rodríguez Ramírez</t>
  </si>
  <si>
    <t>CL_107_</t>
  </si>
  <si>
    <t>Rancho La Cuchilla No. 107</t>
  </si>
  <si>
    <t>Olivares Rivera</t>
  </si>
  <si>
    <t>Rancho la Cuchilla No. 112, PA</t>
  </si>
  <si>
    <t>CL_119_</t>
  </si>
  <si>
    <t>Rancho La Cuchilla No. 119</t>
  </si>
  <si>
    <t>Vilchis</t>
  </si>
  <si>
    <t>CL_131_</t>
  </si>
  <si>
    <t>Rancho La Cuchilla No. 131</t>
  </si>
  <si>
    <t>Cabrera Marquez</t>
  </si>
  <si>
    <t>CL_137_</t>
  </si>
  <si>
    <t>Rancho La Cuchilla No. 137</t>
  </si>
  <si>
    <t>CL_144_</t>
  </si>
  <si>
    <t>Rancho La Cuchilla No. 144</t>
  </si>
  <si>
    <t>Operadores Maritimos y de L</t>
  </si>
  <si>
    <t>CL_terreno_</t>
  </si>
  <si>
    <t>Rancho La Cuchilla No. terreno</t>
  </si>
  <si>
    <t>Martínez Flores</t>
  </si>
  <si>
    <t>EP_15_</t>
  </si>
  <si>
    <t>Rancho Estopila No. 15</t>
  </si>
  <si>
    <t>Zhang</t>
  </si>
  <si>
    <t>EP_44_</t>
  </si>
  <si>
    <t>Rancho Estopila No. 44</t>
  </si>
  <si>
    <t>Christian</t>
  </si>
  <si>
    <t>EZ_5_A</t>
  </si>
  <si>
    <t>Rancho Estanzuela No. 5, A</t>
  </si>
  <si>
    <t>Zapata</t>
  </si>
  <si>
    <t>EZ_5_B</t>
  </si>
  <si>
    <t>Rancho Estanzuela No. 5, B</t>
  </si>
  <si>
    <t>Juárez Guerrero</t>
  </si>
  <si>
    <t>EZ_41_</t>
  </si>
  <si>
    <t>Rancho Estanzuela No. 41</t>
  </si>
  <si>
    <t>EZ_43_</t>
  </si>
  <si>
    <t>Rancho Estanzuela No. 43</t>
  </si>
  <si>
    <t>EZ_45_</t>
  </si>
  <si>
    <t>Rancho Estanzuela No. 45</t>
  </si>
  <si>
    <t>EZ_49_</t>
  </si>
  <si>
    <t>Rancho Estanzuela No. 49</t>
  </si>
  <si>
    <t>Sánchez Zamora</t>
  </si>
  <si>
    <t>EZ_59_</t>
  </si>
  <si>
    <t>Rancho Estanzuela No. 59</t>
  </si>
  <si>
    <t>EZ_73_</t>
  </si>
  <si>
    <t>Rancho Estanzuela No. 73</t>
  </si>
  <si>
    <t>Salcedo García</t>
  </si>
  <si>
    <t>EZ_97_</t>
  </si>
  <si>
    <t>Rancho Estanzuela No. 97</t>
  </si>
  <si>
    <t>Bolaños</t>
  </si>
  <si>
    <t>EZ_123_</t>
  </si>
  <si>
    <t>Rancho Estanzuela No. 123</t>
  </si>
  <si>
    <t>Monitorial</t>
  </si>
  <si>
    <t>EZ_130_B</t>
  </si>
  <si>
    <t>Rancho Estanzuela No. 130, B</t>
  </si>
  <si>
    <t>EZ_133_B</t>
  </si>
  <si>
    <t>EZ_147_3</t>
  </si>
  <si>
    <t>Rancho Estanzuela No. 147, 3</t>
  </si>
  <si>
    <t>Corrales</t>
  </si>
  <si>
    <t>EZ_153_</t>
  </si>
  <si>
    <t>Rancho Estanzuela No. 153</t>
  </si>
  <si>
    <t>Torres Cázares</t>
  </si>
  <si>
    <t>EZ_161_B</t>
  </si>
  <si>
    <t>Rancho Estanzuela No. 161, B</t>
  </si>
  <si>
    <t>Pomián</t>
  </si>
  <si>
    <t>EZ_165_A</t>
  </si>
  <si>
    <t>Rancho Estanzuela No. 165, A</t>
  </si>
  <si>
    <t>Campos Jorge</t>
  </si>
  <si>
    <t>HS_828_</t>
  </si>
  <si>
    <t>Calzada del Hueso No. 828</t>
  </si>
  <si>
    <t>Cervantes, Miguel</t>
  </si>
  <si>
    <t>HS_846_</t>
  </si>
  <si>
    <t>Calzada del Hueso No. 846</t>
  </si>
  <si>
    <t>Carreño Solís</t>
  </si>
  <si>
    <t>HS_B_</t>
  </si>
  <si>
    <t>Calzada del Hueso No. B</t>
  </si>
  <si>
    <t>KB TEL Telecomunicaciones</t>
  </si>
  <si>
    <t>HS_C_</t>
  </si>
  <si>
    <t>Calzada del Hueso No. C</t>
  </si>
  <si>
    <t>Estética</t>
  </si>
  <si>
    <t>LD_1_B</t>
  </si>
  <si>
    <t>Rancho Landero No. 1, B</t>
  </si>
  <si>
    <t>Rancho Landero No. 2_1</t>
  </si>
  <si>
    <t>Rancho Landero No. 2_2</t>
  </si>
  <si>
    <t>Beatriz Gonzalez</t>
  </si>
  <si>
    <t>LD_2_A</t>
  </si>
  <si>
    <t>LD_13_</t>
  </si>
  <si>
    <t>Rancho Landero No. 13</t>
  </si>
  <si>
    <t>LD_41_</t>
  </si>
  <si>
    <t>Rancho Landero No. 41</t>
  </si>
  <si>
    <t>LD_49_</t>
  </si>
  <si>
    <t>Rancho Landero No. 49</t>
  </si>
  <si>
    <t>LD_50_</t>
  </si>
  <si>
    <t>Rancho Landero No. 50</t>
  </si>
  <si>
    <t>Colín</t>
  </si>
  <si>
    <t>LD_54_1</t>
  </si>
  <si>
    <t>Rancho Landero No. 54, 1</t>
  </si>
  <si>
    <t>Montes de Oca</t>
  </si>
  <si>
    <t>LD_64_</t>
  </si>
  <si>
    <t>Rancho Landero No. 64</t>
  </si>
  <si>
    <t>Ocampo Melchor</t>
  </si>
  <si>
    <t>LD_66_</t>
  </si>
  <si>
    <t>Rancho Landero No. 66</t>
  </si>
  <si>
    <t>RM_23_A</t>
  </si>
  <si>
    <t>Rancho Romeral No. 23, A</t>
  </si>
  <si>
    <t>RM_58_</t>
  </si>
  <si>
    <t>Rancho Romeral No. 58</t>
  </si>
  <si>
    <t>RV_2_</t>
  </si>
  <si>
    <t>Rancho Recoveco No. 2</t>
  </si>
  <si>
    <t>Cortes Garduño</t>
  </si>
  <si>
    <t>UP_9_</t>
  </si>
  <si>
    <t>Rancho Upácuaro No. 9</t>
  </si>
  <si>
    <t>Núñez</t>
  </si>
  <si>
    <t>UP_16_</t>
  </si>
  <si>
    <t>Rancho Upácuaro No. 16</t>
  </si>
  <si>
    <t>UP_20_</t>
  </si>
  <si>
    <t>Rancho Upácuaro No. 20</t>
  </si>
  <si>
    <t>Villaseñor Jorge</t>
  </si>
  <si>
    <t>UP_24_</t>
  </si>
  <si>
    <t>Rancho Upácuaro No. 24</t>
  </si>
  <si>
    <t>Parra</t>
  </si>
  <si>
    <t>UP_34_</t>
  </si>
  <si>
    <t>Rancho Upácuaro No. 34</t>
  </si>
  <si>
    <t>Gómez González</t>
  </si>
  <si>
    <t>UP_35_</t>
  </si>
  <si>
    <t>Rancho Upácuaro No. 35</t>
  </si>
  <si>
    <t>UP_48_</t>
  </si>
  <si>
    <t>Rancho Upácuaro No. 48</t>
  </si>
  <si>
    <t>Bernal</t>
  </si>
  <si>
    <t>UP_55_</t>
  </si>
  <si>
    <t>Rancho Upácuaro No. 55</t>
  </si>
  <si>
    <t>Ávila</t>
  </si>
  <si>
    <t>UP_56_</t>
  </si>
  <si>
    <t>Rancho Upácuaro No. 56</t>
  </si>
  <si>
    <t>UP_57_</t>
  </si>
  <si>
    <t>Rancho Upácuaro No. 57</t>
  </si>
  <si>
    <t>UP_71_</t>
  </si>
  <si>
    <t>Rancho Upácuaro No. 71</t>
  </si>
  <si>
    <t>Trejo Méndez</t>
  </si>
  <si>
    <t>UP_72_</t>
  </si>
  <si>
    <t>Rancho Upácuaro No. 72</t>
  </si>
  <si>
    <t>De la Chica</t>
  </si>
  <si>
    <t>UP_91_</t>
  </si>
  <si>
    <t>Rancho Upácuaro No. 91</t>
  </si>
  <si>
    <t>Mallen Aponte</t>
  </si>
  <si>
    <t>UP_92_</t>
  </si>
  <si>
    <t>Rancho Upácuaro No. 92</t>
  </si>
  <si>
    <t>Díaz Jiménez</t>
  </si>
  <si>
    <t>UP_102_</t>
  </si>
  <si>
    <t>Rancho Upácuaro No. 102</t>
  </si>
  <si>
    <t>UP_122_</t>
  </si>
  <si>
    <t>Rancho Upácuaro No. 122</t>
  </si>
  <si>
    <t>UP_144_</t>
  </si>
  <si>
    <t>Rancho Upácuaro No. 144</t>
  </si>
  <si>
    <t>UP_148_</t>
  </si>
  <si>
    <t>Rancho Upácuaro No. 148</t>
  </si>
  <si>
    <t>ZB_18_</t>
  </si>
  <si>
    <t>Rancho Zinamba No. 18</t>
  </si>
  <si>
    <t>Hernández Castro</t>
  </si>
  <si>
    <t>ZB_30_</t>
  </si>
  <si>
    <t>Rancho Zinamba No. 30</t>
  </si>
  <si>
    <t xml:space="preserve">Arroyo </t>
  </si>
  <si>
    <t>ZB_54_</t>
  </si>
  <si>
    <t>Rancho Zinamba No. 54</t>
  </si>
  <si>
    <t>ZB_56_</t>
  </si>
  <si>
    <t>Rancho Zinamba No. 56</t>
  </si>
  <si>
    <t>Aguado</t>
  </si>
  <si>
    <t>ZB_58_</t>
  </si>
  <si>
    <t>Rancho Zinamba No. 58</t>
  </si>
  <si>
    <t>Almaraz Morales</t>
  </si>
  <si>
    <t>Haciendas de Coyoacán</t>
  </si>
  <si>
    <t>Cuotas de vigilancia y mantenimiento</t>
  </si>
  <si>
    <t>Período: julio de 2012 - diciembre de 2017</t>
  </si>
  <si>
    <t>mes</t>
  </si>
  <si>
    <t>financiero</t>
  </si>
  <si>
    <t>distribución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</si>
  <si>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</si>
  <si>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</si>
  <si>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</si>
  <si>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</si>
  <si>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</si>
  <si>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</si>
  <si>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</si>
  <si>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</si>
  <si>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</si>
  <si>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</si>
  <si>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</si>
  <si>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</si>
  <si>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suma</t>
  </si>
  <si>
    <t>N°</t>
  </si>
  <si>
    <t>Cambio de número de vivienda de 2 a 28. BS 14JUN13</t>
  </si>
  <si>
    <t>Agregado el 14JUN13. BS</t>
  </si>
  <si>
    <t>Se cambio nombre el dìa 24/jul/16 GM</t>
  </si>
  <si>
    <t>Agregado el 16ENE15. GM</t>
  </si>
  <si>
    <t>Se cambiaron familia nueva 02/08/15</t>
  </si>
  <si>
    <t>Agregado Julio/14    cambio de inquilino 07-09-15 GMS</t>
  </si>
  <si>
    <t>Agregado Julio/14    (cambio de inquilino 20-12-15 GMS)</t>
  </si>
  <si>
    <t>El número de la vivienda cambia de 5 a 15. BS 14JUN13</t>
  </si>
  <si>
    <t>Se agregò el 24 abril/16 GMS</t>
  </si>
  <si>
    <t>Se agrego el 21 marzo/15 GMS</t>
  </si>
  <si>
    <t>Se agrego el 28 marzo/15 GMS</t>
  </si>
  <si>
    <t>Cambio de familia el 21 de mayo/16 antes Fam. Chavero</t>
  </si>
  <si>
    <t>Agregado el 14JUN13. BS/ Cambio fam. El 04 de julio/16</t>
  </si>
  <si>
    <t>Antes Fam. Lopez Tovar ahora es Fam. Crespo GMS 26-06-16</t>
  </si>
  <si>
    <t>Agregado el 19 JUN/16 GM</t>
  </si>
  <si>
    <t>Agregado el 20 JULIO/15 GM</t>
  </si>
  <si>
    <t>Bueno Rendón</t>
  </si>
  <si>
    <t>Se cambio nombre el dia 20/10/15</t>
  </si>
  <si>
    <t>Se desagrupa en tres viviendas diferentes. BS 14JUN13</t>
  </si>
  <si>
    <t xml:space="preserve">Cambio de familia el 12/06/16 </t>
  </si>
  <si>
    <t>LA BASE DE DASTOS NO TIENE CUOTA</t>
  </si>
  <si>
    <t>antes Conde</t>
  </si>
  <si>
    <t>Agrego GMS 07-09-15</t>
  </si>
  <si>
    <t>Agregado el 29JUL13. BS</t>
  </si>
  <si>
    <t>Agregado el 03/10/16 GM</t>
  </si>
  <si>
    <t>Agregado el 17 NOVIEMBRE 15 GMS</t>
  </si>
  <si>
    <t>Agregado el 21 Mayo 15 GM</t>
  </si>
  <si>
    <t>Cambio de familia 06-06-16 antes Peña Torres</t>
  </si>
  <si>
    <t>Cambio de familia 20-09-15 GMS</t>
  </si>
  <si>
    <t>Antes Fam. Hernàndez Horta ahora Cortes Sanchez 22-05-16</t>
  </si>
  <si>
    <t>Familia nueva 28-08-16 GMS</t>
  </si>
  <si>
    <t>Familia nueva 17-07-16 GMS</t>
  </si>
  <si>
    <t>Agregado el 14JUN13. BS   cambui el nombre el 03/07/16</t>
  </si>
  <si>
    <t>El número de la vivienda cambia de 123 A a 23 A. BS 14JUN13</t>
  </si>
  <si>
    <t>27oct 13 pagódueño Roberto Andres Aguilar, aut B. Sala</t>
  </si>
  <si>
    <t>Cambio de familia 15/oct/15 GMS</t>
  </si>
  <si>
    <t>Familia nueva 07-09-15 GMS</t>
  </si>
  <si>
    <t>Cambio de familia 20/12/15 GMS</t>
  </si>
  <si>
    <t>Rancho La Cuchilla No. 17, A</t>
  </si>
  <si>
    <t>Rancho Estanzuela No. 133, B</t>
  </si>
  <si>
    <t>FECHA
EMISIÓN</t>
  </si>
  <si>
    <t>FECHA
OPERACIÓN</t>
  </si>
  <si>
    <t>CHEQUE
No.</t>
  </si>
  <si>
    <t>NOMBRE / BENEFICIARIO</t>
  </si>
  <si>
    <t>CONCEPTO</t>
  </si>
  <si>
    <t>DEPÓSITO</t>
  </si>
  <si>
    <t>RETIRO</t>
  </si>
  <si>
    <t>SALDO</t>
  </si>
  <si>
    <t>RECIBO N°</t>
  </si>
  <si>
    <t>Depósito en efectivo</t>
  </si>
  <si>
    <t>Alberto Augusto Fuentes Herrera</t>
  </si>
  <si>
    <t>Cuota de vigilancia y mantenimiento</t>
  </si>
  <si>
    <t>Remanente identificador</t>
  </si>
  <si>
    <t>G_P_Fin</t>
  </si>
  <si>
    <t>Familia Vega Sánchez C.</t>
  </si>
  <si>
    <t>Sistemas inteligentes en Seguridad</t>
  </si>
  <si>
    <t>Instalación de cámaras</t>
  </si>
  <si>
    <t>Comisión por cheques expedidos</t>
  </si>
  <si>
    <t>I.V.A. sobre comisiones</t>
  </si>
  <si>
    <t>IVA</t>
  </si>
  <si>
    <t>Lic. Manuel García</t>
  </si>
  <si>
    <t>Notaría</t>
  </si>
  <si>
    <t>G_ASLE</t>
  </si>
  <si>
    <t>Norma Lorena González Arevyan</t>
  </si>
  <si>
    <t>s/n</t>
  </si>
  <si>
    <t>Comisión por expedición de estado de cuenta</t>
  </si>
  <si>
    <t>l76</t>
  </si>
  <si>
    <t>Lic. Manuel Ruiz</t>
  </si>
  <si>
    <t>Gastos de notaría</t>
  </si>
  <si>
    <t>INFRA</t>
  </si>
  <si>
    <r>
      <t>Instalación de 16 cámaras (3</t>
    </r>
    <r>
      <rPr>
        <vertAlign val="superscript"/>
        <sz val="10"/>
        <color theme="1"/>
        <rFont val="Tahoma"/>
        <family val="2"/>
      </rPr>
      <t>era</t>
    </r>
    <r>
      <rPr>
        <sz val="10"/>
        <color theme="1"/>
        <rFont val="Tahoma"/>
        <family val="2"/>
      </rPr>
      <t>. etapa)</t>
    </r>
  </si>
  <si>
    <t>Cuota de vigilancia y mantenimiento julio 2013</t>
  </si>
  <si>
    <t>Cuotas recibidas en cheque</t>
  </si>
  <si>
    <t>Cuota de vigilancia y mantenimiento julio de 2013</t>
  </si>
  <si>
    <t>Cuota de vigilancia y mantenimiento mayo - agosto 2013</t>
  </si>
  <si>
    <t>Cuota de vigilancia y mantenimiento agosto 2013</t>
  </si>
  <si>
    <t>Cuota de vigilancia y mantenimiento agosto de 2013</t>
  </si>
  <si>
    <t>Cuota de vigilancia y mantenimiento Septiembre 2013</t>
  </si>
  <si>
    <t>Cuota de vigilancia y mantenimiento septiembre 2013</t>
  </si>
  <si>
    <t>Cuota de vigilancia y mantenimiento septiembre de 2013</t>
  </si>
  <si>
    <t>Cuota de vigilancia y mantenimiento septiembre-octubre 2013</t>
  </si>
  <si>
    <t>Cuota de vigilancia y mantenimiento octubre 2013</t>
  </si>
  <si>
    <t>Cuota de vigilancia y mantenimiento octubre de 2013</t>
  </si>
  <si>
    <t>Cuota de vigilancia y mantenimiento Octubre 2013</t>
  </si>
  <si>
    <t>Cuota de vigilancia y mantenimiento noviembre 2013</t>
  </si>
  <si>
    <t>Cuota de vigilancia y mantenimiento noviembre de 2013</t>
  </si>
  <si>
    <t>Cabello, Eduardo</t>
  </si>
  <si>
    <t>Cuota de vigilancia y mantenimiento OCT - DIC 2013</t>
  </si>
  <si>
    <t>Pagó con cheque No. 124 del Banco Inbursa</t>
  </si>
  <si>
    <t>Cuota de vigilancia y mantenimiento Diciembre 2013</t>
  </si>
  <si>
    <t>s/n_001</t>
  </si>
  <si>
    <t>s/n_002</t>
  </si>
  <si>
    <t>Cuota de vigilancia y mantenimiento diciembre de 2013</t>
  </si>
  <si>
    <t>s/n_003</t>
  </si>
  <si>
    <t>Baldemar Sala Bay</t>
  </si>
  <si>
    <t>Fondo operativo</t>
  </si>
  <si>
    <t>Pedro Perez Reséndiz</t>
  </si>
  <si>
    <t>Gratificación por renuncia especial</t>
  </si>
  <si>
    <t>G_NMNVG</t>
  </si>
  <si>
    <t>Jesús Ivan Hernandez Garcia</t>
  </si>
  <si>
    <t>Comisión Cheque expedido</t>
  </si>
  <si>
    <t>IVA sobre cheque expedido</t>
  </si>
  <si>
    <t>Francisco Razo Luquin</t>
  </si>
  <si>
    <t>Cuota de vigilancia y mantenimiento Enero 2014</t>
  </si>
  <si>
    <t>Deposito Bancario Cuotas</t>
  </si>
  <si>
    <t xml:space="preserve">Deposito Cheque Banorte </t>
  </si>
  <si>
    <t>El cheque recibido es el No. 728 del Bancomer</t>
  </si>
  <si>
    <t xml:space="preserve">Deposito cheque local </t>
  </si>
  <si>
    <t>Pago de nómima 1a quincena de enero14 Grupo Gama</t>
  </si>
  <si>
    <t>Famlilia Moreno</t>
  </si>
  <si>
    <t>Deposito Cheque Santander</t>
  </si>
  <si>
    <t>Familia Roldán Flores</t>
  </si>
  <si>
    <t>Deposito Banamex Cuotas</t>
  </si>
  <si>
    <t>Familia Sala</t>
  </si>
  <si>
    <t>Guardias y Custodias Privadas Gama</t>
  </si>
  <si>
    <t>Pago de nómima 2a quincena de enero/14 Grupo Gama</t>
  </si>
  <si>
    <t>Cuota de vigilancia y mantenimiento Febrero/14</t>
  </si>
  <si>
    <t>Cuota de vigilancia y mantenimiento enero de 2014</t>
  </si>
  <si>
    <t>I.V.A. sobre cuota de mantenimiento</t>
  </si>
  <si>
    <t>Banorte</t>
  </si>
  <si>
    <t>Comisión estado de cuenta</t>
  </si>
  <si>
    <t>IVA sobre estado de cuenta</t>
  </si>
  <si>
    <t>Pago de nómina 1a quincena de Febrero/14 Grupo Gama</t>
  </si>
  <si>
    <t>Cuota de vigilancia y mantenimiento febrero de 2014</t>
  </si>
  <si>
    <t>Familia Arauz</t>
  </si>
  <si>
    <t>Cuota de vigilancia y mantenimiento 2014</t>
  </si>
  <si>
    <t>Llave</t>
  </si>
  <si>
    <t>Familia Macias</t>
  </si>
  <si>
    <t>Cuota de Vigilancia y mantenimiento Feb. Mar y Abr/14</t>
  </si>
  <si>
    <t>IVA sobre comisión estado de cuenta</t>
  </si>
  <si>
    <t>Pago de nómina 2a quincena de Febrero/14 Grupo Gama</t>
  </si>
  <si>
    <t>Deposito Banacario Cuotas</t>
  </si>
  <si>
    <t>Familia Arámburu C</t>
  </si>
  <si>
    <t>Comisión sobre cheque expedido</t>
  </si>
  <si>
    <t>Pago del fraude cometido por el Ing Peláez</t>
  </si>
  <si>
    <t>IVA Comisión estado de cuenta</t>
  </si>
  <si>
    <t>Comisión copia</t>
  </si>
  <si>
    <t>IVA sobre comisión por copia</t>
  </si>
  <si>
    <t>IVA sobre comisión</t>
  </si>
  <si>
    <t>Pago de nómina 1a quincena de Marzo/14 Grupo Gama</t>
  </si>
  <si>
    <t>Cuota de vigilancia y mantenimiento abirl/14</t>
  </si>
  <si>
    <t>Cuota de vigilancia y mantenimiento marzo de 2014</t>
  </si>
  <si>
    <t>IVA Comisión cheque expedido</t>
  </si>
  <si>
    <t>Pago de nómina 2a quincena de Marzo/14 Grupo Gama</t>
  </si>
  <si>
    <t>Se desconoce de quien es</t>
  </si>
  <si>
    <t>Cuota de vigilancia y mantenimiento marzo 2014</t>
  </si>
  <si>
    <t>Cuota de vigilancia y mantenimiento abril/14</t>
  </si>
  <si>
    <t>Pago de nomina 1a quincena de abril/14 Grupo Gama</t>
  </si>
  <si>
    <t>Cheque local</t>
  </si>
  <si>
    <t>Pago de nómina 2a quincena de abril/14 Grupo Gama</t>
  </si>
  <si>
    <t>Cuota de vigilancia y manto nov/dic/13 ene/ feb/14</t>
  </si>
  <si>
    <t>Cuota de vigilancia y mantenimiento mayo/14</t>
  </si>
  <si>
    <t>Deposito el Dr. Oscar Roldan</t>
  </si>
  <si>
    <t>Pago nómina 1a quincena  de may/14 Grupo Gama</t>
  </si>
  <si>
    <t>Cuota de vigilancia y mantenimiento abril de 2014</t>
  </si>
  <si>
    <t>Cuota de vigilancia y mantenimiento mayo de 2014</t>
  </si>
  <si>
    <t>Pago nómina 2a quincena  de may/14 Grupo Gama</t>
  </si>
  <si>
    <t>Comisión de estado de cuenta</t>
  </si>
  <si>
    <t>IVA Comisión por estado de cuenta</t>
  </si>
  <si>
    <t>Cuota de vigilancia y mantenimiento junio/14</t>
  </si>
  <si>
    <t>Cuota de vigilancia y mant mayo/junio/14</t>
  </si>
  <si>
    <t>Cobráron el Dr. Oscar Roldan  y Sr. Baldemar Sala</t>
  </si>
  <si>
    <t>Cuota de vigilancia y mantenimiento junio de 2014</t>
  </si>
  <si>
    <t>Cobraron el Dr. Oscar Roldan  y Sr. Baldemar Sala</t>
  </si>
  <si>
    <t>Comisión cheque expedido</t>
  </si>
  <si>
    <t>Cuota de vigilancia y mantenimiento jullio/14</t>
  </si>
  <si>
    <t>Cuota de vigilancia y mantenimiento agosto/14</t>
  </si>
  <si>
    <t>Deposito del Dr. Oscar Roldan</t>
  </si>
  <si>
    <t>Cuota de vigilancia y mantenimiento julio de 2014</t>
  </si>
  <si>
    <t xml:space="preserve"> </t>
  </si>
  <si>
    <t>Cuota de vig y manto de feb a sept/14 $ 300 por mes</t>
  </si>
  <si>
    <t>Cuota de vigilancia y mantenimiento agosto de 2014</t>
  </si>
  <si>
    <t>Cuota de vigilancia y mantenimiento septiembre/14</t>
  </si>
  <si>
    <t>Cuota de vigilancia y mant  julio/agosto/septiembre/14</t>
  </si>
  <si>
    <t>Cuota de vigilancia y mantenimiento septiembre de 2014</t>
  </si>
  <si>
    <t>Cuota de vigilancia y mantenimiento octubre/14</t>
  </si>
  <si>
    <t>Cuota de vigilancia y mantenimineto octubre/14</t>
  </si>
  <si>
    <t>Cuota de vigilancia y mantenimiento octubre de 2014</t>
  </si>
  <si>
    <t>Cuota de vigilancia y mantenimiento noviembre/14</t>
  </si>
  <si>
    <t>Cuota de vigilancia y mantenimiento diciembre/14</t>
  </si>
  <si>
    <t>Com. Chq. Exped. Liq.2014</t>
  </si>
  <si>
    <t>I.V.A. Liq. 2014</t>
  </si>
  <si>
    <t>Cuota de vigilancia y mantenimiento enero/15</t>
  </si>
  <si>
    <t>Familia Velero</t>
  </si>
  <si>
    <t>Cuota de vigilancia y mantenimiento dic/14 y ene/15</t>
  </si>
  <si>
    <t>Familia Roy Sanchez</t>
  </si>
  <si>
    <t>Cuota de vigilancia y mantenimiento oct/nov/dic/14</t>
  </si>
  <si>
    <t>Familia Aparicio</t>
  </si>
  <si>
    <t>Cuota de vigilancia y mantenimiento enero a diciembre/15</t>
  </si>
  <si>
    <t>Familia Salazar Torres</t>
  </si>
  <si>
    <t>Cuota de vigilancia y mantienimiento enero a diciembre/15</t>
  </si>
  <si>
    <t>Cuota de vigilancia y mantenimeinto enero/15</t>
  </si>
  <si>
    <t>IIVA</t>
  </si>
  <si>
    <t>Cuota de vigilancia y mantenimiento febrero/15</t>
  </si>
  <si>
    <t>Cuota de vigilancia y mantenimeinto marzo/15</t>
  </si>
  <si>
    <t>EFECTIVO</t>
  </si>
  <si>
    <t>Dr. Oscar Roldan</t>
  </si>
  <si>
    <t>De varios mantenimientos</t>
  </si>
  <si>
    <t>Paga ene/feb/mar/15 $ 400 por mes con el recibo #9136</t>
  </si>
  <si>
    <t>EZ_100</t>
  </si>
  <si>
    <t>Cuota de vigilancia y mantenimineto febrero/15</t>
  </si>
  <si>
    <t>Fam Flores</t>
  </si>
  <si>
    <t>Pago anualidad pago con el recibo # 8973</t>
  </si>
  <si>
    <t>Cuervo Canton</t>
  </si>
  <si>
    <t>Pago de enero a agosto/15 con el recibo # 9014</t>
  </si>
  <si>
    <t>Pago cuota ene/feb/mar/abr/may/jun/15 $ 400 por mes recibo #9229</t>
  </si>
  <si>
    <t>Pago cuota ene/feb/15 $ 400 por mes recibo # 9079</t>
  </si>
  <si>
    <t>Roy Sanchez</t>
  </si>
  <si>
    <t>Pago ene/feb/mar/15 $ 400 por mes recibo # 8921</t>
  </si>
  <si>
    <t xml:space="preserve">Cuota de vigilancia y mantenimiento marzo/15   </t>
  </si>
  <si>
    <t>Cuota de vigilancia y mantenimiento abril/15 con el recibo # 9254</t>
  </si>
  <si>
    <t>Famila Vega Sánchez C</t>
  </si>
  <si>
    <t>Cuota de vigilancia y mantenimiento marzo/15 con el recibo #9489</t>
  </si>
  <si>
    <t>Fam. Moreno Sanchez</t>
  </si>
  <si>
    <t>Cuota de vigilancia y mantenimineto ene/feb/mar/abr/15 recib #9275</t>
  </si>
  <si>
    <t>Cl_134_</t>
  </si>
  <si>
    <t>Cuota de vigilancia y mantenimiento abril/15</t>
  </si>
  <si>
    <t>Cuota de vigilancia y mantenimiento mayo/15</t>
  </si>
  <si>
    <t>Moen grupo industrial</t>
  </si>
  <si>
    <t>Ant al suministro y colocación de techado en policarbonato caseta RM</t>
  </si>
  <si>
    <t>Familia Escamilla Martínez</t>
  </si>
  <si>
    <t>Cuota de vigilancia y mantenimiento marzo/15</t>
  </si>
  <si>
    <t>Com. Chq. Exped. Liq.0531</t>
  </si>
  <si>
    <t>IVA 0531</t>
  </si>
  <si>
    <t xml:space="preserve">Cuota de vigilancia y mantienimiento oct/nov/dic/14 </t>
  </si>
  <si>
    <t xml:space="preserve">Cuota de vigilancia y mantenimieto junio/15 </t>
  </si>
  <si>
    <t>ClL_29_</t>
  </si>
  <si>
    <t>Familia Arias Monter</t>
  </si>
  <si>
    <t>Cuota de vigilancia y mantenimiento abr/may/jun/15 recibo #9575</t>
  </si>
  <si>
    <t>Familia Moreno</t>
  </si>
  <si>
    <t>Cuota de vigilancia y mantenimiento mar/abr/15 recibo # 9459</t>
  </si>
  <si>
    <t>Familia Roy Sánchez</t>
  </si>
  <si>
    <t>Cuota de vigilancia y mantenimiento abr/may/jun/jul/15 recibo 9492</t>
  </si>
  <si>
    <t>Cobrarón Dr. Roldan y el Sr. Baldemar Sala para gastos varios</t>
  </si>
  <si>
    <t>Cuota de vigilancia y mantenimiento juni/15</t>
  </si>
  <si>
    <t>Liq. Al suministro y colocación de techado en policarbonato caseta RM</t>
  </si>
  <si>
    <t>Ing Roberto Mendoza</t>
  </si>
  <si>
    <t>Liq con respecto a elevaciones y humdimientos de arrastes pluviales</t>
  </si>
  <si>
    <t>Familia Fierro Villaneda</t>
  </si>
  <si>
    <t>Cuota de vigilancia y mantenimiento de abril hasta diciembre/15</t>
  </si>
  <si>
    <t>Com. Chq. Exped.</t>
  </si>
  <si>
    <t>IVA por cheque exped.</t>
  </si>
  <si>
    <t>Dr. Oscar Roldan y Baldemar Sala</t>
  </si>
  <si>
    <t>Para gastos varios</t>
  </si>
  <si>
    <t>Cuota de vigilancia y mantenimiento jul/15 recibo # 9944</t>
  </si>
  <si>
    <t>Cuota de vigilancia y mantenimiento mes jul/15 recibo #9945</t>
  </si>
  <si>
    <t>Cuota de vigilancia y mantenimiento abr/may/jun/15 recibo #9946</t>
  </si>
  <si>
    <t>Paga mes mayo y junio</t>
  </si>
  <si>
    <t>I.V.A. por cheque exped.</t>
  </si>
  <si>
    <t xml:space="preserve">Cuota de vigilancia y mantenimiento mes ago/15 </t>
  </si>
  <si>
    <t>Cuota de vigilancia y mantenimiento mes jul/ago/sept/15</t>
  </si>
  <si>
    <t>Cuota de vigilancia y mantenimiento mes de julio/15</t>
  </si>
  <si>
    <t xml:space="preserve">Cuota de vigilancia y mantienimiento ene/feb/mar/15 </t>
  </si>
  <si>
    <t>Cuota de vigilancia y mantenimiento jul/ago/15 recibo #</t>
  </si>
  <si>
    <t xml:space="preserve">Cuota de vigilancia y mantenimiento sep/15 recibo # </t>
  </si>
  <si>
    <t>Cuota de vigilancia y mantenimiento mes abril/2015 recibbo #</t>
  </si>
  <si>
    <t>Cuota de vigilancia y mantenimiento mes de agosto/15</t>
  </si>
  <si>
    <t xml:space="preserve">Cuota de vigilancia y mantienimiento abr/may/jun/15 </t>
  </si>
  <si>
    <t>Cuota de vigilancia y manteminiento mes ago/sept/15</t>
  </si>
  <si>
    <t>Cuota de vigilancia y mantenimiento mes de septiembre/15</t>
  </si>
  <si>
    <t>Grisela Peralta</t>
  </si>
  <si>
    <t>Gastos varios</t>
  </si>
  <si>
    <t>Com. Che. Exped.</t>
  </si>
  <si>
    <t>Cuota de vigilancia y mantenimiento octubre de 2015</t>
  </si>
  <si>
    <t>Cuota de vigilancia y mantenimiento mes de octubre/15</t>
  </si>
  <si>
    <t>Cuota de vigilancia y mantenimineto mes de jul/ago/sep/15 #10341</t>
  </si>
  <si>
    <t>CL_34_</t>
  </si>
  <si>
    <t>Cuota de vigilancia y mantenimiento octubre</t>
  </si>
  <si>
    <t>Gastps varios</t>
  </si>
  <si>
    <t xml:space="preserve">Cuota de vigilancia y mantenimiento </t>
  </si>
  <si>
    <t>Fam. Cooper</t>
  </si>
  <si>
    <t xml:space="preserve">Cuota de vigilancia y mantenimiento año 2015 y 1 T.E. </t>
  </si>
  <si>
    <t>Fam. Vega Sánchez C.</t>
  </si>
  <si>
    <t>Cuota de vigilancia y mantenimiento noviembre/15</t>
  </si>
  <si>
    <t>Cuota de vigilancia y mantenimiento mes de noviembre</t>
  </si>
  <si>
    <t>Cuota de vigilancia y mantenimiento mes de sep/oct/15</t>
  </si>
  <si>
    <t xml:space="preserve">Gastos varios cobro de cheque # 245 </t>
  </si>
  <si>
    <t>Cuota de vigilancia y mantenimiento diciembre/15</t>
  </si>
  <si>
    <t>Gastos varios cobro de cheque # 247</t>
  </si>
  <si>
    <t xml:space="preserve">Baldemar Sala </t>
  </si>
  <si>
    <t>Cancelación cuenta bancaria en Banorte</t>
  </si>
  <si>
    <t>Gastos varios cobro de cheque # 249</t>
  </si>
  <si>
    <t>Cobro cheque cierre de cuenta</t>
  </si>
  <si>
    <t>Deposito en efectivo la cantidad de $ 10,583.18 y lo que se acumulo</t>
  </si>
  <si>
    <t>Atilano Limòn</t>
  </si>
  <si>
    <t>Cuota de vigilancia y mantenimiento ene/feb/mar/16</t>
  </si>
  <si>
    <t>Cuota de vigilancia y mantenimiento nov/dic/15</t>
  </si>
  <si>
    <t>Cuota de vigilancia y mantenimiento enero/16</t>
  </si>
  <si>
    <t>I.V.A. sobre cuota de mantienimiento</t>
  </si>
  <si>
    <t>Cuota de vigilancia y mantenimiento anualidad</t>
  </si>
  <si>
    <t>Cuota de vigilancia y mantenimiento febrero/16</t>
  </si>
  <si>
    <t>I.V.A sobre cuota de mantenimineto</t>
  </si>
  <si>
    <t>Cuota de vigilancia y mantenimiento feb/16</t>
  </si>
  <si>
    <t>Fam. Chavero Barrera</t>
  </si>
  <si>
    <t>Cuota de vigilancia y mantenimineto oct/nov/dic/15 y ene/16</t>
  </si>
  <si>
    <t>EZ_21</t>
  </si>
  <si>
    <t>Devolucion de cheque</t>
  </si>
  <si>
    <t>Cuota de vigilancia y mantenimiento marzo/16</t>
  </si>
  <si>
    <t>???????</t>
  </si>
  <si>
    <t>Cuota de vigilancia y mantenimiento marzo/16 recibo #11865</t>
  </si>
  <si>
    <t>Irma Monter Dipp</t>
  </si>
  <si>
    <t>Cobranza 3er domingo</t>
  </si>
  <si>
    <t>Ing. Jorge Luis Vàzquez Romero</t>
  </si>
  <si>
    <t xml:space="preserve">Pago por camara Estopila, tendido de cable, colocaciòn de la misma </t>
  </si>
  <si>
    <t xml:space="preserve">Com. Chq. Exp. </t>
  </si>
  <si>
    <t>I.V.A. com. Cheq. Exp.</t>
  </si>
  <si>
    <t>Cheque # 09 cambio de cheque cuenta Asociaciòn G.V. Grisela Peral</t>
  </si>
  <si>
    <t>Guardias y Custodìas Gama</t>
  </si>
  <si>
    <t>Liq. De la 2da. Quincena del marzo/16</t>
  </si>
  <si>
    <t>Cuota de vigilancia y mantenimieto marzo/16</t>
  </si>
  <si>
    <t>Contador Siegrist</t>
  </si>
  <si>
    <t>Pago del SAT, Colegio Carmel y pago de honorarios del mes de abril</t>
  </si>
  <si>
    <t>G_IVA</t>
  </si>
  <si>
    <t>Pago por bloquear tarjetas deudores</t>
  </si>
  <si>
    <t>Cuota de vigilancia y antenimiento abril/16</t>
  </si>
  <si>
    <t>I.VA. Sobre cuota de mantenimiento</t>
  </si>
  <si>
    <t>Fam. Atilano Limòn</t>
  </si>
  <si>
    <t>Cuota de vigilancia y mantenimiento abr/may/jun/16 $ 400 por mes</t>
  </si>
  <si>
    <t>Cuota de vigilancia y mantenimiento ene/feb/mar/abr/16 $ 400 x mes</t>
  </si>
  <si>
    <t>Pago mano de obra en colocaciòn de DVR dañado</t>
  </si>
  <si>
    <t>Compra de DVR AHD 1.0 MP 4 audios</t>
  </si>
  <si>
    <t>?????</t>
  </si>
  <si>
    <t>Cuota de vigilancia y mantenimiento de abril /16 Fam Hernàndez11856</t>
  </si>
  <si>
    <t>Liq. De la 2da. Quincena del abril/16</t>
  </si>
  <si>
    <t>Cuota de vigilancia y mantenimiento mayo/16</t>
  </si>
  <si>
    <t>Pago del SAT, retención I.V.A. Colegio Carmel del mes de mayo/16</t>
  </si>
  <si>
    <t>Pago de honorarios a contador Siegrist del mes de mayo/16</t>
  </si>
  <si>
    <t>G_HCTB</t>
  </si>
  <si>
    <t>Pago Advanced Servicio CCTV y Cómputo paro mantenimiento camaras</t>
  </si>
  <si>
    <t>Cuota dE vigilancia y mantenimiento mayo/16</t>
  </si>
  <si>
    <t>I.V.A. sobre cuotra de mantenimiento</t>
  </si>
  <si>
    <t>Pago Cerrajeria Gransur, compra de 30 llaves para puertas peatonales</t>
  </si>
  <si>
    <t>Cuota de vigilancia y mantenimiento abril y mayo/16 recibo #11867</t>
  </si>
  <si>
    <t>Banorte com. Chq. Exp.</t>
  </si>
  <si>
    <t>Banorte I.V.A. com. Chq. Exp.</t>
  </si>
  <si>
    <t>Advanced Servicio CCTV y Còmputo pago por bullet y doble forro</t>
  </si>
  <si>
    <t>Cuota de vigilancia y mantenimiento junio/16</t>
  </si>
  <si>
    <t>UP_16</t>
  </si>
  <si>
    <t>Jose Manuel Olivares, pago por pintar casetas</t>
  </si>
  <si>
    <t>Contador Siegris, pago de honorarios y pago del SAT $ 2,984.00</t>
  </si>
  <si>
    <t>Fernando Sosa, pago de acta circunstanciada por agreciòn de un vecino</t>
  </si>
  <si>
    <t>G_HJRD</t>
  </si>
  <si>
    <t>Cerrajeria Gransur, compra de 30 llaves</t>
  </si>
  <si>
    <t>G_ADQ</t>
  </si>
  <si>
    <t>Advanced Servicio CCTV y Còmputo, pago mano de obra en 3 circuitos</t>
  </si>
  <si>
    <t>Cuota de vigilancia y mantenimiento mes de junio/16</t>
  </si>
  <si>
    <t>Banorte com. Por cheq. Exped.</t>
  </si>
  <si>
    <t>Banorte I.V.A. por comisiòn de cheq. Exped</t>
  </si>
  <si>
    <t>Banorte com. Por estado de cuenta</t>
  </si>
  <si>
    <t>Banorte I.V.A. por comisiòn de estado de cuenta</t>
  </si>
  <si>
    <t>Cuota de vigilancia y mantenimiento julio/16</t>
  </si>
  <si>
    <t>Contador Siegrist, pago de honorarios  mes de julio/16</t>
  </si>
  <si>
    <t>Pago del SAT, retención I.V.A. Colegio Carmel del mes de julio/16</t>
  </si>
  <si>
    <t>Advanced Servicio CCTV y Cómputo, compra de 30 tarjetas electrónicas</t>
  </si>
  <si>
    <t>Banorte I.V.A. por comisión de cheq. Esped</t>
  </si>
  <si>
    <t>Cuota de vigilancia y marntenimiento agosto/16</t>
  </si>
  <si>
    <t>Cuota de vigilancia y mantenimiento mes de julio/16 Colegio Carmel</t>
  </si>
  <si>
    <t>Pago del SAT, retención I.V.A. Colegio Carmel del mes de agosto/16</t>
  </si>
  <si>
    <t>Contador Siegrist, pago de honorarios mes de agosto/16</t>
  </si>
  <si>
    <t>Cuota de vigilancia y mantenimiento mes de agosto/16</t>
  </si>
  <si>
    <t>Andrea Concepción Marque, pago de 1000 recibos cobranza</t>
  </si>
  <si>
    <t>Tecnoplaza Electrónica, S.A. de C.V. compra de 1 bobina</t>
  </si>
  <si>
    <t>Banorte com. Che. Exp.</t>
  </si>
  <si>
    <t>Banorte I.V.A. por comisión de cheq. Exped.</t>
  </si>
  <si>
    <t xml:space="preserve">Cuota de vigilancia y mantenimiento septiebre/16 </t>
  </si>
  <si>
    <t>Advanced Servicio CCTV y Cómputo, compra de transeptores para tendido</t>
  </si>
  <si>
    <t>Siegrist Contadores Publicos, pago de honorarios del es de septiebre/16</t>
  </si>
  <si>
    <t>SAT Servicio de Administración Tributaría, pago retención Carmel sep/16</t>
  </si>
  <si>
    <t>Cuota de vigilancia y mantenimiento mes de septiembre/16</t>
  </si>
  <si>
    <t>Motosierras y Equipos, compra desmelezadora Stihl para poda parque</t>
  </si>
  <si>
    <t>Ma. Teresa del Pozo, pago por fumigación de parque del fraccionamiento</t>
  </si>
  <si>
    <t>Advance Servcios CCTV y Cómputo, pago por tendido de camaras</t>
  </si>
  <si>
    <t>clave</t>
  </si>
  <si>
    <t>fecha</t>
  </si>
  <si>
    <t>Beneficiario</t>
  </si>
  <si>
    <t>Concepto</t>
  </si>
  <si>
    <t>Gasto</t>
  </si>
  <si>
    <t>I.V.A.</t>
  </si>
  <si>
    <t>Total</t>
  </si>
  <si>
    <t>G_MTPTA</t>
  </si>
  <si>
    <t>G_MTCST</t>
  </si>
  <si>
    <t>G_ORG</t>
  </si>
  <si>
    <t>G_PAPE</t>
  </si>
  <si>
    <t>G_ALMVG</t>
  </si>
  <si>
    <t>G_INFRA</t>
  </si>
  <si>
    <t>G_JDN</t>
  </si>
  <si>
    <t>G_CBR</t>
  </si>
  <si>
    <t>G_MTILM</t>
  </si>
  <si>
    <t>G_AGUA</t>
  </si>
  <si>
    <t>G_TLF</t>
  </si>
  <si>
    <t>G_UNF</t>
  </si>
  <si>
    <t>G_MDC</t>
  </si>
  <si>
    <t>G_MTCYP</t>
  </si>
  <si>
    <t>G_TRSP</t>
  </si>
  <si>
    <t>Luis Hernández</t>
  </si>
  <si>
    <t>Roberto Miranda</t>
  </si>
  <si>
    <t>Cerrajería Gran Sur</t>
  </si>
  <si>
    <t>G_MTLPZ</t>
  </si>
  <si>
    <t>Artículos de limpieza</t>
  </si>
  <si>
    <t>G_DIF</t>
  </si>
  <si>
    <t>Constantino Cabrera</t>
  </si>
  <si>
    <t>G_USB</t>
  </si>
  <si>
    <t>Mantenimiento de bicicletas</t>
  </si>
  <si>
    <t>G_MTCBQ</t>
  </si>
  <si>
    <t>G_SÑ</t>
  </si>
  <si>
    <t>Agua</t>
  </si>
  <si>
    <t>G_VRS</t>
  </si>
  <si>
    <t>The Home Depot</t>
  </si>
  <si>
    <t>Artemio Mora Torres</t>
  </si>
  <si>
    <t>G_P_FIN</t>
  </si>
  <si>
    <t>Siegrist Contadores Publicos</t>
  </si>
  <si>
    <t>Olegario Vázquez</t>
  </si>
  <si>
    <t>Electropura, S. de R.L. de C.V.</t>
  </si>
  <si>
    <t>Office Depot de México, S.A. de C.V.</t>
  </si>
  <si>
    <t>Advanced Servicio CCTV y Cómputo</t>
  </si>
  <si>
    <t>Nueva Walmart de México, S. de R.L. de C.V.</t>
  </si>
  <si>
    <t>Telefonos de México, S.A.B. de C.V.</t>
  </si>
  <si>
    <t>Compra de material de limpieza</t>
  </si>
  <si>
    <t>Pedro Cortes</t>
  </si>
  <si>
    <t>Manuel Olivares</t>
  </si>
  <si>
    <t xml:space="preserve">Panerías La Esperanza, S.A. de .C.V   </t>
  </si>
  <si>
    <t>Guardias y Custodias Privadas Gama, S.A. de C.V.</t>
  </si>
  <si>
    <t>Compra de 3 garrafones de agua</t>
  </si>
  <si>
    <t>Compra de 2 garrafones de agua</t>
  </si>
  <si>
    <t>Compra de 1 garrafon de agua</t>
  </si>
  <si>
    <t>Cadena comercial Oxxo, S.A. de C.V.</t>
  </si>
  <si>
    <t>Compra de 4 garrafones de agua</t>
  </si>
  <si>
    <t>Ferre Electrica Díaz</t>
  </si>
  <si>
    <t>Sabina Pérez González</t>
  </si>
  <si>
    <t>Miguel Angel Balderas</t>
  </si>
  <si>
    <t>Compra de papelería</t>
  </si>
  <si>
    <t>SAT Servicio de Administración Tributaria</t>
  </si>
  <si>
    <t>Gloria Mazzón Soto</t>
  </si>
  <si>
    <t>Grisela Peralta Portugal</t>
  </si>
  <si>
    <t>Servicio Robledo, S.A. de .C.V</t>
  </si>
  <si>
    <t>Compra de 5 garrafones de agua</t>
  </si>
  <si>
    <t>Pago de 3 garrafones de agua</t>
  </si>
  <si>
    <t>Patrulla 007</t>
  </si>
  <si>
    <t>Compra de agua y refresco para la Mesa Directiva</t>
  </si>
  <si>
    <t>Pago de estacionamiento</t>
  </si>
  <si>
    <t>Estacionamiento</t>
  </si>
  <si>
    <t>Tradición en Pastelería, S.A. de C.V.</t>
  </si>
  <si>
    <t>Junta quincenal Mesa Directiva</t>
  </si>
  <si>
    <t>Fuentes Plaza, A.C.</t>
  </si>
  <si>
    <t>Pago de 2 garrafones de agua</t>
  </si>
  <si>
    <t>Compra de agua para la Mesa Directiva y Vigilancia</t>
  </si>
  <si>
    <t>Administradora Auriga, S.A. de C.V.</t>
  </si>
  <si>
    <t>Estacionamiento Cuemanco</t>
  </si>
  <si>
    <t>Centro de copiado y papelería</t>
  </si>
  <si>
    <t>Ivan Luna</t>
  </si>
  <si>
    <t xml:space="preserve">Baldemar Sala Bay </t>
  </si>
  <si>
    <t>Visita al contador Segrist</t>
  </si>
  <si>
    <t>Estacionamiento tesorería</t>
  </si>
  <si>
    <t>Pago concepto comprensación en calidad de presidente de la MD 2° quincena</t>
  </si>
  <si>
    <t>Pago de 4 garrafones de agua</t>
  </si>
  <si>
    <t xml:space="preserve">Pago por recolección de basura del fin de semana </t>
  </si>
  <si>
    <t>Compra de refrescos y aguas para vigilancia y mesa directiva</t>
  </si>
  <si>
    <t>Pago concepto comprensación en calidad de presidente de la MD 1° quincena</t>
  </si>
  <si>
    <t>Pago de 5 garrafones de agua</t>
  </si>
  <si>
    <t>Gustavo Gil</t>
  </si>
  <si>
    <t>Ing. Jorge Luis Vázquez</t>
  </si>
  <si>
    <t>Compra de 6 garrafones de agua</t>
  </si>
  <si>
    <t>Imagen Publicitaría</t>
  </si>
  <si>
    <t>Gasolina para Grisela Peralta</t>
  </si>
  <si>
    <t>Compra de materiales de limpieza para casetas</t>
  </si>
  <si>
    <t>Elena Osorio</t>
  </si>
  <si>
    <t>Pago de copias</t>
  </si>
  <si>
    <t>Pago por concepto de captura de datos del  28 de dic/15 al 01 ene/16</t>
  </si>
  <si>
    <t>Compra de conectores 3 pares para DVR y tranceptores</t>
  </si>
  <si>
    <t>Pago mano de obra reparacioón DVR</t>
  </si>
  <si>
    <t>Pago por 2 respaldos de video con USB de 8 GB</t>
  </si>
  <si>
    <t>Compra de 1 perfil de aluminio de 3/4 pulgadas, 2 metros de cinta reflejante</t>
  </si>
  <si>
    <t>Compra de rosca de reyes y leche para vigilancia y mesa directiva</t>
  </si>
  <si>
    <t>Reparación de pluma vehicular de entrasa, autometo de perfil</t>
  </si>
  <si>
    <t>Compra de equipo de computo(CPU teclado y mause) y monitor</t>
  </si>
  <si>
    <t>Compra de Bicicleta para vigilante de rondines</t>
  </si>
  <si>
    <t xml:space="preserve">Reconfiguración de baja de tarjetas en sistema y en base de datos </t>
  </si>
  <si>
    <t>Junta Mesa Directiva</t>
  </si>
  <si>
    <t>Pago por concepto de captura de datos del 04 al 08 enero/16</t>
  </si>
  <si>
    <t>Compra de duplicado de llaves del candado puerta Zinampa</t>
  </si>
  <si>
    <t>Reparación de alumbrado en la calle de Upacuaro</t>
  </si>
  <si>
    <t>Reparación de alumbrado en la calle de Recoveco</t>
  </si>
  <si>
    <t>Servicio de observación del problema de UP y ZB (problema fuera del fracc)</t>
  </si>
  <si>
    <t>Oficial Héctor Burgos</t>
  </si>
  <si>
    <t>Por revisión de entrada de un Camper al fraccionamiento</t>
  </si>
  <si>
    <t>Reparación chapa entrada peatonal de Recoveco</t>
  </si>
  <si>
    <t>Pago mes de diciembre/15</t>
  </si>
  <si>
    <t>Pago de retención de IVA del Colegio Carmel mes enero/16</t>
  </si>
  <si>
    <t>Honorarios Profesionales enero/16 y  A/C  de anualidad 2016</t>
  </si>
  <si>
    <t xml:space="preserve">Tienda </t>
  </si>
  <si>
    <t>Pago por concepto de captura de datos del 11 al 15 de enero/16</t>
  </si>
  <si>
    <t>Compra de aguas y refrescos para la Mesa Directiva cobranza 2° domingo</t>
  </si>
  <si>
    <t>Compra de gasolina mesa directiva</t>
  </si>
  <si>
    <t>Pago por barrer todo el fraccionamiento y la calle de Romeral 1| quincena</t>
  </si>
  <si>
    <t>Pago correspondiente a la 1° quincena del mes de enero/16</t>
  </si>
  <si>
    <t>Pago correspondienta a la 1° quincena del mes de enero/16</t>
  </si>
  <si>
    <t>Ernesto Monrroy</t>
  </si>
  <si>
    <t>Reparción de la luz de Upacuaro temporal ya que se necesita otro cable</t>
  </si>
  <si>
    <t>Compra de refrescos para Mesa Directiva y vigilancia, cobranza domingo</t>
  </si>
  <si>
    <t>Gasolineria, PS S.A. de C.V.</t>
  </si>
  <si>
    <t>Gasolina para visita a CFE con directivos, mesa directiva</t>
  </si>
  <si>
    <t>Estacionamiento Publico Carmar</t>
  </si>
  <si>
    <t>para visita a CFE, mesa directiva</t>
  </si>
  <si>
    <t>Jony Pizza</t>
  </si>
  <si>
    <t>Compra de 2 pizzas para vigilanes como insentivo, exletente desempeño</t>
  </si>
  <si>
    <t>Mantenimiento, revisión y arreglo de todas la chapas de las puerta peatonales</t>
  </si>
  <si>
    <t>Miguel Angel Balderas, secretario mesa directiva</t>
  </si>
  <si>
    <t>Virginia Hernández Martínez</t>
  </si>
  <si>
    <t>Compra de 1 rueda para puerta de Estopila</t>
  </si>
  <si>
    <t>Pago por nao de obra y apoyo para intalar rueda en puerta de Recoveco</t>
  </si>
  <si>
    <t>Pago de 4014 copias para informe al fraccionamiento</t>
  </si>
  <si>
    <t>Tlapaleria y Ferretería</t>
  </si>
  <si>
    <t>Compra de tornillos para puerta de Recoveco</t>
  </si>
  <si>
    <t>Pago por concepto de captura de datos del 18 al 22 de enero/16</t>
  </si>
  <si>
    <t>Grupo Amigos de San Angel, S.A. de C.V.</t>
  </si>
  <si>
    <t>Desayuno con Yolanda Ramírez y Mesa Directiva</t>
  </si>
  <si>
    <t>Pressem, S.A. de C.V.</t>
  </si>
  <si>
    <t>Estacionamiento desayuno Mesa Directiva</t>
  </si>
  <si>
    <t>Estacionamiento para compra de papaelería</t>
  </si>
  <si>
    <t>Compra de cable para poste de Zinampa</t>
  </si>
  <si>
    <t>Pago por arreglar bicicleta</t>
  </si>
  <si>
    <t>Pago camion basura fin de semana</t>
  </si>
  <si>
    <t>Pago de trabajo de herreria en poste de luz en ZB placa protección cableado</t>
  </si>
  <si>
    <t>Pago por apoyo con patrullaje y atención para no colgarse del poste luz</t>
  </si>
  <si>
    <t>Compra de refresco para la Mesa Directiva, cobranza domingo</t>
  </si>
  <si>
    <t>Compra de 25 tarjetas Procord RFID</t>
  </si>
  <si>
    <t>Cambio de eliminador y tornillería en base de pluma de salida Zinampa</t>
  </si>
  <si>
    <t>Compra de copias y un block</t>
  </si>
  <si>
    <t>Pago de 2 respaldos extradios de DVR</t>
  </si>
  <si>
    <t>Compra de material de reparación y cableado para plumas</t>
  </si>
  <si>
    <t>Compra de agua para personal de parques y jardines</t>
  </si>
  <si>
    <t>Fernando López</t>
  </si>
  <si>
    <t>Pago por cortar matorrales en el parque a la altura de la casa 6</t>
  </si>
  <si>
    <t>Cuemanco</t>
  </si>
  <si>
    <t>Estacionamiento para compra de alimentos personal vigilancia</t>
  </si>
  <si>
    <t>Compra de bebidas para vigilancia</t>
  </si>
  <si>
    <t>Pago por trabajo especial por la noche quitar todos los espectaculares de</t>
  </si>
  <si>
    <t>Pago por concepto de captura de datos del 25 al 29 de enero/16</t>
  </si>
  <si>
    <t>Trabajo de en explanada en Recoveco, albañilería</t>
  </si>
  <si>
    <t>ABC Distribuidora para la contrucción, S.A.</t>
  </si>
  <si>
    <t>Compra de material para reparar banqueta de Recoveco y propina cargadores</t>
  </si>
  <si>
    <t>Pago por limpieza de juegos del parque</t>
  </si>
  <si>
    <t>Compra de un pastel para vigilancia y MD</t>
  </si>
  <si>
    <t>Compra de una vela</t>
  </si>
  <si>
    <t>Pago por quitar matorrales con espinas en parque</t>
  </si>
  <si>
    <t>Pago por barrer toda la colonica Romeral 2da. Quincena del mes de enero</t>
  </si>
  <si>
    <t>Pago por recolección de macetas en mal estado que se enconraban parque</t>
  </si>
  <si>
    <t>Pago por recolección de basura de luneas a viernes de todo el fraccionamiento</t>
  </si>
  <si>
    <t>Pago por recolección de basura en fin de semana</t>
  </si>
  <si>
    <t>Pago correspondiente a la 2° quincena del mes de enero/16</t>
  </si>
  <si>
    <t>Pago correspondienta a la 2° quincena del mes de enero/16</t>
  </si>
  <si>
    <t>Pago de retención de IVA del Colegio Carmel mes de enero/16</t>
  </si>
  <si>
    <t>Santa Clara</t>
  </si>
  <si>
    <t>Instalación en area, tomado del Hueso y conectada con instalación ZB</t>
  </si>
  <si>
    <t>Marcela Chávez López</t>
  </si>
  <si>
    <t>Por limpieza y desinfetación de 4ta. Sección de juegos infantiles</t>
  </si>
  <si>
    <t>Pago 1 respaldo de video Cuchilla Fam. Del Villa</t>
  </si>
  <si>
    <t>Compra de 4 tenzores y Sujetadores para cable UTP en uso externo</t>
  </si>
  <si>
    <t>Pago anticipo mano de obra en cableado en plumas vehiculares</t>
  </si>
  <si>
    <t>Compra de aguas y refrescos para la Mesa Directiva cobranza 1° domingo</t>
  </si>
  <si>
    <t>Instalación de cableado 90 m para luz en Upacuaro y Estopila</t>
  </si>
  <si>
    <t>Compra de vasos y leche para tamales Mesa Directiva</t>
  </si>
  <si>
    <t>Reconfiguración de 25 tarjetas procard para el sistema de plumas</t>
  </si>
  <si>
    <t>Un respaldo de video Landero 37</t>
  </si>
  <si>
    <t>Compra de 50 llaves de seguridad</t>
  </si>
  <si>
    <t>Felipe Ruiz</t>
  </si>
  <si>
    <t>Pago por apoyo en la reconección de luz en Upacuaro</t>
  </si>
  <si>
    <t>Compra de refrescos para las personas que limpiaron los juegos del parque</t>
  </si>
  <si>
    <t>Compra de Pastel para vigilancia</t>
  </si>
  <si>
    <t>Compra de Pastel para mesa directiva junta en casa de Grisela</t>
  </si>
  <si>
    <t>Compra de alimentos mesa directiva junta con Servicios Ubanos</t>
  </si>
  <si>
    <t>Pago por concepto de captura de datos del 01 al 05 de febrero/16</t>
  </si>
  <si>
    <t>Oscar Saint</t>
  </si>
  <si>
    <t>Reparación de luz en Upacuaro y se les dio para refrescos</t>
  </si>
  <si>
    <t>Pago por jardinería al árbol entrada de Romeral</t>
  </si>
  <si>
    <t>Compra de refrescos, aguas y café para la mesa directiva cobranza domingo</t>
  </si>
  <si>
    <t>Patrulla 007 compensación de rondines por la noche por no haber luz</t>
  </si>
  <si>
    <t>Compra de un sensor de peso</t>
  </si>
  <si>
    <t>Florería Monsuri</t>
  </si>
  <si>
    <t>Compra de 1 corona de flores para vecino que fallecio en nombre del fracc.</t>
  </si>
  <si>
    <t>Floreria Alex</t>
  </si>
  <si>
    <t>Arreglo altar par vecino que fallecio</t>
  </si>
  <si>
    <t>Pago de retención de IVA del Colegio Carmel mes febrero/16</t>
  </si>
  <si>
    <t>Honorarios Profesionales febrero/16 y  A/C  de anualidad 2016</t>
  </si>
  <si>
    <t>Farmacia Cris</t>
  </si>
  <si>
    <t>Compra de cubrebocas</t>
  </si>
  <si>
    <t>Pago de 4 horas 20 minutos de estacionamiento visita contador Siegrist</t>
  </si>
  <si>
    <t>Pago el mes de enero/16</t>
  </si>
  <si>
    <t>Pago por cambio de luminarías, fotoseldas en ZB # 50 y EZ # 57</t>
  </si>
  <si>
    <t>Los Unicos y Autenticos Tamales y Atoles</t>
  </si>
  <si>
    <t>Compra de tamales para las personas que viniero para la toma de ceniza</t>
  </si>
  <si>
    <t>Pago de 2 lonas de 1 mt y 1mt, para dar pesame a la fam. García Rueda</t>
  </si>
  <si>
    <t>Limpieza de Kiosco</t>
  </si>
  <si>
    <t>Renilo Muñoz</t>
  </si>
  <si>
    <t>Pago por poda de pasto y recoger todo el pasto podado</t>
  </si>
  <si>
    <t>Pago por acarrero de pasto y deshecho de hogarasca del parque</t>
  </si>
  <si>
    <t>Pago por recolección de 8 costales de escombros de RV</t>
  </si>
  <si>
    <t>Compra de marcatextos vision surt. 4 pk</t>
  </si>
  <si>
    <t>Compra de aguas para las personas que limpiearon kiosko</t>
  </si>
  <si>
    <t>Pago por concepto de captura de datos del 08 al 12 de febrero/16</t>
  </si>
  <si>
    <t>Pago de mano de obra por el cambio de cableado a la pluma de acceso</t>
  </si>
  <si>
    <t>Compra de material de limpieza, para kiosko</t>
  </si>
  <si>
    <t>Compra de mateiral de limpieza</t>
  </si>
  <si>
    <t>Jóse Manuel Olivares</t>
  </si>
  <si>
    <t>Pago por estar al pendiente Domingo y lunes en la reparación de luminarias</t>
  </si>
  <si>
    <t>Pgo por el mantenimiento y reparación de 2 luminarías en CL y Up</t>
  </si>
  <si>
    <t>Pago por quitar letreros dentro y fuera del fraccionamiento</t>
  </si>
  <si>
    <t>Compra de aguas y refrescos para la MD, por cobranza del 2° domingo</t>
  </si>
  <si>
    <t>Compra de dulces para la cobranza del 2° domingo feb/16</t>
  </si>
  <si>
    <t>Pago por barrer y recolectar basura en la 1er quincena de febrero/16</t>
  </si>
  <si>
    <t>Poda pasto y recolección de hojarasca en Eztanzuela y Cuchilla</t>
  </si>
  <si>
    <t>Compra de café para la mesa directiva por cobranza de domingos</t>
  </si>
  <si>
    <t>Pago de un respaldo de video en USB para familia cooper</t>
  </si>
  <si>
    <t>Pago correspondiente a la 1° quincena del mes de febrero/16</t>
  </si>
  <si>
    <t>Pago correspondienta a la 1° quincena del mes de febrero/16</t>
  </si>
  <si>
    <t>Pago de 5 memorias USB para respaldos</t>
  </si>
  <si>
    <t xml:space="preserve">Pago por poda y clareio de árbol en Romeral, que impide la vista </t>
  </si>
  <si>
    <t>Pago por plantar en maceta de entrada, clareo y fumigación de la misma</t>
  </si>
  <si>
    <t>Pago 2 relevadores para el No Break de Ukpacuaro y Estanzuela</t>
  </si>
  <si>
    <t>Pago en apoyo por rondines y visita a la delegación para información distrito</t>
  </si>
  <si>
    <t>Compra de carpeta, boligrafos, papel y ibro florete</t>
  </si>
  <si>
    <t>Compra de toner brother, lapiz adhesivo y recibos</t>
  </si>
  <si>
    <t>Consumo por junta quincenal de la Mesa Directiva</t>
  </si>
  <si>
    <t>Pago por poda y recorte de ramas del árbol de Romeral ya que se uso cierra</t>
  </si>
  <si>
    <t>Reparación de No Break para la calle de Upacuaro</t>
  </si>
  <si>
    <t>Luis Vives</t>
  </si>
  <si>
    <t>Pago por ayuda a colocar lona para evento de miercoles de cenizas</t>
  </si>
  <si>
    <t>Pago por restaldo de video en USB de Zinampa 60</t>
  </si>
  <si>
    <t>Pago de mano de obra por reparación de plumas</t>
  </si>
  <si>
    <t>Pago por concepto de captura de datos del 15 al 19 de febrero/16</t>
  </si>
  <si>
    <t xml:space="preserve">Pago por apoyo a la cobranza del 3er domingo de cobranza del mes </t>
  </si>
  <si>
    <t>Compra de material de limpieza para casetas</t>
  </si>
  <si>
    <t>Pago de estacionamiento y propina, por compra de material de limpieza</t>
  </si>
  <si>
    <t>Pago de gasolina para la Mesa Directiva</t>
  </si>
  <si>
    <t>Compra de folder, verde y azul y copias</t>
  </si>
  <si>
    <t>Pago de estacionamiento del dia 22 y 24 de febrero/16</t>
  </si>
  <si>
    <t>Pago por reparación del circuito del parque, se cambio el cable</t>
  </si>
  <si>
    <t>Compra de material para camara #9</t>
  </si>
  <si>
    <t>Reparación de tres luminarias delparque y un reflector</t>
  </si>
  <si>
    <t>Reparación de un contactor en el parque, estaba con los cables quemados</t>
  </si>
  <si>
    <t>Pago por concepto de captura de datos del 22 al 26 de febrero/16</t>
  </si>
  <si>
    <t>Pago de 37 almuerzos para trabajadosres de reencarpetado</t>
  </si>
  <si>
    <t>Pago por recolección de basura los fines de semana</t>
  </si>
  <si>
    <t>Pago de la 2da quincena por recolectar basura en todo el fraccionamiento</t>
  </si>
  <si>
    <t>Pago por recolección de basura de luneas a viernes 2° quincena fracc</t>
  </si>
  <si>
    <t>Compra refrescos para la mesa directiva, cobranza domingo 4 to.</t>
  </si>
  <si>
    <t>Pago por concepto de sábado 28 y domingo 29 trabajo extraordinario</t>
  </si>
  <si>
    <t>Pago de 2 respaldos en una sola memoria</t>
  </si>
  <si>
    <t>Sr. Jairo</t>
  </si>
  <si>
    <t>Pago por apoyo de entrega de información, vecinos con perros</t>
  </si>
  <si>
    <t>300 copias tamaño carta y 20 copias dobles</t>
  </si>
  <si>
    <t>Compra de bolsas para forrar poster, para vecinos con perros</t>
  </si>
  <si>
    <t>Compra de 1 cartucho epson negro para impresora</t>
  </si>
  <si>
    <t>Pago en apoyo total en capaña y repartir a todo el fraccionamiento ley civica</t>
  </si>
  <si>
    <t>Compra de aguas para oficiales y mesa directiva en campaña de vecinos c/per</t>
  </si>
  <si>
    <t>Pago de copias y papeleria</t>
  </si>
  <si>
    <t>Pago mes de febrero/16</t>
  </si>
  <si>
    <t>Mercado del Hueso</t>
  </si>
  <si>
    <t>Compra de 2 paquetes de ligas</t>
  </si>
  <si>
    <t>Pago por concepto de captura de datos del 29 de febrero al 04 de enero/16</t>
  </si>
  <si>
    <t>Pago por poda de pasto en Upacuaro</t>
  </si>
  <si>
    <t>Pago por reparaciòn luminarias del parque</t>
  </si>
  <si>
    <t>Compra de 1 pizza por cumpleaños del vigilante Olegario Vàzquez</t>
  </si>
  <si>
    <t>Compra de un pastelito para el sr. Olegario Vàzquez</t>
  </si>
  <si>
    <t xml:space="preserve">Pago por recolecciòn de basura en fin de semana </t>
  </si>
  <si>
    <t>Compra de aguas para Mesa Directiv por cobranza en domingo</t>
  </si>
  <si>
    <t>Pago por reparaciòn de camara #9 en Zinampa</t>
  </si>
  <si>
    <t xml:space="preserve">Compra de 1 bobina de cable, 1 bouging y 1 kit de conectores </t>
  </si>
  <si>
    <t>Gasolina para Mesa Directiva, Grisela Peralta</t>
  </si>
  <si>
    <t>Best Buy Stores S. de R.L. de C.V.</t>
  </si>
  <si>
    <t>Compra de Laptop para Tesorerìa</t>
  </si>
  <si>
    <t>Best Buy Stores, compra de Laptop</t>
  </si>
  <si>
    <t>Compra de galletas para tener cambio en la Cobranza</t>
  </si>
  <si>
    <t>Pago de retención de IVA del Colegio Carmel mes marzo/16</t>
  </si>
  <si>
    <t>Honorarios Profesionales marzo/16 y  A/C  de anualidad 2016</t>
  </si>
  <si>
    <t>Pago estacionamiento visita del contador Siegrist</t>
  </si>
  <si>
    <t>Pago de 600 copias tamaño carta</t>
  </si>
  <si>
    <t xml:space="preserve">Por reolecciòn de basura y limpieza de banqueta de ZB en parque deshechos </t>
  </si>
  <si>
    <t>Luis Villas</t>
  </si>
  <si>
    <t>Pago por apoyo con los bomberos en recolecciòn de cables y alineaciòn poste</t>
  </si>
  <si>
    <t>Cuartel Bomberos Zona Sur</t>
  </si>
  <si>
    <t>Pago por apoyo de 8 bomberos del sector coyoacan ayuda al fracc. Mal tiemp</t>
  </si>
  <si>
    <t>Sam's Club</t>
  </si>
  <si>
    <t>Compra de galletas Mesa Directa junta</t>
  </si>
  <si>
    <t>Estacionamiento SAPI, de C.V.</t>
  </si>
  <si>
    <t>Pago estacionamiento compra de galletas</t>
  </si>
  <si>
    <t>Pago por concepto de captura de datos del 07 al 1 de marzo/16</t>
  </si>
  <si>
    <t xml:space="preserve">Copyfaz </t>
  </si>
  <si>
    <t>Home Deport Mèxico, S de R.L. de C.V.</t>
  </si>
  <si>
    <t>Compra de arena, cemento y grava para reparar poste de luz en el parque</t>
  </si>
  <si>
    <t>Gasolina Mesa Directiva, Grisela Peralta</t>
  </si>
  <si>
    <t>Mano de obra en configurar computadora para Tesorerìa</t>
  </si>
  <si>
    <t>Pago de cable tensor, sujetadores de metal y eliminador de 4 amperes</t>
  </si>
  <si>
    <t xml:space="preserve">Pago por reparaciòn de 3 luminarìas, renivelar de poste con cableado </t>
  </si>
  <si>
    <t>Pago por reconecciòn de cables en ZB hacia RV</t>
  </si>
  <si>
    <t>Pago por apoyo total en evento del fraccionamiento</t>
  </si>
  <si>
    <t xml:space="preserve">Pago por apoyo en recolecciòn de trafitambo y ayuda a quitar àrbol </t>
  </si>
  <si>
    <t>Para comid miembros de vigilancia gamma</t>
  </si>
  <si>
    <t>Pago por cableado en ZB esq. EZ por estar bajo àrbol,</t>
  </si>
  <si>
    <t>Reparaciòn de 2 camaras de caseta RV y cambio fuente de energia</t>
  </si>
  <si>
    <t>Conpensaciòn en apoyo a 7 bomberos y su jee para quitar escombros</t>
  </si>
  <si>
    <t>Pago por recoleciòn de basura en todo el fraccionamiento fin de semana</t>
  </si>
  <si>
    <t>Compra de pino y café para vigilancia</t>
  </si>
  <si>
    <t>Compra de aguas y refrescos para mesa directiva domingo cobranza</t>
  </si>
  <si>
    <t>Pago de estacionamineot en Globo por junta quincenal</t>
  </si>
  <si>
    <t>Pago 1er quincena de marzo/16 por barrer todo el fracciònamiento</t>
  </si>
  <si>
    <t xml:space="preserve">Pago por concepto de corte de àrbol en el parque </t>
  </si>
  <si>
    <t>Pago correspondiente a la 1° quincena del mes de marzo/16</t>
  </si>
  <si>
    <t>Pago correspondienta a la 1° quincena del mes de marzo/16</t>
  </si>
  <si>
    <t>Osvaldo Campos</t>
  </si>
  <si>
    <t xml:space="preserve">Pago por corte de troncos y ramas muy grandes en RV y UP </t>
  </si>
  <si>
    <t>Compra de varios cartuchos epson para impresora Tesorerìa</t>
  </si>
  <si>
    <t>Rodizo Churrascarìa, S.A. de C.V.</t>
  </si>
  <si>
    <t>Comida Mesa Directiva con el comandante sector 07, tratar asunto fraccionam</t>
  </si>
  <si>
    <t xml:space="preserve">Pago de propina </t>
  </si>
  <si>
    <t>Operadora Central de Estacionamientos, S.A. de C.V.</t>
  </si>
  <si>
    <t>Pago estacionamiento comida con el comandate sector 07</t>
  </si>
  <si>
    <t>Valet Parking</t>
  </si>
  <si>
    <t>Cobro por cuidar y lavar automovil mesa directiva</t>
  </si>
  <si>
    <t>Reparaciòn de Laptob de Baldemar Sala, la cual se uso por 5 años para MD</t>
  </si>
  <si>
    <t>Mantenimiento a plumas de entrada y salida por descalibraciòn</t>
  </si>
  <si>
    <t>Pago por quitar raiz de plantas que hicieron una luna muy grande en el parq.</t>
  </si>
  <si>
    <t>Pago por concepto de captura de datos del 14 al 18 de marzo/16</t>
  </si>
  <si>
    <t>Inmobiliaria Lirca S.A. de C.V.</t>
  </si>
  <si>
    <t>Compra de aguas y refrescos para la mesa directiva cobranza domingo</t>
  </si>
  <si>
    <t>Compra de papelerìa, cinta 550, libro florete y papel carta</t>
  </si>
  <si>
    <t>Compra de comida para cuartel de bomberos por poda de copa de àrbol</t>
  </si>
  <si>
    <t>Pago por recolecciòn de hojarasca, hierva, pasto, ramas y àrboles del parque</t>
  </si>
  <si>
    <t>Pago por mano de obra de cableado camara de Estopila con Estanzuela</t>
  </si>
  <si>
    <t>Pago de 4 almuerzos para cuadrilla de parques y jardines en apoyo de barrer</t>
  </si>
  <si>
    <t>A/C Pago correspondiente a la 2ª quincena del mes de marzo/16</t>
  </si>
  <si>
    <t>Compra de una lona para informaciòn en Estopila y Estanzuela</t>
  </si>
  <si>
    <t>A/C Pago por barrer todo el parque y recoger toda la hojarazca</t>
  </si>
  <si>
    <t>Manuel Flores</t>
  </si>
  <si>
    <t>Compra de 1 sello para la Asociaciòn Civil, de fraccionamiento</t>
  </si>
  <si>
    <t>Servicio EL ESCUDO, S.A. de C.V.</t>
  </si>
  <si>
    <t>Compra de gasolina para Grisela Peralta, Mesa Directiva</t>
  </si>
  <si>
    <t>Pago por concepto de captura de datos del 21 al 25 de marzo/16</t>
  </si>
  <si>
    <t>Pago en apoyo de rondines nocturnos en fraccionamiento y apoyo a vigilancia</t>
  </si>
  <si>
    <t>Pago por cortar arboles que se calleron en el parque el día de los vientos fuer</t>
  </si>
  <si>
    <t>Pago a 5 trabajadores por llevarse hojarazca, ramas y troncos del parque</t>
  </si>
  <si>
    <t>Venta de 1 camara, pago honorarios de tendido de cble de 1 camara y coloc</t>
  </si>
  <si>
    <t>Pago por concepto de honorarios por trabajar en cobranza 27/0316</t>
  </si>
  <si>
    <t>Pago 2da. Quincena del mes de marzo/16 por recolección y barrer basura</t>
  </si>
  <si>
    <t>Pago por recolección de basura de luneas a viernes 2° quincena marzo/16</t>
  </si>
  <si>
    <t>Javier Escobedo y Fernando López</t>
  </si>
  <si>
    <t>Pago por barrer durante dos semanas seguidas ell parque por mal tiempo</t>
  </si>
  <si>
    <t>Pago por concepto de captura de datos del 28 de mar al 01 abril/16</t>
  </si>
  <si>
    <t>Pago por poda de pasto en caseta de Romeral</t>
  </si>
  <si>
    <t>Pago por barrer zona de recoveo caseta y toda esa zona</t>
  </si>
  <si>
    <t>Pago correspondiente a la 2° quincena del mes de marzo/16</t>
  </si>
  <si>
    <t>Pago de retención de IVA del Colegio Carmel mes de febrero/16</t>
  </si>
  <si>
    <t>Comisión por cheque expedido</t>
  </si>
  <si>
    <t>I.V.A. por comisión de cheque expedio</t>
  </si>
  <si>
    <t>Pago liq.  a la 2° quincena del mes de marzo/16</t>
  </si>
  <si>
    <t>Pago por concepto de honorarios por trabajar en cobranza 03/04/16</t>
  </si>
  <si>
    <t>Compra de agua para cobranza primer domingo de abril/16</t>
  </si>
  <si>
    <t>Pgo por recolecciòn de basura del fin de semana</t>
  </si>
  <si>
    <t>Respaldo de 6 dìas de grabaciòn a USB</t>
  </si>
  <si>
    <t>Respaldo de 9 horas en calle de Upacuaro</t>
  </si>
  <si>
    <t>Pastel festejo cumpleaños Gloria Mazzòn, Tesoreria</t>
  </si>
  <si>
    <t>7 Eleven Mèxico, S.A. de C.V.</t>
  </si>
  <si>
    <t>Compra de vasos, platos, refrescos, mesa directiva y vigilancia</t>
  </si>
  <si>
    <t>Pago de estacionamiento panaderìa Esperanza</t>
  </si>
  <si>
    <t>Pago de 2 eliminadors de 12 volts y 2 amp. $ 180 c/u</t>
  </si>
  <si>
    <t>Pago de alimentos, bebida y fruta mesa directiva</t>
  </si>
  <si>
    <t>Pago mano de obra en camaras y 2 eliminadores, UP entre HS y RM</t>
  </si>
  <si>
    <t>Compra de papelerìa, folders, papel xerox, diurex y sacapuntas</t>
  </si>
  <si>
    <t>Poda de plantas y malesa alrededor del kiosco</t>
  </si>
  <si>
    <t>Pago de consumo por junta de la mesa directiva</t>
  </si>
  <si>
    <t>Pago de 2 eliminadores y 1 par de transceptores</t>
  </si>
  <si>
    <t>Pago del mes de marzo/16</t>
  </si>
  <si>
    <t>Pago por captura de datos del 04 al 07 de abril</t>
  </si>
  <si>
    <t>Pedro Bazzan</t>
  </si>
  <si>
    <t>Compra de agua para la mesa de cobranza del domingo y vigilancia</t>
  </si>
  <si>
    <t>Estacionamiento delegaciòn Coyoacan visita Valentin Maldonado</t>
  </si>
  <si>
    <t>Victor Romero Paredes</t>
  </si>
  <si>
    <t>Compra de café y donas visita a delegaciòn Coyoacan</t>
  </si>
  <si>
    <t>Compra de refacciones y mantenimiento de bicicleta vigilancia</t>
  </si>
  <si>
    <t>Reparaciòn de camara profesional y conecciòn  BNC monalisa CNB 12 volts.</t>
  </si>
  <si>
    <t>Reparaciòn de chapa de puerta de Estanzuela y Zinampa y mant. General</t>
  </si>
  <si>
    <t>Pago de mano de obra e instalaciòn de camara y conector</t>
  </si>
  <si>
    <t>Pago estacionamiento y propina visita al contador Siegrist</t>
  </si>
  <si>
    <t>Pago de retención de IVA del Colegio Carmel mes abril/16 se pago c/cheque</t>
  </si>
  <si>
    <t>Honorarios Profesionales abril/16 y  A/C  de anualidad 2016 pago c/cheque</t>
  </si>
  <si>
    <t>Tienda</t>
  </si>
  <si>
    <t>Compra de refrescos, café y galetas visita contador Siegrist</t>
  </si>
  <si>
    <t>Pago por captura de datos del 11 al 15 de abril/16</t>
  </si>
  <si>
    <t>Pago de la primer quincena por barre todo el fraccionamiento</t>
  </si>
  <si>
    <t>Pago correspondiente a la 1° quincena del mes de abril/16</t>
  </si>
  <si>
    <t>Pago correspondienta a la 1° quincena del mes de abril/16</t>
  </si>
  <si>
    <t>Pago por bloque de privilegios de entrada a tarjetas en sistema de pluas</t>
  </si>
  <si>
    <t>Estacionamiento Corsa, S.A. de C.V.</t>
  </si>
  <si>
    <t>Pago estacionamiento compra de limpieza</t>
  </si>
  <si>
    <t xml:space="preserve">Compra de escoba para barrer colonia </t>
  </si>
  <si>
    <t>Compensaciòn en apoyo por operativos patrulla y camioneta liberando espaci</t>
  </si>
  <si>
    <t>Starbucks Coffe</t>
  </si>
  <si>
    <t>Comercial City Fresko, S. de R.L. de C.V.</t>
  </si>
  <si>
    <t>Compra de chocolates como presenta para Arq. De bacheo para el fracc.</t>
  </si>
  <si>
    <t>Estacionamiento compra de chocolates</t>
  </si>
  <si>
    <t>Pago por captura de datos del 18 al 22 de abril/16</t>
  </si>
  <si>
    <t>Compra de agua para mesa de cobranza domingos</t>
  </si>
  <si>
    <t>Roberto Bazzan</t>
  </si>
  <si>
    <t>Compra de refresgos y aguas para la vigilancia e Ing. Por reparaciòn de plumas</t>
  </si>
  <si>
    <t>Pago por concepto de mano de obra en reubicaciòn de plato lector</t>
  </si>
  <si>
    <t>Pago de copias, clips y plumas</t>
  </si>
  <si>
    <t>Pago de plumon de aceite color rojo</t>
  </si>
  <si>
    <t>Pago por arreglo de corto en HS, y medio parque del fraccionamiento</t>
  </si>
  <si>
    <t xml:space="preserve">Pago por mantenimiento de chapa urgente de EZ </t>
  </si>
  <si>
    <t>Pago por mano de obra en sustituciòn de un DVR dañado en caseta ZB</t>
  </si>
  <si>
    <t>Compra de DVR &amp; canales AHD 1.0MP 4 audios HDMI, 4 canal de audio</t>
  </si>
  <si>
    <t>Pastelerìa Bodon, S.A. de C.V.</t>
  </si>
  <si>
    <t>Compra de tablon naranja y servilletas para evento del dìa del niño</t>
  </si>
  <si>
    <t>Estacionamiento para compra de materiales para el evento del dìa del niño</t>
  </si>
  <si>
    <t>Pago por arreglo de chapa ZB y EZ, puertas peatonales</t>
  </si>
  <si>
    <t>Compra de dulces para evento del dìa del niño</t>
  </si>
  <si>
    <t>Apoyo a vigilante de nuestro fraccionamiento para funeral de su papà</t>
  </si>
  <si>
    <t>Pago por captura de datos del 25 al 29 de abril/16</t>
  </si>
  <si>
    <t>Pago por barrer parque del evento del dìa del niño</t>
  </si>
  <si>
    <t>Pago por recolecciòn de basura 2da. Qincena de abril/16</t>
  </si>
  <si>
    <t>Pago por recolecciòn de basura entre semana del mes de abril del fraccionam</t>
  </si>
  <si>
    <t>Pago por recolecciòn de basura del fin de semana</t>
  </si>
  <si>
    <t>Pago por compostura de membrana y botones del contro remoto de pluma</t>
  </si>
  <si>
    <t xml:space="preserve">Pago por recubicacion de plato lector de tarjetas de pluma de entrada </t>
  </si>
  <si>
    <t>Pago correspondiente a la 2° quincena del mes de abril/16</t>
  </si>
  <si>
    <t>Pago A/C correspondiente a la 2° quincena del mes de abril/16</t>
  </si>
  <si>
    <t>Pago de retención de IVA del Colegio Carmel mes de marzo/16</t>
  </si>
  <si>
    <t>Com. Por cheq. Expe.</t>
  </si>
  <si>
    <t>G_P_IVA</t>
  </si>
  <si>
    <t>Pago de retención de IVA del Colegio Carmel mes de abril/16</t>
  </si>
  <si>
    <t>Compra de agua para cuadrilla de parque y jardines poda de àrboles</t>
  </si>
  <si>
    <t>Pago liq.  a la 2° quincena del mes de abril/16</t>
  </si>
  <si>
    <t>Pago mes de abril/16</t>
  </si>
  <si>
    <t>Grupo Barrera</t>
  </si>
  <si>
    <t>Pago de 1000 recibos de cobranza de cuotas de mantenimiento</t>
  </si>
  <si>
    <t>Compra de toner Brother TN-410 presidencia</t>
  </si>
  <si>
    <t>Compr agasolina Mesa Directiva, Grisela Peralta</t>
  </si>
  <si>
    <t>Compra de una lente profesional para camara tipo caja</t>
  </si>
  <si>
    <t>Compra de agua mesa directiva</t>
  </si>
  <si>
    <t>Compensaciòn en apoyo en la colonia con patrullaje</t>
  </si>
  <si>
    <t>Compra de USA, sobres, clips y cartucho epson varios colores</t>
  </si>
  <si>
    <t>Compra de aguas para cuadrilla delegaciòn, mantenimiento al parque</t>
  </si>
  <si>
    <t>Pago por trabajo de arreglo de chapas en EZ y ZB</t>
  </si>
  <si>
    <t>Pago por captura de datos del 02 al 06 de mayo del 2016</t>
  </si>
  <si>
    <t>Pago por recolecciòn de basura fin de semana</t>
  </si>
  <si>
    <t>Vigilancia</t>
  </si>
  <si>
    <t>Compra de 1 tarjeta para telefono celular de vigilancia</t>
  </si>
  <si>
    <t xml:space="preserve">Pago por intalaciòn y activaciòn de office 2013           </t>
  </si>
  <si>
    <t>Pago licencia para windows 7 profecional</t>
  </si>
  <si>
    <t>Pago de mano de obra de actualizaciòn de sistema y activaciòn de tarjeras</t>
  </si>
  <si>
    <t>Pago de 2 dìas de alimentos a la cuadrilla de desazolve de la delegaciòn</t>
  </si>
  <si>
    <t>Compensaciòn por entrega de circulares en la colonica del 3er informe MD</t>
  </si>
  <si>
    <t>Pago de 2700 copias tamano arta</t>
  </si>
  <si>
    <t>Reparaciòn de plua de salida y camaras por falta de voltaje</t>
  </si>
  <si>
    <t>Pago por captura de datos del 09 al 13 de mayo/16</t>
  </si>
  <si>
    <t>Compra de refrescos para personal de arbolado, 17 personas 2 cuadrillas</t>
  </si>
  <si>
    <t xml:space="preserve">Reparaciòn de chapa en Estopila, desarmar y engrazar chapa Estanzuela </t>
  </si>
  <si>
    <t>Pago de un respaldo de video cuchilla 59 contador Victor</t>
  </si>
  <si>
    <t>Pago por recolección de basura de la 1er quincena de mayo/16</t>
  </si>
  <si>
    <t>Pago correspondiente a la 1er quincena de mayo/16</t>
  </si>
  <si>
    <t>Pago concepto compensaciòn en calidad de presidente de la M.D. 1er quince</t>
  </si>
  <si>
    <t>Consorcio Gasolinero Plus, S.A. de C.V.</t>
  </si>
  <si>
    <t>Compra de gasolina para mesa directiva, Grisela Peralta</t>
  </si>
  <si>
    <t>Pago de retenciòn de IVA del Colegio Carmel del mes de mayo/16 ch.· 17</t>
  </si>
  <si>
    <t>Pago Honorarios porfesionales mayo/16 a/c anualidad 2016 ch.#16</t>
  </si>
  <si>
    <t>Pago de estacionaiento visita contador Siegrist</t>
  </si>
  <si>
    <t>Pago de un respaldo de video</t>
  </si>
  <si>
    <t>Compra de 25 tarjetas Procord RFID y configuraciòn, pago con ch. #18</t>
  </si>
  <si>
    <t>Pago de 225 copias</t>
  </si>
  <si>
    <t>Pago de estacionamiento compra de llaves</t>
  </si>
  <si>
    <t>Pago respalo de video</t>
  </si>
  <si>
    <t>Pago por poda y recorte de cesped y arbolitos en Romeral</t>
  </si>
  <si>
    <t>Daniel</t>
  </si>
  <si>
    <t>Pago por barrer zona de ccasera y alrededores parque toda la hojarasca</t>
  </si>
  <si>
    <t>Apoyo por las noches haciendo rondin todos la semana</t>
  </si>
  <si>
    <t>Pago por captura de datos del 16 al 20 de mayo/16</t>
  </si>
  <si>
    <t>Compra de 30 llaves para puertas de acceso peatonal pago ch. #19</t>
  </si>
  <si>
    <t>Pago de arreglo floral y al padre que oficio misa</t>
  </si>
  <si>
    <t>Compra de agua para velatorio mesa directiva</t>
  </si>
  <si>
    <t>Pago por barrer y recolecciòn de basura fin de semana en fraccionaiento</t>
  </si>
  <si>
    <t>Compra de agua y refrescos para junta mesa directiva</t>
  </si>
  <si>
    <t>810 copias reporte trimestral estado financiero</t>
  </si>
  <si>
    <t>Compra de agua para junta urgente</t>
  </si>
  <si>
    <t>Compra de conectores de video balum y eliiminador</t>
  </si>
  <si>
    <t>Compra de refrescos para cuadrilla de parques y jardines</t>
  </si>
  <si>
    <t>Instalaciòn de camara para placas en ZB y mentenimiento a camara CNB</t>
  </si>
  <si>
    <t>Mantenimiento 2 camaras para placa caseta Romeral</t>
  </si>
  <si>
    <t>20 almuerzos para cuadrilla de parques y jardines</t>
  </si>
  <si>
    <t>Pago por captura de datos del 23 al 27 de mayo/16</t>
  </si>
  <si>
    <t>Camiòn de Basura</t>
  </si>
  <si>
    <t>Pago por recolecciòn de ramas que podaron del pino que no deja ver Romeral</t>
  </si>
  <si>
    <t>Personal de Gamma</t>
  </si>
  <si>
    <t>Pago por recortar ramas del àrbol de Romeral</t>
  </si>
  <si>
    <t>En apoyo por rondines en el fraccionamiento</t>
  </si>
  <si>
    <t>Pago de refrigerios por pintar señalamientos entrada Zinampa</t>
  </si>
  <si>
    <t>Compra de refrescos para la cuadriilla de parques y jardines</t>
  </si>
  <si>
    <t>Pago un respaldo de video a USB en EZ</t>
  </si>
  <si>
    <t>Compra de 10 anuncios de seguridad CCTV enmicados</t>
  </si>
  <si>
    <t>Pago por pintar caseta de ZB que la delegaciòn dono</t>
  </si>
  <si>
    <t>Compra de broches de plastico con segueta y seguro para letreros</t>
  </si>
  <si>
    <t>Pago por recolecciòn de basura entre semana del mes de mayo/16</t>
  </si>
  <si>
    <t>Reparaciòn de chapa  en Estopila</t>
  </si>
  <si>
    <t>Compra de refrescos para pintores de la delegaciòn</t>
  </si>
  <si>
    <t>Pago por recolecciòn de basura de toda la colonia 2da. Qincena de mayo/16</t>
  </si>
  <si>
    <t>Pago por captura de datos del 30 de mayo al 03 de junio/16</t>
  </si>
  <si>
    <t>Pago correspondiente a la 2° quincena del mes de mayo/16</t>
  </si>
  <si>
    <t>Pago A/C correspondiente a la 2° quincena del mes de mayo/16</t>
  </si>
  <si>
    <t>Pago de retención de IVA del Colegio Carmel mes de mayo/16</t>
  </si>
  <si>
    <t>Compra de 2 camaras fijas alta resoluciòn y 1 bobona de cable UTP</t>
  </si>
  <si>
    <t>Pago 15 almuerzos que se le dieron parsonal delegaciòn por pintar señalamien</t>
  </si>
  <si>
    <t xml:space="preserve">Cadena Comercial Oxxo, S.A. de C.V. </t>
  </si>
  <si>
    <t>Compra de refrescos para personal delegaclòn por pintar señalamientos</t>
  </si>
  <si>
    <t xml:space="preserve">Compra de refrescos a cuadria de pintura </t>
  </si>
  <si>
    <t>Pago 17 almuerzos para cuadrilla de pintura de delegaciòn en toda la colonia</t>
  </si>
  <si>
    <t>Compra de refrescos para personal delegaclòn por pintar caseta ZB y pluma</t>
  </si>
  <si>
    <t>Secretaria de Marina</t>
  </si>
  <si>
    <t>Pago de gasolina para mesa directiva Grisela Peralta</t>
  </si>
  <si>
    <t>Pago de estacionameito compra materiales de limpieza</t>
  </si>
  <si>
    <t>Compra de hojas blancas mesa directiva</t>
  </si>
  <si>
    <t>Pago de estacionamiento compra de hojas blancas</t>
  </si>
  <si>
    <t>Compra de agua para mesa de cobranza 1 er domingo de junio/16</t>
  </si>
  <si>
    <t>Pago por aguas y refrescos que se les dio a la cuadrilla delegaciòn luminarias</t>
  </si>
  <si>
    <t>Compra  de Housing eliminadores y transceptores para dos camaras</t>
  </si>
  <si>
    <t>Pago telefono del mes de mayo/16</t>
  </si>
  <si>
    <t>Pago de 11 enmicados</t>
  </si>
  <si>
    <t xml:space="preserve">Comercializadora Caspin, S.A. de C.V. </t>
  </si>
  <si>
    <t>Compra brochas para pintar casetas EZ y RV</t>
  </si>
  <si>
    <t>Compra cepillo para pinta caseta EZ y RV</t>
  </si>
  <si>
    <t>Compra de bocadillos para junta urgente cuestiòn a los tarjetones</t>
  </si>
  <si>
    <t>Compra de refrescos para junta urgente cuestòn a los tarjetones</t>
  </si>
  <si>
    <t>Pago por pintar caseta Romeral, pluma y caseta Recoveco</t>
  </si>
  <si>
    <t>Pago de brocha y cepillo para pinta paredes cerroteados de la caseta RV</t>
  </si>
  <si>
    <t>Compra de encoder para sensor pluma</t>
  </si>
  <si>
    <t xml:space="preserve">900 copias tamaño carta </t>
  </si>
  <si>
    <t>Cremerìa Lucy</t>
  </si>
  <si>
    <t>Compta de regrescos y vasos para cuadrilla de rencarpetado de la delegaciòn</t>
  </si>
  <si>
    <t>Pago por arreglo calle UP y EP circuito completo hasta RV cambio cable quem</t>
  </si>
  <si>
    <t>Operadora OMX S.A. de C.V.</t>
  </si>
  <si>
    <t>Compra de papel y estacionamiento</t>
  </si>
  <si>
    <t>Compra de ologramas de seguridad</t>
  </si>
  <si>
    <t>Pago por captura de datos del 06 al 10 de junio/16</t>
  </si>
  <si>
    <t>Por concepto de pago en apoyo en cobranza domingo 5 junio/16</t>
  </si>
  <si>
    <t>Pago por trabajo de limpieza a caseta RV y recolecciòn de basura</t>
  </si>
  <si>
    <t>Camiòn de basura</t>
  </si>
  <si>
    <t>Pago por recolectar basura y llevarse costales de arena y hojarasca seca</t>
  </si>
  <si>
    <t>Jardinero</t>
  </si>
  <si>
    <t>Pago por corte de pasto orilla de banquetas RV y EP</t>
  </si>
  <si>
    <t>Pago por recoleccilòn basura todo el fin de semana</t>
  </si>
  <si>
    <t>Compra de agua para mesa de cobranza 2do. Domingo junio/16</t>
  </si>
  <si>
    <t>Romero Paredes Virtor</t>
  </si>
  <si>
    <t>Compra de café visita a la delegaciòn junta con Delegado Valentin Maldonado</t>
  </si>
  <si>
    <t>Tlapalerìa La Esmeralda</t>
  </si>
  <si>
    <t>Compra de 1 candado puerta ZB</t>
  </si>
  <si>
    <t>Pago en apoyo extraordinario a la mesa de cobranza de tarjetones y balance</t>
  </si>
  <si>
    <t>Estacionamiento y propina delegacliòn visita a Valentin Delegado</t>
  </si>
  <si>
    <t>El Globo, Tradiciòn en Pastelerìas, S.A. de C.V.</t>
  </si>
  <si>
    <t>Junta de la Mesa Directiva</t>
  </si>
  <si>
    <t>Estacionamiento junta mesa directiva</t>
  </si>
  <si>
    <t>Compensaciòn en apoyo a seguridad  rondines nocturnos todo el dìa fraccion</t>
  </si>
  <si>
    <t>Pago de retenciòn de IVA del Colegio Carmel del mes de juio/16 ch.· 17</t>
  </si>
  <si>
    <t>Pago Honorarios porfesionales junio/16 a/c anualidad 2016 ch.#16</t>
  </si>
  <si>
    <t>Pago de estacionamiento visita al Contador Siegrist</t>
  </si>
  <si>
    <t>Compra de refrescos y botanas para junta abojado ver lineamentos del fraccc</t>
  </si>
  <si>
    <t xml:space="preserve">Pago en apoyo extraordinario a la mesa de cobranza de tarjetones </t>
  </si>
  <si>
    <t>Pago por barrer toda la colonia entre semana</t>
  </si>
  <si>
    <t>Pago por entregar en todo el fraccionamiento circulares</t>
  </si>
  <si>
    <t>Pago por recolecciòn basura zona zinampra sabado y recoger bolsas de basura</t>
  </si>
  <si>
    <t>Pago por recolecciòn basura todo el fin de semana en faccionamiento</t>
  </si>
  <si>
    <t>Tienda Vista Hermosa</t>
  </si>
  <si>
    <t>Compra de agua para cuadrilla de delegaciòn que recogio todo el pasto podao</t>
  </si>
  <si>
    <t>410 copias tamaño carta</t>
  </si>
  <si>
    <t>Compra de galletas para junta Abogado Fernando Sosa</t>
  </si>
  <si>
    <t>Pago de 15 almuerzos para el personal de la delegaciòn recoger pasto y hojar</t>
  </si>
  <si>
    <t xml:space="preserve">Compra de papeleria </t>
  </si>
  <si>
    <t xml:space="preserve">Vecino </t>
  </si>
  <si>
    <t>Compra de 1 rollo de neopreno y mano de obra arreglar pluma</t>
  </si>
  <si>
    <t>Pago por captura de datos del 13 al 17 de junio/16</t>
  </si>
  <si>
    <t>Pago por reparaciòn de puerta en Estopila</t>
  </si>
  <si>
    <t>LaComer</t>
  </si>
  <si>
    <t>Compra de platos para pay que se repartio el dìa del padre a todo el fraccion</t>
  </si>
  <si>
    <t>Compra de cucharas para evento dìa del padre</t>
  </si>
  <si>
    <t>Alimentos la Paloma, S.A. de C.V.</t>
  </si>
  <si>
    <t>Compra dd 3 Pays para dìa del Padre festejo en fraccionamiento</t>
  </si>
  <si>
    <t>Tienda Miramontes</t>
  </si>
  <si>
    <t>Compra de 2 Globos y 1 mantel para festojo dìa del padre</t>
  </si>
  <si>
    <t>Compra de agua, refrescos y café para mesa de cobranza domingo 19-06-16</t>
  </si>
  <si>
    <t>Compra de 4 botes aire comprimido, 1 monitor, 1 kit 4 pares de transcepto</t>
  </si>
  <si>
    <t>Pago por mano de obra en instalaciòn de cableado de 2 camaras en housing</t>
  </si>
  <si>
    <t>Pago por apoyo en cobranza de tarjetones del domingo 19/jun/16</t>
  </si>
  <si>
    <t>Pago por reparar y ajustar puerta con llantas de Landero</t>
  </si>
  <si>
    <t>Pago por reparación de puerta Cuchilla y Upacuaro, trabajo de herrería</t>
  </si>
  <si>
    <t>Pago por captura de datos del 20 al 24 de junio/16</t>
  </si>
  <si>
    <t>Pago de 6 garrafones de agua</t>
  </si>
  <si>
    <t>Abogado Fernando Sosa</t>
  </si>
  <si>
    <t>Pago de acta circunstanciada, por amenazas de vecino de CL_52</t>
  </si>
  <si>
    <t>Compra de 30 llaves para acceso a puertas peatonales</t>
  </si>
  <si>
    <t>Compra de bobina de cable UTP categoría 6 pata exterios y paq de 50 tenso</t>
  </si>
  <si>
    <t>Compra de camara, housing, eliminador y conectores tipo UY</t>
  </si>
  <si>
    <t>Villafaña Pérez Judith</t>
  </si>
  <si>
    <t>Compra de café para mesa de cobranza del domino 26/junio/16</t>
  </si>
  <si>
    <t>Pago por recolección basura fin de semana</t>
  </si>
  <si>
    <t>Pago por mantenimiento 3 circuitos CCTV Zinanpa</t>
  </si>
  <si>
    <t>Pago en apoyo en cobranza de tarjetones del domingo 26/06/16</t>
  </si>
  <si>
    <t>Alberto Reyes</t>
  </si>
  <si>
    <t>Pago comida para cuadrilla delegación, dragado y desasolve de 6 coladeras</t>
  </si>
  <si>
    <t>Pago reparación de pluma de entrada en caseta por daños de uso natural</t>
  </si>
  <si>
    <t>Pago del mes de junio/16</t>
  </si>
  <si>
    <t>José Luis Noriega</t>
  </si>
  <si>
    <t>Pago por arreglo de puerta de Landero y compra de material</t>
  </si>
  <si>
    <t>Apolinar de La Cruz</t>
  </si>
  <si>
    <t>Compra de paraguas para cobranza de domingo</t>
  </si>
  <si>
    <t>Compra de pan para junta mesa directiva</t>
  </si>
  <si>
    <t>Pago pr recolección de basura del mes de junio en todo el fraccionamiento</t>
  </si>
  <si>
    <t>Compra de un paraguas para mesa de cobranza y vigilancia</t>
  </si>
  <si>
    <t>Compra de un paraguas para vigilancia</t>
  </si>
  <si>
    <t>Pago correspondiente a la 2° quincena del mes de junio/16</t>
  </si>
  <si>
    <t>Pago  correspondiente a la 2° quincena del mes de junio/16</t>
  </si>
  <si>
    <t>Pago de retención de IVA del Colegio Carmel mes de julio/16</t>
  </si>
  <si>
    <t>Italcafe,S.A. de C.V.</t>
  </si>
  <si>
    <t>Desayuno mesa directiva y comitè vecinal</t>
  </si>
  <si>
    <t>Compra de refrescos y cae MD y vigilancia reparaciòn de pluma</t>
  </si>
  <si>
    <t>Estacionamiento desayuno mesa directiva</t>
  </si>
  <si>
    <t>Recolecciòn de pasto y hierva de Romeral y bosa y costal</t>
  </si>
  <si>
    <t>Pago por revisiòn de circuito Zinampa</t>
  </si>
  <si>
    <t>Pago de captura de datos del 27 juniio al 01 de julio/2016</t>
  </si>
  <si>
    <t>Compra de agua para mesa de cobranza del domingo</t>
  </si>
  <si>
    <t>Tiendas Comercial Mexicana, S.A. de C.V.</t>
  </si>
  <si>
    <t>Compra de lampara para Zinampa</t>
  </si>
  <si>
    <t>Compra de café y refrescos mesa de cobranza</t>
  </si>
  <si>
    <t>Compra de cable para luma en Zinampa</t>
  </si>
  <si>
    <t>Compra de refrescos junta directiva con Gama</t>
  </si>
  <si>
    <t>Compra de eliminador 12 V 1 par de transceptores</t>
  </si>
  <si>
    <t>Pago en apoyo a cobranza de tarjetones domingo 03 de julio/16</t>
  </si>
  <si>
    <t>Compra de papel igienico y carrito tubular para agua</t>
  </si>
  <si>
    <t>Compra de 1 camara tipo bala, 1 housing, 1 par de transceptores y 1 eliminad</t>
  </si>
  <si>
    <t>Pago de honorarios por colocación de 1 camara Rancho la Cuchilla</t>
  </si>
  <si>
    <t>Pago de honorarios en reparación de conexiones 4 camaras caseta Romeral</t>
  </si>
  <si>
    <t xml:space="preserve">Compra de 2 bobinas de cable UTP </t>
  </si>
  <si>
    <t>Compra de papelerìa</t>
  </si>
  <si>
    <t xml:space="preserve">Compra de papel premium </t>
  </si>
  <si>
    <t>Compra de cartuchos epso y papel premium</t>
  </si>
  <si>
    <t>Compra de sujetadores de UTP y correciòn de hotmail en computadora tesor</t>
  </si>
  <si>
    <t>Pago por captura de datos del 04 al 08 de julio/16</t>
  </si>
  <si>
    <t>Compra de refrescos para personas que limpiaron juegos y parque</t>
  </si>
  <si>
    <t>Mrcela Chavez Lopez</t>
  </si>
  <si>
    <t>Pago por limpieza y mantenimiento de kiosco y alrededores</t>
  </si>
  <si>
    <t>Pago por recolecciòn de basura del fin de semana en todo el fraccionamiento</t>
  </si>
  <si>
    <t>Compensaciòn por rondi al fracionamiento, madrugada y dia para quitar unidad</t>
  </si>
  <si>
    <t>Compra de refresco para la vigilancia</t>
  </si>
  <si>
    <t>Pago en apoyo cobranza de tarjetones domingo</t>
  </si>
  <si>
    <t>Compra de papelerìa para presidencia y tesorerìa</t>
  </si>
  <si>
    <t>Compra de 1 cafetera para vigilancia</t>
  </si>
  <si>
    <t>Pago de estacionamiento de compra de limpieza y cafetera</t>
  </si>
  <si>
    <t>Pago por reparaciòn de chapa de EZ y EP y aceitar todas las chapas peatonal</t>
  </si>
  <si>
    <t>Pago por reparaciòn de puerta vehicular LD, trabajo de herrerìa cambio de llan</t>
  </si>
  <si>
    <t>Compra de 1 rodillo para pinta señalizaciones</t>
  </si>
  <si>
    <t xml:space="preserve">Pago por mano de obra de instalaciòn </t>
  </si>
  <si>
    <t>Pago correspondiente a la 1° quincena del mes de julio/16</t>
  </si>
  <si>
    <t>Pago por captura de datos del 11 al 15 de julio/16</t>
  </si>
  <si>
    <t>Cadena Comercial Oxxo, S.A. de C.V.</t>
  </si>
  <si>
    <t>Compra de café para mesa de cobranza domingo</t>
  </si>
  <si>
    <t>Pago por recoleciòn de basura en toda la coloni en fin de semana</t>
  </si>
  <si>
    <t>Pago por pintar zona de peligro en el fraccionamiento en RM entre UP y LD</t>
  </si>
  <si>
    <t>Pago por apoyo en cobranza de tarjetones del domingo 18/julio/16</t>
  </si>
  <si>
    <t>Compra de 1 DVR 4 canales y 1 camara con housing transeptores y fuente E.</t>
  </si>
  <si>
    <t>Sr. Roldan</t>
  </si>
  <si>
    <t>Compra de refrescos y aguas para cuadrilla de trabajadores delegación ejercita</t>
  </si>
  <si>
    <t>Reparación de camara CNB situada en UP centro de la calle</t>
  </si>
  <si>
    <t>Compra de pilas 23 A para control de plumas</t>
  </si>
  <si>
    <t>Pago de 12 almuerzos para trabajadores que realizan el desazolve EZ</t>
  </si>
  <si>
    <t>Pago mano de obra reistalación camara 350 y</t>
  </si>
  <si>
    <t>Compra de 30 tarjetas procar cheque #30</t>
  </si>
  <si>
    <t>Pago de retenciòn de IVA del Colegio Carmel del mes de juio/16 ch.#32</t>
  </si>
  <si>
    <t>Pago Honorarios porfesionales junio/16 a/c anualidad 2016 ch.#31</t>
  </si>
  <si>
    <t>Pago gasolina para visita contador siegris</t>
  </si>
  <si>
    <t>Pago de 1 respaldo de video ZB Audi Blaco LD #2</t>
  </si>
  <si>
    <t>Pago de configuración de 30 tarjetas procard</t>
  </si>
  <si>
    <t>Pago arreglo pluma RM y soldadura</t>
  </si>
  <si>
    <t>Pago de estacionamiento junta directiva</t>
  </si>
  <si>
    <t>Pago de café junta mesa directiva</t>
  </si>
  <si>
    <t>Compra de refrescos y agua para personal de dragado y desazolve</t>
  </si>
  <si>
    <t>Pago de estaconamiento y valet parkin visita contador</t>
  </si>
  <si>
    <t xml:space="preserve">Pago de 16 almuerzos para 2 cuadrillas delegación dragado </t>
  </si>
  <si>
    <t>Pago de honorarios por captura de datos del 18 al 22 de julio/16</t>
  </si>
  <si>
    <t>Pago de 450 copias tamaño carta</t>
  </si>
  <si>
    <t>Compra de una camara Bitek 1800 TVL</t>
  </si>
  <si>
    <t>Pago por entrega de circular a la colonia urgente e informativo</t>
  </si>
  <si>
    <t>Compra de refrescos y agua para personal de poda parque</t>
  </si>
  <si>
    <t>Pago en apoyo por brindar su colaboración en evento del Delegado Coyoacan</t>
  </si>
  <si>
    <t>Compra de café para mesa de cobranza</t>
  </si>
  <si>
    <t>Federico García</t>
  </si>
  <si>
    <t>Pago de almuerzos a cuadrilla de poda del parque</t>
  </si>
  <si>
    <t>Pago por barrer basura urgentemente por evento con delegado Coyoacan</t>
  </si>
  <si>
    <t xml:space="preserve">Compra de agua, refrescos para cuadrilla de posa pasto </t>
  </si>
  <si>
    <t>Pago en apoyo en cobranza de tarjetones del domingo 25-07-16</t>
  </si>
  <si>
    <t>Pago por doblar, engrapar y entregar casa por casa informe a todo el fracc</t>
  </si>
  <si>
    <t>Pago por arreglo pluma y mano de obra compra de lasing y conectores</t>
  </si>
  <si>
    <t>Pago por 120 almuerzo para personal delegación de varios servicios en fracc</t>
  </si>
  <si>
    <t>Pago de 27 almuerzos para persoanal de poda y recolección de deshechos</t>
  </si>
  <si>
    <t>Pago de 450 juegos de 4 copias informe para todo el fraccionamiento</t>
  </si>
  <si>
    <t>Compra de refrescos para cuadrilla qu se dedaron en parque trabajando</t>
  </si>
  <si>
    <t>Pago a/c de la primer quincena del mes de Agosto/16</t>
  </si>
  <si>
    <t>Pago de 8 almuerzo para personal de recolecciòn de pasto</t>
  </si>
  <si>
    <t>Compra de 8 almuerzos para personal de delegaciòn de ejercitadores</t>
  </si>
  <si>
    <t>Pago mano de obra en instalaciòn de 2 camaras UP y 1 DVR monitor</t>
  </si>
  <si>
    <t>Pago por reparaciòn de la chapa de la puerta de Estopila</t>
  </si>
  <si>
    <t>Pago por captura de datos del 25 al 29 de julio/16</t>
  </si>
  <si>
    <t>Comisión por estado de cuenta</t>
  </si>
  <si>
    <t>I.V.A. por comisión de estado de cuenta</t>
  </si>
  <si>
    <t>Compra de 4 tornillos de expansiòn</t>
  </si>
  <si>
    <t>Compra de 1 perfil de aluminio base para camara</t>
  </si>
  <si>
    <t>Compra de refrescos y botanas para trabajadores de señalizacion de explan</t>
  </si>
  <si>
    <t xml:space="preserve">Pago de 1 respaldo de video reja Estopila Daños a cerradura </t>
  </si>
  <si>
    <t>Pago de 1 respaldo de video eveto cuchilla y Romeral vandalizaciòn de àrbo</t>
  </si>
  <si>
    <t>Compra de polvorones y refrescos para junta de tarjetones rojos</t>
  </si>
  <si>
    <t xml:space="preserve">Compra de toner Brother </t>
  </si>
  <si>
    <t>Compra 5 garrafones de agua</t>
  </si>
  <si>
    <t>Compra de refrescos y botanas para trabajadores del parque</t>
  </si>
  <si>
    <t xml:space="preserve">Compra de papel de baño para caseta Romeral </t>
  </si>
  <si>
    <t>Compra de almuerzos para trabajadores de explanada del kiosco</t>
  </si>
  <si>
    <t>Compra de refrescos para cuadrilla delegación parque</t>
  </si>
  <si>
    <t>Pago por captura de datos del 01 al 05 de agosto/16</t>
  </si>
  <si>
    <t>Pago de 7 desayunos para cuadrilla delegación trabajo explanada kiosco</t>
  </si>
  <si>
    <t>Pago por corte de pasto en caseta Romeral</t>
  </si>
  <si>
    <t>Compensación en apoyo en ayuda a vigilar jovenes sospechos en el fraccio</t>
  </si>
  <si>
    <t>Compra de café para la mesa de cobranza domingo 07/08/16</t>
  </si>
  <si>
    <t>Pago en apoyo de cobranza el domingo 07-08-16</t>
  </si>
  <si>
    <t>Pago de reparación de computadora para trabajos de mesa directiva</t>
  </si>
  <si>
    <t>Compra de 8 garrafones de agua</t>
  </si>
  <si>
    <t>Pago por repración de chapa de pueta de Estopila</t>
  </si>
  <si>
    <t>Pago a/c de trabajo de herrería en registo de agua</t>
  </si>
  <si>
    <t>Pago por recolección de escombros en calle de Estopila y Landero</t>
  </si>
  <si>
    <t>Tlapalería y Ferretería el Hueso</t>
  </si>
  <si>
    <t xml:space="preserve">Compra de 1 flexo pegamento para pluma </t>
  </si>
  <si>
    <t>Magic Led</t>
  </si>
  <si>
    <t>Compra de slin cudorada 12 W para iluminación del kiosco del parque</t>
  </si>
  <si>
    <t>Electrica Saavedra, S.A. de C.V.</t>
  </si>
  <si>
    <t>Compra de material para iluminación del kiosco del parque</t>
  </si>
  <si>
    <t>Compra de 12 tortas para personal delegación trabajos en el parque</t>
  </si>
  <si>
    <t>División Bombas Vic-Fer</t>
  </si>
  <si>
    <t>Compra de 1 motosierra toolcraft 22" para donación al cuerpo de bombero</t>
  </si>
  <si>
    <t>Ferrecompre</t>
  </si>
  <si>
    <t>Compra de taladro recargable para trabajos varios fraccionamientos</t>
  </si>
  <si>
    <t>Compra de refrescos para personal delegación trabajos varios parque</t>
  </si>
  <si>
    <t xml:space="preserve">Jorge Calderón </t>
  </si>
  <si>
    <t>Compra de tortas para cuadrilla delegación trabajos varios parque</t>
  </si>
  <si>
    <t>Pago por recoleccilón y trabajos de limpieza en el fraccionamiento</t>
  </si>
  <si>
    <t>Compra de dosificador de agua para caseta del fraccionamiento</t>
  </si>
  <si>
    <t>Pago por captura de datos del 08 al 12 de agosto/16</t>
  </si>
  <si>
    <t>Pago por cambio de ventilador en Lap Top de mesa directiva</t>
  </si>
  <si>
    <t>Servicio División, S.A. de C.V.</t>
  </si>
  <si>
    <t>Pago de 3 comidas para peronal delegacilón trabajos varios en el parque</t>
  </si>
  <si>
    <t xml:space="preserve">Pago de 20 tarjetas electronicas </t>
  </si>
  <si>
    <t>Pago de 32 desayunos para personal delegación trabajos de la explanada</t>
  </si>
  <si>
    <t>Compra de 1 canasta de frutas para la integrante Elena Osorio mesa direct</t>
  </si>
  <si>
    <t>Pago de mano de obra de software Lap top</t>
  </si>
  <si>
    <t>Compra de material para poda de parque</t>
  </si>
  <si>
    <t xml:space="preserve">Compensación en apoyo de sacar bebe en automovil calle landero </t>
  </si>
  <si>
    <t>Pago por reparación de bicicleta para rondines en el fraccionamiento</t>
  </si>
  <si>
    <t>Liq. Pago de trabajo de herrería registro Estopila esq. Landero</t>
  </si>
  <si>
    <t>Pago por recolecciòn de basura en fin de semana</t>
  </si>
  <si>
    <t>Compra de café para mesa de cobranza domingo 14/agosto</t>
  </si>
  <si>
    <t>Comprensación por ayuda a encontrar dueño de predio en La Cuchilla</t>
  </si>
  <si>
    <t>Francisco Daniel Pérez Calderón</t>
  </si>
  <si>
    <t>Pago por limpieza, arreglo y pintura de la caseta de Zinampa</t>
  </si>
  <si>
    <t>Compra de material para pintar caseta de Zinampa</t>
  </si>
  <si>
    <t>Compra de refrescos y agua para vigilancia y mesa de cobranza domingo</t>
  </si>
  <si>
    <t>Pago por recolección de basura 1er quincena de agosto/16</t>
  </si>
  <si>
    <t>Pago correspondiente a la 2° quincena del mes de agosto/16</t>
  </si>
  <si>
    <t>Pago liq.  correspondiente a la 1° quincena del mes de agosto/16</t>
  </si>
  <si>
    <t>Pago de retenciòn de IVA del Colegio Carmel del mes de agosto/16 ch.#35</t>
  </si>
  <si>
    <t>Pago Honorarios porfesionales agosto/16 a/c anualidad 2016 ch.#36</t>
  </si>
  <si>
    <t>Compra de 2 botes de Aire comprimido</t>
  </si>
  <si>
    <t>Pago de estacionamiento y balet parking visita contador siegrist</t>
  </si>
  <si>
    <t>Pago de 48 almuerzos de 4 dìas para trabajadores explanada kiosco parque</t>
  </si>
  <si>
    <t>Pago gasolina para visita contador siegris, Grisela Peralta</t>
  </si>
  <si>
    <t>Sr Arturo</t>
  </si>
  <si>
    <t>Compra de tacos y refrescos personal explanada kiosco parque</t>
  </si>
  <si>
    <t>Pago limpieza y rectificaciòn en caseta CL y EP DVR y cicuito monitores</t>
  </si>
  <si>
    <t>Pago por reparaciòn de pluma vehicular entrada ZB desmontado y enderez</t>
  </si>
  <si>
    <t>Asunciòn</t>
  </si>
  <si>
    <t>Pago acuenta de de 2da. Quincena de agosto/16</t>
  </si>
  <si>
    <t>Andrea Concepciòn Marquez</t>
  </si>
  <si>
    <t>Pago de 1000 recibos de cobranza cheque # 37</t>
  </si>
  <si>
    <t>Pago por captura de datos del 15 al 19 de agosto</t>
  </si>
  <si>
    <t>Compra de boligrafos y cartuchos para tesorerìa</t>
  </si>
  <si>
    <t>Pago por poda de parque durante una semana</t>
  </si>
  <si>
    <t>Pago de 9 garrafones de agua</t>
  </si>
  <si>
    <t>Compra de agua y refrescos mesa de cobranza y vigilancia domingo</t>
  </si>
  <si>
    <t>Ayuda al camiòn de basura por un compañero del camiòn sufrio accidente</t>
  </si>
  <si>
    <t>Pago en apoyo de llevarse todo el pasto que se corto del parque</t>
  </si>
  <si>
    <t>Pago propina a mesero visita al cuartel de bomberos</t>
  </si>
  <si>
    <t>Compensaciòn en apoyo de compañía para campaña colegio carmel no esta</t>
  </si>
  <si>
    <t>Pago de material y trabajos para techo de caseta Zinampa</t>
  </si>
  <si>
    <t>Pago en apoyo durante maña y tarde de entra de circulares escuela</t>
  </si>
  <si>
    <t>Compra de calculadora, cortinas para baño y estacionamiento centro</t>
  </si>
  <si>
    <t>Compra de bobina de cabe UTP para caja hidrobox camara de Cuchilla</t>
  </si>
  <si>
    <t>A/C de compra de bobina de Cuchilla cheque # 39</t>
  </si>
  <si>
    <t>Compra de 30 llaves travex cheque # 40</t>
  </si>
  <si>
    <t>Compensación en apoyo patrullaje entrada en la mañana al colegio P.F.</t>
  </si>
  <si>
    <t>Liq. De compra de bobina de Cuchilla</t>
  </si>
  <si>
    <t>Compra de 9 garragones de agua</t>
  </si>
  <si>
    <t>Pago 10 ampliaciones</t>
  </si>
  <si>
    <t>Pago de 52 copias B/N</t>
  </si>
  <si>
    <t>Pago jardinero mantenimiento en el parque del fraccionamiento 2da seman</t>
  </si>
  <si>
    <t>Pago jardinero de materiales para poda parque</t>
  </si>
  <si>
    <t>Pago por captura de datos del 22 al 26 de agosto</t>
  </si>
  <si>
    <t>Pago por llevarse basura en costales de Recoveco</t>
  </si>
  <si>
    <t>Sr. Daniel</t>
  </si>
  <si>
    <t>Pago en apoyo trabajos en caseta Zinmpa</t>
  </si>
  <si>
    <t>Compensaciòn por rondines en todo el fraccionamiento, para gasolina</t>
  </si>
  <si>
    <t>Josè Asunciòn Dominguez Montejo</t>
  </si>
  <si>
    <t>Compensaciòn en apoyo a trabajos especiales con mesa directiva</t>
  </si>
  <si>
    <t>Grisela Peralta apoyo en planillas compra de cafè</t>
  </si>
  <si>
    <t>Grisela Peralta apoyo en planillas compra de agua y refrescos</t>
  </si>
  <si>
    <t>Pago por recolecciòn de basura todo el fin de semana</t>
  </si>
  <si>
    <t>Pago por podar 2 arbolitos en Romeral que tapan camara</t>
  </si>
  <si>
    <t>Compra de café y refrescos mesa de cobranza y vigilancia domingo 28</t>
  </si>
  <si>
    <t>Compra de refrescos mesa de cobranza domingo 28</t>
  </si>
  <si>
    <t>Pago por recolección de basura dar quincena de agosto/16</t>
  </si>
  <si>
    <t>Pago por llevarse todo el pasto del parque que se podo en 2 semanas</t>
  </si>
  <si>
    <t>Pago por apoyo en cobranza domingo/29</t>
  </si>
  <si>
    <t>Compra de 1 portafolio para laptop</t>
  </si>
  <si>
    <t>Compra de 5 memoraias USB</t>
  </si>
  <si>
    <t>Pago de 1 respaldo de video Upacuaro</t>
  </si>
  <si>
    <t>Pago de 1 respaldo de video parque</t>
  </si>
  <si>
    <t>Pago por recolecciòn de basura de lunes a viernes durante todo el mes</t>
  </si>
  <si>
    <t>Pago de retención de IVA del Colegio Carmel mes de agosto/16</t>
  </si>
  <si>
    <t>Distribuidora Biclicletas Benotto, S.A. de C.V.</t>
  </si>
  <si>
    <t>Compra de llantas para bicicleta de vigilancia Gamma</t>
  </si>
  <si>
    <t>Compra de botanas para personal del parque en juegos</t>
  </si>
  <si>
    <t>Compra de 7 garrafones de agua</t>
  </si>
  <si>
    <t>Compra de cafè para mesa directiva junta para ver finanzas</t>
  </si>
  <si>
    <t>Grisela Peralta, gasolina, compras para kiosko y casetas mes de septiembre</t>
  </si>
  <si>
    <t>Pago por captura de datos del 29/ago al 02/sep/16</t>
  </si>
  <si>
    <t xml:space="preserve"> Patrulla 007</t>
  </si>
  <si>
    <t xml:space="preserve">Pago en apoyo oficial de platica con vecinos </t>
  </si>
  <si>
    <t>Pago por trabajo de techumbre en caseta Zinampa, cambio techo</t>
  </si>
  <si>
    <t>Compra de refrescos y botanas para personal delegaciòn luminarias parque</t>
  </si>
  <si>
    <t>Compra 4 metros de cable para arreglo de luz en parque</t>
  </si>
  <si>
    <t>Pago de almuerzos para vigilantes que ayudaron adornar todo el fracciona</t>
  </si>
  <si>
    <t>Modatelas SAPI, de CV.</t>
  </si>
  <si>
    <t>Compra de adornos para fiestas patrias del fraccionamientos</t>
  </si>
  <si>
    <t>Compra de bandera para adornar kiosko</t>
  </si>
  <si>
    <t>La Pape</t>
  </si>
  <si>
    <t>Compra de plumas de gel color azul para cobranza</t>
  </si>
  <si>
    <t xml:space="preserve">Compensaciòn en apoyo por adornar el kiosco </t>
  </si>
  <si>
    <t>Pago de 2 semanas de poda de pasto en parque</t>
  </si>
  <si>
    <t>Compra de cafè para mesa de cobranza domingos</t>
  </si>
  <si>
    <t>Pago por llevarse 6 costales de pasto podado del parque</t>
  </si>
  <si>
    <t>Compra de cafè y botanas para personal de votaciònes kiosko</t>
  </si>
  <si>
    <t>Pago de eliminador para plato lector 9 vots sin nota de esteren</t>
  </si>
  <si>
    <t>Reparaciòn de alimentaciòn de voltaje de plato lectooooo de tarjetas</t>
  </si>
  <si>
    <t>Pago por dos respaldos en 3 circuitos de evento de jovenes tomando parq</t>
  </si>
  <si>
    <t>Pago de 10 garrafones de agua</t>
  </si>
  <si>
    <t>Compra de tortas para personal delegaciòn colocaciòn de juegos explanada</t>
  </si>
  <si>
    <t xml:space="preserve">Pago de 80 copias </t>
  </si>
  <si>
    <t>Pago de comida para personal de investigaciòn de asalto a calle Upacuaro</t>
  </si>
  <si>
    <t>Pago por reparaciòn y diagnostico de alteraciòn de chapa de RV, EZ y ZB</t>
  </si>
  <si>
    <t xml:space="preserve">Pago de videos en difrerentes tomas, trabajos de 24 horas recopilaciòn </t>
  </si>
  <si>
    <t>Adelanto de reparaciòn de puerta de entrada del kiosko</t>
  </si>
  <si>
    <t>Pago de video de Estopila cuando entra la señora de aseo en Upacuaro</t>
  </si>
  <si>
    <t>Comñpra de 6 tortas y agua para trabajadores parque de juegos ejercitado</t>
  </si>
  <si>
    <t>Pago por captura de datos del 05 al 09- septiembre/16</t>
  </si>
  <si>
    <t>Pago de 640 copias</t>
  </si>
  <si>
    <t>Tiendas Chedraui, S.A. de C.V.</t>
  </si>
  <si>
    <t>Compra de boligafos y hojas</t>
  </si>
  <si>
    <t>Pago por repraciòn y diagnostico de chapa zinampa y compra refacciones</t>
  </si>
  <si>
    <t>Pago a chicos en apoyo a entregar circular urgente en todo el fraccionam</t>
  </si>
  <si>
    <t>Pago de 1 respaldo de video en pluma</t>
  </si>
  <si>
    <t>Pago por poda de pasto toda la semana</t>
  </si>
  <si>
    <t>Pago mano de obra en instalaciòn de camara de Cuchilla y Romeral</t>
  </si>
  <si>
    <t>Compra de disco duro de 500 GB para DVR ubicado en Romeral</t>
  </si>
  <si>
    <t>Compra de vasos desechables para mesa de cobranza domingo</t>
  </si>
  <si>
    <t xml:space="preserve">Pago por enterrar y pintar tronco del parque </t>
  </si>
  <si>
    <t>Compensaciòn en apoyo por presencia para circular codigo civil mascotas</t>
  </si>
  <si>
    <t>Pago telefono del mes de agosto/16</t>
  </si>
  <si>
    <t>Pago de trabajo termino puerta del kiosko</t>
  </si>
  <si>
    <t>Compra de material para instalar luz en kiosco</t>
  </si>
  <si>
    <t>Jose Hurtado</t>
  </si>
  <si>
    <t>Pago por instalaciòn de luz dentro del kiosco</t>
  </si>
  <si>
    <t>Compensaciòn en apoyo por campaña de mascotas</t>
  </si>
  <si>
    <t xml:space="preserve">Dulcerìa </t>
  </si>
  <si>
    <t>Compra de bolsas para campaña civica de mascotas</t>
  </si>
  <si>
    <t xml:space="preserve">Vecina </t>
  </si>
  <si>
    <t>Nos vendio 5 cajas de galletas para evento kiosco</t>
  </si>
  <si>
    <t>Compra de refrescos para SSP evento en kiosco platica de seguridad</t>
  </si>
  <si>
    <t>Daniel Grupo Gamma</t>
  </si>
  <si>
    <t>Compesaciòn en apoyo en cargar laminas y aparatos del kiosco</t>
  </si>
  <si>
    <t>Pago por arreglar chapa ZB y material para bajada de techumbre</t>
  </si>
  <si>
    <t>Pago por calibrar pluma de tornilloos y ronanas de ZB</t>
  </si>
  <si>
    <t>Compra de recibos y copias</t>
  </si>
  <si>
    <t>G_MTCP</t>
  </si>
  <si>
    <t>Instalaciòn y diferencia de Disco duro para CL esq. RM</t>
  </si>
  <si>
    <t>Pago primer quincena por barrer todo el fraccionamiento entre semana</t>
  </si>
  <si>
    <t>Pago por llevarse costales de pasto que fue podado en la semana</t>
  </si>
  <si>
    <t>Pago a chicos en apoyo a entrega de circular informe de puerta cerrada 15</t>
  </si>
  <si>
    <t>Cena para la vigilancia el 15 de septiembre</t>
  </si>
  <si>
    <t>Gasolina Grisela Peralta compra del 15 de septiembre para fraccionamiento</t>
  </si>
  <si>
    <t>Pago correspondiente a la 2° quincena del mes de septiembre/16</t>
  </si>
  <si>
    <t>Pago liq.  correspondiente a la 1° quincena del mes de septiembre/16</t>
  </si>
  <si>
    <t>Pago por captura de datos del 12 al 16 de septiembre/16</t>
  </si>
  <si>
    <t>Pago por cortar cesped del 13 al 17 de septiembre</t>
  </si>
  <si>
    <t>Compra de café para mesa de cobranza domingo 18 de septiembre</t>
  </si>
  <si>
    <t>Pago de 2 transeptores y conectores de tendido cheque #41</t>
  </si>
  <si>
    <t>Compra de 30 tarjetas procar cheque #43</t>
  </si>
  <si>
    <t>Compra de tornillos para bicileta del fraccionamiento</t>
  </si>
  <si>
    <t>Pago por concepto en apoyo en cobranza del domingo 18 de septiembre</t>
  </si>
  <si>
    <t>Pago estacionamineto y propina visita contador Siegrist</t>
  </si>
  <si>
    <t>Compra de galetas y café visita contador Siegrist</t>
  </si>
  <si>
    <t>Gasolina Grisela Peralta visita a contador Siegrist</t>
  </si>
  <si>
    <t>Pago de 11 garrafones de agua</t>
  </si>
  <si>
    <t>Centro de Copiado del sur</t>
  </si>
  <si>
    <t>Pago por recolecciòn basura RV escombros</t>
  </si>
  <si>
    <t>Pago de retenciòn de IVA del Colegio Carmel del mes de Sep/16 ch.#45</t>
  </si>
  <si>
    <t>Pago Honorarios porfesionales agosto/16 a/c anualidad 2016 ch.#44</t>
  </si>
  <si>
    <t>Pago de tendido de 1 camara y compra de DVR con disco duro</t>
  </si>
  <si>
    <t>Motosierras y Equipos</t>
  </si>
  <si>
    <t>Compra Desmelezadora stihl, para podar parque del fracc. Chque #46</t>
  </si>
  <si>
    <t>Marìa Teresa del Pozo</t>
  </si>
  <si>
    <t>Pago por fumigar todo el parque del fraccionamiento cheque #49</t>
  </si>
  <si>
    <t>Pago por 2 luinarìas, una reconecciòn y una fotocelda</t>
  </si>
  <si>
    <t>Compra de gasolina para podar parque</t>
  </si>
  <si>
    <t>Sr. Manuel Gama</t>
  </si>
  <si>
    <t>Pago por quitar todos los posters de la coloniar</t>
  </si>
  <si>
    <t>Compra de refrescos para persoanal que reparò luminarìas del parque</t>
  </si>
  <si>
    <t>Pago por concepto de captura de datos del 19 al 24 de septiembre/16</t>
  </si>
  <si>
    <t>Compra pintura, brocha y rodillo para pintar techo y puerta kiosco,</t>
  </si>
  <si>
    <t>Compra de café y agua para vigilancia mesa de cobranza</t>
  </si>
  <si>
    <t>Pago por recolección de basura fines de semana en todo el fraccionamiento</t>
  </si>
  <si>
    <t>Pago por pintar puerta de kiosco</t>
  </si>
  <si>
    <t>Pago por pintar techo de advesto caseta Zinampa</t>
  </si>
  <si>
    <t>Pago en apoyo quitar camión con WC en Landero y Hueso (tianguis)</t>
  </si>
  <si>
    <t>Pago en apoyo a la combraza de 25 de septiembre/16</t>
  </si>
  <si>
    <t>Compra de rodillo y brocha para pintar caseta de CL, RM y EZ</t>
  </si>
  <si>
    <t>Gasolina para Grisela Peralta, presidenta mesa directiva</t>
  </si>
  <si>
    <t>Pago de 1 respaldo de video Cuchilla #61</t>
  </si>
  <si>
    <t>Pago en apoyo para visita a vecino de la falta de limpieza</t>
  </si>
  <si>
    <t>Pago por reconfigurar 13 tarjetas pocard</t>
  </si>
  <si>
    <t>Pago segunda quincena por barrer todas las calles entre semana</t>
  </si>
  <si>
    <t>Pago por recolectar pasto del parque duranta la 2da. quincena</t>
  </si>
  <si>
    <t>Pago por captura de datos del 26 al 30 de septiembre/16</t>
  </si>
  <si>
    <t>Manuel Gamma</t>
  </si>
  <si>
    <t>Pago por impermeabiliza techo de casetas CL, RM y EZ</t>
  </si>
  <si>
    <t>Pago por recolección de basura en toda la colonia</t>
  </si>
  <si>
    <t>Asunción Gamma</t>
  </si>
  <si>
    <t>Pago por arreglo de chapa de Estopila y lijar chapa de Cuchilla</t>
  </si>
  <si>
    <t>Compra de thinner, escoba y lima para arreglar caseta Zinampa</t>
  </si>
  <si>
    <t>Pago liq.  correspondiente a la 2° quincena del mes de septiembre/16</t>
  </si>
  <si>
    <t>Pago concepto comprensación en calidad de presidente de la MD 2° quin</t>
  </si>
  <si>
    <t>Pago de retención de IVA del Colegio Carmel mes de septiembre/16</t>
  </si>
  <si>
    <t>Compra de mastique para vidrios de caseta Cuchilla y Estopila</t>
  </si>
  <si>
    <t>Compra de café y refrescos para mesa de cobranza y vigilancia domingo</t>
  </si>
  <si>
    <t>Compensación en apoyo para visitar vecino que no deja pasar camion basur</t>
  </si>
  <si>
    <t>Compra de refrescos para vigilancia en apoyo de retirar tarjetones azules</t>
  </si>
  <si>
    <t>Pago en apoyo de cobranza doingo 02 de octubre</t>
  </si>
  <si>
    <t>Pago del mes de septiembre/16 y comisión de $ 5 pesos por pago</t>
  </si>
  <si>
    <t>Compra de adornos para quiosco día de muertos</t>
  </si>
  <si>
    <t>Pago estacionamiento compra de materiales limpieza y adornos</t>
  </si>
  <si>
    <t>Compra de aerosol para tubos con bolsas para desechos de mascotas</t>
  </si>
  <si>
    <t>Pago de estacionamiento compra de tubos con bolsas para desechos</t>
  </si>
  <si>
    <t>Compra de carpeta para Mesa Directiva</t>
  </si>
  <si>
    <t>Reparación de plua de salida subida y bajada ajuste</t>
  </si>
  <si>
    <t>Compra de cloro para limpieza de caseta Romeral</t>
  </si>
  <si>
    <t>Pago de recolección de escombros y basura de pasto Recoveco y EP</t>
  </si>
  <si>
    <t>Pago de comida para personal explanada 7 personas</t>
  </si>
  <si>
    <t>Pago por captura de datos del 03 al 07 de Octubre/16</t>
  </si>
  <si>
    <t xml:space="preserve">Roberto   </t>
  </si>
  <si>
    <t>Pago por pintar caseta por dentro y fuera zinampa</t>
  </si>
  <si>
    <t xml:space="preserve">Pago por poda de pasto semana del 4 al 8 de octubre </t>
  </si>
  <si>
    <t>Pago por recolección de basura en toda la colonia fin de semana</t>
  </si>
  <si>
    <t xml:space="preserve">Pago por recolección de pasto </t>
  </si>
  <si>
    <t>Pago por llevarse pasto podado</t>
  </si>
  <si>
    <t>Compra de 10 garrafones de agua</t>
  </si>
  <si>
    <t>Pago estacionamiento compra toner</t>
  </si>
  <si>
    <t xml:space="preserve">Pago por recoger ramas y pasto podado del parque </t>
  </si>
  <si>
    <t>Pago gasolina Grisela Peralta</t>
  </si>
  <si>
    <t>Pago por concepto en apoyo en cobranza del domingo 09 octubre/16</t>
  </si>
  <si>
    <t>Compra de tornillos para caseta Romeral para repisas</t>
  </si>
  <si>
    <t>Compra de bolsas para forrar postes de informaciòn para fraccionamiento</t>
  </si>
  <si>
    <t>Compra de tabala para hojas presidencia</t>
  </si>
  <si>
    <t>Pago de mano de obra en reparaciòn de dos gabinetes caseta Romeral</t>
  </si>
  <si>
    <t xml:space="preserve">Pago a jovenes para repartir circulares en todo el fraccionamiento </t>
  </si>
  <si>
    <t>Pago a jovenes por doblar todas las circulares que se repartieron</t>
  </si>
  <si>
    <t>Pago de 2,250 copias para informe del fraccionamiento</t>
  </si>
  <si>
    <t>Eopermex</t>
  </si>
  <si>
    <t xml:space="preserve">Pago estacionamiento visita delegaciòn </t>
  </si>
  <si>
    <t>Pago de tacos para vigilancia</t>
  </si>
  <si>
    <t>Pago de pizza y refrescos para vigilantes por buen desempeño Zinampa</t>
  </si>
  <si>
    <t>Pago de pizza y refrescos para vigilantes por buen desempeño Romeral</t>
  </si>
  <si>
    <t>Pago por barrer todo el fraccionamiento de lunes a viernes 1er qincena</t>
  </si>
  <si>
    <t>Pago por recolecciòn de basura e todo el fraccionamiento 1er quincena</t>
  </si>
  <si>
    <t>Pago por poda de pasto en parque del 11 al 15 de octubre/16</t>
  </si>
  <si>
    <t>Pago de estacionamiento compra de carpeta</t>
  </si>
  <si>
    <t>Pago correspondiente a la 1er qincena de octubre 16</t>
  </si>
  <si>
    <t>Pago correspondiente a la 1er quincena de oct/16 cheque #</t>
  </si>
  <si>
    <t>Pago concepto comprensación en calidad de presidente de la MD 1° quin</t>
  </si>
  <si>
    <t>Compra de café para mesa de cobranza domingo 16 de octubre</t>
  </si>
  <si>
    <t>Asociación de Colonos
HACIENDAS DE COYOACÁN</t>
  </si>
  <si>
    <t>CONCEPTO  /  MES</t>
  </si>
  <si>
    <t>DICIEMBRE
2012</t>
  </si>
  <si>
    <t>ANUAL
2013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</si>
  <si>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</si>
  <si>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</si>
  <si>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</si>
  <si>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</si>
  <si>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</si>
  <si>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</si>
  <si>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</si>
  <si>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</si>
  <si>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</si>
  <si>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</si>
  <si>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</si>
  <si>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</si>
  <si>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
2014</t>
  </si>
  <si>
    <t>ANUAL
2015</t>
  </si>
  <si>
    <t>ANUAL
2016</t>
  </si>
  <si>
    <t>INGRESOS</t>
  </si>
  <si>
    <t>Cuotas de vigilancia</t>
  </si>
  <si>
    <t>Cuotas extraordinarias</t>
  </si>
  <si>
    <t>Venta de llaves</t>
  </si>
  <si>
    <t>Venta de tarjetas electrónicas</t>
  </si>
  <si>
    <t>Venta de tarjetones</t>
  </si>
  <si>
    <t>Otros ingresos</t>
  </si>
  <si>
    <t>SUMA INGRESOS</t>
  </si>
  <si>
    <t>EGRESOS</t>
  </si>
  <si>
    <t>COSTO DE VIGILANCIA</t>
  </si>
  <si>
    <t>Sueldos y bono de puntualidad</t>
  </si>
  <si>
    <t>Alimentos</t>
  </si>
  <si>
    <t>Atención médica</t>
  </si>
  <si>
    <t>Uniformes</t>
  </si>
  <si>
    <t>INFRAESTRUCTURA Y SUMINISTROS</t>
  </si>
  <si>
    <t>Cámaras de vigilancia</t>
  </si>
  <si>
    <t>Dispositivos, discos y USB</t>
  </si>
  <si>
    <t>Llaves electrónicas y de acceso peatonal</t>
  </si>
  <si>
    <t>Señalización en calles</t>
  </si>
  <si>
    <t>MANTENIMIENTO</t>
  </si>
  <si>
    <t>A calles y banquetas</t>
  </si>
  <si>
    <t>A cámaras de vigilancia y plumas de acceso</t>
  </si>
  <si>
    <t>A casetas</t>
  </si>
  <si>
    <t>A las puertas de acceso peatonal</t>
  </si>
  <si>
    <t>A luminarias</t>
  </si>
  <si>
    <t>Al jardín, Kiosco, juegos y explanada</t>
  </si>
  <si>
    <t>Varios</t>
  </si>
  <si>
    <t>GASTOS ADMINISTRATIVOS</t>
  </si>
  <si>
    <t>Cobranza</t>
  </si>
  <si>
    <t>Gastos de organización</t>
  </si>
  <si>
    <t>Gastos y productos financieros</t>
  </si>
  <si>
    <t xml:space="preserve">Honorarios contables y captura </t>
  </si>
  <si>
    <t>Honorarios jurídicos</t>
  </si>
  <si>
    <t>Asesoría Legal</t>
  </si>
  <si>
    <t>Papelería y fotocopiado</t>
  </si>
  <si>
    <t>Publicidad</t>
  </si>
  <si>
    <t>Teléfono e Internet</t>
  </si>
  <si>
    <t>IMPUESTOS Y CONTRIBUCIONES</t>
  </si>
  <si>
    <t>G_TOTAL</t>
  </si>
  <si>
    <t>I.V.A. Pagado</t>
  </si>
  <si>
    <t>SUMA EGRESOS</t>
  </si>
  <si>
    <t>DÉFICIT / SUPERAVIT DEL MES</t>
  </si>
  <si>
    <t>REMANENTE DEL PERÍODO ANTERIOR</t>
  </si>
  <si>
    <t>Caja</t>
  </si>
  <si>
    <t>Banco</t>
  </si>
  <si>
    <t>REMANENTE AL CIERRE DEL PERÍODO</t>
  </si>
  <si>
    <t>Fondo revolvente</t>
  </si>
  <si>
    <t xml:space="preserve">         Suma de Caja y Banco</t>
  </si>
  <si>
    <t>ING_CUOTAS</t>
  </si>
  <si>
    <t>ING_EXTRA</t>
  </si>
  <si>
    <t>ING_LLAVES</t>
  </si>
  <si>
    <t>ING_TELE</t>
  </si>
  <si>
    <t>ING_TAR</t>
  </si>
  <si>
    <t>ING_OTROS</t>
  </si>
  <si>
    <t>Aportación Colegio Carmel</t>
  </si>
  <si>
    <t>Septiembre de 2016</t>
  </si>
  <si>
    <t>Héctor Vázquez</t>
  </si>
  <si>
    <t>Tecno Plaza Electrónica, S.A. de C.V.</t>
  </si>
  <si>
    <t>T.E. # 10506186</t>
  </si>
  <si>
    <t>Pago en apoyo a la cobranza del 16 de octubre/16</t>
  </si>
  <si>
    <t>Gasolina para presidencia, Grisela Peralta</t>
  </si>
  <si>
    <t>Compra de almuerzos para 30 personas del parque explanada</t>
  </si>
  <si>
    <t>Pago de 4 almuerzos para trabajadores explanada bancos verdes</t>
  </si>
  <si>
    <t>Benotto</t>
  </si>
  <si>
    <t>Mercado Miramontes</t>
  </si>
  <si>
    <t>Servico el Hueso S.A. de C.V.</t>
  </si>
  <si>
    <t>Frutería Martitha</t>
  </si>
  <si>
    <t>Compra de 2 canastas de frutas para dos miebros de la mesa directiva</t>
  </si>
  <si>
    <t>Pago por recolección de varas y troncos que se podaron en parque del fracciona</t>
  </si>
  <si>
    <t xml:space="preserve">Compra de tensores para sujetar cable para camara Landero </t>
  </si>
  <si>
    <t>Pago de comida para personal delegación colocación de bancos en parque</t>
  </si>
  <si>
    <t>Cadena Coercial Oxxo,, S.A.de C.V.</t>
  </si>
  <si>
    <t>Compra de refrescos para personal delegación colocación bancos</t>
  </si>
  <si>
    <t>Ferre-Electria Díaz</t>
  </si>
  <si>
    <t>Compra de una hoja de lija para chapas de puertas del fraccionamiento</t>
  </si>
  <si>
    <t>Compra de almuerzos para grupo pastoral que se realiza anualmente</t>
  </si>
  <si>
    <t>Pago estacionamiento visita al Contador Siegrist</t>
  </si>
  <si>
    <t>Compra de refrescos para junta de mesa directiva</t>
  </si>
  <si>
    <t>Pago de 7 comidas para personal delegación bancos verdes</t>
  </si>
  <si>
    <t>Compra de refacciones para bicicleta de vigilacia rondines fraccionamiento</t>
  </si>
  <si>
    <t>Compra de adornos para casetas del día de muertos</t>
  </si>
  <si>
    <t>Pago de honorarios del mes de octubre cheque # 53</t>
  </si>
  <si>
    <t>Pago de retención de IVA del Colegio Carmel de octubre/16 cheque # 54</t>
  </si>
  <si>
    <t>Waldos a Dólar Mart de México S. de R.L. de C.V.</t>
  </si>
  <si>
    <t>Compra de adornos para el fraccionamiento Dia de Muertos</t>
  </si>
  <si>
    <t>Pago por recolección pasto del parque podado</t>
  </si>
  <si>
    <t>Pago de honorarios del 17 al 21 de octubre/16</t>
  </si>
  <si>
    <t>Pago de estacionamiento compras varias</t>
  </si>
  <si>
    <t>Pago por doda de pasto del 18 al 22 de octubre/16</t>
  </si>
  <si>
    <t>Pago por recolección de pasto podado del parque</t>
  </si>
  <si>
    <t>Manualidades</t>
  </si>
  <si>
    <t>Compra de adornos para ofrenda del kiosco Días de Muertos</t>
  </si>
  <si>
    <t>Sra. Rebeca</t>
  </si>
  <si>
    <t>Pago por limpiar kiosco 2 días</t>
  </si>
  <si>
    <t>Compra de material de limpieza y escoba para el parque</t>
  </si>
  <si>
    <t>Compra de café y refrescos para mesa de cobranza y vigilancia domingos</t>
  </si>
  <si>
    <t>Compra de papel china para donos para el fraccionamiento</t>
  </si>
  <si>
    <t>Pago de estacionamiento compra de papel china</t>
  </si>
  <si>
    <t>Compra de cinta corte facil para colocar adornos</t>
  </si>
  <si>
    <t>Compra de papelería para presidencia</t>
  </si>
  <si>
    <t>Jose Asunción Dominguez</t>
  </si>
  <si>
    <t>Pago por varios trabajos dentro del fracciones</t>
  </si>
  <si>
    <t>Compensación en ayuda de hacer rondines parque sin luz día 22 de octubre</t>
  </si>
  <si>
    <t>Compensación en ayuda de hacer rondines parque sin luz día 23 de octubre</t>
  </si>
  <si>
    <t>Pago en apoyo de cobranza domingo 23 de octubre</t>
  </si>
  <si>
    <t>Pago por trabajos de techo de cuarto de lockers de vigilancia</t>
  </si>
  <si>
    <t>Pago de mano de obra para reparació de bicicleta de rondines</t>
  </si>
  <si>
    <t>Pago por guisados para ofrneda que se puso en el kiosco del parque fraccionami</t>
  </si>
  <si>
    <t>Pago  de 450 copias y 1 dvd</t>
  </si>
  <si>
    <t>Delegación Coyoacan</t>
  </si>
  <si>
    <t>Compra de refrescos para personal que reparo cables colgando en Calz Hueso</t>
  </si>
  <si>
    <t>Pago a chicos que apoyaron en quitar poster y pegar nuevos información al fracc</t>
  </si>
  <si>
    <t>Papelería</t>
  </si>
  <si>
    <t>Diseño y entrega de circular para el día de muertos dobladas</t>
  </si>
  <si>
    <t>Compra de refrescos en apoyo de evalución problemática del alumbrado del parqu</t>
  </si>
  <si>
    <t>Pasteleria Bodon, S.A. de C.V.</t>
  </si>
  <si>
    <t>Compra de dulces para el festejo en el kiosco día de muertos</t>
  </si>
  <si>
    <t>Compra de bolsas para información del evento del día de muertos</t>
  </si>
  <si>
    <t>Galería Coapa</t>
  </si>
  <si>
    <t>Pago de estacionamiento, copras varias</t>
  </si>
  <si>
    <t>Pago de 66 copias para informar al fraccionamiento evento</t>
  </si>
  <si>
    <t xml:space="preserve">Pago de UHU pegamento para la pluma </t>
  </si>
  <si>
    <t>Compra de 200 pan de muerto para evento en el kiosco</t>
  </si>
  <si>
    <t>Compra de jugos para los niños evento en el kiosco día de muertos</t>
  </si>
  <si>
    <t>Compra de calaveras y pan de muerto para la ofrenda que se puso en la explana</t>
  </si>
  <si>
    <t>Pago en apoyo de recolectar cosales de escombros en parque y estopila</t>
  </si>
  <si>
    <t>Estacionamiento copras varias</t>
  </si>
  <si>
    <t>Pago de captura de datos correspondientes del 10 al 14 de octubre/16</t>
  </si>
  <si>
    <t>Pago de captura de datos correspondientes del 24 al 28 de octubre/16</t>
  </si>
  <si>
    <t>Pago por doda de pasto del 25 al 29 de octubre/16</t>
  </si>
  <si>
    <t>Pago por recolección de basura fin de semana</t>
  </si>
  <si>
    <t xml:space="preserve">Compra de refrescos para mesa de cobranza domingo </t>
  </si>
  <si>
    <t>Compra de cena para vigilancia y mesa directiva</t>
  </si>
  <si>
    <t>Pago en compensación por ayudar a colocar ofrenda en el diosco del parque</t>
  </si>
  <si>
    <t>Roberto Arambula</t>
  </si>
  <si>
    <t>Pago en apoyo de barrer toda la explanada y el kiosco</t>
  </si>
  <si>
    <t>Pago por recolección de basura en todo el fracc de lunes a viernes 2da quincena</t>
  </si>
  <si>
    <t>Pago por barrer todo el fraccionamiento de lunes a viernes de la 2da quincena</t>
  </si>
  <si>
    <t>Compra de 2 pan de muerto evento kiosco</t>
  </si>
  <si>
    <t>Compra de varios adornos para la platica del día de muertos</t>
  </si>
  <si>
    <t>Pago correspondiente a la 2da quincena efectivo</t>
  </si>
  <si>
    <t>Pago correspondiente a la 2da quincena cheque # 55</t>
  </si>
  <si>
    <t>Pago de retención de IVA del Colegio Carmel mes de octubre/16</t>
  </si>
  <si>
    <t>TARJETA NUM. 6187</t>
  </si>
  <si>
    <t>Maldonado</t>
  </si>
  <si>
    <t>Pago  correspondiente a la 2° quincena del mes de mayo/16</t>
  </si>
  <si>
    <t>Pago por recolecciòn de pasto y basura del kiosco, evento dìa de muertos</t>
  </si>
  <si>
    <t>Comisiòn Federal de Electricidad</t>
  </si>
  <si>
    <t>Compra de refrescos para personal que reparò lineas de EZ</t>
  </si>
  <si>
    <t>Servicio El Escudo, S.A. de C.V.</t>
  </si>
  <si>
    <t>Grisela Peralta, gasolina, compras varias</t>
  </si>
  <si>
    <t>Trabajos varios para quitar ofrenda y pago de almuerzos</t>
  </si>
  <si>
    <t xml:space="preserve">Compensaciòn en apoyo rondines en el parque de 3 dìas sin luz en el </t>
  </si>
  <si>
    <t>Pago por captura de datos del 31 de octubre al 04 de noviembre/2016</t>
  </si>
  <si>
    <t>Pago de mano de obra en Reparaciòn de pluma</t>
  </si>
  <si>
    <t xml:space="preserve">Personal delegaciòn </t>
  </si>
  <si>
    <t>Apoyo en compra de cable de 8 metros iluminaciòn parque</t>
  </si>
  <si>
    <t>Compra de tarjeta de Non-Break regulador casera Recove, se fundio</t>
  </si>
  <si>
    <t>Compra de tornilleria para pluma</t>
  </si>
  <si>
    <t>Compensaciòn en apoyo de colocar el cable robado del parque</t>
  </si>
  <si>
    <t>Compra de pieza Solot led para tira de leds de pluma Zinampa salida</t>
  </si>
  <si>
    <t>Israel Galan Quintin</t>
  </si>
  <si>
    <t>Pago de toda la semana de poda de pasto</t>
  </si>
  <si>
    <t>Compra de café y refrescos para la mesa de cobranza del domingo</t>
  </si>
  <si>
    <t>Pago por en apoyo en cobranza del domingo 06 de noviembre/2016</t>
  </si>
  <si>
    <t>Servicio Aleman Regimen de las personas fisicas</t>
  </si>
  <si>
    <t>Grisela Peralta junta con entidad de comitè vecinal para tramites fotografìas</t>
  </si>
  <si>
    <t>Pago por corte de pasto en 2 casetas</t>
  </si>
  <si>
    <t>Pago de telefono octubre</t>
  </si>
  <si>
    <t xml:space="preserve">Dogo del Moral, S.A. de C.V. </t>
  </si>
  <si>
    <t>Estacionameito Cuemanco</t>
  </si>
  <si>
    <t>Pago estacionamiento compras de limpieza</t>
  </si>
  <si>
    <t>Compra de papelerìa para Tesorerìa</t>
  </si>
  <si>
    <t>Pago de material para trabajos de jardinerìa</t>
  </si>
  <si>
    <t>Pago por recolecciòn de pasto podado</t>
  </si>
  <si>
    <t>Pago de mano de obra por tendido de camara de cable de Landero</t>
  </si>
  <si>
    <t>Pago por cencepto de reparación de No-Break caseta Recoveco</t>
  </si>
  <si>
    <t xml:space="preserve">Compra de material para camaras Balum, Conectores y aire comprimido </t>
  </si>
  <si>
    <t>Pago de mano de obra a 3 camaras, cambio de transeptores y eliminador</t>
  </si>
  <si>
    <t>Compra de lagsst te para casetas</t>
  </si>
  <si>
    <t>Plaza Cuicuilco</t>
  </si>
  <si>
    <t>Estacionamiento junta mesa directiva y vecinas</t>
  </si>
  <si>
    <t>Pago por captura de datos del 05 al 09 de noviembre/16</t>
  </si>
  <si>
    <t>Pago por recorte de pasto 2da semana de noviembre/16</t>
  </si>
  <si>
    <t>Pago por presupuesto para bicicletas de rondines del fraccionamiento</t>
  </si>
  <si>
    <t>Paco Bicis</t>
  </si>
  <si>
    <t>Mantenimiento general a la bicicleta de ondines del fraccionamiento</t>
  </si>
  <si>
    <t>Pago por recolección de pasto martes día de basura organica</t>
  </si>
  <si>
    <t>Pago por arreglo de chapa de estanzuela llave atorada</t>
  </si>
  <si>
    <t>Persoanal Delegación</t>
  </si>
  <si>
    <t>Compensación por reterar poste de luz a punto de caer</t>
  </si>
  <si>
    <t>Compensación en apoyo en rondines en parque por no tener luz</t>
  </si>
  <si>
    <t>Servicio completo a bicicleta del fraccionamiento para rondines del mismo</t>
  </si>
  <si>
    <t>Compensación en apoyo de sacar a borrachos que se metieron al fracciona</t>
  </si>
  <si>
    <t>Pago por recolección de basura incluyendo barrer Romeral 1er quincena nov</t>
  </si>
  <si>
    <t>Pago por recolección de basura en todo el fracc de lunes a viernes 1er quincena</t>
  </si>
  <si>
    <t>Pago de honorarios del mes de noviembre cheque # 57</t>
  </si>
  <si>
    <t>Pago de retención de IVA del Colegio Carmel de noviembre/16 cheque # 58</t>
  </si>
  <si>
    <t>Pago correspondiente a la 1er quiincena del mes de noviembre/16</t>
  </si>
  <si>
    <t>Compensaciòn a patrullero que dio platica a vecinos que dejan desechos parq</t>
  </si>
  <si>
    <t>Visita a contador Siegris y mesa directiva</t>
  </si>
  <si>
    <t>Pago por configuraciòn de 15 tarjetas pocard</t>
  </si>
  <si>
    <t>Pago liq. Correspondiente a la 1rt quincena del mes de noviembre/16</t>
  </si>
  <si>
    <t>Compra de cable para conexiòn en caseta para red de computadora</t>
  </si>
  <si>
    <t xml:space="preserve">Pago por recolecciòn de parto podado </t>
  </si>
  <si>
    <t>Cuadrilla Delegaciòn Luminarìas</t>
  </si>
  <si>
    <t>Compensaciòn para terminar trabajo poste de luminaria en Eztanzuela y Hueso</t>
  </si>
  <si>
    <t xml:space="preserve">Compensaciòn en patrullaje por falta de luz </t>
  </si>
  <si>
    <t>Eduardo Chàvez</t>
  </si>
  <si>
    <t>Pago de trabajo elèctrico para colocar tierra fisica en el kiosko 100 mts y mater</t>
  </si>
  <si>
    <t xml:space="preserve">Asunciìon </t>
  </si>
  <si>
    <t>Compra de refrescos por llevar bicicletas arreglar</t>
  </si>
  <si>
    <t>Compra de brocha para pintar pared blanca de Romeral</t>
  </si>
  <si>
    <t>Pago por desarmar completamente y limpiar chapa de Recoveco</t>
  </si>
  <si>
    <t>Pago por captura de datos del 14 al 18 de noviembre/16</t>
  </si>
  <si>
    <t>Pago por poda de pasto en el parque del fracionamiento del 15 al 19 nov</t>
  </si>
  <si>
    <t>Pago por reparación de cadena en calle de Upacuaro a Jorge Ramírez</t>
  </si>
  <si>
    <t>Compra de detalle para evento que se realizao en la delegación con MD</t>
  </si>
  <si>
    <t>Pago estacionamiento compra detalle evento delegación</t>
  </si>
  <si>
    <t>Pago gasolina para Grisela Peralta, compras varias</t>
  </si>
  <si>
    <t>Coperación apoyo desayuno delegación con Mesa Directiva</t>
  </si>
  <si>
    <t>Desayono Delegación y Mesa Directiva</t>
  </si>
  <si>
    <t>Compra de peza para bicicleta del fraccionamiento</t>
  </si>
  <si>
    <t>Compra de toner Brother para mesa directiva</t>
  </si>
  <si>
    <t>Compra de refrescos personal Delegación reparación de lamparas</t>
  </si>
  <si>
    <t>Pago por recolección de pasto</t>
  </si>
  <si>
    <t>Copra de 11 garranes de agua</t>
  </si>
  <si>
    <t>Reparación bicicleta de presidencia</t>
  </si>
  <si>
    <t>Pago de comida para personal  que instalarón poste de cigarro parque</t>
  </si>
  <si>
    <t>Compra de café para mesa directiva, tesorero y oficial Franco</t>
  </si>
  <si>
    <t>Compra de yoghut jardinero del fraccionamiento</t>
  </si>
  <si>
    <t>Compra de 3 mesas para manualidades, actividades que se realizarn en kiosco</t>
  </si>
  <si>
    <t>Compensación en apoyo visita a vecinos por quejas de ruidos nocturnos</t>
  </si>
  <si>
    <t>Distribuidora El Bollo Cafetales, S.A. de C.V.</t>
  </si>
  <si>
    <t xml:space="preserve"> Compra de pan para reunión de mesa directiva</t>
  </si>
  <si>
    <t>Copra de 1 asiento para bicicleta del fraccionamiento</t>
  </si>
  <si>
    <t>Compra de pan para vigilancia en apoyo en varios trabajos y escoltar al banco</t>
  </si>
  <si>
    <t>Compra de café para casetas</t>
  </si>
  <si>
    <t>Compra de celular para vigilancia, tener comunicación rapida</t>
  </si>
  <si>
    <t xml:space="preserve">Compra de pan para vigilancia   </t>
  </si>
  <si>
    <t>Compra de pan para vigilancia</t>
  </si>
  <si>
    <t>Compra de vela magica para pastel del Sr. Juan Jose Mesa Directiva</t>
  </si>
  <si>
    <t>Compra de pastel para Sr. Juan Jose Mesa Directiva</t>
  </si>
  <si>
    <t>Casa del Arbol</t>
  </si>
  <si>
    <t>Apoyo con abasto a csa del árbol en nombre del fraccionamiento</t>
  </si>
  <si>
    <t>Compra de asiento para bicicleta del fraccionamiento</t>
  </si>
  <si>
    <t>Compra de refrescos para junta mesa directiva</t>
  </si>
  <si>
    <t>Pago A/C correspondiente a la 2da.  quiincena del mes de noviembre/16</t>
  </si>
  <si>
    <t>Pago por captura de datos del 21 al 25 de noviembre/16</t>
  </si>
  <si>
    <t>Pago por concepto de mano de obra en 1 respaldo de video UP_114</t>
  </si>
  <si>
    <t>Pago 1030 copias informe al fraccionamiento</t>
  </si>
  <si>
    <t>Pago por poda de pasto parque fracc. Del 22 al 26 de noviembre/16</t>
  </si>
  <si>
    <t>Cartero</t>
  </si>
  <si>
    <t>Compensaciòn  dìa del cartero por su buen desempeño</t>
  </si>
  <si>
    <t>Jovenes del fraccionamiento</t>
  </si>
  <si>
    <t>Compensaciòn por entrega de circular medidas de seguridad</t>
  </si>
  <si>
    <t>Compensaciòn por asistir a ver fiesta noche parque haciendo mucho ruido</t>
  </si>
  <si>
    <t>Compra de café y refrescos mesa de cobranza y vigilancia domingo 27-11-16</t>
  </si>
  <si>
    <t>Pago por recolecciòn de pasto en parque</t>
  </si>
  <si>
    <t>Compensaciòn por rondines que haràn en diciembre domingo cobranza</t>
  </si>
  <si>
    <t>Pago en apoyo cobranza domingo 27 de noviembre/16</t>
  </si>
  <si>
    <t>Pestamo</t>
  </si>
  <si>
    <t>Compensaciòn en apoyo por trabajos en colonia</t>
  </si>
  <si>
    <t>Pago  para colocar 4 camaras en 2da calle Landero</t>
  </si>
  <si>
    <t>Ricardo Jardinero</t>
  </si>
  <si>
    <t>Pago por llevarse ramas y escombros de EP y EZ</t>
  </si>
  <si>
    <t>Compra de productos de limpieza para casetas</t>
  </si>
  <si>
    <t>ES 2895 Servicio Coapa</t>
  </si>
  <si>
    <t>Gasolina para Grisela Peralta compras varias</t>
  </si>
  <si>
    <t xml:space="preserve">Prestamo </t>
  </si>
  <si>
    <t>Tlapalerìa Jaimes</t>
  </si>
  <si>
    <t>Compra de emparedado para persona de luminarias del parque</t>
  </si>
  <si>
    <t>Pago LIQ  correspondiente a la 2da.  quiincena del mes de noviembre/16</t>
  </si>
  <si>
    <t>Pago por concepto de barrer todo el fracc de lunes a viernes 2da quincena</t>
  </si>
  <si>
    <t>Pago por recolecciòn de basura entre semana 2da. Quincena noviembre</t>
  </si>
  <si>
    <t>Compra de cinta canela para pegar adornos en fraccionamiento</t>
  </si>
  <si>
    <t>Pago de retención de IVA del Colegio Carmel mes de noviembre/16</t>
  </si>
  <si>
    <t>CHEQUE # 642</t>
  </si>
  <si>
    <t>FAM. GARCIA GON</t>
  </si>
  <si>
    <t>T.E. # 10506189</t>
  </si>
  <si>
    <t>CHEQUE # 3059 HSBC</t>
  </si>
  <si>
    <t>T.E. #1056192</t>
  </si>
  <si>
    <t>T.E. #10506195</t>
  </si>
  <si>
    <t>Ch. # 7852</t>
  </si>
  <si>
    <t>SE LE CONDONO DICIEMBRE POR PAGO DE ANUALIDAD</t>
  </si>
  <si>
    <t>T.E. #1056190</t>
  </si>
  <si>
    <t>CL_103_</t>
  </si>
  <si>
    <t>ch. 851 banamex</t>
  </si>
  <si>
    <t>T.E. #10508101</t>
  </si>
  <si>
    <t>T.E. 6191</t>
  </si>
  <si>
    <t>Cuota de vigilancia y mantenimiento octubre/16</t>
  </si>
  <si>
    <t>Cuota de vigilancia y mantenimiento mes de octubre/16</t>
  </si>
  <si>
    <t>SAT Servicio de Administración Tributaría, pago retención Carmel oct/16</t>
  </si>
  <si>
    <t>Siegrist Contadores Publicos, pago de honorarios del es de octubre/16</t>
  </si>
  <si>
    <t>Banorte I.V.A por comisiòn de cheq. Exped.</t>
  </si>
  <si>
    <t>Guardias y Custodias Privadas Gama, S.A. de C.V. liq. 2da. Quincena oct</t>
  </si>
  <si>
    <t>Cuota de vigilancia y mantenimiento noviembre/16</t>
  </si>
  <si>
    <t>Israel Galan Quintin, compra de 30 llaves para puertas peatonales</t>
  </si>
  <si>
    <t>Siegrist Contadores Publicos, pago de honorarios del es de noviembre/16</t>
  </si>
  <si>
    <t>SAT Servicio de Administración Tributaría, pago retención Carmel nov/16</t>
  </si>
  <si>
    <t>Cuota de vigilancia y mantenimiento mes de noviembre/16</t>
  </si>
  <si>
    <t>Guardìas y Custodìas Privadas Gama, S.A. de C.V. a/c 2da. Quincena</t>
  </si>
  <si>
    <t>Guardìas y Custodìas Privadas Gama, S.A. de C.V. liq. 2da. Quincena</t>
  </si>
  <si>
    <t>Banorte Com. Cheq. Exp.</t>
  </si>
  <si>
    <t>Montecillo</t>
  </si>
  <si>
    <t>Quiñones, Eduardo</t>
  </si>
  <si>
    <t>Rosetti</t>
  </si>
  <si>
    <t>Rancho La Cuchilla No. 103</t>
  </si>
  <si>
    <t>Hernàndez Martìnez</t>
  </si>
  <si>
    <t>T.E. # 6193</t>
  </si>
  <si>
    <t>T.E.# 6194/8102/6100</t>
  </si>
  <si>
    <t>T.E.# 8138</t>
  </si>
  <si>
    <t>Pago de 3 comidas para personal delegación luminarias parque</t>
  </si>
  <si>
    <t>Compra de camara y rin para biclicleta fraccionamiento</t>
  </si>
  <si>
    <t>Distribuidora Liverpool, S.A. de C.V.</t>
  </si>
  <si>
    <t>Desayuno para acuerdo con personal delegación</t>
  </si>
  <si>
    <t>Pago por follaje de Estanzuela y Recoveco recorte y recolección</t>
  </si>
  <si>
    <t>Pago por captura de datos del 28 de nov al 02 de dic/16</t>
  </si>
  <si>
    <t>Compra de perforadora y libreta para presidencia</t>
  </si>
  <si>
    <t xml:space="preserve"> Compra de refrescos para vigilancia</t>
  </si>
  <si>
    <t>Pago en apouo en sacar abejas de luminarías cigarros</t>
  </si>
  <si>
    <t>Compra de lonas para información al fraccionamientos ch # 61</t>
  </si>
  <si>
    <t>Pago por poda de pasto en el Parque del 29 nov al 03 de dic/16</t>
  </si>
  <si>
    <t>Pago por recolección de pasto martes, jueves y sabado</t>
  </si>
  <si>
    <t>Pago por recolección de basura de fin de semana de todo el fraccionamiento</t>
  </si>
  <si>
    <t>31/09/2016</t>
  </si>
  <si>
    <t>Pago de 460 copias información para todo el fraccionamiento</t>
  </si>
  <si>
    <t>Compra de piñatas para evento en el kiosco del fraccionamiento</t>
  </si>
  <si>
    <t>Compra de desayuno para personal de viginalancia en apoyo adornar kiosco</t>
  </si>
  <si>
    <t>Pago en apoyo cobranza 04 de diciembre/16</t>
  </si>
  <si>
    <t>Pago de 150 copias presidencia</t>
  </si>
  <si>
    <t>Diego Linares</t>
  </si>
  <si>
    <t>Compra de tacos de canasta para personal de vigilancia apoyo evento kiosco</t>
  </si>
  <si>
    <t>Sandra Hernández</t>
  </si>
  <si>
    <t>Compra de 6 arreglos navideños para personal de externo en Delegación</t>
  </si>
  <si>
    <t>Pago por entregar y doblar informe para cada casa del fraccionamiento</t>
  </si>
  <si>
    <t>Florería Lupita</t>
  </si>
  <si>
    <t>Compra de 3 arreglos de flores para parque evento Virge de Guadalupe</t>
  </si>
  <si>
    <t>Pago por limpieza y recolección de cascajo que dejo delegación compostura lumina</t>
  </si>
  <si>
    <t>Pago en apoyo evento Virgen de Guadalupe tarde noche</t>
  </si>
  <si>
    <t>Pago de honorarios profesionales de diciembre y anualidad Ch. # 63</t>
  </si>
  <si>
    <t>Pago de retención de IVA del Colegio Carmel de diciembre/16 cheque # 62</t>
  </si>
  <si>
    <t>Compra de botanas para junta de mesa directiva y vigilancia</t>
  </si>
  <si>
    <t>Pastelería Bodon, S.A. de C.V.</t>
  </si>
  <si>
    <t>Compra de dulce para aguinaldos posada parque del fraccionamientos</t>
  </si>
  <si>
    <t>Pago gasolina para presidencia, compras varias</t>
  </si>
  <si>
    <t>a/c de compra de bocina para el fraccionamiento haciendas de coyoacan</t>
  </si>
  <si>
    <t>Pago por alimentos para personal de vigilancia, desayuno fin de años</t>
  </si>
  <si>
    <t>Jardinería Alvarez</t>
  </si>
  <si>
    <t>Compra de paca de musgo para adorno del kiosco posada</t>
  </si>
  <si>
    <t>Compra de nacimiento y portal adorno para kiosco posada</t>
  </si>
  <si>
    <t>Compra de papel craf y cinta canela</t>
  </si>
  <si>
    <t>Compra de gelatina para dar pesame a miembro de mesa directiva</t>
  </si>
  <si>
    <t>Compra de pilas recargables para bocina</t>
  </si>
  <si>
    <t>Compra de frutas y piñatas para evento en kiosco</t>
  </si>
  <si>
    <t>Compra de fruta para ponche evento en kiosco posada</t>
  </si>
  <si>
    <t>Compra de pintura en aerosol para postal en kosco del fraccionamiento</t>
  </si>
  <si>
    <t>Liq. De compra de bafle amplificador de 15" marca bitek para fraccionamiento</t>
  </si>
  <si>
    <t>Compra de varios adornos para evento en kiosco posada</t>
  </si>
  <si>
    <t>Compra de lima para piñatas para evento kiosco posada</t>
  </si>
  <si>
    <t>Pago de honorarios por captura de datos del 05 al 10 de diciembre/16</t>
  </si>
  <si>
    <t>Compra de tacos para personal de vigilancia en apoyo posada fraccionamiento</t>
  </si>
  <si>
    <t>Papelería La Pape</t>
  </si>
  <si>
    <t>Compra de serie, estrella de luz, corona y velas para posada fraccionamiento</t>
  </si>
  <si>
    <t>Hector Vazquez</t>
  </si>
  <si>
    <t>Pago por realización en USB villansicos posada kiosco</t>
  </si>
  <si>
    <t xml:space="preserve">Compra de refrescos y empanadas personal de mesa directiva </t>
  </si>
  <si>
    <t xml:space="preserve">Gratificación anual </t>
  </si>
  <si>
    <t>Gratificación anueal a personal que trabaja en fraccionamiento</t>
  </si>
  <si>
    <t>Pago por poda de pasto en parque del 6 al 10 de diciembre/16</t>
  </si>
  <si>
    <t>Pago por levantar cascajo en kosco</t>
  </si>
  <si>
    <t>Roberto Gamma</t>
  </si>
  <si>
    <t>Pago por barrer explanada y apoyo en evento posada en todo momento</t>
  </si>
  <si>
    <t>Pago por preparación de ponche posada fraccionamiento</t>
  </si>
  <si>
    <t>Pago en apoyo de ponche, piñatas y en todo el evento de posada fraccionamiento</t>
  </si>
  <si>
    <t>Compra de materiales para poda del parque del fraccionamiento</t>
  </si>
  <si>
    <t>Compra de café y refrescos para mesa de cobranza y vigilancia domingo 11</t>
  </si>
  <si>
    <t>Pago gasolina mesa directiva Grisela Peralta</t>
  </si>
  <si>
    <t>Pago en apoyo de cobranza domingo 11 de diciembre/16</t>
  </si>
  <si>
    <t>Compra de bolillo para tortas personal de Gamma</t>
  </si>
  <si>
    <t>Compensación en patrullaje en fraccionameinto</t>
  </si>
  <si>
    <t>Compra de papel premium tamaño carta para presidencia</t>
  </si>
  <si>
    <t>Pago del mes de noviembre/16</t>
  </si>
  <si>
    <t>Pago gratificación del 2016</t>
  </si>
  <si>
    <t>Pago por barrer Romeral y recolección de pasto podado del parque</t>
  </si>
  <si>
    <t>Pago por pintar lona para nacimiento kiosco</t>
  </si>
  <si>
    <t>Roman</t>
  </si>
  <si>
    <t>Pago de herrería en pluma de Romeral</t>
  </si>
  <si>
    <t>Pago por trabajo de herrería puerta Estopila</t>
  </si>
  <si>
    <t>T.E. # 10508141</t>
  </si>
  <si>
    <t>SE TOMARON POR ERRO</t>
  </si>
  <si>
    <t>Cheque # 645 santander</t>
  </si>
  <si>
    <t xml:space="preserve">Cheque # 940 banjercito </t>
  </si>
  <si>
    <t>Pago por recolecciòn de basura en todo el fracc de lunes a viernes 1er quincena</t>
  </si>
  <si>
    <t>Pago liq. Correspondiente a la 1et quincena del mes de dic/16 Ch. # 65</t>
  </si>
  <si>
    <t>Pago a/c Correspondiente a la 1er quincena del mes de diciembre/16</t>
  </si>
  <si>
    <t>Compra de 10 garrafones de agua y 2 garrafones extras completos</t>
  </si>
  <si>
    <t>Pago de honorarios por captura de datos del 12 al 16 de diciembre/16</t>
  </si>
  <si>
    <t>Compra de 1 jarra para cafetera de vigilancia Romeral</t>
  </si>
  <si>
    <t>Pago por trabajos de herrerìa en todas las rejas del fraccionamiento</t>
  </si>
  <si>
    <t>Papelerìa La Peque</t>
  </si>
  <si>
    <t>Compra de detalle para personal de MD y Vigilancia</t>
  </si>
  <si>
    <t>Jimenez Gama</t>
  </si>
  <si>
    <t xml:space="preserve">Compensaciòn en apoyo de recuperacion de mascota del EZ </t>
  </si>
  <si>
    <t>Pago por poda de pasto en parque del 13 al 17 de diciembre/16</t>
  </si>
  <si>
    <t>Pago por acarreo de acarreo de ladrillo y desechos de terreno de EP</t>
  </si>
  <si>
    <t>Vecino del fraccionamiento</t>
  </si>
  <si>
    <t>Cooperaciòn para cortar cesped y que se lleven bolsas del mismo salida de escue</t>
  </si>
  <si>
    <t>Pago en apoyo de quitar posters en todo el fracc., y tambièn por fuera</t>
  </si>
  <si>
    <t>Pago por recolecciòn de basura en fraccionamiento fines de semana</t>
  </si>
  <si>
    <t>Pago por recolecciòn de pasto podado toda la semana</t>
  </si>
  <si>
    <t>Compra de café y agua para mesa de cobranza y vigilancia</t>
  </si>
  <si>
    <t>Asunciòn Gama</t>
  </si>
  <si>
    <t>Pago en apoyo de insidente con camiòn de gas y en supervisar rejas en gral.</t>
  </si>
  <si>
    <t>Pago en apoyo de cobranza domingo 18 de diciembre/16</t>
  </si>
  <si>
    <t>Gratificaciòn anual por su buen desempeño en el fraccionamiento</t>
  </si>
  <si>
    <t xml:space="preserve">Fuentes </t>
  </si>
  <si>
    <t>T.E. # 08137</t>
  </si>
  <si>
    <t>TRANSF BANCARIA</t>
  </si>
  <si>
    <t>Pago de gasolina para presedencia, Grisela Peralta</t>
  </si>
  <si>
    <t>Italcafe, S.A. de C.V.</t>
  </si>
  <si>
    <t>Desayuno para mesa directiva</t>
  </si>
  <si>
    <t>Compra de papalerìa</t>
  </si>
  <si>
    <t>Compra de papelerìa para presidencia</t>
  </si>
  <si>
    <t>Pago por soldar dos tapas de luz en Upacuaro y Landero</t>
  </si>
  <si>
    <t>Panerìas La Esperanza, S.A. de C.V.</t>
  </si>
  <si>
    <t>Compra de bocadillos para personal de vigilancia en su buen desempeño y ayuda p</t>
  </si>
  <si>
    <t>Giovanna Mayen Castellanos</t>
  </si>
  <si>
    <t>Compra de bolsas de regalos para varios presentes mesa de cobranza</t>
  </si>
  <si>
    <t>Sanborns Hermanos, S.A.</t>
  </si>
  <si>
    <t>Compra de varios detalles para mesa de cobranza</t>
  </si>
  <si>
    <t>Compra de detalles para Comité Vecinal a la mesa directiva</t>
  </si>
  <si>
    <t>Pago por podar pasto de caseta Romeral</t>
  </si>
  <si>
    <t>Luis Manuel Jimenez</t>
  </si>
  <si>
    <t>Pago en apoyo de vigilar junto con vecenos caso especial</t>
  </si>
  <si>
    <t>Pago por captura de datos del 19 al 23 de diciembre/16</t>
  </si>
  <si>
    <t>Pago  por colocar chapa desprendida por tornillos en Estanzuela</t>
  </si>
  <si>
    <t>Pago por comprar detalles para personas de la mesa directiva</t>
  </si>
  <si>
    <t>Compra de botanas para casetas de vigilancia</t>
  </si>
  <si>
    <t>Sistemas de Còmputo</t>
  </si>
  <si>
    <t>Pago de USB con base de datos para personal de aseo de casas del fraccionami</t>
  </si>
  <si>
    <t>Pago por poda de pasto en el parque del 20 al 24 de diciembre/16</t>
  </si>
  <si>
    <t>Pago en apoyo de patrullaje en noche de navidad</t>
  </si>
  <si>
    <t>Chef Nacaumendi</t>
  </si>
  <si>
    <t>Pago por cena del 24 para personal de vigilancia</t>
  </si>
  <si>
    <t>Pago de 6 micas para creedenciales de personal domestico del fraccionamien</t>
  </si>
  <si>
    <t>Pago por recoleccilòn de pasto y basura del fin de semana</t>
  </si>
  <si>
    <t>Compensaciòn en pratrullaje a mesa de cobranza domingo</t>
  </si>
  <si>
    <t xml:space="preserve">Compra de detalle para patrulla </t>
  </si>
  <si>
    <t>Compra de café y refrescos para mesa de cobranza y vigilancia</t>
  </si>
  <si>
    <t>Compra de 30 tarjetas porcad ingresar y reconfigurar chq. #66</t>
  </si>
  <si>
    <t>Pago de video para Upacuaro caso unico de incidente raro</t>
  </si>
  <si>
    <t>Pago de poda de pasto del 27 al 31 de diciembre/16</t>
  </si>
  <si>
    <t>Camión de Basura</t>
  </si>
  <si>
    <t>Pago en apoyo personal delegación llevarse desechos de todo el parque</t>
  </si>
  <si>
    <t>Compra de extención para caseta para conectar aparato electronico</t>
  </si>
  <si>
    <t>Pago por barrer todo el fraccionamiento de lunes a viernes la 2da. Quincena</t>
  </si>
  <si>
    <t>Pago Correspondiente a la 2da. quincena del mes de diciembre/16</t>
  </si>
  <si>
    <t>Pago de la 2da. Quincena del mes de diciembre/16</t>
  </si>
  <si>
    <t>Pago por recolección de basura todada la semana de lunes a viernes</t>
  </si>
  <si>
    <t xml:space="preserve">Compensaciòn para personas del camiòn de basura </t>
  </si>
  <si>
    <t>Tienas Chedraui, S.A. de C.V.</t>
  </si>
  <si>
    <t>Frituras El Paricutin,</t>
  </si>
  <si>
    <t>Compra de pollos para cena de vigilancia fin de año</t>
  </si>
  <si>
    <t>Compra de refrescos para personal delegaciòn que pinto camino del parque</t>
  </si>
  <si>
    <t>Compra de refrescos para cena de fin de año de vigilancia</t>
  </si>
  <si>
    <t>Compra de pan para cena de vigilancia</t>
  </si>
  <si>
    <t xml:space="preserve">Apoyo a vigilante por enfermedad de su hija </t>
  </si>
  <si>
    <t>Pago por captura de datos del 26 al 30 de diciembre/16</t>
  </si>
  <si>
    <t>Pago por cena para vigilancia el 31 de diciembre/16</t>
  </si>
  <si>
    <t>Compensaciòn en rondines en noche de 31 de diciembre/16</t>
  </si>
  <si>
    <t>Compensaciòn en rondines el 1 ero de enero apoyo en cobranza</t>
  </si>
  <si>
    <t>SE LE CONDONO DICIEMBRE PPOR PAGO DE ANUALIDAD</t>
  </si>
  <si>
    <t>CHEQUE #625379</t>
  </si>
  <si>
    <t>BANCOMER</t>
  </si>
  <si>
    <t>Fam. Gonzalez EZ_15_A</t>
  </si>
  <si>
    <t>Fam. Vega Sanchez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</si>
</sst>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4" formatCode="_-&quot;$&quot;* #,##0.00_-;\-&quot;$&quot;* #,##0.00_-;_-&quot;$&quot;* &quot;-&quot;??_-;_-@_-"/>
    <numFmt numFmtId="164" formatCode="#,##0.00;[Red]#,##0.00"/>
    <numFmt numFmtId="165" formatCode=";;;"/>
    <numFmt numFmtId="166" formatCode="#,##0.00;[Red]\(#,##0.00\)"/>
    <numFmt numFmtId="167" formatCode="#,##0.0;[Red]\(#,##0.0\)"/>
    <numFmt numFmtId="168" formatCode="0#########"/>
    <numFmt numFmtId="169" formatCode="dd/mmm/yy"/>
    <numFmt numFmtId="170" formatCode="#,###.00;[Red]\(#,###.00\)"/>
    <numFmt numFmtId="171" formatCode="dd/mmm/yyyy"/>
  </numFmts>
  <fonts count="31" x14ac:knownFonts="1">
    <font>
      <sz val="10"/>
      <color theme="1"/>
      <name val="Tahoma"/>
      <family val="2"/>
    </font>
    <font>
      <sz val="10"/>
      <color theme="1"/>
      <name val="Tahoma"/>
      <family val="2"/>
    </font>
    <font>
      <b/>
      <sz val="10"/>
      <color theme="0"/>
      <name val="Tahoma"/>
      <family val="2"/>
    </font>
    <font>
      <b/>
      <sz val="10"/>
      <color theme="1"/>
      <name val="Tahoma"/>
      <family val="2"/>
    </font>
    <font>
      <sz val="10"/>
      <color theme="0"/>
      <name val="Tahoma"/>
      <family val="2"/>
    </font>
    <font>
      <b/>
      <sz val="8"/>
      <color theme="1"/>
      <name val="Tahoma"/>
      <family val="2"/>
    </font>
    <font>
      <b/>
      <sz val="9"/>
      <color theme="1"/>
      <name val="Tahoma"/>
      <family val="2"/>
    </font>
    <font>
      <sz val="8"/>
      <color theme="1"/>
      <name val="Tahoma"/>
      <family val="2"/>
    </font>
    <font>
      <b/>
      <sz val="8"/>
      <color theme="0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name val="Tahoma"/>
      <family val="2"/>
    </font>
    <font>
      <b/>
      <sz val="10"/>
      <name val="Tahoma"/>
      <family val="2"/>
    </font>
    <font>
      <b/>
      <sz val="12"/>
      <color theme="0"/>
      <name val="Tahom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1"/>
      <color theme="1"/>
      <name val="Tahoma"/>
      <family val="2"/>
    </font>
    <font>
      <i/>
      <sz val="9"/>
      <color indexed="81"/>
      <name val="Tahoma"/>
      <family val="2"/>
    </font>
    <font>
      <i/>
      <sz val="14"/>
      <color theme="0"/>
      <name val="Tahoma"/>
      <family val="2"/>
    </font>
    <font>
      <sz val="9"/>
      <color theme="1"/>
      <name val="Tahoma"/>
      <family val="2"/>
    </font>
    <font>
      <vertAlign val="superscript"/>
      <sz val="10"/>
      <color theme="1"/>
      <name val="Tahoma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i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color theme="0"/>
      <name val="Tahoma"/>
      <family val="2"/>
    </font>
    <font>
      <sz val="10"/>
      <color theme="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indexed="64"/>
      </left>
      <right/>
      <top style="double">
        <color auto="1"/>
      </top>
      <bottom style="thin">
        <color indexed="64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indexed="64"/>
      </right>
      <top style="double">
        <color auto="1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/>
      <top style="hair">
        <color auto="1"/>
      </top>
      <bottom style="double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6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/>
    </xf>
    <xf numFmtId="0" fontId="7" fillId="0" borderId="2" xfId="0" applyFont="1" applyFill="1" applyBorder="1"/>
    <xf numFmtId="0" fontId="7" fillId="0" borderId="2" xfId="0" applyFont="1" applyFill="1" applyBorder="1" applyAlignment="1" applyProtection="1">
      <alignment horizontal="center" vertical="center"/>
      <protection locked="0"/>
    </xf>
    <xf numFmtId="0" fontId="7" fillId="0" borderId="2" xfId="0" applyFont="1" applyFill="1" applyBorder="1" applyProtection="1">
      <protection locked="0"/>
    </xf>
    <xf numFmtId="0" fontId="7" fillId="0" borderId="2" xfId="0" applyFont="1" applyFill="1" applyBorder="1" applyAlignment="1" applyProtection="1">
      <alignment horizontal="left" indent="1"/>
      <protection hidden="1"/>
    </xf>
    <xf numFmtId="4" fontId="7" fillId="0" borderId="2" xfId="0" applyNumberFormat="1" applyFont="1" applyFill="1" applyBorder="1" applyProtection="1">
      <protection locked="0"/>
    </xf>
    <xf numFmtId="15" fontId="7" fillId="0" borderId="2" xfId="0" applyNumberFormat="1" applyFont="1" applyFill="1" applyBorder="1" applyAlignment="1" applyProtection="1">
      <alignment horizontal="center" vertical="center"/>
      <protection locked="0"/>
    </xf>
    <xf numFmtId="1" fontId="7" fillId="0" borderId="2" xfId="0" applyNumberFormat="1" applyFont="1" applyFill="1" applyBorder="1" applyAlignment="1">
      <alignment horizontal="center" vertical="center"/>
    </xf>
    <xf numFmtId="164" fontId="7" fillId="0" borderId="2" xfId="0" applyNumberFormat="1" applyFont="1" applyFill="1" applyBorder="1" applyAlignment="1">
      <alignment horizontal="right" vertical="center"/>
    </xf>
    <xf numFmtId="164" fontId="7" fillId="3" borderId="2" xfId="0" applyNumberFormat="1" applyFont="1" applyFill="1" applyBorder="1" applyAlignment="1">
      <alignment horizontal="right" vertical="center"/>
    </xf>
    <xf numFmtId="0" fontId="7" fillId="0" borderId="2" xfId="0" applyFont="1" applyFill="1" applyBorder="1" applyAlignment="1">
      <alignment horizontal="left"/>
    </xf>
    <xf numFmtId="0" fontId="8" fillId="4" borderId="2" xfId="0" applyFont="1" applyFill="1" applyBorder="1" applyAlignment="1" applyProtection="1">
      <alignment horizontal="center" vertical="center"/>
      <protection locked="0"/>
    </xf>
    <xf numFmtId="4" fontId="8" fillId="4" borderId="2" xfId="0" applyNumberFormat="1" applyFont="1" applyFill="1" applyBorder="1" applyAlignment="1" applyProtection="1">
      <alignment horizontal="right" vertical="center"/>
      <protection hidden="1"/>
    </xf>
    <xf numFmtId="0" fontId="8" fillId="4" borderId="4" xfId="0" applyFont="1" applyFill="1" applyBorder="1" applyAlignment="1" applyProtection="1">
      <alignment horizontal="center" vertical="center"/>
      <protection locked="0"/>
    </xf>
    <xf numFmtId="4" fontId="2" fillId="4" borderId="0" xfId="0" applyNumberFormat="1" applyFont="1" applyFill="1"/>
    <xf numFmtId="4" fontId="8" fillId="4" borderId="4" xfId="0" applyNumberFormat="1" applyFont="1" applyFill="1" applyBorder="1" applyProtection="1">
      <protection locked="0"/>
    </xf>
    <xf numFmtId="15" fontId="7" fillId="4" borderId="4" xfId="0" applyNumberFormat="1" applyFont="1" applyFill="1" applyBorder="1" applyAlignment="1" applyProtection="1">
      <alignment horizontal="center" vertical="center"/>
      <protection locked="0"/>
    </xf>
    <xf numFmtId="1" fontId="7" fillId="4" borderId="4" xfId="0" applyNumberFormat="1" applyFont="1" applyFill="1" applyBorder="1" applyAlignment="1">
      <alignment horizontal="center" vertical="center"/>
    </xf>
    <xf numFmtId="164" fontId="7" fillId="4" borderId="4" xfId="0" applyNumberFormat="1" applyFont="1" applyFill="1" applyBorder="1" applyAlignment="1">
      <alignment horizontal="right" vertical="center"/>
    </xf>
    <xf numFmtId="0" fontId="7" fillId="0" borderId="4" xfId="0" applyFont="1" applyFill="1" applyBorder="1" applyAlignment="1">
      <alignment horizontal="left"/>
    </xf>
    <xf numFmtId="15" fontId="7" fillId="0" borderId="4" xfId="0" applyNumberFormat="1" applyFont="1" applyFill="1" applyBorder="1" applyAlignment="1" applyProtection="1">
      <alignment horizontal="center" vertical="center"/>
      <protection locked="0"/>
    </xf>
    <xf numFmtId="1" fontId="7" fillId="0" borderId="4" xfId="0" applyNumberFormat="1" applyFont="1" applyFill="1" applyBorder="1" applyAlignment="1">
      <alignment horizontal="center" vertical="center"/>
    </xf>
    <xf numFmtId="164" fontId="7" fillId="0" borderId="4" xfId="0" applyNumberFormat="1" applyFont="1" applyFill="1" applyBorder="1" applyAlignment="1">
      <alignment horizontal="right" vertical="center"/>
    </xf>
    <xf numFmtId="164" fontId="7" fillId="3" borderId="4" xfId="0" applyNumberFormat="1" applyFont="1" applyFill="1" applyBorder="1" applyAlignment="1">
      <alignment horizontal="right" vertical="center"/>
    </xf>
    <xf numFmtId="0" fontId="7" fillId="0" borderId="4" xfId="0" applyFont="1" applyFill="1" applyBorder="1"/>
    <xf numFmtId="0" fontId="7" fillId="0" borderId="4" xfId="0" applyFont="1" applyFill="1" applyBorder="1" applyAlignment="1" applyProtection="1">
      <alignment horizontal="center" vertical="center"/>
      <protection locked="0"/>
    </xf>
    <xf numFmtId="0" fontId="7" fillId="0" borderId="4" xfId="0" applyFont="1" applyFill="1" applyBorder="1" applyProtection="1">
      <protection locked="0"/>
    </xf>
    <xf numFmtId="0" fontId="7" fillId="0" borderId="4" xfId="0" applyFont="1" applyFill="1" applyBorder="1" applyAlignment="1" applyProtection="1">
      <alignment horizontal="left" indent="1"/>
      <protection hidden="1"/>
    </xf>
    <xf numFmtId="4" fontId="7" fillId="0" borderId="4" xfId="0" applyNumberFormat="1" applyFont="1" applyFill="1" applyBorder="1" applyProtection="1">
      <protection locked="0"/>
    </xf>
    <xf numFmtId="4" fontId="7" fillId="0" borderId="2" xfId="0" applyNumberFormat="1" applyFont="1" applyFill="1" applyBorder="1" applyAlignment="1">
      <alignment horizontal="center" vertical="center"/>
    </xf>
    <xf numFmtId="166" fontId="7" fillId="0" borderId="2" xfId="0" applyNumberFormat="1" applyFont="1" applyFill="1" applyBorder="1" applyAlignment="1">
      <alignment horizontal="right" vertical="center"/>
    </xf>
    <xf numFmtId="166" fontId="7" fillId="0" borderId="0" xfId="0" applyNumberFormat="1" applyFont="1"/>
    <xf numFmtId="0" fontId="7" fillId="0" borderId="0" xfId="0" applyFont="1" applyAlignment="1">
      <alignment horizontal="right" indent="1"/>
    </xf>
    <xf numFmtId="0" fontId="4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 indent="1"/>
    </xf>
    <xf numFmtId="0" fontId="4" fillId="4" borderId="0" xfId="0" applyFont="1" applyFill="1" applyAlignment="1">
      <alignment horizontal="center" vertical="center" wrapText="1"/>
    </xf>
    <xf numFmtId="0" fontId="0" fillId="0" borderId="5" xfId="0" applyBorder="1"/>
    <xf numFmtId="166" fontId="7" fillId="0" borderId="5" xfId="0" applyNumberFormat="1" applyFont="1" applyBorder="1"/>
    <xf numFmtId="166" fontId="5" fillId="3" borderId="5" xfId="0" applyNumberFormat="1" applyFont="1" applyFill="1" applyBorder="1"/>
    <xf numFmtId="0" fontId="0" fillId="3" borderId="6" xfId="0" applyFill="1" applyBorder="1"/>
    <xf numFmtId="166" fontId="7" fillId="3" borderId="6" xfId="0" applyNumberFormat="1" applyFont="1" applyFill="1" applyBorder="1"/>
    <xf numFmtId="166" fontId="5" fillId="0" borderId="6" xfId="0" applyNumberFormat="1" applyFont="1" applyFill="1" applyBorder="1"/>
    <xf numFmtId="4" fontId="2" fillId="4" borderId="0" xfId="0" applyNumberFormat="1" applyFont="1" applyFill="1" applyBorder="1" applyAlignment="1">
      <alignment vertical="center"/>
    </xf>
    <xf numFmtId="0" fontId="11" fillId="0" borderId="0" xfId="0" applyFont="1" applyFill="1"/>
    <xf numFmtId="0" fontId="12" fillId="0" borderId="0" xfId="0" applyFont="1" applyFill="1"/>
    <xf numFmtId="166" fontId="5" fillId="0" borderId="0" xfId="0" applyNumberFormat="1" applyFont="1"/>
    <xf numFmtId="0" fontId="0" fillId="0" borderId="1" xfId="0" applyBorder="1" applyAlignment="1">
      <alignment horizontal="center" vertical="center"/>
    </xf>
    <xf numFmtId="0" fontId="7" fillId="0" borderId="5" xfId="0" applyFont="1" applyFill="1" applyBorder="1" applyAlignment="1">
      <alignment horizontal="right"/>
    </xf>
    <xf numFmtId="0" fontId="7" fillId="0" borderId="12" xfId="0" applyFont="1" applyFill="1" applyBorder="1" applyAlignment="1">
      <alignment horizontal="right"/>
    </xf>
    <xf numFmtId="0" fontId="7" fillId="0" borderId="6" xfId="0" applyFont="1" applyFill="1" applyBorder="1" applyAlignment="1">
      <alignment horizontal="right"/>
    </xf>
    <xf numFmtId="0" fontId="7" fillId="0" borderId="0" xfId="0" applyFont="1" applyFill="1" applyBorder="1" applyAlignment="1">
      <alignment horizontal="right"/>
    </xf>
    <xf numFmtId="166" fontId="7" fillId="3" borderId="0" xfId="0" applyNumberFormat="1" applyFont="1" applyFill="1"/>
    <xf numFmtId="166" fontId="7" fillId="0" borderId="0" xfId="0" applyNumberFormat="1" applyFont="1" applyAlignment="1">
      <alignment horizontal="center" vertical="center"/>
    </xf>
    <xf numFmtId="166" fontId="7" fillId="0" borderId="12" xfId="0" applyNumberFormat="1" applyFont="1" applyBorder="1"/>
    <xf numFmtId="166" fontId="7" fillId="0" borderId="6" xfId="0" applyNumberFormat="1" applyFont="1" applyBorder="1"/>
    <xf numFmtId="0" fontId="0" fillId="0" borderId="7" xfId="0" applyBorder="1" applyAlignment="1">
      <alignment horizontal="center" vertical="center"/>
    </xf>
    <xf numFmtId="0" fontId="4" fillId="4" borderId="0" xfId="0" applyFont="1" applyFill="1" applyAlignment="1" applyProtection="1">
      <alignment horizontal="center" vertical="center" wrapText="1"/>
      <protection locked="0"/>
    </xf>
    <xf numFmtId="165" fontId="4" fillId="4" borderId="0" xfId="0" applyNumberFormat="1" applyFont="1" applyFill="1"/>
    <xf numFmtId="167" fontId="0" fillId="0" borderId="0" xfId="0" applyNumberFormat="1"/>
    <xf numFmtId="0" fontId="7" fillId="0" borderId="0" xfId="0" applyFont="1"/>
    <xf numFmtId="0" fontId="13" fillId="7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2" xfId="0" applyBorder="1" applyProtection="1">
      <protection hidden="1"/>
    </xf>
    <xf numFmtId="0" fontId="0" fillId="0" borderId="2" xfId="0" applyBorder="1" applyAlignment="1" applyProtection="1">
      <alignment horizontal="left" indent="1"/>
      <protection hidden="1"/>
    </xf>
    <xf numFmtId="0" fontId="14" fillId="0" borderId="2" xfId="0" applyFont="1" applyBorder="1" applyAlignment="1">
      <alignment vertical="center"/>
    </xf>
    <xf numFmtId="0" fontId="7" fillId="0" borderId="17" xfId="0" applyFont="1" applyBorder="1"/>
    <xf numFmtId="0" fontId="7" fillId="0" borderId="18" xfId="0" applyFont="1" applyBorder="1"/>
    <xf numFmtId="0" fontId="14" fillId="6" borderId="2" xfId="0" applyFont="1" applyFill="1" applyBorder="1" applyAlignment="1">
      <alignment vertical="center"/>
    </xf>
    <xf numFmtId="0" fontId="0" fillId="9" borderId="2" xfId="0" applyFill="1" applyBorder="1" applyProtection="1">
      <protection hidden="1"/>
    </xf>
    <xf numFmtId="0" fontId="0" fillId="10" borderId="2" xfId="0" applyFill="1" applyBorder="1" applyProtection="1">
      <protection hidden="1"/>
    </xf>
    <xf numFmtId="0" fontId="14" fillId="11" borderId="2" xfId="0" applyFont="1" applyFill="1" applyBorder="1" applyAlignment="1">
      <alignment vertical="center"/>
    </xf>
    <xf numFmtId="0" fontId="15" fillId="5" borderId="2" xfId="0" applyFont="1" applyFill="1" applyBorder="1" applyAlignment="1">
      <alignment vertical="center"/>
    </xf>
    <xf numFmtId="0" fontId="0" fillId="12" borderId="2" xfId="0" applyFill="1" applyBorder="1" applyProtection="1">
      <protection hidden="1"/>
    </xf>
    <xf numFmtId="0" fontId="16" fillId="0" borderId="2" xfId="0" applyFont="1" applyBorder="1"/>
    <xf numFmtId="0" fontId="0" fillId="12" borderId="2" xfId="0" applyFill="1" applyBorder="1" applyAlignment="1" applyProtection="1">
      <alignment horizontal="left" indent="1"/>
      <protection hidden="1"/>
    </xf>
    <xf numFmtId="0" fontId="14" fillId="12" borderId="2" xfId="0" applyFont="1" applyFill="1" applyBorder="1" applyAlignment="1">
      <alignment vertical="center"/>
    </xf>
    <xf numFmtId="0" fontId="14" fillId="0" borderId="2" xfId="0" applyFont="1" applyBorder="1" applyAlignment="1">
      <alignment vertical="center" wrapText="1"/>
    </xf>
    <xf numFmtId="0" fontId="0" fillId="0" borderId="2" xfId="0" applyFill="1" applyBorder="1" applyProtection="1">
      <protection hidden="1"/>
    </xf>
    <xf numFmtId="0" fontId="0" fillId="0" borderId="13" xfId="0" applyBorder="1" applyProtection="1">
      <protection hidden="1"/>
    </xf>
    <xf numFmtId="0" fontId="0" fillId="0" borderId="13" xfId="0" applyBorder="1" applyAlignment="1" applyProtection="1">
      <alignment horizontal="left" indent="1"/>
      <protection hidden="1"/>
    </xf>
    <xf numFmtId="0" fontId="14" fillId="0" borderId="13" xfId="0" applyFont="1" applyBorder="1" applyAlignment="1">
      <alignment vertical="center"/>
    </xf>
    <xf numFmtId="0" fontId="7" fillId="0" borderId="19" xfId="0" applyFont="1" applyBorder="1"/>
    <xf numFmtId="0" fontId="0" fillId="0" borderId="11" xfId="0" applyNumberFormat="1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0" fontId="0" fillId="0" borderId="13" xfId="0" applyNumberFormat="1" applyBorder="1" applyAlignment="1">
      <alignment horizontal="center" vertical="center"/>
    </xf>
    <xf numFmtId="4" fontId="0" fillId="0" borderId="2" xfId="0" applyNumberFormat="1" applyFill="1" applyBorder="1"/>
    <xf numFmtId="0" fontId="0" fillId="0" borderId="1" xfId="0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44" fontId="0" fillId="0" borderId="1" xfId="1" applyFont="1" applyBorder="1" applyAlignment="1">
      <alignment horizontal="center" vertical="center"/>
    </xf>
    <xf numFmtId="44" fontId="0" fillId="0" borderId="1" xfId="1" applyFont="1" applyFill="1" applyBorder="1" applyAlignment="1">
      <alignment horizontal="center" vertical="center"/>
    </xf>
    <xf numFmtId="15" fontId="19" fillId="0" borderId="11" xfId="0" applyNumberFormat="1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0" fillId="0" borderId="11" xfId="0" applyFill="1" applyBorder="1" applyAlignment="1">
      <alignment horizontal="left" vertical="center" indent="1"/>
    </xf>
    <xf numFmtId="0" fontId="7" fillId="13" borderId="11" xfId="0" applyFont="1" applyFill="1" applyBorder="1" applyAlignment="1">
      <alignment horizontal="center" vertical="center"/>
    </xf>
    <xf numFmtId="4" fontId="0" fillId="0" borderId="11" xfId="1" applyNumberFormat="1" applyFont="1" applyFill="1" applyBorder="1" applyAlignment="1">
      <alignment horizontal="right" vertical="center"/>
    </xf>
    <xf numFmtId="0" fontId="0" fillId="0" borderId="0" xfId="0" applyFill="1"/>
    <xf numFmtId="169" fontId="0" fillId="0" borderId="2" xfId="0" applyNumberForma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left" vertical="center" indent="1"/>
    </xf>
    <xf numFmtId="0" fontId="7" fillId="13" borderId="2" xfId="0" applyFont="1" applyFill="1" applyBorder="1" applyAlignment="1">
      <alignment horizontal="center" vertical="center"/>
    </xf>
    <xf numFmtId="169" fontId="0" fillId="13" borderId="2" xfId="0" applyNumberForma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left" vertical="center" indent="1"/>
    </xf>
    <xf numFmtId="0" fontId="0" fillId="13" borderId="0" xfId="0" applyFill="1"/>
    <xf numFmtId="0" fontId="7" fillId="0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4" fontId="0" fillId="0" borderId="0" xfId="0" applyNumberFormat="1"/>
    <xf numFmtId="169" fontId="0" fillId="0" borderId="4" xfId="0" applyNumberForma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4" fontId="0" fillId="0" borderId="4" xfId="0" applyNumberFormat="1" applyFill="1" applyBorder="1"/>
    <xf numFmtId="4" fontId="0" fillId="8" borderId="2" xfId="0" applyNumberFormat="1" applyFill="1" applyBorder="1"/>
    <xf numFmtId="0" fontId="7" fillId="5" borderId="2" xfId="0" applyFont="1" applyFill="1" applyBorder="1" applyAlignment="1">
      <alignment horizontal="center" vertical="center"/>
    </xf>
    <xf numFmtId="0" fontId="0" fillId="13" borderId="0" xfId="0" applyFill="1" applyAlignment="1">
      <alignment horizontal="center" vertical="center"/>
    </xf>
    <xf numFmtId="4" fontId="0" fillId="14" borderId="2" xfId="0" applyNumberFormat="1" applyFill="1" applyBorder="1"/>
    <xf numFmtId="4" fontId="0" fillId="5" borderId="2" xfId="0" applyNumberFormat="1" applyFill="1" applyBorder="1"/>
    <xf numFmtId="169" fontId="0" fillId="0" borderId="20" xfId="0" applyNumberFormat="1" applyFill="1" applyBorder="1" applyAlignment="1">
      <alignment horizontal="center" vertical="center"/>
    </xf>
    <xf numFmtId="0" fontId="3" fillId="0" borderId="20" xfId="0" applyFont="1" applyFill="1" applyBorder="1" applyAlignment="1">
      <alignment horizontal="center" vertical="center"/>
    </xf>
    <xf numFmtId="0" fontId="0" fillId="0" borderId="20" xfId="0" applyFont="1" applyFill="1" applyBorder="1" applyAlignment="1">
      <alignment horizontal="left" vertical="center" indent="1"/>
    </xf>
    <xf numFmtId="0" fontId="0" fillId="0" borderId="20" xfId="0" applyFill="1" applyBorder="1" applyAlignment="1">
      <alignment horizontal="left" vertical="center" indent="1"/>
    </xf>
    <xf numFmtId="4" fontId="0" fillId="0" borderId="20" xfId="0" applyNumberFormat="1" applyFill="1" applyBorder="1"/>
    <xf numFmtId="4" fontId="3" fillId="3" borderId="20" xfId="0" applyNumberFormat="1" applyFont="1" applyFill="1" applyBorder="1"/>
    <xf numFmtId="169" fontId="0" fillId="0" borderId="16" xfId="0" applyNumberFormat="1" applyFill="1" applyBorder="1" applyAlignment="1">
      <alignment horizontal="center" vertical="center"/>
    </xf>
    <xf numFmtId="0" fontId="3" fillId="0" borderId="16" xfId="0" applyFont="1" applyFill="1" applyBorder="1" applyAlignment="1">
      <alignment horizontal="center" vertical="center"/>
    </xf>
    <xf numFmtId="0" fontId="0" fillId="0" borderId="16" xfId="0" applyFont="1" applyFill="1" applyBorder="1" applyAlignment="1">
      <alignment horizontal="left" vertical="center" indent="1"/>
    </xf>
    <xf numFmtId="0" fontId="0" fillId="0" borderId="16" xfId="0" applyFill="1" applyBorder="1" applyAlignment="1">
      <alignment horizontal="left" vertical="center" indent="1"/>
    </xf>
    <xf numFmtId="0" fontId="7" fillId="0" borderId="16" xfId="0" applyFont="1" applyFill="1" applyBorder="1" applyAlignment="1">
      <alignment horizontal="center" vertical="center"/>
    </xf>
    <xf numFmtId="4" fontId="0" fillId="0" borderId="16" xfId="0" applyNumberFormat="1" applyFill="1" applyBorder="1"/>
    <xf numFmtId="16" fontId="0" fillId="0" borderId="0" xfId="0" applyNumberFormat="1"/>
    <xf numFmtId="0" fontId="0" fillId="5" borderId="4" xfId="0" applyFont="1" applyFill="1" applyBorder="1" applyAlignment="1">
      <alignment horizontal="left" vertical="center" indent="1"/>
    </xf>
    <xf numFmtId="0" fontId="0" fillId="0" borderId="4" xfId="0" applyFill="1" applyBorder="1" applyAlignment="1">
      <alignment horizontal="left" vertical="center" indent="1"/>
    </xf>
    <xf numFmtId="0" fontId="7" fillId="0" borderId="4" xfId="0" applyFont="1" applyFill="1" applyBorder="1" applyAlignment="1">
      <alignment horizontal="center" vertical="center"/>
    </xf>
    <xf numFmtId="4" fontId="0" fillId="5" borderId="4" xfId="0" applyNumberFormat="1" applyFill="1" applyBorder="1"/>
    <xf numFmtId="0" fontId="0" fillId="5" borderId="2" xfId="0" applyFont="1" applyFill="1" applyBorder="1" applyAlignment="1">
      <alignment horizontal="left" vertical="center" indent="1"/>
    </xf>
    <xf numFmtId="0" fontId="0" fillId="0" borderId="4" xfId="0" applyFont="1" applyFill="1" applyBorder="1" applyAlignment="1">
      <alignment horizontal="left" vertical="center" indent="1"/>
    </xf>
    <xf numFmtId="0" fontId="0" fillId="5" borderId="20" xfId="0" applyFont="1" applyFill="1" applyBorder="1" applyAlignment="1">
      <alignment horizontal="left" vertical="center" indent="1"/>
    </xf>
    <xf numFmtId="0" fontId="7" fillId="0" borderId="20" xfId="0" applyFont="1" applyFill="1" applyBorder="1" applyAlignment="1">
      <alignment horizontal="center" vertical="center"/>
    </xf>
    <xf numFmtId="0" fontId="7" fillId="13" borderId="20" xfId="0" applyFont="1" applyFill="1" applyBorder="1" applyAlignment="1">
      <alignment horizontal="center" vertical="center"/>
    </xf>
    <xf numFmtId="0" fontId="7" fillId="0" borderId="20" xfId="0" applyFont="1" applyBorder="1" applyAlignment="1">
      <alignment horizontal="center" vertical="center" wrapText="1"/>
    </xf>
    <xf numFmtId="0" fontId="0" fillId="0" borderId="1" xfId="0" applyFont="1" applyFill="1" applyBorder="1" applyAlignment="1">
      <alignment horizontal="left" vertical="center" indent="1"/>
    </xf>
    <xf numFmtId="0" fontId="0" fillId="12" borderId="2" xfId="0" applyFill="1" applyBorder="1" applyAlignment="1">
      <alignment horizontal="left" vertical="center" indent="1"/>
    </xf>
    <xf numFmtId="4" fontId="0" fillId="12" borderId="2" xfId="0" applyNumberFormat="1" applyFill="1" applyBorder="1"/>
    <xf numFmtId="169" fontId="0" fillId="13" borderId="4" xfId="0" applyNumberFormat="1" applyFill="1" applyBorder="1" applyAlignment="1">
      <alignment horizontal="center" vertical="center"/>
    </xf>
    <xf numFmtId="4" fontId="0" fillId="15" borderId="2" xfId="0" applyNumberFormat="1" applyFill="1" applyBorder="1"/>
    <xf numFmtId="4" fontId="0" fillId="15" borderId="20" xfId="0" applyNumberFormat="1" applyFill="1" applyBorder="1"/>
    <xf numFmtId="0" fontId="0" fillId="0" borderId="1" xfId="0" applyBorder="1"/>
    <xf numFmtId="169" fontId="0" fillId="16" borderId="16" xfId="0" applyNumberFormat="1" applyFill="1" applyBorder="1" applyAlignment="1">
      <alignment horizontal="center" vertical="center"/>
    </xf>
    <xf numFmtId="0" fontId="3" fillId="16" borderId="16" xfId="0" applyFont="1" applyFill="1" applyBorder="1" applyAlignment="1">
      <alignment horizontal="center" vertical="center"/>
    </xf>
    <xf numFmtId="0" fontId="0" fillId="16" borderId="2" xfId="0" applyFont="1" applyFill="1" applyBorder="1" applyAlignment="1">
      <alignment horizontal="left" vertical="center" indent="1"/>
    </xf>
    <xf numFmtId="0" fontId="0" fillId="16" borderId="2" xfId="0" applyFill="1" applyBorder="1" applyAlignment="1">
      <alignment horizontal="left" vertical="center" indent="1"/>
    </xf>
    <xf numFmtId="0" fontId="7" fillId="16" borderId="2" xfId="0" applyFont="1" applyFill="1" applyBorder="1" applyAlignment="1">
      <alignment horizontal="center" vertical="center"/>
    </xf>
    <xf numFmtId="4" fontId="0" fillId="16" borderId="16" xfId="0" applyNumberFormat="1" applyFill="1" applyBorder="1"/>
    <xf numFmtId="169" fontId="0" fillId="17" borderId="2" xfId="0" applyNumberFormat="1" applyFill="1" applyBorder="1" applyAlignment="1">
      <alignment horizontal="center" vertical="center"/>
    </xf>
    <xf numFmtId="169" fontId="0" fillId="16" borderId="2" xfId="0" applyNumberFormat="1" applyFill="1" applyBorder="1" applyAlignment="1">
      <alignment horizontal="center" vertical="center"/>
    </xf>
    <xf numFmtId="0" fontId="3" fillId="16" borderId="2" xfId="0" applyFont="1" applyFill="1" applyBorder="1" applyAlignment="1">
      <alignment horizontal="center" vertical="center"/>
    </xf>
    <xf numFmtId="4" fontId="0" fillId="16" borderId="2" xfId="0" applyNumberFormat="1" applyFill="1" applyBorder="1"/>
    <xf numFmtId="169" fontId="0" fillId="16" borderId="4" xfId="0" applyNumberFormat="1" applyFill="1" applyBorder="1" applyAlignment="1">
      <alignment horizontal="center" vertical="center"/>
    </xf>
    <xf numFmtId="0" fontId="3" fillId="16" borderId="4" xfId="0" applyFont="1" applyFill="1" applyBorder="1" applyAlignment="1">
      <alignment horizontal="center" vertical="center"/>
    </xf>
    <xf numFmtId="0" fontId="0" fillId="16" borderId="4" xfId="0" applyFill="1" applyBorder="1" applyAlignment="1">
      <alignment horizontal="left" vertical="center" indent="1"/>
    </xf>
    <xf numFmtId="4" fontId="0" fillId="16" borderId="4" xfId="0" applyNumberFormat="1" applyFill="1" applyBorder="1"/>
    <xf numFmtId="0" fontId="0" fillId="16" borderId="20" xfId="0" applyFont="1" applyFill="1" applyBorder="1" applyAlignment="1">
      <alignment horizontal="left" vertical="center" indent="1"/>
    </xf>
    <xf numFmtId="0" fontId="3" fillId="16" borderId="20" xfId="0" applyFont="1" applyFill="1" applyBorder="1" applyAlignment="1">
      <alignment horizontal="center" vertical="center"/>
    </xf>
    <xf numFmtId="0" fontId="0" fillId="16" borderId="20" xfId="0" applyFill="1" applyBorder="1" applyAlignment="1">
      <alignment horizontal="left" vertical="center" indent="1"/>
    </xf>
    <xf numFmtId="4" fontId="0" fillId="16" borderId="20" xfId="0" applyNumberFormat="1" applyFill="1" applyBorder="1"/>
    <xf numFmtId="0" fontId="0" fillId="5" borderId="2" xfId="0" applyFill="1" applyBorder="1" applyAlignment="1">
      <alignment horizontal="left" vertical="center" indent="1"/>
    </xf>
    <xf numFmtId="0" fontId="7" fillId="13" borderId="4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 indent="1"/>
    </xf>
    <xf numFmtId="0" fontId="7" fillId="0" borderId="3" xfId="0" applyFont="1" applyFill="1" applyBorder="1" applyAlignment="1">
      <alignment horizontal="center" vertical="center"/>
    </xf>
    <xf numFmtId="2" fontId="0" fillId="0" borderId="2" xfId="0" applyNumberFormat="1" applyFill="1" applyBorder="1"/>
    <xf numFmtId="15" fontId="0" fillId="0" borderId="2" xfId="0" applyNumberFormat="1" applyBorder="1" applyAlignment="1">
      <alignment horizontal="left" vertical="center" indent="1"/>
    </xf>
    <xf numFmtId="0" fontId="0" fillId="0" borderId="2" xfId="0" applyBorder="1" applyAlignment="1">
      <alignment horizontal="left" indent="1"/>
    </xf>
    <xf numFmtId="166" fontId="0" fillId="0" borderId="0" xfId="0" applyNumberFormat="1"/>
    <xf numFmtId="0" fontId="21" fillId="0" borderId="0" xfId="0" applyFont="1" applyAlignment="1">
      <alignment horizontal="left" wrapText="1"/>
    </xf>
    <xf numFmtId="0" fontId="22" fillId="0" borderId="0" xfId="0" applyFont="1" applyAlignment="1"/>
    <xf numFmtId="0" fontId="22" fillId="0" borderId="0" xfId="0" applyFont="1"/>
    <xf numFmtId="0" fontId="23" fillId="0" borderId="0" xfId="0" applyFont="1" applyAlignment="1">
      <alignment vertical="center"/>
    </xf>
    <xf numFmtId="0" fontId="23" fillId="0" borderId="1" xfId="0" applyFont="1" applyBorder="1" applyAlignment="1">
      <alignment horizontal="left" vertical="center" indent="1"/>
    </xf>
    <xf numFmtId="0" fontId="24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23" fillId="0" borderId="11" xfId="0" applyFont="1" applyBorder="1" applyAlignment="1">
      <alignment horizontal="left" vertical="center" indent="1"/>
    </xf>
    <xf numFmtId="166" fontId="23" fillId="0" borderId="11" xfId="0" applyNumberFormat="1" applyFont="1" applyBorder="1" applyAlignment="1">
      <alignment horizontal="center" vertical="center" wrapText="1"/>
    </xf>
    <xf numFmtId="166" fontId="23" fillId="0" borderId="11" xfId="0" applyNumberFormat="1" applyFont="1" applyBorder="1" applyAlignment="1">
      <alignment horizontal="center" vertical="center"/>
    </xf>
    <xf numFmtId="0" fontId="22" fillId="0" borderId="2" xfId="0" applyFont="1" applyBorder="1" applyAlignment="1">
      <alignment horizontal="left" indent="1"/>
    </xf>
    <xf numFmtId="166" fontId="22" fillId="0" borderId="2" xfId="0" applyNumberFormat="1" applyFont="1" applyBorder="1" applyProtection="1">
      <protection hidden="1"/>
    </xf>
    <xf numFmtId="166" fontId="22" fillId="0" borderId="2" xfId="0" applyNumberFormat="1" applyFont="1" applyFill="1" applyBorder="1" applyProtection="1">
      <protection hidden="1"/>
    </xf>
    <xf numFmtId="0" fontId="22" fillId="0" borderId="13" xfId="0" applyFont="1" applyBorder="1" applyAlignment="1">
      <alignment horizontal="left" indent="1"/>
    </xf>
    <xf numFmtId="166" fontId="22" fillId="0" borderId="13" xfId="0" applyNumberFormat="1" applyFont="1" applyBorder="1" applyProtection="1">
      <protection hidden="1"/>
    </xf>
    <xf numFmtId="0" fontId="22" fillId="0" borderId="8" xfId="0" applyFont="1" applyBorder="1" applyAlignment="1">
      <alignment horizontal="left" indent="3"/>
    </xf>
    <xf numFmtId="166" fontId="22" fillId="0" borderId="7" xfId="0" applyNumberFormat="1" applyFont="1" applyBorder="1"/>
    <xf numFmtId="166" fontId="22" fillId="0" borderId="7" xfId="0" applyNumberFormat="1" applyFont="1" applyBorder="1" applyProtection="1">
      <protection hidden="1"/>
    </xf>
    <xf numFmtId="166" fontId="22" fillId="0" borderId="9" xfId="0" applyNumberFormat="1" applyFont="1" applyBorder="1"/>
    <xf numFmtId="166" fontId="22" fillId="0" borderId="8" xfId="0" applyNumberFormat="1" applyFont="1" applyBorder="1"/>
    <xf numFmtId="0" fontId="23" fillId="0" borderId="21" xfId="0" applyFont="1" applyFill="1" applyBorder="1" applyAlignment="1">
      <alignment horizontal="left" vertical="center" indent="1"/>
    </xf>
    <xf numFmtId="166" fontId="23" fillId="0" borderId="21" xfId="0" applyNumberFormat="1" applyFont="1" applyBorder="1" applyAlignment="1" applyProtection="1">
      <alignment vertical="center"/>
      <protection hidden="1"/>
    </xf>
    <xf numFmtId="166" fontId="23" fillId="0" borderId="21" xfId="0" applyNumberFormat="1" applyFont="1" applyFill="1" applyBorder="1" applyAlignment="1" applyProtection="1">
      <alignment vertical="center"/>
      <protection hidden="1"/>
    </xf>
    <xf numFmtId="166" fontId="23" fillId="5" borderId="21" xfId="0" applyNumberFormat="1" applyFont="1" applyFill="1" applyBorder="1" applyAlignment="1" applyProtection="1">
      <alignment vertical="center"/>
      <protection hidden="1"/>
    </xf>
    <xf numFmtId="0" fontId="23" fillId="0" borderId="22" xfId="0" applyFont="1" applyBorder="1" applyAlignment="1">
      <alignment horizontal="left" vertical="center" indent="1"/>
    </xf>
    <xf numFmtId="166" fontId="23" fillId="0" borderId="23" xfId="0" applyNumberFormat="1" applyFont="1" applyBorder="1" applyAlignment="1">
      <alignment horizontal="center" vertical="center" wrapText="1"/>
    </xf>
    <xf numFmtId="166" fontId="23" fillId="0" borderId="23" xfId="0" applyNumberFormat="1" applyFont="1" applyBorder="1" applyAlignment="1">
      <alignment horizontal="center" vertical="center"/>
    </xf>
    <xf numFmtId="166" fontId="23" fillId="0" borderId="23" xfId="0" applyNumberFormat="1" applyFont="1" applyFill="1" applyBorder="1" applyAlignment="1">
      <alignment horizontal="center" vertical="center"/>
    </xf>
    <xf numFmtId="166" fontId="23" fillId="0" borderId="23" xfId="0" applyNumberFormat="1" applyFont="1" applyBorder="1" applyAlignment="1" applyProtection="1">
      <alignment vertical="center"/>
      <protection hidden="1"/>
    </xf>
    <xf numFmtId="166" fontId="0" fillId="0" borderId="24" xfId="0" applyNumberFormat="1" applyBorder="1"/>
    <xf numFmtId="166" fontId="0" fillId="0" borderId="23" xfId="0" applyNumberFormat="1" applyBorder="1"/>
    <xf numFmtId="166" fontId="23" fillId="0" borderId="24" xfId="0" applyNumberFormat="1" applyFont="1" applyBorder="1" applyAlignment="1">
      <alignment horizontal="center" vertical="center"/>
    </xf>
    <xf numFmtId="0" fontId="26" fillId="3" borderId="14" xfId="0" applyFont="1" applyFill="1" applyBorder="1" applyAlignment="1">
      <alignment horizontal="left" indent="1"/>
    </xf>
    <xf numFmtId="166" fontId="26" fillId="3" borderId="10" xfId="0" applyNumberFormat="1" applyFont="1" applyFill="1" applyBorder="1"/>
    <xf numFmtId="166" fontId="26" fillId="3" borderId="9" xfId="0" applyNumberFormat="1" applyFont="1" applyFill="1" applyBorder="1"/>
    <xf numFmtId="166" fontId="26" fillId="3" borderId="8" xfId="0" applyNumberFormat="1" applyFont="1" applyFill="1" applyBorder="1"/>
    <xf numFmtId="166" fontId="26" fillId="3" borderId="7" xfId="0" applyNumberFormat="1" applyFont="1" applyFill="1" applyBorder="1"/>
    <xf numFmtId="0" fontId="22" fillId="0" borderId="16" xfId="0" applyFont="1" applyBorder="1" applyAlignment="1">
      <alignment horizontal="left" indent="3"/>
    </xf>
    <xf numFmtId="166" fontId="22" fillId="0" borderId="11" xfId="0" applyNumberFormat="1" applyFont="1" applyBorder="1"/>
    <xf numFmtId="166" fontId="22" fillId="0" borderId="11" xfId="0" applyNumberFormat="1" applyFont="1" applyFill="1" applyBorder="1" applyProtection="1">
      <protection hidden="1"/>
    </xf>
    <xf numFmtId="166" fontId="22" fillId="5" borderId="11" xfId="0" applyNumberFormat="1" applyFont="1" applyFill="1" applyBorder="1" applyProtection="1">
      <protection hidden="1"/>
    </xf>
    <xf numFmtId="0" fontId="22" fillId="0" borderId="2" xfId="0" applyFont="1" applyBorder="1" applyAlignment="1">
      <alignment horizontal="left" indent="3"/>
    </xf>
    <xf numFmtId="166" fontId="22" fillId="0" borderId="2" xfId="0" applyNumberFormat="1" applyFont="1" applyBorder="1"/>
    <xf numFmtId="0" fontId="22" fillId="0" borderId="13" xfId="0" applyFont="1" applyBorder="1" applyAlignment="1">
      <alignment horizontal="left" indent="3"/>
    </xf>
    <xf numFmtId="166" fontId="22" fillId="0" borderId="13" xfId="0" applyNumberFormat="1" applyFont="1" applyBorder="1"/>
    <xf numFmtId="166" fontId="22" fillId="0" borderId="13" xfId="0" applyNumberFormat="1" applyFont="1" applyFill="1" applyBorder="1" applyProtection="1">
      <protection hidden="1"/>
    </xf>
    <xf numFmtId="0" fontId="26" fillId="3" borderId="8" xfId="0" applyFont="1" applyFill="1" applyBorder="1" applyAlignment="1">
      <alignment horizontal="left" indent="1"/>
    </xf>
    <xf numFmtId="166" fontId="26" fillId="3" borderId="25" xfId="0" applyNumberFormat="1" applyFont="1" applyFill="1" applyBorder="1"/>
    <xf numFmtId="0" fontId="22" fillId="0" borderId="11" xfId="0" applyFont="1" applyBorder="1" applyAlignment="1">
      <alignment horizontal="left" indent="3"/>
    </xf>
    <xf numFmtId="166" fontId="26" fillId="3" borderId="14" xfId="0" applyNumberFormat="1" applyFont="1" applyFill="1" applyBorder="1"/>
    <xf numFmtId="0" fontId="22" fillId="0" borderId="2" xfId="0" applyFont="1" applyFill="1" applyBorder="1" applyAlignment="1">
      <alignment horizontal="left" indent="3"/>
    </xf>
    <xf numFmtId="0" fontId="22" fillId="0" borderId="1" xfId="0" applyFont="1" applyBorder="1" applyAlignment="1">
      <alignment horizontal="left" indent="3"/>
    </xf>
    <xf numFmtId="166" fontId="22" fillId="0" borderId="1" xfId="0" applyNumberFormat="1" applyFont="1" applyBorder="1"/>
    <xf numFmtId="0" fontId="7" fillId="0" borderId="0" xfId="0" applyFont="1" applyFill="1"/>
    <xf numFmtId="166" fontId="23" fillId="0" borderId="26" xfId="0" applyNumberFormat="1" applyFont="1" applyBorder="1" applyAlignment="1" applyProtection="1">
      <alignment vertical="center"/>
      <protection hidden="1"/>
    </xf>
    <xf numFmtId="166" fontId="27" fillId="0" borderId="26" xfId="0" applyNumberFormat="1" applyFont="1" applyFill="1" applyBorder="1" applyAlignment="1" applyProtection="1">
      <alignment vertical="center"/>
      <protection hidden="1"/>
    </xf>
    <xf numFmtId="166" fontId="23" fillId="0" borderId="26" xfId="0" applyNumberFormat="1" applyFont="1" applyFill="1" applyBorder="1" applyAlignment="1" applyProtection="1">
      <alignment vertical="center"/>
      <protection hidden="1"/>
    </xf>
    <xf numFmtId="166" fontId="23" fillId="5" borderId="26" xfId="0" applyNumberFormat="1" applyFont="1" applyFill="1" applyBorder="1" applyAlignment="1" applyProtection="1">
      <alignment vertical="center"/>
      <protection hidden="1"/>
    </xf>
    <xf numFmtId="166" fontId="27" fillId="5" borderId="26" xfId="0" applyNumberFormat="1" applyFont="1" applyFill="1" applyBorder="1" applyAlignment="1" applyProtection="1">
      <alignment vertical="center"/>
      <protection hidden="1"/>
    </xf>
    <xf numFmtId="0" fontId="23" fillId="0" borderId="27" xfId="0" applyFont="1" applyFill="1" applyBorder="1" applyAlignment="1">
      <alignment horizontal="left" vertical="center" indent="1"/>
    </xf>
    <xf numFmtId="166" fontId="23" fillId="0" borderId="28" xfId="0" applyNumberFormat="1" applyFont="1" applyBorder="1" applyAlignment="1" applyProtection="1">
      <alignment vertical="center"/>
      <protection hidden="1"/>
    </xf>
    <xf numFmtId="166" fontId="23" fillId="0" borderId="28" xfId="0" applyNumberFormat="1" applyFont="1" applyFill="1" applyBorder="1" applyAlignment="1" applyProtection="1">
      <alignment vertical="center"/>
      <protection hidden="1"/>
    </xf>
    <xf numFmtId="166" fontId="23" fillId="5" borderId="28" xfId="0" applyNumberFormat="1" applyFont="1" applyFill="1" applyBorder="1" applyAlignment="1" applyProtection="1">
      <alignment vertical="center"/>
      <protection hidden="1"/>
    </xf>
    <xf numFmtId="0" fontId="23" fillId="0" borderId="29" xfId="0" applyFont="1" applyFill="1" applyBorder="1" applyAlignment="1">
      <alignment horizontal="left" vertical="center" indent="1"/>
    </xf>
    <xf numFmtId="166" fontId="23" fillId="0" borderId="30" xfId="0" applyNumberFormat="1" applyFont="1" applyBorder="1" applyAlignment="1" applyProtection="1">
      <alignment vertical="center"/>
      <protection hidden="1"/>
    </xf>
    <xf numFmtId="166" fontId="23" fillId="0" borderId="29" xfId="0" applyNumberFormat="1" applyFont="1" applyBorder="1" applyAlignment="1" applyProtection="1">
      <alignment vertical="center"/>
      <protection hidden="1"/>
    </xf>
    <xf numFmtId="166" fontId="23" fillId="0" borderId="31" xfId="0" applyNumberFormat="1" applyFont="1" applyBorder="1" applyAlignment="1" applyProtection="1">
      <alignment vertical="center"/>
      <protection hidden="1"/>
    </xf>
    <xf numFmtId="0" fontId="19" fillId="0" borderId="0" xfId="0" applyFont="1" applyFill="1"/>
    <xf numFmtId="166" fontId="23" fillId="0" borderId="2" xfId="0" applyNumberFormat="1" applyFont="1" applyFill="1" applyBorder="1" applyProtection="1">
      <protection hidden="1"/>
    </xf>
    <xf numFmtId="166" fontId="22" fillId="0" borderId="32" xfId="0" applyNumberFormat="1" applyFont="1" applyFill="1" applyBorder="1" applyProtection="1">
      <protection hidden="1"/>
    </xf>
    <xf numFmtId="0" fontId="22" fillId="0" borderId="32" xfId="0" applyFont="1" applyBorder="1" applyAlignment="1">
      <alignment horizontal="left" indent="3"/>
    </xf>
    <xf numFmtId="0" fontId="22" fillId="0" borderId="4" xfId="0" applyFont="1" applyBorder="1" applyAlignment="1">
      <alignment horizontal="left" indent="3"/>
    </xf>
    <xf numFmtId="166" fontId="22" fillId="0" borderId="4" xfId="0" applyNumberFormat="1" applyFont="1" applyFill="1" applyBorder="1" applyProtection="1">
      <protection hidden="1"/>
    </xf>
    <xf numFmtId="0" fontId="22" fillId="0" borderId="20" xfId="0" applyFont="1" applyBorder="1" applyAlignment="1">
      <alignment horizontal="left" indent="3"/>
    </xf>
    <xf numFmtId="166" fontId="22" fillId="0" borderId="33" xfId="0" applyNumberFormat="1" applyFont="1" applyFill="1" applyBorder="1" applyProtection="1">
      <protection hidden="1"/>
    </xf>
    <xf numFmtId="166" fontId="22" fillId="0" borderId="34" xfId="0" applyNumberFormat="1" applyFont="1" applyFill="1" applyBorder="1" applyProtection="1">
      <protection hidden="1"/>
    </xf>
    <xf numFmtId="166" fontId="22" fillId="5" borderId="33" xfId="0" applyNumberFormat="1" applyFont="1" applyFill="1" applyBorder="1" applyProtection="1">
      <protection hidden="1"/>
    </xf>
    <xf numFmtId="166" fontId="23" fillId="5" borderId="33" xfId="0" applyNumberFormat="1" applyFont="1" applyFill="1" applyBorder="1" applyProtection="1">
      <protection hidden="1"/>
    </xf>
    <xf numFmtId="166" fontId="22" fillId="5" borderId="20" xfId="0" applyNumberFormat="1" applyFont="1" applyFill="1" applyBorder="1" applyProtection="1">
      <protection hidden="1"/>
    </xf>
    <xf numFmtId="166" fontId="28" fillId="5" borderId="20" xfId="0" applyNumberFormat="1" applyFont="1" applyFill="1" applyBorder="1" applyProtection="1">
      <protection hidden="1"/>
    </xf>
    <xf numFmtId="166" fontId="22" fillId="0" borderId="20" xfId="0" applyNumberFormat="1" applyFont="1" applyFill="1" applyBorder="1" applyProtection="1">
      <protection hidden="1"/>
    </xf>
    <xf numFmtId="0" fontId="0" fillId="0" borderId="1" xfId="0" applyBorder="1" applyAlignment="1">
      <alignment horizontal="left"/>
    </xf>
    <xf numFmtId="4" fontId="0" fillId="0" borderId="1" xfId="0" applyNumberFormat="1" applyBorder="1"/>
    <xf numFmtId="0" fontId="5" fillId="3" borderId="7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left" vertical="center" indent="1"/>
    </xf>
    <xf numFmtId="170" fontId="3" fillId="3" borderId="7" xfId="0" applyNumberFormat="1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71" fontId="7" fillId="0" borderId="5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left" indent="1"/>
    </xf>
    <xf numFmtId="166" fontId="0" fillId="0" borderId="5" xfId="0" applyNumberFormat="1" applyBorder="1"/>
    <xf numFmtId="0" fontId="7" fillId="0" borderId="12" xfId="0" applyFont="1" applyBorder="1" applyAlignment="1">
      <alignment horizontal="center" vertical="center"/>
    </xf>
    <xf numFmtId="171" fontId="7" fillId="0" borderId="12" xfId="0" applyNumberFormat="1" applyFont="1" applyBorder="1" applyAlignment="1">
      <alignment horizontal="center" vertical="center"/>
    </xf>
    <xf numFmtId="0" fontId="0" fillId="0" borderId="12" xfId="0" applyBorder="1" applyAlignment="1">
      <alignment horizontal="left" indent="1"/>
    </xf>
    <xf numFmtId="166" fontId="0" fillId="0" borderId="12" xfId="0" applyNumberFormat="1" applyBorder="1"/>
    <xf numFmtId="0" fontId="7" fillId="0" borderId="6" xfId="0" applyFont="1" applyBorder="1" applyAlignment="1">
      <alignment horizontal="center" vertical="center"/>
    </xf>
    <xf numFmtId="171" fontId="7" fillId="0" borderId="6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left" indent="1"/>
    </xf>
    <xf numFmtId="166" fontId="0" fillId="0" borderId="6" xfId="0" applyNumberFormat="1" applyBorder="1"/>
    <xf numFmtId="0" fontId="5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 indent="1"/>
    </xf>
    <xf numFmtId="166" fontId="3" fillId="3" borderId="0" xfId="0" applyNumberFormat="1" applyFont="1" applyFill="1" applyAlignment="1">
      <alignment horizontal="center" vertical="center"/>
    </xf>
    <xf numFmtId="0" fontId="0" fillId="0" borderId="12" xfId="0" applyBorder="1"/>
    <xf numFmtId="0" fontId="0" fillId="0" borderId="6" xfId="0" applyBorder="1"/>
    <xf numFmtId="0" fontId="0" fillId="0" borderId="0" xfId="0" applyProtection="1">
      <protection hidden="1"/>
    </xf>
    <xf numFmtId="0" fontId="3" fillId="0" borderId="1" xfId="0" applyFont="1" applyBorder="1" applyAlignment="1" applyProtection="1">
      <alignment horizontal="center" vertical="center"/>
      <protection hidden="1"/>
    </xf>
    <xf numFmtId="0" fontId="0" fillId="0" borderId="0" xfId="0" applyBorder="1" applyAlignment="1" applyProtection="1">
      <alignment horizontal="left" indent="1"/>
      <protection hidden="1"/>
    </xf>
    <xf numFmtId="0" fontId="0" fillId="0" borderId="12" xfId="0" applyBorder="1" applyAlignment="1" applyProtection="1">
      <alignment horizontal="center" vertical="center"/>
      <protection hidden="1"/>
    </xf>
    <xf numFmtId="0" fontId="0" fillId="0" borderId="12" xfId="0" applyBorder="1" applyAlignment="1" applyProtection="1">
      <alignment horizontal="left" indent="1"/>
      <protection hidden="1"/>
    </xf>
    <xf numFmtId="0" fontId="7" fillId="0" borderId="0" xfId="0" applyFont="1" applyFill="1" applyAlignment="1">
      <alignment horizontal="right" vertical="center" indent="1"/>
    </xf>
    <xf numFmtId="0" fontId="7" fillId="0" borderId="0" xfId="0" applyFont="1" applyAlignment="1">
      <alignment horizontal="right" vertical="center" indent="1"/>
    </xf>
    <xf numFmtId="0" fontId="0" fillId="4" borderId="0" xfId="0" applyFill="1"/>
    <xf numFmtId="0" fontId="26" fillId="8" borderId="14" xfId="0" applyFont="1" applyFill="1" applyBorder="1" applyAlignment="1">
      <alignment horizontal="left" indent="1"/>
    </xf>
    <xf numFmtId="0" fontId="26" fillId="8" borderId="8" xfId="0" applyFont="1" applyFill="1" applyBorder="1" applyAlignment="1">
      <alignment horizontal="left" indent="1"/>
    </xf>
    <xf numFmtId="0" fontId="0" fillId="8" borderId="7" xfId="0" applyFill="1" applyBorder="1"/>
    <xf numFmtId="0" fontId="0" fillId="8" borderId="9" xfId="0" applyFill="1" applyBorder="1"/>
    <xf numFmtId="0" fontId="0" fillId="8" borderId="25" xfId="0" applyFill="1" applyBorder="1"/>
    <xf numFmtId="0" fontId="0" fillId="0" borderId="5" xfId="0" applyFill="1" applyBorder="1"/>
    <xf numFmtId="0" fontId="0" fillId="0" borderId="12" xfId="0" applyFill="1" applyBorder="1"/>
    <xf numFmtId="0" fontId="0" fillId="0" borderId="0" xfId="0" applyBorder="1"/>
    <xf numFmtId="0" fontId="0" fillId="0" borderId="6" xfId="0" applyFill="1" applyBorder="1"/>
    <xf numFmtId="0" fontId="0" fillId="0" borderId="7" xfId="0" applyFill="1" applyBorder="1"/>
    <xf numFmtId="0" fontId="7" fillId="0" borderId="5" xfId="0" applyFont="1" applyFill="1" applyBorder="1" applyAlignment="1">
      <alignment horizontal="right" vertical="center" indent="1"/>
    </xf>
    <xf numFmtId="0" fontId="7" fillId="0" borderId="12" xfId="0" applyFont="1" applyFill="1" applyBorder="1" applyAlignment="1">
      <alignment horizontal="right" vertical="center" indent="1"/>
    </xf>
    <xf numFmtId="0" fontId="7" fillId="0" borderId="6" xfId="0" applyFont="1" applyFill="1" applyBorder="1" applyAlignment="1">
      <alignment horizontal="right" vertical="center" indent="1"/>
    </xf>
    <xf numFmtId="0" fontId="0" fillId="8" borderId="10" xfId="0" applyFill="1" applyBorder="1" applyAlignment="1">
      <alignment horizontal="right" indent="1"/>
    </xf>
    <xf numFmtId="0" fontId="0" fillId="8" borderId="7" xfId="0" applyFill="1" applyBorder="1" applyAlignment="1">
      <alignment horizontal="right" indent="1"/>
    </xf>
    <xf numFmtId="0" fontId="0" fillId="8" borderId="8" xfId="0" applyFill="1" applyBorder="1" applyAlignment="1">
      <alignment horizontal="right" indent="1"/>
    </xf>
    <xf numFmtId="0" fontId="7" fillId="0" borderId="7" xfId="0" applyFont="1" applyFill="1" applyBorder="1" applyAlignment="1">
      <alignment horizontal="right" indent="1"/>
    </xf>
    <xf numFmtId="0" fontId="0" fillId="0" borderId="5" xfId="0" applyBorder="1" applyAlignment="1" applyProtection="1">
      <alignment horizontal="center" vertical="center"/>
      <protection hidden="1"/>
    </xf>
    <xf numFmtId="0" fontId="0" fillId="0" borderId="5" xfId="0" applyBorder="1" applyAlignment="1" applyProtection="1">
      <alignment horizontal="left" indent="1"/>
      <protection hidden="1"/>
    </xf>
    <xf numFmtId="0" fontId="0" fillId="0" borderId="6" xfId="0" applyBorder="1" applyAlignment="1" applyProtection="1">
      <alignment horizontal="center" vertical="center"/>
      <protection hidden="1"/>
    </xf>
    <xf numFmtId="0" fontId="0" fillId="0" borderId="6" xfId="0" applyBorder="1" applyAlignment="1" applyProtection="1">
      <alignment horizontal="left" indent="1"/>
      <protection hidden="1"/>
    </xf>
    <xf numFmtId="0" fontId="7" fillId="0" borderId="5" xfId="0" applyFont="1" applyBorder="1" applyAlignment="1" applyProtection="1">
      <alignment horizontal="right" vertical="center" indent="1"/>
      <protection hidden="1"/>
    </xf>
    <xf numFmtId="0" fontId="7" fillId="0" borderId="12" xfId="0" applyFont="1" applyBorder="1" applyAlignment="1" applyProtection="1">
      <alignment horizontal="right" vertical="center" indent="1"/>
      <protection hidden="1"/>
    </xf>
    <xf numFmtId="0" fontId="7" fillId="0" borderId="12" xfId="0" applyFont="1" applyBorder="1" applyAlignment="1">
      <alignment horizontal="right" vertical="center" indent="1"/>
    </xf>
    <xf numFmtId="0" fontId="7" fillId="0" borderId="6" xfId="0" applyFont="1" applyBorder="1" applyAlignment="1" applyProtection="1">
      <alignment horizontal="right" vertical="center" indent="1"/>
      <protection hidden="1"/>
    </xf>
    <xf numFmtId="0" fontId="0" fillId="0" borderId="15" xfId="0" applyBorder="1"/>
    <xf numFmtId="0" fontId="0" fillId="0" borderId="15" xfId="0" applyFill="1" applyBorder="1" applyAlignment="1" applyProtection="1">
      <alignment horizontal="left" indent="1"/>
      <protection hidden="1"/>
    </xf>
    <xf numFmtId="0" fontId="5" fillId="3" borderId="1" xfId="0" applyFont="1" applyFill="1" applyBorder="1" applyAlignment="1" applyProtection="1">
      <alignment horizontal="center" vertical="center"/>
      <protection hidden="1"/>
    </xf>
    <xf numFmtId="166" fontId="7" fillId="0" borderId="5" xfId="0" applyNumberFormat="1" applyFont="1" applyBorder="1" applyProtection="1"/>
    <xf numFmtId="166" fontId="5" fillId="3" borderId="5" xfId="0" applyNumberFormat="1" applyFont="1" applyFill="1" applyBorder="1" applyProtection="1"/>
    <xf numFmtId="166" fontId="7" fillId="3" borderId="6" xfId="0" applyNumberFormat="1" applyFont="1" applyFill="1" applyBorder="1" applyProtection="1"/>
    <xf numFmtId="166" fontId="5" fillId="0" borderId="6" xfId="0" applyNumberFormat="1" applyFont="1" applyFill="1" applyBorder="1" applyProtection="1"/>
    <xf numFmtId="4" fontId="7" fillId="5" borderId="2" xfId="0" applyNumberFormat="1" applyFont="1" applyFill="1" applyBorder="1" applyProtection="1">
      <protection locked="0"/>
    </xf>
    <xf numFmtId="4" fontId="7" fillId="0" borderId="2" xfId="0" applyNumberFormat="1" applyFont="1" applyFill="1" applyBorder="1" applyAlignment="1">
      <alignment horizontal="left"/>
    </xf>
    <xf numFmtId="0" fontId="3" fillId="0" borderId="0" xfId="0" applyFont="1"/>
    <xf numFmtId="0" fontId="7" fillId="5" borderId="2" xfId="0" applyFont="1" applyFill="1" applyBorder="1" applyAlignment="1" applyProtection="1">
      <alignment horizontal="center" vertical="center"/>
      <protection locked="0"/>
    </xf>
    <xf numFmtId="0" fontId="7" fillId="5" borderId="2" xfId="0" applyFont="1" applyFill="1" applyBorder="1"/>
    <xf numFmtId="0" fontId="0" fillId="5" borderId="0" xfId="0" applyFill="1"/>
    <xf numFmtId="0" fontId="0" fillId="0" borderId="1" xfId="0" applyBorder="1" applyAlignment="1">
      <alignment horizontal="center" vertical="center"/>
    </xf>
    <xf numFmtId="0" fontId="29" fillId="6" borderId="12" xfId="0" applyFont="1" applyFill="1" applyBorder="1" applyAlignment="1">
      <alignment horizontal="center" vertical="center"/>
    </xf>
    <xf numFmtId="166" fontId="30" fillId="4" borderId="2" xfId="0" applyNumberFormat="1" applyFont="1" applyFill="1" applyBorder="1" applyProtection="1">
      <protection hidden="1"/>
    </xf>
    <xf numFmtId="171" fontId="29" fillId="4" borderId="6" xfId="0" applyNumberFormat="1" applyFont="1" applyFill="1" applyBorder="1" applyAlignment="1">
      <alignment horizontal="center" vertical="center"/>
    </xf>
    <xf numFmtId="171" fontId="29" fillId="4" borderId="12" xfId="0" applyNumberFormat="1" applyFont="1" applyFill="1" applyBorder="1" applyAlignment="1">
      <alignment horizontal="center" vertical="center"/>
    </xf>
    <xf numFmtId="171" fontId="29" fillId="6" borderId="12" xfId="0" applyNumberFormat="1" applyFont="1" applyFill="1" applyBorder="1" applyAlignment="1">
      <alignment horizontal="center" vertical="center"/>
    </xf>
    <xf numFmtId="171" fontId="29" fillId="6" borderId="6" xfId="0" applyNumberFormat="1" applyFont="1" applyFill="1" applyBorder="1" applyAlignment="1">
      <alignment horizontal="center" vertical="center"/>
    </xf>
    <xf numFmtId="166" fontId="30" fillId="0" borderId="2" xfId="0" applyNumberFormat="1" applyFont="1" applyFill="1" applyBorder="1" applyProtection="1">
      <protection hidden="1"/>
    </xf>
    <xf numFmtId="0" fontId="7" fillId="12" borderId="12" xfId="0" applyFont="1" applyFill="1" applyBorder="1" applyAlignment="1">
      <alignment horizontal="center" vertical="center"/>
    </xf>
    <xf numFmtId="171" fontId="7" fillId="12" borderId="12" xfId="0" applyNumberFormat="1" applyFont="1" applyFill="1" applyBorder="1" applyAlignment="1">
      <alignment horizontal="center" vertical="center"/>
    </xf>
    <xf numFmtId="0" fontId="0" fillId="12" borderId="12" xfId="0" applyFill="1" applyBorder="1" applyAlignment="1">
      <alignment horizontal="left" indent="1"/>
    </xf>
    <xf numFmtId="166" fontId="0" fillId="12" borderId="12" xfId="0" applyNumberFormat="1" applyFill="1" applyBorder="1"/>
    <xf numFmtId="169" fontId="0" fillId="0" borderId="2" xfId="0" applyNumberFormat="1" applyFill="1" applyBorder="1" applyAlignment="1">
      <alignment horizontal="left" vertical="center" indent="1"/>
    </xf>
    <xf numFmtId="169" fontId="7" fillId="0" borderId="2" xfId="0" applyNumberFormat="1" applyFont="1" applyFill="1" applyBorder="1" applyAlignment="1">
      <alignment horizontal="center" vertical="center"/>
    </xf>
    <xf numFmtId="0" fontId="7" fillId="12" borderId="2" xfId="0" applyFont="1" applyFill="1" applyBorder="1" applyAlignment="1" applyProtection="1">
      <alignment horizontal="left" indent="1"/>
      <protection hidden="1"/>
    </xf>
    <xf numFmtId="0" fontId="4" fillId="4" borderId="0" xfId="0" applyFont="1" applyFill="1"/>
    <xf numFmtId="0" fontId="5" fillId="18" borderId="1" xfId="0" applyFont="1" applyFill="1" applyBorder="1" applyAlignment="1">
      <alignment horizontal="center" vertical="center"/>
    </xf>
    <xf numFmtId="49" fontId="6" fillId="18" borderId="1" xfId="0" applyNumberFormat="1" applyFont="1" applyFill="1" applyBorder="1" applyAlignment="1">
      <alignment horizontal="center" vertical="center" wrapText="1"/>
    </xf>
    <xf numFmtId="0" fontId="7" fillId="17" borderId="2" xfId="0" applyFont="1" applyFill="1" applyBorder="1"/>
    <xf numFmtId="0" fontId="0" fillId="17" borderId="0" xfId="0" applyFill="1"/>
    <xf numFmtId="14" fontId="7" fillId="0" borderId="12" xfId="0" applyNumberFormat="1" applyFont="1" applyBorder="1" applyAlignment="1">
      <alignment horizontal="center" vertical="center"/>
    </xf>
    <xf numFmtId="0" fontId="7" fillId="13" borderId="2" xfId="0" applyFont="1" applyFill="1" applyBorder="1" applyAlignment="1" applyProtection="1">
      <alignment horizontal="center" vertical="center"/>
      <protection locked="0"/>
    </xf>
    <xf numFmtId="14" fontId="7" fillId="0" borderId="2" xfId="0" applyNumberFormat="1" applyFont="1" applyFill="1" applyBorder="1" applyProtection="1">
      <protection locked="0"/>
    </xf>
    <xf numFmtId="166" fontId="0" fillId="5" borderId="12" xfId="0" applyNumberFormat="1" applyFill="1" applyBorder="1"/>
    <xf numFmtId="0" fontId="7" fillId="0" borderId="12" xfId="0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center" vertical="center"/>
    </xf>
    <xf numFmtId="0" fontId="7" fillId="19" borderId="2" xfId="0" applyFont="1" applyFill="1" applyBorder="1" applyAlignment="1" applyProtection="1">
      <alignment horizontal="center" vertical="center"/>
      <protection locked="0"/>
    </xf>
    <xf numFmtId="0" fontId="4" fillId="4" borderId="0" xfId="0" applyFont="1" applyFill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8" fontId="18" fillId="4" borderId="0" xfId="0" applyNumberFormat="1" applyFont="1" applyFill="1" applyAlignment="1">
      <alignment horizontal="right"/>
    </xf>
  </cellXfs>
  <cellStyles count="2">
    <cellStyle name="Moneda 2" xfId="1"/>
    <cellStyle name="Normal" xfId="0" builtinId="0"/>
  </cellStyles>
  <dxfs count="84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 val="0"/>
        <i val="0"/>
      </font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4:I464"/>
  <sheetViews>
    <sheetView showGridLines="0" zoomScale="90" zoomScaleNormal="90" workbookViewId="0">
      <pane ySplit="5" topLeftCell="A367" activePane="bottomLeft" state="frozen"/>
      <selection pane="bottomLeft" activeCell="D387" sqref="D387"/>
    </sheetView>
  </sheetViews>
  <sheetFormatPr baseColWidth="10" defaultRowHeight="12.75" x14ac:dyDescent="0.2"/>
  <cols>
    <col min="1" max="1" width="5.5703125" customWidth="1"/>
    <col min="2" max="2" width="19.7109375" customWidth="1"/>
    <col min="3" max="3" width="36" customWidth="1"/>
    <col min="4" max="4" width="37.28515625" customWidth="1"/>
    <col min="5" max="5" width="46.5703125" style="65" bestFit="1" customWidth="1"/>
    <col min="6" max="8" width="11.42578125" customWidth="1"/>
  </cols>
  <sheetData>
    <row r="4" spans="1:6" ht="15" x14ac:dyDescent="0.2">
      <c r="B4" s="66">
        <v>1</v>
      </c>
      <c r="C4" s="66">
        <v>2</v>
      </c>
      <c r="D4" s="66">
        <v>3</v>
      </c>
      <c r="E4" s="67">
        <v>4</v>
      </c>
      <c r="F4" s="67">
        <v>5</v>
      </c>
    </row>
    <row r="5" spans="1:6" ht="20.100000000000001" customHeight="1" x14ac:dyDescent="0.2">
      <c r="A5" s="52" t="s">
        <v>1486</v>
      </c>
      <c r="B5" s="68" t="s">
        <v>3</v>
      </c>
      <c r="C5" s="68" t="s">
        <v>4</v>
      </c>
      <c r="D5" s="68" t="s">
        <v>5</v>
      </c>
      <c r="E5" s="69"/>
    </row>
    <row r="6" spans="1:6" x14ac:dyDescent="0.2">
      <c r="A6" s="90">
        <v>1</v>
      </c>
      <c r="B6" s="70" t="s">
        <v>1137</v>
      </c>
      <c r="C6" s="71" t="s">
        <v>1138</v>
      </c>
      <c r="D6" s="72" t="s">
        <v>651</v>
      </c>
      <c r="E6" s="73"/>
    </row>
    <row r="7" spans="1:6" x14ac:dyDescent="0.2">
      <c r="A7" s="91">
        <v>2</v>
      </c>
      <c r="B7" s="70" t="s">
        <v>896</v>
      </c>
      <c r="C7" s="71" t="s">
        <v>897</v>
      </c>
      <c r="D7" s="72" t="s">
        <v>898</v>
      </c>
      <c r="E7" s="73"/>
    </row>
    <row r="8" spans="1:6" x14ac:dyDescent="0.2">
      <c r="A8" s="91">
        <v>3</v>
      </c>
      <c r="B8" s="70" t="s">
        <v>1139</v>
      </c>
      <c r="C8" s="71" t="s">
        <v>1140</v>
      </c>
      <c r="D8" s="72" t="s">
        <v>1141</v>
      </c>
      <c r="E8" s="73"/>
    </row>
    <row r="9" spans="1:6" x14ac:dyDescent="0.2">
      <c r="A9" s="91">
        <v>4</v>
      </c>
      <c r="B9" s="70" t="s">
        <v>861</v>
      </c>
      <c r="C9" s="71" t="s">
        <v>862</v>
      </c>
      <c r="D9" s="72" t="s">
        <v>863</v>
      </c>
      <c r="E9" s="73"/>
    </row>
    <row r="10" spans="1:6" x14ac:dyDescent="0.2">
      <c r="A10" s="91">
        <v>5</v>
      </c>
      <c r="B10" s="70" t="s">
        <v>1257</v>
      </c>
      <c r="C10" s="71" t="s">
        <v>1258</v>
      </c>
      <c r="D10" s="72" t="s">
        <v>1259</v>
      </c>
      <c r="E10" s="73"/>
    </row>
    <row r="11" spans="1:6" x14ac:dyDescent="0.2">
      <c r="A11" s="91">
        <v>6</v>
      </c>
      <c r="B11" s="70" t="s">
        <v>1260</v>
      </c>
      <c r="C11" s="71" t="s">
        <v>1261</v>
      </c>
      <c r="D11" s="72" t="s">
        <v>1262</v>
      </c>
      <c r="E11" s="73"/>
    </row>
    <row r="12" spans="1:6" x14ac:dyDescent="0.2">
      <c r="A12" s="91">
        <v>7</v>
      </c>
      <c r="B12" s="70" t="s">
        <v>746</v>
      </c>
      <c r="C12" s="71" t="s">
        <v>747</v>
      </c>
      <c r="D12" s="72" t="s">
        <v>748</v>
      </c>
      <c r="E12" s="73"/>
    </row>
    <row r="13" spans="1:6" x14ac:dyDescent="0.2">
      <c r="A13" s="91">
        <v>8</v>
      </c>
      <c r="B13" s="70" t="s">
        <v>1145</v>
      </c>
      <c r="C13" s="71" t="s">
        <v>1146</v>
      </c>
      <c r="D13" s="72" t="s">
        <v>1147</v>
      </c>
      <c r="E13" s="73"/>
    </row>
    <row r="14" spans="1:6" x14ac:dyDescent="0.2">
      <c r="A14" s="91">
        <v>9</v>
      </c>
      <c r="B14" s="70" t="s">
        <v>229</v>
      </c>
      <c r="C14" s="71" t="s">
        <v>230</v>
      </c>
      <c r="D14" s="72" t="s">
        <v>231</v>
      </c>
      <c r="E14" s="73"/>
    </row>
    <row r="15" spans="1:6" x14ac:dyDescent="0.2">
      <c r="A15" s="91">
        <v>10</v>
      </c>
      <c r="B15" s="70" t="s">
        <v>349</v>
      </c>
      <c r="C15" s="71" t="s">
        <v>350</v>
      </c>
      <c r="D15" s="72" t="s">
        <v>351</v>
      </c>
      <c r="E15" s="73"/>
    </row>
    <row r="16" spans="1:6" x14ac:dyDescent="0.2">
      <c r="A16" s="91">
        <v>11</v>
      </c>
      <c r="B16" s="70" t="s">
        <v>1263</v>
      </c>
      <c r="C16" s="71" t="s">
        <v>1525</v>
      </c>
      <c r="D16" s="72"/>
      <c r="E16" s="73"/>
    </row>
    <row r="17" spans="1:5" x14ac:dyDescent="0.2">
      <c r="A17" s="91">
        <v>12</v>
      </c>
      <c r="B17" s="70" t="s">
        <v>699</v>
      </c>
      <c r="C17" s="71" t="s">
        <v>700</v>
      </c>
      <c r="D17" s="72" t="s">
        <v>701</v>
      </c>
      <c r="E17" s="73"/>
    </row>
    <row r="18" spans="1:5" x14ac:dyDescent="0.2">
      <c r="A18" s="91">
        <v>13</v>
      </c>
      <c r="B18" s="70" t="s">
        <v>144</v>
      </c>
      <c r="C18" s="71" t="s">
        <v>145</v>
      </c>
      <c r="D18" s="72" t="s">
        <v>146</v>
      </c>
      <c r="E18" s="73"/>
    </row>
    <row r="19" spans="1:5" x14ac:dyDescent="0.2">
      <c r="A19" s="91">
        <v>14</v>
      </c>
      <c r="B19" s="70" t="s">
        <v>162</v>
      </c>
      <c r="C19" s="71" t="s">
        <v>163</v>
      </c>
      <c r="D19" s="72" t="s">
        <v>164</v>
      </c>
      <c r="E19" s="73"/>
    </row>
    <row r="20" spans="1:5" x14ac:dyDescent="0.2">
      <c r="A20" s="91">
        <v>15</v>
      </c>
      <c r="B20" s="70" t="s">
        <v>352</v>
      </c>
      <c r="C20" s="71" t="s">
        <v>353</v>
      </c>
      <c r="D20" s="72" t="s">
        <v>354</v>
      </c>
      <c r="E20" s="73"/>
    </row>
    <row r="21" spans="1:5" x14ac:dyDescent="0.2">
      <c r="A21" s="91">
        <v>16</v>
      </c>
      <c r="B21" s="70" t="s">
        <v>990</v>
      </c>
      <c r="C21" s="71" t="s">
        <v>991</v>
      </c>
      <c r="D21" s="72" t="s">
        <v>992</v>
      </c>
      <c r="E21" s="73"/>
    </row>
    <row r="22" spans="1:5" x14ac:dyDescent="0.2">
      <c r="A22" s="91">
        <v>17</v>
      </c>
      <c r="B22" s="70" t="s">
        <v>1264</v>
      </c>
      <c r="C22" s="71" t="s">
        <v>1265</v>
      </c>
      <c r="D22" s="72" t="s">
        <v>1266</v>
      </c>
      <c r="E22" s="73"/>
    </row>
    <row r="23" spans="1:5" x14ac:dyDescent="0.2">
      <c r="A23" s="91">
        <v>18</v>
      </c>
      <c r="B23" s="70" t="s">
        <v>1112</v>
      </c>
      <c r="C23" s="71" t="s">
        <v>1113</v>
      </c>
      <c r="D23" s="72" t="s">
        <v>1114</v>
      </c>
      <c r="E23" s="73"/>
    </row>
    <row r="24" spans="1:5" x14ac:dyDescent="0.2">
      <c r="A24" s="91">
        <v>19</v>
      </c>
      <c r="B24" s="70" t="s">
        <v>244</v>
      </c>
      <c r="C24" s="71" t="s">
        <v>245</v>
      </c>
      <c r="D24" s="72" t="s">
        <v>246</v>
      </c>
      <c r="E24" s="74" t="s">
        <v>1487</v>
      </c>
    </row>
    <row r="25" spans="1:5" x14ac:dyDescent="0.2">
      <c r="A25" s="91">
        <v>20</v>
      </c>
      <c r="B25" s="70" t="s">
        <v>208</v>
      </c>
      <c r="C25" s="71" t="s">
        <v>209</v>
      </c>
      <c r="D25" s="72" t="s">
        <v>210</v>
      </c>
      <c r="E25" s="73"/>
    </row>
    <row r="26" spans="1:5" x14ac:dyDescent="0.2">
      <c r="A26" s="91">
        <v>21</v>
      </c>
      <c r="B26" s="70" t="s">
        <v>1134</v>
      </c>
      <c r="C26" s="71" t="s">
        <v>1135</v>
      </c>
      <c r="D26" s="72" t="s">
        <v>1136</v>
      </c>
      <c r="E26" s="73"/>
    </row>
    <row r="27" spans="1:5" x14ac:dyDescent="0.2">
      <c r="A27" s="91">
        <v>22</v>
      </c>
      <c r="B27" s="70" t="s">
        <v>1267</v>
      </c>
      <c r="C27" s="71" t="s">
        <v>1268</v>
      </c>
      <c r="D27" s="72" t="s">
        <v>1269</v>
      </c>
      <c r="E27" s="73"/>
    </row>
    <row r="28" spans="1:5" x14ac:dyDescent="0.2">
      <c r="A28" s="91">
        <v>23</v>
      </c>
      <c r="B28" s="70" t="s">
        <v>620</v>
      </c>
      <c r="C28" s="71" t="s">
        <v>621</v>
      </c>
      <c r="D28" s="72" t="s">
        <v>366</v>
      </c>
      <c r="E28" s="73"/>
    </row>
    <row r="29" spans="1:5" x14ac:dyDescent="0.2">
      <c r="A29" s="91">
        <v>24</v>
      </c>
      <c r="B29" s="70" t="s">
        <v>150</v>
      </c>
      <c r="C29" s="71" t="s">
        <v>151</v>
      </c>
      <c r="D29" s="72" t="s">
        <v>152</v>
      </c>
      <c r="E29" s="73"/>
    </row>
    <row r="30" spans="1:5" ht="12.75" customHeight="1" x14ac:dyDescent="0.2">
      <c r="A30" s="91">
        <v>25</v>
      </c>
      <c r="B30" s="70" t="s">
        <v>1095</v>
      </c>
      <c r="C30" s="71" t="s">
        <v>1096</v>
      </c>
      <c r="D30" s="72" t="s">
        <v>765</v>
      </c>
      <c r="E30" s="73"/>
    </row>
    <row r="31" spans="1:5" x14ac:dyDescent="0.2">
      <c r="A31" s="91">
        <v>26</v>
      </c>
      <c r="B31" s="70" t="s">
        <v>803</v>
      </c>
      <c r="C31" s="71" t="s">
        <v>804</v>
      </c>
      <c r="D31" s="72" t="s">
        <v>312</v>
      </c>
      <c r="E31" s="73"/>
    </row>
    <row r="32" spans="1:5" x14ac:dyDescent="0.2">
      <c r="A32" s="91">
        <v>27</v>
      </c>
      <c r="B32" s="70" t="s">
        <v>1058</v>
      </c>
      <c r="C32" s="71" t="s">
        <v>1059</v>
      </c>
      <c r="D32" s="72" t="s">
        <v>1060</v>
      </c>
      <c r="E32" s="73"/>
    </row>
    <row r="33" spans="1:5" x14ac:dyDescent="0.2">
      <c r="A33" s="91">
        <v>28</v>
      </c>
      <c r="B33" s="70" t="s">
        <v>1079</v>
      </c>
      <c r="C33" s="71" t="s">
        <v>1080</v>
      </c>
      <c r="D33" s="72" t="s">
        <v>1081</v>
      </c>
      <c r="E33" s="73"/>
    </row>
    <row r="34" spans="1:5" x14ac:dyDescent="0.2">
      <c r="A34" s="91">
        <v>29</v>
      </c>
      <c r="B34" s="70" t="s">
        <v>280</v>
      </c>
      <c r="C34" s="71" t="s">
        <v>281</v>
      </c>
      <c r="D34" s="72" t="s">
        <v>282</v>
      </c>
      <c r="E34" s="73"/>
    </row>
    <row r="35" spans="1:5" x14ac:dyDescent="0.2">
      <c r="A35" s="91">
        <v>30</v>
      </c>
      <c r="B35" s="70" t="s">
        <v>103</v>
      </c>
      <c r="C35" s="71" t="s">
        <v>104</v>
      </c>
      <c r="D35" s="72" t="s">
        <v>105</v>
      </c>
      <c r="E35" s="73"/>
    </row>
    <row r="36" spans="1:5" x14ac:dyDescent="0.2">
      <c r="A36" s="91">
        <v>31</v>
      </c>
      <c r="B36" s="70" t="s">
        <v>189</v>
      </c>
      <c r="C36" s="71" t="s">
        <v>190</v>
      </c>
      <c r="D36" s="72" t="s">
        <v>191</v>
      </c>
      <c r="E36" s="73"/>
    </row>
    <row r="37" spans="1:5" x14ac:dyDescent="0.2">
      <c r="A37" s="91">
        <v>32</v>
      </c>
      <c r="B37" s="70" t="s">
        <v>235</v>
      </c>
      <c r="C37" s="71" t="s">
        <v>236</v>
      </c>
      <c r="D37" s="72" t="s">
        <v>237</v>
      </c>
      <c r="E37" s="73"/>
    </row>
    <row r="38" spans="1:5" x14ac:dyDescent="0.2">
      <c r="A38" s="91">
        <v>33</v>
      </c>
      <c r="B38" s="70" t="s">
        <v>238</v>
      </c>
      <c r="C38" s="71" t="s">
        <v>239</v>
      </c>
      <c r="D38" s="72" t="s">
        <v>240</v>
      </c>
      <c r="E38" s="73"/>
    </row>
    <row r="39" spans="1:5" x14ac:dyDescent="0.2">
      <c r="A39" s="91">
        <v>34</v>
      </c>
      <c r="B39" s="70" t="s">
        <v>909</v>
      </c>
      <c r="C39" s="71" t="s">
        <v>910</v>
      </c>
      <c r="D39" s="72" t="s">
        <v>222</v>
      </c>
      <c r="E39" s="73"/>
    </row>
    <row r="40" spans="1:5" x14ac:dyDescent="0.2">
      <c r="A40" s="91">
        <v>35</v>
      </c>
      <c r="B40" s="70" t="s">
        <v>106</v>
      </c>
      <c r="C40" s="71" t="s">
        <v>107</v>
      </c>
      <c r="D40" s="75" t="s">
        <v>108</v>
      </c>
      <c r="E40" s="73"/>
    </row>
    <row r="41" spans="1:5" x14ac:dyDescent="0.2">
      <c r="A41" s="91">
        <v>36</v>
      </c>
      <c r="B41" s="70" t="s">
        <v>577</v>
      </c>
      <c r="C41" s="71" t="s">
        <v>578</v>
      </c>
      <c r="D41" s="72" t="s">
        <v>579</v>
      </c>
      <c r="E41" s="73"/>
    </row>
    <row r="42" spans="1:5" x14ac:dyDescent="0.2">
      <c r="A42" s="91">
        <v>37</v>
      </c>
      <c r="B42" s="70" t="s">
        <v>963</v>
      </c>
      <c r="C42" s="71" t="s">
        <v>964</v>
      </c>
      <c r="D42" s="72" t="s">
        <v>460</v>
      </c>
      <c r="E42" s="73"/>
    </row>
    <row r="43" spans="1:5" x14ac:dyDescent="0.2">
      <c r="A43" s="91">
        <v>38</v>
      </c>
      <c r="B43" s="70" t="s">
        <v>1142</v>
      </c>
      <c r="C43" s="71" t="s">
        <v>1143</v>
      </c>
      <c r="D43" s="72" t="s">
        <v>1144</v>
      </c>
      <c r="E43" s="73"/>
    </row>
    <row r="44" spans="1:5" x14ac:dyDescent="0.2">
      <c r="A44" s="91">
        <v>39</v>
      </c>
      <c r="B44" s="70" t="s">
        <v>965</v>
      </c>
      <c r="C44" s="71" t="s">
        <v>966</v>
      </c>
      <c r="D44" s="72" t="s">
        <v>967</v>
      </c>
      <c r="E44" s="73"/>
    </row>
    <row r="45" spans="1:5" ht="15" customHeight="1" x14ac:dyDescent="0.2">
      <c r="A45" s="91">
        <v>40</v>
      </c>
      <c r="B45" s="70" t="s">
        <v>971</v>
      </c>
      <c r="C45" s="71" t="s">
        <v>972</v>
      </c>
      <c r="D45" s="72" t="s">
        <v>973</v>
      </c>
      <c r="E45" s="73"/>
    </row>
    <row r="46" spans="1:5" x14ac:dyDescent="0.2">
      <c r="A46" s="91">
        <v>41</v>
      </c>
      <c r="B46" s="76" t="s">
        <v>183</v>
      </c>
      <c r="C46" s="71" t="s">
        <v>184</v>
      </c>
      <c r="D46" s="72" t="s">
        <v>185</v>
      </c>
      <c r="E46" s="73"/>
    </row>
    <row r="47" spans="1:5" x14ac:dyDescent="0.2">
      <c r="A47" s="91">
        <v>42</v>
      </c>
      <c r="B47" s="70" t="s">
        <v>434</v>
      </c>
      <c r="C47" s="71" t="s">
        <v>435</v>
      </c>
      <c r="D47" s="72" t="s">
        <v>436</v>
      </c>
      <c r="E47" s="73"/>
    </row>
    <row r="48" spans="1:5" x14ac:dyDescent="0.2">
      <c r="A48" s="91">
        <v>43</v>
      </c>
      <c r="B48" s="77" t="s">
        <v>1270</v>
      </c>
      <c r="C48" s="71" t="s">
        <v>1271</v>
      </c>
      <c r="D48" s="72"/>
      <c r="E48" s="73" t="s">
        <v>1488</v>
      </c>
    </row>
    <row r="49" spans="1:5" x14ac:dyDescent="0.2">
      <c r="A49" s="91">
        <v>44</v>
      </c>
      <c r="B49" s="70" t="s">
        <v>1070</v>
      </c>
      <c r="C49" s="71" t="s">
        <v>1071</v>
      </c>
      <c r="D49" s="72" t="s">
        <v>1072</v>
      </c>
      <c r="E49" s="73"/>
    </row>
    <row r="50" spans="1:5" x14ac:dyDescent="0.2">
      <c r="A50" s="91">
        <v>45</v>
      </c>
      <c r="B50" s="70" t="s">
        <v>580</v>
      </c>
      <c r="C50" s="71" t="s">
        <v>581</v>
      </c>
      <c r="D50" s="72" t="s">
        <v>582</v>
      </c>
      <c r="E50" s="73"/>
    </row>
    <row r="51" spans="1:5" x14ac:dyDescent="0.2">
      <c r="A51" s="91">
        <v>46</v>
      </c>
      <c r="B51" s="77" t="s">
        <v>1272</v>
      </c>
      <c r="C51" s="71" t="s">
        <v>1273</v>
      </c>
      <c r="D51" s="72"/>
      <c r="E51" s="73" t="s">
        <v>1488</v>
      </c>
    </row>
    <row r="52" spans="1:5" x14ac:dyDescent="0.2">
      <c r="A52" s="91">
        <v>47</v>
      </c>
      <c r="B52" s="70" t="s">
        <v>807</v>
      </c>
      <c r="C52" s="71" t="s">
        <v>808</v>
      </c>
      <c r="D52" s="72" t="s">
        <v>809</v>
      </c>
      <c r="E52" s="73"/>
    </row>
    <row r="53" spans="1:5" x14ac:dyDescent="0.2">
      <c r="A53" s="91">
        <v>48</v>
      </c>
      <c r="B53" s="70" t="s">
        <v>1274</v>
      </c>
      <c r="C53" s="71" t="s">
        <v>1275</v>
      </c>
      <c r="D53" s="72" t="s">
        <v>857</v>
      </c>
      <c r="E53" s="73"/>
    </row>
    <row r="54" spans="1:5" x14ac:dyDescent="0.2">
      <c r="A54" s="91">
        <v>49</v>
      </c>
      <c r="B54" s="70" t="s">
        <v>1276</v>
      </c>
      <c r="C54" s="71" t="s">
        <v>1277</v>
      </c>
      <c r="D54" s="72" t="s">
        <v>1278</v>
      </c>
      <c r="E54" s="73"/>
    </row>
    <row r="55" spans="1:5" x14ac:dyDescent="0.2">
      <c r="A55" s="91">
        <v>50</v>
      </c>
      <c r="B55" s="77" t="s">
        <v>1279</v>
      </c>
      <c r="C55" s="71" t="s">
        <v>1280</v>
      </c>
      <c r="D55" s="72" t="s">
        <v>222</v>
      </c>
      <c r="E55" s="73" t="s">
        <v>1488</v>
      </c>
    </row>
    <row r="56" spans="1:5" x14ac:dyDescent="0.2">
      <c r="A56" s="91">
        <v>51</v>
      </c>
      <c r="B56" s="70" t="s">
        <v>769</v>
      </c>
      <c r="C56" s="71" t="s">
        <v>770</v>
      </c>
      <c r="D56" s="72" t="s">
        <v>771</v>
      </c>
      <c r="E56" s="73"/>
    </row>
    <row r="57" spans="1:5" x14ac:dyDescent="0.2">
      <c r="A57" s="91">
        <v>52</v>
      </c>
      <c r="B57" s="70" t="s">
        <v>1076</v>
      </c>
      <c r="C57" s="71" t="s">
        <v>1077</v>
      </c>
      <c r="D57" s="72" t="s">
        <v>1078</v>
      </c>
      <c r="E57" s="73"/>
    </row>
    <row r="58" spans="1:5" x14ac:dyDescent="0.2">
      <c r="A58" s="91">
        <v>53</v>
      </c>
      <c r="B58" s="70" t="s">
        <v>464</v>
      </c>
      <c r="C58" s="71" t="s">
        <v>465</v>
      </c>
      <c r="D58" s="72" t="s">
        <v>466</v>
      </c>
      <c r="E58" s="73"/>
    </row>
    <row r="59" spans="1:5" x14ac:dyDescent="0.2">
      <c r="A59" s="91">
        <v>54</v>
      </c>
      <c r="B59" s="70" t="s">
        <v>825</v>
      </c>
      <c r="C59" s="71" t="s">
        <v>826</v>
      </c>
      <c r="D59" s="72" t="s">
        <v>827</v>
      </c>
      <c r="E59" s="73"/>
    </row>
    <row r="60" spans="1:5" x14ac:dyDescent="0.2">
      <c r="A60" s="91">
        <v>55</v>
      </c>
      <c r="B60" s="77" t="s">
        <v>1281</v>
      </c>
      <c r="C60" s="71" t="s">
        <v>1282</v>
      </c>
      <c r="D60" s="72"/>
      <c r="E60" s="73" t="s">
        <v>1488</v>
      </c>
    </row>
    <row r="61" spans="1:5" x14ac:dyDescent="0.2">
      <c r="A61" s="91">
        <v>56</v>
      </c>
      <c r="B61" s="70" t="s">
        <v>658</v>
      </c>
      <c r="C61" s="71" t="s">
        <v>659</v>
      </c>
      <c r="D61" s="72" t="s">
        <v>892</v>
      </c>
      <c r="E61" s="73" t="s">
        <v>1489</v>
      </c>
    </row>
    <row r="62" spans="1:5" x14ac:dyDescent="0.2">
      <c r="A62" s="91">
        <v>57</v>
      </c>
      <c r="B62" s="70" t="s">
        <v>171</v>
      </c>
      <c r="C62" s="71" t="s">
        <v>172</v>
      </c>
      <c r="D62" s="72" t="s">
        <v>173</v>
      </c>
      <c r="E62" s="73"/>
    </row>
    <row r="63" spans="1:5" x14ac:dyDescent="0.2">
      <c r="A63" s="91">
        <v>58</v>
      </c>
      <c r="B63" s="70" t="s">
        <v>734</v>
      </c>
      <c r="C63" s="71" t="s">
        <v>735</v>
      </c>
      <c r="D63" s="72" t="s">
        <v>736</v>
      </c>
      <c r="E63" s="73"/>
    </row>
    <row r="64" spans="1:5" x14ac:dyDescent="0.2">
      <c r="A64" s="91">
        <v>59</v>
      </c>
      <c r="B64" s="70" t="s">
        <v>250</v>
      </c>
      <c r="C64" s="71" t="s">
        <v>251</v>
      </c>
      <c r="D64" s="72" t="s">
        <v>252</v>
      </c>
      <c r="E64" s="73"/>
    </row>
    <row r="65" spans="1:5" x14ac:dyDescent="0.2">
      <c r="A65" s="91">
        <v>60</v>
      </c>
      <c r="B65" s="70" t="s">
        <v>705</v>
      </c>
      <c r="C65" s="71" t="s">
        <v>706</v>
      </c>
      <c r="D65" s="72" t="s">
        <v>707</v>
      </c>
      <c r="E65" s="73"/>
    </row>
    <row r="66" spans="1:5" x14ac:dyDescent="0.2">
      <c r="A66" s="91">
        <v>61</v>
      </c>
      <c r="B66" s="77" t="s">
        <v>1283</v>
      </c>
      <c r="C66" s="71" t="s">
        <v>1284</v>
      </c>
      <c r="D66" s="72"/>
      <c r="E66" s="73" t="s">
        <v>1488</v>
      </c>
    </row>
    <row r="67" spans="1:5" x14ac:dyDescent="0.2">
      <c r="A67" s="91">
        <v>62</v>
      </c>
      <c r="B67" s="70" t="s">
        <v>509</v>
      </c>
      <c r="C67" s="71" t="s">
        <v>510</v>
      </c>
      <c r="D67" s="72" t="s">
        <v>511</v>
      </c>
      <c r="E67" s="73"/>
    </row>
    <row r="68" spans="1:5" x14ac:dyDescent="0.2">
      <c r="A68" s="91">
        <v>63</v>
      </c>
      <c r="B68" s="70" t="s">
        <v>97</v>
      </c>
      <c r="C68" s="71" t="s">
        <v>98</v>
      </c>
      <c r="D68" s="72" t="s">
        <v>99</v>
      </c>
      <c r="E68" s="73" t="s">
        <v>1490</v>
      </c>
    </row>
    <row r="69" spans="1:5" x14ac:dyDescent="0.2">
      <c r="A69" s="91">
        <v>64</v>
      </c>
      <c r="B69" s="70" t="s">
        <v>772</v>
      </c>
      <c r="C69" s="71" t="s">
        <v>773</v>
      </c>
      <c r="D69" s="72" t="s">
        <v>237</v>
      </c>
      <c r="E69" s="73" t="s">
        <v>1491</v>
      </c>
    </row>
    <row r="70" spans="1:5" x14ac:dyDescent="0.2">
      <c r="A70" s="91">
        <v>65</v>
      </c>
      <c r="B70" s="70" t="s">
        <v>54</v>
      </c>
      <c r="C70" s="71" t="s">
        <v>55</v>
      </c>
      <c r="D70" s="72" t="s">
        <v>56</v>
      </c>
      <c r="E70" s="73"/>
    </row>
    <row r="71" spans="1:5" x14ac:dyDescent="0.2">
      <c r="A71" s="91">
        <v>66</v>
      </c>
      <c r="B71" s="70" t="s">
        <v>241</v>
      </c>
      <c r="C71" s="71" t="s">
        <v>242</v>
      </c>
      <c r="D71" s="72" t="s">
        <v>243</v>
      </c>
      <c r="E71" s="73"/>
    </row>
    <row r="72" spans="1:5" x14ac:dyDescent="0.2">
      <c r="A72" s="91">
        <v>67</v>
      </c>
      <c r="B72" s="70" t="s">
        <v>702</v>
      </c>
      <c r="C72" s="71" t="s">
        <v>703</v>
      </c>
      <c r="D72" s="72" t="s">
        <v>704</v>
      </c>
      <c r="E72" s="73"/>
    </row>
    <row r="73" spans="1:5" x14ac:dyDescent="0.2">
      <c r="A73" s="91">
        <v>68</v>
      </c>
      <c r="B73" s="70" t="s">
        <v>614</v>
      </c>
      <c r="C73" s="71" t="s">
        <v>615</v>
      </c>
      <c r="D73" s="72" t="s">
        <v>616</v>
      </c>
      <c r="E73" s="73"/>
    </row>
    <row r="74" spans="1:5" x14ac:dyDescent="0.2">
      <c r="A74" s="91">
        <v>69</v>
      </c>
      <c r="B74" s="70" t="s">
        <v>1289</v>
      </c>
      <c r="C74" s="71" t="s">
        <v>1290</v>
      </c>
      <c r="D74" s="72" t="s">
        <v>1291</v>
      </c>
      <c r="E74" s="73"/>
    </row>
    <row r="75" spans="1:5" x14ac:dyDescent="0.2">
      <c r="A75" s="91">
        <v>70</v>
      </c>
      <c r="B75" s="70" t="s">
        <v>1014</v>
      </c>
      <c r="C75" s="71" t="s">
        <v>1015</v>
      </c>
      <c r="D75" s="72" t="s">
        <v>1016</v>
      </c>
      <c r="E75" s="73"/>
    </row>
    <row r="76" spans="1:5" x14ac:dyDescent="0.2">
      <c r="A76" s="91">
        <v>71</v>
      </c>
      <c r="B76" s="70" t="s">
        <v>313</v>
      </c>
      <c r="C76" s="71" t="s">
        <v>314</v>
      </c>
      <c r="D76" s="72" t="s">
        <v>315</v>
      </c>
      <c r="E76" s="73"/>
    </row>
    <row r="77" spans="1:5" x14ac:dyDescent="0.2">
      <c r="A77" s="91">
        <v>72</v>
      </c>
      <c r="B77" s="77" t="s">
        <v>1292</v>
      </c>
      <c r="C77" s="71" t="s">
        <v>1293</v>
      </c>
      <c r="D77" s="72"/>
      <c r="E77" s="73" t="s">
        <v>1488</v>
      </c>
    </row>
    <row r="78" spans="1:5" x14ac:dyDescent="0.2">
      <c r="A78" s="91">
        <v>73</v>
      </c>
      <c r="B78" s="70" t="s">
        <v>404</v>
      </c>
      <c r="C78" s="71" t="s">
        <v>405</v>
      </c>
      <c r="D78" s="72" t="s">
        <v>406</v>
      </c>
      <c r="E78" s="73"/>
    </row>
    <row r="79" spans="1:5" x14ac:dyDescent="0.2">
      <c r="A79" s="91">
        <v>74</v>
      </c>
      <c r="B79" s="70" t="s">
        <v>810</v>
      </c>
      <c r="C79" s="71" t="s">
        <v>811</v>
      </c>
      <c r="D79" s="72" t="s">
        <v>812</v>
      </c>
      <c r="E79" s="73"/>
    </row>
    <row r="80" spans="1:5" x14ac:dyDescent="0.2">
      <c r="A80" s="91">
        <v>75</v>
      </c>
      <c r="B80" s="70" t="s">
        <v>517</v>
      </c>
      <c r="C80" s="71" t="s">
        <v>518</v>
      </c>
      <c r="D80" s="72" t="s">
        <v>519</v>
      </c>
      <c r="E80" s="73"/>
    </row>
    <row r="81" spans="1:5" x14ac:dyDescent="0.2">
      <c r="A81" s="91">
        <v>76</v>
      </c>
      <c r="B81" s="70" t="s">
        <v>153</v>
      </c>
      <c r="C81" s="71" t="s">
        <v>154</v>
      </c>
      <c r="D81" s="72" t="s">
        <v>155</v>
      </c>
      <c r="E81" s="73"/>
    </row>
    <row r="82" spans="1:5" x14ac:dyDescent="0.2">
      <c r="A82" s="91">
        <v>77</v>
      </c>
      <c r="B82" s="70" t="s">
        <v>950</v>
      </c>
      <c r="C82" s="71" t="s">
        <v>951</v>
      </c>
      <c r="D82" s="72" t="s">
        <v>952</v>
      </c>
      <c r="E82" s="73"/>
    </row>
    <row r="83" spans="1:5" x14ac:dyDescent="0.2">
      <c r="A83" s="91">
        <v>78</v>
      </c>
      <c r="B83" s="70" t="s">
        <v>497</v>
      </c>
      <c r="C83" s="71" t="s">
        <v>498</v>
      </c>
      <c r="D83" s="72" t="s">
        <v>499</v>
      </c>
      <c r="E83" s="73"/>
    </row>
    <row r="84" spans="1:5" x14ac:dyDescent="0.2">
      <c r="A84" s="91">
        <v>79</v>
      </c>
      <c r="B84" s="70" t="s">
        <v>1294</v>
      </c>
      <c r="C84" s="71" t="s">
        <v>1295</v>
      </c>
      <c r="D84" s="72" t="s">
        <v>1296</v>
      </c>
      <c r="E84" s="73"/>
    </row>
    <row r="85" spans="1:5" x14ac:dyDescent="0.2">
      <c r="A85" s="91">
        <v>80</v>
      </c>
      <c r="B85" s="70" t="s">
        <v>337</v>
      </c>
      <c r="C85" s="71" t="s">
        <v>338</v>
      </c>
      <c r="D85" s="72" t="s">
        <v>339</v>
      </c>
      <c r="E85" s="73"/>
    </row>
    <row r="86" spans="1:5" x14ac:dyDescent="0.2">
      <c r="A86" s="91">
        <v>81</v>
      </c>
      <c r="B86" s="70" t="s">
        <v>852</v>
      </c>
      <c r="C86" s="71" t="s">
        <v>853</v>
      </c>
      <c r="D86" s="72" t="s">
        <v>854</v>
      </c>
      <c r="E86" s="73"/>
    </row>
    <row r="87" spans="1:5" x14ac:dyDescent="0.2">
      <c r="A87" s="91">
        <v>82</v>
      </c>
      <c r="B87" s="70" t="s">
        <v>1297</v>
      </c>
      <c r="C87" s="71" t="s">
        <v>1298</v>
      </c>
      <c r="D87" s="72" t="s">
        <v>1299</v>
      </c>
      <c r="E87" s="73"/>
    </row>
    <row r="88" spans="1:5" x14ac:dyDescent="0.2">
      <c r="A88" s="91">
        <v>83</v>
      </c>
      <c r="B88" s="70" t="s">
        <v>3190</v>
      </c>
      <c r="C88" s="71" t="s">
        <v>3211</v>
      </c>
      <c r="D88" s="83" t="s">
        <v>1425</v>
      </c>
      <c r="E88" s="73"/>
    </row>
    <row r="89" spans="1:5" x14ac:dyDescent="0.2">
      <c r="A89" s="91">
        <v>84</v>
      </c>
      <c r="B89" s="70" t="s">
        <v>1300</v>
      </c>
      <c r="C89" s="71" t="s">
        <v>1301</v>
      </c>
      <c r="D89" s="72" t="s">
        <v>3209</v>
      </c>
      <c r="E89" s="73"/>
    </row>
    <row r="90" spans="1:5" x14ac:dyDescent="0.2">
      <c r="A90" s="91">
        <v>85</v>
      </c>
      <c r="B90" s="70" t="s">
        <v>48</v>
      </c>
      <c r="C90" s="71" t="s">
        <v>49</v>
      </c>
      <c r="D90" s="72" t="s">
        <v>50</v>
      </c>
      <c r="E90" s="73"/>
    </row>
    <row r="91" spans="1:5" x14ac:dyDescent="0.2">
      <c r="A91" s="91">
        <v>86</v>
      </c>
      <c r="B91" s="70" t="s">
        <v>583</v>
      </c>
      <c r="C91" s="71" t="s">
        <v>584</v>
      </c>
      <c r="D91" s="72" t="s">
        <v>585</v>
      </c>
      <c r="E91" s="73"/>
    </row>
    <row r="92" spans="1:5" x14ac:dyDescent="0.2">
      <c r="A92" s="91">
        <v>87</v>
      </c>
      <c r="B92" s="70" t="s">
        <v>1154</v>
      </c>
      <c r="C92" s="71" t="s">
        <v>1155</v>
      </c>
      <c r="D92" s="72" t="s">
        <v>1156</v>
      </c>
      <c r="E92" s="73"/>
    </row>
    <row r="93" spans="1:5" x14ac:dyDescent="0.2">
      <c r="A93" s="91">
        <v>88</v>
      </c>
      <c r="B93" s="70" t="s">
        <v>416</v>
      </c>
      <c r="C93" s="71" t="s">
        <v>417</v>
      </c>
      <c r="D93" s="78" t="s">
        <v>418</v>
      </c>
      <c r="E93" s="73"/>
    </row>
    <row r="94" spans="1:5" x14ac:dyDescent="0.2">
      <c r="A94" s="91">
        <v>89</v>
      </c>
      <c r="B94" s="70" t="s">
        <v>655</v>
      </c>
      <c r="C94" s="71" t="s">
        <v>656</v>
      </c>
      <c r="D94" s="72" t="s">
        <v>657</v>
      </c>
      <c r="E94" s="73"/>
    </row>
    <row r="95" spans="1:5" x14ac:dyDescent="0.2">
      <c r="A95" s="91">
        <v>90</v>
      </c>
      <c r="B95" s="70" t="s">
        <v>999</v>
      </c>
      <c r="C95" s="71" t="s">
        <v>1000</v>
      </c>
      <c r="D95" s="72" t="s">
        <v>1001</v>
      </c>
      <c r="E95" s="73"/>
    </row>
    <row r="96" spans="1:5" x14ac:dyDescent="0.2">
      <c r="A96" s="91">
        <v>91</v>
      </c>
      <c r="B96" s="70" t="s">
        <v>1170</v>
      </c>
      <c r="C96" s="71" t="s">
        <v>1171</v>
      </c>
      <c r="D96" s="72" t="s">
        <v>389</v>
      </c>
      <c r="E96" s="73"/>
    </row>
    <row r="97" spans="1:5" x14ac:dyDescent="0.2">
      <c r="A97" s="91">
        <v>92</v>
      </c>
      <c r="B97" s="70" t="s">
        <v>1148</v>
      </c>
      <c r="C97" s="71" t="s">
        <v>1149</v>
      </c>
      <c r="D97" s="72" t="s">
        <v>1150</v>
      </c>
      <c r="E97" s="73"/>
    </row>
    <row r="98" spans="1:5" x14ac:dyDescent="0.2">
      <c r="A98" s="91">
        <v>93</v>
      </c>
      <c r="B98" s="70" t="s">
        <v>1304</v>
      </c>
      <c r="C98" s="71" t="s">
        <v>1305</v>
      </c>
      <c r="D98" s="72" t="s">
        <v>1306</v>
      </c>
      <c r="E98" s="73"/>
    </row>
    <row r="99" spans="1:5" x14ac:dyDescent="0.2">
      <c r="A99" s="91">
        <v>94</v>
      </c>
      <c r="B99" s="70" t="s">
        <v>425</v>
      </c>
      <c r="C99" s="71" t="s">
        <v>426</v>
      </c>
      <c r="D99" s="72" t="s">
        <v>427</v>
      </c>
      <c r="E99" s="73"/>
    </row>
    <row r="100" spans="1:5" x14ac:dyDescent="0.2">
      <c r="A100" s="91">
        <v>95</v>
      </c>
      <c r="B100" s="70" t="s">
        <v>968</v>
      </c>
      <c r="C100" s="71" t="s">
        <v>969</v>
      </c>
      <c r="D100" s="72" t="s">
        <v>970</v>
      </c>
      <c r="E100" s="73"/>
    </row>
    <row r="101" spans="1:5" x14ac:dyDescent="0.2">
      <c r="A101" s="91">
        <v>96</v>
      </c>
      <c r="B101" s="70" t="s">
        <v>823</v>
      </c>
      <c r="C101" s="71" t="s">
        <v>824</v>
      </c>
      <c r="D101" s="72" t="s">
        <v>765</v>
      </c>
      <c r="E101" s="73"/>
    </row>
    <row r="102" spans="1:5" x14ac:dyDescent="0.2">
      <c r="A102" s="91">
        <v>97</v>
      </c>
      <c r="B102" s="70" t="s">
        <v>500</v>
      </c>
      <c r="C102" s="71" t="s">
        <v>501</v>
      </c>
      <c r="D102" s="72" t="s">
        <v>502</v>
      </c>
      <c r="E102" s="73"/>
    </row>
    <row r="103" spans="1:5" x14ac:dyDescent="0.2">
      <c r="A103" s="91">
        <v>98</v>
      </c>
      <c r="B103" s="70" t="s">
        <v>849</v>
      </c>
      <c r="C103" s="71" t="s">
        <v>850</v>
      </c>
      <c r="D103" s="72" t="s">
        <v>851</v>
      </c>
      <c r="E103" s="73"/>
    </row>
    <row r="104" spans="1:5" x14ac:dyDescent="0.2">
      <c r="A104" s="91">
        <v>99</v>
      </c>
      <c r="B104" s="70" t="s">
        <v>132</v>
      </c>
      <c r="C104" s="71" t="s">
        <v>133</v>
      </c>
      <c r="D104" s="72" t="s">
        <v>134</v>
      </c>
      <c r="E104" s="73"/>
    </row>
    <row r="105" spans="1:5" x14ac:dyDescent="0.2">
      <c r="A105" s="91">
        <v>100</v>
      </c>
      <c r="B105" s="70" t="s">
        <v>328</v>
      </c>
      <c r="C105" s="71" t="s">
        <v>329</v>
      </c>
      <c r="D105" s="72" t="s">
        <v>330</v>
      </c>
      <c r="E105" s="73"/>
    </row>
    <row r="106" spans="1:5" x14ac:dyDescent="0.2">
      <c r="A106" s="91">
        <v>101</v>
      </c>
      <c r="B106" s="70" t="s">
        <v>1307</v>
      </c>
      <c r="C106" s="71" t="s">
        <v>1308</v>
      </c>
      <c r="D106" s="72" t="s">
        <v>1309</v>
      </c>
      <c r="E106" s="73"/>
    </row>
    <row r="107" spans="1:5" x14ac:dyDescent="0.2">
      <c r="A107" s="91">
        <v>102</v>
      </c>
      <c r="B107" s="70" t="s">
        <v>449</v>
      </c>
      <c r="C107" s="71" t="s">
        <v>450</v>
      </c>
      <c r="D107" s="72" t="s">
        <v>451</v>
      </c>
      <c r="E107" s="73"/>
    </row>
    <row r="108" spans="1:5" x14ac:dyDescent="0.2">
      <c r="A108" s="91">
        <v>103</v>
      </c>
      <c r="B108" s="70" t="s">
        <v>711</v>
      </c>
      <c r="C108" s="71" t="s">
        <v>712</v>
      </c>
      <c r="D108" s="72" t="s">
        <v>713</v>
      </c>
      <c r="E108" s="73"/>
    </row>
    <row r="109" spans="1:5" ht="14.25" customHeight="1" x14ac:dyDescent="0.2">
      <c r="A109" s="91">
        <v>104</v>
      </c>
      <c r="B109" s="70" t="s">
        <v>1029</v>
      </c>
      <c r="C109" s="71" t="s">
        <v>1030</v>
      </c>
      <c r="D109" s="72" t="s">
        <v>1031</v>
      </c>
      <c r="E109" s="73"/>
    </row>
    <row r="110" spans="1:5" ht="12.75" customHeight="1" x14ac:dyDescent="0.2">
      <c r="A110" s="91">
        <v>105</v>
      </c>
      <c r="B110" s="70" t="s">
        <v>138</v>
      </c>
      <c r="C110" s="71" t="s">
        <v>139</v>
      </c>
      <c r="D110" s="72" t="s">
        <v>140</v>
      </c>
      <c r="E110" s="73"/>
    </row>
    <row r="111" spans="1:5" ht="12.75" customHeight="1" x14ac:dyDescent="0.2">
      <c r="A111" s="91">
        <v>106</v>
      </c>
      <c r="B111" s="77" t="s">
        <v>1310</v>
      </c>
      <c r="C111" s="71" t="s">
        <v>1311</v>
      </c>
      <c r="D111" s="72"/>
      <c r="E111" s="73" t="s">
        <v>1488</v>
      </c>
    </row>
    <row r="112" spans="1:5" ht="12.75" customHeight="1" x14ac:dyDescent="0.2">
      <c r="A112" s="91">
        <v>107</v>
      </c>
      <c r="B112" s="70" t="s">
        <v>84</v>
      </c>
      <c r="C112" s="71" t="s">
        <v>85</v>
      </c>
      <c r="D112" s="79" t="s">
        <v>86</v>
      </c>
      <c r="E112" s="73"/>
    </row>
    <row r="113" spans="1:5" x14ac:dyDescent="0.2">
      <c r="A113" s="91">
        <v>108</v>
      </c>
      <c r="B113" s="70" t="s">
        <v>65</v>
      </c>
      <c r="C113" s="71" t="s">
        <v>66</v>
      </c>
      <c r="D113" s="72" t="s">
        <v>67</v>
      </c>
      <c r="E113" s="73"/>
    </row>
    <row r="114" spans="1:5" x14ac:dyDescent="0.2">
      <c r="A114" s="91">
        <v>109</v>
      </c>
      <c r="B114" s="77" t="s">
        <v>1312</v>
      </c>
      <c r="C114" s="71" t="s">
        <v>1313</v>
      </c>
      <c r="D114" s="72"/>
      <c r="E114" s="73" t="s">
        <v>1488</v>
      </c>
    </row>
    <row r="115" spans="1:5" x14ac:dyDescent="0.2">
      <c r="A115" s="91">
        <v>110</v>
      </c>
      <c r="B115" s="70" t="s">
        <v>367</v>
      </c>
      <c r="C115" s="71" t="s">
        <v>368</v>
      </c>
      <c r="D115" s="72" t="s">
        <v>369</v>
      </c>
      <c r="E115" s="73"/>
    </row>
    <row r="116" spans="1:5" ht="14.25" x14ac:dyDescent="0.2">
      <c r="A116" s="91">
        <v>111</v>
      </c>
      <c r="B116" s="80" t="s">
        <v>752</v>
      </c>
      <c r="C116" s="71" t="s">
        <v>753</v>
      </c>
      <c r="D116" s="81" t="s">
        <v>754</v>
      </c>
      <c r="E116" s="73" t="s">
        <v>1492</v>
      </c>
    </row>
    <row r="117" spans="1:5" ht="14.25" x14ac:dyDescent="0.2">
      <c r="A117" s="91">
        <v>112</v>
      </c>
      <c r="B117" s="80" t="s">
        <v>755</v>
      </c>
      <c r="C117" s="71" t="s">
        <v>756</v>
      </c>
      <c r="D117" s="81" t="s">
        <v>757</v>
      </c>
      <c r="E117" s="73" t="s">
        <v>1493</v>
      </c>
    </row>
    <row r="118" spans="1:5" x14ac:dyDescent="0.2">
      <c r="A118" s="91">
        <v>113</v>
      </c>
      <c r="B118" s="70" t="s">
        <v>957</v>
      </c>
      <c r="C118" s="71" t="s">
        <v>958</v>
      </c>
      <c r="D118" s="72" t="s">
        <v>959</v>
      </c>
      <c r="E118" s="73"/>
    </row>
    <row r="119" spans="1:5" x14ac:dyDescent="0.2">
      <c r="A119" s="91">
        <v>114</v>
      </c>
      <c r="B119" s="70" t="s">
        <v>589</v>
      </c>
      <c r="C119" s="71" t="s">
        <v>590</v>
      </c>
      <c r="D119" s="72" t="s">
        <v>591</v>
      </c>
      <c r="E119" s="73"/>
    </row>
    <row r="120" spans="1:5" x14ac:dyDescent="0.2">
      <c r="A120" s="91">
        <v>115</v>
      </c>
      <c r="B120" s="70" t="s">
        <v>1315</v>
      </c>
      <c r="C120" s="71" t="s">
        <v>1316</v>
      </c>
      <c r="D120" s="72" t="s">
        <v>1317</v>
      </c>
      <c r="E120" s="73"/>
    </row>
    <row r="121" spans="1:5" x14ac:dyDescent="0.2">
      <c r="A121" s="91">
        <v>116</v>
      </c>
      <c r="B121" s="77" t="s">
        <v>1318</v>
      </c>
      <c r="C121" s="71" t="s">
        <v>1319</v>
      </c>
      <c r="D121" s="72" t="s">
        <v>1320</v>
      </c>
      <c r="E121" s="73" t="s">
        <v>1494</v>
      </c>
    </row>
    <row r="122" spans="1:5" x14ac:dyDescent="0.2">
      <c r="A122" s="91">
        <v>117</v>
      </c>
      <c r="B122" s="70" t="s">
        <v>392</v>
      </c>
      <c r="C122" s="71" t="s">
        <v>393</v>
      </c>
      <c r="D122" s="72" t="s">
        <v>394</v>
      </c>
      <c r="E122" s="73"/>
    </row>
    <row r="123" spans="1:5" x14ac:dyDescent="0.2">
      <c r="A123" s="91">
        <v>118</v>
      </c>
      <c r="B123" s="70" t="s">
        <v>640</v>
      </c>
      <c r="C123" s="71" t="s">
        <v>641</v>
      </c>
      <c r="D123" s="72" t="s">
        <v>642</v>
      </c>
      <c r="E123" s="73"/>
    </row>
    <row r="124" spans="1:5" x14ac:dyDescent="0.2">
      <c r="A124" s="91">
        <v>119</v>
      </c>
      <c r="B124" s="77" t="s">
        <v>482</v>
      </c>
      <c r="C124" s="71" t="s">
        <v>483</v>
      </c>
      <c r="D124" s="72" t="s">
        <v>484</v>
      </c>
      <c r="E124" s="73" t="s">
        <v>1488</v>
      </c>
    </row>
    <row r="125" spans="1:5" x14ac:dyDescent="0.2">
      <c r="A125" s="91">
        <v>120</v>
      </c>
      <c r="B125" s="70" t="s">
        <v>1321</v>
      </c>
      <c r="C125" s="71" t="s">
        <v>1322</v>
      </c>
      <c r="D125" s="72" t="s">
        <v>1323</v>
      </c>
      <c r="E125" s="73"/>
    </row>
    <row r="126" spans="1:5" x14ac:dyDescent="0.2">
      <c r="A126" s="91">
        <v>121</v>
      </c>
      <c r="B126" s="70" t="s">
        <v>918</v>
      </c>
      <c r="C126" s="71" t="s">
        <v>919</v>
      </c>
      <c r="D126" s="72" t="s">
        <v>920</v>
      </c>
      <c r="E126" s="73" t="s">
        <v>1495</v>
      </c>
    </row>
    <row r="127" spans="1:5" x14ac:dyDescent="0.2">
      <c r="A127" s="91">
        <v>122</v>
      </c>
      <c r="B127" s="70" t="s">
        <v>876</v>
      </c>
      <c r="C127" s="71" t="s">
        <v>877</v>
      </c>
      <c r="D127" s="72" t="s">
        <v>878</v>
      </c>
      <c r="E127" s="73" t="s">
        <v>1496</v>
      </c>
    </row>
    <row r="128" spans="1:5" x14ac:dyDescent="0.2">
      <c r="A128" s="91">
        <v>123</v>
      </c>
      <c r="B128" s="70" t="s">
        <v>887</v>
      </c>
      <c r="C128" s="71" t="s">
        <v>888</v>
      </c>
      <c r="D128" s="72" t="s">
        <v>889</v>
      </c>
      <c r="E128" s="73"/>
    </row>
    <row r="129" spans="1:5" x14ac:dyDescent="0.2">
      <c r="A129" s="91">
        <v>124</v>
      </c>
      <c r="B129" s="70" t="s">
        <v>879</v>
      </c>
      <c r="C129" s="71" t="s">
        <v>880</v>
      </c>
      <c r="D129" s="72" t="s">
        <v>881</v>
      </c>
      <c r="E129" s="73" t="s">
        <v>1497</v>
      </c>
    </row>
    <row r="130" spans="1:5" x14ac:dyDescent="0.2">
      <c r="A130" s="91">
        <v>125</v>
      </c>
      <c r="B130" s="70" t="s">
        <v>81</v>
      </c>
      <c r="C130" s="71" t="s">
        <v>82</v>
      </c>
      <c r="D130" s="72" t="s">
        <v>83</v>
      </c>
      <c r="E130" s="73"/>
    </row>
    <row r="131" spans="1:5" x14ac:dyDescent="0.2">
      <c r="A131" s="91">
        <v>126</v>
      </c>
      <c r="B131" s="70" t="s">
        <v>1324</v>
      </c>
      <c r="C131" s="71" t="s">
        <v>1325</v>
      </c>
      <c r="D131" s="72" t="s">
        <v>1326</v>
      </c>
      <c r="E131" s="73"/>
    </row>
    <row r="132" spans="1:5" x14ac:dyDescent="0.2">
      <c r="A132" s="91">
        <v>127</v>
      </c>
      <c r="B132" s="70" t="s">
        <v>1327</v>
      </c>
      <c r="C132" s="71" t="s">
        <v>1328</v>
      </c>
      <c r="D132" s="72" t="s">
        <v>1329</v>
      </c>
      <c r="E132" s="73"/>
    </row>
    <row r="133" spans="1:5" x14ac:dyDescent="0.2">
      <c r="A133" s="91">
        <v>128</v>
      </c>
      <c r="B133" s="70" t="s">
        <v>277</v>
      </c>
      <c r="C133" s="71" t="s">
        <v>278</v>
      </c>
      <c r="D133" s="72" t="s">
        <v>279</v>
      </c>
      <c r="E133" s="73"/>
    </row>
    <row r="134" spans="1:5" x14ac:dyDescent="0.2">
      <c r="A134" s="91">
        <v>129</v>
      </c>
      <c r="B134" s="70" t="s">
        <v>817</v>
      </c>
      <c r="C134" s="71" t="s">
        <v>818</v>
      </c>
      <c r="D134" s="72" t="s">
        <v>819</v>
      </c>
      <c r="E134" s="73"/>
    </row>
    <row r="135" spans="1:5" x14ac:dyDescent="0.2">
      <c r="A135" s="91">
        <v>130</v>
      </c>
      <c r="B135" s="70" t="s">
        <v>1092</v>
      </c>
      <c r="C135" s="71" t="s">
        <v>1093</v>
      </c>
      <c r="D135" s="72" t="s">
        <v>1094</v>
      </c>
      <c r="E135" s="73"/>
    </row>
    <row r="136" spans="1:5" x14ac:dyDescent="0.2">
      <c r="A136" s="91">
        <v>131</v>
      </c>
      <c r="B136" s="70" t="s">
        <v>74</v>
      </c>
      <c r="C136" s="71" t="s">
        <v>75</v>
      </c>
      <c r="D136" s="72" t="s">
        <v>76</v>
      </c>
      <c r="E136" s="73"/>
    </row>
    <row r="137" spans="1:5" x14ac:dyDescent="0.2">
      <c r="A137" s="91">
        <v>132</v>
      </c>
      <c r="B137" s="70" t="s">
        <v>355</v>
      </c>
      <c r="C137" s="71" t="s">
        <v>356</v>
      </c>
      <c r="D137" s="72" t="s">
        <v>357</v>
      </c>
      <c r="E137" s="73"/>
    </row>
    <row r="138" spans="1:5" x14ac:dyDescent="0.2">
      <c r="A138" s="91">
        <v>133</v>
      </c>
      <c r="B138" s="70" t="s">
        <v>672</v>
      </c>
      <c r="C138" s="71" t="s">
        <v>673</v>
      </c>
      <c r="D138" s="72" t="s">
        <v>674</v>
      </c>
      <c r="E138" s="73"/>
    </row>
    <row r="139" spans="1:5" x14ac:dyDescent="0.2">
      <c r="A139" s="91">
        <v>134</v>
      </c>
      <c r="B139" s="70" t="s">
        <v>571</v>
      </c>
      <c r="C139" s="71" t="s">
        <v>572</v>
      </c>
      <c r="D139" s="72" t="s">
        <v>573</v>
      </c>
      <c r="E139" s="73"/>
    </row>
    <row r="140" spans="1:5" x14ac:dyDescent="0.2">
      <c r="A140" s="91">
        <v>135</v>
      </c>
      <c r="B140" s="70" t="s">
        <v>1151</v>
      </c>
      <c r="C140" s="71" t="s">
        <v>1152</v>
      </c>
      <c r="D140" s="72" t="s">
        <v>1153</v>
      </c>
      <c r="E140" s="73"/>
    </row>
    <row r="141" spans="1:5" x14ac:dyDescent="0.2">
      <c r="A141" s="91">
        <v>136</v>
      </c>
      <c r="B141" s="70" t="s">
        <v>289</v>
      </c>
      <c r="C141" s="71" t="s">
        <v>290</v>
      </c>
      <c r="D141" s="72" t="s">
        <v>291</v>
      </c>
      <c r="E141" s="73"/>
    </row>
    <row r="142" spans="1:5" x14ac:dyDescent="0.2">
      <c r="A142" s="91">
        <v>137</v>
      </c>
      <c r="B142" s="70" t="s">
        <v>911</v>
      </c>
      <c r="C142" s="71" t="s">
        <v>912</v>
      </c>
      <c r="D142" s="72" t="s">
        <v>397</v>
      </c>
      <c r="E142" s="73"/>
    </row>
    <row r="143" spans="1:5" x14ac:dyDescent="0.2">
      <c r="A143" s="91">
        <v>138</v>
      </c>
      <c r="B143" s="70" t="s">
        <v>598</v>
      </c>
      <c r="C143" s="71" t="s">
        <v>599</v>
      </c>
      <c r="D143" s="72" t="s">
        <v>886</v>
      </c>
      <c r="E143" s="73" t="s">
        <v>1498</v>
      </c>
    </row>
    <row r="144" spans="1:5" x14ac:dyDescent="0.2">
      <c r="A144" s="91">
        <v>139</v>
      </c>
      <c r="B144" s="70" t="s">
        <v>202</v>
      </c>
      <c r="C144" s="71" t="s">
        <v>203</v>
      </c>
      <c r="D144" s="72" t="s">
        <v>204</v>
      </c>
      <c r="E144" s="73"/>
    </row>
    <row r="145" spans="1:5" x14ac:dyDescent="0.2">
      <c r="A145" s="91">
        <v>140</v>
      </c>
      <c r="B145" s="70" t="s">
        <v>109</v>
      </c>
      <c r="C145" s="71" t="s">
        <v>110</v>
      </c>
      <c r="D145" s="72" t="s">
        <v>111</v>
      </c>
      <c r="E145" s="73"/>
    </row>
    <row r="146" spans="1:5" x14ac:dyDescent="0.2">
      <c r="A146" s="91">
        <v>141</v>
      </c>
      <c r="B146" s="70" t="s">
        <v>376</v>
      </c>
      <c r="C146" s="71" t="s">
        <v>377</v>
      </c>
      <c r="D146" s="72" t="s">
        <v>378</v>
      </c>
      <c r="E146" s="73"/>
    </row>
    <row r="147" spans="1:5" x14ac:dyDescent="0.2">
      <c r="A147" s="91">
        <v>142</v>
      </c>
      <c r="B147" s="70" t="s">
        <v>782</v>
      </c>
      <c r="C147" s="71" t="s">
        <v>783</v>
      </c>
      <c r="D147" s="72" t="s">
        <v>784</v>
      </c>
      <c r="E147" s="73"/>
    </row>
    <row r="148" spans="1:5" x14ac:dyDescent="0.2">
      <c r="A148" s="91">
        <v>143</v>
      </c>
      <c r="B148" s="70" t="s">
        <v>529</v>
      </c>
      <c r="C148" s="71" t="s">
        <v>530</v>
      </c>
      <c r="D148" s="72" t="s">
        <v>531</v>
      </c>
      <c r="E148" s="73"/>
    </row>
    <row r="149" spans="1:5" x14ac:dyDescent="0.2">
      <c r="A149" s="91">
        <v>144</v>
      </c>
      <c r="B149" s="70" t="s">
        <v>1330</v>
      </c>
      <c r="C149" s="71" t="s">
        <v>1331</v>
      </c>
      <c r="D149" s="72" t="s">
        <v>264</v>
      </c>
      <c r="E149" s="73"/>
    </row>
    <row r="150" spans="1:5" x14ac:dyDescent="0.2">
      <c r="A150" s="91">
        <v>145</v>
      </c>
      <c r="B150" s="77" t="s">
        <v>1332</v>
      </c>
      <c r="C150" s="71" t="s">
        <v>1333</v>
      </c>
      <c r="D150" s="72"/>
      <c r="E150" s="73" t="s">
        <v>1488</v>
      </c>
    </row>
    <row r="151" spans="1:5" x14ac:dyDescent="0.2">
      <c r="A151" s="91">
        <v>146</v>
      </c>
      <c r="B151" s="77" t="s">
        <v>1334</v>
      </c>
      <c r="C151" s="71" t="s">
        <v>1335</v>
      </c>
      <c r="D151" s="72"/>
      <c r="E151" s="73" t="s">
        <v>1488</v>
      </c>
    </row>
    <row r="152" spans="1:5" x14ac:dyDescent="0.2">
      <c r="A152" s="91">
        <v>147</v>
      </c>
      <c r="B152" s="70" t="s">
        <v>611</v>
      </c>
      <c r="C152" s="71" t="s">
        <v>612</v>
      </c>
      <c r="D152" s="72" t="s">
        <v>613</v>
      </c>
      <c r="E152" s="73"/>
    </row>
    <row r="153" spans="1:5" x14ac:dyDescent="0.2">
      <c r="A153" s="91">
        <v>148</v>
      </c>
      <c r="B153" s="70" t="s">
        <v>1336</v>
      </c>
      <c r="C153" s="71" t="s">
        <v>1337</v>
      </c>
      <c r="D153" s="72" t="s">
        <v>1338</v>
      </c>
      <c r="E153" s="73"/>
    </row>
    <row r="154" spans="1:5" x14ac:dyDescent="0.2">
      <c r="A154" s="91">
        <v>149</v>
      </c>
      <c r="B154" s="70" t="s">
        <v>1006</v>
      </c>
      <c r="C154" s="71" t="s">
        <v>1007</v>
      </c>
      <c r="D154" s="72" t="s">
        <v>1008</v>
      </c>
      <c r="E154" s="73"/>
    </row>
    <row r="155" spans="1:5" x14ac:dyDescent="0.2">
      <c r="A155" s="91">
        <v>150</v>
      </c>
      <c r="B155" s="70" t="s">
        <v>259</v>
      </c>
      <c r="C155" s="71" t="s">
        <v>260</v>
      </c>
      <c r="D155" s="72" t="s">
        <v>261</v>
      </c>
      <c r="E155" s="73"/>
    </row>
    <row r="156" spans="1:5" x14ac:dyDescent="0.2">
      <c r="A156" s="91">
        <v>151</v>
      </c>
      <c r="B156" s="70" t="s">
        <v>649</v>
      </c>
      <c r="C156" s="71" t="s">
        <v>650</v>
      </c>
      <c r="D156" s="72" t="s">
        <v>651</v>
      </c>
      <c r="E156" s="73"/>
    </row>
    <row r="157" spans="1:5" x14ac:dyDescent="0.2">
      <c r="A157" s="91">
        <v>152</v>
      </c>
      <c r="B157" s="77" t="s">
        <v>1339</v>
      </c>
      <c r="C157" s="71" t="s">
        <v>1340</v>
      </c>
      <c r="D157" s="72"/>
      <c r="E157" s="73" t="s">
        <v>1488</v>
      </c>
    </row>
    <row r="158" spans="1:5" x14ac:dyDescent="0.2">
      <c r="A158" s="91">
        <v>153</v>
      </c>
      <c r="B158" s="70" t="s">
        <v>785</v>
      </c>
      <c r="C158" s="71" t="s">
        <v>786</v>
      </c>
      <c r="D158" s="72" t="s">
        <v>787</v>
      </c>
      <c r="E158" s="73"/>
    </row>
    <row r="159" spans="1:5" x14ac:dyDescent="0.2">
      <c r="A159" s="91">
        <v>154</v>
      </c>
      <c r="B159" s="70" t="s">
        <v>1023</v>
      </c>
      <c r="C159" s="71" t="s">
        <v>1024</v>
      </c>
      <c r="D159" s="72" t="s">
        <v>1025</v>
      </c>
      <c r="E159" s="73"/>
    </row>
    <row r="160" spans="1:5" x14ac:dyDescent="0.2">
      <c r="A160" s="91">
        <v>155</v>
      </c>
      <c r="B160" s="70" t="s">
        <v>126</v>
      </c>
      <c r="C160" s="71" t="s">
        <v>127</v>
      </c>
      <c r="D160" s="72" t="s">
        <v>128</v>
      </c>
      <c r="E160" s="73"/>
    </row>
    <row r="161" spans="1:5" x14ac:dyDescent="0.2">
      <c r="A161" s="91">
        <v>156</v>
      </c>
      <c r="B161" s="70" t="s">
        <v>837</v>
      </c>
      <c r="C161" s="71" t="s">
        <v>838</v>
      </c>
      <c r="D161" s="72" t="s">
        <v>839</v>
      </c>
      <c r="E161" s="73"/>
    </row>
    <row r="162" spans="1:5" x14ac:dyDescent="0.2">
      <c r="A162" s="91">
        <v>157</v>
      </c>
      <c r="B162" s="70" t="s">
        <v>90</v>
      </c>
      <c r="C162" s="71" t="s">
        <v>91</v>
      </c>
      <c r="D162" s="72" t="s">
        <v>92</v>
      </c>
      <c r="E162" s="73"/>
    </row>
    <row r="163" spans="1:5" x14ac:dyDescent="0.2">
      <c r="A163" s="91">
        <v>158</v>
      </c>
      <c r="B163" s="70" t="s">
        <v>722</v>
      </c>
      <c r="C163" s="71" t="s">
        <v>723</v>
      </c>
      <c r="D163" s="72" t="s">
        <v>724</v>
      </c>
      <c r="E163" s="73"/>
    </row>
    <row r="164" spans="1:5" x14ac:dyDescent="0.2">
      <c r="A164" s="91">
        <v>159</v>
      </c>
      <c r="B164" s="70" t="s">
        <v>1341</v>
      </c>
      <c r="C164" s="71" t="s">
        <v>1342</v>
      </c>
      <c r="D164" s="72" t="s">
        <v>1343</v>
      </c>
      <c r="E164" s="73"/>
    </row>
    <row r="165" spans="1:5" x14ac:dyDescent="0.2">
      <c r="A165" s="91">
        <v>160</v>
      </c>
      <c r="B165" s="70" t="s">
        <v>922</v>
      </c>
      <c r="C165" s="71" t="s">
        <v>923</v>
      </c>
      <c r="D165" s="72" t="s">
        <v>924</v>
      </c>
      <c r="E165" s="73"/>
    </row>
    <row r="166" spans="1:5" x14ac:dyDescent="0.2">
      <c r="A166" s="91">
        <v>161</v>
      </c>
      <c r="B166" s="70" t="s">
        <v>728</v>
      </c>
      <c r="C166" s="71" t="s">
        <v>729</v>
      </c>
      <c r="D166" s="72" t="s">
        <v>730</v>
      </c>
      <c r="E166" s="73"/>
    </row>
    <row r="167" spans="1:5" x14ac:dyDescent="0.2">
      <c r="A167" s="91">
        <v>162</v>
      </c>
      <c r="B167" s="70" t="s">
        <v>763</v>
      </c>
      <c r="C167" s="71" t="s">
        <v>764</v>
      </c>
      <c r="D167" s="72" t="s">
        <v>765</v>
      </c>
      <c r="E167" s="73"/>
    </row>
    <row r="168" spans="1:5" x14ac:dyDescent="0.2">
      <c r="A168" s="91">
        <v>163</v>
      </c>
      <c r="B168" s="70" t="s">
        <v>544</v>
      </c>
      <c r="C168" s="71" t="s">
        <v>545</v>
      </c>
      <c r="D168" s="72" t="s">
        <v>546</v>
      </c>
      <c r="E168" s="73"/>
    </row>
    <row r="169" spans="1:5" x14ac:dyDescent="0.2">
      <c r="A169" s="91">
        <v>164</v>
      </c>
      <c r="B169" s="70" t="s">
        <v>141</v>
      </c>
      <c r="C169" s="71" t="s">
        <v>142</v>
      </c>
      <c r="D169" s="72" t="s">
        <v>143</v>
      </c>
      <c r="E169" s="73"/>
    </row>
    <row r="170" spans="1:5" x14ac:dyDescent="0.2">
      <c r="A170" s="91">
        <v>165</v>
      </c>
      <c r="B170" s="70" t="s">
        <v>1131</v>
      </c>
      <c r="C170" s="71" t="s">
        <v>1132</v>
      </c>
      <c r="D170" s="72" t="s">
        <v>1133</v>
      </c>
      <c r="E170" s="73"/>
    </row>
    <row r="171" spans="1:5" x14ac:dyDescent="0.2">
      <c r="A171" s="91">
        <v>166</v>
      </c>
      <c r="B171" s="70" t="s">
        <v>846</v>
      </c>
      <c r="C171" s="71" t="s">
        <v>847</v>
      </c>
      <c r="D171" s="72" t="s">
        <v>848</v>
      </c>
      <c r="E171" s="73"/>
    </row>
    <row r="172" spans="1:5" x14ac:dyDescent="0.2">
      <c r="A172" s="91">
        <v>167</v>
      </c>
      <c r="B172" s="70" t="s">
        <v>1344</v>
      </c>
      <c r="C172" s="71" t="s">
        <v>1345</v>
      </c>
      <c r="D172" s="72" t="s">
        <v>1346</v>
      </c>
      <c r="E172" s="73"/>
    </row>
    <row r="173" spans="1:5" x14ac:dyDescent="0.2">
      <c r="A173" s="91">
        <v>168</v>
      </c>
      <c r="B173" s="70" t="s">
        <v>407</v>
      </c>
      <c r="C173" s="71" t="s">
        <v>408</v>
      </c>
      <c r="D173" s="72" t="s">
        <v>409</v>
      </c>
      <c r="E173" s="73"/>
    </row>
    <row r="174" spans="1:5" x14ac:dyDescent="0.2">
      <c r="A174" s="91">
        <v>169</v>
      </c>
      <c r="B174" s="70" t="s">
        <v>195</v>
      </c>
      <c r="C174" s="71" t="s">
        <v>196</v>
      </c>
      <c r="D174" s="72" t="s">
        <v>197</v>
      </c>
      <c r="E174" s="73"/>
    </row>
    <row r="175" spans="1:5" x14ac:dyDescent="0.2">
      <c r="A175" s="91">
        <v>170</v>
      </c>
      <c r="B175" s="70" t="s">
        <v>532</v>
      </c>
      <c r="C175" s="71" t="s">
        <v>533</v>
      </c>
      <c r="D175" s="72" t="s">
        <v>534</v>
      </c>
      <c r="E175" s="73"/>
    </row>
    <row r="176" spans="1:5" x14ac:dyDescent="0.2">
      <c r="A176" s="91">
        <v>171</v>
      </c>
      <c r="B176" s="70" t="s">
        <v>1061</v>
      </c>
      <c r="C176" s="71" t="s">
        <v>1062</v>
      </c>
      <c r="D176" s="72" t="s">
        <v>1063</v>
      </c>
      <c r="E176" s="73"/>
    </row>
    <row r="177" spans="1:5" x14ac:dyDescent="0.2">
      <c r="A177" s="91">
        <v>172</v>
      </c>
      <c r="B177" s="70" t="s">
        <v>541</v>
      </c>
      <c r="C177" s="71" t="s">
        <v>542</v>
      </c>
      <c r="D177" s="72" t="s">
        <v>543</v>
      </c>
      <c r="E177" s="73"/>
    </row>
    <row r="178" spans="1:5" x14ac:dyDescent="0.2">
      <c r="A178" s="91">
        <v>173</v>
      </c>
      <c r="B178" s="77" t="s">
        <v>1064</v>
      </c>
      <c r="C178" s="71" t="s">
        <v>1065</v>
      </c>
      <c r="D178" s="72" t="s">
        <v>1066</v>
      </c>
      <c r="E178" s="73" t="s">
        <v>1499</v>
      </c>
    </row>
    <row r="179" spans="1:5" x14ac:dyDescent="0.2">
      <c r="A179" s="91">
        <v>174</v>
      </c>
      <c r="B179" s="70" t="s">
        <v>485</v>
      </c>
      <c r="C179" s="71" t="s">
        <v>486</v>
      </c>
      <c r="D179" s="72" t="s">
        <v>487</v>
      </c>
      <c r="E179" s="73"/>
    </row>
    <row r="180" spans="1:5" ht="12" customHeight="1" x14ac:dyDescent="0.2">
      <c r="A180" s="91">
        <v>175</v>
      </c>
      <c r="B180" s="70" t="s">
        <v>283</v>
      </c>
      <c r="C180" s="71" t="s">
        <v>284</v>
      </c>
      <c r="D180" s="72" t="s">
        <v>285</v>
      </c>
      <c r="E180" s="73"/>
    </row>
    <row r="181" spans="1:5" x14ac:dyDescent="0.2">
      <c r="A181" s="91">
        <v>176</v>
      </c>
      <c r="B181" s="70" t="s">
        <v>1200</v>
      </c>
      <c r="C181" s="71" t="s">
        <v>1201</v>
      </c>
      <c r="D181" s="72" t="s">
        <v>1202</v>
      </c>
      <c r="E181" s="73"/>
    </row>
    <row r="182" spans="1:5" x14ac:dyDescent="0.2">
      <c r="A182" s="91">
        <v>177</v>
      </c>
      <c r="B182" s="70" t="s">
        <v>719</v>
      </c>
      <c r="C182" s="71" t="s">
        <v>720</v>
      </c>
      <c r="D182" s="72" t="s">
        <v>867</v>
      </c>
      <c r="E182" s="73" t="s">
        <v>1500</v>
      </c>
    </row>
    <row r="183" spans="1:5" x14ac:dyDescent="0.2">
      <c r="A183" s="91">
        <v>178</v>
      </c>
      <c r="B183" s="70" t="s">
        <v>1026</v>
      </c>
      <c r="C183" s="71" t="s">
        <v>1027</v>
      </c>
      <c r="D183" s="72" t="s">
        <v>1028</v>
      </c>
      <c r="E183" s="73"/>
    </row>
    <row r="184" spans="1:5" x14ac:dyDescent="0.2">
      <c r="A184" s="91">
        <v>179</v>
      </c>
      <c r="B184" s="70" t="s">
        <v>1017</v>
      </c>
      <c r="C184" s="71" t="s">
        <v>1018</v>
      </c>
      <c r="D184" s="72" t="s">
        <v>3208</v>
      </c>
      <c r="E184" s="73" t="s">
        <v>1501</v>
      </c>
    </row>
    <row r="185" spans="1:5" x14ac:dyDescent="0.2">
      <c r="A185" s="91">
        <v>180</v>
      </c>
      <c r="B185" s="70" t="s">
        <v>1055</v>
      </c>
      <c r="C185" s="71" t="s">
        <v>1056</v>
      </c>
      <c r="D185" s="72" t="s">
        <v>1057</v>
      </c>
      <c r="E185" s="73" t="s">
        <v>1502</v>
      </c>
    </row>
    <row r="186" spans="1:5" x14ac:dyDescent="0.2">
      <c r="A186" s="91">
        <v>181</v>
      </c>
      <c r="B186" s="70" t="s">
        <v>690</v>
      </c>
      <c r="C186" s="71" t="s">
        <v>691</v>
      </c>
      <c r="D186" s="72" t="s">
        <v>692</v>
      </c>
      <c r="E186" s="73"/>
    </row>
    <row r="187" spans="1:5" x14ac:dyDescent="0.2">
      <c r="A187" s="91">
        <v>182</v>
      </c>
      <c r="B187" s="70" t="s">
        <v>1347</v>
      </c>
      <c r="C187" s="71" t="s">
        <v>1348</v>
      </c>
      <c r="D187" s="72" t="s">
        <v>1503</v>
      </c>
      <c r="E187" s="73"/>
    </row>
    <row r="188" spans="1:5" x14ac:dyDescent="0.2">
      <c r="A188" s="91">
        <v>183</v>
      </c>
      <c r="B188" s="70" t="s">
        <v>115</v>
      </c>
      <c r="C188" s="71" t="s">
        <v>116</v>
      </c>
      <c r="D188" s="72" t="s">
        <v>117</v>
      </c>
      <c r="E188" s="73"/>
    </row>
    <row r="189" spans="1:5" x14ac:dyDescent="0.2">
      <c r="A189" s="91">
        <v>184</v>
      </c>
      <c r="B189" s="70" t="s">
        <v>112</v>
      </c>
      <c r="C189" s="71" t="s">
        <v>113</v>
      </c>
      <c r="D189" s="72" t="s">
        <v>114</v>
      </c>
      <c r="E189" s="73" t="s">
        <v>1504</v>
      </c>
    </row>
    <row r="190" spans="1:5" x14ac:dyDescent="0.2">
      <c r="A190" s="91">
        <v>185</v>
      </c>
      <c r="B190" s="70" t="s">
        <v>806</v>
      </c>
      <c r="C190" s="71" t="s">
        <v>885</v>
      </c>
      <c r="D190" s="72" t="s">
        <v>805</v>
      </c>
      <c r="E190" s="73"/>
    </row>
    <row r="191" spans="1:5" x14ac:dyDescent="0.2">
      <c r="A191" s="91">
        <v>186</v>
      </c>
      <c r="B191" s="80" t="s">
        <v>1350</v>
      </c>
      <c r="C191" s="82" t="s">
        <v>1351</v>
      </c>
      <c r="D191" s="83" t="s">
        <v>886</v>
      </c>
      <c r="E191" s="73"/>
    </row>
    <row r="192" spans="1:5" x14ac:dyDescent="0.2">
      <c r="A192" s="91">
        <v>187</v>
      </c>
      <c r="B192" s="80" t="s">
        <v>731</v>
      </c>
      <c r="C192" s="82" t="s">
        <v>732</v>
      </c>
      <c r="D192" s="83" t="s">
        <v>733</v>
      </c>
      <c r="E192" s="73"/>
    </row>
    <row r="193" spans="1:9" x14ac:dyDescent="0.2">
      <c r="A193" s="91">
        <v>188</v>
      </c>
      <c r="B193" s="80" t="s">
        <v>1352</v>
      </c>
      <c r="C193" s="82" t="s">
        <v>1526</v>
      </c>
      <c r="D193" s="83"/>
      <c r="E193" s="73"/>
    </row>
    <row r="194" spans="1:9" x14ac:dyDescent="0.2">
      <c r="A194" s="91">
        <v>189</v>
      </c>
      <c r="B194" s="70" t="s">
        <v>199</v>
      </c>
      <c r="C194" s="71" t="s">
        <v>200</v>
      </c>
      <c r="D194" s="72" t="s">
        <v>201</v>
      </c>
      <c r="E194" s="73"/>
    </row>
    <row r="195" spans="1:9" x14ac:dyDescent="0.2">
      <c r="A195" s="91">
        <v>190</v>
      </c>
      <c r="B195" s="70" t="s">
        <v>523</v>
      </c>
      <c r="C195" s="71" t="s">
        <v>524</v>
      </c>
      <c r="D195" s="72" t="s">
        <v>525</v>
      </c>
      <c r="E195" s="73"/>
    </row>
    <row r="196" spans="1:9" x14ac:dyDescent="0.2">
      <c r="A196" s="91">
        <v>191</v>
      </c>
      <c r="B196" s="70" t="s">
        <v>980</v>
      </c>
      <c r="C196" s="71" t="s">
        <v>981</v>
      </c>
      <c r="D196" s="72" t="s">
        <v>982</v>
      </c>
      <c r="E196" s="73"/>
    </row>
    <row r="197" spans="1:9" x14ac:dyDescent="0.2">
      <c r="A197" s="91">
        <v>192</v>
      </c>
      <c r="B197" s="70" t="s">
        <v>458</v>
      </c>
      <c r="C197" s="71" t="s">
        <v>459</v>
      </c>
      <c r="D197" s="72" t="s">
        <v>460</v>
      </c>
      <c r="E197" s="73"/>
    </row>
    <row r="198" spans="1:9" x14ac:dyDescent="0.2">
      <c r="A198" s="91">
        <v>193</v>
      </c>
      <c r="B198" s="77" t="s">
        <v>316</v>
      </c>
      <c r="C198" s="71" t="s">
        <v>317</v>
      </c>
      <c r="D198" s="84" t="s">
        <v>318</v>
      </c>
      <c r="E198" s="73" t="s">
        <v>1505</v>
      </c>
    </row>
    <row r="199" spans="1:9" x14ac:dyDescent="0.2">
      <c r="A199" s="91">
        <v>194</v>
      </c>
      <c r="B199" s="77" t="s">
        <v>319</v>
      </c>
      <c r="C199" s="71" t="s">
        <v>320</v>
      </c>
      <c r="D199" s="84" t="s">
        <v>321</v>
      </c>
      <c r="E199" s="73"/>
    </row>
    <row r="200" spans="1:9" x14ac:dyDescent="0.2">
      <c r="A200" s="91">
        <v>195</v>
      </c>
      <c r="B200" s="77" t="s">
        <v>1353</v>
      </c>
      <c r="C200" s="71" t="s">
        <v>1354</v>
      </c>
      <c r="D200" s="84" t="s">
        <v>1355</v>
      </c>
      <c r="E200" s="73"/>
    </row>
    <row r="201" spans="1:9" x14ac:dyDescent="0.2">
      <c r="A201" s="91">
        <v>196</v>
      </c>
      <c r="B201" s="70" t="s">
        <v>559</v>
      </c>
      <c r="C201" s="71" t="s">
        <v>560</v>
      </c>
      <c r="D201" s="72" t="s">
        <v>561</v>
      </c>
      <c r="E201" s="73"/>
    </row>
    <row r="202" spans="1:9" x14ac:dyDescent="0.2">
      <c r="A202" s="91">
        <v>197</v>
      </c>
      <c r="B202" s="70" t="s">
        <v>398</v>
      </c>
      <c r="C202" s="71" t="s">
        <v>399</v>
      </c>
      <c r="D202" s="72" t="s">
        <v>400</v>
      </c>
      <c r="E202" s="73"/>
    </row>
    <row r="203" spans="1:9" x14ac:dyDescent="0.2">
      <c r="A203" s="91">
        <v>198</v>
      </c>
      <c r="B203" s="70" t="s">
        <v>1356</v>
      </c>
      <c r="C203" s="71" t="s">
        <v>1357</v>
      </c>
      <c r="D203" s="72" t="s">
        <v>1358</v>
      </c>
      <c r="E203" s="73"/>
    </row>
    <row r="204" spans="1:9" x14ac:dyDescent="0.2">
      <c r="A204" s="91">
        <v>199</v>
      </c>
      <c r="B204" s="70" t="s">
        <v>675</v>
      </c>
      <c r="C204" s="71" t="s">
        <v>676</v>
      </c>
      <c r="D204" s="72" t="s">
        <v>677</v>
      </c>
      <c r="E204" s="73"/>
    </row>
    <row r="205" spans="1:9" x14ac:dyDescent="0.2">
      <c r="A205" s="91">
        <v>200</v>
      </c>
      <c r="B205" s="77" t="s">
        <v>1032</v>
      </c>
      <c r="C205" s="71" t="s">
        <v>1033</v>
      </c>
      <c r="D205" s="72" t="s">
        <v>1034</v>
      </c>
      <c r="E205" s="73" t="s">
        <v>1505</v>
      </c>
    </row>
    <row r="206" spans="1:9" x14ac:dyDescent="0.2">
      <c r="A206" s="91">
        <v>201</v>
      </c>
      <c r="B206" s="77" t="s">
        <v>926</v>
      </c>
      <c r="C206" s="71" t="s">
        <v>927</v>
      </c>
      <c r="D206" s="72" t="s">
        <v>928</v>
      </c>
      <c r="E206" s="73"/>
      <c r="I206" t="s">
        <v>1506</v>
      </c>
    </row>
    <row r="207" spans="1:9" x14ac:dyDescent="0.2">
      <c r="A207" s="91">
        <v>202</v>
      </c>
      <c r="B207" s="77" t="s">
        <v>929</v>
      </c>
      <c r="C207" s="71" t="s">
        <v>930</v>
      </c>
      <c r="D207" s="72" t="s">
        <v>931</v>
      </c>
      <c r="E207" s="73" t="s">
        <v>1507</v>
      </c>
      <c r="I207" t="s">
        <v>1508</v>
      </c>
    </row>
    <row r="208" spans="1:9" x14ac:dyDescent="0.2">
      <c r="A208" s="91">
        <v>203</v>
      </c>
      <c r="B208" s="70" t="s">
        <v>440</v>
      </c>
      <c r="C208" s="71" t="s">
        <v>441</v>
      </c>
      <c r="D208" s="72" t="s">
        <v>442</v>
      </c>
      <c r="E208" s="73"/>
    </row>
    <row r="209" spans="1:5" x14ac:dyDescent="0.2">
      <c r="A209" s="91">
        <v>204</v>
      </c>
      <c r="B209" s="70" t="s">
        <v>586</v>
      </c>
      <c r="C209" s="71" t="s">
        <v>587</v>
      </c>
      <c r="D209" s="72" t="s">
        <v>588</v>
      </c>
      <c r="E209" s="73"/>
    </row>
    <row r="210" spans="1:5" x14ac:dyDescent="0.2">
      <c r="A210" s="91">
        <v>205</v>
      </c>
      <c r="B210" s="70" t="s">
        <v>1359</v>
      </c>
      <c r="C210" s="71" t="s">
        <v>1360</v>
      </c>
      <c r="D210" s="72" t="s">
        <v>1361</v>
      </c>
      <c r="E210" s="73"/>
    </row>
    <row r="211" spans="1:5" x14ac:dyDescent="0.2">
      <c r="A211" s="91">
        <v>206</v>
      </c>
      <c r="B211" s="70" t="s">
        <v>938</v>
      </c>
      <c r="C211" s="71" t="s">
        <v>939</v>
      </c>
      <c r="D211" s="72" t="s">
        <v>940</v>
      </c>
      <c r="E211" s="73"/>
    </row>
    <row r="212" spans="1:5" x14ac:dyDescent="0.2">
      <c r="A212" s="91">
        <v>207</v>
      </c>
      <c r="B212" s="70" t="s">
        <v>1362</v>
      </c>
      <c r="C212" s="71" t="s">
        <v>1363</v>
      </c>
      <c r="D212" s="72" t="s">
        <v>1364</v>
      </c>
      <c r="E212" s="73"/>
    </row>
    <row r="213" spans="1:5" x14ac:dyDescent="0.2">
      <c r="A213" s="91">
        <v>208</v>
      </c>
      <c r="B213" s="80" t="s">
        <v>1052</v>
      </c>
      <c r="C213" s="82" t="s">
        <v>1053</v>
      </c>
      <c r="D213" s="83" t="s">
        <v>1054</v>
      </c>
      <c r="E213" s="73"/>
    </row>
    <row r="214" spans="1:5" x14ac:dyDescent="0.2">
      <c r="A214" s="91">
        <v>209</v>
      </c>
      <c r="B214" s="70" t="s">
        <v>1365</v>
      </c>
      <c r="C214" s="71" t="s">
        <v>1366</v>
      </c>
      <c r="D214" s="72" t="s">
        <v>1367</v>
      </c>
      <c r="E214" s="73"/>
    </row>
    <row r="215" spans="1:5" x14ac:dyDescent="0.2">
      <c r="A215" s="91">
        <v>210</v>
      </c>
      <c r="B215" s="70" t="s">
        <v>1119</v>
      </c>
      <c r="C215" s="71" t="s">
        <v>1120</v>
      </c>
      <c r="D215" s="72" t="s">
        <v>1121</v>
      </c>
      <c r="E215" s="73" t="s">
        <v>1509</v>
      </c>
    </row>
    <row r="216" spans="1:5" x14ac:dyDescent="0.2">
      <c r="A216" s="91">
        <v>211</v>
      </c>
      <c r="B216" s="70" t="s">
        <v>1368</v>
      </c>
      <c r="C216" s="71" t="s">
        <v>1369</v>
      </c>
      <c r="D216" s="72" t="s">
        <v>1370</v>
      </c>
      <c r="E216" s="73"/>
    </row>
    <row r="217" spans="1:5" x14ac:dyDescent="0.2">
      <c r="A217" s="91">
        <v>212</v>
      </c>
      <c r="B217" s="70" t="s">
        <v>1160</v>
      </c>
      <c r="C217" s="71" t="s">
        <v>1161</v>
      </c>
      <c r="D217" s="72" t="s">
        <v>1162</v>
      </c>
      <c r="E217" s="73"/>
    </row>
    <row r="218" spans="1:5" x14ac:dyDescent="0.2">
      <c r="A218" s="91">
        <v>213</v>
      </c>
      <c r="B218" s="70" t="s">
        <v>1371</v>
      </c>
      <c r="C218" s="71" t="s">
        <v>1372</v>
      </c>
      <c r="D218" s="72" t="s">
        <v>1373</v>
      </c>
      <c r="E218" s="73"/>
    </row>
    <row r="219" spans="1:5" x14ac:dyDescent="0.2">
      <c r="A219" s="91">
        <v>214</v>
      </c>
      <c r="B219" s="70" t="s">
        <v>1374</v>
      </c>
      <c r="C219" s="71" t="s">
        <v>1375</v>
      </c>
      <c r="D219" s="72" t="s">
        <v>1376</v>
      </c>
      <c r="E219" s="73"/>
    </row>
    <row r="220" spans="1:5" x14ac:dyDescent="0.2">
      <c r="A220" s="91">
        <v>215</v>
      </c>
      <c r="B220" s="70" t="s">
        <v>205</v>
      </c>
      <c r="C220" s="71" t="s">
        <v>206</v>
      </c>
      <c r="D220" s="72" t="s">
        <v>207</v>
      </c>
      <c r="E220" s="73"/>
    </row>
    <row r="221" spans="1:5" x14ac:dyDescent="0.2">
      <c r="A221" s="91">
        <v>216</v>
      </c>
      <c r="B221" s="70" t="s">
        <v>1377</v>
      </c>
      <c r="C221" s="71" t="s">
        <v>1378</v>
      </c>
      <c r="D221" s="72" t="s">
        <v>790</v>
      </c>
      <c r="E221" s="73" t="s">
        <v>1510</v>
      </c>
    </row>
    <row r="222" spans="1:5" x14ac:dyDescent="0.2">
      <c r="A222" s="91">
        <v>217</v>
      </c>
      <c r="B222" s="70" t="s">
        <v>1206</v>
      </c>
      <c r="C222" s="71" t="s">
        <v>1207</v>
      </c>
      <c r="D222" s="72" t="s">
        <v>1208</v>
      </c>
      <c r="E222" s="73" t="s">
        <v>1511</v>
      </c>
    </row>
    <row r="223" spans="1:5" x14ac:dyDescent="0.2">
      <c r="A223" s="91">
        <v>218</v>
      </c>
      <c r="B223" s="70" t="s">
        <v>503</v>
      </c>
      <c r="C223" s="71" t="s">
        <v>504</v>
      </c>
      <c r="D223" s="72" t="s">
        <v>505</v>
      </c>
      <c r="E223" s="73" t="s">
        <v>1512</v>
      </c>
    </row>
    <row r="224" spans="1:5" x14ac:dyDescent="0.2">
      <c r="A224" s="91">
        <v>219</v>
      </c>
      <c r="B224" s="70" t="s">
        <v>38</v>
      </c>
      <c r="C224" s="71" t="s">
        <v>993</v>
      </c>
      <c r="D224" s="72" t="s">
        <v>994</v>
      </c>
      <c r="E224" s="73"/>
    </row>
    <row r="225" spans="1:5" x14ac:dyDescent="0.2">
      <c r="A225" s="91">
        <v>220</v>
      </c>
      <c r="B225" s="70" t="s">
        <v>358</v>
      </c>
      <c r="C225" s="71" t="s">
        <v>359</v>
      </c>
      <c r="D225" s="72" t="s">
        <v>360</v>
      </c>
      <c r="E225" s="73" t="s">
        <v>1513</v>
      </c>
    </row>
    <row r="226" spans="1:5" x14ac:dyDescent="0.2">
      <c r="A226" s="91">
        <v>221</v>
      </c>
      <c r="B226" s="70" t="s">
        <v>1382</v>
      </c>
      <c r="C226" s="71" t="s">
        <v>39</v>
      </c>
      <c r="D226" s="72" t="s">
        <v>40</v>
      </c>
      <c r="E226" s="73"/>
    </row>
    <row r="227" spans="1:5" x14ac:dyDescent="0.2">
      <c r="A227" s="91">
        <v>222</v>
      </c>
      <c r="B227" s="80" t="s">
        <v>494</v>
      </c>
      <c r="C227" s="82" t="s">
        <v>495</v>
      </c>
      <c r="D227" s="83" t="s">
        <v>496</v>
      </c>
      <c r="E227" s="73"/>
    </row>
    <row r="228" spans="1:5" x14ac:dyDescent="0.2">
      <c r="A228" s="91">
        <v>223</v>
      </c>
      <c r="B228" s="70" t="s">
        <v>395</v>
      </c>
      <c r="C228" s="71" t="s">
        <v>396</v>
      </c>
      <c r="D228" s="72" t="s">
        <v>397</v>
      </c>
      <c r="E228" s="73"/>
    </row>
    <row r="229" spans="1:5" x14ac:dyDescent="0.2">
      <c r="A229" s="91">
        <v>224</v>
      </c>
      <c r="B229" s="70" t="s">
        <v>899</v>
      </c>
      <c r="C229" s="71" t="s">
        <v>900</v>
      </c>
      <c r="D229" s="72" t="s">
        <v>901</v>
      </c>
      <c r="E229" s="73" t="s">
        <v>1514</v>
      </c>
    </row>
    <row r="230" spans="1:5" x14ac:dyDescent="0.2">
      <c r="A230" s="91">
        <v>225</v>
      </c>
      <c r="B230" s="70" t="s">
        <v>1036</v>
      </c>
      <c r="C230" s="71" t="s">
        <v>1037</v>
      </c>
      <c r="D230" s="72" t="s">
        <v>1038</v>
      </c>
      <c r="E230" s="73"/>
    </row>
    <row r="231" spans="1:5" x14ac:dyDescent="0.2">
      <c r="A231" s="91">
        <v>226</v>
      </c>
      <c r="B231" s="70" t="s">
        <v>443</v>
      </c>
      <c r="C231" s="71" t="s">
        <v>444</v>
      </c>
      <c r="D231" s="72" t="s">
        <v>445</v>
      </c>
      <c r="E231" s="73" t="s">
        <v>1515</v>
      </c>
    </row>
    <row r="232" spans="1:5" x14ac:dyDescent="0.2">
      <c r="A232" s="91">
        <v>227</v>
      </c>
      <c r="B232" s="70" t="s">
        <v>843</v>
      </c>
      <c r="C232" s="71" t="s">
        <v>844</v>
      </c>
      <c r="D232" s="72" t="s">
        <v>845</v>
      </c>
      <c r="E232" s="73"/>
    </row>
    <row r="233" spans="1:5" x14ac:dyDescent="0.2">
      <c r="A233" s="91">
        <v>228</v>
      </c>
      <c r="B233" s="70" t="s">
        <v>1383</v>
      </c>
      <c r="C233" s="71" t="s">
        <v>1384</v>
      </c>
      <c r="D233" s="72" t="s">
        <v>827</v>
      </c>
      <c r="E233" s="73"/>
    </row>
    <row r="234" spans="1:5" x14ac:dyDescent="0.2">
      <c r="A234" s="91">
        <v>229</v>
      </c>
      <c r="B234" s="70" t="s">
        <v>44</v>
      </c>
      <c r="C234" s="71" t="s">
        <v>45</v>
      </c>
      <c r="D234" s="72" t="s">
        <v>46</v>
      </c>
      <c r="E234" s="73"/>
    </row>
    <row r="235" spans="1:5" x14ac:dyDescent="0.2">
      <c r="A235" s="91">
        <v>230</v>
      </c>
      <c r="B235" s="70" t="s">
        <v>232</v>
      </c>
      <c r="C235" s="71" t="s">
        <v>233</v>
      </c>
      <c r="D235" s="72" t="s">
        <v>234</v>
      </c>
      <c r="E235" s="73"/>
    </row>
    <row r="236" spans="1:5" x14ac:dyDescent="0.2">
      <c r="A236" s="91">
        <v>231</v>
      </c>
      <c r="B236" s="70" t="s">
        <v>975</v>
      </c>
      <c r="C236" s="71" t="s">
        <v>976</v>
      </c>
      <c r="D236" s="72" t="s">
        <v>573</v>
      </c>
      <c r="E236" s="73"/>
    </row>
    <row r="237" spans="1:5" x14ac:dyDescent="0.2">
      <c r="A237" s="91">
        <v>232</v>
      </c>
      <c r="B237" s="70" t="s">
        <v>794</v>
      </c>
      <c r="C237" s="71" t="s">
        <v>795</v>
      </c>
      <c r="D237" s="72" t="s">
        <v>796</v>
      </c>
      <c r="E237" s="73"/>
    </row>
    <row r="238" spans="1:5" x14ac:dyDescent="0.2">
      <c r="A238" s="91">
        <v>233</v>
      </c>
      <c r="B238" s="70" t="s">
        <v>58</v>
      </c>
      <c r="C238" s="71" t="s">
        <v>59</v>
      </c>
      <c r="D238" s="72" t="s">
        <v>60</v>
      </c>
      <c r="E238" s="73"/>
    </row>
    <row r="239" spans="1:5" x14ac:dyDescent="0.2">
      <c r="A239" s="91">
        <v>234</v>
      </c>
      <c r="B239" s="70" t="s">
        <v>716</v>
      </c>
      <c r="C239" s="71" t="s">
        <v>717</v>
      </c>
      <c r="D239" s="72" t="s">
        <v>718</v>
      </c>
      <c r="E239" s="73"/>
    </row>
    <row r="240" spans="1:5" x14ac:dyDescent="0.2">
      <c r="A240" s="91">
        <v>235</v>
      </c>
      <c r="B240" s="70" t="s">
        <v>708</v>
      </c>
      <c r="C240" s="71" t="s">
        <v>709</v>
      </c>
      <c r="D240" s="72" t="s">
        <v>710</v>
      </c>
      <c r="E240" s="73"/>
    </row>
    <row r="241" spans="1:5" x14ac:dyDescent="0.2">
      <c r="A241" s="91">
        <v>236</v>
      </c>
      <c r="B241" s="70" t="s">
        <v>51</v>
      </c>
      <c r="C241" s="71" t="s">
        <v>52</v>
      </c>
      <c r="D241" s="72" t="s">
        <v>53</v>
      </c>
      <c r="E241" s="73"/>
    </row>
    <row r="242" spans="1:5" x14ac:dyDescent="0.2">
      <c r="A242" s="91">
        <v>237</v>
      </c>
      <c r="B242" s="70" t="s">
        <v>669</v>
      </c>
      <c r="C242" s="71" t="s">
        <v>670</v>
      </c>
      <c r="D242" s="72" t="s">
        <v>671</v>
      </c>
      <c r="E242" s="73"/>
    </row>
    <row r="243" spans="1:5" x14ac:dyDescent="0.2">
      <c r="A243" s="91">
        <v>238</v>
      </c>
      <c r="B243" s="70" t="s">
        <v>119</v>
      </c>
      <c r="C243" s="71" t="s">
        <v>120</v>
      </c>
      <c r="D243" s="72" t="s">
        <v>121</v>
      </c>
      <c r="E243" s="73"/>
    </row>
    <row r="244" spans="1:5" x14ac:dyDescent="0.2">
      <c r="A244" s="91">
        <v>239</v>
      </c>
      <c r="B244" s="70" t="s">
        <v>223</v>
      </c>
      <c r="C244" s="71" t="s">
        <v>224</v>
      </c>
      <c r="D244" s="72" t="s">
        <v>225</v>
      </c>
      <c r="E244" s="73"/>
    </row>
    <row r="245" spans="1:5" x14ac:dyDescent="0.2">
      <c r="A245" s="91">
        <v>240</v>
      </c>
      <c r="B245" s="70" t="s">
        <v>960</v>
      </c>
      <c r="C245" s="71" t="s">
        <v>961</v>
      </c>
      <c r="D245" s="72" t="s">
        <v>962</v>
      </c>
      <c r="E245" s="73" t="s">
        <v>1516</v>
      </c>
    </row>
    <row r="246" spans="1:5" x14ac:dyDescent="0.2">
      <c r="A246" s="91">
        <v>241</v>
      </c>
      <c r="B246" s="70" t="s">
        <v>941</v>
      </c>
      <c r="C246" s="71" t="s">
        <v>942</v>
      </c>
      <c r="D246" s="72" t="s">
        <v>943</v>
      </c>
      <c r="E246" s="73"/>
    </row>
    <row r="247" spans="1:5" x14ac:dyDescent="0.2">
      <c r="A247" s="91">
        <v>242</v>
      </c>
      <c r="B247" s="70" t="s">
        <v>592</v>
      </c>
      <c r="C247" s="71" t="s">
        <v>593</v>
      </c>
      <c r="D247" s="72" t="s">
        <v>594</v>
      </c>
      <c r="E247" s="73"/>
    </row>
    <row r="248" spans="1:5" x14ac:dyDescent="0.2">
      <c r="A248" s="91">
        <v>243</v>
      </c>
      <c r="B248" s="70" t="s">
        <v>226</v>
      </c>
      <c r="C248" s="71" t="s">
        <v>227</v>
      </c>
      <c r="D248" s="72" t="s">
        <v>228</v>
      </c>
      <c r="E248" s="73"/>
    </row>
    <row r="249" spans="1:5" x14ac:dyDescent="0.2">
      <c r="A249" s="91">
        <v>244</v>
      </c>
      <c r="B249" s="70" t="s">
        <v>840</v>
      </c>
      <c r="C249" s="71" t="s">
        <v>841</v>
      </c>
      <c r="D249" s="72" t="s">
        <v>842</v>
      </c>
      <c r="E249" s="73"/>
    </row>
    <row r="250" spans="1:5" x14ac:dyDescent="0.2">
      <c r="A250" s="91">
        <v>245</v>
      </c>
      <c r="B250" s="70" t="s">
        <v>977</v>
      </c>
      <c r="C250" s="71" t="s">
        <v>978</v>
      </c>
      <c r="D250" s="72" t="s">
        <v>979</v>
      </c>
      <c r="E250" s="73"/>
    </row>
    <row r="251" spans="1:5" x14ac:dyDescent="0.2">
      <c r="A251" s="91">
        <v>246</v>
      </c>
      <c r="B251" s="70" t="s">
        <v>512</v>
      </c>
      <c r="C251" s="71" t="s">
        <v>513</v>
      </c>
      <c r="D251" s="72" t="s">
        <v>511</v>
      </c>
      <c r="E251" s="73"/>
    </row>
    <row r="252" spans="1:5" x14ac:dyDescent="0.2">
      <c r="A252" s="91">
        <v>247</v>
      </c>
      <c r="B252" s="70" t="s">
        <v>954</v>
      </c>
      <c r="C252" s="71" t="s">
        <v>955</v>
      </c>
      <c r="D252" s="72" t="s">
        <v>956</v>
      </c>
      <c r="E252" s="73"/>
    </row>
    <row r="253" spans="1:5" x14ac:dyDescent="0.2">
      <c r="A253" s="91">
        <v>248</v>
      </c>
      <c r="B253" s="70" t="s">
        <v>364</v>
      </c>
      <c r="C253" s="71" t="s">
        <v>365</v>
      </c>
      <c r="D253" s="72" t="s">
        <v>366</v>
      </c>
      <c r="E253" s="73"/>
    </row>
    <row r="254" spans="1:5" x14ac:dyDescent="0.2">
      <c r="A254" s="91">
        <v>249</v>
      </c>
      <c r="B254" s="70" t="s">
        <v>520</v>
      </c>
      <c r="C254" s="71" t="s">
        <v>521</v>
      </c>
      <c r="D254" s="72" t="s">
        <v>522</v>
      </c>
      <c r="E254" s="73"/>
    </row>
    <row r="255" spans="1:5" x14ac:dyDescent="0.2">
      <c r="A255" s="91">
        <v>250</v>
      </c>
      <c r="B255" s="70" t="s">
        <v>935</v>
      </c>
      <c r="C255" s="71" t="s">
        <v>936</v>
      </c>
      <c r="D255" s="72" t="s">
        <v>937</v>
      </c>
      <c r="E255" s="73"/>
    </row>
    <row r="256" spans="1:5" x14ac:dyDescent="0.2">
      <c r="A256" s="91">
        <v>251</v>
      </c>
      <c r="B256" s="70" t="s">
        <v>774</v>
      </c>
      <c r="C256" s="71" t="s">
        <v>775</v>
      </c>
      <c r="D256" s="72" t="s">
        <v>776</v>
      </c>
      <c r="E256" s="73"/>
    </row>
    <row r="257" spans="1:5" x14ac:dyDescent="0.2">
      <c r="A257" s="91">
        <v>252</v>
      </c>
      <c r="B257" s="77" t="s">
        <v>1385</v>
      </c>
      <c r="C257" s="71" t="s">
        <v>1386</v>
      </c>
      <c r="D257" s="72"/>
      <c r="E257" s="73" t="s">
        <v>1488</v>
      </c>
    </row>
    <row r="258" spans="1:5" x14ac:dyDescent="0.2">
      <c r="A258" s="91">
        <v>253</v>
      </c>
      <c r="B258" s="70" t="s">
        <v>94</v>
      </c>
      <c r="C258" s="71" t="s">
        <v>95</v>
      </c>
      <c r="D258" s="72" t="s">
        <v>96</v>
      </c>
      <c r="E258" s="73"/>
    </row>
    <row r="259" spans="1:5" x14ac:dyDescent="0.2">
      <c r="A259" s="91">
        <v>254</v>
      </c>
      <c r="B259" s="70" t="s">
        <v>446</v>
      </c>
      <c r="C259" s="71" t="s">
        <v>447</v>
      </c>
      <c r="D259" s="72" t="s">
        <v>448</v>
      </c>
      <c r="E259" s="73"/>
    </row>
    <row r="260" spans="1:5" x14ac:dyDescent="0.2">
      <c r="A260" s="91">
        <v>255</v>
      </c>
      <c r="B260" s="70" t="s">
        <v>858</v>
      </c>
      <c r="C260" s="71" t="s">
        <v>859</v>
      </c>
      <c r="D260" s="72" t="s">
        <v>860</v>
      </c>
      <c r="E260" s="73"/>
    </row>
    <row r="261" spans="1:5" x14ac:dyDescent="0.2">
      <c r="A261" s="91">
        <v>256</v>
      </c>
      <c r="B261" s="70" t="s">
        <v>814</v>
      </c>
      <c r="C261" s="71" t="s">
        <v>815</v>
      </c>
      <c r="D261" s="72" t="s">
        <v>816</v>
      </c>
      <c r="E261" s="73" t="s">
        <v>1517</v>
      </c>
    </row>
    <row r="262" spans="1:5" x14ac:dyDescent="0.2">
      <c r="A262" s="91">
        <v>257</v>
      </c>
      <c r="B262" s="70" t="s">
        <v>1387</v>
      </c>
      <c r="C262" s="71" t="s">
        <v>1388</v>
      </c>
      <c r="D262" s="72" t="s">
        <v>892</v>
      </c>
      <c r="E262" s="73"/>
    </row>
    <row r="263" spans="1:5" x14ac:dyDescent="0.2">
      <c r="A263" s="91">
        <v>258</v>
      </c>
      <c r="B263" s="70" t="s">
        <v>1389</v>
      </c>
      <c r="C263" s="71" t="s">
        <v>1390</v>
      </c>
      <c r="D263" s="72" t="s">
        <v>1391</v>
      </c>
      <c r="E263" s="73"/>
    </row>
    <row r="264" spans="1:5" x14ac:dyDescent="0.2">
      <c r="A264" s="91">
        <v>259</v>
      </c>
      <c r="B264" s="70" t="s">
        <v>628</v>
      </c>
      <c r="C264" s="71" t="s">
        <v>629</v>
      </c>
      <c r="D264" s="72" t="s">
        <v>630</v>
      </c>
      <c r="E264" s="73"/>
    </row>
    <row r="265" spans="1:5" x14ac:dyDescent="0.2">
      <c r="A265" s="91">
        <v>260</v>
      </c>
      <c r="B265" s="70" t="s">
        <v>1020</v>
      </c>
      <c r="C265" s="71" t="s">
        <v>1021</v>
      </c>
      <c r="D265" s="72" t="s">
        <v>1022</v>
      </c>
      <c r="E265" s="73" t="s">
        <v>1518</v>
      </c>
    </row>
    <row r="266" spans="1:5" x14ac:dyDescent="0.2">
      <c r="A266" s="91">
        <v>261</v>
      </c>
      <c r="B266" s="70" t="s">
        <v>1167</v>
      </c>
      <c r="C266" s="71" t="s">
        <v>1168</v>
      </c>
      <c r="D266" s="72" t="s">
        <v>3212</v>
      </c>
      <c r="E266" s="73"/>
    </row>
    <row r="267" spans="1:5" x14ac:dyDescent="0.2">
      <c r="A267" s="91">
        <v>262</v>
      </c>
      <c r="B267" s="70" t="s">
        <v>1392</v>
      </c>
      <c r="C267" s="71" t="s">
        <v>1393</v>
      </c>
      <c r="D267" s="72" t="s">
        <v>1394</v>
      </c>
      <c r="E267" s="73"/>
    </row>
    <row r="268" spans="1:5" x14ac:dyDescent="0.2">
      <c r="A268" s="91">
        <v>263</v>
      </c>
      <c r="B268" s="70" t="s">
        <v>41</v>
      </c>
      <c r="C268" s="71" t="s">
        <v>42</v>
      </c>
      <c r="D268" s="72" t="s">
        <v>43</v>
      </c>
      <c r="E268" s="73"/>
    </row>
    <row r="269" spans="1:5" x14ac:dyDescent="0.2">
      <c r="A269" s="91">
        <v>264</v>
      </c>
      <c r="B269" s="70" t="s">
        <v>932</v>
      </c>
      <c r="C269" s="71" t="s">
        <v>933</v>
      </c>
      <c r="D269" s="72" t="s">
        <v>934</v>
      </c>
      <c r="E269" s="73"/>
    </row>
    <row r="270" spans="1:5" x14ac:dyDescent="0.2">
      <c r="A270" s="91">
        <v>265</v>
      </c>
      <c r="B270" s="70" t="s">
        <v>947</v>
      </c>
      <c r="C270" s="71" t="s">
        <v>948</v>
      </c>
      <c r="D270" s="72" t="s">
        <v>949</v>
      </c>
      <c r="E270" s="73"/>
    </row>
    <row r="271" spans="1:5" x14ac:dyDescent="0.2">
      <c r="A271" s="91">
        <v>266</v>
      </c>
      <c r="B271" s="70" t="s">
        <v>1192</v>
      </c>
      <c r="C271" s="71" t="s">
        <v>1193</v>
      </c>
      <c r="D271" s="72" t="s">
        <v>1194</v>
      </c>
      <c r="E271" s="73"/>
    </row>
    <row r="272" spans="1:5" x14ac:dyDescent="0.2">
      <c r="A272" s="91">
        <v>267</v>
      </c>
      <c r="B272" s="70" t="s">
        <v>526</v>
      </c>
      <c r="C272" s="71" t="s">
        <v>527</v>
      </c>
      <c r="D272" s="72" t="s">
        <v>528</v>
      </c>
      <c r="E272" s="73"/>
    </row>
    <row r="273" spans="1:5" x14ac:dyDescent="0.2">
      <c r="A273" s="91">
        <v>268</v>
      </c>
      <c r="B273" s="70" t="s">
        <v>431</v>
      </c>
      <c r="C273" s="71" t="s">
        <v>432</v>
      </c>
      <c r="D273" s="72" t="s">
        <v>433</v>
      </c>
      <c r="E273" s="73"/>
    </row>
    <row r="274" spans="1:5" x14ac:dyDescent="0.2">
      <c r="A274" s="91">
        <v>269</v>
      </c>
      <c r="B274" s="70" t="s">
        <v>1395</v>
      </c>
      <c r="C274" s="71" t="s">
        <v>1396</v>
      </c>
      <c r="D274" s="72" t="s">
        <v>1397</v>
      </c>
      <c r="E274" s="73"/>
    </row>
    <row r="275" spans="1:5" x14ac:dyDescent="0.2">
      <c r="A275" s="91">
        <v>270</v>
      </c>
      <c r="B275" s="70" t="s">
        <v>684</v>
      </c>
      <c r="C275" s="71" t="s">
        <v>685</v>
      </c>
      <c r="D275" s="72" t="s">
        <v>686</v>
      </c>
      <c r="E275" s="73"/>
    </row>
    <row r="276" spans="1:5" x14ac:dyDescent="0.2">
      <c r="A276" s="91">
        <v>271</v>
      </c>
      <c r="B276" s="77" t="s">
        <v>1398</v>
      </c>
      <c r="C276" s="71" t="s">
        <v>1399</v>
      </c>
      <c r="D276" s="72"/>
      <c r="E276" s="73" t="s">
        <v>1488</v>
      </c>
    </row>
    <row r="277" spans="1:5" x14ac:dyDescent="0.2">
      <c r="A277" s="91">
        <v>272</v>
      </c>
      <c r="B277" s="70" t="s">
        <v>401</v>
      </c>
      <c r="C277" s="71" t="s">
        <v>402</v>
      </c>
      <c r="D277" s="72" t="s">
        <v>403</v>
      </c>
      <c r="E277" s="73"/>
    </row>
    <row r="278" spans="1:5" x14ac:dyDescent="0.2">
      <c r="A278" s="91">
        <v>273</v>
      </c>
      <c r="B278" s="70" t="s">
        <v>1164</v>
      </c>
      <c r="C278" s="71" t="s">
        <v>1165</v>
      </c>
      <c r="D278" s="72" t="s">
        <v>1166</v>
      </c>
      <c r="E278" s="73"/>
    </row>
    <row r="279" spans="1:5" x14ac:dyDescent="0.2">
      <c r="A279" s="91">
        <v>274</v>
      </c>
      <c r="B279" s="70" t="s">
        <v>491</v>
      </c>
      <c r="C279" s="71" t="s">
        <v>492</v>
      </c>
      <c r="D279" s="72" t="s">
        <v>493</v>
      </c>
      <c r="E279" s="73"/>
    </row>
    <row r="280" spans="1:5" x14ac:dyDescent="0.2">
      <c r="A280" s="91">
        <v>275</v>
      </c>
      <c r="B280" s="70" t="s">
        <v>177</v>
      </c>
      <c r="C280" s="71" t="s">
        <v>178</v>
      </c>
      <c r="D280" s="72" t="s">
        <v>3048</v>
      </c>
      <c r="E280" s="73"/>
    </row>
    <row r="281" spans="1:5" x14ac:dyDescent="0.2">
      <c r="A281" s="91">
        <v>276</v>
      </c>
      <c r="B281" s="70" t="s">
        <v>780</v>
      </c>
      <c r="C281" s="71" t="s">
        <v>781</v>
      </c>
      <c r="D281" s="72" t="s">
        <v>493</v>
      </c>
      <c r="E281" s="73"/>
    </row>
    <row r="282" spans="1:5" x14ac:dyDescent="0.2">
      <c r="A282" s="91">
        <v>277</v>
      </c>
      <c r="B282" s="70" t="s">
        <v>538</v>
      </c>
      <c r="C282" s="71" t="s">
        <v>539</v>
      </c>
      <c r="D282" s="72" t="s">
        <v>540</v>
      </c>
      <c r="E282" s="73"/>
    </row>
    <row r="283" spans="1:5" x14ac:dyDescent="0.2">
      <c r="A283" s="91">
        <v>278</v>
      </c>
      <c r="B283" s="77" t="s">
        <v>1042</v>
      </c>
      <c r="C283" s="71" t="s">
        <v>1043</v>
      </c>
      <c r="D283" s="72" t="s">
        <v>1044</v>
      </c>
      <c r="E283" s="73" t="s">
        <v>1519</v>
      </c>
    </row>
    <row r="284" spans="1:5" x14ac:dyDescent="0.2">
      <c r="A284" s="91">
        <v>279</v>
      </c>
      <c r="B284" s="70" t="s">
        <v>1085</v>
      </c>
      <c r="C284" s="71" t="s">
        <v>1086</v>
      </c>
      <c r="D284" s="72" t="s">
        <v>1087</v>
      </c>
      <c r="E284" s="73"/>
    </row>
    <row r="285" spans="1:5" x14ac:dyDescent="0.2">
      <c r="A285" s="91">
        <v>280</v>
      </c>
      <c r="B285" s="70" t="s">
        <v>271</v>
      </c>
      <c r="C285" s="71" t="s">
        <v>272</v>
      </c>
      <c r="D285" s="72" t="s">
        <v>273</v>
      </c>
      <c r="E285" s="73"/>
    </row>
    <row r="286" spans="1:5" x14ac:dyDescent="0.2">
      <c r="A286" s="91">
        <v>281</v>
      </c>
      <c r="B286" s="70" t="s">
        <v>192</v>
      </c>
      <c r="C286" s="71" t="s">
        <v>193</v>
      </c>
      <c r="D286" s="72" t="s">
        <v>194</v>
      </c>
      <c r="E286" s="73"/>
    </row>
    <row r="287" spans="1:5" x14ac:dyDescent="0.2">
      <c r="A287" s="91">
        <v>282</v>
      </c>
      <c r="B287" s="70" t="s">
        <v>180</v>
      </c>
      <c r="C287" s="71" t="s">
        <v>181</v>
      </c>
      <c r="D287" s="72" t="s">
        <v>182</v>
      </c>
      <c r="E287" s="73"/>
    </row>
    <row r="288" spans="1:5" x14ac:dyDescent="0.2">
      <c r="A288" s="91">
        <v>283</v>
      </c>
      <c r="B288" s="70" t="s">
        <v>905</v>
      </c>
      <c r="C288" s="71" t="s">
        <v>906</v>
      </c>
      <c r="D288" s="72" t="s">
        <v>907</v>
      </c>
      <c r="E288" s="73"/>
    </row>
    <row r="289" spans="1:5" x14ac:dyDescent="0.2">
      <c r="A289" s="91">
        <v>284</v>
      </c>
      <c r="B289" s="70" t="s">
        <v>307</v>
      </c>
      <c r="C289" s="71" t="s">
        <v>308</v>
      </c>
      <c r="D289" s="72" t="s">
        <v>309</v>
      </c>
      <c r="E289" s="73"/>
    </row>
    <row r="290" spans="1:5" x14ac:dyDescent="0.2">
      <c r="A290" s="91">
        <v>285</v>
      </c>
      <c r="B290" s="70" t="s">
        <v>646</v>
      </c>
      <c r="C290" s="71" t="s">
        <v>647</v>
      </c>
      <c r="D290" s="72" t="s">
        <v>648</v>
      </c>
      <c r="E290" s="73"/>
    </row>
    <row r="291" spans="1:5" x14ac:dyDescent="0.2">
      <c r="A291" s="91">
        <v>286</v>
      </c>
      <c r="B291" s="70" t="s">
        <v>488</v>
      </c>
      <c r="C291" s="71" t="s">
        <v>489</v>
      </c>
      <c r="D291" s="72" t="s">
        <v>490</v>
      </c>
      <c r="E291" s="73"/>
    </row>
    <row r="292" spans="1:5" x14ac:dyDescent="0.2">
      <c r="A292" s="91">
        <v>287</v>
      </c>
      <c r="B292" s="70" t="s">
        <v>1103</v>
      </c>
      <c r="C292" s="71" t="s">
        <v>1104</v>
      </c>
      <c r="D292" s="72" t="s">
        <v>1105</v>
      </c>
      <c r="E292" s="73"/>
    </row>
    <row r="293" spans="1:5" x14ac:dyDescent="0.2">
      <c r="A293" s="91">
        <v>288</v>
      </c>
      <c r="B293" s="70" t="s">
        <v>681</v>
      </c>
      <c r="C293" s="71" t="s">
        <v>682</v>
      </c>
      <c r="D293" s="72" t="s">
        <v>683</v>
      </c>
      <c r="E293" s="73"/>
    </row>
    <row r="294" spans="1:5" x14ac:dyDescent="0.2">
      <c r="A294" s="91">
        <v>289</v>
      </c>
      <c r="B294" s="70" t="s">
        <v>766</v>
      </c>
      <c r="C294" s="71" t="s">
        <v>767</v>
      </c>
      <c r="D294" s="72" t="s">
        <v>768</v>
      </c>
      <c r="E294" s="73"/>
    </row>
    <row r="295" spans="1:5" x14ac:dyDescent="0.2">
      <c r="A295" s="91">
        <v>290</v>
      </c>
      <c r="B295" s="70" t="s">
        <v>550</v>
      </c>
      <c r="C295" s="71" t="s">
        <v>551</v>
      </c>
      <c r="D295" s="72" t="s">
        <v>552</v>
      </c>
      <c r="E295" s="73"/>
    </row>
    <row r="296" spans="1:5" x14ac:dyDescent="0.2">
      <c r="A296" s="91">
        <v>291</v>
      </c>
      <c r="B296" s="70" t="s">
        <v>268</v>
      </c>
      <c r="C296" s="71" t="s">
        <v>269</v>
      </c>
      <c r="D296" s="72" t="s">
        <v>270</v>
      </c>
      <c r="E296" s="73"/>
    </row>
    <row r="297" spans="1:5" x14ac:dyDescent="0.2">
      <c r="A297" s="91">
        <v>292</v>
      </c>
      <c r="B297" s="70" t="s">
        <v>247</v>
      </c>
      <c r="C297" s="71" t="s">
        <v>248</v>
      </c>
      <c r="D297" s="72" t="s">
        <v>249</v>
      </c>
      <c r="E297" s="73"/>
    </row>
    <row r="298" spans="1:5" x14ac:dyDescent="0.2">
      <c r="A298" s="91">
        <v>293</v>
      </c>
      <c r="B298" s="70" t="s">
        <v>1203</v>
      </c>
      <c r="C298" s="71" t="s">
        <v>1204</v>
      </c>
      <c r="D298" s="72" t="s">
        <v>1205</v>
      </c>
      <c r="E298" s="73"/>
    </row>
    <row r="299" spans="1:5" x14ac:dyDescent="0.2">
      <c r="A299" s="91">
        <v>294</v>
      </c>
      <c r="B299" s="70" t="s">
        <v>983</v>
      </c>
      <c r="C299" s="71" t="s">
        <v>984</v>
      </c>
      <c r="D299" s="72" t="s">
        <v>985</v>
      </c>
      <c r="E299" s="73"/>
    </row>
    <row r="300" spans="1:5" x14ac:dyDescent="0.2">
      <c r="A300" s="91">
        <v>295</v>
      </c>
      <c r="B300" s="70" t="s">
        <v>298</v>
      </c>
      <c r="C300" s="71" t="s">
        <v>299</v>
      </c>
      <c r="D300" s="72" t="s">
        <v>300</v>
      </c>
      <c r="E300" s="73"/>
    </row>
    <row r="301" spans="1:5" x14ac:dyDescent="0.2">
      <c r="A301" s="91">
        <v>296</v>
      </c>
      <c r="B301" s="70" t="s">
        <v>568</v>
      </c>
      <c r="C301" s="71" t="s">
        <v>569</v>
      </c>
      <c r="D301" s="72" t="s">
        <v>570</v>
      </c>
      <c r="E301" s="73"/>
    </row>
    <row r="302" spans="1:5" x14ac:dyDescent="0.2">
      <c r="A302" s="91">
        <v>297</v>
      </c>
      <c r="B302" s="70" t="s">
        <v>749</v>
      </c>
      <c r="C302" s="71" t="s">
        <v>750</v>
      </c>
      <c r="D302" s="72" t="s">
        <v>751</v>
      </c>
      <c r="E302" s="73"/>
    </row>
    <row r="303" spans="1:5" x14ac:dyDescent="0.2">
      <c r="A303" s="91">
        <v>298</v>
      </c>
      <c r="B303" s="70" t="s">
        <v>295</v>
      </c>
      <c r="C303" s="71" t="s">
        <v>296</v>
      </c>
      <c r="D303" s="72" t="s">
        <v>297</v>
      </c>
      <c r="E303" s="73"/>
    </row>
    <row r="304" spans="1:5" x14ac:dyDescent="0.2">
      <c r="A304" s="91">
        <v>299</v>
      </c>
      <c r="B304" s="70" t="s">
        <v>553</v>
      </c>
      <c r="C304" s="71" t="s">
        <v>554</v>
      </c>
      <c r="D304" s="72" t="s">
        <v>555</v>
      </c>
      <c r="E304" s="73"/>
    </row>
    <row r="305" spans="1:5" x14ac:dyDescent="0.2">
      <c r="A305" s="91">
        <v>300</v>
      </c>
      <c r="B305" s="70" t="s">
        <v>661</v>
      </c>
      <c r="C305" s="71" t="s">
        <v>662</v>
      </c>
      <c r="D305" s="72" t="s">
        <v>624</v>
      </c>
      <c r="E305" s="73"/>
    </row>
    <row r="306" spans="1:5" x14ac:dyDescent="0.2">
      <c r="A306" s="91">
        <v>301</v>
      </c>
      <c r="B306" s="70" t="s">
        <v>737</v>
      </c>
      <c r="C306" s="71" t="s">
        <v>738</v>
      </c>
      <c r="D306" s="72" t="s">
        <v>739</v>
      </c>
      <c r="E306" s="73"/>
    </row>
    <row r="307" spans="1:5" x14ac:dyDescent="0.2">
      <c r="A307" s="91">
        <v>302</v>
      </c>
      <c r="B307" s="70" t="s">
        <v>693</v>
      </c>
      <c r="C307" s="71" t="s">
        <v>694</v>
      </c>
      <c r="D307" s="72" t="s">
        <v>695</v>
      </c>
      <c r="E307" s="73"/>
    </row>
    <row r="308" spans="1:5" x14ac:dyDescent="0.2">
      <c r="A308" s="91">
        <v>303</v>
      </c>
      <c r="B308" s="70" t="s">
        <v>62</v>
      </c>
      <c r="C308" s="71" t="s">
        <v>63</v>
      </c>
      <c r="D308" s="72" t="s">
        <v>64</v>
      </c>
      <c r="E308" s="73"/>
    </row>
    <row r="309" spans="1:5" x14ac:dyDescent="0.2">
      <c r="A309" s="91">
        <v>304</v>
      </c>
      <c r="B309" s="70" t="s">
        <v>631</v>
      </c>
      <c r="C309" s="71" t="s">
        <v>632</v>
      </c>
      <c r="D309" s="72" t="s">
        <v>633</v>
      </c>
      <c r="E309" s="73"/>
    </row>
    <row r="310" spans="1:5" x14ac:dyDescent="0.2">
      <c r="A310" s="91">
        <v>305</v>
      </c>
      <c r="B310" s="70" t="s">
        <v>340</v>
      </c>
      <c r="C310" s="71" t="s">
        <v>341</v>
      </c>
      <c r="D310" s="72" t="s">
        <v>342</v>
      </c>
      <c r="E310" s="73"/>
    </row>
    <row r="311" spans="1:5" x14ac:dyDescent="0.2">
      <c r="A311" s="91">
        <v>306</v>
      </c>
      <c r="B311" s="77" t="s">
        <v>1400</v>
      </c>
      <c r="C311" s="71" t="s">
        <v>1401</v>
      </c>
      <c r="D311" s="72" t="s">
        <v>1001</v>
      </c>
      <c r="E311" s="73" t="s">
        <v>1520</v>
      </c>
    </row>
    <row r="312" spans="1:5" x14ac:dyDescent="0.2">
      <c r="A312" s="91">
        <v>307</v>
      </c>
      <c r="B312" s="77" t="s">
        <v>663</v>
      </c>
      <c r="C312" s="71" t="s">
        <v>664</v>
      </c>
      <c r="D312" s="72" t="s">
        <v>665</v>
      </c>
      <c r="E312" s="73" t="s">
        <v>1488</v>
      </c>
    </row>
    <row r="313" spans="1:5" x14ac:dyDescent="0.2">
      <c r="A313" s="91">
        <v>308</v>
      </c>
      <c r="B313" s="70" t="s">
        <v>214</v>
      </c>
      <c r="C313" s="71" t="s">
        <v>215</v>
      </c>
      <c r="D313" s="72" t="s">
        <v>216</v>
      </c>
      <c r="E313" s="73"/>
    </row>
    <row r="314" spans="1:5" x14ac:dyDescent="0.2">
      <c r="A314" s="91">
        <v>309</v>
      </c>
      <c r="B314" s="70" t="s">
        <v>902</v>
      </c>
      <c r="C314" s="71" t="s">
        <v>903</v>
      </c>
      <c r="D314" s="72" t="s">
        <v>904</v>
      </c>
      <c r="E314" s="73"/>
    </row>
    <row r="315" spans="1:5" x14ac:dyDescent="0.2">
      <c r="A315" s="91">
        <v>310</v>
      </c>
      <c r="B315" s="77" t="s">
        <v>1402</v>
      </c>
      <c r="C315" s="71" t="s">
        <v>1403</v>
      </c>
      <c r="D315" s="72"/>
      <c r="E315" s="73" t="s">
        <v>1488</v>
      </c>
    </row>
    <row r="316" spans="1:5" x14ac:dyDescent="0.2">
      <c r="A316" s="91">
        <v>311</v>
      </c>
      <c r="B316" s="70" t="s">
        <v>262</v>
      </c>
      <c r="C316" s="71" t="s">
        <v>263</v>
      </c>
      <c r="D316" s="72" t="s">
        <v>264</v>
      </c>
      <c r="E316" s="73"/>
    </row>
    <row r="317" spans="1:5" ht="14.25" x14ac:dyDescent="0.2">
      <c r="A317" s="91">
        <v>312</v>
      </c>
      <c r="B317" s="70" t="s">
        <v>1404</v>
      </c>
      <c r="C317" s="71" t="s">
        <v>1405</v>
      </c>
      <c r="D317" s="81" t="s">
        <v>360</v>
      </c>
      <c r="E317" s="73"/>
    </row>
    <row r="318" spans="1:5" x14ac:dyDescent="0.2">
      <c r="A318" s="91">
        <v>313</v>
      </c>
      <c r="B318" s="70" t="s">
        <v>220</v>
      </c>
      <c r="C318" s="71" t="s">
        <v>221</v>
      </c>
      <c r="D318" s="72" t="s">
        <v>222</v>
      </c>
      <c r="E318" s="73"/>
    </row>
    <row r="319" spans="1:5" x14ac:dyDescent="0.2">
      <c r="A319" s="91">
        <v>314</v>
      </c>
      <c r="B319" s="85" t="s">
        <v>217</v>
      </c>
      <c r="C319" s="71" t="s">
        <v>218</v>
      </c>
      <c r="D319" s="72" t="s">
        <v>219</v>
      </c>
      <c r="E319" s="73"/>
    </row>
    <row r="320" spans="1:5" x14ac:dyDescent="0.2">
      <c r="A320" s="91">
        <v>315</v>
      </c>
      <c r="B320" s="70" t="s">
        <v>788</v>
      </c>
      <c r="C320" s="71" t="s">
        <v>789</v>
      </c>
      <c r="D320" s="72" t="s">
        <v>790</v>
      </c>
      <c r="E320" s="73"/>
    </row>
    <row r="321" spans="1:5" x14ac:dyDescent="0.2">
      <c r="A321" s="91">
        <v>316</v>
      </c>
      <c r="B321" s="70" t="s">
        <v>123</v>
      </c>
      <c r="C321" s="71" t="s">
        <v>124</v>
      </c>
      <c r="D321" s="84" t="s">
        <v>125</v>
      </c>
      <c r="E321" s="73"/>
    </row>
    <row r="322" spans="1:5" x14ac:dyDescent="0.2">
      <c r="A322" s="91">
        <v>317</v>
      </c>
      <c r="B322" s="70" t="s">
        <v>622</v>
      </c>
      <c r="C322" s="71" t="s">
        <v>623</v>
      </c>
      <c r="D322" s="72" t="s">
        <v>624</v>
      </c>
      <c r="E322" s="73"/>
    </row>
    <row r="323" spans="1:5" x14ac:dyDescent="0.2">
      <c r="A323" s="91">
        <v>318</v>
      </c>
      <c r="B323" s="70" t="s">
        <v>256</v>
      </c>
      <c r="C323" s="71" t="s">
        <v>257</v>
      </c>
      <c r="D323" s="72" t="s">
        <v>258</v>
      </c>
      <c r="E323" s="73"/>
    </row>
    <row r="324" spans="1:5" ht="12" customHeight="1" x14ac:dyDescent="0.2">
      <c r="A324" s="91">
        <v>319</v>
      </c>
      <c r="B324" s="70" t="s">
        <v>310</v>
      </c>
      <c r="C324" s="71" t="s">
        <v>311</v>
      </c>
      <c r="D324" s="72" t="s">
        <v>312</v>
      </c>
      <c r="E324" s="73"/>
    </row>
    <row r="325" spans="1:5" ht="12" customHeight="1" x14ac:dyDescent="0.2">
      <c r="A325" s="91">
        <v>320</v>
      </c>
      <c r="B325" s="70" t="s">
        <v>422</v>
      </c>
      <c r="C325" s="71" t="s">
        <v>423</v>
      </c>
      <c r="D325" s="72" t="s">
        <v>424</v>
      </c>
      <c r="E325" s="73"/>
    </row>
    <row r="326" spans="1:5" x14ac:dyDescent="0.2">
      <c r="A326" s="91">
        <v>321</v>
      </c>
      <c r="B326" s="70" t="s">
        <v>761</v>
      </c>
      <c r="C326" s="71" t="s">
        <v>762</v>
      </c>
      <c r="D326" s="72" t="s">
        <v>403</v>
      </c>
      <c r="E326" s="73"/>
    </row>
    <row r="327" spans="1:5" x14ac:dyDescent="0.2">
      <c r="A327" s="91">
        <v>322</v>
      </c>
      <c r="B327" s="70" t="s">
        <v>1195</v>
      </c>
      <c r="C327" s="71" t="s">
        <v>1196</v>
      </c>
      <c r="D327" s="72" t="s">
        <v>1197</v>
      </c>
      <c r="E327" s="73"/>
    </row>
    <row r="328" spans="1:5" x14ac:dyDescent="0.2">
      <c r="A328" s="91">
        <v>323</v>
      </c>
      <c r="B328" s="70" t="s">
        <v>637</v>
      </c>
      <c r="C328" s="71" t="s">
        <v>638</v>
      </c>
      <c r="D328" s="72" t="s">
        <v>639</v>
      </c>
      <c r="E328" s="73"/>
    </row>
    <row r="329" spans="1:5" ht="12" customHeight="1" x14ac:dyDescent="0.2">
      <c r="A329" s="91">
        <v>324</v>
      </c>
      <c r="B329" s="70" t="s">
        <v>797</v>
      </c>
      <c r="C329" s="71" t="s">
        <v>798</v>
      </c>
      <c r="D329" s="72" t="s">
        <v>799</v>
      </c>
      <c r="E329" s="73"/>
    </row>
    <row r="330" spans="1:5" x14ac:dyDescent="0.2">
      <c r="A330" s="91">
        <v>325</v>
      </c>
      <c r="B330" s="70" t="s">
        <v>331</v>
      </c>
      <c r="C330" s="71" t="s">
        <v>332</v>
      </c>
      <c r="D330" s="72" t="s">
        <v>333</v>
      </c>
      <c r="E330" s="73"/>
    </row>
    <row r="331" spans="1:5" x14ac:dyDescent="0.2">
      <c r="A331" s="91">
        <v>326</v>
      </c>
      <c r="B331" s="70" t="s">
        <v>334</v>
      </c>
      <c r="C331" s="71" t="s">
        <v>335</v>
      </c>
      <c r="D331" s="72" t="s">
        <v>336</v>
      </c>
      <c r="E331" s="73"/>
    </row>
    <row r="332" spans="1:5" x14ac:dyDescent="0.2">
      <c r="A332" s="91">
        <v>327</v>
      </c>
      <c r="B332" s="70" t="s">
        <v>410</v>
      </c>
      <c r="C332" s="71" t="s">
        <v>411</v>
      </c>
      <c r="D332" s="72" t="s">
        <v>412</v>
      </c>
      <c r="E332" s="73"/>
    </row>
    <row r="333" spans="1:5" x14ac:dyDescent="0.2">
      <c r="A333" s="91">
        <v>328</v>
      </c>
      <c r="B333" s="70" t="s">
        <v>304</v>
      </c>
      <c r="C333" s="71" t="s">
        <v>305</v>
      </c>
      <c r="D333" s="72" t="s">
        <v>306</v>
      </c>
      <c r="E333" s="73"/>
    </row>
    <row r="334" spans="1:5" x14ac:dyDescent="0.2">
      <c r="A334" s="91">
        <v>329</v>
      </c>
      <c r="B334" s="70" t="s">
        <v>1407</v>
      </c>
      <c r="C334" s="71" t="s">
        <v>1408</v>
      </c>
      <c r="D334" s="72" t="s">
        <v>1409</v>
      </c>
      <c r="E334" s="73"/>
    </row>
    <row r="335" spans="1:5" x14ac:dyDescent="0.2">
      <c r="A335" s="91">
        <v>330</v>
      </c>
      <c r="B335" s="70" t="s">
        <v>1089</v>
      </c>
      <c r="C335" s="71" t="s">
        <v>1090</v>
      </c>
      <c r="D335" s="72" t="s">
        <v>1091</v>
      </c>
      <c r="E335" s="73" t="s">
        <v>1521</v>
      </c>
    </row>
    <row r="336" spans="1:5" x14ac:dyDescent="0.2">
      <c r="A336" s="91">
        <v>331</v>
      </c>
      <c r="B336" s="77" t="s">
        <v>1097</v>
      </c>
      <c r="C336" s="71" t="s">
        <v>1098</v>
      </c>
      <c r="D336" s="72" t="s">
        <v>1099</v>
      </c>
      <c r="E336" s="73" t="s">
        <v>1488</v>
      </c>
    </row>
    <row r="337" spans="1:5" x14ac:dyDescent="0.2">
      <c r="A337" s="91">
        <v>332</v>
      </c>
      <c r="B337" s="70" t="s">
        <v>868</v>
      </c>
      <c r="C337" s="71" t="s">
        <v>869</v>
      </c>
      <c r="D337" s="72" t="s">
        <v>870</v>
      </c>
      <c r="E337" s="73"/>
    </row>
    <row r="338" spans="1:5" x14ac:dyDescent="0.2">
      <c r="A338" s="91">
        <v>333</v>
      </c>
      <c r="B338" s="70" t="s">
        <v>800</v>
      </c>
      <c r="C338" s="71" t="s">
        <v>801</v>
      </c>
      <c r="D338" s="72" t="s">
        <v>802</v>
      </c>
      <c r="E338" s="73"/>
    </row>
    <row r="339" spans="1:5" x14ac:dyDescent="0.2">
      <c r="A339" s="91">
        <v>334</v>
      </c>
      <c r="B339" s="70" t="s">
        <v>996</v>
      </c>
      <c r="C339" s="71" t="s">
        <v>997</v>
      </c>
      <c r="D339" s="72" t="s">
        <v>998</v>
      </c>
      <c r="E339" s="73"/>
    </row>
    <row r="340" spans="1:5" x14ac:dyDescent="0.2">
      <c r="A340" s="91">
        <v>335</v>
      </c>
      <c r="B340" s="70" t="s">
        <v>1410</v>
      </c>
      <c r="C340" s="71" t="s">
        <v>1411</v>
      </c>
      <c r="D340" s="72" t="s">
        <v>784</v>
      </c>
      <c r="E340" s="73"/>
    </row>
    <row r="341" spans="1:5" x14ac:dyDescent="0.2">
      <c r="A341" s="91">
        <v>336</v>
      </c>
      <c r="B341" s="70" t="s">
        <v>174</v>
      </c>
      <c r="C341" s="71" t="s">
        <v>175</v>
      </c>
      <c r="D341" s="72" t="s">
        <v>176</v>
      </c>
      <c r="E341" s="73"/>
    </row>
    <row r="342" spans="1:5" x14ac:dyDescent="0.2">
      <c r="A342" s="91">
        <v>337</v>
      </c>
      <c r="B342" s="70" t="s">
        <v>634</v>
      </c>
      <c r="C342" s="71" t="s">
        <v>635</v>
      </c>
      <c r="D342" s="72" t="s">
        <v>636</v>
      </c>
      <c r="E342" s="73"/>
    </row>
    <row r="343" spans="1:5" x14ac:dyDescent="0.2">
      <c r="A343" s="91">
        <v>338</v>
      </c>
      <c r="B343" s="70" t="s">
        <v>1412</v>
      </c>
      <c r="C343" s="71" t="s">
        <v>1413</v>
      </c>
      <c r="D343" s="72" t="s">
        <v>1414</v>
      </c>
      <c r="E343" s="73"/>
    </row>
    <row r="344" spans="1:5" x14ac:dyDescent="0.2">
      <c r="A344" s="91">
        <v>339</v>
      </c>
      <c r="B344" s="70" t="s">
        <v>687</v>
      </c>
      <c r="C344" s="71" t="s">
        <v>688</v>
      </c>
      <c r="D344" s="72" t="s">
        <v>689</v>
      </c>
      <c r="E344" s="73"/>
    </row>
    <row r="345" spans="1:5" x14ac:dyDescent="0.2">
      <c r="A345" s="91">
        <v>340</v>
      </c>
      <c r="B345" s="70" t="s">
        <v>165</v>
      </c>
      <c r="C345" s="71" t="s">
        <v>166</v>
      </c>
      <c r="D345" s="72" t="s">
        <v>167</v>
      </c>
      <c r="E345" s="73"/>
    </row>
    <row r="346" spans="1:5" x14ac:dyDescent="0.2">
      <c r="A346" s="91">
        <v>341</v>
      </c>
      <c r="B346" s="70" t="s">
        <v>1415</v>
      </c>
      <c r="C346" s="71" t="s">
        <v>1416</v>
      </c>
      <c r="D346" s="72" t="s">
        <v>1417</v>
      </c>
      <c r="E346" s="73"/>
    </row>
    <row r="347" spans="1:5" x14ac:dyDescent="0.2">
      <c r="A347" s="91">
        <v>342</v>
      </c>
      <c r="B347" s="70" t="s">
        <v>1128</v>
      </c>
      <c r="C347" s="71" t="s">
        <v>1129</v>
      </c>
      <c r="D347" s="72" t="s">
        <v>1130</v>
      </c>
      <c r="E347" s="73"/>
    </row>
    <row r="348" spans="1:5" x14ac:dyDescent="0.2">
      <c r="A348" s="91">
        <v>343</v>
      </c>
      <c r="B348" s="70" t="s">
        <v>602</v>
      </c>
      <c r="C348" s="71" t="s">
        <v>603</v>
      </c>
      <c r="D348" s="72" t="s">
        <v>604</v>
      </c>
      <c r="E348" s="73"/>
    </row>
    <row r="349" spans="1:5" x14ac:dyDescent="0.2">
      <c r="A349" s="91">
        <v>344</v>
      </c>
      <c r="B349" s="70" t="s">
        <v>1181</v>
      </c>
      <c r="C349" s="71" t="s">
        <v>1182</v>
      </c>
      <c r="D349" s="72" t="s">
        <v>1183</v>
      </c>
      <c r="E349" s="73"/>
    </row>
    <row r="350" spans="1:5" x14ac:dyDescent="0.2">
      <c r="A350" s="91">
        <v>345</v>
      </c>
      <c r="B350" s="70" t="s">
        <v>100</v>
      </c>
      <c r="C350" s="71" t="s">
        <v>101</v>
      </c>
      <c r="D350" s="72" t="s">
        <v>102</v>
      </c>
      <c r="E350" s="73"/>
    </row>
    <row r="351" spans="1:5" x14ac:dyDescent="0.2">
      <c r="A351" s="91">
        <v>346</v>
      </c>
      <c r="B351" s="70" t="s">
        <v>476</v>
      </c>
      <c r="C351" s="71" t="s">
        <v>477</v>
      </c>
      <c r="D351" s="72" t="s">
        <v>478</v>
      </c>
      <c r="E351" s="73"/>
    </row>
    <row r="352" spans="1:5" x14ac:dyDescent="0.2">
      <c r="A352" s="91">
        <v>347</v>
      </c>
      <c r="B352" s="70" t="s">
        <v>1418</v>
      </c>
      <c r="C352" s="71" t="s">
        <v>1419</v>
      </c>
      <c r="D352" s="72" t="s">
        <v>1420</v>
      </c>
      <c r="E352" s="73"/>
    </row>
    <row r="353" spans="1:5" x14ac:dyDescent="0.2">
      <c r="A353" s="91">
        <v>348</v>
      </c>
      <c r="B353" s="70" t="s">
        <v>1421</v>
      </c>
      <c r="C353" s="71" t="s">
        <v>1422</v>
      </c>
      <c r="D353" s="72" t="s">
        <v>99</v>
      </c>
      <c r="E353" s="73"/>
    </row>
    <row r="354" spans="1:5" x14ac:dyDescent="0.2">
      <c r="A354" s="91">
        <v>349</v>
      </c>
      <c r="B354" s="70" t="s">
        <v>1082</v>
      </c>
      <c r="C354" s="71" t="s">
        <v>1083</v>
      </c>
      <c r="D354" s="72" t="s">
        <v>1084</v>
      </c>
      <c r="E354" s="73"/>
    </row>
    <row r="355" spans="1:5" x14ac:dyDescent="0.2">
      <c r="A355" s="91">
        <v>350</v>
      </c>
      <c r="B355" s="70" t="s">
        <v>147</v>
      </c>
      <c r="C355" s="71" t="s">
        <v>148</v>
      </c>
      <c r="D355" s="72" t="s">
        <v>149</v>
      </c>
      <c r="E355" s="73"/>
    </row>
    <row r="356" spans="1:5" x14ac:dyDescent="0.2">
      <c r="A356" s="91">
        <v>351</v>
      </c>
      <c r="B356" s="70" t="s">
        <v>1002</v>
      </c>
      <c r="C356" s="71" t="s">
        <v>1003</v>
      </c>
      <c r="D356" s="72" t="s">
        <v>931</v>
      </c>
      <c r="E356" s="73"/>
    </row>
    <row r="357" spans="1:5" x14ac:dyDescent="0.2">
      <c r="A357" s="91">
        <v>352</v>
      </c>
      <c r="B357" s="70" t="s">
        <v>864</v>
      </c>
      <c r="C357" s="71" t="s">
        <v>865</v>
      </c>
      <c r="D357" s="72" t="s">
        <v>866</v>
      </c>
      <c r="E357" s="73"/>
    </row>
    <row r="358" spans="1:5" x14ac:dyDescent="0.2">
      <c r="A358" s="91">
        <v>353</v>
      </c>
      <c r="B358" s="70" t="s">
        <v>1049</v>
      </c>
      <c r="C358" s="71" t="s">
        <v>1050</v>
      </c>
      <c r="D358" s="72" t="s">
        <v>1051</v>
      </c>
      <c r="E358" s="73"/>
    </row>
    <row r="359" spans="1:5" x14ac:dyDescent="0.2">
      <c r="A359" s="91">
        <v>354</v>
      </c>
      <c r="B359" s="77" t="s">
        <v>1157</v>
      </c>
      <c r="C359" s="71" t="s">
        <v>1158</v>
      </c>
      <c r="D359" s="72" t="s">
        <v>1159</v>
      </c>
      <c r="E359" s="73" t="s">
        <v>1488</v>
      </c>
    </row>
    <row r="360" spans="1:5" x14ac:dyDescent="0.2">
      <c r="A360" s="91">
        <v>355</v>
      </c>
      <c r="B360" s="70" t="s">
        <v>1106</v>
      </c>
      <c r="C360" s="71" t="s">
        <v>1107</v>
      </c>
      <c r="D360" s="72" t="s">
        <v>1108</v>
      </c>
      <c r="E360" s="73"/>
    </row>
    <row r="361" spans="1:5" x14ac:dyDescent="0.2">
      <c r="A361" s="91">
        <v>356</v>
      </c>
      <c r="B361" s="70" t="s">
        <v>1100</v>
      </c>
      <c r="C361" s="71" t="s">
        <v>1101</v>
      </c>
      <c r="D361" s="72" t="s">
        <v>1102</v>
      </c>
      <c r="E361" s="73"/>
    </row>
    <row r="362" spans="1:5" x14ac:dyDescent="0.2">
      <c r="A362" s="91">
        <v>357</v>
      </c>
      <c r="B362" s="70" t="s">
        <v>211</v>
      </c>
      <c r="C362" s="71" t="s">
        <v>212</v>
      </c>
      <c r="D362" s="72" t="s">
        <v>213</v>
      </c>
      <c r="E362" s="73"/>
    </row>
    <row r="363" spans="1:5" x14ac:dyDescent="0.2">
      <c r="A363" s="91">
        <v>358</v>
      </c>
      <c r="B363" s="70" t="s">
        <v>437</v>
      </c>
      <c r="C363" s="71" t="s">
        <v>438</v>
      </c>
      <c r="D363" s="72" t="s">
        <v>439</v>
      </c>
      <c r="E363" s="73"/>
    </row>
    <row r="364" spans="1:5" x14ac:dyDescent="0.2">
      <c r="A364" s="91">
        <v>359</v>
      </c>
      <c r="B364" s="70" t="s">
        <v>1423</v>
      </c>
      <c r="C364" s="71" t="s">
        <v>1424</v>
      </c>
      <c r="D364" s="72" t="s">
        <v>1425</v>
      </c>
      <c r="E364" s="73"/>
    </row>
    <row r="365" spans="1:5" x14ac:dyDescent="0.2">
      <c r="A365" s="91">
        <v>360</v>
      </c>
      <c r="B365" s="70" t="s">
        <v>1067</v>
      </c>
      <c r="C365" s="71" t="s">
        <v>1068</v>
      </c>
      <c r="D365" s="72" t="s">
        <v>1069</v>
      </c>
      <c r="E365" s="73"/>
    </row>
    <row r="366" spans="1:5" x14ac:dyDescent="0.2">
      <c r="A366" s="91">
        <v>361</v>
      </c>
      <c r="B366" s="70" t="s">
        <v>605</v>
      </c>
      <c r="C366" s="71" t="s">
        <v>606</v>
      </c>
      <c r="D366" s="72" t="s">
        <v>607</v>
      </c>
      <c r="E366" s="73"/>
    </row>
    <row r="367" spans="1:5" x14ac:dyDescent="0.2">
      <c r="A367" s="91">
        <v>362</v>
      </c>
      <c r="B367" s="70" t="s">
        <v>1122</v>
      </c>
      <c r="C367" s="71" t="s">
        <v>1123</v>
      </c>
      <c r="D367" s="72" t="s">
        <v>1124</v>
      </c>
      <c r="E367" s="73"/>
    </row>
    <row r="368" spans="1:5" x14ac:dyDescent="0.2">
      <c r="A368" s="91">
        <v>363</v>
      </c>
      <c r="B368" s="70" t="s">
        <v>301</v>
      </c>
      <c r="C368" s="71" t="s">
        <v>302</v>
      </c>
      <c r="D368" s="72" t="s">
        <v>303</v>
      </c>
      <c r="E368" s="73"/>
    </row>
    <row r="369" spans="1:5" x14ac:dyDescent="0.2">
      <c r="A369" s="91">
        <v>364</v>
      </c>
      <c r="B369" s="70" t="s">
        <v>758</v>
      </c>
      <c r="C369" s="71" t="s">
        <v>759</v>
      </c>
      <c r="D369" s="72" t="s">
        <v>760</v>
      </c>
      <c r="E369" s="73"/>
    </row>
    <row r="370" spans="1:5" x14ac:dyDescent="0.2">
      <c r="A370" s="91">
        <v>365</v>
      </c>
      <c r="B370" s="70" t="s">
        <v>882</v>
      </c>
      <c r="C370" s="71" t="s">
        <v>883</v>
      </c>
      <c r="D370" s="72" t="s">
        <v>884</v>
      </c>
      <c r="E370" s="73"/>
    </row>
    <row r="371" spans="1:5" x14ac:dyDescent="0.2">
      <c r="A371" s="91">
        <v>366</v>
      </c>
      <c r="B371" s="70" t="s">
        <v>1426</v>
      </c>
      <c r="C371" s="71" t="s">
        <v>1427</v>
      </c>
      <c r="D371" s="72" t="s">
        <v>1428</v>
      </c>
      <c r="E371" s="73"/>
    </row>
    <row r="372" spans="1:5" x14ac:dyDescent="0.2">
      <c r="A372" s="91">
        <v>367</v>
      </c>
      <c r="B372" s="77" t="s">
        <v>1429</v>
      </c>
      <c r="C372" s="71" t="s">
        <v>1430</v>
      </c>
      <c r="D372" s="72"/>
      <c r="E372" s="73" t="s">
        <v>1488</v>
      </c>
    </row>
    <row r="373" spans="1:5" x14ac:dyDescent="0.2">
      <c r="A373" s="91">
        <v>368</v>
      </c>
      <c r="B373" s="77" t="s">
        <v>1431</v>
      </c>
      <c r="C373" s="71" t="s">
        <v>1432</v>
      </c>
      <c r="D373" s="72"/>
      <c r="E373" s="73" t="s">
        <v>1488</v>
      </c>
    </row>
    <row r="374" spans="1:5" x14ac:dyDescent="0.2">
      <c r="A374" s="91">
        <v>369</v>
      </c>
      <c r="B374" s="70" t="s">
        <v>625</v>
      </c>
      <c r="C374" s="71" t="s">
        <v>626</v>
      </c>
      <c r="D374" s="72" t="s">
        <v>627</v>
      </c>
      <c r="E374" s="73"/>
    </row>
    <row r="375" spans="1:5" x14ac:dyDescent="0.2">
      <c r="A375" s="91">
        <v>370</v>
      </c>
      <c r="B375" s="70" t="s">
        <v>1174</v>
      </c>
      <c r="C375" s="71" t="s">
        <v>1175</v>
      </c>
      <c r="D375" s="72" t="s">
        <v>1176</v>
      </c>
      <c r="E375" s="73"/>
    </row>
    <row r="376" spans="1:5" x14ac:dyDescent="0.2">
      <c r="A376" s="91">
        <v>371</v>
      </c>
      <c r="B376" s="70" t="s">
        <v>595</v>
      </c>
      <c r="C376" s="71" t="s">
        <v>596</v>
      </c>
      <c r="D376" s="72" t="s">
        <v>597</v>
      </c>
      <c r="E376" s="73"/>
    </row>
    <row r="377" spans="1:5" x14ac:dyDescent="0.2">
      <c r="A377" s="91">
        <v>372</v>
      </c>
      <c r="B377" s="70" t="s">
        <v>70</v>
      </c>
      <c r="C377" s="71" t="s">
        <v>71</v>
      </c>
      <c r="D377" s="72" t="s">
        <v>72</v>
      </c>
      <c r="E377" s="73"/>
    </row>
    <row r="378" spans="1:5" x14ac:dyDescent="0.2">
      <c r="A378" s="91">
        <v>373</v>
      </c>
      <c r="B378" s="70" t="s">
        <v>696</v>
      </c>
      <c r="C378" s="71" t="s">
        <v>697</v>
      </c>
      <c r="D378" s="72" t="s">
        <v>698</v>
      </c>
      <c r="E378" s="73"/>
    </row>
    <row r="379" spans="1:5" x14ac:dyDescent="0.2">
      <c r="A379" s="91">
        <v>374</v>
      </c>
      <c r="B379" s="70" t="s">
        <v>740</v>
      </c>
      <c r="C379" s="71" t="s">
        <v>741</v>
      </c>
      <c r="D379" s="72" t="s">
        <v>742</v>
      </c>
      <c r="E379" s="73"/>
    </row>
    <row r="380" spans="1:5" x14ac:dyDescent="0.2">
      <c r="A380" s="91">
        <v>375</v>
      </c>
      <c r="B380" s="70" t="s">
        <v>871</v>
      </c>
      <c r="C380" s="71" t="s">
        <v>872</v>
      </c>
      <c r="D380" s="72" t="s">
        <v>873</v>
      </c>
      <c r="E380" s="73"/>
    </row>
    <row r="381" spans="1:5" x14ac:dyDescent="0.2">
      <c r="A381" s="91">
        <v>376</v>
      </c>
      <c r="B381" s="70" t="s">
        <v>387</v>
      </c>
      <c r="C381" s="71" t="s">
        <v>388</v>
      </c>
      <c r="D381" s="72" t="s">
        <v>389</v>
      </c>
      <c r="E381" s="73"/>
    </row>
    <row r="382" spans="1:5" x14ac:dyDescent="0.2">
      <c r="A382" s="91">
        <v>377</v>
      </c>
      <c r="B382" s="70" t="s">
        <v>135</v>
      </c>
      <c r="C382" s="71" t="s">
        <v>136</v>
      </c>
      <c r="D382" s="72" t="s">
        <v>137</v>
      </c>
      <c r="E382" s="73"/>
    </row>
    <row r="383" spans="1:5" x14ac:dyDescent="0.2">
      <c r="A383" s="91">
        <v>378</v>
      </c>
      <c r="B383" s="70" t="s">
        <v>1433</v>
      </c>
      <c r="C383" s="71" t="s">
        <v>1434</v>
      </c>
      <c r="D383" s="72" t="s">
        <v>1435</v>
      </c>
      <c r="E383" s="73"/>
    </row>
    <row r="384" spans="1:5" x14ac:dyDescent="0.2">
      <c r="A384" s="91">
        <v>379</v>
      </c>
      <c r="B384" s="77" t="s">
        <v>1436</v>
      </c>
      <c r="C384" s="71" t="s">
        <v>1437</v>
      </c>
      <c r="D384" s="72" t="s">
        <v>1438</v>
      </c>
      <c r="E384" s="73" t="s">
        <v>1488</v>
      </c>
    </row>
    <row r="385" spans="1:5" x14ac:dyDescent="0.2">
      <c r="A385" s="91">
        <v>380</v>
      </c>
      <c r="B385" s="70" t="s">
        <v>168</v>
      </c>
      <c r="C385" s="71" t="s">
        <v>169</v>
      </c>
      <c r="D385" s="72" t="s">
        <v>170</v>
      </c>
      <c r="E385" s="73"/>
    </row>
    <row r="386" spans="1:5" x14ac:dyDescent="0.2">
      <c r="A386" s="91">
        <v>381</v>
      </c>
      <c r="B386" s="70" t="s">
        <v>915</v>
      </c>
      <c r="C386" s="71" t="s">
        <v>916</v>
      </c>
      <c r="D386" s="72" t="s">
        <v>917</v>
      </c>
      <c r="E386" s="73"/>
    </row>
    <row r="387" spans="1:5" x14ac:dyDescent="0.2">
      <c r="A387" s="91">
        <v>382</v>
      </c>
      <c r="B387" s="70" t="s">
        <v>890</v>
      </c>
      <c r="C387" s="71" t="s">
        <v>891</v>
      </c>
      <c r="D387" s="72" t="s">
        <v>892</v>
      </c>
      <c r="E387" s="73"/>
    </row>
    <row r="388" spans="1:5" x14ac:dyDescent="0.2">
      <c r="A388" s="91">
        <v>383</v>
      </c>
      <c r="B388" s="70" t="s">
        <v>253</v>
      </c>
      <c r="C388" s="71" t="s">
        <v>254</v>
      </c>
      <c r="D388" s="72" t="s">
        <v>255</v>
      </c>
      <c r="E388" s="73"/>
    </row>
    <row r="389" spans="1:5" x14ac:dyDescent="0.2">
      <c r="A389" s="91">
        <v>384</v>
      </c>
      <c r="B389" s="70" t="s">
        <v>678</v>
      </c>
      <c r="C389" s="71" t="s">
        <v>679</v>
      </c>
      <c r="D389" s="72" t="s">
        <v>680</v>
      </c>
      <c r="E389" s="73"/>
    </row>
    <row r="390" spans="1:5" x14ac:dyDescent="0.2">
      <c r="A390" s="91">
        <v>385</v>
      </c>
      <c r="B390" s="70" t="s">
        <v>1039</v>
      </c>
      <c r="C390" s="71" t="s">
        <v>1040</v>
      </c>
      <c r="D390" s="72" t="s">
        <v>1041</v>
      </c>
      <c r="E390" s="73"/>
    </row>
    <row r="391" spans="1:5" x14ac:dyDescent="0.2">
      <c r="A391" s="91">
        <v>386</v>
      </c>
      <c r="B391" s="70" t="s">
        <v>452</v>
      </c>
      <c r="C391" s="71" t="s">
        <v>453</v>
      </c>
      <c r="D391" s="72" t="s">
        <v>454</v>
      </c>
      <c r="E391" s="73"/>
    </row>
    <row r="392" spans="1:5" x14ac:dyDescent="0.2">
      <c r="A392" s="91">
        <v>387</v>
      </c>
      <c r="B392" s="70" t="s">
        <v>413</v>
      </c>
      <c r="C392" s="71" t="s">
        <v>414</v>
      </c>
      <c r="D392" s="72" t="s">
        <v>415</v>
      </c>
      <c r="E392" s="73"/>
    </row>
    <row r="393" spans="1:5" x14ac:dyDescent="0.2">
      <c r="A393" s="91">
        <v>388</v>
      </c>
      <c r="B393" s="70" t="s">
        <v>831</v>
      </c>
      <c r="C393" s="71" t="s">
        <v>832</v>
      </c>
      <c r="D393" s="72" t="s">
        <v>833</v>
      </c>
      <c r="E393" s="73"/>
    </row>
    <row r="394" spans="1:5" x14ac:dyDescent="0.2">
      <c r="A394" s="91">
        <v>389</v>
      </c>
      <c r="B394" s="70" t="s">
        <v>265</v>
      </c>
      <c r="C394" s="71" t="s">
        <v>266</v>
      </c>
      <c r="D394" s="72" t="s">
        <v>267</v>
      </c>
      <c r="E394" s="73"/>
    </row>
    <row r="395" spans="1:5" x14ac:dyDescent="0.2">
      <c r="A395" s="91">
        <v>390</v>
      </c>
      <c r="B395" s="70" t="s">
        <v>428</v>
      </c>
      <c r="C395" s="71" t="s">
        <v>429</v>
      </c>
      <c r="D395" s="72" t="s">
        <v>430</v>
      </c>
      <c r="E395" s="73"/>
    </row>
    <row r="396" spans="1:5" x14ac:dyDescent="0.2">
      <c r="A396" s="91">
        <v>391</v>
      </c>
      <c r="B396" s="70" t="s">
        <v>562</v>
      </c>
      <c r="C396" s="71" t="s">
        <v>563</v>
      </c>
      <c r="D396" s="72" t="s">
        <v>564</v>
      </c>
      <c r="E396" s="73"/>
    </row>
    <row r="397" spans="1:5" x14ac:dyDescent="0.2">
      <c r="A397" s="91">
        <v>392</v>
      </c>
      <c r="B397" s="70" t="s">
        <v>343</v>
      </c>
      <c r="C397" s="71" t="s">
        <v>344</v>
      </c>
      <c r="D397" s="72" t="s">
        <v>345</v>
      </c>
      <c r="E397" s="73"/>
    </row>
    <row r="398" spans="1:5" x14ac:dyDescent="0.2">
      <c r="A398" s="91">
        <v>393</v>
      </c>
      <c r="B398" s="77" t="s">
        <v>1172</v>
      </c>
      <c r="C398" s="71" t="s">
        <v>1173</v>
      </c>
      <c r="D398" s="72" t="s">
        <v>1147</v>
      </c>
      <c r="E398" s="73" t="s">
        <v>1488</v>
      </c>
    </row>
    <row r="399" spans="1:5" x14ac:dyDescent="0.2">
      <c r="A399" s="91">
        <v>394</v>
      </c>
      <c r="B399" s="70" t="s">
        <v>643</v>
      </c>
      <c r="C399" s="71" t="s">
        <v>644</v>
      </c>
      <c r="D399" s="72" t="s">
        <v>645</v>
      </c>
      <c r="E399" s="73"/>
    </row>
    <row r="400" spans="1:5" x14ac:dyDescent="0.2">
      <c r="A400" s="91">
        <v>395</v>
      </c>
      <c r="B400" s="70" t="s">
        <v>1439</v>
      </c>
      <c r="C400" s="71" t="s">
        <v>1440</v>
      </c>
      <c r="D400" s="72" t="s">
        <v>1441</v>
      </c>
      <c r="E400" s="73"/>
    </row>
    <row r="401" spans="1:5" x14ac:dyDescent="0.2">
      <c r="A401" s="91">
        <v>396</v>
      </c>
      <c r="B401" s="70" t="s">
        <v>1442</v>
      </c>
      <c r="C401" s="71" t="s">
        <v>1443</v>
      </c>
      <c r="D401" s="72" t="s">
        <v>3210</v>
      </c>
      <c r="E401" s="73"/>
    </row>
    <row r="402" spans="1:5" x14ac:dyDescent="0.2">
      <c r="A402" s="91">
        <v>397</v>
      </c>
      <c r="B402" s="70" t="s">
        <v>461</v>
      </c>
      <c r="C402" s="71" t="s">
        <v>462</v>
      </c>
      <c r="D402" s="72" t="s">
        <v>463</v>
      </c>
      <c r="E402" s="73" t="s">
        <v>1522</v>
      </c>
    </row>
    <row r="403" spans="1:5" x14ac:dyDescent="0.2">
      <c r="A403" s="91">
        <v>398</v>
      </c>
      <c r="B403" s="70" t="s">
        <v>574</v>
      </c>
      <c r="C403" s="71" t="s">
        <v>575</v>
      </c>
      <c r="D403" s="72" t="s">
        <v>576</v>
      </c>
      <c r="E403" s="73"/>
    </row>
    <row r="404" spans="1:5" x14ac:dyDescent="0.2">
      <c r="A404" s="91">
        <v>399</v>
      </c>
      <c r="B404" s="70" t="s">
        <v>1198</v>
      </c>
      <c r="C404" s="71" t="s">
        <v>1199</v>
      </c>
      <c r="D404" s="72" t="s">
        <v>892</v>
      </c>
      <c r="E404" s="73"/>
    </row>
    <row r="405" spans="1:5" x14ac:dyDescent="0.2">
      <c r="A405" s="91">
        <v>400</v>
      </c>
      <c r="B405" s="70" t="s">
        <v>1073</v>
      </c>
      <c r="C405" s="71" t="s">
        <v>1074</v>
      </c>
      <c r="D405" s="72" t="s">
        <v>1075</v>
      </c>
      <c r="E405" s="73"/>
    </row>
    <row r="406" spans="1:5" x14ac:dyDescent="0.2">
      <c r="A406" s="91">
        <v>401</v>
      </c>
      <c r="B406" s="70" t="s">
        <v>855</v>
      </c>
      <c r="C406" s="71" t="s">
        <v>856</v>
      </c>
      <c r="D406" s="72" t="s">
        <v>857</v>
      </c>
      <c r="E406" s="73"/>
    </row>
    <row r="407" spans="1:5" x14ac:dyDescent="0.2">
      <c r="A407" s="91">
        <v>402</v>
      </c>
      <c r="B407" s="70" t="s">
        <v>186</v>
      </c>
      <c r="C407" s="71" t="s">
        <v>187</v>
      </c>
      <c r="D407" s="72" t="s">
        <v>188</v>
      </c>
      <c r="E407" s="73"/>
    </row>
    <row r="408" spans="1:5" x14ac:dyDescent="0.2">
      <c r="A408" s="91">
        <v>403</v>
      </c>
      <c r="B408" s="70" t="s">
        <v>361</v>
      </c>
      <c r="C408" s="71" t="s">
        <v>362</v>
      </c>
      <c r="D408" s="72" t="s">
        <v>363</v>
      </c>
      <c r="E408" s="73"/>
    </row>
    <row r="409" spans="1:5" x14ac:dyDescent="0.2">
      <c r="A409" s="91">
        <v>404</v>
      </c>
      <c r="B409" s="77" t="s">
        <v>1445</v>
      </c>
      <c r="C409" s="71" t="s">
        <v>1446</v>
      </c>
      <c r="D409" s="72"/>
      <c r="E409" s="73" t="s">
        <v>1488</v>
      </c>
    </row>
    <row r="410" spans="1:5" x14ac:dyDescent="0.2">
      <c r="A410" s="91">
        <v>405</v>
      </c>
      <c r="B410" s="70" t="s">
        <v>1110</v>
      </c>
      <c r="C410" s="71" t="s">
        <v>1111</v>
      </c>
      <c r="D410" s="72" t="s">
        <v>657</v>
      </c>
      <c r="E410" s="73"/>
    </row>
    <row r="411" spans="1:5" x14ac:dyDescent="0.2">
      <c r="A411" s="91">
        <v>406</v>
      </c>
      <c r="B411" s="70" t="s">
        <v>944</v>
      </c>
      <c r="C411" s="71" t="s">
        <v>945</v>
      </c>
      <c r="D411" s="72" t="s">
        <v>946</v>
      </c>
      <c r="E411" s="73"/>
    </row>
    <row r="412" spans="1:5" x14ac:dyDescent="0.2">
      <c r="A412" s="91">
        <v>407</v>
      </c>
      <c r="B412" s="70" t="s">
        <v>743</v>
      </c>
      <c r="C412" s="71" t="s">
        <v>744</v>
      </c>
      <c r="D412" s="72" t="s">
        <v>745</v>
      </c>
      <c r="E412" s="73"/>
    </row>
    <row r="413" spans="1:5" x14ac:dyDescent="0.2">
      <c r="A413" s="91">
        <v>408</v>
      </c>
      <c r="B413" s="70" t="s">
        <v>346</v>
      </c>
      <c r="C413" s="71" t="s">
        <v>347</v>
      </c>
      <c r="D413" s="72" t="s">
        <v>348</v>
      </c>
      <c r="E413" s="73"/>
    </row>
    <row r="414" spans="1:5" x14ac:dyDescent="0.2">
      <c r="A414" s="91">
        <v>409</v>
      </c>
      <c r="B414" s="70" t="s">
        <v>834</v>
      </c>
      <c r="C414" s="71" t="s">
        <v>835</v>
      </c>
      <c r="D414" s="72" t="s">
        <v>836</v>
      </c>
      <c r="E414" s="73"/>
    </row>
    <row r="415" spans="1:5" x14ac:dyDescent="0.2">
      <c r="A415" s="91">
        <v>410</v>
      </c>
      <c r="B415" s="70" t="s">
        <v>514</v>
      </c>
      <c r="C415" s="71" t="s">
        <v>515</v>
      </c>
      <c r="D415" s="72" t="s">
        <v>516</v>
      </c>
      <c r="E415" s="73"/>
    </row>
    <row r="416" spans="1:5" x14ac:dyDescent="0.2">
      <c r="A416" s="91">
        <v>411</v>
      </c>
      <c r="B416" s="70" t="s">
        <v>791</v>
      </c>
      <c r="C416" s="71" t="s">
        <v>792</v>
      </c>
      <c r="D416" s="72" t="s">
        <v>793</v>
      </c>
      <c r="E416" s="73"/>
    </row>
    <row r="417" spans="1:5" x14ac:dyDescent="0.2">
      <c r="A417" s="91">
        <v>412</v>
      </c>
      <c r="B417" s="70" t="s">
        <v>373</v>
      </c>
      <c r="C417" s="71" t="s">
        <v>374</v>
      </c>
      <c r="D417" s="72" t="s">
        <v>375</v>
      </c>
      <c r="E417" s="73"/>
    </row>
    <row r="418" spans="1:5" x14ac:dyDescent="0.2">
      <c r="A418" s="91">
        <v>413</v>
      </c>
      <c r="B418" s="70" t="s">
        <v>325</v>
      </c>
      <c r="C418" s="71" t="s">
        <v>326</v>
      </c>
      <c r="D418" s="72" t="s">
        <v>327</v>
      </c>
      <c r="E418" s="73"/>
    </row>
    <row r="419" spans="1:5" x14ac:dyDescent="0.2">
      <c r="A419" s="91">
        <v>414</v>
      </c>
      <c r="B419" s="77" t="s">
        <v>1447</v>
      </c>
      <c r="C419" s="71" t="s">
        <v>1448</v>
      </c>
      <c r="D419" s="72"/>
      <c r="E419" s="73" t="s">
        <v>1488</v>
      </c>
    </row>
    <row r="420" spans="1:5" x14ac:dyDescent="0.2">
      <c r="A420" s="91">
        <v>415</v>
      </c>
      <c r="B420" s="70" t="s">
        <v>370</v>
      </c>
      <c r="C420" s="71" t="s">
        <v>371</v>
      </c>
      <c r="D420" s="72" t="s">
        <v>372</v>
      </c>
      <c r="E420" s="73"/>
    </row>
    <row r="421" spans="1:5" x14ac:dyDescent="0.2">
      <c r="A421" s="91">
        <v>416</v>
      </c>
      <c r="B421" s="70" t="s">
        <v>1178</v>
      </c>
      <c r="C421" s="71" t="s">
        <v>1179</v>
      </c>
      <c r="D421" s="72" t="s">
        <v>1180</v>
      </c>
      <c r="E421" s="73" t="s">
        <v>1523</v>
      </c>
    </row>
    <row r="422" spans="1:5" x14ac:dyDescent="0.2">
      <c r="A422" s="91">
        <v>417</v>
      </c>
      <c r="B422" s="70" t="s">
        <v>828</v>
      </c>
      <c r="C422" s="71" t="s">
        <v>829</v>
      </c>
      <c r="D422" s="72" t="s">
        <v>830</v>
      </c>
      <c r="E422" s="73"/>
    </row>
    <row r="423" spans="1:5" x14ac:dyDescent="0.2">
      <c r="A423" s="91">
        <v>418</v>
      </c>
      <c r="B423" s="70" t="s">
        <v>506</v>
      </c>
      <c r="C423" s="71" t="s">
        <v>507</v>
      </c>
      <c r="D423" s="72" t="s">
        <v>508</v>
      </c>
      <c r="E423" s="73"/>
    </row>
    <row r="424" spans="1:5" x14ac:dyDescent="0.2">
      <c r="A424" s="91">
        <v>419</v>
      </c>
      <c r="B424" s="70" t="s">
        <v>714</v>
      </c>
      <c r="C424" s="71" t="s">
        <v>715</v>
      </c>
      <c r="D424" s="72" t="s">
        <v>487</v>
      </c>
      <c r="E424" s="73"/>
    </row>
    <row r="425" spans="1:5" x14ac:dyDescent="0.2">
      <c r="A425" s="91">
        <v>420</v>
      </c>
      <c r="B425" s="70" t="s">
        <v>893</v>
      </c>
      <c r="C425" s="71" t="s">
        <v>894</v>
      </c>
      <c r="D425" s="72" t="s">
        <v>895</v>
      </c>
      <c r="E425" s="73"/>
    </row>
    <row r="426" spans="1:5" x14ac:dyDescent="0.2">
      <c r="A426" s="91">
        <v>421</v>
      </c>
      <c r="B426" s="70" t="s">
        <v>467</v>
      </c>
      <c r="C426" s="71" t="s">
        <v>468</v>
      </c>
      <c r="D426" s="72" t="s">
        <v>469</v>
      </c>
      <c r="E426" s="73"/>
    </row>
    <row r="427" spans="1:5" x14ac:dyDescent="0.2">
      <c r="A427" s="91">
        <v>422</v>
      </c>
      <c r="B427" s="70" t="s">
        <v>292</v>
      </c>
      <c r="C427" s="71" t="s">
        <v>293</v>
      </c>
      <c r="D427" s="72" t="s">
        <v>294</v>
      </c>
      <c r="E427" s="73"/>
    </row>
    <row r="428" spans="1:5" x14ac:dyDescent="0.2">
      <c r="A428" s="91">
        <v>423</v>
      </c>
      <c r="B428" s="70" t="s">
        <v>535</v>
      </c>
      <c r="C428" s="71" t="s">
        <v>536</v>
      </c>
      <c r="D428" s="72" t="s">
        <v>537</v>
      </c>
      <c r="E428" s="73"/>
    </row>
    <row r="429" spans="1:5" x14ac:dyDescent="0.2">
      <c r="A429" s="91">
        <v>424</v>
      </c>
      <c r="B429" s="77" t="s">
        <v>1449</v>
      </c>
      <c r="C429" s="71" t="s">
        <v>1450</v>
      </c>
      <c r="D429" s="72"/>
      <c r="E429" s="73" t="s">
        <v>1488</v>
      </c>
    </row>
    <row r="430" spans="1:5" x14ac:dyDescent="0.2">
      <c r="A430" s="91">
        <v>425</v>
      </c>
      <c r="B430" s="70" t="s">
        <v>608</v>
      </c>
      <c r="C430" s="71" t="s">
        <v>609</v>
      </c>
      <c r="D430" s="72" t="s">
        <v>610</v>
      </c>
      <c r="E430" s="73"/>
    </row>
    <row r="431" spans="1:5" x14ac:dyDescent="0.2">
      <c r="A431" s="91">
        <v>426</v>
      </c>
      <c r="B431" s="77" t="s">
        <v>1451</v>
      </c>
      <c r="C431" s="71" t="s">
        <v>1452</v>
      </c>
      <c r="D431" s="72"/>
      <c r="E431" s="73" t="s">
        <v>1488</v>
      </c>
    </row>
    <row r="432" spans="1:5" x14ac:dyDescent="0.2">
      <c r="A432" s="91">
        <v>427</v>
      </c>
      <c r="B432" s="70" t="s">
        <v>419</v>
      </c>
      <c r="C432" s="71" t="s">
        <v>420</v>
      </c>
      <c r="D432" s="72" t="s">
        <v>421</v>
      </c>
      <c r="E432" s="73"/>
    </row>
    <row r="433" spans="1:5" x14ac:dyDescent="0.2">
      <c r="A433" s="91">
        <v>428</v>
      </c>
      <c r="B433" s="70" t="s">
        <v>322</v>
      </c>
      <c r="C433" s="71" t="s">
        <v>323</v>
      </c>
      <c r="D433" s="72" t="s">
        <v>324</v>
      </c>
      <c r="E433" s="73"/>
    </row>
    <row r="434" spans="1:5" x14ac:dyDescent="0.2">
      <c r="A434" s="91">
        <v>429</v>
      </c>
      <c r="B434" s="70" t="s">
        <v>380</v>
      </c>
      <c r="C434" s="71" t="s">
        <v>381</v>
      </c>
      <c r="D434" s="72" t="s">
        <v>382</v>
      </c>
      <c r="E434" s="73"/>
    </row>
    <row r="435" spans="1:5" x14ac:dyDescent="0.2">
      <c r="A435" s="91">
        <v>430</v>
      </c>
      <c r="B435" s="70" t="s">
        <v>78</v>
      </c>
      <c r="C435" s="71" t="s">
        <v>79</v>
      </c>
      <c r="D435" s="72" t="s">
        <v>80</v>
      </c>
      <c r="E435" s="73" t="s">
        <v>1524</v>
      </c>
    </row>
    <row r="436" spans="1:5" x14ac:dyDescent="0.2">
      <c r="A436" s="91">
        <v>431</v>
      </c>
      <c r="B436" s="70" t="s">
        <v>473</v>
      </c>
      <c r="C436" s="71" t="s">
        <v>474</v>
      </c>
      <c r="D436" s="72" t="s">
        <v>475</v>
      </c>
      <c r="E436" s="73"/>
    </row>
    <row r="437" spans="1:5" x14ac:dyDescent="0.2">
      <c r="A437" s="91">
        <v>432</v>
      </c>
      <c r="B437" s="70" t="s">
        <v>1453</v>
      </c>
      <c r="C437" s="71" t="s">
        <v>1454</v>
      </c>
      <c r="D437" s="72" t="s">
        <v>1455</v>
      </c>
      <c r="E437" s="73"/>
    </row>
    <row r="438" spans="1:5" x14ac:dyDescent="0.2">
      <c r="A438" s="91">
        <v>433</v>
      </c>
      <c r="B438" s="70" t="s">
        <v>286</v>
      </c>
      <c r="C438" s="71" t="s">
        <v>287</v>
      </c>
      <c r="D438" s="72" t="s">
        <v>288</v>
      </c>
      <c r="E438" s="73"/>
    </row>
    <row r="439" spans="1:5" x14ac:dyDescent="0.2">
      <c r="A439" s="91">
        <v>434</v>
      </c>
      <c r="B439" s="70" t="s">
        <v>987</v>
      </c>
      <c r="C439" s="71" t="s">
        <v>988</v>
      </c>
      <c r="D439" s="72" t="s">
        <v>989</v>
      </c>
      <c r="E439" s="73"/>
    </row>
    <row r="440" spans="1:5" x14ac:dyDescent="0.2">
      <c r="A440" s="91">
        <v>435</v>
      </c>
      <c r="B440" s="70" t="s">
        <v>159</v>
      </c>
      <c r="C440" s="71" t="s">
        <v>160</v>
      </c>
      <c r="D440" s="72" t="s">
        <v>161</v>
      </c>
      <c r="E440" s="73"/>
    </row>
    <row r="441" spans="1:5" x14ac:dyDescent="0.2">
      <c r="A441" s="91">
        <v>436</v>
      </c>
      <c r="B441" s="70" t="s">
        <v>556</v>
      </c>
      <c r="C441" s="71" t="s">
        <v>557</v>
      </c>
      <c r="D441" s="72" t="s">
        <v>558</v>
      </c>
      <c r="E441" s="73"/>
    </row>
    <row r="442" spans="1:5" x14ac:dyDescent="0.2">
      <c r="A442" s="91">
        <v>437</v>
      </c>
      <c r="B442" s="70" t="s">
        <v>1456</v>
      </c>
      <c r="C442" s="71" t="s">
        <v>1457</v>
      </c>
      <c r="D442" s="72" t="s">
        <v>1458</v>
      </c>
      <c r="E442" s="73"/>
    </row>
    <row r="443" spans="1:5" x14ac:dyDescent="0.2">
      <c r="A443" s="91">
        <v>438</v>
      </c>
      <c r="B443" s="70" t="s">
        <v>725</v>
      </c>
      <c r="C443" s="71" t="s">
        <v>726</v>
      </c>
      <c r="D443" s="72" t="s">
        <v>727</v>
      </c>
      <c r="E443" s="73"/>
    </row>
    <row r="444" spans="1:5" x14ac:dyDescent="0.2">
      <c r="A444" s="91">
        <v>439</v>
      </c>
      <c r="B444" s="70" t="s">
        <v>87</v>
      </c>
      <c r="C444" s="71" t="s">
        <v>88</v>
      </c>
      <c r="D444" s="72" t="s">
        <v>89</v>
      </c>
      <c r="E444" s="73"/>
    </row>
    <row r="445" spans="1:5" x14ac:dyDescent="0.2">
      <c r="A445" s="91">
        <v>440</v>
      </c>
      <c r="B445" s="70" t="s">
        <v>455</v>
      </c>
      <c r="C445" s="71" t="s">
        <v>456</v>
      </c>
      <c r="D445" s="72" t="s">
        <v>457</v>
      </c>
      <c r="E445" s="73"/>
    </row>
    <row r="446" spans="1:5" x14ac:dyDescent="0.2">
      <c r="A446" s="91">
        <v>441</v>
      </c>
      <c r="B446" s="70" t="s">
        <v>1046</v>
      </c>
      <c r="C446" s="71" t="s">
        <v>1047</v>
      </c>
      <c r="D446" s="72" t="s">
        <v>1048</v>
      </c>
      <c r="E446" s="73"/>
    </row>
    <row r="447" spans="1:5" x14ac:dyDescent="0.2">
      <c r="A447" s="91">
        <v>442</v>
      </c>
      <c r="B447" s="70" t="s">
        <v>470</v>
      </c>
      <c r="C447" s="71" t="s">
        <v>471</v>
      </c>
      <c r="D447" s="72" t="s">
        <v>472</v>
      </c>
      <c r="E447" s="73"/>
    </row>
    <row r="448" spans="1:5" x14ac:dyDescent="0.2">
      <c r="A448" s="91">
        <v>443</v>
      </c>
      <c r="B448" s="70" t="s">
        <v>129</v>
      </c>
      <c r="C448" s="71" t="s">
        <v>130</v>
      </c>
      <c r="D448" s="72" t="s">
        <v>131</v>
      </c>
      <c r="E448" s="73"/>
    </row>
    <row r="449" spans="1:5" x14ac:dyDescent="0.2">
      <c r="A449" s="91">
        <v>444</v>
      </c>
      <c r="B449" s="70" t="s">
        <v>874</v>
      </c>
      <c r="C449" s="71" t="s">
        <v>875</v>
      </c>
      <c r="D449" s="72" t="s">
        <v>493</v>
      </c>
      <c r="E449" s="73"/>
    </row>
    <row r="450" spans="1:5" x14ac:dyDescent="0.2">
      <c r="A450" s="91">
        <v>445</v>
      </c>
      <c r="B450" s="70" t="s">
        <v>617</v>
      </c>
      <c r="C450" s="71" t="s">
        <v>618</v>
      </c>
      <c r="D450" s="72" t="s">
        <v>619</v>
      </c>
      <c r="E450" s="73"/>
    </row>
    <row r="451" spans="1:5" x14ac:dyDescent="0.2">
      <c r="A451" s="91">
        <v>446</v>
      </c>
      <c r="B451" s="77" t="s">
        <v>1459</v>
      </c>
      <c r="C451" s="71" t="s">
        <v>1460</v>
      </c>
      <c r="D451" s="72"/>
      <c r="E451" s="73" t="s">
        <v>1488</v>
      </c>
    </row>
    <row r="452" spans="1:5" x14ac:dyDescent="0.2">
      <c r="A452" s="91">
        <v>447</v>
      </c>
      <c r="B452" s="70" t="s">
        <v>1461</v>
      </c>
      <c r="C452" s="71" t="s">
        <v>1462</v>
      </c>
      <c r="D452" s="72" t="s">
        <v>1463</v>
      </c>
      <c r="E452" s="73"/>
    </row>
    <row r="453" spans="1:5" x14ac:dyDescent="0.2">
      <c r="A453" s="91">
        <v>448</v>
      </c>
      <c r="B453" s="70" t="s">
        <v>1464</v>
      </c>
      <c r="C453" s="71" t="s">
        <v>1465</v>
      </c>
      <c r="D453" s="72" t="s">
        <v>1466</v>
      </c>
      <c r="E453" s="73"/>
    </row>
    <row r="454" spans="1:5" x14ac:dyDescent="0.2">
      <c r="A454" s="91">
        <v>449</v>
      </c>
      <c r="B454" s="70" t="s">
        <v>666</v>
      </c>
      <c r="C454" s="71" t="s">
        <v>667</v>
      </c>
      <c r="D454" s="72" t="s">
        <v>668</v>
      </c>
      <c r="E454" s="73"/>
    </row>
    <row r="455" spans="1:5" x14ac:dyDescent="0.2">
      <c r="A455" s="91">
        <v>450</v>
      </c>
      <c r="B455" s="70" t="s">
        <v>565</v>
      </c>
      <c r="C455" s="71" t="s">
        <v>566</v>
      </c>
      <c r="D455" s="72" t="s">
        <v>567</v>
      </c>
      <c r="E455" s="73"/>
    </row>
    <row r="456" spans="1:5" x14ac:dyDescent="0.2">
      <c r="A456" s="91">
        <v>451</v>
      </c>
      <c r="B456" s="70" t="s">
        <v>1184</v>
      </c>
      <c r="C456" s="71" t="s">
        <v>1185</v>
      </c>
      <c r="D456" s="72" t="s">
        <v>1186</v>
      </c>
      <c r="E456" s="73"/>
    </row>
    <row r="457" spans="1:5" x14ac:dyDescent="0.2">
      <c r="A457" s="91">
        <v>452</v>
      </c>
      <c r="B457" s="70" t="s">
        <v>479</v>
      </c>
      <c r="C457" s="71" t="s">
        <v>480</v>
      </c>
      <c r="D457" s="72" t="s">
        <v>481</v>
      </c>
      <c r="E457" s="73"/>
    </row>
    <row r="458" spans="1:5" x14ac:dyDescent="0.2">
      <c r="A458" s="91">
        <v>453</v>
      </c>
      <c r="B458" s="70" t="s">
        <v>547</v>
      </c>
      <c r="C458" s="71" t="s">
        <v>548</v>
      </c>
      <c r="D458" s="72" t="s">
        <v>549</v>
      </c>
      <c r="E458" s="73"/>
    </row>
    <row r="459" spans="1:5" x14ac:dyDescent="0.2">
      <c r="A459" s="91">
        <v>454</v>
      </c>
      <c r="B459" s="70" t="s">
        <v>652</v>
      </c>
      <c r="C459" s="71" t="s">
        <v>653</v>
      </c>
      <c r="D459" s="72" t="s">
        <v>654</v>
      </c>
      <c r="E459" s="73"/>
    </row>
    <row r="460" spans="1:5" x14ac:dyDescent="0.2">
      <c r="A460" s="91">
        <v>455</v>
      </c>
      <c r="B460" s="70" t="s">
        <v>777</v>
      </c>
      <c r="C460" s="71" t="s">
        <v>778</v>
      </c>
      <c r="D460" s="72" t="s">
        <v>779</v>
      </c>
      <c r="E460" s="73"/>
    </row>
    <row r="461" spans="1:5" x14ac:dyDescent="0.2">
      <c r="A461" s="91">
        <v>456</v>
      </c>
      <c r="B461" s="70" t="s">
        <v>156</v>
      </c>
      <c r="C461" s="71" t="s">
        <v>157</v>
      </c>
      <c r="D461" s="72" t="s">
        <v>158</v>
      </c>
      <c r="E461" s="73"/>
    </row>
    <row r="462" spans="1:5" x14ac:dyDescent="0.2">
      <c r="A462" s="91">
        <v>457</v>
      </c>
      <c r="B462" s="70" t="s">
        <v>274</v>
      </c>
      <c r="C462" s="71" t="s">
        <v>275</v>
      </c>
      <c r="D462" s="72" t="s">
        <v>276</v>
      </c>
      <c r="E462" s="73"/>
    </row>
    <row r="463" spans="1:5" x14ac:dyDescent="0.2">
      <c r="A463" s="91">
        <v>458</v>
      </c>
      <c r="B463" s="70" t="s">
        <v>820</v>
      </c>
      <c r="C463" s="71" t="s">
        <v>821</v>
      </c>
      <c r="D463" s="72" t="s">
        <v>822</v>
      </c>
      <c r="E463" s="73"/>
    </row>
    <row r="464" spans="1:5" x14ac:dyDescent="0.2">
      <c r="A464" s="92">
        <v>459</v>
      </c>
      <c r="B464" s="86" t="s">
        <v>384</v>
      </c>
      <c r="C464" s="87" t="s">
        <v>385</v>
      </c>
      <c r="D464" s="88" t="s">
        <v>386</v>
      </c>
      <c r="E464" s="89"/>
    </row>
  </sheetData>
  <sheetProtection password="8CB2" sheet="1" objects="1" scenarios="1"/>
  <autoFilter ref="B5:E5"/>
  <printOptions horizontalCentered="1"/>
  <pageMargins left="0.70866141732283472" right="0.70866141732283472" top="0.74803149606299213" bottom="0.74803149606299213" header="0.31496062992125984" footer="0.31496062992125984"/>
  <pageSetup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T47"/>
  <sheetViews>
    <sheetView showGridLines="0" topLeftCell="A13" workbookViewId="0">
      <selection activeCell="D40" sqref="D40"/>
    </sheetView>
  </sheetViews>
  <sheetFormatPr baseColWidth="10" defaultRowHeight="12.75" x14ac:dyDescent="0.2"/>
  <cols>
    <col min="2" max="2" width="2" bestFit="1" customWidth="1"/>
    <col min="3" max="3" width="5.7109375" customWidth="1"/>
    <col min="4" max="4" width="10.28515625" bestFit="1" customWidth="1"/>
    <col min="5" max="5" width="37.5703125" bestFit="1" customWidth="1"/>
    <col min="6" max="6" width="2.42578125" customWidth="1"/>
    <col min="7" max="10" width="5.85546875" bestFit="1" customWidth="1"/>
    <col min="11" max="11" width="5.85546875" customWidth="1"/>
    <col min="12" max="12" width="5.85546875" bestFit="1" customWidth="1"/>
    <col min="13" max="13" width="5.85546875" customWidth="1"/>
    <col min="14" max="14" width="5.85546875" bestFit="1" customWidth="1"/>
    <col min="15" max="15" width="3.42578125" customWidth="1"/>
    <col min="16" max="16" width="6.5703125" bestFit="1" customWidth="1"/>
    <col min="17" max="17" width="9.140625" bestFit="1" customWidth="1"/>
    <col min="18" max="18" width="5.28515625" bestFit="1" customWidth="1"/>
    <col min="19" max="19" width="5.5703125" bestFit="1" customWidth="1"/>
    <col min="20" max="20" width="6" bestFit="1" customWidth="1"/>
    <col min="21" max="21" width="7.85546875" bestFit="1" customWidth="1"/>
    <col min="22" max="22" width="6.7109375" bestFit="1" customWidth="1"/>
    <col min="23" max="24" width="7.5703125" bestFit="1" customWidth="1"/>
    <col min="25" max="26" width="7.28515625" bestFit="1" customWidth="1"/>
    <col min="27" max="27" width="7.5703125" bestFit="1" customWidth="1"/>
    <col min="28" max="28" width="7.85546875" bestFit="1" customWidth="1"/>
    <col min="29" max="29" width="6" bestFit="1" customWidth="1"/>
    <col min="30" max="31" width="7" bestFit="1" customWidth="1"/>
    <col min="32" max="32" width="6.42578125" bestFit="1" customWidth="1"/>
    <col min="33" max="33" width="4.7109375" bestFit="1" customWidth="1"/>
    <col min="34" max="34" width="5.28515625" bestFit="1" customWidth="1"/>
    <col min="35" max="35" width="7.42578125" bestFit="1" customWidth="1"/>
    <col min="36" max="36" width="6.42578125" bestFit="1" customWidth="1"/>
    <col min="37" max="37" width="6.42578125" customWidth="1"/>
    <col min="38" max="39" width="5.5703125" bestFit="1" customWidth="1"/>
    <col min="40" max="40" width="5.28515625" bestFit="1" customWidth="1"/>
    <col min="41" max="41" width="6.42578125" bestFit="1" customWidth="1"/>
    <col min="42" max="42" width="5.7109375" bestFit="1" customWidth="1"/>
    <col min="43" max="44" width="5.5703125" bestFit="1" customWidth="1"/>
    <col min="45" max="46" width="5.28515625" bestFit="1" customWidth="1"/>
  </cols>
  <sheetData>
    <row r="2" spans="2:46" x14ac:dyDescent="0.2">
      <c r="G2" t="s">
        <v>2904</v>
      </c>
      <c r="P2" t="s">
        <v>2912</v>
      </c>
    </row>
    <row r="3" spans="2:46" x14ac:dyDescent="0.2">
      <c r="B3" s="281"/>
      <c r="C3" s="281"/>
      <c r="D3" s="281"/>
      <c r="E3" s="281"/>
      <c r="F3" s="281"/>
      <c r="G3" s="316" t="s">
        <v>6</v>
      </c>
      <c r="H3" s="316" t="s">
        <v>6</v>
      </c>
      <c r="I3" s="316" t="s">
        <v>6</v>
      </c>
      <c r="J3" s="316" t="s">
        <v>6</v>
      </c>
      <c r="K3" s="316" t="s">
        <v>6</v>
      </c>
      <c r="L3" s="316" t="s">
        <v>6</v>
      </c>
      <c r="M3" s="316" t="s">
        <v>6</v>
      </c>
      <c r="N3" s="316" t="s">
        <v>6</v>
      </c>
      <c r="O3" s="288"/>
      <c r="P3" s="261" t="s">
        <v>1859</v>
      </c>
      <c r="Q3" s="261" t="s">
        <v>1859</v>
      </c>
      <c r="R3" s="261" t="s">
        <v>1859</v>
      </c>
      <c r="S3" s="261" t="s">
        <v>1859</v>
      </c>
      <c r="T3" s="261" t="s">
        <v>1859</v>
      </c>
      <c r="U3" s="261" t="s">
        <v>1859</v>
      </c>
      <c r="V3" s="261" t="s">
        <v>1859</v>
      </c>
      <c r="W3" s="261" t="s">
        <v>1859</v>
      </c>
      <c r="X3" s="261" t="s">
        <v>1859</v>
      </c>
      <c r="Y3" s="261" t="s">
        <v>1859</v>
      </c>
      <c r="Z3" s="261" t="s">
        <v>1859</v>
      </c>
      <c r="AA3" s="261" t="s">
        <v>1859</v>
      </c>
      <c r="AB3" s="261" t="s">
        <v>1859</v>
      </c>
      <c r="AC3" s="261" t="s">
        <v>1859</v>
      </c>
      <c r="AD3" s="261" t="s">
        <v>1859</v>
      </c>
      <c r="AE3" s="261" t="s">
        <v>1859</v>
      </c>
      <c r="AF3" s="261" t="s">
        <v>1859</v>
      </c>
      <c r="AG3" s="261" t="s">
        <v>1859</v>
      </c>
      <c r="AH3" s="261" t="s">
        <v>1859</v>
      </c>
      <c r="AI3" s="261" t="s">
        <v>1859</v>
      </c>
      <c r="AJ3" s="261" t="s">
        <v>1859</v>
      </c>
      <c r="AK3" s="261" t="s">
        <v>1859</v>
      </c>
      <c r="AL3" s="261" t="s">
        <v>1859</v>
      </c>
      <c r="AM3" s="261" t="s">
        <v>1859</v>
      </c>
      <c r="AN3" s="261" t="s">
        <v>1859</v>
      </c>
      <c r="AO3" s="261" t="s">
        <v>1859</v>
      </c>
      <c r="AP3" s="261" t="s">
        <v>1859</v>
      </c>
      <c r="AQ3" s="261" t="s">
        <v>1859</v>
      </c>
      <c r="AR3" s="261" t="s">
        <v>1859</v>
      </c>
      <c r="AS3" s="261" t="s">
        <v>1859</v>
      </c>
      <c r="AT3" s="261" t="s">
        <v>1859</v>
      </c>
    </row>
    <row r="4" spans="2:46" x14ac:dyDescent="0.2">
      <c r="G4" s="282">
        <v>1</v>
      </c>
      <c r="H4" s="282">
        <v>2</v>
      </c>
      <c r="I4" s="282">
        <v>3</v>
      </c>
      <c r="J4" s="282">
        <v>4</v>
      </c>
      <c r="K4" s="282">
        <v>5</v>
      </c>
      <c r="L4" s="282">
        <v>6</v>
      </c>
      <c r="M4" s="282">
        <v>7</v>
      </c>
      <c r="N4" s="282"/>
      <c r="O4" s="288"/>
      <c r="P4" s="264" t="s">
        <v>1830</v>
      </c>
      <c r="Q4" s="268" t="s">
        <v>1875</v>
      </c>
      <c r="R4" s="268" t="s">
        <v>1870</v>
      </c>
      <c r="S4" s="268" t="s">
        <v>1549</v>
      </c>
      <c r="T4" s="268" t="s">
        <v>1873</v>
      </c>
      <c r="U4" s="268" t="s">
        <v>1886</v>
      </c>
      <c r="V4" s="268" t="s">
        <v>1814</v>
      </c>
      <c r="W4" s="268" t="s">
        <v>1828</v>
      </c>
      <c r="X4" s="268" t="s">
        <v>1871</v>
      </c>
      <c r="Y4" s="268" t="s">
        <v>1799</v>
      </c>
      <c r="Z4" s="268" t="s">
        <v>1872</v>
      </c>
      <c r="AA4" s="268" t="s">
        <v>1878</v>
      </c>
      <c r="AB4" s="268" t="s">
        <v>1890</v>
      </c>
      <c r="AC4" s="268" t="s">
        <v>2779</v>
      </c>
      <c r="AD4" s="268" t="s">
        <v>1867</v>
      </c>
      <c r="AE4" s="268" t="s">
        <v>1879</v>
      </c>
      <c r="AF4" s="268" t="s">
        <v>1874</v>
      </c>
      <c r="AG4" s="268" t="s">
        <v>1884</v>
      </c>
      <c r="AH4" s="268" t="s">
        <v>1866</v>
      </c>
      <c r="AI4" s="268" t="s">
        <v>1585</v>
      </c>
      <c r="AJ4" s="268" t="s">
        <v>1868</v>
      </c>
      <c r="AK4" s="268" t="s">
        <v>1896</v>
      </c>
      <c r="AL4" s="272" t="s">
        <v>2315</v>
      </c>
      <c r="AM4" s="268" t="s">
        <v>1869</v>
      </c>
      <c r="AN4" s="268" t="s">
        <v>1891</v>
      </c>
      <c r="AO4" s="268" t="s">
        <v>1876</v>
      </c>
      <c r="AP4" s="268" t="s">
        <v>1880</v>
      </c>
      <c r="AQ4" s="268" t="s">
        <v>1877</v>
      </c>
      <c r="AR4" s="268" t="s">
        <v>1888</v>
      </c>
      <c r="AS4" s="268" t="s">
        <v>1893</v>
      </c>
      <c r="AT4" s="268"/>
    </row>
    <row r="5" spans="2:46" ht="20.100000000000001" customHeight="1" x14ac:dyDescent="0.2">
      <c r="B5" s="354" t="s">
        <v>2904</v>
      </c>
      <c r="C5" s="354"/>
      <c r="D5" s="354"/>
      <c r="E5" s="354"/>
    </row>
    <row r="6" spans="2:46" x14ac:dyDescent="0.2">
      <c r="B6" s="306">
        <v>1</v>
      </c>
      <c r="C6" s="42"/>
      <c r="D6" s="310" t="s">
        <v>2952</v>
      </c>
      <c r="E6" s="307" t="s">
        <v>2905</v>
      </c>
      <c r="F6" s="283"/>
    </row>
    <row r="7" spans="2:46" x14ac:dyDescent="0.2">
      <c r="B7" s="284">
        <v>2</v>
      </c>
      <c r="C7" s="279"/>
      <c r="D7" s="311" t="s">
        <v>2953</v>
      </c>
      <c r="E7" s="285" t="s">
        <v>2906</v>
      </c>
      <c r="F7" s="283"/>
    </row>
    <row r="8" spans="2:46" x14ac:dyDescent="0.2">
      <c r="B8" s="284">
        <v>3</v>
      </c>
      <c r="C8" s="279"/>
      <c r="D8" s="311" t="s">
        <v>2954</v>
      </c>
      <c r="E8" s="285" t="s">
        <v>2907</v>
      </c>
      <c r="F8" s="283"/>
    </row>
    <row r="9" spans="2:46" x14ac:dyDescent="0.2">
      <c r="B9" s="284">
        <v>4</v>
      </c>
      <c r="C9" s="279"/>
      <c r="D9" s="311" t="s">
        <v>2955</v>
      </c>
      <c r="E9" s="285" t="s">
        <v>2908</v>
      </c>
      <c r="F9" s="283"/>
    </row>
    <row r="10" spans="2:46" x14ac:dyDescent="0.2">
      <c r="B10" s="284">
        <v>5</v>
      </c>
      <c r="C10" s="279"/>
      <c r="D10" s="311" t="s">
        <v>2956</v>
      </c>
      <c r="E10" s="285" t="s">
        <v>2909</v>
      </c>
      <c r="F10" s="283"/>
    </row>
    <row r="11" spans="2:46" x14ac:dyDescent="0.2">
      <c r="B11" s="284">
        <v>6</v>
      </c>
      <c r="C11" s="279"/>
      <c r="D11" s="312"/>
      <c r="E11" s="285" t="s">
        <v>2958</v>
      </c>
      <c r="F11" s="283"/>
    </row>
    <row r="12" spans="2:46" x14ac:dyDescent="0.2">
      <c r="B12" s="308">
        <v>7</v>
      </c>
      <c r="C12" s="280"/>
      <c r="D12" s="313" t="s">
        <v>2957</v>
      </c>
      <c r="E12" s="309" t="s">
        <v>2910</v>
      </c>
      <c r="F12" s="283"/>
    </row>
    <row r="13" spans="2:46" x14ac:dyDescent="0.2">
      <c r="B13" s="314"/>
      <c r="C13" s="315"/>
    </row>
    <row r="14" spans="2:46" x14ac:dyDescent="0.2">
      <c r="B14" s="354" t="s">
        <v>2912</v>
      </c>
      <c r="C14" s="354"/>
      <c r="D14" s="354"/>
      <c r="E14" s="354"/>
    </row>
    <row r="15" spans="2:46" x14ac:dyDescent="0.2">
      <c r="C15" s="290" t="s">
        <v>2913</v>
      </c>
      <c r="D15" s="291"/>
      <c r="E15" s="292"/>
    </row>
    <row r="16" spans="2:46" x14ac:dyDescent="0.2">
      <c r="D16" s="299" t="s">
        <v>1585</v>
      </c>
      <c r="E16" s="294" t="s">
        <v>2914</v>
      </c>
    </row>
    <row r="17" spans="3:5" x14ac:dyDescent="0.2">
      <c r="D17" s="300" t="s">
        <v>1875</v>
      </c>
      <c r="E17" s="295" t="s">
        <v>1892</v>
      </c>
    </row>
    <row r="18" spans="3:5" x14ac:dyDescent="0.2">
      <c r="D18" s="300" t="s">
        <v>1870</v>
      </c>
      <c r="E18" s="295" t="s">
        <v>2915</v>
      </c>
    </row>
    <row r="19" spans="3:5" x14ac:dyDescent="0.2">
      <c r="D19" s="300" t="s">
        <v>1884</v>
      </c>
      <c r="E19" s="295" t="s">
        <v>1885</v>
      </c>
    </row>
    <row r="20" spans="3:5" x14ac:dyDescent="0.2">
      <c r="D20" s="300" t="s">
        <v>1878</v>
      </c>
      <c r="E20" s="295" t="s">
        <v>2916</v>
      </c>
    </row>
    <row r="21" spans="3:5" x14ac:dyDescent="0.2">
      <c r="D21" s="300" t="s">
        <v>1880</v>
      </c>
      <c r="E21" s="295" t="s">
        <v>1889</v>
      </c>
    </row>
    <row r="22" spans="3:5" x14ac:dyDescent="0.2">
      <c r="C22" s="296"/>
      <c r="D22" s="301" t="s">
        <v>1877</v>
      </c>
      <c r="E22" s="297" t="s">
        <v>2917</v>
      </c>
    </row>
    <row r="23" spans="3:5" x14ac:dyDescent="0.2">
      <c r="C23" s="289" t="s">
        <v>2918</v>
      </c>
      <c r="D23" s="302"/>
      <c r="E23" s="293"/>
    </row>
    <row r="24" spans="3:5" x14ac:dyDescent="0.2">
      <c r="D24" s="299" t="s">
        <v>1871</v>
      </c>
      <c r="E24" s="294" t="s">
        <v>2919</v>
      </c>
    </row>
    <row r="25" spans="3:5" x14ac:dyDescent="0.2">
      <c r="D25" s="300" t="s">
        <v>1888</v>
      </c>
      <c r="E25" s="295" t="s">
        <v>2920</v>
      </c>
    </row>
    <row r="26" spans="3:5" x14ac:dyDescent="0.2">
      <c r="D26" s="300" t="s">
        <v>1830</v>
      </c>
      <c r="E26" s="295" t="s">
        <v>2921</v>
      </c>
    </row>
    <row r="27" spans="3:5" x14ac:dyDescent="0.2">
      <c r="D27" s="301" t="s">
        <v>1891</v>
      </c>
      <c r="E27" s="297" t="s">
        <v>2922</v>
      </c>
    </row>
    <row r="28" spans="3:5" x14ac:dyDescent="0.2">
      <c r="C28" s="290" t="s">
        <v>2923</v>
      </c>
      <c r="D28" s="303"/>
      <c r="E28" s="292"/>
    </row>
    <row r="29" spans="3:5" x14ac:dyDescent="0.2">
      <c r="D29" s="299" t="s">
        <v>1890</v>
      </c>
      <c r="E29" s="294" t="s">
        <v>2924</v>
      </c>
    </row>
    <row r="30" spans="3:5" x14ac:dyDescent="0.2">
      <c r="D30" s="300" t="s">
        <v>1879</v>
      </c>
      <c r="E30" s="295" t="s">
        <v>2925</v>
      </c>
    </row>
    <row r="31" spans="3:5" x14ac:dyDescent="0.2">
      <c r="D31" s="300" t="s">
        <v>1867</v>
      </c>
      <c r="E31" s="295" t="s">
        <v>2926</v>
      </c>
    </row>
    <row r="32" spans="3:5" x14ac:dyDescent="0.2">
      <c r="D32" s="300" t="s">
        <v>1866</v>
      </c>
      <c r="E32" s="295" t="s">
        <v>2927</v>
      </c>
    </row>
    <row r="33" spans="3:5" x14ac:dyDescent="0.2">
      <c r="D33" s="300" t="s">
        <v>1874</v>
      </c>
      <c r="E33" s="295" t="s">
        <v>2928</v>
      </c>
    </row>
    <row r="34" spans="3:5" x14ac:dyDescent="0.2">
      <c r="D34" s="300" t="s">
        <v>1872</v>
      </c>
      <c r="E34" s="295" t="s">
        <v>2929</v>
      </c>
    </row>
    <row r="35" spans="3:5" x14ac:dyDescent="0.2">
      <c r="D35" s="301" t="s">
        <v>1893</v>
      </c>
      <c r="E35" s="297" t="s">
        <v>2930</v>
      </c>
    </row>
    <row r="36" spans="3:5" x14ac:dyDescent="0.2">
      <c r="C36" s="289" t="s">
        <v>2931</v>
      </c>
      <c r="D36" s="304"/>
      <c r="E36" s="292"/>
    </row>
    <row r="37" spans="3:5" x14ac:dyDescent="0.2">
      <c r="D37" s="299" t="s">
        <v>1873</v>
      </c>
      <c r="E37" s="294" t="s">
        <v>2932</v>
      </c>
    </row>
    <row r="38" spans="3:5" x14ac:dyDescent="0.2">
      <c r="D38" s="300" t="s">
        <v>1868</v>
      </c>
      <c r="E38" s="295" t="s">
        <v>2933</v>
      </c>
    </row>
    <row r="39" spans="3:5" x14ac:dyDescent="0.2">
      <c r="D39" s="300" t="s">
        <v>1896</v>
      </c>
      <c r="E39" s="295" t="s">
        <v>2934</v>
      </c>
    </row>
    <row r="40" spans="3:5" x14ac:dyDescent="0.2">
      <c r="D40" s="300" t="s">
        <v>1814</v>
      </c>
      <c r="E40" s="295" t="s">
        <v>2935</v>
      </c>
    </row>
    <row r="41" spans="3:5" x14ac:dyDescent="0.2">
      <c r="D41" s="300" t="s">
        <v>1828</v>
      </c>
      <c r="E41" s="295" t="s">
        <v>2936</v>
      </c>
    </row>
    <row r="42" spans="3:5" x14ac:dyDescent="0.2">
      <c r="D42" s="300" t="s">
        <v>1549</v>
      </c>
      <c r="E42" s="295" t="s">
        <v>2937</v>
      </c>
    </row>
    <row r="43" spans="3:5" x14ac:dyDescent="0.2">
      <c r="D43" s="300" t="s">
        <v>1869</v>
      </c>
      <c r="E43" s="295" t="s">
        <v>2938</v>
      </c>
    </row>
    <row r="44" spans="3:5" x14ac:dyDescent="0.2">
      <c r="D44" s="300" t="s">
        <v>1886</v>
      </c>
      <c r="E44" s="295" t="s">
        <v>2939</v>
      </c>
    </row>
    <row r="45" spans="3:5" x14ac:dyDescent="0.2">
      <c r="D45" s="301" t="s">
        <v>1876</v>
      </c>
      <c r="E45" s="297" t="s">
        <v>2940</v>
      </c>
    </row>
    <row r="46" spans="3:5" x14ac:dyDescent="0.2">
      <c r="C46" s="290" t="s">
        <v>2941</v>
      </c>
      <c r="D46" s="303"/>
      <c r="E46" s="292"/>
    </row>
    <row r="47" spans="3:5" x14ac:dyDescent="0.2">
      <c r="D47" s="305" t="s">
        <v>2942</v>
      </c>
      <c r="E47" s="298" t="s">
        <v>2943</v>
      </c>
    </row>
  </sheetData>
  <sheetProtection algorithmName="SHA-512" hashValue="UoZjX6z+OSN61YJ4UyjEBKsf6y093bh4FuUFl7IxE8xYhGeui70AfjnD6IiorqTsEJEauvIxwVI4BXz5NF0e4w==" saltValue="VhKI5a4hdqJD2rIcaHkYQg==" spinCount="100000" sheet="1" objects="1" scenarios="1"/>
  <sortState ref="R12:S42">
    <sortCondition ref="R11"/>
  </sortState>
  <mergeCells count="2">
    <mergeCell ref="B5:E5"/>
    <mergeCell ref="B14:E14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8"/>
  <sheetViews>
    <sheetView showGridLines="0" workbookViewId="0">
      <selection activeCell="C14" sqref="C14"/>
    </sheetView>
  </sheetViews>
  <sheetFormatPr baseColWidth="10" defaultRowHeight="12.75" x14ac:dyDescent="0.2"/>
  <cols>
    <col min="1" max="1" width="3.140625" customWidth="1"/>
    <col min="3" max="3" width="11.42578125" customWidth="1"/>
  </cols>
  <sheetData>
    <row r="2" spans="2:6" ht="20.25" customHeight="1" x14ac:dyDescent="0.2">
      <c r="C2" s="360">
        <v>2016</v>
      </c>
      <c r="D2" s="361"/>
      <c r="E2" s="361"/>
      <c r="F2" s="362"/>
    </row>
    <row r="3" spans="2:6" x14ac:dyDescent="0.2">
      <c r="B3" s="363" t="s">
        <v>1470</v>
      </c>
      <c r="C3" s="355" t="s">
        <v>1471</v>
      </c>
      <c r="D3" s="357" t="s">
        <v>1472</v>
      </c>
      <c r="E3" s="358"/>
      <c r="F3" s="359"/>
    </row>
    <row r="4" spans="2:6" x14ac:dyDescent="0.2">
      <c r="B4" s="356"/>
      <c r="C4" s="356"/>
      <c r="D4" s="61">
        <v>2015</v>
      </c>
      <c r="E4" s="61">
        <v>2016</v>
      </c>
      <c r="F4" s="61">
        <v>2017</v>
      </c>
    </row>
    <row r="5" spans="2:6" x14ac:dyDescent="0.2">
      <c r="B5" s="53" t="s">
        <v>1473</v>
      </c>
      <c r="C5" s="43">
        <f>SUMIF(Recibos!G25:G274,1,Recibos!H25:H274)</f>
        <v>213050</v>
      </c>
      <c r="D5" s="43"/>
      <c r="E5" s="43">
        <f>-Recibos!H274</f>
        <v>-38000</v>
      </c>
      <c r="F5" s="43"/>
    </row>
    <row r="6" spans="2:6" x14ac:dyDescent="0.2">
      <c r="B6" s="54" t="s">
        <v>1474</v>
      </c>
      <c r="C6" s="59">
        <f>SUMIF(Recibos!G276:G432,1,Recibos!H276:H432)</f>
        <v>94750</v>
      </c>
      <c r="D6" s="59"/>
      <c r="E6" s="59">
        <f>-Recibos!H432</f>
        <v>-5600</v>
      </c>
      <c r="F6" s="59"/>
    </row>
    <row r="7" spans="2:6" x14ac:dyDescent="0.2">
      <c r="B7" s="54" t="s">
        <v>1475</v>
      </c>
      <c r="C7" s="59">
        <f>SUMIF(Recibos!G434:G589,1,Recibos!H434:H589)</f>
        <v>82625</v>
      </c>
      <c r="D7" s="59"/>
      <c r="E7" s="59">
        <f>-Recibos!H589</f>
        <v>-1000</v>
      </c>
      <c r="F7" s="59"/>
    </row>
    <row r="8" spans="2:6" x14ac:dyDescent="0.2">
      <c r="B8" s="54" t="s">
        <v>1476</v>
      </c>
      <c r="C8" s="59">
        <f>SUMIF(Recibos!G591:G785,1,Recibos!H591:H785)</f>
        <v>102075</v>
      </c>
      <c r="D8" s="59"/>
      <c r="E8" s="59">
        <f>-Recibos!H785</f>
        <v>-1200</v>
      </c>
      <c r="F8" s="59"/>
    </row>
    <row r="9" spans="2:6" x14ac:dyDescent="0.2">
      <c r="B9" s="54" t="s">
        <v>1477</v>
      </c>
      <c r="C9" s="59">
        <f>SUMIF(Recibos!G787:G1018,1,Recibos!H787:H1018)</f>
        <v>108875</v>
      </c>
      <c r="D9" s="59"/>
      <c r="E9" s="59">
        <f>-Recibos!H1018</f>
        <v>0</v>
      </c>
      <c r="F9" s="59"/>
    </row>
    <row r="10" spans="2:6" x14ac:dyDescent="0.2">
      <c r="B10" s="54" t="s">
        <v>1478</v>
      </c>
      <c r="C10" s="59">
        <f>SUMIF(Recibos!G1019:G1423,1,Recibos!H1019:H1423)</f>
        <v>117275</v>
      </c>
      <c r="D10" s="59"/>
      <c r="E10" s="59">
        <f>-Recibos!H1423</f>
        <v>-2550</v>
      </c>
      <c r="F10" s="59"/>
    </row>
    <row r="11" spans="2:6" x14ac:dyDescent="0.2">
      <c r="B11" s="54" t="s">
        <v>1479</v>
      </c>
      <c r="C11" s="59">
        <f>SUMIF(Recibos!G1425:G1805,1,Recibos!H1425:H1805)</f>
        <v>104575</v>
      </c>
      <c r="D11" s="59">
        <f>Recibos!H5</f>
        <v>900</v>
      </c>
      <c r="E11" s="59"/>
      <c r="F11" s="59"/>
    </row>
    <row r="12" spans="2:6" x14ac:dyDescent="0.2">
      <c r="B12" s="54" t="s">
        <v>1480</v>
      </c>
      <c r="C12" s="59">
        <f>SUMIF(Recibos!G1807:G2081,1,Recibos!H1807:H2081)</f>
        <v>106275</v>
      </c>
      <c r="D12" s="59">
        <f>Recibos!H7</f>
        <v>150</v>
      </c>
      <c r="E12" s="59"/>
      <c r="F12" s="59"/>
    </row>
    <row r="13" spans="2:6" x14ac:dyDescent="0.2">
      <c r="B13" s="54" t="s">
        <v>1481</v>
      </c>
      <c r="C13" s="59">
        <f>SUMIF(Recibos!G2083:G2341,1,Recibos!H2083:H2341)</f>
        <v>95625</v>
      </c>
      <c r="D13" s="59"/>
      <c r="E13" s="59"/>
      <c r="F13" s="59"/>
    </row>
    <row r="14" spans="2:6" x14ac:dyDescent="0.2">
      <c r="B14" s="54" t="s">
        <v>1482</v>
      </c>
      <c r="C14" s="59">
        <f>SUMIF(Recibos!G2342:G2560,1,Recibos!H2342:H2560)</f>
        <v>88925</v>
      </c>
      <c r="D14" s="59"/>
      <c r="E14" s="59"/>
      <c r="F14" s="59"/>
    </row>
    <row r="15" spans="2:6" x14ac:dyDescent="0.2">
      <c r="B15" s="54" t="s">
        <v>1483</v>
      </c>
      <c r="C15" s="59"/>
      <c r="D15" s="59">
        <f>Recibos!H10</f>
        <v>800</v>
      </c>
      <c r="E15" s="59"/>
      <c r="F15" s="59"/>
    </row>
    <row r="16" spans="2:6" x14ac:dyDescent="0.2">
      <c r="B16" s="55" t="s">
        <v>1484</v>
      </c>
      <c r="C16" s="60"/>
      <c r="D16" s="60">
        <f>Recibos!H23</f>
        <v>23950</v>
      </c>
      <c r="E16" s="60"/>
      <c r="F16" s="60"/>
    </row>
    <row r="17" spans="2:6" x14ac:dyDescent="0.2">
      <c r="B17" s="56" t="s">
        <v>1485</v>
      </c>
      <c r="C17" s="37">
        <f>SUM(C5:C16)</f>
        <v>1114050</v>
      </c>
      <c r="D17" s="37"/>
      <c r="E17" s="37">
        <f>Recibos!W2</f>
        <v>1086800</v>
      </c>
      <c r="F17" s="57">
        <f>SUM(C5:F16)</f>
        <v>1091500</v>
      </c>
    </row>
    <row r="18" spans="2:6" x14ac:dyDescent="0.2">
      <c r="F18" s="58">
        <f>IF(E17=F17,"ok",E17-F17)</f>
        <v>-4700</v>
      </c>
    </row>
  </sheetData>
  <sheetProtection algorithmName="SHA-512" hashValue="jzG2/TNaiTgZkXBE6QF8bGCyvtiMMMH8s2yvpE343KY898Ymgs0byNBA4oca1vuQmH6EKYsct5bzFxO0zBdUdQ==" saltValue="avPN7Bv2MEgxElSUmwAVBw==" spinCount="100000" sheet="1" objects="1" scenarios="1"/>
  <mergeCells count="4">
    <mergeCell ref="C3:C4"/>
    <mergeCell ref="D3:F3"/>
    <mergeCell ref="C2:F2"/>
    <mergeCell ref="B3:B4"/>
  </mergeCells>
  <conditionalFormatting sqref="F18">
    <cfRule type="cellIs" dxfId="83" priority="1" operator="equal">
      <formula>"ok"</formula>
    </cfRule>
  </conditionalFormatting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X465"/>
  <sheetViews>
    <sheetView showGridLines="0" showZeros="0" workbookViewId="0">
      <pane xSplit="3" ySplit="5" topLeftCell="AA188" activePane="bottomRight" state="frozenSplit"/>
      <selection pane="topRight" activeCell="D1" sqref="D1"/>
      <selection pane="bottomLeft" activeCell="A6" sqref="A6"/>
      <selection pane="bottomRight" activeCell="AN189" sqref="AN189"/>
    </sheetView>
  </sheetViews>
  <sheetFormatPr baseColWidth="10" defaultRowHeight="12.75" x14ac:dyDescent="0.2"/>
  <cols>
    <col min="1" max="1" width="3.140625" customWidth="1"/>
    <col min="2" max="2" width="11" bestFit="1" customWidth="1"/>
    <col min="3" max="3" width="33.42578125" customWidth="1"/>
    <col min="4" max="4" width="24.85546875" bestFit="1" customWidth="1"/>
    <col min="5" max="10" width="9.28515625" customWidth="1"/>
    <col min="11" max="11" width="12.7109375" customWidth="1"/>
    <col min="12" max="23" width="9.28515625" customWidth="1"/>
    <col min="24" max="24" width="12.7109375" customWidth="1"/>
    <col min="25" max="36" width="9.28515625" customWidth="1"/>
    <col min="37" max="37" width="12.7109375" customWidth="1"/>
    <col min="38" max="38" width="9.28515625" customWidth="1"/>
    <col min="39" max="49" width="11.42578125" customWidth="1"/>
    <col min="50" max="50" width="12.7109375" customWidth="1"/>
    <col min="51" max="62" width="11.42578125" customWidth="1"/>
    <col min="63" max="63" width="12.7109375" customWidth="1"/>
    <col min="64" max="75" width="11.42578125" customWidth="1"/>
    <col min="76" max="76" width="12.7109375" customWidth="1"/>
  </cols>
  <sheetData>
    <row r="1" spans="2:76" ht="15" x14ac:dyDescent="0.2">
      <c r="B1" s="49" t="s">
        <v>1467</v>
      </c>
      <c r="K1" s="37"/>
      <c r="X1" s="37"/>
      <c r="AK1" s="37"/>
      <c r="AX1" s="37"/>
      <c r="BK1" s="37"/>
      <c r="BX1" s="37"/>
    </row>
    <row r="2" spans="2:76" x14ac:dyDescent="0.2">
      <c r="B2" s="50" t="s">
        <v>1468</v>
      </c>
      <c r="K2" s="37"/>
      <c r="X2" s="37"/>
      <c r="AK2" s="37"/>
      <c r="AX2" s="37"/>
      <c r="BK2" s="37"/>
      <c r="BX2" s="37"/>
    </row>
    <row r="3" spans="2:76" x14ac:dyDescent="0.2">
      <c r="B3" s="50" t="s">
        <v>1469</v>
      </c>
      <c r="D3" s="38"/>
      <c r="K3" s="37"/>
      <c r="X3" s="37"/>
      <c r="AK3" s="37"/>
      <c r="AX3" s="37"/>
      <c r="BK3" s="37"/>
      <c r="BX3" s="37"/>
    </row>
    <row r="4" spans="2:76" x14ac:dyDescent="0.2">
      <c r="K4" s="51">
        <f>SUM(K6:K465)</f>
        <v>102125</v>
      </c>
      <c r="X4" s="51">
        <f>SUM(X6:X465)</f>
        <v>1071865</v>
      </c>
      <c r="AK4" s="51">
        <f>SUM(AK6:AK465)</f>
        <v>1244640</v>
      </c>
      <c r="AX4" s="51">
        <f>SUM(AX6:AX465)</f>
        <v>1281550</v>
      </c>
      <c r="BK4" s="51">
        <f>SUM(BK6:BK465)</f>
        <v>1273950</v>
      </c>
      <c r="BX4" s="51">
        <f>SUM(BX6:BX465)</f>
        <v>65000</v>
      </c>
    </row>
    <row r="5" spans="2:76" ht="25.5" x14ac:dyDescent="0.2">
      <c r="B5" s="39" t="s">
        <v>3</v>
      </c>
      <c r="C5" s="40" t="s">
        <v>1209</v>
      </c>
      <c r="D5" s="40" t="s">
        <v>1210</v>
      </c>
      <c r="E5" s="41" t="s">
        <v>1211</v>
      </c>
      <c r="F5" s="41" t="s">
        <v>1212</v>
      </c>
      <c r="G5" s="41" t="s">
        <v>1213</v>
      </c>
      <c r="H5" s="41" t="s">
        <v>1214</v>
      </c>
      <c r="I5" s="41" t="s">
        <v>1215</v>
      </c>
      <c r="J5" s="41" t="s">
        <v>1216</v>
      </c>
      <c r="K5" s="41" t="s">
        <v>1217</v>
      </c>
      <c r="L5" s="41" t="s">
        <v>1218</v>
      </c>
      <c r="M5" s="41" t="s">
        <v>1219</v>
      </c>
      <c r="N5" s="41" t="s">
        <v>1220</v>
      </c>
      <c r="O5" s="41" t="s">
        <v>1221</v>
      </c>
      <c r="P5" s="41" t="s">
        <v>1222</v>
      </c>
      <c r="Q5" s="41" t="s">
        <v>1223</v>
      </c>
      <c r="R5" s="41" t="s">
        <v>1224</v>
      </c>
      <c r="S5" s="41" t="s">
        <v>1225</v>
      </c>
      <c r="T5" s="41" t="s">
        <v>1226</v>
      </c>
      <c r="U5" s="41" t="s">
        <v>1227</v>
      </c>
      <c r="V5" s="41" t="s">
        <v>1228</v>
      </c>
      <c r="W5" s="41" t="s">
        <v>1229</v>
      </c>
      <c r="X5" s="41" t="s">
        <v>1230</v>
      </c>
      <c r="Y5" s="41" t="s">
        <v>1231</v>
      </c>
      <c r="Z5" s="41" t="s">
        <v>1232</v>
      </c>
      <c r="AA5" s="41" t="s">
        <v>1233</v>
      </c>
      <c r="AB5" s="41" t="s">
        <v>1234</v>
      </c>
      <c r="AC5" s="41" t="s">
        <v>1235</v>
      </c>
      <c r="AD5" s="41" t="s">
        <v>1236</v>
      </c>
      <c r="AE5" s="41" t="s">
        <v>1237</v>
      </c>
      <c r="AF5" s="41" t="s">
        <v>1238</v>
      </c>
      <c r="AG5" s="41" t="s">
        <v>1239</v>
      </c>
      <c r="AH5" s="41" t="s">
        <v>1240</v>
      </c>
      <c r="AI5" s="41" t="s">
        <v>1241</v>
      </c>
      <c r="AJ5" s="41" t="s">
        <v>1242</v>
      </c>
      <c r="AK5" s="41" t="s">
        <v>1243</v>
      </c>
      <c r="AL5" s="41" t="s">
        <v>1244</v>
      </c>
      <c r="AM5" s="41" t="s">
        <v>1245</v>
      </c>
      <c r="AN5" s="41" t="s">
        <v>1246</v>
      </c>
      <c r="AO5" s="41" t="s">
        <v>1247</v>
      </c>
      <c r="AP5" s="41" t="s">
        <v>1248</v>
      </c>
      <c r="AQ5" s="41" t="s">
        <v>1249</v>
      </c>
      <c r="AR5" s="41" t="s">
        <v>1250</v>
      </c>
      <c r="AS5" s="41" t="s">
        <v>1251</v>
      </c>
      <c r="AT5" s="41" t="s">
        <v>1252</v>
      </c>
      <c r="AU5" s="41" t="s">
        <v>1253</v>
      </c>
      <c r="AV5" s="41" t="s">
        <v>1254</v>
      </c>
      <c r="AW5" s="41" t="s">
        <v>1255</v>
      </c>
      <c r="AX5" s="41" t="s">
        <v>1256</v>
      </c>
      <c r="AY5" s="62" t="s">
        <v>10</v>
      </c>
      <c r="AZ5" s="62" t="s">
        <v>11</v>
      </c>
      <c r="BA5" s="62" t="s">
        <v>12</v>
      </c>
      <c r="BB5" s="62" t="s">
        <v>13</v>
      </c>
      <c r="BC5" s="62" t="s">
        <v>14</v>
      </c>
      <c r="BD5" s="62" t="s">
        <v>15</v>
      </c>
      <c r="BE5" s="62" t="s">
        <v>16</v>
      </c>
      <c r="BF5" s="62" t="s">
        <v>17</v>
      </c>
      <c r="BG5" s="62" t="s">
        <v>18</v>
      </c>
      <c r="BH5" s="62" t="s">
        <v>19</v>
      </c>
      <c r="BI5" s="62" t="s">
        <v>20</v>
      </c>
      <c r="BJ5" s="62" t="s">
        <v>21</v>
      </c>
      <c r="BK5" s="62" t="s">
        <v>22</v>
      </c>
      <c r="BL5" s="62" t="s">
        <v>23</v>
      </c>
      <c r="BM5" s="62" t="s">
        <v>24</v>
      </c>
      <c r="BN5" s="62" t="s">
        <v>25</v>
      </c>
      <c r="BO5" s="62" t="s">
        <v>26</v>
      </c>
      <c r="BP5" s="62" t="s">
        <v>27</v>
      </c>
      <c r="BQ5" s="62" t="s">
        <v>28</v>
      </c>
      <c r="BR5" s="62" t="s">
        <v>29</v>
      </c>
      <c r="BS5" s="62" t="s">
        <v>30</v>
      </c>
      <c r="BT5" s="62" t="s">
        <v>31</v>
      </c>
      <c r="BU5" s="62" t="s">
        <v>32</v>
      </c>
      <c r="BV5" s="62" t="s">
        <v>33</v>
      </c>
      <c r="BW5" s="62" t="s">
        <v>34</v>
      </c>
      <c r="BX5" s="62" t="s">
        <v>35</v>
      </c>
    </row>
    <row r="6" spans="2:76" x14ac:dyDescent="0.2">
      <c r="B6" s="42" t="s">
        <v>1137</v>
      </c>
      <c r="C6" s="42" t="s">
        <v>1138</v>
      </c>
      <c r="D6" s="42" t="s">
        <v>651</v>
      </c>
      <c r="E6" s="43">
        <v>0</v>
      </c>
      <c r="F6" s="43">
        <v>0</v>
      </c>
      <c r="G6" s="43">
        <v>0</v>
      </c>
      <c r="H6" s="43">
        <v>0</v>
      </c>
      <c r="I6" s="43">
        <v>0</v>
      </c>
      <c r="J6" s="43">
        <v>100</v>
      </c>
      <c r="K6" s="44">
        <f>SUM(E6:J6)</f>
        <v>100</v>
      </c>
      <c r="L6" s="43">
        <v>100</v>
      </c>
      <c r="M6" s="43">
        <v>100</v>
      </c>
      <c r="N6" s="43">
        <v>100</v>
      </c>
      <c r="O6" s="43">
        <v>100</v>
      </c>
      <c r="P6" s="43">
        <v>100</v>
      </c>
      <c r="Q6" s="43">
        <v>100</v>
      </c>
      <c r="R6" s="43">
        <v>100</v>
      </c>
      <c r="S6" s="43">
        <v>100</v>
      </c>
      <c r="T6" s="43">
        <v>100</v>
      </c>
      <c r="U6" s="43">
        <v>0</v>
      </c>
      <c r="V6" s="43">
        <v>0</v>
      </c>
      <c r="W6" s="43">
        <v>0</v>
      </c>
      <c r="X6" s="44">
        <f>SUM(L6:W6)</f>
        <v>900</v>
      </c>
      <c r="Y6" s="43">
        <v>100</v>
      </c>
      <c r="Z6" s="43">
        <v>100</v>
      </c>
      <c r="AA6" s="43">
        <v>100</v>
      </c>
      <c r="AB6" s="43">
        <v>100</v>
      </c>
      <c r="AC6" s="43">
        <v>100</v>
      </c>
      <c r="AD6" s="43">
        <v>100</v>
      </c>
      <c r="AE6" s="43">
        <v>100</v>
      </c>
      <c r="AF6" s="43">
        <v>100</v>
      </c>
      <c r="AG6" s="43">
        <v>100</v>
      </c>
      <c r="AH6" s="43">
        <v>100</v>
      </c>
      <c r="AI6" s="43">
        <v>100</v>
      </c>
      <c r="AJ6" s="43">
        <v>100</v>
      </c>
      <c r="AK6" s="44">
        <f>SUM(Y6:AJ6)</f>
        <v>1200</v>
      </c>
      <c r="AL6" s="43">
        <v>100</v>
      </c>
      <c r="AM6" s="43">
        <v>100</v>
      </c>
      <c r="AN6" s="43">
        <v>0</v>
      </c>
      <c r="AO6" s="43">
        <v>0</v>
      </c>
      <c r="AP6" s="43">
        <v>0</v>
      </c>
      <c r="AQ6" s="43">
        <v>0</v>
      </c>
      <c r="AR6" s="43">
        <v>0</v>
      </c>
      <c r="AS6" s="43">
        <v>0</v>
      </c>
      <c r="AT6" s="43">
        <v>0</v>
      </c>
      <c r="AU6" s="43">
        <v>0</v>
      </c>
      <c r="AV6" s="43">
        <v>0</v>
      </c>
      <c r="AW6" s="43">
        <v>0</v>
      </c>
      <c r="AX6" s="44">
        <f t="shared" ref="AX6:AX16" si="0">SUM(AL6:AW6)</f>
        <v>200</v>
      </c>
      <c r="AY6" s="317">
        <f>SUMIF(Recibos!$D$4:$D$3010,Cobranza!$B6,Recibos!K$4:K$3010)</f>
        <v>0</v>
      </c>
      <c r="AZ6" s="317">
        <f>SUMIF(Recibos!$D$4:$D$3010,Cobranza!$B6,Recibos!L$4:L$3010)</f>
        <v>0</v>
      </c>
      <c r="BA6" s="317">
        <f>SUMIF(Recibos!$D$4:$D$3010,Cobranza!$B6,Recibos!M$4:M$3010)</f>
        <v>0</v>
      </c>
      <c r="BB6" s="317">
        <f>SUMIF(Recibos!$D$4:$D$3010,Cobranza!$B6,Recibos!N$4:N$3010)</f>
        <v>0</v>
      </c>
      <c r="BC6" s="317">
        <f>SUMIF(Recibos!$D$4:$D$3010,Cobranza!$B6,Recibos!O$4:O$3010)</f>
        <v>0</v>
      </c>
      <c r="BD6" s="317">
        <f>SUMIF(Recibos!$D$4:$D$3010,Cobranza!$B6,Recibos!P$4:P$3010)</f>
        <v>0</v>
      </c>
      <c r="BE6" s="317">
        <f>SUMIF(Recibos!$D$4:$D$3010,Cobranza!$B6,Recibos!Q$4:Q$3010)</f>
        <v>0</v>
      </c>
      <c r="BF6" s="317">
        <f>SUMIF(Recibos!$D$4:$D$3010,Cobranza!$B6,Recibos!R$4:R$3010)</f>
        <v>100</v>
      </c>
      <c r="BG6" s="317">
        <f>SUMIF(Recibos!$D$4:$D$3010,Cobranza!$B6,Recibos!S$4:S$3010)</f>
        <v>100</v>
      </c>
      <c r="BH6" s="317">
        <f>SUMIF(Recibos!$D$4:$D$3010,Cobranza!$B6,Recibos!T$4:T$3010)</f>
        <v>100</v>
      </c>
      <c r="BI6" s="317">
        <f>SUMIF(Recibos!$D$4:$D$3010,Cobranza!$B6,Recibos!U$4:U$3010)</f>
        <v>100</v>
      </c>
      <c r="BJ6" s="317">
        <f>SUMIF(Recibos!$D$4:$D$3010,Cobranza!$B6,Recibos!V$4:V$3010)</f>
        <v>100</v>
      </c>
      <c r="BK6" s="318">
        <f t="shared" ref="BK6:BK16" si="1">SUM(AY6:BJ6)</f>
        <v>500</v>
      </c>
      <c r="BL6" s="317">
        <f>SUMIF(Recibos!$D$4:$D$3010,Cobranza!$B6,Recibos!X$4:X$3010)</f>
        <v>0</v>
      </c>
      <c r="BM6" s="317">
        <f>SUMIF(Recibos!$D$4:$D$3010,Cobranza!$B6,Recibos!Y$4:Y$3010)</f>
        <v>0</v>
      </c>
      <c r="BN6" s="317">
        <f>SUMIF(Recibos!$D$4:$D$3010,Cobranza!$B6,Recibos!Z$4:Z$3010)</f>
        <v>0</v>
      </c>
      <c r="BO6" s="317">
        <f>SUMIF(Recibos!$D$4:$D$3010,Cobranza!$B6,Recibos!AA$4:AA$3010)</f>
        <v>0</v>
      </c>
      <c r="BP6" s="317">
        <f>SUMIF(Recibos!$D$4:$D$3010,Cobranza!$B6,Recibos!AB$4:AB$3010)</f>
        <v>0</v>
      </c>
      <c r="BQ6" s="317">
        <f>SUMIF(Recibos!$D$4:$D$3010,Cobranza!$B6,Recibos!AC$4:AC$3010)</f>
        <v>0</v>
      </c>
      <c r="BR6" s="317">
        <f>SUMIF(Recibos!$D$4:$D$3010,Cobranza!$B6,Recibos!AD$4:AD$3010)</f>
        <v>0</v>
      </c>
      <c r="BS6" s="317">
        <f>SUMIF(Recibos!$D$4:$D$3010,Cobranza!$B6,Recibos!AE$4:AE$3010)</f>
        <v>0</v>
      </c>
      <c r="BT6" s="317">
        <f>SUMIF(Recibos!$D$4:$D$3010,Cobranza!$B6,Recibos!AF$4:AF$3010)</f>
        <v>0</v>
      </c>
      <c r="BU6" s="317">
        <f>SUMIF(Recibos!$D$4:$D$3010,Cobranza!$B6,Recibos!AG$4:AG$3010)</f>
        <v>0</v>
      </c>
      <c r="BV6" s="317">
        <f>SUMIF(Recibos!$D$4:$D$3010,Cobranza!$B6,Recibos!AH$4:AH$3010)</f>
        <v>0</v>
      </c>
      <c r="BW6" s="317">
        <f>SUMIF(Recibos!$D$4:$D$3010,Cobranza!$B6,Recibos!AI$4:AI$3010)</f>
        <v>0</v>
      </c>
      <c r="BX6" s="318">
        <f>SUM(BL6:BW6)</f>
        <v>0</v>
      </c>
    </row>
    <row r="7" spans="2:76" x14ac:dyDescent="0.2">
      <c r="B7" s="45" t="s">
        <v>896</v>
      </c>
      <c r="C7" s="45" t="s">
        <v>897</v>
      </c>
      <c r="D7" s="45" t="s">
        <v>898</v>
      </c>
      <c r="E7" s="46">
        <v>0</v>
      </c>
      <c r="F7" s="46">
        <v>0</v>
      </c>
      <c r="G7" s="46">
        <v>0</v>
      </c>
      <c r="H7" s="46">
        <v>100</v>
      </c>
      <c r="I7" s="46">
        <v>100</v>
      </c>
      <c r="J7" s="46">
        <v>100</v>
      </c>
      <c r="K7" s="47">
        <f t="shared" ref="K7:K72" si="2">SUM(E7:J7)</f>
        <v>300</v>
      </c>
      <c r="L7" s="46">
        <v>100</v>
      </c>
      <c r="M7" s="46">
        <v>100</v>
      </c>
      <c r="N7" s="46">
        <v>100</v>
      </c>
      <c r="O7" s="46">
        <v>100</v>
      </c>
      <c r="P7" s="46">
        <v>100</v>
      </c>
      <c r="Q7" s="46">
        <v>100</v>
      </c>
      <c r="R7" s="46">
        <v>100</v>
      </c>
      <c r="S7" s="46">
        <v>100</v>
      </c>
      <c r="T7" s="46">
        <v>100</v>
      </c>
      <c r="U7" s="46">
        <v>100</v>
      </c>
      <c r="V7" s="46">
        <v>100</v>
      </c>
      <c r="W7" s="46">
        <v>100</v>
      </c>
      <c r="X7" s="47">
        <f t="shared" ref="X7:X72" si="3">SUM(L7:W7)</f>
        <v>1200</v>
      </c>
      <c r="Y7" s="46">
        <v>100</v>
      </c>
      <c r="Z7" s="46">
        <v>100</v>
      </c>
      <c r="AA7" s="46">
        <v>100</v>
      </c>
      <c r="AB7" s="46">
        <v>100</v>
      </c>
      <c r="AC7" s="46">
        <v>100</v>
      </c>
      <c r="AD7" s="46">
        <v>100</v>
      </c>
      <c r="AE7" s="46">
        <v>100</v>
      </c>
      <c r="AF7" s="46">
        <v>100</v>
      </c>
      <c r="AG7" s="46">
        <v>100</v>
      </c>
      <c r="AH7" s="46">
        <v>100</v>
      </c>
      <c r="AI7" s="46">
        <v>100</v>
      </c>
      <c r="AJ7" s="46">
        <v>100</v>
      </c>
      <c r="AK7" s="47">
        <f t="shared" ref="AK7:AK72" si="4">SUM(Y7:AJ7)</f>
        <v>1200</v>
      </c>
      <c r="AL7" s="46">
        <v>100</v>
      </c>
      <c r="AM7" s="46">
        <v>100</v>
      </c>
      <c r="AN7" s="46">
        <v>100</v>
      </c>
      <c r="AO7" s="46">
        <v>100</v>
      </c>
      <c r="AP7" s="46">
        <v>100</v>
      </c>
      <c r="AQ7" s="46">
        <v>100</v>
      </c>
      <c r="AR7" s="46">
        <v>100</v>
      </c>
      <c r="AS7" s="46">
        <v>100</v>
      </c>
      <c r="AT7" s="46">
        <v>0</v>
      </c>
      <c r="AU7" s="46">
        <v>0</v>
      </c>
      <c r="AV7" s="46">
        <v>0</v>
      </c>
      <c r="AW7" s="46">
        <v>0</v>
      </c>
      <c r="AX7" s="47">
        <f t="shared" si="0"/>
        <v>800</v>
      </c>
      <c r="AY7" s="319">
        <f>SUMIF(Recibos!$D$4:$D$3010,Cobranza!$B7,Recibos!K$4:K$3010)</f>
        <v>100</v>
      </c>
      <c r="AZ7" s="319">
        <f>SUMIF(Recibos!$D$4:$D$3010,Cobranza!$B7,Recibos!L$4:L$3010)</f>
        <v>100</v>
      </c>
      <c r="BA7" s="319">
        <f>SUMIF(Recibos!$D$4:$D$3010,Cobranza!$B7,Recibos!M$4:M$3010)</f>
        <v>100</v>
      </c>
      <c r="BB7" s="319">
        <f>SUMIF(Recibos!$D$4:$D$3010,Cobranza!$B7,Recibos!N$4:N$3010)</f>
        <v>100</v>
      </c>
      <c r="BC7" s="319">
        <f>SUMIF(Recibos!$D$4:$D$3010,Cobranza!$B7,Recibos!O$4:O$3010)</f>
        <v>100</v>
      </c>
      <c r="BD7" s="319">
        <f>SUMIF(Recibos!$D$4:$D$3010,Cobranza!$B7,Recibos!P$4:P$3010)</f>
        <v>100</v>
      </c>
      <c r="BE7" s="319">
        <f>SUMIF(Recibos!$D$4:$D$3010,Cobranza!$B7,Recibos!Q$4:Q$3010)</f>
        <v>100</v>
      </c>
      <c r="BF7" s="319">
        <f>SUMIF(Recibos!$D$4:$D$3010,Cobranza!$B7,Recibos!R$4:R$3010)</f>
        <v>100</v>
      </c>
      <c r="BG7" s="319">
        <f>SUMIF(Recibos!$D$4:$D$3010,Cobranza!$B7,Recibos!S$4:S$3010)</f>
        <v>0</v>
      </c>
      <c r="BH7" s="319">
        <f>SUMIF(Recibos!$D$4:$D$3010,Cobranza!$B7,Recibos!T$4:T$3010)</f>
        <v>0</v>
      </c>
      <c r="BI7" s="319">
        <f>SUMIF(Recibos!$D$4:$D$3010,Cobranza!$B7,Recibos!U$4:U$3010)</f>
        <v>0</v>
      </c>
      <c r="BJ7" s="319">
        <f>SUMIF(Recibos!$D$4:$D$3010,Cobranza!$B7,Recibos!V$4:V$3010)</f>
        <v>0</v>
      </c>
      <c r="BK7" s="320">
        <f t="shared" si="1"/>
        <v>800</v>
      </c>
      <c r="BL7" s="319">
        <f>SUMIF(Recibos!$D$4:$D$3010,Cobranza!$B7,Recibos!X$4:X$3010)</f>
        <v>0</v>
      </c>
      <c r="BM7" s="319">
        <f>SUMIF(Recibos!$D$4:$D$3010,Cobranza!$B7,Recibos!Y$4:Y$3010)</f>
        <v>0</v>
      </c>
      <c r="BN7" s="319">
        <f>SUMIF(Recibos!$D$4:$D$3010,Cobranza!$B7,Recibos!Z$4:Z$3010)</f>
        <v>0</v>
      </c>
      <c r="BO7" s="319">
        <f>SUMIF(Recibos!$D$4:$D$3010,Cobranza!$B7,Recibos!AA$4:AA$3010)</f>
        <v>0</v>
      </c>
      <c r="BP7" s="319">
        <f>SUMIF(Recibos!$D$4:$D$3010,Cobranza!$B7,Recibos!AB$4:AB$3010)</f>
        <v>0</v>
      </c>
      <c r="BQ7" s="319">
        <f>SUMIF(Recibos!$D$4:$D$3010,Cobranza!$B7,Recibos!AC$4:AC$3010)</f>
        <v>0</v>
      </c>
      <c r="BR7" s="319">
        <f>SUMIF(Recibos!$D$4:$D$3010,Cobranza!$B7,Recibos!AD$4:AD$3010)</f>
        <v>0</v>
      </c>
      <c r="BS7" s="319">
        <f>SUMIF(Recibos!$D$4:$D$3010,Cobranza!$B7,Recibos!AE$4:AE$3010)</f>
        <v>0</v>
      </c>
      <c r="BT7" s="319">
        <f>SUMIF(Recibos!$D$4:$D$3010,Cobranza!$B7,Recibos!AF$4:AF$3010)</f>
        <v>0</v>
      </c>
      <c r="BU7" s="319">
        <f>SUMIF(Recibos!$D$4:$D$3010,Cobranza!$B7,Recibos!AG$4:AG$3010)</f>
        <v>0</v>
      </c>
      <c r="BV7" s="319">
        <f>SUMIF(Recibos!$D$4:$D$3010,Cobranza!$B7,Recibos!AH$4:AH$3010)</f>
        <v>0</v>
      </c>
      <c r="BW7" s="319">
        <f>SUMIF(Recibos!$D$4:$D$3010,Cobranza!$B7,Recibos!AI$4:AI$3010)</f>
        <v>0</v>
      </c>
      <c r="BX7" s="320">
        <f t="shared" ref="BX7:BX16" si="5">SUM(BL7:BW7)</f>
        <v>0</v>
      </c>
    </row>
    <row r="8" spans="2:76" x14ac:dyDescent="0.2">
      <c r="B8" s="42" t="s">
        <v>1139</v>
      </c>
      <c r="C8" s="42" t="s">
        <v>1140</v>
      </c>
      <c r="D8" s="42" t="s">
        <v>1141</v>
      </c>
      <c r="E8" s="43">
        <v>0</v>
      </c>
      <c r="F8" s="43">
        <v>0</v>
      </c>
      <c r="G8" s="43">
        <v>0</v>
      </c>
      <c r="H8" s="43">
        <v>0</v>
      </c>
      <c r="I8" s="43">
        <v>0</v>
      </c>
      <c r="J8" s="43">
        <v>0</v>
      </c>
      <c r="K8" s="44">
        <f t="shared" si="2"/>
        <v>0</v>
      </c>
      <c r="L8" s="43">
        <v>0</v>
      </c>
      <c r="M8" s="43">
        <v>0</v>
      </c>
      <c r="N8" s="43">
        <v>0</v>
      </c>
      <c r="O8" s="43">
        <v>0</v>
      </c>
      <c r="P8" s="43">
        <v>0</v>
      </c>
      <c r="Q8" s="43">
        <v>0</v>
      </c>
      <c r="R8" s="43">
        <v>0</v>
      </c>
      <c r="S8" s="43">
        <v>0</v>
      </c>
      <c r="T8" s="43">
        <v>0</v>
      </c>
      <c r="U8" s="43">
        <v>0</v>
      </c>
      <c r="V8" s="43">
        <v>0</v>
      </c>
      <c r="W8" s="43">
        <v>0</v>
      </c>
      <c r="X8" s="44">
        <f t="shared" si="3"/>
        <v>0</v>
      </c>
      <c r="Y8" s="43">
        <v>0</v>
      </c>
      <c r="Z8" s="43">
        <v>0</v>
      </c>
      <c r="AA8" s="43">
        <v>0</v>
      </c>
      <c r="AB8" s="43">
        <v>0</v>
      </c>
      <c r="AC8" s="43">
        <v>0</v>
      </c>
      <c r="AD8" s="43">
        <v>0</v>
      </c>
      <c r="AE8" s="43">
        <v>0</v>
      </c>
      <c r="AF8" s="43">
        <v>0</v>
      </c>
      <c r="AG8" s="43">
        <v>0</v>
      </c>
      <c r="AH8" s="43">
        <v>0</v>
      </c>
      <c r="AI8" s="43">
        <v>0</v>
      </c>
      <c r="AJ8" s="43">
        <v>0</v>
      </c>
      <c r="AK8" s="44">
        <f t="shared" si="4"/>
        <v>0</v>
      </c>
      <c r="AL8" s="43">
        <v>0</v>
      </c>
      <c r="AM8" s="43">
        <v>0</v>
      </c>
      <c r="AN8" s="43">
        <v>0</v>
      </c>
      <c r="AO8" s="43">
        <v>0</v>
      </c>
      <c r="AP8" s="43">
        <v>0</v>
      </c>
      <c r="AQ8" s="43">
        <v>0</v>
      </c>
      <c r="AR8" s="43">
        <v>0</v>
      </c>
      <c r="AS8" s="43">
        <v>0</v>
      </c>
      <c r="AT8" s="43">
        <v>0</v>
      </c>
      <c r="AU8" s="43">
        <v>0</v>
      </c>
      <c r="AV8" s="43">
        <v>0</v>
      </c>
      <c r="AW8" s="43">
        <v>0</v>
      </c>
      <c r="AX8" s="44">
        <f t="shared" si="0"/>
        <v>0</v>
      </c>
      <c r="AY8" s="317">
        <f>SUMIF(Recibos!$D$4:$D$3010,Cobranza!$B8,Recibos!K$4:K$3010)</f>
        <v>0</v>
      </c>
      <c r="AZ8" s="317">
        <f>SUMIF(Recibos!$D$4:$D$3010,Cobranza!$B8,Recibos!L$4:L$3010)</f>
        <v>0</v>
      </c>
      <c r="BA8" s="317">
        <f>SUMIF(Recibos!$D$4:$D$3010,Cobranza!$B8,Recibos!M$4:M$3010)</f>
        <v>0</v>
      </c>
      <c r="BB8" s="317">
        <f>SUMIF(Recibos!$D$4:$D$3010,Cobranza!$B8,Recibos!N$4:N$3010)</f>
        <v>0</v>
      </c>
      <c r="BC8" s="317">
        <f>SUMIF(Recibos!$D$4:$D$3010,Cobranza!$B8,Recibos!O$4:O$3010)</f>
        <v>0</v>
      </c>
      <c r="BD8" s="317">
        <f>SUMIF(Recibos!$D$4:$D$3010,Cobranza!$B8,Recibos!P$4:P$3010)</f>
        <v>0</v>
      </c>
      <c r="BE8" s="317">
        <f>SUMIF(Recibos!$D$4:$D$3010,Cobranza!$B8,Recibos!Q$4:Q$3010)</f>
        <v>0</v>
      </c>
      <c r="BF8" s="317">
        <f>SUMIF(Recibos!$D$4:$D$3010,Cobranza!$B8,Recibos!R$4:R$3010)</f>
        <v>100</v>
      </c>
      <c r="BG8" s="317">
        <f>SUMIF(Recibos!$D$4:$D$3010,Cobranza!$B8,Recibos!S$4:S$3010)</f>
        <v>0</v>
      </c>
      <c r="BH8" s="317">
        <f>SUMIF(Recibos!$D$4:$D$3010,Cobranza!$B8,Recibos!T$4:T$3010)</f>
        <v>0</v>
      </c>
      <c r="BI8" s="317">
        <f>SUMIF(Recibos!$D$4:$D$3010,Cobranza!$B8,Recibos!U$4:U$3010)</f>
        <v>0</v>
      </c>
      <c r="BJ8" s="317">
        <f>SUMIF(Recibos!$D$4:$D$3010,Cobranza!$B8,Recibos!V$4:V$3010)</f>
        <v>0</v>
      </c>
      <c r="BK8" s="318">
        <f t="shared" si="1"/>
        <v>100</v>
      </c>
      <c r="BL8" s="317">
        <f>SUMIF(Recibos!$D$4:$D$3010,Cobranza!$B8,Recibos!X$4:X$3010)</f>
        <v>0</v>
      </c>
      <c r="BM8" s="317">
        <f>SUMIF(Recibos!$D$4:$D$3010,Cobranza!$B8,Recibos!Y$4:Y$3010)</f>
        <v>0</v>
      </c>
      <c r="BN8" s="317">
        <f>SUMIF(Recibos!$D$4:$D$3010,Cobranza!$B8,Recibos!Z$4:Z$3010)</f>
        <v>0</v>
      </c>
      <c r="BO8" s="317">
        <f>SUMIF(Recibos!$D$4:$D$3010,Cobranza!$B8,Recibos!AA$4:AA$3010)</f>
        <v>0</v>
      </c>
      <c r="BP8" s="317">
        <f>SUMIF(Recibos!$D$4:$D$3010,Cobranza!$B8,Recibos!AB$4:AB$3010)</f>
        <v>0</v>
      </c>
      <c r="BQ8" s="317">
        <f>SUMIF(Recibos!$D$4:$D$3010,Cobranza!$B8,Recibos!AC$4:AC$3010)</f>
        <v>0</v>
      </c>
      <c r="BR8" s="317">
        <f>SUMIF(Recibos!$D$4:$D$3010,Cobranza!$B8,Recibos!AD$4:AD$3010)</f>
        <v>0</v>
      </c>
      <c r="BS8" s="317">
        <f>SUMIF(Recibos!$D$4:$D$3010,Cobranza!$B8,Recibos!AE$4:AE$3010)</f>
        <v>0</v>
      </c>
      <c r="BT8" s="317">
        <f>SUMIF(Recibos!$D$4:$D$3010,Cobranza!$B8,Recibos!AF$4:AF$3010)</f>
        <v>0</v>
      </c>
      <c r="BU8" s="317">
        <f>SUMIF(Recibos!$D$4:$D$3010,Cobranza!$B8,Recibos!AG$4:AG$3010)</f>
        <v>0</v>
      </c>
      <c r="BV8" s="317">
        <f>SUMIF(Recibos!$D$4:$D$3010,Cobranza!$B8,Recibos!AH$4:AH$3010)</f>
        <v>0</v>
      </c>
      <c r="BW8" s="317">
        <f>SUMIF(Recibos!$D$4:$D$3010,Cobranza!$B8,Recibos!AI$4:AI$3010)</f>
        <v>0</v>
      </c>
      <c r="BX8" s="318">
        <f t="shared" si="5"/>
        <v>0</v>
      </c>
    </row>
    <row r="9" spans="2:76" x14ac:dyDescent="0.2">
      <c r="B9" s="45" t="s">
        <v>861</v>
      </c>
      <c r="C9" s="45" t="s">
        <v>862</v>
      </c>
      <c r="D9" s="45" t="s">
        <v>863</v>
      </c>
      <c r="E9" s="46">
        <v>0</v>
      </c>
      <c r="F9" s="46">
        <v>0</v>
      </c>
      <c r="G9" s="46">
        <v>100</v>
      </c>
      <c r="H9" s="46">
        <v>100</v>
      </c>
      <c r="I9" s="46">
        <v>100</v>
      </c>
      <c r="J9" s="46">
        <v>100</v>
      </c>
      <c r="K9" s="47">
        <f t="shared" si="2"/>
        <v>400</v>
      </c>
      <c r="L9" s="46">
        <v>100</v>
      </c>
      <c r="M9" s="46">
        <v>100</v>
      </c>
      <c r="N9" s="46">
        <v>100</v>
      </c>
      <c r="O9" s="46">
        <v>100</v>
      </c>
      <c r="P9" s="46">
        <v>100</v>
      </c>
      <c r="Q9" s="46">
        <v>100</v>
      </c>
      <c r="R9" s="46">
        <v>100</v>
      </c>
      <c r="S9" s="46">
        <v>100</v>
      </c>
      <c r="T9" s="46">
        <v>100</v>
      </c>
      <c r="U9" s="46">
        <v>100</v>
      </c>
      <c r="V9" s="46">
        <v>100</v>
      </c>
      <c r="W9" s="46">
        <v>100</v>
      </c>
      <c r="X9" s="47">
        <f t="shared" si="3"/>
        <v>1200</v>
      </c>
      <c r="Y9" s="46">
        <v>100</v>
      </c>
      <c r="Z9" s="46">
        <v>100</v>
      </c>
      <c r="AA9" s="46">
        <v>0</v>
      </c>
      <c r="AB9" s="46">
        <v>0</v>
      </c>
      <c r="AC9" s="46">
        <v>100</v>
      </c>
      <c r="AD9" s="46">
        <v>100</v>
      </c>
      <c r="AE9" s="46">
        <v>100</v>
      </c>
      <c r="AF9" s="46">
        <v>100</v>
      </c>
      <c r="AG9" s="46">
        <v>100</v>
      </c>
      <c r="AH9" s="46">
        <v>100</v>
      </c>
      <c r="AI9" s="46">
        <v>100</v>
      </c>
      <c r="AJ9" s="46">
        <v>100</v>
      </c>
      <c r="AK9" s="47">
        <f t="shared" si="4"/>
        <v>1000</v>
      </c>
      <c r="AL9" s="46">
        <v>100</v>
      </c>
      <c r="AM9" s="46">
        <v>100</v>
      </c>
      <c r="AN9" s="46">
        <v>100</v>
      </c>
      <c r="AO9" s="46">
        <v>100</v>
      </c>
      <c r="AP9" s="46">
        <v>100</v>
      </c>
      <c r="AQ9" s="46">
        <v>100</v>
      </c>
      <c r="AR9" s="46">
        <v>100</v>
      </c>
      <c r="AS9" s="46">
        <v>100</v>
      </c>
      <c r="AT9" s="46">
        <v>100</v>
      </c>
      <c r="AU9" s="46">
        <v>0</v>
      </c>
      <c r="AV9" s="46">
        <v>0</v>
      </c>
      <c r="AW9" s="46">
        <v>0</v>
      </c>
      <c r="AX9" s="47">
        <f t="shared" si="0"/>
        <v>900</v>
      </c>
      <c r="AY9" s="319">
        <f>SUMIF(Recibos!$D$4:$D$3010,Cobranza!$B9,Recibos!K$4:K$3010)</f>
        <v>100</v>
      </c>
      <c r="AZ9" s="319">
        <f>SUMIF(Recibos!$D$4:$D$3010,Cobranza!$B9,Recibos!L$4:L$3010)</f>
        <v>100</v>
      </c>
      <c r="BA9" s="319">
        <f>SUMIF(Recibos!$D$4:$D$3010,Cobranza!$B9,Recibos!M$4:M$3010)</f>
        <v>100</v>
      </c>
      <c r="BB9" s="319">
        <f>SUMIF(Recibos!$D$4:$D$3010,Cobranza!$B9,Recibos!N$4:N$3010)</f>
        <v>100</v>
      </c>
      <c r="BC9" s="319">
        <f>SUMIF(Recibos!$D$4:$D$3010,Cobranza!$B9,Recibos!O$4:O$3010)</f>
        <v>100</v>
      </c>
      <c r="BD9" s="319">
        <f>SUMIF(Recibos!$D$4:$D$3010,Cobranza!$B9,Recibos!P$4:P$3010)</f>
        <v>100</v>
      </c>
      <c r="BE9" s="319">
        <f>SUMIF(Recibos!$D$4:$D$3010,Cobranza!$B9,Recibos!Q$4:Q$3010)</f>
        <v>100</v>
      </c>
      <c r="BF9" s="319">
        <f>SUMIF(Recibos!$D$4:$D$3010,Cobranza!$B9,Recibos!R$4:R$3010)</f>
        <v>100</v>
      </c>
      <c r="BG9" s="319">
        <f>SUMIF(Recibos!$D$4:$D$3010,Cobranza!$B9,Recibos!S$4:S$3010)</f>
        <v>100</v>
      </c>
      <c r="BH9" s="319">
        <f>SUMIF(Recibos!$D$4:$D$3010,Cobranza!$B9,Recibos!T$4:T$3010)</f>
        <v>100</v>
      </c>
      <c r="BI9" s="319">
        <f>SUMIF(Recibos!$D$4:$D$3010,Cobranza!$B9,Recibos!U$4:U$3010)</f>
        <v>100</v>
      </c>
      <c r="BJ9" s="319">
        <f>SUMIF(Recibos!$D$4:$D$3010,Cobranza!$B9,Recibos!V$4:V$3010)</f>
        <v>0</v>
      </c>
      <c r="BK9" s="320">
        <f t="shared" si="1"/>
        <v>1100</v>
      </c>
      <c r="BL9" s="319">
        <f>SUMIF(Recibos!$D$4:$D$3010,Cobranza!$B9,Recibos!X$4:X$3010)</f>
        <v>0</v>
      </c>
      <c r="BM9" s="319">
        <f>SUMIF(Recibos!$D$4:$D$3010,Cobranza!$B9,Recibos!Y$4:Y$3010)</f>
        <v>0</v>
      </c>
      <c r="BN9" s="319">
        <f>SUMIF(Recibos!$D$4:$D$3010,Cobranza!$B9,Recibos!Z$4:Z$3010)</f>
        <v>0</v>
      </c>
      <c r="BO9" s="319">
        <f>SUMIF(Recibos!$D$4:$D$3010,Cobranza!$B9,Recibos!AA$4:AA$3010)</f>
        <v>0</v>
      </c>
      <c r="BP9" s="319">
        <f>SUMIF(Recibos!$D$4:$D$3010,Cobranza!$B9,Recibos!AB$4:AB$3010)</f>
        <v>0</v>
      </c>
      <c r="BQ9" s="319">
        <f>SUMIF(Recibos!$D$4:$D$3010,Cobranza!$B9,Recibos!AC$4:AC$3010)</f>
        <v>0</v>
      </c>
      <c r="BR9" s="319">
        <f>SUMIF(Recibos!$D$4:$D$3010,Cobranza!$B9,Recibos!AD$4:AD$3010)</f>
        <v>0</v>
      </c>
      <c r="BS9" s="319">
        <f>SUMIF(Recibos!$D$4:$D$3010,Cobranza!$B9,Recibos!AE$4:AE$3010)</f>
        <v>0</v>
      </c>
      <c r="BT9" s="319">
        <f>SUMIF(Recibos!$D$4:$D$3010,Cobranza!$B9,Recibos!AF$4:AF$3010)</f>
        <v>0</v>
      </c>
      <c r="BU9" s="319">
        <f>SUMIF(Recibos!$D$4:$D$3010,Cobranza!$B9,Recibos!AG$4:AG$3010)</f>
        <v>0</v>
      </c>
      <c r="BV9" s="319">
        <f>SUMIF(Recibos!$D$4:$D$3010,Cobranza!$B9,Recibos!AH$4:AH$3010)</f>
        <v>0</v>
      </c>
      <c r="BW9" s="319">
        <f>SUMIF(Recibos!$D$4:$D$3010,Cobranza!$B9,Recibos!AI$4:AI$3010)</f>
        <v>0</v>
      </c>
      <c r="BX9" s="320">
        <f t="shared" si="5"/>
        <v>0</v>
      </c>
    </row>
    <row r="10" spans="2:76" x14ac:dyDescent="0.2">
      <c r="B10" s="42" t="s">
        <v>1257</v>
      </c>
      <c r="C10" s="42" t="s">
        <v>1258</v>
      </c>
      <c r="D10" s="42" t="s">
        <v>1259</v>
      </c>
      <c r="E10" s="43">
        <v>0</v>
      </c>
      <c r="F10" s="43">
        <v>0</v>
      </c>
      <c r="G10" s="43">
        <v>0</v>
      </c>
      <c r="H10" s="43">
        <v>0</v>
      </c>
      <c r="I10" s="43">
        <v>300</v>
      </c>
      <c r="J10" s="43">
        <v>300</v>
      </c>
      <c r="K10" s="44">
        <f t="shared" si="2"/>
        <v>600</v>
      </c>
      <c r="L10" s="43">
        <v>300</v>
      </c>
      <c r="M10" s="43">
        <v>0</v>
      </c>
      <c r="N10" s="43">
        <v>0</v>
      </c>
      <c r="O10" s="43">
        <v>0</v>
      </c>
      <c r="P10" s="43">
        <v>0</v>
      </c>
      <c r="Q10" s="43">
        <v>0</v>
      </c>
      <c r="R10" s="43">
        <v>0</v>
      </c>
      <c r="S10" s="43">
        <v>0</v>
      </c>
      <c r="T10" s="43">
        <v>0</v>
      </c>
      <c r="U10" s="43">
        <v>0</v>
      </c>
      <c r="V10" s="43">
        <v>0</v>
      </c>
      <c r="W10" s="43">
        <v>0</v>
      </c>
      <c r="X10" s="44">
        <f t="shared" si="3"/>
        <v>300</v>
      </c>
      <c r="Y10" s="43">
        <v>0</v>
      </c>
      <c r="Z10" s="43">
        <v>0</v>
      </c>
      <c r="AA10" s="43">
        <v>0</v>
      </c>
      <c r="AB10" s="43">
        <v>0</v>
      </c>
      <c r="AC10" s="43">
        <v>0</v>
      </c>
      <c r="AD10" s="43">
        <v>0</v>
      </c>
      <c r="AE10" s="43">
        <v>0</v>
      </c>
      <c r="AF10" s="43">
        <v>0</v>
      </c>
      <c r="AG10" s="43">
        <v>0</v>
      </c>
      <c r="AH10" s="43">
        <v>0</v>
      </c>
      <c r="AI10" s="43">
        <v>0</v>
      </c>
      <c r="AJ10" s="43">
        <v>0</v>
      </c>
      <c r="AK10" s="44">
        <f t="shared" si="4"/>
        <v>0</v>
      </c>
      <c r="AL10" s="43">
        <v>0</v>
      </c>
      <c r="AM10" s="43">
        <v>0</v>
      </c>
      <c r="AN10" s="43">
        <v>0</v>
      </c>
      <c r="AO10" s="43">
        <v>0</v>
      </c>
      <c r="AP10" s="43">
        <v>0</v>
      </c>
      <c r="AQ10" s="43">
        <v>0</v>
      </c>
      <c r="AR10" s="43">
        <v>0</v>
      </c>
      <c r="AS10" s="43">
        <v>0</v>
      </c>
      <c r="AT10" s="43">
        <v>0</v>
      </c>
      <c r="AU10" s="43">
        <v>0</v>
      </c>
      <c r="AV10" s="43">
        <v>0</v>
      </c>
      <c r="AW10" s="43">
        <v>0</v>
      </c>
      <c r="AX10" s="44">
        <f t="shared" si="0"/>
        <v>0</v>
      </c>
      <c r="AY10" s="317">
        <f>SUMIF(Recibos!$D$4:$D$3010,Cobranza!$B10,Recibos!K$4:K$3010)</f>
        <v>0</v>
      </c>
      <c r="AZ10" s="317">
        <f>SUMIF(Recibos!$D$4:$D$3010,Cobranza!$B10,Recibos!L$4:L$3010)</f>
        <v>0</v>
      </c>
      <c r="BA10" s="317">
        <f>SUMIF(Recibos!$D$4:$D$3010,Cobranza!$B10,Recibos!M$4:M$3010)</f>
        <v>0</v>
      </c>
      <c r="BB10" s="317">
        <f>SUMIF(Recibos!$D$4:$D$3010,Cobranza!$B10,Recibos!N$4:N$3010)</f>
        <v>0</v>
      </c>
      <c r="BC10" s="317">
        <f>SUMIF(Recibos!$D$4:$D$3010,Cobranza!$B10,Recibos!O$4:O$3010)</f>
        <v>0</v>
      </c>
      <c r="BD10" s="317">
        <f>SUMIF(Recibos!$D$4:$D$3010,Cobranza!$B10,Recibos!P$4:P$3010)</f>
        <v>0</v>
      </c>
      <c r="BE10" s="317">
        <f>SUMIF(Recibos!$D$4:$D$3010,Cobranza!$B10,Recibos!Q$4:Q$3010)</f>
        <v>0</v>
      </c>
      <c r="BF10" s="317">
        <f>SUMIF(Recibos!$D$4:$D$3010,Cobranza!$B10,Recibos!R$4:R$3010)</f>
        <v>0</v>
      </c>
      <c r="BG10" s="317">
        <f>SUMIF(Recibos!$D$4:$D$3010,Cobranza!$B10,Recibos!S$4:S$3010)</f>
        <v>0</v>
      </c>
      <c r="BH10" s="317">
        <f>SUMIF(Recibos!$D$4:$D$3010,Cobranza!$B10,Recibos!T$4:T$3010)</f>
        <v>0</v>
      </c>
      <c r="BI10" s="317">
        <f>SUMIF(Recibos!$D$4:$D$3010,Cobranza!$B10,Recibos!U$4:U$3010)</f>
        <v>0</v>
      </c>
      <c r="BJ10" s="317">
        <f>SUMIF(Recibos!$D$4:$D$3010,Cobranza!$B10,Recibos!V$4:V$3010)</f>
        <v>0</v>
      </c>
      <c r="BK10" s="318">
        <f t="shared" si="1"/>
        <v>0</v>
      </c>
      <c r="BL10" s="317">
        <f>SUMIF(Recibos!$D$4:$D$3010,Cobranza!$B10,Recibos!X$4:X$3010)</f>
        <v>0</v>
      </c>
      <c r="BM10" s="317">
        <f>SUMIF(Recibos!$D$4:$D$3010,Cobranza!$B10,Recibos!Y$4:Y$3010)</f>
        <v>0</v>
      </c>
      <c r="BN10" s="317">
        <f>SUMIF(Recibos!$D$4:$D$3010,Cobranza!$B10,Recibos!Z$4:Z$3010)</f>
        <v>0</v>
      </c>
      <c r="BO10" s="317">
        <f>SUMIF(Recibos!$D$4:$D$3010,Cobranza!$B10,Recibos!AA$4:AA$3010)</f>
        <v>0</v>
      </c>
      <c r="BP10" s="317">
        <f>SUMIF(Recibos!$D$4:$D$3010,Cobranza!$B10,Recibos!AB$4:AB$3010)</f>
        <v>0</v>
      </c>
      <c r="BQ10" s="317">
        <f>SUMIF(Recibos!$D$4:$D$3010,Cobranza!$B10,Recibos!AC$4:AC$3010)</f>
        <v>0</v>
      </c>
      <c r="BR10" s="317">
        <f>SUMIF(Recibos!$D$4:$D$3010,Cobranza!$B10,Recibos!AD$4:AD$3010)</f>
        <v>0</v>
      </c>
      <c r="BS10" s="317">
        <f>SUMIF(Recibos!$D$4:$D$3010,Cobranza!$B10,Recibos!AE$4:AE$3010)</f>
        <v>0</v>
      </c>
      <c r="BT10" s="317">
        <f>SUMIF(Recibos!$D$4:$D$3010,Cobranza!$B10,Recibos!AF$4:AF$3010)</f>
        <v>0</v>
      </c>
      <c r="BU10" s="317">
        <f>SUMIF(Recibos!$D$4:$D$3010,Cobranza!$B10,Recibos!AG$4:AG$3010)</f>
        <v>0</v>
      </c>
      <c r="BV10" s="317">
        <f>SUMIF(Recibos!$D$4:$D$3010,Cobranza!$B10,Recibos!AH$4:AH$3010)</f>
        <v>0</v>
      </c>
      <c r="BW10" s="317">
        <f>SUMIF(Recibos!$D$4:$D$3010,Cobranza!$B10,Recibos!AI$4:AI$3010)</f>
        <v>0</v>
      </c>
      <c r="BX10" s="318">
        <f t="shared" si="5"/>
        <v>0</v>
      </c>
    </row>
    <row r="11" spans="2:76" x14ac:dyDescent="0.2">
      <c r="B11" s="45" t="s">
        <v>1260</v>
      </c>
      <c r="C11" s="45" t="s">
        <v>1261</v>
      </c>
      <c r="D11" s="45" t="s">
        <v>1262</v>
      </c>
      <c r="E11" s="46">
        <v>0</v>
      </c>
      <c r="F11" s="46">
        <v>0</v>
      </c>
      <c r="G11" s="46">
        <v>0</v>
      </c>
      <c r="H11" s="46">
        <v>0</v>
      </c>
      <c r="I11" s="46">
        <v>0</v>
      </c>
      <c r="J11" s="46">
        <v>0</v>
      </c>
      <c r="K11" s="47">
        <f t="shared" si="2"/>
        <v>0</v>
      </c>
      <c r="L11" s="46">
        <v>100</v>
      </c>
      <c r="M11" s="46">
        <v>100</v>
      </c>
      <c r="N11" s="46">
        <v>100</v>
      </c>
      <c r="O11" s="46">
        <v>100</v>
      </c>
      <c r="P11" s="46">
        <v>100</v>
      </c>
      <c r="Q11" s="46">
        <v>100</v>
      </c>
      <c r="R11" s="46">
        <v>100</v>
      </c>
      <c r="S11" s="46">
        <v>100</v>
      </c>
      <c r="T11" s="46">
        <v>100</v>
      </c>
      <c r="U11" s="46">
        <v>100</v>
      </c>
      <c r="V11" s="46">
        <v>0</v>
      </c>
      <c r="W11" s="46">
        <v>0</v>
      </c>
      <c r="X11" s="47">
        <f t="shared" si="3"/>
        <v>1000</v>
      </c>
      <c r="Y11" s="46">
        <v>0</v>
      </c>
      <c r="Z11" s="46">
        <v>100</v>
      </c>
      <c r="AA11" s="46">
        <v>100</v>
      </c>
      <c r="AB11" s="46">
        <v>100</v>
      </c>
      <c r="AC11" s="46">
        <v>100</v>
      </c>
      <c r="AD11" s="46">
        <v>100</v>
      </c>
      <c r="AE11" s="46">
        <v>100</v>
      </c>
      <c r="AF11" s="46">
        <v>100</v>
      </c>
      <c r="AG11" s="46">
        <v>100</v>
      </c>
      <c r="AH11" s="46">
        <v>100</v>
      </c>
      <c r="AI11" s="46">
        <v>100</v>
      </c>
      <c r="AJ11" s="46">
        <v>100</v>
      </c>
      <c r="AK11" s="47">
        <f t="shared" si="4"/>
        <v>1100</v>
      </c>
      <c r="AL11" s="46">
        <v>100</v>
      </c>
      <c r="AM11" s="46">
        <v>100</v>
      </c>
      <c r="AN11" s="46">
        <v>100</v>
      </c>
      <c r="AO11" s="46">
        <v>0</v>
      </c>
      <c r="AP11" s="46">
        <v>0</v>
      </c>
      <c r="AQ11" s="46">
        <v>0</v>
      </c>
      <c r="AR11" s="46">
        <v>0</v>
      </c>
      <c r="AS11" s="46">
        <v>0</v>
      </c>
      <c r="AT11" s="46">
        <v>0</v>
      </c>
      <c r="AU11" s="46">
        <v>0</v>
      </c>
      <c r="AV11" s="46">
        <v>0</v>
      </c>
      <c r="AW11" s="46">
        <v>0</v>
      </c>
      <c r="AX11" s="47">
        <f t="shared" si="0"/>
        <v>300</v>
      </c>
      <c r="AY11" s="319">
        <f>SUMIF(Recibos!$D$4:$D$3010,Cobranza!$B11,Recibos!K$4:K$3010)</f>
        <v>0</v>
      </c>
      <c r="AZ11" s="319">
        <f>SUMIF(Recibos!$D$4:$D$3010,Cobranza!$B11,Recibos!L$4:L$3010)</f>
        <v>0</v>
      </c>
      <c r="BA11" s="319">
        <f>SUMIF(Recibos!$D$4:$D$3010,Cobranza!$B11,Recibos!M$4:M$3010)</f>
        <v>0</v>
      </c>
      <c r="BB11" s="319">
        <f>SUMIF(Recibos!$D$4:$D$3010,Cobranza!$B11,Recibos!N$4:N$3010)</f>
        <v>0</v>
      </c>
      <c r="BC11" s="319">
        <f>SUMIF(Recibos!$D$4:$D$3010,Cobranza!$B11,Recibos!O$4:O$3010)</f>
        <v>0</v>
      </c>
      <c r="BD11" s="319">
        <f>SUMIF(Recibos!$D$4:$D$3010,Cobranza!$B11,Recibos!P$4:P$3010)</f>
        <v>0</v>
      </c>
      <c r="BE11" s="319">
        <f>SUMIF(Recibos!$D$4:$D$3010,Cobranza!$B11,Recibos!Q$4:Q$3010)</f>
        <v>0</v>
      </c>
      <c r="BF11" s="319">
        <f>SUMIF(Recibos!$D$4:$D$3010,Cobranza!$B11,Recibos!R$4:R$3010)</f>
        <v>0</v>
      </c>
      <c r="BG11" s="319">
        <f>SUMIF(Recibos!$D$4:$D$3010,Cobranza!$B11,Recibos!S$4:S$3010)</f>
        <v>0</v>
      </c>
      <c r="BH11" s="319">
        <f>SUMIF(Recibos!$D$4:$D$3010,Cobranza!$B11,Recibos!T$4:T$3010)</f>
        <v>0</v>
      </c>
      <c r="BI11" s="319">
        <f>SUMIF(Recibos!$D$4:$D$3010,Cobranza!$B11,Recibos!U$4:U$3010)</f>
        <v>0</v>
      </c>
      <c r="BJ11" s="319">
        <f>SUMIF(Recibos!$D$4:$D$3010,Cobranza!$B11,Recibos!V$4:V$3010)</f>
        <v>0</v>
      </c>
      <c r="BK11" s="320">
        <f t="shared" si="1"/>
        <v>0</v>
      </c>
      <c r="BL11" s="319">
        <f>SUMIF(Recibos!$D$4:$D$3010,Cobranza!$B11,Recibos!X$4:X$3010)</f>
        <v>0</v>
      </c>
      <c r="BM11" s="319">
        <f>SUMIF(Recibos!$D$4:$D$3010,Cobranza!$B11,Recibos!Y$4:Y$3010)</f>
        <v>0</v>
      </c>
      <c r="BN11" s="319">
        <f>SUMIF(Recibos!$D$4:$D$3010,Cobranza!$B11,Recibos!Z$4:Z$3010)</f>
        <v>0</v>
      </c>
      <c r="BO11" s="319">
        <f>SUMIF(Recibos!$D$4:$D$3010,Cobranza!$B11,Recibos!AA$4:AA$3010)</f>
        <v>0</v>
      </c>
      <c r="BP11" s="319">
        <f>SUMIF(Recibos!$D$4:$D$3010,Cobranza!$B11,Recibos!AB$4:AB$3010)</f>
        <v>0</v>
      </c>
      <c r="BQ11" s="319">
        <f>SUMIF(Recibos!$D$4:$D$3010,Cobranza!$B11,Recibos!AC$4:AC$3010)</f>
        <v>0</v>
      </c>
      <c r="BR11" s="319">
        <f>SUMIF(Recibos!$D$4:$D$3010,Cobranza!$B11,Recibos!AD$4:AD$3010)</f>
        <v>0</v>
      </c>
      <c r="BS11" s="319">
        <f>SUMIF(Recibos!$D$4:$D$3010,Cobranza!$B11,Recibos!AE$4:AE$3010)</f>
        <v>0</v>
      </c>
      <c r="BT11" s="319">
        <f>SUMIF(Recibos!$D$4:$D$3010,Cobranza!$B11,Recibos!AF$4:AF$3010)</f>
        <v>0</v>
      </c>
      <c r="BU11" s="319">
        <f>SUMIF(Recibos!$D$4:$D$3010,Cobranza!$B11,Recibos!AG$4:AG$3010)</f>
        <v>0</v>
      </c>
      <c r="BV11" s="319">
        <f>SUMIF(Recibos!$D$4:$D$3010,Cobranza!$B11,Recibos!AH$4:AH$3010)</f>
        <v>0</v>
      </c>
      <c r="BW11" s="319">
        <f>SUMIF(Recibos!$D$4:$D$3010,Cobranza!$B11,Recibos!AI$4:AI$3010)</f>
        <v>0</v>
      </c>
      <c r="BX11" s="320">
        <f t="shared" si="5"/>
        <v>0</v>
      </c>
    </row>
    <row r="12" spans="2:76" x14ac:dyDescent="0.2">
      <c r="B12" s="42" t="s">
        <v>746</v>
      </c>
      <c r="C12" s="42" t="s">
        <v>747</v>
      </c>
      <c r="D12" s="42" t="s">
        <v>748</v>
      </c>
      <c r="E12" s="43">
        <v>0</v>
      </c>
      <c r="F12" s="43">
        <v>0</v>
      </c>
      <c r="G12" s="43">
        <v>0</v>
      </c>
      <c r="H12" s="43">
        <v>0</v>
      </c>
      <c r="I12" s="43">
        <v>0</v>
      </c>
      <c r="J12" s="43">
        <v>250</v>
      </c>
      <c r="K12" s="44">
        <f t="shared" si="2"/>
        <v>250</v>
      </c>
      <c r="L12" s="43">
        <v>300</v>
      </c>
      <c r="M12" s="43">
        <v>300</v>
      </c>
      <c r="N12" s="43">
        <v>300</v>
      </c>
      <c r="O12" s="43">
        <v>300</v>
      </c>
      <c r="P12" s="43">
        <v>300</v>
      </c>
      <c r="Q12" s="43">
        <v>300</v>
      </c>
      <c r="R12" s="43">
        <v>300</v>
      </c>
      <c r="S12" s="43">
        <v>300</v>
      </c>
      <c r="T12" s="43">
        <v>300</v>
      </c>
      <c r="U12" s="43">
        <v>350</v>
      </c>
      <c r="V12" s="43">
        <v>350</v>
      </c>
      <c r="W12" s="43">
        <v>350</v>
      </c>
      <c r="X12" s="44">
        <f t="shared" si="3"/>
        <v>3750</v>
      </c>
      <c r="Y12" s="43">
        <v>300</v>
      </c>
      <c r="Z12" s="43">
        <v>300</v>
      </c>
      <c r="AA12" s="43">
        <v>300</v>
      </c>
      <c r="AB12" s="43">
        <v>300</v>
      </c>
      <c r="AC12" s="43">
        <v>300</v>
      </c>
      <c r="AD12" s="43">
        <v>300</v>
      </c>
      <c r="AE12" s="43">
        <v>300</v>
      </c>
      <c r="AF12" s="43">
        <v>300</v>
      </c>
      <c r="AG12" s="43">
        <v>300</v>
      </c>
      <c r="AH12" s="43">
        <v>300</v>
      </c>
      <c r="AI12" s="43">
        <v>300</v>
      </c>
      <c r="AJ12" s="43">
        <v>300</v>
      </c>
      <c r="AK12" s="44">
        <f t="shared" si="4"/>
        <v>3600</v>
      </c>
      <c r="AL12" s="43">
        <v>300</v>
      </c>
      <c r="AM12" s="43">
        <v>300</v>
      </c>
      <c r="AN12" s="43">
        <v>300</v>
      </c>
      <c r="AO12" s="43">
        <v>300</v>
      </c>
      <c r="AP12" s="43">
        <v>300</v>
      </c>
      <c r="AQ12" s="43">
        <v>300</v>
      </c>
      <c r="AR12" s="43">
        <v>300</v>
      </c>
      <c r="AS12" s="43">
        <v>300</v>
      </c>
      <c r="AT12" s="43">
        <v>300</v>
      </c>
      <c r="AU12" s="43">
        <v>300</v>
      </c>
      <c r="AV12" s="43">
        <v>300</v>
      </c>
      <c r="AW12" s="43">
        <v>300</v>
      </c>
      <c r="AX12" s="44">
        <f t="shared" si="0"/>
        <v>3600</v>
      </c>
      <c r="AY12" s="317">
        <f>SUMIF(Recibos!$D$4:$D$3010,Cobranza!$B12,Recibos!K$4:K$3010)</f>
        <v>300</v>
      </c>
      <c r="AZ12" s="317">
        <f>SUMIF(Recibos!$D$4:$D$3010,Cobranza!$B12,Recibos!L$4:L$3010)</f>
        <v>300</v>
      </c>
      <c r="BA12" s="317">
        <f>SUMIF(Recibos!$D$4:$D$3010,Cobranza!$B12,Recibos!M$4:M$3010)</f>
        <v>300</v>
      </c>
      <c r="BB12" s="317">
        <f>SUMIF(Recibos!$D$4:$D$3010,Cobranza!$B12,Recibos!N$4:N$3010)</f>
        <v>300</v>
      </c>
      <c r="BC12" s="317">
        <f>SUMIF(Recibos!$D$4:$D$3010,Cobranza!$B12,Recibos!O$4:O$3010)</f>
        <v>300</v>
      </c>
      <c r="BD12" s="317">
        <f>SUMIF(Recibos!$D$4:$D$3010,Cobranza!$B12,Recibos!P$4:P$3010)</f>
        <v>300</v>
      </c>
      <c r="BE12" s="317">
        <f>SUMIF(Recibos!$D$4:$D$3010,Cobranza!$B12,Recibos!Q$4:Q$3010)</f>
        <v>300</v>
      </c>
      <c r="BF12" s="317">
        <f>SUMIF(Recibos!$D$4:$D$3010,Cobranza!$B12,Recibos!R$4:R$3010)</f>
        <v>300</v>
      </c>
      <c r="BG12" s="317">
        <f>SUMIF(Recibos!$D$4:$D$3010,Cobranza!$B12,Recibos!S$4:S$3010)</f>
        <v>300</v>
      </c>
      <c r="BH12" s="317">
        <f>SUMIF(Recibos!$D$4:$D$3010,Cobranza!$B12,Recibos!T$4:T$3010)</f>
        <v>300</v>
      </c>
      <c r="BI12" s="317">
        <f>SUMIF(Recibos!$D$4:$D$3010,Cobranza!$B12,Recibos!U$4:U$3010)</f>
        <v>300</v>
      </c>
      <c r="BJ12" s="317">
        <f>SUMIF(Recibos!$D$4:$D$3010,Cobranza!$B12,Recibos!V$4:V$3010)</f>
        <v>300</v>
      </c>
      <c r="BK12" s="318">
        <f t="shared" si="1"/>
        <v>3600</v>
      </c>
      <c r="BL12" s="317">
        <f>SUMIF(Recibos!$D$4:$D$3010,Cobranza!$B12,Recibos!X$4:X$3010)</f>
        <v>0</v>
      </c>
      <c r="BM12" s="317">
        <f>SUMIF(Recibos!$D$4:$D$3010,Cobranza!$B12,Recibos!Y$4:Y$3010)</f>
        <v>0</v>
      </c>
      <c r="BN12" s="317">
        <f>SUMIF(Recibos!$D$4:$D$3010,Cobranza!$B12,Recibos!Z$4:Z$3010)</f>
        <v>0</v>
      </c>
      <c r="BO12" s="317">
        <f>SUMIF(Recibos!$D$4:$D$3010,Cobranza!$B12,Recibos!AA$4:AA$3010)</f>
        <v>0</v>
      </c>
      <c r="BP12" s="317">
        <f>SUMIF(Recibos!$D$4:$D$3010,Cobranza!$B12,Recibos!AB$4:AB$3010)</f>
        <v>0</v>
      </c>
      <c r="BQ12" s="317">
        <f>SUMIF(Recibos!$D$4:$D$3010,Cobranza!$B12,Recibos!AC$4:AC$3010)</f>
        <v>0</v>
      </c>
      <c r="BR12" s="317">
        <f>SUMIF(Recibos!$D$4:$D$3010,Cobranza!$B12,Recibos!AD$4:AD$3010)</f>
        <v>0</v>
      </c>
      <c r="BS12" s="317">
        <f>SUMIF(Recibos!$D$4:$D$3010,Cobranza!$B12,Recibos!AE$4:AE$3010)</f>
        <v>0</v>
      </c>
      <c r="BT12" s="317">
        <f>SUMIF(Recibos!$D$4:$D$3010,Cobranza!$B12,Recibos!AF$4:AF$3010)</f>
        <v>0</v>
      </c>
      <c r="BU12" s="317">
        <f>SUMIF(Recibos!$D$4:$D$3010,Cobranza!$B12,Recibos!AG$4:AG$3010)</f>
        <v>0</v>
      </c>
      <c r="BV12" s="317">
        <f>SUMIF(Recibos!$D$4:$D$3010,Cobranza!$B12,Recibos!AH$4:AH$3010)</f>
        <v>0</v>
      </c>
      <c r="BW12" s="317">
        <f>SUMIF(Recibos!$D$4:$D$3010,Cobranza!$B12,Recibos!AI$4:AI$3010)</f>
        <v>0</v>
      </c>
      <c r="BX12" s="318">
        <f t="shared" si="5"/>
        <v>0</v>
      </c>
    </row>
    <row r="13" spans="2:76" x14ac:dyDescent="0.2">
      <c r="B13" s="45" t="s">
        <v>1145</v>
      </c>
      <c r="C13" s="45" t="s">
        <v>1146</v>
      </c>
      <c r="D13" s="45" t="s">
        <v>1147</v>
      </c>
      <c r="E13" s="46">
        <v>0</v>
      </c>
      <c r="F13" s="46">
        <v>0</v>
      </c>
      <c r="G13" s="46">
        <v>0</v>
      </c>
      <c r="H13" s="46">
        <v>0</v>
      </c>
      <c r="I13" s="46">
        <v>0</v>
      </c>
      <c r="J13" s="46">
        <v>0</v>
      </c>
      <c r="K13" s="47">
        <f t="shared" si="2"/>
        <v>0</v>
      </c>
      <c r="L13" s="46">
        <v>0</v>
      </c>
      <c r="M13" s="46">
        <v>0</v>
      </c>
      <c r="N13" s="46">
        <v>0</v>
      </c>
      <c r="O13" s="46">
        <v>0</v>
      </c>
      <c r="P13" s="46">
        <v>0</v>
      </c>
      <c r="Q13" s="46">
        <v>0</v>
      </c>
      <c r="R13" s="46">
        <v>0</v>
      </c>
      <c r="S13" s="46">
        <v>0</v>
      </c>
      <c r="T13" s="46">
        <v>0</v>
      </c>
      <c r="U13" s="46">
        <v>0</v>
      </c>
      <c r="V13" s="46">
        <v>0</v>
      </c>
      <c r="W13" s="46">
        <v>0</v>
      </c>
      <c r="X13" s="47">
        <f t="shared" si="3"/>
        <v>0</v>
      </c>
      <c r="Y13" s="46">
        <v>0</v>
      </c>
      <c r="Z13" s="46">
        <v>0</v>
      </c>
      <c r="AA13" s="46">
        <v>0</v>
      </c>
      <c r="AB13" s="46">
        <v>0</v>
      </c>
      <c r="AC13" s="46">
        <v>0</v>
      </c>
      <c r="AD13" s="46">
        <v>0</v>
      </c>
      <c r="AE13" s="46">
        <v>0</v>
      </c>
      <c r="AF13" s="46">
        <v>0</v>
      </c>
      <c r="AG13" s="46">
        <v>0</v>
      </c>
      <c r="AH13" s="46">
        <v>0</v>
      </c>
      <c r="AI13" s="46">
        <v>0</v>
      </c>
      <c r="AJ13" s="46">
        <v>0</v>
      </c>
      <c r="AK13" s="47">
        <f t="shared" si="4"/>
        <v>0</v>
      </c>
      <c r="AL13" s="46">
        <v>0</v>
      </c>
      <c r="AM13" s="46">
        <v>0</v>
      </c>
      <c r="AN13" s="46">
        <v>0</v>
      </c>
      <c r="AO13" s="46">
        <v>0</v>
      </c>
      <c r="AP13" s="46">
        <v>0</v>
      </c>
      <c r="AQ13" s="46">
        <v>0</v>
      </c>
      <c r="AR13" s="46">
        <v>0</v>
      </c>
      <c r="AS13" s="46">
        <v>0</v>
      </c>
      <c r="AT13" s="46">
        <v>0</v>
      </c>
      <c r="AU13" s="46">
        <v>0</v>
      </c>
      <c r="AV13" s="46">
        <v>0</v>
      </c>
      <c r="AW13" s="46">
        <v>0</v>
      </c>
      <c r="AX13" s="47">
        <f t="shared" si="0"/>
        <v>0</v>
      </c>
      <c r="AY13" s="319">
        <f>SUMIF(Recibos!$D$4:$D$3010,Cobranza!$B13,Recibos!K$4:K$3010)</f>
        <v>0</v>
      </c>
      <c r="AZ13" s="319">
        <f>SUMIF(Recibos!$D$4:$D$3010,Cobranza!$B13,Recibos!L$4:L$3010)</f>
        <v>0</v>
      </c>
      <c r="BA13" s="319">
        <f>SUMIF(Recibos!$D$4:$D$3010,Cobranza!$B13,Recibos!M$4:M$3010)</f>
        <v>0</v>
      </c>
      <c r="BB13" s="319">
        <f>SUMIF(Recibos!$D$4:$D$3010,Cobranza!$B13,Recibos!N$4:N$3010)</f>
        <v>0</v>
      </c>
      <c r="BC13" s="319">
        <f>SUMIF(Recibos!$D$4:$D$3010,Cobranza!$B13,Recibos!O$4:O$3010)</f>
        <v>0</v>
      </c>
      <c r="BD13" s="319">
        <f>SUMIF(Recibos!$D$4:$D$3010,Cobranza!$B13,Recibos!P$4:P$3010)</f>
        <v>0</v>
      </c>
      <c r="BE13" s="319">
        <f>SUMIF(Recibos!$D$4:$D$3010,Cobranza!$B13,Recibos!Q$4:Q$3010)</f>
        <v>0</v>
      </c>
      <c r="BF13" s="319">
        <f>SUMIF(Recibos!$D$4:$D$3010,Cobranza!$B13,Recibos!R$4:R$3010)</f>
        <v>200</v>
      </c>
      <c r="BG13" s="319">
        <f>SUMIF(Recibos!$D$4:$D$3010,Cobranza!$B13,Recibos!S$4:S$3010)</f>
        <v>0</v>
      </c>
      <c r="BH13" s="319">
        <f>SUMIF(Recibos!$D$4:$D$3010,Cobranza!$B13,Recibos!T$4:T$3010)</f>
        <v>0</v>
      </c>
      <c r="BI13" s="319">
        <f>SUMIF(Recibos!$D$4:$D$3010,Cobranza!$B13,Recibos!U$4:U$3010)</f>
        <v>0</v>
      </c>
      <c r="BJ13" s="319">
        <f>SUMIF(Recibos!$D$4:$D$3010,Cobranza!$B13,Recibos!V$4:V$3010)</f>
        <v>0</v>
      </c>
      <c r="BK13" s="320">
        <f t="shared" si="1"/>
        <v>200</v>
      </c>
      <c r="BL13" s="319">
        <f>SUMIF(Recibos!$D$4:$D$3010,Cobranza!$B13,Recibos!X$4:X$3010)</f>
        <v>0</v>
      </c>
      <c r="BM13" s="319">
        <f>SUMIF(Recibos!$D$4:$D$3010,Cobranza!$B13,Recibos!Y$4:Y$3010)</f>
        <v>0</v>
      </c>
      <c r="BN13" s="319">
        <f>SUMIF(Recibos!$D$4:$D$3010,Cobranza!$B13,Recibos!Z$4:Z$3010)</f>
        <v>0</v>
      </c>
      <c r="BO13" s="319">
        <f>SUMIF(Recibos!$D$4:$D$3010,Cobranza!$B13,Recibos!AA$4:AA$3010)</f>
        <v>0</v>
      </c>
      <c r="BP13" s="319">
        <f>SUMIF(Recibos!$D$4:$D$3010,Cobranza!$B13,Recibos!AB$4:AB$3010)</f>
        <v>0</v>
      </c>
      <c r="BQ13" s="319">
        <f>SUMIF(Recibos!$D$4:$D$3010,Cobranza!$B13,Recibos!AC$4:AC$3010)</f>
        <v>0</v>
      </c>
      <c r="BR13" s="319">
        <f>SUMIF(Recibos!$D$4:$D$3010,Cobranza!$B13,Recibos!AD$4:AD$3010)</f>
        <v>0</v>
      </c>
      <c r="BS13" s="319">
        <f>SUMIF(Recibos!$D$4:$D$3010,Cobranza!$B13,Recibos!AE$4:AE$3010)</f>
        <v>0</v>
      </c>
      <c r="BT13" s="319">
        <f>SUMIF(Recibos!$D$4:$D$3010,Cobranza!$B13,Recibos!AF$4:AF$3010)</f>
        <v>0</v>
      </c>
      <c r="BU13" s="319">
        <f>SUMIF(Recibos!$D$4:$D$3010,Cobranza!$B13,Recibos!AG$4:AG$3010)</f>
        <v>0</v>
      </c>
      <c r="BV13" s="319">
        <f>SUMIF(Recibos!$D$4:$D$3010,Cobranza!$B13,Recibos!AH$4:AH$3010)</f>
        <v>0</v>
      </c>
      <c r="BW13" s="319">
        <f>SUMIF(Recibos!$D$4:$D$3010,Cobranza!$B13,Recibos!AI$4:AI$3010)</f>
        <v>0</v>
      </c>
      <c r="BX13" s="320">
        <f t="shared" si="5"/>
        <v>0</v>
      </c>
    </row>
    <row r="14" spans="2:76" x14ac:dyDescent="0.2">
      <c r="B14" s="42" t="s">
        <v>229</v>
      </c>
      <c r="C14" s="42" t="s">
        <v>230</v>
      </c>
      <c r="D14" s="42" t="s">
        <v>231</v>
      </c>
      <c r="E14" s="43">
        <v>0</v>
      </c>
      <c r="F14" s="43">
        <v>0</v>
      </c>
      <c r="G14" s="43">
        <v>0</v>
      </c>
      <c r="H14" s="43">
        <v>0</v>
      </c>
      <c r="I14" s="43">
        <v>0</v>
      </c>
      <c r="J14" s="43">
        <v>0</v>
      </c>
      <c r="K14" s="44">
        <f t="shared" si="2"/>
        <v>0</v>
      </c>
      <c r="L14" s="43">
        <v>0</v>
      </c>
      <c r="M14" s="43">
        <v>0</v>
      </c>
      <c r="N14" s="43">
        <v>0</v>
      </c>
      <c r="O14" s="43">
        <v>0</v>
      </c>
      <c r="P14" s="43">
        <v>300</v>
      </c>
      <c r="Q14" s="43">
        <v>300</v>
      </c>
      <c r="R14" s="43">
        <v>300</v>
      </c>
      <c r="S14" s="43">
        <v>300</v>
      </c>
      <c r="T14" s="43">
        <v>300</v>
      </c>
      <c r="U14" s="43">
        <v>300</v>
      </c>
      <c r="V14" s="43">
        <v>400</v>
      </c>
      <c r="W14" s="43">
        <v>400</v>
      </c>
      <c r="X14" s="44">
        <f t="shared" si="3"/>
        <v>2600</v>
      </c>
      <c r="Y14" s="43">
        <v>400</v>
      </c>
      <c r="Z14" s="43">
        <v>400</v>
      </c>
      <c r="AA14" s="43">
        <v>400</v>
      </c>
      <c r="AB14" s="43">
        <v>400</v>
      </c>
      <c r="AC14" s="43">
        <v>400</v>
      </c>
      <c r="AD14" s="43">
        <v>400</v>
      </c>
      <c r="AE14" s="43">
        <v>400</v>
      </c>
      <c r="AF14" s="43">
        <v>400</v>
      </c>
      <c r="AG14" s="43">
        <v>400</v>
      </c>
      <c r="AH14" s="43">
        <v>400</v>
      </c>
      <c r="AI14" s="43">
        <v>400</v>
      </c>
      <c r="AJ14" s="43">
        <v>400</v>
      </c>
      <c r="AK14" s="44">
        <f t="shared" si="4"/>
        <v>4800</v>
      </c>
      <c r="AL14" s="43">
        <v>400</v>
      </c>
      <c r="AM14" s="43">
        <v>400</v>
      </c>
      <c r="AN14" s="43">
        <v>400</v>
      </c>
      <c r="AO14" s="43">
        <v>400</v>
      </c>
      <c r="AP14" s="43">
        <v>400</v>
      </c>
      <c r="AQ14" s="43">
        <v>400</v>
      </c>
      <c r="AR14" s="43">
        <v>400</v>
      </c>
      <c r="AS14" s="43">
        <v>400</v>
      </c>
      <c r="AT14" s="43">
        <v>400</v>
      </c>
      <c r="AU14" s="43">
        <v>400</v>
      </c>
      <c r="AV14" s="43">
        <v>400</v>
      </c>
      <c r="AW14" s="43">
        <v>400</v>
      </c>
      <c r="AX14" s="44">
        <f t="shared" si="0"/>
        <v>4800</v>
      </c>
      <c r="AY14" s="317">
        <f>SUMIF(Recibos!$D$4:$D$3010,Cobranza!$B14,Recibos!K$4:K$3010)</f>
        <v>400</v>
      </c>
      <c r="AZ14" s="317">
        <f>SUMIF(Recibos!$D$4:$D$3010,Cobranza!$B14,Recibos!L$4:L$3010)</f>
        <v>400</v>
      </c>
      <c r="BA14" s="317">
        <f>SUMIF(Recibos!$D$4:$D$3010,Cobranza!$B14,Recibos!M$4:M$3010)</f>
        <v>400</v>
      </c>
      <c r="BB14" s="317">
        <f>SUMIF(Recibos!$D$4:$D$3010,Cobranza!$B14,Recibos!N$4:N$3010)</f>
        <v>400</v>
      </c>
      <c r="BC14" s="317">
        <f>SUMIF(Recibos!$D$4:$D$3010,Cobranza!$B14,Recibos!O$4:O$3010)</f>
        <v>400</v>
      </c>
      <c r="BD14" s="317">
        <f>SUMIF(Recibos!$D$4:$D$3010,Cobranza!$B14,Recibos!P$4:P$3010)</f>
        <v>400</v>
      </c>
      <c r="BE14" s="317">
        <f>SUMIF(Recibos!$D$4:$D$3010,Cobranza!$B14,Recibos!Q$4:Q$3010)</f>
        <v>400</v>
      </c>
      <c r="BF14" s="317">
        <f>SUMIF(Recibos!$D$4:$D$3010,Cobranza!$B14,Recibos!R$4:R$3010)</f>
        <v>400</v>
      </c>
      <c r="BG14" s="317">
        <f>SUMIF(Recibos!$D$4:$D$3010,Cobranza!$B14,Recibos!S$4:S$3010)</f>
        <v>400</v>
      </c>
      <c r="BH14" s="317">
        <f>SUMIF(Recibos!$D$4:$D$3010,Cobranza!$B14,Recibos!T$4:T$3010)</f>
        <v>400</v>
      </c>
      <c r="BI14" s="317">
        <f>SUMIF(Recibos!$D$4:$D$3010,Cobranza!$B14,Recibos!U$4:U$3010)</f>
        <v>400</v>
      </c>
      <c r="BJ14" s="317">
        <f>SUMIF(Recibos!$D$4:$D$3010,Cobranza!$B14,Recibos!V$4:V$3010)</f>
        <v>0</v>
      </c>
      <c r="BK14" s="318">
        <f t="shared" si="1"/>
        <v>4400</v>
      </c>
      <c r="BL14" s="317">
        <f>SUMIF(Recibos!$D$4:$D$3010,Cobranza!$B14,Recibos!X$4:X$3010)</f>
        <v>400</v>
      </c>
      <c r="BM14" s="317">
        <f>SUMIF(Recibos!$D$4:$D$3010,Cobranza!$B14,Recibos!Y$4:Y$3010)</f>
        <v>400</v>
      </c>
      <c r="BN14" s="317">
        <f>SUMIF(Recibos!$D$4:$D$3010,Cobranza!$B14,Recibos!Z$4:Z$3010)</f>
        <v>400</v>
      </c>
      <c r="BO14" s="317">
        <f>SUMIF(Recibos!$D$4:$D$3010,Cobranza!$B14,Recibos!AA$4:AA$3010)</f>
        <v>400</v>
      </c>
      <c r="BP14" s="317">
        <f>SUMIF(Recibos!$D$4:$D$3010,Cobranza!$B14,Recibos!AB$4:AB$3010)</f>
        <v>400</v>
      </c>
      <c r="BQ14" s="317">
        <f>SUMIF(Recibos!$D$4:$D$3010,Cobranza!$B14,Recibos!AC$4:AC$3010)</f>
        <v>400</v>
      </c>
      <c r="BR14" s="317">
        <f>SUMIF(Recibos!$D$4:$D$3010,Cobranza!$B14,Recibos!AD$4:AD$3010)</f>
        <v>400</v>
      </c>
      <c r="BS14" s="317">
        <f>SUMIF(Recibos!$D$4:$D$3010,Cobranza!$B14,Recibos!AE$4:AE$3010)</f>
        <v>400</v>
      </c>
      <c r="BT14" s="317">
        <f>SUMIF(Recibos!$D$4:$D$3010,Cobranza!$B14,Recibos!AF$4:AF$3010)</f>
        <v>400</v>
      </c>
      <c r="BU14" s="317">
        <f>SUMIF(Recibos!$D$4:$D$3010,Cobranza!$B14,Recibos!AG$4:AG$3010)</f>
        <v>400</v>
      </c>
      <c r="BV14" s="317">
        <f>SUMIF(Recibos!$D$4:$D$3010,Cobranza!$B14,Recibos!AH$4:AH$3010)</f>
        <v>400</v>
      </c>
      <c r="BW14" s="317">
        <f>SUMIF(Recibos!$D$4:$D$3010,Cobranza!$B14,Recibos!AI$4:AI$3010)</f>
        <v>0</v>
      </c>
      <c r="BX14" s="318">
        <f t="shared" si="5"/>
        <v>4400</v>
      </c>
    </row>
    <row r="15" spans="2:76" x14ac:dyDescent="0.2">
      <c r="B15" s="45" t="s">
        <v>349</v>
      </c>
      <c r="C15" s="45" t="s">
        <v>350</v>
      </c>
      <c r="D15" s="45" t="s">
        <v>351</v>
      </c>
      <c r="E15" s="46">
        <v>0</v>
      </c>
      <c r="F15" s="46">
        <v>0</v>
      </c>
      <c r="G15" s="46">
        <v>0</v>
      </c>
      <c r="H15" s="46">
        <v>300</v>
      </c>
      <c r="I15" s="46">
        <v>300</v>
      </c>
      <c r="J15" s="46">
        <v>300</v>
      </c>
      <c r="K15" s="47">
        <f t="shared" si="2"/>
        <v>900</v>
      </c>
      <c r="L15" s="46">
        <v>300</v>
      </c>
      <c r="M15" s="46">
        <v>300</v>
      </c>
      <c r="N15" s="46">
        <v>300</v>
      </c>
      <c r="O15" s="46">
        <v>300</v>
      </c>
      <c r="P15" s="46">
        <v>300</v>
      </c>
      <c r="Q15" s="46">
        <v>300</v>
      </c>
      <c r="R15" s="46">
        <v>300</v>
      </c>
      <c r="S15" s="46">
        <v>300</v>
      </c>
      <c r="T15" s="46">
        <v>300</v>
      </c>
      <c r="U15" s="46">
        <v>300</v>
      </c>
      <c r="V15" s="46">
        <v>300</v>
      </c>
      <c r="W15" s="46">
        <v>300</v>
      </c>
      <c r="X15" s="47">
        <f t="shared" si="3"/>
        <v>3600</v>
      </c>
      <c r="Y15" s="46">
        <v>300</v>
      </c>
      <c r="Z15" s="46">
        <v>300</v>
      </c>
      <c r="AA15" s="46">
        <v>300</v>
      </c>
      <c r="AB15" s="46">
        <v>300</v>
      </c>
      <c r="AC15" s="46">
        <v>300</v>
      </c>
      <c r="AD15" s="46">
        <v>300</v>
      </c>
      <c r="AE15" s="46">
        <v>300</v>
      </c>
      <c r="AF15" s="46">
        <v>300</v>
      </c>
      <c r="AG15" s="46">
        <v>300</v>
      </c>
      <c r="AH15" s="46">
        <v>300</v>
      </c>
      <c r="AI15" s="46">
        <v>300</v>
      </c>
      <c r="AJ15" s="46">
        <v>300</v>
      </c>
      <c r="AK15" s="47">
        <f t="shared" si="4"/>
        <v>3600</v>
      </c>
      <c r="AL15" s="46">
        <v>300</v>
      </c>
      <c r="AM15" s="46">
        <v>300</v>
      </c>
      <c r="AN15" s="46">
        <v>300</v>
      </c>
      <c r="AO15" s="46">
        <v>300</v>
      </c>
      <c r="AP15" s="46">
        <v>300</v>
      </c>
      <c r="AQ15" s="46">
        <v>300</v>
      </c>
      <c r="AR15" s="46">
        <v>300</v>
      </c>
      <c r="AS15" s="46">
        <v>300</v>
      </c>
      <c r="AT15" s="46">
        <v>300</v>
      </c>
      <c r="AU15" s="46">
        <v>300</v>
      </c>
      <c r="AV15" s="46">
        <v>300</v>
      </c>
      <c r="AW15" s="46">
        <v>300</v>
      </c>
      <c r="AX15" s="47">
        <f t="shared" si="0"/>
        <v>3600</v>
      </c>
      <c r="AY15" s="319">
        <f>SUMIF(Recibos!$D$4:$D$3010,Cobranza!$B15,Recibos!K$4:K$3010)</f>
        <v>0</v>
      </c>
      <c r="AZ15" s="319">
        <f>SUMIF(Recibos!$D$4:$D$3010,Cobranza!$B15,Recibos!L$4:L$3010)</f>
        <v>0</v>
      </c>
      <c r="BA15" s="319">
        <f>SUMIF(Recibos!$D$4:$D$3010,Cobranza!$B15,Recibos!M$4:M$3010)</f>
        <v>300</v>
      </c>
      <c r="BB15" s="319">
        <f>SUMIF(Recibos!$D$4:$D$3010,Cobranza!$B15,Recibos!N$4:N$3010)</f>
        <v>300</v>
      </c>
      <c r="BC15" s="319">
        <f>SUMIF(Recibos!$D$4:$D$3010,Cobranza!$B15,Recibos!O$4:O$3010)</f>
        <v>0</v>
      </c>
      <c r="BD15" s="319">
        <f>SUMIF(Recibos!$D$4:$D$3010,Cobranza!$B15,Recibos!P$4:P$3010)</f>
        <v>300</v>
      </c>
      <c r="BE15" s="319">
        <f>SUMIF(Recibos!$D$4:$D$3010,Cobranza!$B15,Recibos!Q$4:Q$3010)</f>
        <v>300</v>
      </c>
      <c r="BF15" s="319">
        <f>SUMIF(Recibos!$D$4:$D$3010,Cobranza!$B15,Recibos!R$4:R$3010)</f>
        <v>300</v>
      </c>
      <c r="BG15" s="319">
        <f>SUMIF(Recibos!$D$4:$D$3010,Cobranza!$B15,Recibos!S$4:S$3010)</f>
        <v>300</v>
      </c>
      <c r="BH15" s="319">
        <f>SUMIF(Recibos!$D$4:$D$3010,Cobranza!$B15,Recibos!T$4:T$3010)</f>
        <v>300</v>
      </c>
      <c r="BI15" s="319">
        <f>SUMIF(Recibos!$D$4:$D$3010,Cobranza!$B15,Recibos!U$4:U$3010)</f>
        <v>300</v>
      </c>
      <c r="BJ15" s="319">
        <f>SUMIF(Recibos!$D$4:$D$3010,Cobranza!$B15,Recibos!V$4:V$3010)</f>
        <v>300</v>
      </c>
      <c r="BK15" s="320">
        <f t="shared" si="1"/>
        <v>2700</v>
      </c>
      <c r="BL15" s="319">
        <f>SUMIF(Recibos!$D$4:$D$3010,Cobranza!$B15,Recibos!X$4:X$3010)</f>
        <v>0</v>
      </c>
      <c r="BM15" s="319">
        <f>SUMIF(Recibos!$D$4:$D$3010,Cobranza!$B15,Recibos!Y$4:Y$3010)</f>
        <v>0</v>
      </c>
      <c r="BN15" s="319">
        <f>SUMIF(Recibos!$D$4:$D$3010,Cobranza!$B15,Recibos!Z$4:Z$3010)</f>
        <v>0</v>
      </c>
      <c r="BO15" s="319">
        <f>SUMIF(Recibos!$D$4:$D$3010,Cobranza!$B15,Recibos!AA$4:AA$3010)</f>
        <v>0</v>
      </c>
      <c r="BP15" s="319">
        <f>SUMIF(Recibos!$D$4:$D$3010,Cobranza!$B15,Recibos!AB$4:AB$3010)</f>
        <v>0</v>
      </c>
      <c r="BQ15" s="319">
        <f>SUMIF(Recibos!$D$4:$D$3010,Cobranza!$B15,Recibos!AC$4:AC$3010)</f>
        <v>0</v>
      </c>
      <c r="BR15" s="319">
        <f>SUMIF(Recibos!$D$4:$D$3010,Cobranza!$B15,Recibos!AD$4:AD$3010)</f>
        <v>0</v>
      </c>
      <c r="BS15" s="319">
        <f>SUMIF(Recibos!$D$4:$D$3010,Cobranza!$B15,Recibos!AE$4:AE$3010)</f>
        <v>0</v>
      </c>
      <c r="BT15" s="319">
        <f>SUMIF(Recibos!$D$4:$D$3010,Cobranza!$B15,Recibos!AF$4:AF$3010)</f>
        <v>0</v>
      </c>
      <c r="BU15" s="319">
        <f>SUMIF(Recibos!$D$4:$D$3010,Cobranza!$B15,Recibos!AG$4:AG$3010)</f>
        <v>0</v>
      </c>
      <c r="BV15" s="319">
        <f>SUMIF(Recibos!$D$4:$D$3010,Cobranza!$B15,Recibos!AH$4:AH$3010)</f>
        <v>0</v>
      </c>
      <c r="BW15" s="319">
        <f>SUMIF(Recibos!$D$4:$D$3010,Cobranza!$B15,Recibos!AI$4:AI$3010)</f>
        <v>0</v>
      </c>
      <c r="BX15" s="320">
        <f t="shared" si="5"/>
        <v>0</v>
      </c>
    </row>
    <row r="16" spans="2:76" x14ac:dyDescent="0.2">
      <c r="B16" s="42" t="s">
        <v>1263</v>
      </c>
      <c r="C16" s="42"/>
      <c r="D16" s="42"/>
      <c r="E16" s="43">
        <v>0</v>
      </c>
      <c r="F16" s="43">
        <v>0</v>
      </c>
      <c r="G16" s="43">
        <v>0</v>
      </c>
      <c r="H16" s="43">
        <v>0</v>
      </c>
      <c r="I16" s="43">
        <v>0</v>
      </c>
      <c r="J16" s="43">
        <v>0</v>
      </c>
      <c r="K16" s="44">
        <f t="shared" si="2"/>
        <v>0</v>
      </c>
      <c r="L16" s="43">
        <v>0</v>
      </c>
      <c r="M16" s="43">
        <v>0</v>
      </c>
      <c r="N16" s="43">
        <v>0</v>
      </c>
      <c r="O16" s="43">
        <v>0</v>
      </c>
      <c r="P16" s="43">
        <v>0</v>
      </c>
      <c r="Q16" s="43">
        <v>0</v>
      </c>
      <c r="R16" s="43">
        <v>0</v>
      </c>
      <c r="S16" s="43">
        <v>0</v>
      </c>
      <c r="T16" s="43">
        <v>0</v>
      </c>
      <c r="U16" s="43">
        <v>0</v>
      </c>
      <c r="V16" s="43">
        <v>0</v>
      </c>
      <c r="W16" s="43">
        <v>0</v>
      </c>
      <c r="X16" s="44">
        <f t="shared" si="3"/>
        <v>0</v>
      </c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4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4">
        <f t="shared" si="0"/>
        <v>0</v>
      </c>
      <c r="AY16" s="317">
        <f>SUMIF(Recibos!$D$4:$D$3010,Cobranza!$B16,Recibos!K$4:K$3010)</f>
        <v>0</v>
      </c>
      <c r="AZ16" s="317">
        <f>SUMIF(Recibos!$D$4:$D$3010,Cobranza!$B16,Recibos!L$4:L$3010)</f>
        <v>0</v>
      </c>
      <c r="BA16" s="317">
        <f>SUMIF(Recibos!$D$4:$D$3010,Cobranza!$B16,Recibos!M$4:M$3010)</f>
        <v>0</v>
      </c>
      <c r="BB16" s="317">
        <f>SUMIF(Recibos!$D$4:$D$3010,Cobranza!$B16,Recibos!N$4:N$3010)</f>
        <v>0</v>
      </c>
      <c r="BC16" s="317">
        <f>SUMIF(Recibos!$D$4:$D$3010,Cobranza!$B16,Recibos!O$4:O$3010)</f>
        <v>0</v>
      </c>
      <c r="BD16" s="317">
        <f>SUMIF(Recibos!$D$4:$D$3010,Cobranza!$B16,Recibos!P$4:P$3010)</f>
        <v>0</v>
      </c>
      <c r="BE16" s="317">
        <f>SUMIF(Recibos!$D$4:$D$3010,Cobranza!$B16,Recibos!Q$4:Q$3010)</f>
        <v>0</v>
      </c>
      <c r="BF16" s="317">
        <f>SUMIF(Recibos!$D$4:$D$3010,Cobranza!$B16,Recibos!R$4:R$3010)</f>
        <v>0</v>
      </c>
      <c r="BG16" s="317">
        <f>SUMIF(Recibos!$D$4:$D$3010,Cobranza!$B16,Recibos!S$4:S$3010)</f>
        <v>0</v>
      </c>
      <c r="BH16" s="317">
        <f>SUMIF(Recibos!$D$4:$D$3010,Cobranza!$B16,Recibos!T$4:T$3010)</f>
        <v>0</v>
      </c>
      <c r="BI16" s="317">
        <f>SUMIF(Recibos!$D$4:$D$3010,Cobranza!$B16,Recibos!U$4:U$3010)</f>
        <v>0</v>
      </c>
      <c r="BJ16" s="317">
        <f>SUMIF(Recibos!$D$4:$D$3010,Cobranza!$B16,Recibos!V$4:V$3010)</f>
        <v>0</v>
      </c>
      <c r="BK16" s="318">
        <f t="shared" si="1"/>
        <v>0</v>
      </c>
      <c r="BL16" s="317">
        <f>SUMIF(Recibos!$D$4:$D$3010,Cobranza!$B16,Recibos!X$4:X$3010)</f>
        <v>0</v>
      </c>
      <c r="BM16" s="317">
        <f>SUMIF(Recibos!$D$4:$D$3010,Cobranza!$B16,Recibos!Y$4:Y$3010)</f>
        <v>0</v>
      </c>
      <c r="BN16" s="317">
        <f>SUMIF(Recibos!$D$4:$D$3010,Cobranza!$B16,Recibos!Z$4:Z$3010)</f>
        <v>0</v>
      </c>
      <c r="BO16" s="317">
        <f>SUMIF(Recibos!$D$4:$D$3010,Cobranza!$B16,Recibos!AA$4:AA$3010)</f>
        <v>0</v>
      </c>
      <c r="BP16" s="317">
        <f>SUMIF(Recibos!$D$4:$D$3010,Cobranza!$B16,Recibos!AB$4:AB$3010)</f>
        <v>0</v>
      </c>
      <c r="BQ16" s="317">
        <f>SUMIF(Recibos!$D$4:$D$3010,Cobranza!$B16,Recibos!AC$4:AC$3010)</f>
        <v>0</v>
      </c>
      <c r="BR16" s="317">
        <f>SUMIF(Recibos!$D$4:$D$3010,Cobranza!$B16,Recibos!AD$4:AD$3010)</f>
        <v>0</v>
      </c>
      <c r="BS16" s="317">
        <f>SUMIF(Recibos!$D$4:$D$3010,Cobranza!$B16,Recibos!AE$4:AE$3010)</f>
        <v>0</v>
      </c>
      <c r="BT16" s="317">
        <f>SUMIF(Recibos!$D$4:$D$3010,Cobranza!$B16,Recibos!AF$4:AF$3010)</f>
        <v>0</v>
      </c>
      <c r="BU16" s="317">
        <f>SUMIF(Recibos!$D$4:$D$3010,Cobranza!$B16,Recibos!AG$4:AG$3010)</f>
        <v>0</v>
      </c>
      <c r="BV16" s="317">
        <f>SUMIF(Recibos!$D$4:$D$3010,Cobranza!$B16,Recibos!AH$4:AH$3010)</f>
        <v>0</v>
      </c>
      <c r="BW16" s="317">
        <f>SUMIF(Recibos!$D$4:$D$3010,Cobranza!$B16,Recibos!AI$4:AI$3010)</f>
        <v>0</v>
      </c>
      <c r="BX16" s="318">
        <f t="shared" si="5"/>
        <v>0</v>
      </c>
    </row>
    <row r="17" spans="2:76" x14ac:dyDescent="0.2">
      <c r="B17" s="45" t="s">
        <v>699</v>
      </c>
      <c r="C17" s="45" t="s">
        <v>700</v>
      </c>
      <c r="D17" s="45" t="s">
        <v>701</v>
      </c>
      <c r="E17" s="46">
        <v>0</v>
      </c>
      <c r="F17" s="46">
        <v>0</v>
      </c>
      <c r="G17" s="46">
        <v>0</v>
      </c>
      <c r="H17" s="46">
        <v>0</v>
      </c>
      <c r="I17" s="46">
        <v>0</v>
      </c>
      <c r="J17" s="46">
        <v>300</v>
      </c>
      <c r="K17" s="47">
        <f t="shared" si="2"/>
        <v>300</v>
      </c>
      <c r="L17" s="46">
        <v>300</v>
      </c>
      <c r="M17" s="46">
        <v>300</v>
      </c>
      <c r="N17" s="46">
        <v>300</v>
      </c>
      <c r="O17" s="46">
        <v>300</v>
      </c>
      <c r="P17" s="46">
        <v>300</v>
      </c>
      <c r="Q17" s="46">
        <v>300</v>
      </c>
      <c r="R17" s="46">
        <v>300</v>
      </c>
      <c r="S17" s="46">
        <v>300</v>
      </c>
      <c r="T17" s="46">
        <v>300</v>
      </c>
      <c r="U17" s="46">
        <v>400</v>
      </c>
      <c r="V17" s="46">
        <v>400</v>
      </c>
      <c r="W17" s="46">
        <v>400</v>
      </c>
      <c r="X17" s="47">
        <f t="shared" si="3"/>
        <v>3900</v>
      </c>
      <c r="Y17" s="46">
        <v>400</v>
      </c>
      <c r="Z17" s="46">
        <v>400</v>
      </c>
      <c r="AA17" s="46">
        <v>400</v>
      </c>
      <c r="AB17" s="46">
        <v>400</v>
      </c>
      <c r="AC17" s="46">
        <v>400</v>
      </c>
      <c r="AD17" s="46">
        <v>400</v>
      </c>
      <c r="AE17" s="46">
        <v>400</v>
      </c>
      <c r="AF17" s="46">
        <v>400</v>
      </c>
      <c r="AG17" s="46">
        <v>400</v>
      </c>
      <c r="AH17" s="46">
        <v>400</v>
      </c>
      <c r="AI17" s="46">
        <v>400</v>
      </c>
      <c r="AJ17" s="46">
        <v>400</v>
      </c>
      <c r="AK17" s="47">
        <f t="shared" si="4"/>
        <v>4800</v>
      </c>
      <c r="AL17" s="46">
        <v>400</v>
      </c>
      <c r="AM17" s="46">
        <v>400</v>
      </c>
      <c r="AN17" s="46">
        <v>400</v>
      </c>
      <c r="AO17" s="46">
        <v>400</v>
      </c>
      <c r="AP17" s="46">
        <v>400</v>
      </c>
      <c r="AQ17" s="46">
        <v>400</v>
      </c>
      <c r="AR17" s="46">
        <v>400</v>
      </c>
      <c r="AS17" s="46">
        <v>400</v>
      </c>
      <c r="AT17" s="46">
        <v>400</v>
      </c>
      <c r="AU17" s="46">
        <v>400</v>
      </c>
      <c r="AV17" s="46">
        <v>400</v>
      </c>
      <c r="AW17" s="46">
        <v>400</v>
      </c>
      <c r="AX17" s="47">
        <f t="shared" ref="AX17:AX72" si="6">SUM(AL17:AW17)</f>
        <v>4800</v>
      </c>
      <c r="AY17" s="319">
        <f>SUMIF(Recibos!$D$4:$D$3010,Cobranza!$B17,Recibos!K$4:K$3010)</f>
        <v>400</v>
      </c>
      <c r="AZ17" s="319">
        <f>SUMIF(Recibos!$D$4:$D$3010,Cobranza!$B17,Recibos!L$4:L$3010)</f>
        <v>400</v>
      </c>
      <c r="BA17" s="319">
        <f>SUMIF(Recibos!$D$4:$D$3010,Cobranza!$B17,Recibos!M$4:M$3010)</f>
        <v>400</v>
      </c>
      <c r="BB17" s="319">
        <f>SUMIF(Recibos!$D$4:$D$3010,Cobranza!$B17,Recibos!N$4:N$3010)</f>
        <v>400</v>
      </c>
      <c r="BC17" s="319">
        <f>SUMIF(Recibos!$D$4:$D$3010,Cobranza!$B17,Recibos!O$4:O$3010)</f>
        <v>400</v>
      </c>
      <c r="BD17" s="319">
        <f>SUMIF(Recibos!$D$4:$D$3010,Cobranza!$B17,Recibos!P$4:P$3010)</f>
        <v>400</v>
      </c>
      <c r="BE17" s="319">
        <f>SUMIF(Recibos!$D$4:$D$3010,Cobranza!$B17,Recibos!Q$4:Q$3010)</f>
        <v>400</v>
      </c>
      <c r="BF17" s="319">
        <f>SUMIF(Recibos!$D$4:$D$3010,Cobranza!$B17,Recibos!R$4:R$3010)</f>
        <v>400</v>
      </c>
      <c r="BG17" s="319">
        <f>SUMIF(Recibos!$D$4:$D$3010,Cobranza!$B17,Recibos!S$4:S$3010)</f>
        <v>400</v>
      </c>
      <c r="BH17" s="319">
        <f>SUMIF(Recibos!$D$4:$D$3010,Cobranza!$B17,Recibos!T$4:T$3010)</f>
        <v>400</v>
      </c>
      <c r="BI17" s="319">
        <f>SUMIF(Recibos!$D$4:$D$3010,Cobranza!$B17,Recibos!U$4:U$3010)</f>
        <v>400</v>
      </c>
      <c r="BJ17" s="319">
        <f>SUMIF(Recibos!$D$4:$D$3010,Cobranza!$B17,Recibos!V$4:V$3010)</f>
        <v>0</v>
      </c>
      <c r="BK17" s="320">
        <f t="shared" ref="BK17:BK80" si="7">SUM(AY17:BJ17)</f>
        <v>4400</v>
      </c>
      <c r="BL17" s="319">
        <f>SUMIF(Recibos!$D$4:$D$3010,Cobranza!$B17,Recibos!X$4:X$3010)</f>
        <v>0</v>
      </c>
      <c r="BM17" s="319">
        <f>SUMIF(Recibos!$D$4:$D$3010,Cobranza!$B17,Recibos!Y$4:Y$3010)</f>
        <v>0</v>
      </c>
      <c r="BN17" s="319">
        <f>SUMIF(Recibos!$D$4:$D$3010,Cobranza!$B17,Recibos!Z$4:Z$3010)</f>
        <v>0</v>
      </c>
      <c r="BO17" s="319">
        <f>SUMIF(Recibos!$D$4:$D$3010,Cobranza!$B17,Recibos!AA$4:AA$3010)</f>
        <v>0</v>
      </c>
      <c r="BP17" s="319">
        <f>SUMIF(Recibos!$D$4:$D$3010,Cobranza!$B17,Recibos!AB$4:AB$3010)</f>
        <v>0</v>
      </c>
      <c r="BQ17" s="319">
        <f>SUMIF(Recibos!$D$4:$D$3010,Cobranza!$B17,Recibos!AC$4:AC$3010)</f>
        <v>0</v>
      </c>
      <c r="BR17" s="319">
        <f>SUMIF(Recibos!$D$4:$D$3010,Cobranza!$B17,Recibos!AD$4:AD$3010)</f>
        <v>0</v>
      </c>
      <c r="BS17" s="319">
        <f>SUMIF(Recibos!$D$4:$D$3010,Cobranza!$B17,Recibos!AE$4:AE$3010)</f>
        <v>0</v>
      </c>
      <c r="BT17" s="319">
        <f>SUMIF(Recibos!$D$4:$D$3010,Cobranza!$B17,Recibos!AF$4:AF$3010)</f>
        <v>0</v>
      </c>
      <c r="BU17" s="319">
        <f>SUMIF(Recibos!$D$4:$D$3010,Cobranza!$B17,Recibos!AG$4:AG$3010)</f>
        <v>0</v>
      </c>
      <c r="BV17" s="319">
        <f>SUMIF(Recibos!$D$4:$D$3010,Cobranza!$B17,Recibos!AH$4:AH$3010)</f>
        <v>0</v>
      </c>
      <c r="BW17" s="319">
        <f>SUMIF(Recibos!$D$4:$D$3010,Cobranza!$B17,Recibos!AI$4:AI$3010)</f>
        <v>0</v>
      </c>
      <c r="BX17" s="320">
        <f t="shared" ref="BX17:BX80" si="8">SUM(BL17:BW17)</f>
        <v>0</v>
      </c>
    </row>
    <row r="18" spans="2:76" x14ac:dyDescent="0.2">
      <c r="B18" s="42" t="s">
        <v>144</v>
      </c>
      <c r="C18" s="42" t="s">
        <v>145</v>
      </c>
      <c r="D18" s="42" t="s">
        <v>146</v>
      </c>
      <c r="E18" s="43">
        <v>0</v>
      </c>
      <c r="F18" s="43">
        <v>0</v>
      </c>
      <c r="G18" s="43">
        <v>0</v>
      </c>
      <c r="H18" s="43">
        <v>0</v>
      </c>
      <c r="I18" s="43">
        <v>0</v>
      </c>
      <c r="J18" s="43">
        <v>300</v>
      </c>
      <c r="K18" s="44">
        <f t="shared" si="2"/>
        <v>300</v>
      </c>
      <c r="L18" s="43">
        <v>300</v>
      </c>
      <c r="M18" s="43">
        <v>300</v>
      </c>
      <c r="N18" s="43">
        <v>300</v>
      </c>
      <c r="O18" s="43">
        <v>300</v>
      </c>
      <c r="P18" s="43">
        <v>300</v>
      </c>
      <c r="Q18" s="43">
        <v>300</v>
      </c>
      <c r="R18" s="43">
        <v>300</v>
      </c>
      <c r="S18" s="43">
        <v>300</v>
      </c>
      <c r="T18" s="43">
        <v>300</v>
      </c>
      <c r="U18" s="43">
        <v>300</v>
      </c>
      <c r="V18" s="43">
        <v>300</v>
      </c>
      <c r="W18" s="43">
        <v>300</v>
      </c>
      <c r="X18" s="44">
        <f t="shared" si="3"/>
        <v>3600</v>
      </c>
      <c r="Y18" s="43">
        <v>300</v>
      </c>
      <c r="Z18" s="43">
        <v>300</v>
      </c>
      <c r="AA18" s="43">
        <v>300</v>
      </c>
      <c r="AB18" s="43">
        <v>300</v>
      </c>
      <c r="AC18" s="43">
        <v>300</v>
      </c>
      <c r="AD18" s="43">
        <v>300</v>
      </c>
      <c r="AE18" s="43">
        <v>300</v>
      </c>
      <c r="AF18" s="43">
        <v>300</v>
      </c>
      <c r="AG18" s="43">
        <v>300</v>
      </c>
      <c r="AH18" s="43">
        <v>300</v>
      </c>
      <c r="AI18" s="43">
        <v>300</v>
      </c>
      <c r="AJ18" s="43">
        <v>300</v>
      </c>
      <c r="AK18" s="44">
        <f t="shared" si="4"/>
        <v>3600</v>
      </c>
      <c r="AL18" s="43">
        <v>300</v>
      </c>
      <c r="AM18" s="43">
        <v>300</v>
      </c>
      <c r="AN18" s="43">
        <v>300</v>
      </c>
      <c r="AO18" s="43">
        <v>300</v>
      </c>
      <c r="AP18" s="43">
        <v>300</v>
      </c>
      <c r="AQ18" s="43">
        <v>300</v>
      </c>
      <c r="AR18" s="43">
        <v>300</v>
      </c>
      <c r="AS18" s="43">
        <v>300</v>
      </c>
      <c r="AT18" s="43">
        <v>300</v>
      </c>
      <c r="AU18" s="43">
        <v>300</v>
      </c>
      <c r="AV18" s="43">
        <v>300</v>
      </c>
      <c r="AW18" s="43">
        <v>300</v>
      </c>
      <c r="AX18" s="44">
        <f t="shared" si="6"/>
        <v>3600</v>
      </c>
      <c r="AY18" s="317">
        <f>SUMIF(Recibos!$D$4:$D$3010,Cobranza!$B18,Recibos!K$4:K$3010)</f>
        <v>300</v>
      </c>
      <c r="AZ18" s="317">
        <f>SUMIF(Recibos!$D$4:$D$3010,Cobranza!$B18,Recibos!L$4:L$3010)</f>
        <v>300</v>
      </c>
      <c r="BA18" s="317">
        <f>SUMIF(Recibos!$D$4:$D$3010,Cobranza!$B18,Recibos!M$4:M$3010)</f>
        <v>300</v>
      </c>
      <c r="BB18" s="317">
        <f>SUMIF(Recibos!$D$4:$D$3010,Cobranza!$B18,Recibos!N$4:N$3010)</f>
        <v>300</v>
      </c>
      <c r="BC18" s="317">
        <f>SUMIF(Recibos!$D$4:$D$3010,Cobranza!$B18,Recibos!O$4:O$3010)</f>
        <v>300</v>
      </c>
      <c r="BD18" s="317">
        <f>SUMIF(Recibos!$D$4:$D$3010,Cobranza!$B18,Recibos!P$4:P$3010)</f>
        <v>300</v>
      </c>
      <c r="BE18" s="317">
        <f>SUMIF(Recibos!$D$4:$D$3010,Cobranza!$B18,Recibos!Q$4:Q$3010)</f>
        <v>300</v>
      </c>
      <c r="BF18" s="317">
        <f>SUMIF(Recibos!$D$4:$D$3010,Cobranza!$B18,Recibos!R$4:R$3010)</f>
        <v>300</v>
      </c>
      <c r="BG18" s="317">
        <f>SUMIF(Recibos!$D$4:$D$3010,Cobranza!$B18,Recibos!S$4:S$3010)</f>
        <v>300</v>
      </c>
      <c r="BH18" s="317">
        <f>SUMIF(Recibos!$D$4:$D$3010,Cobranza!$B18,Recibos!T$4:T$3010)</f>
        <v>300</v>
      </c>
      <c r="BI18" s="317">
        <f>SUMIF(Recibos!$D$4:$D$3010,Cobranza!$B18,Recibos!U$4:U$3010)</f>
        <v>300</v>
      </c>
      <c r="BJ18" s="317">
        <f>SUMIF(Recibos!$D$4:$D$3010,Cobranza!$B18,Recibos!V$4:V$3010)</f>
        <v>0</v>
      </c>
      <c r="BK18" s="318">
        <f t="shared" si="7"/>
        <v>3300</v>
      </c>
      <c r="BL18" s="317">
        <f>SUMIF(Recibos!$D$4:$D$3010,Cobranza!$B18,Recibos!X$4:X$3010)</f>
        <v>0</v>
      </c>
      <c r="BM18" s="317">
        <f>SUMIF(Recibos!$D$4:$D$3010,Cobranza!$B18,Recibos!Y$4:Y$3010)</f>
        <v>0</v>
      </c>
      <c r="BN18" s="317">
        <f>SUMIF(Recibos!$D$4:$D$3010,Cobranza!$B18,Recibos!Z$4:Z$3010)</f>
        <v>0</v>
      </c>
      <c r="BO18" s="317">
        <f>SUMIF(Recibos!$D$4:$D$3010,Cobranza!$B18,Recibos!AA$4:AA$3010)</f>
        <v>0</v>
      </c>
      <c r="BP18" s="317">
        <f>SUMIF(Recibos!$D$4:$D$3010,Cobranza!$B18,Recibos!AB$4:AB$3010)</f>
        <v>0</v>
      </c>
      <c r="BQ18" s="317">
        <f>SUMIF(Recibos!$D$4:$D$3010,Cobranza!$B18,Recibos!AC$4:AC$3010)</f>
        <v>0</v>
      </c>
      <c r="BR18" s="317">
        <f>SUMIF(Recibos!$D$4:$D$3010,Cobranza!$B18,Recibos!AD$4:AD$3010)</f>
        <v>0</v>
      </c>
      <c r="BS18" s="317">
        <f>SUMIF(Recibos!$D$4:$D$3010,Cobranza!$B18,Recibos!AE$4:AE$3010)</f>
        <v>0</v>
      </c>
      <c r="BT18" s="317">
        <f>SUMIF(Recibos!$D$4:$D$3010,Cobranza!$B18,Recibos!AF$4:AF$3010)</f>
        <v>0</v>
      </c>
      <c r="BU18" s="317">
        <f>SUMIF(Recibos!$D$4:$D$3010,Cobranza!$B18,Recibos!AG$4:AG$3010)</f>
        <v>0</v>
      </c>
      <c r="BV18" s="317">
        <f>SUMIF(Recibos!$D$4:$D$3010,Cobranza!$B18,Recibos!AH$4:AH$3010)</f>
        <v>0</v>
      </c>
      <c r="BW18" s="317">
        <f>SUMIF(Recibos!$D$4:$D$3010,Cobranza!$B18,Recibos!AI$4:AI$3010)</f>
        <v>0</v>
      </c>
      <c r="BX18" s="318">
        <f t="shared" si="8"/>
        <v>0</v>
      </c>
    </row>
    <row r="19" spans="2:76" x14ac:dyDescent="0.2">
      <c r="B19" s="45" t="s">
        <v>162</v>
      </c>
      <c r="C19" s="45" t="s">
        <v>163</v>
      </c>
      <c r="D19" s="45" t="s">
        <v>164</v>
      </c>
      <c r="E19" s="46">
        <v>0</v>
      </c>
      <c r="F19" s="46">
        <v>0</v>
      </c>
      <c r="G19" s="46">
        <v>0</v>
      </c>
      <c r="H19" s="46">
        <v>0</v>
      </c>
      <c r="I19" s="46">
        <v>0</v>
      </c>
      <c r="J19" s="46">
        <v>300</v>
      </c>
      <c r="K19" s="47">
        <f t="shared" si="2"/>
        <v>300</v>
      </c>
      <c r="L19" s="46">
        <v>300</v>
      </c>
      <c r="M19" s="46">
        <v>300</v>
      </c>
      <c r="N19" s="46">
        <v>300</v>
      </c>
      <c r="O19" s="46">
        <v>300</v>
      </c>
      <c r="P19" s="46">
        <v>300</v>
      </c>
      <c r="Q19" s="46">
        <v>300</v>
      </c>
      <c r="R19" s="46">
        <v>300</v>
      </c>
      <c r="S19" s="46">
        <v>300</v>
      </c>
      <c r="T19" s="46">
        <v>300</v>
      </c>
      <c r="U19" s="46">
        <v>400</v>
      </c>
      <c r="V19" s="46">
        <v>400</v>
      </c>
      <c r="W19" s="46">
        <v>400</v>
      </c>
      <c r="X19" s="47">
        <f t="shared" si="3"/>
        <v>3900</v>
      </c>
      <c r="Y19" s="46">
        <v>400</v>
      </c>
      <c r="Z19" s="46">
        <v>400</v>
      </c>
      <c r="AA19" s="46">
        <v>0</v>
      </c>
      <c r="AB19" s="46">
        <v>400</v>
      </c>
      <c r="AC19" s="46">
        <v>400</v>
      </c>
      <c r="AD19" s="46">
        <v>400</v>
      </c>
      <c r="AE19" s="46">
        <v>400</v>
      </c>
      <c r="AF19" s="46">
        <v>400</v>
      </c>
      <c r="AG19" s="46">
        <v>400</v>
      </c>
      <c r="AH19" s="46">
        <v>400</v>
      </c>
      <c r="AI19" s="46">
        <v>400</v>
      </c>
      <c r="AJ19" s="46">
        <v>400</v>
      </c>
      <c r="AK19" s="47">
        <f t="shared" si="4"/>
        <v>4400</v>
      </c>
      <c r="AL19" s="46">
        <v>400</v>
      </c>
      <c r="AM19" s="46">
        <v>400</v>
      </c>
      <c r="AN19" s="46">
        <v>400</v>
      </c>
      <c r="AO19" s="46">
        <v>400</v>
      </c>
      <c r="AP19" s="46">
        <v>400</v>
      </c>
      <c r="AQ19" s="46">
        <v>400</v>
      </c>
      <c r="AR19" s="46">
        <v>400</v>
      </c>
      <c r="AS19" s="46">
        <v>400</v>
      </c>
      <c r="AT19" s="46">
        <v>400</v>
      </c>
      <c r="AU19" s="46">
        <v>400</v>
      </c>
      <c r="AV19" s="46">
        <v>400</v>
      </c>
      <c r="AW19" s="46">
        <v>400</v>
      </c>
      <c r="AX19" s="47">
        <f t="shared" si="6"/>
        <v>4800</v>
      </c>
      <c r="AY19" s="319">
        <f>SUMIF(Recibos!$D$4:$D$3010,Cobranza!$B19,Recibos!K$4:K$3010)</f>
        <v>400</v>
      </c>
      <c r="AZ19" s="319">
        <f>SUMIF(Recibos!$D$4:$D$3010,Cobranza!$B19,Recibos!L$4:L$3010)</f>
        <v>400</v>
      </c>
      <c r="BA19" s="319">
        <f>SUMIF(Recibos!$D$4:$D$3010,Cobranza!$B19,Recibos!M$4:M$3010)</f>
        <v>400</v>
      </c>
      <c r="BB19" s="319">
        <f>SUMIF(Recibos!$D$4:$D$3010,Cobranza!$B19,Recibos!N$4:N$3010)</f>
        <v>400</v>
      </c>
      <c r="BC19" s="319">
        <f>SUMIF(Recibos!$D$4:$D$3010,Cobranza!$B19,Recibos!O$4:O$3010)</f>
        <v>400</v>
      </c>
      <c r="BD19" s="319">
        <f>SUMIF(Recibos!$D$4:$D$3010,Cobranza!$B19,Recibos!P$4:P$3010)</f>
        <v>400</v>
      </c>
      <c r="BE19" s="319">
        <f>SUMIF(Recibos!$D$4:$D$3010,Cobranza!$B19,Recibos!Q$4:Q$3010)</f>
        <v>400</v>
      </c>
      <c r="BF19" s="319">
        <f>SUMIF(Recibos!$D$4:$D$3010,Cobranza!$B19,Recibos!R$4:R$3010)</f>
        <v>400</v>
      </c>
      <c r="BG19" s="319">
        <f>SUMIF(Recibos!$D$4:$D$3010,Cobranza!$B19,Recibos!S$4:S$3010)</f>
        <v>400</v>
      </c>
      <c r="BH19" s="319">
        <f>SUMIF(Recibos!$D$4:$D$3010,Cobranza!$B19,Recibos!T$4:T$3010)</f>
        <v>400</v>
      </c>
      <c r="BI19" s="319">
        <f>SUMIF(Recibos!$D$4:$D$3010,Cobranza!$B19,Recibos!U$4:U$3010)</f>
        <v>400</v>
      </c>
      <c r="BJ19" s="319">
        <f>SUMIF(Recibos!$D$4:$D$3010,Cobranza!$B19,Recibos!V$4:V$3010)</f>
        <v>400</v>
      </c>
      <c r="BK19" s="320">
        <f t="shared" si="7"/>
        <v>4800</v>
      </c>
      <c r="BL19" s="319">
        <f>SUMIF(Recibos!$D$4:$D$3010,Cobranza!$B19,Recibos!X$4:X$3010)</f>
        <v>0</v>
      </c>
      <c r="BM19" s="319">
        <f>SUMIF(Recibos!$D$4:$D$3010,Cobranza!$B19,Recibos!Y$4:Y$3010)</f>
        <v>0</v>
      </c>
      <c r="BN19" s="319">
        <f>SUMIF(Recibos!$D$4:$D$3010,Cobranza!$B19,Recibos!Z$4:Z$3010)</f>
        <v>0</v>
      </c>
      <c r="BO19" s="319">
        <f>SUMIF(Recibos!$D$4:$D$3010,Cobranza!$B19,Recibos!AA$4:AA$3010)</f>
        <v>0</v>
      </c>
      <c r="BP19" s="319">
        <f>SUMIF(Recibos!$D$4:$D$3010,Cobranza!$B19,Recibos!AB$4:AB$3010)</f>
        <v>0</v>
      </c>
      <c r="BQ19" s="319">
        <f>SUMIF(Recibos!$D$4:$D$3010,Cobranza!$B19,Recibos!AC$4:AC$3010)</f>
        <v>0</v>
      </c>
      <c r="BR19" s="319">
        <f>SUMIF(Recibos!$D$4:$D$3010,Cobranza!$B19,Recibos!AD$4:AD$3010)</f>
        <v>0</v>
      </c>
      <c r="BS19" s="319">
        <f>SUMIF(Recibos!$D$4:$D$3010,Cobranza!$B19,Recibos!AE$4:AE$3010)</f>
        <v>0</v>
      </c>
      <c r="BT19" s="319">
        <f>SUMIF(Recibos!$D$4:$D$3010,Cobranza!$B19,Recibos!AF$4:AF$3010)</f>
        <v>0</v>
      </c>
      <c r="BU19" s="319">
        <f>SUMIF(Recibos!$D$4:$D$3010,Cobranza!$B19,Recibos!AG$4:AG$3010)</f>
        <v>0</v>
      </c>
      <c r="BV19" s="319">
        <f>SUMIF(Recibos!$D$4:$D$3010,Cobranza!$B19,Recibos!AH$4:AH$3010)</f>
        <v>0</v>
      </c>
      <c r="BW19" s="319">
        <f>SUMIF(Recibos!$D$4:$D$3010,Cobranza!$B19,Recibos!AI$4:AI$3010)</f>
        <v>0</v>
      </c>
      <c r="BX19" s="320">
        <f t="shared" si="8"/>
        <v>0</v>
      </c>
    </row>
    <row r="20" spans="2:76" x14ac:dyDescent="0.2">
      <c r="B20" s="42" t="s">
        <v>352</v>
      </c>
      <c r="C20" s="42" t="s">
        <v>353</v>
      </c>
      <c r="D20" s="42" t="s">
        <v>354</v>
      </c>
      <c r="E20" s="43">
        <v>0</v>
      </c>
      <c r="F20" s="43">
        <v>0</v>
      </c>
      <c r="G20" s="43">
        <v>0</v>
      </c>
      <c r="H20" s="43">
        <v>0</v>
      </c>
      <c r="I20" s="43">
        <v>0</v>
      </c>
      <c r="J20" s="43">
        <v>0</v>
      </c>
      <c r="K20" s="44">
        <f t="shared" si="2"/>
        <v>0</v>
      </c>
      <c r="L20" s="43">
        <v>300</v>
      </c>
      <c r="M20" s="43">
        <v>300</v>
      </c>
      <c r="N20" s="43">
        <v>300</v>
      </c>
      <c r="O20" s="43">
        <v>300</v>
      </c>
      <c r="P20" s="43">
        <v>300</v>
      </c>
      <c r="Q20" s="43">
        <v>300</v>
      </c>
      <c r="R20" s="43">
        <v>300</v>
      </c>
      <c r="S20" s="43">
        <v>300</v>
      </c>
      <c r="T20" s="43">
        <v>300</v>
      </c>
      <c r="U20" s="43">
        <v>300</v>
      </c>
      <c r="V20" s="43">
        <v>300</v>
      </c>
      <c r="W20" s="43">
        <v>0</v>
      </c>
      <c r="X20" s="44">
        <f t="shared" si="3"/>
        <v>3300</v>
      </c>
      <c r="Y20" s="43">
        <v>400</v>
      </c>
      <c r="Z20" s="43">
        <v>400</v>
      </c>
      <c r="AA20" s="43">
        <v>400</v>
      </c>
      <c r="AB20" s="43">
        <v>400</v>
      </c>
      <c r="AC20" s="43">
        <v>400</v>
      </c>
      <c r="AD20" s="43">
        <v>400</v>
      </c>
      <c r="AE20" s="43">
        <v>400</v>
      </c>
      <c r="AF20" s="43">
        <v>400</v>
      </c>
      <c r="AG20" s="43">
        <v>800</v>
      </c>
      <c r="AH20" s="43">
        <v>400</v>
      </c>
      <c r="AI20" s="43">
        <v>400</v>
      </c>
      <c r="AJ20" s="43">
        <v>0</v>
      </c>
      <c r="AK20" s="44">
        <f t="shared" si="4"/>
        <v>4800</v>
      </c>
      <c r="AL20" s="43">
        <v>400</v>
      </c>
      <c r="AM20" s="43">
        <v>400</v>
      </c>
      <c r="AN20" s="43">
        <v>400</v>
      </c>
      <c r="AO20" s="43">
        <v>400</v>
      </c>
      <c r="AP20" s="43">
        <v>400</v>
      </c>
      <c r="AQ20" s="43">
        <v>400</v>
      </c>
      <c r="AR20" s="43">
        <v>400</v>
      </c>
      <c r="AS20" s="43">
        <v>400</v>
      </c>
      <c r="AT20" s="43">
        <v>400</v>
      </c>
      <c r="AU20" s="43">
        <v>400</v>
      </c>
      <c r="AV20" s="43">
        <v>400</v>
      </c>
      <c r="AW20" s="43">
        <v>0</v>
      </c>
      <c r="AX20" s="44">
        <f t="shared" si="6"/>
        <v>4400</v>
      </c>
      <c r="AY20" s="317">
        <f>SUMIF(Recibos!$D$4:$D$3010,Cobranza!$B20,Recibos!K$4:K$3010)</f>
        <v>400</v>
      </c>
      <c r="AZ20" s="317">
        <f>SUMIF(Recibos!$D$4:$D$3010,Cobranza!$B20,Recibos!L$4:L$3010)</f>
        <v>400</v>
      </c>
      <c r="BA20" s="317">
        <f>SUMIF(Recibos!$D$4:$D$3010,Cobranza!$B20,Recibos!M$4:M$3010)</f>
        <v>400</v>
      </c>
      <c r="BB20" s="317">
        <f>SUMIF(Recibos!$D$4:$D$3010,Cobranza!$B20,Recibos!N$4:N$3010)</f>
        <v>400</v>
      </c>
      <c r="BC20" s="317">
        <f>SUMIF(Recibos!$D$4:$D$3010,Cobranza!$B20,Recibos!O$4:O$3010)</f>
        <v>400</v>
      </c>
      <c r="BD20" s="317">
        <f>SUMIF(Recibos!$D$4:$D$3010,Cobranza!$B20,Recibos!P$4:P$3010)</f>
        <v>400</v>
      </c>
      <c r="BE20" s="317">
        <f>SUMIF(Recibos!$D$4:$D$3010,Cobranza!$B20,Recibos!Q$4:Q$3010)</f>
        <v>400</v>
      </c>
      <c r="BF20" s="317">
        <f>SUMIF(Recibos!$D$4:$D$3010,Cobranza!$B20,Recibos!R$4:R$3010)</f>
        <v>400</v>
      </c>
      <c r="BG20" s="317">
        <f>SUMIF(Recibos!$D$4:$D$3010,Cobranza!$B20,Recibos!S$4:S$3010)</f>
        <v>400</v>
      </c>
      <c r="BH20" s="317">
        <f>SUMIF(Recibos!$D$4:$D$3010,Cobranza!$B20,Recibos!T$4:T$3010)</f>
        <v>400</v>
      </c>
      <c r="BI20" s="317">
        <f>SUMIF(Recibos!$D$4:$D$3010,Cobranza!$B20,Recibos!U$4:U$3010)</f>
        <v>400</v>
      </c>
      <c r="BJ20" s="317">
        <f>SUMIF(Recibos!$D$4:$D$3010,Cobranza!$B20,Recibos!V$4:V$3010)</f>
        <v>0</v>
      </c>
      <c r="BK20" s="318">
        <f t="shared" si="7"/>
        <v>4400</v>
      </c>
      <c r="BL20" s="317">
        <f>SUMIF(Recibos!$D$4:$D$3010,Cobranza!$B20,Recibos!X$4:X$3010)</f>
        <v>0</v>
      </c>
      <c r="BM20" s="317">
        <f>SUMIF(Recibos!$D$4:$D$3010,Cobranza!$B20,Recibos!Y$4:Y$3010)</f>
        <v>0</v>
      </c>
      <c r="BN20" s="317">
        <f>SUMIF(Recibos!$D$4:$D$3010,Cobranza!$B20,Recibos!Z$4:Z$3010)</f>
        <v>0</v>
      </c>
      <c r="BO20" s="317">
        <f>SUMIF(Recibos!$D$4:$D$3010,Cobranza!$B20,Recibos!AA$4:AA$3010)</f>
        <v>0</v>
      </c>
      <c r="BP20" s="317">
        <f>SUMIF(Recibos!$D$4:$D$3010,Cobranza!$B20,Recibos!AB$4:AB$3010)</f>
        <v>0</v>
      </c>
      <c r="BQ20" s="317">
        <f>SUMIF(Recibos!$D$4:$D$3010,Cobranza!$B20,Recibos!AC$4:AC$3010)</f>
        <v>0</v>
      </c>
      <c r="BR20" s="317">
        <f>SUMIF(Recibos!$D$4:$D$3010,Cobranza!$B20,Recibos!AD$4:AD$3010)</f>
        <v>0</v>
      </c>
      <c r="BS20" s="317">
        <f>SUMIF(Recibos!$D$4:$D$3010,Cobranza!$B20,Recibos!AE$4:AE$3010)</f>
        <v>0</v>
      </c>
      <c r="BT20" s="317">
        <f>SUMIF(Recibos!$D$4:$D$3010,Cobranza!$B20,Recibos!AF$4:AF$3010)</f>
        <v>0</v>
      </c>
      <c r="BU20" s="317">
        <f>SUMIF(Recibos!$D$4:$D$3010,Cobranza!$B20,Recibos!AG$4:AG$3010)</f>
        <v>0</v>
      </c>
      <c r="BV20" s="317">
        <f>SUMIF(Recibos!$D$4:$D$3010,Cobranza!$B20,Recibos!AH$4:AH$3010)</f>
        <v>0</v>
      </c>
      <c r="BW20" s="317">
        <f>SUMIF(Recibos!$D$4:$D$3010,Cobranza!$B20,Recibos!AI$4:AI$3010)</f>
        <v>0</v>
      </c>
      <c r="BX20" s="318">
        <f t="shared" si="8"/>
        <v>0</v>
      </c>
    </row>
    <row r="21" spans="2:76" x14ac:dyDescent="0.2">
      <c r="B21" s="45" t="s">
        <v>990</v>
      </c>
      <c r="C21" s="45" t="s">
        <v>991</v>
      </c>
      <c r="D21" s="45" t="s">
        <v>992</v>
      </c>
      <c r="E21" s="46">
        <v>0</v>
      </c>
      <c r="F21" s="46">
        <v>0</v>
      </c>
      <c r="G21" s="46">
        <v>0</v>
      </c>
      <c r="H21" s="46">
        <v>0</v>
      </c>
      <c r="I21" s="46">
        <v>0</v>
      </c>
      <c r="J21" s="46">
        <v>200</v>
      </c>
      <c r="K21" s="47">
        <f t="shared" si="2"/>
        <v>200</v>
      </c>
      <c r="L21" s="46">
        <v>200</v>
      </c>
      <c r="M21" s="46">
        <v>200</v>
      </c>
      <c r="N21" s="46">
        <v>200</v>
      </c>
      <c r="O21" s="46">
        <v>0</v>
      </c>
      <c r="P21" s="46">
        <v>0</v>
      </c>
      <c r="Q21" s="46">
        <v>0</v>
      </c>
      <c r="R21" s="46">
        <v>0</v>
      </c>
      <c r="S21" s="46">
        <v>0</v>
      </c>
      <c r="T21" s="46">
        <v>0</v>
      </c>
      <c r="U21" s="46">
        <v>0</v>
      </c>
      <c r="V21" s="46">
        <v>0</v>
      </c>
      <c r="W21" s="46">
        <v>0</v>
      </c>
      <c r="X21" s="47">
        <f t="shared" si="3"/>
        <v>600</v>
      </c>
      <c r="Y21" s="46">
        <v>0</v>
      </c>
      <c r="Z21" s="46">
        <v>0</v>
      </c>
      <c r="AA21" s="46">
        <v>0</v>
      </c>
      <c r="AB21" s="46">
        <v>0</v>
      </c>
      <c r="AC21" s="46">
        <v>0</v>
      </c>
      <c r="AD21" s="46">
        <v>0</v>
      </c>
      <c r="AE21" s="46">
        <v>0</v>
      </c>
      <c r="AF21" s="46">
        <v>0</v>
      </c>
      <c r="AG21" s="46">
        <v>0</v>
      </c>
      <c r="AH21" s="46">
        <v>0</v>
      </c>
      <c r="AI21" s="46">
        <v>0</v>
      </c>
      <c r="AJ21" s="46">
        <v>0</v>
      </c>
      <c r="AK21" s="47">
        <f t="shared" si="4"/>
        <v>0</v>
      </c>
      <c r="AL21" s="46">
        <v>0</v>
      </c>
      <c r="AM21" s="46">
        <v>0</v>
      </c>
      <c r="AN21" s="46">
        <v>0</v>
      </c>
      <c r="AO21" s="46">
        <v>0</v>
      </c>
      <c r="AP21" s="46">
        <v>0</v>
      </c>
      <c r="AQ21" s="46">
        <v>0</v>
      </c>
      <c r="AR21" s="46">
        <v>0</v>
      </c>
      <c r="AS21" s="46">
        <v>0</v>
      </c>
      <c r="AT21" s="46">
        <v>0</v>
      </c>
      <c r="AU21" s="46">
        <v>0</v>
      </c>
      <c r="AV21" s="46">
        <v>0</v>
      </c>
      <c r="AW21" s="46">
        <v>0</v>
      </c>
      <c r="AX21" s="47">
        <f t="shared" si="6"/>
        <v>0</v>
      </c>
      <c r="AY21" s="319">
        <f>SUMIF(Recibos!$D$4:$D$3010,Cobranza!$B21,Recibos!K$4:K$3010)</f>
        <v>0</v>
      </c>
      <c r="AZ21" s="319">
        <f>SUMIF(Recibos!$D$4:$D$3010,Cobranza!$B21,Recibos!L$4:L$3010)</f>
        <v>0</v>
      </c>
      <c r="BA21" s="319">
        <f>SUMIF(Recibos!$D$4:$D$3010,Cobranza!$B21,Recibos!M$4:M$3010)</f>
        <v>0</v>
      </c>
      <c r="BB21" s="319">
        <f>SUMIF(Recibos!$D$4:$D$3010,Cobranza!$B21,Recibos!N$4:N$3010)</f>
        <v>0</v>
      </c>
      <c r="BC21" s="319">
        <f>SUMIF(Recibos!$D$4:$D$3010,Cobranza!$B21,Recibos!O$4:O$3010)</f>
        <v>0</v>
      </c>
      <c r="BD21" s="319">
        <f>SUMIF(Recibos!$D$4:$D$3010,Cobranza!$B21,Recibos!P$4:P$3010)</f>
        <v>200</v>
      </c>
      <c r="BE21" s="319">
        <f>SUMIF(Recibos!$D$4:$D$3010,Cobranza!$B21,Recibos!Q$4:Q$3010)</f>
        <v>200</v>
      </c>
      <c r="BF21" s="319">
        <f>SUMIF(Recibos!$D$4:$D$3010,Cobranza!$B21,Recibos!R$4:R$3010)</f>
        <v>200</v>
      </c>
      <c r="BG21" s="319">
        <f>SUMIF(Recibos!$D$4:$D$3010,Cobranza!$B21,Recibos!S$4:S$3010)</f>
        <v>200</v>
      </c>
      <c r="BH21" s="319">
        <f>SUMIF(Recibos!$D$4:$D$3010,Cobranza!$B21,Recibos!T$4:T$3010)</f>
        <v>200</v>
      </c>
      <c r="BI21" s="319">
        <f>SUMIF(Recibos!$D$4:$D$3010,Cobranza!$B21,Recibos!U$4:U$3010)</f>
        <v>200</v>
      </c>
      <c r="BJ21" s="319">
        <f>SUMIF(Recibos!$D$4:$D$3010,Cobranza!$B21,Recibos!V$4:V$3010)</f>
        <v>200</v>
      </c>
      <c r="BK21" s="320">
        <f t="shared" si="7"/>
        <v>1400</v>
      </c>
      <c r="BL21" s="319">
        <f>SUMIF(Recibos!$D$4:$D$3010,Cobranza!$B21,Recibos!X$4:X$3010)</f>
        <v>0</v>
      </c>
      <c r="BM21" s="319">
        <f>SUMIF(Recibos!$D$4:$D$3010,Cobranza!$B21,Recibos!Y$4:Y$3010)</f>
        <v>0</v>
      </c>
      <c r="BN21" s="319">
        <f>SUMIF(Recibos!$D$4:$D$3010,Cobranza!$B21,Recibos!Z$4:Z$3010)</f>
        <v>0</v>
      </c>
      <c r="BO21" s="319">
        <f>SUMIF(Recibos!$D$4:$D$3010,Cobranza!$B21,Recibos!AA$4:AA$3010)</f>
        <v>0</v>
      </c>
      <c r="BP21" s="319">
        <f>SUMIF(Recibos!$D$4:$D$3010,Cobranza!$B21,Recibos!AB$4:AB$3010)</f>
        <v>0</v>
      </c>
      <c r="BQ21" s="319">
        <f>SUMIF(Recibos!$D$4:$D$3010,Cobranza!$B21,Recibos!AC$4:AC$3010)</f>
        <v>0</v>
      </c>
      <c r="BR21" s="319">
        <f>SUMIF(Recibos!$D$4:$D$3010,Cobranza!$B21,Recibos!AD$4:AD$3010)</f>
        <v>0</v>
      </c>
      <c r="BS21" s="319">
        <f>SUMIF(Recibos!$D$4:$D$3010,Cobranza!$B21,Recibos!AE$4:AE$3010)</f>
        <v>0</v>
      </c>
      <c r="BT21" s="319">
        <f>SUMIF(Recibos!$D$4:$D$3010,Cobranza!$B21,Recibos!AF$4:AF$3010)</f>
        <v>0</v>
      </c>
      <c r="BU21" s="319">
        <f>SUMIF(Recibos!$D$4:$D$3010,Cobranza!$B21,Recibos!AG$4:AG$3010)</f>
        <v>0</v>
      </c>
      <c r="BV21" s="319">
        <f>SUMIF(Recibos!$D$4:$D$3010,Cobranza!$B21,Recibos!AH$4:AH$3010)</f>
        <v>0</v>
      </c>
      <c r="BW21" s="319">
        <f>SUMIF(Recibos!$D$4:$D$3010,Cobranza!$B21,Recibos!AI$4:AI$3010)</f>
        <v>0</v>
      </c>
      <c r="BX21" s="320">
        <f t="shared" si="8"/>
        <v>0</v>
      </c>
    </row>
    <row r="22" spans="2:76" x14ac:dyDescent="0.2">
      <c r="B22" s="42" t="s">
        <v>1264</v>
      </c>
      <c r="C22" s="42" t="s">
        <v>1265</v>
      </c>
      <c r="D22" s="42" t="s">
        <v>1266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4">
        <f t="shared" si="2"/>
        <v>0</v>
      </c>
      <c r="L22" s="43">
        <v>0</v>
      </c>
      <c r="M22" s="43">
        <v>0</v>
      </c>
      <c r="N22" s="43">
        <v>0</v>
      </c>
      <c r="O22" s="43">
        <v>0</v>
      </c>
      <c r="P22" s="43">
        <v>0</v>
      </c>
      <c r="Q22" s="43">
        <v>0</v>
      </c>
      <c r="R22" s="43">
        <v>0</v>
      </c>
      <c r="S22" s="43">
        <v>0</v>
      </c>
      <c r="T22" s="43">
        <v>0</v>
      </c>
      <c r="U22" s="43">
        <v>0</v>
      </c>
      <c r="V22" s="43">
        <v>0</v>
      </c>
      <c r="W22" s="43">
        <v>0</v>
      </c>
      <c r="X22" s="44">
        <f t="shared" si="3"/>
        <v>0</v>
      </c>
      <c r="Y22" s="43">
        <v>0</v>
      </c>
      <c r="Z22" s="43">
        <v>0</v>
      </c>
      <c r="AA22" s="43">
        <v>0</v>
      </c>
      <c r="AB22" s="43">
        <v>0</v>
      </c>
      <c r="AC22" s="43">
        <v>0</v>
      </c>
      <c r="AD22" s="43">
        <v>0</v>
      </c>
      <c r="AE22" s="43">
        <v>0</v>
      </c>
      <c r="AF22" s="43">
        <v>0</v>
      </c>
      <c r="AG22" s="43">
        <v>0</v>
      </c>
      <c r="AH22" s="43">
        <v>0</v>
      </c>
      <c r="AI22" s="43">
        <v>0</v>
      </c>
      <c r="AJ22" s="43">
        <v>0</v>
      </c>
      <c r="AK22" s="44">
        <f t="shared" si="4"/>
        <v>0</v>
      </c>
      <c r="AL22" s="43">
        <v>0</v>
      </c>
      <c r="AM22" s="43">
        <v>0</v>
      </c>
      <c r="AN22" s="43">
        <v>0</v>
      </c>
      <c r="AO22" s="43">
        <v>0</v>
      </c>
      <c r="AP22" s="43">
        <v>0</v>
      </c>
      <c r="AQ22" s="43">
        <v>0</v>
      </c>
      <c r="AR22" s="43">
        <v>0</v>
      </c>
      <c r="AS22" s="43">
        <v>0</v>
      </c>
      <c r="AT22" s="43">
        <v>0</v>
      </c>
      <c r="AU22" s="43">
        <v>0</v>
      </c>
      <c r="AV22" s="43">
        <v>0</v>
      </c>
      <c r="AW22" s="43">
        <v>0</v>
      </c>
      <c r="AX22" s="44">
        <f t="shared" si="6"/>
        <v>0</v>
      </c>
      <c r="AY22" s="317">
        <f>SUMIF(Recibos!$D$4:$D$3010,Cobranza!$B22,Recibos!K$4:K$3010)</f>
        <v>0</v>
      </c>
      <c r="AZ22" s="317">
        <f>SUMIF(Recibos!$D$4:$D$3010,Cobranza!$B22,Recibos!L$4:L$3010)</f>
        <v>0</v>
      </c>
      <c r="BA22" s="317">
        <f>SUMIF(Recibos!$D$4:$D$3010,Cobranza!$B22,Recibos!M$4:M$3010)</f>
        <v>0</v>
      </c>
      <c r="BB22" s="317">
        <f>SUMIF(Recibos!$D$4:$D$3010,Cobranza!$B22,Recibos!N$4:N$3010)</f>
        <v>0</v>
      </c>
      <c r="BC22" s="317">
        <f>SUMIF(Recibos!$D$4:$D$3010,Cobranza!$B22,Recibos!O$4:O$3010)</f>
        <v>0</v>
      </c>
      <c r="BD22" s="317">
        <f>SUMIF(Recibos!$D$4:$D$3010,Cobranza!$B22,Recibos!P$4:P$3010)</f>
        <v>0</v>
      </c>
      <c r="BE22" s="317">
        <f>SUMIF(Recibos!$D$4:$D$3010,Cobranza!$B22,Recibos!Q$4:Q$3010)</f>
        <v>0</v>
      </c>
      <c r="BF22" s="317">
        <f>SUMIF(Recibos!$D$4:$D$3010,Cobranza!$B22,Recibos!R$4:R$3010)</f>
        <v>0</v>
      </c>
      <c r="BG22" s="317">
        <f>SUMIF(Recibos!$D$4:$D$3010,Cobranza!$B22,Recibos!S$4:S$3010)</f>
        <v>0</v>
      </c>
      <c r="BH22" s="317">
        <f>SUMIF(Recibos!$D$4:$D$3010,Cobranza!$B22,Recibos!T$4:T$3010)</f>
        <v>0</v>
      </c>
      <c r="BI22" s="317">
        <f>SUMIF(Recibos!$D$4:$D$3010,Cobranza!$B22,Recibos!U$4:U$3010)</f>
        <v>0</v>
      </c>
      <c r="BJ22" s="317">
        <f>SUMIF(Recibos!$D$4:$D$3010,Cobranza!$B22,Recibos!V$4:V$3010)</f>
        <v>0</v>
      </c>
      <c r="BK22" s="318">
        <f t="shared" si="7"/>
        <v>0</v>
      </c>
      <c r="BL22" s="317">
        <f>SUMIF(Recibos!$D$4:$D$3010,Cobranza!$B22,Recibos!X$4:X$3010)</f>
        <v>0</v>
      </c>
      <c r="BM22" s="317">
        <f>SUMIF(Recibos!$D$4:$D$3010,Cobranza!$B22,Recibos!Y$4:Y$3010)</f>
        <v>0</v>
      </c>
      <c r="BN22" s="317">
        <f>SUMIF(Recibos!$D$4:$D$3010,Cobranza!$B22,Recibos!Z$4:Z$3010)</f>
        <v>0</v>
      </c>
      <c r="BO22" s="317">
        <f>SUMIF(Recibos!$D$4:$D$3010,Cobranza!$B22,Recibos!AA$4:AA$3010)</f>
        <v>0</v>
      </c>
      <c r="BP22" s="317">
        <f>SUMIF(Recibos!$D$4:$D$3010,Cobranza!$B22,Recibos!AB$4:AB$3010)</f>
        <v>0</v>
      </c>
      <c r="BQ22" s="317">
        <f>SUMIF(Recibos!$D$4:$D$3010,Cobranza!$B22,Recibos!AC$4:AC$3010)</f>
        <v>0</v>
      </c>
      <c r="BR22" s="317">
        <f>SUMIF(Recibos!$D$4:$D$3010,Cobranza!$B22,Recibos!AD$4:AD$3010)</f>
        <v>0</v>
      </c>
      <c r="BS22" s="317">
        <f>SUMIF(Recibos!$D$4:$D$3010,Cobranza!$B22,Recibos!AE$4:AE$3010)</f>
        <v>0</v>
      </c>
      <c r="BT22" s="317">
        <f>SUMIF(Recibos!$D$4:$D$3010,Cobranza!$B22,Recibos!AF$4:AF$3010)</f>
        <v>0</v>
      </c>
      <c r="BU22" s="317">
        <f>SUMIF(Recibos!$D$4:$D$3010,Cobranza!$B22,Recibos!AG$4:AG$3010)</f>
        <v>0</v>
      </c>
      <c r="BV22" s="317">
        <f>SUMIF(Recibos!$D$4:$D$3010,Cobranza!$B22,Recibos!AH$4:AH$3010)</f>
        <v>0</v>
      </c>
      <c r="BW22" s="317">
        <f>SUMIF(Recibos!$D$4:$D$3010,Cobranza!$B22,Recibos!AI$4:AI$3010)</f>
        <v>0</v>
      </c>
      <c r="BX22" s="318">
        <f t="shared" si="8"/>
        <v>0</v>
      </c>
    </row>
    <row r="23" spans="2:76" x14ac:dyDescent="0.2">
      <c r="B23" s="45" t="s">
        <v>1112</v>
      </c>
      <c r="C23" s="45" t="s">
        <v>1113</v>
      </c>
      <c r="D23" s="45" t="s">
        <v>1114</v>
      </c>
      <c r="E23" s="46">
        <v>0</v>
      </c>
      <c r="F23" s="46">
        <v>0</v>
      </c>
      <c r="G23" s="46">
        <v>0</v>
      </c>
      <c r="H23" s="46">
        <v>0</v>
      </c>
      <c r="I23" s="46">
        <v>0</v>
      </c>
      <c r="J23" s="46">
        <v>0</v>
      </c>
      <c r="K23" s="47">
        <f t="shared" si="2"/>
        <v>0</v>
      </c>
      <c r="L23" s="46">
        <v>0</v>
      </c>
      <c r="M23" s="46">
        <v>0</v>
      </c>
      <c r="N23" s="46">
        <v>0</v>
      </c>
      <c r="O23" s="46">
        <v>0</v>
      </c>
      <c r="P23" s="46">
        <v>0</v>
      </c>
      <c r="Q23" s="46">
        <v>0</v>
      </c>
      <c r="R23" s="46">
        <v>0</v>
      </c>
      <c r="S23" s="46">
        <v>0</v>
      </c>
      <c r="T23" s="46">
        <v>0</v>
      </c>
      <c r="U23" s="46">
        <v>0</v>
      </c>
      <c r="V23" s="46">
        <v>0</v>
      </c>
      <c r="W23" s="46">
        <v>0</v>
      </c>
      <c r="X23" s="47">
        <f t="shared" si="3"/>
        <v>0</v>
      </c>
      <c r="Y23" s="46">
        <v>0</v>
      </c>
      <c r="Z23" s="46">
        <v>0</v>
      </c>
      <c r="AA23" s="46">
        <v>0</v>
      </c>
      <c r="AB23" s="46">
        <v>0</v>
      </c>
      <c r="AC23" s="46">
        <v>0</v>
      </c>
      <c r="AD23" s="46">
        <v>0</v>
      </c>
      <c r="AE23" s="46">
        <v>0</v>
      </c>
      <c r="AF23" s="46">
        <v>0</v>
      </c>
      <c r="AG23" s="46">
        <v>0</v>
      </c>
      <c r="AH23" s="46">
        <v>0</v>
      </c>
      <c r="AI23" s="46">
        <v>0</v>
      </c>
      <c r="AJ23" s="46">
        <v>0</v>
      </c>
      <c r="AK23" s="47">
        <f t="shared" si="4"/>
        <v>0</v>
      </c>
      <c r="AL23" s="46">
        <v>0</v>
      </c>
      <c r="AM23" s="46">
        <v>0</v>
      </c>
      <c r="AN23" s="46">
        <v>0</v>
      </c>
      <c r="AO23" s="46">
        <v>0</v>
      </c>
      <c r="AP23" s="46">
        <v>0</v>
      </c>
      <c r="AQ23" s="46">
        <v>0</v>
      </c>
      <c r="AR23" s="46">
        <v>0</v>
      </c>
      <c r="AS23" s="46">
        <v>0</v>
      </c>
      <c r="AT23" s="46">
        <v>0</v>
      </c>
      <c r="AU23" s="46">
        <v>0</v>
      </c>
      <c r="AV23" s="46">
        <v>0</v>
      </c>
      <c r="AW23" s="46">
        <v>0</v>
      </c>
      <c r="AX23" s="47">
        <f t="shared" si="6"/>
        <v>0</v>
      </c>
      <c r="AY23" s="319">
        <f>SUMIF(Recibos!$D$4:$D$3010,Cobranza!$B23,Recibos!K$4:K$3010)</f>
        <v>0</v>
      </c>
      <c r="AZ23" s="319">
        <f>SUMIF(Recibos!$D$4:$D$3010,Cobranza!$B23,Recibos!L$4:L$3010)</f>
        <v>0</v>
      </c>
      <c r="BA23" s="319">
        <f>SUMIF(Recibos!$D$4:$D$3010,Cobranza!$B23,Recibos!M$4:M$3010)</f>
        <v>0</v>
      </c>
      <c r="BB23" s="319">
        <f>SUMIF(Recibos!$D$4:$D$3010,Cobranza!$B23,Recibos!N$4:N$3010)</f>
        <v>0</v>
      </c>
      <c r="BC23" s="319">
        <f>SUMIF(Recibos!$D$4:$D$3010,Cobranza!$B23,Recibos!O$4:O$3010)</f>
        <v>0</v>
      </c>
      <c r="BD23" s="319">
        <f>SUMIF(Recibos!$D$4:$D$3010,Cobranza!$B23,Recibos!P$4:P$3010)</f>
        <v>0</v>
      </c>
      <c r="BE23" s="319">
        <f>SUMIF(Recibos!$D$4:$D$3010,Cobranza!$B23,Recibos!Q$4:Q$3010)</f>
        <v>0</v>
      </c>
      <c r="BF23" s="319">
        <f>SUMIF(Recibos!$D$4:$D$3010,Cobranza!$B23,Recibos!R$4:R$3010)</f>
        <v>0</v>
      </c>
      <c r="BG23" s="319">
        <f>SUMIF(Recibos!$D$4:$D$3010,Cobranza!$B23,Recibos!S$4:S$3010)</f>
        <v>0</v>
      </c>
      <c r="BH23" s="319">
        <f>SUMIF(Recibos!$D$4:$D$3010,Cobranza!$B23,Recibos!T$4:T$3010)</f>
        <v>0</v>
      </c>
      <c r="BI23" s="319">
        <f>SUMIF(Recibos!$D$4:$D$3010,Cobranza!$B23,Recibos!U$4:U$3010)</f>
        <v>0</v>
      </c>
      <c r="BJ23" s="319">
        <f>SUMIF(Recibos!$D$4:$D$3010,Cobranza!$B23,Recibos!V$4:V$3010)</f>
        <v>0</v>
      </c>
      <c r="BK23" s="320">
        <f t="shared" si="7"/>
        <v>0</v>
      </c>
      <c r="BL23" s="319">
        <f>SUMIF(Recibos!$D$4:$D$3010,Cobranza!$B23,Recibos!X$4:X$3010)</f>
        <v>0</v>
      </c>
      <c r="BM23" s="319">
        <f>SUMIF(Recibos!$D$4:$D$3010,Cobranza!$B23,Recibos!Y$4:Y$3010)</f>
        <v>0</v>
      </c>
      <c r="BN23" s="319">
        <f>SUMIF(Recibos!$D$4:$D$3010,Cobranza!$B23,Recibos!Z$4:Z$3010)</f>
        <v>0</v>
      </c>
      <c r="BO23" s="319">
        <f>SUMIF(Recibos!$D$4:$D$3010,Cobranza!$B23,Recibos!AA$4:AA$3010)</f>
        <v>0</v>
      </c>
      <c r="BP23" s="319">
        <f>SUMIF(Recibos!$D$4:$D$3010,Cobranza!$B23,Recibos!AB$4:AB$3010)</f>
        <v>0</v>
      </c>
      <c r="BQ23" s="319">
        <f>SUMIF(Recibos!$D$4:$D$3010,Cobranza!$B23,Recibos!AC$4:AC$3010)</f>
        <v>0</v>
      </c>
      <c r="BR23" s="319">
        <f>SUMIF(Recibos!$D$4:$D$3010,Cobranza!$B23,Recibos!AD$4:AD$3010)</f>
        <v>0</v>
      </c>
      <c r="BS23" s="319">
        <f>SUMIF(Recibos!$D$4:$D$3010,Cobranza!$B23,Recibos!AE$4:AE$3010)</f>
        <v>0</v>
      </c>
      <c r="BT23" s="319">
        <f>SUMIF(Recibos!$D$4:$D$3010,Cobranza!$B23,Recibos!AF$4:AF$3010)</f>
        <v>0</v>
      </c>
      <c r="BU23" s="319">
        <f>SUMIF(Recibos!$D$4:$D$3010,Cobranza!$B23,Recibos!AG$4:AG$3010)</f>
        <v>0</v>
      </c>
      <c r="BV23" s="319">
        <f>SUMIF(Recibos!$D$4:$D$3010,Cobranza!$B23,Recibos!AH$4:AH$3010)</f>
        <v>0</v>
      </c>
      <c r="BW23" s="319">
        <f>SUMIF(Recibos!$D$4:$D$3010,Cobranza!$B23,Recibos!AI$4:AI$3010)</f>
        <v>0</v>
      </c>
      <c r="BX23" s="320">
        <f t="shared" si="8"/>
        <v>0</v>
      </c>
    </row>
    <row r="24" spans="2:76" x14ac:dyDescent="0.2">
      <c r="B24" s="42" t="s">
        <v>244</v>
      </c>
      <c r="C24" s="42" t="s">
        <v>245</v>
      </c>
      <c r="D24" s="42" t="s">
        <v>246</v>
      </c>
      <c r="E24" s="43">
        <v>0</v>
      </c>
      <c r="F24" s="43">
        <v>0</v>
      </c>
      <c r="G24" s="43">
        <v>0</v>
      </c>
      <c r="H24" s="43">
        <v>0</v>
      </c>
      <c r="I24" s="43">
        <v>0</v>
      </c>
      <c r="J24" s="43">
        <v>0</v>
      </c>
      <c r="K24" s="44">
        <f t="shared" si="2"/>
        <v>0</v>
      </c>
      <c r="L24" s="43">
        <v>0</v>
      </c>
      <c r="M24" s="43">
        <v>0</v>
      </c>
      <c r="N24" s="43">
        <v>0</v>
      </c>
      <c r="O24" s="43">
        <v>0</v>
      </c>
      <c r="P24" s="43">
        <v>0</v>
      </c>
      <c r="Q24" s="43">
        <v>0</v>
      </c>
      <c r="R24" s="43">
        <v>0</v>
      </c>
      <c r="S24" s="43">
        <v>0</v>
      </c>
      <c r="T24" s="43">
        <v>0</v>
      </c>
      <c r="U24" s="43">
        <v>0</v>
      </c>
      <c r="V24" s="43">
        <v>0</v>
      </c>
      <c r="W24" s="43">
        <v>0</v>
      </c>
      <c r="X24" s="44">
        <f t="shared" si="3"/>
        <v>0</v>
      </c>
      <c r="Y24" s="43">
        <v>400</v>
      </c>
      <c r="Z24" s="43">
        <v>400</v>
      </c>
      <c r="AA24" s="43">
        <v>400</v>
      </c>
      <c r="AB24" s="43">
        <v>400</v>
      </c>
      <c r="AC24" s="43">
        <v>400</v>
      </c>
      <c r="AD24" s="43">
        <v>400</v>
      </c>
      <c r="AE24" s="43">
        <v>400</v>
      </c>
      <c r="AF24" s="43">
        <v>400</v>
      </c>
      <c r="AG24" s="43">
        <v>400</v>
      </c>
      <c r="AH24" s="43">
        <v>400</v>
      </c>
      <c r="AI24" s="43">
        <v>400</v>
      </c>
      <c r="AJ24" s="43">
        <v>0</v>
      </c>
      <c r="AK24" s="44">
        <f t="shared" si="4"/>
        <v>4400</v>
      </c>
      <c r="AL24" s="43">
        <v>400</v>
      </c>
      <c r="AM24" s="43">
        <v>400</v>
      </c>
      <c r="AN24" s="43">
        <v>400</v>
      </c>
      <c r="AO24" s="43">
        <v>400</v>
      </c>
      <c r="AP24" s="43">
        <v>400</v>
      </c>
      <c r="AQ24" s="43">
        <v>400</v>
      </c>
      <c r="AR24" s="43">
        <v>400</v>
      </c>
      <c r="AS24" s="43">
        <v>400</v>
      </c>
      <c r="AT24" s="43">
        <v>400</v>
      </c>
      <c r="AU24" s="43">
        <v>400</v>
      </c>
      <c r="AV24" s="43">
        <v>400</v>
      </c>
      <c r="AW24" s="43">
        <v>0</v>
      </c>
      <c r="AX24" s="44">
        <f t="shared" si="6"/>
        <v>4400</v>
      </c>
      <c r="AY24" s="317">
        <f>SUMIF(Recibos!$D$4:$D$3010,Cobranza!$B24,Recibos!K$4:K$3010)</f>
        <v>400</v>
      </c>
      <c r="AZ24" s="317">
        <f>SUMIF(Recibos!$D$4:$D$3010,Cobranza!$B24,Recibos!L$4:L$3010)</f>
        <v>400</v>
      </c>
      <c r="BA24" s="317">
        <f>SUMIF(Recibos!$D$4:$D$3010,Cobranza!$B24,Recibos!M$4:M$3010)</f>
        <v>400</v>
      </c>
      <c r="BB24" s="317">
        <f>SUMIF(Recibos!$D$4:$D$3010,Cobranza!$B24,Recibos!N$4:N$3010)</f>
        <v>400</v>
      </c>
      <c r="BC24" s="317">
        <f>SUMIF(Recibos!$D$4:$D$3010,Cobranza!$B24,Recibos!O$4:O$3010)</f>
        <v>400</v>
      </c>
      <c r="BD24" s="317">
        <f>SUMIF(Recibos!$D$4:$D$3010,Cobranza!$B24,Recibos!P$4:P$3010)</f>
        <v>400</v>
      </c>
      <c r="BE24" s="317">
        <f>SUMIF(Recibos!$D$4:$D$3010,Cobranza!$B24,Recibos!Q$4:Q$3010)</f>
        <v>400</v>
      </c>
      <c r="BF24" s="317">
        <f>SUMIF(Recibos!$D$4:$D$3010,Cobranza!$B24,Recibos!R$4:R$3010)</f>
        <v>400</v>
      </c>
      <c r="BG24" s="317">
        <f>SUMIF(Recibos!$D$4:$D$3010,Cobranza!$B24,Recibos!S$4:S$3010)</f>
        <v>400</v>
      </c>
      <c r="BH24" s="317">
        <f>SUMIF(Recibos!$D$4:$D$3010,Cobranza!$B24,Recibos!T$4:T$3010)</f>
        <v>400</v>
      </c>
      <c r="BI24" s="317">
        <f>SUMIF(Recibos!$D$4:$D$3010,Cobranza!$B24,Recibos!U$4:U$3010)</f>
        <v>400</v>
      </c>
      <c r="BJ24" s="317">
        <f>SUMIF(Recibos!$D$4:$D$3010,Cobranza!$B24,Recibos!V$4:V$3010)</f>
        <v>400</v>
      </c>
      <c r="BK24" s="318">
        <f t="shared" si="7"/>
        <v>4800</v>
      </c>
      <c r="BL24" s="317">
        <f>SUMIF(Recibos!$D$4:$D$3010,Cobranza!$B24,Recibos!X$4:X$3010)</f>
        <v>0</v>
      </c>
      <c r="BM24" s="317">
        <f>SUMIF(Recibos!$D$4:$D$3010,Cobranza!$B24,Recibos!Y$4:Y$3010)</f>
        <v>0</v>
      </c>
      <c r="BN24" s="317">
        <f>SUMIF(Recibos!$D$4:$D$3010,Cobranza!$B24,Recibos!Z$4:Z$3010)</f>
        <v>0</v>
      </c>
      <c r="BO24" s="317">
        <f>SUMIF(Recibos!$D$4:$D$3010,Cobranza!$B24,Recibos!AA$4:AA$3010)</f>
        <v>0</v>
      </c>
      <c r="BP24" s="317">
        <f>SUMIF(Recibos!$D$4:$D$3010,Cobranza!$B24,Recibos!AB$4:AB$3010)</f>
        <v>0</v>
      </c>
      <c r="BQ24" s="317">
        <f>SUMIF(Recibos!$D$4:$D$3010,Cobranza!$B24,Recibos!AC$4:AC$3010)</f>
        <v>0</v>
      </c>
      <c r="BR24" s="317">
        <f>SUMIF(Recibos!$D$4:$D$3010,Cobranza!$B24,Recibos!AD$4:AD$3010)</f>
        <v>0</v>
      </c>
      <c r="BS24" s="317">
        <f>SUMIF(Recibos!$D$4:$D$3010,Cobranza!$B24,Recibos!AE$4:AE$3010)</f>
        <v>0</v>
      </c>
      <c r="BT24" s="317">
        <f>SUMIF(Recibos!$D$4:$D$3010,Cobranza!$B24,Recibos!AF$4:AF$3010)</f>
        <v>0</v>
      </c>
      <c r="BU24" s="317">
        <f>SUMIF(Recibos!$D$4:$D$3010,Cobranza!$B24,Recibos!AG$4:AG$3010)</f>
        <v>0</v>
      </c>
      <c r="BV24" s="317">
        <f>SUMIF(Recibos!$D$4:$D$3010,Cobranza!$B24,Recibos!AH$4:AH$3010)</f>
        <v>0</v>
      </c>
      <c r="BW24" s="317">
        <f>SUMIF(Recibos!$D$4:$D$3010,Cobranza!$B24,Recibos!AI$4:AI$3010)</f>
        <v>0</v>
      </c>
      <c r="BX24" s="318">
        <f t="shared" si="8"/>
        <v>0</v>
      </c>
    </row>
    <row r="25" spans="2:76" x14ac:dyDescent="0.2">
      <c r="B25" s="45" t="s">
        <v>208</v>
      </c>
      <c r="C25" s="45" t="s">
        <v>209</v>
      </c>
      <c r="D25" s="45" t="s">
        <v>210</v>
      </c>
      <c r="E25" s="46">
        <v>0</v>
      </c>
      <c r="F25" s="46">
        <v>0</v>
      </c>
      <c r="G25" s="46">
        <v>0</v>
      </c>
      <c r="H25" s="46">
        <v>0</v>
      </c>
      <c r="I25" s="46">
        <v>0</v>
      </c>
      <c r="J25" s="46">
        <v>0</v>
      </c>
      <c r="K25" s="47">
        <f t="shared" si="2"/>
        <v>0</v>
      </c>
      <c r="L25" s="46">
        <v>300</v>
      </c>
      <c r="M25" s="46">
        <v>300</v>
      </c>
      <c r="N25" s="46">
        <v>300</v>
      </c>
      <c r="O25" s="46">
        <v>300</v>
      </c>
      <c r="P25" s="46">
        <v>300</v>
      </c>
      <c r="Q25" s="46">
        <v>300</v>
      </c>
      <c r="R25" s="46">
        <v>0</v>
      </c>
      <c r="S25" s="46">
        <v>300</v>
      </c>
      <c r="T25" s="46">
        <v>300</v>
      </c>
      <c r="U25" s="46">
        <v>300</v>
      </c>
      <c r="V25" s="46">
        <v>0</v>
      </c>
      <c r="W25" s="46">
        <v>300</v>
      </c>
      <c r="X25" s="47">
        <f t="shared" si="3"/>
        <v>3000</v>
      </c>
      <c r="Y25" s="46">
        <v>300</v>
      </c>
      <c r="Z25" s="46">
        <v>300</v>
      </c>
      <c r="AA25" s="46">
        <v>300</v>
      </c>
      <c r="AB25" s="46">
        <v>300</v>
      </c>
      <c r="AC25" s="46">
        <v>300</v>
      </c>
      <c r="AD25" s="46">
        <v>300</v>
      </c>
      <c r="AE25" s="46">
        <v>300</v>
      </c>
      <c r="AF25" s="46">
        <v>300</v>
      </c>
      <c r="AG25" s="46">
        <v>300</v>
      </c>
      <c r="AH25" s="46">
        <v>300</v>
      </c>
      <c r="AI25" s="46">
        <v>400</v>
      </c>
      <c r="AJ25" s="46">
        <v>400</v>
      </c>
      <c r="AK25" s="47">
        <f t="shared" si="4"/>
        <v>3800</v>
      </c>
      <c r="AL25" s="46">
        <v>400</v>
      </c>
      <c r="AM25" s="46">
        <v>400</v>
      </c>
      <c r="AN25" s="46">
        <v>400</v>
      </c>
      <c r="AO25" s="46">
        <v>400</v>
      </c>
      <c r="AP25" s="46">
        <v>400</v>
      </c>
      <c r="AQ25" s="46">
        <v>400</v>
      </c>
      <c r="AR25" s="46">
        <v>400</v>
      </c>
      <c r="AS25" s="46">
        <v>400</v>
      </c>
      <c r="AT25" s="46">
        <v>400</v>
      </c>
      <c r="AU25" s="46">
        <v>400</v>
      </c>
      <c r="AV25" s="46">
        <v>400</v>
      </c>
      <c r="AW25" s="46">
        <v>400</v>
      </c>
      <c r="AX25" s="47">
        <f t="shared" si="6"/>
        <v>4800</v>
      </c>
      <c r="AY25" s="319">
        <f>SUMIF(Recibos!$D$4:$D$3010,Cobranza!$B25,Recibos!K$4:K$3010)</f>
        <v>400</v>
      </c>
      <c r="AZ25" s="319">
        <f>SUMIF(Recibos!$D$4:$D$3010,Cobranza!$B25,Recibos!L$4:L$3010)</f>
        <v>400</v>
      </c>
      <c r="BA25" s="319">
        <f>SUMIF(Recibos!$D$4:$D$3010,Cobranza!$B25,Recibos!M$4:M$3010)</f>
        <v>400</v>
      </c>
      <c r="BB25" s="319">
        <f>SUMIF(Recibos!$D$4:$D$3010,Cobranza!$B25,Recibos!N$4:N$3010)</f>
        <v>400</v>
      </c>
      <c r="BC25" s="319">
        <f>SUMIF(Recibos!$D$4:$D$3010,Cobranza!$B25,Recibos!O$4:O$3010)</f>
        <v>400</v>
      </c>
      <c r="BD25" s="319">
        <f>SUMIF(Recibos!$D$4:$D$3010,Cobranza!$B25,Recibos!P$4:P$3010)</f>
        <v>400</v>
      </c>
      <c r="BE25" s="319">
        <f>SUMIF(Recibos!$D$4:$D$3010,Cobranza!$B25,Recibos!Q$4:Q$3010)</f>
        <v>0</v>
      </c>
      <c r="BF25" s="319">
        <f>SUMIF(Recibos!$D$4:$D$3010,Cobranza!$B25,Recibos!R$4:R$3010)</f>
        <v>0</v>
      </c>
      <c r="BG25" s="319">
        <f>SUMIF(Recibos!$D$4:$D$3010,Cobranza!$B25,Recibos!S$4:S$3010)</f>
        <v>0</v>
      </c>
      <c r="BH25" s="319">
        <f>SUMIF(Recibos!$D$4:$D$3010,Cobranza!$B25,Recibos!T$4:T$3010)</f>
        <v>0</v>
      </c>
      <c r="BI25" s="319">
        <f>SUMIF(Recibos!$D$4:$D$3010,Cobranza!$B25,Recibos!U$4:U$3010)</f>
        <v>0</v>
      </c>
      <c r="BJ25" s="319">
        <f>SUMIF(Recibos!$D$4:$D$3010,Cobranza!$B25,Recibos!V$4:V$3010)</f>
        <v>0</v>
      </c>
      <c r="BK25" s="320">
        <f t="shared" si="7"/>
        <v>2400</v>
      </c>
      <c r="BL25" s="319">
        <f>SUMIF(Recibos!$D$4:$D$3010,Cobranza!$B25,Recibos!X$4:X$3010)</f>
        <v>0</v>
      </c>
      <c r="BM25" s="319">
        <f>SUMIF(Recibos!$D$4:$D$3010,Cobranza!$B25,Recibos!Y$4:Y$3010)</f>
        <v>0</v>
      </c>
      <c r="BN25" s="319">
        <f>SUMIF(Recibos!$D$4:$D$3010,Cobranza!$B25,Recibos!Z$4:Z$3010)</f>
        <v>0</v>
      </c>
      <c r="BO25" s="319">
        <f>SUMIF(Recibos!$D$4:$D$3010,Cobranza!$B25,Recibos!AA$4:AA$3010)</f>
        <v>0</v>
      </c>
      <c r="BP25" s="319">
        <f>SUMIF(Recibos!$D$4:$D$3010,Cobranza!$B25,Recibos!AB$4:AB$3010)</f>
        <v>0</v>
      </c>
      <c r="BQ25" s="319">
        <f>SUMIF(Recibos!$D$4:$D$3010,Cobranza!$B25,Recibos!AC$4:AC$3010)</f>
        <v>0</v>
      </c>
      <c r="BR25" s="319">
        <f>SUMIF(Recibos!$D$4:$D$3010,Cobranza!$B25,Recibos!AD$4:AD$3010)</f>
        <v>0</v>
      </c>
      <c r="BS25" s="319">
        <f>SUMIF(Recibos!$D$4:$D$3010,Cobranza!$B25,Recibos!AE$4:AE$3010)</f>
        <v>0</v>
      </c>
      <c r="BT25" s="319">
        <f>SUMIF(Recibos!$D$4:$D$3010,Cobranza!$B25,Recibos!AF$4:AF$3010)</f>
        <v>0</v>
      </c>
      <c r="BU25" s="319">
        <f>SUMIF(Recibos!$D$4:$D$3010,Cobranza!$B25,Recibos!AG$4:AG$3010)</f>
        <v>0</v>
      </c>
      <c r="BV25" s="319">
        <f>SUMIF(Recibos!$D$4:$D$3010,Cobranza!$B25,Recibos!AH$4:AH$3010)</f>
        <v>0</v>
      </c>
      <c r="BW25" s="319">
        <f>SUMIF(Recibos!$D$4:$D$3010,Cobranza!$B25,Recibos!AI$4:AI$3010)</f>
        <v>0</v>
      </c>
      <c r="BX25" s="320">
        <f t="shared" si="8"/>
        <v>0</v>
      </c>
    </row>
    <row r="26" spans="2:76" x14ac:dyDescent="0.2">
      <c r="B26" s="42" t="s">
        <v>1134</v>
      </c>
      <c r="C26" s="42" t="s">
        <v>1135</v>
      </c>
      <c r="D26" s="42" t="s">
        <v>1136</v>
      </c>
      <c r="E26" s="43">
        <v>0</v>
      </c>
      <c r="F26" s="43">
        <v>0</v>
      </c>
      <c r="G26" s="43">
        <v>0</v>
      </c>
      <c r="H26" s="43">
        <v>0</v>
      </c>
      <c r="I26" s="43">
        <v>0</v>
      </c>
      <c r="J26" s="43">
        <v>0</v>
      </c>
      <c r="K26" s="44">
        <f t="shared" si="2"/>
        <v>0</v>
      </c>
      <c r="L26" s="43">
        <v>0</v>
      </c>
      <c r="M26" s="43">
        <v>0</v>
      </c>
      <c r="N26" s="43">
        <v>0</v>
      </c>
      <c r="O26" s="43">
        <v>0</v>
      </c>
      <c r="P26" s="43">
        <v>0</v>
      </c>
      <c r="Q26" s="43">
        <v>0</v>
      </c>
      <c r="R26" s="43">
        <v>0</v>
      </c>
      <c r="S26" s="43">
        <v>0</v>
      </c>
      <c r="T26" s="43">
        <v>0</v>
      </c>
      <c r="U26" s="43">
        <v>0</v>
      </c>
      <c r="V26" s="43">
        <v>0</v>
      </c>
      <c r="W26" s="43">
        <v>0</v>
      </c>
      <c r="X26" s="44">
        <f t="shared" si="3"/>
        <v>0</v>
      </c>
      <c r="Y26" s="43">
        <v>0</v>
      </c>
      <c r="Z26" s="43">
        <v>0</v>
      </c>
      <c r="AA26" s="43">
        <v>0</v>
      </c>
      <c r="AB26" s="43">
        <v>0</v>
      </c>
      <c r="AC26" s="43">
        <v>0</v>
      </c>
      <c r="AD26" s="43">
        <v>0</v>
      </c>
      <c r="AE26" s="43">
        <v>0</v>
      </c>
      <c r="AF26" s="43">
        <v>0</v>
      </c>
      <c r="AG26" s="43">
        <v>0</v>
      </c>
      <c r="AH26" s="43">
        <v>0</v>
      </c>
      <c r="AI26" s="43">
        <v>0</v>
      </c>
      <c r="AJ26" s="43">
        <v>0</v>
      </c>
      <c r="AK26" s="44">
        <f t="shared" si="4"/>
        <v>0</v>
      </c>
      <c r="AL26" s="43">
        <v>0</v>
      </c>
      <c r="AM26" s="43">
        <v>0</v>
      </c>
      <c r="AN26" s="43">
        <v>0</v>
      </c>
      <c r="AO26" s="43">
        <v>0</v>
      </c>
      <c r="AP26" s="43">
        <v>0</v>
      </c>
      <c r="AQ26" s="43">
        <v>0</v>
      </c>
      <c r="AR26" s="43">
        <v>0</v>
      </c>
      <c r="AS26" s="43">
        <v>0</v>
      </c>
      <c r="AT26" s="43">
        <v>0</v>
      </c>
      <c r="AU26" s="43">
        <v>0</v>
      </c>
      <c r="AV26" s="43">
        <v>0</v>
      </c>
      <c r="AW26" s="43">
        <v>0</v>
      </c>
      <c r="AX26" s="44">
        <f t="shared" si="6"/>
        <v>0</v>
      </c>
      <c r="AY26" s="317">
        <f>SUMIF(Recibos!$D$4:$D$3010,Cobranza!$B26,Recibos!K$4:K$3010)</f>
        <v>0</v>
      </c>
      <c r="AZ26" s="317">
        <f>SUMIF(Recibos!$D$4:$D$3010,Cobranza!$B26,Recibos!L$4:L$3010)</f>
        <v>0</v>
      </c>
      <c r="BA26" s="317">
        <f>SUMIF(Recibos!$D$4:$D$3010,Cobranza!$B26,Recibos!M$4:M$3010)</f>
        <v>0</v>
      </c>
      <c r="BB26" s="317">
        <f>SUMIF(Recibos!$D$4:$D$3010,Cobranza!$B26,Recibos!N$4:N$3010)</f>
        <v>0</v>
      </c>
      <c r="BC26" s="317">
        <f>SUMIF(Recibos!$D$4:$D$3010,Cobranza!$B26,Recibos!O$4:O$3010)</f>
        <v>0</v>
      </c>
      <c r="BD26" s="317">
        <f>SUMIF(Recibos!$D$4:$D$3010,Cobranza!$B26,Recibos!P$4:P$3010)</f>
        <v>0</v>
      </c>
      <c r="BE26" s="317">
        <f>SUMIF(Recibos!$D$4:$D$3010,Cobranza!$B26,Recibos!Q$4:Q$3010)</f>
        <v>0</v>
      </c>
      <c r="BF26" s="317">
        <f>SUMIF(Recibos!$D$4:$D$3010,Cobranza!$B26,Recibos!R$4:R$3010)</f>
        <v>0</v>
      </c>
      <c r="BG26" s="317">
        <f>SUMIF(Recibos!$D$4:$D$3010,Cobranza!$B26,Recibos!S$4:S$3010)</f>
        <v>0</v>
      </c>
      <c r="BH26" s="317">
        <f>SUMIF(Recibos!$D$4:$D$3010,Cobranza!$B26,Recibos!T$4:T$3010)</f>
        <v>0</v>
      </c>
      <c r="BI26" s="317">
        <f>SUMIF(Recibos!$D$4:$D$3010,Cobranza!$B26,Recibos!U$4:U$3010)</f>
        <v>0</v>
      </c>
      <c r="BJ26" s="317">
        <f>SUMIF(Recibos!$D$4:$D$3010,Cobranza!$B26,Recibos!V$4:V$3010)</f>
        <v>0</v>
      </c>
      <c r="BK26" s="318">
        <f t="shared" si="7"/>
        <v>0</v>
      </c>
      <c r="BL26" s="317">
        <f>SUMIF(Recibos!$D$4:$D$3010,Cobranza!$B26,Recibos!X$4:X$3010)</f>
        <v>0</v>
      </c>
      <c r="BM26" s="317">
        <f>SUMIF(Recibos!$D$4:$D$3010,Cobranza!$B26,Recibos!Y$4:Y$3010)</f>
        <v>0</v>
      </c>
      <c r="BN26" s="317">
        <f>SUMIF(Recibos!$D$4:$D$3010,Cobranza!$B26,Recibos!Z$4:Z$3010)</f>
        <v>0</v>
      </c>
      <c r="BO26" s="317">
        <f>SUMIF(Recibos!$D$4:$D$3010,Cobranza!$B26,Recibos!AA$4:AA$3010)</f>
        <v>0</v>
      </c>
      <c r="BP26" s="317">
        <f>SUMIF(Recibos!$D$4:$D$3010,Cobranza!$B26,Recibos!AB$4:AB$3010)</f>
        <v>0</v>
      </c>
      <c r="BQ26" s="317">
        <f>SUMIF(Recibos!$D$4:$D$3010,Cobranza!$B26,Recibos!AC$4:AC$3010)</f>
        <v>0</v>
      </c>
      <c r="BR26" s="317">
        <f>SUMIF(Recibos!$D$4:$D$3010,Cobranza!$B26,Recibos!AD$4:AD$3010)</f>
        <v>0</v>
      </c>
      <c r="BS26" s="317">
        <f>SUMIF(Recibos!$D$4:$D$3010,Cobranza!$B26,Recibos!AE$4:AE$3010)</f>
        <v>0</v>
      </c>
      <c r="BT26" s="317">
        <f>SUMIF(Recibos!$D$4:$D$3010,Cobranza!$B26,Recibos!AF$4:AF$3010)</f>
        <v>0</v>
      </c>
      <c r="BU26" s="317">
        <f>SUMIF(Recibos!$D$4:$D$3010,Cobranza!$B26,Recibos!AG$4:AG$3010)</f>
        <v>0</v>
      </c>
      <c r="BV26" s="317">
        <f>SUMIF(Recibos!$D$4:$D$3010,Cobranza!$B26,Recibos!AH$4:AH$3010)</f>
        <v>0</v>
      </c>
      <c r="BW26" s="317">
        <f>SUMIF(Recibos!$D$4:$D$3010,Cobranza!$B26,Recibos!AI$4:AI$3010)</f>
        <v>0</v>
      </c>
      <c r="BX26" s="318">
        <f t="shared" si="8"/>
        <v>0</v>
      </c>
    </row>
    <row r="27" spans="2:76" x14ac:dyDescent="0.2">
      <c r="B27" s="45" t="s">
        <v>1267</v>
      </c>
      <c r="C27" s="45" t="s">
        <v>1268</v>
      </c>
      <c r="D27" s="45" t="s">
        <v>1269</v>
      </c>
      <c r="E27" s="46">
        <v>0</v>
      </c>
      <c r="F27" s="46">
        <v>0</v>
      </c>
      <c r="G27" s="46">
        <v>0</v>
      </c>
      <c r="H27" s="46">
        <v>0</v>
      </c>
      <c r="I27" s="46">
        <v>0</v>
      </c>
      <c r="J27" s="46">
        <v>0</v>
      </c>
      <c r="K27" s="47">
        <f t="shared" si="2"/>
        <v>0</v>
      </c>
      <c r="L27" s="46">
        <v>300</v>
      </c>
      <c r="M27" s="46">
        <v>300</v>
      </c>
      <c r="N27" s="46">
        <v>300</v>
      </c>
      <c r="O27" s="46">
        <v>400</v>
      </c>
      <c r="P27" s="46">
        <v>300</v>
      </c>
      <c r="Q27" s="46">
        <v>300</v>
      </c>
      <c r="R27" s="46">
        <v>300</v>
      </c>
      <c r="S27" s="46">
        <v>300</v>
      </c>
      <c r="T27" s="46">
        <v>300</v>
      </c>
      <c r="U27" s="46">
        <v>400</v>
      </c>
      <c r="V27" s="46">
        <v>400</v>
      </c>
      <c r="W27" s="46">
        <v>400</v>
      </c>
      <c r="X27" s="47">
        <f t="shared" si="3"/>
        <v>4000</v>
      </c>
      <c r="Y27" s="46">
        <v>300</v>
      </c>
      <c r="Z27" s="46">
        <v>0</v>
      </c>
      <c r="AA27" s="46">
        <v>0</v>
      </c>
      <c r="AB27" s="46">
        <v>0</v>
      </c>
      <c r="AC27" s="46">
        <v>400</v>
      </c>
      <c r="AD27" s="46">
        <v>300</v>
      </c>
      <c r="AE27" s="46">
        <v>300</v>
      </c>
      <c r="AF27" s="46">
        <v>300</v>
      </c>
      <c r="AG27" s="46">
        <v>0</v>
      </c>
      <c r="AH27" s="46">
        <v>0</v>
      </c>
      <c r="AI27" s="46">
        <v>0</v>
      </c>
      <c r="AJ27" s="46">
        <v>0</v>
      </c>
      <c r="AK27" s="47">
        <f t="shared" si="4"/>
        <v>1600</v>
      </c>
      <c r="AL27" s="46">
        <v>0</v>
      </c>
      <c r="AM27" s="46">
        <v>0</v>
      </c>
      <c r="AN27" s="46">
        <v>0</v>
      </c>
      <c r="AO27" s="46">
        <v>0</v>
      </c>
      <c r="AP27" s="46">
        <v>0</v>
      </c>
      <c r="AQ27" s="46">
        <v>0</v>
      </c>
      <c r="AR27" s="46">
        <v>0</v>
      </c>
      <c r="AS27" s="46">
        <v>0</v>
      </c>
      <c r="AT27" s="46">
        <v>0</v>
      </c>
      <c r="AU27" s="46">
        <v>0</v>
      </c>
      <c r="AV27" s="46">
        <v>0</v>
      </c>
      <c r="AW27" s="46">
        <v>0</v>
      </c>
      <c r="AX27" s="47">
        <f t="shared" si="6"/>
        <v>0</v>
      </c>
      <c r="AY27" s="319">
        <f>SUMIF(Recibos!$D$4:$D$3010,Cobranza!$B27,Recibos!K$4:K$3010)</f>
        <v>0</v>
      </c>
      <c r="AZ27" s="319">
        <f>SUMIF(Recibos!$D$4:$D$3010,Cobranza!$B27,Recibos!L$4:L$3010)</f>
        <v>0</v>
      </c>
      <c r="BA27" s="319">
        <f>SUMIF(Recibos!$D$4:$D$3010,Cobranza!$B27,Recibos!M$4:M$3010)</f>
        <v>0</v>
      </c>
      <c r="BB27" s="319">
        <f>SUMIF(Recibos!$D$4:$D$3010,Cobranza!$B27,Recibos!N$4:N$3010)</f>
        <v>0</v>
      </c>
      <c r="BC27" s="319">
        <f>SUMIF(Recibos!$D$4:$D$3010,Cobranza!$B27,Recibos!O$4:O$3010)</f>
        <v>0</v>
      </c>
      <c r="BD27" s="319">
        <f>SUMIF(Recibos!$D$4:$D$3010,Cobranza!$B27,Recibos!P$4:P$3010)</f>
        <v>0</v>
      </c>
      <c r="BE27" s="319">
        <f>SUMIF(Recibos!$D$4:$D$3010,Cobranza!$B27,Recibos!Q$4:Q$3010)</f>
        <v>0</v>
      </c>
      <c r="BF27" s="319">
        <f>SUMIF(Recibos!$D$4:$D$3010,Cobranza!$B27,Recibos!R$4:R$3010)</f>
        <v>0</v>
      </c>
      <c r="BG27" s="319">
        <f>SUMIF(Recibos!$D$4:$D$3010,Cobranza!$B27,Recibos!S$4:S$3010)</f>
        <v>0</v>
      </c>
      <c r="BH27" s="319">
        <f>SUMIF(Recibos!$D$4:$D$3010,Cobranza!$B27,Recibos!T$4:T$3010)</f>
        <v>0</v>
      </c>
      <c r="BI27" s="319">
        <f>SUMIF(Recibos!$D$4:$D$3010,Cobranza!$B27,Recibos!U$4:U$3010)</f>
        <v>0</v>
      </c>
      <c r="BJ27" s="319">
        <f>SUMIF(Recibos!$D$4:$D$3010,Cobranza!$B27,Recibos!V$4:V$3010)</f>
        <v>300</v>
      </c>
      <c r="BK27" s="320">
        <f t="shared" si="7"/>
        <v>300</v>
      </c>
      <c r="BL27" s="319">
        <f>SUMIF(Recibos!$D$4:$D$3010,Cobranza!$B27,Recibos!X$4:X$3010)</f>
        <v>0</v>
      </c>
      <c r="BM27" s="319">
        <f>SUMIF(Recibos!$D$4:$D$3010,Cobranza!$B27,Recibos!Y$4:Y$3010)</f>
        <v>0</v>
      </c>
      <c r="BN27" s="319">
        <f>SUMIF(Recibos!$D$4:$D$3010,Cobranza!$B27,Recibos!Z$4:Z$3010)</f>
        <v>0</v>
      </c>
      <c r="BO27" s="319">
        <f>SUMIF(Recibos!$D$4:$D$3010,Cobranza!$B27,Recibos!AA$4:AA$3010)</f>
        <v>0</v>
      </c>
      <c r="BP27" s="319">
        <f>SUMIF(Recibos!$D$4:$D$3010,Cobranza!$B27,Recibos!AB$4:AB$3010)</f>
        <v>0</v>
      </c>
      <c r="BQ27" s="319">
        <f>SUMIF(Recibos!$D$4:$D$3010,Cobranza!$B27,Recibos!AC$4:AC$3010)</f>
        <v>0</v>
      </c>
      <c r="BR27" s="319">
        <f>SUMIF(Recibos!$D$4:$D$3010,Cobranza!$B27,Recibos!AD$4:AD$3010)</f>
        <v>0</v>
      </c>
      <c r="BS27" s="319">
        <f>SUMIF(Recibos!$D$4:$D$3010,Cobranza!$B27,Recibos!AE$4:AE$3010)</f>
        <v>0</v>
      </c>
      <c r="BT27" s="319">
        <f>SUMIF(Recibos!$D$4:$D$3010,Cobranza!$B27,Recibos!AF$4:AF$3010)</f>
        <v>0</v>
      </c>
      <c r="BU27" s="319">
        <f>SUMIF(Recibos!$D$4:$D$3010,Cobranza!$B27,Recibos!AG$4:AG$3010)</f>
        <v>0</v>
      </c>
      <c r="BV27" s="319">
        <f>SUMIF(Recibos!$D$4:$D$3010,Cobranza!$B27,Recibos!AH$4:AH$3010)</f>
        <v>0</v>
      </c>
      <c r="BW27" s="319">
        <f>SUMIF(Recibos!$D$4:$D$3010,Cobranza!$B27,Recibos!AI$4:AI$3010)</f>
        <v>0</v>
      </c>
      <c r="BX27" s="320">
        <f t="shared" si="8"/>
        <v>0</v>
      </c>
    </row>
    <row r="28" spans="2:76" x14ac:dyDescent="0.2">
      <c r="B28" s="42" t="s">
        <v>620</v>
      </c>
      <c r="C28" s="42" t="s">
        <v>621</v>
      </c>
      <c r="D28" s="42" t="s">
        <v>366</v>
      </c>
      <c r="E28" s="43">
        <v>0</v>
      </c>
      <c r="F28" s="43">
        <v>0</v>
      </c>
      <c r="G28" s="43">
        <v>300</v>
      </c>
      <c r="H28" s="43">
        <v>300</v>
      </c>
      <c r="I28" s="43">
        <v>300</v>
      </c>
      <c r="J28" s="43">
        <v>300</v>
      </c>
      <c r="K28" s="44">
        <f t="shared" si="2"/>
        <v>1200</v>
      </c>
      <c r="L28" s="43">
        <v>300</v>
      </c>
      <c r="M28" s="43">
        <v>300</v>
      </c>
      <c r="N28" s="43">
        <v>300</v>
      </c>
      <c r="O28" s="43">
        <v>300</v>
      </c>
      <c r="P28" s="43">
        <v>300</v>
      </c>
      <c r="Q28" s="43">
        <v>300</v>
      </c>
      <c r="R28" s="43">
        <v>300</v>
      </c>
      <c r="S28" s="43">
        <v>300</v>
      </c>
      <c r="T28" s="43">
        <v>300</v>
      </c>
      <c r="U28" s="43">
        <v>400</v>
      </c>
      <c r="V28" s="43">
        <v>400</v>
      </c>
      <c r="W28" s="43">
        <v>400</v>
      </c>
      <c r="X28" s="44">
        <f t="shared" si="3"/>
        <v>3900</v>
      </c>
      <c r="Y28" s="43">
        <v>400</v>
      </c>
      <c r="Z28" s="43">
        <v>400</v>
      </c>
      <c r="AA28" s="43">
        <v>400</v>
      </c>
      <c r="AB28" s="43">
        <v>400</v>
      </c>
      <c r="AC28" s="43">
        <v>400</v>
      </c>
      <c r="AD28" s="43">
        <v>0</v>
      </c>
      <c r="AE28" s="43">
        <v>800</v>
      </c>
      <c r="AF28" s="43">
        <v>400</v>
      </c>
      <c r="AG28" s="43">
        <v>400</v>
      </c>
      <c r="AH28" s="43">
        <v>400</v>
      </c>
      <c r="AI28" s="43">
        <v>400</v>
      </c>
      <c r="AJ28" s="43">
        <v>400</v>
      </c>
      <c r="AK28" s="44">
        <f t="shared" si="4"/>
        <v>4800</v>
      </c>
      <c r="AL28" s="43">
        <v>400</v>
      </c>
      <c r="AM28" s="43">
        <v>400</v>
      </c>
      <c r="AN28" s="43">
        <v>400</v>
      </c>
      <c r="AO28" s="43">
        <v>400</v>
      </c>
      <c r="AP28" s="43">
        <v>400</v>
      </c>
      <c r="AQ28" s="43">
        <v>400</v>
      </c>
      <c r="AR28" s="43">
        <v>400</v>
      </c>
      <c r="AS28" s="43">
        <v>400</v>
      </c>
      <c r="AT28" s="43">
        <v>400</v>
      </c>
      <c r="AU28" s="43">
        <v>400</v>
      </c>
      <c r="AV28" s="43">
        <v>400</v>
      </c>
      <c r="AW28" s="43">
        <v>400</v>
      </c>
      <c r="AX28" s="44">
        <f t="shared" si="6"/>
        <v>4800</v>
      </c>
      <c r="AY28" s="317">
        <f>SUMIF(Recibos!$D$4:$D$3010,Cobranza!$B28,Recibos!K$4:K$3010)</f>
        <v>400</v>
      </c>
      <c r="AZ28" s="317">
        <f>SUMIF(Recibos!$D$4:$D$3010,Cobranza!$B28,Recibos!L$4:L$3010)</f>
        <v>400</v>
      </c>
      <c r="BA28" s="317">
        <f>SUMIF(Recibos!$D$4:$D$3010,Cobranza!$B28,Recibos!M$4:M$3010)</f>
        <v>400</v>
      </c>
      <c r="BB28" s="317">
        <f>SUMIF(Recibos!$D$4:$D$3010,Cobranza!$B28,Recibos!N$4:N$3010)</f>
        <v>400</v>
      </c>
      <c r="BC28" s="317">
        <f>SUMIF(Recibos!$D$4:$D$3010,Cobranza!$B28,Recibos!O$4:O$3010)</f>
        <v>400</v>
      </c>
      <c r="BD28" s="317">
        <f>SUMIF(Recibos!$D$4:$D$3010,Cobranza!$B28,Recibos!P$4:P$3010)</f>
        <v>400</v>
      </c>
      <c r="BE28" s="317">
        <f>SUMIF(Recibos!$D$4:$D$3010,Cobranza!$B28,Recibos!Q$4:Q$3010)</f>
        <v>400</v>
      </c>
      <c r="BF28" s="317">
        <f>SUMIF(Recibos!$D$4:$D$3010,Cobranza!$B28,Recibos!R$4:R$3010)</f>
        <v>400</v>
      </c>
      <c r="BG28" s="317">
        <f>SUMIF(Recibos!$D$4:$D$3010,Cobranza!$B28,Recibos!S$4:S$3010)</f>
        <v>400</v>
      </c>
      <c r="BH28" s="317">
        <f>SUMIF(Recibos!$D$4:$D$3010,Cobranza!$B28,Recibos!T$4:T$3010)</f>
        <v>400</v>
      </c>
      <c r="BI28" s="317">
        <f>SUMIF(Recibos!$D$4:$D$3010,Cobranza!$B28,Recibos!U$4:U$3010)</f>
        <v>400</v>
      </c>
      <c r="BJ28" s="317">
        <f>SUMIF(Recibos!$D$4:$D$3010,Cobranza!$B28,Recibos!V$4:V$3010)</f>
        <v>400</v>
      </c>
      <c r="BK28" s="318">
        <f t="shared" si="7"/>
        <v>4800</v>
      </c>
      <c r="BL28" s="317">
        <f>SUMIF(Recibos!$D$4:$D$3010,Cobranza!$B28,Recibos!X$4:X$3010)</f>
        <v>0</v>
      </c>
      <c r="BM28" s="317">
        <f>SUMIF(Recibos!$D$4:$D$3010,Cobranza!$B28,Recibos!Y$4:Y$3010)</f>
        <v>0</v>
      </c>
      <c r="BN28" s="317">
        <f>SUMIF(Recibos!$D$4:$D$3010,Cobranza!$B28,Recibos!Z$4:Z$3010)</f>
        <v>0</v>
      </c>
      <c r="BO28" s="317">
        <f>SUMIF(Recibos!$D$4:$D$3010,Cobranza!$B28,Recibos!AA$4:AA$3010)</f>
        <v>0</v>
      </c>
      <c r="BP28" s="317">
        <f>SUMIF(Recibos!$D$4:$D$3010,Cobranza!$B28,Recibos!AB$4:AB$3010)</f>
        <v>0</v>
      </c>
      <c r="BQ28" s="317">
        <f>SUMIF(Recibos!$D$4:$D$3010,Cobranza!$B28,Recibos!AC$4:AC$3010)</f>
        <v>0</v>
      </c>
      <c r="BR28" s="317">
        <f>SUMIF(Recibos!$D$4:$D$3010,Cobranza!$B28,Recibos!AD$4:AD$3010)</f>
        <v>0</v>
      </c>
      <c r="BS28" s="317">
        <f>SUMIF(Recibos!$D$4:$D$3010,Cobranza!$B28,Recibos!AE$4:AE$3010)</f>
        <v>0</v>
      </c>
      <c r="BT28" s="317">
        <f>SUMIF(Recibos!$D$4:$D$3010,Cobranza!$B28,Recibos!AF$4:AF$3010)</f>
        <v>0</v>
      </c>
      <c r="BU28" s="317">
        <f>SUMIF(Recibos!$D$4:$D$3010,Cobranza!$B28,Recibos!AG$4:AG$3010)</f>
        <v>0</v>
      </c>
      <c r="BV28" s="317">
        <f>SUMIF(Recibos!$D$4:$D$3010,Cobranza!$B28,Recibos!AH$4:AH$3010)</f>
        <v>0</v>
      </c>
      <c r="BW28" s="317">
        <f>SUMIF(Recibos!$D$4:$D$3010,Cobranza!$B28,Recibos!AI$4:AI$3010)</f>
        <v>0</v>
      </c>
      <c r="BX28" s="318">
        <f t="shared" si="8"/>
        <v>0</v>
      </c>
    </row>
    <row r="29" spans="2:76" x14ac:dyDescent="0.2">
      <c r="B29" s="45" t="s">
        <v>150</v>
      </c>
      <c r="C29" s="45" t="s">
        <v>151</v>
      </c>
      <c r="D29" s="45" t="s">
        <v>152</v>
      </c>
      <c r="E29" s="46">
        <v>0</v>
      </c>
      <c r="F29" s="46">
        <v>0</v>
      </c>
      <c r="G29" s="46">
        <v>0</v>
      </c>
      <c r="H29" s="46">
        <v>0</v>
      </c>
      <c r="I29" s="46">
        <v>0</v>
      </c>
      <c r="J29" s="46">
        <v>300</v>
      </c>
      <c r="K29" s="47">
        <f t="shared" si="2"/>
        <v>300</v>
      </c>
      <c r="L29" s="46">
        <v>300</v>
      </c>
      <c r="M29" s="46">
        <v>300</v>
      </c>
      <c r="N29" s="46">
        <v>300</v>
      </c>
      <c r="O29" s="46">
        <v>300</v>
      </c>
      <c r="P29" s="46">
        <v>300</v>
      </c>
      <c r="Q29" s="46">
        <v>300</v>
      </c>
      <c r="R29" s="46">
        <v>300</v>
      </c>
      <c r="S29" s="46">
        <v>300</v>
      </c>
      <c r="T29" s="46">
        <v>300</v>
      </c>
      <c r="U29" s="46">
        <v>400</v>
      </c>
      <c r="V29" s="46">
        <v>400</v>
      </c>
      <c r="W29" s="46">
        <v>400</v>
      </c>
      <c r="X29" s="47">
        <f t="shared" si="3"/>
        <v>3900</v>
      </c>
      <c r="Y29" s="46">
        <v>400</v>
      </c>
      <c r="Z29" s="46">
        <v>400</v>
      </c>
      <c r="AA29" s="46">
        <v>400</v>
      </c>
      <c r="AB29" s="46">
        <v>400</v>
      </c>
      <c r="AC29" s="46">
        <v>400</v>
      </c>
      <c r="AD29" s="46">
        <v>400</v>
      </c>
      <c r="AE29" s="46">
        <v>400</v>
      </c>
      <c r="AF29" s="46">
        <v>400</v>
      </c>
      <c r="AG29" s="46">
        <v>400</v>
      </c>
      <c r="AH29" s="46">
        <v>400</v>
      </c>
      <c r="AI29" s="46">
        <v>400</v>
      </c>
      <c r="AJ29" s="46">
        <v>400</v>
      </c>
      <c r="AK29" s="47">
        <f t="shared" si="4"/>
        <v>4800</v>
      </c>
      <c r="AL29" s="46">
        <v>400</v>
      </c>
      <c r="AM29" s="46">
        <v>400</v>
      </c>
      <c r="AN29" s="46">
        <v>400</v>
      </c>
      <c r="AO29" s="46">
        <v>400</v>
      </c>
      <c r="AP29" s="46">
        <v>400</v>
      </c>
      <c r="AQ29" s="46">
        <v>400</v>
      </c>
      <c r="AR29" s="46">
        <v>400</v>
      </c>
      <c r="AS29" s="46">
        <v>400</v>
      </c>
      <c r="AT29" s="46">
        <v>400</v>
      </c>
      <c r="AU29" s="46">
        <v>400</v>
      </c>
      <c r="AV29" s="46">
        <v>400</v>
      </c>
      <c r="AW29" s="46">
        <v>400</v>
      </c>
      <c r="AX29" s="47">
        <f t="shared" si="6"/>
        <v>4800</v>
      </c>
      <c r="AY29" s="319">
        <f>SUMIF(Recibos!$D$4:$D$3010,Cobranza!$B29,Recibos!K$4:K$3010)</f>
        <v>400</v>
      </c>
      <c r="AZ29" s="319">
        <f>SUMIF(Recibos!$D$4:$D$3010,Cobranza!$B29,Recibos!L$4:L$3010)</f>
        <v>400</v>
      </c>
      <c r="BA29" s="319">
        <f>SUMIF(Recibos!$D$4:$D$3010,Cobranza!$B29,Recibos!M$4:M$3010)</f>
        <v>400</v>
      </c>
      <c r="BB29" s="319">
        <f>SUMIF(Recibos!$D$4:$D$3010,Cobranza!$B29,Recibos!N$4:N$3010)</f>
        <v>400</v>
      </c>
      <c r="BC29" s="319">
        <f>SUMIF(Recibos!$D$4:$D$3010,Cobranza!$B29,Recibos!O$4:O$3010)</f>
        <v>400</v>
      </c>
      <c r="BD29" s="319">
        <f>SUMIF(Recibos!$D$4:$D$3010,Cobranza!$B29,Recibos!P$4:P$3010)</f>
        <v>400</v>
      </c>
      <c r="BE29" s="319">
        <f>SUMIF(Recibos!$D$4:$D$3010,Cobranza!$B29,Recibos!Q$4:Q$3010)</f>
        <v>400</v>
      </c>
      <c r="BF29" s="319">
        <f>SUMIF(Recibos!$D$4:$D$3010,Cobranza!$B29,Recibos!R$4:R$3010)</f>
        <v>400</v>
      </c>
      <c r="BG29" s="319">
        <f>SUMIF(Recibos!$D$4:$D$3010,Cobranza!$B29,Recibos!S$4:S$3010)</f>
        <v>400</v>
      </c>
      <c r="BH29" s="319">
        <f>SUMIF(Recibos!$D$4:$D$3010,Cobranza!$B29,Recibos!T$4:T$3010)</f>
        <v>400</v>
      </c>
      <c r="BI29" s="319">
        <f>SUMIF(Recibos!$D$4:$D$3010,Cobranza!$B29,Recibos!U$4:U$3010)</f>
        <v>400</v>
      </c>
      <c r="BJ29" s="319">
        <f>SUMIF(Recibos!$D$4:$D$3010,Cobranza!$B29,Recibos!V$4:V$3010)</f>
        <v>400</v>
      </c>
      <c r="BK29" s="320">
        <f t="shared" si="7"/>
        <v>4800</v>
      </c>
      <c r="BL29" s="319">
        <f>SUMIF(Recibos!$D$4:$D$3010,Cobranza!$B29,Recibos!X$4:X$3010)</f>
        <v>400</v>
      </c>
      <c r="BM29" s="319">
        <f>SUMIF(Recibos!$D$4:$D$3010,Cobranza!$B29,Recibos!Y$4:Y$3010)</f>
        <v>0</v>
      </c>
      <c r="BN29" s="319">
        <f>SUMIF(Recibos!$D$4:$D$3010,Cobranza!$B29,Recibos!Z$4:Z$3010)</f>
        <v>0</v>
      </c>
      <c r="BO29" s="319">
        <f>SUMIF(Recibos!$D$4:$D$3010,Cobranza!$B29,Recibos!AA$4:AA$3010)</f>
        <v>0</v>
      </c>
      <c r="BP29" s="319">
        <f>SUMIF(Recibos!$D$4:$D$3010,Cobranza!$B29,Recibos!AB$4:AB$3010)</f>
        <v>0</v>
      </c>
      <c r="BQ29" s="319">
        <f>SUMIF(Recibos!$D$4:$D$3010,Cobranza!$B29,Recibos!AC$4:AC$3010)</f>
        <v>0</v>
      </c>
      <c r="BR29" s="319">
        <f>SUMIF(Recibos!$D$4:$D$3010,Cobranza!$B29,Recibos!AD$4:AD$3010)</f>
        <v>0</v>
      </c>
      <c r="BS29" s="319">
        <f>SUMIF(Recibos!$D$4:$D$3010,Cobranza!$B29,Recibos!AE$4:AE$3010)</f>
        <v>0</v>
      </c>
      <c r="BT29" s="319">
        <f>SUMIF(Recibos!$D$4:$D$3010,Cobranza!$B29,Recibos!AF$4:AF$3010)</f>
        <v>0</v>
      </c>
      <c r="BU29" s="319">
        <f>SUMIF(Recibos!$D$4:$D$3010,Cobranza!$B29,Recibos!AG$4:AG$3010)</f>
        <v>0</v>
      </c>
      <c r="BV29" s="319">
        <f>SUMIF(Recibos!$D$4:$D$3010,Cobranza!$B29,Recibos!AH$4:AH$3010)</f>
        <v>0</v>
      </c>
      <c r="BW29" s="319">
        <f>SUMIF(Recibos!$D$4:$D$3010,Cobranza!$B29,Recibos!AI$4:AI$3010)</f>
        <v>0</v>
      </c>
      <c r="BX29" s="320">
        <f t="shared" si="8"/>
        <v>400</v>
      </c>
    </row>
    <row r="30" spans="2:76" x14ac:dyDescent="0.2">
      <c r="B30" s="42" t="s">
        <v>1095</v>
      </c>
      <c r="C30" s="42" t="s">
        <v>1096</v>
      </c>
      <c r="D30" s="42" t="s">
        <v>765</v>
      </c>
      <c r="E30" s="43">
        <v>0</v>
      </c>
      <c r="F30" s="43">
        <v>0</v>
      </c>
      <c r="G30" s="43">
        <v>0</v>
      </c>
      <c r="H30" s="43">
        <v>0</v>
      </c>
      <c r="I30" s="43">
        <v>0</v>
      </c>
      <c r="J30" s="43">
        <v>150</v>
      </c>
      <c r="K30" s="44">
        <f t="shared" si="2"/>
        <v>150</v>
      </c>
      <c r="L30" s="43">
        <v>150</v>
      </c>
      <c r="M30" s="43">
        <v>150</v>
      </c>
      <c r="N30" s="43">
        <v>150</v>
      </c>
      <c r="O30" s="43">
        <v>150</v>
      </c>
      <c r="P30" s="43">
        <v>150</v>
      </c>
      <c r="Q30" s="43">
        <v>150</v>
      </c>
      <c r="R30" s="43">
        <v>150</v>
      </c>
      <c r="S30" s="43">
        <v>150</v>
      </c>
      <c r="T30" s="43">
        <v>150</v>
      </c>
      <c r="U30" s="43">
        <v>150</v>
      </c>
      <c r="V30" s="43">
        <v>150</v>
      </c>
      <c r="W30" s="43">
        <v>150</v>
      </c>
      <c r="X30" s="44">
        <f t="shared" si="3"/>
        <v>1800</v>
      </c>
      <c r="Y30" s="43">
        <v>150</v>
      </c>
      <c r="Z30" s="43">
        <v>150</v>
      </c>
      <c r="AA30" s="43">
        <v>150</v>
      </c>
      <c r="AB30" s="43">
        <v>150</v>
      </c>
      <c r="AC30" s="43">
        <v>150</v>
      </c>
      <c r="AD30" s="43">
        <v>150</v>
      </c>
      <c r="AE30" s="43">
        <v>150</v>
      </c>
      <c r="AF30" s="43">
        <v>150</v>
      </c>
      <c r="AG30" s="43">
        <v>150</v>
      </c>
      <c r="AH30" s="43">
        <v>150</v>
      </c>
      <c r="AI30" s="43">
        <v>0</v>
      </c>
      <c r="AJ30" s="43">
        <v>0</v>
      </c>
      <c r="AK30" s="44">
        <f t="shared" si="4"/>
        <v>1500</v>
      </c>
      <c r="AL30" s="43">
        <v>0</v>
      </c>
      <c r="AM30" s="43">
        <v>0</v>
      </c>
      <c r="AN30" s="43">
        <v>0</v>
      </c>
      <c r="AO30" s="43">
        <v>0</v>
      </c>
      <c r="AP30" s="43">
        <v>0</v>
      </c>
      <c r="AQ30" s="43">
        <v>0</v>
      </c>
      <c r="AR30" s="43">
        <v>0</v>
      </c>
      <c r="AS30" s="43">
        <v>0</v>
      </c>
      <c r="AT30" s="43">
        <v>0</v>
      </c>
      <c r="AU30" s="43">
        <v>0</v>
      </c>
      <c r="AV30" s="43">
        <v>0</v>
      </c>
      <c r="AW30" s="43">
        <v>0</v>
      </c>
      <c r="AX30" s="44">
        <f t="shared" si="6"/>
        <v>0</v>
      </c>
      <c r="AY30" s="317">
        <f>SUMIF(Recibos!$D$4:$D$3010,Cobranza!$B30,Recibos!K$4:K$3010)</f>
        <v>0</v>
      </c>
      <c r="AZ30" s="317">
        <f>SUMIF(Recibos!$D$4:$D$3010,Cobranza!$B30,Recibos!L$4:L$3010)</f>
        <v>0</v>
      </c>
      <c r="BA30" s="317">
        <f>SUMIF(Recibos!$D$4:$D$3010,Cobranza!$B30,Recibos!M$4:M$3010)</f>
        <v>0</v>
      </c>
      <c r="BB30" s="317">
        <f>SUMIF(Recibos!$D$4:$D$3010,Cobranza!$B30,Recibos!N$4:N$3010)</f>
        <v>0</v>
      </c>
      <c r="BC30" s="317">
        <f>SUMIF(Recibos!$D$4:$D$3010,Cobranza!$B30,Recibos!O$4:O$3010)</f>
        <v>0</v>
      </c>
      <c r="BD30" s="317">
        <f>SUMIF(Recibos!$D$4:$D$3010,Cobranza!$B30,Recibos!P$4:P$3010)</f>
        <v>0</v>
      </c>
      <c r="BE30" s="317">
        <f>SUMIF(Recibos!$D$4:$D$3010,Cobranza!$B30,Recibos!Q$4:Q$3010)</f>
        <v>0</v>
      </c>
      <c r="BF30" s="317">
        <f>SUMIF(Recibos!$D$4:$D$3010,Cobranza!$B30,Recibos!R$4:R$3010)</f>
        <v>250</v>
      </c>
      <c r="BG30" s="317">
        <f>SUMIF(Recibos!$D$4:$D$3010,Cobranza!$B30,Recibos!S$4:S$3010)</f>
        <v>250</v>
      </c>
      <c r="BH30" s="317">
        <f>SUMIF(Recibos!$D$4:$D$3010,Cobranza!$B30,Recibos!T$4:T$3010)</f>
        <v>250</v>
      </c>
      <c r="BI30" s="317">
        <f>SUMIF(Recibos!$D$4:$D$3010,Cobranza!$B30,Recibos!U$4:U$3010)</f>
        <v>250</v>
      </c>
      <c r="BJ30" s="317">
        <f>SUMIF(Recibos!$D$4:$D$3010,Cobranza!$B30,Recibos!V$4:V$3010)</f>
        <v>250</v>
      </c>
      <c r="BK30" s="318">
        <f t="shared" si="7"/>
        <v>1250</v>
      </c>
      <c r="BL30" s="317">
        <f>SUMIF(Recibos!$D$4:$D$3010,Cobranza!$B30,Recibos!X$4:X$3010)</f>
        <v>0</v>
      </c>
      <c r="BM30" s="317">
        <f>SUMIF(Recibos!$D$4:$D$3010,Cobranza!$B30,Recibos!Y$4:Y$3010)</f>
        <v>0</v>
      </c>
      <c r="BN30" s="317">
        <f>SUMIF(Recibos!$D$4:$D$3010,Cobranza!$B30,Recibos!Z$4:Z$3010)</f>
        <v>0</v>
      </c>
      <c r="BO30" s="317">
        <f>SUMIF(Recibos!$D$4:$D$3010,Cobranza!$B30,Recibos!AA$4:AA$3010)</f>
        <v>0</v>
      </c>
      <c r="BP30" s="317">
        <f>SUMIF(Recibos!$D$4:$D$3010,Cobranza!$B30,Recibos!AB$4:AB$3010)</f>
        <v>0</v>
      </c>
      <c r="BQ30" s="317">
        <f>SUMIF(Recibos!$D$4:$D$3010,Cobranza!$B30,Recibos!AC$4:AC$3010)</f>
        <v>0</v>
      </c>
      <c r="BR30" s="317">
        <f>SUMIF(Recibos!$D$4:$D$3010,Cobranza!$B30,Recibos!AD$4:AD$3010)</f>
        <v>0</v>
      </c>
      <c r="BS30" s="317">
        <f>SUMIF(Recibos!$D$4:$D$3010,Cobranza!$B30,Recibos!AE$4:AE$3010)</f>
        <v>0</v>
      </c>
      <c r="BT30" s="317">
        <f>SUMIF(Recibos!$D$4:$D$3010,Cobranza!$B30,Recibos!AF$4:AF$3010)</f>
        <v>0</v>
      </c>
      <c r="BU30" s="317">
        <f>SUMIF(Recibos!$D$4:$D$3010,Cobranza!$B30,Recibos!AG$4:AG$3010)</f>
        <v>0</v>
      </c>
      <c r="BV30" s="317">
        <f>SUMIF(Recibos!$D$4:$D$3010,Cobranza!$B30,Recibos!AH$4:AH$3010)</f>
        <v>0</v>
      </c>
      <c r="BW30" s="317">
        <f>SUMIF(Recibos!$D$4:$D$3010,Cobranza!$B30,Recibos!AI$4:AI$3010)</f>
        <v>0</v>
      </c>
      <c r="BX30" s="318">
        <f t="shared" si="8"/>
        <v>0</v>
      </c>
    </row>
    <row r="31" spans="2:76" x14ac:dyDescent="0.2">
      <c r="B31" s="45" t="s">
        <v>803</v>
      </c>
      <c r="C31" s="45" t="s">
        <v>804</v>
      </c>
      <c r="D31" s="45" t="s">
        <v>312</v>
      </c>
      <c r="E31" s="46">
        <v>0</v>
      </c>
      <c r="F31" s="46">
        <v>0</v>
      </c>
      <c r="G31" s="46">
        <v>0</v>
      </c>
      <c r="H31" s="46">
        <v>0</v>
      </c>
      <c r="I31" s="46">
        <v>0</v>
      </c>
      <c r="J31" s="46">
        <v>300</v>
      </c>
      <c r="K31" s="47">
        <f t="shared" si="2"/>
        <v>300</v>
      </c>
      <c r="L31" s="46">
        <v>300</v>
      </c>
      <c r="M31" s="46">
        <v>300</v>
      </c>
      <c r="N31" s="46">
        <v>300</v>
      </c>
      <c r="O31" s="46">
        <v>300</v>
      </c>
      <c r="P31" s="46">
        <v>300</v>
      </c>
      <c r="Q31" s="46">
        <v>300</v>
      </c>
      <c r="R31" s="46">
        <v>300</v>
      </c>
      <c r="S31" s="46">
        <v>300</v>
      </c>
      <c r="T31" s="46">
        <v>300</v>
      </c>
      <c r="U31" s="46">
        <v>400</v>
      </c>
      <c r="V31" s="46">
        <v>400</v>
      </c>
      <c r="W31" s="46">
        <v>400</v>
      </c>
      <c r="X31" s="47">
        <f t="shared" si="3"/>
        <v>3900</v>
      </c>
      <c r="Y31" s="46">
        <v>400</v>
      </c>
      <c r="Z31" s="46">
        <v>400</v>
      </c>
      <c r="AA31" s="46">
        <v>400</v>
      </c>
      <c r="AB31" s="46">
        <v>800</v>
      </c>
      <c r="AC31" s="46">
        <v>400</v>
      </c>
      <c r="AD31" s="46">
        <v>400</v>
      </c>
      <c r="AE31" s="46">
        <v>0</v>
      </c>
      <c r="AF31" s="46">
        <v>400</v>
      </c>
      <c r="AG31" s="46">
        <v>400</v>
      </c>
      <c r="AH31" s="46">
        <v>400</v>
      </c>
      <c r="AI31" s="46">
        <v>400</v>
      </c>
      <c r="AJ31" s="46">
        <v>400</v>
      </c>
      <c r="AK31" s="47">
        <f t="shared" si="4"/>
        <v>4800</v>
      </c>
      <c r="AL31" s="46">
        <v>400</v>
      </c>
      <c r="AM31" s="46">
        <v>400</v>
      </c>
      <c r="AN31" s="46">
        <v>400</v>
      </c>
      <c r="AO31" s="46">
        <v>400</v>
      </c>
      <c r="AP31" s="46">
        <v>400</v>
      </c>
      <c r="AQ31" s="46">
        <v>400</v>
      </c>
      <c r="AR31" s="46">
        <v>400</v>
      </c>
      <c r="AS31" s="46">
        <v>400</v>
      </c>
      <c r="AT31" s="46">
        <v>400</v>
      </c>
      <c r="AU31" s="46">
        <v>400</v>
      </c>
      <c r="AV31" s="46">
        <v>400</v>
      </c>
      <c r="AW31" s="46">
        <v>400</v>
      </c>
      <c r="AX31" s="47">
        <f t="shared" si="6"/>
        <v>4800</v>
      </c>
      <c r="AY31" s="319">
        <f>SUMIF(Recibos!$D$4:$D$3010,Cobranza!$B31,Recibos!K$4:K$3010)</f>
        <v>0</v>
      </c>
      <c r="AZ31" s="319">
        <f>SUMIF(Recibos!$D$4:$D$3010,Cobranza!$B31,Recibos!L$4:L$3010)</f>
        <v>400</v>
      </c>
      <c r="BA31" s="319">
        <f>SUMIF(Recibos!$D$4:$D$3010,Cobranza!$B31,Recibos!M$4:M$3010)</f>
        <v>400</v>
      </c>
      <c r="BB31" s="319">
        <f>SUMIF(Recibos!$D$4:$D$3010,Cobranza!$B31,Recibos!N$4:N$3010)</f>
        <v>400</v>
      </c>
      <c r="BC31" s="319">
        <f>SUMIF(Recibos!$D$4:$D$3010,Cobranza!$B31,Recibos!O$4:O$3010)</f>
        <v>400</v>
      </c>
      <c r="BD31" s="319">
        <f>SUMIF(Recibos!$D$4:$D$3010,Cobranza!$B31,Recibos!P$4:P$3010)</f>
        <v>400</v>
      </c>
      <c r="BE31" s="319">
        <f>SUMIF(Recibos!$D$4:$D$3010,Cobranza!$B31,Recibos!Q$4:Q$3010)</f>
        <v>400</v>
      </c>
      <c r="BF31" s="319">
        <f>SUMIF(Recibos!$D$4:$D$3010,Cobranza!$B31,Recibos!R$4:R$3010)</f>
        <v>400</v>
      </c>
      <c r="BG31" s="319">
        <f>SUMIF(Recibos!$D$4:$D$3010,Cobranza!$B31,Recibos!S$4:S$3010)</f>
        <v>400</v>
      </c>
      <c r="BH31" s="319">
        <f>SUMIF(Recibos!$D$4:$D$3010,Cobranza!$B31,Recibos!T$4:T$3010)</f>
        <v>400</v>
      </c>
      <c r="BI31" s="319">
        <f>SUMIF(Recibos!$D$4:$D$3010,Cobranza!$B31,Recibos!U$4:U$3010)</f>
        <v>400</v>
      </c>
      <c r="BJ31" s="319">
        <f>SUMIF(Recibos!$D$4:$D$3010,Cobranza!$B31,Recibos!V$4:V$3010)</f>
        <v>0</v>
      </c>
      <c r="BK31" s="320">
        <f t="shared" si="7"/>
        <v>4000</v>
      </c>
      <c r="BL31" s="319">
        <f>SUMIF(Recibos!$D$4:$D$3010,Cobranza!$B31,Recibos!X$4:X$3010)</f>
        <v>0</v>
      </c>
      <c r="BM31" s="319">
        <f>SUMIF(Recibos!$D$4:$D$3010,Cobranza!$B31,Recibos!Y$4:Y$3010)</f>
        <v>0</v>
      </c>
      <c r="BN31" s="319">
        <f>SUMIF(Recibos!$D$4:$D$3010,Cobranza!$B31,Recibos!Z$4:Z$3010)</f>
        <v>0</v>
      </c>
      <c r="BO31" s="319">
        <f>SUMIF(Recibos!$D$4:$D$3010,Cobranza!$B31,Recibos!AA$4:AA$3010)</f>
        <v>0</v>
      </c>
      <c r="BP31" s="319">
        <f>SUMIF(Recibos!$D$4:$D$3010,Cobranza!$B31,Recibos!AB$4:AB$3010)</f>
        <v>0</v>
      </c>
      <c r="BQ31" s="319">
        <f>SUMIF(Recibos!$D$4:$D$3010,Cobranza!$B31,Recibos!AC$4:AC$3010)</f>
        <v>0</v>
      </c>
      <c r="BR31" s="319">
        <f>SUMIF(Recibos!$D$4:$D$3010,Cobranza!$B31,Recibos!AD$4:AD$3010)</f>
        <v>0</v>
      </c>
      <c r="BS31" s="319">
        <f>SUMIF(Recibos!$D$4:$D$3010,Cobranza!$B31,Recibos!AE$4:AE$3010)</f>
        <v>0</v>
      </c>
      <c r="BT31" s="319">
        <f>SUMIF(Recibos!$D$4:$D$3010,Cobranza!$B31,Recibos!AF$4:AF$3010)</f>
        <v>0</v>
      </c>
      <c r="BU31" s="319">
        <f>SUMIF(Recibos!$D$4:$D$3010,Cobranza!$B31,Recibos!AG$4:AG$3010)</f>
        <v>0</v>
      </c>
      <c r="BV31" s="319">
        <f>SUMIF(Recibos!$D$4:$D$3010,Cobranza!$B31,Recibos!AH$4:AH$3010)</f>
        <v>0</v>
      </c>
      <c r="BW31" s="319">
        <f>SUMIF(Recibos!$D$4:$D$3010,Cobranza!$B31,Recibos!AI$4:AI$3010)</f>
        <v>0</v>
      </c>
      <c r="BX31" s="320">
        <f t="shared" si="8"/>
        <v>0</v>
      </c>
    </row>
    <row r="32" spans="2:76" x14ac:dyDescent="0.2">
      <c r="B32" s="42" t="s">
        <v>1058</v>
      </c>
      <c r="C32" s="42" t="s">
        <v>1059</v>
      </c>
      <c r="D32" s="42" t="s">
        <v>1060</v>
      </c>
      <c r="E32" s="43">
        <v>300</v>
      </c>
      <c r="F32" s="43">
        <v>300</v>
      </c>
      <c r="G32" s="43">
        <v>0</v>
      </c>
      <c r="H32" s="43">
        <v>0</v>
      </c>
      <c r="I32" s="43">
        <v>0</v>
      </c>
      <c r="J32" s="43">
        <v>0</v>
      </c>
      <c r="K32" s="44">
        <f t="shared" si="2"/>
        <v>600</v>
      </c>
      <c r="L32" s="43">
        <v>0</v>
      </c>
      <c r="M32" s="43">
        <v>0</v>
      </c>
      <c r="N32" s="43">
        <v>0</v>
      </c>
      <c r="O32" s="43">
        <v>0</v>
      </c>
      <c r="P32" s="43">
        <v>0</v>
      </c>
      <c r="Q32" s="43">
        <v>0</v>
      </c>
      <c r="R32" s="43">
        <v>0</v>
      </c>
      <c r="S32" s="43">
        <v>0</v>
      </c>
      <c r="T32" s="43">
        <v>0</v>
      </c>
      <c r="U32" s="43">
        <v>0</v>
      </c>
      <c r="V32" s="43">
        <v>0</v>
      </c>
      <c r="W32" s="43">
        <v>0</v>
      </c>
      <c r="X32" s="44">
        <f t="shared" si="3"/>
        <v>0</v>
      </c>
      <c r="Y32" s="43">
        <v>0</v>
      </c>
      <c r="Z32" s="43">
        <v>0</v>
      </c>
      <c r="AA32" s="43">
        <v>0</v>
      </c>
      <c r="AB32" s="43">
        <v>0</v>
      </c>
      <c r="AC32" s="43">
        <v>0</v>
      </c>
      <c r="AD32" s="43">
        <v>0</v>
      </c>
      <c r="AE32" s="43">
        <v>0</v>
      </c>
      <c r="AF32" s="43">
        <v>0</v>
      </c>
      <c r="AG32" s="43">
        <v>0</v>
      </c>
      <c r="AH32" s="43">
        <v>0</v>
      </c>
      <c r="AI32" s="43">
        <v>0</v>
      </c>
      <c r="AJ32" s="43">
        <v>0</v>
      </c>
      <c r="AK32" s="44">
        <f t="shared" si="4"/>
        <v>0</v>
      </c>
      <c r="AL32" s="43">
        <v>0</v>
      </c>
      <c r="AM32" s="43">
        <v>0</v>
      </c>
      <c r="AN32" s="43">
        <v>0</v>
      </c>
      <c r="AO32" s="43">
        <v>0</v>
      </c>
      <c r="AP32" s="43">
        <v>0</v>
      </c>
      <c r="AQ32" s="43">
        <v>0</v>
      </c>
      <c r="AR32" s="43">
        <v>0</v>
      </c>
      <c r="AS32" s="43">
        <v>0</v>
      </c>
      <c r="AT32" s="43">
        <v>0</v>
      </c>
      <c r="AU32" s="43">
        <v>0</v>
      </c>
      <c r="AV32" s="43">
        <v>0</v>
      </c>
      <c r="AW32" s="43">
        <v>0</v>
      </c>
      <c r="AX32" s="44">
        <f t="shared" si="6"/>
        <v>0</v>
      </c>
      <c r="AY32" s="317">
        <f>SUMIF(Recibos!$D$4:$D$3010,Cobranza!$B32,Recibos!K$4:K$3010)</f>
        <v>0</v>
      </c>
      <c r="AZ32" s="317">
        <f>SUMIF(Recibos!$D$4:$D$3010,Cobranza!$B32,Recibos!L$4:L$3010)</f>
        <v>0</v>
      </c>
      <c r="BA32" s="317">
        <f>SUMIF(Recibos!$D$4:$D$3010,Cobranza!$B32,Recibos!M$4:M$3010)</f>
        <v>0</v>
      </c>
      <c r="BB32" s="317">
        <f>SUMIF(Recibos!$D$4:$D$3010,Cobranza!$B32,Recibos!N$4:N$3010)</f>
        <v>0</v>
      </c>
      <c r="BC32" s="317">
        <f>SUMIF(Recibos!$D$4:$D$3010,Cobranza!$B32,Recibos!O$4:O$3010)</f>
        <v>0</v>
      </c>
      <c r="BD32" s="317">
        <f>SUMIF(Recibos!$D$4:$D$3010,Cobranza!$B32,Recibos!P$4:P$3010)</f>
        <v>0</v>
      </c>
      <c r="BE32" s="317">
        <f>SUMIF(Recibos!$D$4:$D$3010,Cobranza!$B32,Recibos!Q$4:Q$3010)</f>
        <v>0</v>
      </c>
      <c r="BF32" s="317">
        <f>SUMIF(Recibos!$D$4:$D$3010,Cobranza!$B32,Recibos!R$4:R$3010)</f>
        <v>0</v>
      </c>
      <c r="BG32" s="317">
        <f>SUMIF(Recibos!$D$4:$D$3010,Cobranza!$B32,Recibos!S$4:S$3010)</f>
        <v>0</v>
      </c>
      <c r="BH32" s="317">
        <f>SUMIF(Recibos!$D$4:$D$3010,Cobranza!$B32,Recibos!T$4:T$3010)</f>
        <v>0</v>
      </c>
      <c r="BI32" s="317">
        <f>SUMIF(Recibos!$D$4:$D$3010,Cobranza!$B32,Recibos!U$4:U$3010)</f>
        <v>0</v>
      </c>
      <c r="BJ32" s="317">
        <f>SUMIF(Recibos!$D$4:$D$3010,Cobranza!$B32,Recibos!V$4:V$3010)</f>
        <v>0</v>
      </c>
      <c r="BK32" s="318">
        <f t="shared" si="7"/>
        <v>0</v>
      </c>
      <c r="BL32" s="317">
        <f>SUMIF(Recibos!$D$4:$D$3010,Cobranza!$B32,Recibos!X$4:X$3010)</f>
        <v>0</v>
      </c>
      <c r="BM32" s="317">
        <f>SUMIF(Recibos!$D$4:$D$3010,Cobranza!$B32,Recibos!Y$4:Y$3010)</f>
        <v>0</v>
      </c>
      <c r="BN32" s="317">
        <f>SUMIF(Recibos!$D$4:$D$3010,Cobranza!$B32,Recibos!Z$4:Z$3010)</f>
        <v>0</v>
      </c>
      <c r="BO32" s="317">
        <f>SUMIF(Recibos!$D$4:$D$3010,Cobranza!$B32,Recibos!AA$4:AA$3010)</f>
        <v>0</v>
      </c>
      <c r="BP32" s="317">
        <f>SUMIF(Recibos!$D$4:$D$3010,Cobranza!$B32,Recibos!AB$4:AB$3010)</f>
        <v>0</v>
      </c>
      <c r="BQ32" s="317">
        <f>SUMIF(Recibos!$D$4:$D$3010,Cobranza!$B32,Recibos!AC$4:AC$3010)</f>
        <v>0</v>
      </c>
      <c r="BR32" s="317">
        <f>SUMIF(Recibos!$D$4:$D$3010,Cobranza!$B32,Recibos!AD$4:AD$3010)</f>
        <v>0</v>
      </c>
      <c r="BS32" s="317">
        <f>SUMIF(Recibos!$D$4:$D$3010,Cobranza!$B32,Recibos!AE$4:AE$3010)</f>
        <v>0</v>
      </c>
      <c r="BT32" s="317">
        <f>SUMIF(Recibos!$D$4:$D$3010,Cobranza!$B32,Recibos!AF$4:AF$3010)</f>
        <v>0</v>
      </c>
      <c r="BU32" s="317">
        <f>SUMIF(Recibos!$D$4:$D$3010,Cobranza!$B32,Recibos!AG$4:AG$3010)</f>
        <v>0</v>
      </c>
      <c r="BV32" s="317">
        <f>SUMIF(Recibos!$D$4:$D$3010,Cobranza!$B32,Recibos!AH$4:AH$3010)</f>
        <v>0</v>
      </c>
      <c r="BW32" s="317">
        <f>SUMIF(Recibos!$D$4:$D$3010,Cobranza!$B32,Recibos!AI$4:AI$3010)</f>
        <v>0</v>
      </c>
      <c r="BX32" s="318">
        <f t="shared" si="8"/>
        <v>0</v>
      </c>
    </row>
    <row r="33" spans="2:76" x14ac:dyDescent="0.2">
      <c r="B33" s="45" t="s">
        <v>1079</v>
      </c>
      <c r="C33" s="45" t="s">
        <v>1080</v>
      </c>
      <c r="D33" s="45" t="s">
        <v>1081</v>
      </c>
      <c r="E33" s="46">
        <v>0</v>
      </c>
      <c r="F33" s="46">
        <v>0</v>
      </c>
      <c r="G33" s="46">
        <v>0</v>
      </c>
      <c r="H33" s="46">
        <v>0</v>
      </c>
      <c r="I33" s="46">
        <v>0</v>
      </c>
      <c r="J33" s="46">
        <v>0</v>
      </c>
      <c r="K33" s="47">
        <f t="shared" si="2"/>
        <v>0</v>
      </c>
      <c r="L33" s="46">
        <v>0</v>
      </c>
      <c r="M33" s="46">
        <v>0</v>
      </c>
      <c r="N33" s="46">
        <v>0</v>
      </c>
      <c r="O33" s="46">
        <v>0</v>
      </c>
      <c r="P33" s="46">
        <v>0</v>
      </c>
      <c r="Q33" s="46">
        <v>0</v>
      </c>
      <c r="R33" s="46">
        <v>0</v>
      </c>
      <c r="S33" s="46">
        <v>0</v>
      </c>
      <c r="T33" s="46">
        <v>0</v>
      </c>
      <c r="U33" s="46">
        <v>0</v>
      </c>
      <c r="V33" s="46">
        <v>0</v>
      </c>
      <c r="W33" s="46">
        <v>0</v>
      </c>
      <c r="X33" s="47">
        <f t="shared" si="3"/>
        <v>0</v>
      </c>
      <c r="Y33" s="46">
        <v>0</v>
      </c>
      <c r="Z33" s="46">
        <v>0</v>
      </c>
      <c r="AA33" s="46">
        <v>0</v>
      </c>
      <c r="AB33" s="46">
        <v>0</v>
      </c>
      <c r="AC33" s="46">
        <v>0</v>
      </c>
      <c r="AD33" s="46">
        <v>0</v>
      </c>
      <c r="AE33" s="46">
        <v>0</v>
      </c>
      <c r="AF33" s="46">
        <v>0</v>
      </c>
      <c r="AG33" s="46">
        <v>0</v>
      </c>
      <c r="AH33" s="46">
        <v>0</v>
      </c>
      <c r="AI33" s="46">
        <v>0</v>
      </c>
      <c r="AJ33" s="46">
        <v>0</v>
      </c>
      <c r="AK33" s="47">
        <f t="shared" si="4"/>
        <v>0</v>
      </c>
      <c r="AL33" s="46">
        <v>0</v>
      </c>
      <c r="AM33" s="46">
        <v>0</v>
      </c>
      <c r="AN33" s="46">
        <v>0</v>
      </c>
      <c r="AO33" s="46">
        <v>0</v>
      </c>
      <c r="AP33" s="46">
        <v>0</v>
      </c>
      <c r="AQ33" s="46">
        <v>0</v>
      </c>
      <c r="AR33" s="46">
        <v>0</v>
      </c>
      <c r="AS33" s="46">
        <v>0</v>
      </c>
      <c r="AT33" s="46">
        <v>0</v>
      </c>
      <c r="AU33" s="46">
        <v>0</v>
      </c>
      <c r="AV33" s="46">
        <v>0</v>
      </c>
      <c r="AW33" s="46">
        <v>0</v>
      </c>
      <c r="AX33" s="47">
        <f t="shared" si="6"/>
        <v>0</v>
      </c>
      <c r="AY33" s="319">
        <f>SUMIF(Recibos!$D$4:$D$3010,Cobranza!$B33,Recibos!K$4:K$3010)</f>
        <v>0</v>
      </c>
      <c r="AZ33" s="319">
        <f>SUMIF(Recibos!$D$4:$D$3010,Cobranza!$B33,Recibos!L$4:L$3010)</f>
        <v>0</v>
      </c>
      <c r="BA33" s="319">
        <f>SUMIF(Recibos!$D$4:$D$3010,Cobranza!$B33,Recibos!M$4:M$3010)</f>
        <v>0</v>
      </c>
      <c r="BB33" s="319">
        <f>SUMIF(Recibos!$D$4:$D$3010,Cobranza!$B33,Recibos!N$4:N$3010)</f>
        <v>0</v>
      </c>
      <c r="BC33" s="319">
        <f>SUMIF(Recibos!$D$4:$D$3010,Cobranza!$B33,Recibos!O$4:O$3010)</f>
        <v>0</v>
      </c>
      <c r="BD33" s="319">
        <f>SUMIF(Recibos!$D$4:$D$3010,Cobranza!$B33,Recibos!P$4:P$3010)</f>
        <v>0</v>
      </c>
      <c r="BE33" s="319">
        <f>SUMIF(Recibos!$D$4:$D$3010,Cobranza!$B33,Recibos!Q$4:Q$3010)</f>
        <v>0</v>
      </c>
      <c r="BF33" s="319">
        <f>SUMIF(Recibos!$D$4:$D$3010,Cobranza!$B33,Recibos!R$4:R$3010)</f>
        <v>0</v>
      </c>
      <c r="BG33" s="319">
        <f>SUMIF(Recibos!$D$4:$D$3010,Cobranza!$B33,Recibos!S$4:S$3010)</f>
        <v>0</v>
      </c>
      <c r="BH33" s="319">
        <f>SUMIF(Recibos!$D$4:$D$3010,Cobranza!$B33,Recibos!T$4:T$3010)</f>
        <v>0</v>
      </c>
      <c r="BI33" s="319">
        <f>SUMIF(Recibos!$D$4:$D$3010,Cobranza!$B33,Recibos!U$4:U$3010)</f>
        <v>0</v>
      </c>
      <c r="BJ33" s="319">
        <f>SUMIF(Recibos!$D$4:$D$3010,Cobranza!$B33,Recibos!V$4:V$3010)</f>
        <v>0</v>
      </c>
      <c r="BK33" s="320">
        <f t="shared" si="7"/>
        <v>0</v>
      </c>
      <c r="BL33" s="319">
        <f>SUMIF(Recibos!$D$4:$D$3010,Cobranza!$B33,Recibos!X$4:X$3010)</f>
        <v>0</v>
      </c>
      <c r="BM33" s="319">
        <f>SUMIF(Recibos!$D$4:$D$3010,Cobranza!$B33,Recibos!Y$4:Y$3010)</f>
        <v>0</v>
      </c>
      <c r="BN33" s="319">
        <f>SUMIF(Recibos!$D$4:$D$3010,Cobranza!$B33,Recibos!Z$4:Z$3010)</f>
        <v>0</v>
      </c>
      <c r="BO33" s="319">
        <f>SUMIF(Recibos!$D$4:$D$3010,Cobranza!$B33,Recibos!AA$4:AA$3010)</f>
        <v>0</v>
      </c>
      <c r="BP33" s="319">
        <f>SUMIF(Recibos!$D$4:$D$3010,Cobranza!$B33,Recibos!AB$4:AB$3010)</f>
        <v>0</v>
      </c>
      <c r="BQ33" s="319">
        <f>SUMIF(Recibos!$D$4:$D$3010,Cobranza!$B33,Recibos!AC$4:AC$3010)</f>
        <v>0</v>
      </c>
      <c r="BR33" s="319">
        <f>SUMIF(Recibos!$D$4:$D$3010,Cobranza!$B33,Recibos!AD$4:AD$3010)</f>
        <v>0</v>
      </c>
      <c r="BS33" s="319">
        <f>SUMIF(Recibos!$D$4:$D$3010,Cobranza!$B33,Recibos!AE$4:AE$3010)</f>
        <v>0</v>
      </c>
      <c r="BT33" s="319">
        <f>SUMIF(Recibos!$D$4:$D$3010,Cobranza!$B33,Recibos!AF$4:AF$3010)</f>
        <v>0</v>
      </c>
      <c r="BU33" s="319">
        <f>SUMIF(Recibos!$D$4:$D$3010,Cobranza!$B33,Recibos!AG$4:AG$3010)</f>
        <v>0</v>
      </c>
      <c r="BV33" s="319">
        <f>SUMIF(Recibos!$D$4:$D$3010,Cobranza!$B33,Recibos!AH$4:AH$3010)</f>
        <v>0</v>
      </c>
      <c r="BW33" s="319">
        <f>SUMIF(Recibos!$D$4:$D$3010,Cobranza!$B33,Recibos!AI$4:AI$3010)</f>
        <v>0</v>
      </c>
      <c r="BX33" s="320">
        <f t="shared" si="8"/>
        <v>0</v>
      </c>
    </row>
    <row r="34" spans="2:76" x14ac:dyDescent="0.2">
      <c r="B34" s="42" t="s">
        <v>280</v>
      </c>
      <c r="C34" s="42" t="s">
        <v>281</v>
      </c>
      <c r="D34" s="42" t="s">
        <v>282</v>
      </c>
      <c r="E34" s="43">
        <v>0</v>
      </c>
      <c r="F34" s="43">
        <v>0</v>
      </c>
      <c r="G34" s="43">
        <v>0</v>
      </c>
      <c r="H34" s="43">
        <v>0</v>
      </c>
      <c r="I34" s="43">
        <v>0</v>
      </c>
      <c r="J34" s="43">
        <v>300</v>
      </c>
      <c r="K34" s="44">
        <f t="shared" si="2"/>
        <v>300</v>
      </c>
      <c r="L34" s="43">
        <v>300</v>
      </c>
      <c r="M34" s="43">
        <v>300</v>
      </c>
      <c r="N34" s="43">
        <v>300</v>
      </c>
      <c r="O34" s="43">
        <v>300</v>
      </c>
      <c r="P34" s="43">
        <v>300</v>
      </c>
      <c r="Q34" s="43">
        <v>300</v>
      </c>
      <c r="R34" s="43">
        <v>300</v>
      </c>
      <c r="S34" s="43">
        <v>300</v>
      </c>
      <c r="T34" s="43">
        <v>300</v>
      </c>
      <c r="U34" s="43">
        <v>400</v>
      </c>
      <c r="V34" s="43">
        <v>400</v>
      </c>
      <c r="W34" s="43">
        <v>400</v>
      </c>
      <c r="X34" s="44">
        <f t="shared" si="3"/>
        <v>3900</v>
      </c>
      <c r="Y34" s="43">
        <v>400</v>
      </c>
      <c r="Z34" s="43">
        <v>400</v>
      </c>
      <c r="AA34" s="43">
        <v>400</v>
      </c>
      <c r="AB34" s="43">
        <v>400</v>
      </c>
      <c r="AC34" s="43">
        <v>400</v>
      </c>
      <c r="AD34" s="43">
        <v>400</v>
      </c>
      <c r="AE34" s="43">
        <v>400</v>
      </c>
      <c r="AF34" s="43">
        <v>400</v>
      </c>
      <c r="AG34" s="43">
        <v>400</v>
      </c>
      <c r="AH34" s="43">
        <v>400</v>
      </c>
      <c r="AI34" s="43">
        <v>400</v>
      </c>
      <c r="AJ34" s="43">
        <v>400</v>
      </c>
      <c r="AK34" s="44">
        <f t="shared" si="4"/>
        <v>4800</v>
      </c>
      <c r="AL34" s="43">
        <v>400</v>
      </c>
      <c r="AM34" s="43">
        <v>400</v>
      </c>
      <c r="AN34" s="43">
        <v>400</v>
      </c>
      <c r="AO34" s="43">
        <v>400</v>
      </c>
      <c r="AP34" s="43">
        <v>400</v>
      </c>
      <c r="AQ34" s="43">
        <v>400</v>
      </c>
      <c r="AR34" s="43">
        <v>400</v>
      </c>
      <c r="AS34" s="43">
        <v>400</v>
      </c>
      <c r="AT34" s="43">
        <v>400</v>
      </c>
      <c r="AU34" s="43">
        <v>400</v>
      </c>
      <c r="AV34" s="43">
        <v>400</v>
      </c>
      <c r="AW34" s="43">
        <v>400</v>
      </c>
      <c r="AX34" s="44">
        <f t="shared" si="6"/>
        <v>4800</v>
      </c>
      <c r="AY34" s="317">
        <f>SUMIF(Recibos!$D$4:$D$3010,Cobranza!$B34,Recibos!K$4:K$3010)</f>
        <v>400</v>
      </c>
      <c r="AZ34" s="317">
        <f>SUMIF(Recibos!$D$4:$D$3010,Cobranza!$B34,Recibos!L$4:L$3010)</f>
        <v>400</v>
      </c>
      <c r="BA34" s="317">
        <f>SUMIF(Recibos!$D$4:$D$3010,Cobranza!$B34,Recibos!M$4:M$3010)</f>
        <v>400</v>
      </c>
      <c r="BB34" s="317">
        <f>SUMIF(Recibos!$D$4:$D$3010,Cobranza!$B34,Recibos!N$4:N$3010)</f>
        <v>400</v>
      </c>
      <c r="BC34" s="317">
        <f>SUMIF(Recibos!$D$4:$D$3010,Cobranza!$B34,Recibos!O$4:O$3010)</f>
        <v>400</v>
      </c>
      <c r="BD34" s="317">
        <f>SUMIF(Recibos!$D$4:$D$3010,Cobranza!$B34,Recibos!P$4:P$3010)</f>
        <v>400</v>
      </c>
      <c r="BE34" s="317">
        <f>SUMIF(Recibos!$D$4:$D$3010,Cobranza!$B34,Recibos!Q$4:Q$3010)</f>
        <v>400</v>
      </c>
      <c r="BF34" s="317">
        <f>SUMIF(Recibos!$D$4:$D$3010,Cobranza!$B34,Recibos!R$4:R$3010)</f>
        <v>400</v>
      </c>
      <c r="BG34" s="317">
        <f>SUMIF(Recibos!$D$4:$D$3010,Cobranza!$B34,Recibos!S$4:S$3010)</f>
        <v>0</v>
      </c>
      <c r="BH34" s="317">
        <f>SUMIF(Recibos!$D$4:$D$3010,Cobranza!$B34,Recibos!T$4:T$3010)</f>
        <v>400</v>
      </c>
      <c r="BI34" s="317">
        <f>SUMIF(Recibos!$D$4:$D$3010,Cobranza!$B34,Recibos!U$4:U$3010)</f>
        <v>400</v>
      </c>
      <c r="BJ34" s="317">
        <f>SUMIF(Recibos!$D$4:$D$3010,Cobranza!$B34,Recibos!V$4:V$3010)</f>
        <v>400</v>
      </c>
      <c r="BK34" s="318">
        <f t="shared" si="7"/>
        <v>4400</v>
      </c>
      <c r="BL34" s="317">
        <f>SUMIF(Recibos!$D$4:$D$3010,Cobranza!$B34,Recibos!X$4:X$3010)</f>
        <v>0</v>
      </c>
      <c r="BM34" s="317">
        <f>SUMIF(Recibos!$D$4:$D$3010,Cobranza!$B34,Recibos!Y$4:Y$3010)</f>
        <v>0</v>
      </c>
      <c r="BN34" s="317">
        <f>SUMIF(Recibos!$D$4:$D$3010,Cobranza!$B34,Recibos!Z$4:Z$3010)</f>
        <v>0</v>
      </c>
      <c r="BO34" s="317">
        <f>SUMIF(Recibos!$D$4:$D$3010,Cobranza!$B34,Recibos!AA$4:AA$3010)</f>
        <v>0</v>
      </c>
      <c r="BP34" s="317">
        <f>SUMIF(Recibos!$D$4:$D$3010,Cobranza!$B34,Recibos!AB$4:AB$3010)</f>
        <v>0</v>
      </c>
      <c r="BQ34" s="317">
        <f>SUMIF(Recibos!$D$4:$D$3010,Cobranza!$B34,Recibos!AC$4:AC$3010)</f>
        <v>0</v>
      </c>
      <c r="BR34" s="317">
        <f>SUMIF(Recibos!$D$4:$D$3010,Cobranza!$B34,Recibos!AD$4:AD$3010)</f>
        <v>0</v>
      </c>
      <c r="BS34" s="317">
        <f>SUMIF(Recibos!$D$4:$D$3010,Cobranza!$B34,Recibos!AE$4:AE$3010)</f>
        <v>0</v>
      </c>
      <c r="BT34" s="317">
        <f>SUMIF(Recibos!$D$4:$D$3010,Cobranza!$B34,Recibos!AF$4:AF$3010)</f>
        <v>0</v>
      </c>
      <c r="BU34" s="317">
        <f>SUMIF(Recibos!$D$4:$D$3010,Cobranza!$B34,Recibos!AG$4:AG$3010)</f>
        <v>0</v>
      </c>
      <c r="BV34" s="317">
        <f>SUMIF(Recibos!$D$4:$D$3010,Cobranza!$B34,Recibos!AH$4:AH$3010)</f>
        <v>0</v>
      </c>
      <c r="BW34" s="317">
        <f>SUMIF(Recibos!$D$4:$D$3010,Cobranza!$B34,Recibos!AI$4:AI$3010)</f>
        <v>0</v>
      </c>
      <c r="BX34" s="318">
        <f t="shared" si="8"/>
        <v>0</v>
      </c>
    </row>
    <row r="35" spans="2:76" x14ac:dyDescent="0.2">
      <c r="B35" s="45" t="s">
        <v>103</v>
      </c>
      <c r="C35" s="45" t="s">
        <v>104</v>
      </c>
      <c r="D35" s="45" t="s">
        <v>105</v>
      </c>
      <c r="E35" s="46">
        <v>0</v>
      </c>
      <c r="F35" s="46">
        <v>0</v>
      </c>
      <c r="G35" s="46">
        <v>0</v>
      </c>
      <c r="H35" s="46">
        <v>0</v>
      </c>
      <c r="I35" s="46">
        <v>0</v>
      </c>
      <c r="J35" s="46">
        <v>250</v>
      </c>
      <c r="K35" s="47">
        <f t="shared" si="2"/>
        <v>250</v>
      </c>
      <c r="L35" s="46">
        <v>250</v>
      </c>
      <c r="M35" s="46">
        <v>250</v>
      </c>
      <c r="N35" s="46">
        <v>250</v>
      </c>
      <c r="O35" s="46">
        <v>250</v>
      </c>
      <c r="P35" s="46">
        <v>250</v>
      </c>
      <c r="Q35" s="46">
        <v>250</v>
      </c>
      <c r="R35" s="46">
        <v>300</v>
      </c>
      <c r="S35" s="46">
        <v>300</v>
      </c>
      <c r="T35" s="46">
        <v>300</v>
      </c>
      <c r="U35" s="46">
        <v>400</v>
      </c>
      <c r="V35" s="46">
        <v>0</v>
      </c>
      <c r="W35" s="46">
        <v>400</v>
      </c>
      <c r="X35" s="47">
        <f t="shared" si="3"/>
        <v>3200</v>
      </c>
      <c r="Y35" s="46">
        <v>400</v>
      </c>
      <c r="Z35" s="46">
        <v>400</v>
      </c>
      <c r="AA35" s="46">
        <v>400</v>
      </c>
      <c r="AB35" s="46">
        <v>400</v>
      </c>
      <c r="AC35" s="46">
        <v>400</v>
      </c>
      <c r="AD35" s="46">
        <v>400</v>
      </c>
      <c r="AE35" s="46">
        <v>400</v>
      </c>
      <c r="AF35" s="46">
        <v>400</v>
      </c>
      <c r="AG35" s="46">
        <v>400</v>
      </c>
      <c r="AH35" s="46">
        <v>400</v>
      </c>
      <c r="AI35" s="46">
        <v>400</v>
      </c>
      <c r="AJ35" s="46">
        <v>400</v>
      </c>
      <c r="AK35" s="47">
        <f t="shared" si="4"/>
        <v>4800</v>
      </c>
      <c r="AL35" s="46">
        <v>400</v>
      </c>
      <c r="AM35" s="46">
        <v>400</v>
      </c>
      <c r="AN35" s="46">
        <v>400</v>
      </c>
      <c r="AO35" s="46">
        <v>400</v>
      </c>
      <c r="AP35" s="46">
        <v>400</v>
      </c>
      <c r="AQ35" s="46">
        <v>400</v>
      </c>
      <c r="AR35" s="46">
        <v>400</v>
      </c>
      <c r="AS35" s="46">
        <v>400</v>
      </c>
      <c r="AT35" s="46">
        <v>400</v>
      </c>
      <c r="AU35" s="46">
        <v>400</v>
      </c>
      <c r="AV35" s="46">
        <v>400</v>
      </c>
      <c r="AW35" s="46">
        <v>400</v>
      </c>
      <c r="AX35" s="47">
        <f t="shared" si="6"/>
        <v>4800</v>
      </c>
      <c r="AY35" s="319">
        <f>SUMIF(Recibos!$D$4:$D$3010,Cobranza!$B35,Recibos!K$4:K$3010)</f>
        <v>400</v>
      </c>
      <c r="AZ35" s="319">
        <f>SUMIF(Recibos!$D$4:$D$3010,Cobranza!$B35,Recibos!L$4:L$3010)</f>
        <v>400</v>
      </c>
      <c r="BA35" s="319">
        <f>SUMIF(Recibos!$D$4:$D$3010,Cobranza!$B35,Recibos!M$4:M$3010)</f>
        <v>400</v>
      </c>
      <c r="BB35" s="319">
        <f>SUMIF(Recibos!$D$4:$D$3010,Cobranza!$B35,Recibos!N$4:N$3010)</f>
        <v>400</v>
      </c>
      <c r="BC35" s="319">
        <f>SUMIF(Recibos!$D$4:$D$3010,Cobranza!$B35,Recibos!O$4:O$3010)</f>
        <v>400</v>
      </c>
      <c r="BD35" s="319">
        <f>SUMIF(Recibos!$D$4:$D$3010,Cobranza!$B35,Recibos!P$4:P$3010)</f>
        <v>400</v>
      </c>
      <c r="BE35" s="319">
        <f>SUMIF(Recibos!$D$4:$D$3010,Cobranza!$B35,Recibos!Q$4:Q$3010)</f>
        <v>400</v>
      </c>
      <c r="BF35" s="319">
        <f>SUMIF(Recibos!$D$4:$D$3010,Cobranza!$B35,Recibos!R$4:R$3010)</f>
        <v>400</v>
      </c>
      <c r="BG35" s="319">
        <f>SUMIF(Recibos!$D$4:$D$3010,Cobranza!$B35,Recibos!S$4:S$3010)</f>
        <v>400</v>
      </c>
      <c r="BH35" s="319">
        <f>SUMIF(Recibos!$D$4:$D$3010,Cobranza!$B35,Recibos!T$4:T$3010)</f>
        <v>400</v>
      </c>
      <c r="BI35" s="319">
        <f>SUMIF(Recibos!$D$4:$D$3010,Cobranza!$B35,Recibos!U$4:U$3010)</f>
        <v>400</v>
      </c>
      <c r="BJ35" s="319">
        <f>SUMIF(Recibos!$D$4:$D$3010,Cobranza!$B35,Recibos!V$4:V$3010)</f>
        <v>0</v>
      </c>
      <c r="BK35" s="320">
        <f t="shared" si="7"/>
        <v>4400</v>
      </c>
      <c r="BL35" s="319">
        <f>SUMIF(Recibos!$D$4:$D$3010,Cobranza!$B35,Recibos!X$4:X$3010)</f>
        <v>0</v>
      </c>
      <c r="BM35" s="319">
        <f>SUMIF(Recibos!$D$4:$D$3010,Cobranza!$B35,Recibos!Y$4:Y$3010)</f>
        <v>0</v>
      </c>
      <c r="BN35" s="319">
        <f>SUMIF(Recibos!$D$4:$D$3010,Cobranza!$B35,Recibos!Z$4:Z$3010)</f>
        <v>0</v>
      </c>
      <c r="BO35" s="319">
        <f>SUMIF(Recibos!$D$4:$D$3010,Cobranza!$B35,Recibos!AA$4:AA$3010)</f>
        <v>0</v>
      </c>
      <c r="BP35" s="319">
        <f>SUMIF(Recibos!$D$4:$D$3010,Cobranza!$B35,Recibos!AB$4:AB$3010)</f>
        <v>0</v>
      </c>
      <c r="BQ35" s="319">
        <f>SUMIF(Recibos!$D$4:$D$3010,Cobranza!$B35,Recibos!AC$4:AC$3010)</f>
        <v>0</v>
      </c>
      <c r="BR35" s="319">
        <f>SUMIF(Recibos!$D$4:$D$3010,Cobranza!$B35,Recibos!AD$4:AD$3010)</f>
        <v>0</v>
      </c>
      <c r="BS35" s="319">
        <f>SUMIF(Recibos!$D$4:$D$3010,Cobranza!$B35,Recibos!AE$4:AE$3010)</f>
        <v>0</v>
      </c>
      <c r="BT35" s="319">
        <f>SUMIF(Recibos!$D$4:$D$3010,Cobranza!$B35,Recibos!AF$4:AF$3010)</f>
        <v>0</v>
      </c>
      <c r="BU35" s="319">
        <f>SUMIF(Recibos!$D$4:$D$3010,Cobranza!$B35,Recibos!AG$4:AG$3010)</f>
        <v>0</v>
      </c>
      <c r="BV35" s="319">
        <f>SUMIF(Recibos!$D$4:$D$3010,Cobranza!$B35,Recibos!AH$4:AH$3010)</f>
        <v>0</v>
      </c>
      <c r="BW35" s="319">
        <f>SUMIF(Recibos!$D$4:$D$3010,Cobranza!$B35,Recibos!AI$4:AI$3010)</f>
        <v>0</v>
      </c>
      <c r="BX35" s="320">
        <f t="shared" si="8"/>
        <v>0</v>
      </c>
    </row>
    <row r="36" spans="2:76" x14ac:dyDescent="0.2">
      <c r="B36" s="42" t="s">
        <v>189</v>
      </c>
      <c r="C36" s="42" t="s">
        <v>190</v>
      </c>
      <c r="D36" s="42" t="s">
        <v>191</v>
      </c>
      <c r="E36" s="43">
        <v>0</v>
      </c>
      <c r="F36" s="43">
        <v>0</v>
      </c>
      <c r="G36" s="43">
        <v>0</v>
      </c>
      <c r="H36" s="43">
        <v>0</v>
      </c>
      <c r="I36" s="43">
        <v>0</v>
      </c>
      <c r="J36" s="43">
        <v>300</v>
      </c>
      <c r="K36" s="44">
        <f t="shared" si="2"/>
        <v>300</v>
      </c>
      <c r="L36" s="43">
        <v>300</v>
      </c>
      <c r="M36" s="43">
        <v>300</v>
      </c>
      <c r="N36" s="43">
        <v>300</v>
      </c>
      <c r="O36" s="43">
        <v>300</v>
      </c>
      <c r="P36" s="43">
        <v>300</v>
      </c>
      <c r="Q36" s="43">
        <v>300</v>
      </c>
      <c r="R36" s="43">
        <v>300</v>
      </c>
      <c r="S36" s="43">
        <v>300</v>
      </c>
      <c r="T36" s="43">
        <v>300</v>
      </c>
      <c r="U36" s="43">
        <v>400</v>
      </c>
      <c r="V36" s="43">
        <v>400</v>
      </c>
      <c r="W36" s="43">
        <v>400</v>
      </c>
      <c r="X36" s="44">
        <f t="shared" si="3"/>
        <v>3900</v>
      </c>
      <c r="Y36" s="43">
        <v>400</v>
      </c>
      <c r="Z36" s="43">
        <v>400</v>
      </c>
      <c r="AA36" s="43">
        <v>400</v>
      </c>
      <c r="AB36" s="43">
        <v>400</v>
      </c>
      <c r="AC36" s="43">
        <v>400</v>
      </c>
      <c r="AD36" s="43">
        <v>400</v>
      </c>
      <c r="AE36" s="43">
        <v>400</v>
      </c>
      <c r="AF36" s="43">
        <v>400</v>
      </c>
      <c r="AG36" s="43">
        <v>400</v>
      </c>
      <c r="AH36" s="43">
        <v>400</v>
      </c>
      <c r="AI36" s="43">
        <v>0</v>
      </c>
      <c r="AJ36" s="43">
        <v>0</v>
      </c>
      <c r="AK36" s="44">
        <f t="shared" si="4"/>
        <v>4000</v>
      </c>
      <c r="AL36" s="43">
        <v>0</v>
      </c>
      <c r="AM36" s="43">
        <v>0</v>
      </c>
      <c r="AN36" s="43">
        <v>0</v>
      </c>
      <c r="AO36" s="43">
        <v>0</v>
      </c>
      <c r="AP36" s="43">
        <v>0</v>
      </c>
      <c r="AQ36" s="43">
        <v>400</v>
      </c>
      <c r="AR36" s="43">
        <v>400</v>
      </c>
      <c r="AS36" s="43">
        <v>400</v>
      </c>
      <c r="AT36" s="43">
        <v>400</v>
      </c>
      <c r="AU36" s="43">
        <v>400</v>
      </c>
      <c r="AV36" s="43">
        <v>400</v>
      </c>
      <c r="AW36" s="43">
        <v>400</v>
      </c>
      <c r="AX36" s="44">
        <f t="shared" si="6"/>
        <v>2800</v>
      </c>
      <c r="AY36" s="317">
        <f>SUMIF(Recibos!$D$4:$D$3010,Cobranza!$B36,Recibos!K$4:K$3010)</f>
        <v>400</v>
      </c>
      <c r="AZ36" s="317">
        <f>SUMIF(Recibos!$D$4:$D$3010,Cobranza!$B36,Recibos!L$4:L$3010)</f>
        <v>400</v>
      </c>
      <c r="BA36" s="317">
        <f>SUMIF(Recibos!$D$4:$D$3010,Cobranza!$B36,Recibos!M$4:M$3010)</f>
        <v>400</v>
      </c>
      <c r="BB36" s="317">
        <f>SUMIF(Recibos!$D$4:$D$3010,Cobranza!$B36,Recibos!N$4:N$3010)</f>
        <v>400</v>
      </c>
      <c r="BC36" s="317">
        <f>SUMIF(Recibos!$D$4:$D$3010,Cobranza!$B36,Recibos!O$4:O$3010)</f>
        <v>400</v>
      </c>
      <c r="BD36" s="317">
        <f>SUMIF(Recibos!$D$4:$D$3010,Cobranza!$B36,Recibos!P$4:P$3010)</f>
        <v>400</v>
      </c>
      <c r="BE36" s="317">
        <f>SUMIF(Recibos!$D$4:$D$3010,Cobranza!$B36,Recibos!Q$4:Q$3010)</f>
        <v>400</v>
      </c>
      <c r="BF36" s="317">
        <f>SUMIF(Recibos!$D$4:$D$3010,Cobranza!$B36,Recibos!R$4:R$3010)</f>
        <v>400</v>
      </c>
      <c r="BG36" s="317">
        <f>SUMIF(Recibos!$D$4:$D$3010,Cobranza!$B36,Recibos!S$4:S$3010)</f>
        <v>400</v>
      </c>
      <c r="BH36" s="317">
        <f>SUMIF(Recibos!$D$4:$D$3010,Cobranza!$B36,Recibos!T$4:T$3010)</f>
        <v>400</v>
      </c>
      <c r="BI36" s="317">
        <f>SUMIF(Recibos!$D$4:$D$3010,Cobranza!$B36,Recibos!U$4:U$3010)</f>
        <v>400</v>
      </c>
      <c r="BJ36" s="317">
        <f>SUMIF(Recibos!$D$4:$D$3010,Cobranza!$B36,Recibos!V$4:V$3010)</f>
        <v>0</v>
      </c>
      <c r="BK36" s="318">
        <f t="shared" si="7"/>
        <v>4400</v>
      </c>
      <c r="BL36" s="317">
        <f>SUMIF(Recibos!$D$4:$D$3010,Cobranza!$B36,Recibos!X$4:X$3010)</f>
        <v>0</v>
      </c>
      <c r="BM36" s="317">
        <f>SUMIF(Recibos!$D$4:$D$3010,Cobranza!$B36,Recibos!Y$4:Y$3010)</f>
        <v>0</v>
      </c>
      <c r="BN36" s="317">
        <f>SUMIF(Recibos!$D$4:$D$3010,Cobranza!$B36,Recibos!Z$4:Z$3010)</f>
        <v>0</v>
      </c>
      <c r="BO36" s="317">
        <f>SUMIF(Recibos!$D$4:$D$3010,Cobranza!$B36,Recibos!AA$4:AA$3010)</f>
        <v>0</v>
      </c>
      <c r="BP36" s="317">
        <f>SUMIF(Recibos!$D$4:$D$3010,Cobranza!$B36,Recibos!AB$4:AB$3010)</f>
        <v>0</v>
      </c>
      <c r="BQ36" s="317">
        <f>SUMIF(Recibos!$D$4:$D$3010,Cobranza!$B36,Recibos!AC$4:AC$3010)</f>
        <v>0</v>
      </c>
      <c r="BR36" s="317">
        <f>SUMIF(Recibos!$D$4:$D$3010,Cobranza!$B36,Recibos!AD$4:AD$3010)</f>
        <v>0</v>
      </c>
      <c r="BS36" s="317">
        <f>SUMIF(Recibos!$D$4:$D$3010,Cobranza!$B36,Recibos!AE$4:AE$3010)</f>
        <v>0</v>
      </c>
      <c r="BT36" s="317">
        <f>SUMIF(Recibos!$D$4:$D$3010,Cobranza!$B36,Recibos!AF$4:AF$3010)</f>
        <v>0</v>
      </c>
      <c r="BU36" s="317">
        <f>SUMIF(Recibos!$D$4:$D$3010,Cobranza!$B36,Recibos!AG$4:AG$3010)</f>
        <v>0</v>
      </c>
      <c r="BV36" s="317">
        <f>SUMIF(Recibos!$D$4:$D$3010,Cobranza!$B36,Recibos!AH$4:AH$3010)</f>
        <v>0</v>
      </c>
      <c r="BW36" s="317">
        <f>SUMIF(Recibos!$D$4:$D$3010,Cobranza!$B36,Recibos!AI$4:AI$3010)</f>
        <v>0</v>
      </c>
      <c r="BX36" s="318">
        <f t="shared" si="8"/>
        <v>0</v>
      </c>
    </row>
    <row r="37" spans="2:76" x14ac:dyDescent="0.2">
      <c r="B37" s="45" t="s">
        <v>235</v>
      </c>
      <c r="C37" s="45" t="s">
        <v>236</v>
      </c>
      <c r="D37" s="45" t="s">
        <v>237</v>
      </c>
      <c r="E37" s="46">
        <v>0</v>
      </c>
      <c r="F37" s="46">
        <v>0</v>
      </c>
      <c r="G37" s="46">
        <v>0</v>
      </c>
      <c r="H37" s="46">
        <v>0</v>
      </c>
      <c r="I37" s="46">
        <v>0</v>
      </c>
      <c r="J37" s="46">
        <v>200</v>
      </c>
      <c r="K37" s="47">
        <f t="shared" si="2"/>
        <v>200</v>
      </c>
      <c r="L37" s="46">
        <v>200</v>
      </c>
      <c r="M37" s="46">
        <v>200</v>
      </c>
      <c r="N37" s="46">
        <v>200</v>
      </c>
      <c r="O37" s="46">
        <v>200</v>
      </c>
      <c r="P37" s="46">
        <v>200</v>
      </c>
      <c r="Q37" s="46">
        <v>200</v>
      </c>
      <c r="R37" s="46">
        <v>200</v>
      </c>
      <c r="S37" s="46">
        <v>400</v>
      </c>
      <c r="T37" s="46">
        <v>0</v>
      </c>
      <c r="U37" s="46">
        <v>400</v>
      </c>
      <c r="V37" s="46">
        <v>400</v>
      </c>
      <c r="W37" s="46">
        <v>400</v>
      </c>
      <c r="X37" s="47">
        <f t="shared" si="3"/>
        <v>3000</v>
      </c>
      <c r="Y37" s="46">
        <v>400</v>
      </c>
      <c r="Z37" s="46">
        <v>400</v>
      </c>
      <c r="AA37" s="46">
        <v>400</v>
      </c>
      <c r="AB37" s="46">
        <v>0</v>
      </c>
      <c r="AC37" s="46">
        <v>400</v>
      </c>
      <c r="AD37" s="46">
        <v>800</v>
      </c>
      <c r="AE37" s="46">
        <v>400</v>
      </c>
      <c r="AF37" s="46">
        <v>400</v>
      </c>
      <c r="AG37" s="46">
        <v>400</v>
      </c>
      <c r="AH37" s="46">
        <v>400</v>
      </c>
      <c r="AI37" s="46">
        <v>400</v>
      </c>
      <c r="AJ37" s="46">
        <v>400</v>
      </c>
      <c r="AK37" s="47">
        <f t="shared" si="4"/>
        <v>4800</v>
      </c>
      <c r="AL37" s="46">
        <v>400</v>
      </c>
      <c r="AM37" s="46">
        <v>400</v>
      </c>
      <c r="AN37" s="46">
        <v>400</v>
      </c>
      <c r="AO37" s="46">
        <v>400</v>
      </c>
      <c r="AP37" s="46">
        <v>400</v>
      </c>
      <c r="AQ37" s="46">
        <v>400</v>
      </c>
      <c r="AR37" s="46">
        <v>400</v>
      </c>
      <c r="AS37" s="46">
        <v>400</v>
      </c>
      <c r="AT37" s="46">
        <v>400</v>
      </c>
      <c r="AU37" s="46">
        <v>400</v>
      </c>
      <c r="AV37" s="46">
        <v>400</v>
      </c>
      <c r="AW37" s="46">
        <v>400</v>
      </c>
      <c r="AX37" s="47">
        <f t="shared" si="6"/>
        <v>4800</v>
      </c>
      <c r="AY37" s="319">
        <f>SUMIF(Recibos!$D$4:$D$3010,Cobranza!$B37,Recibos!K$4:K$3010)</f>
        <v>400</v>
      </c>
      <c r="AZ37" s="319">
        <f>SUMIF(Recibos!$D$4:$D$3010,Cobranza!$B37,Recibos!L$4:L$3010)</f>
        <v>400</v>
      </c>
      <c r="BA37" s="319">
        <f>SUMIF(Recibos!$D$4:$D$3010,Cobranza!$B37,Recibos!M$4:M$3010)</f>
        <v>400</v>
      </c>
      <c r="BB37" s="319">
        <f>SUMIF(Recibos!$D$4:$D$3010,Cobranza!$B37,Recibos!N$4:N$3010)</f>
        <v>400</v>
      </c>
      <c r="BC37" s="319">
        <f>SUMIF(Recibos!$D$4:$D$3010,Cobranza!$B37,Recibos!O$4:O$3010)</f>
        <v>0</v>
      </c>
      <c r="BD37" s="319">
        <f>SUMIF(Recibos!$D$4:$D$3010,Cobranza!$B37,Recibos!P$4:P$3010)</f>
        <v>800</v>
      </c>
      <c r="BE37" s="319">
        <f>SUMIF(Recibos!$D$4:$D$3010,Cobranza!$B37,Recibos!Q$4:Q$3010)</f>
        <v>400</v>
      </c>
      <c r="BF37" s="319">
        <f>SUMIF(Recibos!$D$4:$D$3010,Cobranza!$B37,Recibos!R$4:R$3010)</f>
        <v>400</v>
      </c>
      <c r="BG37" s="319">
        <f>SUMIF(Recibos!$D$4:$D$3010,Cobranza!$B37,Recibos!S$4:S$3010)</f>
        <v>400</v>
      </c>
      <c r="BH37" s="319">
        <f>SUMIF(Recibos!$D$4:$D$3010,Cobranza!$B37,Recibos!T$4:T$3010)</f>
        <v>400</v>
      </c>
      <c r="BI37" s="319">
        <f>SUMIF(Recibos!$D$4:$D$3010,Cobranza!$B37,Recibos!U$4:U$3010)</f>
        <v>400</v>
      </c>
      <c r="BJ37" s="319">
        <f>SUMIF(Recibos!$D$4:$D$3010,Cobranza!$B37,Recibos!V$4:V$3010)</f>
        <v>400</v>
      </c>
      <c r="BK37" s="320">
        <f t="shared" si="7"/>
        <v>4800</v>
      </c>
      <c r="BL37" s="319">
        <f>SUMIF(Recibos!$D$4:$D$3010,Cobranza!$B37,Recibos!X$4:X$3010)</f>
        <v>0</v>
      </c>
      <c r="BM37" s="319">
        <f>SUMIF(Recibos!$D$4:$D$3010,Cobranza!$B37,Recibos!Y$4:Y$3010)</f>
        <v>0</v>
      </c>
      <c r="BN37" s="319">
        <f>SUMIF(Recibos!$D$4:$D$3010,Cobranza!$B37,Recibos!Z$4:Z$3010)</f>
        <v>0</v>
      </c>
      <c r="BO37" s="319">
        <f>SUMIF(Recibos!$D$4:$D$3010,Cobranza!$B37,Recibos!AA$4:AA$3010)</f>
        <v>0</v>
      </c>
      <c r="BP37" s="319">
        <f>SUMIF(Recibos!$D$4:$D$3010,Cobranza!$B37,Recibos!AB$4:AB$3010)</f>
        <v>0</v>
      </c>
      <c r="BQ37" s="319">
        <f>SUMIF(Recibos!$D$4:$D$3010,Cobranza!$B37,Recibos!AC$4:AC$3010)</f>
        <v>0</v>
      </c>
      <c r="BR37" s="319">
        <f>SUMIF(Recibos!$D$4:$D$3010,Cobranza!$B37,Recibos!AD$4:AD$3010)</f>
        <v>0</v>
      </c>
      <c r="BS37" s="319">
        <f>SUMIF(Recibos!$D$4:$D$3010,Cobranza!$B37,Recibos!AE$4:AE$3010)</f>
        <v>0</v>
      </c>
      <c r="BT37" s="319">
        <f>SUMIF(Recibos!$D$4:$D$3010,Cobranza!$B37,Recibos!AF$4:AF$3010)</f>
        <v>0</v>
      </c>
      <c r="BU37" s="319">
        <f>SUMIF(Recibos!$D$4:$D$3010,Cobranza!$B37,Recibos!AG$4:AG$3010)</f>
        <v>0</v>
      </c>
      <c r="BV37" s="319">
        <f>SUMIF(Recibos!$D$4:$D$3010,Cobranza!$B37,Recibos!AH$4:AH$3010)</f>
        <v>0</v>
      </c>
      <c r="BW37" s="319">
        <f>SUMIF(Recibos!$D$4:$D$3010,Cobranza!$B37,Recibos!AI$4:AI$3010)</f>
        <v>0</v>
      </c>
      <c r="BX37" s="320">
        <f t="shared" si="8"/>
        <v>0</v>
      </c>
    </row>
    <row r="38" spans="2:76" x14ac:dyDescent="0.2">
      <c r="B38" s="42" t="s">
        <v>238</v>
      </c>
      <c r="C38" s="42" t="s">
        <v>239</v>
      </c>
      <c r="D38" s="42" t="s">
        <v>240</v>
      </c>
      <c r="E38" s="43">
        <v>0</v>
      </c>
      <c r="F38" s="43">
        <v>0</v>
      </c>
      <c r="G38" s="43">
        <v>0</v>
      </c>
      <c r="H38" s="43">
        <v>0</v>
      </c>
      <c r="I38" s="43">
        <v>0</v>
      </c>
      <c r="J38" s="43">
        <v>125</v>
      </c>
      <c r="K38" s="44">
        <f t="shared" si="2"/>
        <v>125</v>
      </c>
      <c r="L38" s="43">
        <v>125</v>
      </c>
      <c r="M38" s="43">
        <v>125</v>
      </c>
      <c r="N38" s="43">
        <v>125</v>
      </c>
      <c r="O38" s="43">
        <v>125</v>
      </c>
      <c r="P38" s="43">
        <v>125</v>
      </c>
      <c r="Q38" s="43">
        <v>125</v>
      </c>
      <c r="R38" s="43">
        <v>125</v>
      </c>
      <c r="S38" s="43">
        <v>125</v>
      </c>
      <c r="T38" s="43">
        <v>125</v>
      </c>
      <c r="U38" s="43">
        <v>125</v>
      </c>
      <c r="V38" s="43">
        <v>125</v>
      </c>
      <c r="W38" s="43">
        <v>120</v>
      </c>
      <c r="X38" s="44">
        <f t="shared" si="3"/>
        <v>1495</v>
      </c>
      <c r="Y38" s="43">
        <v>125</v>
      </c>
      <c r="Z38" s="43">
        <v>125</v>
      </c>
      <c r="AA38" s="43">
        <v>125</v>
      </c>
      <c r="AB38" s="43">
        <v>125</v>
      </c>
      <c r="AC38" s="43">
        <v>125</v>
      </c>
      <c r="AD38" s="43">
        <v>125</v>
      </c>
      <c r="AE38" s="43">
        <v>125</v>
      </c>
      <c r="AF38" s="43">
        <v>125</v>
      </c>
      <c r="AG38" s="43">
        <v>125</v>
      </c>
      <c r="AH38" s="43">
        <v>125</v>
      </c>
      <c r="AI38" s="43">
        <v>125</v>
      </c>
      <c r="AJ38" s="43">
        <v>125</v>
      </c>
      <c r="AK38" s="44">
        <f t="shared" si="4"/>
        <v>1500</v>
      </c>
      <c r="AL38" s="43">
        <v>125</v>
      </c>
      <c r="AM38" s="43">
        <v>125</v>
      </c>
      <c r="AN38" s="43">
        <v>125</v>
      </c>
      <c r="AO38" s="43">
        <v>125</v>
      </c>
      <c r="AP38" s="43">
        <v>125</v>
      </c>
      <c r="AQ38" s="43">
        <v>125</v>
      </c>
      <c r="AR38" s="43">
        <v>125</v>
      </c>
      <c r="AS38" s="43">
        <v>125</v>
      </c>
      <c r="AT38" s="43">
        <v>125</v>
      </c>
      <c r="AU38" s="43">
        <v>125</v>
      </c>
      <c r="AV38" s="43">
        <v>125</v>
      </c>
      <c r="AW38" s="43">
        <v>125</v>
      </c>
      <c r="AX38" s="44">
        <f t="shared" si="6"/>
        <v>1500</v>
      </c>
      <c r="AY38" s="317">
        <f>SUMIF(Recibos!$D$4:$D$3010,Cobranza!$B38,Recibos!K$4:K$3010)</f>
        <v>125</v>
      </c>
      <c r="AZ38" s="317">
        <f>SUMIF(Recibos!$D$4:$D$3010,Cobranza!$B38,Recibos!L$4:L$3010)</f>
        <v>125</v>
      </c>
      <c r="BA38" s="317">
        <f>SUMIF(Recibos!$D$4:$D$3010,Cobranza!$B38,Recibos!M$4:M$3010)</f>
        <v>125</v>
      </c>
      <c r="BB38" s="317">
        <f>SUMIF(Recibos!$D$4:$D$3010,Cobranza!$B38,Recibos!N$4:N$3010)</f>
        <v>125</v>
      </c>
      <c r="BC38" s="317">
        <f>SUMIF(Recibos!$D$4:$D$3010,Cobranza!$B38,Recibos!O$4:O$3010)</f>
        <v>125</v>
      </c>
      <c r="BD38" s="317">
        <f>SUMIF(Recibos!$D$4:$D$3010,Cobranza!$B38,Recibos!P$4:P$3010)</f>
        <v>125</v>
      </c>
      <c r="BE38" s="317">
        <f>SUMIF(Recibos!$D$4:$D$3010,Cobranza!$B38,Recibos!Q$4:Q$3010)</f>
        <v>125</v>
      </c>
      <c r="BF38" s="317">
        <f>SUMIF(Recibos!$D$4:$D$3010,Cobranza!$B38,Recibos!R$4:R$3010)</f>
        <v>125</v>
      </c>
      <c r="BG38" s="317">
        <f>SUMIF(Recibos!$D$4:$D$3010,Cobranza!$B38,Recibos!S$4:S$3010)</f>
        <v>125</v>
      </c>
      <c r="BH38" s="317">
        <f>SUMIF(Recibos!$D$4:$D$3010,Cobranza!$B38,Recibos!T$4:T$3010)</f>
        <v>125</v>
      </c>
      <c r="BI38" s="317">
        <f>SUMIF(Recibos!$D$4:$D$3010,Cobranza!$B38,Recibos!U$4:U$3010)</f>
        <v>125</v>
      </c>
      <c r="BJ38" s="317">
        <f>SUMIF(Recibos!$D$4:$D$3010,Cobranza!$B38,Recibos!V$4:V$3010)</f>
        <v>125</v>
      </c>
      <c r="BK38" s="318">
        <f t="shared" si="7"/>
        <v>1500</v>
      </c>
      <c r="BL38" s="317">
        <f>SUMIF(Recibos!$D$4:$D$3010,Cobranza!$B38,Recibos!X$4:X$3010)</f>
        <v>0</v>
      </c>
      <c r="BM38" s="317">
        <f>SUMIF(Recibos!$D$4:$D$3010,Cobranza!$B38,Recibos!Y$4:Y$3010)</f>
        <v>0</v>
      </c>
      <c r="BN38" s="317">
        <f>SUMIF(Recibos!$D$4:$D$3010,Cobranza!$B38,Recibos!Z$4:Z$3010)</f>
        <v>0</v>
      </c>
      <c r="BO38" s="317">
        <f>SUMIF(Recibos!$D$4:$D$3010,Cobranza!$B38,Recibos!AA$4:AA$3010)</f>
        <v>0</v>
      </c>
      <c r="BP38" s="317">
        <f>SUMIF(Recibos!$D$4:$D$3010,Cobranza!$B38,Recibos!AB$4:AB$3010)</f>
        <v>0</v>
      </c>
      <c r="BQ38" s="317">
        <f>SUMIF(Recibos!$D$4:$D$3010,Cobranza!$B38,Recibos!AC$4:AC$3010)</f>
        <v>0</v>
      </c>
      <c r="BR38" s="317">
        <f>SUMIF(Recibos!$D$4:$D$3010,Cobranza!$B38,Recibos!AD$4:AD$3010)</f>
        <v>0</v>
      </c>
      <c r="BS38" s="317">
        <f>SUMIF(Recibos!$D$4:$D$3010,Cobranza!$B38,Recibos!AE$4:AE$3010)</f>
        <v>0</v>
      </c>
      <c r="BT38" s="317">
        <f>SUMIF(Recibos!$D$4:$D$3010,Cobranza!$B38,Recibos!AF$4:AF$3010)</f>
        <v>0</v>
      </c>
      <c r="BU38" s="317">
        <f>SUMIF(Recibos!$D$4:$D$3010,Cobranza!$B38,Recibos!AG$4:AG$3010)</f>
        <v>0</v>
      </c>
      <c r="BV38" s="317">
        <f>SUMIF(Recibos!$D$4:$D$3010,Cobranza!$B38,Recibos!AH$4:AH$3010)</f>
        <v>0</v>
      </c>
      <c r="BW38" s="317">
        <f>SUMIF(Recibos!$D$4:$D$3010,Cobranza!$B38,Recibos!AI$4:AI$3010)</f>
        <v>0</v>
      </c>
      <c r="BX38" s="318">
        <f t="shared" si="8"/>
        <v>0</v>
      </c>
    </row>
    <row r="39" spans="2:76" x14ac:dyDescent="0.2">
      <c r="B39" s="45" t="s">
        <v>909</v>
      </c>
      <c r="C39" s="45" t="s">
        <v>910</v>
      </c>
      <c r="D39" s="45" t="s">
        <v>222</v>
      </c>
      <c r="E39" s="46">
        <v>0</v>
      </c>
      <c r="F39" s="46">
        <v>0</v>
      </c>
      <c r="G39" s="46">
        <v>0</v>
      </c>
      <c r="H39" s="46">
        <v>0</v>
      </c>
      <c r="I39" s="46">
        <v>0</v>
      </c>
      <c r="J39" s="46">
        <v>0</v>
      </c>
      <c r="K39" s="47">
        <f t="shared" si="2"/>
        <v>0</v>
      </c>
      <c r="L39" s="46">
        <v>0</v>
      </c>
      <c r="M39" s="46">
        <v>0</v>
      </c>
      <c r="N39" s="46">
        <v>0</v>
      </c>
      <c r="O39" s="46">
        <v>0</v>
      </c>
      <c r="P39" s="46">
        <v>0</v>
      </c>
      <c r="Q39" s="46">
        <v>0</v>
      </c>
      <c r="R39" s="46">
        <v>0</v>
      </c>
      <c r="S39" s="46">
        <v>0</v>
      </c>
      <c r="T39" s="46">
        <v>0</v>
      </c>
      <c r="U39" s="46">
        <v>0</v>
      </c>
      <c r="V39" s="46">
        <v>0</v>
      </c>
      <c r="W39" s="46">
        <v>0</v>
      </c>
      <c r="X39" s="47">
        <f t="shared" si="3"/>
        <v>0</v>
      </c>
      <c r="Y39" s="46">
        <v>0</v>
      </c>
      <c r="Z39" s="46">
        <v>0</v>
      </c>
      <c r="AA39" s="46">
        <v>0</v>
      </c>
      <c r="AB39" s="46">
        <v>0</v>
      </c>
      <c r="AC39" s="46">
        <v>0</v>
      </c>
      <c r="AD39" s="46">
        <v>0</v>
      </c>
      <c r="AE39" s="46">
        <v>0</v>
      </c>
      <c r="AF39" s="46">
        <v>0</v>
      </c>
      <c r="AG39" s="46">
        <v>0</v>
      </c>
      <c r="AH39" s="46">
        <v>0</v>
      </c>
      <c r="AI39" s="46">
        <v>0</v>
      </c>
      <c r="AJ39" s="46">
        <v>0</v>
      </c>
      <c r="AK39" s="47">
        <f t="shared" si="4"/>
        <v>0</v>
      </c>
      <c r="AL39" s="46">
        <v>0</v>
      </c>
      <c r="AM39" s="46">
        <v>0</v>
      </c>
      <c r="AN39" s="46">
        <v>0</v>
      </c>
      <c r="AO39" s="46">
        <v>0</v>
      </c>
      <c r="AP39" s="46">
        <v>0</v>
      </c>
      <c r="AQ39" s="46">
        <v>0</v>
      </c>
      <c r="AR39" s="46">
        <v>0</v>
      </c>
      <c r="AS39" s="46">
        <v>0</v>
      </c>
      <c r="AT39" s="46">
        <v>0</v>
      </c>
      <c r="AU39" s="46">
        <v>0</v>
      </c>
      <c r="AV39" s="46">
        <v>0</v>
      </c>
      <c r="AW39" s="46">
        <v>100</v>
      </c>
      <c r="AX39" s="47">
        <f t="shared" si="6"/>
        <v>100</v>
      </c>
      <c r="AY39" s="319">
        <f>SUMIF(Recibos!$D$4:$D$3010,Cobranza!$B39,Recibos!K$4:K$3010)</f>
        <v>100</v>
      </c>
      <c r="AZ39" s="319">
        <f>SUMIF(Recibos!$D$4:$D$3010,Cobranza!$B39,Recibos!L$4:L$3010)</f>
        <v>100</v>
      </c>
      <c r="BA39" s="319">
        <f>SUMIF(Recibos!$D$4:$D$3010,Cobranza!$B39,Recibos!M$4:M$3010)</f>
        <v>100</v>
      </c>
      <c r="BB39" s="319">
        <f>SUMIF(Recibos!$D$4:$D$3010,Cobranza!$B39,Recibos!N$4:N$3010)</f>
        <v>100</v>
      </c>
      <c r="BC39" s="319">
        <f>SUMIF(Recibos!$D$4:$D$3010,Cobranza!$B39,Recibos!O$4:O$3010)</f>
        <v>100</v>
      </c>
      <c r="BD39" s="319">
        <f>SUMIF(Recibos!$D$4:$D$3010,Cobranza!$B39,Recibos!P$4:P$3010)</f>
        <v>0</v>
      </c>
      <c r="BE39" s="319">
        <f>SUMIF(Recibos!$D$4:$D$3010,Cobranza!$B39,Recibos!Q$4:Q$3010)</f>
        <v>0</v>
      </c>
      <c r="BF39" s="319">
        <f>SUMIF(Recibos!$D$4:$D$3010,Cobranza!$B39,Recibos!R$4:R$3010)</f>
        <v>0</v>
      </c>
      <c r="BG39" s="319">
        <f>SUMIF(Recibos!$D$4:$D$3010,Cobranza!$B39,Recibos!S$4:S$3010)</f>
        <v>0</v>
      </c>
      <c r="BH39" s="319">
        <f>SUMIF(Recibos!$D$4:$D$3010,Cobranza!$B39,Recibos!T$4:T$3010)</f>
        <v>0</v>
      </c>
      <c r="BI39" s="319">
        <f>SUMIF(Recibos!$D$4:$D$3010,Cobranza!$B39,Recibos!U$4:U$3010)</f>
        <v>0</v>
      </c>
      <c r="BJ39" s="319">
        <f>SUMIF(Recibos!$D$4:$D$3010,Cobranza!$B39,Recibos!V$4:V$3010)</f>
        <v>0</v>
      </c>
      <c r="BK39" s="320">
        <f t="shared" si="7"/>
        <v>500</v>
      </c>
      <c r="BL39" s="319">
        <f>SUMIF(Recibos!$D$4:$D$3010,Cobranza!$B39,Recibos!X$4:X$3010)</f>
        <v>0</v>
      </c>
      <c r="BM39" s="319">
        <f>SUMIF(Recibos!$D$4:$D$3010,Cobranza!$B39,Recibos!Y$4:Y$3010)</f>
        <v>0</v>
      </c>
      <c r="BN39" s="319">
        <f>SUMIF(Recibos!$D$4:$D$3010,Cobranza!$B39,Recibos!Z$4:Z$3010)</f>
        <v>0</v>
      </c>
      <c r="BO39" s="319">
        <f>SUMIF(Recibos!$D$4:$D$3010,Cobranza!$B39,Recibos!AA$4:AA$3010)</f>
        <v>0</v>
      </c>
      <c r="BP39" s="319">
        <f>SUMIF(Recibos!$D$4:$D$3010,Cobranza!$B39,Recibos!AB$4:AB$3010)</f>
        <v>0</v>
      </c>
      <c r="BQ39" s="319">
        <f>SUMIF(Recibos!$D$4:$D$3010,Cobranza!$B39,Recibos!AC$4:AC$3010)</f>
        <v>0</v>
      </c>
      <c r="BR39" s="319">
        <f>SUMIF(Recibos!$D$4:$D$3010,Cobranza!$B39,Recibos!AD$4:AD$3010)</f>
        <v>0</v>
      </c>
      <c r="BS39" s="319">
        <f>SUMIF(Recibos!$D$4:$D$3010,Cobranza!$B39,Recibos!AE$4:AE$3010)</f>
        <v>0</v>
      </c>
      <c r="BT39" s="319">
        <f>SUMIF(Recibos!$D$4:$D$3010,Cobranza!$B39,Recibos!AF$4:AF$3010)</f>
        <v>0</v>
      </c>
      <c r="BU39" s="319">
        <f>SUMIF(Recibos!$D$4:$D$3010,Cobranza!$B39,Recibos!AG$4:AG$3010)</f>
        <v>0</v>
      </c>
      <c r="BV39" s="319">
        <f>SUMIF(Recibos!$D$4:$D$3010,Cobranza!$B39,Recibos!AH$4:AH$3010)</f>
        <v>0</v>
      </c>
      <c r="BW39" s="319">
        <f>SUMIF(Recibos!$D$4:$D$3010,Cobranza!$B39,Recibos!AI$4:AI$3010)</f>
        <v>0</v>
      </c>
      <c r="BX39" s="320">
        <f t="shared" si="8"/>
        <v>0</v>
      </c>
    </row>
    <row r="40" spans="2:76" x14ac:dyDescent="0.2">
      <c r="B40" s="42" t="s">
        <v>106</v>
      </c>
      <c r="C40" s="42" t="s">
        <v>107</v>
      </c>
      <c r="D40" s="42" t="s">
        <v>108</v>
      </c>
      <c r="E40" s="43">
        <v>0</v>
      </c>
      <c r="F40" s="43">
        <v>0</v>
      </c>
      <c r="G40" s="43">
        <v>0</v>
      </c>
      <c r="H40" s="43">
        <v>0</v>
      </c>
      <c r="I40" s="43">
        <v>300</v>
      </c>
      <c r="J40" s="43">
        <v>300</v>
      </c>
      <c r="K40" s="44">
        <f t="shared" si="2"/>
        <v>600</v>
      </c>
      <c r="L40" s="43">
        <v>300</v>
      </c>
      <c r="M40" s="43">
        <v>300</v>
      </c>
      <c r="N40" s="43">
        <v>300</v>
      </c>
      <c r="O40" s="43">
        <v>300</v>
      </c>
      <c r="P40" s="43">
        <v>300</v>
      </c>
      <c r="Q40" s="43">
        <v>300</v>
      </c>
      <c r="R40" s="43">
        <v>300</v>
      </c>
      <c r="S40" s="43">
        <v>300</v>
      </c>
      <c r="T40" s="43">
        <v>300</v>
      </c>
      <c r="U40" s="43">
        <v>400</v>
      </c>
      <c r="V40" s="43">
        <v>400</v>
      </c>
      <c r="W40" s="43">
        <v>400</v>
      </c>
      <c r="X40" s="44">
        <f t="shared" si="3"/>
        <v>3900</v>
      </c>
      <c r="Y40" s="43">
        <v>400</v>
      </c>
      <c r="Z40" s="43">
        <v>400</v>
      </c>
      <c r="AA40" s="43">
        <v>400</v>
      </c>
      <c r="AB40" s="43">
        <v>400</v>
      </c>
      <c r="AC40" s="43">
        <v>400</v>
      </c>
      <c r="AD40" s="43">
        <v>400</v>
      </c>
      <c r="AE40" s="43">
        <v>400</v>
      </c>
      <c r="AF40" s="43">
        <v>400</v>
      </c>
      <c r="AG40" s="43">
        <v>800</v>
      </c>
      <c r="AH40" s="43">
        <v>0</v>
      </c>
      <c r="AI40" s="43">
        <v>400</v>
      </c>
      <c r="AJ40" s="43">
        <v>400</v>
      </c>
      <c r="AK40" s="44">
        <f t="shared" si="4"/>
        <v>4800</v>
      </c>
      <c r="AL40" s="43">
        <v>400</v>
      </c>
      <c r="AM40" s="43">
        <v>400</v>
      </c>
      <c r="AN40" s="43">
        <v>400</v>
      </c>
      <c r="AO40" s="43">
        <v>400</v>
      </c>
      <c r="AP40" s="43">
        <v>400</v>
      </c>
      <c r="AQ40" s="43">
        <v>400</v>
      </c>
      <c r="AR40" s="43">
        <v>400</v>
      </c>
      <c r="AS40" s="43">
        <v>400</v>
      </c>
      <c r="AT40" s="43">
        <v>400</v>
      </c>
      <c r="AU40" s="43">
        <v>400</v>
      </c>
      <c r="AV40" s="43">
        <v>400</v>
      </c>
      <c r="AW40" s="43">
        <v>400</v>
      </c>
      <c r="AX40" s="44">
        <f t="shared" si="6"/>
        <v>4800</v>
      </c>
      <c r="AY40" s="317">
        <f>SUMIF(Recibos!$D$4:$D$3010,Cobranza!$B40,Recibos!K$4:K$3010)</f>
        <v>400</v>
      </c>
      <c r="AZ40" s="317">
        <f>SUMIF(Recibos!$D$4:$D$3010,Cobranza!$B40,Recibos!L$4:L$3010)</f>
        <v>400</v>
      </c>
      <c r="BA40" s="317">
        <f>SUMIF(Recibos!$D$4:$D$3010,Cobranza!$B40,Recibos!M$4:M$3010)</f>
        <v>400</v>
      </c>
      <c r="BB40" s="317">
        <f>SUMIF(Recibos!$D$4:$D$3010,Cobranza!$B40,Recibos!N$4:N$3010)</f>
        <v>400</v>
      </c>
      <c r="BC40" s="317">
        <f>SUMIF(Recibos!$D$4:$D$3010,Cobranza!$B40,Recibos!O$4:O$3010)</f>
        <v>400</v>
      </c>
      <c r="BD40" s="317">
        <f>SUMIF(Recibos!$D$4:$D$3010,Cobranza!$B40,Recibos!P$4:P$3010)</f>
        <v>400</v>
      </c>
      <c r="BE40" s="317">
        <f>SUMIF(Recibos!$D$4:$D$3010,Cobranza!$B40,Recibos!Q$4:Q$3010)</f>
        <v>400</v>
      </c>
      <c r="BF40" s="317">
        <f>SUMIF(Recibos!$D$4:$D$3010,Cobranza!$B40,Recibos!R$4:R$3010)</f>
        <v>400</v>
      </c>
      <c r="BG40" s="317">
        <f>SUMIF(Recibos!$D$4:$D$3010,Cobranza!$B40,Recibos!S$4:S$3010)</f>
        <v>400</v>
      </c>
      <c r="BH40" s="317">
        <f>SUMIF(Recibos!$D$4:$D$3010,Cobranza!$B40,Recibos!T$4:T$3010)</f>
        <v>400</v>
      </c>
      <c r="BI40" s="317">
        <f>SUMIF(Recibos!$D$4:$D$3010,Cobranza!$B40,Recibos!U$4:U$3010)</f>
        <v>400</v>
      </c>
      <c r="BJ40" s="317">
        <f>SUMIF(Recibos!$D$4:$D$3010,Cobranza!$B40,Recibos!V$4:V$3010)</f>
        <v>0</v>
      </c>
      <c r="BK40" s="318">
        <f t="shared" si="7"/>
        <v>4400</v>
      </c>
      <c r="BL40" s="317">
        <f>SUMIF(Recibos!$D$4:$D$3010,Cobranza!$B40,Recibos!X$4:X$3010)</f>
        <v>400</v>
      </c>
      <c r="BM40" s="317">
        <f>SUMIF(Recibos!$D$4:$D$3010,Cobranza!$B40,Recibos!Y$4:Y$3010)</f>
        <v>400</v>
      </c>
      <c r="BN40" s="317">
        <f>SUMIF(Recibos!$D$4:$D$3010,Cobranza!$B40,Recibos!Z$4:Z$3010)</f>
        <v>400</v>
      </c>
      <c r="BO40" s="317">
        <f>SUMIF(Recibos!$D$4:$D$3010,Cobranza!$B40,Recibos!AA$4:AA$3010)</f>
        <v>400</v>
      </c>
      <c r="BP40" s="317">
        <f>SUMIF(Recibos!$D$4:$D$3010,Cobranza!$B40,Recibos!AB$4:AB$3010)</f>
        <v>400</v>
      </c>
      <c r="BQ40" s="317">
        <f>SUMIF(Recibos!$D$4:$D$3010,Cobranza!$B40,Recibos!AC$4:AC$3010)</f>
        <v>400</v>
      </c>
      <c r="BR40" s="317">
        <f>SUMIF(Recibos!$D$4:$D$3010,Cobranza!$B40,Recibos!AD$4:AD$3010)</f>
        <v>400</v>
      </c>
      <c r="BS40" s="317">
        <f>SUMIF(Recibos!$D$4:$D$3010,Cobranza!$B40,Recibos!AE$4:AE$3010)</f>
        <v>400</v>
      </c>
      <c r="BT40" s="317">
        <f>SUMIF(Recibos!$D$4:$D$3010,Cobranza!$B40,Recibos!AF$4:AF$3010)</f>
        <v>400</v>
      </c>
      <c r="BU40" s="317">
        <f>SUMIF(Recibos!$D$4:$D$3010,Cobranza!$B40,Recibos!AG$4:AG$3010)</f>
        <v>400</v>
      </c>
      <c r="BV40" s="317">
        <f>SUMIF(Recibos!$D$4:$D$3010,Cobranza!$B40,Recibos!AH$4:AH$3010)</f>
        <v>400</v>
      </c>
      <c r="BW40" s="317">
        <f>SUMIF(Recibos!$D$4:$D$3010,Cobranza!$B40,Recibos!AI$4:AI$3010)</f>
        <v>0</v>
      </c>
      <c r="BX40" s="318">
        <f t="shared" si="8"/>
        <v>4400</v>
      </c>
    </row>
    <row r="41" spans="2:76" x14ac:dyDescent="0.2">
      <c r="B41" s="45" t="s">
        <v>577</v>
      </c>
      <c r="C41" s="45" t="s">
        <v>578</v>
      </c>
      <c r="D41" s="45" t="s">
        <v>579</v>
      </c>
      <c r="E41" s="46">
        <v>0</v>
      </c>
      <c r="F41" s="46">
        <v>0</v>
      </c>
      <c r="G41" s="46">
        <v>0</v>
      </c>
      <c r="H41" s="46">
        <v>0</v>
      </c>
      <c r="I41" s="46">
        <v>300</v>
      </c>
      <c r="J41" s="46">
        <v>300</v>
      </c>
      <c r="K41" s="47">
        <f t="shared" si="2"/>
        <v>600</v>
      </c>
      <c r="L41" s="46">
        <v>300</v>
      </c>
      <c r="M41" s="46">
        <v>300</v>
      </c>
      <c r="N41" s="46">
        <v>300</v>
      </c>
      <c r="O41" s="46">
        <v>300</v>
      </c>
      <c r="P41" s="46">
        <v>300</v>
      </c>
      <c r="Q41" s="46">
        <v>300</v>
      </c>
      <c r="R41" s="46">
        <v>300</v>
      </c>
      <c r="S41" s="46">
        <v>300</v>
      </c>
      <c r="T41" s="46">
        <v>300</v>
      </c>
      <c r="U41" s="46">
        <v>300</v>
      </c>
      <c r="V41" s="46">
        <v>400</v>
      </c>
      <c r="W41" s="46">
        <v>400</v>
      </c>
      <c r="X41" s="47">
        <f t="shared" si="3"/>
        <v>3800</v>
      </c>
      <c r="Y41" s="46">
        <v>400</v>
      </c>
      <c r="Z41" s="46">
        <v>400</v>
      </c>
      <c r="AA41" s="46">
        <v>400</v>
      </c>
      <c r="AB41" s="46">
        <v>400</v>
      </c>
      <c r="AC41" s="46">
        <v>400</v>
      </c>
      <c r="AD41" s="46">
        <v>400</v>
      </c>
      <c r="AE41" s="46">
        <v>400</v>
      </c>
      <c r="AF41" s="46">
        <v>400</v>
      </c>
      <c r="AG41" s="46">
        <v>400</v>
      </c>
      <c r="AH41" s="46">
        <v>400</v>
      </c>
      <c r="AI41" s="46">
        <v>400</v>
      </c>
      <c r="AJ41" s="46">
        <v>400</v>
      </c>
      <c r="AK41" s="47">
        <f t="shared" si="4"/>
        <v>4800</v>
      </c>
      <c r="AL41" s="46">
        <v>400</v>
      </c>
      <c r="AM41" s="46">
        <v>400</v>
      </c>
      <c r="AN41" s="46">
        <v>400</v>
      </c>
      <c r="AO41" s="46">
        <v>400</v>
      </c>
      <c r="AP41" s="46">
        <v>400</v>
      </c>
      <c r="AQ41" s="46">
        <v>400</v>
      </c>
      <c r="AR41" s="46">
        <v>400</v>
      </c>
      <c r="AS41" s="46">
        <v>400</v>
      </c>
      <c r="AT41" s="46">
        <v>400</v>
      </c>
      <c r="AU41" s="46">
        <v>400</v>
      </c>
      <c r="AV41" s="46">
        <v>400</v>
      </c>
      <c r="AW41" s="46">
        <v>400</v>
      </c>
      <c r="AX41" s="47">
        <f t="shared" si="6"/>
        <v>4800</v>
      </c>
      <c r="AY41" s="319">
        <f>SUMIF(Recibos!$D$4:$D$3010,Cobranza!$B41,Recibos!K$4:K$3010)</f>
        <v>400</v>
      </c>
      <c r="AZ41" s="319">
        <f>SUMIF(Recibos!$D$4:$D$3010,Cobranza!$B41,Recibos!L$4:L$3010)</f>
        <v>400</v>
      </c>
      <c r="BA41" s="319">
        <f>SUMIF(Recibos!$D$4:$D$3010,Cobranza!$B41,Recibos!M$4:M$3010)</f>
        <v>400</v>
      </c>
      <c r="BB41" s="319">
        <f>SUMIF(Recibos!$D$4:$D$3010,Cobranza!$B41,Recibos!N$4:N$3010)</f>
        <v>400</v>
      </c>
      <c r="BC41" s="319">
        <f>SUMIF(Recibos!$D$4:$D$3010,Cobranza!$B41,Recibos!O$4:O$3010)</f>
        <v>400</v>
      </c>
      <c r="BD41" s="319">
        <f>SUMIF(Recibos!$D$4:$D$3010,Cobranza!$B41,Recibos!P$4:P$3010)</f>
        <v>400</v>
      </c>
      <c r="BE41" s="319">
        <f>SUMIF(Recibos!$D$4:$D$3010,Cobranza!$B41,Recibos!Q$4:Q$3010)</f>
        <v>400</v>
      </c>
      <c r="BF41" s="319">
        <f>SUMIF(Recibos!$D$4:$D$3010,Cobranza!$B41,Recibos!R$4:R$3010)</f>
        <v>400</v>
      </c>
      <c r="BG41" s="319">
        <f>SUMIF(Recibos!$D$4:$D$3010,Cobranza!$B41,Recibos!S$4:S$3010)</f>
        <v>400</v>
      </c>
      <c r="BH41" s="319">
        <f>SUMIF(Recibos!$D$4:$D$3010,Cobranza!$B41,Recibos!T$4:T$3010)</f>
        <v>400</v>
      </c>
      <c r="BI41" s="319">
        <f>SUMIF(Recibos!$D$4:$D$3010,Cobranza!$B41,Recibos!U$4:U$3010)</f>
        <v>400</v>
      </c>
      <c r="BJ41" s="319">
        <f>SUMIF(Recibos!$D$4:$D$3010,Cobranza!$B41,Recibos!V$4:V$3010)</f>
        <v>400</v>
      </c>
      <c r="BK41" s="320">
        <f t="shared" si="7"/>
        <v>4800</v>
      </c>
      <c r="BL41" s="319">
        <f>SUMIF(Recibos!$D$4:$D$3010,Cobranza!$B41,Recibos!X$4:X$3010)</f>
        <v>0</v>
      </c>
      <c r="BM41" s="319">
        <f>SUMIF(Recibos!$D$4:$D$3010,Cobranza!$B41,Recibos!Y$4:Y$3010)</f>
        <v>0</v>
      </c>
      <c r="BN41" s="319">
        <f>SUMIF(Recibos!$D$4:$D$3010,Cobranza!$B41,Recibos!Z$4:Z$3010)</f>
        <v>0</v>
      </c>
      <c r="BO41" s="319">
        <f>SUMIF(Recibos!$D$4:$D$3010,Cobranza!$B41,Recibos!AA$4:AA$3010)</f>
        <v>0</v>
      </c>
      <c r="BP41" s="319">
        <f>SUMIF(Recibos!$D$4:$D$3010,Cobranza!$B41,Recibos!AB$4:AB$3010)</f>
        <v>0</v>
      </c>
      <c r="BQ41" s="319">
        <f>SUMIF(Recibos!$D$4:$D$3010,Cobranza!$B41,Recibos!AC$4:AC$3010)</f>
        <v>0</v>
      </c>
      <c r="BR41" s="319">
        <f>SUMIF(Recibos!$D$4:$D$3010,Cobranza!$B41,Recibos!AD$4:AD$3010)</f>
        <v>0</v>
      </c>
      <c r="BS41" s="319">
        <f>SUMIF(Recibos!$D$4:$D$3010,Cobranza!$B41,Recibos!AE$4:AE$3010)</f>
        <v>0</v>
      </c>
      <c r="BT41" s="319">
        <f>SUMIF(Recibos!$D$4:$D$3010,Cobranza!$B41,Recibos!AF$4:AF$3010)</f>
        <v>0</v>
      </c>
      <c r="BU41" s="319">
        <f>SUMIF(Recibos!$D$4:$D$3010,Cobranza!$B41,Recibos!AG$4:AG$3010)</f>
        <v>0</v>
      </c>
      <c r="BV41" s="319">
        <f>SUMIF(Recibos!$D$4:$D$3010,Cobranza!$B41,Recibos!AH$4:AH$3010)</f>
        <v>0</v>
      </c>
      <c r="BW41" s="319">
        <f>SUMIF(Recibos!$D$4:$D$3010,Cobranza!$B41,Recibos!AI$4:AI$3010)</f>
        <v>0</v>
      </c>
      <c r="BX41" s="320">
        <f t="shared" si="8"/>
        <v>0</v>
      </c>
    </row>
    <row r="42" spans="2:76" x14ac:dyDescent="0.2">
      <c r="B42" s="42" t="s">
        <v>963</v>
      </c>
      <c r="C42" s="42" t="s">
        <v>964</v>
      </c>
      <c r="D42" s="42" t="s">
        <v>460</v>
      </c>
      <c r="E42" s="43">
        <v>0</v>
      </c>
      <c r="F42" s="43">
        <v>0</v>
      </c>
      <c r="G42" s="43">
        <v>0</v>
      </c>
      <c r="H42" s="43">
        <v>0</v>
      </c>
      <c r="I42" s="43">
        <v>300</v>
      </c>
      <c r="J42" s="43">
        <v>300</v>
      </c>
      <c r="K42" s="44">
        <f t="shared" si="2"/>
        <v>600</v>
      </c>
      <c r="L42" s="43">
        <v>300</v>
      </c>
      <c r="M42" s="43">
        <v>300</v>
      </c>
      <c r="N42" s="43">
        <v>300</v>
      </c>
      <c r="O42" s="43">
        <v>300</v>
      </c>
      <c r="P42" s="43">
        <v>300</v>
      </c>
      <c r="Q42" s="43">
        <v>300</v>
      </c>
      <c r="R42" s="43">
        <v>300</v>
      </c>
      <c r="S42" s="43">
        <v>300</v>
      </c>
      <c r="T42" s="43">
        <v>300</v>
      </c>
      <c r="U42" s="43">
        <v>400</v>
      </c>
      <c r="V42" s="43">
        <v>400</v>
      </c>
      <c r="W42" s="43">
        <v>400</v>
      </c>
      <c r="X42" s="44">
        <f t="shared" si="3"/>
        <v>3900</v>
      </c>
      <c r="Y42" s="43">
        <v>400</v>
      </c>
      <c r="Z42" s="43">
        <v>400</v>
      </c>
      <c r="AA42" s="43">
        <v>400</v>
      </c>
      <c r="AB42" s="43">
        <v>400</v>
      </c>
      <c r="AC42" s="43">
        <v>400</v>
      </c>
      <c r="AD42" s="43">
        <v>400</v>
      </c>
      <c r="AE42" s="43">
        <v>400</v>
      </c>
      <c r="AF42" s="43">
        <v>400</v>
      </c>
      <c r="AG42" s="43">
        <v>400</v>
      </c>
      <c r="AH42" s="43">
        <v>400</v>
      </c>
      <c r="AI42" s="43">
        <v>0</v>
      </c>
      <c r="AJ42" s="43">
        <v>0</v>
      </c>
      <c r="AK42" s="44">
        <f t="shared" si="4"/>
        <v>4000</v>
      </c>
      <c r="AL42" s="43">
        <v>400</v>
      </c>
      <c r="AM42" s="43">
        <v>400</v>
      </c>
      <c r="AN42" s="43">
        <v>400</v>
      </c>
      <c r="AO42" s="43">
        <v>400</v>
      </c>
      <c r="AP42" s="43">
        <v>400</v>
      </c>
      <c r="AQ42" s="43">
        <v>400</v>
      </c>
      <c r="AR42" s="43">
        <v>400</v>
      </c>
      <c r="AS42" s="43">
        <v>400</v>
      </c>
      <c r="AT42" s="43">
        <v>400</v>
      </c>
      <c r="AU42" s="43">
        <v>400</v>
      </c>
      <c r="AV42" s="43">
        <v>0</v>
      </c>
      <c r="AW42" s="43">
        <v>0</v>
      </c>
      <c r="AX42" s="44">
        <f t="shared" si="6"/>
        <v>4000</v>
      </c>
      <c r="AY42" s="317">
        <f>SUMIF(Recibos!$D$4:$D$3010,Cobranza!$B42,Recibos!K$4:K$3010)</f>
        <v>400</v>
      </c>
      <c r="AZ42" s="317">
        <f>SUMIF(Recibos!$D$4:$D$3010,Cobranza!$B42,Recibos!L$4:L$3010)</f>
        <v>400</v>
      </c>
      <c r="BA42" s="317">
        <f>SUMIF(Recibos!$D$4:$D$3010,Cobranza!$B42,Recibos!M$4:M$3010)</f>
        <v>400</v>
      </c>
      <c r="BB42" s="317">
        <f>SUMIF(Recibos!$D$4:$D$3010,Cobranza!$B42,Recibos!N$4:N$3010)</f>
        <v>400</v>
      </c>
      <c r="BC42" s="317">
        <f>SUMIF(Recibos!$D$4:$D$3010,Cobranza!$B42,Recibos!O$4:O$3010)</f>
        <v>400</v>
      </c>
      <c r="BD42" s="317">
        <f>SUMIF(Recibos!$D$4:$D$3010,Cobranza!$B42,Recibos!P$4:P$3010)</f>
        <v>150</v>
      </c>
      <c r="BE42" s="317">
        <f>SUMIF(Recibos!$D$4:$D$3010,Cobranza!$B42,Recibos!Q$4:Q$3010)</f>
        <v>0</v>
      </c>
      <c r="BF42" s="317">
        <f>SUMIF(Recibos!$D$4:$D$3010,Cobranza!$B42,Recibos!R$4:R$3010)</f>
        <v>0</v>
      </c>
      <c r="BG42" s="317">
        <f>SUMIF(Recibos!$D$4:$D$3010,Cobranza!$B42,Recibos!S$4:S$3010)</f>
        <v>0</v>
      </c>
      <c r="BH42" s="317">
        <f>SUMIF(Recibos!$D$4:$D$3010,Cobranza!$B42,Recibos!T$4:T$3010)</f>
        <v>0</v>
      </c>
      <c r="BI42" s="317">
        <f>SUMIF(Recibos!$D$4:$D$3010,Cobranza!$B42,Recibos!U$4:U$3010)</f>
        <v>0</v>
      </c>
      <c r="BJ42" s="317">
        <f>SUMIF(Recibos!$D$4:$D$3010,Cobranza!$B42,Recibos!V$4:V$3010)</f>
        <v>400</v>
      </c>
      <c r="BK42" s="318">
        <f t="shared" si="7"/>
        <v>2550</v>
      </c>
      <c r="BL42" s="317">
        <f>SUMIF(Recibos!$D$4:$D$3010,Cobranza!$B42,Recibos!X$4:X$3010)</f>
        <v>400</v>
      </c>
      <c r="BM42" s="317">
        <f>SUMIF(Recibos!$D$4:$D$3010,Cobranza!$B42,Recibos!Y$4:Y$3010)</f>
        <v>0</v>
      </c>
      <c r="BN42" s="317">
        <f>SUMIF(Recibos!$D$4:$D$3010,Cobranza!$B42,Recibos!Z$4:Z$3010)</f>
        <v>0</v>
      </c>
      <c r="BO42" s="317">
        <f>SUMIF(Recibos!$D$4:$D$3010,Cobranza!$B42,Recibos!AA$4:AA$3010)</f>
        <v>0</v>
      </c>
      <c r="BP42" s="317">
        <f>SUMIF(Recibos!$D$4:$D$3010,Cobranza!$B42,Recibos!AB$4:AB$3010)</f>
        <v>0</v>
      </c>
      <c r="BQ42" s="317">
        <f>SUMIF(Recibos!$D$4:$D$3010,Cobranza!$B42,Recibos!AC$4:AC$3010)</f>
        <v>0</v>
      </c>
      <c r="BR42" s="317">
        <f>SUMIF(Recibos!$D$4:$D$3010,Cobranza!$B42,Recibos!AD$4:AD$3010)</f>
        <v>0</v>
      </c>
      <c r="BS42" s="317">
        <f>SUMIF(Recibos!$D$4:$D$3010,Cobranza!$B42,Recibos!AE$4:AE$3010)</f>
        <v>0</v>
      </c>
      <c r="BT42" s="317">
        <f>SUMIF(Recibos!$D$4:$D$3010,Cobranza!$B42,Recibos!AF$4:AF$3010)</f>
        <v>0</v>
      </c>
      <c r="BU42" s="317">
        <f>SUMIF(Recibos!$D$4:$D$3010,Cobranza!$B42,Recibos!AG$4:AG$3010)</f>
        <v>0</v>
      </c>
      <c r="BV42" s="317">
        <f>SUMIF(Recibos!$D$4:$D$3010,Cobranza!$B42,Recibos!AH$4:AH$3010)</f>
        <v>0</v>
      </c>
      <c r="BW42" s="317">
        <f>SUMIF(Recibos!$D$4:$D$3010,Cobranza!$B42,Recibos!AI$4:AI$3010)</f>
        <v>0</v>
      </c>
      <c r="BX42" s="318">
        <f t="shared" si="8"/>
        <v>400</v>
      </c>
    </row>
    <row r="43" spans="2:76" x14ac:dyDescent="0.2">
      <c r="B43" s="45" t="s">
        <v>1142</v>
      </c>
      <c r="C43" s="45" t="s">
        <v>1143</v>
      </c>
      <c r="D43" s="45" t="s">
        <v>1144</v>
      </c>
      <c r="E43" s="46">
        <v>0</v>
      </c>
      <c r="F43" s="46">
        <v>0</v>
      </c>
      <c r="G43" s="46">
        <v>0</v>
      </c>
      <c r="H43" s="46">
        <v>0</v>
      </c>
      <c r="I43" s="46">
        <v>0</v>
      </c>
      <c r="J43" s="46">
        <v>0</v>
      </c>
      <c r="K43" s="47">
        <f t="shared" si="2"/>
        <v>0</v>
      </c>
      <c r="L43" s="46">
        <v>0</v>
      </c>
      <c r="M43" s="46">
        <v>0</v>
      </c>
      <c r="N43" s="46">
        <v>0</v>
      </c>
      <c r="O43" s="46">
        <v>0</v>
      </c>
      <c r="P43" s="46">
        <v>0</v>
      </c>
      <c r="Q43" s="46">
        <v>0</v>
      </c>
      <c r="R43" s="46">
        <v>0</v>
      </c>
      <c r="S43" s="46">
        <v>0</v>
      </c>
      <c r="T43" s="46">
        <v>0</v>
      </c>
      <c r="U43" s="46">
        <v>0</v>
      </c>
      <c r="V43" s="46">
        <v>0</v>
      </c>
      <c r="W43" s="46">
        <v>0</v>
      </c>
      <c r="X43" s="47">
        <f t="shared" si="3"/>
        <v>0</v>
      </c>
      <c r="Y43" s="46">
        <v>0</v>
      </c>
      <c r="Z43" s="46">
        <v>0</v>
      </c>
      <c r="AA43" s="46">
        <v>0</v>
      </c>
      <c r="AB43" s="46">
        <v>0</v>
      </c>
      <c r="AC43" s="46">
        <v>0</v>
      </c>
      <c r="AD43" s="46">
        <v>0</v>
      </c>
      <c r="AE43" s="46">
        <v>0</v>
      </c>
      <c r="AF43" s="46">
        <v>0</v>
      </c>
      <c r="AG43" s="46">
        <v>0</v>
      </c>
      <c r="AH43" s="46">
        <v>0</v>
      </c>
      <c r="AI43" s="46">
        <v>0</v>
      </c>
      <c r="AJ43" s="46">
        <v>0</v>
      </c>
      <c r="AK43" s="47">
        <f t="shared" si="4"/>
        <v>0</v>
      </c>
      <c r="AL43" s="46">
        <v>0</v>
      </c>
      <c r="AM43" s="46">
        <v>0</v>
      </c>
      <c r="AN43" s="46">
        <v>0</v>
      </c>
      <c r="AO43" s="46">
        <v>0</v>
      </c>
      <c r="AP43" s="46">
        <v>0</v>
      </c>
      <c r="AQ43" s="46">
        <v>0</v>
      </c>
      <c r="AR43" s="46">
        <v>0</v>
      </c>
      <c r="AS43" s="46">
        <v>0</v>
      </c>
      <c r="AT43" s="46">
        <v>0</v>
      </c>
      <c r="AU43" s="46">
        <v>0</v>
      </c>
      <c r="AV43" s="46">
        <v>0</v>
      </c>
      <c r="AW43" s="46">
        <v>0</v>
      </c>
      <c r="AX43" s="47">
        <f t="shared" si="6"/>
        <v>0</v>
      </c>
      <c r="AY43" s="319">
        <f>SUMIF(Recibos!$D$4:$D$3010,Cobranza!$B43,Recibos!K$4:K$3010)</f>
        <v>0</v>
      </c>
      <c r="AZ43" s="319">
        <f>SUMIF(Recibos!$D$4:$D$3010,Cobranza!$B43,Recibos!L$4:L$3010)</f>
        <v>0</v>
      </c>
      <c r="BA43" s="319">
        <f>SUMIF(Recibos!$D$4:$D$3010,Cobranza!$B43,Recibos!M$4:M$3010)</f>
        <v>0</v>
      </c>
      <c r="BB43" s="319">
        <f>SUMIF(Recibos!$D$4:$D$3010,Cobranza!$B43,Recibos!N$4:N$3010)</f>
        <v>0</v>
      </c>
      <c r="BC43" s="319">
        <f>SUMIF(Recibos!$D$4:$D$3010,Cobranza!$B43,Recibos!O$4:O$3010)</f>
        <v>0</v>
      </c>
      <c r="BD43" s="319">
        <f>SUMIF(Recibos!$D$4:$D$3010,Cobranza!$B43,Recibos!P$4:P$3010)</f>
        <v>0</v>
      </c>
      <c r="BE43" s="319">
        <f>SUMIF(Recibos!$D$4:$D$3010,Cobranza!$B43,Recibos!Q$4:Q$3010)</f>
        <v>0</v>
      </c>
      <c r="BF43" s="319">
        <f>SUMIF(Recibos!$D$4:$D$3010,Cobranza!$B43,Recibos!R$4:R$3010)</f>
        <v>400</v>
      </c>
      <c r="BG43" s="319">
        <f>SUMIF(Recibos!$D$4:$D$3010,Cobranza!$B43,Recibos!S$4:S$3010)</f>
        <v>400</v>
      </c>
      <c r="BH43" s="319">
        <f>SUMIF(Recibos!$D$4:$D$3010,Cobranza!$B43,Recibos!T$4:T$3010)</f>
        <v>400</v>
      </c>
      <c r="BI43" s="319">
        <f>SUMIF(Recibos!$D$4:$D$3010,Cobranza!$B43,Recibos!U$4:U$3010)</f>
        <v>0</v>
      </c>
      <c r="BJ43" s="319">
        <f>SUMIF(Recibos!$D$4:$D$3010,Cobranza!$B43,Recibos!V$4:V$3010)</f>
        <v>0</v>
      </c>
      <c r="BK43" s="320">
        <f t="shared" si="7"/>
        <v>1200</v>
      </c>
      <c r="BL43" s="319">
        <f>SUMIF(Recibos!$D$4:$D$3010,Cobranza!$B43,Recibos!X$4:X$3010)</f>
        <v>0</v>
      </c>
      <c r="BM43" s="319">
        <f>SUMIF(Recibos!$D$4:$D$3010,Cobranza!$B43,Recibos!Y$4:Y$3010)</f>
        <v>0</v>
      </c>
      <c r="BN43" s="319">
        <f>SUMIF(Recibos!$D$4:$D$3010,Cobranza!$B43,Recibos!Z$4:Z$3010)</f>
        <v>0</v>
      </c>
      <c r="BO43" s="319">
        <f>SUMIF(Recibos!$D$4:$D$3010,Cobranza!$B43,Recibos!AA$4:AA$3010)</f>
        <v>0</v>
      </c>
      <c r="BP43" s="319">
        <f>SUMIF(Recibos!$D$4:$D$3010,Cobranza!$B43,Recibos!AB$4:AB$3010)</f>
        <v>0</v>
      </c>
      <c r="BQ43" s="319">
        <f>SUMIF(Recibos!$D$4:$D$3010,Cobranza!$B43,Recibos!AC$4:AC$3010)</f>
        <v>0</v>
      </c>
      <c r="BR43" s="319">
        <f>SUMIF(Recibos!$D$4:$D$3010,Cobranza!$B43,Recibos!AD$4:AD$3010)</f>
        <v>0</v>
      </c>
      <c r="BS43" s="319">
        <f>SUMIF(Recibos!$D$4:$D$3010,Cobranza!$B43,Recibos!AE$4:AE$3010)</f>
        <v>0</v>
      </c>
      <c r="BT43" s="319">
        <f>SUMIF(Recibos!$D$4:$D$3010,Cobranza!$B43,Recibos!AF$4:AF$3010)</f>
        <v>0</v>
      </c>
      <c r="BU43" s="319">
        <f>SUMIF(Recibos!$D$4:$D$3010,Cobranza!$B43,Recibos!AG$4:AG$3010)</f>
        <v>0</v>
      </c>
      <c r="BV43" s="319">
        <f>SUMIF(Recibos!$D$4:$D$3010,Cobranza!$B43,Recibos!AH$4:AH$3010)</f>
        <v>0</v>
      </c>
      <c r="BW43" s="319">
        <f>SUMIF(Recibos!$D$4:$D$3010,Cobranza!$B43,Recibos!AI$4:AI$3010)</f>
        <v>0</v>
      </c>
      <c r="BX43" s="320">
        <f t="shared" si="8"/>
        <v>0</v>
      </c>
    </row>
    <row r="44" spans="2:76" x14ac:dyDescent="0.2">
      <c r="B44" s="42" t="s">
        <v>965</v>
      </c>
      <c r="C44" s="42" t="s">
        <v>966</v>
      </c>
      <c r="D44" s="42" t="s">
        <v>967</v>
      </c>
      <c r="E44" s="43">
        <v>0</v>
      </c>
      <c r="F44" s="43">
        <v>0</v>
      </c>
      <c r="G44" s="43">
        <v>0</v>
      </c>
      <c r="H44" s="43">
        <v>0</v>
      </c>
      <c r="I44" s="43">
        <v>0</v>
      </c>
      <c r="J44" s="43">
        <v>0</v>
      </c>
      <c r="K44" s="44">
        <f t="shared" si="2"/>
        <v>0</v>
      </c>
      <c r="L44" s="43">
        <v>0</v>
      </c>
      <c r="M44" s="43">
        <v>0</v>
      </c>
      <c r="N44" s="43">
        <v>0</v>
      </c>
      <c r="O44" s="43">
        <v>0</v>
      </c>
      <c r="P44" s="43">
        <v>0</v>
      </c>
      <c r="Q44" s="43">
        <v>0</v>
      </c>
      <c r="R44" s="43">
        <v>0</v>
      </c>
      <c r="S44" s="43">
        <v>0</v>
      </c>
      <c r="T44" s="43">
        <v>0</v>
      </c>
      <c r="U44" s="43">
        <v>0</v>
      </c>
      <c r="V44" s="43">
        <v>0</v>
      </c>
      <c r="W44" s="43">
        <v>0</v>
      </c>
      <c r="X44" s="44">
        <f t="shared" si="3"/>
        <v>0</v>
      </c>
      <c r="Y44" s="43">
        <v>300</v>
      </c>
      <c r="Z44" s="43">
        <v>0</v>
      </c>
      <c r="AA44" s="43">
        <v>0</v>
      </c>
      <c r="AB44" s="43">
        <v>0</v>
      </c>
      <c r="AC44" s="43">
        <v>0</v>
      </c>
      <c r="AD44" s="43">
        <v>0</v>
      </c>
      <c r="AE44" s="43">
        <v>0</v>
      </c>
      <c r="AF44" s="43">
        <v>0</v>
      </c>
      <c r="AG44" s="43">
        <v>0</v>
      </c>
      <c r="AH44" s="43">
        <v>0</v>
      </c>
      <c r="AI44" s="43">
        <v>0</v>
      </c>
      <c r="AJ44" s="43">
        <v>0</v>
      </c>
      <c r="AK44" s="44">
        <f t="shared" si="4"/>
        <v>300</v>
      </c>
      <c r="AL44" s="43">
        <v>0</v>
      </c>
      <c r="AM44" s="43">
        <v>0</v>
      </c>
      <c r="AN44" s="43">
        <v>0</v>
      </c>
      <c r="AO44" s="43">
        <v>0</v>
      </c>
      <c r="AP44" s="43">
        <v>0</v>
      </c>
      <c r="AQ44" s="43">
        <v>0</v>
      </c>
      <c r="AR44" s="43">
        <v>0</v>
      </c>
      <c r="AS44" s="43">
        <v>0</v>
      </c>
      <c r="AT44" s="43">
        <v>0</v>
      </c>
      <c r="AU44" s="43">
        <v>0</v>
      </c>
      <c r="AV44" s="43">
        <v>0</v>
      </c>
      <c r="AW44" s="43">
        <v>0</v>
      </c>
      <c r="AX44" s="44">
        <f t="shared" si="6"/>
        <v>0</v>
      </c>
      <c r="AY44" s="317">
        <f>SUMIF(Recibos!$D$4:$D$3010,Cobranza!$B44,Recibos!K$4:K$3010)</f>
        <v>0</v>
      </c>
      <c r="AZ44" s="317">
        <f>SUMIF(Recibos!$D$4:$D$3010,Cobranza!$B44,Recibos!L$4:L$3010)</f>
        <v>0</v>
      </c>
      <c r="BA44" s="317">
        <f>SUMIF(Recibos!$D$4:$D$3010,Cobranza!$B44,Recibos!M$4:M$3010)</f>
        <v>0</v>
      </c>
      <c r="BB44" s="317">
        <f>SUMIF(Recibos!$D$4:$D$3010,Cobranza!$B44,Recibos!N$4:N$3010)</f>
        <v>0</v>
      </c>
      <c r="BC44" s="317">
        <f>SUMIF(Recibos!$D$4:$D$3010,Cobranza!$B44,Recibos!O$4:O$3010)</f>
        <v>400</v>
      </c>
      <c r="BD44" s="317">
        <f>SUMIF(Recibos!$D$4:$D$3010,Cobranza!$B44,Recibos!P$4:P$3010)</f>
        <v>400</v>
      </c>
      <c r="BE44" s="317">
        <f>SUMIF(Recibos!$D$4:$D$3010,Cobranza!$B44,Recibos!Q$4:Q$3010)</f>
        <v>400</v>
      </c>
      <c r="BF44" s="317">
        <f>SUMIF(Recibos!$D$4:$D$3010,Cobranza!$B44,Recibos!R$4:R$3010)</f>
        <v>400</v>
      </c>
      <c r="BG44" s="317">
        <f>SUMIF(Recibos!$D$4:$D$3010,Cobranza!$B44,Recibos!S$4:S$3010)</f>
        <v>400</v>
      </c>
      <c r="BH44" s="317">
        <f>SUMIF(Recibos!$D$4:$D$3010,Cobranza!$B44,Recibos!T$4:T$3010)</f>
        <v>0</v>
      </c>
      <c r="BI44" s="317">
        <f>SUMIF(Recibos!$D$4:$D$3010,Cobranza!$B44,Recibos!U$4:U$3010)</f>
        <v>0</v>
      </c>
      <c r="BJ44" s="317">
        <f>SUMIF(Recibos!$D$4:$D$3010,Cobranza!$B44,Recibos!V$4:V$3010)</f>
        <v>0</v>
      </c>
      <c r="BK44" s="318">
        <f t="shared" si="7"/>
        <v>2000</v>
      </c>
      <c r="BL44" s="317">
        <f>SUMIF(Recibos!$D$4:$D$3010,Cobranza!$B44,Recibos!X$4:X$3010)</f>
        <v>0</v>
      </c>
      <c r="BM44" s="317">
        <f>SUMIF(Recibos!$D$4:$D$3010,Cobranza!$B44,Recibos!Y$4:Y$3010)</f>
        <v>0</v>
      </c>
      <c r="BN44" s="317">
        <f>SUMIF(Recibos!$D$4:$D$3010,Cobranza!$B44,Recibos!Z$4:Z$3010)</f>
        <v>0</v>
      </c>
      <c r="BO44" s="317">
        <f>SUMIF(Recibos!$D$4:$D$3010,Cobranza!$B44,Recibos!AA$4:AA$3010)</f>
        <v>0</v>
      </c>
      <c r="BP44" s="317">
        <f>SUMIF(Recibos!$D$4:$D$3010,Cobranza!$B44,Recibos!AB$4:AB$3010)</f>
        <v>0</v>
      </c>
      <c r="BQ44" s="317">
        <f>SUMIF(Recibos!$D$4:$D$3010,Cobranza!$B44,Recibos!AC$4:AC$3010)</f>
        <v>0</v>
      </c>
      <c r="BR44" s="317">
        <f>SUMIF(Recibos!$D$4:$D$3010,Cobranza!$B44,Recibos!AD$4:AD$3010)</f>
        <v>0</v>
      </c>
      <c r="BS44" s="317">
        <f>SUMIF(Recibos!$D$4:$D$3010,Cobranza!$B44,Recibos!AE$4:AE$3010)</f>
        <v>0</v>
      </c>
      <c r="BT44" s="317">
        <f>SUMIF(Recibos!$D$4:$D$3010,Cobranza!$B44,Recibos!AF$4:AF$3010)</f>
        <v>0</v>
      </c>
      <c r="BU44" s="317">
        <f>SUMIF(Recibos!$D$4:$D$3010,Cobranza!$B44,Recibos!AG$4:AG$3010)</f>
        <v>0</v>
      </c>
      <c r="BV44" s="317">
        <f>SUMIF(Recibos!$D$4:$D$3010,Cobranza!$B44,Recibos!AH$4:AH$3010)</f>
        <v>0</v>
      </c>
      <c r="BW44" s="317">
        <f>SUMIF(Recibos!$D$4:$D$3010,Cobranza!$B44,Recibos!AI$4:AI$3010)</f>
        <v>0</v>
      </c>
      <c r="BX44" s="318">
        <f t="shared" si="8"/>
        <v>0</v>
      </c>
    </row>
    <row r="45" spans="2:76" x14ac:dyDescent="0.2">
      <c r="B45" s="45" t="s">
        <v>971</v>
      </c>
      <c r="C45" s="45" t="s">
        <v>972</v>
      </c>
      <c r="D45" s="45" t="s">
        <v>973</v>
      </c>
      <c r="E45" s="46">
        <v>0</v>
      </c>
      <c r="F45" s="46">
        <v>0</v>
      </c>
      <c r="G45" s="46">
        <v>0</v>
      </c>
      <c r="H45" s="46">
        <v>300</v>
      </c>
      <c r="I45" s="46">
        <v>300</v>
      </c>
      <c r="J45" s="46">
        <v>300</v>
      </c>
      <c r="K45" s="47">
        <f t="shared" si="2"/>
        <v>900</v>
      </c>
      <c r="L45" s="46">
        <v>300</v>
      </c>
      <c r="M45" s="46">
        <v>300</v>
      </c>
      <c r="N45" s="46">
        <v>300</v>
      </c>
      <c r="O45" s="46">
        <v>300</v>
      </c>
      <c r="P45" s="46">
        <v>300</v>
      </c>
      <c r="Q45" s="46">
        <v>300</v>
      </c>
      <c r="R45" s="46">
        <v>300</v>
      </c>
      <c r="S45" s="46">
        <v>300</v>
      </c>
      <c r="T45" s="46">
        <v>300</v>
      </c>
      <c r="U45" s="46">
        <v>300</v>
      </c>
      <c r="V45" s="46">
        <v>300</v>
      </c>
      <c r="W45" s="46">
        <v>300</v>
      </c>
      <c r="X45" s="47">
        <f t="shared" si="3"/>
        <v>3600</v>
      </c>
      <c r="Y45" s="46">
        <v>400</v>
      </c>
      <c r="Z45" s="46">
        <v>400</v>
      </c>
      <c r="AA45" s="46">
        <v>400</v>
      </c>
      <c r="AB45" s="46">
        <v>400</v>
      </c>
      <c r="AC45" s="46">
        <v>400</v>
      </c>
      <c r="AD45" s="46">
        <v>400</v>
      </c>
      <c r="AE45" s="46">
        <v>400</v>
      </c>
      <c r="AF45" s="46">
        <v>400</v>
      </c>
      <c r="AG45" s="46">
        <v>400</v>
      </c>
      <c r="AH45" s="46">
        <v>400</v>
      </c>
      <c r="AI45" s="46">
        <v>400</v>
      </c>
      <c r="AJ45" s="46">
        <v>0</v>
      </c>
      <c r="AK45" s="47">
        <f t="shared" si="4"/>
        <v>4400</v>
      </c>
      <c r="AL45" s="46">
        <v>400</v>
      </c>
      <c r="AM45" s="46">
        <v>400</v>
      </c>
      <c r="AN45" s="46">
        <v>400</v>
      </c>
      <c r="AO45" s="46">
        <v>400</v>
      </c>
      <c r="AP45" s="46">
        <v>400</v>
      </c>
      <c r="AQ45" s="46">
        <v>400</v>
      </c>
      <c r="AR45" s="46">
        <v>400</v>
      </c>
      <c r="AS45" s="46">
        <v>400</v>
      </c>
      <c r="AT45" s="46">
        <v>400</v>
      </c>
      <c r="AU45" s="46">
        <v>400</v>
      </c>
      <c r="AV45" s="46">
        <v>400</v>
      </c>
      <c r="AW45" s="46">
        <v>0</v>
      </c>
      <c r="AX45" s="47">
        <f t="shared" si="6"/>
        <v>4400</v>
      </c>
      <c r="AY45" s="319">
        <f>SUMIF(Recibos!$D$4:$D$3010,Cobranza!$B45,Recibos!K$4:K$3010)</f>
        <v>400</v>
      </c>
      <c r="AZ45" s="319">
        <f>SUMIF(Recibos!$D$4:$D$3010,Cobranza!$B45,Recibos!L$4:L$3010)</f>
        <v>400</v>
      </c>
      <c r="BA45" s="319">
        <f>SUMIF(Recibos!$D$4:$D$3010,Cobranza!$B45,Recibos!M$4:M$3010)</f>
        <v>400</v>
      </c>
      <c r="BB45" s="319">
        <f>SUMIF(Recibos!$D$4:$D$3010,Cobranza!$B45,Recibos!N$4:N$3010)</f>
        <v>400</v>
      </c>
      <c r="BC45" s="319">
        <f>SUMIF(Recibos!$D$4:$D$3010,Cobranza!$B45,Recibos!O$4:O$3010)</f>
        <v>400</v>
      </c>
      <c r="BD45" s="319">
        <f>SUMIF(Recibos!$D$4:$D$3010,Cobranza!$B45,Recibos!P$4:P$3010)</f>
        <v>400</v>
      </c>
      <c r="BE45" s="319">
        <f>SUMIF(Recibos!$D$4:$D$3010,Cobranza!$B45,Recibos!Q$4:Q$3010)</f>
        <v>400</v>
      </c>
      <c r="BF45" s="319">
        <f>SUMIF(Recibos!$D$4:$D$3010,Cobranza!$B45,Recibos!R$4:R$3010)</f>
        <v>400</v>
      </c>
      <c r="BG45" s="319">
        <f>SUMIF(Recibos!$D$4:$D$3010,Cobranza!$B45,Recibos!S$4:S$3010)</f>
        <v>400</v>
      </c>
      <c r="BH45" s="319">
        <f>SUMIF(Recibos!$D$4:$D$3010,Cobranza!$B45,Recibos!T$4:T$3010)</f>
        <v>400</v>
      </c>
      <c r="BI45" s="319">
        <f>SUMIF(Recibos!$D$4:$D$3010,Cobranza!$B45,Recibos!U$4:U$3010)</f>
        <v>400</v>
      </c>
      <c r="BJ45" s="319">
        <f>SUMIF(Recibos!$D$4:$D$3010,Cobranza!$B45,Recibos!V$4:V$3010)</f>
        <v>0</v>
      </c>
      <c r="BK45" s="320">
        <f t="shared" si="7"/>
        <v>4400</v>
      </c>
      <c r="BL45" s="319">
        <f>SUMIF(Recibos!$D$4:$D$3010,Cobranza!$B45,Recibos!X$4:X$3010)</f>
        <v>0</v>
      </c>
      <c r="BM45" s="319">
        <f>SUMIF(Recibos!$D$4:$D$3010,Cobranza!$B45,Recibos!Y$4:Y$3010)</f>
        <v>0</v>
      </c>
      <c r="BN45" s="319">
        <f>SUMIF(Recibos!$D$4:$D$3010,Cobranza!$B45,Recibos!Z$4:Z$3010)</f>
        <v>0</v>
      </c>
      <c r="BO45" s="319">
        <f>SUMIF(Recibos!$D$4:$D$3010,Cobranza!$B45,Recibos!AA$4:AA$3010)</f>
        <v>0</v>
      </c>
      <c r="BP45" s="319">
        <f>SUMIF(Recibos!$D$4:$D$3010,Cobranza!$B45,Recibos!AB$4:AB$3010)</f>
        <v>0</v>
      </c>
      <c r="BQ45" s="319">
        <f>SUMIF(Recibos!$D$4:$D$3010,Cobranza!$B45,Recibos!AC$4:AC$3010)</f>
        <v>0</v>
      </c>
      <c r="BR45" s="319">
        <f>SUMIF(Recibos!$D$4:$D$3010,Cobranza!$B45,Recibos!AD$4:AD$3010)</f>
        <v>0</v>
      </c>
      <c r="BS45" s="319">
        <f>SUMIF(Recibos!$D$4:$D$3010,Cobranza!$B45,Recibos!AE$4:AE$3010)</f>
        <v>0</v>
      </c>
      <c r="BT45" s="319">
        <f>SUMIF(Recibos!$D$4:$D$3010,Cobranza!$B45,Recibos!AF$4:AF$3010)</f>
        <v>0</v>
      </c>
      <c r="BU45" s="319">
        <f>SUMIF(Recibos!$D$4:$D$3010,Cobranza!$B45,Recibos!AG$4:AG$3010)</f>
        <v>0</v>
      </c>
      <c r="BV45" s="319">
        <f>SUMIF(Recibos!$D$4:$D$3010,Cobranza!$B45,Recibos!AH$4:AH$3010)</f>
        <v>0</v>
      </c>
      <c r="BW45" s="319">
        <f>SUMIF(Recibos!$D$4:$D$3010,Cobranza!$B45,Recibos!AI$4:AI$3010)</f>
        <v>0</v>
      </c>
      <c r="BX45" s="320">
        <f t="shared" si="8"/>
        <v>0</v>
      </c>
    </row>
    <row r="46" spans="2:76" x14ac:dyDescent="0.2">
      <c r="B46" s="42" t="s">
        <v>183</v>
      </c>
      <c r="C46" s="42" t="s">
        <v>184</v>
      </c>
      <c r="D46" s="42" t="s">
        <v>185</v>
      </c>
      <c r="E46" s="43">
        <v>0</v>
      </c>
      <c r="F46" s="43">
        <v>0</v>
      </c>
      <c r="G46" s="43">
        <v>0</v>
      </c>
      <c r="H46" s="43">
        <v>0</v>
      </c>
      <c r="I46" s="43">
        <v>0</v>
      </c>
      <c r="J46" s="43">
        <v>0</v>
      </c>
      <c r="K46" s="44">
        <f t="shared" si="2"/>
        <v>0</v>
      </c>
      <c r="L46" s="43">
        <v>0</v>
      </c>
      <c r="M46" s="43">
        <v>0</v>
      </c>
      <c r="N46" s="43">
        <v>0</v>
      </c>
      <c r="O46" s="43">
        <v>0</v>
      </c>
      <c r="P46" s="43">
        <v>0</v>
      </c>
      <c r="Q46" s="43">
        <v>0</v>
      </c>
      <c r="R46" s="43">
        <v>300</v>
      </c>
      <c r="S46" s="43">
        <v>300</v>
      </c>
      <c r="T46" s="43">
        <v>0</v>
      </c>
      <c r="U46" s="43">
        <v>0</v>
      </c>
      <c r="V46" s="43">
        <v>0</v>
      </c>
      <c r="W46" s="43">
        <v>0</v>
      </c>
      <c r="X46" s="44">
        <f t="shared" si="3"/>
        <v>600</v>
      </c>
      <c r="Y46" s="43">
        <v>400</v>
      </c>
      <c r="Z46" s="43">
        <v>400</v>
      </c>
      <c r="AA46" s="43">
        <v>400</v>
      </c>
      <c r="AB46" s="43">
        <v>400</v>
      </c>
      <c r="AC46" s="43">
        <v>400</v>
      </c>
      <c r="AD46" s="43">
        <v>400</v>
      </c>
      <c r="AE46" s="43">
        <v>400</v>
      </c>
      <c r="AF46" s="43">
        <v>400</v>
      </c>
      <c r="AG46" s="43">
        <v>400</v>
      </c>
      <c r="AH46" s="43">
        <v>400</v>
      </c>
      <c r="AI46" s="43">
        <v>400</v>
      </c>
      <c r="AJ46" s="43">
        <v>400</v>
      </c>
      <c r="AK46" s="44">
        <f t="shared" si="4"/>
        <v>4800</v>
      </c>
      <c r="AL46" s="43">
        <v>400</v>
      </c>
      <c r="AM46" s="43">
        <v>400</v>
      </c>
      <c r="AN46" s="43">
        <v>400</v>
      </c>
      <c r="AO46" s="43">
        <v>400</v>
      </c>
      <c r="AP46" s="43">
        <v>400</v>
      </c>
      <c r="AQ46" s="43">
        <v>400</v>
      </c>
      <c r="AR46" s="43">
        <v>400</v>
      </c>
      <c r="AS46" s="43">
        <v>400</v>
      </c>
      <c r="AT46" s="43">
        <v>400</v>
      </c>
      <c r="AU46" s="43">
        <v>400</v>
      </c>
      <c r="AV46" s="43">
        <v>400</v>
      </c>
      <c r="AW46" s="43">
        <v>400</v>
      </c>
      <c r="AX46" s="44">
        <f t="shared" si="6"/>
        <v>4800</v>
      </c>
      <c r="AY46" s="317">
        <f>SUMIF(Recibos!$D$4:$D$3010,Cobranza!$B46,Recibos!K$4:K$3010)</f>
        <v>400</v>
      </c>
      <c r="AZ46" s="317">
        <f>SUMIF(Recibos!$D$4:$D$3010,Cobranza!$B46,Recibos!L$4:L$3010)</f>
        <v>400</v>
      </c>
      <c r="BA46" s="317">
        <f>SUMIF(Recibos!$D$4:$D$3010,Cobranza!$B46,Recibos!M$4:M$3010)</f>
        <v>400</v>
      </c>
      <c r="BB46" s="317">
        <f>SUMIF(Recibos!$D$4:$D$3010,Cobranza!$B46,Recibos!N$4:N$3010)</f>
        <v>400</v>
      </c>
      <c r="BC46" s="317">
        <f>SUMIF(Recibos!$D$4:$D$3010,Cobranza!$B46,Recibos!O$4:O$3010)</f>
        <v>400</v>
      </c>
      <c r="BD46" s="317">
        <f>SUMIF(Recibos!$D$4:$D$3010,Cobranza!$B46,Recibos!P$4:P$3010)</f>
        <v>400</v>
      </c>
      <c r="BE46" s="317">
        <f>SUMIF(Recibos!$D$4:$D$3010,Cobranza!$B46,Recibos!Q$4:Q$3010)</f>
        <v>400</v>
      </c>
      <c r="BF46" s="317">
        <f>SUMIF(Recibos!$D$4:$D$3010,Cobranza!$B46,Recibos!R$4:R$3010)</f>
        <v>400</v>
      </c>
      <c r="BG46" s="317">
        <f>SUMIF(Recibos!$D$4:$D$3010,Cobranza!$B46,Recibos!S$4:S$3010)</f>
        <v>400</v>
      </c>
      <c r="BH46" s="317">
        <f>SUMIF(Recibos!$D$4:$D$3010,Cobranza!$B46,Recibos!T$4:T$3010)</f>
        <v>400</v>
      </c>
      <c r="BI46" s="317">
        <f>SUMIF(Recibos!$D$4:$D$3010,Cobranza!$B46,Recibos!U$4:U$3010)</f>
        <v>0</v>
      </c>
      <c r="BJ46" s="317">
        <f>SUMIF(Recibos!$D$4:$D$3010,Cobranza!$B46,Recibos!V$4:V$3010)</f>
        <v>0</v>
      </c>
      <c r="BK46" s="318">
        <f t="shared" si="7"/>
        <v>4000</v>
      </c>
      <c r="BL46" s="317">
        <f>SUMIF(Recibos!$D$4:$D$3010,Cobranza!$B46,Recibos!X$4:X$3010)</f>
        <v>0</v>
      </c>
      <c r="BM46" s="317">
        <f>SUMIF(Recibos!$D$4:$D$3010,Cobranza!$B46,Recibos!Y$4:Y$3010)</f>
        <v>0</v>
      </c>
      <c r="BN46" s="317">
        <f>SUMIF(Recibos!$D$4:$D$3010,Cobranza!$B46,Recibos!Z$4:Z$3010)</f>
        <v>0</v>
      </c>
      <c r="BO46" s="317">
        <f>SUMIF(Recibos!$D$4:$D$3010,Cobranza!$B46,Recibos!AA$4:AA$3010)</f>
        <v>0</v>
      </c>
      <c r="BP46" s="317">
        <f>SUMIF(Recibos!$D$4:$D$3010,Cobranza!$B46,Recibos!AB$4:AB$3010)</f>
        <v>0</v>
      </c>
      <c r="BQ46" s="317">
        <f>SUMIF(Recibos!$D$4:$D$3010,Cobranza!$B46,Recibos!AC$4:AC$3010)</f>
        <v>0</v>
      </c>
      <c r="BR46" s="317">
        <f>SUMIF(Recibos!$D$4:$D$3010,Cobranza!$B46,Recibos!AD$4:AD$3010)</f>
        <v>0</v>
      </c>
      <c r="BS46" s="317">
        <f>SUMIF(Recibos!$D$4:$D$3010,Cobranza!$B46,Recibos!AE$4:AE$3010)</f>
        <v>0</v>
      </c>
      <c r="BT46" s="317">
        <f>SUMIF(Recibos!$D$4:$D$3010,Cobranza!$B46,Recibos!AF$4:AF$3010)</f>
        <v>0</v>
      </c>
      <c r="BU46" s="317">
        <f>SUMIF(Recibos!$D$4:$D$3010,Cobranza!$B46,Recibos!AG$4:AG$3010)</f>
        <v>0</v>
      </c>
      <c r="BV46" s="317">
        <f>SUMIF(Recibos!$D$4:$D$3010,Cobranza!$B46,Recibos!AH$4:AH$3010)</f>
        <v>0</v>
      </c>
      <c r="BW46" s="317">
        <f>SUMIF(Recibos!$D$4:$D$3010,Cobranza!$B46,Recibos!AI$4:AI$3010)</f>
        <v>0</v>
      </c>
      <c r="BX46" s="318">
        <f t="shared" si="8"/>
        <v>0</v>
      </c>
    </row>
    <row r="47" spans="2:76" x14ac:dyDescent="0.2">
      <c r="B47" s="45" t="s">
        <v>434</v>
      </c>
      <c r="C47" s="45" t="s">
        <v>435</v>
      </c>
      <c r="D47" s="45" t="s">
        <v>436</v>
      </c>
      <c r="E47" s="46">
        <v>0</v>
      </c>
      <c r="F47" s="46">
        <v>0</v>
      </c>
      <c r="G47" s="46">
        <v>0</v>
      </c>
      <c r="H47" s="46">
        <v>0</v>
      </c>
      <c r="I47" s="46">
        <v>0</v>
      </c>
      <c r="J47" s="46">
        <v>300</v>
      </c>
      <c r="K47" s="47">
        <f t="shared" si="2"/>
        <v>300</v>
      </c>
      <c r="L47" s="46">
        <v>300</v>
      </c>
      <c r="M47" s="46">
        <v>300</v>
      </c>
      <c r="N47" s="46">
        <v>300</v>
      </c>
      <c r="O47" s="46">
        <v>300</v>
      </c>
      <c r="P47" s="46">
        <v>300</v>
      </c>
      <c r="Q47" s="46">
        <v>300</v>
      </c>
      <c r="R47" s="46">
        <v>300</v>
      </c>
      <c r="S47" s="46">
        <v>300</v>
      </c>
      <c r="T47" s="46">
        <v>300</v>
      </c>
      <c r="U47" s="46">
        <v>300</v>
      </c>
      <c r="V47" s="46">
        <v>300</v>
      </c>
      <c r="W47" s="46">
        <v>300</v>
      </c>
      <c r="X47" s="47">
        <f t="shared" si="3"/>
        <v>3600</v>
      </c>
      <c r="Y47" s="46">
        <v>400</v>
      </c>
      <c r="Z47" s="46">
        <v>400</v>
      </c>
      <c r="AA47" s="46">
        <v>400</v>
      </c>
      <c r="AB47" s="46">
        <v>400</v>
      </c>
      <c r="AC47" s="46">
        <v>400</v>
      </c>
      <c r="AD47" s="46">
        <v>400</v>
      </c>
      <c r="AE47" s="46">
        <v>400</v>
      </c>
      <c r="AF47" s="46">
        <v>400</v>
      </c>
      <c r="AG47" s="46">
        <v>400</v>
      </c>
      <c r="AH47" s="46">
        <v>400</v>
      </c>
      <c r="AI47" s="46">
        <v>400</v>
      </c>
      <c r="AJ47" s="46">
        <v>400</v>
      </c>
      <c r="AK47" s="47">
        <f t="shared" si="4"/>
        <v>4800</v>
      </c>
      <c r="AL47" s="46">
        <v>400</v>
      </c>
      <c r="AM47" s="46">
        <v>400</v>
      </c>
      <c r="AN47" s="46">
        <v>400</v>
      </c>
      <c r="AO47" s="46">
        <v>400</v>
      </c>
      <c r="AP47" s="46">
        <v>400</v>
      </c>
      <c r="AQ47" s="46">
        <v>400</v>
      </c>
      <c r="AR47" s="46">
        <v>400</v>
      </c>
      <c r="AS47" s="46">
        <v>400</v>
      </c>
      <c r="AT47" s="46">
        <v>400</v>
      </c>
      <c r="AU47" s="46">
        <v>400</v>
      </c>
      <c r="AV47" s="46">
        <v>400</v>
      </c>
      <c r="AW47" s="46">
        <v>400</v>
      </c>
      <c r="AX47" s="47">
        <f t="shared" si="6"/>
        <v>4800</v>
      </c>
      <c r="AY47" s="319">
        <f>SUMIF(Recibos!$D$4:$D$3010,Cobranza!$B47,Recibos!K$4:K$3010)</f>
        <v>400</v>
      </c>
      <c r="AZ47" s="319">
        <f>SUMIF(Recibos!$D$4:$D$3010,Cobranza!$B47,Recibos!L$4:L$3010)</f>
        <v>400</v>
      </c>
      <c r="BA47" s="319">
        <f>SUMIF(Recibos!$D$4:$D$3010,Cobranza!$B47,Recibos!M$4:M$3010)</f>
        <v>400</v>
      </c>
      <c r="BB47" s="319">
        <f>SUMIF(Recibos!$D$4:$D$3010,Cobranza!$B47,Recibos!N$4:N$3010)</f>
        <v>400</v>
      </c>
      <c r="BC47" s="319">
        <f>SUMIF(Recibos!$D$4:$D$3010,Cobranza!$B47,Recibos!O$4:O$3010)</f>
        <v>400</v>
      </c>
      <c r="BD47" s="319">
        <f>SUMIF(Recibos!$D$4:$D$3010,Cobranza!$B47,Recibos!P$4:P$3010)</f>
        <v>400</v>
      </c>
      <c r="BE47" s="319">
        <f>SUMIF(Recibos!$D$4:$D$3010,Cobranza!$B47,Recibos!Q$4:Q$3010)</f>
        <v>200</v>
      </c>
      <c r="BF47" s="319">
        <f>SUMIF(Recibos!$D$4:$D$3010,Cobranza!$B47,Recibos!R$4:R$3010)</f>
        <v>400</v>
      </c>
      <c r="BG47" s="319">
        <f>SUMIF(Recibos!$D$4:$D$3010,Cobranza!$B47,Recibos!S$4:S$3010)</f>
        <v>400</v>
      </c>
      <c r="BH47" s="319">
        <f>SUMIF(Recibos!$D$4:$D$3010,Cobranza!$B47,Recibos!T$4:T$3010)</f>
        <v>400</v>
      </c>
      <c r="BI47" s="319">
        <f>SUMIF(Recibos!$D$4:$D$3010,Cobranza!$B47,Recibos!U$4:U$3010)</f>
        <v>400</v>
      </c>
      <c r="BJ47" s="319">
        <f>SUMIF(Recibos!$D$4:$D$3010,Cobranza!$B47,Recibos!V$4:V$3010)</f>
        <v>400</v>
      </c>
      <c r="BK47" s="320">
        <f t="shared" si="7"/>
        <v>4600</v>
      </c>
      <c r="BL47" s="319">
        <f>SUMIF(Recibos!$D$4:$D$3010,Cobranza!$B47,Recibos!X$4:X$3010)</f>
        <v>0</v>
      </c>
      <c r="BM47" s="319">
        <f>SUMIF(Recibos!$D$4:$D$3010,Cobranza!$B47,Recibos!Y$4:Y$3010)</f>
        <v>0</v>
      </c>
      <c r="BN47" s="319">
        <f>SUMIF(Recibos!$D$4:$D$3010,Cobranza!$B47,Recibos!Z$4:Z$3010)</f>
        <v>0</v>
      </c>
      <c r="BO47" s="319">
        <f>SUMIF(Recibos!$D$4:$D$3010,Cobranza!$B47,Recibos!AA$4:AA$3010)</f>
        <v>0</v>
      </c>
      <c r="BP47" s="319">
        <f>SUMIF(Recibos!$D$4:$D$3010,Cobranza!$B47,Recibos!AB$4:AB$3010)</f>
        <v>0</v>
      </c>
      <c r="BQ47" s="319">
        <f>SUMIF(Recibos!$D$4:$D$3010,Cobranza!$B47,Recibos!AC$4:AC$3010)</f>
        <v>0</v>
      </c>
      <c r="BR47" s="319">
        <f>SUMIF(Recibos!$D$4:$D$3010,Cobranza!$B47,Recibos!AD$4:AD$3010)</f>
        <v>0</v>
      </c>
      <c r="BS47" s="319">
        <f>SUMIF(Recibos!$D$4:$D$3010,Cobranza!$B47,Recibos!AE$4:AE$3010)</f>
        <v>0</v>
      </c>
      <c r="BT47" s="319">
        <f>SUMIF(Recibos!$D$4:$D$3010,Cobranza!$B47,Recibos!AF$4:AF$3010)</f>
        <v>0</v>
      </c>
      <c r="BU47" s="319">
        <f>SUMIF(Recibos!$D$4:$D$3010,Cobranza!$B47,Recibos!AG$4:AG$3010)</f>
        <v>0</v>
      </c>
      <c r="BV47" s="319">
        <f>SUMIF(Recibos!$D$4:$D$3010,Cobranza!$B47,Recibos!AH$4:AH$3010)</f>
        <v>0</v>
      </c>
      <c r="BW47" s="319">
        <f>SUMIF(Recibos!$D$4:$D$3010,Cobranza!$B47,Recibos!AI$4:AI$3010)</f>
        <v>0</v>
      </c>
      <c r="BX47" s="320">
        <f t="shared" si="8"/>
        <v>0</v>
      </c>
    </row>
    <row r="48" spans="2:76" x14ac:dyDescent="0.2">
      <c r="B48" s="42" t="s">
        <v>1270</v>
      </c>
      <c r="C48" s="42" t="s">
        <v>1271</v>
      </c>
      <c r="D48" s="42"/>
      <c r="E48" s="43">
        <v>0</v>
      </c>
      <c r="F48" s="43">
        <v>0</v>
      </c>
      <c r="G48" s="43">
        <v>0</v>
      </c>
      <c r="H48" s="43">
        <v>0</v>
      </c>
      <c r="I48" s="43">
        <v>0</v>
      </c>
      <c r="J48" s="43">
        <v>0</v>
      </c>
      <c r="K48" s="44">
        <f t="shared" si="2"/>
        <v>0</v>
      </c>
      <c r="L48" s="43">
        <v>0</v>
      </c>
      <c r="M48" s="43">
        <v>0</v>
      </c>
      <c r="N48" s="43">
        <v>0</v>
      </c>
      <c r="O48" s="43">
        <v>0</v>
      </c>
      <c r="P48" s="43">
        <v>0</v>
      </c>
      <c r="Q48" s="43">
        <v>0</v>
      </c>
      <c r="R48" s="43">
        <v>0</v>
      </c>
      <c r="S48" s="43">
        <v>0</v>
      </c>
      <c r="T48" s="43">
        <v>0</v>
      </c>
      <c r="U48" s="43">
        <v>0</v>
      </c>
      <c r="V48" s="43">
        <v>0</v>
      </c>
      <c r="W48" s="43">
        <v>0</v>
      </c>
      <c r="X48" s="44">
        <f t="shared" si="3"/>
        <v>0</v>
      </c>
      <c r="Y48" s="43">
        <v>0</v>
      </c>
      <c r="Z48" s="43">
        <v>0</v>
      </c>
      <c r="AA48" s="43">
        <v>0</v>
      </c>
      <c r="AB48" s="43">
        <v>0</v>
      </c>
      <c r="AC48" s="43">
        <v>0</v>
      </c>
      <c r="AD48" s="43">
        <v>0</v>
      </c>
      <c r="AE48" s="43">
        <v>0</v>
      </c>
      <c r="AF48" s="43">
        <v>0</v>
      </c>
      <c r="AG48" s="43">
        <v>0</v>
      </c>
      <c r="AH48" s="43">
        <v>0</v>
      </c>
      <c r="AI48" s="43">
        <v>0</v>
      </c>
      <c r="AJ48" s="43">
        <v>0</v>
      </c>
      <c r="AK48" s="44">
        <f t="shared" si="4"/>
        <v>0</v>
      </c>
      <c r="AL48" s="43">
        <v>0</v>
      </c>
      <c r="AM48" s="43">
        <v>0</v>
      </c>
      <c r="AN48" s="43">
        <v>0</v>
      </c>
      <c r="AO48" s="43">
        <v>0</v>
      </c>
      <c r="AP48" s="43">
        <v>0</v>
      </c>
      <c r="AQ48" s="43">
        <v>0</v>
      </c>
      <c r="AR48" s="43">
        <v>0</v>
      </c>
      <c r="AS48" s="43">
        <v>0</v>
      </c>
      <c r="AT48" s="43">
        <v>0</v>
      </c>
      <c r="AU48" s="43">
        <v>0</v>
      </c>
      <c r="AV48" s="43">
        <v>0</v>
      </c>
      <c r="AW48" s="43">
        <v>0</v>
      </c>
      <c r="AX48" s="44">
        <f t="shared" si="6"/>
        <v>0</v>
      </c>
      <c r="AY48" s="317">
        <f>SUMIF(Recibos!$D$4:$D$3010,Cobranza!$B48,Recibos!K$4:K$3010)</f>
        <v>0</v>
      </c>
      <c r="AZ48" s="317">
        <f>SUMIF(Recibos!$D$4:$D$3010,Cobranza!$B48,Recibos!L$4:L$3010)</f>
        <v>0</v>
      </c>
      <c r="BA48" s="317">
        <f>SUMIF(Recibos!$D$4:$D$3010,Cobranza!$B48,Recibos!M$4:M$3010)</f>
        <v>0</v>
      </c>
      <c r="BB48" s="317">
        <f>SUMIF(Recibos!$D$4:$D$3010,Cobranza!$B48,Recibos!N$4:N$3010)</f>
        <v>0</v>
      </c>
      <c r="BC48" s="317">
        <f>SUMIF(Recibos!$D$4:$D$3010,Cobranza!$B48,Recibos!O$4:O$3010)</f>
        <v>0</v>
      </c>
      <c r="BD48" s="317">
        <f>SUMIF(Recibos!$D$4:$D$3010,Cobranza!$B48,Recibos!P$4:P$3010)</f>
        <v>0</v>
      </c>
      <c r="BE48" s="317">
        <f>SUMIF(Recibos!$D$4:$D$3010,Cobranza!$B48,Recibos!Q$4:Q$3010)</f>
        <v>0</v>
      </c>
      <c r="BF48" s="317">
        <f>SUMIF(Recibos!$D$4:$D$3010,Cobranza!$B48,Recibos!R$4:R$3010)</f>
        <v>0</v>
      </c>
      <c r="BG48" s="317">
        <f>SUMIF(Recibos!$D$4:$D$3010,Cobranza!$B48,Recibos!S$4:S$3010)</f>
        <v>0</v>
      </c>
      <c r="BH48" s="317">
        <f>SUMIF(Recibos!$D$4:$D$3010,Cobranza!$B48,Recibos!T$4:T$3010)</f>
        <v>0</v>
      </c>
      <c r="BI48" s="317">
        <f>SUMIF(Recibos!$D$4:$D$3010,Cobranza!$B48,Recibos!U$4:U$3010)</f>
        <v>0</v>
      </c>
      <c r="BJ48" s="317">
        <f>SUMIF(Recibos!$D$4:$D$3010,Cobranza!$B48,Recibos!V$4:V$3010)</f>
        <v>0</v>
      </c>
      <c r="BK48" s="318">
        <f t="shared" si="7"/>
        <v>0</v>
      </c>
      <c r="BL48" s="317">
        <f>SUMIF(Recibos!$D$4:$D$3010,Cobranza!$B48,Recibos!X$4:X$3010)</f>
        <v>0</v>
      </c>
      <c r="BM48" s="317">
        <f>SUMIF(Recibos!$D$4:$D$3010,Cobranza!$B48,Recibos!Y$4:Y$3010)</f>
        <v>0</v>
      </c>
      <c r="BN48" s="317">
        <f>SUMIF(Recibos!$D$4:$D$3010,Cobranza!$B48,Recibos!Z$4:Z$3010)</f>
        <v>0</v>
      </c>
      <c r="BO48" s="317">
        <f>SUMIF(Recibos!$D$4:$D$3010,Cobranza!$B48,Recibos!AA$4:AA$3010)</f>
        <v>0</v>
      </c>
      <c r="BP48" s="317">
        <f>SUMIF(Recibos!$D$4:$D$3010,Cobranza!$B48,Recibos!AB$4:AB$3010)</f>
        <v>0</v>
      </c>
      <c r="BQ48" s="317">
        <f>SUMIF(Recibos!$D$4:$D$3010,Cobranza!$B48,Recibos!AC$4:AC$3010)</f>
        <v>0</v>
      </c>
      <c r="BR48" s="317">
        <f>SUMIF(Recibos!$D$4:$D$3010,Cobranza!$B48,Recibos!AD$4:AD$3010)</f>
        <v>0</v>
      </c>
      <c r="BS48" s="317">
        <f>SUMIF(Recibos!$D$4:$D$3010,Cobranza!$B48,Recibos!AE$4:AE$3010)</f>
        <v>0</v>
      </c>
      <c r="BT48" s="317">
        <f>SUMIF(Recibos!$D$4:$D$3010,Cobranza!$B48,Recibos!AF$4:AF$3010)</f>
        <v>0</v>
      </c>
      <c r="BU48" s="317">
        <f>SUMIF(Recibos!$D$4:$D$3010,Cobranza!$B48,Recibos!AG$4:AG$3010)</f>
        <v>0</v>
      </c>
      <c r="BV48" s="317">
        <f>SUMIF(Recibos!$D$4:$D$3010,Cobranza!$B48,Recibos!AH$4:AH$3010)</f>
        <v>0</v>
      </c>
      <c r="BW48" s="317">
        <f>SUMIF(Recibos!$D$4:$D$3010,Cobranza!$B48,Recibos!AI$4:AI$3010)</f>
        <v>0</v>
      </c>
      <c r="BX48" s="318">
        <f t="shared" si="8"/>
        <v>0</v>
      </c>
    </row>
    <row r="49" spans="2:76" x14ac:dyDescent="0.2">
      <c r="B49" s="45" t="s">
        <v>1070</v>
      </c>
      <c r="C49" s="45" t="s">
        <v>1071</v>
      </c>
      <c r="D49" s="45" t="s">
        <v>1072</v>
      </c>
      <c r="E49" s="46">
        <v>0</v>
      </c>
      <c r="F49" s="46">
        <v>0</v>
      </c>
      <c r="G49" s="46">
        <v>0</v>
      </c>
      <c r="H49" s="46">
        <v>0</v>
      </c>
      <c r="I49" s="46">
        <v>0</v>
      </c>
      <c r="J49" s="46">
        <v>0</v>
      </c>
      <c r="K49" s="47">
        <f t="shared" si="2"/>
        <v>0</v>
      </c>
      <c r="L49" s="46">
        <v>0</v>
      </c>
      <c r="M49" s="46">
        <v>0</v>
      </c>
      <c r="N49" s="46">
        <v>0</v>
      </c>
      <c r="O49" s="46">
        <v>0</v>
      </c>
      <c r="P49" s="46">
        <v>0</v>
      </c>
      <c r="Q49" s="46">
        <v>0</v>
      </c>
      <c r="R49" s="46">
        <v>0</v>
      </c>
      <c r="S49" s="46">
        <v>0</v>
      </c>
      <c r="T49" s="46">
        <v>0</v>
      </c>
      <c r="U49" s="46">
        <v>0</v>
      </c>
      <c r="V49" s="46">
        <v>0</v>
      </c>
      <c r="W49" s="46">
        <v>0</v>
      </c>
      <c r="X49" s="47">
        <f t="shared" si="3"/>
        <v>0</v>
      </c>
      <c r="Y49" s="46">
        <v>0</v>
      </c>
      <c r="Z49" s="46">
        <v>0</v>
      </c>
      <c r="AA49" s="46">
        <v>0</v>
      </c>
      <c r="AB49" s="46">
        <v>0</v>
      </c>
      <c r="AC49" s="46">
        <v>0</v>
      </c>
      <c r="AD49" s="46">
        <v>0</v>
      </c>
      <c r="AE49" s="46">
        <v>0</v>
      </c>
      <c r="AF49" s="46">
        <v>0</v>
      </c>
      <c r="AG49" s="46">
        <v>0</v>
      </c>
      <c r="AH49" s="46">
        <v>0</v>
      </c>
      <c r="AI49" s="46">
        <v>0</v>
      </c>
      <c r="AJ49" s="46">
        <v>0</v>
      </c>
      <c r="AK49" s="47">
        <f t="shared" si="4"/>
        <v>0</v>
      </c>
      <c r="AL49" s="46">
        <v>0</v>
      </c>
      <c r="AM49" s="46">
        <v>0</v>
      </c>
      <c r="AN49" s="46">
        <v>0</v>
      </c>
      <c r="AO49" s="46">
        <v>0</v>
      </c>
      <c r="AP49" s="46">
        <v>0</v>
      </c>
      <c r="AQ49" s="46">
        <v>0</v>
      </c>
      <c r="AR49" s="46">
        <v>0</v>
      </c>
      <c r="AS49" s="46">
        <v>0</v>
      </c>
      <c r="AT49" s="46">
        <v>0</v>
      </c>
      <c r="AU49" s="46">
        <v>0</v>
      </c>
      <c r="AV49" s="46">
        <v>0</v>
      </c>
      <c r="AW49" s="46">
        <v>0</v>
      </c>
      <c r="AX49" s="47">
        <f t="shared" si="6"/>
        <v>0</v>
      </c>
      <c r="AY49" s="319">
        <f>SUMIF(Recibos!$D$4:$D$3010,Cobranza!$B49,Recibos!K$4:K$3010)</f>
        <v>0</v>
      </c>
      <c r="AZ49" s="319">
        <f>SUMIF(Recibos!$D$4:$D$3010,Cobranza!$B49,Recibos!L$4:L$3010)</f>
        <v>0</v>
      </c>
      <c r="BA49" s="319">
        <f>SUMIF(Recibos!$D$4:$D$3010,Cobranza!$B49,Recibos!M$4:M$3010)</f>
        <v>0</v>
      </c>
      <c r="BB49" s="319">
        <f>SUMIF(Recibos!$D$4:$D$3010,Cobranza!$B49,Recibos!N$4:N$3010)</f>
        <v>0</v>
      </c>
      <c r="BC49" s="319">
        <f>SUMIF(Recibos!$D$4:$D$3010,Cobranza!$B49,Recibos!O$4:O$3010)</f>
        <v>0</v>
      </c>
      <c r="BD49" s="319">
        <f>SUMIF(Recibos!$D$4:$D$3010,Cobranza!$B49,Recibos!P$4:P$3010)</f>
        <v>0</v>
      </c>
      <c r="BE49" s="319">
        <f>SUMIF(Recibos!$D$4:$D$3010,Cobranza!$B49,Recibos!Q$4:Q$3010)</f>
        <v>0</v>
      </c>
      <c r="BF49" s="319">
        <f>SUMIF(Recibos!$D$4:$D$3010,Cobranza!$B49,Recibos!R$4:R$3010)</f>
        <v>200</v>
      </c>
      <c r="BG49" s="319">
        <f>SUMIF(Recibos!$D$4:$D$3010,Cobranza!$B49,Recibos!S$4:S$3010)</f>
        <v>200</v>
      </c>
      <c r="BH49" s="319">
        <f>SUMIF(Recibos!$D$4:$D$3010,Cobranza!$B49,Recibos!T$4:T$3010)</f>
        <v>200</v>
      </c>
      <c r="BI49" s="319">
        <f>SUMIF(Recibos!$D$4:$D$3010,Cobranza!$B49,Recibos!U$4:U$3010)</f>
        <v>200</v>
      </c>
      <c r="BJ49" s="319">
        <f>SUMIF(Recibos!$D$4:$D$3010,Cobranza!$B49,Recibos!V$4:V$3010)</f>
        <v>200</v>
      </c>
      <c r="BK49" s="320">
        <f t="shared" si="7"/>
        <v>1000</v>
      </c>
      <c r="BL49" s="319">
        <f>SUMIF(Recibos!$D$4:$D$3010,Cobranza!$B49,Recibos!X$4:X$3010)</f>
        <v>0</v>
      </c>
      <c r="BM49" s="319">
        <f>SUMIF(Recibos!$D$4:$D$3010,Cobranza!$B49,Recibos!Y$4:Y$3010)</f>
        <v>0</v>
      </c>
      <c r="BN49" s="319">
        <f>SUMIF(Recibos!$D$4:$D$3010,Cobranza!$B49,Recibos!Z$4:Z$3010)</f>
        <v>0</v>
      </c>
      <c r="BO49" s="319">
        <f>SUMIF(Recibos!$D$4:$D$3010,Cobranza!$B49,Recibos!AA$4:AA$3010)</f>
        <v>0</v>
      </c>
      <c r="BP49" s="319">
        <f>SUMIF(Recibos!$D$4:$D$3010,Cobranza!$B49,Recibos!AB$4:AB$3010)</f>
        <v>0</v>
      </c>
      <c r="BQ49" s="319">
        <f>SUMIF(Recibos!$D$4:$D$3010,Cobranza!$B49,Recibos!AC$4:AC$3010)</f>
        <v>0</v>
      </c>
      <c r="BR49" s="319">
        <f>SUMIF(Recibos!$D$4:$D$3010,Cobranza!$B49,Recibos!AD$4:AD$3010)</f>
        <v>0</v>
      </c>
      <c r="BS49" s="319">
        <f>SUMIF(Recibos!$D$4:$D$3010,Cobranza!$B49,Recibos!AE$4:AE$3010)</f>
        <v>0</v>
      </c>
      <c r="BT49" s="319">
        <f>SUMIF(Recibos!$D$4:$D$3010,Cobranza!$B49,Recibos!AF$4:AF$3010)</f>
        <v>0</v>
      </c>
      <c r="BU49" s="319">
        <f>SUMIF(Recibos!$D$4:$D$3010,Cobranza!$B49,Recibos!AG$4:AG$3010)</f>
        <v>0</v>
      </c>
      <c r="BV49" s="319">
        <f>SUMIF(Recibos!$D$4:$D$3010,Cobranza!$B49,Recibos!AH$4:AH$3010)</f>
        <v>0</v>
      </c>
      <c r="BW49" s="319">
        <f>SUMIF(Recibos!$D$4:$D$3010,Cobranza!$B49,Recibos!AI$4:AI$3010)</f>
        <v>0</v>
      </c>
      <c r="BX49" s="320">
        <f t="shared" si="8"/>
        <v>0</v>
      </c>
    </row>
    <row r="50" spans="2:76" x14ac:dyDescent="0.2">
      <c r="B50" s="42" t="s">
        <v>580</v>
      </c>
      <c r="C50" s="42" t="s">
        <v>581</v>
      </c>
      <c r="D50" s="42" t="s">
        <v>582</v>
      </c>
      <c r="E50" s="43">
        <v>0</v>
      </c>
      <c r="F50" s="43">
        <v>0</v>
      </c>
      <c r="G50" s="43">
        <v>0</v>
      </c>
      <c r="H50" s="43">
        <v>0</v>
      </c>
      <c r="I50" s="43">
        <v>0</v>
      </c>
      <c r="J50" s="43">
        <v>300</v>
      </c>
      <c r="K50" s="44">
        <f t="shared" si="2"/>
        <v>300</v>
      </c>
      <c r="L50" s="43">
        <v>300</v>
      </c>
      <c r="M50" s="43">
        <v>300</v>
      </c>
      <c r="N50" s="43">
        <v>300</v>
      </c>
      <c r="O50" s="43">
        <v>300</v>
      </c>
      <c r="P50" s="43">
        <v>300</v>
      </c>
      <c r="Q50" s="43">
        <v>300</v>
      </c>
      <c r="R50" s="43">
        <v>300</v>
      </c>
      <c r="S50" s="43">
        <v>300</v>
      </c>
      <c r="T50" s="43">
        <v>300</v>
      </c>
      <c r="U50" s="43">
        <v>0</v>
      </c>
      <c r="V50" s="43">
        <v>0</v>
      </c>
      <c r="W50" s="43">
        <v>0</v>
      </c>
      <c r="X50" s="44">
        <f t="shared" si="3"/>
        <v>2700</v>
      </c>
      <c r="Y50" s="43">
        <v>300</v>
      </c>
      <c r="Z50" s="43">
        <v>300</v>
      </c>
      <c r="AA50" s="43">
        <v>300</v>
      </c>
      <c r="AB50" s="43">
        <v>300</v>
      </c>
      <c r="AC50" s="43">
        <v>300</v>
      </c>
      <c r="AD50" s="43">
        <v>150</v>
      </c>
      <c r="AE50" s="43">
        <v>150</v>
      </c>
      <c r="AF50" s="43">
        <v>150</v>
      </c>
      <c r="AG50" s="43">
        <v>150</v>
      </c>
      <c r="AH50" s="43">
        <v>0</v>
      </c>
      <c r="AI50" s="43">
        <v>0</v>
      </c>
      <c r="AJ50" s="43">
        <v>0</v>
      </c>
      <c r="AK50" s="44">
        <f t="shared" si="4"/>
        <v>2100</v>
      </c>
      <c r="AL50" s="43">
        <v>150</v>
      </c>
      <c r="AM50" s="43">
        <v>150</v>
      </c>
      <c r="AN50" s="43">
        <v>150</v>
      </c>
      <c r="AO50" s="43">
        <v>150</v>
      </c>
      <c r="AP50" s="43">
        <v>150</v>
      </c>
      <c r="AQ50" s="43">
        <v>150</v>
      </c>
      <c r="AR50" s="43">
        <v>150</v>
      </c>
      <c r="AS50" s="43">
        <v>150</v>
      </c>
      <c r="AT50" s="43">
        <v>150</v>
      </c>
      <c r="AU50" s="43">
        <v>150</v>
      </c>
      <c r="AV50" s="43">
        <v>150</v>
      </c>
      <c r="AW50" s="43">
        <v>0</v>
      </c>
      <c r="AX50" s="44">
        <f t="shared" si="6"/>
        <v>1650</v>
      </c>
      <c r="AY50" s="317">
        <f>SUMIF(Recibos!$D$4:$D$3010,Cobranza!$B50,Recibos!K$4:K$3010)</f>
        <v>150</v>
      </c>
      <c r="AZ50" s="317">
        <f>SUMIF(Recibos!$D$4:$D$3010,Cobranza!$B50,Recibos!L$4:L$3010)</f>
        <v>150</v>
      </c>
      <c r="BA50" s="317">
        <f>SUMIF(Recibos!$D$4:$D$3010,Cobranza!$B50,Recibos!M$4:M$3010)</f>
        <v>150</v>
      </c>
      <c r="BB50" s="317">
        <f>SUMIF(Recibos!$D$4:$D$3010,Cobranza!$B50,Recibos!N$4:N$3010)</f>
        <v>150</v>
      </c>
      <c r="BC50" s="317">
        <f>SUMIF(Recibos!$D$4:$D$3010,Cobranza!$B50,Recibos!O$4:O$3010)</f>
        <v>150</v>
      </c>
      <c r="BD50" s="317">
        <f>SUMIF(Recibos!$D$4:$D$3010,Cobranza!$B50,Recibos!P$4:P$3010)</f>
        <v>150</v>
      </c>
      <c r="BE50" s="317">
        <f>SUMIF(Recibos!$D$4:$D$3010,Cobranza!$B50,Recibos!Q$4:Q$3010)</f>
        <v>150</v>
      </c>
      <c r="BF50" s="317">
        <f>SUMIF(Recibos!$D$4:$D$3010,Cobranza!$B50,Recibos!R$4:R$3010)</f>
        <v>150</v>
      </c>
      <c r="BG50" s="317">
        <f>SUMIF(Recibos!$D$4:$D$3010,Cobranza!$B50,Recibos!S$4:S$3010)</f>
        <v>150</v>
      </c>
      <c r="BH50" s="317">
        <f>SUMIF(Recibos!$D$4:$D$3010,Cobranza!$B50,Recibos!T$4:T$3010)</f>
        <v>150</v>
      </c>
      <c r="BI50" s="317">
        <f>SUMIF(Recibos!$D$4:$D$3010,Cobranza!$B50,Recibos!U$4:U$3010)</f>
        <v>150</v>
      </c>
      <c r="BJ50" s="317">
        <f>SUMIF(Recibos!$D$4:$D$3010,Cobranza!$B50,Recibos!V$4:V$3010)</f>
        <v>150</v>
      </c>
      <c r="BK50" s="318">
        <f t="shared" si="7"/>
        <v>1800</v>
      </c>
      <c r="BL50" s="317">
        <f>SUMIF(Recibos!$D$4:$D$3010,Cobranza!$B50,Recibos!X$4:X$3010)</f>
        <v>0</v>
      </c>
      <c r="BM50" s="317">
        <f>SUMIF(Recibos!$D$4:$D$3010,Cobranza!$B50,Recibos!Y$4:Y$3010)</f>
        <v>0</v>
      </c>
      <c r="BN50" s="317">
        <f>SUMIF(Recibos!$D$4:$D$3010,Cobranza!$B50,Recibos!Z$4:Z$3010)</f>
        <v>0</v>
      </c>
      <c r="BO50" s="317">
        <f>SUMIF(Recibos!$D$4:$D$3010,Cobranza!$B50,Recibos!AA$4:AA$3010)</f>
        <v>0</v>
      </c>
      <c r="BP50" s="317">
        <f>SUMIF(Recibos!$D$4:$D$3010,Cobranza!$B50,Recibos!AB$4:AB$3010)</f>
        <v>0</v>
      </c>
      <c r="BQ50" s="317">
        <f>SUMIF(Recibos!$D$4:$D$3010,Cobranza!$B50,Recibos!AC$4:AC$3010)</f>
        <v>0</v>
      </c>
      <c r="BR50" s="317">
        <f>SUMIF(Recibos!$D$4:$D$3010,Cobranza!$B50,Recibos!AD$4:AD$3010)</f>
        <v>0</v>
      </c>
      <c r="BS50" s="317">
        <f>SUMIF(Recibos!$D$4:$D$3010,Cobranza!$B50,Recibos!AE$4:AE$3010)</f>
        <v>0</v>
      </c>
      <c r="BT50" s="317">
        <f>SUMIF(Recibos!$D$4:$D$3010,Cobranza!$B50,Recibos!AF$4:AF$3010)</f>
        <v>0</v>
      </c>
      <c r="BU50" s="317">
        <f>SUMIF(Recibos!$D$4:$D$3010,Cobranza!$B50,Recibos!AG$4:AG$3010)</f>
        <v>0</v>
      </c>
      <c r="BV50" s="317">
        <f>SUMIF(Recibos!$D$4:$D$3010,Cobranza!$B50,Recibos!AH$4:AH$3010)</f>
        <v>0</v>
      </c>
      <c r="BW50" s="317">
        <f>SUMIF(Recibos!$D$4:$D$3010,Cobranza!$B50,Recibos!AI$4:AI$3010)</f>
        <v>0</v>
      </c>
      <c r="BX50" s="318">
        <f t="shared" si="8"/>
        <v>0</v>
      </c>
    </row>
    <row r="51" spans="2:76" x14ac:dyDescent="0.2">
      <c r="B51" s="45" t="s">
        <v>1272</v>
      </c>
      <c r="C51" s="45" t="s">
        <v>1273</v>
      </c>
      <c r="D51" s="45"/>
      <c r="E51" s="46">
        <v>0</v>
      </c>
      <c r="F51" s="46">
        <v>0</v>
      </c>
      <c r="G51" s="46">
        <v>0</v>
      </c>
      <c r="H51" s="46">
        <v>0</v>
      </c>
      <c r="I51" s="46">
        <v>0</v>
      </c>
      <c r="J51" s="46">
        <v>0</v>
      </c>
      <c r="K51" s="47">
        <f t="shared" si="2"/>
        <v>0</v>
      </c>
      <c r="L51" s="46">
        <v>0</v>
      </c>
      <c r="M51" s="46">
        <v>0</v>
      </c>
      <c r="N51" s="46">
        <v>0</v>
      </c>
      <c r="O51" s="46">
        <v>0</v>
      </c>
      <c r="P51" s="46">
        <v>0</v>
      </c>
      <c r="Q51" s="46">
        <v>0</v>
      </c>
      <c r="R51" s="46">
        <v>0</v>
      </c>
      <c r="S51" s="46">
        <v>0</v>
      </c>
      <c r="T51" s="46">
        <v>0</v>
      </c>
      <c r="U51" s="46">
        <v>0</v>
      </c>
      <c r="V51" s="46">
        <v>0</v>
      </c>
      <c r="W51" s="46">
        <v>0</v>
      </c>
      <c r="X51" s="47">
        <f t="shared" si="3"/>
        <v>0</v>
      </c>
      <c r="Y51" s="46">
        <v>0</v>
      </c>
      <c r="Z51" s="46">
        <v>0</v>
      </c>
      <c r="AA51" s="46">
        <v>0</v>
      </c>
      <c r="AB51" s="46">
        <v>0</v>
      </c>
      <c r="AC51" s="46">
        <v>0</v>
      </c>
      <c r="AD51" s="46">
        <v>0</v>
      </c>
      <c r="AE51" s="46">
        <v>0</v>
      </c>
      <c r="AF51" s="46">
        <v>0</v>
      </c>
      <c r="AG51" s="46">
        <v>0</v>
      </c>
      <c r="AH51" s="46">
        <v>0</v>
      </c>
      <c r="AI51" s="46">
        <v>0</v>
      </c>
      <c r="AJ51" s="46">
        <v>0</v>
      </c>
      <c r="AK51" s="47">
        <f t="shared" si="4"/>
        <v>0</v>
      </c>
      <c r="AL51" s="46">
        <v>0</v>
      </c>
      <c r="AM51" s="46">
        <v>0</v>
      </c>
      <c r="AN51" s="46">
        <v>0</v>
      </c>
      <c r="AO51" s="46">
        <v>0</v>
      </c>
      <c r="AP51" s="46">
        <v>0</v>
      </c>
      <c r="AQ51" s="46">
        <v>0</v>
      </c>
      <c r="AR51" s="46">
        <v>0</v>
      </c>
      <c r="AS51" s="46">
        <v>0</v>
      </c>
      <c r="AT51" s="46">
        <v>0</v>
      </c>
      <c r="AU51" s="46">
        <v>0</v>
      </c>
      <c r="AV51" s="46">
        <v>0</v>
      </c>
      <c r="AW51" s="46">
        <v>0</v>
      </c>
      <c r="AX51" s="47">
        <f t="shared" si="6"/>
        <v>0</v>
      </c>
      <c r="AY51" s="319">
        <f>SUMIF(Recibos!$D$4:$D$3010,Cobranza!$B51,Recibos!K$4:K$3010)</f>
        <v>0</v>
      </c>
      <c r="AZ51" s="319">
        <f>SUMIF(Recibos!$D$4:$D$3010,Cobranza!$B51,Recibos!L$4:L$3010)</f>
        <v>0</v>
      </c>
      <c r="BA51" s="319">
        <f>SUMIF(Recibos!$D$4:$D$3010,Cobranza!$B51,Recibos!M$4:M$3010)</f>
        <v>0</v>
      </c>
      <c r="BB51" s="319">
        <f>SUMIF(Recibos!$D$4:$D$3010,Cobranza!$B51,Recibos!N$4:N$3010)</f>
        <v>0</v>
      </c>
      <c r="BC51" s="319">
        <f>SUMIF(Recibos!$D$4:$D$3010,Cobranza!$B51,Recibos!O$4:O$3010)</f>
        <v>0</v>
      </c>
      <c r="BD51" s="319">
        <f>SUMIF(Recibos!$D$4:$D$3010,Cobranza!$B51,Recibos!P$4:P$3010)</f>
        <v>0</v>
      </c>
      <c r="BE51" s="319">
        <f>SUMIF(Recibos!$D$4:$D$3010,Cobranza!$B51,Recibos!Q$4:Q$3010)</f>
        <v>0</v>
      </c>
      <c r="BF51" s="319">
        <f>SUMIF(Recibos!$D$4:$D$3010,Cobranza!$B51,Recibos!R$4:R$3010)</f>
        <v>0</v>
      </c>
      <c r="BG51" s="319">
        <f>SUMIF(Recibos!$D$4:$D$3010,Cobranza!$B51,Recibos!S$4:S$3010)</f>
        <v>0</v>
      </c>
      <c r="BH51" s="319">
        <f>SUMIF(Recibos!$D$4:$D$3010,Cobranza!$B51,Recibos!T$4:T$3010)</f>
        <v>0</v>
      </c>
      <c r="BI51" s="319">
        <f>SUMIF(Recibos!$D$4:$D$3010,Cobranza!$B51,Recibos!U$4:U$3010)</f>
        <v>0</v>
      </c>
      <c r="BJ51" s="319">
        <f>SUMIF(Recibos!$D$4:$D$3010,Cobranza!$B51,Recibos!V$4:V$3010)</f>
        <v>0</v>
      </c>
      <c r="BK51" s="320">
        <f t="shared" si="7"/>
        <v>0</v>
      </c>
      <c r="BL51" s="319">
        <f>SUMIF(Recibos!$D$4:$D$3010,Cobranza!$B51,Recibos!X$4:X$3010)</f>
        <v>0</v>
      </c>
      <c r="BM51" s="319">
        <f>SUMIF(Recibos!$D$4:$D$3010,Cobranza!$B51,Recibos!Y$4:Y$3010)</f>
        <v>0</v>
      </c>
      <c r="BN51" s="319">
        <f>SUMIF(Recibos!$D$4:$D$3010,Cobranza!$B51,Recibos!Z$4:Z$3010)</f>
        <v>0</v>
      </c>
      <c r="BO51" s="319">
        <f>SUMIF(Recibos!$D$4:$D$3010,Cobranza!$B51,Recibos!AA$4:AA$3010)</f>
        <v>0</v>
      </c>
      <c r="BP51" s="319">
        <f>SUMIF(Recibos!$D$4:$D$3010,Cobranza!$B51,Recibos!AB$4:AB$3010)</f>
        <v>0</v>
      </c>
      <c r="BQ51" s="319">
        <f>SUMIF(Recibos!$D$4:$D$3010,Cobranza!$B51,Recibos!AC$4:AC$3010)</f>
        <v>0</v>
      </c>
      <c r="BR51" s="319">
        <f>SUMIF(Recibos!$D$4:$D$3010,Cobranza!$B51,Recibos!AD$4:AD$3010)</f>
        <v>0</v>
      </c>
      <c r="BS51" s="319">
        <f>SUMIF(Recibos!$D$4:$D$3010,Cobranza!$B51,Recibos!AE$4:AE$3010)</f>
        <v>0</v>
      </c>
      <c r="BT51" s="319">
        <f>SUMIF(Recibos!$D$4:$D$3010,Cobranza!$B51,Recibos!AF$4:AF$3010)</f>
        <v>0</v>
      </c>
      <c r="BU51" s="319">
        <f>SUMIF(Recibos!$D$4:$D$3010,Cobranza!$B51,Recibos!AG$4:AG$3010)</f>
        <v>0</v>
      </c>
      <c r="BV51" s="319">
        <f>SUMIF(Recibos!$D$4:$D$3010,Cobranza!$B51,Recibos!AH$4:AH$3010)</f>
        <v>0</v>
      </c>
      <c r="BW51" s="319">
        <f>SUMIF(Recibos!$D$4:$D$3010,Cobranza!$B51,Recibos!AI$4:AI$3010)</f>
        <v>0</v>
      </c>
      <c r="BX51" s="320">
        <f t="shared" si="8"/>
        <v>0</v>
      </c>
    </row>
    <row r="52" spans="2:76" x14ac:dyDescent="0.2">
      <c r="B52" s="42" t="s">
        <v>807</v>
      </c>
      <c r="C52" s="42" t="s">
        <v>808</v>
      </c>
      <c r="D52" s="42" t="s">
        <v>809</v>
      </c>
      <c r="E52" s="43">
        <v>0</v>
      </c>
      <c r="F52" s="43">
        <v>0</v>
      </c>
      <c r="G52" s="43">
        <v>0</v>
      </c>
      <c r="H52" s="43">
        <v>0</v>
      </c>
      <c r="I52" s="43">
        <v>0</v>
      </c>
      <c r="J52" s="43">
        <v>0</v>
      </c>
      <c r="K52" s="44">
        <f t="shared" si="2"/>
        <v>0</v>
      </c>
      <c r="L52" s="43">
        <v>300</v>
      </c>
      <c r="M52" s="43">
        <v>300</v>
      </c>
      <c r="N52" s="43">
        <v>300</v>
      </c>
      <c r="O52" s="43">
        <v>300</v>
      </c>
      <c r="P52" s="43">
        <v>300</v>
      </c>
      <c r="Q52" s="43">
        <v>300</v>
      </c>
      <c r="R52" s="43">
        <v>300</v>
      </c>
      <c r="S52" s="43">
        <v>300</v>
      </c>
      <c r="T52" s="43">
        <v>300</v>
      </c>
      <c r="U52" s="43">
        <v>400</v>
      </c>
      <c r="V52" s="43">
        <v>400</v>
      </c>
      <c r="W52" s="43">
        <v>400</v>
      </c>
      <c r="X52" s="44">
        <f t="shared" si="3"/>
        <v>3900</v>
      </c>
      <c r="Y52" s="43">
        <v>200</v>
      </c>
      <c r="Z52" s="43">
        <v>200</v>
      </c>
      <c r="AA52" s="43">
        <v>400</v>
      </c>
      <c r="AB52" s="43">
        <v>400</v>
      </c>
      <c r="AC52" s="43">
        <v>200</v>
      </c>
      <c r="AD52" s="43">
        <v>200</v>
      </c>
      <c r="AE52" s="43">
        <v>200</v>
      </c>
      <c r="AF52" s="43">
        <v>200</v>
      </c>
      <c r="AG52" s="43">
        <v>200</v>
      </c>
      <c r="AH52" s="43">
        <v>200</v>
      </c>
      <c r="AI52" s="43">
        <v>200</v>
      </c>
      <c r="AJ52" s="43">
        <v>200</v>
      </c>
      <c r="AK52" s="44">
        <f t="shared" si="4"/>
        <v>2800</v>
      </c>
      <c r="AL52" s="43">
        <v>200</v>
      </c>
      <c r="AM52" s="43">
        <v>200</v>
      </c>
      <c r="AN52" s="43">
        <v>200</v>
      </c>
      <c r="AO52" s="43">
        <v>200</v>
      </c>
      <c r="AP52" s="43">
        <v>200</v>
      </c>
      <c r="AQ52" s="43">
        <v>200</v>
      </c>
      <c r="AR52" s="43">
        <v>200</v>
      </c>
      <c r="AS52" s="43">
        <v>200</v>
      </c>
      <c r="AT52" s="43">
        <v>200</v>
      </c>
      <c r="AU52" s="43">
        <v>200</v>
      </c>
      <c r="AV52" s="43">
        <v>200</v>
      </c>
      <c r="AW52" s="43">
        <v>200</v>
      </c>
      <c r="AX52" s="44">
        <f t="shared" si="6"/>
        <v>2400</v>
      </c>
      <c r="AY52" s="317">
        <f>SUMIF(Recibos!$D$4:$D$3010,Cobranza!$B52,Recibos!K$4:K$3010)</f>
        <v>200</v>
      </c>
      <c r="AZ52" s="317">
        <f>SUMIF(Recibos!$D$4:$D$3010,Cobranza!$B52,Recibos!L$4:L$3010)</f>
        <v>200</v>
      </c>
      <c r="BA52" s="317">
        <f>SUMIF(Recibos!$D$4:$D$3010,Cobranza!$B52,Recibos!M$4:M$3010)</f>
        <v>200</v>
      </c>
      <c r="BB52" s="317">
        <f>SUMIF(Recibos!$D$4:$D$3010,Cobranza!$B52,Recibos!N$4:N$3010)</f>
        <v>200</v>
      </c>
      <c r="BC52" s="317">
        <f>SUMIF(Recibos!$D$4:$D$3010,Cobranza!$B52,Recibos!O$4:O$3010)</f>
        <v>200</v>
      </c>
      <c r="BD52" s="317">
        <f>SUMIF(Recibos!$D$4:$D$3010,Cobranza!$B52,Recibos!P$4:P$3010)</f>
        <v>200</v>
      </c>
      <c r="BE52" s="317">
        <f>SUMIF(Recibos!$D$4:$D$3010,Cobranza!$B52,Recibos!Q$4:Q$3010)</f>
        <v>200</v>
      </c>
      <c r="BF52" s="317">
        <f>SUMIF(Recibos!$D$4:$D$3010,Cobranza!$B52,Recibos!R$4:R$3010)</f>
        <v>200</v>
      </c>
      <c r="BG52" s="317">
        <f>SUMIF(Recibos!$D$4:$D$3010,Cobranza!$B52,Recibos!S$4:S$3010)</f>
        <v>200</v>
      </c>
      <c r="BH52" s="317">
        <f>SUMIF(Recibos!$D$4:$D$3010,Cobranza!$B52,Recibos!T$4:T$3010)</f>
        <v>200</v>
      </c>
      <c r="BI52" s="317">
        <f>SUMIF(Recibos!$D$4:$D$3010,Cobranza!$B52,Recibos!U$4:U$3010)</f>
        <v>0</v>
      </c>
      <c r="BJ52" s="317">
        <f>SUMIF(Recibos!$D$4:$D$3010,Cobranza!$B52,Recibos!V$4:V$3010)</f>
        <v>0</v>
      </c>
      <c r="BK52" s="318">
        <f t="shared" si="7"/>
        <v>2000</v>
      </c>
      <c r="BL52" s="317">
        <f>SUMIF(Recibos!$D$4:$D$3010,Cobranza!$B52,Recibos!X$4:X$3010)</f>
        <v>0</v>
      </c>
      <c r="BM52" s="317">
        <f>SUMIF(Recibos!$D$4:$D$3010,Cobranza!$B52,Recibos!Y$4:Y$3010)</f>
        <v>0</v>
      </c>
      <c r="BN52" s="317">
        <f>SUMIF(Recibos!$D$4:$D$3010,Cobranza!$B52,Recibos!Z$4:Z$3010)</f>
        <v>0</v>
      </c>
      <c r="BO52" s="317">
        <f>SUMIF(Recibos!$D$4:$D$3010,Cobranza!$B52,Recibos!AA$4:AA$3010)</f>
        <v>0</v>
      </c>
      <c r="BP52" s="317">
        <f>SUMIF(Recibos!$D$4:$D$3010,Cobranza!$B52,Recibos!AB$4:AB$3010)</f>
        <v>0</v>
      </c>
      <c r="BQ52" s="317">
        <f>SUMIF(Recibos!$D$4:$D$3010,Cobranza!$B52,Recibos!AC$4:AC$3010)</f>
        <v>0</v>
      </c>
      <c r="BR52" s="317">
        <f>SUMIF(Recibos!$D$4:$D$3010,Cobranza!$B52,Recibos!AD$4:AD$3010)</f>
        <v>0</v>
      </c>
      <c r="BS52" s="317">
        <f>SUMIF(Recibos!$D$4:$D$3010,Cobranza!$B52,Recibos!AE$4:AE$3010)</f>
        <v>0</v>
      </c>
      <c r="BT52" s="317">
        <f>SUMIF(Recibos!$D$4:$D$3010,Cobranza!$B52,Recibos!AF$4:AF$3010)</f>
        <v>0</v>
      </c>
      <c r="BU52" s="317">
        <f>SUMIF(Recibos!$D$4:$D$3010,Cobranza!$B52,Recibos!AG$4:AG$3010)</f>
        <v>0</v>
      </c>
      <c r="BV52" s="317">
        <f>SUMIF(Recibos!$D$4:$D$3010,Cobranza!$B52,Recibos!AH$4:AH$3010)</f>
        <v>0</v>
      </c>
      <c r="BW52" s="317">
        <f>SUMIF(Recibos!$D$4:$D$3010,Cobranza!$B52,Recibos!AI$4:AI$3010)</f>
        <v>0</v>
      </c>
      <c r="BX52" s="318">
        <f t="shared" si="8"/>
        <v>0</v>
      </c>
    </row>
    <row r="53" spans="2:76" x14ac:dyDescent="0.2">
      <c r="B53" s="45" t="s">
        <v>1274</v>
      </c>
      <c r="C53" s="45" t="s">
        <v>1275</v>
      </c>
      <c r="D53" s="45" t="s">
        <v>857</v>
      </c>
      <c r="E53" s="46">
        <v>0</v>
      </c>
      <c r="F53" s="46">
        <v>0</v>
      </c>
      <c r="G53" s="46">
        <v>0</v>
      </c>
      <c r="H53" s="46">
        <v>0</v>
      </c>
      <c r="I53" s="46">
        <v>0</v>
      </c>
      <c r="J53" s="46">
        <v>200</v>
      </c>
      <c r="K53" s="47">
        <f t="shared" si="2"/>
        <v>200</v>
      </c>
      <c r="L53" s="46">
        <v>200</v>
      </c>
      <c r="M53" s="46">
        <v>200</v>
      </c>
      <c r="N53" s="46">
        <v>200</v>
      </c>
      <c r="O53" s="46">
        <v>200</v>
      </c>
      <c r="P53" s="46">
        <v>200</v>
      </c>
      <c r="Q53" s="46">
        <v>200</v>
      </c>
      <c r="R53" s="46">
        <v>200</v>
      </c>
      <c r="S53" s="46">
        <v>200</v>
      </c>
      <c r="T53" s="46">
        <v>200</v>
      </c>
      <c r="U53" s="46">
        <v>200</v>
      </c>
      <c r="V53" s="46">
        <v>0</v>
      </c>
      <c r="W53" s="46">
        <v>0</v>
      </c>
      <c r="X53" s="47">
        <f t="shared" si="3"/>
        <v>2000</v>
      </c>
      <c r="Y53" s="46">
        <v>0</v>
      </c>
      <c r="Z53" s="46">
        <v>0</v>
      </c>
      <c r="AA53" s="46">
        <v>0</v>
      </c>
      <c r="AB53" s="46">
        <v>0</v>
      </c>
      <c r="AC53" s="46">
        <v>0</v>
      </c>
      <c r="AD53" s="46">
        <v>0</v>
      </c>
      <c r="AE53" s="46">
        <v>0</v>
      </c>
      <c r="AF53" s="46">
        <v>0</v>
      </c>
      <c r="AG53" s="46">
        <v>0</v>
      </c>
      <c r="AH53" s="46">
        <v>0</v>
      </c>
      <c r="AI53" s="46">
        <v>0</v>
      </c>
      <c r="AJ53" s="46">
        <v>0</v>
      </c>
      <c r="AK53" s="47">
        <f t="shared" si="4"/>
        <v>0</v>
      </c>
      <c r="AL53" s="46">
        <v>0</v>
      </c>
      <c r="AM53" s="46">
        <v>0</v>
      </c>
      <c r="AN53" s="46">
        <v>0</v>
      </c>
      <c r="AO53" s="46">
        <v>0</v>
      </c>
      <c r="AP53" s="46">
        <v>0</v>
      </c>
      <c r="AQ53" s="46">
        <v>0</v>
      </c>
      <c r="AR53" s="46">
        <v>0</v>
      </c>
      <c r="AS53" s="46">
        <v>0</v>
      </c>
      <c r="AT53" s="46">
        <v>0</v>
      </c>
      <c r="AU53" s="46">
        <v>0</v>
      </c>
      <c r="AV53" s="46">
        <v>0</v>
      </c>
      <c r="AW53" s="46">
        <v>0</v>
      </c>
      <c r="AX53" s="47">
        <f t="shared" si="6"/>
        <v>0</v>
      </c>
      <c r="AY53" s="319">
        <f>SUMIF(Recibos!$D$4:$D$3010,Cobranza!$B53,Recibos!K$4:K$3010)</f>
        <v>0</v>
      </c>
      <c r="AZ53" s="319">
        <f>SUMIF(Recibos!$D$4:$D$3010,Cobranza!$B53,Recibos!L$4:L$3010)</f>
        <v>0</v>
      </c>
      <c r="BA53" s="319">
        <f>SUMIF(Recibos!$D$4:$D$3010,Cobranza!$B53,Recibos!M$4:M$3010)</f>
        <v>0</v>
      </c>
      <c r="BB53" s="319">
        <f>SUMIF(Recibos!$D$4:$D$3010,Cobranza!$B53,Recibos!N$4:N$3010)</f>
        <v>0</v>
      </c>
      <c r="BC53" s="319">
        <f>SUMIF(Recibos!$D$4:$D$3010,Cobranza!$B53,Recibos!O$4:O$3010)</f>
        <v>0</v>
      </c>
      <c r="BD53" s="319">
        <f>SUMIF(Recibos!$D$4:$D$3010,Cobranza!$B53,Recibos!P$4:P$3010)</f>
        <v>0</v>
      </c>
      <c r="BE53" s="319">
        <f>SUMIF(Recibos!$D$4:$D$3010,Cobranza!$B53,Recibos!Q$4:Q$3010)</f>
        <v>0</v>
      </c>
      <c r="BF53" s="319">
        <f>SUMIF(Recibos!$D$4:$D$3010,Cobranza!$B53,Recibos!R$4:R$3010)</f>
        <v>0</v>
      </c>
      <c r="BG53" s="319">
        <f>SUMIF(Recibos!$D$4:$D$3010,Cobranza!$B53,Recibos!S$4:S$3010)</f>
        <v>0</v>
      </c>
      <c r="BH53" s="319">
        <f>SUMIF(Recibos!$D$4:$D$3010,Cobranza!$B53,Recibos!T$4:T$3010)</f>
        <v>0</v>
      </c>
      <c r="BI53" s="319">
        <f>SUMIF(Recibos!$D$4:$D$3010,Cobranza!$B53,Recibos!U$4:U$3010)</f>
        <v>0</v>
      </c>
      <c r="BJ53" s="319">
        <f>SUMIF(Recibos!$D$4:$D$3010,Cobranza!$B53,Recibos!V$4:V$3010)</f>
        <v>0</v>
      </c>
      <c r="BK53" s="320">
        <f t="shared" si="7"/>
        <v>0</v>
      </c>
      <c r="BL53" s="319">
        <f>SUMIF(Recibos!$D$4:$D$3010,Cobranza!$B53,Recibos!X$4:X$3010)</f>
        <v>0</v>
      </c>
      <c r="BM53" s="319">
        <f>SUMIF(Recibos!$D$4:$D$3010,Cobranza!$B53,Recibos!Y$4:Y$3010)</f>
        <v>0</v>
      </c>
      <c r="BN53" s="319">
        <f>SUMIF(Recibos!$D$4:$D$3010,Cobranza!$B53,Recibos!Z$4:Z$3010)</f>
        <v>0</v>
      </c>
      <c r="BO53" s="319">
        <f>SUMIF(Recibos!$D$4:$D$3010,Cobranza!$B53,Recibos!AA$4:AA$3010)</f>
        <v>0</v>
      </c>
      <c r="BP53" s="319">
        <f>SUMIF(Recibos!$D$4:$D$3010,Cobranza!$B53,Recibos!AB$4:AB$3010)</f>
        <v>0</v>
      </c>
      <c r="BQ53" s="319">
        <f>SUMIF(Recibos!$D$4:$D$3010,Cobranza!$B53,Recibos!AC$4:AC$3010)</f>
        <v>0</v>
      </c>
      <c r="BR53" s="319">
        <f>SUMIF(Recibos!$D$4:$D$3010,Cobranza!$B53,Recibos!AD$4:AD$3010)</f>
        <v>0</v>
      </c>
      <c r="BS53" s="319">
        <f>SUMIF(Recibos!$D$4:$D$3010,Cobranza!$B53,Recibos!AE$4:AE$3010)</f>
        <v>0</v>
      </c>
      <c r="BT53" s="319">
        <f>SUMIF(Recibos!$D$4:$D$3010,Cobranza!$B53,Recibos!AF$4:AF$3010)</f>
        <v>0</v>
      </c>
      <c r="BU53" s="319">
        <f>SUMIF(Recibos!$D$4:$D$3010,Cobranza!$B53,Recibos!AG$4:AG$3010)</f>
        <v>0</v>
      </c>
      <c r="BV53" s="319">
        <f>SUMIF(Recibos!$D$4:$D$3010,Cobranza!$B53,Recibos!AH$4:AH$3010)</f>
        <v>0</v>
      </c>
      <c r="BW53" s="319">
        <f>SUMIF(Recibos!$D$4:$D$3010,Cobranza!$B53,Recibos!AI$4:AI$3010)</f>
        <v>0</v>
      </c>
      <c r="BX53" s="320">
        <f t="shared" si="8"/>
        <v>0</v>
      </c>
    </row>
    <row r="54" spans="2:76" x14ac:dyDescent="0.2">
      <c r="B54" s="42" t="s">
        <v>1276</v>
      </c>
      <c r="C54" s="42" t="s">
        <v>1277</v>
      </c>
      <c r="D54" s="42" t="s">
        <v>1278</v>
      </c>
      <c r="E54" s="43">
        <v>0</v>
      </c>
      <c r="F54" s="43">
        <v>0</v>
      </c>
      <c r="G54" s="43">
        <v>0</v>
      </c>
      <c r="H54" s="43">
        <v>0</v>
      </c>
      <c r="I54" s="43">
        <v>0</v>
      </c>
      <c r="J54" s="43">
        <v>0</v>
      </c>
      <c r="K54" s="44">
        <f t="shared" si="2"/>
        <v>0</v>
      </c>
      <c r="L54" s="43">
        <v>0</v>
      </c>
      <c r="M54" s="43">
        <v>0</v>
      </c>
      <c r="N54" s="43">
        <v>0</v>
      </c>
      <c r="O54" s="43">
        <v>0</v>
      </c>
      <c r="P54" s="43">
        <v>0</v>
      </c>
      <c r="Q54" s="43">
        <v>0</v>
      </c>
      <c r="R54" s="43">
        <v>0</v>
      </c>
      <c r="S54" s="43">
        <v>0</v>
      </c>
      <c r="T54" s="43">
        <v>0</v>
      </c>
      <c r="U54" s="43">
        <v>0</v>
      </c>
      <c r="V54" s="43">
        <v>0</v>
      </c>
      <c r="W54" s="43">
        <v>0</v>
      </c>
      <c r="X54" s="44">
        <f t="shared" si="3"/>
        <v>0</v>
      </c>
      <c r="Y54" s="43">
        <v>0</v>
      </c>
      <c r="Z54" s="43">
        <v>0</v>
      </c>
      <c r="AA54" s="43">
        <v>0</v>
      </c>
      <c r="AB54" s="43">
        <v>0</v>
      </c>
      <c r="AC54" s="43">
        <v>0</v>
      </c>
      <c r="AD54" s="43">
        <v>0</v>
      </c>
      <c r="AE54" s="43">
        <v>0</v>
      </c>
      <c r="AF54" s="43">
        <v>0</v>
      </c>
      <c r="AG54" s="43">
        <v>0</v>
      </c>
      <c r="AH54" s="43">
        <v>0</v>
      </c>
      <c r="AI54" s="43">
        <v>300</v>
      </c>
      <c r="AJ54" s="43">
        <v>300</v>
      </c>
      <c r="AK54" s="44">
        <f t="shared" si="4"/>
        <v>600</v>
      </c>
      <c r="AL54" s="43">
        <v>300</v>
      </c>
      <c r="AM54" s="43">
        <v>0</v>
      </c>
      <c r="AN54" s="43">
        <v>0</v>
      </c>
      <c r="AO54" s="43">
        <v>0</v>
      </c>
      <c r="AP54" s="43">
        <v>0</v>
      </c>
      <c r="AQ54" s="43">
        <v>0</v>
      </c>
      <c r="AR54" s="43">
        <v>0</v>
      </c>
      <c r="AS54" s="43">
        <v>0</v>
      </c>
      <c r="AT54" s="43">
        <v>0</v>
      </c>
      <c r="AU54" s="43">
        <v>0</v>
      </c>
      <c r="AV54" s="43">
        <v>0</v>
      </c>
      <c r="AW54" s="43">
        <v>0</v>
      </c>
      <c r="AX54" s="44">
        <f t="shared" si="6"/>
        <v>300</v>
      </c>
      <c r="AY54" s="317">
        <f>SUMIF(Recibos!$D$4:$D$3010,Cobranza!$B54,Recibos!K$4:K$3010)</f>
        <v>0</v>
      </c>
      <c r="AZ54" s="317">
        <f>SUMIF(Recibos!$D$4:$D$3010,Cobranza!$B54,Recibos!L$4:L$3010)</f>
        <v>0</v>
      </c>
      <c r="BA54" s="317">
        <f>SUMIF(Recibos!$D$4:$D$3010,Cobranza!$B54,Recibos!M$4:M$3010)</f>
        <v>0</v>
      </c>
      <c r="BB54" s="317">
        <f>SUMIF(Recibos!$D$4:$D$3010,Cobranza!$B54,Recibos!N$4:N$3010)</f>
        <v>0</v>
      </c>
      <c r="BC54" s="317">
        <f>SUMIF(Recibos!$D$4:$D$3010,Cobranza!$B54,Recibos!O$4:O$3010)</f>
        <v>0</v>
      </c>
      <c r="BD54" s="317">
        <f>SUMIF(Recibos!$D$4:$D$3010,Cobranza!$B54,Recibos!P$4:P$3010)</f>
        <v>0</v>
      </c>
      <c r="BE54" s="317">
        <f>SUMIF(Recibos!$D$4:$D$3010,Cobranza!$B54,Recibos!Q$4:Q$3010)</f>
        <v>0</v>
      </c>
      <c r="BF54" s="317">
        <f>SUMIF(Recibos!$D$4:$D$3010,Cobranza!$B54,Recibos!R$4:R$3010)</f>
        <v>0</v>
      </c>
      <c r="BG54" s="317">
        <f>SUMIF(Recibos!$D$4:$D$3010,Cobranza!$B54,Recibos!S$4:S$3010)</f>
        <v>0</v>
      </c>
      <c r="BH54" s="317">
        <f>SUMIF(Recibos!$D$4:$D$3010,Cobranza!$B54,Recibos!T$4:T$3010)</f>
        <v>0</v>
      </c>
      <c r="BI54" s="317">
        <f>SUMIF(Recibos!$D$4:$D$3010,Cobranza!$B54,Recibos!U$4:U$3010)</f>
        <v>0</v>
      </c>
      <c r="BJ54" s="317">
        <f>SUMIF(Recibos!$D$4:$D$3010,Cobranza!$B54,Recibos!V$4:V$3010)</f>
        <v>0</v>
      </c>
      <c r="BK54" s="318">
        <f t="shared" si="7"/>
        <v>0</v>
      </c>
      <c r="BL54" s="317">
        <f>SUMIF(Recibos!$D$4:$D$3010,Cobranza!$B54,Recibos!X$4:X$3010)</f>
        <v>0</v>
      </c>
      <c r="BM54" s="317">
        <f>SUMIF(Recibos!$D$4:$D$3010,Cobranza!$B54,Recibos!Y$4:Y$3010)</f>
        <v>0</v>
      </c>
      <c r="BN54" s="317">
        <f>SUMIF(Recibos!$D$4:$D$3010,Cobranza!$B54,Recibos!Z$4:Z$3010)</f>
        <v>0</v>
      </c>
      <c r="BO54" s="317">
        <f>SUMIF(Recibos!$D$4:$D$3010,Cobranza!$B54,Recibos!AA$4:AA$3010)</f>
        <v>0</v>
      </c>
      <c r="BP54" s="317">
        <f>SUMIF(Recibos!$D$4:$D$3010,Cobranza!$B54,Recibos!AB$4:AB$3010)</f>
        <v>0</v>
      </c>
      <c r="BQ54" s="317">
        <f>SUMIF(Recibos!$D$4:$D$3010,Cobranza!$B54,Recibos!AC$4:AC$3010)</f>
        <v>0</v>
      </c>
      <c r="BR54" s="317">
        <f>SUMIF(Recibos!$D$4:$D$3010,Cobranza!$B54,Recibos!AD$4:AD$3010)</f>
        <v>0</v>
      </c>
      <c r="BS54" s="317">
        <f>SUMIF(Recibos!$D$4:$D$3010,Cobranza!$B54,Recibos!AE$4:AE$3010)</f>
        <v>0</v>
      </c>
      <c r="BT54" s="317">
        <f>SUMIF(Recibos!$D$4:$D$3010,Cobranza!$B54,Recibos!AF$4:AF$3010)</f>
        <v>0</v>
      </c>
      <c r="BU54" s="317">
        <f>SUMIF(Recibos!$D$4:$D$3010,Cobranza!$B54,Recibos!AG$4:AG$3010)</f>
        <v>0</v>
      </c>
      <c r="BV54" s="317">
        <f>SUMIF(Recibos!$D$4:$D$3010,Cobranza!$B54,Recibos!AH$4:AH$3010)</f>
        <v>0</v>
      </c>
      <c r="BW54" s="317">
        <f>SUMIF(Recibos!$D$4:$D$3010,Cobranza!$B54,Recibos!AI$4:AI$3010)</f>
        <v>0</v>
      </c>
      <c r="BX54" s="318">
        <f t="shared" si="8"/>
        <v>0</v>
      </c>
    </row>
    <row r="55" spans="2:76" x14ac:dyDescent="0.2">
      <c r="B55" s="45" t="s">
        <v>1279</v>
      </c>
      <c r="C55" s="45" t="s">
        <v>1280</v>
      </c>
      <c r="D55" s="45" t="s">
        <v>222</v>
      </c>
      <c r="E55" s="46">
        <v>0</v>
      </c>
      <c r="F55" s="46">
        <v>0</v>
      </c>
      <c r="G55" s="46">
        <v>0</v>
      </c>
      <c r="H55" s="46">
        <v>0</v>
      </c>
      <c r="I55" s="46">
        <v>0</v>
      </c>
      <c r="J55" s="46">
        <v>0</v>
      </c>
      <c r="K55" s="47">
        <f t="shared" si="2"/>
        <v>0</v>
      </c>
      <c r="L55" s="46">
        <v>0</v>
      </c>
      <c r="M55" s="46">
        <v>0</v>
      </c>
      <c r="N55" s="46">
        <v>0</v>
      </c>
      <c r="O55" s="46">
        <v>0</v>
      </c>
      <c r="P55" s="46">
        <v>0</v>
      </c>
      <c r="Q55" s="46">
        <v>0</v>
      </c>
      <c r="R55" s="46">
        <v>0</v>
      </c>
      <c r="S55" s="46">
        <v>0</v>
      </c>
      <c r="T55" s="46">
        <v>0</v>
      </c>
      <c r="U55" s="46">
        <v>0</v>
      </c>
      <c r="V55" s="46">
        <v>0</v>
      </c>
      <c r="W55" s="46">
        <v>0</v>
      </c>
      <c r="X55" s="47">
        <f t="shared" si="3"/>
        <v>0</v>
      </c>
      <c r="Y55" s="46">
        <v>0</v>
      </c>
      <c r="Z55" s="46">
        <v>0</v>
      </c>
      <c r="AA55" s="46">
        <v>0</v>
      </c>
      <c r="AB55" s="46">
        <v>0</v>
      </c>
      <c r="AC55" s="46">
        <v>0</v>
      </c>
      <c r="AD55" s="46">
        <v>0</v>
      </c>
      <c r="AE55" s="46">
        <v>0</v>
      </c>
      <c r="AF55" s="46">
        <v>0</v>
      </c>
      <c r="AG55" s="46">
        <v>0</v>
      </c>
      <c r="AH55" s="46">
        <v>0</v>
      </c>
      <c r="AI55" s="46">
        <v>0</v>
      </c>
      <c r="AJ55" s="46">
        <v>0</v>
      </c>
      <c r="AK55" s="47">
        <f t="shared" si="4"/>
        <v>0</v>
      </c>
      <c r="AL55" s="46">
        <v>0</v>
      </c>
      <c r="AM55" s="46">
        <v>0</v>
      </c>
      <c r="AN55" s="46">
        <v>0</v>
      </c>
      <c r="AO55" s="46">
        <v>0</v>
      </c>
      <c r="AP55" s="46">
        <v>0</v>
      </c>
      <c r="AQ55" s="46">
        <v>0</v>
      </c>
      <c r="AR55" s="46">
        <v>0</v>
      </c>
      <c r="AS55" s="46">
        <v>0</v>
      </c>
      <c r="AT55" s="46">
        <v>0</v>
      </c>
      <c r="AU55" s="46">
        <v>0</v>
      </c>
      <c r="AV55" s="46">
        <v>0</v>
      </c>
      <c r="AW55" s="46">
        <v>0</v>
      </c>
      <c r="AX55" s="47">
        <f t="shared" si="6"/>
        <v>0</v>
      </c>
      <c r="AY55" s="319">
        <f>SUMIF(Recibos!$D$4:$D$3010,Cobranza!$B55,Recibos!K$4:K$3010)</f>
        <v>0</v>
      </c>
      <c r="AZ55" s="319">
        <f>SUMIF(Recibos!$D$4:$D$3010,Cobranza!$B55,Recibos!L$4:L$3010)</f>
        <v>0</v>
      </c>
      <c r="BA55" s="319">
        <f>SUMIF(Recibos!$D$4:$D$3010,Cobranza!$B55,Recibos!M$4:M$3010)</f>
        <v>0</v>
      </c>
      <c r="BB55" s="319">
        <f>SUMIF(Recibos!$D$4:$D$3010,Cobranza!$B55,Recibos!N$4:N$3010)</f>
        <v>0</v>
      </c>
      <c r="BC55" s="319">
        <f>SUMIF(Recibos!$D$4:$D$3010,Cobranza!$B55,Recibos!O$4:O$3010)</f>
        <v>0</v>
      </c>
      <c r="BD55" s="319">
        <f>SUMIF(Recibos!$D$4:$D$3010,Cobranza!$B55,Recibos!P$4:P$3010)</f>
        <v>0</v>
      </c>
      <c r="BE55" s="319">
        <f>SUMIF(Recibos!$D$4:$D$3010,Cobranza!$B55,Recibos!Q$4:Q$3010)</f>
        <v>0</v>
      </c>
      <c r="BF55" s="319">
        <f>SUMIF(Recibos!$D$4:$D$3010,Cobranza!$B55,Recibos!R$4:R$3010)</f>
        <v>0</v>
      </c>
      <c r="BG55" s="319">
        <f>SUMIF(Recibos!$D$4:$D$3010,Cobranza!$B55,Recibos!S$4:S$3010)</f>
        <v>0</v>
      </c>
      <c r="BH55" s="319">
        <f>SUMIF(Recibos!$D$4:$D$3010,Cobranza!$B55,Recibos!T$4:T$3010)</f>
        <v>0</v>
      </c>
      <c r="BI55" s="319">
        <f>SUMIF(Recibos!$D$4:$D$3010,Cobranza!$B55,Recibos!U$4:U$3010)</f>
        <v>0</v>
      </c>
      <c r="BJ55" s="319">
        <f>SUMIF(Recibos!$D$4:$D$3010,Cobranza!$B55,Recibos!V$4:V$3010)</f>
        <v>0</v>
      </c>
      <c r="BK55" s="320">
        <f t="shared" si="7"/>
        <v>0</v>
      </c>
      <c r="BL55" s="319">
        <f>SUMIF(Recibos!$D$4:$D$3010,Cobranza!$B55,Recibos!X$4:X$3010)</f>
        <v>0</v>
      </c>
      <c r="BM55" s="319">
        <f>SUMIF(Recibos!$D$4:$D$3010,Cobranza!$B55,Recibos!Y$4:Y$3010)</f>
        <v>0</v>
      </c>
      <c r="BN55" s="319">
        <f>SUMIF(Recibos!$D$4:$D$3010,Cobranza!$B55,Recibos!Z$4:Z$3010)</f>
        <v>0</v>
      </c>
      <c r="BO55" s="319">
        <f>SUMIF(Recibos!$D$4:$D$3010,Cobranza!$B55,Recibos!AA$4:AA$3010)</f>
        <v>0</v>
      </c>
      <c r="BP55" s="319">
        <f>SUMIF(Recibos!$D$4:$D$3010,Cobranza!$B55,Recibos!AB$4:AB$3010)</f>
        <v>0</v>
      </c>
      <c r="BQ55" s="319">
        <f>SUMIF(Recibos!$D$4:$D$3010,Cobranza!$B55,Recibos!AC$4:AC$3010)</f>
        <v>0</v>
      </c>
      <c r="BR55" s="319">
        <f>SUMIF(Recibos!$D$4:$D$3010,Cobranza!$B55,Recibos!AD$4:AD$3010)</f>
        <v>0</v>
      </c>
      <c r="BS55" s="319">
        <f>SUMIF(Recibos!$D$4:$D$3010,Cobranza!$B55,Recibos!AE$4:AE$3010)</f>
        <v>0</v>
      </c>
      <c r="BT55" s="319">
        <f>SUMIF(Recibos!$D$4:$D$3010,Cobranza!$B55,Recibos!AF$4:AF$3010)</f>
        <v>0</v>
      </c>
      <c r="BU55" s="319">
        <f>SUMIF(Recibos!$D$4:$D$3010,Cobranza!$B55,Recibos!AG$4:AG$3010)</f>
        <v>0</v>
      </c>
      <c r="BV55" s="319">
        <f>SUMIF(Recibos!$D$4:$D$3010,Cobranza!$B55,Recibos!AH$4:AH$3010)</f>
        <v>0</v>
      </c>
      <c r="BW55" s="319">
        <f>SUMIF(Recibos!$D$4:$D$3010,Cobranza!$B55,Recibos!AI$4:AI$3010)</f>
        <v>0</v>
      </c>
      <c r="BX55" s="320">
        <f t="shared" si="8"/>
        <v>0</v>
      </c>
    </row>
    <row r="56" spans="2:76" x14ac:dyDescent="0.2">
      <c r="B56" s="42" t="s">
        <v>769</v>
      </c>
      <c r="C56" s="42" t="s">
        <v>770</v>
      </c>
      <c r="D56" s="42" t="s">
        <v>771</v>
      </c>
      <c r="E56" s="43">
        <v>0</v>
      </c>
      <c r="F56" s="43">
        <v>0</v>
      </c>
      <c r="G56" s="43">
        <v>0</v>
      </c>
      <c r="H56" s="43">
        <v>300</v>
      </c>
      <c r="I56" s="43">
        <v>300</v>
      </c>
      <c r="J56" s="43">
        <v>300</v>
      </c>
      <c r="K56" s="44">
        <f t="shared" si="2"/>
        <v>900</v>
      </c>
      <c r="L56" s="43">
        <v>300</v>
      </c>
      <c r="M56" s="43">
        <v>300</v>
      </c>
      <c r="N56" s="43">
        <v>300</v>
      </c>
      <c r="O56" s="43">
        <v>300</v>
      </c>
      <c r="P56" s="43">
        <v>300</v>
      </c>
      <c r="Q56" s="43">
        <v>300</v>
      </c>
      <c r="R56" s="43">
        <v>300</v>
      </c>
      <c r="S56" s="43">
        <v>300</v>
      </c>
      <c r="T56" s="43">
        <v>300</v>
      </c>
      <c r="U56" s="43">
        <v>300</v>
      </c>
      <c r="V56" s="43">
        <v>400</v>
      </c>
      <c r="W56" s="43">
        <v>400</v>
      </c>
      <c r="X56" s="44">
        <f t="shared" si="3"/>
        <v>3800</v>
      </c>
      <c r="Y56" s="43">
        <v>400</v>
      </c>
      <c r="Z56" s="43">
        <v>400</v>
      </c>
      <c r="AA56" s="43">
        <v>400</v>
      </c>
      <c r="AB56" s="43">
        <v>400</v>
      </c>
      <c r="AC56" s="43">
        <v>400</v>
      </c>
      <c r="AD56" s="43">
        <v>400</v>
      </c>
      <c r="AE56" s="43">
        <v>400</v>
      </c>
      <c r="AF56" s="43">
        <v>400</v>
      </c>
      <c r="AG56" s="43">
        <v>400</v>
      </c>
      <c r="AH56" s="43">
        <v>400</v>
      </c>
      <c r="AI56" s="43">
        <v>400</v>
      </c>
      <c r="AJ56" s="43">
        <v>400</v>
      </c>
      <c r="AK56" s="44">
        <f t="shared" si="4"/>
        <v>4800</v>
      </c>
      <c r="AL56" s="43">
        <v>400</v>
      </c>
      <c r="AM56" s="43">
        <v>400</v>
      </c>
      <c r="AN56" s="43">
        <v>400</v>
      </c>
      <c r="AO56" s="43">
        <v>400</v>
      </c>
      <c r="AP56" s="43">
        <v>400</v>
      </c>
      <c r="AQ56" s="43">
        <v>400</v>
      </c>
      <c r="AR56" s="43">
        <v>400</v>
      </c>
      <c r="AS56" s="43">
        <v>400</v>
      </c>
      <c r="AT56" s="43">
        <v>400</v>
      </c>
      <c r="AU56" s="43">
        <v>400</v>
      </c>
      <c r="AV56" s="43">
        <v>400</v>
      </c>
      <c r="AW56" s="43">
        <v>400</v>
      </c>
      <c r="AX56" s="44">
        <f t="shared" si="6"/>
        <v>4800</v>
      </c>
      <c r="AY56" s="317">
        <f>SUMIF(Recibos!$D$4:$D$3010,Cobranza!$B56,Recibos!K$4:K$3010)</f>
        <v>400</v>
      </c>
      <c r="AZ56" s="317">
        <f>SUMIF(Recibos!$D$4:$D$3010,Cobranza!$B56,Recibos!L$4:L$3010)</f>
        <v>400</v>
      </c>
      <c r="BA56" s="317">
        <f>SUMIF(Recibos!$D$4:$D$3010,Cobranza!$B56,Recibos!M$4:M$3010)</f>
        <v>400</v>
      </c>
      <c r="BB56" s="317">
        <f>SUMIF(Recibos!$D$4:$D$3010,Cobranza!$B56,Recibos!N$4:N$3010)</f>
        <v>400</v>
      </c>
      <c r="BC56" s="317">
        <f>SUMIF(Recibos!$D$4:$D$3010,Cobranza!$B56,Recibos!O$4:O$3010)</f>
        <v>400</v>
      </c>
      <c r="BD56" s="317">
        <f>SUMIF(Recibos!$D$4:$D$3010,Cobranza!$B56,Recibos!P$4:P$3010)</f>
        <v>400</v>
      </c>
      <c r="BE56" s="317">
        <f>SUMIF(Recibos!$D$4:$D$3010,Cobranza!$B56,Recibos!Q$4:Q$3010)</f>
        <v>400</v>
      </c>
      <c r="BF56" s="317">
        <f>SUMIF(Recibos!$D$4:$D$3010,Cobranza!$B56,Recibos!R$4:R$3010)</f>
        <v>400</v>
      </c>
      <c r="BG56" s="317">
        <f>SUMIF(Recibos!$D$4:$D$3010,Cobranza!$B56,Recibos!S$4:S$3010)</f>
        <v>400</v>
      </c>
      <c r="BH56" s="317">
        <f>SUMIF(Recibos!$D$4:$D$3010,Cobranza!$B56,Recibos!T$4:T$3010)</f>
        <v>400</v>
      </c>
      <c r="BI56" s="317">
        <f>SUMIF(Recibos!$D$4:$D$3010,Cobranza!$B56,Recibos!U$4:U$3010)</f>
        <v>400</v>
      </c>
      <c r="BJ56" s="317">
        <f>SUMIF(Recibos!$D$4:$D$3010,Cobranza!$B56,Recibos!V$4:V$3010)</f>
        <v>400</v>
      </c>
      <c r="BK56" s="318">
        <f t="shared" si="7"/>
        <v>4800</v>
      </c>
      <c r="BL56" s="317">
        <f>SUMIF(Recibos!$D$4:$D$3010,Cobranza!$B56,Recibos!X$4:X$3010)</f>
        <v>0</v>
      </c>
      <c r="BM56" s="317">
        <f>SUMIF(Recibos!$D$4:$D$3010,Cobranza!$B56,Recibos!Y$4:Y$3010)</f>
        <v>0</v>
      </c>
      <c r="BN56" s="317">
        <f>SUMIF(Recibos!$D$4:$D$3010,Cobranza!$B56,Recibos!Z$4:Z$3010)</f>
        <v>0</v>
      </c>
      <c r="BO56" s="317">
        <f>SUMIF(Recibos!$D$4:$D$3010,Cobranza!$B56,Recibos!AA$4:AA$3010)</f>
        <v>0</v>
      </c>
      <c r="BP56" s="317">
        <f>SUMIF(Recibos!$D$4:$D$3010,Cobranza!$B56,Recibos!AB$4:AB$3010)</f>
        <v>0</v>
      </c>
      <c r="BQ56" s="317">
        <f>SUMIF(Recibos!$D$4:$D$3010,Cobranza!$B56,Recibos!AC$4:AC$3010)</f>
        <v>0</v>
      </c>
      <c r="BR56" s="317">
        <f>SUMIF(Recibos!$D$4:$D$3010,Cobranza!$B56,Recibos!AD$4:AD$3010)</f>
        <v>0</v>
      </c>
      <c r="BS56" s="317">
        <f>SUMIF(Recibos!$D$4:$D$3010,Cobranza!$B56,Recibos!AE$4:AE$3010)</f>
        <v>0</v>
      </c>
      <c r="BT56" s="317">
        <f>SUMIF(Recibos!$D$4:$D$3010,Cobranza!$B56,Recibos!AF$4:AF$3010)</f>
        <v>0</v>
      </c>
      <c r="BU56" s="317">
        <f>SUMIF(Recibos!$D$4:$D$3010,Cobranza!$B56,Recibos!AG$4:AG$3010)</f>
        <v>0</v>
      </c>
      <c r="BV56" s="317">
        <f>SUMIF(Recibos!$D$4:$D$3010,Cobranza!$B56,Recibos!AH$4:AH$3010)</f>
        <v>0</v>
      </c>
      <c r="BW56" s="317">
        <f>SUMIF(Recibos!$D$4:$D$3010,Cobranza!$B56,Recibos!AI$4:AI$3010)</f>
        <v>0</v>
      </c>
      <c r="BX56" s="318">
        <f t="shared" si="8"/>
        <v>0</v>
      </c>
    </row>
    <row r="57" spans="2:76" x14ac:dyDescent="0.2">
      <c r="B57" s="45" t="s">
        <v>1076</v>
      </c>
      <c r="C57" s="45" t="s">
        <v>1077</v>
      </c>
      <c r="D57" s="45" t="s">
        <v>1078</v>
      </c>
      <c r="E57" s="46">
        <v>0</v>
      </c>
      <c r="F57" s="46">
        <v>0</v>
      </c>
      <c r="G57" s="46">
        <v>0</v>
      </c>
      <c r="H57" s="46">
        <v>0</v>
      </c>
      <c r="I57" s="46">
        <v>0</v>
      </c>
      <c r="J57" s="46">
        <v>0</v>
      </c>
      <c r="K57" s="47">
        <f t="shared" si="2"/>
        <v>0</v>
      </c>
      <c r="L57" s="46">
        <v>300</v>
      </c>
      <c r="M57" s="46">
        <v>300</v>
      </c>
      <c r="N57" s="46">
        <v>0</v>
      </c>
      <c r="O57" s="46">
        <v>0</v>
      </c>
      <c r="P57" s="46">
        <v>0</v>
      </c>
      <c r="Q57" s="46">
        <v>0</v>
      </c>
      <c r="R57" s="46">
        <v>0</v>
      </c>
      <c r="S57" s="46">
        <v>0</v>
      </c>
      <c r="T57" s="46">
        <v>0</v>
      </c>
      <c r="U57" s="46">
        <v>400</v>
      </c>
      <c r="V57" s="46">
        <v>400</v>
      </c>
      <c r="W57" s="46">
        <v>0</v>
      </c>
      <c r="X57" s="47">
        <f t="shared" si="3"/>
        <v>1400</v>
      </c>
      <c r="Y57" s="46">
        <v>400</v>
      </c>
      <c r="Z57" s="46">
        <v>400</v>
      </c>
      <c r="AA57" s="46">
        <v>400</v>
      </c>
      <c r="AB57" s="46">
        <v>0</v>
      </c>
      <c r="AC57" s="46">
        <v>0</v>
      </c>
      <c r="AD57" s="46">
        <v>0</v>
      </c>
      <c r="AE57" s="46">
        <v>0</v>
      </c>
      <c r="AF57" s="46">
        <v>0</v>
      </c>
      <c r="AG57" s="46">
        <v>0</v>
      </c>
      <c r="AH57" s="46">
        <v>0</v>
      </c>
      <c r="AI57" s="46">
        <v>0</v>
      </c>
      <c r="AJ57" s="46">
        <v>0</v>
      </c>
      <c r="AK57" s="47">
        <f t="shared" si="4"/>
        <v>1200</v>
      </c>
      <c r="AL57" s="46">
        <v>0</v>
      </c>
      <c r="AM57" s="46">
        <v>0</v>
      </c>
      <c r="AN57" s="46">
        <v>0</v>
      </c>
      <c r="AO57" s="46">
        <v>0</v>
      </c>
      <c r="AP57" s="46">
        <v>0</v>
      </c>
      <c r="AQ57" s="46">
        <v>0</v>
      </c>
      <c r="AR57" s="46">
        <v>0</v>
      </c>
      <c r="AS57" s="46">
        <v>0</v>
      </c>
      <c r="AT57" s="46">
        <v>0</v>
      </c>
      <c r="AU57" s="46">
        <v>0</v>
      </c>
      <c r="AV57" s="46">
        <v>0</v>
      </c>
      <c r="AW57" s="46">
        <v>0</v>
      </c>
      <c r="AX57" s="47">
        <f t="shared" si="6"/>
        <v>0</v>
      </c>
      <c r="AY57" s="319">
        <f>SUMIF(Recibos!$D$4:$D$3010,Cobranza!$B57,Recibos!K$4:K$3010)</f>
        <v>0</v>
      </c>
      <c r="AZ57" s="319">
        <f>SUMIF(Recibos!$D$4:$D$3010,Cobranza!$B57,Recibos!L$4:L$3010)</f>
        <v>0</v>
      </c>
      <c r="BA57" s="319">
        <f>SUMIF(Recibos!$D$4:$D$3010,Cobranza!$B57,Recibos!M$4:M$3010)</f>
        <v>0</v>
      </c>
      <c r="BB57" s="319">
        <f>SUMIF(Recibos!$D$4:$D$3010,Cobranza!$B57,Recibos!N$4:N$3010)</f>
        <v>0</v>
      </c>
      <c r="BC57" s="319">
        <f>SUMIF(Recibos!$D$4:$D$3010,Cobranza!$B57,Recibos!O$4:O$3010)</f>
        <v>0</v>
      </c>
      <c r="BD57" s="319">
        <f>SUMIF(Recibos!$D$4:$D$3010,Cobranza!$B57,Recibos!P$4:P$3010)</f>
        <v>0</v>
      </c>
      <c r="BE57" s="319">
        <f>SUMIF(Recibos!$D$4:$D$3010,Cobranza!$B57,Recibos!Q$4:Q$3010)</f>
        <v>400</v>
      </c>
      <c r="BF57" s="319">
        <f>SUMIF(Recibos!$D$4:$D$3010,Cobranza!$B57,Recibos!R$4:R$3010)</f>
        <v>0</v>
      </c>
      <c r="BG57" s="319">
        <f>SUMIF(Recibos!$D$4:$D$3010,Cobranza!$B57,Recibos!S$4:S$3010)</f>
        <v>0</v>
      </c>
      <c r="BH57" s="319">
        <f>SUMIF(Recibos!$D$4:$D$3010,Cobranza!$B57,Recibos!T$4:T$3010)</f>
        <v>0</v>
      </c>
      <c r="BI57" s="319">
        <f>SUMIF(Recibos!$D$4:$D$3010,Cobranza!$B57,Recibos!U$4:U$3010)</f>
        <v>0</v>
      </c>
      <c r="BJ57" s="319">
        <f>SUMIF(Recibos!$D$4:$D$3010,Cobranza!$B57,Recibos!V$4:V$3010)</f>
        <v>0</v>
      </c>
      <c r="BK57" s="320">
        <f t="shared" si="7"/>
        <v>400</v>
      </c>
      <c r="BL57" s="319">
        <f>SUMIF(Recibos!$D$4:$D$3010,Cobranza!$B57,Recibos!X$4:X$3010)</f>
        <v>0</v>
      </c>
      <c r="BM57" s="319">
        <f>SUMIF(Recibos!$D$4:$D$3010,Cobranza!$B57,Recibos!Y$4:Y$3010)</f>
        <v>0</v>
      </c>
      <c r="BN57" s="319">
        <f>SUMIF(Recibos!$D$4:$D$3010,Cobranza!$B57,Recibos!Z$4:Z$3010)</f>
        <v>0</v>
      </c>
      <c r="BO57" s="319">
        <f>SUMIF(Recibos!$D$4:$D$3010,Cobranza!$B57,Recibos!AA$4:AA$3010)</f>
        <v>0</v>
      </c>
      <c r="BP57" s="319">
        <f>SUMIF(Recibos!$D$4:$D$3010,Cobranza!$B57,Recibos!AB$4:AB$3010)</f>
        <v>0</v>
      </c>
      <c r="BQ57" s="319">
        <f>SUMIF(Recibos!$D$4:$D$3010,Cobranza!$B57,Recibos!AC$4:AC$3010)</f>
        <v>0</v>
      </c>
      <c r="BR57" s="319">
        <f>SUMIF(Recibos!$D$4:$D$3010,Cobranza!$B57,Recibos!AD$4:AD$3010)</f>
        <v>0</v>
      </c>
      <c r="BS57" s="319">
        <f>SUMIF(Recibos!$D$4:$D$3010,Cobranza!$B57,Recibos!AE$4:AE$3010)</f>
        <v>0</v>
      </c>
      <c r="BT57" s="319">
        <f>SUMIF(Recibos!$D$4:$D$3010,Cobranza!$B57,Recibos!AF$4:AF$3010)</f>
        <v>0</v>
      </c>
      <c r="BU57" s="319">
        <f>SUMIF(Recibos!$D$4:$D$3010,Cobranza!$B57,Recibos!AG$4:AG$3010)</f>
        <v>0</v>
      </c>
      <c r="BV57" s="319">
        <f>SUMIF(Recibos!$D$4:$D$3010,Cobranza!$B57,Recibos!AH$4:AH$3010)</f>
        <v>0</v>
      </c>
      <c r="BW57" s="319">
        <f>SUMIF(Recibos!$D$4:$D$3010,Cobranza!$B57,Recibos!AI$4:AI$3010)</f>
        <v>0</v>
      </c>
      <c r="BX57" s="320">
        <f t="shared" si="8"/>
        <v>0</v>
      </c>
    </row>
    <row r="58" spans="2:76" x14ac:dyDescent="0.2">
      <c r="B58" s="42" t="s">
        <v>464</v>
      </c>
      <c r="C58" s="42" t="s">
        <v>465</v>
      </c>
      <c r="D58" s="42" t="s">
        <v>466</v>
      </c>
      <c r="E58" s="43">
        <v>0</v>
      </c>
      <c r="F58" s="43">
        <v>0</v>
      </c>
      <c r="G58" s="43">
        <v>0</v>
      </c>
      <c r="H58" s="43">
        <v>0</v>
      </c>
      <c r="I58" s="43">
        <v>300</v>
      </c>
      <c r="J58" s="43">
        <v>300</v>
      </c>
      <c r="K58" s="44">
        <f t="shared" si="2"/>
        <v>600</v>
      </c>
      <c r="L58" s="43">
        <v>300</v>
      </c>
      <c r="M58" s="43">
        <v>300</v>
      </c>
      <c r="N58" s="43">
        <v>0</v>
      </c>
      <c r="O58" s="43">
        <v>0</v>
      </c>
      <c r="P58" s="43">
        <v>0</v>
      </c>
      <c r="Q58" s="43">
        <v>0</v>
      </c>
      <c r="R58" s="43">
        <v>0</v>
      </c>
      <c r="S58" s="43">
        <v>0</v>
      </c>
      <c r="T58" s="43">
        <v>0</v>
      </c>
      <c r="U58" s="43">
        <v>0</v>
      </c>
      <c r="V58" s="43">
        <v>0</v>
      </c>
      <c r="W58" s="43">
        <v>0</v>
      </c>
      <c r="X58" s="44">
        <f t="shared" si="3"/>
        <v>600</v>
      </c>
      <c r="Y58" s="43">
        <v>0</v>
      </c>
      <c r="Z58" s="43">
        <v>0</v>
      </c>
      <c r="AA58" s="43">
        <v>0</v>
      </c>
      <c r="AB58" s="43">
        <v>200</v>
      </c>
      <c r="AC58" s="43">
        <v>200</v>
      </c>
      <c r="AD58" s="43">
        <v>200</v>
      </c>
      <c r="AE58" s="43">
        <v>200</v>
      </c>
      <c r="AF58" s="43">
        <v>200</v>
      </c>
      <c r="AG58" s="43">
        <v>200</v>
      </c>
      <c r="AH58" s="43">
        <v>200</v>
      </c>
      <c r="AI58" s="43">
        <v>200</v>
      </c>
      <c r="AJ58" s="43">
        <v>200</v>
      </c>
      <c r="AK58" s="44">
        <f t="shared" si="4"/>
        <v>1800</v>
      </c>
      <c r="AL58" s="43">
        <v>200</v>
      </c>
      <c r="AM58" s="43">
        <v>200</v>
      </c>
      <c r="AN58" s="43">
        <v>200</v>
      </c>
      <c r="AO58" s="43">
        <v>200</v>
      </c>
      <c r="AP58" s="43">
        <v>200</v>
      </c>
      <c r="AQ58" s="43">
        <v>200</v>
      </c>
      <c r="AR58" s="43">
        <v>200</v>
      </c>
      <c r="AS58" s="43">
        <v>200</v>
      </c>
      <c r="AT58" s="43">
        <v>200</v>
      </c>
      <c r="AU58" s="43">
        <v>200</v>
      </c>
      <c r="AV58" s="43">
        <v>200</v>
      </c>
      <c r="AW58" s="43">
        <v>200</v>
      </c>
      <c r="AX58" s="44">
        <f t="shared" si="6"/>
        <v>2400</v>
      </c>
      <c r="AY58" s="317">
        <f>SUMIF(Recibos!$D$4:$D$3010,Cobranza!$B58,Recibos!K$4:K$3010)</f>
        <v>200</v>
      </c>
      <c r="AZ58" s="317">
        <f>SUMIF(Recibos!$D$4:$D$3010,Cobranza!$B58,Recibos!L$4:L$3010)</f>
        <v>200</v>
      </c>
      <c r="BA58" s="317">
        <f>SUMIF(Recibos!$D$4:$D$3010,Cobranza!$B58,Recibos!M$4:M$3010)</f>
        <v>200</v>
      </c>
      <c r="BB58" s="317">
        <f>SUMIF(Recibos!$D$4:$D$3010,Cobranza!$B58,Recibos!N$4:N$3010)</f>
        <v>200</v>
      </c>
      <c r="BC58" s="317">
        <f>SUMIF(Recibos!$D$4:$D$3010,Cobranza!$B58,Recibos!O$4:O$3010)</f>
        <v>200</v>
      </c>
      <c r="BD58" s="317">
        <f>SUMIF(Recibos!$D$4:$D$3010,Cobranza!$B58,Recibos!P$4:P$3010)</f>
        <v>200</v>
      </c>
      <c r="BE58" s="317">
        <f>SUMIF(Recibos!$D$4:$D$3010,Cobranza!$B58,Recibos!Q$4:Q$3010)</f>
        <v>200</v>
      </c>
      <c r="BF58" s="317">
        <f>SUMIF(Recibos!$D$4:$D$3010,Cobranza!$B58,Recibos!R$4:R$3010)</f>
        <v>200</v>
      </c>
      <c r="BG58" s="317">
        <f>SUMIF(Recibos!$D$4:$D$3010,Cobranza!$B58,Recibos!S$4:S$3010)</f>
        <v>200</v>
      </c>
      <c r="BH58" s="317">
        <f>SUMIF(Recibos!$D$4:$D$3010,Cobranza!$B58,Recibos!T$4:T$3010)</f>
        <v>200</v>
      </c>
      <c r="BI58" s="317">
        <f>SUMIF(Recibos!$D$4:$D$3010,Cobranza!$B58,Recibos!U$4:U$3010)</f>
        <v>200</v>
      </c>
      <c r="BJ58" s="317">
        <f>SUMIF(Recibos!$D$4:$D$3010,Cobranza!$B58,Recibos!V$4:V$3010)</f>
        <v>200</v>
      </c>
      <c r="BK58" s="318">
        <f t="shared" si="7"/>
        <v>2400</v>
      </c>
      <c r="BL58" s="317">
        <f>SUMIF(Recibos!$D$4:$D$3010,Cobranza!$B58,Recibos!X$4:X$3010)</f>
        <v>0</v>
      </c>
      <c r="BM58" s="317">
        <f>SUMIF(Recibos!$D$4:$D$3010,Cobranza!$B58,Recibos!Y$4:Y$3010)</f>
        <v>0</v>
      </c>
      <c r="BN58" s="317">
        <f>SUMIF(Recibos!$D$4:$D$3010,Cobranza!$B58,Recibos!Z$4:Z$3010)</f>
        <v>0</v>
      </c>
      <c r="BO58" s="317">
        <f>SUMIF(Recibos!$D$4:$D$3010,Cobranza!$B58,Recibos!AA$4:AA$3010)</f>
        <v>0</v>
      </c>
      <c r="BP58" s="317">
        <f>SUMIF(Recibos!$D$4:$D$3010,Cobranza!$B58,Recibos!AB$4:AB$3010)</f>
        <v>0</v>
      </c>
      <c r="BQ58" s="317">
        <f>SUMIF(Recibos!$D$4:$D$3010,Cobranza!$B58,Recibos!AC$4:AC$3010)</f>
        <v>0</v>
      </c>
      <c r="BR58" s="317">
        <f>SUMIF(Recibos!$D$4:$D$3010,Cobranza!$B58,Recibos!AD$4:AD$3010)</f>
        <v>0</v>
      </c>
      <c r="BS58" s="317">
        <f>SUMIF(Recibos!$D$4:$D$3010,Cobranza!$B58,Recibos!AE$4:AE$3010)</f>
        <v>0</v>
      </c>
      <c r="BT58" s="317">
        <f>SUMIF(Recibos!$D$4:$D$3010,Cobranza!$B58,Recibos!AF$4:AF$3010)</f>
        <v>0</v>
      </c>
      <c r="BU58" s="317">
        <f>SUMIF(Recibos!$D$4:$D$3010,Cobranza!$B58,Recibos!AG$4:AG$3010)</f>
        <v>0</v>
      </c>
      <c r="BV58" s="317">
        <f>SUMIF(Recibos!$D$4:$D$3010,Cobranza!$B58,Recibos!AH$4:AH$3010)</f>
        <v>0</v>
      </c>
      <c r="BW58" s="317">
        <f>SUMIF(Recibos!$D$4:$D$3010,Cobranza!$B58,Recibos!AI$4:AI$3010)</f>
        <v>0</v>
      </c>
      <c r="BX58" s="318">
        <f t="shared" si="8"/>
        <v>0</v>
      </c>
    </row>
    <row r="59" spans="2:76" x14ac:dyDescent="0.2">
      <c r="B59" s="45" t="s">
        <v>825</v>
      </c>
      <c r="C59" s="45" t="s">
        <v>826</v>
      </c>
      <c r="D59" s="45" t="s">
        <v>827</v>
      </c>
      <c r="E59" s="46">
        <v>0</v>
      </c>
      <c r="F59" s="46">
        <v>0</v>
      </c>
      <c r="G59" s="46">
        <v>0</v>
      </c>
      <c r="H59" s="46">
        <v>0</v>
      </c>
      <c r="I59" s="46">
        <v>0</v>
      </c>
      <c r="J59" s="46">
        <v>0</v>
      </c>
      <c r="K59" s="47">
        <f t="shared" si="2"/>
        <v>0</v>
      </c>
      <c r="L59" s="46">
        <v>0</v>
      </c>
      <c r="M59" s="46">
        <v>0</v>
      </c>
      <c r="N59" s="46">
        <v>0</v>
      </c>
      <c r="O59" s="46">
        <v>0</v>
      </c>
      <c r="P59" s="46">
        <v>0</v>
      </c>
      <c r="Q59" s="46">
        <v>0</v>
      </c>
      <c r="R59" s="46">
        <v>0</v>
      </c>
      <c r="S59" s="46">
        <v>0</v>
      </c>
      <c r="T59" s="46">
        <v>0</v>
      </c>
      <c r="U59" s="46">
        <v>0</v>
      </c>
      <c r="V59" s="46">
        <v>0</v>
      </c>
      <c r="W59" s="46">
        <v>0</v>
      </c>
      <c r="X59" s="47">
        <f t="shared" si="3"/>
        <v>0</v>
      </c>
      <c r="Y59" s="46">
        <v>0</v>
      </c>
      <c r="Z59" s="46">
        <v>0</v>
      </c>
      <c r="AA59" s="46">
        <v>0</v>
      </c>
      <c r="AB59" s="46">
        <v>0</v>
      </c>
      <c r="AC59" s="46">
        <v>0</v>
      </c>
      <c r="AD59" s="46">
        <v>0</v>
      </c>
      <c r="AE59" s="46">
        <v>0</v>
      </c>
      <c r="AF59" s="46">
        <v>0</v>
      </c>
      <c r="AG59" s="46">
        <v>0</v>
      </c>
      <c r="AH59" s="46">
        <v>0</v>
      </c>
      <c r="AI59" s="46">
        <v>400</v>
      </c>
      <c r="AJ59" s="46">
        <v>0</v>
      </c>
      <c r="AK59" s="47">
        <f t="shared" si="4"/>
        <v>400</v>
      </c>
      <c r="AL59" s="46">
        <v>0</v>
      </c>
      <c r="AM59" s="46">
        <v>0</v>
      </c>
      <c r="AN59" s="46">
        <v>0</v>
      </c>
      <c r="AO59" s="46">
        <v>0</v>
      </c>
      <c r="AP59" s="46">
        <v>0</v>
      </c>
      <c r="AQ59" s="46">
        <v>0</v>
      </c>
      <c r="AR59" s="46">
        <v>0</v>
      </c>
      <c r="AS59" s="46">
        <v>0</v>
      </c>
      <c r="AT59" s="46">
        <v>0</v>
      </c>
      <c r="AU59" s="46">
        <v>0</v>
      </c>
      <c r="AV59" s="46">
        <v>0</v>
      </c>
      <c r="AW59" s="46">
        <v>0</v>
      </c>
      <c r="AX59" s="47">
        <f t="shared" si="6"/>
        <v>0</v>
      </c>
      <c r="AY59" s="319">
        <f>SUMIF(Recibos!$D$4:$D$3010,Cobranza!$B59,Recibos!K$4:K$3010)</f>
        <v>0</v>
      </c>
      <c r="AZ59" s="319">
        <f>SUMIF(Recibos!$D$4:$D$3010,Cobranza!$B59,Recibos!L$4:L$3010)</f>
        <v>0</v>
      </c>
      <c r="BA59" s="319">
        <f>SUMIF(Recibos!$D$4:$D$3010,Cobranza!$B59,Recibos!M$4:M$3010)</f>
        <v>400</v>
      </c>
      <c r="BB59" s="319">
        <f>SUMIF(Recibos!$D$4:$D$3010,Cobranza!$B59,Recibos!N$4:N$3010)</f>
        <v>400</v>
      </c>
      <c r="BC59" s="319">
        <f>SUMIF(Recibos!$D$4:$D$3010,Cobranza!$B59,Recibos!O$4:O$3010)</f>
        <v>0</v>
      </c>
      <c r="BD59" s="319">
        <f>SUMIF(Recibos!$D$4:$D$3010,Cobranza!$B59,Recibos!P$4:P$3010)</f>
        <v>0</v>
      </c>
      <c r="BE59" s="319">
        <f>SUMIF(Recibos!$D$4:$D$3010,Cobranza!$B59,Recibos!Q$4:Q$3010)</f>
        <v>0</v>
      </c>
      <c r="BF59" s="319">
        <f>SUMIF(Recibos!$D$4:$D$3010,Cobranza!$B59,Recibos!R$4:R$3010)</f>
        <v>0</v>
      </c>
      <c r="BG59" s="319">
        <f>SUMIF(Recibos!$D$4:$D$3010,Cobranza!$B59,Recibos!S$4:S$3010)</f>
        <v>0</v>
      </c>
      <c r="BH59" s="319">
        <f>SUMIF(Recibos!$D$4:$D$3010,Cobranza!$B59,Recibos!T$4:T$3010)</f>
        <v>0</v>
      </c>
      <c r="BI59" s="319">
        <f>SUMIF(Recibos!$D$4:$D$3010,Cobranza!$B59,Recibos!U$4:U$3010)</f>
        <v>0</v>
      </c>
      <c r="BJ59" s="319">
        <f>SUMIF(Recibos!$D$4:$D$3010,Cobranza!$B59,Recibos!V$4:V$3010)</f>
        <v>0</v>
      </c>
      <c r="BK59" s="320">
        <f t="shared" si="7"/>
        <v>800</v>
      </c>
      <c r="BL59" s="319">
        <f>SUMIF(Recibos!$D$4:$D$3010,Cobranza!$B59,Recibos!X$4:X$3010)</f>
        <v>0</v>
      </c>
      <c r="BM59" s="319">
        <f>SUMIF(Recibos!$D$4:$D$3010,Cobranza!$B59,Recibos!Y$4:Y$3010)</f>
        <v>0</v>
      </c>
      <c r="BN59" s="319">
        <f>SUMIF(Recibos!$D$4:$D$3010,Cobranza!$B59,Recibos!Z$4:Z$3010)</f>
        <v>0</v>
      </c>
      <c r="BO59" s="319">
        <f>SUMIF(Recibos!$D$4:$D$3010,Cobranza!$B59,Recibos!AA$4:AA$3010)</f>
        <v>0</v>
      </c>
      <c r="BP59" s="319">
        <f>SUMIF(Recibos!$D$4:$D$3010,Cobranza!$B59,Recibos!AB$4:AB$3010)</f>
        <v>0</v>
      </c>
      <c r="BQ59" s="319">
        <f>SUMIF(Recibos!$D$4:$D$3010,Cobranza!$B59,Recibos!AC$4:AC$3010)</f>
        <v>0</v>
      </c>
      <c r="BR59" s="319">
        <f>SUMIF(Recibos!$D$4:$D$3010,Cobranza!$B59,Recibos!AD$4:AD$3010)</f>
        <v>0</v>
      </c>
      <c r="BS59" s="319">
        <f>SUMIF(Recibos!$D$4:$D$3010,Cobranza!$B59,Recibos!AE$4:AE$3010)</f>
        <v>0</v>
      </c>
      <c r="BT59" s="319">
        <f>SUMIF(Recibos!$D$4:$D$3010,Cobranza!$B59,Recibos!AF$4:AF$3010)</f>
        <v>0</v>
      </c>
      <c r="BU59" s="319">
        <f>SUMIF(Recibos!$D$4:$D$3010,Cobranza!$B59,Recibos!AG$4:AG$3010)</f>
        <v>0</v>
      </c>
      <c r="BV59" s="319">
        <f>SUMIF(Recibos!$D$4:$D$3010,Cobranza!$B59,Recibos!AH$4:AH$3010)</f>
        <v>0</v>
      </c>
      <c r="BW59" s="319">
        <f>SUMIF(Recibos!$D$4:$D$3010,Cobranza!$B59,Recibos!AI$4:AI$3010)</f>
        <v>0</v>
      </c>
      <c r="BX59" s="320">
        <f t="shared" si="8"/>
        <v>0</v>
      </c>
    </row>
    <row r="60" spans="2:76" x14ac:dyDescent="0.2">
      <c r="B60" s="42" t="s">
        <v>1281</v>
      </c>
      <c r="C60" s="42" t="s">
        <v>1282</v>
      </c>
      <c r="D60" s="42"/>
      <c r="E60" s="43">
        <v>0</v>
      </c>
      <c r="F60" s="43">
        <v>0</v>
      </c>
      <c r="G60" s="43">
        <v>0</v>
      </c>
      <c r="H60" s="43">
        <v>0</v>
      </c>
      <c r="I60" s="43">
        <v>0</v>
      </c>
      <c r="J60" s="43">
        <v>0</v>
      </c>
      <c r="K60" s="44">
        <f t="shared" si="2"/>
        <v>0</v>
      </c>
      <c r="L60" s="43">
        <v>0</v>
      </c>
      <c r="M60" s="43">
        <v>0</v>
      </c>
      <c r="N60" s="43">
        <v>0</v>
      </c>
      <c r="O60" s="43">
        <v>0</v>
      </c>
      <c r="P60" s="43">
        <v>0</v>
      </c>
      <c r="Q60" s="43">
        <v>0</v>
      </c>
      <c r="R60" s="43">
        <v>0</v>
      </c>
      <c r="S60" s="43">
        <v>0</v>
      </c>
      <c r="T60" s="43">
        <v>0</v>
      </c>
      <c r="U60" s="43">
        <v>0</v>
      </c>
      <c r="V60" s="43">
        <v>0</v>
      </c>
      <c r="W60" s="43">
        <v>0</v>
      </c>
      <c r="X60" s="44">
        <f t="shared" si="3"/>
        <v>0</v>
      </c>
      <c r="Y60" s="43">
        <v>0</v>
      </c>
      <c r="Z60" s="43">
        <v>0</v>
      </c>
      <c r="AA60" s="43">
        <v>0</v>
      </c>
      <c r="AB60" s="43">
        <v>0</v>
      </c>
      <c r="AC60" s="43">
        <v>0</v>
      </c>
      <c r="AD60" s="43">
        <v>0</v>
      </c>
      <c r="AE60" s="43">
        <v>0</v>
      </c>
      <c r="AF60" s="43">
        <v>0</v>
      </c>
      <c r="AG60" s="43">
        <v>0</v>
      </c>
      <c r="AH60" s="43">
        <v>200</v>
      </c>
      <c r="AI60" s="43">
        <v>0</v>
      </c>
      <c r="AJ60" s="43">
        <v>0</v>
      </c>
      <c r="AK60" s="44">
        <f t="shared" si="4"/>
        <v>200</v>
      </c>
      <c r="AL60" s="43">
        <v>0</v>
      </c>
      <c r="AM60" s="43">
        <v>0</v>
      </c>
      <c r="AN60" s="43">
        <v>0</v>
      </c>
      <c r="AO60" s="43">
        <v>0</v>
      </c>
      <c r="AP60" s="43">
        <v>0</v>
      </c>
      <c r="AQ60" s="43">
        <v>0</v>
      </c>
      <c r="AR60" s="43">
        <v>0</v>
      </c>
      <c r="AS60" s="43">
        <v>0</v>
      </c>
      <c r="AT60" s="43">
        <v>0</v>
      </c>
      <c r="AU60" s="43">
        <v>0</v>
      </c>
      <c r="AV60" s="43">
        <v>0</v>
      </c>
      <c r="AW60" s="43">
        <v>0</v>
      </c>
      <c r="AX60" s="44">
        <f t="shared" si="6"/>
        <v>0</v>
      </c>
      <c r="AY60" s="317">
        <f>SUMIF(Recibos!$D$4:$D$3010,Cobranza!$B60,Recibos!K$4:K$3010)</f>
        <v>0</v>
      </c>
      <c r="AZ60" s="317">
        <f>SUMIF(Recibos!$D$4:$D$3010,Cobranza!$B60,Recibos!L$4:L$3010)</f>
        <v>0</v>
      </c>
      <c r="BA60" s="317">
        <f>SUMIF(Recibos!$D$4:$D$3010,Cobranza!$B60,Recibos!M$4:M$3010)</f>
        <v>0</v>
      </c>
      <c r="BB60" s="317">
        <f>SUMIF(Recibos!$D$4:$D$3010,Cobranza!$B60,Recibos!N$4:N$3010)</f>
        <v>0</v>
      </c>
      <c r="BC60" s="317">
        <f>SUMIF(Recibos!$D$4:$D$3010,Cobranza!$B60,Recibos!O$4:O$3010)</f>
        <v>0</v>
      </c>
      <c r="BD60" s="317">
        <f>SUMIF(Recibos!$D$4:$D$3010,Cobranza!$B60,Recibos!P$4:P$3010)</f>
        <v>0</v>
      </c>
      <c r="BE60" s="317">
        <f>SUMIF(Recibos!$D$4:$D$3010,Cobranza!$B60,Recibos!Q$4:Q$3010)</f>
        <v>0</v>
      </c>
      <c r="BF60" s="317">
        <f>SUMIF(Recibos!$D$4:$D$3010,Cobranza!$B60,Recibos!R$4:R$3010)</f>
        <v>0</v>
      </c>
      <c r="BG60" s="317">
        <f>SUMIF(Recibos!$D$4:$D$3010,Cobranza!$B60,Recibos!S$4:S$3010)</f>
        <v>0</v>
      </c>
      <c r="BH60" s="317">
        <f>SUMIF(Recibos!$D$4:$D$3010,Cobranza!$B60,Recibos!T$4:T$3010)</f>
        <v>0</v>
      </c>
      <c r="BI60" s="317">
        <f>SUMIF(Recibos!$D$4:$D$3010,Cobranza!$B60,Recibos!U$4:U$3010)</f>
        <v>0</v>
      </c>
      <c r="BJ60" s="317">
        <f>SUMIF(Recibos!$D$4:$D$3010,Cobranza!$B60,Recibos!V$4:V$3010)</f>
        <v>0</v>
      </c>
      <c r="BK60" s="318">
        <f t="shared" si="7"/>
        <v>0</v>
      </c>
      <c r="BL60" s="317">
        <f>SUMIF(Recibos!$D$4:$D$3010,Cobranza!$B60,Recibos!X$4:X$3010)</f>
        <v>0</v>
      </c>
      <c r="BM60" s="317">
        <f>SUMIF(Recibos!$D$4:$D$3010,Cobranza!$B60,Recibos!Y$4:Y$3010)</f>
        <v>0</v>
      </c>
      <c r="BN60" s="317">
        <f>SUMIF(Recibos!$D$4:$D$3010,Cobranza!$B60,Recibos!Z$4:Z$3010)</f>
        <v>0</v>
      </c>
      <c r="BO60" s="317">
        <f>SUMIF(Recibos!$D$4:$D$3010,Cobranza!$B60,Recibos!AA$4:AA$3010)</f>
        <v>0</v>
      </c>
      <c r="BP60" s="317">
        <f>SUMIF(Recibos!$D$4:$D$3010,Cobranza!$B60,Recibos!AB$4:AB$3010)</f>
        <v>0</v>
      </c>
      <c r="BQ60" s="317">
        <f>SUMIF(Recibos!$D$4:$D$3010,Cobranza!$B60,Recibos!AC$4:AC$3010)</f>
        <v>0</v>
      </c>
      <c r="BR60" s="317">
        <f>SUMIF(Recibos!$D$4:$D$3010,Cobranza!$B60,Recibos!AD$4:AD$3010)</f>
        <v>0</v>
      </c>
      <c r="BS60" s="317">
        <f>SUMIF(Recibos!$D$4:$D$3010,Cobranza!$B60,Recibos!AE$4:AE$3010)</f>
        <v>0</v>
      </c>
      <c r="BT60" s="317">
        <f>SUMIF(Recibos!$D$4:$D$3010,Cobranza!$B60,Recibos!AF$4:AF$3010)</f>
        <v>0</v>
      </c>
      <c r="BU60" s="317">
        <f>SUMIF(Recibos!$D$4:$D$3010,Cobranza!$B60,Recibos!AG$4:AG$3010)</f>
        <v>0</v>
      </c>
      <c r="BV60" s="317">
        <f>SUMIF(Recibos!$D$4:$D$3010,Cobranza!$B60,Recibos!AH$4:AH$3010)</f>
        <v>0</v>
      </c>
      <c r="BW60" s="317">
        <f>SUMIF(Recibos!$D$4:$D$3010,Cobranza!$B60,Recibos!AI$4:AI$3010)</f>
        <v>0</v>
      </c>
      <c r="BX60" s="318">
        <f t="shared" si="8"/>
        <v>0</v>
      </c>
    </row>
    <row r="61" spans="2:76" x14ac:dyDescent="0.2">
      <c r="B61" s="45" t="s">
        <v>658</v>
      </c>
      <c r="C61" s="45" t="s">
        <v>659</v>
      </c>
      <c r="D61" s="45" t="s">
        <v>892</v>
      </c>
      <c r="E61" s="46">
        <v>0</v>
      </c>
      <c r="F61" s="46">
        <v>0</v>
      </c>
      <c r="G61" s="46">
        <v>0</v>
      </c>
      <c r="H61" s="46">
        <v>0</v>
      </c>
      <c r="I61" s="46">
        <v>0</v>
      </c>
      <c r="J61" s="46">
        <v>300</v>
      </c>
      <c r="K61" s="47">
        <f t="shared" si="2"/>
        <v>300</v>
      </c>
      <c r="L61" s="46">
        <v>300</v>
      </c>
      <c r="M61" s="46">
        <v>300</v>
      </c>
      <c r="N61" s="46">
        <v>300</v>
      </c>
      <c r="O61" s="46">
        <v>300</v>
      </c>
      <c r="P61" s="46">
        <v>300</v>
      </c>
      <c r="Q61" s="46">
        <v>300</v>
      </c>
      <c r="R61" s="46">
        <v>300</v>
      </c>
      <c r="S61" s="46">
        <v>300</v>
      </c>
      <c r="T61" s="46">
        <v>300</v>
      </c>
      <c r="U61" s="46">
        <v>300</v>
      </c>
      <c r="V61" s="46">
        <v>300</v>
      </c>
      <c r="W61" s="46">
        <v>300</v>
      </c>
      <c r="X61" s="47">
        <f t="shared" si="3"/>
        <v>3600</v>
      </c>
      <c r="Y61" s="46">
        <v>350</v>
      </c>
      <c r="Z61" s="46">
        <v>350</v>
      </c>
      <c r="AA61" s="46">
        <v>350</v>
      </c>
      <c r="AB61" s="46">
        <v>350</v>
      </c>
      <c r="AC61" s="46">
        <v>350</v>
      </c>
      <c r="AD61" s="46">
        <v>350</v>
      </c>
      <c r="AE61" s="46">
        <v>350</v>
      </c>
      <c r="AF61" s="46">
        <v>0</v>
      </c>
      <c r="AG61" s="46">
        <v>350</v>
      </c>
      <c r="AH61" s="46">
        <v>700</v>
      </c>
      <c r="AI61" s="46">
        <v>350</v>
      </c>
      <c r="AJ61" s="46">
        <v>350</v>
      </c>
      <c r="AK61" s="47">
        <f t="shared" si="4"/>
        <v>4200</v>
      </c>
      <c r="AL61" s="46">
        <v>350</v>
      </c>
      <c r="AM61" s="46">
        <v>350</v>
      </c>
      <c r="AN61" s="46">
        <v>350</v>
      </c>
      <c r="AO61" s="46">
        <v>350</v>
      </c>
      <c r="AP61" s="46">
        <v>350</v>
      </c>
      <c r="AQ61" s="46">
        <v>350</v>
      </c>
      <c r="AR61" s="46">
        <v>350</v>
      </c>
      <c r="AS61" s="46">
        <v>350</v>
      </c>
      <c r="AT61" s="46">
        <v>350</v>
      </c>
      <c r="AU61" s="46">
        <v>350</v>
      </c>
      <c r="AV61" s="46">
        <v>350</v>
      </c>
      <c r="AW61" s="46">
        <v>350</v>
      </c>
      <c r="AX61" s="47">
        <f t="shared" si="6"/>
        <v>4200</v>
      </c>
      <c r="AY61" s="319">
        <f>SUMIF(Recibos!$D$4:$D$3010,Cobranza!$B61,Recibos!K$4:K$3010)</f>
        <v>350</v>
      </c>
      <c r="AZ61" s="319">
        <f>SUMIF(Recibos!$D$4:$D$3010,Cobranza!$B61,Recibos!L$4:L$3010)</f>
        <v>350</v>
      </c>
      <c r="BA61" s="319">
        <f>SUMIF(Recibos!$D$4:$D$3010,Cobranza!$B61,Recibos!M$4:M$3010)</f>
        <v>350</v>
      </c>
      <c r="BB61" s="319">
        <f>SUMIF(Recibos!$D$4:$D$3010,Cobranza!$B61,Recibos!N$4:N$3010)</f>
        <v>350</v>
      </c>
      <c r="BC61" s="319">
        <f>SUMIF(Recibos!$D$4:$D$3010,Cobranza!$B61,Recibos!O$4:O$3010)</f>
        <v>400</v>
      </c>
      <c r="BD61" s="319">
        <f>SUMIF(Recibos!$D$4:$D$3010,Cobranza!$B61,Recibos!P$4:P$3010)</f>
        <v>400</v>
      </c>
      <c r="BE61" s="319">
        <f>SUMIF(Recibos!$D$4:$D$3010,Cobranza!$B61,Recibos!Q$4:Q$3010)</f>
        <v>400</v>
      </c>
      <c r="BF61" s="319">
        <f>SUMIF(Recibos!$D$4:$D$3010,Cobranza!$B61,Recibos!R$4:R$3010)</f>
        <v>400</v>
      </c>
      <c r="BG61" s="319">
        <f>SUMIF(Recibos!$D$4:$D$3010,Cobranza!$B61,Recibos!S$4:S$3010)</f>
        <v>400</v>
      </c>
      <c r="BH61" s="319">
        <f>SUMIF(Recibos!$D$4:$D$3010,Cobranza!$B61,Recibos!T$4:T$3010)</f>
        <v>400</v>
      </c>
      <c r="BI61" s="319">
        <f>SUMIF(Recibos!$D$4:$D$3010,Cobranza!$B61,Recibos!U$4:U$3010)</f>
        <v>400</v>
      </c>
      <c r="BJ61" s="319">
        <f>SUMIF(Recibos!$D$4:$D$3010,Cobranza!$B61,Recibos!V$4:V$3010)</f>
        <v>400</v>
      </c>
      <c r="BK61" s="320">
        <f t="shared" si="7"/>
        <v>4600</v>
      </c>
      <c r="BL61" s="319">
        <f>SUMIF(Recibos!$D$4:$D$3010,Cobranza!$B61,Recibos!X$4:X$3010)</f>
        <v>0</v>
      </c>
      <c r="BM61" s="319">
        <f>SUMIF(Recibos!$D$4:$D$3010,Cobranza!$B61,Recibos!Y$4:Y$3010)</f>
        <v>0</v>
      </c>
      <c r="BN61" s="319">
        <f>SUMIF(Recibos!$D$4:$D$3010,Cobranza!$B61,Recibos!Z$4:Z$3010)</f>
        <v>0</v>
      </c>
      <c r="BO61" s="319">
        <f>SUMIF(Recibos!$D$4:$D$3010,Cobranza!$B61,Recibos!AA$4:AA$3010)</f>
        <v>0</v>
      </c>
      <c r="BP61" s="319">
        <f>SUMIF(Recibos!$D$4:$D$3010,Cobranza!$B61,Recibos!AB$4:AB$3010)</f>
        <v>0</v>
      </c>
      <c r="BQ61" s="319">
        <f>SUMIF(Recibos!$D$4:$D$3010,Cobranza!$B61,Recibos!AC$4:AC$3010)</f>
        <v>0</v>
      </c>
      <c r="BR61" s="319">
        <f>SUMIF(Recibos!$D$4:$D$3010,Cobranza!$B61,Recibos!AD$4:AD$3010)</f>
        <v>0</v>
      </c>
      <c r="BS61" s="319">
        <f>SUMIF(Recibos!$D$4:$D$3010,Cobranza!$B61,Recibos!AE$4:AE$3010)</f>
        <v>0</v>
      </c>
      <c r="BT61" s="319">
        <f>SUMIF(Recibos!$D$4:$D$3010,Cobranza!$B61,Recibos!AF$4:AF$3010)</f>
        <v>0</v>
      </c>
      <c r="BU61" s="319">
        <f>SUMIF(Recibos!$D$4:$D$3010,Cobranza!$B61,Recibos!AG$4:AG$3010)</f>
        <v>0</v>
      </c>
      <c r="BV61" s="319">
        <f>SUMIF(Recibos!$D$4:$D$3010,Cobranza!$B61,Recibos!AH$4:AH$3010)</f>
        <v>0</v>
      </c>
      <c r="BW61" s="319">
        <f>SUMIF(Recibos!$D$4:$D$3010,Cobranza!$B61,Recibos!AI$4:AI$3010)</f>
        <v>0</v>
      </c>
      <c r="BX61" s="320">
        <f t="shared" si="8"/>
        <v>0</v>
      </c>
    </row>
    <row r="62" spans="2:76" x14ac:dyDescent="0.2">
      <c r="B62" s="42" t="s">
        <v>171</v>
      </c>
      <c r="C62" s="42" t="s">
        <v>172</v>
      </c>
      <c r="D62" s="42" t="s">
        <v>173</v>
      </c>
      <c r="E62" s="43">
        <v>0</v>
      </c>
      <c r="F62" s="43">
        <v>0</v>
      </c>
      <c r="G62" s="43">
        <v>0</v>
      </c>
      <c r="H62" s="43">
        <v>0</v>
      </c>
      <c r="I62" s="43">
        <v>0</v>
      </c>
      <c r="J62" s="43">
        <v>300</v>
      </c>
      <c r="K62" s="44">
        <f t="shared" si="2"/>
        <v>300</v>
      </c>
      <c r="L62" s="43">
        <v>300</v>
      </c>
      <c r="M62" s="43">
        <v>300</v>
      </c>
      <c r="N62" s="43">
        <v>300</v>
      </c>
      <c r="O62" s="43">
        <v>300</v>
      </c>
      <c r="P62" s="43">
        <v>300</v>
      </c>
      <c r="Q62" s="43">
        <v>0</v>
      </c>
      <c r="R62" s="43">
        <v>300</v>
      </c>
      <c r="S62" s="43">
        <v>300</v>
      </c>
      <c r="T62" s="43">
        <v>300</v>
      </c>
      <c r="U62" s="43">
        <v>400</v>
      </c>
      <c r="V62" s="43">
        <v>400</v>
      </c>
      <c r="W62" s="43">
        <v>400</v>
      </c>
      <c r="X62" s="44">
        <f t="shared" si="3"/>
        <v>3600</v>
      </c>
      <c r="Y62" s="43">
        <v>400</v>
      </c>
      <c r="Z62" s="43">
        <v>400</v>
      </c>
      <c r="AA62" s="43">
        <v>400</v>
      </c>
      <c r="AB62" s="43">
        <v>400</v>
      </c>
      <c r="AC62" s="43">
        <v>400</v>
      </c>
      <c r="AD62" s="43">
        <v>400</v>
      </c>
      <c r="AE62" s="43">
        <v>400</v>
      </c>
      <c r="AF62" s="43">
        <v>400</v>
      </c>
      <c r="AG62" s="43">
        <v>400</v>
      </c>
      <c r="AH62" s="43">
        <v>400</v>
      </c>
      <c r="AI62" s="43">
        <v>400</v>
      </c>
      <c r="AJ62" s="43">
        <v>400</v>
      </c>
      <c r="AK62" s="44">
        <f t="shared" si="4"/>
        <v>4800</v>
      </c>
      <c r="AL62" s="43">
        <v>400</v>
      </c>
      <c r="AM62" s="43">
        <v>400</v>
      </c>
      <c r="AN62" s="43">
        <v>400</v>
      </c>
      <c r="AO62" s="43">
        <v>400</v>
      </c>
      <c r="AP62" s="43">
        <v>400</v>
      </c>
      <c r="AQ62" s="43">
        <v>400</v>
      </c>
      <c r="AR62" s="43">
        <v>400</v>
      </c>
      <c r="AS62" s="43">
        <v>400</v>
      </c>
      <c r="AT62" s="43">
        <v>400</v>
      </c>
      <c r="AU62" s="43">
        <v>400</v>
      </c>
      <c r="AV62" s="43">
        <v>400</v>
      </c>
      <c r="AW62" s="43">
        <v>400</v>
      </c>
      <c r="AX62" s="44">
        <f t="shared" si="6"/>
        <v>4800</v>
      </c>
      <c r="AY62" s="317">
        <f>SUMIF(Recibos!$D$4:$D$3010,Cobranza!$B62,Recibos!K$4:K$3010)</f>
        <v>400</v>
      </c>
      <c r="AZ62" s="317">
        <f>SUMIF(Recibos!$D$4:$D$3010,Cobranza!$B62,Recibos!L$4:L$3010)</f>
        <v>400</v>
      </c>
      <c r="BA62" s="317">
        <f>SUMIF(Recibos!$D$4:$D$3010,Cobranza!$B62,Recibos!M$4:M$3010)</f>
        <v>400</v>
      </c>
      <c r="BB62" s="317">
        <f>SUMIF(Recibos!$D$4:$D$3010,Cobranza!$B62,Recibos!N$4:N$3010)</f>
        <v>400</v>
      </c>
      <c r="BC62" s="317">
        <f>SUMIF(Recibos!$D$4:$D$3010,Cobranza!$B62,Recibos!O$4:O$3010)</f>
        <v>400</v>
      </c>
      <c r="BD62" s="317">
        <f>SUMIF(Recibos!$D$4:$D$3010,Cobranza!$B62,Recibos!P$4:P$3010)</f>
        <v>400</v>
      </c>
      <c r="BE62" s="317">
        <f>SUMIF(Recibos!$D$4:$D$3010,Cobranza!$B62,Recibos!Q$4:Q$3010)</f>
        <v>400</v>
      </c>
      <c r="BF62" s="317">
        <f>SUMIF(Recibos!$D$4:$D$3010,Cobranza!$B62,Recibos!R$4:R$3010)</f>
        <v>400</v>
      </c>
      <c r="BG62" s="317">
        <f>SUMIF(Recibos!$D$4:$D$3010,Cobranza!$B62,Recibos!S$4:S$3010)</f>
        <v>400</v>
      </c>
      <c r="BH62" s="317">
        <f>SUMIF(Recibos!$D$4:$D$3010,Cobranza!$B62,Recibos!T$4:T$3010)</f>
        <v>400</v>
      </c>
      <c r="BI62" s="317">
        <f>SUMIF(Recibos!$D$4:$D$3010,Cobranza!$B62,Recibos!U$4:U$3010)</f>
        <v>400</v>
      </c>
      <c r="BJ62" s="317">
        <f>SUMIF(Recibos!$D$4:$D$3010,Cobranza!$B62,Recibos!V$4:V$3010)</f>
        <v>400</v>
      </c>
      <c r="BK62" s="318">
        <f t="shared" si="7"/>
        <v>4800</v>
      </c>
      <c r="BL62" s="317">
        <f>SUMIF(Recibos!$D$4:$D$3010,Cobranza!$B62,Recibos!X$4:X$3010)</f>
        <v>400</v>
      </c>
      <c r="BM62" s="317">
        <f>SUMIF(Recibos!$D$4:$D$3010,Cobranza!$B62,Recibos!Y$4:Y$3010)</f>
        <v>0</v>
      </c>
      <c r="BN62" s="317">
        <f>SUMIF(Recibos!$D$4:$D$3010,Cobranza!$B62,Recibos!Z$4:Z$3010)</f>
        <v>0</v>
      </c>
      <c r="BO62" s="317">
        <f>SUMIF(Recibos!$D$4:$D$3010,Cobranza!$B62,Recibos!AA$4:AA$3010)</f>
        <v>0</v>
      </c>
      <c r="BP62" s="317">
        <f>SUMIF(Recibos!$D$4:$D$3010,Cobranza!$B62,Recibos!AB$4:AB$3010)</f>
        <v>0</v>
      </c>
      <c r="BQ62" s="317">
        <f>SUMIF(Recibos!$D$4:$D$3010,Cobranza!$B62,Recibos!AC$4:AC$3010)</f>
        <v>0</v>
      </c>
      <c r="BR62" s="317">
        <f>SUMIF(Recibos!$D$4:$D$3010,Cobranza!$B62,Recibos!AD$4:AD$3010)</f>
        <v>0</v>
      </c>
      <c r="BS62" s="317">
        <f>SUMIF(Recibos!$D$4:$D$3010,Cobranza!$B62,Recibos!AE$4:AE$3010)</f>
        <v>0</v>
      </c>
      <c r="BT62" s="317">
        <f>SUMIF(Recibos!$D$4:$D$3010,Cobranza!$B62,Recibos!AF$4:AF$3010)</f>
        <v>0</v>
      </c>
      <c r="BU62" s="317">
        <f>SUMIF(Recibos!$D$4:$D$3010,Cobranza!$B62,Recibos!AG$4:AG$3010)</f>
        <v>0</v>
      </c>
      <c r="BV62" s="317">
        <f>SUMIF(Recibos!$D$4:$D$3010,Cobranza!$B62,Recibos!AH$4:AH$3010)</f>
        <v>0</v>
      </c>
      <c r="BW62" s="317">
        <f>SUMIF(Recibos!$D$4:$D$3010,Cobranza!$B62,Recibos!AI$4:AI$3010)</f>
        <v>0</v>
      </c>
      <c r="BX62" s="318">
        <f t="shared" si="8"/>
        <v>400</v>
      </c>
    </row>
    <row r="63" spans="2:76" x14ac:dyDescent="0.2">
      <c r="B63" s="45" t="s">
        <v>734</v>
      </c>
      <c r="C63" s="45" t="s">
        <v>735</v>
      </c>
      <c r="D63" s="45" t="s">
        <v>736</v>
      </c>
      <c r="E63" s="46">
        <v>0</v>
      </c>
      <c r="F63" s="46">
        <v>0</v>
      </c>
      <c r="G63" s="46">
        <v>0</v>
      </c>
      <c r="H63" s="46">
        <v>0</v>
      </c>
      <c r="I63" s="46">
        <v>0</v>
      </c>
      <c r="J63" s="46">
        <v>0</v>
      </c>
      <c r="K63" s="47">
        <f t="shared" si="2"/>
        <v>0</v>
      </c>
      <c r="L63" s="46">
        <v>300</v>
      </c>
      <c r="M63" s="46">
        <v>300</v>
      </c>
      <c r="N63" s="46">
        <v>0</v>
      </c>
      <c r="O63" s="46">
        <v>300</v>
      </c>
      <c r="P63" s="46">
        <v>300</v>
      </c>
      <c r="Q63" s="46">
        <v>300</v>
      </c>
      <c r="R63" s="46">
        <v>300</v>
      </c>
      <c r="S63" s="46">
        <v>300</v>
      </c>
      <c r="T63" s="46">
        <v>300</v>
      </c>
      <c r="U63" s="46">
        <v>300</v>
      </c>
      <c r="V63" s="46">
        <v>300</v>
      </c>
      <c r="W63" s="46">
        <v>300</v>
      </c>
      <c r="X63" s="47">
        <f t="shared" si="3"/>
        <v>3300</v>
      </c>
      <c r="Y63" s="46">
        <v>400</v>
      </c>
      <c r="Z63" s="46">
        <v>400</v>
      </c>
      <c r="AA63" s="46">
        <v>400</v>
      </c>
      <c r="AB63" s="46">
        <v>400</v>
      </c>
      <c r="AC63" s="46">
        <v>400</v>
      </c>
      <c r="AD63" s="46">
        <v>400</v>
      </c>
      <c r="AE63" s="46">
        <v>400</v>
      </c>
      <c r="AF63" s="46">
        <v>400</v>
      </c>
      <c r="AG63" s="46">
        <v>400</v>
      </c>
      <c r="AH63" s="46">
        <v>0</v>
      </c>
      <c r="AI63" s="46">
        <v>0</v>
      </c>
      <c r="AJ63" s="46">
        <v>0</v>
      </c>
      <c r="AK63" s="47">
        <f t="shared" si="4"/>
        <v>3600</v>
      </c>
      <c r="AL63" s="46">
        <v>400</v>
      </c>
      <c r="AM63" s="46">
        <v>400</v>
      </c>
      <c r="AN63" s="46">
        <v>400</v>
      </c>
      <c r="AO63" s="46">
        <v>400</v>
      </c>
      <c r="AP63" s="46">
        <v>400</v>
      </c>
      <c r="AQ63" s="46">
        <v>400</v>
      </c>
      <c r="AR63" s="46">
        <v>400</v>
      </c>
      <c r="AS63" s="46">
        <v>400</v>
      </c>
      <c r="AT63" s="46">
        <v>400</v>
      </c>
      <c r="AU63" s="46">
        <v>400</v>
      </c>
      <c r="AV63" s="46">
        <v>400</v>
      </c>
      <c r="AW63" s="46">
        <v>0</v>
      </c>
      <c r="AX63" s="47">
        <f t="shared" si="6"/>
        <v>4400</v>
      </c>
      <c r="AY63" s="319">
        <f>SUMIF(Recibos!$D$4:$D$3010,Cobranza!$B63,Recibos!K$4:K$3010)</f>
        <v>400</v>
      </c>
      <c r="AZ63" s="319">
        <f>SUMIF(Recibos!$D$4:$D$3010,Cobranza!$B63,Recibos!L$4:L$3010)</f>
        <v>400</v>
      </c>
      <c r="BA63" s="319">
        <f>SUMIF(Recibos!$D$4:$D$3010,Cobranza!$B63,Recibos!M$4:M$3010)</f>
        <v>400</v>
      </c>
      <c r="BB63" s="319">
        <f>SUMIF(Recibos!$D$4:$D$3010,Cobranza!$B63,Recibos!N$4:N$3010)</f>
        <v>400</v>
      </c>
      <c r="BC63" s="319">
        <f>SUMIF(Recibos!$D$4:$D$3010,Cobranza!$B63,Recibos!O$4:O$3010)</f>
        <v>400</v>
      </c>
      <c r="BD63" s="319">
        <f>SUMIF(Recibos!$D$4:$D$3010,Cobranza!$B63,Recibos!P$4:P$3010)</f>
        <v>400</v>
      </c>
      <c r="BE63" s="319">
        <f>SUMIF(Recibos!$D$4:$D$3010,Cobranza!$B63,Recibos!Q$4:Q$3010)</f>
        <v>400</v>
      </c>
      <c r="BF63" s="319">
        <f>SUMIF(Recibos!$D$4:$D$3010,Cobranza!$B63,Recibos!R$4:R$3010)</f>
        <v>400</v>
      </c>
      <c r="BG63" s="319">
        <f>SUMIF(Recibos!$D$4:$D$3010,Cobranza!$B63,Recibos!S$4:S$3010)</f>
        <v>400</v>
      </c>
      <c r="BH63" s="319">
        <f>SUMIF(Recibos!$D$4:$D$3010,Cobranza!$B63,Recibos!T$4:T$3010)</f>
        <v>400</v>
      </c>
      <c r="BI63" s="319">
        <f>SUMIF(Recibos!$D$4:$D$3010,Cobranza!$B63,Recibos!U$4:U$3010)</f>
        <v>400</v>
      </c>
      <c r="BJ63" s="319">
        <f>SUMIF(Recibos!$D$4:$D$3010,Cobranza!$B63,Recibos!V$4:V$3010)</f>
        <v>0</v>
      </c>
      <c r="BK63" s="320">
        <f t="shared" si="7"/>
        <v>4400</v>
      </c>
      <c r="BL63" s="319">
        <f>SUMIF(Recibos!$D$4:$D$3010,Cobranza!$B63,Recibos!X$4:X$3010)</f>
        <v>0</v>
      </c>
      <c r="BM63" s="319">
        <f>SUMIF(Recibos!$D$4:$D$3010,Cobranza!$B63,Recibos!Y$4:Y$3010)</f>
        <v>0</v>
      </c>
      <c r="BN63" s="319">
        <f>SUMIF(Recibos!$D$4:$D$3010,Cobranza!$B63,Recibos!Z$4:Z$3010)</f>
        <v>0</v>
      </c>
      <c r="BO63" s="319">
        <f>SUMIF(Recibos!$D$4:$D$3010,Cobranza!$B63,Recibos!AA$4:AA$3010)</f>
        <v>0</v>
      </c>
      <c r="BP63" s="319">
        <f>SUMIF(Recibos!$D$4:$D$3010,Cobranza!$B63,Recibos!AB$4:AB$3010)</f>
        <v>0</v>
      </c>
      <c r="BQ63" s="319">
        <f>SUMIF(Recibos!$D$4:$D$3010,Cobranza!$B63,Recibos!AC$4:AC$3010)</f>
        <v>0</v>
      </c>
      <c r="BR63" s="319">
        <f>SUMIF(Recibos!$D$4:$D$3010,Cobranza!$B63,Recibos!AD$4:AD$3010)</f>
        <v>0</v>
      </c>
      <c r="BS63" s="319">
        <f>SUMIF(Recibos!$D$4:$D$3010,Cobranza!$B63,Recibos!AE$4:AE$3010)</f>
        <v>0</v>
      </c>
      <c r="BT63" s="319">
        <f>SUMIF(Recibos!$D$4:$D$3010,Cobranza!$B63,Recibos!AF$4:AF$3010)</f>
        <v>0</v>
      </c>
      <c r="BU63" s="319">
        <f>SUMIF(Recibos!$D$4:$D$3010,Cobranza!$B63,Recibos!AG$4:AG$3010)</f>
        <v>0</v>
      </c>
      <c r="BV63" s="319">
        <f>SUMIF(Recibos!$D$4:$D$3010,Cobranza!$B63,Recibos!AH$4:AH$3010)</f>
        <v>0</v>
      </c>
      <c r="BW63" s="319">
        <f>SUMIF(Recibos!$D$4:$D$3010,Cobranza!$B63,Recibos!AI$4:AI$3010)</f>
        <v>0</v>
      </c>
      <c r="BX63" s="320">
        <f t="shared" si="8"/>
        <v>0</v>
      </c>
    </row>
    <row r="64" spans="2:76" x14ac:dyDescent="0.2">
      <c r="B64" s="42" t="s">
        <v>250</v>
      </c>
      <c r="C64" s="42" t="s">
        <v>251</v>
      </c>
      <c r="D64" s="42" t="s">
        <v>252</v>
      </c>
      <c r="E64" s="43">
        <v>0</v>
      </c>
      <c r="F64" s="43">
        <v>0</v>
      </c>
      <c r="G64" s="43">
        <v>0</v>
      </c>
      <c r="H64" s="43">
        <v>0</v>
      </c>
      <c r="I64" s="43">
        <v>0</v>
      </c>
      <c r="J64" s="43">
        <v>0</v>
      </c>
      <c r="K64" s="44">
        <f t="shared" si="2"/>
        <v>0</v>
      </c>
      <c r="L64" s="43">
        <v>600</v>
      </c>
      <c r="M64" s="43">
        <v>300</v>
      </c>
      <c r="N64" s="43">
        <v>300</v>
      </c>
      <c r="O64" s="43">
        <v>300</v>
      </c>
      <c r="P64" s="43">
        <v>300</v>
      </c>
      <c r="Q64" s="43">
        <v>300</v>
      </c>
      <c r="R64" s="43">
        <v>300</v>
      </c>
      <c r="S64" s="43">
        <v>300</v>
      </c>
      <c r="T64" s="43">
        <v>300</v>
      </c>
      <c r="U64" s="43">
        <v>0</v>
      </c>
      <c r="V64" s="43">
        <v>0</v>
      </c>
      <c r="W64" s="43">
        <v>0</v>
      </c>
      <c r="X64" s="44">
        <f t="shared" si="3"/>
        <v>3000</v>
      </c>
      <c r="Y64" s="43">
        <v>0</v>
      </c>
      <c r="Z64" s="43">
        <v>0</v>
      </c>
      <c r="AA64" s="43">
        <v>0</v>
      </c>
      <c r="AB64" s="43">
        <v>0</v>
      </c>
      <c r="AC64" s="43">
        <v>0</v>
      </c>
      <c r="AD64" s="43">
        <v>0</v>
      </c>
      <c r="AE64" s="43">
        <v>0</v>
      </c>
      <c r="AF64" s="43">
        <v>0</v>
      </c>
      <c r="AG64" s="43">
        <v>0</v>
      </c>
      <c r="AH64" s="43">
        <v>0</v>
      </c>
      <c r="AI64" s="43">
        <v>0</v>
      </c>
      <c r="AJ64" s="43">
        <v>0</v>
      </c>
      <c r="AK64" s="44">
        <f t="shared" si="4"/>
        <v>0</v>
      </c>
      <c r="AL64" s="43">
        <v>400</v>
      </c>
      <c r="AM64" s="43">
        <v>400</v>
      </c>
      <c r="AN64" s="43">
        <v>400</v>
      </c>
      <c r="AO64" s="43">
        <v>400</v>
      </c>
      <c r="AP64" s="43">
        <v>0</v>
      </c>
      <c r="AQ64" s="43">
        <v>0</v>
      </c>
      <c r="AR64" s="43">
        <v>0</v>
      </c>
      <c r="AS64" s="43">
        <v>0</v>
      </c>
      <c r="AT64" s="43">
        <v>0</v>
      </c>
      <c r="AU64" s="43">
        <v>0</v>
      </c>
      <c r="AV64" s="43">
        <v>0</v>
      </c>
      <c r="AW64" s="43">
        <v>0</v>
      </c>
      <c r="AX64" s="44">
        <f t="shared" si="6"/>
        <v>1600</v>
      </c>
      <c r="AY64" s="317">
        <f>SUMIF(Recibos!$D$4:$D$3010,Cobranza!$B64,Recibos!K$4:K$3010)</f>
        <v>400</v>
      </c>
      <c r="AZ64" s="317">
        <f>SUMIF(Recibos!$D$4:$D$3010,Cobranza!$B64,Recibos!L$4:L$3010)</f>
        <v>400</v>
      </c>
      <c r="BA64" s="317">
        <f>SUMIF(Recibos!$D$4:$D$3010,Cobranza!$B64,Recibos!M$4:M$3010)</f>
        <v>400</v>
      </c>
      <c r="BB64" s="317">
        <f>SUMIF(Recibos!$D$4:$D$3010,Cobranza!$B64,Recibos!N$4:N$3010)</f>
        <v>400</v>
      </c>
      <c r="BC64" s="317">
        <f>SUMIF(Recibos!$D$4:$D$3010,Cobranza!$B64,Recibos!O$4:O$3010)</f>
        <v>400</v>
      </c>
      <c r="BD64" s="317">
        <f>SUMIF(Recibos!$D$4:$D$3010,Cobranza!$B64,Recibos!P$4:P$3010)</f>
        <v>0</v>
      </c>
      <c r="BE64" s="317">
        <f>SUMIF(Recibos!$D$4:$D$3010,Cobranza!$B64,Recibos!Q$4:Q$3010)</f>
        <v>0</v>
      </c>
      <c r="BF64" s="317">
        <f>SUMIF(Recibos!$D$4:$D$3010,Cobranza!$B64,Recibos!R$4:R$3010)</f>
        <v>0</v>
      </c>
      <c r="BG64" s="317">
        <f>SUMIF(Recibos!$D$4:$D$3010,Cobranza!$B64,Recibos!S$4:S$3010)</f>
        <v>0</v>
      </c>
      <c r="BH64" s="317">
        <f>SUMIF(Recibos!$D$4:$D$3010,Cobranza!$B64,Recibos!T$4:T$3010)</f>
        <v>0</v>
      </c>
      <c r="BI64" s="317">
        <f>SUMIF(Recibos!$D$4:$D$3010,Cobranza!$B64,Recibos!U$4:U$3010)</f>
        <v>0</v>
      </c>
      <c r="BJ64" s="317">
        <f>SUMIF(Recibos!$D$4:$D$3010,Cobranza!$B64,Recibos!V$4:V$3010)</f>
        <v>0</v>
      </c>
      <c r="BK64" s="318">
        <f t="shared" si="7"/>
        <v>2000</v>
      </c>
      <c r="BL64" s="317">
        <f>SUMIF(Recibos!$D$4:$D$3010,Cobranza!$B64,Recibos!X$4:X$3010)</f>
        <v>0</v>
      </c>
      <c r="BM64" s="317">
        <f>SUMIF(Recibos!$D$4:$D$3010,Cobranza!$B64,Recibos!Y$4:Y$3010)</f>
        <v>0</v>
      </c>
      <c r="BN64" s="317">
        <f>SUMIF(Recibos!$D$4:$D$3010,Cobranza!$B64,Recibos!Z$4:Z$3010)</f>
        <v>0</v>
      </c>
      <c r="BO64" s="317">
        <f>SUMIF(Recibos!$D$4:$D$3010,Cobranza!$B64,Recibos!AA$4:AA$3010)</f>
        <v>0</v>
      </c>
      <c r="BP64" s="317">
        <f>SUMIF(Recibos!$D$4:$D$3010,Cobranza!$B64,Recibos!AB$4:AB$3010)</f>
        <v>0</v>
      </c>
      <c r="BQ64" s="317">
        <f>SUMIF(Recibos!$D$4:$D$3010,Cobranza!$B64,Recibos!AC$4:AC$3010)</f>
        <v>0</v>
      </c>
      <c r="BR64" s="317">
        <f>SUMIF(Recibos!$D$4:$D$3010,Cobranza!$B64,Recibos!AD$4:AD$3010)</f>
        <v>0</v>
      </c>
      <c r="BS64" s="317">
        <f>SUMIF(Recibos!$D$4:$D$3010,Cobranza!$B64,Recibos!AE$4:AE$3010)</f>
        <v>0</v>
      </c>
      <c r="BT64" s="317">
        <f>SUMIF(Recibos!$D$4:$D$3010,Cobranza!$B64,Recibos!AF$4:AF$3010)</f>
        <v>0</v>
      </c>
      <c r="BU64" s="317">
        <f>SUMIF(Recibos!$D$4:$D$3010,Cobranza!$B64,Recibos!AG$4:AG$3010)</f>
        <v>0</v>
      </c>
      <c r="BV64" s="317">
        <f>SUMIF(Recibos!$D$4:$D$3010,Cobranza!$B64,Recibos!AH$4:AH$3010)</f>
        <v>0</v>
      </c>
      <c r="BW64" s="317">
        <f>SUMIF(Recibos!$D$4:$D$3010,Cobranza!$B64,Recibos!AI$4:AI$3010)</f>
        <v>0</v>
      </c>
      <c r="BX64" s="318">
        <f t="shared" si="8"/>
        <v>0</v>
      </c>
    </row>
    <row r="65" spans="2:76" x14ac:dyDescent="0.2">
      <c r="B65" s="45" t="s">
        <v>705</v>
      </c>
      <c r="C65" s="45" t="s">
        <v>706</v>
      </c>
      <c r="D65" s="45" t="s">
        <v>707</v>
      </c>
      <c r="E65" s="46">
        <v>0</v>
      </c>
      <c r="F65" s="46">
        <v>0</v>
      </c>
      <c r="G65" s="46">
        <v>0</v>
      </c>
      <c r="H65" s="46">
        <v>0</v>
      </c>
      <c r="I65" s="46">
        <v>300</v>
      </c>
      <c r="J65" s="46">
        <v>300</v>
      </c>
      <c r="K65" s="47">
        <f t="shared" si="2"/>
        <v>600</v>
      </c>
      <c r="L65" s="46">
        <v>300</v>
      </c>
      <c r="M65" s="46">
        <v>300</v>
      </c>
      <c r="N65" s="46">
        <v>300</v>
      </c>
      <c r="O65" s="46">
        <v>300</v>
      </c>
      <c r="P65" s="46">
        <v>300</v>
      </c>
      <c r="Q65" s="46">
        <v>300</v>
      </c>
      <c r="R65" s="46">
        <v>300</v>
      </c>
      <c r="S65" s="46">
        <v>300</v>
      </c>
      <c r="T65" s="46">
        <v>300</v>
      </c>
      <c r="U65" s="46">
        <v>400</v>
      </c>
      <c r="V65" s="46">
        <v>400</v>
      </c>
      <c r="W65" s="46">
        <v>400</v>
      </c>
      <c r="X65" s="47">
        <f t="shared" si="3"/>
        <v>3900</v>
      </c>
      <c r="Y65" s="46">
        <v>400</v>
      </c>
      <c r="Z65" s="46">
        <v>400</v>
      </c>
      <c r="AA65" s="46">
        <v>400</v>
      </c>
      <c r="AB65" s="46">
        <v>400</v>
      </c>
      <c r="AC65" s="46">
        <v>400</v>
      </c>
      <c r="AD65" s="46">
        <v>400</v>
      </c>
      <c r="AE65" s="46">
        <v>400</v>
      </c>
      <c r="AF65" s="46">
        <v>400</v>
      </c>
      <c r="AG65" s="46">
        <v>400</v>
      </c>
      <c r="AH65" s="46">
        <v>400</v>
      </c>
      <c r="AI65" s="46">
        <v>400</v>
      </c>
      <c r="AJ65" s="46">
        <v>300</v>
      </c>
      <c r="AK65" s="47">
        <f t="shared" si="4"/>
        <v>4700</v>
      </c>
      <c r="AL65" s="46">
        <v>300</v>
      </c>
      <c r="AM65" s="46">
        <v>300</v>
      </c>
      <c r="AN65" s="46">
        <v>300</v>
      </c>
      <c r="AO65" s="46">
        <v>300</v>
      </c>
      <c r="AP65" s="46">
        <v>300</v>
      </c>
      <c r="AQ65" s="46">
        <v>300</v>
      </c>
      <c r="AR65" s="46">
        <v>300</v>
      </c>
      <c r="AS65" s="46">
        <v>300</v>
      </c>
      <c r="AT65" s="46">
        <v>300</v>
      </c>
      <c r="AU65" s="46">
        <v>300</v>
      </c>
      <c r="AV65" s="46">
        <v>300</v>
      </c>
      <c r="AW65" s="46">
        <v>300</v>
      </c>
      <c r="AX65" s="47">
        <f t="shared" si="6"/>
        <v>3600</v>
      </c>
      <c r="AY65" s="319">
        <f>SUMIF(Recibos!$D$4:$D$3010,Cobranza!$B65,Recibos!K$4:K$3010)</f>
        <v>300</v>
      </c>
      <c r="AZ65" s="319">
        <f>SUMIF(Recibos!$D$4:$D$3010,Cobranza!$B65,Recibos!L$4:L$3010)</f>
        <v>300</v>
      </c>
      <c r="BA65" s="319">
        <f>SUMIF(Recibos!$D$4:$D$3010,Cobranza!$B65,Recibos!M$4:M$3010)</f>
        <v>300</v>
      </c>
      <c r="BB65" s="319">
        <f>SUMIF(Recibos!$D$4:$D$3010,Cobranza!$B65,Recibos!N$4:N$3010)</f>
        <v>300</v>
      </c>
      <c r="BC65" s="319">
        <f>SUMIF(Recibos!$D$4:$D$3010,Cobranza!$B65,Recibos!O$4:O$3010)</f>
        <v>300</v>
      </c>
      <c r="BD65" s="319">
        <f>SUMIF(Recibos!$D$4:$D$3010,Cobranza!$B65,Recibos!P$4:P$3010)</f>
        <v>300</v>
      </c>
      <c r="BE65" s="319">
        <f>SUMIF(Recibos!$D$4:$D$3010,Cobranza!$B65,Recibos!Q$4:Q$3010)</f>
        <v>300</v>
      </c>
      <c r="BF65" s="319">
        <f>SUMIF(Recibos!$D$4:$D$3010,Cobranza!$B65,Recibos!R$4:R$3010)</f>
        <v>300</v>
      </c>
      <c r="BG65" s="319">
        <f>SUMIF(Recibos!$D$4:$D$3010,Cobranza!$B65,Recibos!S$4:S$3010)</f>
        <v>300</v>
      </c>
      <c r="BH65" s="319">
        <f>SUMIF(Recibos!$D$4:$D$3010,Cobranza!$B65,Recibos!T$4:T$3010)</f>
        <v>300</v>
      </c>
      <c r="BI65" s="319">
        <f>SUMIF(Recibos!$D$4:$D$3010,Cobranza!$B65,Recibos!U$4:U$3010)</f>
        <v>0</v>
      </c>
      <c r="BJ65" s="319">
        <f>SUMIF(Recibos!$D$4:$D$3010,Cobranza!$B65,Recibos!V$4:V$3010)</f>
        <v>0</v>
      </c>
      <c r="BK65" s="320">
        <f t="shared" si="7"/>
        <v>3000</v>
      </c>
      <c r="BL65" s="319">
        <f>SUMIF(Recibos!$D$4:$D$3010,Cobranza!$B65,Recibos!X$4:X$3010)</f>
        <v>0</v>
      </c>
      <c r="BM65" s="319">
        <f>SUMIF(Recibos!$D$4:$D$3010,Cobranza!$B65,Recibos!Y$4:Y$3010)</f>
        <v>0</v>
      </c>
      <c r="BN65" s="319">
        <f>SUMIF(Recibos!$D$4:$D$3010,Cobranza!$B65,Recibos!Z$4:Z$3010)</f>
        <v>0</v>
      </c>
      <c r="BO65" s="319">
        <f>SUMIF(Recibos!$D$4:$D$3010,Cobranza!$B65,Recibos!AA$4:AA$3010)</f>
        <v>0</v>
      </c>
      <c r="BP65" s="319">
        <f>SUMIF(Recibos!$D$4:$D$3010,Cobranza!$B65,Recibos!AB$4:AB$3010)</f>
        <v>0</v>
      </c>
      <c r="BQ65" s="319">
        <f>SUMIF(Recibos!$D$4:$D$3010,Cobranza!$B65,Recibos!AC$4:AC$3010)</f>
        <v>0</v>
      </c>
      <c r="BR65" s="319">
        <f>SUMIF(Recibos!$D$4:$D$3010,Cobranza!$B65,Recibos!AD$4:AD$3010)</f>
        <v>0</v>
      </c>
      <c r="BS65" s="319">
        <f>SUMIF(Recibos!$D$4:$D$3010,Cobranza!$B65,Recibos!AE$4:AE$3010)</f>
        <v>0</v>
      </c>
      <c r="BT65" s="319">
        <f>SUMIF(Recibos!$D$4:$D$3010,Cobranza!$B65,Recibos!AF$4:AF$3010)</f>
        <v>0</v>
      </c>
      <c r="BU65" s="319">
        <f>SUMIF(Recibos!$D$4:$D$3010,Cobranza!$B65,Recibos!AG$4:AG$3010)</f>
        <v>0</v>
      </c>
      <c r="BV65" s="319">
        <f>SUMIF(Recibos!$D$4:$D$3010,Cobranza!$B65,Recibos!AH$4:AH$3010)</f>
        <v>0</v>
      </c>
      <c r="BW65" s="319">
        <f>SUMIF(Recibos!$D$4:$D$3010,Cobranza!$B65,Recibos!AI$4:AI$3010)</f>
        <v>0</v>
      </c>
      <c r="BX65" s="320">
        <f t="shared" si="8"/>
        <v>0</v>
      </c>
    </row>
    <row r="66" spans="2:76" x14ac:dyDescent="0.2">
      <c r="B66" s="42" t="s">
        <v>1283</v>
      </c>
      <c r="C66" s="42" t="s">
        <v>1284</v>
      </c>
      <c r="D66" s="42"/>
      <c r="E66" s="43">
        <v>0</v>
      </c>
      <c r="F66" s="43">
        <v>0</v>
      </c>
      <c r="G66" s="43">
        <v>0</v>
      </c>
      <c r="H66" s="43">
        <v>0</v>
      </c>
      <c r="I66" s="43">
        <v>0</v>
      </c>
      <c r="J66" s="43">
        <v>0</v>
      </c>
      <c r="K66" s="44">
        <f t="shared" si="2"/>
        <v>0</v>
      </c>
      <c r="L66" s="43">
        <v>0</v>
      </c>
      <c r="M66" s="43">
        <v>0</v>
      </c>
      <c r="N66" s="43">
        <v>0</v>
      </c>
      <c r="O66" s="43">
        <v>0</v>
      </c>
      <c r="P66" s="43">
        <v>0</v>
      </c>
      <c r="Q66" s="43">
        <v>0</v>
      </c>
      <c r="R66" s="43">
        <v>0</v>
      </c>
      <c r="S66" s="43">
        <v>0</v>
      </c>
      <c r="T66" s="43">
        <v>0</v>
      </c>
      <c r="U66" s="43">
        <v>0</v>
      </c>
      <c r="V66" s="43">
        <v>0</v>
      </c>
      <c r="W66" s="43">
        <v>0</v>
      </c>
      <c r="X66" s="44">
        <f t="shared" si="3"/>
        <v>0</v>
      </c>
      <c r="Y66" s="43">
        <v>0</v>
      </c>
      <c r="Z66" s="43">
        <v>0</v>
      </c>
      <c r="AA66" s="43">
        <v>0</v>
      </c>
      <c r="AB66" s="43">
        <v>0</v>
      </c>
      <c r="AC66" s="43">
        <v>0</v>
      </c>
      <c r="AD66" s="43">
        <v>0</v>
      </c>
      <c r="AE66" s="43">
        <v>0</v>
      </c>
      <c r="AF66" s="43">
        <v>0</v>
      </c>
      <c r="AG66" s="43">
        <v>0</v>
      </c>
      <c r="AH66" s="43">
        <v>0</v>
      </c>
      <c r="AI66" s="43">
        <v>0</v>
      </c>
      <c r="AJ66" s="43">
        <v>0</v>
      </c>
      <c r="AK66" s="44">
        <f t="shared" si="4"/>
        <v>0</v>
      </c>
      <c r="AL66" s="43">
        <v>0</v>
      </c>
      <c r="AM66" s="43">
        <v>0</v>
      </c>
      <c r="AN66" s="43">
        <v>0</v>
      </c>
      <c r="AO66" s="43">
        <v>0</v>
      </c>
      <c r="AP66" s="43">
        <v>0</v>
      </c>
      <c r="AQ66" s="43">
        <v>0</v>
      </c>
      <c r="AR66" s="43">
        <v>0</v>
      </c>
      <c r="AS66" s="43">
        <v>0</v>
      </c>
      <c r="AT66" s="43">
        <v>0</v>
      </c>
      <c r="AU66" s="43">
        <v>0</v>
      </c>
      <c r="AV66" s="43">
        <v>0</v>
      </c>
      <c r="AW66" s="43">
        <v>0</v>
      </c>
      <c r="AX66" s="44">
        <f t="shared" si="6"/>
        <v>0</v>
      </c>
      <c r="AY66" s="317">
        <f>SUMIF(Recibos!$D$4:$D$3010,Cobranza!$B66,Recibos!K$4:K$3010)</f>
        <v>0</v>
      </c>
      <c r="AZ66" s="317">
        <f>SUMIF(Recibos!$D$4:$D$3010,Cobranza!$B66,Recibos!L$4:L$3010)</f>
        <v>0</v>
      </c>
      <c r="BA66" s="317">
        <f>SUMIF(Recibos!$D$4:$D$3010,Cobranza!$B66,Recibos!M$4:M$3010)</f>
        <v>0</v>
      </c>
      <c r="BB66" s="317">
        <f>SUMIF(Recibos!$D$4:$D$3010,Cobranza!$B66,Recibos!N$4:N$3010)</f>
        <v>0</v>
      </c>
      <c r="BC66" s="317">
        <f>SUMIF(Recibos!$D$4:$D$3010,Cobranza!$B66,Recibos!O$4:O$3010)</f>
        <v>0</v>
      </c>
      <c r="BD66" s="317">
        <f>SUMIF(Recibos!$D$4:$D$3010,Cobranza!$B66,Recibos!P$4:P$3010)</f>
        <v>0</v>
      </c>
      <c r="BE66" s="317">
        <f>SUMIF(Recibos!$D$4:$D$3010,Cobranza!$B66,Recibos!Q$4:Q$3010)</f>
        <v>0</v>
      </c>
      <c r="BF66" s="317">
        <f>SUMIF(Recibos!$D$4:$D$3010,Cobranza!$B66,Recibos!R$4:R$3010)</f>
        <v>0</v>
      </c>
      <c r="BG66" s="317">
        <f>SUMIF(Recibos!$D$4:$D$3010,Cobranza!$B66,Recibos!S$4:S$3010)</f>
        <v>0</v>
      </c>
      <c r="BH66" s="317">
        <f>SUMIF(Recibos!$D$4:$D$3010,Cobranza!$B66,Recibos!T$4:T$3010)</f>
        <v>0</v>
      </c>
      <c r="BI66" s="317">
        <f>SUMIF(Recibos!$D$4:$D$3010,Cobranza!$B66,Recibos!U$4:U$3010)</f>
        <v>0</v>
      </c>
      <c r="BJ66" s="317">
        <f>SUMIF(Recibos!$D$4:$D$3010,Cobranza!$B66,Recibos!V$4:V$3010)</f>
        <v>0</v>
      </c>
      <c r="BK66" s="318">
        <f t="shared" si="7"/>
        <v>0</v>
      </c>
      <c r="BL66" s="317">
        <f>SUMIF(Recibos!$D$4:$D$3010,Cobranza!$B66,Recibos!X$4:X$3010)</f>
        <v>0</v>
      </c>
      <c r="BM66" s="317">
        <f>SUMIF(Recibos!$D$4:$D$3010,Cobranza!$B66,Recibos!Y$4:Y$3010)</f>
        <v>0</v>
      </c>
      <c r="BN66" s="317">
        <f>SUMIF(Recibos!$D$4:$D$3010,Cobranza!$B66,Recibos!Z$4:Z$3010)</f>
        <v>0</v>
      </c>
      <c r="BO66" s="317">
        <f>SUMIF(Recibos!$D$4:$D$3010,Cobranza!$B66,Recibos!AA$4:AA$3010)</f>
        <v>0</v>
      </c>
      <c r="BP66" s="317">
        <f>SUMIF(Recibos!$D$4:$D$3010,Cobranza!$B66,Recibos!AB$4:AB$3010)</f>
        <v>0</v>
      </c>
      <c r="BQ66" s="317">
        <f>SUMIF(Recibos!$D$4:$D$3010,Cobranza!$B66,Recibos!AC$4:AC$3010)</f>
        <v>0</v>
      </c>
      <c r="BR66" s="317">
        <f>SUMIF(Recibos!$D$4:$D$3010,Cobranza!$B66,Recibos!AD$4:AD$3010)</f>
        <v>0</v>
      </c>
      <c r="BS66" s="317">
        <f>SUMIF(Recibos!$D$4:$D$3010,Cobranza!$B66,Recibos!AE$4:AE$3010)</f>
        <v>0</v>
      </c>
      <c r="BT66" s="317">
        <f>SUMIF(Recibos!$D$4:$D$3010,Cobranza!$B66,Recibos!AF$4:AF$3010)</f>
        <v>0</v>
      </c>
      <c r="BU66" s="317">
        <f>SUMIF(Recibos!$D$4:$D$3010,Cobranza!$B66,Recibos!AG$4:AG$3010)</f>
        <v>0</v>
      </c>
      <c r="BV66" s="317">
        <f>SUMIF(Recibos!$D$4:$D$3010,Cobranza!$B66,Recibos!AH$4:AH$3010)</f>
        <v>0</v>
      </c>
      <c r="BW66" s="317">
        <f>SUMIF(Recibos!$D$4:$D$3010,Cobranza!$B66,Recibos!AI$4:AI$3010)</f>
        <v>0</v>
      </c>
      <c r="BX66" s="318">
        <f t="shared" si="8"/>
        <v>0</v>
      </c>
    </row>
    <row r="67" spans="2:76" x14ac:dyDescent="0.2">
      <c r="B67" s="45" t="s">
        <v>509</v>
      </c>
      <c r="C67" s="45" t="s">
        <v>510</v>
      </c>
      <c r="D67" s="45" t="s">
        <v>511</v>
      </c>
      <c r="E67" s="46">
        <v>0</v>
      </c>
      <c r="F67" s="46">
        <v>0</v>
      </c>
      <c r="G67" s="46">
        <v>0</v>
      </c>
      <c r="H67" s="46">
        <v>300</v>
      </c>
      <c r="I67" s="46">
        <v>300</v>
      </c>
      <c r="J67" s="46">
        <v>0</v>
      </c>
      <c r="K67" s="47">
        <f t="shared" si="2"/>
        <v>600</v>
      </c>
      <c r="L67" s="46">
        <v>300</v>
      </c>
      <c r="M67" s="46">
        <v>300</v>
      </c>
      <c r="N67" s="46">
        <v>300</v>
      </c>
      <c r="O67" s="46">
        <v>300</v>
      </c>
      <c r="P67" s="46">
        <v>300</v>
      </c>
      <c r="Q67" s="46">
        <v>300</v>
      </c>
      <c r="R67" s="46">
        <v>300</v>
      </c>
      <c r="S67" s="46">
        <v>300</v>
      </c>
      <c r="T67" s="46">
        <v>0</v>
      </c>
      <c r="U67" s="46">
        <v>0</v>
      </c>
      <c r="V67" s="46">
        <v>0</v>
      </c>
      <c r="W67" s="46">
        <v>0</v>
      </c>
      <c r="X67" s="47">
        <f t="shared" si="3"/>
        <v>2400</v>
      </c>
      <c r="Y67" s="46">
        <v>300</v>
      </c>
      <c r="Z67" s="46">
        <v>300</v>
      </c>
      <c r="AA67" s="46">
        <v>300</v>
      </c>
      <c r="AB67" s="46">
        <v>300</v>
      </c>
      <c r="AC67" s="46">
        <v>300</v>
      </c>
      <c r="AD67" s="46">
        <v>0</v>
      </c>
      <c r="AE67" s="46">
        <v>300</v>
      </c>
      <c r="AF67" s="46">
        <v>300</v>
      </c>
      <c r="AG67" s="46">
        <v>300</v>
      </c>
      <c r="AH67" s="46">
        <v>0</v>
      </c>
      <c r="AI67" s="46">
        <v>0</v>
      </c>
      <c r="AJ67" s="46">
        <v>0</v>
      </c>
      <c r="AK67" s="47">
        <f t="shared" si="4"/>
        <v>2400</v>
      </c>
      <c r="AL67" s="46">
        <v>300</v>
      </c>
      <c r="AM67" s="46">
        <v>300</v>
      </c>
      <c r="AN67" s="46">
        <v>300</v>
      </c>
      <c r="AO67" s="46">
        <v>300</v>
      </c>
      <c r="AP67" s="46">
        <v>300</v>
      </c>
      <c r="AQ67" s="46">
        <v>300</v>
      </c>
      <c r="AR67" s="46">
        <v>300</v>
      </c>
      <c r="AS67" s="46">
        <v>300</v>
      </c>
      <c r="AT67" s="46">
        <v>300</v>
      </c>
      <c r="AU67" s="46">
        <v>300</v>
      </c>
      <c r="AV67" s="46">
        <v>300</v>
      </c>
      <c r="AW67" s="46">
        <v>300</v>
      </c>
      <c r="AX67" s="47">
        <f t="shared" si="6"/>
        <v>3600</v>
      </c>
      <c r="AY67" s="319">
        <f>SUMIF(Recibos!$D$4:$D$3010,Cobranza!$B67,Recibos!K$4:K$3010)</f>
        <v>300</v>
      </c>
      <c r="AZ67" s="319">
        <f>SUMIF(Recibos!$D$4:$D$3010,Cobranza!$B67,Recibos!L$4:L$3010)</f>
        <v>300</v>
      </c>
      <c r="BA67" s="319">
        <f>SUMIF(Recibos!$D$4:$D$3010,Cobranza!$B67,Recibos!M$4:M$3010)</f>
        <v>300</v>
      </c>
      <c r="BB67" s="319">
        <f>SUMIF(Recibos!$D$4:$D$3010,Cobranza!$B67,Recibos!N$4:N$3010)</f>
        <v>300</v>
      </c>
      <c r="BC67" s="319">
        <f>SUMIF(Recibos!$D$4:$D$3010,Cobranza!$B67,Recibos!O$4:O$3010)</f>
        <v>300</v>
      </c>
      <c r="BD67" s="319">
        <f>SUMIF(Recibos!$D$4:$D$3010,Cobranza!$B67,Recibos!P$4:P$3010)</f>
        <v>300</v>
      </c>
      <c r="BE67" s="319">
        <f>SUMIF(Recibos!$D$4:$D$3010,Cobranza!$B67,Recibos!Q$4:Q$3010)</f>
        <v>300</v>
      </c>
      <c r="BF67" s="319">
        <f>SUMIF(Recibos!$D$4:$D$3010,Cobranza!$B67,Recibos!R$4:R$3010)</f>
        <v>300</v>
      </c>
      <c r="BG67" s="319">
        <f>SUMIF(Recibos!$D$4:$D$3010,Cobranza!$B67,Recibos!S$4:S$3010)</f>
        <v>300</v>
      </c>
      <c r="BH67" s="319">
        <f>SUMIF(Recibos!$D$4:$D$3010,Cobranza!$B67,Recibos!T$4:T$3010)</f>
        <v>300</v>
      </c>
      <c r="BI67" s="319">
        <f>SUMIF(Recibos!$D$4:$D$3010,Cobranza!$B67,Recibos!U$4:U$3010)</f>
        <v>300</v>
      </c>
      <c r="BJ67" s="319">
        <f>SUMIF(Recibos!$D$4:$D$3010,Cobranza!$B67,Recibos!V$4:V$3010)</f>
        <v>0</v>
      </c>
      <c r="BK67" s="320">
        <f t="shared" si="7"/>
        <v>3300</v>
      </c>
      <c r="BL67" s="319">
        <f>SUMIF(Recibos!$D$4:$D$3010,Cobranza!$B67,Recibos!X$4:X$3010)</f>
        <v>0</v>
      </c>
      <c r="BM67" s="319">
        <f>SUMIF(Recibos!$D$4:$D$3010,Cobranza!$B67,Recibos!Y$4:Y$3010)</f>
        <v>0</v>
      </c>
      <c r="BN67" s="319">
        <f>SUMIF(Recibos!$D$4:$D$3010,Cobranza!$B67,Recibos!Z$4:Z$3010)</f>
        <v>0</v>
      </c>
      <c r="BO67" s="319">
        <f>SUMIF(Recibos!$D$4:$D$3010,Cobranza!$B67,Recibos!AA$4:AA$3010)</f>
        <v>0</v>
      </c>
      <c r="BP67" s="319">
        <f>SUMIF(Recibos!$D$4:$D$3010,Cobranza!$B67,Recibos!AB$4:AB$3010)</f>
        <v>0</v>
      </c>
      <c r="BQ67" s="319">
        <f>SUMIF(Recibos!$D$4:$D$3010,Cobranza!$B67,Recibos!AC$4:AC$3010)</f>
        <v>0</v>
      </c>
      <c r="BR67" s="319">
        <f>SUMIF(Recibos!$D$4:$D$3010,Cobranza!$B67,Recibos!AD$4:AD$3010)</f>
        <v>0</v>
      </c>
      <c r="BS67" s="319">
        <f>SUMIF(Recibos!$D$4:$D$3010,Cobranza!$B67,Recibos!AE$4:AE$3010)</f>
        <v>0</v>
      </c>
      <c r="BT67" s="319">
        <f>SUMIF(Recibos!$D$4:$D$3010,Cobranza!$B67,Recibos!AF$4:AF$3010)</f>
        <v>0</v>
      </c>
      <c r="BU67" s="319">
        <f>SUMIF(Recibos!$D$4:$D$3010,Cobranza!$B67,Recibos!AG$4:AG$3010)</f>
        <v>0</v>
      </c>
      <c r="BV67" s="319">
        <f>SUMIF(Recibos!$D$4:$D$3010,Cobranza!$B67,Recibos!AH$4:AH$3010)</f>
        <v>0</v>
      </c>
      <c r="BW67" s="319">
        <f>SUMIF(Recibos!$D$4:$D$3010,Cobranza!$B67,Recibos!AI$4:AI$3010)</f>
        <v>0</v>
      </c>
      <c r="BX67" s="320">
        <f t="shared" si="8"/>
        <v>0</v>
      </c>
    </row>
    <row r="68" spans="2:76" x14ac:dyDescent="0.2">
      <c r="B68" s="42" t="s">
        <v>97</v>
      </c>
      <c r="C68" s="42" t="s">
        <v>98</v>
      </c>
      <c r="D68" s="42" t="s">
        <v>99</v>
      </c>
      <c r="E68" s="43">
        <v>0</v>
      </c>
      <c r="F68" s="43">
        <v>0</v>
      </c>
      <c r="G68" s="43">
        <v>0</v>
      </c>
      <c r="H68" s="43">
        <v>0</v>
      </c>
      <c r="I68" s="43">
        <v>0</v>
      </c>
      <c r="J68" s="43">
        <v>0</v>
      </c>
      <c r="K68" s="44">
        <f t="shared" si="2"/>
        <v>0</v>
      </c>
      <c r="L68" s="43">
        <v>0</v>
      </c>
      <c r="M68" s="43">
        <v>0</v>
      </c>
      <c r="N68" s="43">
        <v>0</v>
      </c>
      <c r="O68" s="43">
        <v>0</v>
      </c>
      <c r="P68" s="43">
        <v>0</v>
      </c>
      <c r="Q68" s="43">
        <v>0</v>
      </c>
      <c r="R68" s="43">
        <v>0</v>
      </c>
      <c r="S68" s="43">
        <v>0</v>
      </c>
      <c r="T68" s="43">
        <v>0</v>
      </c>
      <c r="U68" s="43">
        <v>0</v>
      </c>
      <c r="V68" s="43">
        <v>0</v>
      </c>
      <c r="W68" s="43">
        <v>0</v>
      </c>
      <c r="X68" s="44">
        <f t="shared" si="3"/>
        <v>0</v>
      </c>
      <c r="Y68" s="43">
        <v>0</v>
      </c>
      <c r="Z68" s="43">
        <v>0</v>
      </c>
      <c r="AA68" s="43">
        <v>0</v>
      </c>
      <c r="AB68" s="43">
        <v>0</v>
      </c>
      <c r="AC68" s="43">
        <v>0</v>
      </c>
      <c r="AD68" s="43">
        <v>0</v>
      </c>
      <c r="AE68" s="43">
        <v>0</v>
      </c>
      <c r="AF68" s="43">
        <v>0</v>
      </c>
      <c r="AG68" s="43">
        <v>0</v>
      </c>
      <c r="AH68" s="43">
        <v>0</v>
      </c>
      <c r="AI68" s="43">
        <v>0</v>
      </c>
      <c r="AJ68" s="43">
        <v>400</v>
      </c>
      <c r="AK68" s="44">
        <f t="shared" si="4"/>
        <v>400</v>
      </c>
      <c r="AL68" s="43">
        <v>400</v>
      </c>
      <c r="AM68" s="43">
        <v>400</v>
      </c>
      <c r="AN68" s="43">
        <v>400</v>
      </c>
      <c r="AO68" s="43">
        <v>400</v>
      </c>
      <c r="AP68" s="43">
        <v>400</v>
      </c>
      <c r="AQ68" s="43">
        <v>400</v>
      </c>
      <c r="AR68" s="43">
        <v>400</v>
      </c>
      <c r="AS68" s="43">
        <v>400</v>
      </c>
      <c r="AT68" s="43">
        <v>400</v>
      </c>
      <c r="AU68" s="43">
        <v>400</v>
      </c>
      <c r="AV68" s="43">
        <v>400</v>
      </c>
      <c r="AW68" s="43">
        <v>400</v>
      </c>
      <c r="AX68" s="44">
        <f t="shared" si="6"/>
        <v>4800</v>
      </c>
      <c r="AY68" s="317">
        <f>SUMIF(Recibos!$D$4:$D$3010,Cobranza!$B68,Recibos!K$4:K$3010)</f>
        <v>400</v>
      </c>
      <c r="AZ68" s="317">
        <f>SUMIF(Recibos!$D$4:$D$3010,Cobranza!$B68,Recibos!L$4:L$3010)</f>
        <v>400</v>
      </c>
      <c r="BA68" s="317">
        <f>SUMIF(Recibos!$D$4:$D$3010,Cobranza!$B68,Recibos!M$4:M$3010)</f>
        <v>400</v>
      </c>
      <c r="BB68" s="317">
        <f>SUMIF(Recibos!$D$4:$D$3010,Cobranza!$B68,Recibos!N$4:N$3010)</f>
        <v>400</v>
      </c>
      <c r="BC68" s="317">
        <f>SUMIF(Recibos!$D$4:$D$3010,Cobranza!$B68,Recibos!O$4:O$3010)</f>
        <v>400</v>
      </c>
      <c r="BD68" s="317">
        <f>SUMIF(Recibos!$D$4:$D$3010,Cobranza!$B68,Recibos!P$4:P$3010)</f>
        <v>400</v>
      </c>
      <c r="BE68" s="317">
        <f>SUMIF(Recibos!$D$4:$D$3010,Cobranza!$B68,Recibos!Q$4:Q$3010)</f>
        <v>400</v>
      </c>
      <c r="BF68" s="317">
        <f>SUMIF(Recibos!$D$4:$D$3010,Cobranza!$B68,Recibos!R$4:R$3010)</f>
        <v>400</v>
      </c>
      <c r="BG68" s="317">
        <f>SUMIF(Recibos!$D$4:$D$3010,Cobranza!$B68,Recibos!S$4:S$3010)</f>
        <v>400</v>
      </c>
      <c r="BH68" s="317">
        <f>SUMIF(Recibos!$D$4:$D$3010,Cobranza!$B68,Recibos!T$4:T$3010)</f>
        <v>400</v>
      </c>
      <c r="BI68" s="317">
        <f>SUMIF(Recibos!$D$4:$D$3010,Cobranza!$B68,Recibos!U$4:U$3010)</f>
        <v>400</v>
      </c>
      <c r="BJ68" s="317">
        <f>SUMIF(Recibos!$D$4:$D$3010,Cobranza!$B68,Recibos!V$4:V$3010)</f>
        <v>400</v>
      </c>
      <c r="BK68" s="318">
        <f t="shared" si="7"/>
        <v>4800</v>
      </c>
      <c r="BL68" s="317">
        <f>SUMIF(Recibos!$D$4:$D$3010,Cobranza!$B68,Recibos!X$4:X$3010)</f>
        <v>400</v>
      </c>
      <c r="BM68" s="317">
        <f>SUMIF(Recibos!$D$4:$D$3010,Cobranza!$B68,Recibos!Y$4:Y$3010)</f>
        <v>0</v>
      </c>
      <c r="BN68" s="317">
        <f>SUMIF(Recibos!$D$4:$D$3010,Cobranza!$B68,Recibos!Z$4:Z$3010)</f>
        <v>0</v>
      </c>
      <c r="BO68" s="317">
        <f>SUMIF(Recibos!$D$4:$D$3010,Cobranza!$B68,Recibos!AA$4:AA$3010)</f>
        <v>0</v>
      </c>
      <c r="BP68" s="317">
        <f>SUMIF(Recibos!$D$4:$D$3010,Cobranza!$B68,Recibos!AB$4:AB$3010)</f>
        <v>0</v>
      </c>
      <c r="BQ68" s="317">
        <f>SUMIF(Recibos!$D$4:$D$3010,Cobranza!$B68,Recibos!AC$4:AC$3010)</f>
        <v>0</v>
      </c>
      <c r="BR68" s="317">
        <f>SUMIF(Recibos!$D$4:$D$3010,Cobranza!$B68,Recibos!AD$4:AD$3010)</f>
        <v>0</v>
      </c>
      <c r="BS68" s="317">
        <f>SUMIF(Recibos!$D$4:$D$3010,Cobranza!$B68,Recibos!AE$4:AE$3010)</f>
        <v>0</v>
      </c>
      <c r="BT68" s="317">
        <f>SUMIF(Recibos!$D$4:$D$3010,Cobranza!$B68,Recibos!AF$4:AF$3010)</f>
        <v>0</v>
      </c>
      <c r="BU68" s="317">
        <f>SUMIF(Recibos!$D$4:$D$3010,Cobranza!$B68,Recibos!AG$4:AG$3010)</f>
        <v>0</v>
      </c>
      <c r="BV68" s="317">
        <f>SUMIF(Recibos!$D$4:$D$3010,Cobranza!$B68,Recibos!AH$4:AH$3010)</f>
        <v>0</v>
      </c>
      <c r="BW68" s="317">
        <f>SUMIF(Recibos!$D$4:$D$3010,Cobranza!$B68,Recibos!AI$4:AI$3010)</f>
        <v>0</v>
      </c>
      <c r="BX68" s="318">
        <f t="shared" si="8"/>
        <v>400</v>
      </c>
    </row>
    <row r="69" spans="2:76" x14ac:dyDescent="0.2">
      <c r="B69" s="45" t="s">
        <v>772</v>
      </c>
      <c r="C69" s="45" t="s">
        <v>773</v>
      </c>
      <c r="D69" s="45" t="s">
        <v>1285</v>
      </c>
      <c r="E69" s="46">
        <v>0</v>
      </c>
      <c r="F69" s="46">
        <v>0</v>
      </c>
      <c r="G69" s="46">
        <v>0</v>
      </c>
      <c r="H69" s="46">
        <v>0</v>
      </c>
      <c r="I69" s="46">
        <v>0</v>
      </c>
      <c r="J69" s="46">
        <v>0</v>
      </c>
      <c r="K69" s="47">
        <f t="shared" si="2"/>
        <v>0</v>
      </c>
      <c r="L69" s="46">
        <v>0</v>
      </c>
      <c r="M69" s="46">
        <v>0</v>
      </c>
      <c r="N69" s="46">
        <v>0</v>
      </c>
      <c r="O69" s="46">
        <v>0</v>
      </c>
      <c r="P69" s="46">
        <v>0</v>
      </c>
      <c r="Q69" s="46">
        <v>0</v>
      </c>
      <c r="R69" s="46">
        <v>0</v>
      </c>
      <c r="S69" s="46">
        <v>0</v>
      </c>
      <c r="T69" s="46">
        <v>0</v>
      </c>
      <c r="U69" s="46">
        <v>0</v>
      </c>
      <c r="V69" s="46">
        <v>0</v>
      </c>
      <c r="W69" s="46">
        <v>0</v>
      </c>
      <c r="X69" s="47">
        <f t="shared" si="3"/>
        <v>0</v>
      </c>
      <c r="Y69" s="46">
        <v>0</v>
      </c>
      <c r="Z69" s="46">
        <v>0</v>
      </c>
      <c r="AA69" s="46">
        <v>0</v>
      </c>
      <c r="AB69" s="46">
        <v>0</v>
      </c>
      <c r="AC69" s="46">
        <v>0</v>
      </c>
      <c r="AD69" s="46">
        <v>0</v>
      </c>
      <c r="AE69" s="46">
        <v>0</v>
      </c>
      <c r="AF69" s="46">
        <v>0</v>
      </c>
      <c r="AG69" s="46">
        <v>0</v>
      </c>
      <c r="AH69" s="46">
        <v>0</v>
      </c>
      <c r="AI69" s="46">
        <v>0</v>
      </c>
      <c r="AJ69" s="46">
        <v>0</v>
      </c>
      <c r="AK69" s="47">
        <f t="shared" si="4"/>
        <v>0</v>
      </c>
      <c r="AL69" s="46">
        <v>0</v>
      </c>
      <c r="AM69" s="46">
        <v>200</v>
      </c>
      <c r="AN69" s="46">
        <v>200</v>
      </c>
      <c r="AO69" s="46">
        <v>200</v>
      </c>
      <c r="AP69" s="46">
        <v>200</v>
      </c>
      <c r="AQ69" s="46">
        <v>200</v>
      </c>
      <c r="AR69" s="46">
        <v>200</v>
      </c>
      <c r="AS69" s="46">
        <v>200</v>
      </c>
      <c r="AT69" s="46">
        <v>200</v>
      </c>
      <c r="AU69" s="46">
        <v>200</v>
      </c>
      <c r="AV69" s="46">
        <v>200</v>
      </c>
      <c r="AW69" s="46">
        <v>0</v>
      </c>
      <c r="AX69" s="47">
        <f t="shared" si="6"/>
        <v>2000</v>
      </c>
      <c r="AY69" s="319">
        <f>SUMIF(Recibos!$D$4:$D$3010,Cobranza!$B69,Recibos!K$4:K$3010)</f>
        <v>200</v>
      </c>
      <c r="AZ69" s="319">
        <f>SUMIF(Recibos!$D$4:$D$3010,Cobranza!$B69,Recibos!L$4:L$3010)</f>
        <v>200</v>
      </c>
      <c r="BA69" s="319">
        <f>SUMIF(Recibos!$D$4:$D$3010,Cobranza!$B69,Recibos!M$4:M$3010)</f>
        <v>200</v>
      </c>
      <c r="BB69" s="319">
        <f>SUMIF(Recibos!$D$4:$D$3010,Cobranza!$B69,Recibos!N$4:N$3010)</f>
        <v>200</v>
      </c>
      <c r="BC69" s="319">
        <f>SUMIF(Recibos!$D$4:$D$3010,Cobranza!$B69,Recibos!O$4:O$3010)</f>
        <v>200</v>
      </c>
      <c r="BD69" s="319">
        <f>SUMIF(Recibos!$D$4:$D$3010,Cobranza!$B69,Recibos!P$4:P$3010)</f>
        <v>200</v>
      </c>
      <c r="BE69" s="319">
        <f>SUMIF(Recibos!$D$4:$D$3010,Cobranza!$B69,Recibos!Q$4:Q$3010)</f>
        <v>0</v>
      </c>
      <c r="BF69" s="319">
        <f>SUMIF(Recibos!$D$4:$D$3010,Cobranza!$B69,Recibos!R$4:R$3010)</f>
        <v>0</v>
      </c>
      <c r="BG69" s="319">
        <f>SUMIF(Recibos!$D$4:$D$3010,Cobranza!$B69,Recibos!S$4:S$3010)</f>
        <v>0</v>
      </c>
      <c r="BH69" s="319">
        <f>SUMIF(Recibos!$D$4:$D$3010,Cobranza!$B69,Recibos!T$4:T$3010)</f>
        <v>0</v>
      </c>
      <c r="BI69" s="319">
        <f>SUMIF(Recibos!$D$4:$D$3010,Cobranza!$B69,Recibos!U$4:U$3010)</f>
        <v>0</v>
      </c>
      <c r="BJ69" s="319">
        <f>SUMIF(Recibos!$D$4:$D$3010,Cobranza!$B69,Recibos!V$4:V$3010)</f>
        <v>0</v>
      </c>
      <c r="BK69" s="320">
        <f t="shared" si="7"/>
        <v>1200</v>
      </c>
      <c r="BL69" s="319">
        <f>SUMIF(Recibos!$D$4:$D$3010,Cobranza!$B69,Recibos!X$4:X$3010)</f>
        <v>0</v>
      </c>
      <c r="BM69" s="319">
        <f>SUMIF(Recibos!$D$4:$D$3010,Cobranza!$B69,Recibos!Y$4:Y$3010)</f>
        <v>0</v>
      </c>
      <c r="BN69" s="319">
        <f>SUMIF(Recibos!$D$4:$D$3010,Cobranza!$B69,Recibos!Z$4:Z$3010)</f>
        <v>0</v>
      </c>
      <c r="BO69" s="319">
        <f>SUMIF(Recibos!$D$4:$D$3010,Cobranza!$B69,Recibos!AA$4:AA$3010)</f>
        <v>0</v>
      </c>
      <c r="BP69" s="319">
        <f>SUMIF(Recibos!$D$4:$D$3010,Cobranza!$B69,Recibos!AB$4:AB$3010)</f>
        <v>0</v>
      </c>
      <c r="BQ69" s="319">
        <f>SUMIF(Recibos!$D$4:$D$3010,Cobranza!$B69,Recibos!AC$4:AC$3010)</f>
        <v>0</v>
      </c>
      <c r="BR69" s="319">
        <f>SUMIF(Recibos!$D$4:$D$3010,Cobranza!$B69,Recibos!AD$4:AD$3010)</f>
        <v>0</v>
      </c>
      <c r="BS69" s="319">
        <f>SUMIF(Recibos!$D$4:$D$3010,Cobranza!$B69,Recibos!AE$4:AE$3010)</f>
        <v>0</v>
      </c>
      <c r="BT69" s="319">
        <f>SUMIF(Recibos!$D$4:$D$3010,Cobranza!$B69,Recibos!AF$4:AF$3010)</f>
        <v>0</v>
      </c>
      <c r="BU69" s="319">
        <f>SUMIF(Recibos!$D$4:$D$3010,Cobranza!$B69,Recibos!AG$4:AG$3010)</f>
        <v>0</v>
      </c>
      <c r="BV69" s="319">
        <f>SUMIF(Recibos!$D$4:$D$3010,Cobranza!$B69,Recibos!AH$4:AH$3010)</f>
        <v>0</v>
      </c>
      <c r="BW69" s="319">
        <f>SUMIF(Recibos!$D$4:$D$3010,Cobranza!$B69,Recibos!AI$4:AI$3010)</f>
        <v>0</v>
      </c>
      <c r="BX69" s="320">
        <f t="shared" si="8"/>
        <v>0</v>
      </c>
    </row>
    <row r="70" spans="2:76" x14ac:dyDescent="0.2">
      <c r="B70" s="42" t="s">
        <v>54</v>
      </c>
      <c r="C70" s="42" t="s">
        <v>55</v>
      </c>
      <c r="D70" s="42" t="s">
        <v>56</v>
      </c>
      <c r="E70" s="43">
        <v>0</v>
      </c>
      <c r="F70" s="43">
        <v>0</v>
      </c>
      <c r="G70" s="43">
        <v>0</v>
      </c>
      <c r="H70" s="43">
        <v>0</v>
      </c>
      <c r="I70" s="43">
        <v>0</v>
      </c>
      <c r="J70" s="43">
        <v>0</v>
      </c>
      <c r="K70" s="44">
        <f t="shared" si="2"/>
        <v>0</v>
      </c>
      <c r="L70" s="43">
        <v>300</v>
      </c>
      <c r="M70" s="43">
        <v>300</v>
      </c>
      <c r="N70" s="43">
        <v>300</v>
      </c>
      <c r="O70" s="43">
        <v>300</v>
      </c>
      <c r="P70" s="43">
        <v>300</v>
      </c>
      <c r="Q70" s="43">
        <v>300</v>
      </c>
      <c r="R70" s="43">
        <v>300</v>
      </c>
      <c r="S70" s="43">
        <v>300</v>
      </c>
      <c r="T70" s="43">
        <v>300</v>
      </c>
      <c r="U70" s="43">
        <v>300</v>
      </c>
      <c r="V70" s="43">
        <v>300</v>
      </c>
      <c r="W70" s="43">
        <v>0</v>
      </c>
      <c r="X70" s="44">
        <f t="shared" si="3"/>
        <v>3300</v>
      </c>
      <c r="Y70" s="43">
        <v>400</v>
      </c>
      <c r="Z70" s="43">
        <v>400</v>
      </c>
      <c r="AA70" s="43">
        <v>400</v>
      </c>
      <c r="AB70" s="43">
        <v>400</v>
      </c>
      <c r="AC70" s="43">
        <v>400</v>
      </c>
      <c r="AD70" s="43">
        <v>400</v>
      </c>
      <c r="AE70" s="43">
        <v>400</v>
      </c>
      <c r="AF70" s="43">
        <v>400</v>
      </c>
      <c r="AG70" s="43">
        <v>400</v>
      </c>
      <c r="AH70" s="43">
        <v>400</v>
      </c>
      <c r="AI70" s="43">
        <v>400</v>
      </c>
      <c r="AJ70" s="43">
        <v>0</v>
      </c>
      <c r="AK70" s="44">
        <f t="shared" si="4"/>
        <v>4400</v>
      </c>
      <c r="AL70" s="43">
        <v>400</v>
      </c>
      <c r="AM70" s="43">
        <v>400</v>
      </c>
      <c r="AN70" s="43">
        <v>400</v>
      </c>
      <c r="AO70" s="43">
        <v>400</v>
      </c>
      <c r="AP70" s="43">
        <v>400</v>
      </c>
      <c r="AQ70" s="43">
        <v>400</v>
      </c>
      <c r="AR70" s="43">
        <v>400</v>
      </c>
      <c r="AS70" s="43">
        <v>400</v>
      </c>
      <c r="AT70" s="43">
        <v>400</v>
      </c>
      <c r="AU70" s="43">
        <v>400</v>
      </c>
      <c r="AV70" s="43">
        <v>400</v>
      </c>
      <c r="AW70" s="43">
        <v>0</v>
      </c>
      <c r="AX70" s="44">
        <f t="shared" si="6"/>
        <v>4400</v>
      </c>
      <c r="AY70" s="317">
        <f>SUMIF(Recibos!$D$4:$D$3010,Cobranza!$B70,Recibos!K$4:K$3010)</f>
        <v>400</v>
      </c>
      <c r="AZ70" s="317">
        <f>SUMIF(Recibos!$D$4:$D$3010,Cobranza!$B70,Recibos!L$4:L$3010)</f>
        <v>400</v>
      </c>
      <c r="BA70" s="317">
        <f>SUMIF(Recibos!$D$4:$D$3010,Cobranza!$B70,Recibos!M$4:M$3010)</f>
        <v>400</v>
      </c>
      <c r="BB70" s="317">
        <f>SUMIF(Recibos!$D$4:$D$3010,Cobranza!$B70,Recibos!N$4:N$3010)</f>
        <v>400</v>
      </c>
      <c r="BC70" s="317">
        <f>SUMIF(Recibos!$D$4:$D$3010,Cobranza!$B70,Recibos!O$4:O$3010)</f>
        <v>400</v>
      </c>
      <c r="BD70" s="317">
        <f>SUMIF(Recibos!$D$4:$D$3010,Cobranza!$B70,Recibos!P$4:P$3010)</f>
        <v>400</v>
      </c>
      <c r="BE70" s="317">
        <f>SUMIF(Recibos!$D$4:$D$3010,Cobranza!$B70,Recibos!Q$4:Q$3010)</f>
        <v>400</v>
      </c>
      <c r="BF70" s="317">
        <f>SUMIF(Recibos!$D$4:$D$3010,Cobranza!$B70,Recibos!R$4:R$3010)</f>
        <v>400</v>
      </c>
      <c r="BG70" s="317">
        <f>SUMIF(Recibos!$D$4:$D$3010,Cobranza!$B70,Recibos!S$4:S$3010)</f>
        <v>400</v>
      </c>
      <c r="BH70" s="317">
        <f>SUMIF(Recibos!$D$4:$D$3010,Cobranza!$B70,Recibos!T$4:T$3010)</f>
        <v>400</v>
      </c>
      <c r="BI70" s="317">
        <f>SUMIF(Recibos!$D$4:$D$3010,Cobranza!$B70,Recibos!U$4:U$3010)</f>
        <v>400</v>
      </c>
      <c r="BJ70" s="317">
        <f>SUMIF(Recibos!$D$4:$D$3010,Cobranza!$B70,Recibos!V$4:V$3010)</f>
        <v>0</v>
      </c>
      <c r="BK70" s="318">
        <f t="shared" si="7"/>
        <v>4400</v>
      </c>
      <c r="BL70" s="317">
        <f>SUMIF(Recibos!$D$4:$D$3010,Cobranza!$B70,Recibos!X$4:X$3010)</f>
        <v>400</v>
      </c>
      <c r="BM70" s="317">
        <f>SUMIF(Recibos!$D$4:$D$3010,Cobranza!$B70,Recibos!Y$4:Y$3010)</f>
        <v>400</v>
      </c>
      <c r="BN70" s="317">
        <f>SUMIF(Recibos!$D$4:$D$3010,Cobranza!$B70,Recibos!Z$4:Z$3010)</f>
        <v>400</v>
      </c>
      <c r="BO70" s="317">
        <f>SUMIF(Recibos!$D$4:$D$3010,Cobranza!$B70,Recibos!AA$4:AA$3010)</f>
        <v>400</v>
      </c>
      <c r="BP70" s="317">
        <f>SUMIF(Recibos!$D$4:$D$3010,Cobranza!$B70,Recibos!AB$4:AB$3010)</f>
        <v>400</v>
      </c>
      <c r="BQ70" s="317">
        <f>SUMIF(Recibos!$D$4:$D$3010,Cobranza!$B70,Recibos!AC$4:AC$3010)</f>
        <v>400</v>
      </c>
      <c r="BR70" s="317">
        <f>SUMIF(Recibos!$D$4:$D$3010,Cobranza!$B70,Recibos!AD$4:AD$3010)</f>
        <v>400</v>
      </c>
      <c r="BS70" s="317">
        <f>SUMIF(Recibos!$D$4:$D$3010,Cobranza!$B70,Recibos!AE$4:AE$3010)</f>
        <v>400</v>
      </c>
      <c r="BT70" s="317">
        <f>SUMIF(Recibos!$D$4:$D$3010,Cobranza!$B70,Recibos!AF$4:AF$3010)</f>
        <v>400</v>
      </c>
      <c r="BU70" s="317">
        <f>SUMIF(Recibos!$D$4:$D$3010,Cobranza!$B70,Recibos!AG$4:AG$3010)</f>
        <v>400</v>
      </c>
      <c r="BV70" s="317">
        <f>SUMIF(Recibos!$D$4:$D$3010,Cobranza!$B70,Recibos!AH$4:AH$3010)</f>
        <v>400</v>
      </c>
      <c r="BW70" s="317">
        <f>SUMIF(Recibos!$D$4:$D$3010,Cobranza!$B70,Recibos!AI$4:AI$3010)</f>
        <v>0</v>
      </c>
      <c r="BX70" s="318">
        <f t="shared" si="8"/>
        <v>4400</v>
      </c>
    </row>
    <row r="71" spans="2:76" x14ac:dyDescent="0.2">
      <c r="B71" s="45" t="s">
        <v>702</v>
      </c>
      <c r="C71" s="45" t="s">
        <v>703</v>
      </c>
      <c r="D71" s="45" t="s">
        <v>704</v>
      </c>
      <c r="E71" s="46">
        <v>0</v>
      </c>
      <c r="F71" s="46">
        <v>0</v>
      </c>
      <c r="G71" s="46">
        <v>0</v>
      </c>
      <c r="H71" s="46">
        <v>0</v>
      </c>
      <c r="I71" s="46">
        <v>0</v>
      </c>
      <c r="J71" s="46">
        <v>0</v>
      </c>
      <c r="K71" s="47">
        <f t="shared" si="2"/>
        <v>0</v>
      </c>
      <c r="L71" s="46">
        <v>0</v>
      </c>
      <c r="M71" s="46">
        <v>0</v>
      </c>
      <c r="N71" s="46">
        <v>0</v>
      </c>
      <c r="O71" s="46">
        <v>0</v>
      </c>
      <c r="P71" s="46">
        <v>0</v>
      </c>
      <c r="Q71" s="46">
        <v>0</v>
      </c>
      <c r="R71" s="46">
        <v>0</v>
      </c>
      <c r="S71" s="46">
        <v>0</v>
      </c>
      <c r="T71" s="46">
        <v>0</v>
      </c>
      <c r="U71" s="46">
        <v>0</v>
      </c>
      <c r="V71" s="46">
        <v>0</v>
      </c>
      <c r="W71" s="46">
        <v>0</v>
      </c>
      <c r="X71" s="47">
        <f t="shared" si="3"/>
        <v>0</v>
      </c>
      <c r="Y71" s="46">
        <v>0</v>
      </c>
      <c r="Z71" s="46">
        <v>0</v>
      </c>
      <c r="AA71" s="46">
        <v>0</v>
      </c>
      <c r="AB71" s="46">
        <v>0</v>
      </c>
      <c r="AC71" s="46">
        <v>0</v>
      </c>
      <c r="AD71" s="46">
        <v>0</v>
      </c>
      <c r="AE71" s="46">
        <v>0</v>
      </c>
      <c r="AF71" s="46">
        <v>0</v>
      </c>
      <c r="AG71" s="46">
        <v>0</v>
      </c>
      <c r="AH71" s="46">
        <v>0</v>
      </c>
      <c r="AI71" s="46">
        <v>0</v>
      </c>
      <c r="AJ71" s="46">
        <v>0</v>
      </c>
      <c r="AK71" s="47">
        <f t="shared" si="4"/>
        <v>0</v>
      </c>
      <c r="AL71" s="46">
        <v>400</v>
      </c>
      <c r="AM71" s="46">
        <v>400</v>
      </c>
      <c r="AN71" s="46">
        <v>400</v>
      </c>
      <c r="AO71" s="46">
        <v>400</v>
      </c>
      <c r="AP71" s="46">
        <v>400</v>
      </c>
      <c r="AQ71" s="46">
        <v>400</v>
      </c>
      <c r="AR71" s="46">
        <v>400</v>
      </c>
      <c r="AS71" s="46">
        <v>400</v>
      </c>
      <c r="AT71" s="46">
        <v>400</v>
      </c>
      <c r="AU71" s="46">
        <v>400</v>
      </c>
      <c r="AV71" s="46">
        <v>400</v>
      </c>
      <c r="AW71" s="46">
        <v>400</v>
      </c>
      <c r="AX71" s="47">
        <f t="shared" si="6"/>
        <v>4800</v>
      </c>
      <c r="AY71" s="319">
        <f>SUMIF(Recibos!$D$4:$D$3010,Cobranza!$B71,Recibos!K$4:K$3010)</f>
        <v>400</v>
      </c>
      <c r="AZ71" s="319">
        <f>SUMIF(Recibos!$D$4:$D$3010,Cobranza!$B71,Recibos!L$4:L$3010)</f>
        <v>400</v>
      </c>
      <c r="BA71" s="319">
        <f>SUMIF(Recibos!$D$4:$D$3010,Cobranza!$B71,Recibos!M$4:M$3010)</f>
        <v>400</v>
      </c>
      <c r="BB71" s="319">
        <f>SUMIF(Recibos!$D$4:$D$3010,Cobranza!$B71,Recibos!N$4:N$3010)</f>
        <v>400</v>
      </c>
      <c r="BC71" s="319">
        <f>SUMIF(Recibos!$D$4:$D$3010,Cobranza!$B71,Recibos!O$4:O$3010)</f>
        <v>400</v>
      </c>
      <c r="BD71" s="319">
        <f>SUMIF(Recibos!$D$4:$D$3010,Cobranza!$B71,Recibos!P$4:P$3010)</f>
        <v>400</v>
      </c>
      <c r="BE71" s="319">
        <f>SUMIF(Recibos!$D$4:$D$3010,Cobranza!$B71,Recibos!Q$4:Q$3010)</f>
        <v>400</v>
      </c>
      <c r="BF71" s="319">
        <f>SUMIF(Recibos!$D$4:$D$3010,Cobranza!$B71,Recibos!R$4:R$3010)</f>
        <v>400</v>
      </c>
      <c r="BG71" s="319">
        <f>SUMIF(Recibos!$D$4:$D$3010,Cobranza!$B71,Recibos!S$4:S$3010)</f>
        <v>400</v>
      </c>
      <c r="BH71" s="319">
        <f>SUMIF(Recibos!$D$4:$D$3010,Cobranza!$B71,Recibos!T$4:T$3010)</f>
        <v>400</v>
      </c>
      <c r="BI71" s="319">
        <f>SUMIF(Recibos!$D$4:$D$3010,Cobranza!$B71,Recibos!U$4:U$3010)</f>
        <v>400</v>
      </c>
      <c r="BJ71" s="319">
        <f>SUMIF(Recibos!$D$4:$D$3010,Cobranza!$B71,Recibos!V$4:V$3010)</f>
        <v>0</v>
      </c>
      <c r="BK71" s="320">
        <f t="shared" si="7"/>
        <v>4400</v>
      </c>
      <c r="BL71" s="319">
        <f>SUMIF(Recibos!$D$4:$D$3010,Cobranza!$B71,Recibos!X$4:X$3010)</f>
        <v>400</v>
      </c>
      <c r="BM71" s="319">
        <f>SUMIF(Recibos!$D$4:$D$3010,Cobranza!$B71,Recibos!Y$4:Y$3010)</f>
        <v>400</v>
      </c>
      <c r="BN71" s="319">
        <f>SUMIF(Recibos!$D$4:$D$3010,Cobranza!$B71,Recibos!Z$4:Z$3010)</f>
        <v>400</v>
      </c>
      <c r="BO71" s="319">
        <f>SUMIF(Recibos!$D$4:$D$3010,Cobranza!$B71,Recibos!AA$4:AA$3010)</f>
        <v>400</v>
      </c>
      <c r="BP71" s="319">
        <f>SUMIF(Recibos!$D$4:$D$3010,Cobranza!$B71,Recibos!AB$4:AB$3010)</f>
        <v>400</v>
      </c>
      <c r="BQ71" s="319">
        <f>SUMIF(Recibos!$D$4:$D$3010,Cobranza!$B71,Recibos!AC$4:AC$3010)</f>
        <v>400</v>
      </c>
      <c r="BR71" s="319">
        <f>SUMIF(Recibos!$D$4:$D$3010,Cobranza!$B71,Recibos!AD$4:AD$3010)</f>
        <v>400</v>
      </c>
      <c r="BS71" s="319">
        <f>SUMIF(Recibos!$D$4:$D$3010,Cobranza!$B71,Recibos!AE$4:AE$3010)</f>
        <v>400</v>
      </c>
      <c r="BT71" s="319">
        <f>SUMIF(Recibos!$D$4:$D$3010,Cobranza!$B71,Recibos!AF$4:AF$3010)</f>
        <v>400</v>
      </c>
      <c r="BU71" s="319">
        <f>SUMIF(Recibos!$D$4:$D$3010,Cobranza!$B71,Recibos!AG$4:AG$3010)</f>
        <v>400</v>
      </c>
      <c r="BV71" s="319">
        <f>SUMIF(Recibos!$D$4:$D$3010,Cobranza!$B71,Recibos!AH$4:AH$3010)</f>
        <v>400</v>
      </c>
      <c r="BW71" s="319">
        <f>SUMIF(Recibos!$D$4:$D$3010,Cobranza!$B71,Recibos!AI$4:AI$3010)</f>
        <v>0</v>
      </c>
      <c r="BX71" s="320">
        <f t="shared" si="8"/>
        <v>4400</v>
      </c>
    </row>
    <row r="72" spans="2:76" x14ac:dyDescent="0.2">
      <c r="B72" s="42" t="s">
        <v>241</v>
      </c>
      <c r="C72" s="42" t="s">
        <v>242</v>
      </c>
      <c r="D72" s="42" t="s">
        <v>243</v>
      </c>
      <c r="E72" s="43">
        <v>0</v>
      </c>
      <c r="F72" s="43">
        <v>0</v>
      </c>
      <c r="G72" s="43">
        <v>0</v>
      </c>
      <c r="H72" s="43">
        <v>0</v>
      </c>
      <c r="I72" s="43">
        <v>0</v>
      </c>
      <c r="J72" s="43">
        <v>300</v>
      </c>
      <c r="K72" s="44">
        <f t="shared" si="2"/>
        <v>300</v>
      </c>
      <c r="L72" s="43">
        <v>300</v>
      </c>
      <c r="M72" s="43">
        <v>300</v>
      </c>
      <c r="N72" s="43">
        <v>300</v>
      </c>
      <c r="O72" s="43">
        <v>300</v>
      </c>
      <c r="P72" s="43">
        <v>300</v>
      </c>
      <c r="Q72" s="43">
        <v>300</v>
      </c>
      <c r="R72" s="43">
        <v>300</v>
      </c>
      <c r="S72" s="43">
        <v>300</v>
      </c>
      <c r="T72" s="43">
        <v>300</v>
      </c>
      <c r="U72" s="43">
        <v>500</v>
      </c>
      <c r="V72" s="43">
        <v>500</v>
      </c>
      <c r="W72" s="43">
        <v>500</v>
      </c>
      <c r="X72" s="44">
        <f t="shared" si="3"/>
        <v>4200</v>
      </c>
      <c r="Y72" s="43">
        <v>400</v>
      </c>
      <c r="Z72" s="43">
        <v>400</v>
      </c>
      <c r="AA72" s="43">
        <v>400</v>
      </c>
      <c r="AB72" s="43">
        <v>400</v>
      </c>
      <c r="AC72" s="43">
        <v>400</v>
      </c>
      <c r="AD72" s="43">
        <v>400</v>
      </c>
      <c r="AE72" s="43">
        <v>400</v>
      </c>
      <c r="AF72" s="43">
        <v>400</v>
      </c>
      <c r="AG72" s="43">
        <v>800</v>
      </c>
      <c r="AH72" s="43">
        <v>400</v>
      </c>
      <c r="AI72" s="43">
        <v>400</v>
      </c>
      <c r="AJ72" s="43">
        <v>400</v>
      </c>
      <c r="AK72" s="44">
        <f t="shared" si="4"/>
        <v>5200</v>
      </c>
      <c r="AL72" s="43">
        <v>400</v>
      </c>
      <c r="AM72" s="43">
        <v>400</v>
      </c>
      <c r="AN72" s="43">
        <v>400</v>
      </c>
      <c r="AO72" s="43">
        <v>400</v>
      </c>
      <c r="AP72" s="43">
        <v>400</v>
      </c>
      <c r="AQ72" s="43">
        <v>400</v>
      </c>
      <c r="AR72" s="43">
        <v>400</v>
      </c>
      <c r="AS72" s="43">
        <v>400</v>
      </c>
      <c r="AT72" s="43">
        <v>400</v>
      </c>
      <c r="AU72" s="43">
        <v>400</v>
      </c>
      <c r="AV72" s="43">
        <v>400</v>
      </c>
      <c r="AW72" s="43">
        <v>400</v>
      </c>
      <c r="AX72" s="44">
        <f t="shared" si="6"/>
        <v>4800</v>
      </c>
      <c r="AY72" s="317">
        <f>SUMIF(Recibos!$D$4:$D$3010,Cobranza!$B72,Recibos!K$4:K$3010)</f>
        <v>400</v>
      </c>
      <c r="AZ72" s="317">
        <f>SUMIF(Recibos!$D$4:$D$3010,Cobranza!$B72,Recibos!L$4:L$3010)</f>
        <v>400</v>
      </c>
      <c r="BA72" s="317">
        <f>SUMIF(Recibos!$D$4:$D$3010,Cobranza!$B72,Recibos!M$4:M$3010)</f>
        <v>400</v>
      </c>
      <c r="BB72" s="317">
        <f>SUMIF(Recibos!$D$4:$D$3010,Cobranza!$B72,Recibos!N$4:N$3010)</f>
        <v>400</v>
      </c>
      <c r="BC72" s="317">
        <f>SUMIF(Recibos!$D$4:$D$3010,Cobranza!$B72,Recibos!O$4:O$3010)</f>
        <v>400</v>
      </c>
      <c r="BD72" s="317">
        <f>SUMIF(Recibos!$D$4:$D$3010,Cobranza!$B72,Recibos!P$4:P$3010)</f>
        <v>400</v>
      </c>
      <c r="BE72" s="317">
        <f>SUMIF(Recibos!$D$4:$D$3010,Cobranza!$B72,Recibos!Q$4:Q$3010)</f>
        <v>400</v>
      </c>
      <c r="BF72" s="317">
        <f>SUMIF(Recibos!$D$4:$D$3010,Cobranza!$B72,Recibos!R$4:R$3010)</f>
        <v>400</v>
      </c>
      <c r="BG72" s="317">
        <f>SUMIF(Recibos!$D$4:$D$3010,Cobranza!$B72,Recibos!S$4:S$3010)</f>
        <v>400</v>
      </c>
      <c r="BH72" s="317">
        <f>SUMIF(Recibos!$D$4:$D$3010,Cobranza!$B72,Recibos!T$4:T$3010)</f>
        <v>400</v>
      </c>
      <c r="BI72" s="317">
        <f>SUMIF(Recibos!$D$4:$D$3010,Cobranza!$B72,Recibos!U$4:U$3010)</f>
        <v>400</v>
      </c>
      <c r="BJ72" s="317">
        <f>SUMIF(Recibos!$D$4:$D$3010,Cobranza!$B72,Recibos!V$4:V$3010)</f>
        <v>400</v>
      </c>
      <c r="BK72" s="318">
        <f t="shared" si="7"/>
        <v>4800</v>
      </c>
      <c r="BL72" s="317">
        <f>SUMIF(Recibos!$D$4:$D$3010,Cobranza!$B72,Recibos!X$4:X$3010)</f>
        <v>0</v>
      </c>
      <c r="BM72" s="317">
        <f>SUMIF(Recibos!$D$4:$D$3010,Cobranza!$B72,Recibos!Y$4:Y$3010)</f>
        <v>0</v>
      </c>
      <c r="BN72" s="317">
        <f>SUMIF(Recibos!$D$4:$D$3010,Cobranza!$B72,Recibos!Z$4:Z$3010)</f>
        <v>0</v>
      </c>
      <c r="BO72" s="317">
        <f>SUMIF(Recibos!$D$4:$D$3010,Cobranza!$B72,Recibos!AA$4:AA$3010)</f>
        <v>0</v>
      </c>
      <c r="BP72" s="317">
        <f>SUMIF(Recibos!$D$4:$D$3010,Cobranza!$B72,Recibos!AB$4:AB$3010)</f>
        <v>0</v>
      </c>
      <c r="BQ72" s="317">
        <f>SUMIF(Recibos!$D$4:$D$3010,Cobranza!$B72,Recibos!AC$4:AC$3010)</f>
        <v>0</v>
      </c>
      <c r="BR72" s="317">
        <f>SUMIF(Recibos!$D$4:$D$3010,Cobranza!$B72,Recibos!AD$4:AD$3010)</f>
        <v>0</v>
      </c>
      <c r="BS72" s="317">
        <f>SUMIF(Recibos!$D$4:$D$3010,Cobranza!$B72,Recibos!AE$4:AE$3010)</f>
        <v>0</v>
      </c>
      <c r="BT72" s="317">
        <f>SUMIF(Recibos!$D$4:$D$3010,Cobranza!$B72,Recibos!AF$4:AF$3010)</f>
        <v>0</v>
      </c>
      <c r="BU72" s="317">
        <f>SUMIF(Recibos!$D$4:$D$3010,Cobranza!$B72,Recibos!AG$4:AG$3010)</f>
        <v>0</v>
      </c>
      <c r="BV72" s="317">
        <f>SUMIF(Recibos!$D$4:$D$3010,Cobranza!$B72,Recibos!AH$4:AH$3010)</f>
        <v>0</v>
      </c>
      <c r="BW72" s="317">
        <f>SUMIF(Recibos!$D$4:$D$3010,Cobranza!$B72,Recibos!AI$4:AI$3010)</f>
        <v>0</v>
      </c>
      <c r="BX72" s="318">
        <f t="shared" si="8"/>
        <v>0</v>
      </c>
    </row>
    <row r="73" spans="2:76" x14ac:dyDescent="0.2">
      <c r="B73" s="45" t="s">
        <v>1286</v>
      </c>
      <c r="C73" s="45" t="s">
        <v>1287</v>
      </c>
      <c r="D73" s="45" t="s">
        <v>1288</v>
      </c>
      <c r="E73" s="46">
        <v>0</v>
      </c>
      <c r="F73" s="46">
        <v>0</v>
      </c>
      <c r="G73" s="46">
        <v>0</v>
      </c>
      <c r="H73" s="46">
        <v>0</v>
      </c>
      <c r="I73" s="46">
        <v>0</v>
      </c>
      <c r="J73" s="46">
        <v>0</v>
      </c>
      <c r="K73" s="47">
        <f t="shared" ref="K73:K137" si="9">SUM(E73:J73)</f>
        <v>0</v>
      </c>
      <c r="L73" s="46">
        <v>300</v>
      </c>
      <c r="M73" s="46">
        <v>300</v>
      </c>
      <c r="N73" s="46">
        <v>300</v>
      </c>
      <c r="O73" s="46">
        <v>300</v>
      </c>
      <c r="P73" s="46">
        <v>300</v>
      </c>
      <c r="Q73" s="46">
        <v>300</v>
      </c>
      <c r="R73" s="46">
        <v>300</v>
      </c>
      <c r="S73" s="46">
        <v>300</v>
      </c>
      <c r="T73" s="46">
        <v>300</v>
      </c>
      <c r="U73" s="46">
        <v>300</v>
      </c>
      <c r="V73" s="46">
        <v>300</v>
      </c>
      <c r="W73" s="46">
        <v>0</v>
      </c>
      <c r="X73" s="47">
        <f t="shared" ref="X73:X137" si="10">SUM(L73:W73)</f>
        <v>3300</v>
      </c>
      <c r="Y73" s="46">
        <v>300</v>
      </c>
      <c r="Z73" s="46">
        <v>400</v>
      </c>
      <c r="AA73" s="46">
        <v>0</v>
      </c>
      <c r="AB73" s="46">
        <v>400</v>
      </c>
      <c r="AC73" s="46">
        <v>400</v>
      </c>
      <c r="AD73" s="46">
        <v>400</v>
      </c>
      <c r="AE73" s="46">
        <v>400</v>
      </c>
      <c r="AF73" s="46">
        <v>400</v>
      </c>
      <c r="AG73" s="46">
        <v>0</v>
      </c>
      <c r="AH73" s="46">
        <v>400</v>
      </c>
      <c r="AI73" s="46">
        <v>400</v>
      </c>
      <c r="AJ73" s="46">
        <v>400</v>
      </c>
      <c r="AK73" s="47">
        <f t="shared" ref="AK73:AK137" si="11">SUM(Y73:AJ73)</f>
        <v>3900</v>
      </c>
      <c r="AL73" s="46">
        <v>0</v>
      </c>
      <c r="AM73" s="46">
        <v>0</v>
      </c>
      <c r="AN73" s="46">
        <v>0</v>
      </c>
      <c r="AO73" s="46">
        <v>0</v>
      </c>
      <c r="AP73" s="46">
        <v>0</v>
      </c>
      <c r="AQ73" s="46">
        <v>0</v>
      </c>
      <c r="AR73" s="46">
        <v>0</v>
      </c>
      <c r="AS73" s="46">
        <v>0</v>
      </c>
      <c r="AT73" s="46">
        <v>0</v>
      </c>
      <c r="AU73" s="46">
        <v>0</v>
      </c>
      <c r="AV73" s="46">
        <v>0</v>
      </c>
      <c r="AW73" s="46">
        <v>0</v>
      </c>
      <c r="AX73" s="47">
        <f t="shared" ref="AX73:AX137" si="12">SUM(AL73:AW73)</f>
        <v>0</v>
      </c>
      <c r="AY73" s="319">
        <f>SUMIF(Recibos!$D$4:$D$3010,Cobranza!$B73,Recibos!K$4:K$3010)</f>
        <v>0</v>
      </c>
      <c r="AZ73" s="319">
        <f>SUMIF(Recibos!$D$4:$D$3010,Cobranza!$B73,Recibos!L$4:L$3010)</f>
        <v>0</v>
      </c>
      <c r="BA73" s="319">
        <f>SUMIF(Recibos!$D$4:$D$3010,Cobranza!$B73,Recibos!M$4:M$3010)</f>
        <v>0</v>
      </c>
      <c r="BB73" s="319">
        <f>SUMIF(Recibos!$D$4:$D$3010,Cobranza!$B73,Recibos!N$4:N$3010)</f>
        <v>0</v>
      </c>
      <c r="BC73" s="319">
        <f>SUMIF(Recibos!$D$4:$D$3010,Cobranza!$B73,Recibos!O$4:O$3010)</f>
        <v>0</v>
      </c>
      <c r="BD73" s="319">
        <f>SUMIF(Recibos!$D$4:$D$3010,Cobranza!$B73,Recibos!P$4:P$3010)</f>
        <v>0</v>
      </c>
      <c r="BE73" s="319">
        <f>SUMIF(Recibos!$D$4:$D$3010,Cobranza!$B73,Recibos!Q$4:Q$3010)</f>
        <v>0</v>
      </c>
      <c r="BF73" s="319">
        <f>SUMIF(Recibos!$D$4:$D$3010,Cobranza!$B73,Recibos!R$4:R$3010)</f>
        <v>0</v>
      </c>
      <c r="BG73" s="319">
        <f>SUMIF(Recibos!$D$4:$D$3010,Cobranza!$B73,Recibos!S$4:S$3010)</f>
        <v>0</v>
      </c>
      <c r="BH73" s="319">
        <f>SUMIF(Recibos!$D$4:$D$3010,Cobranza!$B73,Recibos!T$4:T$3010)</f>
        <v>0</v>
      </c>
      <c r="BI73" s="319">
        <f>SUMIF(Recibos!$D$4:$D$3010,Cobranza!$B73,Recibos!U$4:U$3010)</f>
        <v>0</v>
      </c>
      <c r="BJ73" s="319">
        <f>SUMIF(Recibos!$D$4:$D$3010,Cobranza!$B73,Recibos!V$4:V$3010)</f>
        <v>0</v>
      </c>
      <c r="BK73" s="320">
        <f t="shared" si="7"/>
        <v>0</v>
      </c>
      <c r="BL73" s="319">
        <f>SUMIF(Recibos!$D$4:$D$3010,Cobranza!$B73,Recibos!X$4:X$3010)</f>
        <v>0</v>
      </c>
      <c r="BM73" s="319">
        <f>SUMIF(Recibos!$D$4:$D$3010,Cobranza!$B73,Recibos!Y$4:Y$3010)</f>
        <v>0</v>
      </c>
      <c r="BN73" s="319">
        <f>SUMIF(Recibos!$D$4:$D$3010,Cobranza!$B73,Recibos!Z$4:Z$3010)</f>
        <v>0</v>
      </c>
      <c r="BO73" s="319">
        <f>SUMIF(Recibos!$D$4:$D$3010,Cobranza!$B73,Recibos!AA$4:AA$3010)</f>
        <v>0</v>
      </c>
      <c r="BP73" s="319">
        <f>SUMIF(Recibos!$D$4:$D$3010,Cobranza!$B73,Recibos!AB$4:AB$3010)</f>
        <v>0</v>
      </c>
      <c r="BQ73" s="319">
        <f>SUMIF(Recibos!$D$4:$D$3010,Cobranza!$B73,Recibos!AC$4:AC$3010)</f>
        <v>0</v>
      </c>
      <c r="BR73" s="319">
        <f>SUMIF(Recibos!$D$4:$D$3010,Cobranza!$B73,Recibos!AD$4:AD$3010)</f>
        <v>0</v>
      </c>
      <c r="BS73" s="319">
        <f>SUMIF(Recibos!$D$4:$D$3010,Cobranza!$B73,Recibos!AE$4:AE$3010)</f>
        <v>0</v>
      </c>
      <c r="BT73" s="319">
        <f>SUMIF(Recibos!$D$4:$D$3010,Cobranza!$B73,Recibos!AF$4:AF$3010)</f>
        <v>0</v>
      </c>
      <c r="BU73" s="319">
        <f>SUMIF(Recibos!$D$4:$D$3010,Cobranza!$B73,Recibos!AG$4:AG$3010)</f>
        <v>0</v>
      </c>
      <c r="BV73" s="319">
        <f>SUMIF(Recibos!$D$4:$D$3010,Cobranza!$B73,Recibos!AH$4:AH$3010)</f>
        <v>0</v>
      </c>
      <c r="BW73" s="319">
        <f>SUMIF(Recibos!$D$4:$D$3010,Cobranza!$B73,Recibos!AI$4:AI$3010)</f>
        <v>0</v>
      </c>
      <c r="BX73" s="320">
        <f t="shared" si="8"/>
        <v>0</v>
      </c>
    </row>
    <row r="74" spans="2:76" x14ac:dyDescent="0.2">
      <c r="B74" s="42" t="s">
        <v>614</v>
      </c>
      <c r="C74" s="42" t="s">
        <v>615</v>
      </c>
      <c r="D74" s="42" t="s">
        <v>616</v>
      </c>
      <c r="E74" s="43">
        <v>0</v>
      </c>
      <c r="F74" s="43">
        <v>0</v>
      </c>
      <c r="G74" s="43">
        <v>0</v>
      </c>
      <c r="H74" s="43">
        <v>0</v>
      </c>
      <c r="I74" s="43">
        <v>300</v>
      </c>
      <c r="J74" s="43">
        <v>300</v>
      </c>
      <c r="K74" s="44">
        <f t="shared" si="9"/>
        <v>600</v>
      </c>
      <c r="L74" s="43">
        <v>300</v>
      </c>
      <c r="M74" s="43">
        <v>300</v>
      </c>
      <c r="N74" s="43">
        <v>300</v>
      </c>
      <c r="O74" s="43">
        <v>300</v>
      </c>
      <c r="P74" s="43">
        <v>300</v>
      </c>
      <c r="Q74" s="43">
        <v>300</v>
      </c>
      <c r="R74" s="43">
        <v>300</v>
      </c>
      <c r="S74" s="43">
        <v>300</v>
      </c>
      <c r="T74" s="43">
        <v>300</v>
      </c>
      <c r="U74" s="43">
        <v>400</v>
      </c>
      <c r="V74" s="43">
        <v>400</v>
      </c>
      <c r="W74" s="43">
        <v>400</v>
      </c>
      <c r="X74" s="44">
        <f t="shared" si="10"/>
        <v>3900</v>
      </c>
      <c r="Y74" s="43">
        <v>400</v>
      </c>
      <c r="Z74" s="43">
        <v>400</v>
      </c>
      <c r="AA74" s="43">
        <v>400</v>
      </c>
      <c r="AB74" s="43">
        <v>400</v>
      </c>
      <c r="AC74" s="43">
        <v>400</v>
      </c>
      <c r="AD74" s="43">
        <v>400</v>
      </c>
      <c r="AE74" s="43">
        <v>400</v>
      </c>
      <c r="AF74" s="43">
        <v>400</v>
      </c>
      <c r="AG74" s="43">
        <v>400</v>
      </c>
      <c r="AH74" s="43">
        <v>400</v>
      </c>
      <c r="AI74" s="43">
        <v>400</v>
      </c>
      <c r="AJ74" s="43">
        <v>400</v>
      </c>
      <c r="AK74" s="44">
        <f t="shared" si="11"/>
        <v>4800</v>
      </c>
      <c r="AL74" s="43">
        <v>400</v>
      </c>
      <c r="AM74" s="43">
        <v>400</v>
      </c>
      <c r="AN74" s="43">
        <v>400</v>
      </c>
      <c r="AO74" s="43">
        <v>400</v>
      </c>
      <c r="AP74" s="43">
        <v>400</v>
      </c>
      <c r="AQ74" s="43">
        <v>400</v>
      </c>
      <c r="AR74" s="43">
        <v>400</v>
      </c>
      <c r="AS74" s="43">
        <v>400</v>
      </c>
      <c r="AT74" s="43">
        <v>400</v>
      </c>
      <c r="AU74" s="43">
        <v>400</v>
      </c>
      <c r="AV74" s="43">
        <v>400</v>
      </c>
      <c r="AW74" s="43">
        <v>400</v>
      </c>
      <c r="AX74" s="44">
        <f t="shared" si="12"/>
        <v>4800</v>
      </c>
      <c r="AY74" s="317">
        <f>SUMIF(Recibos!$D$4:$D$3010,Cobranza!$B74,Recibos!K$4:K$3010)</f>
        <v>400</v>
      </c>
      <c r="AZ74" s="317">
        <f>SUMIF(Recibos!$D$4:$D$3010,Cobranza!$B74,Recibos!L$4:L$3010)</f>
        <v>400</v>
      </c>
      <c r="BA74" s="317">
        <f>SUMIF(Recibos!$D$4:$D$3010,Cobranza!$B74,Recibos!M$4:M$3010)</f>
        <v>400</v>
      </c>
      <c r="BB74" s="317">
        <f>SUMIF(Recibos!$D$4:$D$3010,Cobranza!$B74,Recibos!N$4:N$3010)</f>
        <v>400</v>
      </c>
      <c r="BC74" s="317">
        <f>SUMIF(Recibos!$D$4:$D$3010,Cobranza!$B74,Recibos!O$4:O$3010)</f>
        <v>400</v>
      </c>
      <c r="BD74" s="317">
        <f>SUMIF(Recibos!$D$4:$D$3010,Cobranza!$B74,Recibos!P$4:P$3010)</f>
        <v>400</v>
      </c>
      <c r="BE74" s="317">
        <f>SUMIF(Recibos!$D$4:$D$3010,Cobranza!$B74,Recibos!Q$4:Q$3010)</f>
        <v>400</v>
      </c>
      <c r="BF74" s="317">
        <f>SUMIF(Recibos!$D$4:$D$3010,Cobranza!$B74,Recibos!R$4:R$3010)</f>
        <v>400</v>
      </c>
      <c r="BG74" s="317">
        <f>SUMIF(Recibos!$D$4:$D$3010,Cobranza!$B74,Recibos!S$4:S$3010)</f>
        <v>400</v>
      </c>
      <c r="BH74" s="317">
        <f>SUMIF(Recibos!$D$4:$D$3010,Cobranza!$B74,Recibos!T$4:T$3010)</f>
        <v>400</v>
      </c>
      <c r="BI74" s="317">
        <f>SUMIF(Recibos!$D$4:$D$3010,Cobranza!$B74,Recibos!U$4:U$3010)</f>
        <v>400</v>
      </c>
      <c r="BJ74" s="317">
        <f>SUMIF(Recibos!$D$4:$D$3010,Cobranza!$B74,Recibos!V$4:V$3010)</f>
        <v>0</v>
      </c>
      <c r="BK74" s="318">
        <f t="shared" si="7"/>
        <v>4400</v>
      </c>
      <c r="BL74" s="317">
        <f>SUMIF(Recibos!$D$4:$D$3010,Cobranza!$B74,Recibos!X$4:X$3010)</f>
        <v>0</v>
      </c>
      <c r="BM74" s="317">
        <f>SUMIF(Recibos!$D$4:$D$3010,Cobranza!$B74,Recibos!Y$4:Y$3010)</f>
        <v>0</v>
      </c>
      <c r="BN74" s="317">
        <f>SUMIF(Recibos!$D$4:$D$3010,Cobranza!$B74,Recibos!Z$4:Z$3010)</f>
        <v>0</v>
      </c>
      <c r="BO74" s="317">
        <f>SUMIF(Recibos!$D$4:$D$3010,Cobranza!$B74,Recibos!AA$4:AA$3010)</f>
        <v>0</v>
      </c>
      <c r="BP74" s="317">
        <f>SUMIF(Recibos!$D$4:$D$3010,Cobranza!$B74,Recibos!AB$4:AB$3010)</f>
        <v>0</v>
      </c>
      <c r="BQ74" s="317">
        <f>SUMIF(Recibos!$D$4:$D$3010,Cobranza!$B74,Recibos!AC$4:AC$3010)</f>
        <v>0</v>
      </c>
      <c r="BR74" s="317">
        <f>SUMIF(Recibos!$D$4:$D$3010,Cobranza!$B74,Recibos!AD$4:AD$3010)</f>
        <v>0</v>
      </c>
      <c r="BS74" s="317">
        <f>SUMIF(Recibos!$D$4:$D$3010,Cobranza!$B74,Recibos!AE$4:AE$3010)</f>
        <v>0</v>
      </c>
      <c r="BT74" s="317">
        <f>SUMIF(Recibos!$D$4:$D$3010,Cobranza!$B74,Recibos!AF$4:AF$3010)</f>
        <v>0</v>
      </c>
      <c r="BU74" s="317">
        <f>SUMIF(Recibos!$D$4:$D$3010,Cobranza!$B74,Recibos!AG$4:AG$3010)</f>
        <v>0</v>
      </c>
      <c r="BV74" s="317">
        <f>SUMIF(Recibos!$D$4:$D$3010,Cobranza!$B74,Recibos!AH$4:AH$3010)</f>
        <v>0</v>
      </c>
      <c r="BW74" s="317">
        <f>SUMIF(Recibos!$D$4:$D$3010,Cobranza!$B74,Recibos!AI$4:AI$3010)</f>
        <v>0</v>
      </c>
      <c r="BX74" s="318">
        <f t="shared" si="8"/>
        <v>0</v>
      </c>
    </row>
    <row r="75" spans="2:76" x14ac:dyDescent="0.2">
      <c r="B75" s="45" t="s">
        <v>1289</v>
      </c>
      <c r="C75" s="45" t="s">
        <v>1290</v>
      </c>
      <c r="D75" s="45" t="s">
        <v>1291</v>
      </c>
      <c r="E75" s="46">
        <v>0</v>
      </c>
      <c r="F75" s="46">
        <v>0</v>
      </c>
      <c r="G75" s="46">
        <v>0</v>
      </c>
      <c r="H75" s="46">
        <v>0</v>
      </c>
      <c r="I75" s="46">
        <v>0</v>
      </c>
      <c r="J75" s="46">
        <v>0</v>
      </c>
      <c r="K75" s="47">
        <f t="shared" si="9"/>
        <v>0</v>
      </c>
      <c r="L75" s="46">
        <v>0</v>
      </c>
      <c r="M75" s="46">
        <v>0</v>
      </c>
      <c r="N75" s="46">
        <v>0</v>
      </c>
      <c r="O75" s="46">
        <v>0</v>
      </c>
      <c r="P75" s="46">
        <v>0</v>
      </c>
      <c r="Q75" s="46">
        <v>0</v>
      </c>
      <c r="R75" s="46">
        <v>0</v>
      </c>
      <c r="S75" s="46">
        <v>0</v>
      </c>
      <c r="T75" s="46">
        <v>0</v>
      </c>
      <c r="U75" s="46">
        <v>0</v>
      </c>
      <c r="V75" s="46">
        <v>0</v>
      </c>
      <c r="W75" s="46">
        <v>0</v>
      </c>
      <c r="X75" s="47">
        <f t="shared" si="10"/>
        <v>0</v>
      </c>
      <c r="Y75" s="46">
        <v>0</v>
      </c>
      <c r="Z75" s="46">
        <v>0</v>
      </c>
      <c r="AA75" s="46">
        <v>0</v>
      </c>
      <c r="AB75" s="46">
        <v>0</v>
      </c>
      <c r="AC75" s="46">
        <v>0</v>
      </c>
      <c r="AD75" s="46">
        <v>0</v>
      </c>
      <c r="AE75" s="46">
        <v>0</v>
      </c>
      <c r="AF75" s="46">
        <v>0</v>
      </c>
      <c r="AG75" s="46">
        <v>0</v>
      </c>
      <c r="AH75" s="46">
        <v>0</v>
      </c>
      <c r="AI75" s="46">
        <v>0</v>
      </c>
      <c r="AJ75" s="46">
        <v>0</v>
      </c>
      <c r="AK75" s="47">
        <f t="shared" si="11"/>
        <v>0</v>
      </c>
      <c r="AL75" s="46">
        <v>0</v>
      </c>
      <c r="AM75" s="46">
        <v>0</v>
      </c>
      <c r="AN75" s="46">
        <v>0</v>
      </c>
      <c r="AO75" s="46">
        <v>0</v>
      </c>
      <c r="AP75" s="46">
        <v>0</v>
      </c>
      <c r="AQ75" s="46">
        <v>0</v>
      </c>
      <c r="AR75" s="46">
        <v>0</v>
      </c>
      <c r="AS75" s="46">
        <v>0</v>
      </c>
      <c r="AT75" s="46">
        <v>0</v>
      </c>
      <c r="AU75" s="46">
        <v>0</v>
      </c>
      <c r="AV75" s="46">
        <v>0</v>
      </c>
      <c r="AW75" s="46">
        <v>0</v>
      </c>
      <c r="AX75" s="47">
        <f t="shared" si="12"/>
        <v>0</v>
      </c>
      <c r="AY75" s="319">
        <f>SUMIF(Recibos!$D$4:$D$3010,Cobranza!$B75,Recibos!K$4:K$3010)</f>
        <v>0</v>
      </c>
      <c r="AZ75" s="319">
        <f>SUMIF(Recibos!$D$4:$D$3010,Cobranza!$B75,Recibos!L$4:L$3010)</f>
        <v>0</v>
      </c>
      <c r="BA75" s="319">
        <f>SUMIF(Recibos!$D$4:$D$3010,Cobranza!$B75,Recibos!M$4:M$3010)</f>
        <v>0</v>
      </c>
      <c r="BB75" s="319">
        <f>SUMIF(Recibos!$D$4:$D$3010,Cobranza!$B75,Recibos!N$4:N$3010)</f>
        <v>0</v>
      </c>
      <c r="BC75" s="319">
        <f>SUMIF(Recibos!$D$4:$D$3010,Cobranza!$B75,Recibos!O$4:O$3010)</f>
        <v>0</v>
      </c>
      <c r="BD75" s="319">
        <f>SUMIF(Recibos!$D$4:$D$3010,Cobranza!$B75,Recibos!P$4:P$3010)</f>
        <v>0</v>
      </c>
      <c r="BE75" s="319">
        <f>SUMIF(Recibos!$D$4:$D$3010,Cobranza!$B75,Recibos!Q$4:Q$3010)</f>
        <v>0</v>
      </c>
      <c r="BF75" s="319">
        <f>SUMIF(Recibos!$D$4:$D$3010,Cobranza!$B75,Recibos!R$4:R$3010)</f>
        <v>0</v>
      </c>
      <c r="BG75" s="319">
        <f>SUMIF(Recibos!$D$4:$D$3010,Cobranza!$B75,Recibos!S$4:S$3010)</f>
        <v>0</v>
      </c>
      <c r="BH75" s="319">
        <f>SUMIF(Recibos!$D$4:$D$3010,Cobranza!$B75,Recibos!T$4:T$3010)</f>
        <v>0</v>
      </c>
      <c r="BI75" s="319">
        <f>SUMIF(Recibos!$D$4:$D$3010,Cobranza!$B75,Recibos!U$4:U$3010)</f>
        <v>0</v>
      </c>
      <c r="BJ75" s="319">
        <f>SUMIF(Recibos!$D$4:$D$3010,Cobranza!$B75,Recibos!V$4:V$3010)</f>
        <v>0</v>
      </c>
      <c r="BK75" s="320">
        <f t="shared" si="7"/>
        <v>0</v>
      </c>
      <c r="BL75" s="319">
        <f>SUMIF(Recibos!$D$4:$D$3010,Cobranza!$B75,Recibos!X$4:X$3010)</f>
        <v>0</v>
      </c>
      <c r="BM75" s="319">
        <f>SUMIF(Recibos!$D$4:$D$3010,Cobranza!$B75,Recibos!Y$4:Y$3010)</f>
        <v>0</v>
      </c>
      <c r="BN75" s="319">
        <f>SUMIF(Recibos!$D$4:$D$3010,Cobranza!$B75,Recibos!Z$4:Z$3010)</f>
        <v>0</v>
      </c>
      <c r="BO75" s="319">
        <f>SUMIF(Recibos!$D$4:$D$3010,Cobranza!$B75,Recibos!AA$4:AA$3010)</f>
        <v>0</v>
      </c>
      <c r="BP75" s="319">
        <f>SUMIF(Recibos!$D$4:$D$3010,Cobranza!$B75,Recibos!AB$4:AB$3010)</f>
        <v>0</v>
      </c>
      <c r="BQ75" s="319">
        <f>SUMIF(Recibos!$D$4:$D$3010,Cobranza!$B75,Recibos!AC$4:AC$3010)</f>
        <v>0</v>
      </c>
      <c r="BR75" s="319">
        <f>SUMIF(Recibos!$D$4:$D$3010,Cobranza!$B75,Recibos!AD$4:AD$3010)</f>
        <v>0</v>
      </c>
      <c r="BS75" s="319">
        <f>SUMIF(Recibos!$D$4:$D$3010,Cobranza!$B75,Recibos!AE$4:AE$3010)</f>
        <v>0</v>
      </c>
      <c r="BT75" s="319">
        <f>SUMIF(Recibos!$D$4:$D$3010,Cobranza!$B75,Recibos!AF$4:AF$3010)</f>
        <v>0</v>
      </c>
      <c r="BU75" s="319">
        <f>SUMIF(Recibos!$D$4:$D$3010,Cobranza!$B75,Recibos!AG$4:AG$3010)</f>
        <v>0</v>
      </c>
      <c r="BV75" s="319">
        <f>SUMIF(Recibos!$D$4:$D$3010,Cobranza!$B75,Recibos!AH$4:AH$3010)</f>
        <v>0</v>
      </c>
      <c r="BW75" s="319">
        <f>SUMIF(Recibos!$D$4:$D$3010,Cobranza!$B75,Recibos!AI$4:AI$3010)</f>
        <v>0</v>
      </c>
      <c r="BX75" s="320">
        <f t="shared" si="8"/>
        <v>0</v>
      </c>
    </row>
    <row r="76" spans="2:76" x14ac:dyDescent="0.2">
      <c r="B76" s="42" t="s">
        <v>1014</v>
      </c>
      <c r="C76" s="42" t="s">
        <v>1015</v>
      </c>
      <c r="D76" s="42" t="s">
        <v>1016</v>
      </c>
      <c r="E76" s="43">
        <v>0</v>
      </c>
      <c r="F76" s="43">
        <v>0</v>
      </c>
      <c r="G76" s="43">
        <v>0</v>
      </c>
      <c r="H76" s="43">
        <v>0</v>
      </c>
      <c r="I76" s="43">
        <v>0</v>
      </c>
      <c r="J76" s="43">
        <v>0</v>
      </c>
      <c r="K76" s="44">
        <f t="shared" si="9"/>
        <v>0</v>
      </c>
      <c r="L76" s="43">
        <v>300</v>
      </c>
      <c r="M76" s="43">
        <v>300</v>
      </c>
      <c r="N76" s="43">
        <v>300</v>
      </c>
      <c r="O76" s="43">
        <v>300</v>
      </c>
      <c r="P76" s="43">
        <v>300</v>
      </c>
      <c r="Q76" s="43">
        <v>300</v>
      </c>
      <c r="R76" s="43">
        <v>300</v>
      </c>
      <c r="S76" s="43">
        <v>300</v>
      </c>
      <c r="T76" s="43">
        <v>300</v>
      </c>
      <c r="U76" s="43">
        <v>400</v>
      </c>
      <c r="V76" s="43">
        <v>400</v>
      </c>
      <c r="W76" s="43">
        <v>400</v>
      </c>
      <c r="X76" s="44">
        <f t="shared" si="10"/>
        <v>3900</v>
      </c>
      <c r="Y76" s="43">
        <v>400</v>
      </c>
      <c r="Z76" s="43">
        <v>0</v>
      </c>
      <c r="AA76" s="43">
        <v>400</v>
      </c>
      <c r="AB76" s="43">
        <v>400</v>
      </c>
      <c r="AC76" s="43">
        <v>400</v>
      </c>
      <c r="AD76" s="43">
        <v>400</v>
      </c>
      <c r="AE76" s="43">
        <v>400</v>
      </c>
      <c r="AF76" s="43">
        <v>400</v>
      </c>
      <c r="AG76" s="43">
        <v>400</v>
      </c>
      <c r="AH76" s="43">
        <v>400</v>
      </c>
      <c r="AI76" s="43">
        <v>400</v>
      </c>
      <c r="AJ76" s="43">
        <v>400</v>
      </c>
      <c r="AK76" s="44">
        <f t="shared" si="11"/>
        <v>4400</v>
      </c>
      <c r="AL76" s="43">
        <v>400</v>
      </c>
      <c r="AM76" s="43">
        <v>400</v>
      </c>
      <c r="AN76" s="43">
        <v>400</v>
      </c>
      <c r="AO76" s="43">
        <v>400</v>
      </c>
      <c r="AP76" s="43">
        <v>300</v>
      </c>
      <c r="AQ76" s="43">
        <v>300</v>
      </c>
      <c r="AR76" s="43">
        <v>300</v>
      </c>
      <c r="AS76" s="43">
        <v>300</v>
      </c>
      <c r="AT76" s="43">
        <v>300</v>
      </c>
      <c r="AU76" s="43">
        <v>300</v>
      </c>
      <c r="AV76" s="43">
        <v>300</v>
      </c>
      <c r="AW76" s="43">
        <v>300</v>
      </c>
      <c r="AX76" s="44">
        <f t="shared" si="12"/>
        <v>4000</v>
      </c>
      <c r="AY76" s="317">
        <f>SUMIF(Recibos!$D$4:$D$3010,Cobranza!$B76,Recibos!K$4:K$3010)</f>
        <v>300</v>
      </c>
      <c r="AZ76" s="317">
        <f>SUMIF(Recibos!$D$4:$D$3010,Cobranza!$B76,Recibos!L$4:L$3010)</f>
        <v>300</v>
      </c>
      <c r="BA76" s="317">
        <f>SUMIF(Recibos!$D$4:$D$3010,Cobranza!$B76,Recibos!M$4:M$3010)</f>
        <v>300</v>
      </c>
      <c r="BB76" s="317">
        <f>SUMIF(Recibos!$D$4:$D$3010,Cobranza!$B76,Recibos!N$4:N$3010)</f>
        <v>300</v>
      </c>
      <c r="BC76" s="317">
        <f>SUMIF(Recibos!$D$4:$D$3010,Cobranza!$B76,Recibos!O$4:O$3010)</f>
        <v>300</v>
      </c>
      <c r="BD76" s="317">
        <f>SUMIF(Recibos!$D$4:$D$3010,Cobranza!$B76,Recibos!P$4:P$3010)</f>
        <v>300</v>
      </c>
      <c r="BE76" s="317">
        <f>SUMIF(Recibos!$D$4:$D$3010,Cobranza!$B76,Recibos!Q$4:Q$3010)</f>
        <v>300</v>
      </c>
      <c r="BF76" s="317">
        <f>SUMIF(Recibos!$D$4:$D$3010,Cobranza!$B76,Recibos!R$4:R$3010)</f>
        <v>300</v>
      </c>
      <c r="BG76" s="317">
        <f>SUMIF(Recibos!$D$4:$D$3010,Cobranza!$B76,Recibos!S$4:S$3010)</f>
        <v>300</v>
      </c>
      <c r="BH76" s="317">
        <f>SUMIF(Recibos!$D$4:$D$3010,Cobranza!$B76,Recibos!T$4:T$3010)</f>
        <v>300</v>
      </c>
      <c r="BI76" s="317">
        <f>SUMIF(Recibos!$D$4:$D$3010,Cobranza!$B76,Recibos!U$4:U$3010)</f>
        <v>300</v>
      </c>
      <c r="BJ76" s="317">
        <f>SUMIF(Recibos!$D$4:$D$3010,Cobranza!$B76,Recibos!V$4:V$3010)</f>
        <v>300</v>
      </c>
      <c r="BK76" s="318">
        <f t="shared" si="7"/>
        <v>3600</v>
      </c>
      <c r="BL76" s="317">
        <f>SUMIF(Recibos!$D$4:$D$3010,Cobranza!$B76,Recibos!X$4:X$3010)</f>
        <v>0</v>
      </c>
      <c r="BM76" s="317">
        <f>SUMIF(Recibos!$D$4:$D$3010,Cobranza!$B76,Recibos!Y$4:Y$3010)</f>
        <v>0</v>
      </c>
      <c r="BN76" s="317">
        <f>SUMIF(Recibos!$D$4:$D$3010,Cobranza!$B76,Recibos!Z$4:Z$3010)</f>
        <v>0</v>
      </c>
      <c r="BO76" s="317">
        <f>SUMIF(Recibos!$D$4:$D$3010,Cobranza!$B76,Recibos!AA$4:AA$3010)</f>
        <v>0</v>
      </c>
      <c r="BP76" s="317">
        <f>SUMIF(Recibos!$D$4:$D$3010,Cobranza!$B76,Recibos!AB$4:AB$3010)</f>
        <v>0</v>
      </c>
      <c r="BQ76" s="317">
        <f>SUMIF(Recibos!$D$4:$D$3010,Cobranza!$B76,Recibos!AC$4:AC$3010)</f>
        <v>0</v>
      </c>
      <c r="BR76" s="317">
        <f>SUMIF(Recibos!$D$4:$D$3010,Cobranza!$B76,Recibos!AD$4:AD$3010)</f>
        <v>0</v>
      </c>
      <c r="BS76" s="317">
        <f>SUMIF(Recibos!$D$4:$D$3010,Cobranza!$B76,Recibos!AE$4:AE$3010)</f>
        <v>0</v>
      </c>
      <c r="BT76" s="317">
        <f>SUMIF(Recibos!$D$4:$D$3010,Cobranza!$B76,Recibos!AF$4:AF$3010)</f>
        <v>0</v>
      </c>
      <c r="BU76" s="317">
        <f>SUMIF(Recibos!$D$4:$D$3010,Cobranza!$B76,Recibos!AG$4:AG$3010)</f>
        <v>0</v>
      </c>
      <c r="BV76" s="317">
        <f>SUMIF(Recibos!$D$4:$D$3010,Cobranza!$B76,Recibos!AH$4:AH$3010)</f>
        <v>0</v>
      </c>
      <c r="BW76" s="317">
        <f>SUMIF(Recibos!$D$4:$D$3010,Cobranza!$B76,Recibos!AI$4:AI$3010)</f>
        <v>0</v>
      </c>
      <c r="BX76" s="318">
        <f t="shared" si="8"/>
        <v>0</v>
      </c>
    </row>
    <row r="77" spans="2:76" x14ac:dyDescent="0.2">
      <c r="B77" s="45" t="s">
        <v>313</v>
      </c>
      <c r="C77" s="45" t="s">
        <v>314</v>
      </c>
      <c r="D77" s="45" t="s">
        <v>315</v>
      </c>
      <c r="E77" s="46">
        <v>0</v>
      </c>
      <c r="F77" s="46">
        <v>0</v>
      </c>
      <c r="G77" s="46">
        <v>0</v>
      </c>
      <c r="H77" s="46">
        <v>0</v>
      </c>
      <c r="I77" s="46">
        <v>300</v>
      </c>
      <c r="J77" s="46">
        <v>300</v>
      </c>
      <c r="K77" s="47">
        <f t="shared" si="9"/>
        <v>600</v>
      </c>
      <c r="L77" s="46">
        <v>300</v>
      </c>
      <c r="M77" s="46">
        <v>300</v>
      </c>
      <c r="N77" s="46">
        <v>300</v>
      </c>
      <c r="O77" s="46">
        <v>300</v>
      </c>
      <c r="P77" s="46">
        <v>300</v>
      </c>
      <c r="Q77" s="46">
        <v>300</v>
      </c>
      <c r="R77" s="46">
        <v>300</v>
      </c>
      <c r="S77" s="46">
        <v>300</v>
      </c>
      <c r="T77" s="46">
        <v>300</v>
      </c>
      <c r="U77" s="46">
        <v>400</v>
      </c>
      <c r="V77" s="46">
        <v>400</v>
      </c>
      <c r="W77" s="46">
        <v>400</v>
      </c>
      <c r="X77" s="47">
        <f t="shared" si="10"/>
        <v>3900</v>
      </c>
      <c r="Y77" s="46">
        <v>400</v>
      </c>
      <c r="Z77" s="46">
        <v>400</v>
      </c>
      <c r="AA77" s="46">
        <v>400</v>
      </c>
      <c r="AB77" s="46">
        <v>400</v>
      </c>
      <c r="AC77" s="46">
        <v>400</v>
      </c>
      <c r="AD77" s="46">
        <v>400</v>
      </c>
      <c r="AE77" s="46">
        <v>400</v>
      </c>
      <c r="AF77" s="46">
        <v>400</v>
      </c>
      <c r="AG77" s="46">
        <v>400</v>
      </c>
      <c r="AH77" s="46">
        <v>400</v>
      </c>
      <c r="AI77" s="46">
        <v>400</v>
      </c>
      <c r="AJ77" s="46">
        <v>400</v>
      </c>
      <c r="AK77" s="47">
        <f t="shared" si="11"/>
        <v>4800</v>
      </c>
      <c r="AL77" s="46">
        <v>400</v>
      </c>
      <c r="AM77" s="46">
        <v>400</v>
      </c>
      <c r="AN77" s="46">
        <v>400</v>
      </c>
      <c r="AO77" s="46">
        <v>400</v>
      </c>
      <c r="AP77" s="46">
        <v>400</v>
      </c>
      <c r="AQ77" s="46">
        <v>400</v>
      </c>
      <c r="AR77" s="46">
        <v>400</v>
      </c>
      <c r="AS77" s="46">
        <v>400</v>
      </c>
      <c r="AT77" s="46">
        <v>400</v>
      </c>
      <c r="AU77" s="46">
        <v>400</v>
      </c>
      <c r="AV77" s="46">
        <v>400</v>
      </c>
      <c r="AW77" s="46">
        <v>400</v>
      </c>
      <c r="AX77" s="47">
        <f t="shared" si="12"/>
        <v>4800</v>
      </c>
      <c r="AY77" s="319">
        <f>SUMIF(Recibos!$D$4:$D$3010,Cobranza!$B77,Recibos!K$4:K$3010)</f>
        <v>400</v>
      </c>
      <c r="AZ77" s="319">
        <f>SUMIF(Recibos!$D$4:$D$3010,Cobranza!$B77,Recibos!L$4:L$3010)</f>
        <v>400</v>
      </c>
      <c r="BA77" s="319">
        <f>SUMIF(Recibos!$D$4:$D$3010,Cobranza!$B77,Recibos!M$4:M$3010)</f>
        <v>400</v>
      </c>
      <c r="BB77" s="319">
        <f>SUMIF(Recibos!$D$4:$D$3010,Cobranza!$B77,Recibos!N$4:N$3010)</f>
        <v>400</v>
      </c>
      <c r="BC77" s="319">
        <f>SUMIF(Recibos!$D$4:$D$3010,Cobranza!$B77,Recibos!O$4:O$3010)</f>
        <v>400</v>
      </c>
      <c r="BD77" s="319">
        <f>SUMIF(Recibos!$D$4:$D$3010,Cobranza!$B77,Recibos!P$4:P$3010)</f>
        <v>400</v>
      </c>
      <c r="BE77" s="319">
        <f>SUMIF(Recibos!$D$4:$D$3010,Cobranza!$B77,Recibos!Q$4:Q$3010)</f>
        <v>400</v>
      </c>
      <c r="BF77" s="319">
        <f>SUMIF(Recibos!$D$4:$D$3010,Cobranza!$B77,Recibos!R$4:R$3010)</f>
        <v>400</v>
      </c>
      <c r="BG77" s="319">
        <f>SUMIF(Recibos!$D$4:$D$3010,Cobranza!$B77,Recibos!S$4:S$3010)</f>
        <v>400</v>
      </c>
      <c r="BH77" s="319">
        <f>SUMIF(Recibos!$D$4:$D$3010,Cobranza!$B77,Recibos!T$4:T$3010)</f>
        <v>400</v>
      </c>
      <c r="BI77" s="319">
        <f>SUMIF(Recibos!$D$4:$D$3010,Cobranza!$B77,Recibos!U$4:U$3010)</f>
        <v>400</v>
      </c>
      <c r="BJ77" s="319">
        <f>SUMIF(Recibos!$D$4:$D$3010,Cobranza!$B77,Recibos!V$4:V$3010)</f>
        <v>0</v>
      </c>
      <c r="BK77" s="320">
        <f t="shared" si="7"/>
        <v>4400</v>
      </c>
      <c r="BL77" s="319">
        <f>SUMIF(Recibos!$D$4:$D$3010,Cobranza!$B77,Recibos!X$4:X$3010)</f>
        <v>0</v>
      </c>
      <c r="BM77" s="319">
        <f>SUMIF(Recibos!$D$4:$D$3010,Cobranza!$B77,Recibos!Y$4:Y$3010)</f>
        <v>0</v>
      </c>
      <c r="BN77" s="319">
        <f>SUMIF(Recibos!$D$4:$D$3010,Cobranza!$B77,Recibos!Z$4:Z$3010)</f>
        <v>0</v>
      </c>
      <c r="BO77" s="319">
        <f>SUMIF(Recibos!$D$4:$D$3010,Cobranza!$B77,Recibos!AA$4:AA$3010)</f>
        <v>0</v>
      </c>
      <c r="BP77" s="319">
        <f>SUMIF(Recibos!$D$4:$D$3010,Cobranza!$B77,Recibos!AB$4:AB$3010)</f>
        <v>0</v>
      </c>
      <c r="BQ77" s="319">
        <f>SUMIF(Recibos!$D$4:$D$3010,Cobranza!$B77,Recibos!AC$4:AC$3010)</f>
        <v>0</v>
      </c>
      <c r="BR77" s="319">
        <f>SUMIF(Recibos!$D$4:$D$3010,Cobranza!$B77,Recibos!AD$4:AD$3010)</f>
        <v>0</v>
      </c>
      <c r="BS77" s="319">
        <f>SUMIF(Recibos!$D$4:$D$3010,Cobranza!$B77,Recibos!AE$4:AE$3010)</f>
        <v>0</v>
      </c>
      <c r="BT77" s="319">
        <f>SUMIF(Recibos!$D$4:$D$3010,Cobranza!$B77,Recibos!AF$4:AF$3010)</f>
        <v>0</v>
      </c>
      <c r="BU77" s="319">
        <f>SUMIF(Recibos!$D$4:$D$3010,Cobranza!$B77,Recibos!AG$4:AG$3010)</f>
        <v>0</v>
      </c>
      <c r="BV77" s="319">
        <f>SUMIF(Recibos!$D$4:$D$3010,Cobranza!$B77,Recibos!AH$4:AH$3010)</f>
        <v>0</v>
      </c>
      <c r="BW77" s="319">
        <f>SUMIF(Recibos!$D$4:$D$3010,Cobranza!$B77,Recibos!AI$4:AI$3010)</f>
        <v>0</v>
      </c>
      <c r="BX77" s="320">
        <f t="shared" si="8"/>
        <v>0</v>
      </c>
    </row>
    <row r="78" spans="2:76" x14ac:dyDescent="0.2">
      <c r="B78" s="42" t="s">
        <v>1292</v>
      </c>
      <c r="C78" s="42" t="s">
        <v>1293</v>
      </c>
      <c r="D78" s="42"/>
      <c r="E78" s="43">
        <v>0</v>
      </c>
      <c r="F78" s="43">
        <v>0</v>
      </c>
      <c r="G78" s="43">
        <v>0</v>
      </c>
      <c r="H78" s="43">
        <v>0</v>
      </c>
      <c r="I78" s="43">
        <v>0</v>
      </c>
      <c r="J78" s="43">
        <v>0</v>
      </c>
      <c r="K78" s="44">
        <f t="shared" si="9"/>
        <v>0</v>
      </c>
      <c r="L78" s="43">
        <v>0</v>
      </c>
      <c r="M78" s="43">
        <v>0</v>
      </c>
      <c r="N78" s="43">
        <v>0</v>
      </c>
      <c r="O78" s="43">
        <v>0</v>
      </c>
      <c r="P78" s="43">
        <v>0</v>
      </c>
      <c r="Q78" s="43">
        <v>0</v>
      </c>
      <c r="R78" s="43">
        <v>0</v>
      </c>
      <c r="S78" s="43">
        <v>0</v>
      </c>
      <c r="T78" s="43">
        <v>0</v>
      </c>
      <c r="U78" s="43">
        <v>0</v>
      </c>
      <c r="V78" s="43">
        <v>0</v>
      </c>
      <c r="W78" s="43">
        <v>0</v>
      </c>
      <c r="X78" s="44">
        <f t="shared" si="10"/>
        <v>0</v>
      </c>
      <c r="Y78" s="43">
        <v>0</v>
      </c>
      <c r="Z78" s="43">
        <v>0</v>
      </c>
      <c r="AA78" s="43">
        <v>0</v>
      </c>
      <c r="AB78" s="43">
        <v>0</v>
      </c>
      <c r="AC78" s="43">
        <v>0</v>
      </c>
      <c r="AD78" s="43">
        <v>0</v>
      </c>
      <c r="AE78" s="43">
        <v>0</v>
      </c>
      <c r="AF78" s="43">
        <v>0</v>
      </c>
      <c r="AG78" s="43">
        <v>0</v>
      </c>
      <c r="AH78" s="43">
        <v>0</v>
      </c>
      <c r="AI78" s="43">
        <v>0</v>
      </c>
      <c r="AJ78" s="43">
        <v>0</v>
      </c>
      <c r="AK78" s="44">
        <f t="shared" si="11"/>
        <v>0</v>
      </c>
      <c r="AL78" s="43">
        <v>0</v>
      </c>
      <c r="AM78" s="43">
        <v>0</v>
      </c>
      <c r="AN78" s="43">
        <v>0</v>
      </c>
      <c r="AO78" s="43">
        <v>0</v>
      </c>
      <c r="AP78" s="43">
        <v>0</v>
      </c>
      <c r="AQ78" s="43">
        <v>0</v>
      </c>
      <c r="AR78" s="43">
        <v>0</v>
      </c>
      <c r="AS78" s="43">
        <v>0</v>
      </c>
      <c r="AT78" s="43">
        <v>0</v>
      </c>
      <c r="AU78" s="43">
        <v>0</v>
      </c>
      <c r="AV78" s="43">
        <v>0</v>
      </c>
      <c r="AW78" s="43">
        <v>0</v>
      </c>
      <c r="AX78" s="44">
        <f t="shared" si="12"/>
        <v>0</v>
      </c>
      <c r="AY78" s="317">
        <f>SUMIF(Recibos!$D$4:$D$3010,Cobranza!$B78,Recibos!K$4:K$3010)</f>
        <v>0</v>
      </c>
      <c r="AZ78" s="317">
        <f>SUMIF(Recibos!$D$4:$D$3010,Cobranza!$B78,Recibos!L$4:L$3010)</f>
        <v>0</v>
      </c>
      <c r="BA78" s="317">
        <f>SUMIF(Recibos!$D$4:$D$3010,Cobranza!$B78,Recibos!M$4:M$3010)</f>
        <v>0</v>
      </c>
      <c r="BB78" s="317">
        <f>SUMIF(Recibos!$D$4:$D$3010,Cobranza!$B78,Recibos!N$4:N$3010)</f>
        <v>0</v>
      </c>
      <c r="BC78" s="317">
        <f>SUMIF(Recibos!$D$4:$D$3010,Cobranza!$B78,Recibos!O$4:O$3010)</f>
        <v>0</v>
      </c>
      <c r="BD78" s="317">
        <f>SUMIF(Recibos!$D$4:$D$3010,Cobranza!$B78,Recibos!P$4:P$3010)</f>
        <v>0</v>
      </c>
      <c r="BE78" s="317">
        <f>SUMIF(Recibos!$D$4:$D$3010,Cobranza!$B78,Recibos!Q$4:Q$3010)</f>
        <v>0</v>
      </c>
      <c r="BF78" s="317">
        <f>SUMIF(Recibos!$D$4:$D$3010,Cobranza!$B78,Recibos!R$4:R$3010)</f>
        <v>0</v>
      </c>
      <c r="BG78" s="317">
        <f>SUMIF(Recibos!$D$4:$D$3010,Cobranza!$B78,Recibos!S$4:S$3010)</f>
        <v>0</v>
      </c>
      <c r="BH78" s="317">
        <f>SUMIF(Recibos!$D$4:$D$3010,Cobranza!$B78,Recibos!T$4:T$3010)</f>
        <v>0</v>
      </c>
      <c r="BI78" s="317">
        <f>SUMIF(Recibos!$D$4:$D$3010,Cobranza!$B78,Recibos!U$4:U$3010)</f>
        <v>0</v>
      </c>
      <c r="BJ78" s="317">
        <f>SUMIF(Recibos!$D$4:$D$3010,Cobranza!$B78,Recibos!V$4:V$3010)</f>
        <v>0</v>
      </c>
      <c r="BK78" s="318">
        <f t="shared" si="7"/>
        <v>0</v>
      </c>
      <c r="BL78" s="317">
        <f>SUMIF(Recibos!$D$4:$D$3010,Cobranza!$B78,Recibos!X$4:X$3010)</f>
        <v>0</v>
      </c>
      <c r="BM78" s="317">
        <f>SUMIF(Recibos!$D$4:$D$3010,Cobranza!$B78,Recibos!Y$4:Y$3010)</f>
        <v>0</v>
      </c>
      <c r="BN78" s="317">
        <f>SUMIF(Recibos!$D$4:$D$3010,Cobranza!$B78,Recibos!Z$4:Z$3010)</f>
        <v>0</v>
      </c>
      <c r="BO78" s="317">
        <f>SUMIF(Recibos!$D$4:$D$3010,Cobranza!$B78,Recibos!AA$4:AA$3010)</f>
        <v>0</v>
      </c>
      <c r="BP78" s="317">
        <f>SUMIF(Recibos!$D$4:$D$3010,Cobranza!$B78,Recibos!AB$4:AB$3010)</f>
        <v>0</v>
      </c>
      <c r="BQ78" s="317">
        <f>SUMIF(Recibos!$D$4:$D$3010,Cobranza!$B78,Recibos!AC$4:AC$3010)</f>
        <v>0</v>
      </c>
      <c r="BR78" s="317">
        <f>SUMIF(Recibos!$D$4:$D$3010,Cobranza!$B78,Recibos!AD$4:AD$3010)</f>
        <v>0</v>
      </c>
      <c r="BS78" s="317">
        <f>SUMIF(Recibos!$D$4:$D$3010,Cobranza!$B78,Recibos!AE$4:AE$3010)</f>
        <v>0</v>
      </c>
      <c r="BT78" s="317">
        <f>SUMIF(Recibos!$D$4:$D$3010,Cobranza!$B78,Recibos!AF$4:AF$3010)</f>
        <v>0</v>
      </c>
      <c r="BU78" s="317">
        <f>SUMIF(Recibos!$D$4:$D$3010,Cobranza!$B78,Recibos!AG$4:AG$3010)</f>
        <v>0</v>
      </c>
      <c r="BV78" s="317">
        <f>SUMIF(Recibos!$D$4:$D$3010,Cobranza!$B78,Recibos!AH$4:AH$3010)</f>
        <v>0</v>
      </c>
      <c r="BW78" s="317">
        <f>SUMIF(Recibos!$D$4:$D$3010,Cobranza!$B78,Recibos!AI$4:AI$3010)</f>
        <v>0</v>
      </c>
      <c r="BX78" s="318">
        <f t="shared" si="8"/>
        <v>0</v>
      </c>
    </row>
    <row r="79" spans="2:76" x14ac:dyDescent="0.2">
      <c r="B79" s="45" t="s">
        <v>404</v>
      </c>
      <c r="C79" s="45" t="s">
        <v>405</v>
      </c>
      <c r="D79" s="45" t="s">
        <v>406</v>
      </c>
      <c r="E79" s="46">
        <v>0</v>
      </c>
      <c r="F79" s="46">
        <v>0</v>
      </c>
      <c r="G79" s="46">
        <v>0</v>
      </c>
      <c r="H79" s="46">
        <v>0</v>
      </c>
      <c r="I79" s="46">
        <v>0</v>
      </c>
      <c r="J79" s="46">
        <v>300</v>
      </c>
      <c r="K79" s="47">
        <f t="shared" si="9"/>
        <v>300</v>
      </c>
      <c r="L79" s="46">
        <v>300</v>
      </c>
      <c r="M79" s="46">
        <v>300</v>
      </c>
      <c r="N79" s="46">
        <v>300</v>
      </c>
      <c r="O79" s="46">
        <v>300</v>
      </c>
      <c r="P79" s="46">
        <v>300</v>
      </c>
      <c r="Q79" s="46">
        <v>300</v>
      </c>
      <c r="R79" s="46">
        <v>300</v>
      </c>
      <c r="S79" s="46">
        <v>300</v>
      </c>
      <c r="T79" s="46">
        <v>300</v>
      </c>
      <c r="U79" s="46">
        <v>400</v>
      </c>
      <c r="V79" s="46">
        <v>400</v>
      </c>
      <c r="W79" s="46">
        <v>400</v>
      </c>
      <c r="X79" s="47">
        <f t="shared" si="10"/>
        <v>3900</v>
      </c>
      <c r="Y79" s="46">
        <v>400</v>
      </c>
      <c r="Z79" s="46">
        <v>400</v>
      </c>
      <c r="AA79" s="46">
        <v>400</v>
      </c>
      <c r="AB79" s="46">
        <v>400</v>
      </c>
      <c r="AC79" s="46">
        <v>400</v>
      </c>
      <c r="AD79" s="46">
        <v>400</v>
      </c>
      <c r="AE79" s="46">
        <v>400</v>
      </c>
      <c r="AF79" s="46">
        <v>400</v>
      </c>
      <c r="AG79" s="46">
        <v>400</v>
      </c>
      <c r="AH79" s="46">
        <v>400</v>
      </c>
      <c r="AI79" s="46">
        <v>400</v>
      </c>
      <c r="AJ79" s="46">
        <v>400</v>
      </c>
      <c r="AK79" s="47">
        <f t="shared" si="11"/>
        <v>4800</v>
      </c>
      <c r="AL79" s="46">
        <v>400</v>
      </c>
      <c r="AM79" s="46">
        <v>400</v>
      </c>
      <c r="AN79" s="46">
        <v>400</v>
      </c>
      <c r="AO79" s="46">
        <v>400</v>
      </c>
      <c r="AP79" s="46">
        <v>400</v>
      </c>
      <c r="AQ79" s="46">
        <v>400</v>
      </c>
      <c r="AR79" s="46">
        <v>400</v>
      </c>
      <c r="AS79" s="46">
        <v>400</v>
      </c>
      <c r="AT79" s="46">
        <v>400</v>
      </c>
      <c r="AU79" s="46">
        <v>400</v>
      </c>
      <c r="AV79" s="46">
        <v>400</v>
      </c>
      <c r="AW79" s="46">
        <v>400</v>
      </c>
      <c r="AX79" s="47">
        <f t="shared" si="12"/>
        <v>4800</v>
      </c>
      <c r="AY79" s="319">
        <f>SUMIF(Recibos!$D$4:$D$3010,Cobranza!$B79,Recibos!K$4:K$3010)</f>
        <v>400</v>
      </c>
      <c r="AZ79" s="319">
        <f>SUMIF(Recibos!$D$4:$D$3010,Cobranza!$B79,Recibos!L$4:L$3010)</f>
        <v>400</v>
      </c>
      <c r="BA79" s="319">
        <f>SUMIF(Recibos!$D$4:$D$3010,Cobranza!$B79,Recibos!M$4:M$3010)</f>
        <v>400</v>
      </c>
      <c r="BB79" s="319">
        <f>SUMIF(Recibos!$D$4:$D$3010,Cobranza!$B79,Recibos!N$4:N$3010)</f>
        <v>400</v>
      </c>
      <c r="BC79" s="319">
        <f>SUMIF(Recibos!$D$4:$D$3010,Cobranza!$B79,Recibos!O$4:O$3010)</f>
        <v>400</v>
      </c>
      <c r="BD79" s="319">
        <f>SUMIF(Recibos!$D$4:$D$3010,Cobranza!$B79,Recibos!P$4:P$3010)</f>
        <v>400</v>
      </c>
      <c r="BE79" s="319">
        <f>SUMIF(Recibos!$D$4:$D$3010,Cobranza!$B79,Recibos!Q$4:Q$3010)</f>
        <v>400</v>
      </c>
      <c r="BF79" s="319">
        <f>SUMIF(Recibos!$D$4:$D$3010,Cobranza!$B79,Recibos!R$4:R$3010)</f>
        <v>400</v>
      </c>
      <c r="BG79" s="319">
        <f>SUMIF(Recibos!$D$4:$D$3010,Cobranza!$B79,Recibos!S$4:S$3010)</f>
        <v>400</v>
      </c>
      <c r="BH79" s="319">
        <f>SUMIF(Recibos!$D$4:$D$3010,Cobranza!$B79,Recibos!T$4:T$3010)</f>
        <v>400</v>
      </c>
      <c r="BI79" s="319">
        <f>SUMIF(Recibos!$D$4:$D$3010,Cobranza!$B79,Recibos!U$4:U$3010)</f>
        <v>400</v>
      </c>
      <c r="BJ79" s="319">
        <f>SUMIF(Recibos!$D$4:$D$3010,Cobranza!$B79,Recibos!V$4:V$3010)</f>
        <v>400</v>
      </c>
      <c r="BK79" s="320">
        <f t="shared" si="7"/>
        <v>4800</v>
      </c>
      <c r="BL79" s="319">
        <f>SUMIF(Recibos!$D$4:$D$3010,Cobranza!$B79,Recibos!X$4:X$3010)</f>
        <v>0</v>
      </c>
      <c r="BM79" s="319">
        <f>SUMIF(Recibos!$D$4:$D$3010,Cobranza!$B79,Recibos!Y$4:Y$3010)</f>
        <v>0</v>
      </c>
      <c r="BN79" s="319">
        <f>SUMIF(Recibos!$D$4:$D$3010,Cobranza!$B79,Recibos!Z$4:Z$3010)</f>
        <v>0</v>
      </c>
      <c r="BO79" s="319">
        <f>SUMIF(Recibos!$D$4:$D$3010,Cobranza!$B79,Recibos!AA$4:AA$3010)</f>
        <v>0</v>
      </c>
      <c r="BP79" s="319">
        <f>SUMIF(Recibos!$D$4:$D$3010,Cobranza!$B79,Recibos!AB$4:AB$3010)</f>
        <v>0</v>
      </c>
      <c r="BQ79" s="319">
        <f>SUMIF(Recibos!$D$4:$D$3010,Cobranza!$B79,Recibos!AC$4:AC$3010)</f>
        <v>0</v>
      </c>
      <c r="BR79" s="319">
        <f>SUMIF(Recibos!$D$4:$D$3010,Cobranza!$B79,Recibos!AD$4:AD$3010)</f>
        <v>0</v>
      </c>
      <c r="BS79" s="319">
        <f>SUMIF(Recibos!$D$4:$D$3010,Cobranza!$B79,Recibos!AE$4:AE$3010)</f>
        <v>0</v>
      </c>
      <c r="BT79" s="319">
        <f>SUMIF(Recibos!$D$4:$D$3010,Cobranza!$B79,Recibos!AF$4:AF$3010)</f>
        <v>0</v>
      </c>
      <c r="BU79" s="319">
        <f>SUMIF(Recibos!$D$4:$D$3010,Cobranza!$B79,Recibos!AG$4:AG$3010)</f>
        <v>0</v>
      </c>
      <c r="BV79" s="319">
        <f>SUMIF(Recibos!$D$4:$D$3010,Cobranza!$B79,Recibos!AH$4:AH$3010)</f>
        <v>0</v>
      </c>
      <c r="BW79" s="319">
        <f>SUMIF(Recibos!$D$4:$D$3010,Cobranza!$B79,Recibos!AI$4:AI$3010)</f>
        <v>0</v>
      </c>
      <c r="BX79" s="320">
        <f t="shared" si="8"/>
        <v>0</v>
      </c>
    </row>
    <row r="80" spans="2:76" x14ac:dyDescent="0.2">
      <c r="B80" s="42" t="s">
        <v>810</v>
      </c>
      <c r="C80" s="42" t="s">
        <v>811</v>
      </c>
      <c r="D80" s="42" t="s">
        <v>812</v>
      </c>
      <c r="E80" s="43">
        <v>0</v>
      </c>
      <c r="F80" s="43">
        <v>0</v>
      </c>
      <c r="G80" s="43">
        <v>0</v>
      </c>
      <c r="H80" s="43">
        <v>0</v>
      </c>
      <c r="I80" s="43">
        <v>150</v>
      </c>
      <c r="J80" s="43">
        <v>150</v>
      </c>
      <c r="K80" s="44">
        <f t="shared" si="9"/>
        <v>300</v>
      </c>
      <c r="L80" s="43">
        <v>150</v>
      </c>
      <c r="M80" s="43">
        <v>150</v>
      </c>
      <c r="N80" s="43">
        <v>150</v>
      </c>
      <c r="O80" s="43">
        <v>150</v>
      </c>
      <c r="P80" s="43">
        <v>150</v>
      </c>
      <c r="Q80" s="43">
        <v>150</v>
      </c>
      <c r="R80" s="43">
        <v>150</v>
      </c>
      <c r="S80" s="43">
        <v>150</v>
      </c>
      <c r="T80" s="43">
        <v>150</v>
      </c>
      <c r="U80" s="43">
        <v>200</v>
      </c>
      <c r="V80" s="43">
        <v>200</v>
      </c>
      <c r="W80" s="43">
        <v>200</v>
      </c>
      <c r="X80" s="44">
        <f t="shared" si="10"/>
        <v>1950</v>
      </c>
      <c r="Y80" s="43">
        <v>200</v>
      </c>
      <c r="Z80" s="43">
        <v>200</v>
      </c>
      <c r="AA80" s="43">
        <v>200</v>
      </c>
      <c r="AB80" s="43">
        <v>200</v>
      </c>
      <c r="AC80" s="43">
        <v>200</v>
      </c>
      <c r="AD80" s="43">
        <v>200</v>
      </c>
      <c r="AE80" s="43">
        <v>200</v>
      </c>
      <c r="AF80" s="43">
        <v>200</v>
      </c>
      <c r="AG80" s="43">
        <v>0</v>
      </c>
      <c r="AH80" s="43">
        <v>0</v>
      </c>
      <c r="AI80" s="43">
        <v>200</v>
      </c>
      <c r="AJ80" s="43">
        <v>200</v>
      </c>
      <c r="AK80" s="44">
        <f t="shared" si="11"/>
        <v>2000</v>
      </c>
      <c r="AL80" s="43">
        <v>200</v>
      </c>
      <c r="AM80" s="43">
        <v>200</v>
      </c>
      <c r="AN80" s="43">
        <v>200</v>
      </c>
      <c r="AO80" s="43">
        <v>200</v>
      </c>
      <c r="AP80" s="43">
        <v>200</v>
      </c>
      <c r="AQ80" s="43">
        <v>200</v>
      </c>
      <c r="AR80" s="43">
        <v>200</v>
      </c>
      <c r="AS80" s="43">
        <v>200</v>
      </c>
      <c r="AT80" s="43">
        <v>200</v>
      </c>
      <c r="AU80" s="43">
        <v>200</v>
      </c>
      <c r="AV80" s="43">
        <v>200</v>
      </c>
      <c r="AW80" s="43">
        <v>200</v>
      </c>
      <c r="AX80" s="44">
        <f t="shared" si="12"/>
        <v>2400</v>
      </c>
      <c r="AY80" s="317">
        <f>SUMIF(Recibos!$D$4:$D$3010,Cobranza!$B80,Recibos!K$4:K$3010)</f>
        <v>200</v>
      </c>
      <c r="AZ80" s="317">
        <f>SUMIF(Recibos!$D$4:$D$3010,Cobranza!$B80,Recibos!L$4:L$3010)</f>
        <v>200</v>
      </c>
      <c r="BA80" s="317">
        <f>SUMIF(Recibos!$D$4:$D$3010,Cobranza!$B80,Recibos!M$4:M$3010)</f>
        <v>200</v>
      </c>
      <c r="BB80" s="317">
        <f>SUMIF(Recibos!$D$4:$D$3010,Cobranza!$B80,Recibos!N$4:N$3010)</f>
        <v>200</v>
      </c>
      <c r="BC80" s="317">
        <f>SUMIF(Recibos!$D$4:$D$3010,Cobranza!$B80,Recibos!O$4:O$3010)</f>
        <v>200</v>
      </c>
      <c r="BD80" s="317">
        <f>SUMIF(Recibos!$D$4:$D$3010,Cobranza!$B80,Recibos!P$4:P$3010)</f>
        <v>200</v>
      </c>
      <c r="BE80" s="317">
        <f>SUMIF(Recibos!$D$4:$D$3010,Cobranza!$B80,Recibos!Q$4:Q$3010)</f>
        <v>200</v>
      </c>
      <c r="BF80" s="317">
        <f>SUMIF(Recibos!$D$4:$D$3010,Cobranza!$B80,Recibos!R$4:R$3010)</f>
        <v>200</v>
      </c>
      <c r="BG80" s="317">
        <f>SUMIF(Recibos!$D$4:$D$3010,Cobranza!$B80,Recibos!S$4:S$3010)</f>
        <v>200</v>
      </c>
      <c r="BH80" s="317">
        <f>SUMIF(Recibos!$D$4:$D$3010,Cobranza!$B80,Recibos!T$4:T$3010)</f>
        <v>200</v>
      </c>
      <c r="BI80" s="317">
        <f>SUMIF(Recibos!$D$4:$D$3010,Cobranza!$B80,Recibos!U$4:U$3010)</f>
        <v>200</v>
      </c>
      <c r="BJ80" s="317">
        <f>SUMIF(Recibos!$D$4:$D$3010,Cobranza!$B80,Recibos!V$4:V$3010)</f>
        <v>200</v>
      </c>
      <c r="BK80" s="318">
        <f t="shared" si="7"/>
        <v>2400</v>
      </c>
      <c r="BL80" s="317">
        <f>SUMIF(Recibos!$D$4:$D$3010,Cobranza!$B80,Recibos!X$4:X$3010)</f>
        <v>0</v>
      </c>
      <c r="BM80" s="317">
        <f>SUMIF(Recibos!$D$4:$D$3010,Cobranza!$B80,Recibos!Y$4:Y$3010)</f>
        <v>0</v>
      </c>
      <c r="BN80" s="317">
        <f>SUMIF(Recibos!$D$4:$D$3010,Cobranza!$B80,Recibos!Z$4:Z$3010)</f>
        <v>0</v>
      </c>
      <c r="BO80" s="317">
        <f>SUMIF(Recibos!$D$4:$D$3010,Cobranza!$B80,Recibos!AA$4:AA$3010)</f>
        <v>0</v>
      </c>
      <c r="BP80" s="317">
        <f>SUMIF(Recibos!$D$4:$D$3010,Cobranza!$B80,Recibos!AB$4:AB$3010)</f>
        <v>0</v>
      </c>
      <c r="BQ80" s="317">
        <f>SUMIF(Recibos!$D$4:$D$3010,Cobranza!$B80,Recibos!AC$4:AC$3010)</f>
        <v>0</v>
      </c>
      <c r="BR80" s="317">
        <f>SUMIF(Recibos!$D$4:$D$3010,Cobranza!$B80,Recibos!AD$4:AD$3010)</f>
        <v>0</v>
      </c>
      <c r="BS80" s="317">
        <f>SUMIF(Recibos!$D$4:$D$3010,Cobranza!$B80,Recibos!AE$4:AE$3010)</f>
        <v>0</v>
      </c>
      <c r="BT80" s="317">
        <f>SUMIF(Recibos!$D$4:$D$3010,Cobranza!$B80,Recibos!AF$4:AF$3010)</f>
        <v>0</v>
      </c>
      <c r="BU80" s="317">
        <f>SUMIF(Recibos!$D$4:$D$3010,Cobranza!$B80,Recibos!AG$4:AG$3010)</f>
        <v>0</v>
      </c>
      <c r="BV80" s="317">
        <f>SUMIF(Recibos!$D$4:$D$3010,Cobranza!$B80,Recibos!AH$4:AH$3010)</f>
        <v>0</v>
      </c>
      <c r="BW80" s="317">
        <f>SUMIF(Recibos!$D$4:$D$3010,Cobranza!$B80,Recibos!AI$4:AI$3010)</f>
        <v>0</v>
      </c>
      <c r="BX80" s="318">
        <f t="shared" si="8"/>
        <v>0</v>
      </c>
    </row>
    <row r="81" spans="2:76" x14ac:dyDescent="0.2">
      <c r="B81" s="45" t="s">
        <v>517</v>
      </c>
      <c r="C81" s="45" t="s">
        <v>518</v>
      </c>
      <c r="D81" s="45" t="s">
        <v>519</v>
      </c>
      <c r="E81" s="46">
        <v>0</v>
      </c>
      <c r="F81" s="46">
        <v>0</v>
      </c>
      <c r="G81" s="46">
        <v>0</v>
      </c>
      <c r="H81" s="46">
        <v>0</v>
      </c>
      <c r="I81" s="46">
        <v>0</v>
      </c>
      <c r="J81" s="46">
        <v>0</v>
      </c>
      <c r="K81" s="47">
        <f t="shared" si="9"/>
        <v>0</v>
      </c>
      <c r="L81" s="46">
        <v>300</v>
      </c>
      <c r="M81" s="46">
        <v>300</v>
      </c>
      <c r="N81" s="46">
        <v>300</v>
      </c>
      <c r="O81" s="46">
        <v>300</v>
      </c>
      <c r="P81" s="46">
        <v>300</v>
      </c>
      <c r="Q81" s="46">
        <v>300</v>
      </c>
      <c r="R81" s="46">
        <v>300</v>
      </c>
      <c r="S81" s="46">
        <v>300</v>
      </c>
      <c r="T81" s="46">
        <v>300</v>
      </c>
      <c r="U81" s="46">
        <v>300</v>
      </c>
      <c r="V81" s="46">
        <v>300</v>
      </c>
      <c r="W81" s="46">
        <v>0</v>
      </c>
      <c r="X81" s="47">
        <f t="shared" si="10"/>
        <v>3300</v>
      </c>
      <c r="Y81" s="46">
        <v>400</v>
      </c>
      <c r="Z81" s="46">
        <v>400</v>
      </c>
      <c r="AA81" s="46">
        <v>400</v>
      </c>
      <c r="AB81" s="46">
        <v>400</v>
      </c>
      <c r="AC81" s="46">
        <v>400</v>
      </c>
      <c r="AD81" s="46">
        <v>400</v>
      </c>
      <c r="AE81" s="46">
        <v>400</v>
      </c>
      <c r="AF81" s="46">
        <v>400</v>
      </c>
      <c r="AG81" s="46">
        <v>400</v>
      </c>
      <c r="AH81" s="46">
        <v>400</v>
      </c>
      <c r="AI81" s="46">
        <v>400</v>
      </c>
      <c r="AJ81" s="46">
        <v>0</v>
      </c>
      <c r="AK81" s="47">
        <f t="shared" si="11"/>
        <v>4400</v>
      </c>
      <c r="AL81" s="46">
        <v>400</v>
      </c>
      <c r="AM81" s="46">
        <v>400</v>
      </c>
      <c r="AN81" s="46">
        <v>400</v>
      </c>
      <c r="AO81" s="46">
        <v>400</v>
      </c>
      <c r="AP81" s="46">
        <v>400</v>
      </c>
      <c r="AQ81" s="46">
        <v>400</v>
      </c>
      <c r="AR81" s="46">
        <v>400</v>
      </c>
      <c r="AS81" s="46">
        <v>400</v>
      </c>
      <c r="AT81" s="46">
        <v>400</v>
      </c>
      <c r="AU81" s="46">
        <v>400</v>
      </c>
      <c r="AV81" s="46">
        <v>400</v>
      </c>
      <c r="AW81" s="46">
        <v>0</v>
      </c>
      <c r="AX81" s="47">
        <f t="shared" si="12"/>
        <v>4400</v>
      </c>
      <c r="AY81" s="319">
        <f>SUMIF(Recibos!$D$4:$D$3010,Cobranza!$B81,Recibos!K$4:K$3010)</f>
        <v>400</v>
      </c>
      <c r="AZ81" s="319">
        <f>SUMIF(Recibos!$D$4:$D$3010,Cobranza!$B81,Recibos!L$4:L$3010)</f>
        <v>400</v>
      </c>
      <c r="BA81" s="319">
        <f>SUMIF(Recibos!$D$4:$D$3010,Cobranza!$B81,Recibos!M$4:M$3010)</f>
        <v>400</v>
      </c>
      <c r="BB81" s="319">
        <f>SUMIF(Recibos!$D$4:$D$3010,Cobranza!$B81,Recibos!N$4:N$3010)</f>
        <v>400</v>
      </c>
      <c r="BC81" s="319">
        <f>SUMIF(Recibos!$D$4:$D$3010,Cobranza!$B81,Recibos!O$4:O$3010)</f>
        <v>400</v>
      </c>
      <c r="BD81" s="319">
        <f>SUMIF(Recibos!$D$4:$D$3010,Cobranza!$B81,Recibos!P$4:P$3010)</f>
        <v>400</v>
      </c>
      <c r="BE81" s="319">
        <f>SUMIF(Recibos!$D$4:$D$3010,Cobranza!$B81,Recibos!Q$4:Q$3010)</f>
        <v>400</v>
      </c>
      <c r="BF81" s="319">
        <f>SUMIF(Recibos!$D$4:$D$3010,Cobranza!$B81,Recibos!R$4:R$3010)</f>
        <v>400</v>
      </c>
      <c r="BG81" s="319">
        <f>SUMIF(Recibos!$D$4:$D$3010,Cobranza!$B81,Recibos!S$4:S$3010)</f>
        <v>400</v>
      </c>
      <c r="BH81" s="319">
        <f>SUMIF(Recibos!$D$4:$D$3010,Cobranza!$B81,Recibos!T$4:T$3010)</f>
        <v>400</v>
      </c>
      <c r="BI81" s="319">
        <f>SUMIF(Recibos!$D$4:$D$3010,Cobranza!$B81,Recibos!U$4:U$3010)</f>
        <v>400</v>
      </c>
      <c r="BJ81" s="319">
        <f>SUMIF(Recibos!$D$4:$D$3010,Cobranza!$B81,Recibos!V$4:V$3010)</f>
        <v>0</v>
      </c>
      <c r="BK81" s="320">
        <f t="shared" ref="BK81:BK145" si="13">SUM(AY81:BJ81)</f>
        <v>4400</v>
      </c>
      <c r="BL81" s="319">
        <f>SUMIF(Recibos!$D$4:$D$3010,Cobranza!$B81,Recibos!X$4:X$3010)</f>
        <v>400</v>
      </c>
      <c r="BM81" s="319">
        <f>SUMIF(Recibos!$D$4:$D$3010,Cobranza!$B81,Recibos!Y$4:Y$3010)</f>
        <v>400</v>
      </c>
      <c r="BN81" s="319">
        <f>SUMIF(Recibos!$D$4:$D$3010,Cobranza!$B81,Recibos!Z$4:Z$3010)</f>
        <v>400</v>
      </c>
      <c r="BO81" s="319">
        <f>SUMIF(Recibos!$D$4:$D$3010,Cobranza!$B81,Recibos!AA$4:AA$3010)</f>
        <v>400</v>
      </c>
      <c r="BP81" s="319">
        <f>SUMIF(Recibos!$D$4:$D$3010,Cobranza!$B81,Recibos!AB$4:AB$3010)</f>
        <v>400</v>
      </c>
      <c r="BQ81" s="319">
        <f>SUMIF(Recibos!$D$4:$D$3010,Cobranza!$B81,Recibos!AC$4:AC$3010)</f>
        <v>400</v>
      </c>
      <c r="BR81" s="319">
        <f>SUMIF(Recibos!$D$4:$D$3010,Cobranza!$B81,Recibos!AD$4:AD$3010)</f>
        <v>400</v>
      </c>
      <c r="BS81" s="319">
        <f>SUMIF(Recibos!$D$4:$D$3010,Cobranza!$B81,Recibos!AE$4:AE$3010)</f>
        <v>400</v>
      </c>
      <c r="BT81" s="319">
        <f>SUMIF(Recibos!$D$4:$D$3010,Cobranza!$B81,Recibos!AF$4:AF$3010)</f>
        <v>400</v>
      </c>
      <c r="BU81" s="319">
        <f>SUMIF(Recibos!$D$4:$D$3010,Cobranza!$B81,Recibos!AG$4:AG$3010)</f>
        <v>400</v>
      </c>
      <c r="BV81" s="319">
        <f>SUMIF(Recibos!$D$4:$D$3010,Cobranza!$B81,Recibos!AH$4:AH$3010)</f>
        <v>400</v>
      </c>
      <c r="BW81" s="319">
        <f>SUMIF(Recibos!$D$4:$D$3010,Cobranza!$B81,Recibos!AI$4:AI$3010)</f>
        <v>0</v>
      </c>
      <c r="BX81" s="320">
        <f t="shared" ref="BX81:BX145" si="14">SUM(BL81:BW81)</f>
        <v>4400</v>
      </c>
    </row>
    <row r="82" spans="2:76" x14ac:dyDescent="0.2">
      <c r="B82" s="42" t="s">
        <v>153</v>
      </c>
      <c r="C82" s="42" t="s">
        <v>154</v>
      </c>
      <c r="D82" s="42" t="s">
        <v>155</v>
      </c>
      <c r="E82" s="43">
        <v>0</v>
      </c>
      <c r="F82" s="43">
        <v>0</v>
      </c>
      <c r="G82" s="43">
        <v>0</v>
      </c>
      <c r="H82" s="43">
        <v>0</v>
      </c>
      <c r="I82" s="43">
        <v>0</v>
      </c>
      <c r="J82" s="43">
        <v>0</v>
      </c>
      <c r="K82" s="44">
        <f t="shared" si="9"/>
        <v>0</v>
      </c>
      <c r="L82" s="43">
        <v>300</v>
      </c>
      <c r="M82" s="43">
        <v>300</v>
      </c>
      <c r="N82" s="43">
        <v>300</v>
      </c>
      <c r="O82" s="43">
        <v>300</v>
      </c>
      <c r="P82" s="43">
        <v>300</v>
      </c>
      <c r="Q82" s="43">
        <v>300</v>
      </c>
      <c r="R82" s="43">
        <v>300</v>
      </c>
      <c r="S82" s="43">
        <v>300</v>
      </c>
      <c r="T82" s="43">
        <v>300</v>
      </c>
      <c r="U82" s="43">
        <v>400</v>
      </c>
      <c r="V82" s="43">
        <v>400</v>
      </c>
      <c r="W82" s="43">
        <v>400</v>
      </c>
      <c r="X82" s="44">
        <f t="shared" si="10"/>
        <v>3900</v>
      </c>
      <c r="Y82" s="43">
        <v>400</v>
      </c>
      <c r="Z82" s="43">
        <v>400</v>
      </c>
      <c r="AA82" s="43">
        <v>400</v>
      </c>
      <c r="AB82" s="43">
        <v>400</v>
      </c>
      <c r="AC82" s="43">
        <v>400</v>
      </c>
      <c r="AD82" s="43">
        <v>400</v>
      </c>
      <c r="AE82" s="43">
        <v>400</v>
      </c>
      <c r="AF82" s="43">
        <v>400</v>
      </c>
      <c r="AG82" s="43">
        <v>400</v>
      </c>
      <c r="AH82" s="43">
        <v>400</v>
      </c>
      <c r="AI82" s="43">
        <v>400</v>
      </c>
      <c r="AJ82" s="43">
        <v>400</v>
      </c>
      <c r="AK82" s="44">
        <f t="shared" si="11"/>
        <v>4800</v>
      </c>
      <c r="AL82" s="43">
        <v>400</v>
      </c>
      <c r="AM82" s="43">
        <v>400</v>
      </c>
      <c r="AN82" s="43">
        <v>400</v>
      </c>
      <c r="AO82" s="43">
        <v>400</v>
      </c>
      <c r="AP82" s="43">
        <v>400</v>
      </c>
      <c r="AQ82" s="43">
        <v>400</v>
      </c>
      <c r="AR82" s="43">
        <v>400</v>
      </c>
      <c r="AS82" s="43">
        <v>400</v>
      </c>
      <c r="AT82" s="43">
        <v>400</v>
      </c>
      <c r="AU82" s="43">
        <v>400</v>
      </c>
      <c r="AV82" s="43">
        <v>400</v>
      </c>
      <c r="AW82" s="43">
        <v>0</v>
      </c>
      <c r="AX82" s="44">
        <f t="shared" si="12"/>
        <v>4400</v>
      </c>
      <c r="AY82" s="317">
        <f>SUMIF(Recibos!$D$4:$D$3010,Cobranza!$B82,Recibos!K$4:K$3010)</f>
        <v>400</v>
      </c>
      <c r="AZ82" s="317">
        <f>SUMIF(Recibos!$D$4:$D$3010,Cobranza!$B82,Recibos!L$4:L$3010)</f>
        <v>400</v>
      </c>
      <c r="BA82" s="317">
        <f>SUMIF(Recibos!$D$4:$D$3010,Cobranza!$B82,Recibos!M$4:M$3010)</f>
        <v>400</v>
      </c>
      <c r="BB82" s="317">
        <f>SUMIF(Recibos!$D$4:$D$3010,Cobranza!$B82,Recibos!N$4:N$3010)</f>
        <v>400</v>
      </c>
      <c r="BC82" s="317">
        <f>SUMIF(Recibos!$D$4:$D$3010,Cobranza!$B82,Recibos!O$4:O$3010)</f>
        <v>400</v>
      </c>
      <c r="BD82" s="317">
        <f>SUMIF(Recibos!$D$4:$D$3010,Cobranza!$B82,Recibos!P$4:P$3010)</f>
        <v>400</v>
      </c>
      <c r="BE82" s="317">
        <f>SUMIF(Recibos!$D$4:$D$3010,Cobranza!$B82,Recibos!Q$4:Q$3010)</f>
        <v>400</v>
      </c>
      <c r="BF82" s="317">
        <f>SUMIF(Recibos!$D$4:$D$3010,Cobranza!$B82,Recibos!R$4:R$3010)</f>
        <v>400</v>
      </c>
      <c r="BG82" s="317">
        <f>SUMIF(Recibos!$D$4:$D$3010,Cobranza!$B82,Recibos!S$4:S$3010)</f>
        <v>400</v>
      </c>
      <c r="BH82" s="317">
        <f>SUMIF(Recibos!$D$4:$D$3010,Cobranza!$B82,Recibos!T$4:T$3010)</f>
        <v>400</v>
      </c>
      <c r="BI82" s="317">
        <f>SUMIF(Recibos!$D$4:$D$3010,Cobranza!$B82,Recibos!U$4:U$3010)</f>
        <v>400</v>
      </c>
      <c r="BJ82" s="317">
        <f>SUMIF(Recibos!$D$4:$D$3010,Cobranza!$B82,Recibos!V$4:V$3010)</f>
        <v>400</v>
      </c>
      <c r="BK82" s="318">
        <f t="shared" si="13"/>
        <v>4800</v>
      </c>
      <c r="BL82" s="317">
        <f>SUMIF(Recibos!$D$4:$D$3010,Cobranza!$B82,Recibos!X$4:X$3010)</f>
        <v>0</v>
      </c>
      <c r="BM82" s="317">
        <f>SUMIF(Recibos!$D$4:$D$3010,Cobranza!$B82,Recibos!Y$4:Y$3010)</f>
        <v>0</v>
      </c>
      <c r="BN82" s="317">
        <f>SUMIF(Recibos!$D$4:$D$3010,Cobranza!$B82,Recibos!Z$4:Z$3010)</f>
        <v>0</v>
      </c>
      <c r="BO82" s="317">
        <f>SUMIF(Recibos!$D$4:$D$3010,Cobranza!$B82,Recibos!AA$4:AA$3010)</f>
        <v>0</v>
      </c>
      <c r="BP82" s="317">
        <f>SUMIF(Recibos!$D$4:$D$3010,Cobranza!$B82,Recibos!AB$4:AB$3010)</f>
        <v>0</v>
      </c>
      <c r="BQ82" s="317">
        <f>SUMIF(Recibos!$D$4:$D$3010,Cobranza!$B82,Recibos!AC$4:AC$3010)</f>
        <v>0</v>
      </c>
      <c r="BR82" s="317">
        <f>SUMIF(Recibos!$D$4:$D$3010,Cobranza!$B82,Recibos!AD$4:AD$3010)</f>
        <v>0</v>
      </c>
      <c r="BS82" s="317">
        <f>SUMIF(Recibos!$D$4:$D$3010,Cobranza!$B82,Recibos!AE$4:AE$3010)</f>
        <v>0</v>
      </c>
      <c r="BT82" s="317">
        <f>SUMIF(Recibos!$D$4:$D$3010,Cobranza!$B82,Recibos!AF$4:AF$3010)</f>
        <v>0</v>
      </c>
      <c r="BU82" s="317">
        <f>SUMIF(Recibos!$D$4:$D$3010,Cobranza!$B82,Recibos!AG$4:AG$3010)</f>
        <v>0</v>
      </c>
      <c r="BV82" s="317">
        <f>SUMIF(Recibos!$D$4:$D$3010,Cobranza!$B82,Recibos!AH$4:AH$3010)</f>
        <v>0</v>
      </c>
      <c r="BW82" s="317">
        <f>SUMIF(Recibos!$D$4:$D$3010,Cobranza!$B82,Recibos!AI$4:AI$3010)</f>
        <v>0</v>
      </c>
      <c r="BX82" s="318">
        <f t="shared" si="14"/>
        <v>0</v>
      </c>
    </row>
    <row r="83" spans="2:76" x14ac:dyDescent="0.2">
      <c r="B83" s="45" t="s">
        <v>950</v>
      </c>
      <c r="C83" s="45" t="s">
        <v>951</v>
      </c>
      <c r="D83" s="45" t="s">
        <v>952</v>
      </c>
      <c r="E83" s="46">
        <v>0</v>
      </c>
      <c r="F83" s="46">
        <v>0</v>
      </c>
      <c r="G83" s="46">
        <v>0</v>
      </c>
      <c r="H83" s="46">
        <v>0</v>
      </c>
      <c r="I83" s="46">
        <v>0</v>
      </c>
      <c r="J83" s="46">
        <v>300</v>
      </c>
      <c r="K83" s="47">
        <f t="shared" si="9"/>
        <v>300</v>
      </c>
      <c r="L83" s="46">
        <v>300</v>
      </c>
      <c r="M83" s="46">
        <v>300</v>
      </c>
      <c r="N83" s="46">
        <v>300</v>
      </c>
      <c r="O83" s="46">
        <v>150</v>
      </c>
      <c r="P83" s="46">
        <v>170</v>
      </c>
      <c r="Q83" s="46">
        <v>300</v>
      </c>
      <c r="R83" s="46">
        <v>300</v>
      </c>
      <c r="S83" s="46">
        <v>300</v>
      </c>
      <c r="T83" s="46">
        <v>300</v>
      </c>
      <c r="U83" s="46">
        <v>400</v>
      </c>
      <c r="V83" s="46">
        <v>400</v>
      </c>
      <c r="W83" s="46">
        <v>400</v>
      </c>
      <c r="X83" s="47">
        <f t="shared" si="10"/>
        <v>3620</v>
      </c>
      <c r="Y83" s="46">
        <v>400</v>
      </c>
      <c r="Z83" s="46">
        <v>400</v>
      </c>
      <c r="AA83" s="46">
        <v>800</v>
      </c>
      <c r="AB83" s="46">
        <v>400</v>
      </c>
      <c r="AC83" s="46">
        <v>400</v>
      </c>
      <c r="AD83" s="46">
        <v>400</v>
      </c>
      <c r="AE83" s="46">
        <v>400</v>
      </c>
      <c r="AF83" s="46">
        <v>400</v>
      </c>
      <c r="AG83" s="46">
        <v>400</v>
      </c>
      <c r="AH83" s="46">
        <v>400</v>
      </c>
      <c r="AI83" s="46">
        <v>400</v>
      </c>
      <c r="AJ83" s="46">
        <v>400</v>
      </c>
      <c r="AK83" s="47">
        <f t="shared" si="11"/>
        <v>5200</v>
      </c>
      <c r="AL83" s="46">
        <v>400</v>
      </c>
      <c r="AM83" s="46">
        <v>400</v>
      </c>
      <c r="AN83" s="46">
        <v>400</v>
      </c>
      <c r="AO83" s="46">
        <v>400</v>
      </c>
      <c r="AP83" s="46">
        <v>400</v>
      </c>
      <c r="AQ83" s="46">
        <v>400</v>
      </c>
      <c r="AR83" s="46">
        <v>400</v>
      </c>
      <c r="AS83" s="46">
        <v>400</v>
      </c>
      <c r="AT83" s="46">
        <v>400</v>
      </c>
      <c r="AU83" s="46">
        <v>400</v>
      </c>
      <c r="AV83" s="46">
        <v>400</v>
      </c>
      <c r="AW83" s="46">
        <v>400</v>
      </c>
      <c r="AX83" s="47">
        <f t="shared" si="12"/>
        <v>4800</v>
      </c>
      <c r="AY83" s="319">
        <f>SUMIF(Recibos!$D$4:$D$3010,Cobranza!$B83,Recibos!K$4:K$3010)</f>
        <v>400</v>
      </c>
      <c r="AZ83" s="319">
        <f>SUMIF(Recibos!$D$4:$D$3010,Cobranza!$B83,Recibos!L$4:L$3010)</f>
        <v>400</v>
      </c>
      <c r="BA83" s="319">
        <f>SUMIF(Recibos!$D$4:$D$3010,Cobranza!$B83,Recibos!M$4:M$3010)</f>
        <v>400</v>
      </c>
      <c r="BB83" s="319">
        <f>SUMIF(Recibos!$D$4:$D$3010,Cobranza!$B83,Recibos!N$4:N$3010)</f>
        <v>400</v>
      </c>
      <c r="BC83" s="319">
        <f>SUMIF(Recibos!$D$4:$D$3010,Cobranza!$B83,Recibos!O$4:O$3010)</f>
        <v>400</v>
      </c>
      <c r="BD83" s="319">
        <f>SUMIF(Recibos!$D$4:$D$3010,Cobranza!$B83,Recibos!P$4:P$3010)</f>
        <v>400</v>
      </c>
      <c r="BE83" s="319">
        <f>SUMIF(Recibos!$D$4:$D$3010,Cobranza!$B83,Recibos!Q$4:Q$3010)</f>
        <v>400</v>
      </c>
      <c r="BF83" s="319">
        <f>SUMIF(Recibos!$D$4:$D$3010,Cobranza!$B83,Recibos!R$4:R$3010)</f>
        <v>400</v>
      </c>
      <c r="BG83" s="319">
        <f>SUMIF(Recibos!$D$4:$D$3010,Cobranza!$B83,Recibos!S$4:S$3010)</f>
        <v>400</v>
      </c>
      <c r="BH83" s="319">
        <f>SUMIF(Recibos!$D$4:$D$3010,Cobranza!$B83,Recibos!T$4:T$3010)</f>
        <v>400</v>
      </c>
      <c r="BI83" s="319">
        <f>SUMIF(Recibos!$D$4:$D$3010,Cobranza!$B83,Recibos!U$4:U$3010)</f>
        <v>400</v>
      </c>
      <c r="BJ83" s="319">
        <f>SUMIF(Recibos!$D$4:$D$3010,Cobranza!$B83,Recibos!V$4:V$3010)</f>
        <v>0</v>
      </c>
      <c r="BK83" s="320">
        <f t="shared" si="13"/>
        <v>4400</v>
      </c>
      <c r="BL83" s="319">
        <f>SUMIF(Recibos!$D$4:$D$3010,Cobranza!$B83,Recibos!X$4:X$3010)</f>
        <v>0</v>
      </c>
      <c r="BM83" s="319">
        <f>SUMIF(Recibos!$D$4:$D$3010,Cobranza!$B83,Recibos!Y$4:Y$3010)</f>
        <v>0</v>
      </c>
      <c r="BN83" s="319">
        <f>SUMIF(Recibos!$D$4:$D$3010,Cobranza!$B83,Recibos!Z$4:Z$3010)</f>
        <v>0</v>
      </c>
      <c r="BO83" s="319">
        <f>SUMIF(Recibos!$D$4:$D$3010,Cobranza!$B83,Recibos!AA$4:AA$3010)</f>
        <v>0</v>
      </c>
      <c r="BP83" s="319">
        <f>SUMIF(Recibos!$D$4:$D$3010,Cobranza!$B83,Recibos!AB$4:AB$3010)</f>
        <v>0</v>
      </c>
      <c r="BQ83" s="319">
        <f>SUMIF(Recibos!$D$4:$D$3010,Cobranza!$B83,Recibos!AC$4:AC$3010)</f>
        <v>0</v>
      </c>
      <c r="BR83" s="319">
        <f>SUMIF(Recibos!$D$4:$D$3010,Cobranza!$B83,Recibos!AD$4:AD$3010)</f>
        <v>0</v>
      </c>
      <c r="BS83" s="319">
        <f>SUMIF(Recibos!$D$4:$D$3010,Cobranza!$B83,Recibos!AE$4:AE$3010)</f>
        <v>0</v>
      </c>
      <c r="BT83" s="319">
        <f>SUMIF(Recibos!$D$4:$D$3010,Cobranza!$B83,Recibos!AF$4:AF$3010)</f>
        <v>0</v>
      </c>
      <c r="BU83" s="319">
        <f>SUMIF(Recibos!$D$4:$D$3010,Cobranza!$B83,Recibos!AG$4:AG$3010)</f>
        <v>0</v>
      </c>
      <c r="BV83" s="319">
        <f>SUMIF(Recibos!$D$4:$D$3010,Cobranza!$B83,Recibos!AH$4:AH$3010)</f>
        <v>0</v>
      </c>
      <c r="BW83" s="319">
        <f>SUMIF(Recibos!$D$4:$D$3010,Cobranza!$B83,Recibos!AI$4:AI$3010)</f>
        <v>0</v>
      </c>
      <c r="BX83" s="320">
        <f t="shared" si="14"/>
        <v>0</v>
      </c>
    </row>
    <row r="84" spans="2:76" x14ac:dyDescent="0.2">
      <c r="B84" s="42" t="s">
        <v>497</v>
      </c>
      <c r="C84" s="42" t="s">
        <v>498</v>
      </c>
      <c r="D84" s="42" t="s">
        <v>499</v>
      </c>
      <c r="E84" s="43">
        <v>0</v>
      </c>
      <c r="F84" s="43">
        <v>0</v>
      </c>
      <c r="G84" s="43">
        <v>0</v>
      </c>
      <c r="H84" s="43">
        <v>0</v>
      </c>
      <c r="I84" s="43">
        <v>0</v>
      </c>
      <c r="J84" s="43">
        <v>300</v>
      </c>
      <c r="K84" s="44">
        <f t="shared" si="9"/>
        <v>300</v>
      </c>
      <c r="L84" s="43">
        <v>300</v>
      </c>
      <c r="M84" s="43">
        <v>300</v>
      </c>
      <c r="N84" s="43">
        <v>0</v>
      </c>
      <c r="O84" s="43">
        <v>300</v>
      </c>
      <c r="P84" s="43">
        <v>300</v>
      </c>
      <c r="Q84" s="43">
        <v>300</v>
      </c>
      <c r="R84" s="43">
        <v>300</v>
      </c>
      <c r="S84" s="43">
        <v>300</v>
      </c>
      <c r="T84" s="43">
        <v>300</v>
      </c>
      <c r="U84" s="43">
        <v>400</v>
      </c>
      <c r="V84" s="43">
        <v>400</v>
      </c>
      <c r="W84" s="43">
        <v>400</v>
      </c>
      <c r="X84" s="44">
        <f t="shared" si="10"/>
        <v>3600</v>
      </c>
      <c r="Y84" s="43">
        <v>400</v>
      </c>
      <c r="Z84" s="43">
        <v>400</v>
      </c>
      <c r="AA84" s="43">
        <v>400</v>
      </c>
      <c r="AB84" s="43">
        <v>0</v>
      </c>
      <c r="AC84" s="43">
        <v>400</v>
      </c>
      <c r="AD84" s="43">
        <v>400</v>
      </c>
      <c r="AE84" s="43">
        <v>400</v>
      </c>
      <c r="AF84" s="43">
        <v>400</v>
      </c>
      <c r="AG84" s="43">
        <v>400</v>
      </c>
      <c r="AH84" s="43">
        <v>400</v>
      </c>
      <c r="AI84" s="43">
        <v>400</v>
      </c>
      <c r="AJ84" s="43">
        <v>0</v>
      </c>
      <c r="AK84" s="44">
        <f t="shared" si="11"/>
        <v>4000</v>
      </c>
      <c r="AL84" s="43">
        <v>400</v>
      </c>
      <c r="AM84" s="43">
        <v>400</v>
      </c>
      <c r="AN84" s="43">
        <v>400</v>
      </c>
      <c r="AO84" s="43">
        <v>400</v>
      </c>
      <c r="AP84" s="43">
        <v>400</v>
      </c>
      <c r="AQ84" s="43">
        <v>400</v>
      </c>
      <c r="AR84" s="43">
        <v>400</v>
      </c>
      <c r="AS84" s="43">
        <v>400</v>
      </c>
      <c r="AT84" s="43">
        <v>400</v>
      </c>
      <c r="AU84" s="43">
        <v>400</v>
      </c>
      <c r="AV84" s="43">
        <v>400</v>
      </c>
      <c r="AW84" s="43">
        <v>400</v>
      </c>
      <c r="AX84" s="44">
        <f t="shared" si="12"/>
        <v>4800</v>
      </c>
      <c r="AY84" s="317">
        <f>SUMIF(Recibos!$D$4:$D$3010,Cobranza!$B84,Recibos!K$4:K$3010)</f>
        <v>400</v>
      </c>
      <c r="AZ84" s="317">
        <f>SUMIF(Recibos!$D$4:$D$3010,Cobranza!$B84,Recibos!L$4:L$3010)</f>
        <v>400</v>
      </c>
      <c r="BA84" s="317">
        <f>SUMIF(Recibos!$D$4:$D$3010,Cobranza!$B84,Recibos!M$4:M$3010)</f>
        <v>400</v>
      </c>
      <c r="BB84" s="317">
        <f>SUMIF(Recibos!$D$4:$D$3010,Cobranza!$B84,Recibos!N$4:N$3010)</f>
        <v>400</v>
      </c>
      <c r="BC84" s="317">
        <f>SUMIF(Recibos!$D$4:$D$3010,Cobranza!$B84,Recibos!O$4:O$3010)</f>
        <v>400</v>
      </c>
      <c r="BD84" s="317">
        <f>SUMIF(Recibos!$D$4:$D$3010,Cobranza!$B84,Recibos!P$4:P$3010)</f>
        <v>400</v>
      </c>
      <c r="BE84" s="317">
        <f>SUMIF(Recibos!$D$4:$D$3010,Cobranza!$B84,Recibos!Q$4:Q$3010)</f>
        <v>400</v>
      </c>
      <c r="BF84" s="317">
        <f>SUMIF(Recibos!$D$4:$D$3010,Cobranza!$B84,Recibos!R$4:R$3010)</f>
        <v>400</v>
      </c>
      <c r="BG84" s="317">
        <f>SUMIF(Recibos!$D$4:$D$3010,Cobranza!$B84,Recibos!S$4:S$3010)</f>
        <v>400</v>
      </c>
      <c r="BH84" s="317">
        <f>SUMIF(Recibos!$D$4:$D$3010,Cobranza!$B84,Recibos!T$4:T$3010)</f>
        <v>400</v>
      </c>
      <c r="BI84" s="317">
        <f>SUMIF(Recibos!$D$4:$D$3010,Cobranza!$B84,Recibos!U$4:U$3010)</f>
        <v>400</v>
      </c>
      <c r="BJ84" s="317">
        <f>SUMIF(Recibos!$D$4:$D$3010,Cobranza!$B84,Recibos!V$4:V$3010)</f>
        <v>400</v>
      </c>
      <c r="BK84" s="318">
        <f t="shared" si="13"/>
        <v>4800</v>
      </c>
      <c r="BL84" s="317">
        <f>SUMIF(Recibos!$D$4:$D$3010,Cobranza!$B84,Recibos!X$4:X$3010)</f>
        <v>0</v>
      </c>
      <c r="BM84" s="317">
        <f>SUMIF(Recibos!$D$4:$D$3010,Cobranza!$B84,Recibos!Y$4:Y$3010)</f>
        <v>0</v>
      </c>
      <c r="BN84" s="317">
        <f>SUMIF(Recibos!$D$4:$D$3010,Cobranza!$B84,Recibos!Z$4:Z$3010)</f>
        <v>0</v>
      </c>
      <c r="BO84" s="317">
        <f>SUMIF(Recibos!$D$4:$D$3010,Cobranza!$B84,Recibos!AA$4:AA$3010)</f>
        <v>0</v>
      </c>
      <c r="BP84" s="317">
        <f>SUMIF(Recibos!$D$4:$D$3010,Cobranza!$B84,Recibos!AB$4:AB$3010)</f>
        <v>0</v>
      </c>
      <c r="BQ84" s="317">
        <f>SUMIF(Recibos!$D$4:$D$3010,Cobranza!$B84,Recibos!AC$4:AC$3010)</f>
        <v>0</v>
      </c>
      <c r="BR84" s="317">
        <f>SUMIF(Recibos!$D$4:$D$3010,Cobranza!$B84,Recibos!AD$4:AD$3010)</f>
        <v>0</v>
      </c>
      <c r="BS84" s="317">
        <f>SUMIF(Recibos!$D$4:$D$3010,Cobranza!$B84,Recibos!AE$4:AE$3010)</f>
        <v>0</v>
      </c>
      <c r="BT84" s="317">
        <f>SUMIF(Recibos!$D$4:$D$3010,Cobranza!$B84,Recibos!AF$4:AF$3010)</f>
        <v>0</v>
      </c>
      <c r="BU84" s="317">
        <f>SUMIF(Recibos!$D$4:$D$3010,Cobranza!$B84,Recibos!AG$4:AG$3010)</f>
        <v>0</v>
      </c>
      <c r="BV84" s="317">
        <f>SUMIF(Recibos!$D$4:$D$3010,Cobranza!$B84,Recibos!AH$4:AH$3010)</f>
        <v>0</v>
      </c>
      <c r="BW84" s="317">
        <f>SUMIF(Recibos!$D$4:$D$3010,Cobranza!$B84,Recibos!AI$4:AI$3010)</f>
        <v>0</v>
      </c>
      <c r="BX84" s="318">
        <f t="shared" si="14"/>
        <v>0</v>
      </c>
    </row>
    <row r="85" spans="2:76" x14ac:dyDescent="0.2">
      <c r="B85" s="45" t="s">
        <v>1294</v>
      </c>
      <c r="C85" s="45" t="s">
        <v>1295</v>
      </c>
      <c r="D85" s="45" t="s">
        <v>1296</v>
      </c>
      <c r="E85" s="46">
        <v>0</v>
      </c>
      <c r="F85" s="46">
        <v>0</v>
      </c>
      <c r="G85" s="46">
        <v>0</v>
      </c>
      <c r="H85" s="46">
        <v>0</v>
      </c>
      <c r="I85" s="46">
        <v>0</v>
      </c>
      <c r="J85" s="46">
        <v>300</v>
      </c>
      <c r="K85" s="47">
        <f t="shared" si="9"/>
        <v>300</v>
      </c>
      <c r="L85" s="46">
        <v>300</v>
      </c>
      <c r="M85" s="46">
        <v>300</v>
      </c>
      <c r="N85" s="46">
        <v>300</v>
      </c>
      <c r="O85" s="46">
        <v>300</v>
      </c>
      <c r="P85" s="46">
        <v>300</v>
      </c>
      <c r="Q85" s="46">
        <v>300</v>
      </c>
      <c r="R85" s="46">
        <v>300</v>
      </c>
      <c r="S85" s="46">
        <v>300</v>
      </c>
      <c r="T85" s="46">
        <v>300</v>
      </c>
      <c r="U85" s="46">
        <v>300</v>
      </c>
      <c r="V85" s="46">
        <v>400</v>
      </c>
      <c r="W85" s="46">
        <v>400</v>
      </c>
      <c r="X85" s="47">
        <f t="shared" si="10"/>
        <v>3800</v>
      </c>
      <c r="Y85" s="46">
        <v>400</v>
      </c>
      <c r="Z85" s="46">
        <v>400</v>
      </c>
      <c r="AA85" s="46">
        <v>400</v>
      </c>
      <c r="AB85" s="46">
        <v>400</v>
      </c>
      <c r="AC85" s="46">
        <v>400</v>
      </c>
      <c r="AD85" s="46">
        <v>400</v>
      </c>
      <c r="AE85" s="46">
        <v>400</v>
      </c>
      <c r="AF85" s="46">
        <v>400</v>
      </c>
      <c r="AG85" s="46">
        <v>400</v>
      </c>
      <c r="AH85" s="46">
        <v>400</v>
      </c>
      <c r="AI85" s="46">
        <v>400</v>
      </c>
      <c r="AJ85" s="46">
        <v>400</v>
      </c>
      <c r="AK85" s="47">
        <f t="shared" si="11"/>
        <v>4800</v>
      </c>
      <c r="AL85" s="46">
        <v>400</v>
      </c>
      <c r="AM85" s="46">
        <v>400</v>
      </c>
      <c r="AN85" s="46">
        <v>400</v>
      </c>
      <c r="AO85" s="46">
        <v>400</v>
      </c>
      <c r="AP85" s="46">
        <v>400</v>
      </c>
      <c r="AQ85" s="46">
        <v>400</v>
      </c>
      <c r="AR85" s="46">
        <v>400</v>
      </c>
      <c r="AS85" s="46">
        <v>400</v>
      </c>
      <c r="AT85" s="46">
        <v>400</v>
      </c>
      <c r="AU85" s="46">
        <v>400</v>
      </c>
      <c r="AV85" s="46">
        <v>400</v>
      </c>
      <c r="AW85" s="46">
        <v>0</v>
      </c>
      <c r="AX85" s="47">
        <f t="shared" si="12"/>
        <v>4400</v>
      </c>
      <c r="AY85" s="319">
        <f>SUMIF(Recibos!$D$4:$D$3010,Cobranza!$B85,Recibos!K$4:K$3010)</f>
        <v>0</v>
      </c>
      <c r="AZ85" s="319">
        <f>SUMIF(Recibos!$D$4:$D$3010,Cobranza!$B85,Recibos!L$4:L$3010)</f>
        <v>0</v>
      </c>
      <c r="BA85" s="319">
        <f>SUMIF(Recibos!$D$4:$D$3010,Cobranza!$B85,Recibos!M$4:M$3010)</f>
        <v>0</v>
      </c>
      <c r="BB85" s="319">
        <f>SUMIF(Recibos!$D$4:$D$3010,Cobranza!$B85,Recibos!N$4:N$3010)</f>
        <v>0</v>
      </c>
      <c r="BC85" s="319">
        <f>SUMIF(Recibos!$D$4:$D$3010,Cobranza!$B85,Recibos!O$4:O$3010)</f>
        <v>0</v>
      </c>
      <c r="BD85" s="319">
        <f>SUMIF(Recibos!$D$4:$D$3010,Cobranza!$B85,Recibos!P$4:P$3010)</f>
        <v>0</v>
      </c>
      <c r="BE85" s="319">
        <f>SUMIF(Recibos!$D$4:$D$3010,Cobranza!$B85,Recibos!Q$4:Q$3010)</f>
        <v>0</v>
      </c>
      <c r="BF85" s="319">
        <f>SUMIF(Recibos!$D$4:$D$3010,Cobranza!$B85,Recibos!R$4:R$3010)</f>
        <v>0</v>
      </c>
      <c r="BG85" s="319">
        <f>SUMIF(Recibos!$D$4:$D$3010,Cobranza!$B85,Recibos!S$4:S$3010)</f>
        <v>0</v>
      </c>
      <c r="BH85" s="319">
        <f>SUMIF(Recibos!$D$4:$D$3010,Cobranza!$B85,Recibos!T$4:T$3010)</f>
        <v>0</v>
      </c>
      <c r="BI85" s="319">
        <f>SUMIF(Recibos!$D$4:$D$3010,Cobranza!$B85,Recibos!U$4:U$3010)</f>
        <v>0</v>
      </c>
      <c r="BJ85" s="319">
        <f>SUMIF(Recibos!$D$4:$D$3010,Cobranza!$B85,Recibos!V$4:V$3010)</f>
        <v>0</v>
      </c>
      <c r="BK85" s="320">
        <f t="shared" si="13"/>
        <v>0</v>
      </c>
      <c r="BL85" s="319">
        <f>SUMIF(Recibos!$D$4:$D$3010,Cobranza!$B85,Recibos!X$4:X$3010)</f>
        <v>0</v>
      </c>
      <c r="BM85" s="319">
        <f>SUMIF(Recibos!$D$4:$D$3010,Cobranza!$B85,Recibos!Y$4:Y$3010)</f>
        <v>0</v>
      </c>
      <c r="BN85" s="319">
        <f>SUMIF(Recibos!$D$4:$D$3010,Cobranza!$B85,Recibos!Z$4:Z$3010)</f>
        <v>0</v>
      </c>
      <c r="BO85" s="319">
        <f>SUMIF(Recibos!$D$4:$D$3010,Cobranza!$B85,Recibos!AA$4:AA$3010)</f>
        <v>0</v>
      </c>
      <c r="BP85" s="319">
        <f>SUMIF(Recibos!$D$4:$D$3010,Cobranza!$B85,Recibos!AB$4:AB$3010)</f>
        <v>0</v>
      </c>
      <c r="BQ85" s="319">
        <f>SUMIF(Recibos!$D$4:$D$3010,Cobranza!$B85,Recibos!AC$4:AC$3010)</f>
        <v>0</v>
      </c>
      <c r="BR85" s="319">
        <f>SUMIF(Recibos!$D$4:$D$3010,Cobranza!$B85,Recibos!AD$4:AD$3010)</f>
        <v>0</v>
      </c>
      <c r="BS85" s="319">
        <f>SUMIF(Recibos!$D$4:$D$3010,Cobranza!$B85,Recibos!AE$4:AE$3010)</f>
        <v>0</v>
      </c>
      <c r="BT85" s="319">
        <f>SUMIF(Recibos!$D$4:$D$3010,Cobranza!$B85,Recibos!AF$4:AF$3010)</f>
        <v>0</v>
      </c>
      <c r="BU85" s="319">
        <f>SUMIF(Recibos!$D$4:$D$3010,Cobranza!$B85,Recibos!AG$4:AG$3010)</f>
        <v>0</v>
      </c>
      <c r="BV85" s="319">
        <f>SUMIF(Recibos!$D$4:$D$3010,Cobranza!$B85,Recibos!AH$4:AH$3010)</f>
        <v>0</v>
      </c>
      <c r="BW85" s="319">
        <f>SUMIF(Recibos!$D$4:$D$3010,Cobranza!$B85,Recibos!AI$4:AI$3010)</f>
        <v>0</v>
      </c>
      <c r="BX85" s="320">
        <f t="shared" si="14"/>
        <v>0</v>
      </c>
    </row>
    <row r="86" spans="2:76" x14ac:dyDescent="0.2">
      <c r="B86" s="42" t="s">
        <v>337</v>
      </c>
      <c r="C86" s="42" t="s">
        <v>338</v>
      </c>
      <c r="D86" s="42" t="s">
        <v>339</v>
      </c>
      <c r="E86" s="43">
        <v>300</v>
      </c>
      <c r="F86" s="43">
        <v>300</v>
      </c>
      <c r="G86" s="43">
        <v>300</v>
      </c>
      <c r="H86" s="43">
        <v>300</v>
      </c>
      <c r="I86" s="43">
        <v>300</v>
      </c>
      <c r="J86" s="43">
        <v>300</v>
      </c>
      <c r="K86" s="44">
        <f t="shared" si="9"/>
        <v>1800</v>
      </c>
      <c r="L86" s="43">
        <v>300</v>
      </c>
      <c r="M86" s="43">
        <v>300</v>
      </c>
      <c r="N86" s="43">
        <v>300</v>
      </c>
      <c r="O86" s="43">
        <v>300</v>
      </c>
      <c r="P86" s="43">
        <v>300</v>
      </c>
      <c r="Q86" s="43">
        <v>300</v>
      </c>
      <c r="R86" s="43">
        <v>300</v>
      </c>
      <c r="S86" s="43">
        <v>300</v>
      </c>
      <c r="T86" s="43">
        <v>300</v>
      </c>
      <c r="U86" s="43">
        <v>400</v>
      </c>
      <c r="V86" s="43">
        <v>400</v>
      </c>
      <c r="W86" s="43">
        <v>400</v>
      </c>
      <c r="X86" s="44">
        <f t="shared" si="10"/>
        <v>3900</v>
      </c>
      <c r="Y86" s="43">
        <v>400</v>
      </c>
      <c r="Z86" s="43">
        <v>400</v>
      </c>
      <c r="AA86" s="43">
        <v>400</v>
      </c>
      <c r="AB86" s="43">
        <v>400</v>
      </c>
      <c r="AC86" s="43">
        <v>400</v>
      </c>
      <c r="AD86" s="43">
        <v>400</v>
      </c>
      <c r="AE86" s="43">
        <v>400</v>
      </c>
      <c r="AF86" s="43">
        <v>400</v>
      </c>
      <c r="AG86" s="43">
        <v>400</v>
      </c>
      <c r="AH86" s="43">
        <v>400</v>
      </c>
      <c r="AI86" s="43">
        <v>400</v>
      </c>
      <c r="AJ86" s="43">
        <v>0</v>
      </c>
      <c r="AK86" s="44">
        <f t="shared" si="11"/>
        <v>4400</v>
      </c>
      <c r="AL86" s="43">
        <v>400</v>
      </c>
      <c r="AM86" s="43">
        <v>400</v>
      </c>
      <c r="AN86" s="43">
        <v>400</v>
      </c>
      <c r="AO86" s="43">
        <v>400</v>
      </c>
      <c r="AP86" s="43">
        <v>400</v>
      </c>
      <c r="AQ86" s="43">
        <v>400</v>
      </c>
      <c r="AR86" s="43">
        <v>400</v>
      </c>
      <c r="AS86" s="43">
        <v>400</v>
      </c>
      <c r="AT86" s="43">
        <v>400</v>
      </c>
      <c r="AU86" s="43">
        <v>400</v>
      </c>
      <c r="AV86" s="43">
        <v>400</v>
      </c>
      <c r="AW86" s="43">
        <v>0</v>
      </c>
      <c r="AX86" s="44">
        <f t="shared" si="12"/>
        <v>4400</v>
      </c>
      <c r="AY86" s="317">
        <f>SUMIF(Recibos!$D$4:$D$3010,Cobranza!$B86,Recibos!K$4:K$3010)</f>
        <v>400</v>
      </c>
      <c r="AZ86" s="317">
        <f>SUMIF(Recibos!$D$4:$D$3010,Cobranza!$B86,Recibos!L$4:L$3010)</f>
        <v>400</v>
      </c>
      <c r="BA86" s="317">
        <f>SUMIF(Recibos!$D$4:$D$3010,Cobranza!$B86,Recibos!M$4:M$3010)</f>
        <v>400</v>
      </c>
      <c r="BB86" s="317">
        <f>SUMIF(Recibos!$D$4:$D$3010,Cobranza!$B86,Recibos!N$4:N$3010)</f>
        <v>400</v>
      </c>
      <c r="BC86" s="317">
        <f>SUMIF(Recibos!$D$4:$D$3010,Cobranza!$B86,Recibos!O$4:O$3010)</f>
        <v>400</v>
      </c>
      <c r="BD86" s="317">
        <f>SUMIF(Recibos!$D$4:$D$3010,Cobranza!$B86,Recibos!P$4:P$3010)</f>
        <v>400</v>
      </c>
      <c r="BE86" s="317">
        <f>SUMIF(Recibos!$D$4:$D$3010,Cobranza!$B86,Recibos!Q$4:Q$3010)</f>
        <v>400</v>
      </c>
      <c r="BF86" s="317">
        <f>SUMIF(Recibos!$D$4:$D$3010,Cobranza!$B86,Recibos!R$4:R$3010)</f>
        <v>400</v>
      </c>
      <c r="BG86" s="317">
        <f>SUMIF(Recibos!$D$4:$D$3010,Cobranza!$B86,Recibos!S$4:S$3010)</f>
        <v>400</v>
      </c>
      <c r="BH86" s="317">
        <f>SUMIF(Recibos!$D$4:$D$3010,Cobranza!$B86,Recibos!T$4:T$3010)</f>
        <v>400</v>
      </c>
      <c r="BI86" s="317">
        <f>SUMIF(Recibos!$D$4:$D$3010,Cobranza!$B86,Recibos!U$4:U$3010)</f>
        <v>400</v>
      </c>
      <c r="BJ86" s="317">
        <f>SUMIF(Recibos!$D$4:$D$3010,Cobranza!$B86,Recibos!V$4:V$3010)</f>
        <v>0</v>
      </c>
      <c r="BK86" s="318">
        <f t="shared" si="13"/>
        <v>4400</v>
      </c>
      <c r="BL86" s="317">
        <f>SUMIF(Recibos!$D$4:$D$3010,Cobranza!$B86,Recibos!X$4:X$3010)</f>
        <v>0</v>
      </c>
      <c r="BM86" s="317">
        <f>SUMIF(Recibos!$D$4:$D$3010,Cobranza!$B86,Recibos!Y$4:Y$3010)</f>
        <v>0</v>
      </c>
      <c r="BN86" s="317">
        <f>SUMIF(Recibos!$D$4:$D$3010,Cobranza!$B86,Recibos!Z$4:Z$3010)</f>
        <v>0</v>
      </c>
      <c r="BO86" s="317">
        <f>SUMIF(Recibos!$D$4:$D$3010,Cobranza!$B86,Recibos!AA$4:AA$3010)</f>
        <v>0</v>
      </c>
      <c r="BP86" s="317">
        <f>SUMIF(Recibos!$D$4:$D$3010,Cobranza!$B86,Recibos!AB$4:AB$3010)</f>
        <v>0</v>
      </c>
      <c r="BQ86" s="317">
        <f>SUMIF(Recibos!$D$4:$D$3010,Cobranza!$B86,Recibos!AC$4:AC$3010)</f>
        <v>0</v>
      </c>
      <c r="BR86" s="317">
        <f>SUMIF(Recibos!$D$4:$D$3010,Cobranza!$B86,Recibos!AD$4:AD$3010)</f>
        <v>0</v>
      </c>
      <c r="BS86" s="317">
        <f>SUMIF(Recibos!$D$4:$D$3010,Cobranza!$B86,Recibos!AE$4:AE$3010)</f>
        <v>0</v>
      </c>
      <c r="BT86" s="317">
        <f>SUMIF(Recibos!$D$4:$D$3010,Cobranza!$B86,Recibos!AF$4:AF$3010)</f>
        <v>0</v>
      </c>
      <c r="BU86" s="317">
        <f>SUMIF(Recibos!$D$4:$D$3010,Cobranza!$B86,Recibos!AG$4:AG$3010)</f>
        <v>0</v>
      </c>
      <c r="BV86" s="317">
        <f>SUMIF(Recibos!$D$4:$D$3010,Cobranza!$B86,Recibos!AH$4:AH$3010)</f>
        <v>0</v>
      </c>
      <c r="BW86" s="317">
        <f>SUMIF(Recibos!$D$4:$D$3010,Cobranza!$B86,Recibos!AI$4:AI$3010)</f>
        <v>0</v>
      </c>
      <c r="BX86" s="318">
        <f t="shared" si="14"/>
        <v>0</v>
      </c>
    </row>
    <row r="87" spans="2:76" x14ac:dyDescent="0.2">
      <c r="B87" s="45" t="s">
        <v>852</v>
      </c>
      <c r="C87" s="45" t="s">
        <v>853</v>
      </c>
      <c r="D87" s="45" t="s">
        <v>854</v>
      </c>
      <c r="E87" s="46">
        <v>0</v>
      </c>
      <c r="F87" s="46">
        <v>0</v>
      </c>
      <c r="G87" s="46">
        <v>0</v>
      </c>
      <c r="H87" s="46">
        <v>0</v>
      </c>
      <c r="I87" s="46">
        <v>0</v>
      </c>
      <c r="J87" s="46">
        <v>300</v>
      </c>
      <c r="K87" s="47">
        <f t="shared" si="9"/>
        <v>300</v>
      </c>
      <c r="L87" s="46">
        <v>300</v>
      </c>
      <c r="M87" s="46">
        <v>300</v>
      </c>
      <c r="N87" s="46">
        <v>300</v>
      </c>
      <c r="O87" s="46">
        <v>300</v>
      </c>
      <c r="P87" s="46">
        <v>300</v>
      </c>
      <c r="Q87" s="46">
        <v>300</v>
      </c>
      <c r="R87" s="46">
        <v>300</v>
      </c>
      <c r="S87" s="46">
        <v>300</v>
      </c>
      <c r="T87" s="46">
        <v>300</v>
      </c>
      <c r="U87" s="46">
        <v>300</v>
      </c>
      <c r="V87" s="46">
        <v>300</v>
      </c>
      <c r="W87" s="46">
        <v>300</v>
      </c>
      <c r="X87" s="47">
        <f t="shared" si="10"/>
        <v>3600</v>
      </c>
      <c r="Y87" s="46">
        <v>300</v>
      </c>
      <c r="Z87" s="46">
        <v>300</v>
      </c>
      <c r="AA87" s="46">
        <v>300</v>
      </c>
      <c r="AB87" s="46">
        <v>300</v>
      </c>
      <c r="AC87" s="46">
        <v>300</v>
      </c>
      <c r="AD87" s="46">
        <v>300</v>
      </c>
      <c r="AE87" s="46">
        <v>300</v>
      </c>
      <c r="AF87" s="46">
        <v>300</v>
      </c>
      <c r="AG87" s="46">
        <v>300</v>
      </c>
      <c r="AH87" s="46">
        <v>300</v>
      </c>
      <c r="AI87" s="46">
        <v>300</v>
      </c>
      <c r="AJ87" s="46">
        <v>300</v>
      </c>
      <c r="AK87" s="47">
        <f t="shared" si="11"/>
        <v>3600</v>
      </c>
      <c r="AL87" s="46">
        <v>300</v>
      </c>
      <c r="AM87" s="46">
        <v>300</v>
      </c>
      <c r="AN87" s="46">
        <v>300</v>
      </c>
      <c r="AO87" s="46">
        <v>300</v>
      </c>
      <c r="AP87" s="46">
        <v>300</v>
      </c>
      <c r="AQ87" s="46">
        <v>300</v>
      </c>
      <c r="AR87" s="46">
        <v>300</v>
      </c>
      <c r="AS87" s="46">
        <v>300</v>
      </c>
      <c r="AT87" s="46">
        <v>300</v>
      </c>
      <c r="AU87" s="46">
        <v>300</v>
      </c>
      <c r="AV87" s="46">
        <v>300</v>
      </c>
      <c r="AW87" s="46">
        <v>300</v>
      </c>
      <c r="AX87" s="47">
        <f t="shared" si="12"/>
        <v>3600</v>
      </c>
      <c r="AY87" s="319">
        <f>SUMIF(Recibos!$D$4:$D$3010,Cobranza!$B87,Recibos!K$4:K$3010)</f>
        <v>300</v>
      </c>
      <c r="AZ87" s="319">
        <f>SUMIF(Recibos!$D$4:$D$3010,Cobranza!$B87,Recibos!L$4:L$3010)</f>
        <v>300</v>
      </c>
      <c r="BA87" s="319">
        <f>SUMIF(Recibos!$D$4:$D$3010,Cobranza!$B87,Recibos!M$4:M$3010)</f>
        <v>300</v>
      </c>
      <c r="BB87" s="319">
        <f>SUMIF(Recibos!$D$4:$D$3010,Cobranza!$B87,Recibos!N$4:N$3010)</f>
        <v>300</v>
      </c>
      <c r="BC87" s="319">
        <f>SUMIF(Recibos!$D$4:$D$3010,Cobranza!$B87,Recibos!O$4:O$3010)</f>
        <v>300</v>
      </c>
      <c r="BD87" s="319">
        <f>SUMIF(Recibos!$D$4:$D$3010,Cobranza!$B87,Recibos!P$4:P$3010)</f>
        <v>300</v>
      </c>
      <c r="BE87" s="319">
        <f>SUMIF(Recibos!$D$4:$D$3010,Cobranza!$B87,Recibos!Q$4:Q$3010)</f>
        <v>300</v>
      </c>
      <c r="BF87" s="319">
        <f>SUMIF(Recibos!$D$4:$D$3010,Cobranza!$B87,Recibos!R$4:R$3010)</f>
        <v>300</v>
      </c>
      <c r="BG87" s="319">
        <f>SUMIF(Recibos!$D$4:$D$3010,Cobranza!$B87,Recibos!S$4:S$3010)</f>
        <v>300</v>
      </c>
      <c r="BH87" s="319">
        <f>SUMIF(Recibos!$D$4:$D$3010,Cobranza!$B87,Recibos!T$4:T$3010)</f>
        <v>300</v>
      </c>
      <c r="BI87" s="319">
        <f>SUMIF(Recibos!$D$4:$D$3010,Cobranza!$B87,Recibos!U$4:U$3010)</f>
        <v>300</v>
      </c>
      <c r="BJ87" s="319">
        <f>SUMIF(Recibos!$D$4:$D$3010,Cobranza!$B87,Recibos!V$4:V$3010)</f>
        <v>300</v>
      </c>
      <c r="BK87" s="320">
        <f t="shared" si="13"/>
        <v>3600</v>
      </c>
      <c r="BL87" s="319">
        <f>SUMIF(Recibos!$D$4:$D$3010,Cobranza!$B87,Recibos!X$4:X$3010)</f>
        <v>0</v>
      </c>
      <c r="BM87" s="319">
        <f>SUMIF(Recibos!$D$4:$D$3010,Cobranza!$B87,Recibos!Y$4:Y$3010)</f>
        <v>0</v>
      </c>
      <c r="BN87" s="319">
        <f>SUMIF(Recibos!$D$4:$D$3010,Cobranza!$B87,Recibos!Z$4:Z$3010)</f>
        <v>0</v>
      </c>
      <c r="BO87" s="319">
        <f>SUMIF(Recibos!$D$4:$D$3010,Cobranza!$B87,Recibos!AA$4:AA$3010)</f>
        <v>0</v>
      </c>
      <c r="BP87" s="319">
        <f>SUMIF(Recibos!$D$4:$D$3010,Cobranza!$B87,Recibos!AB$4:AB$3010)</f>
        <v>0</v>
      </c>
      <c r="BQ87" s="319">
        <f>SUMIF(Recibos!$D$4:$D$3010,Cobranza!$B87,Recibos!AC$4:AC$3010)</f>
        <v>0</v>
      </c>
      <c r="BR87" s="319">
        <f>SUMIF(Recibos!$D$4:$D$3010,Cobranza!$B87,Recibos!AD$4:AD$3010)</f>
        <v>0</v>
      </c>
      <c r="BS87" s="319">
        <f>SUMIF(Recibos!$D$4:$D$3010,Cobranza!$B87,Recibos!AE$4:AE$3010)</f>
        <v>0</v>
      </c>
      <c r="BT87" s="319">
        <f>SUMIF(Recibos!$D$4:$D$3010,Cobranza!$B87,Recibos!AF$4:AF$3010)</f>
        <v>0</v>
      </c>
      <c r="BU87" s="319">
        <f>SUMIF(Recibos!$D$4:$D$3010,Cobranza!$B87,Recibos!AG$4:AG$3010)</f>
        <v>0</v>
      </c>
      <c r="BV87" s="319">
        <f>SUMIF(Recibos!$D$4:$D$3010,Cobranza!$B87,Recibos!AH$4:AH$3010)</f>
        <v>0</v>
      </c>
      <c r="BW87" s="319">
        <f>SUMIF(Recibos!$D$4:$D$3010,Cobranza!$B87,Recibos!AI$4:AI$3010)</f>
        <v>0</v>
      </c>
      <c r="BX87" s="320">
        <f t="shared" si="14"/>
        <v>0</v>
      </c>
    </row>
    <row r="88" spans="2:76" x14ac:dyDescent="0.2">
      <c r="B88" s="42" t="s">
        <v>1297</v>
      </c>
      <c r="C88" s="42" t="s">
        <v>1298</v>
      </c>
      <c r="D88" s="42" t="s">
        <v>1299</v>
      </c>
      <c r="E88" s="43">
        <v>0</v>
      </c>
      <c r="F88" s="43">
        <v>0</v>
      </c>
      <c r="G88" s="43">
        <v>0</v>
      </c>
      <c r="H88" s="43">
        <v>0</v>
      </c>
      <c r="I88" s="43">
        <v>0</v>
      </c>
      <c r="J88" s="43">
        <v>0</v>
      </c>
      <c r="K88" s="44">
        <f t="shared" si="9"/>
        <v>0</v>
      </c>
      <c r="L88" s="43">
        <v>0</v>
      </c>
      <c r="M88" s="43">
        <v>0</v>
      </c>
      <c r="N88" s="43">
        <v>0</v>
      </c>
      <c r="O88" s="43">
        <v>0</v>
      </c>
      <c r="P88" s="43">
        <v>0</v>
      </c>
      <c r="Q88" s="43">
        <v>0</v>
      </c>
      <c r="R88" s="43">
        <v>0</v>
      </c>
      <c r="S88" s="43">
        <v>0</v>
      </c>
      <c r="T88" s="43">
        <v>0</v>
      </c>
      <c r="U88" s="43">
        <v>0</v>
      </c>
      <c r="V88" s="43">
        <v>0</v>
      </c>
      <c r="W88" s="43">
        <v>0</v>
      </c>
      <c r="X88" s="44">
        <f t="shared" si="10"/>
        <v>0</v>
      </c>
      <c r="Y88" s="43">
        <v>0</v>
      </c>
      <c r="Z88" s="43">
        <v>0</v>
      </c>
      <c r="AA88" s="43">
        <v>0</v>
      </c>
      <c r="AB88" s="43">
        <v>0</v>
      </c>
      <c r="AC88" s="43">
        <v>0</v>
      </c>
      <c r="AD88" s="43">
        <v>0</v>
      </c>
      <c r="AE88" s="43">
        <v>0</v>
      </c>
      <c r="AF88" s="43">
        <v>0</v>
      </c>
      <c r="AG88" s="43">
        <v>0</v>
      </c>
      <c r="AH88" s="43">
        <v>0</v>
      </c>
      <c r="AI88" s="43">
        <v>0</v>
      </c>
      <c r="AJ88" s="43">
        <v>0</v>
      </c>
      <c r="AK88" s="44">
        <f t="shared" si="11"/>
        <v>0</v>
      </c>
      <c r="AL88" s="43">
        <v>0</v>
      </c>
      <c r="AM88" s="43">
        <v>0</v>
      </c>
      <c r="AN88" s="43">
        <v>0</v>
      </c>
      <c r="AO88" s="43">
        <v>0</v>
      </c>
      <c r="AP88" s="43">
        <v>0</v>
      </c>
      <c r="AQ88" s="43">
        <v>0</v>
      </c>
      <c r="AR88" s="43">
        <v>0</v>
      </c>
      <c r="AS88" s="43">
        <v>0</v>
      </c>
      <c r="AT88" s="43">
        <v>0</v>
      </c>
      <c r="AU88" s="43">
        <v>0</v>
      </c>
      <c r="AV88" s="43">
        <v>0</v>
      </c>
      <c r="AW88" s="43">
        <v>0</v>
      </c>
      <c r="AX88" s="44">
        <f t="shared" si="12"/>
        <v>0</v>
      </c>
      <c r="AY88" s="317">
        <f>SUMIF(Recibos!$D$4:$D$3010,Cobranza!$B88,Recibos!K$4:K$3010)</f>
        <v>0</v>
      </c>
      <c r="AZ88" s="317">
        <f>SUMIF(Recibos!$D$4:$D$3010,Cobranza!$B88,Recibos!L$4:L$3010)</f>
        <v>0</v>
      </c>
      <c r="BA88" s="317">
        <f>SUMIF(Recibos!$D$4:$D$3010,Cobranza!$B88,Recibos!M$4:M$3010)</f>
        <v>0</v>
      </c>
      <c r="BB88" s="317">
        <f>SUMIF(Recibos!$D$4:$D$3010,Cobranza!$B88,Recibos!N$4:N$3010)</f>
        <v>0</v>
      </c>
      <c r="BC88" s="317">
        <f>SUMIF(Recibos!$D$4:$D$3010,Cobranza!$B88,Recibos!O$4:O$3010)</f>
        <v>0</v>
      </c>
      <c r="BD88" s="317">
        <f>SUMIF(Recibos!$D$4:$D$3010,Cobranza!$B88,Recibos!P$4:P$3010)</f>
        <v>0</v>
      </c>
      <c r="BE88" s="317">
        <f>SUMIF(Recibos!$D$4:$D$3010,Cobranza!$B88,Recibos!Q$4:Q$3010)</f>
        <v>0</v>
      </c>
      <c r="BF88" s="317">
        <f>SUMIF(Recibos!$D$4:$D$3010,Cobranza!$B88,Recibos!R$4:R$3010)</f>
        <v>0</v>
      </c>
      <c r="BG88" s="317">
        <f>SUMIF(Recibos!$D$4:$D$3010,Cobranza!$B88,Recibos!S$4:S$3010)</f>
        <v>0</v>
      </c>
      <c r="BH88" s="317">
        <f>SUMIF(Recibos!$D$4:$D$3010,Cobranza!$B88,Recibos!T$4:T$3010)</f>
        <v>100</v>
      </c>
      <c r="BI88" s="317">
        <f>SUMIF(Recibos!$D$4:$D$3010,Cobranza!$B88,Recibos!U$4:U$3010)</f>
        <v>0</v>
      </c>
      <c r="BJ88" s="317">
        <f>SUMIF(Recibos!$D$4:$D$3010,Cobranza!$B88,Recibos!V$4:V$3010)</f>
        <v>0</v>
      </c>
      <c r="BK88" s="318">
        <f t="shared" si="13"/>
        <v>100</v>
      </c>
      <c r="BL88" s="317">
        <f>SUMIF(Recibos!$D$4:$D$3010,Cobranza!$B88,Recibos!X$4:X$3010)</f>
        <v>0</v>
      </c>
      <c r="BM88" s="317">
        <f>SUMIF(Recibos!$D$4:$D$3010,Cobranza!$B88,Recibos!Y$4:Y$3010)</f>
        <v>0</v>
      </c>
      <c r="BN88" s="317">
        <f>SUMIF(Recibos!$D$4:$D$3010,Cobranza!$B88,Recibos!Z$4:Z$3010)</f>
        <v>0</v>
      </c>
      <c r="BO88" s="317">
        <f>SUMIF(Recibos!$D$4:$D$3010,Cobranza!$B88,Recibos!AA$4:AA$3010)</f>
        <v>0</v>
      </c>
      <c r="BP88" s="317">
        <f>SUMIF(Recibos!$D$4:$D$3010,Cobranza!$B88,Recibos!AB$4:AB$3010)</f>
        <v>0</v>
      </c>
      <c r="BQ88" s="317">
        <f>SUMIF(Recibos!$D$4:$D$3010,Cobranza!$B88,Recibos!AC$4:AC$3010)</f>
        <v>0</v>
      </c>
      <c r="BR88" s="317">
        <f>SUMIF(Recibos!$D$4:$D$3010,Cobranza!$B88,Recibos!AD$4:AD$3010)</f>
        <v>0</v>
      </c>
      <c r="BS88" s="317">
        <f>SUMIF(Recibos!$D$4:$D$3010,Cobranza!$B88,Recibos!AE$4:AE$3010)</f>
        <v>0</v>
      </c>
      <c r="BT88" s="317">
        <f>SUMIF(Recibos!$D$4:$D$3010,Cobranza!$B88,Recibos!AF$4:AF$3010)</f>
        <v>0</v>
      </c>
      <c r="BU88" s="317">
        <f>SUMIF(Recibos!$D$4:$D$3010,Cobranza!$B88,Recibos!AG$4:AG$3010)</f>
        <v>0</v>
      </c>
      <c r="BV88" s="317">
        <f>SUMIF(Recibos!$D$4:$D$3010,Cobranza!$B88,Recibos!AH$4:AH$3010)</f>
        <v>0</v>
      </c>
      <c r="BW88" s="317">
        <f>SUMIF(Recibos!$D$4:$D$3010,Cobranza!$B88,Recibos!AI$4:AI$3010)</f>
        <v>0</v>
      </c>
      <c r="BX88" s="318">
        <f t="shared" si="14"/>
        <v>0</v>
      </c>
    </row>
    <row r="89" spans="2:76" x14ac:dyDescent="0.2">
      <c r="B89" s="45" t="s">
        <v>3190</v>
      </c>
      <c r="C89" s="45" t="s">
        <v>3211</v>
      </c>
      <c r="D89" s="45"/>
      <c r="E89" s="46"/>
      <c r="F89" s="46"/>
      <c r="G89" s="46"/>
      <c r="H89" s="46"/>
      <c r="I89" s="46"/>
      <c r="J89" s="46"/>
      <c r="K89" s="47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7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47"/>
      <c r="AL89" s="46"/>
      <c r="AM89" s="46"/>
      <c r="AN89" s="46"/>
      <c r="AO89" s="46"/>
      <c r="AP89" s="46"/>
      <c r="AQ89" s="46"/>
      <c r="AR89" s="46"/>
      <c r="AS89" s="46"/>
      <c r="AT89" s="46"/>
      <c r="AU89" s="46"/>
      <c r="AV89" s="46"/>
      <c r="AW89" s="46"/>
      <c r="AX89" s="47"/>
      <c r="AY89" s="319">
        <f>SUMIF(Recibos!$D$4:$D$3010,Cobranza!$B89,Recibos!K$4:K$3010)</f>
        <v>0</v>
      </c>
      <c r="AZ89" s="319">
        <f>SUMIF(Recibos!$D$4:$D$3010,Cobranza!$B89,Recibos!L$4:L$3010)</f>
        <v>0</v>
      </c>
      <c r="BA89" s="319">
        <f>SUMIF(Recibos!$D$4:$D$3010,Cobranza!$B89,Recibos!M$4:M$3010)</f>
        <v>0</v>
      </c>
      <c r="BB89" s="319">
        <f>SUMIF(Recibos!$D$4:$D$3010,Cobranza!$B89,Recibos!N$4:N$3010)</f>
        <v>0</v>
      </c>
      <c r="BC89" s="319">
        <f>SUMIF(Recibos!$D$4:$D$3010,Cobranza!$B89,Recibos!O$4:O$3010)</f>
        <v>0</v>
      </c>
      <c r="BD89" s="319">
        <f>SUMIF(Recibos!$D$4:$D$3010,Cobranza!$B89,Recibos!P$4:P$3010)</f>
        <v>0</v>
      </c>
      <c r="BE89" s="319">
        <f>SUMIF(Recibos!$D$4:$D$3010,Cobranza!$B89,Recibos!Q$4:Q$3010)</f>
        <v>0</v>
      </c>
      <c r="BF89" s="319">
        <f>SUMIF(Recibos!$D$4:$D$3010,Cobranza!$B89,Recibos!R$4:R$3010)</f>
        <v>0</v>
      </c>
      <c r="BG89" s="319">
        <f>SUMIF(Recibos!$D$4:$D$3010,Cobranza!$B89,Recibos!S$4:S$3010)</f>
        <v>0</v>
      </c>
      <c r="BH89" s="319">
        <f>SUMIF(Recibos!$D$4:$D$3010,Cobranza!$B89,Recibos!T$4:T$3010)</f>
        <v>0</v>
      </c>
      <c r="BI89" s="319">
        <f>SUMIF(Recibos!$D$4:$D$3010,Cobranza!$B89,Recibos!U$4:U$3010)</f>
        <v>0</v>
      </c>
      <c r="BJ89" s="319">
        <f>SUMIF(Recibos!$D$4:$D$3010,Cobranza!$B89,Recibos!V$4:V$3010)</f>
        <v>400</v>
      </c>
      <c r="BK89" s="320">
        <f t="shared" ref="BK89" si="15">SUM(AY89:BJ89)</f>
        <v>400</v>
      </c>
      <c r="BL89" s="319">
        <f>SUMIF(Recibos!$D$4:$D$3010,Cobranza!$B89,Recibos!X$4:X$3010)</f>
        <v>500</v>
      </c>
      <c r="BM89" s="319">
        <f>SUMIF(Recibos!$D$4:$D$3010,Cobranza!$B89,Recibos!Y$4:Y$3010)</f>
        <v>0</v>
      </c>
      <c r="BN89" s="319">
        <f>SUMIF(Recibos!$D$4:$D$3010,Cobranza!$B89,Recibos!Z$4:Z$3010)</f>
        <v>0</v>
      </c>
      <c r="BO89" s="319">
        <f>SUMIF(Recibos!$D$4:$D$3010,Cobranza!$B89,Recibos!AA$4:AA$3010)</f>
        <v>0</v>
      </c>
      <c r="BP89" s="319">
        <f>SUMIF(Recibos!$D$4:$D$3010,Cobranza!$B89,Recibos!AB$4:AB$3010)</f>
        <v>0</v>
      </c>
      <c r="BQ89" s="319">
        <f>SUMIF(Recibos!$D$4:$D$3010,Cobranza!$B89,Recibos!AC$4:AC$3010)</f>
        <v>0</v>
      </c>
      <c r="BR89" s="319">
        <f>SUMIF(Recibos!$D$4:$D$3010,Cobranza!$B89,Recibos!AD$4:AD$3010)</f>
        <v>0</v>
      </c>
      <c r="BS89" s="319">
        <f>SUMIF(Recibos!$D$4:$D$3010,Cobranza!$B89,Recibos!AE$4:AE$3010)</f>
        <v>0</v>
      </c>
      <c r="BT89" s="319">
        <f>SUMIF(Recibos!$D$4:$D$3010,Cobranza!$B89,Recibos!AF$4:AF$3010)</f>
        <v>0</v>
      </c>
      <c r="BU89" s="319">
        <f>SUMIF(Recibos!$D$4:$D$3010,Cobranza!$B89,Recibos!AG$4:AG$3010)</f>
        <v>0</v>
      </c>
      <c r="BV89" s="319">
        <f>SUMIF(Recibos!$D$4:$D$3010,Cobranza!$B89,Recibos!AH$4:AH$3010)</f>
        <v>0</v>
      </c>
      <c r="BW89" s="319">
        <f>SUMIF(Recibos!$D$4:$D$3010,Cobranza!$B89,Recibos!AI$4:AI$3010)</f>
        <v>0</v>
      </c>
      <c r="BX89" s="320">
        <f t="shared" ref="BX89" si="16">SUM(BL89:BW89)</f>
        <v>500</v>
      </c>
    </row>
    <row r="90" spans="2:76" x14ac:dyDescent="0.2">
      <c r="B90" s="42" t="s">
        <v>1300</v>
      </c>
      <c r="C90" s="42" t="s">
        <v>1301</v>
      </c>
      <c r="D90" s="42" t="s">
        <v>1302</v>
      </c>
      <c r="E90" s="43">
        <v>0</v>
      </c>
      <c r="F90" s="43">
        <v>0</v>
      </c>
      <c r="G90" s="43">
        <v>0</v>
      </c>
      <c r="H90" s="43">
        <v>0</v>
      </c>
      <c r="I90" s="43">
        <v>0</v>
      </c>
      <c r="J90" s="43">
        <v>300</v>
      </c>
      <c r="K90" s="44">
        <f t="shared" si="9"/>
        <v>300</v>
      </c>
      <c r="L90" s="43">
        <v>300</v>
      </c>
      <c r="M90" s="43">
        <v>300</v>
      </c>
      <c r="N90" s="43">
        <v>300</v>
      </c>
      <c r="O90" s="43">
        <v>300</v>
      </c>
      <c r="P90" s="43">
        <v>300</v>
      </c>
      <c r="Q90" s="43">
        <v>300</v>
      </c>
      <c r="R90" s="43">
        <v>300</v>
      </c>
      <c r="S90" s="43">
        <v>300</v>
      </c>
      <c r="T90" s="43">
        <v>300</v>
      </c>
      <c r="U90" s="43">
        <v>400</v>
      </c>
      <c r="V90" s="43">
        <v>400</v>
      </c>
      <c r="W90" s="43">
        <v>400</v>
      </c>
      <c r="X90" s="44">
        <f t="shared" si="10"/>
        <v>3900</v>
      </c>
      <c r="Y90" s="43">
        <v>400</v>
      </c>
      <c r="Z90" s="43">
        <v>400</v>
      </c>
      <c r="AA90" s="43">
        <v>400</v>
      </c>
      <c r="AB90" s="43">
        <v>400</v>
      </c>
      <c r="AC90" s="43">
        <v>0</v>
      </c>
      <c r="AD90" s="43">
        <v>400</v>
      </c>
      <c r="AE90" s="43">
        <v>800</v>
      </c>
      <c r="AF90" s="43">
        <v>400</v>
      </c>
      <c r="AG90" s="43">
        <v>400</v>
      </c>
      <c r="AH90" s="43">
        <v>400</v>
      </c>
      <c r="AI90" s="43">
        <v>400</v>
      </c>
      <c r="AJ90" s="43">
        <v>400</v>
      </c>
      <c r="AK90" s="44">
        <f t="shared" si="11"/>
        <v>4800</v>
      </c>
      <c r="AL90" s="43">
        <v>400</v>
      </c>
      <c r="AM90" s="43">
        <v>400</v>
      </c>
      <c r="AN90" s="43">
        <v>400</v>
      </c>
      <c r="AO90" s="43">
        <v>400</v>
      </c>
      <c r="AP90" s="43">
        <v>400</v>
      </c>
      <c r="AQ90" s="43">
        <v>400</v>
      </c>
      <c r="AR90" s="43">
        <v>400</v>
      </c>
      <c r="AS90" s="43">
        <v>400</v>
      </c>
      <c r="AT90" s="43">
        <v>400</v>
      </c>
      <c r="AU90" s="43">
        <v>400</v>
      </c>
      <c r="AV90" s="43">
        <v>400</v>
      </c>
      <c r="AW90" s="43">
        <v>0</v>
      </c>
      <c r="AX90" s="44">
        <f t="shared" si="12"/>
        <v>4400</v>
      </c>
      <c r="AY90" s="317">
        <f>SUMIF(Recibos!$D$4:$D$3010,Cobranza!$B90,Recibos!K$4:K$3010)</f>
        <v>0</v>
      </c>
      <c r="AZ90" s="317">
        <f>SUMIF(Recibos!$D$4:$D$3010,Cobranza!$B90,Recibos!L$4:L$3010)</f>
        <v>0</v>
      </c>
      <c r="BA90" s="317">
        <f>SUMIF(Recibos!$D$4:$D$3010,Cobranza!$B90,Recibos!M$4:M$3010)</f>
        <v>0</v>
      </c>
      <c r="BB90" s="317">
        <f>SUMIF(Recibos!$D$4:$D$3010,Cobranza!$B90,Recibos!N$4:N$3010)</f>
        <v>0</v>
      </c>
      <c r="BC90" s="317">
        <f>SUMIF(Recibos!$D$4:$D$3010,Cobranza!$B90,Recibos!O$4:O$3010)</f>
        <v>0</v>
      </c>
      <c r="BD90" s="317">
        <f>SUMIF(Recibos!$D$4:$D$3010,Cobranza!$B90,Recibos!P$4:P$3010)</f>
        <v>0</v>
      </c>
      <c r="BE90" s="317">
        <f>SUMIF(Recibos!$D$4:$D$3010,Cobranza!$B90,Recibos!Q$4:Q$3010)</f>
        <v>0</v>
      </c>
      <c r="BF90" s="317">
        <f>SUMIF(Recibos!$D$4:$D$3010,Cobranza!$B90,Recibos!R$4:R$3010)</f>
        <v>0</v>
      </c>
      <c r="BG90" s="317">
        <f>SUMIF(Recibos!$D$4:$D$3010,Cobranza!$B90,Recibos!S$4:S$3010)</f>
        <v>0</v>
      </c>
      <c r="BH90" s="317">
        <f>SUMIF(Recibos!$D$4:$D$3010,Cobranza!$B90,Recibos!T$4:T$3010)</f>
        <v>0</v>
      </c>
      <c r="BI90" s="317">
        <f>SUMIF(Recibos!$D$4:$D$3010,Cobranza!$B90,Recibos!U$4:U$3010)</f>
        <v>0</v>
      </c>
      <c r="BJ90" s="317">
        <f>SUMIF(Recibos!$D$4:$D$3010,Cobranza!$B90,Recibos!V$4:V$3010)</f>
        <v>400</v>
      </c>
      <c r="BK90" s="318">
        <f t="shared" si="13"/>
        <v>400</v>
      </c>
      <c r="BL90" s="317">
        <f>SUMIF(Recibos!$D$4:$D$3010,Cobranza!$B90,Recibos!X$4:X$3010)</f>
        <v>0</v>
      </c>
      <c r="BM90" s="317">
        <f>SUMIF(Recibos!$D$4:$D$3010,Cobranza!$B90,Recibos!Y$4:Y$3010)</f>
        <v>0</v>
      </c>
      <c r="BN90" s="317">
        <f>SUMIF(Recibos!$D$4:$D$3010,Cobranza!$B90,Recibos!Z$4:Z$3010)</f>
        <v>0</v>
      </c>
      <c r="BO90" s="317">
        <f>SUMIF(Recibos!$D$4:$D$3010,Cobranza!$B90,Recibos!AA$4:AA$3010)</f>
        <v>0</v>
      </c>
      <c r="BP90" s="317">
        <f>SUMIF(Recibos!$D$4:$D$3010,Cobranza!$B90,Recibos!AB$4:AB$3010)</f>
        <v>0</v>
      </c>
      <c r="BQ90" s="317">
        <f>SUMIF(Recibos!$D$4:$D$3010,Cobranza!$B90,Recibos!AC$4:AC$3010)</f>
        <v>0</v>
      </c>
      <c r="BR90" s="317">
        <f>SUMIF(Recibos!$D$4:$D$3010,Cobranza!$B90,Recibos!AD$4:AD$3010)</f>
        <v>0</v>
      </c>
      <c r="BS90" s="317">
        <f>SUMIF(Recibos!$D$4:$D$3010,Cobranza!$B90,Recibos!AE$4:AE$3010)</f>
        <v>0</v>
      </c>
      <c r="BT90" s="317">
        <f>SUMIF(Recibos!$D$4:$D$3010,Cobranza!$B90,Recibos!AF$4:AF$3010)</f>
        <v>0</v>
      </c>
      <c r="BU90" s="317">
        <f>SUMIF(Recibos!$D$4:$D$3010,Cobranza!$B90,Recibos!AG$4:AG$3010)</f>
        <v>0</v>
      </c>
      <c r="BV90" s="317">
        <f>SUMIF(Recibos!$D$4:$D$3010,Cobranza!$B90,Recibos!AH$4:AH$3010)</f>
        <v>0</v>
      </c>
      <c r="BW90" s="317">
        <f>SUMIF(Recibos!$D$4:$D$3010,Cobranza!$B90,Recibos!AI$4:AI$3010)</f>
        <v>0</v>
      </c>
      <c r="BX90" s="318">
        <f t="shared" si="14"/>
        <v>0</v>
      </c>
    </row>
    <row r="91" spans="2:76" x14ac:dyDescent="0.2">
      <c r="B91" s="45" t="s">
        <v>48</v>
      </c>
      <c r="C91" s="45" t="s">
        <v>49</v>
      </c>
      <c r="D91" s="45" t="s">
        <v>50</v>
      </c>
      <c r="E91" s="46">
        <v>0</v>
      </c>
      <c r="F91" s="46">
        <v>0</v>
      </c>
      <c r="G91" s="46">
        <v>0</v>
      </c>
      <c r="H91" s="46">
        <v>0</v>
      </c>
      <c r="I91" s="46">
        <v>0</v>
      </c>
      <c r="J91" s="46">
        <v>300</v>
      </c>
      <c r="K91" s="47">
        <f t="shared" si="9"/>
        <v>300</v>
      </c>
      <c r="L91" s="46">
        <v>300</v>
      </c>
      <c r="M91" s="46">
        <v>300</v>
      </c>
      <c r="N91" s="46">
        <v>300</v>
      </c>
      <c r="O91" s="46">
        <v>300</v>
      </c>
      <c r="P91" s="46">
        <v>300</v>
      </c>
      <c r="Q91" s="46">
        <v>300</v>
      </c>
      <c r="R91" s="46">
        <v>300</v>
      </c>
      <c r="S91" s="46">
        <v>300</v>
      </c>
      <c r="T91" s="46">
        <v>300</v>
      </c>
      <c r="U91" s="46">
        <v>400</v>
      </c>
      <c r="V91" s="46">
        <v>400</v>
      </c>
      <c r="W91" s="46">
        <v>400</v>
      </c>
      <c r="X91" s="47">
        <f t="shared" si="10"/>
        <v>3900</v>
      </c>
      <c r="Y91" s="46">
        <v>400</v>
      </c>
      <c r="Z91" s="46">
        <v>400</v>
      </c>
      <c r="AA91" s="46">
        <v>400</v>
      </c>
      <c r="AB91" s="46">
        <v>400</v>
      </c>
      <c r="AC91" s="46">
        <v>400</v>
      </c>
      <c r="AD91" s="46">
        <v>400</v>
      </c>
      <c r="AE91" s="46">
        <v>400</v>
      </c>
      <c r="AF91" s="46">
        <v>400</v>
      </c>
      <c r="AG91" s="46">
        <v>400</v>
      </c>
      <c r="AH91" s="46">
        <v>400</v>
      </c>
      <c r="AI91" s="46">
        <v>400</v>
      </c>
      <c r="AJ91" s="46">
        <v>400</v>
      </c>
      <c r="AK91" s="47">
        <f t="shared" si="11"/>
        <v>4800</v>
      </c>
      <c r="AL91" s="46">
        <v>400</v>
      </c>
      <c r="AM91" s="46">
        <v>400</v>
      </c>
      <c r="AN91" s="46">
        <v>400</v>
      </c>
      <c r="AO91" s="46">
        <v>400</v>
      </c>
      <c r="AP91" s="46">
        <v>400</v>
      </c>
      <c r="AQ91" s="46">
        <v>400</v>
      </c>
      <c r="AR91" s="46">
        <v>400</v>
      </c>
      <c r="AS91" s="46">
        <v>400</v>
      </c>
      <c r="AT91" s="46">
        <v>400</v>
      </c>
      <c r="AU91" s="46">
        <v>400</v>
      </c>
      <c r="AV91" s="46">
        <v>400</v>
      </c>
      <c r="AW91" s="46">
        <v>400</v>
      </c>
      <c r="AX91" s="47">
        <f t="shared" si="12"/>
        <v>4800</v>
      </c>
      <c r="AY91" s="319">
        <f>SUMIF(Recibos!$D$4:$D$3010,Cobranza!$B91,Recibos!K$4:K$3010)</f>
        <v>400</v>
      </c>
      <c r="AZ91" s="319">
        <f>SUMIF(Recibos!$D$4:$D$3010,Cobranza!$B91,Recibos!L$4:L$3010)</f>
        <v>400</v>
      </c>
      <c r="BA91" s="319">
        <f>SUMIF(Recibos!$D$4:$D$3010,Cobranza!$B91,Recibos!M$4:M$3010)</f>
        <v>400</v>
      </c>
      <c r="BB91" s="319">
        <f>SUMIF(Recibos!$D$4:$D$3010,Cobranza!$B91,Recibos!N$4:N$3010)</f>
        <v>400</v>
      </c>
      <c r="BC91" s="319">
        <f>SUMIF(Recibos!$D$4:$D$3010,Cobranza!$B91,Recibos!O$4:O$3010)</f>
        <v>400</v>
      </c>
      <c r="BD91" s="319">
        <f>SUMIF(Recibos!$D$4:$D$3010,Cobranza!$B91,Recibos!P$4:P$3010)</f>
        <v>400</v>
      </c>
      <c r="BE91" s="319">
        <f>SUMIF(Recibos!$D$4:$D$3010,Cobranza!$B91,Recibos!Q$4:Q$3010)</f>
        <v>400</v>
      </c>
      <c r="BF91" s="319">
        <f>SUMIF(Recibos!$D$4:$D$3010,Cobranza!$B91,Recibos!R$4:R$3010)</f>
        <v>400</v>
      </c>
      <c r="BG91" s="319">
        <f>SUMIF(Recibos!$D$4:$D$3010,Cobranza!$B91,Recibos!S$4:S$3010)</f>
        <v>400</v>
      </c>
      <c r="BH91" s="319">
        <f>SUMIF(Recibos!$D$4:$D$3010,Cobranza!$B91,Recibos!T$4:T$3010)</f>
        <v>400</v>
      </c>
      <c r="BI91" s="319">
        <f>SUMIF(Recibos!$D$4:$D$3010,Cobranza!$B91,Recibos!U$4:U$3010)</f>
        <v>400</v>
      </c>
      <c r="BJ91" s="319">
        <f>SUMIF(Recibos!$D$4:$D$3010,Cobranza!$B91,Recibos!V$4:V$3010)</f>
        <v>400</v>
      </c>
      <c r="BK91" s="320">
        <f t="shared" si="13"/>
        <v>4800</v>
      </c>
      <c r="BL91" s="319">
        <f>SUMIF(Recibos!$D$4:$D$3010,Cobranza!$B91,Recibos!X$4:X$3010)</f>
        <v>0</v>
      </c>
      <c r="BM91" s="319">
        <f>SUMIF(Recibos!$D$4:$D$3010,Cobranza!$B91,Recibos!Y$4:Y$3010)</f>
        <v>0</v>
      </c>
      <c r="BN91" s="319">
        <f>SUMIF(Recibos!$D$4:$D$3010,Cobranza!$B91,Recibos!Z$4:Z$3010)</f>
        <v>0</v>
      </c>
      <c r="BO91" s="319">
        <f>SUMIF(Recibos!$D$4:$D$3010,Cobranza!$B91,Recibos!AA$4:AA$3010)</f>
        <v>0</v>
      </c>
      <c r="BP91" s="319">
        <f>SUMIF(Recibos!$D$4:$D$3010,Cobranza!$B91,Recibos!AB$4:AB$3010)</f>
        <v>0</v>
      </c>
      <c r="BQ91" s="319">
        <f>SUMIF(Recibos!$D$4:$D$3010,Cobranza!$B91,Recibos!AC$4:AC$3010)</f>
        <v>0</v>
      </c>
      <c r="BR91" s="319">
        <f>SUMIF(Recibos!$D$4:$D$3010,Cobranza!$B91,Recibos!AD$4:AD$3010)</f>
        <v>0</v>
      </c>
      <c r="BS91" s="319">
        <f>SUMIF(Recibos!$D$4:$D$3010,Cobranza!$B91,Recibos!AE$4:AE$3010)</f>
        <v>0</v>
      </c>
      <c r="BT91" s="319">
        <f>SUMIF(Recibos!$D$4:$D$3010,Cobranza!$B91,Recibos!AF$4:AF$3010)</f>
        <v>0</v>
      </c>
      <c r="BU91" s="319">
        <f>SUMIF(Recibos!$D$4:$D$3010,Cobranza!$B91,Recibos!AG$4:AG$3010)</f>
        <v>0</v>
      </c>
      <c r="BV91" s="319">
        <f>SUMIF(Recibos!$D$4:$D$3010,Cobranza!$B91,Recibos!AH$4:AH$3010)</f>
        <v>0</v>
      </c>
      <c r="BW91" s="319">
        <f>SUMIF(Recibos!$D$4:$D$3010,Cobranza!$B91,Recibos!AI$4:AI$3010)</f>
        <v>0</v>
      </c>
      <c r="BX91" s="320">
        <f t="shared" si="14"/>
        <v>0</v>
      </c>
    </row>
    <row r="92" spans="2:76" x14ac:dyDescent="0.2">
      <c r="B92" s="42" t="s">
        <v>583</v>
      </c>
      <c r="C92" s="42" t="s">
        <v>584</v>
      </c>
      <c r="D92" s="42" t="s">
        <v>585</v>
      </c>
      <c r="E92" s="43">
        <v>0</v>
      </c>
      <c r="F92" s="43">
        <v>0</v>
      </c>
      <c r="G92" s="43">
        <v>0</v>
      </c>
      <c r="H92" s="43">
        <v>0</v>
      </c>
      <c r="I92" s="43">
        <v>0</v>
      </c>
      <c r="J92" s="43">
        <v>150</v>
      </c>
      <c r="K92" s="44">
        <f t="shared" si="9"/>
        <v>150</v>
      </c>
      <c r="L92" s="43">
        <v>150</v>
      </c>
      <c r="M92" s="43">
        <v>150</v>
      </c>
      <c r="N92" s="43">
        <v>0</v>
      </c>
      <c r="O92" s="43">
        <v>300</v>
      </c>
      <c r="P92" s="43">
        <v>150</v>
      </c>
      <c r="Q92" s="43">
        <v>150</v>
      </c>
      <c r="R92" s="43">
        <v>150</v>
      </c>
      <c r="S92" s="43">
        <v>200</v>
      </c>
      <c r="T92" s="43">
        <v>200</v>
      </c>
      <c r="U92" s="43">
        <v>200</v>
      </c>
      <c r="V92" s="43">
        <v>200</v>
      </c>
      <c r="W92" s="43">
        <v>200</v>
      </c>
      <c r="X92" s="44">
        <f t="shared" si="10"/>
        <v>2050</v>
      </c>
      <c r="Y92" s="43">
        <v>200</v>
      </c>
      <c r="Z92" s="43">
        <v>200</v>
      </c>
      <c r="AA92" s="43">
        <v>200</v>
      </c>
      <c r="AB92" s="43">
        <v>200</v>
      </c>
      <c r="AC92" s="43">
        <v>200</v>
      </c>
      <c r="AD92" s="43">
        <v>200</v>
      </c>
      <c r="AE92" s="43">
        <v>200</v>
      </c>
      <c r="AF92" s="43">
        <v>200</v>
      </c>
      <c r="AG92" s="43">
        <v>200</v>
      </c>
      <c r="AH92" s="43">
        <v>0</v>
      </c>
      <c r="AI92" s="43">
        <v>200</v>
      </c>
      <c r="AJ92" s="43">
        <v>200</v>
      </c>
      <c r="AK92" s="44">
        <f t="shared" si="11"/>
        <v>2200</v>
      </c>
      <c r="AL92" s="43">
        <v>200</v>
      </c>
      <c r="AM92" s="43">
        <v>200</v>
      </c>
      <c r="AN92" s="43">
        <v>200</v>
      </c>
      <c r="AO92" s="43">
        <v>200</v>
      </c>
      <c r="AP92" s="43">
        <v>200</v>
      </c>
      <c r="AQ92" s="43">
        <v>200</v>
      </c>
      <c r="AR92" s="43">
        <v>200</v>
      </c>
      <c r="AS92" s="43">
        <v>200</v>
      </c>
      <c r="AT92" s="43">
        <v>200</v>
      </c>
      <c r="AU92" s="43">
        <v>200</v>
      </c>
      <c r="AV92" s="43">
        <v>200</v>
      </c>
      <c r="AW92" s="43">
        <v>200</v>
      </c>
      <c r="AX92" s="44">
        <f t="shared" si="12"/>
        <v>2400</v>
      </c>
      <c r="AY92" s="317">
        <f>SUMIF(Recibos!$D$4:$D$3010,Cobranza!$B92,Recibos!K$4:K$3010)</f>
        <v>200</v>
      </c>
      <c r="AZ92" s="317">
        <f>SUMIF(Recibos!$D$4:$D$3010,Cobranza!$B92,Recibos!L$4:L$3010)</f>
        <v>200</v>
      </c>
      <c r="BA92" s="317">
        <f>SUMIF(Recibos!$D$4:$D$3010,Cobranza!$B92,Recibos!M$4:M$3010)</f>
        <v>200</v>
      </c>
      <c r="BB92" s="317">
        <f>SUMIF(Recibos!$D$4:$D$3010,Cobranza!$B92,Recibos!N$4:N$3010)</f>
        <v>200</v>
      </c>
      <c r="BC92" s="317">
        <f>SUMIF(Recibos!$D$4:$D$3010,Cobranza!$B92,Recibos!O$4:O$3010)</f>
        <v>200</v>
      </c>
      <c r="BD92" s="317">
        <f>SUMIF(Recibos!$D$4:$D$3010,Cobranza!$B92,Recibos!P$4:P$3010)</f>
        <v>200</v>
      </c>
      <c r="BE92" s="317">
        <f>SUMIF(Recibos!$D$4:$D$3010,Cobranza!$B92,Recibos!Q$4:Q$3010)</f>
        <v>200</v>
      </c>
      <c r="BF92" s="317">
        <f>SUMIF(Recibos!$D$4:$D$3010,Cobranza!$B92,Recibos!R$4:R$3010)</f>
        <v>200</v>
      </c>
      <c r="BG92" s="317">
        <f>SUMIF(Recibos!$D$4:$D$3010,Cobranza!$B92,Recibos!S$4:S$3010)</f>
        <v>200</v>
      </c>
      <c r="BH92" s="317">
        <f>SUMIF(Recibos!$D$4:$D$3010,Cobranza!$B92,Recibos!T$4:T$3010)</f>
        <v>200</v>
      </c>
      <c r="BI92" s="317">
        <f>SUMIF(Recibos!$D$4:$D$3010,Cobranza!$B92,Recibos!U$4:U$3010)</f>
        <v>200</v>
      </c>
      <c r="BJ92" s="317">
        <f>SUMIF(Recibos!$D$4:$D$3010,Cobranza!$B92,Recibos!V$4:V$3010)</f>
        <v>200</v>
      </c>
      <c r="BK92" s="318">
        <f t="shared" si="13"/>
        <v>2400</v>
      </c>
      <c r="BL92" s="317">
        <f>SUMIF(Recibos!$D$4:$D$3010,Cobranza!$B92,Recibos!X$4:X$3010)</f>
        <v>0</v>
      </c>
      <c r="BM92" s="317">
        <f>SUMIF(Recibos!$D$4:$D$3010,Cobranza!$B92,Recibos!Y$4:Y$3010)</f>
        <v>0</v>
      </c>
      <c r="BN92" s="317">
        <f>SUMIF(Recibos!$D$4:$D$3010,Cobranza!$B92,Recibos!Z$4:Z$3010)</f>
        <v>0</v>
      </c>
      <c r="BO92" s="317">
        <f>SUMIF(Recibos!$D$4:$D$3010,Cobranza!$B92,Recibos!AA$4:AA$3010)</f>
        <v>0</v>
      </c>
      <c r="BP92" s="317">
        <f>SUMIF(Recibos!$D$4:$D$3010,Cobranza!$B92,Recibos!AB$4:AB$3010)</f>
        <v>0</v>
      </c>
      <c r="BQ92" s="317">
        <f>SUMIF(Recibos!$D$4:$D$3010,Cobranza!$B92,Recibos!AC$4:AC$3010)</f>
        <v>0</v>
      </c>
      <c r="BR92" s="317">
        <f>SUMIF(Recibos!$D$4:$D$3010,Cobranza!$B92,Recibos!AD$4:AD$3010)</f>
        <v>0</v>
      </c>
      <c r="BS92" s="317">
        <f>SUMIF(Recibos!$D$4:$D$3010,Cobranza!$B92,Recibos!AE$4:AE$3010)</f>
        <v>0</v>
      </c>
      <c r="BT92" s="317">
        <f>SUMIF(Recibos!$D$4:$D$3010,Cobranza!$B92,Recibos!AF$4:AF$3010)</f>
        <v>0</v>
      </c>
      <c r="BU92" s="317">
        <f>SUMIF(Recibos!$D$4:$D$3010,Cobranza!$B92,Recibos!AG$4:AG$3010)</f>
        <v>0</v>
      </c>
      <c r="BV92" s="317">
        <f>SUMIF(Recibos!$D$4:$D$3010,Cobranza!$B92,Recibos!AH$4:AH$3010)</f>
        <v>0</v>
      </c>
      <c r="BW92" s="317">
        <f>SUMIF(Recibos!$D$4:$D$3010,Cobranza!$B92,Recibos!AI$4:AI$3010)</f>
        <v>0</v>
      </c>
      <c r="BX92" s="318">
        <f t="shared" si="14"/>
        <v>0</v>
      </c>
    </row>
    <row r="93" spans="2:76" x14ac:dyDescent="0.2">
      <c r="B93" s="45" t="s">
        <v>1154</v>
      </c>
      <c r="C93" s="45" t="s">
        <v>1303</v>
      </c>
      <c r="D93" s="45" t="s">
        <v>1156</v>
      </c>
      <c r="E93" s="46">
        <v>0</v>
      </c>
      <c r="F93" s="46">
        <v>0</v>
      </c>
      <c r="G93" s="46">
        <v>0</v>
      </c>
      <c r="H93" s="46">
        <v>0</v>
      </c>
      <c r="I93" s="46">
        <v>0</v>
      </c>
      <c r="J93" s="46">
        <v>0</v>
      </c>
      <c r="K93" s="47">
        <f t="shared" si="9"/>
        <v>0</v>
      </c>
      <c r="L93" s="46">
        <v>0</v>
      </c>
      <c r="M93" s="46">
        <v>0</v>
      </c>
      <c r="N93" s="46">
        <v>0</v>
      </c>
      <c r="O93" s="46">
        <v>0</v>
      </c>
      <c r="P93" s="46">
        <v>0</v>
      </c>
      <c r="Q93" s="46">
        <v>0</v>
      </c>
      <c r="R93" s="46">
        <v>0</v>
      </c>
      <c r="S93" s="46">
        <v>0</v>
      </c>
      <c r="T93" s="46">
        <v>0</v>
      </c>
      <c r="U93" s="46">
        <v>0</v>
      </c>
      <c r="V93" s="46">
        <v>0</v>
      </c>
      <c r="W93" s="46">
        <v>0</v>
      </c>
      <c r="X93" s="47">
        <f t="shared" si="10"/>
        <v>0</v>
      </c>
      <c r="Y93" s="46">
        <v>200</v>
      </c>
      <c r="Z93" s="46">
        <v>200</v>
      </c>
      <c r="AA93" s="46">
        <v>200</v>
      </c>
      <c r="AB93" s="46">
        <v>0</v>
      </c>
      <c r="AC93" s="46">
        <v>0</v>
      </c>
      <c r="AD93" s="46">
        <v>0</v>
      </c>
      <c r="AE93" s="46">
        <v>200</v>
      </c>
      <c r="AF93" s="46">
        <v>200</v>
      </c>
      <c r="AG93" s="46">
        <v>200</v>
      </c>
      <c r="AH93" s="46">
        <v>200</v>
      </c>
      <c r="AI93" s="46">
        <v>200</v>
      </c>
      <c r="AJ93" s="46">
        <v>200</v>
      </c>
      <c r="AK93" s="47">
        <f t="shared" si="11"/>
        <v>1800</v>
      </c>
      <c r="AL93" s="46">
        <v>200</v>
      </c>
      <c r="AM93" s="46">
        <v>200</v>
      </c>
      <c r="AN93" s="46">
        <v>200</v>
      </c>
      <c r="AO93" s="46">
        <v>200</v>
      </c>
      <c r="AP93" s="46">
        <v>200</v>
      </c>
      <c r="AQ93" s="46">
        <v>200</v>
      </c>
      <c r="AR93" s="46">
        <v>200</v>
      </c>
      <c r="AS93" s="46">
        <v>0</v>
      </c>
      <c r="AT93" s="46">
        <v>0</v>
      </c>
      <c r="AU93" s="46">
        <v>0</v>
      </c>
      <c r="AV93" s="46">
        <v>0</v>
      </c>
      <c r="AW93" s="46">
        <v>0</v>
      </c>
      <c r="AX93" s="47">
        <f t="shared" si="12"/>
        <v>1400</v>
      </c>
      <c r="AY93" s="319">
        <f>SUMIF(Recibos!$D$4:$D$3010,Cobranza!$B93,Recibos!K$4:K$3010)</f>
        <v>200</v>
      </c>
      <c r="AZ93" s="319">
        <f>SUMIF(Recibos!$D$4:$D$3010,Cobranza!$B93,Recibos!L$4:L$3010)</f>
        <v>0</v>
      </c>
      <c r="BA93" s="319">
        <f>SUMIF(Recibos!$D$4:$D$3010,Cobranza!$B93,Recibos!M$4:M$3010)</f>
        <v>0</v>
      </c>
      <c r="BB93" s="319">
        <f>SUMIF(Recibos!$D$4:$D$3010,Cobranza!$B93,Recibos!N$4:N$3010)</f>
        <v>0</v>
      </c>
      <c r="BC93" s="319">
        <f>SUMIF(Recibos!$D$4:$D$3010,Cobranza!$B93,Recibos!O$4:O$3010)</f>
        <v>0</v>
      </c>
      <c r="BD93" s="319">
        <f>SUMIF(Recibos!$D$4:$D$3010,Cobranza!$B93,Recibos!P$4:P$3010)</f>
        <v>0</v>
      </c>
      <c r="BE93" s="319">
        <f>SUMIF(Recibos!$D$4:$D$3010,Cobranza!$B93,Recibos!Q$4:Q$3010)</f>
        <v>0</v>
      </c>
      <c r="BF93" s="319">
        <f>SUMIF(Recibos!$D$4:$D$3010,Cobranza!$B93,Recibos!R$4:R$3010)</f>
        <v>200</v>
      </c>
      <c r="BG93" s="319">
        <f>SUMIF(Recibos!$D$4:$D$3010,Cobranza!$B93,Recibos!S$4:S$3010)</f>
        <v>0</v>
      </c>
      <c r="BH93" s="319">
        <f>SUMIF(Recibos!$D$4:$D$3010,Cobranza!$B93,Recibos!T$4:T$3010)</f>
        <v>0</v>
      </c>
      <c r="BI93" s="319">
        <f>SUMIF(Recibos!$D$4:$D$3010,Cobranza!$B93,Recibos!U$4:U$3010)</f>
        <v>0</v>
      </c>
      <c r="BJ93" s="319">
        <f>SUMIF(Recibos!$D$4:$D$3010,Cobranza!$B93,Recibos!V$4:V$3010)</f>
        <v>0</v>
      </c>
      <c r="BK93" s="320">
        <f t="shared" si="13"/>
        <v>400</v>
      </c>
      <c r="BL93" s="319">
        <f>SUMIF(Recibos!$D$4:$D$3010,Cobranza!$B93,Recibos!X$4:X$3010)</f>
        <v>0</v>
      </c>
      <c r="BM93" s="319">
        <f>SUMIF(Recibos!$D$4:$D$3010,Cobranza!$B93,Recibos!Y$4:Y$3010)</f>
        <v>0</v>
      </c>
      <c r="BN93" s="319">
        <f>SUMIF(Recibos!$D$4:$D$3010,Cobranza!$B93,Recibos!Z$4:Z$3010)</f>
        <v>0</v>
      </c>
      <c r="BO93" s="319">
        <f>SUMIF(Recibos!$D$4:$D$3010,Cobranza!$B93,Recibos!AA$4:AA$3010)</f>
        <v>0</v>
      </c>
      <c r="BP93" s="319">
        <f>SUMIF(Recibos!$D$4:$D$3010,Cobranza!$B93,Recibos!AB$4:AB$3010)</f>
        <v>0</v>
      </c>
      <c r="BQ93" s="319">
        <f>SUMIF(Recibos!$D$4:$D$3010,Cobranza!$B93,Recibos!AC$4:AC$3010)</f>
        <v>0</v>
      </c>
      <c r="BR93" s="319">
        <f>SUMIF(Recibos!$D$4:$D$3010,Cobranza!$B93,Recibos!AD$4:AD$3010)</f>
        <v>0</v>
      </c>
      <c r="BS93" s="319">
        <f>SUMIF(Recibos!$D$4:$D$3010,Cobranza!$B93,Recibos!AE$4:AE$3010)</f>
        <v>0</v>
      </c>
      <c r="BT93" s="319">
        <f>SUMIF(Recibos!$D$4:$D$3010,Cobranza!$B93,Recibos!AF$4:AF$3010)</f>
        <v>0</v>
      </c>
      <c r="BU93" s="319">
        <f>SUMIF(Recibos!$D$4:$D$3010,Cobranza!$B93,Recibos!AG$4:AG$3010)</f>
        <v>0</v>
      </c>
      <c r="BV93" s="319">
        <f>SUMIF(Recibos!$D$4:$D$3010,Cobranza!$B93,Recibos!AH$4:AH$3010)</f>
        <v>0</v>
      </c>
      <c r="BW93" s="319">
        <f>SUMIF(Recibos!$D$4:$D$3010,Cobranza!$B93,Recibos!AI$4:AI$3010)</f>
        <v>0</v>
      </c>
      <c r="BX93" s="320">
        <f t="shared" si="14"/>
        <v>0</v>
      </c>
    </row>
    <row r="94" spans="2:76" x14ac:dyDescent="0.2">
      <c r="B94" s="42" t="s">
        <v>416</v>
      </c>
      <c r="C94" s="42" t="s">
        <v>417</v>
      </c>
      <c r="D94" s="42" t="s">
        <v>418</v>
      </c>
      <c r="E94" s="43">
        <v>0</v>
      </c>
      <c r="F94" s="43">
        <v>0</v>
      </c>
      <c r="G94" s="43">
        <v>0</v>
      </c>
      <c r="H94" s="43">
        <v>0</v>
      </c>
      <c r="I94" s="43">
        <v>0</v>
      </c>
      <c r="J94" s="43">
        <v>150</v>
      </c>
      <c r="K94" s="44">
        <f t="shared" si="9"/>
        <v>150</v>
      </c>
      <c r="L94" s="43">
        <v>150</v>
      </c>
      <c r="M94" s="43">
        <v>150</v>
      </c>
      <c r="N94" s="43">
        <v>150</v>
      </c>
      <c r="O94" s="43">
        <v>150</v>
      </c>
      <c r="P94" s="43">
        <v>150</v>
      </c>
      <c r="Q94" s="43">
        <v>150</v>
      </c>
      <c r="R94" s="43">
        <v>150</v>
      </c>
      <c r="S94" s="43">
        <v>150</v>
      </c>
      <c r="T94" s="43">
        <v>150</v>
      </c>
      <c r="U94" s="43">
        <v>200</v>
      </c>
      <c r="V94" s="43">
        <v>200</v>
      </c>
      <c r="W94" s="43">
        <v>200</v>
      </c>
      <c r="X94" s="44">
        <f t="shared" si="10"/>
        <v>1950</v>
      </c>
      <c r="Y94" s="43">
        <v>200</v>
      </c>
      <c r="Z94" s="43">
        <v>200</v>
      </c>
      <c r="AA94" s="43">
        <v>250</v>
      </c>
      <c r="AB94" s="43">
        <v>150</v>
      </c>
      <c r="AC94" s="43">
        <v>200</v>
      </c>
      <c r="AD94" s="43">
        <v>200</v>
      </c>
      <c r="AE94" s="43">
        <v>200</v>
      </c>
      <c r="AF94" s="43">
        <v>200</v>
      </c>
      <c r="AG94" s="43">
        <v>200</v>
      </c>
      <c r="AH94" s="43">
        <v>200</v>
      </c>
      <c r="AI94" s="43">
        <v>200</v>
      </c>
      <c r="AJ94" s="43">
        <v>200</v>
      </c>
      <c r="AK94" s="44">
        <f t="shared" si="11"/>
        <v>2400</v>
      </c>
      <c r="AL94" s="43">
        <v>200</v>
      </c>
      <c r="AM94" s="43">
        <v>200</v>
      </c>
      <c r="AN94" s="43">
        <v>200</v>
      </c>
      <c r="AO94" s="43">
        <v>200</v>
      </c>
      <c r="AP94" s="43">
        <v>200</v>
      </c>
      <c r="AQ94" s="43">
        <v>200</v>
      </c>
      <c r="AR94" s="43">
        <v>200</v>
      </c>
      <c r="AS94" s="43">
        <v>200</v>
      </c>
      <c r="AT94" s="43">
        <v>200</v>
      </c>
      <c r="AU94" s="43">
        <v>200</v>
      </c>
      <c r="AV94" s="43">
        <v>200</v>
      </c>
      <c r="AW94" s="43">
        <v>200</v>
      </c>
      <c r="AX94" s="44">
        <f t="shared" si="12"/>
        <v>2400</v>
      </c>
      <c r="AY94" s="317">
        <f>SUMIF(Recibos!$D$4:$D$3010,Cobranza!$B94,Recibos!K$4:K$3010)</f>
        <v>200</v>
      </c>
      <c r="AZ94" s="317">
        <f>SUMIF(Recibos!$D$4:$D$3010,Cobranza!$B94,Recibos!L$4:L$3010)</f>
        <v>200</v>
      </c>
      <c r="BA94" s="317">
        <f>SUMIF(Recibos!$D$4:$D$3010,Cobranza!$B94,Recibos!M$4:M$3010)</f>
        <v>200</v>
      </c>
      <c r="BB94" s="317">
        <f>SUMIF(Recibos!$D$4:$D$3010,Cobranza!$B94,Recibos!N$4:N$3010)</f>
        <v>200</v>
      </c>
      <c r="BC94" s="317">
        <f>SUMIF(Recibos!$D$4:$D$3010,Cobranza!$B94,Recibos!O$4:O$3010)</f>
        <v>200</v>
      </c>
      <c r="BD94" s="317">
        <f>SUMIF(Recibos!$D$4:$D$3010,Cobranza!$B94,Recibos!P$4:P$3010)</f>
        <v>200</v>
      </c>
      <c r="BE94" s="317">
        <f>SUMIF(Recibos!$D$4:$D$3010,Cobranza!$B94,Recibos!Q$4:Q$3010)</f>
        <v>200</v>
      </c>
      <c r="BF94" s="317">
        <f>SUMIF(Recibos!$D$4:$D$3010,Cobranza!$B94,Recibos!R$4:R$3010)</f>
        <v>200</v>
      </c>
      <c r="BG94" s="317">
        <f>SUMIF(Recibos!$D$4:$D$3010,Cobranza!$B94,Recibos!S$4:S$3010)</f>
        <v>200</v>
      </c>
      <c r="BH94" s="317">
        <f>SUMIF(Recibos!$D$4:$D$3010,Cobranza!$B94,Recibos!T$4:T$3010)</f>
        <v>200</v>
      </c>
      <c r="BI94" s="317">
        <f>SUMIF(Recibos!$D$4:$D$3010,Cobranza!$B94,Recibos!U$4:U$3010)</f>
        <v>200</v>
      </c>
      <c r="BJ94" s="317">
        <f>SUMIF(Recibos!$D$4:$D$3010,Cobranza!$B94,Recibos!V$4:V$3010)</f>
        <v>0</v>
      </c>
      <c r="BK94" s="318">
        <f t="shared" si="13"/>
        <v>2200</v>
      </c>
      <c r="BL94" s="317">
        <f>SUMIF(Recibos!$D$4:$D$3010,Cobranza!$B94,Recibos!X$4:X$3010)</f>
        <v>0</v>
      </c>
      <c r="BM94" s="317">
        <f>SUMIF(Recibos!$D$4:$D$3010,Cobranza!$B94,Recibos!Y$4:Y$3010)</f>
        <v>0</v>
      </c>
      <c r="BN94" s="317">
        <f>SUMIF(Recibos!$D$4:$D$3010,Cobranza!$B94,Recibos!Z$4:Z$3010)</f>
        <v>0</v>
      </c>
      <c r="BO94" s="317">
        <f>SUMIF(Recibos!$D$4:$D$3010,Cobranza!$B94,Recibos!AA$4:AA$3010)</f>
        <v>0</v>
      </c>
      <c r="BP94" s="317">
        <f>SUMIF(Recibos!$D$4:$D$3010,Cobranza!$B94,Recibos!AB$4:AB$3010)</f>
        <v>0</v>
      </c>
      <c r="BQ94" s="317">
        <f>SUMIF(Recibos!$D$4:$D$3010,Cobranza!$B94,Recibos!AC$4:AC$3010)</f>
        <v>0</v>
      </c>
      <c r="BR94" s="317">
        <f>SUMIF(Recibos!$D$4:$D$3010,Cobranza!$B94,Recibos!AD$4:AD$3010)</f>
        <v>0</v>
      </c>
      <c r="BS94" s="317">
        <f>SUMIF(Recibos!$D$4:$D$3010,Cobranza!$B94,Recibos!AE$4:AE$3010)</f>
        <v>0</v>
      </c>
      <c r="BT94" s="317">
        <f>SUMIF(Recibos!$D$4:$D$3010,Cobranza!$B94,Recibos!AF$4:AF$3010)</f>
        <v>0</v>
      </c>
      <c r="BU94" s="317">
        <f>SUMIF(Recibos!$D$4:$D$3010,Cobranza!$B94,Recibos!AG$4:AG$3010)</f>
        <v>0</v>
      </c>
      <c r="BV94" s="317">
        <f>SUMIF(Recibos!$D$4:$D$3010,Cobranza!$B94,Recibos!AH$4:AH$3010)</f>
        <v>0</v>
      </c>
      <c r="BW94" s="317">
        <f>SUMIF(Recibos!$D$4:$D$3010,Cobranza!$B94,Recibos!AI$4:AI$3010)</f>
        <v>0</v>
      </c>
      <c r="BX94" s="318">
        <f t="shared" si="14"/>
        <v>0</v>
      </c>
    </row>
    <row r="95" spans="2:76" x14ac:dyDescent="0.2">
      <c r="B95" s="45" t="s">
        <v>655</v>
      </c>
      <c r="C95" s="45" t="s">
        <v>656</v>
      </c>
      <c r="D95" s="45" t="s">
        <v>657</v>
      </c>
      <c r="E95" s="46">
        <v>0</v>
      </c>
      <c r="F95" s="46">
        <v>0</v>
      </c>
      <c r="G95" s="46">
        <v>0</v>
      </c>
      <c r="H95" s="46">
        <v>0</v>
      </c>
      <c r="I95" s="46">
        <v>0</v>
      </c>
      <c r="J95" s="46">
        <v>0</v>
      </c>
      <c r="K95" s="47">
        <f t="shared" si="9"/>
        <v>0</v>
      </c>
      <c r="L95" s="46">
        <v>300</v>
      </c>
      <c r="M95" s="46">
        <v>300</v>
      </c>
      <c r="N95" s="46">
        <v>300</v>
      </c>
      <c r="O95" s="46">
        <v>300</v>
      </c>
      <c r="P95" s="46">
        <v>300</v>
      </c>
      <c r="Q95" s="46">
        <v>300</v>
      </c>
      <c r="R95" s="46">
        <v>300</v>
      </c>
      <c r="S95" s="46">
        <v>300</v>
      </c>
      <c r="T95" s="46">
        <v>300</v>
      </c>
      <c r="U95" s="46">
        <v>400</v>
      </c>
      <c r="V95" s="46">
        <v>400</v>
      </c>
      <c r="W95" s="46">
        <v>400</v>
      </c>
      <c r="X95" s="47">
        <f t="shared" si="10"/>
        <v>3900</v>
      </c>
      <c r="Y95" s="46">
        <v>400</v>
      </c>
      <c r="Z95" s="46">
        <v>400</v>
      </c>
      <c r="AA95" s="46">
        <v>400</v>
      </c>
      <c r="AB95" s="46">
        <v>400</v>
      </c>
      <c r="AC95" s="46">
        <v>400</v>
      </c>
      <c r="AD95" s="46">
        <v>400</v>
      </c>
      <c r="AE95" s="46">
        <v>400</v>
      </c>
      <c r="AF95" s="46">
        <v>400</v>
      </c>
      <c r="AG95" s="46">
        <v>0</v>
      </c>
      <c r="AH95" s="46">
        <v>400</v>
      </c>
      <c r="AI95" s="46">
        <v>400</v>
      </c>
      <c r="AJ95" s="46">
        <v>400</v>
      </c>
      <c r="AK95" s="47">
        <f t="shared" si="11"/>
        <v>4400</v>
      </c>
      <c r="AL95" s="46">
        <v>400</v>
      </c>
      <c r="AM95" s="46">
        <v>400</v>
      </c>
      <c r="AN95" s="46">
        <v>400</v>
      </c>
      <c r="AO95" s="46">
        <v>400</v>
      </c>
      <c r="AP95" s="46">
        <v>400</v>
      </c>
      <c r="AQ95" s="46">
        <v>400</v>
      </c>
      <c r="AR95" s="46">
        <v>400</v>
      </c>
      <c r="AS95" s="46">
        <v>400</v>
      </c>
      <c r="AT95" s="46">
        <v>400</v>
      </c>
      <c r="AU95" s="46">
        <v>400</v>
      </c>
      <c r="AV95" s="46">
        <v>400</v>
      </c>
      <c r="AW95" s="46">
        <v>400</v>
      </c>
      <c r="AX95" s="47">
        <f t="shared" si="12"/>
        <v>4800</v>
      </c>
      <c r="AY95" s="319">
        <f>SUMIF(Recibos!$D$4:$D$3010,Cobranza!$B95,Recibos!K$4:K$3010)</f>
        <v>400</v>
      </c>
      <c r="AZ95" s="319">
        <f>SUMIF(Recibos!$D$4:$D$3010,Cobranza!$B95,Recibos!L$4:L$3010)</f>
        <v>400</v>
      </c>
      <c r="BA95" s="319">
        <f>SUMIF(Recibos!$D$4:$D$3010,Cobranza!$B95,Recibos!M$4:M$3010)</f>
        <v>400</v>
      </c>
      <c r="BB95" s="319">
        <f>SUMIF(Recibos!$D$4:$D$3010,Cobranza!$B95,Recibos!N$4:N$3010)</f>
        <v>400</v>
      </c>
      <c r="BC95" s="319">
        <f>SUMIF(Recibos!$D$4:$D$3010,Cobranza!$B95,Recibos!O$4:O$3010)</f>
        <v>400</v>
      </c>
      <c r="BD95" s="319">
        <f>SUMIF(Recibos!$D$4:$D$3010,Cobranza!$B95,Recibos!P$4:P$3010)</f>
        <v>400</v>
      </c>
      <c r="BE95" s="319">
        <f>SUMIF(Recibos!$D$4:$D$3010,Cobranza!$B95,Recibos!Q$4:Q$3010)</f>
        <v>400</v>
      </c>
      <c r="BF95" s="319">
        <f>SUMIF(Recibos!$D$4:$D$3010,Cobranza!$B95,Recibos!R$4:R$3010)</f>
        <v>400</v>
      </c>
      <c r="BG95" s="319">
        <f>SUMIF(Recibos!$D$4:$D$3010,Cobranza!$B95,Recibos!S$4:S$3010)</f>
        <v>400</v>
      </c>
      <c r="BH95" s="319">
        <f>SUMIF(Recibos!$D$4:$D$3010,Cobranza!$B95,Recibos!T$4:T$3010)</f>
        <v>0</v>
      </c>
      <c r="BI95" s="319">
        <f>SUMIF(Recibos!$D$4:$D$3010,Cobranza!$B95,Recibos!U$4:U$3010)</f>
        <v>0</v>
      </c>
      <c r="BJ95" s="319">
        <f>SUMIF(Recibos!$D$4:$D$3010,Cobranza!$B95,Recibos!V$4:V$3010)</f>
        <v>0</v>
      </c>
      <c r="BK95" s="320">
        <f t="shared" si="13"/>
        <v>3600</v>
      </c>
      <c r="BL95" s="319">
        <f>SUMIF(Recibos!$D$4:$D$3010,Cobranza!$B95,Recibos!X$4:X$3010)</f>
        <v>0</v>
      </c>
      <c r="BM95" s="319">
        <f>SUMIF(Recibos!$D$4:$D$3010,Cobranza!$B95,Recibos!Y$4:Y$3010)</f>
        <v>0</v>
      </c>
      <c r="BN95" s="319">
        <f>SUMIF(Recibos!$D$4:$D$3010,Cobranza!$B95,Recibos!Z$4:Z$3010)</f>
        <v>0</v>
      </c>
      <c r="BO95" s="319">
        <f>SUMIF(Recibos!$D$4:$D$3010,Cobranza!$B95,Recibos!AA$4:AA$3010)</f>
        <v>0</v>
      </c>
      <c r="BP95" s="319">
        <f>SUMIF(Recibos!$D$4:$D$3010,Cobranza!$B95,Recibos!AB$4:AB$3010)</f>
        <v>0</v>
      </c>
      <c r="BQ95" s="319">
        <f>SUMIF(Recibos!$D$4:$D$3010,Cobranza!$B95,Recibos!AC$4:AC$3010)</f>
        <v>0</v>
      </c>
      <c r="BR95" s="319">
        <f>SUMIF(Recibos!$D$4:$D$3010,Cobranza!$B95,Recibos!AD$4:AD$3010)</f>
        <v>0</v>
      </c>
      <c r="BS95" s="319">
        <f>SUMIF(Recibos!$D$4:$D$3010,Cobranza!$B95,Recibos!AE$4:AE$3010)</f>
        <v>0</v>
      </c>
      <c r="BT95" s="319">
        <f>SUMIF(Recibos!$D$4:$D$3010,Cobranza!$B95,Recibos!AF$4:AF$3010)</f>
        <v>0</v>
      </c>
      <c r="BU95" s="319">
        <f>SUMIF(Recibos!$D$4:$D$3010,Cobranza!$B95,Recibos!AG$4:AG$3010)</f>
        <v>0</v>
      </c>
      <c r="BV95" s="319">
        <f>SUMIF(Recibos!$D$4:$D$3010,Cobranza!$B95,Recibos!AH$4:AH$3010)</f>
        <v>0</v>
      </c>
      <c r="BW95" s="319">
        <f>SUMIF(Recibos!$D$4:$D$3010,Cobranza!$B95,Recibos!AI$4:AI$3010)</f>
        <v>0</v>
      </c>
      <c r="BX95" s="320">
        <f t="shared" si="14"/>
        <v>0</v>
      </c>
    </row>
    <row r="96" spans="2:76" x14ac:dyDescent="0.2">
      <c r="B96" s="42" t="s">
        <v>999</v>
      </c>
      <c r="C96" s="42" t="s">
        <v>1000</v>
      </c>
      <c r="D96" s="42" t="s">
        <v>1001</v>
      </c>
      <c r="E96" s="43">
        <v>0</v>
      </c>
      <c r="F96" s="43">
        <v>0</v>
      </c>
      <c r="G96" s="43">
        <v>0</v>
      </c>
      <c r="H96" s="43">
        <v>0</v>
      </c>
      <c r="I96" s="43">
        <v>0</v>
      </c>
      <c r="J96" s="43">
        <v>0</v>
      </c>
      <c r="K96" s="44">
        <f t="shared" si="9"/>
        <v>0</v>
      </c>
      <c r="L96" s="43">
        <v>0</v>
      </c>
      <c r="M96" s="43">
        <v>0</v>
      </c>
      <c r="N96" s="43">
        <v>0</v>
      </c>
      <c r="O96" s="43">
        <v>0</v>
      </c>
      <c r="P96" s="43">
        <v>0</v>
      </c>
      <c r="Q96" s="43">
        <v>0</v>
      </c>
      <c r="R96" s="43">
        <v>0</v>
      </c>
      <c r="S96" s="43">
        <v>0</v>
      </c>
      <c r="T96" s="43">
        <v>0</v>
      </c>
      <c r="U96" s="43">
        <v>0</v>
      </c>
      <c r="V96" s="43">
        <v>0</v>
      </c>
      <c r="W96" s="43">
        <v>0</v>
      </c>
      <c r="X96" s="44">
        <f t="shared" si="10"/>
        <v>0</v>
      </c>
      <c r="Y96" s="43">
        <v>0</v>
      </c>
      <c r="Z96" s="43">
        <v>0</v>
      </c>
      <c r="AA96" s="43">
        <v>0</v>
      </c>
      <c r="AB96" s="43">
        <v>0</v>
      </c>
      <c r="AC96" s="43">
        <v>0</v>
      </c>
      <c r="AD96" s="43">
        <v>0</v>
      </c>
      <c r="AE96" s="43">
        <v>0</v>
      </c>
      <c r="AF96" s="43">
        <v>0</v>
      </c>
      <c r="AG96" s="43">
        <v>0</v>
      </c>
      <c r="AH96" s="43">
        <v>0</v>
      </c>
      <c r="AI96" s="43">
        <v>0</v>
      </c>
      <c r="AJ96" s="43">
        <v>0</v>
      </c>
      <c r="AK96" s="44">
        <f t="shared" si="11"/>
        <v>0</v>
      </c>
      <c r="AL96" s="43">
        <v>0</v>
      </c>
      <c r="AM96" s="43">
        <v>0</v>
      </c>
      <c r="AN96" s="43">
        <v>0</v>
      </c>
      <c r="AO96" s="43">
        <v>0</v>
      </c>
      <c r="AP96" s="43">
        <v>0</v>
      </c>
      <c r="AQ96" s="43">
        <v>0</v>
      </c>
      <c r="AR96" s="43">
        <v>0</v>
      </c>
      <c r="AS96" s="43">
        <v>0</v>
      </c>
      <c r="AT96" s="43">
        <v>0</v>
      </c>
      <c r="AU96" s="43">
        <v>0</v>
      </c>
      <c r="AV96" s="43">
        <v>0</v>
      </c>
      <c r="AW96" s="43">
        <v>0</v>
      </c>
      <c r="AX96" s="44">
        <f t="shared" si="12"/>
        <v>0</v>
      </c>
      <c r="AY96" s="317">
        <f>SUMIF(Recibos!$D$4:$D$3010,Cobranza!$B96,Recibos!K$4:K$3010)</f>
        <v>0</v>
      </c>
      <c r="AZ96" s="317">
        <f>SUMIF(Recibos!$D$4:$D$3010,Cobranza!$B96,Recibos!L$4:L$3010)</f>
        <v>0</v>
      </c>
      <c r="BA96" s="317">
        <f>SUMIF(Recibos!$D$4:$D$3010,Cobranza!$B96,Recibos!M$4:M$3010)</f>
        <v>0</v>
      </c>
      <c r="BB96" s="317">
        <f>SUMIF(Recibos!$D$4:$D$3010,Cobranza!$B96,Recibos!N$4:N$3010)</f>
        <v>0</v>
      </c>
      <c r="BC96" s="317">
        <f>SUMIF(Recibos!$D$4:$D$3010,Cobranza!$B96,Recibos!O$4:O$3010)</f>
        <v>0</v>
      </c>
      <c r="BD96" s="317">
        <f>SUMIF(Recibos!$D$4:$D$3010,Cobranza!$B96,Recibos!P$4:P$3010)</f>
        <v>0</v>
      </c>
      <c r="BE96" s="317">
        <f>SUMIF(Recibos!$D$4:$D$3010,Cobranza!$B96,Recibos!Q$4:Q$3010)</f>
        <v>0</v>
      </c>
      <c r="BF96" s="317">
        <f>SUMIF(Recibos!$D$4:$D$3010,Cobranza!$B96,Recibos!R$4:R$3010)</f>
        <v>0</v>
      </c>
      <c r="BG96" s="317">
        <f>SUMIF(Recibos!$D$4:$D$3010,Cobranza!$B96,Recibos!S$4:S$3010)</f>
        <v>0</v>
      </c>
      <c r="BH96" s="317">
        <f>SUMIF(Recibos!$D$4:$D$3010,Cobranza!$B96,Recibos!T$4:T$3010)</f>
        <v>0</v>
      </c>
      <c r="BI96" s="317">
        <f>SUMIF(Recibos!$D$4:$D$3010,Cobranza!$B96,Recibos!U$4:U$3010)</f>
        <v>0</v>
      </c>
      <c r="BJ96" s="317">
        <f>SUMIF(Recibos!$D$4:$D$3010,Cobranza!$B96,Recibos!V$4:V$3010)</f>
        <v>0</v>
      </c>
      <c r="BK96" s="318">
        <f t="shared" si="13"/>
        <v>0</v>
      </c>
      <c r="BL96" s="317">
        <f>SUMIF(Recibos!$D$4:$D$3010,Cobranza!$B96,Recibos!X$4:X$3010)</f>
        <v>0</v>
      </c>
      <c r="BM96" s="317">
        <f>SUMIF(Recibos!$D$4:$D$3010,Cobranza!$B96,Recibos!Y$4:Y$3010)</f>
        <v>0</v>
      </c>
      <c r="BN96" s="317">
        <f>SUMIF(Recibos!$D$4:$D$3010,Cobranza!$B96,Recibos!Z$4:Z$3010)</f>
        <v>0</v>
      </c>
      <c r="BO96" s="317">
        <f>SUMIF(Recibos!$D$4:$D$3010,Cobranza!$B96,Recibos!AA$4:AA$3010)</f>
        <v>0</v>
      </c>
      <c r="BP96" s="317">
        <f>SUMIF(Recibos!$D$4:$D$3010,Cobranza!$B96,Recibos!AB$4:AB$3010)</f>
        <v>0</v>
      </c>
      <c r="BQ96" s="317">
        <f>SUMIF(Recibos!$D$4:$D$3010,Cobranza!$B96,Recibos!AC$4:AC$3010)</f>
        <v>0</v>
      </c>
      <c r="BR96" s="317">
        <f>SUMIF(Recibos!$D$4:$D$3010,Cobranza!$B96,Recibos!AD$4:AD$3010)</f>
        <v>0</v>
      </c>
      <c r="BS96" s="317">
        <f>SUMIF(Recibos!$D$4:$D$3010,Cobranza!$B96,Recibos!AE$4:AE$3010)</f>
        <v>0</v>
      </c>
      <c r="BT96" s="317">
        <f>SUMIF(Recibos!$D$4:$D$3010,Cobranza!$B96,Recibos!AF$4:AF$3010)</f>
        <v>0</v>
      </c>
      <c r="BU96" s="317">
        <f>SUMIF(Recibos!$D$4:$D$3010,Cobranza!$B96,Recibos!AG$4:AG$3010)</f>
        <v>0</v>
      </c>
      <c r="BV96" s="317">
        <f>SUMIF(Recibos!$D$4:$D$3010,Cobranza!$B96,Recibos!AH$4:AH$3010)</f>
        <v>0</v>
      </c>
      <c r="BW96" s="317">
        <f>SUMIF(Recibos!$D$4:$D$3010,Cobranza!$B96,Recibos!AI$4:AI$3010)</f>
        <v>0</v>
      </c>
      <c r="BX96" s="318">
        <f t="shared" si="14"/>
        <v>0</v>
      </c>
    </row>
    <row r="97" spans="2:76" x14ac:dyDescent="0.2">
      <c r="B97" s="45" t="s">
        <v>1170</v>
      </c>
      <c r="C97" s="45" t="s">
        <v>1171</v>
      </c>
      <c r="D97" s="45" t="s">
        <v>389</v>
      </c>
      <c r="E97" s="46">
        <v>0</v>
      </c>
      <c r="F97" s="46">
        <v>0</v>
      </c>
      <c r="G97" s="46">
        <v>0</v>
      </c>
      <c r="H97" s="46">
        <v>0</v>
      </c>
      <c r="I97" s="46">
        <v>0</v>
      </c>
      <c r="J97" s="46">
        <v>0</v>
      </c>
      <c r="K97" s="47">
        <f t="shared" si="9"/>
        <v>0</v>
      </c>
      <c r="L97" s="46">
        <v>300</v>
      </c>
      <c r="M97" s="46">
        <v>300</v>
      </c>
      <c r="N97" s="46">
        <v>300</v>
      </c>
      <c r="O97" s="46">
        <v>300</v>
      </c>
      <c r="P97" s="46">
        <v>300</v>
      </c>
      <c r="Q97" s="46">
        <v>300</v>
      </c>
      <c r="R97" s="46">
        <v>300</v>
      </c>
      <c r="S97" s="46">
        <v>300</v>
      </c>
      <c r="T97" s="46">
        <v>300</v>
      </c>
      <c r="U97" s="46">
        <v>300</v>
      </c>
      <c r="V97" s="46">
        <v>400</v>
      </c>
      <c r="W97" s="46">
        <v>400</v>
      </c>
      <c r="X97" s="47">
        <f t="shared" si="10"/>
        <v>3800</v>
      </c>
      <c r="Y97" s="46">
        <v>400</v>
      </c>
      <c r="Z97" s="46">
        <v>400</v>
      </c>
      <c r="AA97" s="46">
        <v>400</v>
      </c>
      <c r="AB97" s="46">
        <v>400</v>
      </c>
      <c r="AC97" s="46">
        <v>400</v>
      </c>
      <c r="AD97" s="46">
        <v>400</v>
      </c>
      <c r="AE97" s="46">
        <v>400</v>
      </c>
      <c r="AF97" s="46">
        <v>400</v>
      </c>
      <c r="AG97" s="46">
        <v>400</v>
      </c>
      <c r="AH97" s="46">
        <v>400</v>
      </c>
      <c r="AI97" s="46">
        <v>400</v>
      </c>
      <c r="AJ97" s="46">
        <v>400</v>
      </c>
      <c r="AK97" s="47">
        <f t="shared" si="11"/>
        <v>4800</v>
      </c>
      <c r="AL97" s="46">
        <v>400</v>
      </c>
      <c r="AM97" s="46">
        <v>400</v>
      </c>
      <c r="AN97" s="46">
        <v>400</v>
      </c>
      <c r="AO97" s="46">
        <v>400</v>
      </c>
      <c r="AP97" s="46">
        <v>400</v>
      </c>
      <c r="AQ97" s="46">
        <v>400</v>
      </c>
      <c r="AR97" s="46">
        <v>400</v>
      </c>
      <c r="AS97" s="46">
        <v>400</v>
      </c>
      <c r="AT97" s="46">
        <v>400</v>
      </c>
      <c r="AU97" s="46">
        <v>400</v>
      </c>
      <c r="AV97" s="46">
        <v>400</v>
      </c>
      <c r="AW97" s="46">
        <v>0</v>
      </c>
      <c r="AX97" s="47">
        <f t="shared" si="12"/>
        <v>4400</v>
      </c>
      <c r="AY97" s="319">
        <f>SUMIF(Recibos!$D$4:$D$3010,Cobranza!$B97,Recibos!K$4:K$3010)</f>
        <v>400</v>
      </c>
      <c r="AZ97" s="319">
        <f>SUMIF(Recibos!$D$4:$D$3010,Cobranza!$B97,Recibos!L$4:L$3010)</f>
        <v>400</v>
      </c>
      <c r="BA97" s="319">
        <f>SUMIF(Recibos!$D$4:$D$3010,Cobranza!$B97,Recibos!M$4:M$3010)</f>
        <v>400</v>
      </c>
      <c r="BB97" s="319">
        <f>SUMIF(Recibos!$D$4:$D$3010,Cobranza!$B97,Recibos!N$4:N$3010)</f>
        <v>400</v>
      </c>
      <c r="BC97" s="319">
        <f>SUMIF(Recibos!$D$4:$D$3010,Cobranza!$B97,Recibos!O$4:O$3010)</f>
        <v>400</v>
      </c>
      <c r="BD97" s="319">
        <f>SUMIF(Recibos!$D$4:$D$3010,Cobranza!$B97,Recibos!P$4:P$3010)</f>
        <v>0</v>
      </c>
      <c r="BE97" s="319">
        <f>SUMIF(Recibos!$D$4:$D$3010,Cobranza!$B97,Recibos!Q$4:Q$3010)</f>
        <v>0</v>
      </c>
      <c r="BF97" s="319">
        <f>SUMIF(Recibos!$D$4:$D$3010,Cobranza!$B97,Recibos!R$4:R$3010)</f>
        <v>0</v>
      </c>
      <c r="BG97" s="319">
        <f>SUMIF(Recibos!$D$4:$D$3010,Cobranza!$B97,Recibos!S$4:S$3010)</f>
        <v>0</v>
      </c>
      <c r="BH97" s="319">
        <f>SUMIF(Recibos!$D$4:$D$3010,Cobranza!$B97,Recibos!T$4:T$3010)</f>
        <v>0</v>
      </c>
      <c r="BI97" s="319">
        <f>SUMIF(Recibos!$D$4:$D$3010,Cobranza!$B97,Recibos!U$4:U$3010)</f>
        <v>0</v>
      </c>
      <c r="BJ97" s="319">
        <f>SUMIF(Recibos!$D$4:$D$3010,Cobranza!$B97,Recibos!V$4:V$3010)</f>
        <v>0</v>
      </c>
      <c r="BK97" s="320">
        <f t="shared" si="13"/>
        <v>2000</v>
      </c>
      <c r="BL97" s="319">
        <f>SUMIF(Recibos!$D$4:$D$3010,Cobranza!$B97,Recibos!X$4:X$3010)</f>
        <v>0</v>
      </c>
      <c r="BM97" s="319">
        <f>SUMIF(Recibos!$D$4:$D$3010,Cobranza!$B97,Recibos!Y$4:Y$3010)</f>
        <v>0</v>
      </c>
      <c r="BN97" s="319">
        <f>SUMIF(Recibos!$D$4:$D$3010,Cobranza!$B97,Recibos!Z$4:Z$3010)</f>
        <v>0</v>
      </c>
      <c r="BO97" s="319">
        <f>SUMIF(Recibos!$D$4:$D$3010,Cobranza!$B97,Recibos!AA$4:AA$3010)</f>
        <v>0</v>
      </c>
      <c r="BP97" s="319">
        <f>SUMIF(Recibos!$D$4:$D$3010,Cobranza!$B97,Recibos!AB$4:AB$3010)</f>
        <v>0</v>
      </c>
      <c r="BQ97" s="319">
        <f>SUMIF(Recibos!$D$4:$D$3010,Cobranza!$B97,Recibos!AC$4:AC$3010)</f>
        <v>0</v>
      </c>
      <c r="BR97" s="319">
        <f>SUMIF(Recibos!$D$4:$D$3010,Cobranza!$B97,Recibos!AD$4:AD$3010)</f>
        <v>0</v>
      </c>
      <c r="BS97" s="319">
        <f>SUMIF(Recibos!$D$4:$D$3010,Cobranza!$B97,Recibos!AE$4:AE$3010)</f>
        <v>0</v>
      </c>
      <c r="BT97" s="319">
        <f>SUMIF(Recibos!$D$4:$D$3010,Cobranza!$B97,Recibos!AF$4:AF$3010)</f>
        <v>0</v>
      </c>
      <c r="BU97" s="319">
        <f>SUMIF(Recibos!$D$4:$D$3010,Cobranza!$B97,Recibos!AG$4:AG$3010)</f>
        <v>0</v>
      </c>
      <c r="BV97" s="319">
        <f>SUMIF(Recibos!$D$4:$D$3010,Cobranza!$B97,Recibos!AH$4:AH$3010)</f>
        <v>0</v>
      </c>
      <c r="BW97" s="319">
        <f>SUMIF(Recibos!$D$4:$D$3010,Cobranza!$B97,Recibos!AI$4:AI$3010)</f>
        <v>0</v>
      </c>
      <c r="BX97" s="320">
        <f t="shared" si="14"/>
        <v>0</v>
      </c>
    </row>
    <row r="98" spans="2:76" x14ac:dyDescent="0.2">
      <c r="B98" s="42" t="s">
        <v>1148</v>
      </c>
      <c r="C98" s="42" t="s">
        <v>1149</v>
      </c>
      <c r="D98" s="42" t="s">
        <v>1150</v>
      </c>
      <c r="E98" s="43">
        <v>0</v>
      </c>
      <c r="F98" s="43">
        <v>0</v>
      </c>
      <c r="G98" s="43">
        <v>0</v>
      </c>
      <c r="H98" s="43">
        <v>0</v>
      </c>
      <c r="I98" s="43">
        <v>0</v>
      </c>
      <c r="J98" s="43">
        <v>0</v>
      </c>
      <c r="K98" s="44">
        <f t="shared" si="9"/>
        <v>0</v>
      </c>
      <c r="L98" s="43">
        <v>0</v>
      </c>
      <c r="M98" s="43">
        <v>0</v>
      </c>
      <c r="N98" s="43">
        <v>0</v>
      </c>
      <c r="O98" s="43">
        <v>0</v>
      </c>
      <c r="P98" s="43">
        <v>0</v>
      </c>
      <c r="Q98" s="43">
        <v>0</v>
      </c>
      <c r="R98" s="43">
        <v>0</v>
      </c>
      <c r="S98" s="43">
        <v>0</v>
      </c>
      <c r="T98" s="43">
        <v>0</v>
      </c>
      <c r="U98" s="43">
        <v>400</v>
      </c>
      <c r="V98" s="43">
        <v>0</v>
      </c>
      <c r="W98" s="43">
        <v>0</v>
      </c>
      <c r="X98" s="44">
        <f t="shared" si="10"/>
        <v>400</v>
      </c>
      <c r="Y98" s="43">
        <v>0</v>
      </c>
      <c r="Z98" s="43">
        <v>0</v>
      </c>
      <c r="AA98" s="43">
        <v>0</v>
      </c>
      <c r="AB98" s="43">
        <v>400</v>
      </c>
      <c r="AC98" s="43">
        <v>400</v>
      </c>
      <c r="AD98" s="43">
        <v>400</v>
      </c>
      <c r="AE98" s="43">
        <v>400</v>
      </c>
      <c r="AF98" s="43">
        <v>400</v>
      </c>
      <c r="AG98" s="43">
        <v>400</v>
      </c>
      <c r="AH98" s="43">
        <v>0</v>
      </c>
      <c r="AI98" s="43">
        <v>400</v>
      </c>
      <c r="AJ98" s="43">
        <v>400</v>
      </c>
      <c r="AK98" s="44">
        <f t="shared" si="11"/>
        <v>3200</v>
      </c>
      <c r="AL98" s="43">
        <v>400</v>
      </c>
      <c r="AM98" s="43">
        <v>400</v>
      </c>
      <c r="AN98" s="43">
        <v>400</v>
      </c>
      <c r="AO98" s="43">
        <v>400</v>
      </c>
      <c r="AP98" s="43">
        <v>400</v>
      </c>
      <c r="AQ98" s="43">
        <v>400</v>
      </c>
      <c r="AR98" s="43">
        <v>0</v>
      </c>
      <c r="AS98" s="43">
        <v>0</v>
      </c>
      <c r="AT98" s="43">
        <v>0</v>
      </c>
      <c r="AU98" s="43">
        <v>0</v>
      </c>
      <c r="AV98" s="43">
        <v>0</v>
      </c>
      <c r="AW98" s="43">
        <v>0</v>
      </c>
      <c r="AX98" s="44">
        <f t="shared" si="12"/>
        <v>2400</v>
      </c>
      <c r="AY98" s="317">
        <f>SUMIF(Recibos!$D$4:$D$3010,Cobranza!$B98,Recibos!K$4:K$3010)</f>
        <v>0</v>
      </c>
      <c r="AZ98" s="317">
        <f>SUMIF(Recibos!$D$4:$D$3010,Cobranza!$B98,Recibos!L$4:L$3010)</f>
        <v>0</v>
      </c>
      <c r="BA98" s="317">
        <f>SUMIF(Recibos!$D$4:$D$3010,Cobranza!$B98,Recibos!M$4:M$3010)</f>
        <v>0</v>
      </c>
      <c r="BB98" s="317">
        <f>SUMIF(Recibos!$D$4:$D$3010,Cobranza!$B98,Recibos!N$4:N$3010)</f>
        <v>0</v>
      </c>
      <c r="BC98" s="317">
        <f>SUMIF(Recibos!$D$4:$D$3010,Cobranza!$B98,Recibos!O$4:O$3010)</f>
        <v>0</v>
      </c>
      <c r="BD98" s="317">
        <f>SUMIF(Recibos!$D$4:$D$3010,Cobranza!$B98,Recibos!P$4:P$3010)</f>
        <v>0</v>
      </c>
      <c r="BE98" s="317">
        <f>SUMIF(Recibos!$D$4:$D$3010,Cobranza!$B98,Recibos!Q$4:Q$3010)</f>
        <v>0</v>
      </c>
      <c r="BF98" s="317">
        <f>SUMIF(Recibos!$D$4:$D$3010,Cobranza!$B98,Recibos!R$4:R$3010)</f>
        <v>400</v>
      </c>
      <c r="BG98" s="317">
        <f>SUMIF(Recibos!$D$4:$D$3010,Cobranza!$B98,Recibos!S$4:S$3010)</f>
        <v>400</v>
      </c>
      <c r="BH98" s="317">
        <f>SUMIF(Recibos!$D$4:$D$3010,Cobranza!$B98,Recibos!T$4:T$3010)</f>
        <v>400</v>
      </c>
      <c r="BI98" s="317">
        <f>SUMIF(Recibos!$D$4:$D$3010,Cobranza!$B98,Recibos!U$4:U$3010)</f>
        <v>0</v>
      </c>
      <c r="BJ98" s="317">
        <f>SUMIF(Recibos!$D$4:$D$3010,Cobranza!$B98,Recibos!V$4:V$3010)</f>
        <v>0</v>
      </c>
      <c r="BK98" s="318">
        <f t="shared" si="13"/>
        <v>1200</v>
      </c>
      <c r="BL98" s="317">
        <f>SUMIF(Recibos!$D$4:$D$3010,Cobranza!$B98,Recibos!X$4:X$3010)</f>
        <v>0</v>
      </c>
      <c r="BM98" s="317">
        <f>SUMIF(Recibos!$D$4:$D$3010,Cobranza!$B98,Recibos!Y$4:Y$3010)</f>
        <v>0</v>
      </c>
      <c r="BN98" s="317">
        <f>SUMIF(Recibos!$D$4:$D$3010,Cobranza!$B98,Recibos!Z$4:Z$3010)</f>
        <v>0</v>
      </c>
      <c r="BO98" s="317">
        <f>SUMIF(Recibos!$D$4:$D$3010,Cobranza!$B98,Recibos!AA$4:AA$3010)</f>
        <v>0</v>
      </c>
      <c r="BP98" s="317">
        <f>SUMIF(Recibos!$D$4:$D$3010,Cobranza!$B98,Recibos!AB$4:AB$3010)</f>
        <v>0</v>
      </c>
      <c r="BQ98" s="317">
        <f>SUMIF(Recibos!$D$4:$D$3010,Cobranza!$B98,Recibos!AC$4:AC$3010)</f>
        <v>0</v>
      </c>
      <c r="BR98" s="317">
        <f>SUMIF(Recibos!$D$4:$D$3010,Cobranza!$B98,Recibos!AD$4:AD$3010)</f>
        <v>0</v>
      </c>
      <c r="BS98" s="317">
        <f>SUMIF(Recibos!$D$4:$D$3010,Cobranza!$B98,Recibos!AE$4:AE$3010)</f>
        <v>0</v>
      </c>
      <c r="BT98" s="317">
        <f>SUMIF(Recibos!$D$4:$D$3010,Cobranza!$B98,Recibos!AF$4:AF$3010)</f>
        <v>0</v>
      </c>
      <c r="BU98" s="317">
        <f>SUMIF(Recibos!$D$4:$D$3010,Cobranza!$B98,Recibos!AG$4:AG$3010)</f>
        <v>0</v>
      </c>
      <c r="BV98" s="317">
        <f>SUMIF(Recibos!$D$4:$D$3010,Cobranza!$B98,Recibos!AH$4:AH$3010)</f>
        <v>0</v>
      </c>
      <c r="BW98" s="317">
        <f>SUMIF(Recibos!$D$4:$D$3010,Cobranza!$B98,Recibos!AI$4:AI$3010)</f>
        <v>0</v>
      </c>
      <c r="BX98" s="318">
        <f t="shared" si="14"/>
        <v>0</v>
      </c>
    </row>
    <row r="99" spans="2:76" x14ac:dyDescent="0.2">
      <c r="B99" s="45" t="s">
        <v>1304</v>
      </c>
      <c r="C99" s="45" t="s">
        <v>1305</v>
      </c>
      <c r="D99" s="45" t="s">
        <v>1306</v>
      </c>
      <c r="E99" s="46">
        <v>0</v>
      </c>
      <c r="F99" s="46">
        <v>0</v>
      </c>
      <c r="G99" s="46">
        <v>0</v>
      </c>
      <c r="H99" s="46">
        <v>0</v>
      </c>
      <c r="I99" s="46">
        <v>0</v>
      </c>
      <c r="J99" s="46">
        <v>0</v>
      </c>
      <c r="K99" s="47">
        <f t="shared" si="9"/>
        <v>0</v>
      </c>
      <c r="L99" s="46">
        <v>0</v>
      </c>
      <c r="M99" s="46">
        <v>0</v>
      </c>
      <c r="N99" s="46">
        <v>0</v>
      </c>
      <c r="O99" s="46">
        <v>0</v>
      </c>
      <c r="P99" s="46">
        <v>0</v>
      </c>
      <c r="Q99" s="46">
        <v>0</v>
      </c>
      <c r="R99" s="46">
        <v>0</v>
      </c>
      <c r="S99" s="46">
        <v>0</v>
      </c>
      <c r="T99" s="46">
        <v>0</v>
      </c>
      <c r="U99" s="46">
        <v>0</v>
      </c>
      <c r="V99" s="46">
        <v>0</v>
      </c>
      <c r="W99" s="46">
        <v>0</v>
      </c>
      <c r="X99" s="47">
        <f t="shared" si="10"/>
        <v>0</v>
      </c>
      <c r="Y99" s="46">
        <v>0</v>
      </c>
      <c r="Z99" s="46">
        <v>0</v>
      </c>
      <c r="AA99" s="46">
        <v>0</v>
      </c>
      <c r="AB99" s="46">
        <v>0</v>
      </c>
      <c r="AC99" s="46">
        <v>0</v>
      </c>
      <c r="AD99" s="46">
        <v>0</v>
      </c>
      <c r="AE99" s="46">
        <v>0</v>
      </c>
      <c r="AF99" s="46">
        <v>0</v>
      </c>
      <c r="AG99" s="46">
        <v>0</v>
      </c>
      <c r="AH99" s="46">
        <v>0</v>
      </c>
      <c r="AI99" s="46">
        <v>0</v>
      </c>
      <c r="AJ99" s="46">
        <v>0</v>
      </c>
      <c r="AK99" s="47">
        <f t="shared" si="11"/>
        <v>0</v>
      </c>
      <c r="AL99" s="46">
        <v>0</v>
      </c>
      <c r="AM99" s="46">
        <v>0</v>
      </c>
      <c r="AN99" s="46">
        <v>0</v>
      </c>
      <c r="AO99" s="46">
        <v>0</v>
      </c>
      <c r="AP99" s="46">
        <v>0</v>
      </c>
      <c r="AQ99" s="46">
        <v>0</v>
      </c>
      <c r="AR99" s="46">
        <v>0</v>
      </c>
      <c r="AS99" s="46">
        <v>0</v>
      </c>
      <c r="AT99" s="46">
        <v>0</v>
      </c>
      <c r="AU99" s="46">
        <v>0</v>
      </c>
      <c r="AV99" s="46">
        <v>0</v>
      </c>
      <c r="AW99" s="46">
        <v>0</v>
      </c>
      <c r="AX99" s="47">
        <f t="shared" si="12"/>
        <v>0</v>
      </c>
      <c r="AY99" s="319">
        <f>SUMIF(Recibos!$D$4:$D$3010,Cobranza!$B99,Recibos!K$4:K$3010)</f>
        <v>0</v>
      </c>
      <c r="AZ99" s="319">
        <f>SUMIF(Recibos!$D$4:$D$3010,Cobranza!$B99,Recibos!L$4:L$3010)</f>
        <v>0</v>
      </c>
      <c r="BA99" s="319">
        <f>SUMIF(Recibos!$D$4:$D$3010,Cobranza!$B99,Recibos!M$4:M$3010)</f>
        <v>0</v>
      </c>
      <c r="BB99" s="319">
        <f>SUMIF(Recibos!$D$4:$D$3010,Cobranza!$B99,Recibos!N$4:N$3010)</f>
        <v>0</v>
      </c>
      <c r="BC99" s="319">
        <f>SUMIF(Recibos!$D$4:$D$3010,Cobranza!$B99,Recibos!O$4:O$3010)</f>
        <v>0</v>
      </c>
      <c r="BD99" s="319">
        <f>SUMIF(Recibos!$D$4:$D$3010,Cobranza!$B99,Recibos!P$4:P$3010)</f>
        <v>0</v>
      </c>
      <c r="BE99" s="319">
        <f>SUMIF(Recibos!$D$4:$D$3010,Cobranza!$B99,Recibos!Q$4:Q$3010)</f>
        <v>0</v>
      </c>
      <c r="BF99" s="319">
        <f>SUMIF(Recibos!$D$4:$D$3010,Cobranza!$B99,Recibos!R$4:R$3010)</f>
        <v>0</v>
      </c>
      <c r="BG99" s="319">
        <f>SUMIF(Recibos!$D$4:$D$3010,Cobranza!$B99,Recibos!S$4:S$3010)</f>
        <v>0</v>
      </c>
      <c r="BH99" s="319">
        <f>SUMIF(Recibos!$D$4:$D$3010,Cobranza!$B99,Recibos!T$4:T$3010)</f>
        <v>0</v>
      </c>
      <c r="BI99" s="319">
        <f>SUMIF(Recibos!$D$4:$D$3010,Cobranza!$B99,Recibos!U$4:U$3010)</f>
        <v>0</v>
      </c>
      <c r="BJ99" s="319">
        <f>SUMIF(Recibos!$D$4:$D$3010,Cobranza!$B99,Recibos!V$4:V$3010)</f>
        <v>0</v>
      </c>
      <c r="BK99" s="320">
        <f t="shared" si="13"/>
        <v>0</v>
      </c>
      <c r="BL99" s="319">
        <f>SUMIF(Recibos!$D$4:$D$3010,Cobranza!$B99,Recibos!X$4:X$3010)</f>
        <v>0</v>
      </c>
      <c r="BM99" s="319">
        <f>SUMIF(Recibos!$D$4:$D$3010,Cobranza!$B99,Recibos!Y$4:Y$3010)</f>
        <v>0</v>
      </c>
      <c r="BN99" s="319">
        <f>SUMIF(Recibos!$D$4:$D$3010,Cobranza!$B99,Recibos!Z$4:Z$3010)</f>
        <v>0</v>
      </c>
      <c r="BO99" s="319">
        <f>SUMIF(Recibos!$D$4:$D$3010,Cobranza!$B99,Recibos!AA$4:AA$3010)</f>
        <v>0</v>
      </c>
      <c r="BP99" s="319">
        <f>SUMIF(Recibos!$D$4:$D$3010,Cobranza!$B99,Recibos!AB$4:AB$3010)</f>
        <v>0</v>
      </c>
      <c r="BQ99" s="319">
        <f>SUMIF(Recibos!$D$4:$D$3010,Cobranza!$B99,Recibos!AC$4:AC$3010)</f>
        <v>0</v>
      </c>
      <c r="BR99" s="319">
        <f>SUMIF(Recibos!$D$4:$D$3010,Cobranza!$B99,Recibos!AD$4:AD$3010)</f>
        <v>0</v>
      </c>
      <c r="BS99" s="319">
        <f>SUMIF(Recibos!$D$4:$D$3010,Cobranza!$B99,Recibos!AE$4:AE$3010)</f>
        <v>0</v>
      </c>
      <c r="BT99" s="319">
        <f>SUMIF(Recibos!$D$4:$D$3010,Cobranza!$B99,Recibos!AF$4:AF$3010)</f>
        <v>0</v>
      </c>
      <c r="BU99" s="319">
        <f>SUMIF(Recibos!$D$4:$D$3010,Cobranza!$B99,Recibos!AG$4:AG$3010)</f>
        <v>0</v>
      </c>
      <c r="BV99" s="319">
        <f>SUMIF(Recibos!$D$4:$D$3010,Cobranza!$B99,Recibos!AH$4:AH$3010)</f>
        <v>0</v>
      </c>
      <c r="BW99" s="319">
        <f>SUMIF(Recibos!$D$4:$D$3010,Cobranza!$B99,Recibos!AI$4:AI$3010)</f>
        <v>0</v>
      </c>
      <c r="BX99" s="320">
        <f t="shared" si="14"/>
        <v>0</v>
      </c>
    </row>
    <row r="100" spans="2:76" x14ac:dyDescent="0.2">
      <c r="B100" s="42" t="s">
        <v>425</v>
      </c>
      <c r="C100" s="42" t="s">
        <v>426</v>
      </c>
      <c r="D100" s="42" t="s">
        <v>427</v>
      </c>
      <c r="E100" s="43">
        <v>0</v>
      </c>
      <c r="F100" s="43">
        <v>0</v>
      </c>
      <c r="G100" s="43">
        <v>0</v>
      </c>
      <c r="H100" s="43">
        <v>0</v>
      </c>
      <c r="I100" s="43">
        <v>0</v>
      </c>
      <c r="J100" s="43">
        <v>300</v>
      </c>
      <c r="K100" s="44">
        <f t="shared" si="9"/>
        <v>300</v>
      </c>
      <c r="L100" s="43">
        <v>300</v>
      </c>
      <c r="M100" s="43">
        <v>300</v>
      </c>
      <c r="N100" s="43">
        <v>300</v>
      </c>
      <c r="O100" s="43">
        <v>300</v>
      </c>
      <c r="P100" s="43">
        <v>300</v>
      </c>
      <c r="Q100" s="43">
        <v>300</v>
      </c>
      <c r="R100" s="43">
        <v>300</v>
      </c>
      <c r="S100" s="43">
        <v>300</v>
      </c>
      <c r="T100" s="43">
        <v>300</v>
      </c>
      <c r="U100" s="43">
        <v>400</v>
      </c>
      <c r="V100" s="43">
        <v>400</v>
      </c>
      <c r="W100" s="43">
        <v>400</v>
      </c>
      <c r="X100" s="44">
        <f t="shared" si="10"/>
        <v>3900</v>
      </c>
      <c r="Y100" s="43">
        <v>400</v>
      </c>
      <c r="Z100" s="43">
        <v>400</v>
      </c>
      <c r="AA100" s="43">
        <v>400</v>
      </c>
      <c r="AB100" s="43">
        <v>400</v>
      </c>
      <c r="AC100" s="43">
        <v>400</v>
      </c>
      <c r="AD100" s="43">
        <v>400</v>
      </c>
      <c r="AE100" s="43">
        <v>400</v>
      </c>
      <c r="AF100" s="43">
        <v>400</v>
      </c>
      <c r="AG100" s="43">
        <v>400</v>
      </c>
      <c r="AH100" s="43">
        <v>400</v>
      </c>
      <c r="AI100" s="43">
        <v>400</v>
      </c>
      <c r="AJ100" s="43">
        <v>400</v>
      </c>
      <c r="AK100" s="44">
        <f t="shared" si="11"/>
        <v>4800</v>
      </c>
      <c r="AL100" s="43">
        <v>400</v>
      </c>
      <c r="AM100" s="43">
        <v>400</v>
      </c>
      <c r="AN100" s="43">
        <v>400</v>
      </c>
      <c r="AO100" s="43">
        <v>400</v>
      </c>
      <c r="AP100" s="43">
        <v>400</v>
      </c>
      <c r="AQ100" s="43">
        <v>400</v>
      </c>
      <c r="AR100" s="43">
        <v>400</v>
      </c>
      <c r="AS100" s="43">
        <v>400</v>
      </c>
      <c r="AT100" s="43">
        <v>400</v>
      </c>
      <c r="AU100" s="43">
        <v>400</v>
      </c>
      <c r="AV100" s="43">
        <v>400</v>
      </c>
      <c r="AW100" s="43">
        <v>400</v>
      </c>
      <c r="AX100" s="44">
        <f t="shared" si="12"/>
        <v>4800</v>
      </c>
      <c r="AY100" s="317">
        <f>SUMIF(Recibos!$D$4:$D$3010,Cobranza!$B100,Recibos!K$4:K$3010)</f>
        <v>400</v>
      </c>
      <c r="AZ100" s="317">
        <f>SUMIF(Recibos!$D$4:$D$3010,Cobranza!$B100,Recibos!L$4:L$3010)</f>
        <v>400</v>
      </c>
      <c r="BA100" s="317">
        <f>SUMIF(Recibos!$D$4:$D$3010,Cobranza!$B100,Recibos!M$4:M$3010)</f>
        <v>400</v>
      </c>
      <c r="BB100" s="317">
        <f>SUMIF(Recibos!$D$4:$D$3010,Cobranza!$B100,Recibos!N$4:N$3010)</f>
        <v>400</v>
      </c>
      <c r="BC100" s="317">
        <f>SUMIF(Recibos!$D$4:$D$3010,Cobranza!$B100,Recibos!O$4:O$3010)</f>
        <v>400</v>
      </c>
      <c r="BD100" s="317">
        <f>SUMIF(Recibos!$D$4:$D$3010,Cobranza!$B100,Recibos!P$4:P$3010)</f>
        <v>400</v>
      </c>
      <c r="BE100" s="317">
        <f>SUMIF(Recibos!$D$4:$D$3010,Cobranza!$B100,Recibos!Q$4:Q$3010)</f>
        <v>400</v>
      </c>
      <c r="BF100" s="317">
        <f>SUMIF(Recibos!$D$4:$D$3010,Cobranza!$B100,Recibos!R$4:R$3010)</f>
        <v>400</v>
      </c>
      <c r="BG100" s="317">
        <f>SUMIF(Recibos!$D$4:$D$3010,Cobranza!$B100,Recibos!S$4:S$3010)</f>
        <v>400</v>
      </c>
      <c r="BH100" s="317">
        <f>SUMIF(Recibos!$D$4:$D$3010,Cobranza!$B100,Recibos!T$4:T$3010)</f>
        <v>400</v>
      </c>
      <c r="BI100" s="317">
        <f>SUMIF(Recibos!$D$4:$D$3010,Cobranza!$B100,Recibos!U$4:U$3010)</f>
        <v>400</v>
      </c>
      <c r="BJ100" s="317">
        <f>SUMIF(Recibos!$D$4:$D$3010,Cobranza!$B100,Recibos!V$4:V$3010)</f>
        <v>400</v>
      </c>
      <c r="BK100" s="318">
        <f t="shared" si="13"/>
        <v>4800</v>
      </c>
      <c r="BL100" s="317">
        <f>SUMIF(Recibos!$D$4:$D$3010,Cobranza!$B100,Recibos!X$4:X$3010)</f>
        <v>0</v>
      </c>
      <c r="BM100" s="317">
        <f>SUMIF(Recibos!$D$4:$D$3010,Cobranza!$B100,Recibos!Y$4:Y$3010)</f>
        <v>0</v>
      </c>
      <c r="BN100" s="317">
        <f>SUMIF(Recibos!$D$4:$D$3010,Cobranza!$B100,Recibos!Z$4:Z$3010)</f>
        <v>0</v>
      </c>
      <c r="BO100" s="317">
        <f>SUMIF(Recibos!$D$4:$D$3010,Cobranza!$B100,Recibos!AA$4:AA$3010)</f>
        <v>0</v>
      </c>
      <c r="BP100" s="317">
        <f>SUMIF(Recibos!$D$4:$D$3010,Cobranza!$B100,Recibos!AB$4:AB$3010)</f>
        <v>0</v>
      </c>
      <c r="BQ100" s="317">
        <f>SUMIF(Recibos!$D$4:$D$3010,Cobranza!$B100,Recibos!AC$4:AC$3010)</f>
        <v>0</v>
      </c>
      <c r="BR100" s="317">
        <f>SUMIF(Recibos!$D$4:$D$3010,Cobranza!$B100,Recibos!AD$4:AD$3010)</f>
        <v>0</v>
      </c>
      <c r="BS100" s="317">
        <f>SUMIF(Recibos!$D$4:$D$3010,Cobranza!$B100,Recibos!AE$4:AE$3010)</f>
        <v>0</v>
      </c>
      <c r="BT100" s="317">
        <f>SUMIF(Recibos!$D$4:$D$3010,Cobranza!$B100,Recibos!AF$4:AF$3010)</f>
        <v>0</v>
      </c>
      <c r="BU100" s="317">
        <f>SUMIF(Recibos!$D$4:$D$3010,Cobranza!$B100,Recibos!AG$4:AG$3010)</f>
        <v>0</v>
      </c>
      <c r="BV100" s="317">
        <f>SUMIF(Recibos!$D$4:$D$3010,Cobranza!$B100,Recibos!AH$4:AH$3010)</f>
        <v>0</v>
      </c>
      <c r="BW100" s="317">
        <f>SUMIF(Recibos!$D$4:$D$3010,Cobranza!$B100,Recibos!AI$4:AI$3010)</f>
        <v>0</v>
      </c>
      <c r="BX100" s="318">
        <f t="shared" si="14"/>
        <v>0</v>
      </c>
    </row>
    <row r="101" spans="2:76" x14ac:dyDescent="0.2">
      <c r="B101" s="45" t="s">
        <v>968</v>
      </c>
      <c r="C101" s="45" t="s">
        <v>969</v>
      </c>
      <c r="D101" s="45" t="s">
        <v>970</v>
      </c>
      <c r="E101" s="46">
        <v>0</v>
      </c>
      <c r="F101" s="46">
        <v>0</v>
      </c>
      <c r="G101" s="46">
        <v>0</v>
      </c>
      <c r="H101" s="46">
        <v>0</v>
      </c>
      <c r="I101" s="46">
        <v>0</v>
      </c>
      <c r="J101" s="46">
        <v>0</v>
      </c>
      <c r="K101" s="47">
        <f t="shared" si="9"/>
        <v>0</v>
      </c>
      <c r="L101" s="46">
        <v>300</v>
      </c>
      <c r="M101" s="46">
        <v>300</v>
      </c>
      <c r="N101" s="46">
        <v>300</v>
      </c>
      <c r="O101" s="46">
        <v>300</v>
      </c>
      <c r="P101" s="46">
        <v>300</v>
      </c>
      <c r="Q101" s="46">
        <v>300</v>
      </c>
      <c r="R101" s="46">
        <v>300</v>
      </c>
      <c r="S101" s="46">
        <v>300</v>
      </c>
      <c r="T101" s="46">
        <v>300</v>
      </c>
      <c r="U101" s="46">
        <v>300</v>
      </c>
      <c r="V101" s="46">
        <v>300</v>
      </c>
      <c r="W101" s="46">
        <v>300</v>
      </c>
      <c r="X101" s="47">
        <f t="shared" si="10"/>
        <v>3600</v>
      </c>
      <c r="Y101" s="46">
        <v>400</v>
      </c>
      <c r="Z101" s="46">
        <v>400</v>
      </c>
      <c r="AA101" s="46">
        <v>400</v>
      </c>
      <c r="AB101" s="46">
        <v>400</v>
      </c>
      <c r="AC101" s="46">
        <v>400</v>
      </c>
      <c r="AD101" s="46">
        <v>400</v>
      </c>
      <c r="AE101" s="46">
        <v>400</v>
      </c>
      <c r="AF101" s="46">
        <v>400</v>
      </c>
      <c r="AG101" s="46">
        <v>400</v>
      </c>
      <c r="AH101" s="46">
        <v>400</v>
      </c>
      <c r="AI101" s="46">
        <v>400</v>
      </c>
      <c r="AJ101" s="46">
        <v>400</v>
      </c>
      <c r="AK101" s="47">
        <f t="shared" si="11"/>
        <v>4800</v>
      </c>
      <c r="AL101" s="46">
        <v>400</v>
      </c>
      <c r="AM101" s="46">
        <v>400</v>
      </c>
      <c r="AN101" s="46">
        <v>400</v>
      </c>
      <c r="AO101" s="46">
        <v>400</v>
      </c>
      <c r="AP101" s="46">
        <v>400</v>
      </c>
      <c r="AQ101" s="46">
        <v>400</v>
      </c>
      <c r="AR101" s="46">
        <v>400</v>
      </c>
      <c r="AS101" s="46">
        <v>400</v>
      </c>
      <c r="AT101" s="46">
        <v>400</v>
      </c>
      <c r="AU101" s="46">
        <v>400</v>
      </c>
      <c r="AV101" s="46">
        <v>400</v>
      </c>
      <c r="AW101" s="46">
        <v>400</v>
      </c>
      <c r="AX101" s="47">
        <f t="shared" si="12"/>
        <v>4800</v>
      </c>
      <c r="AY101" s="319">
        <f>SUMIF(Recibos!$D$4:$D$3010,Cobranza!$B101,Recibos!K$4:K$3010)</f>
        <v>400</v>
      </c>
      <c r="AZ101" s="319">
        <f>SUMIF(Recibos!$D$4:$D$3010,Cobranza!$B101,Recibos!L$4:L$3010)</f>
        <v>400</v>
      </c>
      <c r="BA101" s="319">
        <f>SUMIF(Recibos!$D$4:$D$3010,Cobranza!$B101,Recibos!M$4:M$3010)</f>
        <v>400</v>
      </c>
      <c r="BB101" s="319">
        <f>SUMIF(Recibos!$D$4:$D$3010,Cobranza!$B101,Recibos!N$4:N$3010)</f>
        <v>400</v>
      </c>
      <c r="BC101" s="319">
        <f>SUMIF(Recibos!$D$4:$D$3010,Cobranza!$B101,Recibos!O$4:O$3010)</f>
        <v>400</v>
      </c>
      <c r="BD101" s="319">
        <f>SUMIF(Recibos!$D$4:$D$3010,Cobranza!$B101,Recibos!P$4:P$3010)</f>
        <v>400</v>
      </c>
      <c r="BE101" s="319">
        <f>SUMIF(Recibos!$D$4:$D$3010,Cobranza!$B101,Recibos!Q$4:Q$3010)</f>
        <v>400</v>
      </c>
      <c r="BF101" s="319">
        <f>SUMIF(Recibos!$D$4:$D$3010,Cobranza!$B101,Recibos!R$4:R$3010)</f>
        <v>400</v>
      </c>
      <c r="BG101" s="319">
        <f>SUMIF(Recibos!$D$4:$D$3010,Cobranza!$B101,Recibos!S$4:S$3010)</f>
        <v>400</v>
      </c>
      <c r="BH101" s="319">
        <f>SUMIF(Recibos!$D$4:$D$3010,Cobranza!$B101,Recibos!T$4:T$3010)</f>
        <v>0</v>
      </c>
      <c r="BI101" s="319">
        <f>SUMIF(Recibos!$D$4:$D$3010,Cobranza!$B101,Recibos!U$4:U$3010)</f>
        <v>0</v>
      </c>
      <c r="BJ101" s="319">
        <f>SUMIF(Recibos!$D$4:$D$3010,Cobranza!$B101,Recibos!V$4:V$3010)</f>
        <v>0</v>
      </c>
      <c r="BK101" s="320">
        <f t="shared" si="13"/>
        <v>3600</v>
      </c>
      <c r="BL101" s="319">
        <f>SUMIF(Recibos!$D$4:$D$3010,Cobranza!$B101,Recibos!X$4:X$3010)</f>
        <v>0</v>
      </c>
      <c r="BM101" s="319">
        <f>SUMIF(Recibos!$D$4:$D$3010,Cobranza!$B101,Recibos!Y$4:Y$3010)</f>
        <v>0</v>
      </c>
      <c r="BN101" s="319">
        <f>SUMIF(Recibos!$D$4:$D$3010,Cobranza!$B101,Recibos!Z$4:Z$3010)</f>
        <v>0</v>
      </c>
      <c r="BO101" s="319">
        <f>SUMIF(Recibos!$D$4:$D$3010,Cobranza!$B101,Recibos!AA$4:AA$3010)</f>
        <v>0</v>
      </c>
      <c r="BP101" s="319">
        <f>SUMIF(Recibos!$D$4:$D$3010,Cobranza!$B101,Recibos!AB$4:AB$3010)</f>
        <v>0</v>
      </c>
      <c r="BQ101" s="319">
        <f>SUMIF(Recibos!$D$4:$D$3010,Cobranza!$B101,Recibos!AC$4:AC$3010)</f>
        <v>0</v>
      </c>
      <c r="BR101" s="319">
        <f>SUMIF(Recibos!$D$4:$D$3010,Cobranza!$B101,Recibos!AD$4:AD$3010)</f>
        <v>0</v>
      </c>
      <c r="BS101" s="319">
        <f>SUMIF(Recibos!$D$4:$D$3010,Cobranza!$B101,Recibos!AE$4:AE$3010)</f>
        <v>0</v>
      </c>
      <c r="BT101" s="319">
        <f>SUMIF(Recibos!$D$4:$D$3010,Cobranza!$B101,Recibos!AF$4:AF$3010)</f>
        <v>0</v>
      </c>
      <c r="BU101" s="319">
        <f>SUMIF(Recibos!$D$4:$D$3010,Cobranza!$B101,Recibos!AG$4:AG$3010)</f>
        <v>0</v>
      </c>
      <c r="BV101" s="319">
        <f>SUMIF(Recibos!$D$4:$D$3010,Cobranza!$B101,Recibos!AH$4:AH$3010)</f>
        <v>0</v>
      </c>
      <c r="BW101" s="319">
        <f>SUMIF(Recibos!$D$4:$D$3010,Cobranza!$B101,Recibos!AI$4:AI$3010)</f>
        <v>0</v>
      </c>
      <c r="BX101" s="320">
        <f t="shared" si="14"/>
        <v>0</v>
      </c>
    </row>
    <row r="102" spans="2:76" x14ac:dyDescent="0.2">
      <c r="B102" s="42" t="s">
        <v>823</v>
      </c>
      <c r="C102" s="42" t="s">
        <v>824</v>
      </c>
      <c r="D102" s="42" t="s">
        <v>765</v>
      </c>
      <c r="E102" s="43">
        <v>0</v>
      </c>
      <c r="F102" s="43">
        <v>0</v>
      </c>
      <c r="G102" s="43">
        <v>0</v>
      </c>
      <c r="H102" s="43">
        <v>0</v>
      </c>
      <c r="I102" s="43">
        <v>0</v>
      </c>
      <c r="J102" s="43">
        <v>0</v>
      </c>
      <c r="K102" s="44">
        <f t="shared" si="9"/>
        <v>0</v>
      </c>
      <c r="L102" s="43">
        <v>0</v>
      </c>
      <c r="M102" s="43">
        <v>0</v>
      </c>
      <c r="N102" s="43">
        <v>0</v>
      </c>
      <c r="O102" s="43">
        <v>0</v>
      </c>
      <c r="P102" s="43">
        <v>0</v>
      </c>
      <c r="Q102" s="43">
        <v>0</v>
      </c>
      <c r="R102" s="43">
        <v>0</v>
      </c>
      <c r="S102" s="43">
        <v>0</v>
      </c>
      <c r="T102" s="43">
        <v>0</v>
      </c>
      <c r="U102" s="43">
        <v>0</v>
      </c>
      <c r="V102" s="43">
        <v>0</v>
      </c>
      <c r="W102" s="43">
        <v>0</v>
      </c>
      <c r="X102" s="44">
        <f t="shared" si="10"/>
        <v>0</v>
      </c>
      <c r="Y102" s="43">
        <v>0</v>
      </c>
      <c r="Z102" s="43">
        <v>0</v>
      </c>
      <c r="AA102" s="43">
        <v>0</v>
      </c>
      <c r="AB102" s="43">
        <v>0</v>
      </c>
      <c r="AC102" s="43">
        <v>0</v>
      </c>
      <c r="AD102" s="43">
        <v>0</v>
      </c>
      <c r="AE102" s="43">
        <v>0</v>
      </c>
      <c r="AF102" s="43">
        <v>0</v>
      </c>
      <c r="AG102" s="43">
        <v>0</v>
      </c>
      <c r="AH102" s="43">
        <v>0</v>
      </c>
      <c r="AI102" s="43">
        <v>0</v>
      </c>
      <c r="AJ102" s="43">
        <v>0</v>
      </c>
      <c r="AK102" s="44">
        <f t="shared" si="11"/>
        <v>0</v>
      </c>
      <c r="AL102" s="43">
        <v>0</v>
      </c>
      <c r="AM102" s="43">
        <v>0</v>
      </c>
      <c r="AN102" s="43">
        <v>0</v>
      </c>
      <c r="AO102" s="43">
        <v>0</v>
      </c>
      <c r="AP102" s="43">
        <v>0</v>
      </c>
      <c r="AQ102" s="43">
        <v>0</v>
      </c>
      <c r="AR102" s="43">
        <v>0</v>
      </c>
      <c r="AS102" s="43">
        <v>0</v>
      </c>
      <c r="AT102" s="43">
        <v>0</v>
      </c>
      <c r="AU102" s="43">
        <v>0</v>
      </c>
      <c r="AV102" s="43">
        <v>0</v>
      </c>
      <c r="AW102" s="43">
        <v>0</v>
      </c>
      <c r="AX102" s="44">
        <f t="shared" si="12"/>
        <v>0</v>
      </c>
      <c r="AY102" s="317">
        <f>SUMIF(Recibos!$D$4:$D$3010,Cobranza!$B102,Recibos!K$4:K$3010)</f>
        <v>200</v>
      </c>
      <c r="AZ102" s="317">
        <f>SUMIF(Recibos!$D$4:$D$3010,Cobranza!$B102,Recibos!L$4:L$3010)</f>
        <v>200</v>
      </c>
      <c r="BA102" s="317">
        <f>SUMIF(Recibos!$D$4:$D$3010,Cobranza!$B102,Recibos!M$4:M$3010)</f>
        <v>200</v>
      </c>
      <c r="BB102" s="317">
        <f>SUMIF(Recibos!$D$4:$D$3010,Cobranza!$B102,Recibos!N$4:N$3010)</f>
        <v>200</v>
      </c>
      <c r="BC102" s="317">
        <f>SUMIF(Recibos!$D$4:$D$3010,Cobranza!$B102,Recibos!O$4:O$3010)</f>
        <v>200</v>
      </c>
      <c r="BD102" s="317">
        <f>SUMIF(Recibos!$D$4:$D$3010,Cobranza!$B102,Recibos!P$4:P$3010)</f>
        <v>200</v>
      </c>
      <c r="BE102" s="317">
        <f>SUMIF(Recibos!$D$4:$D$3010,Cobranza!$B102,Recibos!Q$4:Q$3010)</f>
        <v>200</v>
      </c>
      <c r="BF102" s="317">
        <f>SUMIF(Recibos!$D$4:$D$3010,Cobranza!$B102,Recibos!R$4:R$3010)</f>
        <v>200</v>
      </c>
      <c r="BG102" s="317">
        <f>SUMIF(Recibos!$D$4:$D$3010,Cobranza!$B102,Recibos!S$4:S$3010)</f>
        <v>200</v>
      </c>
      <c r="BH102" s="317">
        <f>SUMIF(Recibos!$D$4:$D$3010,Cobranza!$B102,Recibos!T$4:T$3010)</f>
        <v>200</v>
      </c>
      <c r="BI102" s="317">
        <f>SUMIF(Recibos!$D$4:$D$3010,Cobranza!$B102,Recibos!U$4:U$3010)</f>
        <v>200</v>
      </c>
      <c r="BJ102" s="317">
        <f>SUMIF(Recibos!$D$4:$D$3010,Cobranza!$B102,Recibos!V$4:V$3010)</f>
        <v>200</v>
      </c>
      <c r="BK102" s="318">
        <f t="shared" si="13"/>
        <v>2400</v>
      </c>
      <c r="BL102" s="317">
        <f>SUMIF(Recibos!$D$4:$D$3010,Cobranza!$B102,Recibos!X$4:X$3010)</f>
        <v>0</v>
      </c>
      <c r="BM102" s="317">
        <f>SUMIF(Recibos!$D$4:$D$3010,Cobranza!$B102,Recibos!Y$4:Y$3010)</f>
        <v>0</v>
      </c>
      <c r="BN102" s="317">
        <f>SUMIF(Recibos!$D$4:$D$3010,Cobranza!$B102,Recibos!Z$4:Z$3010)</f>
        <v>0</v>
      </c>
      <c r="BO102" s="317">
        <f>SUMIF(Recibos!$D$4:$D$3010,Cobranza!$B102,Recibos!AA$4:AA$3010)</f>
        <v>0</v>
      </c>
      <c r="BP102" s="317">
        <f>SUMIF(Recibos!$D$4:$D$3010,Cobranza!$B102,Recibos!AB$4:AB$3010)</f>
        <v>0</v>
      </c>
      <c r="BQ102" s="317">
        <f>SUMIF(Recibos!$D$4:$D$3010,Cobranza!$B102,Recibos!AC$4:AC$3010)</f>
        <v>0</v>
      </c>
      <c r="BR102" s="317">
        <f>SUMIF(Recibos!$D$4:$D$3010,Cobranza!$B102,Recibos!AD$4:AD$3010)</f>
        <v>0</v>
      </c>
      <c r="BS102" s="317">
        <f>SUMIF(Recibos!$D$4:$D$3010,Cobranza!$B102,Recibos!AE$4:AE$3010)</f>
        <v>0</v>
      </c>
      <c r="BT102" s="317">
        <f>SUMIF(Recibos!$D$4:$D$3010,Cobranza!$B102,Recibos!AF$4:AF$3010)</f>
        <v>0</v>
      </c>
      <c r="BU102" s="317">
        <f>SUMIF(Recibos!$D$4:$D$3010,Cobranza!$B102,Recibos!AG$4:AG$3010)</f>
        <v>0</v>
      </c>
      <c r="BV102" s="317">
        <f>SUMIF(Recibos!$D$4:$D$3010,Cobranza!$B102,Recibos!AH$4:AH$3010)</f>
        <v>0</v>
      </c>
      <c r="BW102" s="317">
        <f>SUMIF(Recibos!$D$4:$D$3010,Cobranza!$B102,Recibos!AI$4:AI$3010)</f>
        <v>0</v>
      </c>
      <c r="BX102" s="318">
        <f t="shared" si="14"/>
        <v>0</v>
      </c>
    </row>
    <row r="103" spans="2:76" x14ac:dyDescent="0.2">
      <c r="B103" s="45" t="s">
        <v>500</v>
      </c>
      <c r="C103" s="45" t="s">
        <v>501</v>
      </c>
      <c r="D103" s="45" t="s">
        <v>502</v>
      </c>
      <c r="E103" s="46">
        <v>0</v>
      </c>
      <c r="F103" s="46">
        <v>0</v>
      </c>
      <c r="G103" s="46">
        <v>0</v>
      </c>
      <c r="H103" s="46">
        <v>0</v>
      </c>
      <c r="I103" s="46">
        <v>0</v>
      </c>
      <c r="J103" s="46">
        <v>0</v>
      </c>
      <c r="K103" s="47">
        <f t="shared" si="9"/>
        <v>0</v>
      </c>
      <c r="L103" s="46">
        <v>0</v>
      </c>
      <c r="M103" s="46">
        <v>0</v>
      </c>
      <c r="N103" s="46">
        <v>0</v>
      </c>
      <c r="O103" s="46">
        <v>0</v>
      </c>
      <c r="P103" s="46">
        <v>0</v>
      </c>
      <c r="Q103" s="46">
        <v>0</v>
      </c>
      <c r="R103" s="46">
        <v>0</v>
      </c>
      <c r="S103" s="46">
        <v>0</v>
      </c>
      <c r="T103" s="46">
        <v>0</v>
      </c>
      <c r="U103" s="46">
        <v>0</v>
      </c>
      <c r="V103" s="46">
        <v>0</v>
      </c>
      <c r="W103" s="46">
        <v>0</v>
      </c>
      <c r="X103" s="47">
        <f t="shared" si="10"/>
        <v>0</v>
      </c>
      <c r="Y103" s="46">
        <v>0</v>
      </c>
      <c r="Z103" s="46">
        <v>0</v>
      </c>
      <c r="AA103" s="46">
        <v>0</v>
      </c>
      <c r="AB103" s="46">
        <v>0</v>
      </c>
      <c r="AC103" s="46">
        <v>0</v>
      </c>
      <c r="AD103" s="46">
        <v>0</v>
      </c>
      <c r="AE103" s="46">
        <v>0</v>
      </c>
      <c r="AF103" s="46">
        <v>0</v>
      </c>
      <c r="AG103" s="46">
        <v>0</v>
      </c>
      <c r="AH103" s="46">
        <v>0</v>
      </c>
      <c r="AI103" s="46">
        <v>0</v>
      </c>
      <c r="AJ103" s="46">
        <v>0</v>
      </c>
      <c r="AK103" s="47">
        <f t="shared" si="11"/>
        <v>0</v>
      </c>
      <c r="AL103" s="46">
        <v>0</v>
      </c>
      <c r="AM103" s="46">
        <v>0</v>
      </c>
      <c r="AN103" s="46">
        <v>0</v>
      </c>
      <c r="AO103" s="46">
        <v>0</v>
      </c>
      <c r="AP103" s="46">
        <v>0</v>
      </c>
      <c r="AQ103" s="46">
        <v>0</v>
      </c>
      <c r="AR103" s="46">
        <v>0</v>
      </c>
      <c r="AS103" s="46">
        <v>0</v>
      </c>
      <c r="AT103" s="46">
        <v>0</v>
      </c>
      <c r="AU103" s="46">
        <v>200</v>
      </c>
      <c r="AV103" s="46">
        <v>200</v>
      </c>
      <c r="AW103" s="46">
        <v>200</v>
      </c>
      <c r="AX103" s="47">
        <f t="shared" si="12"/>
        <v>600</v>
      </c>
      <c r="AY103" s="319">
        <f>SUMIF(Recibos!$D$4:$D$3010,Cobranza!$B103,Recibos!K$4:K$3010)</f>
        <v>200</v>
      </c>
      <c r="AZ103" s="319">
        <f>SUMIF(Recibos!$D$4:$D$3010,Cobranza!$B103,Recibos!L$4:L$3010)</f>
        <v>0</v>
      </c>
      <c r="BA103" s="319">
        <f>SUMIF(Recibos!$D$4:$D$3010,Cobranza!$B103,Recibos!M$4:M$3010)</f>
        <v>0</v>
      </c>
      <c r="BB103" s="319">
        <f>SUMIF(Recibos!$D$4:$D$3010,Cobranza!$B103,Recibos!N$4:N$3010)</f>
        <v>0</v>
      </c>
      <c r="BC103" s="319">
        <f>SUMIF(Recibos!$D$4:$D$3010,Cobranza!$B103,Recibos!O$4:O$3010)</f>
        <v>0</v>
      </c>
      <c r="BD103" s="319">
        <f>SUMIF(Recibos!$D$4:$D$3010,Cobranza!$B103,Recibos!P$4:P$3010)</f>
        <v>0</v>
      </c>
      <c r="BE103" s="319">
        <f>SUMIF(Recibos!$D$4:$D$3010,Cobranza!$B103,Recibos!Q$4:Q$3010)</f>
        <v>0</v>
      </c>
      <c r="BF103" s="319">
        <f>SUMIF(Recibos!$D$4:$D$3010,Cobranza!$B103,Recibos!R$4:R$3010)</f>
        <v>0</v>
      </c>
      <c r="BG103" s="319">
        <f>SUMIF(Recibos!$D$4:$D$3010,Cobranza!$B103,Recibos!S$4:S$3010)</f>
        <v>0</v>
      </c>
      <c r="BH103" s="319">
        <f>SUMIF(Recibos!$D$4:$D$3010,Cobranza!$B103,Recibos!T$4:T$3010)</f>
        <v>200</v>
      </c>
      <c r="BI103" s="319">
        <f>SUMIF(Recibos!$D$4:$D$3010,Cobranza!$B103,Recibos!U$4:U$3010)</f>
        <v>0</v>
      </c>
      <c r="BJ103" s="319">
        <f>SUMIF(Recibos!$D$4:$D$3010,Cobranza!$B103,Recibos!V$4:V$3010)</f>
        <v>0</v>
      </c>
      <c r="BK103" s="320">
        <f t="shared" si="13"/>
        <v>400</v>
      </c>
      <c r="BL103" s="319">
        <f>SUMIF(Recibos!$D$4:$D$3010,Cobranza!$B103,Recibos!X$4:X$3010)</f>
        <v>0</v>
      </c>
      <c r="BM103" s="319">
        <f>SUMIF(Recibos!$D$4:$D$3010,Cobranza!$B103,Recibos!Y$4:Y$3010)</f>
        <v>0</v>
      </c>
      <c r="BN103" s="319">
        <f>SUMIF(Recibos!$D$4:$D$3010,Cobranza!$B103,Recibos!Z$4:Z$3010)</f>
        <v>0</v>
      </c>
      <c r="BO103" s="319">
        <f>SUMIF(Recibos!$D$4:$D$3010,Cobranza!$B103,Recibos!AA$4:AA$3010)</f>
        <v>0</v>
      </c>
      <c r="BP103" s="319">
        <f>SUMIF(Recibos!$D$4:$D$3010,Cobranza!$B103,Recibos!AB$4:AB$3010)</f>
        <v>0</v>
      </c>
      <c r="BQ103" s="319">
        <f>SUMIF(Recibos!$D$4:$D$3010,Cobranza!$B103,Recibos!AC$4:AC$3010)</f>
        <v>0</v>
      </c>
      <c r="BR103" s="319">
        <f>SUMIF(Recibos!$D$4:$D$3010,Cobranza!$B103,Recibos!AD$4:AD$3010)</f>
        <v>0</v>
      </c>
      <c r="BS103" s="319">
        <f>SUMIF(Recibos!$D$4:$D$3010,Cobranza!$B103,Recibos!AE$4:AE$3010)</f>
        <v>0</v>
      </c>
      <c r="BT103" s="319">
        <f>SUMIF(Recibos!$D$4:$D$3010,Cobranza!$B103,Recibos!AF$4:AF$3010)</f>
        <v>0</v>
      </c>
      <c r="BU103" s="319">
        <f>SUMIF(Recibos!$D$4:$D$3010,Cobranza!$B103,Recibos!AG$4:AG$3010)</f>
        <v>0</v>
      </c>
      <c r="BV103" s="319">
        <f>SUMIF(Recibos!$D$4:$D$3010,Cobranza!$B103,Recibos!AH$4:AH$3010)</f>
        <v>0</v>
      </c>
      <c r="BW103" s="319">
        <f>SUMIF(Recibos!$D$4:$D$3010,Cobranza!$B103,Recibos!AI$4:AI$3010)</f>
        <v>0</v>
      </c>
      <c r="BX103" s="320">
        <f t="shared" si="14"/>
        <v>0</v>
      </c>
    </row>
    <row r="104" spans="2:76" x14ac:dyDescent="0.2">
      <c r="B104" s="42" t="s">
        <v>849</v>
      </c>
      <c r="C104" s="42" t="s">
        <v>850</v>
      </c>
      <c r="D104" s="42" t="s">
        <v>851</v>
      </c>
      <c r="E104" s="43">
        <v>0</v>
      </c>
      <c r="F104" s="43">
        <v>0</v>
      </c>
      <c r="G104" s="43">
        <v>0</v>
      </c>
      <c r="H104" s="43">
        <v>0</v>
      </c>
      <c r="I104" s="43">
        <v>0</v>
      </c>
      <c r="J104" s="43">
        <v>0</v>
      </c>
      <c r="K104" s="44">
        <f t="shared" si="9"/>
        <v>0</v>
      </c>
      <c r="L104" s="43">
        <v>300</v>
      </c>
      <c r="M104" s="43">
        <v>300</v>
      </c>
      <c r="N104" s="43">
        <v>300</v>
      </c>
      <c r="O104" s="43">
        <v>300</v>
      </c>
      <c r="P104" s="43">
        <v>300</v>
      </c>
      <c r="Q104" s="43">
        <v>300</v>
      </c>
      <c r="R104" s="43">
        <v>300</v>
      </c>
      <c r="S104" s="43">
        <v>300</v>
      </c>
      <c r="T104" s="43">
        <v>300</v>
      </c>
      <c r="U104" s="43">
        <v>300</v>
      </c>
      <c r="V104" s="43">
        <v>300</v>
      </c>
      <c r="W104" s="43">
        <v>300</v>
      </c>
      <c r="X104" s="44">
        <f t="shared" si="10"/>
        <v>3600</v>
      </c>
      <c r="Y104" s="43">
        <v>400</v>
      </c>
      <c r="Z104" s="43">
        <v>400</v>
      </c>
      <c r="AA104" s="43">
        <v>400</v>
      </c>
      <c r="AB104" s="43">
        <v>400</v>
      </c>
      <c r="AC104" s="43">
        <v>400</v>
      </c>
      <c r="AD104" s="43">
        <v>400</v>
      </c>
      <c r="AE104" s="43">
        <v>400</v>
      </c>
      <c r="AF104" s="43">
        <v>400</v>
      </c>
      <c r="AG104" s="43">
        <v>400</v>
      </c>
      <c r="AH104" s="43">
        <v>400</v>
      </c>
      <c r="AI104" s="43">
        <v>400</v>
      </c>
      <c r="AJ104" s="43">
        <v>0</v>
      </c>
      <c r="AK104" s="44">
        <f t="shared" si="11"/>
        <v>4400</v>
      </c>
      <c r="AL104" s="43">
        <v>400</v>
      </c>
      <c r="AM104" s="43">
        <v>400</v>
      </c>
      <c r="AN104" s="43">
        <v>400</v>
      </c>
      <c r="AO104" s="43">
        <v>400</v>
      </c>
      <c r="AP104" s="43">
        <v>400</v>
      </c>
      <c r="AQ104" s="43">
        <v>400</v>
      </c>
      <c r="AR104" s="43">
        <v>400</v>
      </c>
      <c r="AS104" s="43">
        <v>400</v>
      </c>
      <c r="AT104" s="43">
        <v>0</v>
      </c>
      <c r="AU104" s="43">
        <v>0</v>
      </c>
      <c r="AV104" s="43">
        <v>0</v>
      </c>
      <c r="AW104" s="43">
        <v>0</v>
      </c>
      <c r="AX104" s="44">
        <f t="shared" si="12"/>
        <v>3200</v>
      </c>
      <c r="AY104" s="317">
        <f>SUMIF(Recibos!$D$4:$D$3010,Cobranza!$B104,Recibos!K$4:K$3010)</f>
        <v>400</v>
      </c>
      <c r="AZ104" s="317">
        <f>SUMIF(Recibos!$D$4:$D$3010,Cobranza!$B104,Recibos!L$4:L$3010)</f>
        <v>400</v>
      </c>
      <c r="BA104" s="317">
        <f>SUMIF(Recibos!$D$4:$D$3010,Cobranza!$B104,Recibos!M$4:M$3010)</f>
        <v>400</v>
      </c>
      <c r="BB104" s="317">
        <f>SUMIF(Recibos!$D$4:$D$3010,Cobranza!$B104,Recibos!N$4:N$3010)</f>
        <v>400</v>
      </c>
      <c r="BC104" s="317">
        <f>SUMIF(Recibos!$D$4:$D$3010,Cobranza!$B104,Recibos!O$4:O$3010)</f>
        <v>400</v>
      </c>
      <c r="BD104" s="317">
        <f>SUMIF(Recibos!$D$4:$D$3010,Cobranza!$B104,Recibos!P$4:P$3010)</f>
        <v>400</v>
      </c>
      <c r="BE104" s="317">
        <f>SUMIF(Recibos!$D$4:$D$3010,Cobranza!$B104,Recibos!Q$4:Q$3010)</f>
        <v>400</v>
      </c>
      <c r="BF104" s="317">
        <f>SUMIF(Recibos!$D$4:$D$3010,Cobranza!$B104,Recibos!R$4:R$3010)</f>
        <v>400</v>
      </c>
      <c r="BG104" s="317">
        <f>SUMIF(Recibos!$D$4:$D$3010,Cobranza!$B104,Recibos!S$4:S$3010)</f>
        <v>400</v>
      </c>
      <c r="BH104" s="317">
        <f>SUMIF(Recibos!$D$4:$D$3010,Cobranza!$B104,Recibos!T$4:T$3010)</f>
        <v>0</v>
      </c>
      <c r="BI104" s="317">
        <f>SUMIF(Recibos!$D$4:$D$3010,Cobranza!$B104,Recibos!U$4:U$3010)</f>
        <v>0</v>
      </c>
      <c r="BJ104" s="317">
        <f>SUMIF(Recibos!$D$4:$D$3010,Cobranza!$B104,Recibos!V$4:V$3010)</f>
        <v>0</v>
      </c>
      <c r="BK104" s="318">
        <f t="shared" si="13"/>
        <v>3600</v>
      </c>
      <c r="BL104" s="317">
        <f>SUMIF(Recibos!$D$4:$D$3010,Cobranza!$B104,Recibos!X$4:X$3010)</f>
        <v>0</v>
      </c>
      <c r="BM104" s="317">
        <f>SUMIF(Recibos!$D$4:$D$3010,Cobranza!$B104,Recibos!Y$4:Y$3010)</f>
        <v>0</v>
      </c>
      <c r="BN104" s="317">
        <f>SUMIF(Recibos!$D$4:$D$3010,Cobranza!$B104,Recibos!Z$4:Z$3010)</f>
        <v>0</v>
      </c>
      <c r="BO104" s="317">
        <f>SUMIF(Recibos!$D$4:$D$3010,Cobranza!$B104,Recibos!AA$4:AA$3010)</f>
        <v>0</v>
      </c>
      <c r="BP104" s="317">
        <f>SUMIF(Recibos!$D$4:$D$3010,Cobranza!$B104,Recibos!AB$4:AB$3010)</f>
        <v>0</v>
      </c>
      <c r="BQ104" s="317">
        <f>SUMIF(Recibos!$D$4:$D$3010,Cobranza!$B104,Recibos!AC$4:AC$3010)</f>
        <v>0</v>
      </c>
      <c r="BR104" s="317">
        <f>SUMIF(Recibos!$D$4:$D$3010,Cobranza!$B104,Recibos!AD$4:AD$3010)</f>
        <v>0</v>
      </c>
      <c r="BS104" s="317">
        <f>SUMIF(Recibos!$D$4:$D$3010,Cobranza!$B104,Recibos!AE$4:AE$3010)</f>
        <v>0</v>
      </c>
      <c r="BT104" s="317">
        <f>SUMIF(Recibos!$D$4:$D$3010,Cobranza!$B104,Recibos!AF$4:AF$3010)</f>
        <v>0</v>
      </c>
      <c r="BU104" s="317">
        <f>SUMIF(Recibos!$D$4:$D$3010,Cobranza!$B104,Recibos!AG$4:AG$3010)</f>
        <v>0</v>
      </c>
      <c r="BV104" s="317">
        <f>SUMIF(Recibos!$D$4:$D$3010,Cobranza!$B104,Recibos!AH$4:AH$3010)</f>
        <v>0</v>
      </c>
      <c r="BW104" s="317">
        <f>SUMIF(Recibos!$D$4:$D$3010,Cobranza!$B104,Recibos!AI$4:AI$3010)</f>
        <v>0</v>
      </c>
      <c r="BX104" s="318">
        <f t="shared" si="14"/>
        <v>0</v>
      </c>
    </row>
    <row r="105" spans="2:76" x14ac:dyDescent="0.2">
      <c r="B105" s="45" t="s">
        <v>132</v>
      </c>
      <c r="C105" s="45" t="s">
        <v>133</v>
      </c>
      <c r="D105" s="45" t="s">
        <v>134</v>
      </c>
      <c r="E105" s="46">
        <v>0</v>
      </c>
      <c r="F105" s="46">
        <v>0</v>
      </c>
      <c r="G105" s="46">
        <v>0</v>
      </c>
      <c r="H105" s="46">
        <v>0</v>
      </c>
      <c r="I105" s="46">
        <v>200</v>
      </c>
      <c r="J105" s="46">
        <v>200</v>
      </c>
      <c r="K105" s="47">
        <f t="shared" si="9"/>
        <v>400</v>
      </c>
      <c r="L105" s="46">
        <v>200</v>
      </c>
      <c r="M105" s="46">
        <v>200</v>
      </c>
      <c r="N105" s="46">
        <v>200</v>
      </c>
      <c r="O105" s="46">
        <v>200</v>
      </c>
      <c r="P105" s="46">
        <v>200</v>
      </c>
      <c r="Q105" s="46">
        <v>200</v>
      </c>
      <c r="R105" s="46">
        <v>200</v>
      </c>
      <c r="S105" s="46">
        <v>200</v>
      </c>
      <c r="T105" s="46">
        <v>200</v>
      </c>
      <c r="U105" s="46">
        <v>300</v>
      </c>
      <c r="V105" s="46">
        <v>300</v>
      </c>
      <c r="W105" s="46">
        <v>300</v>
      </c>
      <c r="X105" s="47">
        <f t="shared" si="10"/>
        <v>2700</v>
      </c>
      <c r="Y105" s="46">
        <v>300</v>
      </c>
      <c r="Z105" s="46">
        <v>300</v>
      </c>
      <c r="AA105" s="46">
        <v>300</v>
      </c>
      <c r="AB105" s="46">
        <v>300</v>
      </c>
      <c r="AC105" s="46">
        <v>300</v>
      </c>
      <c r="AD105" s="46">
        <v>300</v>
      </c>
      <c r="AE105" s="46">
        <v>300</v>
      </c>
      <c r="AF105" s="46">
        <v>300</v>
      </c>
      <c r="AG105" s="46">
        <v>300</v>
      </c>
      <c r="AH105" s="46">
        <v>300</v>
      </c>
      <c r="AI105" s="46">
        <v>300</v>
      </c>
      <c r="AJ105" s="46">
        <v>300</v>
      </c>
      <c r="AK105" s="47">
        <f t="shared" si="11"/>
        <v>3600</v>
      </c>
      <c r="AL105" s="46">
        <v>300</v>
      </c>
      <c r="AM105" s="46">
        <v>300</v>
      </c>
      <c r="AN105" s="46">
        <v>300</v>
      </c>
      <c r="AO105" s="46">
        <v>300</v>
      </c>
      <c r="AP105" s="46">
        <v>300</v>
      </c>
      <c r="AQ105" s="46">
        <v>300</v>
      </c>
      <c r="AR105" s="46">
        <v>300</v>
      </c>
      <c r="AS105" s="46">
        <v>300</v>
      </c>
      <c r="AT105" s="46">
        <v>300</v>
      </c>
      <c r="AU105" s="46">
        <v>300</v>
      </c>
      <c r="AV105" s="46">
        <v>300</v>
      </c>
      <c r="AW105" s="46">
        <v>300</v>
      </c>
      <c r="AX105" s="47">
        <f t="shared" si="12"/>
        <v>3600</v>
      </c>
      <c r="AY105" s="319">
        <f>SUMIF(Recibos!$D$4:$D$3010,Cobranza!$B105,Recibos!K$4:K$3010)</f>
        <v>300</v>
      </c>
      <c r="AZ105" s="319">
        <f>SUMIF(Recibos!$D$4:$D$3010,Cobranza!$B105,Recibos!L$4:L$3010)</f>
        <v>300</v>
      </c>
      <c r="BA105" s="319">
        <f>SUMIF(Recibos!$D$4:$D$3010,Cobranza!$B105,Recibos!M$4:M$3010)</f>
        <v>300</v>
      </c>
      <c r="BB105" s="319">
        <f>SUMIF(Recibos!$D$4:$D$3010,Cobranza!$B105,Recibos!N$4:N$3010)</f>
        <v>300</v>
      </c>
      <c r="BC105" s="319">
        <f>SUMIF(Recibos!$D$4:$D$3010,Cobranza!$B105,Recibos!O$4:O$3010)</f>
        <v>300</v>
      </c>
      <c r="BD105" s="319">
        <f>SUMIF(Recibos!$D$4:$D$3010,Cobranza!$B105,Recibos!P$4:P$3010)</f>
        <v>300</v>
      </c>
      <c r="BE105" s="319">
        <f>SUMIF(Recibos!$D$4:$D$3010,Cobranza!$B105,Recibos!Q$4:Q$3010)</f>
        <v>300</v>
      </c>
      <c r="BF105" s="319">
        <f>SUMIF(Recibos!$D$4:$D$3010,Cobranza!$B105,Recibos!R$4:R$3010)</f>
        <v>300</v>
      </c>
      <c r="BG105" s="319">
        <f>SUMIF(Recibos!$D$4:$D$3010,Cobranza!$B105,Recibos!S$4:S$3010)</f>
        <v>300</v>
      </c>
      <c r="BH105" s="319">
        <f>SUMIF(Recibos!$D$4:$D$3010,Cobranza!$B105,Recibos!T$4:T$3010)</f>
        <v>300</v>
      </c>
      <c r="BI105" s="319">
        <f>SUMIF(Recibos!$D$4:$D$3010,Cobranza!$B105,Recibos!U$4:U$3010)</f>
        <v>300</v>
      </c>
      <c r="BJ105" s="319">
        <f>SUMIF(Recibos!$D$4:$D$3010,Cobranza!$B105,Recibos!V$4:V$3010)</f>
        <v>0</v>
      </c>
      <c r="BK105" s="320">
        <f t="shared" si="13"/>
        <v>3300</v>
      </c>
      <c r="BL105" s="319">
        <f>SUMIF(Recibos!$D$4:$D$3010,Cobranza!$B105,Recibos!X$4:X$3010)</f>
        <v>0</v>
      </c>
      <c r="BM105" s="319">
        <f>SUMIF(Recibos!$D$4:$D$3010,Cobranza!$B105,Recibos!Y$4:Y$3010)</f>
        <v>0</v>
      </c>
      <c r="BN105" s="319">
        <f>SUMIF(Recibos!$D$4:$D$3010,Cobranza!$B105,Recibos!Z$4:Z$3010)</f>
        <v>0</v>
      </c>
      <c r="BO105" s="319">
        <f>SUMIF(Recibos!$D$4:$D$3010,Cobranza!$B105,Recibos!AA$4:AA$3010)</f>
        <v>0</v>
      </c>
      <c r="BP105" s="319">
        <f>SUMIF(Recibos!$D$4:$D$3010,Cobranza!$B105,Recibos!AB$4:AB$3010)</f>
        <v>0</v>
      </c>
      <c r="BQ105" s="319">
        <f>SUMIF(Recibos!$D$4:$D$3010,Cobranza!$B105,Recibos!AC$4:AC$3010)</f>
        <v>0</v>
      </c>
      <c r="BR105" s="319">
        <f>SUMIF(Recibos!$D$4:$D$3010,Cobranza!$B105,Recibos!AD$4:AD$3010)</f>
        <v>0</v>
      </c>
      <c r="BS105" s="319">
        <f>SUMIF(Recibos!$D$4:$D$3010,Cobranza!$B105,Recibos!AE$4:AE$3010)</f>
        <v>0</v>
      </c>
      <c r="BT105" s="319">
        <f>SUMIF(Recibos!$D$4:$D$3010,Cobranza!$B105,Recibos!AF$4:AF$3010)</f>
        <v>0</v>
      </c>
      <c r="BU105" s="319">
        <f>SUMIF(Recibos!$D$4:$D$3010,Cobranza!$B105,Recibos!AG$4:AG$3010)</f>
        <v>0</v>
      </c>
      <c r="BV105" s="319">
        <f>SUMIF(Recibos!$D$4:$D$3010,Cobranza!$B105,Recibos!AH$4:AH$3010)</f>
        <v>0</v>
      </c>
      <c r="BW105" s="319">
        <f>SUMIF(Recibos!$D$4:$D$3010,Cobranza!$B105,Recibos!AI$4:AI$3010)</f>
        <v>0</v>
      </c>
      <c r="BX105" s="320">
        <f t="shared" si="14"/>
        <v>0</v>
      </c>
    </row>
    <row r="106" spans="2:76" x14ac:dyDescent="0.2">
      <c r="B106" s="42" t="s">
        <v>328</v>
      </c>
      <c r="C106" s="42" t="s">
        <v>329</v>
      </c>
      <c r="D106" s="42" t="s">
        <v>330</v>
      </c>
      <c r="E106" s="43">
        <v>0</v>
      </c>
      <c r="F106" s="43">
        <v>0</v>
      </c>
      <c r="G106" s="43">
        <v>0</v>
      </c>
      <c r="H106" s="43">
        <v>0</v>
      </c>
      <c r="I106" s="43">
        <v>0</v>
      </c>
      <c r="J106" s="43">
        <v>300</v>
      </c>
      <c r="K106" s="44">
        <f t="shared" si="9"/>
        <v>300</v>
      </c>
      <c r="L106" s="43">
        <v>300</v>
      </c>
      <c r="M106" s="43">
        <v>300</v>
      </c>
      <c r="N106" s="43">
        <v>300</v>
      </c>
      <c r="O106" s="43">
        <v>300</v>
      </c>
      <c r="P106" s="43">
        <v>300</v>
      </c>
      <c r="Q106" s="43">
        <v>300</v>
      </c>
      <c r="R106" s="43">
        <v>300</v>
      </c>
      <c r="S106" s="43">
        <v>300</v>
      </c>
      <c r="T106" s="43">
        <v>300</v>
      </c>
      <c r="U106" s="43">
        <v>400</v>
      </c>
      <c r="V106" s="43">
        <v>400</v>
      </c>
      <c r="W106" s="43">
        <v>400</v>
      </c>
      <c r="X106" s="44">
        <f t="shared" si="10"/>
        <v>3900</v>
      </c>
      <c r="Y106" s="43">
        <v>400</v>
      </c>
      <c r="Z106" s="43">
        <v>400</v>
      </c>
      <c r="AA106" s="43">
        <v>400</v>
      </c>
      <c r="AB106" s="43">
        <v>400</v>
      </c>
      <c r="AC106" s="43">
        <v>400</v>
      </c>
      <c r="AD106" s="43">
        <v>0</v>
      </c>
      <c r="AE106" s="43">
        <v>400</v>
      </c>
      <c r="AF106" s="43">
        <v>1200</v>
      </c>
      <c r="AG106" s="43">
        <v>400</v>
      </c>
      <c r="AH106" s="43">
        <v>400</v>
      </c>
      <c r="AI106" s="43">
        <v>400</v>
      </c>
      <c r="AJ106" s="43">
        <v>400</v>
      </c>
      <c r="AK106" s="44">
        <f t="shared" si="11"/>
        <v>5200</v>
      </c>
      <c r="AL106" s="43">
        <v>400</v>
      </c>
      <c r="AM106" s="43">
        <v>400</v>
      </c>
      <c r="AN106" s="43">
        <v>400</v>
      </c>
      <c r="AO106" s="43">
        <v>400</v>
      </c>
      <c r="AP106" s="43">
        <v>400</v>
      </c>
      <c r="AQ106" s="43">
        <v>400</v>
      </c>
      <c r="AR106" s="43">
        <v>400</v>
      </c>
      <c r="AS106" s="43">
        <v>400</v>
      </c>
      <c r="AT106" s="43">
        <v>400</v>
      </c>
      <c r="AU106" s="43">
        <v>400</v>
      </c>
      <c r="AV106" s="43">
        <v>400</v>
      </c>
      <c r="AW106" s="43">
        <v>400</v>
      </c>
      <c r="AX106" s="44">
        <f t="shared" si="12"/>
        <v>4800</v>
      </c>
      <c r="AY106" s="317">
        <f>SUMIF(Recibos!$D$4:$D$3010,Cobranza!$B106,Recibos!K$4:K$3010)</f>
        <v>400</v>
      </c>
      <c r="AZ106" s="317">
        <f>SUMIF(Recibos!$D$4:$D$3010,Cobranza!$B106,Recibos!L$4:L$3010)</f>
        <v>400</v>
      </c>
      <c r="BA106" s="317">
        <f>SUMIF(Recibos!$D$4:$D$3010,Cobranza!$B106,Recibos!M$4:M$3010)</f>
        <v>400</v>
      </c>
      <c r="BB106" s="317">
        <f>SUMIF(Recibos!$D$4:$D$3010,Cobranza!$B106,Recibos!N$4:N$3010)</f>
        <v>400</v>
      </c>
      <c r="BC106" s="317">
        <f>SUMIF(Recibos!$D$4:$D$3010,Cobranza!$B106,Recibos!O$4:O$3010)</f>
        <v>400</v>
      </c>
      <c r="BD106" s="317">
        <f>SUMIF(Recibos!$D$4:$D$3010,Cobranza!$B106,Recibos!P$4:P$3010)</f>
        <v>400</v>
      </c>
      <c r="BE106" s="317">
        <f>SUMIF(Recibos!$D$4:$D$3010,Cobranza!$B106,Recibos!Q$4:Q$3010)</f>
        <v>400</v>
      </c>
      <c r="BF106" s="317">
        <f>SUMIF(Recibos!$D$4:$D$3010,Cobranza!$B106,Recibos!R$4:R$3010)</f>
        <v>400</v>
      </c>
      <c r="BG106" s="317">
        <f>SUMIF(Recibos!$D$4:$D$3010,Cobranza!$B106,Recibos!S$4:S$3010)</f>
        <v>400</v>
      </c>
      <c r="BH106" s="317">
        <f>SUMIF(Recibos!$D$4:$D$3010,Cobranza!$B106,Recibos!T$4:T$3010)</f>
        <v>400</v>
      </c>
      <c r="BI106" s="317">
        <f>SUMIF(Recibos!$D$4:$D$3010,Cobranza!$B106,Recibos!U$4:U$3010)</f>
        <v>400</v>
      </c>
      <c r="BJ106" s="317">
        <f>SUMIF(Recibos!$D$4:$D$3010,Cobranza!$B106,Recibos!V$4:V$3010)</f>
        <v>400</v>
      </c>
      <c r="BK106" s="318">
        <f t="shared" si="13"/>
        <v>4800</v>
      </c>
      <c r="BL106" s="317">
        <f>SUMIF(Recibos!$D$4:$D$3010,Cobranza!$B106,Recibos!X$4:X$3010)</f>
        <v>0</v>
      </c>
      <c r="BM106" s="317">
        <f>SUMIF(Recibos!$D$4:$D$3010,Cobranza!$B106,Recibos!Y$4:Y$3010)</f>
        <v>0</v>
      </c>
      <c r="BN106" s="317">
        <f>SUMIF(Recibos!$D$4:$D$3010,Cobranza!$B106,Recibos!Z$4:Z$3010)</f>
        <v>0</v>
      </c>
      <c r="BO106" s="317">
        <f>SUMIF(Recibos!$D$4:$D$3010,Cobranza!$B106,Recibos!AA$4:AA$3010)</f>
        <v>0</v>
      </c>
      <c r="BP106" s="317">
        <f>SUMIF(Recibos!$D$4:$D$3010,Cobranza!$B106,Recibos!AB$4:AB$3010)</f>
        <v>0</v>
      </c>
      <c r="BQ106" s="317">
        <f>SUMIF(Recibos!$D$4:$D$3010,Cobranza!$B106,Recibos!AC$4:AC$3010)</f>
        <v>0</v>
      </c>
      <c r="BR106" s="317">
        <f>SUMIF(Recibos!$D$4:$D$3010,Cobranza!$B106,Recibos!AD$4:AD$3010)</f>
        <v>0</v>
      </c>
      <c r="BS106" s="317">
        <f>SUMIF(Recibos!$D$4:$D$3010,Cobranza!$B106,Recibos!AE$4:AE$3010)</f>
        <v>0</v>
      </c>
      <c r="BT106" s="317">
        <f>SUMIF(Recibos!$D$4:$D$3010,Cobranza!$B106,Recibos!AF$4:AF$3010)</f>
        <v>0</v>
      </c>
      <c r="BU106" s="317">
        <f>SUMIF(Recibos!$D$4:$D$3010,Cobranza!$B106,Recibos!AG$4:AG$3010)</f>
        <v>0</v>
      </c>
      <c r="BV106" s="317">
        <f>SUMIF(Recibos!$D$4:$D$3010,Cobranza!$B106,Recibos!AH$4:AH$3010)</f>
        <v>0</v>
      </c>
      <c r="BW106" s="317">
        <f>SUMIF(Recibos!$D$4:$D$3010,Cobranza!$B106,Recibos!AI$4:AI$3010)</f>
        <v>0</v>
      </c>
      <c r="BX106" s="318">
        <f t="shared" si="14"/>
        <v>0</v>
      </c>
    </row>
    <row r="107" spans="2:76" x14ac:dyDescent="0.2">
      <c r="B107" s="45" t="s">
        <v>1307</v>
      </c>
      <c r="C107" s="45" t="s">
        <v>1308</v>
      </c>
      <c r="D107" s="45" t="s">
        <v>1309</v>
      </c>
      <c r="E107" s="46">
        <v>0</v>
      </c>
      <c r="F107" s="46">
        <v>0</v>
      </c>
      <c r="G107" s="46">
        <v>0</v>
      </c>
      <c r="H107" s="46">
        <v>0</v>
      </c>
      <c r="I107" s="46">
        <v>0</v>
      </c>
      <c r="J107" s="46">
        <v>300</v>
      </c>
      <c r="K107" s="47">
        <f t="shared" si="9"/>
        <v>300</v>
      </c>
      <c r="L107" s="46">
        <v>300</v>
      </c>
      <c r="M107" s="46">
        <v>300</v>
      </c>
      <c r="N107" s="46">
        <v>300</v>
      </c>
      <c r="O107" s="46">
        <v>300</v>
      </c>
      <c r="P107" s="46">
        <v>300</v>
      </c>
      <c r="Q107" s="46">
        <v>300</v>
      </c>
      <c r="R107" s="46">
        <v>300</v>
      </c>
      <c r="S107" s="46">
        <v>300</v>
      </c>
      <c r="T107" s="46">
        <v>300</v>
      </c>
      <c r="U107" s="46">
        <v>300</v>
      </c>
      <c r="V107" s="46">
        <v>400</v>
      </c>
      <c r="W107" s="46">
        <v>400</v>
      </c>
      <c r="X107" s="47">
        <f t="shared" si="10"/>
        <v>3800</v>
      </c>
      <c r="Y107" s="46">
        <v>400</v>
      </c>
      <c r="Z107" s="46">
        <v>400</v>
      </c>
      <c r="AA107" s="46">
        <v>400</v>
      </c>
      <c r="AB107" s="46">
        <v>400</v>
      </c>
      <c r="AC107" s="46">
        <v>400</v>
      </c>
      <c r="AD107" s="46">
        <v>400</v>
      </c>
      <c r="AE107" s="46">
        <v>0</v>
      </c>
      <c r="AF107" s="46">
        <v>400</v>
      </c>
      <c r="AG107" s="46">
        <v>500</v>
      </c>
      <c r="AH107" s="46">
        <v>400</v>
      </c>
      <c r="AI107" s="46">
        <v>400</v>
      </c>
      <c r="AJ107" s="46">
        <v>400</v>
      </c>
      <c r="AK107" s="47">
        <f t="shared" si="11"/>
        <v>4500</v>
      </c>
      <c r="AL107" s="46">
        <v>400</v>
      </c>
      <c r="AM107" s="46">
        <v>0</v>
      </c>
      <c r="AN107" s="46">
        <v>0</v>
      </c>
      <c r="AO107" s="46">
        <v>0</v>
      </c>
      <c r="AP107" s="46">
        <v>0</v>
      </c>
      <c r="AQ107" s="46">
        <v>0</v>
      </c>
      <c r="AR107" s="46">
        <v>0</v>
      </c>
      <c r="AS107" s="46">
        <v>0</v>
      </c>
      <c r="AT107" s="46">
        <v>0</v>
      </c>
      <c r="AU107" s="46">
        <v>0</v>
      </c>
      <c r="AV107" s="46">
        <v>0</v>
      </c>
      <c r="AW107" s="46">
        <v>0</v>
      </c>
      <c r="AX107" s="47">
        <f t="shared" si="12"/>
        <v>400</v>
      </c>
      <c r="AY107" s="319">
        <f>SUMIF(Recibos!$D$4:$D$3010,Cobranza!$B107,Recibos!K$4:K$3010)</f>
        <v>0</v>
      </c>
      <c r="AZ107" s="319">
        <f>SUMIF(Recibos!$D$4:$D$3010,Cobranza!$B107,Recibos!L$4:L$3010)</f>
        <v>0</v>
      </c>
      <c r="BA107" s="319">
        <f>SUMIF(Recibos!$D$4:$D$3010,Cobranza!$B107,Recibos!M$4:M$3010)</f>
        <v>0</v>
      </c>
      <c r="BB107" s="319">
        <f>SUMIF(Recibos!$D$4:$D$3010,Cobranza!$B107,Recibos!N$4:N$3010)</f>
        <v>0</v>
      </c>
      <c r="BC107" s="319">
        <f>SUMIF(Recibos!$D$4:$D$3010,Cobranza!$B107,Recibos!O$4:O$3010)</f>
        <v>0</v>
      </c>
      <c r="BD107" s="319">
        <f>SUMIF(Recibos!$D$4:$D$3010,Cobranza!$B107,Recibos!P$4:P$3010)</f>
        <v>0</v>
      </c>
      <c r="BE107" s="319">
        <f>SUMIF(Recibos!$D$4:$D$3010,Cobranza!$B107,Recibos!Q$4:Q$3010)</f>
        <v>0</v>
      </c>
      <c r="BF107" s="319">
        <f>SUMIF(Recibos!$D$4:$D$3010,Cobranza!$B107,Recibos!R$4:R$3010)</f>
        <v>0</v>
      </c>
      <c r="BG107" s="319">
        <f>SUMIF(Recibos!$D$4:$D$3010,Cobranza!$B107,Recibos!S$4:S$3010)</f>
        <v>0</v>
      </c>
      <c r="BH107" s="319">
        <f>SUMIF(Recibos!$D$4:$D$3010,Cobranza!$B107,Recibos!T$4:T$3010)</f>
        <v>0</v>
      </c>
      <c r="BI107" s="319">
        <f>SUMIF(Recibos!$D$4:$D$3010,Cobranza!$B107,Recibos!U$4:U$3010)</f>
        <v>0</v>
      </c>
      <c r="BJ107" s="319">
        <f>SUMIF(Recibos!$D$4:$D$3010,Cobranza!$B107,Recibos!V$4:V$3010)</f>
        <v>0</v>
      </c>
      <c r="BK107" s="320">
        <f t="shared" si="13"/>
        <v>0</v>
      </c>
      <c r="BL107" s="319">
        <f>SUMIF(Recibos!$D$4:$D$3010,Cobranza!$B107,Recibos!X$4:X$3010)</f>
        <v>0</v>
      </c>
      <c r="BM107" s="319">
        <f>SUMIF(Recibos!$D$4:$D$3010,Cobranza!$B107,Recibos!Y$4:Y$3010)</f>
        <v>0</v>
      </c>
      <c r="BN107" s="319">
        <f>SUMIF(Recibos!$D$4:$D$3010,Cobranza!$B107,Recibos!Z$4:Z$3010)</f>
        <v>0</v>
      </c>
      <c r="BO107" s="319">
        <f>SUMIF(Recibos!$D$4:$D$3010,Cobranza!$B107,Recibos!AA$4:AA$3010)</f>
        <v>0</v>
      </c>
      <c r="BP107" s="319">
        <f>SUMIF(Recibos!$D$4:$D$3010,Cobranza!$B107,Recibos!AB$4:AB$3010)</f>
        <v>0</v>
      </c>
      <c r="BQ107" s="319">
        <f>SUMIF(Recibos!$D$4:$D$3010,Cobranza!$B107,Recibos!AC$4:AC$3010)</f>
        <v>0</v>
      </c>
      <c r="BR107" s="319">
        <f>SUMIF(Recibos!$D$4:$D$3010,Cobranza!$B107,Recibos!AD$4:AD$3010)</f>
        <v>0</v>
      </c>
      <c r="BS107" s="319">
        <f>SUMIF(Recibos!$D$4:$D$3010,Cobranza!$B107,Recibos!AE$4:AE$3010)</f>
        <v>0</v>
      </c>
      <c r="BT107" s="319">
        <f>SUMIF(Recibos!$D$4:$D$3010,Cobranza!$B107,Recibos!AF$4:AF$3010)</f>
        <v>0</v>
      </c>
      <c r="BU107" s="319">
        <f>SUMIF(Recibos!$D$4:$D$3010,Cobranza!$B107,Recibos!AG$4:AG$3010)</f>
        <v>0</v>
      </c>
      <c r="BV107" s="319">
        <f>SUMIF(Recibos!$D$4:$D$3010,Cobranza!$B107,Recibos!AH$4:AH$3010)</f>
        <v>0</v>
      </c>
      <c r="BW107" s="319">
        <f>SUMIF(Recibos!$D$4:$D$3010,Cobranza!$B107,Recibos!AI$4:AI$3010)</f>
        <v>0</v>
      </c>
      <c r="BX107" s="320">
        <f t="shared" si="14"/>
        <v>0</v>
      </c>
    </row>
    <row r="108" spans="2:76" x14ac:dyDescent="0.2">
      <c r="B108" s="42" t="s">
        <v>449</v>
      </c>
      <c r="C108" s="42" t="s">
        <v>450</v>
      </c>
      <c r="D108" s="42" t="s">
        <v>451</v>
      </c>
      <c r="E108" s="43">
        <v>0</v>
      </c>
      <c r="F108" s="43">
        <v>0</v>
      </c>
      <c r="G108" s="43">
        <v>0</v>
      </c>
      <c r="H108" s="43">
        <v>0</v>
      </c>
      <c r="I108" s="43">
        <v>0</v>
      </c>
      <c r="J108" s="43">
        <v>300</v>
      </c>
      <c r="K108" s="44">
        <f t="shared" si="9"/>
        <v>300</v>
      </c>
      <c r="L108" s="43">
        <v>300</v>
      </c>
      <c r="M108" s="43">
        <v>300</v>
      </c>
      <c r="N108" s="43">
        <v>300</v>
      </c>
      <c r="O108" s="43">
        <v>300</v>
      </c>
      <c r="P108" s="43">
        <v>300</v>
      </c>
      <c r="Q108" s="43">
        <v>300</v>
      </c>
      <c r="R108" s="43">
        <v>300</v>
      </c>
      <c r="S108" s="43">
        <v>300</v>
      </c>
      <c r="T108" s="43">
        <v>300</v>
      </c>
      <c r="U108" s="43">
        <v>300</v>
      </c>
      <c r="V108" s="43">
        <v>0</v>
      </c>
      <c r="W108" s="43">
        <v>300</v>
      </c>
      <c r="X108" s="44">
        <f t="shared" si="10"/>
        <v>3300</v>
      </c>
      <c r="Y108" s="43">
        <v>300</v>
      </c>
      <c r="Z108" s="43">
        <v>300</v>
      </c>
      <c r="AA108" s="43">
        <v>300</v>
      </c>
      <c r="AB108" s="43">
        <v>300</v>
      </c>
      <c r="AC108" s="43">
        <v>300</v>
      </c>
      <c r="AD108" s="43">
        <v>300</v>
      </c>
      <c r="AE108" s="43">
        <v>300</v>
      </c>
      <c r="AF108" s="43">
        <v>300</v>
      </c>
      <c r="AG108" s="43">
        <v>300</v>
      </c>
      <c r="AH108" s="43">
        <v>300</v>
      </c>
      <c r="AI108" s="43">
        <v>300</v>
      </c>
      <c r="AJ108" s="43">
        <v>300</v>
      </c>
      <c r="AK108" s="44">
        <f t="shared" si="11"/>
        <v>3600</v>
      </c>
      <c r="AL108" s="43">
        <v>300</v>
      </c>
      <c r="AM108" s="43">
        <v>300</v>
      </c>
      <c r="AN108" s="43">
        <v>300</v>
      </c>
      <c r="AO108" s="43">
        <v>300</v>
      </c>
      <c r="AP108" s="43">
        <v>300</v>
      </c>
      <c r="AQ108" s="43">
        <v>300</v>
      </c>
      <c r="AR108" s="43">
        <v>300</v>
      </c>
      <c r="AS108" s="43">
        <v>300</v>
      </c>
      <c r="AT108" s="43">
        <v>300</v>
      </c>
      <c r="AU108" s="43">
        <v>300</v>
      </c>
      <c r="AV108" s="43">
        <v>300</v>
      </c>
      <c r="AW108" s="43">
        <v>300</v>
      </c>
      <c r="AX108" s="44">
        <f t="shared" si="12"/>
        <v>3600</v>
      </c>
      <c r="AY108" s="317">
        <f>SUMIF(Recibos!$D$4:$D$3010,Cobranza!$B108,Recibos!K$4:K$3010)</f>
        <v>300</v>
      </c>
      <c r="AZ108" s="317">
        <f>SUMIF(Recibos!$D$4:$D$3010,Cobranza!$B108,Recibos!L$4:L$3010)</f>
        <v>300</v>
      </c>
      <c r="BA108" s="317">
        <f>SUMIF(Recibos!$D$4:$D$3010,Cobranza!$B108,Recibos!M$4:M$3010)</f>
        <v>300</v>
      </c>
      <c r="BB108" s="317">
        <f>SUMIF(Recibos!$D$4:$D$3010,Cobranza!$B108,Recibos!N$4:N$3010)</f>
        <v>300</v>
      </c>
      <c r="BC108" s="317">
        <f>SUMIF(Recibos!$D$4:$D$3010,Cobranza!$B108,Recibos!O$4:O$3010)</f>
        <v>300</v>
      </c>
      <c r="BD108" s="317">
        <f>SUMIF(Recibos!$D$4:$D$3010,Cobranza!$B108,Recibos!P$4:P$3010)</f>
        <v>300</v>
      </c>
      <c r="BE108" s="317">
        <f>SUMIF(Recibos!$D$4:$D$3010,Cobranza!$B108,Recibos!Q$4:Q$3010)</f>
        <v>300</v>
      </c>
      <c r="BF108" s="317">
        <f>SUMIF(Recibos!$D$4:$D$3010,Cobranza!$B108,Recibos!R$4:R$3010)</f>
        <v>300</v>
      </c>
      <c r="BG108" s="317">
        <f>SUMIF(Recibos!$D$4:$D$3010,Cobranza!$B108,Recibos!S$4:S$3010)</f>
        <v>300</v>
      </c>
      <c r="BH108" s="317">
        <f>SUMIF(Recibos!$D$4:$D$3010,Cobranza!$B108,Recibos!T$4:T$3010)</f>
        <v>300</v>
      </c>
      <c r="BI108" s="317">
        <f>SUMIF(Recibos!$D$4:$D$3010,Cobranza!$B108,Recibos!U$4:U$3010)</f>
        <v>300</v>
      </c>
      <c r="BJ108" s="317">
        <f>SUMIF(Recibos!$D$4:$D$3010,Cobranza!$B108,Recibos!V$4:V$3010)</f>
        <v>300</v>
      </c>
      <c r="BK108" s="318">
        <f t="shared" si="13"/>
        <v>3600</v>
      </c>
      <c r="BL108" s="317">
        <f>SUMIF(Recibos!$D$4:$D$3010,Cobranza!$B108,Recibos!X$4:X$3010)</f>
        <v>0</v>
      </c>
      <c r="BM108" s="317">
        <f>SUMIF(Recibos!$D$4:$D$3010,Cobranza!$B108,Recibos!Y$4:Y$3010)</f>
        <v>0</v>
      </c>
      <c r="BN108" s="317">
        <f>SUMIF(Recibos!$D$4:$D$3010,Cobranza!$B108,Recibos!Z$4:Z$3010)</f>
        <v>0</v>
      </c>
      <c r="BO108" s="317">
        <f>SUMIF(Recibos!$D$4:$D$3010,Cobranza!$B108,Recibos!AA$4:AA$3010)</f>
        <v>0</v>
      </c>
      <c r="BP108" s="317">
        <f>SUMIF(Recibos!$D$4:$D$3010,Cobranza!$B108,Recibos!AB$4:AB$3010)</f>
        <v>0</v>
      </c>
      <c r="BQ108" s="317">
        <f>SUMIF(Recibos!$D$4:$D$3010,Cobranza!$B108,Recibos!AC$4:AC$3010)</f>
        <v>0</v>
      </c>
      <c r="BR108" s="317">
        <f>SUMIF(Recibos!$D$4:$D$3010,Cobranza!$B108,Recibos!AD$4:AD$3010)</f>
        <v>0</v>
      </c>
      <c r="BS108" s="317">
        <f>SUMIF(Recibos!$D$4:$D$3010,Cobranza!$B108,Recibos!AE$4:AE$3010)</f>
        <v>0</v>
      </c>
      <c r="BT108" s="317">
        <f>SUMIF(Recibos!$D$4:$D$3010,Cobranza!$B108,Recibos!AF$4:AF$3010)</f>
        <v>0</v>
      </c>
      <c r="BU108" s="317">
        <f>SUMIF(Recibos!$D$4:$D$3010,Cobranza!$B108,Recibos!AG$4:AG$3010)</f>
        <v>0</v>
      </c>
      <c r="BV108" s="317">
        <f>SUMIF(Recibos!$D$4:$D$3010,Cobranza!$B108,Recibos!AH$4:AH$3010)</f>
        <v>0</v>
      </c>
      <c r="BW108" s="317">
        <f>SUMIF(Recibos!$D$4:$D$3010,Cobranza!$B108,Recibos!AI$4:AI$3010)</f>
        <v>0</v>
      </c>
      <c r="BX108" s="318">
        <f t="shared" si="14"/>
        <v>0</v>
      </c>
    </row>
    <row r="109" spans="2:76" x14ac:dyDescent="0.2">
      <c r="B109" s="45" t="s">
        <v>711</v>
      </c>
      <c r="C109" s="45" t="s">
        <v>712</v>
      </c>
      <c r="D109" s="45" t="s">
        <v>713</v>
      </c>
      <c r="E109" s="46">
        <v>0</v>
      </c>
      <c r="F109" s="46">
        <v>0</v>
      </c>
      <c r="G109" s="46">
        <v>0</v>
      </c>
      <c r="H109" s="46">
        <v>0</v>
      </c>
      <c r="I109" s="46">
        <v>300</v>
      </c>
      <c r="J109" s="46">
        <v>300</v>
      </c>
      <c r="K109" s="47">
        <f t="shared" si="9"/>
        <v>600</v>
      </c>
      <c r="L109" s="46">
        <v>300</v>
      </c>
      <c r="M109" s="46">
        <v>300</v>
      </c>
      <c r="N109" s="46">
        <v>300</v>
      </c>
      <c r="O109" s="46">
        <v>300</v>
      </c>
      <c r="P109" s="46">
        <v>300</v>
      </c>
      <c r="Q109" s="46">
        <v>300</v>
      </c>
      <c r="R109" s="46">
        <v>300</v>
      </c>
      <c r="S109" s="46">
        <v>300</v>
      </c>
      <c r="T109" s="46">
        <v>300</v>
      </c>
      <c r="U109" s="46">
        <v>400</v>
      </c>
      <c r="V109" s="46">
        <v>400</v>
      </c>
      <c r="W109" s="46">
        <v>400</v>
      </c>
      <c r="X109" s="47">
        <f t="shared" si="10"/>
        <v>3900</v>
      </c>
      <c r="Y109" s="46">
        <v>400</v>
      </c>
      <c r="Z109" s="46">
        <v>400</v>
      </c>
      <c r="AA109" s="46">
        <v>400</v>
      </c>
      <c r="AB109" s="46">
        <v>0</v>
      </c>
      <c r="AC109" s="46">
        <v>0</v>
      </c>
      <c r="AD109" s="46">
        <v>0</v>
      </c>
      <c r="AE109" s="46">
        <v>0</v>
      </c>
      <c r="AF109" s="46">
        <v>0</v>
      </c>
      <c r="AG109" s="46">
        <v>400</v>
      </c>
      <c r="AH109" s="46">
        <v>400</v>
      </c>
      <c r="AI109" s="46">
        <v>400</v>
      </c>
      <c r="AJ109" s="46">
        <v>400</v>
      </c>
      <c r="AK109" s="47">
        <f t="shared" si="11"/>
        <v>2800</v>
      </c>
      <c r="AL109" s="46">
        <v>0</v>
      </c>
      <c r="AM109" s="46">
        <v>0</v>
      </c>
      <c r="AN109" s="46">
        <v>0</v>
      </c>
      <c r="AO109" s="46">
        <v>0</v>
      </c>
      <c r="AP109" s="46">
        <v>0</v>
      </c>
      <c r="AQ109" s="46">
        <v>300</v>
      </c>
      <c r="AR109" s="46">
        <v>300</v>
      </c>
      <c r="AS109" s="46">
        <v>300</v>
      </c>
      <c r="AT109" s="46">
        <v>300</v>
      </c>
      <c r="AU109" s="46">
        <v>300</v>
      </c>
      <c r="AV109" s="46">
        <v>300</v>
      </c>
      <c r="AW109" s="46">
        <v>300</v>
      </c>
      <c r="AX109" s="47">
        <f t="shared" si="12"/>
        <v>2100</v>
      </c>
      <c r="AY109" s="319">
        <f>SUMIF(Recibos!$D$4:$D$3010,Cobranza!$B109,Recibos!K$4:K$3010)</f>
        <v>400</v>
      </c>
      <c r="AZ109" s="319">
        <f>SUMIF(Recibos!$D$4:$D$3010,Cobranza!$B109,Recibos!L$4:L$3010)</f>
        <v>0</v>
      </c>
      <c r="BA109" s="319">
        <f>SUMIF(Recibos!$D$4:$D$3010,Cobranza!$B109,Recibos!M$4:M$3010)</f>
        <v>0</v>
      </c>
      <c r="BB109" s="319">
        <f>SUMIF(Recibos!$D$4:$D$3010,Cobranza!$B109,Recibos!N$4:N$3010)</f>
        <v>0</v>
      </c>
      <c r="BC109" s="319">
        <f>SUMIF(Recibos!$D$4:$D$3010,Cobranza!$B109,Recibos!O$4:O$3010)</f>
        <v>0</v>
      </c>
      <c r="BD109" s="319">
        <f>SUMIF(Recibos!$D$4:$D$3010,Cobranza!$B109,Recibos!P$4:P$3010)</f>
        <v>0</v>
      </c>
      <c r="BE109" s="319">
        <f>SUMIF(Recibos!$D$4:$D$3010,Cobranza!$B109,Recibos!Q$4:Q$3010)</f>
        <v>0</v>
      </c>
      <c r="BF109" s="319">
        <f>SUMIF(Recibos!$D$4:$D$3010,Cobranza!$B109,Recibos!R$4:R$3010)</f>
        <v>0</v>
      </c>
      <c r="BG109" s="319">
        <f>SUMIF(Recibos!$D$4:$D$3010,Cobranza!$B109,Recibos!S$4:S$3010)</f>
        <v>0</v>
      </c>
      <c r="BH109" s="319">
        <f>SUMIF(Recibos!$D$4:$D$3010,Cobranza!$B109,Recibos!T$4:T$3010)</f>
        <v>0</v>
      </c>
      <c r="BI109" s="319">
        <f>SUMIF(Recibos!$D$4:$D$3010,Cobranza!$B109,Recibos!U$4:U$3010)</f>
        <v>0</v>
      </c>
      <c r="BJ109" s="319">
        <f>SUMIF(Recibos!$D$4:$D$3010,Cobranza!$B109,Recibos!V$4:V$3010)</f>
        <v>0</v>
      </c>
      <c r="BK109" s="320">
        <f t="shared" si="13"/>
        <v>400</v>
      </c>
      <c r="BL109" s="319">
        <f>SUMIF(Recibos!$D$4:$D$3010,Cobranza!$B109,Recibos!X$4:X$3010)</f>
        <v>0</v>
      </c>
      <c r="BM109" s="319">
        <f>SUMIF(Recibos!$D$4:$D$3010,Cobranza!$B109,Recibos!Y$4:Y$3010)</f>
        <v>0</v>
      </c>
      <c r="BN109" s="319">
        <f>SUMIF(Recibos!$D$4:$D$3010,Cobranza!$B109,Recibos!Z$4:Z$3010)</f>
        <v>0</v>
      </c>
      <c r="BO109" s="319">
        <f>SUMIF(Recibos!$D$4:$D$3010,Cobranza!$B109,Recibos!AA$4:AA$3010)</f>
        <v>0</v>
      </c>
      <c r="BP109" s="319">
        <f>SUMIF(Recibos!$D$4:$D$3010,Cobranza!$B109,Recibos!AB$4:AB$3010)</f>
        <v>0</v>
      </c>
      <c r="BQ109" s="319">
        <f>SUMIF(Recibos!$D$4:$D$3010,Cobranza!$B109,Recibos!AC$4:AC$3010)</f>
        <v>0</v>
      </c>
      <c r="BR109" s="319">
        <f>SUMIF(Recibos!$D$4:$D$3010,Cobranza!$B109,Recibos!AD$4:AD$3010)</f>
        <v>0</v>
      </c>
      <c r="BS109" s="319">
        <f>SUMIF(Recibos!$D$4:$D$3010,Cobranza!$B109,Recibos!AE$4:AE$3010)</f>
        <v>0</v>
      </c>
      <c r="BT109" s="319">
        <f>SUMIF(Recibos!$D$4:$D$3010,Cobranza!$B109,Recibos!AF$4:AF$3010)</f>
        <v>0</v>
      </c>
      <c r="BU109" s="319">
        <f>SUMIF(Recibos!$D$4:$D$3010,Cobranza!$B109,Recibos!AG$4:AG$3010)</f>
        <v>0</v>
      </c>
      <c r="BV109" s="319">
        <f>SUMIF(Recibos!$D$4:$D$3010,Cobranza!$B109,Recibos!AH$4:AH$3010)</f>
        <v>0</v>
      </c>
      <c r="BW109" s="319">
        <f>SUMIF(Recibos!$D$4:$D$3010,Cobranza!$B109,Recibos!AI$4:AI$3010)</f>
        <v>0</v>
      </c>
      <c r="BX109" s="320">
        <f t="shared" si="14"/>
        <v>0</v>
      </c>
    </row>
    <row r="110" spans="2:76" x14ac:dyDescent="0.2">
      <c r="B110" s="42" t="s">
        <v>1029</v>
      </c>
      <c r="C110" s="42" t="s">
        <v>1030</v>
      </c>
      <c r="D110" s="42" t="s">
        <v>1031</v>
      </c>
      <c r="E110" s="43">
        <v>0</v>
      </c>
      <c r="F110" s="43">
        <v>0</v>
      </c>
      <c r="G110" s="43">
        <v>0</v>
      </c>
      <c r="H110" s="43">
        <v>300</v>
      </c>
      <c r="I110" s="43">
        <v>300</v>
      </c>
      <c r="J110" s="43">
        <v>300</v>
      </c>
      <c r="K110" s="44">
        <f t="shared" si="9"/>
        <v>900</v>
      </c>
      <c r="L110" s="43">
        <v>300</v>
      </c>
      <c r="M110" s="43">
        <v>300</v>
      </c>
      <c r="N110" s="43">
        <v>300</v>
      </c>
      <c r="O110" s="43">
        <v>300</v>
      </c>
      <c r="P110" s="43">
        <v>300</v>
      </c>
      <c r="Q110" s="43">
        <v>300</v>
      </c>
      <c r="R110" s="43">
        <v>0</v>
      </c>
      <c r="S110" s="43">
        <v>0</v>
      </c>
      <c r="T110" s="43">
        <v>0</v>
      </c>
      <c r="U110" s="43">
        <v>0</v>
      </c>
      <c r="V110" s="43">
        <v>0</v>
      </c>
      <c r="W110" s="43">
        <v>0</v>
      </c>
      <c r="X110" s="44">
        <f t="shared" si="10"/>
        <v>1800</v>
      </c>
      <c r="Y110" s="43">
        <v>0</v>
      </c>
      <c r="Z110" s="43">
        <v>0</v>
      </c>
      <c r="AA110" s="43">
        <v>0</v>
      </c>
      <c r="AB110" s="43">
        <v>0</v>
      </c>
      <c r="AC110" s="43">
        <v>0</v>
      </c>
      <c r="AD110" s="43">
        <v>0</v>
      </c>
      <c r="AE110" s="43">
        <v>0</v>
      </c>
      <c r="AF110" s="43">
        <v>0</v>
      </c>
      <c r="AG110" s="43">
        <v>0</v>
      </c>
      <c r="AH110" s="43">
        <v>0</v>
      </c>
      <c r="AI110" s="43">
        <v>0</v>
      </c>
      <c r="AJ110" s="43">
        <v>0</v>
      </c>
      <c r="AK110" s="44">
        <f t="shared" si="11"/>
        <v>0</v>
      </c>
      <c r="AL110" s="43">
        <v>400</v>
      </c>
      <c r="AM110" s="43">
        <v>400</v>
      </c>
      <c r="AN110" s="43">
        <v>400</v>
      </c>
      <c r="AO110" s="43">
        <v>400</v>
      </c>
      <c r="AP110" s="43">
        <v>400</v>
      </c>
      <c r="AQ110" s="43">
        <v>400</v>
      </c>
      <c r="AR110" s="43">
        <v>400</v>
      </c>
      <c r="AS110" s="43">
        <v>400</v>
      </c>
      <c r="AT110" s="43">
        <v>400</v>
      </c>
      <c r="AU110" s="43">
        <v>400</v>
      </c>
      <c r="AV110" s="43">
        <v>400</v>
      </c>
      <c r="AW110" s="43">
        <v>400</v>
      </c>
      <c r="AX110" s="44">
        <f t="shared" si="12"/>
        <v>4800</v>
      </c>
      <c r="AY110" s="317">
        <f>SUMIF(Recibos!$D$4:$D$3010,Cobranza!$B110,Recibos!K$4:K$3010)</f>
        <v>400</v>
      </c>
      <c r="AZ110" s="317">
        <f>SUMIF(Recibos!$D$4:$D$3010,Cobranza!$B110,Recibos!L$4:L$3010)</f>
        <v>400</v>
      </c>
      <c r="BA110" s="317">
        <f>SUMIF(Recibos!$D$4:$D$3010,Cobranza!$B110,Recibos!M$4:M$3010)</f>
        <v>400</v>
      </c>
      <c r="BB110" s="317">
        <f>SUMIF(Recibos!$D$4:$D$3010,Cobranza!$B110,Recibos!N$4:N$3010)</f>
        <v>400</v>
      </c>
      <c r="BC110" s="317">
        <f>SUMIF(Recibos!$D$4:$D$3010,Cobranza!$B110,Recibos!O$4:O$3010)</f>
        <v>400</v>
      </c>
      <c r="BD110" s="317">
        <f>SUMIF(Recibos!$D$4:$D$3010,Cobranza!$B110,Recibos!P$4:P$3010)</f>
        <v>400</v>
      </c>
      <c r="BE110" s="317">
        <f>SUMIF(Recibos!$D$4:$D$3010,Cobranza!$B110,Recibos!Q$4:Q$3010)</f>
        <v>400</v>
      </c>
      <c r="BF110" s="317">
        <f>SUMIF(Recibos!$D$4:$D$3010,Cobranza!$B110,Recibos!R$4:R$3010)</f>
        <v>400</v>
      </c>
      <c r="BG110" s="317">
        <f>SUMIF(Recibos!$D$4:$D$3010,Cobranza!$B110,Recibos!S$4:S$3010)</f>
        <v>400</v>
      </c>
      <c r="BH110" s="317">
        <f>SUMIF(Recibos!$D$4:$D$3010,Cobranza!$B110,Recibos!T$4:T$3010)</f>
        <v>400</v>
      </c>
      <c r="BI110" s="317">
        <f>SUMIF(Recibos!$D$4:$D$3010,Cobranza!$B110,Recibos!U$4:U$3010)</f>
        <v>400</v>
      </c>
      <c r="BJ110" s="317">
        <f>SUMIF(Recibos!$D$4:$D$3010,Cobranza!$B110,Recibos!V$4:V$3010)</f>
        <v>400</v>
      </c>
      <c r="BK110" s="318">
        <f t="shared" si="13"/>
        <v>4800</v>
      </c>
      <c r="BL110" s="317">
        <f>SUMIF(Recibos!$D$4:$D$3010,Cobranza!$B110,Recibos!X$4:X$3010)</f>
        <v>0</v>
      </c>
      <c r="BM110" s="317">
        <f>SUMIF(Recibos!$D$4:$D$3010,Cobranza!$B110,Recibos!Y$4:Y$3010)</f>
        <v>0</v>
      </c>
      <c r="BN110" s="317">
        <f>SUMIF(Recibos!$D$4:$D$3010,Cobranza!$B110,Recibos!Z$4:Z$3010)</f>
        <v>0</v>
      </c>
      <c r="BO110" s="317">
        <f>SUMIF(Recibos!$D$4:$D$3010,Cobranza!$B110,Recibos!AA$4:AA$3010)</f>
        <v>0</v>
      </c>
      <c r="BP110" s="317">
        <f>SUMIF(Recibos!$D$4:$D$3010,Cobranza!$B110,Recibos!AB$4:AB$3010)</f>
        <v>0</v>
      </c>
      <c r="BQ110" s="317">
        <f>SUMIF(Recibos!$D$4:$D$3010,Cobranza!$B110,Recibos!AC$4:AC$3010)</f>
        <v>0</v>
      </c>
      <c r="BR110" s="317">
        <f>SUMIF(Recibos!$D$4:$D$3010,Cobranza!$B110,Recibos!AD$4:AD$3010)</f>
        <v>0</v>
      </c>
      <c r="BS110" s="317">
        <f>SUMIF(Recibos!$D$4:$D$3010,Cobranza!$B110,Recibos!AE$4:AE$3010)</f>
        <v>0</v>
      </c>
      <c r="BT110" s="317">
        <f>SUMIF(Recibos!$D$4:$D$3010,Cobranza!$B110,Recibos!AF$4:AF$3010)</f>
        <v>0</v>
      </c>
      <c r="BU110" s="317">
        <f>SUMIF(Recibos!$D$4:$D$3010,Cobranza!$B110,Recibos!AG$4:AG$3010)</f>
        <v>0</v>
      </c>
      <c r="BV110" s="317">
        <f>SUMIF(Recibos!$D$4:$D$3010,Cobranza!$B110,Recibos!AH$4:AH$3010)</f>
        <v>0</v>
      </c>
      <c r="BW110" s="317">
        <f>SUMIF(Recibos!$D$4:$D$3010,Cobranza!$B110,Recibos!AI$4:AI$3010)</f>
        <v>0</v>
      </c>
      <c r="BX110" s="318">
        <f t="shared" si="14"/>
        <v>0</v>
      </c>
    </row>
    <row r="111" spans="2:76" x14ac:dyDescent="0.2">
      <c r="B111" s="45" t="s">
        <v>138</v>
      </c>
      <c r="C111" s="45" t="s">
        <v>139</v>
      </c>
      <c r="D111" s="45" t="s">
        <v>140</v>
      </c>
      <c r="E111" s="46">
        <v>0</v>
      </c>
      <c r="F111" s="46">
        <v>0</v>
      </c>
      <c r="G111" s="46">
        <v>0</v>
      </c>
      <c r="H111" s="46">
        <v>0</v>
      </c>
      <c r="I111" s="46">
        <v>0</v>
      </c>
      <c r="J111" s="46">
        <v>0</v>
      </c>
      <c r="K111" s="47">
        <f t="shared" si="9"/>
        <v>0</v>
      </c>
      <c r="L111" s="46">
        <v>0</v>
      </c>
      <c r="M111" s="46">
        <v>0</v>
      </c>
      <c r="N111" s="46">
        <v>0</v>
      </c>
      <c r="O111" s="46">
        <v>0</v>
      </c>
      <c r="P111" s="46">
        <v>0</v>
      </c>
      <c r="Q111" s="46">
        <v>0</v>
      </c>
      <c r="R111" s="46">
        <v>0</v>
      </c>
      <c r="S111" s="46">
        <v>0</v>
      </c>
      <c r="T111" s="46">
        <v>0</v>
      </c>
      <c r="U111" s="46">
        <v>400</v>
      </c>
      <c r="V111" s="46">
        <v>400</v>
      </c>
      <c r="W111" s="46">
        <v>400</v>
      </c>
      <c r="X111" s="47">
        <f t="shared" si="10"/>
        <v>1200</v>
      </c>
      <c r="Y111" s="46">
        <v>400</v>
      </c>
      <c r="Z111" s="46">
        <v>400</v>
      </c>
      <c r="AA111" s="46">
        <v>400</v>
      </c>
      <c r="AB111" s="46">
        <v>0</v>
      </c>
      <c r="AC111" s="46">
        <v>400</v>
      </c>
      <c r="AD111" s="46">
        <v>400</v>
      </c>
      <c r="AE111" s="46">
        <v>400</v>
      </c>
      <c r="AF111" s="46">
        <v>400</v>
      </c>
      <c r="AG111" s="46">
        <v>0</v>
      </c>
      <c r="AH111" s="46">
        <v>400</v>
      </c>
      <c r="AI111" s="46">
        <v>400</v>
      </c>
      <c r="AJ111" s="46">
        <v>0</v>
      </c>
      <c r="AK111" s="47">
        <f t="shared" si="11"/>
        <v>3600</v>
      </c>
      <c r="AL111" s="46">
        <v>400</v>
      </c>
      <c r="AM111" s="46">
        <v>400</v>
      </c>
      <c r="AN111" s="46">
        <v>400</v>
      </c>
      <c r="AO111" s="46">
        <v>400</v>
      </c>
      <c r="AP111" s="46">
        <v>400</v>
      </c>
      <c r="AQ111" s="46">
        <v>400</v>
      </c>
      <c r="AR111" s="46">
        <v>400</v>
      </c>
      <c r="AS111" s="46">
        <v>400</v>
      </c>
      <c r="AT111" s="46">
        <v>400</v>
      </c>
      <c r="AU111" s="46">
        <v>400</v>
      </c>
      <c r="AV111" s="46">
        <v>400</v>
      </c>
      <c r="AW111" s="46">
        <v>400</v>
      </c>
      <c r="AX111" s="47">
        <f t="shared" si="12"/>
        <v>4800</v>
      </c>
      <c r="AY111" s="319">
        <f>SUMIF(Recibos!$D$4:$D$3010,Cobranza!$B111,Recibos!K$4:K$3010)</f>
        <v>400</v>
      </c>
      <c r="AZ111" s="319">
        <f>SUMIF(Recibos!$D$4:$D$3010,Cobranza!$B111,Recibos!L$4:L$3010)</f>
        <v>400</v>
      </c>
      <c r="BA111" s="319">
        <f>SUMIF(Recibos!$D$4:$D$3010,Cobranza!$B111,Recibos!M$4:M$3010)</f>
        <v>400</v>
      </c>
      <c r="BB111" s="319">
        <f>SUMIF(Recibos!$D$4:$D$3010,Cobranza!$B111,Recibos!N$4:N$3010)</f>
        <v>400</v>
      </c>
      <c r="BC111" s="319">
        <f>SUMIF(Recibos!$D$4:$D$3010,Cobranza!$B111,Recibos!O$4:O$3010)</f>
        <v>400</v>
      </c>
      <c r="BD111" s="319">
        <f>SUMIF(Recibos!$D$4:$D$3010,Cobranza!$B111,Recibos!P$4:P$3010)</f>
        <v>400</v>
      </c>
      <c r="BE111" s="319">
        <f>SUMIF(Recibos!$D$4:$D$3010,Cobranza!$B111,Recibos!Q$4:Q$3010)</f>
        <v>400</v>
      </c>
      <c r="BF111" s="319">
        <f>SUMIF(Recibos!$D$4:$D$3010,Cobranza!$B111,Recibos!R$4:R$3010)</f>
        <v>400</v>
      </c>
      <c r="BG111" s="319">
        <f>SUMIF(Recibos!$D$4:$D$3010,Cobranza!$B111,Recibos!S$4:S$3010)</f>
        <v>400</v>
      </c>
      <c r="BH111" s="319">
        <f>SUMIF(Recibos!$D$4:$D$3010,Cobranza!$B111,Recibos!T$4:T$3010)</f>
        <v>400</v>
      </c>
      <c r="BI111" s="319">
        <f>SUMIF(Recibos!$D$4:$D$3010,Cobranza!$B111,Recibos!U$4:U$3010)</f>
        <v>400</v>
      </c>
      <c r="BJ111" s="319">
        <f>SUMIF(Recibos!$D$4:$D$3010,Cobranza!$B111,Recibos!V$4:V$3010)</f>
        <v>0</v>
      </c>
      <c r="BK111" s="320">
        <f t="shared" si="13"/>
        <v>4400</v>
      </c>
      <c r="BL111" s="319">
        <f>SUMIF(Recibos!$D$4:$D$3010,Cobranza!$B111,Recibos!X$4:X$3010)</f>
        <v>0</v>
      </c>
      <c r="BM111" s="319">
        <f>SUMIF(Recibos!$D$4:$D$3010,Cobranza!$B111,Recibos!Y$4:Y$3010)</f>
        <v>0</v>
      </c>
      <c r="BN111" s="319">
        <f>SUMIF(Recibos!$D$4:$D$3010,Cobranza!$B111,Recibos!Z$4:Z$3010)</f>
        <v>0</v>
      </c>
      <c r="BO111" s="319">
        <f>SUMIF(Recibos!$D$4:$D$3010,Cobranza!$B111,Recibos!AA$4:AA$3010)</f>
        <v>0</v>
      </c>
      <c r="BP111" s="319">
        <f>SUMIF(Recibos!$D$4:$D$3010,Cobranza!$B111,Recibos!AB$4:AB$3010)</f>
        <v>0</v>
      </c>
      <c r="BQ111" s="319">
        <f>SUMIF(Recibos!$D$4:$D$3010,Cobranza!$B111,Recibos!AC$4:AC$3010)</f>
        <v>0</v>
      </c>
      <c r="BR111" s="319">
        <f>SUMIF(Recibos!$D$4:$D$3010,Cobranza!$B111,Recibos!AD$4:AD$3010)</f>
        <v>0</v>
      </c>
      <c r="BS111" s="319">
        <f>SUMIF(Recibos!$D$4:$D$3010,Cobranza!$B111,Recibos!AE$4:AE$3010)</f>
        <v>0</v>
      </c>
      <c r="BT111" s="319">
        <f>SUMIF(Recibos!$D$4:$D$3010,Cobranza!$B111,Recibos!AF$4:AF$3010)</f>
        <v>0</v>
      </c>
      <c r="BU111" s="319">
        <f>SUMIF(Recibos!$D$4:$D$3010,Cobranza!$B111,Recibos!AG$4:AG$3010)</f>
        <v>0</v>
      </c>
      <c r="BV111" s="319">
        <f>SUMIF(Recibos!$D$4:$D$3010,Cobranza!$B111,Recibos!AH$4:AH$3010)</f>
        <v>0</v>
      </c>
      <c r="BW111" s="319">
        <f>SUMIF(Recibos!$D$4:$D$3010,Cobranza!$B111,Recibos!AI$4:AI$3010)</f>
        <v>0</v>
      </c>
      <c r="BX111" s="320">
        <f t="shared" si="14"/>
        <v>0</v>
      </c>
    </row>
    <row r="112" spans="2:76" x14ac:dyDescent="0.2">
      <c r="B112" s="42" t="s">
        <v>1310</v>
      </c>
      <c r="C112" s="42" t="s">
        <v>1311</v>
      </c>
      <c r="D112" s="42"/>
      <c r="E112" s="43">
        <v>0</v>
      </c>
      <c r="F112" s="43">
        <v>0</v>
      </c>
      <c r="G112" s="43">
        <v>0</v>
      </c>
      <c r="H112" s="43">
        <v>0</v>
      </c>
      <c r="I112" s="43">
        <v>0</v>
      </c>
      <c r="J112" s="43">
        <v>0</v>
      </c>
      <c r="K112" s="44">
        <f t="shared" si="9"/>
        <v>0</v>
      </c>
      <c r="L112" s="43">
        <v>0</v>
      </c>
      <c r="M112" s="43">
        <v>0</v>
      </c>
      <c r="N112" s="43">
        <v>0</v>
      </c>
      <c r="O112" s="43">
        <v>0</v>
      </c>
      <c r="P112" s="43">
        <v>0</v>
      </c>
      <c r="Q112" s="43">
        <v>0</v>
      </c>
      <c r="R112" s="43">
        <v>0</v>
      </c>
      <c r="S112" s="43">
        <v>0</v>
      </c>
      <c r="T112" s="43">
        <v>0</v>
      </c>
      <c r="U112" s="43">
        <v>0</v>
      </c>
      <c r="V112" s="43">
        <v>0</v>
      </c>
      <c r="W112" s="43">
        <v>0</v>
      </c>
      <c r="X112" s="44">
        <f t="shared" si="10"/>
        <v>0</v>
      </c>
      <c r="Y112" s="43">
        <v>0</v>
      </c>
      <c r="Z112" s="43">
        <v>0</v>
      </c>
      <c r="AA112" s="43">
        <v>0</v>
      </c>
      <c r="AB112" s="43">
        <v>0</v>
      </c>
      <c r="AC112" s="43">
        <v>0</v>
      </c>
      <c r="AD112" s="43">
        <v>0</v>
      </c>
      <c r="AE112" s="43">
        <v>0</v>
      </c>
      <c r="AF112" s="43">
        <v>0</v>
      </c>
      <c r="AG112" s="43">
        <v>0</v>
      </c>
      <c r="AH112" s="43">
        <v>0</v>
      </c>
      <c r="AI112" s="43">
        <v>0</v>
      </c>
      <c r="AJ112" s="43">
        <v>0</v>
      </c>
      <c r="AK112" s="44">
        <f t="shared" si="11"/>
        <v>0</v>
      </c>
      <c r="AL112" s="43">
        <v>0</v>
      </c>
      <c r="AM112" s="43">
        <v>0</v>
      </c>
      <c r="AN112" s="43">
        <v>0</v>
      </c>
      <c r="AO112" s="43">
        <v>0</v>
      </c>
      <c r="AP112" s="43">
        <v>0</v>
      </c>
      <c r="AQ112" s="43">
        <v>0</v>
      </c>
      <c r="AR112" s="43">
        <v>0</v>
      </c>
      <c r="AS112" s="43">
        <v>0</v>
      </c>
      <c r="AT112" s="43">
        <v>0</v>
      </c>
      <c r="AU112" s="43">
        <v>0</v>
      </c>
      <c r="AV112" s="43">
        <v>0</v>
      </c>
      <c r="AW112" s="43">
        <v>0</v>
      </c>
      <c r="AX112" s="44">
        <f t="shared" si="12"/>
        <v>0</v>
      </c>
      <c r="AY112" s="317">
        <f>SUMIF(Recibos!$D$4:$D$3010,Cobranza!$B112,Recibos!K$4:K$3010)</f>
        <v>0</v>
      </c>
      <c r="AZ112" s="317">
        <f>SUMIF(Recibos!$D$4:$D$3010,Cobranza!$B112,Recibos!L$4:L$3010)</f>
        <v>0</v>
      </c>
      <c r="BA112" s="317">
        <f>SUMIF(Recibos!$D$4:$D$3010,Cobranza!$B112,Recibos!M$4:M$3010)</f>
        <v>0</v>
      </c>
      <c r="BB112" s="317">
        <f>SUMIF(Recibos!$D$4:$D$3010,Cobranza!$B112,Recibos!N$4:N$3010)</f>
        <v>0</v>
      </c>
      <c r="BC112" s="317">
        <f>SUMIF(Recibos!$D$4:$D$3010,Cobranza!$B112,Recibos!O$4:O$3010)</f>
        <v>0</v>
      </c>
      <c r="BD112" s="317">
        <f>SUMIF(Recibos!$D$4:$D$3010,Cobranza!$B112,Recibos!P$4:P$3010)</f>
        <v>0</v>
      </c>
      <c r="BE112" s="317">
        <f>SUMIF(Recibos!$D$4:$D$3010,Cobranza!$B112,Recibos!Q$4:Q$3010)</f>
        <v>0</v>
      </c>
      <c r="BF112" s="317">
        <f>SUMIF(Recibos!$D$4:$D$3010,Cobranza!$B112,Recibos!R$4:R$3010)</f>
        <v>0</v>
      </c>
      <c r="BG112" s="317">
        <f>SUMIF(Recibos!$D$4:$D$3010,Cobranza!$B112,Recibos!S$4:S$3010)</f>
        <v>0</v>
      </c>
      <c r="BH112" s="317">
        <f>SUMIF(Recibos!$D$4:$D$3010,Cobranza!$B112,Recibos!T$4:T$3010)</f>
        <v>0</v>
      </c>
      <c r="BI112" s="317">
        <f>SUMIF(Recibos!$D$4:$D$3010,Cobranza!$B112,Recibos!U$4:U$3010)</f>
        <v>0</v>
      </c>
      <c r="BJ112" s="317">
        <f>SUMIF(Recibos!$D$4:$D$3010,Cobranza!$B112,Recibos!V$4:V$3010)</f>
        <v>0</v>
      </c>
      <c r="BK112" s="318">
        <f t="shared" si="13"/>
        <v>0</v>
      </c>
      <c r="BL112" s="317">
        <f>SUMIF(Recibos!$D$4:$D$3010,Cobranza!$B112,Recibos!X$4:X$3010)</f>
        <v>0</v>
      </c>
      <c r="BM112" s="317">
        <f>SUMIF(Recibos!$D$4:$D$3010,Cobranza!$B112,Recibos!Y$4:Y$3010)</f>
        <v>0</v>
      </c>
      <c r="BN112" s="317">
        <f>SUMIF(Recibos!$D$4:$D$3010,Cobranza!$B112,Recibos!Z$4:Z$3010)</f>
        <v>0</v>
      </c>
      <c r="BO112" s="317">
        <f>SUMIF(Recibos!$D$4:$D$3010,Cobranza!$B112,Recibos!AA$4:AA$3010)</f>
        <v>0</v>
      </c>
      <c r="BP112" s="317">
        <f>SUMIF(Recibos!$D$4:$D$3010,Cobranza!$B112,Recibos!AB$4:AB$3010)</f>
        <v>0</v>
      </c>
      <c r="BQ112" s="317">
        <f>SUMIF(Recibos!$D$4:$D$3010,Cobranza!$B112,Recibos!AC$4:AC$3010)</f>
        <v>0</v>
      </c>
      <c r="BR112" s="317">
        <f>SUMIF(Recibos!$D$4:$D$3010,Cobranza!$B112,Recibos!AD$4:AD$3010)</f>
        <v>0</v>
      </c>
      <c r="BS112" s="317">
        <f>SUMIF(Recibos!$D$4:$D$3010,Cobranza!$B112,Recibos!AE$4:AE$3010)</f>
        <v>0</v>
      </c>
      <c r="BT112" s="317">
        <f>SUMIF(Recibos!$D$4:$D$3010,Cobranza!$B112,Recibos!AF$4:AF$3010)</f>
        <v>0</v>
      </c>
      <c r="BU112" s="317">
        <f>SUMIF(Recibos!$D$4:$D$3010,Cobranza!$B112,Recibos!AG$4:AG$3010)</f>
        <v>0</v>
      </c>
      <c r="BV112" s="317">
        <f>SUMIF(Recibos!$D$4:$D$3010,Cobranza!$B112,Recibos!AH$4:AH$3010)</f>
        <v>0</v>
      </c>
      <c r="BW112" s="317">
        <f>SUMIF(Recibos!$D$4:$D$3010,Cobranza!$B112,Recibos!AI$4:AI$3010)</f>
        <v>0</v>
      </c>
      <c r="BX112" s="318">
        <f t="shared" si="14"/>
        <v>0</v>
      </c>
    </row>
    <row r="113" spans="2:76" x14ac:dyDescent="0.2">
      <c r="B113" s="45" t="s">
        <v>84</v>
      </c>
      <c r="C113" s="45" t="s">
        <v>85</v>
      </c>
      <c r="D113" s="45" t="s">
        <v>86</v>
      </c>
      <c r="E113" s="46">
        <v>0</v>
      </c>
      <c r="F113" s="46">
        <v>0</v>
      </c>
      <c r="G113" s="46">
        <v>0</v>
      </c>
      <c r="H113" s="46">
        <v>0</v>
      </c>
      <c r="I113" s="46">
        <v>0</v>
      </c>
      <c r="J113" s="46">
        <v>200</v>
      </c>
      <c r="K113" s="47">
        <f t="shared" si="9"/>
        <v>200</v>
      </c>
      <c r="L113" s="46">
        <v>200</v>
      </c>
      <c r="M113" s="46">
        <v>200</v>
      </c>
      <c r="N113" s="46">
        <v>200</v>
      </c>
      <c r="O113" s="46">
        <v>200</v>
      </c>
      <c r="P113" s="46">
        <v>200</v>
      </c>
      <c r="Q113" s="46">
        <v>200</v>
      </c>
      <c r="R113" s="46">
        <v>200</v>
      </c>
      <c r="S113" s="46">
        <v>200</v>
      </c>
      <c r="T113" s="46">
        <v>200</v>
      </c>
      <c r="U113" s="46">
        <v>200</v>
      </c>
      <c r="V113" s="46">
        <v>200</v>
      </c>
      <c r="W113" s="46">
        <v>200</v>
      </c>
      <c r="X113" s="47">
        <f t="shared" si="10"/>
        <v>2400</v>
      </c>
      <c r="Y113" s="46">
        <v>200</v>
      </c>
      <c r="Z113" s="46">
        <v>200</v>
      </c>
      <c r="AA113" s="46">
        <v>200</v>
      </c>
      <c r="AB113" s="46">
        <v>200</v>
      </c>
      <c r="AC113" s="46">
        <v>200</v>
      </c>
      <c r="AD113" s="46">
        <v>200</v>
      </c>
      <c r="AE113" s="46">
        <v>200</v>
      </c>
      <c r="AF113" s="46">
        <v>200</v>
      </c>
      <c r="AG113" s="46">
        <v>200</v>
      </c>
      <c r="AH113" s="46">
        <v>200</v>
      </c>
      <c r="AI113" s="46">
        <v>200</v>
      </c>
      <c r="AJ113" s="46">
        <v>200</v>
      </c>
      <c r="AK113" s="47">
        <f t="shared" si="11"/>
        <v>2400</v>
      </c>
      <c r="AL113" s="46">
        <v>200</v>
      </c>
      <c r="AM113" s="46">
        <v>200</v>
      </c>
      <c r="AN113" s="46">
        <v>200</v>
      </c>
      <c r="AO113" s="46">
        <v>200</v>
      </c>
      <c r="AP113" s="46">
        <v>200</v>
      </c>
      <c r="AQ113" s="46">
        <v>200</v>
      </c>
      <c r="AR113" s="46">
        <v>200</v>
      </c>
      <c r="AS113" s="46">
        <v>200</v>
      </c>
      <c r="AT113" s="46">
        <v>200</v>
      </c>
      <c r="AU113" s="46">
        <v>200</v>
      </c>
      <c r="AV113" s="46">
        <v>200</v>
      </c>
      <c r="AW113" s="46">
        <v>200</v>
      </c>
      <c r="AX113" s="47">
        <f t="shared" si="12"/>
        <v>2400</v>
      </c>
      <c r="AY113" s="319">
        <f>SUMIF(Recibos!$D$4:$D$3010,Cobranza!$B113,Recibos!K$4:K$3010)</f>
        <v>200</v>
      </c>
      <c r="AZ113" s="319">
        <f>SUMIF(Recibos!$D$4:$D$3010,Cobranza!$B113,Recibos!L$4:L$3010)</f>
        <v>200</v>
      </c>
      <c r="BA113" s="319">
        <f>SUMIF(Recibos!$D$4:$D$3010,Cobranza!$B113,Recibos!M$4:M$3010)</f>
        <v>200</v>
      </c>
      <c r="BB113" s="319">
        <f>SUMIF(Recibos!$D$4:$D$3010,Cobranza!$B113,Recibos!N$4:N$3010)</f>
        <v>200</v>
      </c>
      <c r="BC113" s="319">
        <f>SUMIF(Recibos!$D$4:$D$3010,Cobranza!$B113,Recibos!O$4:O$3010)</f>
        <v>200</v>
      </c>
      <c r="BD113" s="319">
        <f>SUMIF(Recibos!$D$4:$D$3010,Cobranza!$B113,Recibos!P$4:P$3010)</f>
        <v>200</v>
      </c>
      <c r="BE113" s="319">
        <f>SUMIF(Recibos!$D$4:$D$3010,Cobranza!$B113,Recibos!Q$4:Q$3010)</f>
        <v>0</v>
      </c>
      <c r="BF113" s="319">
        <f>SUMIF(Recibos!$D$4:$D$3010,Cobranza!$B113,Recibos!R$4:R$3010)</f>
        <v>200</v>
      </c>
      <c r="BG113" s="319">
        <f>SUMIF(Recibos!$D$4:$D$3010,Cobranza!$B113,Recibos!S$4:S$3010)</f>
        <v>200</v>
      </c>
      <c r="BH113" s="319">
        <f>SUMIF(Recibos!$D$4:$D$3010,Cobranza!$B113,Recibos!T$4:T$3010)</f>
        <v>200</v>
      </c>
      <c r="BI113" s="319">
        <f>SUMIF(Recibos!$D$4:$D$3010,Cobranza!$B113,Recibos!U$4:U$3010)</f>
        <v>200</v>
      </c>
      <c r="BJ113" s="319">
        <f>SUMIF(Recibos!$D$4:$D$3010,Cobranza!$B113,Recibos!V$4:V$3010)</f>
        <v>200</v>
      </c>
      <c r="BK113" s="320">
        <f t="shared" si="13"/>
        <v>2200</v>
      </c>
      <c r="BL113" s="319">
        <f>SUMIF(Recibos!$D$4:$D$3010,Cobranza!$B113,Recibos!X$4:X$3010)</f>
        <v>0</v>
      </c>
      <c r="BM113" s="319">
        <f>SUMIF(Recibos!$D$4:$D$3010,Cobranza!$B113,Recibos!Y$4:Y$3010)</f>
        <v>0</v>
      </c>
      <c r="BN113" s="319">
        <f>SUMIF(Recibos!$D$4:$D$3010,Cobranza!$B113,Recibos!Z$4:Z$3010)</f>
        <v>0</v>
      </c>
      <c r="BO113" s="319">
        <f>SUMIF(Recibos!$D$4:$D$3010,Cobranza!$B113,Recibos!AA$4:AA$3010)</f>
        <v>0</v>
      </c>
      <c r="BP113" s="319">
        <f>SUMIF(Recibos!$D$4:$D$3010,Cobranza!$B113,Recibos!AB$4:AB$3010)</f>
        <v>0</v>
      </c>
      <c r="BQ113" s="319">
        <f>SUMIF(Recibos!$D$4:$D$3010,Cobranza!$B113,Recibos!AC$4:AC$3010)</f>
        <v>0</v>
      </c>
      <c r="BR113" s="319">
        <f>SUMIF(Recibos!$D$4:$D$3010,Cobranza!$B113,Recibos!AD$4:AD$3010)</f>
        <v>0</v>
      </c>
      <c r="BS113" s="319">
        <f>SUMIF(Recibos!$D$4:$D$3010,Cobranza!$B113,Recibos!AE$4:AE$3010)</f>
        <v>0</v>
      </c>
      <c r="BT113" s="319">
        <f>SUMIF(Recibos!$D$4:$D$3010,Cobranza!$B113,Recibos!AF$4:AF$3010)</f>
        <v>0</v>
      </c>
      <c r="BU113" s="319">
        <f>SUMIF(Recibos!$D$4:$D$3010,Cobranza!$B113,Recibos!AG$4:AG$3010)</f>
        <v>0</v>
      </c>
      <c r="BV113" s="319">
        <f>SUMIF(Recibos!$D$4:$D$3010,Cobranza!$B113,Recibos!AH$4:AH$3010)</f>
        <v>0</v>
      </c>
      <c r="BW113" s="319">
        <f>SUMIF(Recibos!$D$4:$D$3010,Cobranza!$B113,Recibos!AI$4:AI$3010)</f>
        <v>0</v>
      </c>
      <c r="BX113" s="320">
        <f t="shared" si="14"/>
        <v>0</v>
      </c>
    </row>
    <row r="114" spans="2:76" x14ac:dyDescent="0.2">
      <c r="B114" s="42" t="s">
        <v>65</v>
      </c>
      <c r="C114" s="42" t="s">
        <v>66</v>
      </c>
      <c r="D114" s="42" t="s">
        <v>67</v>
      </c>
      <c r="E114" s="43">
        <v>0</v>
      </c>
      <c r="F114" s="43">
        <v>0</v>
      </c>
      <c r="G114" s="43">
        <v>0</v>
      </c>
      <c r="H114" s="43">
        <v>0</v>
      </c>
      <c r="I114" s="43">
        <v>0</v>
      </c>
      <c r="J114" s="43">
        <v>0</v>
      </c>
      <c r="K114" s="44">
        <f t="shared" si="9"/>
        <v>0</v>
      </c>
      <c r="L114" s="43">
        <v>300</v>
      </c>
      <c r="M114" s="43">
        <v>300</v>
      </c>
      <c r="N114" s="43">
        <v>300</v>
      </c>
      <c r="O114" s="43">
        <v>300</v>
      </c>
      <c r="P114" s="43">
        <v>300</v>
      </c>
      <c r="Q114" s="43">
        <v>300</v>
      </c>
      <c r="R114" s="43">
        <v>300</v>
      </c>
      <c r="S114" s="43">
        <v>300</v>
      </c>
      <c r="T114" s="43">
        <v>300</v>
      </c>
      <c r="U114" s="43">
        <v>300</v>
      </c>
      <c r="V114" s="43">
        <v>300</v>
      </c>
      <c r="W114" s="43">
        <v>300</v>
      </c>
      <c r="X114" s="44">
        <f t="shared" si="10"/>
        <v>3600</v>
      </c>
      <c r="Y114" s="43">
        <v>400</v>
      </c>
      <c r="Z114" s="43">
        <v>400</v>
      </c>
      <c r="AA114" s="43">
        <v>400</v>
      </c>
      <c r="AB114" s="43">
        <v>400</v>
      </c>
      <c r="AC114" s="43">
        <v>400</v>
      </c>
      <c r="AD114" s="43">
        <v>400</v>
      </c>
      <c r="AE114" s="43">
        <v>400</v>
      </c>
      <c r="AF114" s="43">
        <v>400</v>
      </c>
      <c r="AG114" s="43">
        <v>400</v>
      </c>
      <c r="AH114" s="43">
        <v>400</v>
      </c>
      <c r="AI114" s="43">
        <v>400</v>
      </c>
      <c r="AJ114" s="43">
        <v>0</v>
      </c>
      <c r="AK114" s="44">
        <f t="shared" si="11"/>
        <v>4400</v>
      </c>
      <c r="AL114" s="43">
        <v>400</v>
      </c>
      <c r="AM114" s="43">
        <v>400</v>
      </c>
      <c r="AN114" s="43">
        <v>400</v>
      </c>
      <c r="AO114" s="43">
        <v>400</v>
      </c>
      <c r="AP114" s="43">
        <v>400</v>
      </c>
      <c r="AQ114" s="43">
        <v>400</v>
      </c>
      <c r="AR114" s="43">
        <v>400</v>
      </c>
      <c r="AS114" s="43">
        <v>400</v>
      </c>
      <c r="AT114" s="43">
        <v>400</v>
      </c>
      <c r="AU114" s="43">
        <v>400</v>
      </c>
      <c r="AV114" s="43">
        <v>400</v>
      </c>
      <c r="AW114" s="43">
        <v>0</v>
      </c>
      <c r="AX114" s="44">
        <f t="shared" si="12"/>
        <v>4400</v>
      </c>
      <c r="AY114" s="317">
        <f>SUMIF(Recibos!$D$4:$D$3010,Cobranza!$B114,Recibos!K$4:K$3010)</f>
        <v>400</v>
      </c>
      <c r="AZ114" s="317">
        <f>SUMIF(Recibos!$D$4:$D$3010,Cobranza!$B114,Recibos!L$4:L$3010)</f>
        <v>400</v>
      </c>
      <c r="BA114" s="317">
        <f>SUMIF(Recibos!$D$4:$D$3010,Cobranza!$B114,Recibos!M$4:M$3010)</f>
        <v>400</v>
      </c>
      <c r="BB114" s="317">
        <f>SUMIF(Recibos!$D$4:$D$3010,Cobranza!$B114,Recibos!N$4:N$3010)</f>
        <v>400</v>
      </c>
      <c r="BC114" s="317">
        <f>SUMIF(Recibos!$D$4:$D$3010,Cobranza!$B114,Recibos!O$4:O$3010)</f>
        <v>400</v>
      </c>
      <c r="BD114" s="317">
        <f>SUMIF(Recibos!$D$4:$D$3010,Cobranza!$B114,Recibos!P$4:P$3010)</f>
        <v>400</v>
      </c>
      <c r="BE114" s="317">
        <f>SUMIF(Recibos!$D$4:$D$3010,Cobranza!$B114,Recibos!Q$4:Q$3010)</f>
        <v>400</v>
      </c>
      <c r="BF114" s="317">
        <f>SUMIF(Recibos!$D$4:$D$3010,Cobranza!$B114,Recibos!R$4:R$3010)</f>
        <v>400</v>
      </c>
      <c r="BG114" s="317">
        <f>SUMIF(Recibos!$D$4:$D$3010,Cobranza!$B114,Recibos!S$4:S$3010)</f>
        <v>400</v>
      </c>
      <c r="BH114" s="317">
        <f>SUMIF(Recibos!$D$4:$D$3010,Cobranza!$B114,Recibos!T$4:T$3010)</f>
        <v>400</v>
      </c>
      <c r="BI114" s="317">
        <f>SUMIF(Recibos!$D$4:$D$3010,Cobranza!$B114,Recibos!U$4:U$3010)</f>
        <v>400</v>
      </c>
      <c r="BJ114" s="317">
        <f>SUMIF(Recibos!$D$4:$D$3010,Cobranza!$B114,Recibos!V$4:V$3010)</f>
        <v>0</v>
      </c>
      <c r="BK114" s="318">
        <f t="shared" si="13"/>
        <v>4400</v>
      </c>
      <c r="BL114" s="317">
        <f>SUMIF(Recibos!$D$4:$D$3010,Cobranza!$B114,Recibos!X$4:X$3010)</f>
        <v>400</v>
      </c>
      <c r="BM114" s="317">
        <f>SUMIF(Recibos!$D$4:$D$3010,Cobranza!$B114,Recibos!Y$4:Y$3010)</f>
        <v>400</v>
      </c>
      <c r="BN114" s="317">
        <f>SUMIF(Recibos!$D$4:$D$3010,Cobranza!$B114,Recibos!Z$4:Z$3010)</f>
        <v>400</v>
      </c>
      <c r="BO114" s="317">
        <f>SUMIF(Recibos!$D$4:$D$3010,Cobranza!$B114,Recibos!AA$4:AA$3010)</f>
        <v>400</v>
      </c>
      <c r="BP114" s="317">
        <f>SUMIF(Recibos!$D$4:$D$3010,Cobranza!$B114,Recibos!AB$4:AB$3010)</f>
        <v>400</v>
      </c>
      <c r="BQ114" s="317">
        <f>SUMIF(Recibos!$D$4:$D$3010,Cobranza!$B114,Recibos!AC$4:AC$3010)</f>
        <v>400</v>
      </c>
      <c r="BR114" s="317">
        <f>SUMIF(Recibos!$D$4:$D$3010,Cobranza!$B114,Recibos!AD$4:AD$3010)</f>
        <v>400</v>
      </c>
      <c r="BS114" s="317">
        <f>SUMIF(Recibos!$D$4:$D$3010,Cobranza!$B114,Recibos!AE$4:AE$3010)</f>
        <v>400</v>
      </c>
      <c r="BT114" s="317">
        <f>SUMIF(Recibos!$D$4:$D$3010,Cobranza!$B114,Recibos!AF$4:AF$3010)</f>
        <v>400</v>
      </c>
      <c r="BU114" s="317">
        <f>SUMIF(Recibos!$D$4:$D$3010,Cobranza!$B114,Recibos!AG$4:AG$3010)</f>
        <v>400</v>
      </c>
      <c r="BV114" s="317">
        <f>SUMIF(Recibos!$D$4:$D$3010,Cobranza!$B114,Recibos!AH$4:AH$3010)</f>
        <v>400</v>
      </c>
      <c r="BW114" s="317">
        <f>SUMIF(Recibos!$D$4:$D$3010,Cobranza!$B114,Recibos!AI$4:AI$3010)</f>
        <v>0</v>
      </c>
      <c r="BX114" s="318">
        <f t="shared" si="14"/>
        <v>4400</v>
      </c>
    </row>
    <row r="115" spans="2:76" x14ac:dyDescent="0.2">
      <c r="B115" s="45" t="s">
        <v>1312</v>
      </c>
      <c r="C115" s="45" t="s">
        <v>1313</v>
      </c>
      <c r="D115" s="45"/>
      <c r="E115" s="46">
        <v>0</v>
      </c>
      <c r="F115" s="46">
        <v>0</v>
      </c>
      <c r="G115" s="46">
        <v>0</v>
      </c>
      <c r="H115" s="46">
        <v>0</v>
      </c>
      <c r="I115" s="46">
        <v>0</v>
      </c>
      <c r="J115" s="46">
        <v>0</v>
      </c>
      <c r="K115" s="47">
        <f t="shared" si="9"/>
        <v>0</v>
      </c>
      <c r="L115" s="46">
        <v>0</v>
      </c>
      <c r="M115" s="46">
        <v>0</v>
      </c>
      <c r="N115" s="46">
        <v>0</v>
      </c>
      <c r="O115" s="46">
        <v>0</v>
      </c>
      <c r="P115" s="46">
        <v>0</v>
      </c>
      <c r="Q115" s="46">
        <v>0</v>
      </c>
      <c r="R115" s="46">
        <v>0</v>
      </c>
      <c r="S115" s="46">
        <v>0</v>
      </c>
      <c r="T115" s="46">
        <v>0</v>
      </c>
      <c r="U115" s="46">
        <v>0</v>
      </c>
      <c r="V115" s="46">
        <v>0</v>
      </c>
      <c r="W115" s="46">
        <v>0</v>
      </c>
      <c r="X115" s="47">
        <f t="shared" si="10"/>
        <v>0</v>
      </c>
      <c r="Y115" s="46">
        <v>0</v>
      </c>
      <c r="Z115" s="46">
        <v>0</v>
      </c>
      <c r="AA115" s="46">
        <v>0</v>
      </c>
      <c r="AB115" s="46">
        <v>0</v>
      </c>
      <c r="AC115" s="46">
        <v>0</v>
      </c>
      <c r="AD115" s="46">
        <v>0</v>
      </c>
      <c r="AE115" s="46">
        <v>0</v>
      </c>
      <c r="AF115" s="46">
        <v>0</v>
      </c>
      <c r="AG115" s="46">
        <v>0</v>
      </c>
      <c r="AH115" s="46">
        <v>0</v>
      </c>
      <c r="AI115" s="46">
        <v>0</v>
      </c>
      <c r="AJ115" s="46">
        <v>0</v>
      </c>
      <c r="AK115" s="47">
        <f t="shared" si="11"/>
        <v>0</v>
      </c>
      <c r="AL115" s="46">
        <v>0</v>
      </c>
      <c r="AM115" s="46">
        <v>0</v>
      </c>
      <c r="AN115" s="46">
        <v>0</v>
      </c>
      <c r="AO115" s="46">
        <v>0</v>
      </c>
      <c r="AP115" s="46">
        <v>0</v>
      </c>
      <c r="AQ115" s="46">
        <v>0</v>
      </c>
      <c r="AR115" s="46">
        <v>0</v>
      </c>
      <c r="AS115" s="46">
        <v>0</v>
      </c>
      <c r="AT115" s="46">
        <v>0</v>
      </c>
      <c r="AU115" s="46">
        <v>0</v>
      </c>
      <c r="AV115" s="46">
        <v>0</v>
      </c>
      <c r="AW115" s="46">
        <v>0</v>
      </c>
      <c r="AX115" s="47">
        <f t="shared" si="12"/>
        <v>0</v>
      </c>
      <c r="AY115" s="319">
        <f>SUMIF(Recibos!$D$4:$D$3010,Cobranza!$B115,Recibos!K$4:K$3010)</f>
        <v>0</v>
      </c>
      <c r="AZ115" s="319">
        <f>SUMIF(Recibos!$D$4:$D$3010,Cobranza!$B115,Recibos!L$4:L$3010)</f>
        <v>0</v>
      </c>
      <c r="BA115" s="319">
        <f>SUMIF(Recibos!$D$4:$D$3010,Cobranza!$B115,Recibos!M$4:M$3010)</f>
        <v>0</v>
      </c>
      <c r="BB115" s="319">
        <f>SUMIF(Recibos!$D$4:$D$3010,Cobranza!$B115,Recibos!N$4:N$3010)</f>
        <v>0</v>
      </c>
      <c r="BC115" s="319">
        <f>SUMIF(Recibos!$D$4:$D$3010,Cobranza!$B115,Recibos!O$4:O$3010)</f>
        <v>0</v>
      </c>
      <c r="BD115" s="319">
        <f>SUMIF(Recibos!$D$4:$D$3010,Cobranza!$B115,Recibos!P$4:P$3010)</f>
        <v>0</v>
      </c>
      <c r="BE115" s="319">
        <f>SUMIF(Recibos!$D$4:$D$3010,Cobranza!$B115,Recibos!Q$4:Q$3010)</f>
        <v>0</v>
      </c>
      <c r="BF115" s="319">
        <f>SUMIF(Recibos!$D$4:$D$3010,Cobranza!$B115,Recibos!R$4:R$3010)</f>
        <v>0</v>
      </c>
      <c r="BG115" s="319">
        <f>SUMIF(Recibos!$D$4:$D$3010,Cobranza!$B115,Recibos!S$4:S$3010)</f>
        <v>0</v>
      </c>
      <c r="BH115" s="319">
        <f>SUMIF(Recibos!$D$4:$D$3010,Cobranza!$B115,Recibos!T$4:T$3010)</f>
        <v>0</v>
      </c>
      <c r="BI115" s="319">
        <f>SUMIF(Recibos!$D$4:$D$3010,Cobranza!$B115,Recibos!U$4:U$3010)</f>
        <v>0</v>
      </c>
      <c r="BJ115" s="319">
        <f>SUMIF(Recibos!$D$4:$D$3010,Cobranza!$B115,Recibos!V$4:V$3010)</f>
        <v>0</v>
      </c>
      <c r="BK115" s="320">
        <f t="shared" si="13"/>
        <v>0</v>
      </c>
      <c r="BL115" s="319">
        <f>SUMIF(Recibos!$D$4:$D$3010,Cobranza!$B115,Recibos!X$4:X$3010)</f>
        <v>0</v>
      </c>
      <c r="BM115" s="319">
        <f>SUMIF(Recibos!$D$4:$D$3010,Cobranza!$B115,Recibos!Y$4:Y$3010)</f>
        <v>0</v>
      </c>
      <c r="BN115" s="319">
        <f>SUMIF(Recibos!$D$4:$D$3010,Cobranza!$B115,Recibos!Z$4:Z$3010)</f>
        <v>0</v>
      </c>
      <c r="BO115" s="319">
        <f>SUMIF(Recibos!$D$4:$D$3010,Cobranza!$B115,Recibos!AA$4:AA$3010)</f>
        <v>0</v>
      </c>
      <c r="BP115" s="319">
        <f>SUMIF(Recibos!$D$4:$D$3010,Cobranza!$B115,Recibos!AB$4:AB$3010)</f>
        <v>0</v>
      </c>
      <c r="BQ115" s="319">
        <f>SUMIF(Recibos!$D$4:$D$3010,Cobranza!$B115,Recibos!AC$4:AC$3010)</f>
        <v>0</v>
      </c>
      <c r="BR115" s="319">
        <f>SUMIF(Recibos!$D$4:$D$3010,Cobranza!$B115,Recibos!AD$4:AD$3010)</f>
        <v>0</v>
      </c>
      <c r="BS115" s="319">
        <f>SUMIF(Recibos!$D$4:$D$3010,Cobranza!$B115,Recibos!AE$4:AE$3010)</f>
        <v>0</v>
      </c>
      <c r="BT115" s="319">
        <f>SUMIF(Recibos!$D$4:$D$3010,Cobranza!$B115,Recibos!AF$4:AF$3010)</f>
        <v>0</v>
      </c>
      <c r="BU115" s="319">
        <f>SUMIF(Recibos!$D$4:$D$3010,Cobranza!$B115,Recibos!AG$4:AG$3010)</f>
        <v>0</v>
      </c>
      <c r="BV115" s="319">
        <f>SUMIF(Recibos!$D$4:$D$3010,Cobranza!$B115,Recibos!AH$4:AH$3010)</f>
        <v>0</v>
      </c>
      <c r="BW115" s="319">
        <f>SUMIF(Recibos!$D$4:$D$3010,Cobranza!$B115,Recibos!AI$4:AI$3010)</f>
        <v>0</v>
      </c>
      <c r="BX115" s="320">
        <f t="shared" si="14"/>
        <v>0</v>
      </c>
    </row>
    <row r="116" spans="2:76" x14ac:dyDescent="0.2">
      <c r="B116" s="42" t="s">
        <v>367</v>
      </c>
      <c r="C116" s="42" t="s">
        <v>368</v>
      </c>
      <c r="D116" s="42" t="s">
        <v>369</v>
      </c>
      <c r="E116" s="43">
        <v>0</v>
      </c>
      <c r="F116" s="43">
        <v>0</v>
      </c>
      <c r="G116" s="43">
        <v>0</v>
      </c>
      <c r="H116" s="43">
        <v>0</v>
      </c>
      <c r="I116" s="43">
        <v>0</v>
      </c>
      <c r="J116" s="43">
        <v>0</v>
      </c>
      <c r="K116" s="44">
        <f t="shared" si="9"/>
        <v>0</v>
      </c>
      <c r="L116" s="43">
        <v>300</v>
      </c>
      <c r="M116" s="43">
        <v>300</v>
      </c>
      <c r="N116" s="43">
        <v>300</v>
      </c>
      <c r="O116" s="43">
        <v>300</v>
      </c>
      <c r="P116" s="43">
        <v>300</v>
      </c>
      <c r="Q116" s="43">
        <v>300</v>
      </c>
      <c r="R116" s="43">
        <v>300</v>
      </c>
      <c r="S116" s="43">
        <v>300</v>
      </c>
      <c r="T116" s="43">
        <v>300</v>
      </c>
      <c r="U116" s="43">
        <v>400</v>
      </c>
      <c r="V116" s="43">
        <v>400</v>
      </c>
      <c r="W116" s="43">
        <v>100</v>
      </c>
      <c r="X116" s="44">
        <f t="shared" si="10"/>
        <v>3600</v>
      </c>
      <c r="Y116" s="43">
        <v>400</v>
      </c>
      <c r="Z116" s="43">
        <v>400</v>
      </c>
      <c r="AA116" s="43">
        <v>400</v>
      </c>
      <c r="AB116" s="43">
        <v>400</v>
      </c>
      <c r="AC116" s="43">
        <v>400</v>
      </c>
      <c r="AD116" s="43">
        <v>400</v>
      </c>
      <c r="AE116" s="43">
        <v>400</v>
      </c>
      <c r="AF116" s="43">
        <v>400</v>
      </c>
      <c r="AG116" s="43">
        <v>400</v>
      </c>
      <c r="AH116" s="43">
        <v>400</v>
      </c>
      <c r="AI116" s="43">
        <v>400</v>
      </c>
      <c r="AJ116" s="43">
        <v>0</v>
      </c>
      <c r="AK116" s="44">
        <f t="shared" si="11"/>
        <v>4400</v>
      </c>
      <c r="AL116" s="43">
        <v>400</v>
      </c>
      <c r="AM116" s="43">
        <v>400</v>
      </c>
      <c r="AN116" s="43">
        <v>400</v>
      </c>
      <c r="AO116" s="43">
        <v>400</v>
      </c>
      <c r="AP116" s="43">
        <v>400</v>
      </c>
      <c r="AQ116" s="43">
        <v>400</v>
      </c>
      <c r="AR116" s="43">
        <v>400</v>
      </c>
      <c r="AS116" s="43">
        <v>400</v>
      </c>
      <c r="AT116" s="43">
        <v>400</v>
      </c>
      <c r="AU116" s="43">
        <v>400</v>
      </c>
      <c r="AV116" s="43">
        <v>400</v>
      </c>
      <c r="AW116" s="43">
        <v>0</v>
      </c>
      <c r="AX116" s="44">
        <f t="shared" si="12"/>
        <v>4400</v>
      </c>
      <c r="AY116" s="317">
        <f>SUMIF(Recibos!$D$4:$D$3010,Cobranza!$B116,Recibos!K$4:K$3010)</f>
        <v>400</v>
      </c>
      <c r="AZ116" s="317">
        <f>SUMIF(Recibos!$D$4:$D$3010,Cobranza!$B116,Recibos!L$4:L$3010)</f>
        <v>400</v>
      </c>
      <c r="BA116" s="317">
        <f>SUMIF(Recibos!$D$4:$D$3010,Cobranza!$B116,Recibos!M$4:M$3010)</f>
        <v>400</v>
      </c>
      <c r="BB116" s="317">
        <f>SUMIF(Recibos!$D$4:$D$3010,Cobranza!$B116,Recibos!N$4:N$3010)</f>
        <v>400</v>
      </c>
      <c r="BC116" s="317">
        <f>SUMIF(Recibos!$D$4:$D$3010,Cobranza!$B116,Recibos!O$4:O$3010)</f>
        <v>400</v>
      </c>
      <c r="BD116" s="317">
        <f>SUMIF(Recibos!$D$4:$D$3010,Cobranza!$B116,Recibos!P$4:P$3010)</f>
        <v>400</v>
      </c>
      <c r="BE116" s="317">
        <f>SUMIF(Recibos!$D$4:$D$3010,Cobranza!$B116,Recibos!Q$4:Q$3010)</f>
        <v>400</v>
      </c>
      <c r="BF116" s="317">
        <f>SUMIF(Recibos!$D$4:$D$3010,Cobranza!$B116,Recibos!R$4:R$3010)</f>
        <v>400</v>
      </c>
      <c r="BG116" s="317">
        <f>SUMIF(Recibos!$D$4:$D$3010,Cobranza!$B116,Recibos!S$4:S$3010)</f>
        <v>400</v>
      </c>
      <c r="BH116" s="317">
        <f>SUMIF(Recibos!$D$4:$D$3010,Cobranza!$B116,Recibos!T$4:T$3010)</f>
        <v>400</v>
      </c>
      <c r="BI116" s="317">
        <f>SUMIF(Recibos!$D$4:$D$3010,Cobranza!$B116,Recibos!U$4:U$3010)</f>
        <v>400</v>
      </c>
      <c r="BJ116" s="317">
        <f>SUMIF(Recibos!$D$4:$D$3010,Cobranza!$B116,Recibos!V$4:V$3010)</f>
        <v>0</v>
      </c>
      <c r="BK116" s="318">
        <f t="shared" si="13"/>
        <v>4400</v>
      </c>
      <c r="BL116" s="317">
        <f>SUMIF(Recibos!$D$4:$D$3010,Cobranza!$B116,Recibos!X$4:X$3010)</f>
        <v>0</v>
      </c>
      <c r="BM116" s="317">
        <f>SUMIF(Recibos!$D$4:$D$3010,Cobranza!$B116,Recibos!Y$4:Y$3010)</f>
        <v>0</v>
      </c>
      <c r="BN116" s="317">
        <f>SUMIF(Recibos!$D$4:$D$3010,Cobranza!$B116,Recibos!Z$4:Z$3010)</f>
        <v>0</v>
      </c>
      <c r="BO116" s="317">
        <f>SUMIF(Recibos!$D$4:$D$3010,Cobranza!$B116,Recibos!AA$4:AA$3010)</f>
        <v>0</v>
      </c>
      <c r="BP116" s="317">
        <f>SUMIF(Recibos!$D$4:$D$3010,Cobranza!$B116,Recibos!AB$4:AB$3010)</f>
        <v>0</v>
      </c>
      <c r="BQ116" s="317">
        <f>SUMIF(Recibos!$D$4:$D$3010,Cobranza!$B116,Recibos!AC$4:AC$3010)</f>
        <v>0</v>
      </c>
      <c r="BR116" s="317">
        <f>SUMIF(Recibos!$D$4:$D$3010,Cobranza!$B116,Recibos!AD$4:AD$3010)</f>
        <v>0</v>
      </c>
      <c r="BS116" s="317">
        <f>SUMIF(Recibos!$D$4:$D$3010,Cobranza!$B116,Recibos!AE$4:AE$3010)</f>
        <v>0</v>
      </c>
      <c r="BT116" s="317">
        <f>SUMIF(Recibos!$D$4:$D$3010,Cobranza!$B116,Recibos!AF$4:AF$3010)</f>
        <v>0</v>
      </c>
      <c r="BU116" s="317">
        <f>SUMIF(Recibos!$D$4:$D$3010,Cobranza!$B116,Recibos!AG$4:AG$3010)</f>
        <v>0</v>
      </c>
      <c r="BV116" s="317">
        <f>SUMIF(Recibos!$D$4:$D$3010,Cobranza!$B116,Recibos!AH$4:AH$3010)</f>
        <v>0</v>
      </c>
      <c r="BW116" s="317">
        <f>SUMIF(Recibos!$D$4:$D$3010,Cobranza!$B116,Recibos!AI$4:AI$3010)</f>
        <v>0</v>
      </c>
      <c r="BX116" s="318">
        <f t="shared" si="14"/>
        <v>0</v>
      </c>
    </row>
    <row r="117" spans="2:76" x14ac:dyDescent="0.2">
      <c r="B117" s="45" t="s">
        <v>752</v>
      </c>
      <c r="C117" s="45" t="s">
        <v>753</v>
      </c>
      <c r="D117" s="45" t="s">
        <v>1314</v>
      </c>
      <c r="E117" s="46">
        <v>0</v>
      </c>
      <c r="F117" s="46">
        <v>0</v>
      </c>
      <c r="G117" s="46">
        <v>0</v>
      </c>
      <c r="H117" s="46">
        <v>0</v>
      </c>
      <c r="I117" s="46">
        <v>0</v>
      </c>
      <c r="J117" s="46">
        <v>0</v>
      </c>
      <c r="K117" s="47">
        <f t="shared" si="9"/>
        <v>0</v>
      </c>
      <c r="L117" s="46">
        <v>0</v>
      </c>
      <c r="M117" s="46">
        <v>0</v>
      </c>
      <c r="N117" s="46">
        <v>0</v>
      </c>
      <c r="O117" s="46">
        <v>0</v>
      </c>
      <c r="P117" s="46">
        <v>0</v>
      </c>
      <c r="Q117" s="46">
        <v>0</v>
      </c>
      <c r="R117" s="46">
        <v>0</v>
      </c>
      <c r="S117" s="46">
        <v>0</v>
      </c>
      <c r="T117" s="46">
        <v>0</v>
      </c>
      <c r="U117" s="46">
        <v>0</v>
      </c>
      <c r="V117" s="46">
        <v>0</v>
      </c>
      <c r="W117" s="46">
        <v>0</v>
      </c>
      <c r="X117" s="47">
        <f t="shared" si="10"/>
        <v>0</v>
      </c>
      <c r="Y117" s="46">
        <v>0</v>
      </c>
      <c r="Z117" s="46">
        <v>0</v>
      </c>
      <c r="AA117" s="46">
        <v>0</v>
      </c>
      <c r="AB117" s="46">
        <v>0</v>
      </c>
      <c r="AC117" s="46">
        <v>0</v>
      </c>
      <c r="AD117" s="46">
        <v>0</v>
      </c>
      <c r="AE117" s="46">
        <v>200</v>
      </c>
      <c r="AF117" s="46">
        <v>200</v>
      </c>
      <c r="AG117" s="46">
        <v>200</v>
      </c>
      <c r="AH117" s="46">
        <v>200</v>
      </c>
      <c r="AI117" s="46">
        <v>200</v>
      </c>
      <c r="AJ117" s="46">
        <v>200</v>
      </c>
      <c r="AK117" s="47">
        <f t="shared" si="11"/>
        <v>1200</v>
      </c>
      <c r="AL117" s="46">
        <v>200</v>
      </c>
      <c r="AM117" s="46">
        <v>200</v>
      </c>
      <c r="AN117" s="46">
        <v>200</v>
      </c>
      <c r="AO117" s="46">
        <v>200</v>
      </c>
      <c r="AP117" s="46">
        <v>200</v>
      </c>
      <c r="AQ117" s="46">
        <v>200</v>
      </c>
      <c r="AR117" s="46">
        <v>0</v>
      </c>
      <c r="AS117" s="46">
        <v>0</v>
      </c>
      <c r="AT117" s="46">
        <v>400</v>
      </c>
      <c r="AU117" s="46">
        <v>400</v>
      </c>
      <c r="AV117" s="46">
        <v>400</v>
      </c>
      <c r="AW117" s="46">
        <v>400</v>
      </c>
      <c r="AX117" s="47">
        <f t="shared" si="12"/>
        <v>2800</v>
      </c>
      <c r="AY117" s="319">
        <f>SUMIF(Recibos!$D$4:$D$3010,Cobranza!$B117,Recibos!K$4:K$3010)</f>
        <v>400</v>
      </c>
      <c r="AZ117" s="319">
        <f>SUMIF(Recibos!$D$4:$D$3010,Cobranza!$B117,Recibos!L$4:L$3010)</f>
        <v>400</v>
      </c>
      <c r="BA117" s="319">
        <f>SUMIF(Recibos!$D$4:$D$3010,Cobranza!$B117,Recibos!M$4:M$3010)</f>
        <v>400</v>
      </c>
      <c r="BB117" s="319">
        <f>SUMIF(Recibos!$D$4:$D$3010,Cobranza!$B117,Recibos!N$4:N$3010)</f>
        <v>400</v>
      </c>
      <c r="BC117" s="319">
        <f>SUMIF(Recibos!$D$4:$D$3010,Cobranza!$B117,Recibos!O$4:O$3010)</f>
        <v>400</v>
      </c>
      <c r="BD117" s="319">
        <f>SUMIF(Recibos!$D$4:$D$3010,Cobranza!$B117,Recibos!P$4:P$3010)</f>
        <v>400</v>
      </c>
      <c r="BE117" s="319">
        <f>SUMIF(Recibos!$D$4:$D$3010,Cobranza!$B117,Recibos!Q$4:Q$3010)</f>
        <v>400</v>
      </c>
      <c r="BF117" s="319">
        <f>SUMIF(Recibos!$D$4:$D$3010,Cobranza!$B117,Recibos!R$4:R$3010)</f>
        <v>400</v>
      </c>
      <c r="BG117" s="319">
        <f>SUMIF(Recibos!$D$4:$D$3010,Cobranza!$B117,Recibos!S$4:S$3010)</f>
        <v>0</v>
      </c>
      <c r="BH117" s="319">
        <f>SUMIF(Recibos!$D$4:$D$3010,Cobranza!$B117,Recibos!T$4:T$3010)</f>
        <v>0</v>
      </c>
      <c r="BI117" s="319">
        <f>SUMIF(Recibos!$D$4:$D$3010,Cobranza!$B117,Recibos!U$4:U$3010)</f>
        <v>0</v>
      </c>
      <c r="BJ117" s="319">
        <f>SUMIF(Recibos!$D$4:$D$3010,Cobranza!$B117,Recibos!V$4:V$3010)</f>
        <v>0</v>
      </c>
      <c r="BK117" s="320">
        <f t="shared" si="13"/>
        <v>3200</v>
      </c>
      <c r="BL117" s="319">
        <f>SUMIF(Recibos!$D$4:$D$3010,Cobranza!$B117,Recibos!X$4:X$3010)</f>
        <v>0</v>
      </c>
      <c r="BM117" s="319">
        <f>SUMIF(Recibos!$D$4:$D$3010,Cobranza!$B117,Recibos!Y$4:Y$3010)</f>
        <v>0</v>
      </c>
      <c r="BN117" s="319">
        <f>SUMIF(Recibos!$D$4:$D$3010,Cobranza!$B117,Recibos!Z$4:Z$3010)</f>
        <v>0</v>
      </c>
      <c r="BO117" s="319">
        <f>SUMIF(Recibos!$D$4:$D$3010,Cobranza!$B117,Recibos!AA$4:AA$3010)</f>
        <v>0</v>
      </c>
      <c r="BP117" s="319">
        <f>SUMIF(Recibos!$D$4:$D$3010,Cobranza!$B117,Recibos!AB$4:AB$3010)</f>
        <v>0</v>
      </c>
      <c r="BQ117" s="319">
        <f>SUMIF(Recibos!$D$4:$D$3010,Cobranza!$B117,Recibos!AC$4:AC$3010)</f>
        <v>0</v>
      </c>
      <c r="BR117" s="319">
        <f>SUMIF(Recibos!$D$4:$D$3010,Cobranza!$B117,Recibos!AD$4:AD$3010)</f>
        <v>0</v>
      </c>
      <c r="BS117" s="319">
        <f>SUMIF(Recibos!$D$4:$D$3010,Cobranza!$B117,Recibos!AE$4:AE$3010)</f>
        <v>0</v>
      </c>
      <c r="BT117" s="319">
        <f>SUMIF(Recibos!$D$4:$D$3010,Cobranza!$B117,Recibos!AF$4:AF$3010)</f>
        <v>0</v>
      </c>
      <c r="BU117" s="319">
        <f>SUMIF(Recibos!$D$4:$D$3010,Cobranza!$B117,Recibos!AG$4:AG$3010)</f>
        <v>0</v>
      </c>
      <c r="BV117" s="319">
        <f>SUMIF(Recibos!$D$4:$D$3010,Cobranza!$B117,Recibos!AH$4:AH$3010)</f>
        <v>0</v>
      </c>
      <c r="BW117" s="319">
        <f>SUMIF(Recibos!$D$4:$D$3010,Cobranza!$B117,Recibos!AI$4:AI$3010)</f>
        <v>0</v>
      </c>
      <c r="BX117" s="320">
        <f t="shared" si="14"/>
        <v>0</v>
      </c>
    </row>
    <row r="118" spans="2:76" x14ac:dyDescent="0.2">
      <c r="B118" s="42" t="s">
        <v>755</v>
      </c>
      <c r="C118" s="42" t="s">
        <v>756</v>
      </c>
      <c r="D118" s="42" t="s">
        <v>757</v>
      </c>
      <c r="E118" s="43">
        <v>0</v>
      </c>
      <c r="F118" s="43">
        <v>0</v>
      </c>
      <c r="G118" s="43">
        <v>0</v>
      </c>
      <c r="H118" s="43">
        <v>0</v>
      </c>
      <c r="I118" s="43">
        <v>0</v>
      </c>
      <c r="J118" s="43">
        <v>0</v>
      </c>
      <c r="K118" s="44">
        <f t="shared" si="9"/>
        <v>0</v>
      </c>
      <c r="L118" s="43">
        <v>0</v>
      </c>
      <c r="M118" s="43">
        <v>0</v>
      </c>
      <c r="N118" s="43">
        <v>0</v>
      </c>
      <c r="O118" s="43">
        <v>0</v>
      </c>
      <c r="P118" s="43">
        <v>0</v>
      </c>
      <c r="Q118" s="43">
        <v>0</v>
      </c>
      <c r="R118" s="43">
        <v>0</v>
      </c>
      <c r="S118" s="43">
        <v>0</v>
      </c>
      <c r="T118" s="43">
        <v>0</v>
      </c>
      <c r="U118" s="43">
        <v>0</v>
      </c>
      <c r="V118" s="43">
        <v>0</v>
      </c>
      <c r="W118" s="43">
        <v>0</v>
      </c>
      <c r="X118" s="44">
        <f t="shared" si="10"/>
        <v>0</v>
      </c>
      <c r="Y118" s="43">
        <v>0</v>
      </c>
      <c r="Z118" s="43">
        <v>0</v>
      </c>
      <c r="AA118" s="43">
        <v>0</v>
      </c>
      <c r="AB118" s="43">
        <v>0</v>
      </c>
      <c r="AC118" s="43">
        <v>0</v>
      </c>
      <c r="AD118" s="43">
        <v>400</v>
      </c>
      <c r="AE118" s="43">
        <v>200</v>
      </c>
      <c r="AF118" s="43">
        <v>200</v>
      </c>
      <c r="AG118" s="43">
        <v>200</v>
      </c>
      <c r="AH118" s="43">
        <v>0</v>
      </c>
      <c r="AI118" s="43">
        <v>0</v>
      </c>
      <c r="AJ118" s="43">
        <v>0</v>
      </c>
      <c r="AK118" s="44">
        <f t="shared" si="11"/>
        <v>1000</v>
      </c>
      <c r="AL118" s="43">
        <v>0</v>
      </c>
      <c r="AM118" s="43">
        <v>0</v>
      </c>
      <c r="AN118" s="43">
        <v>0</v>
      </c>
      <c r="AO118" s="43">
        <v>0</v>
      </c>
      <c r="AP118" s="43">
        <v>0</v>
      </c>
      <c r="AQ118" s="43">
        <v>0</v>
      </c>
      <c r="AR118" s="43">
        <v>0</v>
      </c>
      <c r="AS118" s="43">
        <v>0</v>
      </c>
      <c r="AT118" s="43">
        <v>0</v>
      </c>
      <c r="AU118" s="43">
        <v>0</v>
      </c>
      <c r="AV118" s="43">
        <v>0</v>
      </c>
      <c r="AW118" s="43">
        <v>400</v>
      </c>
      <c r="AX118" s="44">
        <f t="shared" si="12"/>
        <v>400</v>
      </c>
      <c r="AY118" s="317">
        <f>SUMIF(Recibos!$D$4:$D$3010,Cobranza!$B118,Recibos!K$4:K$3010)</f>
        <v>400</v>
      </c>
      <c r="AZ118" s="317">
        <f>SUMIF(Recibos!$D$4:$D$3010,Cobranza!$B118,Recibos!L$4:L$3010)</f>
        <v>0</v>
      </c>
      <c r="BA118" s="317">
        <f>SUMIF(Recibos!$D$4:$D$3010,Cobranza!$B118,Recibos!M$4:M$3010)</f>
        <v>0</v>
      </c>
      <c r="BB118" s="317">
        <f>SUMIF(Recibos!$D$4:$D$3010,Cobranza!$B118,Recibos!N$4:N$3010)</f>
        <v>0</v>
      </c>
      <c r="BC118" s="317">
        <f>SUMIF(Recibos!$D$4:$D$3010,Cobranza!$B118,Recibos!O$4:O$3010)</f>
        <v>0</v>
      </c>
      <c r="BD118" s="317">
        <f>SUMIF(Recibos!$D$4:$D$3010,Cobranza!$B118,Recibos!P$4:P$3010)</f>
        <v>400</v>
      </c>
      <c r="BE118" s="317">
        <f>SUMIF(Recibos!$D$4:$D$3010,Cobranza!$B118,Recibos!Q$4:Q$3010)</f>
        <v>0</v>
      </c>
      <c r="BF118" s="317">
        <f>SUMIF(Recibos!$D$4:$D$3010,Cobranza!$B118,Recibos!R$4:R$3010)</f>
        <v>0</v>
      </c>
      <c r="BG118" s="317">
        <f>SUMIF(Recibos!$D$4:$D$3010,Cobranza!$B118,Recibos!S$4:S$3010)</f>
        <v>0</v>
      </c>
      <c r="BH118" s="317">
        <f>SUMIF(Recibos!$D$4:$D$3010,Cobranza!$B118,Recibos!T$4:T$3010)</f>
        <v>0</v>
      </c>
      <c r="BI118" s="317">
        <f>SUMIF(Recibos!$D$4:$D$3010,Cobranza!$B118,Recibos!U$4:U$3010)</f>
        <v>0</v>
      </c>
      <c r="BJ118" s="317">
        <f>SUMIF(Recibos!$D$4:$D$3010,Cobranza!$B118,Recibos!V$4:V$3010)</f>
        <v>0</v>
      </c>
      <c r="BK118" s="318">
        <f t="shared" si="13"/>
        <v>800</v>
      </c>
      <c r="BL118" s="317">
        <f>SUMIF(Recibos!$D$4:$D$3010,Cobranza!$B118,Recibos!X$4:X$3010)</f>
        <v>0</v>
      </c>
      <c r="BM118" s="317">
        <f>SUMIF(Recibos!$D$4:$D$3010,Cobranza!$B118,Recibos!Y$4:Y$3010)</f>
        <v>0</v>
      </c>
      <c r="BN118" s="317">
        <f>SUMIF(Recibos!$D$4:$D$3010,Cobranza!$B118,Recibos!Z$4:Z$3010)</f>
        <v>0</v>
      </c>
      <c r="BO118" s="317">
        <f>SUMIF(Recibos!$D$4:$D$3010,Cobranza!$B118,Recibos!AA$4:AA$3010)</f>
        <v>0</v>
      </c>
      <c r="BP118" s="317">
        <f>SUMIF(Recibos!$D$4:$D$3010,Cobranza!$B118,Recibos!AB$4:AB$3010)</f>
        <v>0</v>
      </c>
      <c r="BQ118" s="317">
        <f>SUMIF(Recibos!$D$4:$D$3010,Cobranza!$B118,Recibos!AC$4:AC$3010)</f>
        <v>0</v>
      </c>
      <c r="BR118" s="317">
        <f>SUMIF(Recibos!$D$4:$D$3010,Cobranza!$B118,Recibos!AD$4:AD$3010)</f>
        <v>0</v>
      </c>
      <c r="BS118" s="317">
        <f>SUMIF(Recibos!$D$4:$D$3010,Cobranza!$B118,Recibos!AE$4:AE$3010)</f>
        <v>0</v>
      </c>
      <c r="BT118" s="317">
        <f>SUMIF(Recibos!$D$4:$D$3010,Cobranza!$B118,Recibos!AF$4:AF$3010)</f>
        <v>0</v>
      </c>
      <c r="BU118" s="317">
        <f>SUMIF(Recibos!$D$4:$D$3010,Cobranza!$B118,Recibos!AG$4:AG$3010)</f>
        <v>0</v>
      </c>
      <c r="BV118" s="317">
        <f>SUMIF(Recibos!$D$4:$D$3010,Cobranza!$B118,Recibos!AH$4:AH$3010)</f>
        <v>0</v>
      </c>
      <c r="BW118" s="317">
        <f>SUMIF(Recibos!$D$4:$D$3010,Cobranza!$B118,Recibos!AI$4:AI$3010)</f>
        <v>0</v>
      </c>
      <c r="BX118" s="318">
        <f t="shared" si="14"/>
        <v>0</v>
      </c>
    </row>
    <row r="119" spans="2:76" x14ac:dyDescent="0.2">
      <c r="B119" s="45" t="s">
        <v>957</v>
      </c>
      <c r="C119" s="45" t="s">
        <v>958</v>
      </c>
      <c r="D119" s="45" t="s">
        <v>959</v>
      </c>
      <c r="E119" s="46">
        <v>0</v>
      </c>
      <c r="F119" s="46">
        <v>0</v>
      </c>
      <c r="G119" s="46">
        <v>0</v>
      </c>
      <c r="H119" s="46">
        <v>0</v>
      </c>
      <c r="I119" s="46">
        <v>0</v>
      </c>
      <c r="J119" s="46">
        <v>300</v>
      </c>
      <c r="K119" s="47">
        <f t="shared" si="9"/>
        <v>300</v>
      </c>
      <c r="L119" s="46">
        <v>300</v>
      </c>
      <c r="M119" s="46">
        <v>300</v>
      </c>
      <c r="N119" s="46">
        <v>300</v>
      </c>
      <c r="O119" s="46">
        <v>300</v>
      </c>
      <c r="P119" s="46">
        <v>300</v>
      </c>
      <c r="Q119" s="46">
        <v>300</v>
      </c>
      <c r="R119" s="46">
        <v>300</v>
      </c>
      <c r="S119" s="46">
        <v>300</v>
      </c>
      <c r="T119" s="46">
        <v>300</v>
      </c>
      <c r="U119" s="46">
        <v>400</v>
      </c>
      <c r="V119" s="46">
        <v>400</v>
      </c>
      <c r="W119" s="46">
        <v>400</v>
      </c>
      <c r="X119" s="47">
        <f t="shared" si="10"/>
        <v>3900</v>
      </c>
      <c r="Y119" s="46">
        <v>400</v>
      </c>
      <c r="Z119" s="46">
        <v>400</v>
      </c>
      <c r="AA119" s="46">
        <v>400</v>
      </c>
      <c r="AB119" s="46">
        <v>400</v>
      </c>
      <c r="AC119" s="46">
        <v>400</v>
      </c>
      <c r="AD119" s="46">
        <v>400</v>
      </c>
      <c r="AE119" s="46">
        <v>400</v>
      </c>
      <c r="AF119" s="46">
        <v>400</v>
      </c>
      <c r="AG119" s="46">
        <v>400</v>
      </c>
      <c r="AH119" s="46">
        <v>400</v>
      </c>
      <c r="AI119" s="46">
        <v>400</v>
      </c>
      <c r="AJ119" s="46">
        <v>400</v>
      </c>
      <c r="AK119" s="47">
        <f t="shared" si="11"/>
        <v>4800</v>
      </c>
      <c r="AL119" s="46">
        <v>400</v>
      </c>
      <c r="AM119" s="46">
        <v>400</v>
      </c>
      <c r="AN119" s="46">
        <v>400</v>
      </c>
      <c r="AO119" s="46">
        <v>400</v>
      </c>
      <c r="AP119" s="46">
        <v>400</v>
      </c>
      <c r="AQ119" s="46">
        <v>400</v>
      </c>
      <c r="AR119" s="46">
        <v>400</v>
      </c>
      <c r="AS119" s="46">
        <v>400</v>
      </c>
      <c r="AT119" s="46">
        <v>400</v>
      </c>
      <c r="AU119" s="46">
        <v>400</v>
      </c>
      <c r="AV119" s="46">
        <v>400</v>
      </c>
      <c r="AW119" s="46">
        <v>400</v>
      </c>
      <c r="AX119" s="47">
        <f t="shared" si="12"/>
        <v>4800</v>
      </c>
      <c r="AY119" s="319">
        <f>SUMIF(Recibos!$D$4:$D$3010,Cobranza!$B119,Recibos!K$4:K$3010)</f>
        <v>400</v>
      </c>
      <c r="AZ119" s="319">
        <f>SUMIF(Recibos!$D$4:$D$3010,Cobranza!$B119,Recibos!L$4:L$3010)</f>
        <v>400</v>
      </c>
      <c r="BA119" s="319">
        <f>SUMIF(Recibos!$D$4:$D$3010,Cobranza!$B119,Recibos!M$4:M$3010)</f>
        <v>400</v>
      </c>
      <c r="BB119" s="319">
        <f>SUMIF(Recibos!$D$4:$D$3010,Cobranza!$B119,Recibos!N$4:N$3010)</f>
        <v>400</v>
      </c>
      <c r="BC119" s="319">
        <f>SUMIF(Recibos!$D$4:$D$3010,Cobranza!$B119,Recibos!O$4:O$3010)</f>
        <v>400</v>
      </c>
      <c r="BD119" s="319">
        <f>SUMIF(Recibos!$D$4:$D$3010,Cobranza!$B119,Recibos!P$4:P$3010)</f>
        <v>400</v>
      </c>
      <c r="BE119" s="319">
        <f>SUMIF(Recibos!$D$4:$D$3010,Cobranza!$B119,Recibos!Q$4:Q$3010)</f>
        <v>400</v>
      </c>
      <c r="BF119" s="319">
        <f>SUMIF(Recibos!$D$4:$D$3010,Cobranza!$B119,Recibos!R$4:R$3010)</f>
        <v>400</v>
      </c>
      <c r="BG119" s="319">
        <f>SUMIF(Recibos!$D$4:$D$3010,Cobranza!$B119,Recibos!S$4:S$3010)</f>
        <v>400</v>
      </c>
      <c r="BH119" s="319">
        <f>SUMIF(Recibos!$D$4:$D$3010,Cobranza!$B119,Recibos!T$4:T$3010)</f>
        <v>400</v>
      </c>
      <c r="BI119" s="319">
        <f>SUMIF(Recibos!$D$4:$D$3010,Cobranza!$B119,Recibos!U$4:U$3010)</f>
        <v>400</v>
      </c>
      <c r="BJ119" s="319">
        <f>SUMIF(Recibos!$D$4:$D$3010,Cobranza!$B119,Recibos!V$4:V$3010)</f>
        <v>400</v>
      </c>
      <c r="BK119" s="320">
        <f t="shared" si="13"/>
        <v>4800</v>
      </c>
      <c r="BL119" s="319">
        <f>SUMIF(Recibos!$D$4:$D$3010,Cobranza!$B119,Recibos!X$4:X$3010)</f>
        <v>0</v>
      </c>
      <c r="BM119" s="319">
        <f>SUMIF(Recibos!$D$4:$D$3010,Cobranza!$B119,Recibos!Y$4:Y$3010)</f>
        <v>0</v>
      </c>
      <c r="BN119" s="319">
        <f>SUMIF(Recibos!$D$4:$D$3010,Cobranza!$B119,Recibos!Z$4:Z$3010)</f>
        <v>0</v>
      </c>
      <c r="BO119" s="319">
        <f>SUMIF(Recibos!$D$4:$D$3010,Cobranza!$B119,Recibos!AA$4:AA$3010)</f>
        <v>0</v>
      </c>
      <c r="BP119" s="319">
        <f>SUMIF(Recibos!$D$4:$D$3010,Cobranza!$B119,Recibos!AB$4:AB$3010)</f>
        <v>0</v>
      </c>
      <c r="BQ119" s="319">
        <f>SUMIF(Recibos!$D$4:$D$3010,Cobranza!$B119,Recibos!AC$4:AC$3010)</f>
        <v>0</v>
      </c>
      <c r="BR119" s="319">
        <f>SUMIF(Recibos!$D$4:$D$3010,Cobranza!$B119,Recibos!AD$4:AD$3010)</f>
        <v>0</v>
      </c>
      <c r="BS119" s="319">
        <f>SUMIF(Recibos!$D$4:$D$3010,Cobranza!$B119,Recibos!AE$4:AE$3010)</f>
        <v>0</v>
      </c>
      <c r="BT119" s="319">
        <f>SUMIF(Recibos!$D$4:$D$3010,Cobranza!$B119,Recibos!AF$4:AF$3010)</f>
        <v>0</v>
      </c>
      <c r="BU119" s="319">
        <f>SUMIF(Recibos!$D$4:$D$3010,Cobranza!$B119,Recibos!AG$4:AG$3010)</f>
        <v>0</v>
      </c>
      <c r="BV119" s="319">
        <f>SUMIF(Recibos!$D$4:$D$3010,Cobranza!$B119,Recibos!AH$4:AH$3010)</f>
        <v>0</v>
      </c>
      <c r="BW119" s="319">
        <f>SUMIF(Recibos!$D$4:$D$3010,Cobranza!$B119,Recibos!AI$4:AI$3010)</f>
        <v>0</v>
      </c>
      <c r="BX119" s="320">
        <f t="shared" si="14"/>
        <v>0</v>
      </c>
    </row>
    <row r="120" spans="2:76" x14ac:dyDescent="0.2">
      <c r="B120" s="42" t="s">
        <v>589</v>
      </c>
      <c r="C120" s="42" t="s">
        <v>590</v>
      </c>
      <c r="D120" s="42" t="s">
        <v>591</v>
      </c>
      <c r="E120" s="43">
        <v>0</v>
      </c>
      <c r="F120" s="43">
        <v>0</v>
      </c>
      <c r="G120" s="43">
        <v>0</v>
      </c>
      <c r="H120" s="43">
        <v>0</v>
      </c>
      <c r="I120" s="43">
        <v>0</v>
      </c>
      <c r="J120" s="43">
        <v>0</v>
      </c>
      <c r="K120" s="44">
        <f t="shared" si="9"/>
        <v>0</v>
      </c>
      <c r="L120" s="43">
        <v>300</v>
      </c>
      <c r="M120" s="43">
        <v>300</v>
      </c>
      <c r="N120" s="43">
        <v>300</v>
      </c>
      <c r="O120" s="43">
        <v>300</v>
      </c>
      <c r="P120" s="43">
        <v>300</v>
      </c>
      <c r="Q120" s="43">
        <v>300</v>
      </c>
      <c r="R120" s="43">
        <v>700</v>
      </c>
      <c r="S120" s="43">
        <v>700</v>
      </c>
      <c r="T120" s="43">
        <v>700</v>
      </c>
      <c r="U120" s="43">
        <v>700</v>
      </c>
      <c r="V120" s="43">
        <v>700</v>
      </c>
      <c r="W120" s="43">
        <v>0</v>
      </c>
      <c r="X120" s="44">
        <f t="shared" si="10"/>
        <v>5300</v>
      </c>
      <c r="Y120" s="43">
        <v>400</v>
      </c>
      <c r="Z120" s="43">
        <v>400</v>
      </c>
      <c r="AA120" s="43">
        <v>400</v>
      </c>
      <c r="AB120" s="43">
        <v>400</v>
      </c>
      <c r="AC120" s="43">
        <v>400</v>
      </c>
      <c r="AD120" s="43">
        <v>400</v>
      </c>
      <c r="AE120" s="43">
        <v>0</v>
      </c>
      <c r="AF120" s="43">
        <v>0</v>
      </c>
      <c r="AG120" s="43">
        <v>0</v>
      </c>
      <c r="AH120" s="43">
        <v>0</v>
      </c>
      <c r="AI120" s="43">
        <v>0</v>
      </c>
      <c r="AJ120" s="43">
        <v>0</v>
      </c>
      <c r="AK120" s="44">
        <f t="shared" si="11"/>
        <v>2400</v>
      </c>
      <c r="AL120" s="43">
        <v>400</v>
      </c>
      <c r="AM120" s="43">
        <v>400</v>
      </c>
      <c r="AN120" s="43">
        <v>400</v>
      </c>
      <c r="AO120" s="43">
        <v>400</v>
      </c>
      <c r="AP120" s="43">
        <v>400</v>
      </c>
      <c r="AQ120" s="43">
        <v>400</v>
      </c>
      <c r="AR120" s="43">
        <v>400</v>
      </c>
      <c r="AS120" s="43">
        <v>400</v>
      </c>
      <c r="AT120" s="43">
        <v>400</v>
      </c>
      <c r="AU120" s="43">
        <v>400</v>
      </c>
      <c r="AV120" s="43">
        <v>400</v>
      </c>
      <c r="AW120" s="43">
        <v>0</v>
      </c>
      <c r="AX120" s="44">
        <f t="shared" si="12"/>
        <v>4400</v>
      </c>
      <c r="AY120" s="317">
        <f>SUMIF(Recibos!$D$4:$D$3010,Cobranza!$B120,Recibos!K$4:K$3010)</f>
        <v>400</v>
      </c>
      <c r="AZ120" s="317">
        <f>SUMIF(Recibos!$D$4:$D$3010,Cobranza!$B120,Recibos!L$4:L$3010)</f>
        <v>400</v>
      </c>
      <c r="BA120" s="317">
        <f>SUMIF(Recibos!$D$4:$D$3010,Cobranza!$B120,Recibos!M$4:M$3010)</f>
        <v>400</v>
      </c>
      <c r="BB120" s="317">
        <f>SUMIF(Recibos!$D$4:$D$3010,Cobranza!$B120,Recibos!N$4:N$3010)</f>
        <v>400</v>
      </c>
      <c r="BC120" s="317">
        <f>SUMIF(Recibos!$D$4:$D$3010,Cobranza!$B120,Recibos!O$4:O$3010)</f>
        <v>400</v>
      </c>
      <c r="BD120" s="317">
        <f>SUMIF(Recibos!$D$4:$D$3010,Cobranza!$B120,Recibos!P$4:P$3010)</f>
        <v>400</v>
      </c>
      <c r="BE120" s="317">
        <f>SUMIF(Recibos!$D$4:$D$3010,Cobranza!$B120,Recibos!Q$4:Q$3010)</f>
        <v>400</v>
      </c>
      <c r="BF120" s="317">
        <f>SUMIF(Recibos!$D$4:$D$3010,Cobranza!$B120,Recibos!R$4:R$3010)</f>
        <v>400</v>
      </c>
      <c r="BG120" s="317">
        <f>SUMIF(Recibos!$D$4:$D$3010,Cobranza!$B120,Recibos!S$4:S$3010)</f>
        <v>400</v>
      </c>
      <c r="BH120" s="317">
        <f>SUMIF(Recibos!$D$4:$D$3010,Cobranza!$B120,Recibos!T$4:T$3010)</f>
        <v>400</v>
      </c>
      <c r="BI120" s="317">
        <f>SUMIF(Recibos!$D$4:$D$3010,Cobranza!$B120,Recibos!U$4:U$3010)</f>
        <v>400</v>
      </c>
      <c r="BJ120" s="317">
        <f>SUMIF(Recibos!$D$4:$D$3010,Cobranza!$B120,Recibos!V$4:V$3010)</f>
        <v>400</v>
      </c>
      <c r="BK120" s="318">
        <f t="shared" si="13"/>
        <v>4800</v>
      </c>
      <c r="BL120" s="317">
        <f>SUMIF(Recibos!$D$4:$D$3010,Cobranza!$B120,Recibos!X$4:X$3010)</f>
        <v>0</v>
      </c>
      <c r="BM120" s="317">
        <f>SUMIF(Recibos!$D$4:$D$3010,Cobranza!$B120,Recibos!Y$4:Y$3010)</f>
        <v>0</v>
      </c>
      <c r="BN120" s="317">
        <f>SUMIF(Recibos!$D$4:$D$3010,Cobranza!$B120,Recibos!Z$4:Z$3010)</f>
        <v>0</v>
      </c>
      <c r="BO120" s="317">
        <f>SUMIF(Recibos!$D$4:$D$3010,Cobranza!$B120,Recibos!AA$4:AA$3010)</f>
        <v>0</v>
      </c>
      <c r="BP120" s="317">
        <f>SUMIF(Recibos!$D$4:$D$3010,Cobranza!$B120,Recibos!AB$4:AB$3010)</f>
        <v>0</v>
      </c>
      <c r="BQ120" s="317">
        <f>SUMIF(Recibos!$D$4:$D$3010,Cobranza!$B120,Recibos!AC$4:AC$3010)</f>
        <v>0</v>
      </c>
      <c r="BR120" s="317">
        <f>SUMIF(Recibos!$D$4:$D$3010,Cobranza!$B120,Recibos!AD$4:AD$3010)</f>
        <v>0</v>
      </c>
      <c r="BS120" s="317">
        <f>SUMIF(Recibos!$D$4:$D$3010,Cobranza!$B120,Recibos!AE$4:AE$3010)</f>
        <v>0</v>
      </c>
      <c r="BT120" s="317">
        <f>SUMIF(Recibos!$D$4:$D$3010,Cobranza!$B120,Recibos!AF$4:AF$3010)</f>
        <v>0</v>
      </c>
      <c r="BU120" s="317">
        <f>SUMIF(Recibos!$D$4:$D$3010,Cobranza!$B120,Recibos!AG$4:AG$3010)</f>
        <v>0</v>
      </c>
      <c r="BV120" s="317">
        <f>SUMIF(Recibos!$D$4:$D$3010,Cobranza!$B120,Recibos!AH$4:AH$3010)</f>
        <v>0</v>
      </c>
      <c r="BW120" s="317">
        <f>SUMIF(Recibos!$D$4:$D$3010,Cobranza!$B120,Recibos!AI$4:AI$3010)</f>
        <v>0</v>
      </c>
      <c r="BX120" s="318">
        <f t="shared" si="14"/>
        <v>0</v>
      </c>
    </row>
    <row r="121" spans="2:76" x14ac:dyDescent="0.2">
      <c r="B121" s="45" t="s">
        <v>1315</v>
      </c>
      <c r="C121" s="45" t="s">
        <v>1316</v>
      </c>
      <c r="D121" s="45" t="s">
        <v>1317</v>
      </c>
      <c r="E121" s="46">
        <v>0</v>
      </c>
      <c r="F121" s="46">
        <v>0</v>
      </c>
      <c r="G121" s="46">
        <v>0</v>
      </c>
      <c r="H121" s="46">
        <v>300</v>
      </c>
      <c r="I121" s="46">
        <v>300</v>
      </c>
      <c r="J121" s="46">
        <v>0</v>
      </c>
      <c r="K121" s="47">
        <f t="shared" si="9"/>
        <v>600</v>
      </c>
      <c r="L121" s="46">
        <v>300</v>
      </c>
      <c r="M121" s="46">
        <v>300</v>
      </c>
      <c r="N121" s="46">
        <v>300</v>
      </c>
      <c r="O121" s="46">
        <v>300</v>
      </c>
      <c r="P121" s="46">
        <v>300</v>
      </c>
      <c r="Q121" s="46">
        <v>300</v>
      </c>
      <c r="R121" s="46">
        <v>300</v>
      </c>
      <c r="S121" s="46">
        <v>300</v>
      </c>
      <c r="T121" s="46">
        <v>300</v>
      </c>
      <c r="U121" s="46">
        <v>0</v>
      </c>
      <c r="V121" s="46">
        <v>0</v>
      </c>
      <c r="W121" s="46">
        <v>0</v>
      </c>
      <c r="X121" s="47">
        <f t="shared" si="10"/>
        <v>2700</v>
      </c>
      <c r="Y121" s="46">
        <v>0</v>
      </c>
      <c r="Z121" s="46">
        <v>0</v>
      </c>
      <c r="AA121" s="46">
        <v>0</v>
      </c>
      <c r="AB121" s="46">
        <v>0</v>
      </c>
      <c r="AC121" s="46">
        <v>0</v>
      </c>
      <c r="AD121" s="46">
        <v>0</v>
      </c>
      <c r="AE121" s="46">
        <v>0</v>
      </c>
      <c r="AF121" s="46">
        <v>0</v>
      </c>
      <c r="AG121" s="46">
        <v>0</v>
      </c>
      <c r="AH121" s="46">
        <v>0</v>
      </c>
      <c r="AI121" s="46">
        <v>0</v>
      </c>
      <c r="AJ121" s="46">
        <v>0</v>
      </c>
      <c r="AK121" s="47">
        <f t="shared" si="11"/>
        <v>0</v>
      </c>
      <c r="AL121" s="46">
        <v>0</v>
      </c>
      <c r="AM121" s="46">
        <v>0</v>
      </c>
      <c r="AN121" s="46">
        <v>0</v>
      </c>
      <c r="AO121" s="46">
        <v>0</v>
      </c>
      <c r="AP121" s="46">
        <v>0</v>
      </c>
      <c r="AQ121" s="46">
        <v>0</v>
      </c>
      <c r="AR121" s="46">
        <v>0</v>
      </c>
      <c r="AS121" s="46">
        <v>0</v>
      </c>
      <c r="AT121" s="46">
        <v>0</v>
      </c>
      <c r="AU121" s="46">
        <v>0</v>
      </c>
      <c r="AV121" s="46">
        <v>0</v>
      </c>
      <c r="AW121" s="46">
        <v>0</v>
      </c>
      <c r="AX121" s="47">
        <f t="shared" si="12"/>
        <v>0</v>
      </c>
      <c r="AY121" s="319">
        <f>SUMIF(Recibos!$D$4:$D$3010,Cobranza!$B121,Recibos!K$4:K$3010)</f>
        <v>0</v>
      </c>
      <c r="AZ121" s="319">
        <f>SUMIF(Recibos!$D$4:$D$3010,Cobranza!$B121,Recibos!L$4:L$3010)</f>
        <v>0</v>
      </c>
      <c r="BA121" s="319">
        <f>SUMIF(Recibos!$D$4:$D$3010,Cobranza!$B121,Recibos!M$4:M$3010)</f>
        <v>0</v>
      </c>
      <c r="BB121" s="319">
        <f>SUMIF(Recibos!$D$4:$D$3010,Cobranza!$B121,Recibos!N$4:N$3010)</f>
        <v>0</v>
      </c>
      <c r="BC121" s="319">
        <f>SUMIF(Recibos!$D$4:$D$3010,Cobranza!$B121,Recibos!O$4:O$3010)</f>
        <v>0</v>
      </c>
      <c r="BD121" s="319">
        <f>SUMIF(Recibos!$D$4:$D$3010,Cobranza!$B121,Recibos!P$4:P$3010)</f>
        <v>0</v>
      </c>
      <c r="BE121" s="319">
        <f>SUMIF(Recibos!$D$4:$D$3010,Cobranza!$B121,Recibos!Q$4:Q$3010)</f>
        <v>0</v>
      </c>
      <c r="BF121" s="319">
        <f>SUMIF(Recibos!$D$4:$D$3010,Cobranza!$B121,Recibos!R$4:R$3010)</f>
        <v>0</v>
      </c>
      <c r="BG121" s="319">
        <f>SUMIF(Recibos!$D$4:$D$3010,Cobranza!$B121,Recibos!S$4:S$3010)</f>
        <v>0</v>
      </c>
      <c r="BH121" s="319">
        <f>SUMIF(Recibos!$D$4:$D$3010,Cobranza!$B121,Recibos!T$4:T$3010)</f>
        <v>0</v>
      </c>
      <c r="BI121" s="319">
        <f>SUMIF(Recibos!$D$4:$D$3010,Cobranza!$B121,Recibos!U$4:U$3010)</f>
        <v>0</v>
      </c>
      <c r="BJ121" s="319">
        <f>SUMIF(Recibos!$D$4:$D$3010,Cobranza!$B121,Recibos!V$4:V$3010)</f>
        <v>0</v>
      </c>
      <c r="BK121" s="320">
        <f t="shared" si="13"/>
        <v>0</v>
      </c>
      <c r="BL121" s="319">
        <f>SUMIF(Recibos!$D$4:$D$3010,Cobranza!$B121,Recibos!X$4:X$3010)</f>
        <v>0</v>
      </c>
      <c r="BM121" s="319">
        <f>SUMIF(Recibos!$D$4:$D$3010,Cobranza!$B121,Recibos!Y$4:Y$3010)</f>
        <v>0</v>
      </c>
      <c r="BN121" s="319">
        <f>SUMIF(Recibos!$D$4:$D$3010,Cobranza!$B121,Recibos!Z$4:Z$3010)</f>
        <v>0</v>
      </c>
      <c r="BO121" s="319">
        <f>SUMIF(Recibos!$D$4:$D$3010,Cobranza!$B121,Recibos!AA$4:AA$3010)</f>
        <v>0</v>
      </c>
      <c r="BP121" s="319">
        <f>SUMIF(Recibos!$D$4:$D$3010,Cobranza!$B121,Recibos!AB$4:AB$3010)</f>
        <v>0</v>
      </c>
      <c r="BQ121" s="319">
        <f>SUMIF(Recibos!$D$4:$D$3010,Cobranza!$B121,Recibos!AC$4:AC$3010)</f>
        <v>0</v>
      </c>
      <c r="BR121" s="319">
        <f>SUMIF(Recibos!$D$4:$D$3010,Cobranza!$B121,Recibos!AD$4:AD$3010)</f>
        <v>0</v>
      </c>
      <c r="BS121" s="319">
        <f>SUMIF(Recibos!$D$4:$D$3010,Cobranza!$B121,Recibos!AE$4:AE$3010)</f>
        <v>0</v>
      </c>
      <c r="BT121" s="319">
        <f>SUMIF(Recibos!$D$4:$D$3010,Cobranza!$B121,Recibos!AF$4:AF$3010)</f>
        <v>0</v>
      </c>
      <c r="BU121" s="319">
        <f>SUMIF(Recibos!$D$4:$D$3010,Cobranza!$B121,Recibos!AG$4:AG$3010)</f>
        <v>0</v>
      </c>
      <c r="BV121" s="319">
        <f>SUMIF(Recibos!$D$4:$D$3010,Cobranza!$B121,Recibos!AH$4:AH$3010)</f>
        <v>0</v>
      </c>
      <c r="BW121" s="319">
        <f>SUMIF(Recibos!$D$4:$D$3010,Cobranza!$B121,Recibos!AI$4:AI$3010)</f>
        <v>0</v>
      </c>
      <c r="BX121" s="320">
        <f t="shared" si="14"/>
        <v>0</v>
      </c>
    </row>
    <row r="122" spans="2:76" x14ac:dyDescent="0.2">
      <c r="B122" s="42" t="s">
        <v>1318</v>
      </c>
      <c r="C122" s="42" t="s">
        <v>1319</v>
      </c>
      <c r="D122" s="42" t="s">
        <v>1320</v>
      </c>
      <c r="E122" s="43">
        <v>0</v>
      </c>
      <c r="F122" s="43">
        <v>0</v>
      </c>
      <c r="G122" s="43">
        <v>0</v>
      </c>
      <c r="H122" s="43">
        <v>0</v>
      </c>
      <c r="I122" s="43">
        <v>0</v>
      </c>
      <c r="J122" s="43">
        <v>0</v>
      </c>
      <c r="K122" s="44">
        <f t="shared" si="9"/>
        <v>0</v>
      </c>
      <c r="L122" s="43">
        <v>0</v>
      </c>
      <c r="M122" s="43">
        <v>0</v>
      </c>
      <c r="N122" s="43">
        <v>0</v>
      </c>
      <c r="O122" s="43">
        <v>0</v>
      </c>
      <c r="P122" s="43">
        <v>0</v>
      </c>
      <c r="Q122" s="43">
        <v>0</v>
      </c>
      <c r="R122" s="43">
        <v>300</v>
      </c>
      <c r="S122" s="43">
        <v>0</v>
      </c>
      <c r="T122" s="43">
        <v>0</v>
      </c>
      <c r="U122" s="43">
        <v>0</v>
      </c>
      <c r="V122" s="43">
        <v>0</v>
      </c>
      <c r="W122" s="43">
        <v>0</v>
      </c>
      <c r="X122" s="44">
        <f t="shared" si="10"/>
        <v>300</v>
      </c>
      <c r="Y122" s="43">
        <v>0</v>
      </c>
      <c r="Z122" s="43">
        <v>0</v>
      </c>
      <c r="AA122" s="43">
        <v>0</v>
      </c>
      <c r="AB122" s="43">
        <v>0</v>
      </c>
      <c r="AC122" s="43">
        <v>0</v>
      </c>
      <c r="AD122" s="43">
        <v>0</v>
      </c>
      <c r="AE122" s="43">
        <v>0</v>
      </c>
      <c r="AF122" s="43">
        <v>0</v>
      </c>
      <c r="AG122" s="43">
        <v>0</v>
      </c>
      <c r="AH122" s="43">
        <v>0</v>
      </c>
      <c r="AI122" s="43">
        <v>0</v>
      </c>
      <c r="AJ122" s="43">
        <v>0</v>
      </c>
      <c r="AK122" s="44">
        <f t="shared" si="11"/>
        <v>0</v>
      </c>
      <c r="AL122" s="43">
        <v>0</v>
      </c>
      <c r="AM122" s="43">
        <v>0</v>
      </c>
      <c r="AN122" s="43">
        <v>0</v>
      </c>
      <c r="AO122" s="43">
        <v>0</v>
      </c>
      <c r="AP122" s="43">
        <v>0</v>
      </c>
      <c r="AQ122" s="43">
        <v>0</v>
      </c>
      <c r="AR122" s="43">
        <v>0</v>
      </c>
      <c r="AS122" s="43">
        <v>0</v>
      </c>
      <c r="AT122" s="43">
        <v>0</v>
      </c>
      <c r="AU122" s="43">
        <v>0</v>
      </c>
      <c r="AV122" s="43">
        <v>0</v>
      </c>
      <c r="AW122" s="43">
        <v>0</v>
      </c>
      <c r="AX122" s="44">
        <f t="shared" si="12"/>
        <v>0</v>
      </c>
      <c r="AY122" s="317">
        <f>SUMIF(Recibos!$D$4:$D$3010,Cobranza!$B122,Recibos!K$4:K$3010)</f>
        <v>0</v>
      </c>
      <c r="AZ122" s="317">
        <f>SUMIF(Recibos!$D$4:$D$3010,Cobranza!$B122,Recibos!L$4:L$3010)</f>
        <v>0</v>
      </c>
      <c r="BA122" s="317">
        <f>SUMIF(Recibos!$D$4:$D$3010,Cobranza!$B122,Recibos!M$4:M$3010)</f>
        <v>0</v>
      </c>
      <c r="BB122" s="317">
        <f>SUMIF(Recibos!$D$4:$D$3010,Cobranza!$B122,Recibos!N$4:N$3010)</f>
        <v>0</v>
      </c>
      <c r="BC122" s="317">
        <f>SUMIF(Recibos!$D$4:$D$3010,Cobranza!$B122,Recibos!O$4:O$3010)</f>
        <v>0</v>
      </c>
      <c r="BD122" s="317">
        <f>SUMIF(Recibos!$D$4:$D$3010,Cobranza!$B122,Recibos!P$4:P$3010)</f>
        <v>0</v>
      </c>
      <c r="BE122" s="317">
        <f>SUMIF(Recibos!$D$4:$D$3010,Cobranza!$B122,Recibos!Q$4:Q$3010)</f>
        <v>0</v>
      </c>
      <c r="BF122" s="317">
        <f>SUMIF(Recibos!$D$4:$D$3010,Cobranza!$B122,Recibos!R$4:R$3010)</f>
        <v>0</v>
      </c>
      <c r="BG122" s="317">
        <f>SUMIF(Recibos!$D$4:$D$3010,Cobranza!$B122,Recibos!S$4:S$3010)</f>
        <v>0</v>
      </c>
      <c r="BH122" s="317">
        <f>SUMIF(Recibos!$D$4:$D$3010,Cobranza!$B122,Recibos!T$4:T$3010)</f>
        <v>0</v>
      </c>
      <c r="BI122" s="317">
        <f>SUMIF(Recibos!$D$4:$D$3010,Cobranza!$B122,Recibos!U$4:U$3010)</f>
        <v>0</v>
      </c>
      <c r="BJ122" s="317">
        <f>SUMIF(Recibos!$D$4:$D$3010,Cobranza!$B122,Recibos!V$4:V$3010)</f>
        <v>0</v>
      </c>
      <c r="BK122" s="318">
        <f t="shared" si="13"/>
        <v>0</v>
      </c>
      <c r="BL122" s="317">
        <f>SUMIF(Recibos!$D$4:$D$3010,Cobranza!$B122,Recibos!X$4:X$3010)</f>
        <v>0</v>
      </c>
      <c r="BM122" s="317">
        <f>SUMIF(Recibos!$D$4:$D$3010,Cobranza!$B122,Recibos!Y$4:Y$3010)</f>
        <v>0</v>
      </c>
      <c r="BN122" s="317">
        <f>SUMIF(Recibos!$D$4:$D$3010,Cobranza!$B122,Recibos!Z$4:Z$3010)</f>
        <v>0</v>
      </c>
      <c r="BO122" s="317">
        <f>SUMIF(Recibos!$D$4:$D$3010,Cobranza!$B122,Recibos!AA$4:AA$3010)</f>
        <v>0</v>
      </c>
      <c r="BP122" s="317">
        <f>SUMIF(Recibos!$D$4:$D$3010,Cobranza!$B122,Recibos!AB$4:AB$3010)</f>
        <v>0</v>
      </c>
      <c r="BQ122" s="317">
        <f>SUMIF(Recibos!$D$4:$D$3010,Cobranza!$B122,Recibos!AC$4:AC$3010)</f>
        <v>0</v>
      </c>
      <c r="BR122" s="317">
        <f>SUMIF(Recibos!$D$4:$D$3010,Cobranza!$B122,Recibos!AD$4:AD$3010)</f>
        <v>0</v>
      </c>
      <c r="BS122" s="317">
        <f>SUMIF(Recibos!$D$4:$D$3010,Cobranza!$B122,Recibos!AE$4:AE$3010)</f>
        <v>0</v>
      </c>
      <c r="BT122" s="317">
        <f>SUMIF(Recibos!$D$4:$D$3010,Cobranza!$B122,Recibos!AF$4:AF$3010)</f>
        <v>0</v>
      </c>
      <c r="BU122" s="317">
        <f>SUMIF(Recibos!$D$4:$D$3010,Cobranza!$B122,Recibos!AG$4:AG$3010)</f>
        <v>0</v>
      </c>
      <c r="BV122" s="317">
        <f>SUMIF(Recibos!$D$4:$D$3010,Cobranza!$B122,Recibos!AH$4:AH$3010)</f>
        <v>0</v>
      </c>
      <c r="BW122" s="317">
        <f>SUMIF(Recibos!$D$4:$D$3010,Cobranza!$B122,Recibos!AI$4:AI$3010)</f>
        <v>0</v>
      </c>
      <c r="BX122" s="318">
        <f t="shared" si="14"/>
        <v>0</v>
      </c>
    </row>
    <row r="123" spans="2:76" x14ac:dyDescent="0.2">
      <c r="B123" s="45" t="s">
        <v>392</v>
      </c>
      <c r="C123" s="45" t="s">
        <v>393</v>
      </c>
      <c r="D123" s="45" t="s">
        <v>394</v>
      </c>
      <c r="E123" s="46">
        <v>0</v>
      </c>
      <c r="F123" s="46">
        <v>0</v>
      </c>
      <c r="G123" s="46">
        <v>0</v>
      </c>
      <c r="H123" s="46">
        <v>0</v>
      </c>
      <c r="I123" s="46">
        <v>0</v>
      </c>
      <c r="J123" s="46">
        <v>300</v>
      </c>
      <c r="K123" s="47">
        <f t="shared" si="9"/>
        <v>300</v>
      </c>
      <c r="L123" s="46">
        <v>300</v>
      </c>
      <c r="M123" s="46">
        <v>300</v>
      </c>
      <c r="N123" s="46">
        <v>300</v>
      </c>
      <c r="O123" s="46">
        <v>300</v>
      </c>
      <c r="P123" s="46">
        <v>300</v>
      </c>
      <c r="Q123" s="46">
        <v>300</v>
      </c>
      <c r="R123" s="46">
        <v>300</v>
      </c>
      <c r="S123" s="46">
        <v>300</v>
      </c>
      <c r="T123" s="46">
        <v>300</v>
      </c>
      <c r="U123" s="46">
        <v>400</v>
      </c>
      <c r="V123" s="46">
        <v>400</v>
      </c>
      <c r="W123" s="46">
        <v>400</v>
      </c>
      <c r="X123" s="47">
        <f t="shared" si="10"/>
        <v>3900</v>
      </c>
      <c r="Y123" s="46">
        <v>400</v>
      </c>
      <c r="Z123" s="46">
        <v>400</v>
      </c>
      <c r="AA123" s="46">
        <v>400</v>
      </c>
      <c r="AB123" s="46">
        <v>400</v>
      </c>
      <c r="AC123" s="46">
        <v>400</v>
      </c>
      <c r="AD123" s="46">
        <v>400</v>
      </c>
      <c r="AE123" s="46">
        <v>400</v>
      </c>
      <c r="AF123" s="46">
        <v>400</v>
      </c>
      <c r="AG123" s="46">
        <v>400</v>
      </c>
      <c r="AH123" s="46">
        <v>400</v>
      </c>
      <c r="AI123" s="46">
        <v>400</v>
      </c>
      <c r="AJ123" s="46">
        <v>400</v>
      </c>
      <c r="AK123" s="47">
        <f t="shared" si="11"/>
        <v>4800</v>
      </c>
      <c r="AL123" s="46">
        <v>400</v>
      </c>
      <c r="AM123" s="46">
        <v>400</v>
      </c>
      <c r="AN123" s="46">
        <v>400</v>
      </c>
      <c r="AO123" s="46">
        <v>400</v>
      </c>
      <c r="AP123" s="46">
        <v>400</v>
      </c>
      <c r="AQ123" s="46">
        <v>400</v>
      </c>
      <c r="AR123" s="46">
        <v>400</v>
      </c>
      <c r="AS123" s="46">
        <v>400</v>
      </c>
      <c r="AT123" s="46">
        <v>400</v>
      </c>
      <c r="AU123" s="46">
        <v>400</v>
      </c>
      <c r="AV123" s="46">
        <v>400</v>
      </c>
      <c r="AW123" s="46">
        <v>400</v>
      </c>
      <c r="AX123" s="47">
        <f t="shared" si="12"/>
        <v>4800</v>
      </c>
      <c r="AY123" s="319">
        <f>SUMIF(Recibos!$D$4:$D$3010,Cobranza!$B123,Recibos!K$4:K$3010)</f>
        <v>400</v>
      </c>
      <c r="AZ123" s="319">
        <f>SUMIF(Recibos!$D$4:$D$3010,Cobranza!$B123,Recibos!L$4:L$3010)</f>
        <v>400</v>
      </c>
      <c r="BA123" s="319">
        <f>SUMIF(Recibos!$D$4:$D$3010,Cobranza!$B123,Recibos!M$4:M$3010)</f>
        <v>400</v>
      </c>
      <c r="BB123" s="319">
        <f>SUMIF(Recibos!$D$4:$D$3010,Cobranza!$B123,Recibos!N$4:N$3010)</f>
        <v>400</v>
      </c>
      <c r="BC123" s="319">
        <f>SUMIF(Recibos!$D$4:$D$3010,Cobranza!$B123,Recibos!O$4:O$3010)</f>
        <v>400</v>
      </c>
      <c r="BD123" s="319">
        <f>SUMIF(Recibos!$D$4:$D$3010,Cobranza!$B123,Recibos!P$4:P$3010)</f>
        <v>400</v>
      </c>
      <c r="BE123" s="319">
        <f>SUMIF(Recibos!$D$4:$D$3010,Cobranza!$B123,Recibos!Q$4:Q$3010)</f>
        <v>400</v>
      </c>
      <c r="BF123" s="319">
        <f>SUMIF(Recibos!$D$4:$D$3010,Cobranza!$B123,Recibos!R$4:R$3010)</f>
        <v>400</v>
      </c>
      <c r="BG123" s="319">
        <f>SUMIF(Recibos!$D$4:$D$3010,Cobranza!$B123,Recibos!S$4:S$3010)</f>
        <v>400</v>
      </c>
      <c r="BH123" s="319">
        <f>SUMIF(Recibos!$D$4:$D$3010,Cobranza!$B123,Recibos!T$4:T$3010)</f>
        <v>400</v>
      </c>
      <c r="BI123" s="319">
        <f>SUMIF(Recibos!$D$4:$D$3010,Cobranza!$B123,Recibos!U$4:U$3010)</f>
        <v>400</v>
      </c>
      <c r="BJ123" s="319">
        <f>SUMIF(Recibos!$D$4:$D$3010,Cobranza!$B123,Recibos!V$4:V$3010)</f>
        <v>0</v>
      </c>
      <c r="BK123" s="320">
        <f t="shared" si="13"/>
        <v>4400</v>
      </c>
      <c r="BL123" s="319">
        <f>SUMIF(Recibos!$D$4:$D$3010,Cobranza!$B123,Recibos!X$4:X$3010)</f>
        <v>400</v>
      </c>
      <c r="BM123" s="319">
        <f>SUMIF(Recibos!$D$4:$D$3010,Cobranza!$B123,Recibos!Y$4:Y$3010)</f>
        <v>400</v>
      </c>
      <c r="BN123" s="319">
        <f>SUMIF(Recibos!$D$4:$D$3010,Cobranza!$B123,Recibos!Z$4:Z$3010)</f>
        <v>400</v>
      </c>
      <c r="BO123" s="319">
        <f>SUMIF(Recibos!$D$4:$D$3010,Cobranza!$B123,Recibos!AA$4:AA$3010)</f>
        <v>400</v>
      </c>
      <c r="BP123" s="319">
        <f>SUMIF(Recibos!$D$4:$D$3010,Cobranza!$B123,Recibos!AB$4:AB$3010)</f>
        <v>400</v>
      </c>
      <c r="BQ123" s="319">
        <f>SUMIF(Recibos!$D$4:$D$3010,Cobranza!$B123,Recibos!AC$4:AC$3010)</f>
        <v>400</v>
      </c>
      <c r="BR123" s="319">
        <f>SUMIF(Recibos!$D$4:$D$3010,Cobranza!$B123,Recibos!AD$4:AD$3010)</f>
        <v>400</v>
      </c>
      <c r="BS123" s="319">
        <f>SUMIF(Recibos!$D$4:$D$3010,Cobranza!$B123,Recibos!AE$4:AE$3010)</f>
        <v>400</v>
      </c>
      <c r="BT123" s="319">
        <f>SUMIF(Recibos!$D$4:$D$3010,Cobranza!$B123,Recibos!AF$4:AF$3010)</f>
        <v>400</v>
      </c>
      <c r="BU123" s="319">
        <f>SUMIF(Recibos!$D$4:$D$3010,Cobranza!$B123,Recibos!AG$4:AG$3010)</f>
        <v>400</v>
      </c>
      <c r="BV123" s="319">
        <f>SUMIF(Recibos!$D$4:$D$3010,Cobranza!$B123,Recibos!AH$4:AH$3010)</f>
        <v>400</v>
      </c>
      <c r="BW123" s="319">
        <f>SUMIF(Recibos!$D$4:$D$3010,Cobranza!$B123,Recibos!AI$4:AI$3010)</f>
        <v>0</v>
      </c>
      <c r="BX123" s="320">
        <f t="shared" si="14"/>
        <v>4400</v>
      </c>
    </row>
    <row r="124" spans="2:76" x14ac:dyDescent="0.2">
      <c r="B124" s="42" t="s">
        <v>640</v>
      </c>
      <c r="C124" s="42" t="s">
        <v>641</v>
      </c>
      <c r="D124" s="42" t="s">
        <v>642</v>
      </c>
      <c r="E124" s="43">
        <v>0</v>
      </c>
      <c r="F124" s="43">
        <v>0</v>
      </c>
      <c r="G124" s="43">
        <v>0</v>
      </c>
      <c r="H124" s="43">
        <v>0</v>
      </c>
      <c r="I124" s="43">
        <v>0</v>
      </c>
      <c r="J124" s="43">
        <v>150</v>
      </c>
      <c r="K124" s="44">
        <f t="shared" si="9"/>
        <v>150</v>
      </c>
      <c r="L124" s="43">
        <v>150</v>
      </c>
      <c r="M124" s="43">
        <v>150</v>
      </c>
      <c r="N124" s="43">
        <v>150</v>
      </c>
      <c r="O124" s="43">
        <v>150</v>
      </c>
      <c r="P124" s="43">
        <v>150</v>
      </c>
      <c r="Q124" s="43">
        <v>150</v>
      </c>
      <c r="R124" s="43">
        <v>150</v>
      </c>
      <c r="S124" s="43">
        <v>150</v>
      </c>
      <c r="T124" s="43">
        <v>150</v>
      </c>
      <c r="U124" s="43">
        <v>200</v>
      </c>
      <c r="V124" s="43">
        <v>200</v>
      </c>
      <c r="W124" s="43">
        <v>200</v>
      </c>
      <c r="X124" s="44">
        <f t="shared" si="10"/>
        <v>1950</v>
      </c>
      <c r="Y124" s="43">
        <v>200</v>
      </c>
      <c r="Z124" s="43">
        <v>200</v>
      </c>
      <c r="AA124" s="43">
        <v>200</v>
      </c>
      <c r="AB124" s="43">
        <v>0</v>
      </c>
      <c r="AC124" s="43">
        <v>200</v>
      </c>
      <c r="AD124" s="43">
        <v>200</v>
      </c>
      <c r="AE124" s="43">
        <v>200</v>
      </c>
      <c r="AF124" s="43">
        <v>200</v>
      </c>
      <c r="AG124" s="43">
        <v>200</v>
      </c>
      <c r="AH124" s="43">
        <v>200</v>
      </c>
      <c r="AI124" s="43">
        <v>200</v>
      </c>
      <c r="AJ124" s="43">
        <v>200</v>
      </c>
      <c r="AK124" s="44">
        <f t="shared" si="11"/>
        <v>2200</v>
      </c>
      <c r="AL124" s="43">
        <v>200</v>
      </c>
      <c r="AM124" s="43">
        <v>200</v>
      </c>
      <c r="AN124" s="43">
        <v>200</v>
      </c>
      <c r="AO124" s="43">
        <v>200</v>
      </c>
      <c r="AP124" s="43">
        <v>200</v>
      </c>
      <c r="AQ124" s="43">
        <v>200</v>
      </c>
      <c r="AR124" s="43">
        <v>200</v>
      </c>
      <c r="AS124" s="43">
        <v>200</v>
      </c>
      <c r="AT124" s="43">
        <v>200</v>
      </c>
      <c r="AU124" s="43">
        <v>200</v>
      </c>
      <c r="AV124" s="43">
        <v>200</v>
      </c>
      <c r="AW124" s="43">
        <v>200</v>
      </c>
      <c r="AX124" s="44">
        <f t="shared" si="12"/>
        <v>2400</v>
      </c>
      <c r="AY124" s="317">
        <f>SUMIF(Recibos!$D$4:$D$3010,Cobranza!$B124,Recibos!K$4:K$3010)</f>
        <v>200</v>
      </c>
      <c r="AZ124" s="317">
        <f>SUMIF(Recibos!$D$4:$D$3010,Cobranza!$B124,Recibos!L$4:L$3010)</f>
        <v>200</v>
      </c>
      <c r="BA124" s="317">
        <f>SUMIF(Recibos!$D$4:$D$3010,Cobranza!$B124,Recibos!M$4:M$3010)</f>
        <v>200</v>
      </c>
      <c r="BB124" s="317">
        <f>SUMIF(Recibos!$D$4:$D$3010,Cobranza!$B124,Recibos!N$4:N$3010)</f>
        <v>200</v>
      </c>
      <c r="BC124" s="317">
        <f>SUMIF(Recibos!$D$4:$D$3010,Cobranza!$B124,Recibos!O$4:O$3010)</f>
        <v>200</v>
      </c>
      <c r="BD124" s="317">
        <f>SUMIF(Recibos!$D$4:$D$3010,Cobranza!$B124,Recibos!P$4:P$3010)</f>
        <v>200</v>
      </c>
      <c r="BE124" s="317">
        <f>SUMIF(Recibos!$D$4:$D$3010,Cobranza!$B124,Recibos!Q$4:Q$3010)</f>
        <v>200</v>
      </c>
      <c r="BF124" s="317">
        <f>SUMIF(Recibos!$D$4:$D$3010,Cobranza!$B124,Recibos!R$4:R$3010)</f>
        <v>200</v>
      </c>
      <c r="BG124" s="317">
        <f>SUMIF(Recibos!$D$4:$D$3010,Cobranza!$B124,Recibos!S$4:S$3010)</f>
        <v>200</v>
      </c>
      <c r="BH124" s="317">
        <f>SUMIF(Recibos!$D$4:$D$3010,Cobranza!$B124,Recibos!T$4:T$3010)</f>
        <v>200</v>
      </c>
      <c r="BI124" s="317">
        <f>SUMIF(Recibos!$D$4:$D$3010,Cobranza!$B124,Recibos!U$4:U$3010)</f>
        <v>200</v>
      </c>
      <c r="BJ124" s="317">
        <f>SUMIF(Recibos!$D$4:$D$3010,Cobranza!$B124,Recibos!V$4:V$3010)</f>
        <v>200</v>
      </c>
      <c r="BK124" s="318">
        <f t="shared" si="13"/>
        <v>2400</v>
      </c>
      <c r="BL124" s="317">
        <f>SUMIF(Recibos!$D$4:$D$3010,Cobranza!$B124,Recibos!X$4:X$3010)</f>
        <v>0</v>
      </c>
      <c r="BM124" s="317">
        <f>SUMIF(Recibos!$D$4:$D$3010,Cobranza!$B124,Recibos!Y$4:Y$3010)</f>
        <v>0</v>
      </c>
      <c r="BN124" s="317">
        <f>SUMIF(Recibos!$D$4:$D$3010,Cobranza!$B124,Recibos!Z$4:Z$3010)</f>
        <v>0</v>
      </c>
      <c r="BO124" s="317">
        <f>SUMIF(Recibos!$D$4:$D$3010,Cobranza!$B124,Recibos!AA$4:AA$3010)</f>
        <v>0</v>
      </c>
      <c r="BP124" s="317">
        <f>SUMIF(Recibos!$D$4:$D$3010,Cobranza!$B124,Recibos!AB$4:AB$3010)</f>
        <v>0</v>
      </c>
      <c r="BQ124" s="317">
        <f>SUMIF(Recibos!$D$4:$D$3010,Cobranza!$B124,Recibos!AC$4:AC$3010)</f>
        <v>0</v>
      </c>
      <c r="BR124" s="317">
        <f>SUMIF(Recibos!$D$4:$D$3010,Cobranza!$B124,Recibos!AD$4:AD$3010)</f>
        <v>0</v>
      </c>
      <c r="BS124" s="317">
        <f>SUMIF(Recibos!$D$4:$D$3010,Cobranza!$B124,Recibos!AE$4:AE$3010)</f>
        <v>0</v>
      </c>
      <c r="BT124" s="317">
        <f>SUMIF(Recibos!$D$4:$D$3010,Cobranza!$B124,Recibos!AF$4:AF$3010)</f>
        <v>0</v>
      </c>
      <c r="BU124" s="317">
        <f>SUMIF(Recibos!$D$4:$D$3010,Cobranza!$B124,Recibos!AG$4:AG$3010)</f>
        <v>0</v>
      </c>
      <c r="BV124" s="317">
        <f>SUMIF(Recibos!$D$4:$D$3010,Cobranza!$B124,Recibos!AH$4:AH$3010)</f>
        <v>0</v>
      </c>
      <c r="BW124" s="317">
        <f>SUMIF(Recibos!$D$4:$D$3010,Cobranza!$B124,Recibos!AI$4:AI$3010)</f>
        <v>0</v>
      </c>
      <c r="BX124" s="318">
        <f t="shared" si="14"/>
        <v>0</v>
      </c>
    </row>
    <row r="125" spans="2:76" x14ac:dyDescent="0.2">
      <c r="B125" s="45" t="s">
        <v>482</v>
      </c>
      <c r="C125" s="45" t="s">
        <v>483</v>
      </c>
      <c r="D125" s="45" t="s">
        <v>484</v>
      </c>
      <c r="E125" s="46">
        <v>0</v>
      </c>
      <c r="F125" s="46">
        <v>0</v>
      </c>
      <c r="G125" s="46">
        <v>0</v>
      </c>
      <c r="H125" s="46">
        <v>0</v>
      </c>
      <c r="I125" s="46">
        <v>0</v>
      </c>
      <c r="J125" s="46">
        <v>0</v>
      </c>
      <c r="K125" s="47">
        <f t="shared" si="9"/>
        <v>0</v>
      </c>
      <c r="L125" s="46">
        <v>0</v>
      </c>
      <c r="M125" s="46">
        <v>0</v>
      </c>
      <c r="N125" s="46">
        <v>0</v>
      </c>
      <c r="O125" s="46">
        <v>0</v>
      </c>
      <c r="P125" s="46">
        <v>0</v>
      </c>
      <c r="Q125" s="46">
        <v>0</v>
      </c>
      <c r="R125" s="46">
        <v>0</v>
      </c>
      <c r="S125" s="46">
        <v>0</v>
      </c>
      <c r="T125" s="46">
        <v>0</v>
      </c>
      <c r="U125" s="46">
        <v>0</v>
      </c>
      <c r="V125" s="46">
        <v>0</v>
      </c>
      <c r="W125" s="46">
        <v>0</v>
      </c>
      <c r="X125" s="47">
        <f t="shared" si="10"/>
        <v>0</v>
      </c>
      <c r="Y125" s="46">
        <v>0</v>
      </c>
      <c r="Z125" s="46">
        <v>0</v>
      </c>
      <c r="AA125" s="46">
        <v>0</v>
      </c>
      <c r="AB125" s="46">
        <v>200</v>
      </c>
      <c r="AC125" s="46">
        <v>0</v>
      </c>
      <c r="AD125" s="46">
        <v>0</v>
      </c>
      <c r="AE125" s="46">
        <v>0</v>
      </c>
      <c r="AF125" s="46">
        <v>0</v>
      </c>
      <c r="AG125" s="46">
        <v>0</v>
      </c>
      <c r="AH125" s="46">
        <v>0</v>
      </c>
      <c r="AI125" s="46">
        <v>0</v>
      </c>
      <c r="AJ125" s="46">
        <v>0</v>
      </c>
      <c r="AK125" s="47">
        <f t="shared" si="11"/>
        <v>200</v>
      </c>
      <c r="AL125" s="46">
        <v>0</v>
      </c>
      <c r="AM125" s="46">
        <v>0</v>
      </c>
      <c r="AN125" s="46">
        <v>0</v>
      </c>
      <c r="AO125" s="46">
        <v>0</v>
      </c>
      <c r="AP125" s="46">
        <v>0</v>
      </c>
      <c r="AQ125" s="46">
        <v>0</v>
      </c>
      <c r="AR125" s="46">
        <v>0</v>
      </c>
      <c r="AS125" s="46">
        <v>0</v>
      </c>
      <c r="AT125" s="46">
        <v>0</v>
      </c>
      <c r="AU125" s="46">
        <v>200</v>
      </c>
      <c r="AV125" s="46">
        <v>200</v>
      </c>
      <c r="AW125" s="46">
        <v>200</v>
      </c>
      <c r="AX125" s="47">
        <f t="shared" si="12"/>
        <v>600</v>
      </c>
      <c r="AY125" s="319">
        <f>SUMIF(Recibos!$D$4:$D$3010,Cobranza!$B125,Recibos!K$4:K$3010)</f>
        <v>200</v>
      </c>
      <c r="AZ125" s="319">
        <f>SUMIF(Recibos!$D$4:$D$3010,Cobranza!$B125,Recibos!L$4:L$3010)</f>
        <v>200</v>
      </c>
      <c r="BA125" s="319">
        <f>SUMIF(Recibos!$D$4:$D$3010,Cobranza!$B125,Recibos!M$4:M$3010)</f>
        <v>200</v>
      </c>
      <c r="BB125" s="319">
        <f>SUMIF(Recibos!$D$4:$D$3010,Cobranza!$B125,Recibos!N$4:N$3010)</f>
        <v>200</v>
      </c>
      <c r="BC125" s="319">
        <f>SUMIF(Recibos!$D$4:$D$3010,Cobranza!$B125,Recibos!O$4:O$3010)</f>
        <v>200</v>
      </c>
      <c r="BD125" s="319">
        <f>SUMIF(Recibos!$D$4:$D$3010,Cobranza!$B125,Recibos!P$4:P$3010)</f>
        <v>200</v>
      </c>
      <c r="BE125" s="319">
        <f>SUMIF(Recibos!$D$4:$D$3010,Cobranza!$B125,Recibos!Q$4:Q$3010)</f>
        <v>200</v>
      </c>
      <c r="BF125" s="319">
        <f>SUMIF(Recibos!$D$4:$D$3010,Cobranza!$B125,Recibos!R$4:R$3010)</f>
        <v>200</v>
      </c>
      <c r="BG125" s="319">
        <f>SUMIF(Recibos!$D$4:$D$3010,Cobranza!$B125,Recibos!S$4:S$3010)</f>
        <v>200</v>
      </c>
      <c r="BH125" s="319">
        <f>SUMIF(Recibos!$D$4:$D$3010,Cobranza!$B125,Recibos!T$4:T$3010)</f>
        <v>200</v>
      </c>
      <c r="BI125" s="319">
        <f>SUMIF(Recibos!$D$4:$D$3010,Cobranza!$B125,Recibos!U$4:U$3010)</f>
        <v>200</v>
      </c>
      <c r="BJ125" s="319">
        <f>SUMIF(Recibos!$D$4:$D$3010,Cobranza!$B125,Recibos!V$4:V$3010)</f>
        <v>200</v>
      </c>
      <c r="BK125" s="320">
        <f t="shared" si="13"/>
        <v>2400</v>
      </c>
      <c r="BL125" s="319">
        <f>SUMIF(Recibos!$D$4:$D$3010,Cobranza!$B125,Recibos!X$4:X$3010)</f>
        <v>0</v>
      </c>
      <c r="BM125" s="319">
        <f>SUMIF(Recibos!$D$4:$D$3010,Cobranza!$B125,Recibos!Y$4:Y$3010)</f>
        <v>0</v>
      </c>
      <c r="BN125" s="319">
        <f>SUMIF(Recibos!$D$4:$D$3010,Cobranza!$B125,Recibos!Z$4:Z$3010)</f>
        <v>0</v>
      </c>
      <c r="BO125" s="319">
        <f>SUMIF(Recibos!$D$4:$D$3010,Cobranza!$B125,Recibos!AA$4:AA$3010)</f>
        <v>0</v>
      </c>
      <c r="BP125" s="319">
        <f>SUMIF(Recibos!$D$4:$D$3010,Cobranza!$B125,Recibos!AB$4:AB$3010)</f>
        <v>0</v>
      </c>
      <c r="BQ125" s="319">
        <f>SUMIF(Recibos!$D$4:$D$3010,Cobranza!$B125,Recibos!AC$4:AC$3010)</f>
        <v>0</v>
      </c>
      <c r="BR125" s="319">
        <f>SUMIF(Recibos!$D$4:$D$3010,Cobranza!$B125,Recibos!AD$4:AD$3010)</f>
        <v>0</v>
      </c>
      <c r="BS125" s="319">
        <f>SUMIF(Recibos!$D$4:$D$3010,Cobranza!$B125,Recibos!AE$4:AE$3010)</f>
        <v>0</v>
      </c>
      <c r="BT125" s="319">
        <f>SUMIF(Recibos!$D$4:$D$3010,Cobranza!$B125,Recibos!AF$4:AF$3010)</f>
        <v>0</v>
      </c>
      <c r="BU125" s="319">
        <f>SUMIF(Recibos!$D$4:$D$3010,Cobranza!$B125,Recibos!AG$4:AG$3010)</f>
        <v>0</v>
      </c>
      <c r="BV125" s="319">
        <f>SUMIF(Recibos!$D$4:$D$3010,Cobranza!$B125,Recibos!AH$4:AH$3010)</f>
        <v>0</v>
      </c>
      <c r="BW125" s="319">
        <f>SUMIF(Recibos!$D$4:$D$3010,Cobranza!$B125,Recibos!AI$4:AI$3010)</f>
        <v>0</v>
      </c>
      <c r="BX125" s="320">
        <f t="shared" si="14"/>
        <v>0</v>
      </c>
    </row>
    <row r="126" spans="2:76" x14ac:dyDescent="0.2">
      <c r="B126" s="42" t="s">
        <v>1321</v>
      </c>
      <c r="C126" s="42" t="s">
        <v>1322</v>
      </c>
      <c r="D126" s="42" t="s">
        <v>1323</v>
      </c>
      <c r="E126" s="43">
        <v>0</v>
      </c>
      <c r="F126" s="43">
        <v>0</v>
      </c>
      <c r="G126" s="43">
        <v>0</v>
      </c>
      <c r="H126" s="43">
        <v>0</v>
      </c>
      <c r="I126" s="43">
        <v>0</v>
      </c>
      <c r="J126" s="43">
        <v>0</v>
      </c>
      <c r="K126" s="44">
        <f t="shared" si="9"/>
        <v>0</v>
      </c>
      <c r="L126" s="43">
        <v>0</v>
      </c>
      <c r="M126" s="43">
        <v>0</v>
      </c>
      <c r="N126" s="43">
        <v>0</v>
      </c>
      <c r="O126" s="43">
        <v>0</v>
      </c>
      <c r="P126" s="43">
        <v>0</v>
      </c>
      <c r="Q126" s="43">
        <v>0</v>
      </c>
      <c r="R126" s="43">
        <v>0</v>
      </c>
      <c r="S126" s="43">
        <v>0</v>
      </c>
      <c r="T126" s="43">
        <v>0</v>
      </c>
      <c r="U126" s="43">
        <v>0</v>
      </c>
      <c r="V126" s="43">
        <v>0</v>
      </c>
      <c r="W126" s="43">
        <v>0</v>
      </c>
      <c r="X126" s="44">
        <f t="shared" si="10"/>
        <v>0</v>
      </c>
      <c r="Y126" s="43">
        <v>0</v>
      </c>
      <c r="Z126" s="43">
        <v>0</v>
      </c>
      <c r="AA126" s="43">
        <v>0</v>
      </c>
      <c r="AB126" s="43">
        <v>0</v>
      </c>
      <c r="AC126" s="43">
        <v>0</v>
      </c>
      <c r="AD126" s="43">
        <v>0</v>
      </c>
      <c r="AE126" s="43">
        <v>0</v>
      </c>
      <c r="AF126" s="43">
        <v>0</v>
      </c>
      <c r="AG126" s="43">
        <v>0</v>
      </c>
      <c r="AH126" s="43">
        <v>0</v>
      </c>
      <c r="AI126" s="43">
        <v>0</v>
      </c>
      <c r="AJ126" s="43">
        <v>0</v>
      </c>
      <c r="AK126" s="44">
        <f t="shared" si="11"/>
        <v>0</v>
      </c>
      <c r="AL126" s="43">
        <v>0</v>
      </c>
      <c r="AM126" s="43">
        <v>0</v>
      </c>
      <c r="AN126" s="43">
        <v>0</v>
      </c>
      <c r="AO126" s="43">
        <v>0</v>
      </c>
      <c r="AP126" s="43">
        <v>0</v>
      </c>
      <c r="AQ126" s="43">
        <v>0</v>
      </c>
      <c r="AR126" s="43">
        <v>0</v>
      </c>
      <c r="AS126" s="43">
        <v>0</v>
      </c>
      <c r="AT126" s="43">
        <v>0</v>
      </c>
      <c r="AU126" s="43">
        <v>0</v>
      </c>
      <c r="AV126" s="43">
        <v>0</v>
      </c>
      <c r="AW126" s="43">
        <v>0</v>
      </c>
      <c r="AX126" s="44">
        <f t="shared" si="12"/>
        <v>0</v>
      </c>
      <c r="AY126" s="317">
        <f>SUMIF(Recibos!$D$4:$D$3010,Cobranza!$B126,Recibos!K$4:K$3010)</f>
        <v>0</v>
      </c>
      <c r="AZ126" s="317">
        <f>SUMIF(Recibos!$D$4:$D$3010,Cobranza!$B126,Recibos!L$4:L$3010)</f>
        <v>0</v>
      </c>
      <c r="BA126" s="317">
        <f>SUMIF(Recibos!$D$4:$D$3010,Cobranza!$B126,Recibos!M$4:M$3010)</f>
        <v>0</v>
      </c>
      <c r="BB126" s="317">
        <f>SUMIF(Recibos!$D$4:$D$3010,Cobranza!$B126,Recibos!N$4:N$3010)</f>
        <v>0</v>
      </c>
      <c r="BC126" s="317">
        <f>SUMIF(Recibos!$D$4:$D$3010,Cobranza!$B126,Recibos!O$4:O$3010)</f>
        <v>0</v>
      </c>
      <c r="BD126" s="317">
        <f>SUMIF(Recibos!$D$4:$D$3010,Cobranza!$B126,Recibos!P$4:P$3010)</f>
        <v>0</v>
      </c>
      <c r="BE126" s="317">
        <f>SUMIF(Recibos!$D$4:$D$3010,Cobranza!$B126,Recibos!Q$4:Q$3010)</f>
        <v>0</v>
      </c>
      <c r="BF126" s="317">
        <f>SUMIF(Recibos!$D$4:$D$3010,Cobranza!$B126,Recibos!R$4:R$3010)</f>
        <v>0</v>
      </c>
      <c r="BG126" s="317">
        <f>SUMIF(Recibos!$D$4:$D$3010,Cobranza!$B126,Recibos!S$4:S$3010)</f>
        <v>0</v>
      </c>
      <c r="BH126" s="317">
        <f>SUMIF(Recibos!$D$4:$D$3010,Cobranza!$B126,Recibos!T$4:T$3010)</f>
        <v>0</v>
      </c>
      <c r="BI126" s="317">
        <f>SUMIF(Recibos!$D$4:$D$3010,Cobranza!$B126,Recibos!U$4:U$3010)</f>
        <v>0</v>
      </c>
      <c r="BJ126" s="317">
        <f>SUMIF(Recibos!$D$4:$D$3010,Cobranza!$B126,Recibos!V$4:V$3010)</f>
        <v>0</v>
      </c>
      <c r="BK126" s="318">
        <f t="shared" si="13"/>
        <v>0</v>
      </c>
      <c r="BL126" s="317">
        <f>SUMIF(Recibos!$D$4:$D$3010,Cobranza!$B126,Recibos!X$4:X$3010)</f>
        <v>0</v>
      </c>
      <c r="BM126" s="317">
        <f>SUMIF(Recibos!$D$4:$D$3010,Cobranza!$B126,Recibos!Y$4:Y$3010)</f>
        <v>0</v>
      </c>
      <c r="BN126" s="317">
        <f>SUMIF(Recibos!$D$4:$D$3010,Cobranza!$B126,Recibos!Z$4:Z$3010)</f>
        <v>0</v>
      </c>
      <c r="BO126" s="317">
        <f>SUMIF(Recibos!$D$4:$D$3010,Cobranza!$B126,Recibos!AA$4:AA$3010)</f>
        <v>0</v>
      </c>
      <c r="BP126" s="317">
        <f>SUMIF(Recibos!$D$4:$D$3010,Cobranza!$B126,Recibos!AB$4:AB$3010)</f>
        <v>0</v>
      </c>
      <c r="BQ126" s="317">
        <f>SUMIF(Recibos!$D$4:$D$3010,Cobranza!$B126,Recibos!AC$4:AC$3010)</f>
        <v>0</v>
      </c>
      <c r="BR126" s="317">
        <f>SUMIF(Recibos!$D$4:$D$3010,Cobranza!$B126,Recibos!AD$4:AD$3010)</f>
        <v>0</v>
      </c>
      <c r="BS126" s="317">
        <f>SUMIF(Recibos!$D$4:$D$3010,Cobranza!$B126,Recibos!AE$4:AE$3010)</f>
        <v>0</v>
      </c>
      <c r="BT126" s="317">
        <f>SUMIF(Recibos!$D$4:$D$3010,Cobranza!$B126,Recibos!AF$4:AF$3010)</f>
        <v>0</v>
      </c>
      <c r="BU126" s="317">
        <f>SUMIF(Recibos!$D$4:$D$3010,Cobranza!$B126,Recibos!AG$4:AG$3010)</f>
        <v>0</v>
      </c>
      <c r="BV126" s="317">
        <f>SUMIF(Recibos!$D$4:$D$3010,Cobranza!$B126,Recibos!AH$4:AH$3010)</f>
        <v>0</v>
      </c>
      <c r="BW126" s="317">
        <f>SUMIF(Recibos!$D$4:$D$3010,Cobranza!$B126,Recibos!AI$4:AI$3010)</f>
        <v>0</v>
      </c>
      <c r="BX126" s="318">
        <f t="shared" si="14"/>
        <v>0</v>
      </c>
    </row>
    <row r="127" spans="2:76" x14ac:dyDescent="0.2">
      <c r="B127" s="45" t="s">
        <v>918</v>
      </c>
      <c r="C127" s="45" t="s">
        <v>919</v>
      </c>
      <c r="D127" s="45" t="s">
        <v>920</v>
      </c>
      <c r="E127" s="46">
        <v>0</v>
      </c>
      <c r="F127" s="46">
        <v>0</v>
      </c>
      <c r="G127" s="46">
        <v>0</v>
      </c>
      <c r="H127" s="46">
        <v>0</v>
      </c>
      <c r="I127" s="46">
        <v>0</v>
      </c>
      <c r="J127" s="46">
        <v>0</v>
      </c>
      <c r="K127" s="47">
        <f t="shared" si="9"/>
        <v>0</v>
      </c>
      <c r="L127" s="46">
        <v>0</v>
      </c>
      <c r="M127" s="46">
        <v>0</v>
      </c>
      <c r="N127" s="46">
        <v>0</v>
      </c>
      <c r="O127" s="46">
        <v>0</v>
      </c>
      <c r="P127" s="46">
        <v>0</v>
      </c>
      <c r="Q127" s="46">
        <v>0</v>
      </c>
      <c r="R127" s="46">
        <v>0</v>
      </c>
      <c r="S127" s="46">
        <v>0</v>
      </c>
      <c r="T127" s="46">
        <v>0</v>
      </c>
      <c r="U127" s="46">
        <v>0</v>
      </c>
      <c r="V127" s="46">
        <v>0</v>
      </c>
      <c r="W127" s="46">
        <v>0</v>
      </c>
      <c r="X127" s="47">
        <f t="shared" si="10"/>
        <v>0</v>
      </c>
      <c r="Y127" s="46">
        <v>0</v>
      </c>
      <c r="Z127" s="46">
        <v>0</v>
      </c>
      <c r="AA127" s="46">
        <v>0</v>
      </c>
      <c r="AB127" s="46">
        <v>0</v>
      </c>
      <c r="AC127" s="46">
        <v>0</v>
      </c>
      <c r="AD127" s="46">
        <v>0</v>
      </c>
      <c r="AE127" s="46">
        <v>0</v>
      </c>
      <c r="AF127" s="46">
        <v>0</v>
      </c>
      <c r="AG127" s="46">
        <v>0</v>
      </c>
      <c r="AH127" s="46">
        <v>0</v>
      </c>
      <c r="AI127" s="46">
        <v>0</v>
      </c>
      <c r="AJ127" s="46">
        <v>0</v>
      </c>
      <c r="AK127" s="47">
        <f t="shared" si="11"/>
        <v>0</v>
      </c>
      <c r="AL127" s="46">
        <v>0</v>
      </c>
      <c r="AM127" s="46">
        <v>0</v>
      </c>
      <c r="AN127" s="46">
        <v>0</v>
      </c>
      <c r="AO127" s="46">
        <v>0</v>
      </c>
      <c r="AP127" s="46">
        <v>0</v>
      </c>
      <c r="AQ127" s="46">
        <v>0</v>
      </c>
      <c r="AR127" s="46">
        <v>0</v>
      </c>
      <c r="AS127" s="46">
        <v>0</v>
      </c>
      <c r="AT127" s="46">
        <v>0</v>
      </c>
      <c r="AU127" s="46">
        <v>0</v>
      </c>
      <c r="AV127" s="46">
        <v>0</v>
      </c>
      <c r="AW127" s="46">
        <v>0</v>
      </c>
      <c r="AX127" s="47">
        <f t="shared" si="12"/>
        <v>0</v>
      </c>
      <c r="AY127" s="319">
        <f>SUMIF(Recibos!$D$4:$D$3010,Cobranza!$B127,Recibos!K$4:K$3010)</f>
        <v>0</v>
      </c>
      <c r="AZ127" s="319">
        <f>SUMIF(Recibos!$D$4:$D$3010,Cobranza!$B127,Recibos!L$4:L$3010)</f>
        <v>0</v>
      </c>
      <c r="BA127" s="319">
        <f>SUMIF(Recibos!$D$4:$D$3010,Cobranza!$B127,Recibos!M$4:M$3010)</f>
        <v>0</v>
      </c>
      <c r="BB127" s="319">
        <f>SUMIF(Recibos!$D$4:$D$3010,Cobranza!$B127,Recibos!N$4:N$3010)</f>
        <v>0</v>
      </c>
      <c r="BC127" s="319">
        <f>SUMIF(Recibos!$D$4:$D$3010,Cobranza!$B127,Recibos!O$4:O$3010)</f>
        <v>250</v>
      </c>
      <c r="BD127" s="319">
        <f>SUMIF(Recibos!$D$4:$D$3010,Cobranza!$B127,Recibos!P$4:P$3010)</f>
        <v>0</v>
      </c>
      <c r="BE127" s="319">
        <f>SUMIF(Recibos!$D$4:$D$3010,Cobranza!$B127,Recibos!Q$4:Q$3010)</f>
        <v>0</v>
      </c>
      <c r="BF127" s="319">
        <f>SUMIF(Recibos!$D$4:$D$3010,Cobranza!$B127,Recibos!R$4:R$3010)</f>
        <v>0</v>
      </c>
      <c r="BG127" s="319">
        <f>SUMIF(Recibos!$D$4:$D$3010,Cobranza!$B127,Recibos!S$4:S$3010)</f>
        <v>0</v>
      </c>
      <c r="BH127" s="319">
        <f>SUMIF(Recibos!$D$4:$D$3010,Cobranza!$B127,Recibos!T$4:T$3010)</f>
        <v>0</v>
      </c>
      <c r="BI127" s="319">
        <f>SUMIF(Recibos!$D$4:$D$3010,Cobranza!$B127,Recibos!U$4:U$3010)</f>
        <v>0</v>
      </c>
      <c r="BJ127" s="319">
        <f>SUMIF(Recibos!$D$4:$D$3010,Cobranza!$B127,Recibos!V$4:V$3010)</f>
        <v>0</v>
      </c>
      <c r="BK127" s="320">
        <f t="shared" si="13"/>
        <v>250</v>
      </c>
      <c r="BL127" s="319">
        <f>SUMIF(Recibos!$D$4:$D$3010,Cobranza!$B127,Recibos!X$4:X$3010)</f>
        <v>0</v>
      </c>
      <c r="BM127" s="319">
        <f>SUMIF(Recibos!$D$4:$D$3010,Cobranza!$B127,Recibos!Y$4:Y$3010)</f>
        <v>0</v>
      </c>
      <c r="BN127" s="319">
        <f>SUMIF(Recibos!$D$4:$D$3010,Cobranza!$B127,Recibos!Z$4:Z$3010)</f>
        <v>0</v>
      </c>
      <c r="BO127" s="319">
        <f>SUMIF(Recibos!$D$4:$D$3010,Cobranza!$B127,Recibos!AA$4:AA$3010)</f>
        <v>0</v>
      </c>
      <c r="BP127" s="319">
        <f>SUMIF(Recibos!$D$4:$D$3010,Cobranza!$B127,Recibos!AB$4:AB$3010)</f>
        <v>0</v>
      </c>
      <c r="BQ127" s="319">
        <f>SUMIF(Recibos!$D$4:$D$3010,Cobranza!$B127,Recibos!AC$4:AC$3010)</f>
        <v>0</v>
      </c>
      <c r="BR127" s="319">
        <f>SUMIF(Recibos!$D$4:$D$3010,Cobranza!$B127,Recibos!AD$4:AD$3010)</f>
        <v>0</v>
      </c>
      <c r="BS127" s="319">
        <f>SUMIF(Recibos!$D$4:$D$3010,Cobranza!$B127,Recibos!AE$4:AE$3010)</f>
        <v>0</v>
      </c>
      <c r="BT127" s="319">
        <f>SUMIF(Recibos!$D$4:$D$3010,Cobranza!$B127,Recibos!AF$4:AF$3010)</f>
        <v>0</v>
      </c>
      <c r="BU127" s="319">
        <f>SUMIF(Recibos!$D$4:$D$3010,Cobranza!$B127,Recibos!AG$4:AG$3010)</f>
        <v>0</v>
      </c>
      <c r="BV127" s="319">
        <f>SUMIF(Recibos!$D$4:$D$3010,Cobranza!$B127,Recibos!AH$4:AH$3010)</f>
        <v>0</v>
      </c>
      <c r="BW127" s="319">
        <f>SUMIF(Recibos!$D$4:$D$3010,Cobranza!$B127,Recibos!AI$4:AI$3010)</f>
        <v>0</v>
      </c>
      <c r="BX127" s="320">
        <f t="shared" si="14"/>
        <v>0</v>
      </c>
    </row>
    <row r="128" spans="2:76" x14ac:dyDescent="0.2">
      <c r="B128" s="42" t="s">
        <v>876</v>
      </c>
      <c r="C128" s="42" t="s">
        <v>877</v>
      </c>
      <c r="D128" s="42" t="s">
        <v>878</v>
      </c>
      <c r="E128" s="43">
        <v>0</v>
      </c>
      <c r="F128" s="43">
        <v>0</v>
      </c>
      <c r="G128" s="43">
        <v>0</v>
      </c>
      <c r="H128" s="43">
        <v>0</v>
      </c>
      <c r="I128" s="43">
        <v>0</v>
      </c>
      <c r="J128" s="43">
        <v>0</v>
      </c>
      <c r="K128" s="44">
        <f t="shared" si="9"/>
        <v>0</v>
      </c>
      <c r="L128" s="43">
        <v>0</v>
      </c>
      <c r="M128" s="43">
        <v>0</v>
      </c>
      <c r="N128" s="43">
        <v>0</v>
      </c>
      <c r="O128" s="43">
        <v>0</v>
      </c>
      <c r="P128" s="43">
        <v>0</v>
      </c>
      <c r="Q128" s="43">
        <v>0</v>
      </c>
      <c r="R128" s="43">
        <v>0</v>
      </c>
      <c r="S128" s="43">
        <v>0</v>
      </c>
      <c r="T128" s="43">
        <v>0</v>
      </c>
      <c r="U128" s="43">
        <v>0</v>
      </c>
      <c r="V128" s="43">
        <v>0</v>
      </c>
      <c r="W128" s="43">
        <v>0</v>
      </c>
      <c r="X128" s="44">
        <f t="shared" si="10"/>
        <v>0</v>
      </c>
      <c r="Y128" s="43">
        <v>0</v>
      </c>
      <c r="Z128" s="43">
        <v>0</v>
      </c>
      <c r="AA128" s="43">
        <v>0</v>
      </c>
      <c r="AB128" s="43">
        <v>0</v>
      </c>
      <c r="AC128" s="43">
        <v>0</v>
      </c>
      <c r="AD128" s="43">
        <v>0</v>
      </c>
      <c r="AE128" s="43">
        <v>0</v>
      </c>
      <c r="AF128" s="43">
        <v>0</v>
      </c>
      <c r="AG128" s="43">
        <v>0</v>
      </c>
      <c r="AH128" s="43">
        <v>0</v>
      </c>
      <c r="AI128" s="43">
        <v>0</v>
      </c>
      <c r="AJ128" s="43">
        <v>0</v>
      </c>
      <c r="AK128" s="44">
        <f t="shared" si="11"/>
        <v>0</v>
      </c>
      <c r="AL128" s="43">
        <v>0</v>
      </c>
      <c r="AM128" s="43">
        <v>0</v>
      </c>
      <c r="AN128" s="43">
        <v>0</v>
      </c>
      <c r="AO128" s="43">
        <v>0</v>
      </c>
      <c r="AP128" s="43">
        <v>0</v>
      </c>
      <c r="AQ128" s="43">
        <v>0</v>
      </c>
      <c r="AR128" s="43">
        <v>0</v>
      </c>
      <c r="AS128" s="43">
        <v>0</v>
      </c>
      <c r="AT128" s="43">
        <v>0</v>
      </c>
      <c r="AU128" s="43">
        <v>0</v>
      </c>
      <c r="AV128" s="43">
        <v>0</v>
      </c>
      <c r="AW128" s="43">
        <v>0</v>
      </c>
      <c r="AX128" s="44">
        <f t="shared" si="12"/>
        <v>0</v>
      </c>
      <c r="AY128" s="317">
        <f>SUMIF(Recibos!$D$4:$D$3010,Cobranza!$B128,Recibos!K$4:K$3010)</f>
        <v>0</v>
      </c>
      <c r="AZ128" s="317">
        <f>SUMIF(Recibos!$D$4:$D$3010,Cobranza!$B128,Recibos!L$4:L$3010)</f>
        <v>0</v>
      </c>
      <c r="BA128" s="317">
        <f>SUMIF(Recibos!$D$4:$D$3010,Cobranza!$B128,Recibos!M$4:M$3010)</f>
        <v>200</v>
      </c>
      <c r="BB128" s="317">
        <f>SUMIF(Recibos!$D$4:$D$3010,Cobranza!$B128,Recibos!N$4:N$3010)</f>
        <v>200</v>
      </c>
      <c r="BC128" s="317">
        <f>SUMIF(Recibos!$D$4:$D$3010,Cobranza!$B128,Recibos!O$4:O$3010)</f>
        <v>200</v>
      </c>
      <c r="BD128" s="317">
        <f>SUMIF(Recibos!$D$4:$D$3010,Cobranza!$B128,Recibos!P$4:P$3010)</f>
        <v>200</v>
      </c>
      <c r="BE128" s="317">
        <f>SUMIF(Recibos!$D$4:$D$3010,Cobranza!$B128,Recibos!Q$4:Q$3010)</f>
        <v>200</v>
      </c>
      <c r="BF128" s="317">
        <f>SUMIF(Recibos!$D$4:$D$3010,Cobranza!$B128,Recibos!R$4:R$3010)</f>
        <v>200</v>
      </c>
      <c r="BG128" s="317">
        <f>SUMIF(Recibos!$D$4:$D$3010,Cobranza!$B128,Recibos!S$4:S$3010)</f>
        <v>200</v>
      </c>
      <c r="BH128" s="317">
        <f>SUMIF(Recibos!$D$4:$D$3010,Cobranza!$B128,Recibos!T$4:T$3010)</f>
        <v>200</v>
      </c>
      <c r="BI128" s="317">
        <f>SUMIF(Recibos!$D$4:$D$3010,Cobranza!$B128,Recibos!U$4:U$3010)</f>
        <v>200</v>
      </c>
      <c r="BJ128" s="317">
        <f>SUMIF(Recibos!$D$4:$D$3010,Cobranza!$B128,Recibos!V$4:V$3010)</f>
        <v>200</v>
      </c>
      <c r="BK128" s="318">
        <f t="shared" si="13"/>
        <v>2000</v>
      </c>
      <c r="BL128" s="317">
        <f>SUMIF(Recibos!$D$4:$D$3010,Cobranza!$B128,Recibos!X$4:X$3010)</f>
        <v>0</v>
      </c>
      <c r="BM128" s="317">
        <f>SUMIF(Recibos!$D$4:$D$3010,Cobranza!$B128,Recibos!Y$4:Y$3010)</f>
        <v>0</v>
      </c>
      <c r="BN128" s="317">
        <f>SUMIF(Recibos!$D$4:$D$3010,Cobranza!$B128,Recibos!Z$4:Z$3010)</f>
        <v>0</v>
      </c>
      <c r="BO128" s="317">
        <f>SUMIF(Recibos!$D$4:$D$3010,Cobranza!$B128,Recibos!AA$4:AA$3010)</f>
        <v>0</v>
      </c>
      <c r="BP128" s="317">
        <f>SUMIF(Recibos!$D$4:$D$3010,Cobranza!$B128,Recibos!AB$4:AB$3010)</f>
        <v>0</v>
      </c>
      <c r="BQ128" s="317">
        <f>SUMIF(Recibos!$D$4:$D$3010,Cobranza!$B128,Recibos!AC$4:AC$3010)</f>
        <v>0</v>
      </c>
      <c r="BR128" s="317">
        <f>SUMIF(Recibos!$D$4:$D$3010,Cobranza!$B128,Recibos!AD$4:AD$3010)</f>
        <v>0</v>
      </c>
      <c r="BS128" s="317">
        <f>SUMIF(Recibos!$D$4:$D$3010,Cobranza!$B128,Recibos!AE$4:AE$3010)</f>
        <v>0</v>
      </c>
      <c r="BT128" s="317">
        <f>SUMIF(Recibos!$D$4:$D$3010,Cobranza!$B128,Recibos!AF$4:AF$3010)</f>
        <v>0</v>
      </c>
      <c r="BU128" s="317">
        <f>SUMIF(Recibos!$D$4:$D$3010,Cobranza!$B128,Recibos!AG$4:AG$3010)</f>
        <v>0</v>
      </c>
      <c r="BV128" s="317">
        <f>SUMIF(Recibos!$D$4:$D$3010,Cobranza!$B128,Recibos!AH$4:AH$3010)</f>
        <v>0</v>
      </c>
      <c r="BW128" s="317">
        <f>SUMIF(Recibos!$D$4:$D$3010,Cobranza!$B128,Recibos!AI$4:AI$3010)</f>
        <v>0</v>
      </c>
      <c r="BX128" s="318">
        <f t="shared" si="14"/>
        <v>0</v>
      </c>
    </row>
    <row r="129" spans="2:76" x14ac:dyDescent="0.2">
      <c r="B129" s="45" t="s">
        <v>887</v>
      </c>
      <c r="C129" s="45" t="s">
        <v>888</v>
      </c>
      <c r="D129" s="45" t="s">
        <v>889</v>
      </c>
      <c r="E129" s="46">
        <v>0</v>
      </c>
      <c r="F129" s="46">
        <v>0</v>
      </c>
      <c r="G129" s="46">
        <v>0</v>
      </c>
      <c r="H129" s="46">
        <v>0</v>
      </c>
      <c r="I129" s="46">
        <v>0</v>
      </c>
      <c r="J129" s="46">
        <v>0</v>
      </c>
      <c r="K129" s="47">
        <f t="shared" si="9"/>
        <v>0</v>
      </c>
      <c r="L129" s="46">
        <v>0</v>
      </c>
      <c r="M129" s="46">
        <v>0</v>
      </c>
      <c r="N129" s="46">
        <v>0</v>
      </c>
      <c r="O129" s="46">
        <v>0</v>
      </c>
      <c r="P129" s="46">
        <v>0</v>
      </c>
      <c r="Q129" s="46">
        <v>0</v>
      </c>
      <c r="R129" s="46">
        <v>0</v>
      </c>
      <c r="S129" s="46">
        <v>0</v>
      </c>
      <c r="T129" s="46">
        <v>0</v>
      </c>
      <c r="U129" s="46">
        <v>0</v>
      </c>
      <c r="V129" s="46">
        <v>0</v>
      </c>
      <c r="W129" s="46">
        <v>0</v>
      </c>
      <c r="X129" s="47">
        <f t="shared" si="10"/>
        <v>0</v>
      </c>
      <c r="Y129" s="46">
        <v>0</v>
      </c>
      <c r="Z129" s="46">
        <v>0</v>
      </c>
      <c r="AA129" s="46">
        <v>0</v>
      </c>
      <c r="AB129" s="46">
        <v>0</v>
      </c>
      <c r="AC129" s="46">
        <v>0</v>
      </c>
      <c r="AD129" s="46">
        <v>0</v>
      </c>
      <c r="AE129" s="46">
        <v>0</v>
      </c>
      <c r="AF129" s="46">
        <v>0</v>
      </c>
      <c r="AG129" s="46">
        <v>0</v>
      </c>
      <c r="AH129" s="46">
        <v>0</v>
      </c>
      <c r="AI129" s="46">
        <v>0</v>
      </c>
      <c r="AJ129" s="46">
        <v>0</v>
      </c>
      <c r="AK129" s="47">
        <f t="shared" si="11"/>
        <v>0</v>
      </c>
      <c r="AL129" s="46">
        <v>0</v>
      </c>
      <c r="AM129" s="46">
        <v>0</v>
      </c>
      <c r="AN129" s="46">
        <v>0</v>
      </c>
      <c r="AO129" s="46">
        <v>0</v>
      </c>
      <c r="AP129" s="46">
        <v>0</v>
      </c>
      <c r="AQ129" s="46">
        <v>0</v>
      </c>
      <c r="AR129" s="46">
        <v>0</v>
      </c>
      <c r="AS129" s="46">
        <v>0</v>
      </c>
      <c r="AT129" s="46">
        <v>0</v>
      </c>
      <c r="AU129" s="46">
        <v>0</v>
      </c>
      <c r="AV129" s="46">
        <v>0</v>
      </c>
      <c r="AW129" s="46">
        <v>0</v>
      </c>
      <c r="AX129" s="47">
        <f t="shared" si="12"/>
        <v>0</v>
      </c>
      <c r="AY129" s="319">
        <f>SUMIF(Recibos!$D$4:$D$3010,Cobranza!$B129,Recibos!K$4:K$3010)</f>
        <v>0</v>
      </c>
      <c r="AZ129" s="319">
        <f>SUMIF(Recibos!$D$4:$D$3010,Cobranza!$B129,Recibos!L$4:L$3010)</f>
        <v>0</v>
      </c>
      <c r="BA129" s="319">
        <f>SUMIF(Recibos!$D$4:$D$3010,Cobranza!$B129,Recibos!M$4:M$3010)</f>
        <v>0</v>
      </c>
      <c r="BB129" s="319">
        <f>SUMIF(Recibos!$D$4:$D$3010,Cobranza!$B129,Recibos!N$4:N$3010)</f>
        <v>200</v>
      </c>
      <c r="BC129" s="319">
        <f>SUMIF(Recibos!$D$4:$D$3010,Cobranza!$B129,Recibos!O$4:O$3010)</f>
        <v>200</v>
      </c>
      <c r="BD129" s="319">
        <f>SUMIF(Recibos!$D$4:$D$3010,Cobranza!$B129,Recibos!P$4:P$3010)</f>
        <v>200</v>
      </c>
      <c r="BE129" s="319">
        <f>SUMIF(Recibos!$D$4:$D$3010,Cobranza!$B129,Recibos!Q$4:Q$3010)</f>
        <v>200</v>
      </c>
      <c r="BF129" s="319">
        <f>SUMIF(Recibos!$D$4:$D$3010,Cobranza!$B129,Recibos!R$4:R$3010)</f>
        <v>200</v>
      </c>
      <c r="BG129" s="319">
        <f>SUMIF(Recibos!$D$4:$D$3010,Cobranza!$B129,Recibos!S$4:S$3010)</f>
        <v>200</v>
      </c>
      <c r="BH129" s="319">
        <f>SUMIF(Recibos!$D$4:$D$3010,Cobranza!$B129,Recibos!T$4:T$3010)</f>
        <v>200</v>
      </c>
      <c r="BI129" s="319">
        <f>SUMIF(Recibos!$D$4:$D$3010,Cobranza!$B129,Recibos!U$4:U$3010)</f>
        <v>200</v>
      </c>
      <c r="BJ129" s="319">
        <f>SUMIF(Recibos!$D$4:$D$3010,Cobranza!$B129,Recibos!V$4:V$3010)</f>
        <v>200</v>
      </c>
      <c r="BK129" s="320">
        <f t="shared" si="13"/>
        <v>1800</v>
      </c>
      <c r="BL129" s="319">
        <f>SUMIF(Recibos!$D$4:$D$3010,Cobranza!$B129,Recibos!X$4:X$3010)</f>
        <v>0</v>
      </c>
      <c r="BM129" s="319">
        <f>SUMIF(Recibos!$D$4:$D$3010,Cobranza!$B129,Recibos!Y$4:Y$3010)</f>
        <v>0</v>
      </c>
      <c r="BN129" s="319">
        <f>SUMIF(Recibos!$D$4:$D$3010,Cobranza!$B129,Recibos!Z$4:Z$3010)</f>
        <v>0</v>
      </c>
      <c r="BO129" s="319">
        <f>SUMIF(Recibos!$D$4:$D$3010,Cobranza!$B129,Recibos!AA$4:AA$3010)</f>
        <v>0</v>
      </c>
      <c r="BP129" s="319">
        <f>SUMIF(Recibos!$D$4:$D$3010,Cobranza!$B129,Recibos!AB$4:AB$3010)</f>
        <v>0</v>
      </c>
      <c r="BQ129" s="319">
        <f>SUMIF(Recibos!$D$4:$D$3010,Cobranza!$B129,Recibos!AC$4:AC$3010)</f>
        <v>0</v>
      </c>
      <c r="BR129" s="319">
        <f>SUMIF(Recibos!$D$4:$D$3010,Cobranza!$B129,Recibos!AD$4:AD$3010)</f>
        <v>0</v>
      </c>
      <c r="BS129" s="319">
        <f>SUMIF(Recibos!$D$4:$D$3010,Cobranza!$B129,Recibos!AE$4:AE$3010)</f>
        <v>0</v>
      </c>
      <c r="BT129" s="319">
        <f>SUMIF(Recibos!$D$4:$D$3010,Cobranza!$B129,Recibos!AF$4:AF$3010)</f>
        <v>0</v>
      </c>
      <c r="BU129" s="319">
        <f>SUMIF(Recibos!$D$4:$D$3010,Cobranza!$B129,Recibos!AG$4:AG$3010)</f>
        <v>0</v>
      </c>
      <c r="BV129" s="319">
        <f>SUMIF(Recibos!$D$4:$D$3010,Cobranza!$B129,Recibos!AH$4:AH$3010)</f>
        <v>0</v>
      </c>
      <c r="BW129" s="319">
        <f>SUMIF(Recibos!$D$4:$D$3010,Cobranza!$B129,Recibos!AI$4:AI$3010)</f>
        <v>0</v>
      </c>
      <c r="BX129" s="320">
        <f t="shared" si="14"/>
        <v>0</v>
      </c>
    </row>
    <row r="130" spans="2:76" x14ac:dyDescent="0.2">
      <c r="B130" s="42" t="s">
        <v>879</v>
      </c>
      <c r="C130" s="42" t="s">
        <v>880</v>
      </c>
      <c r="D130" s="42" t="s">
        <v>881</v>
      </c>
      <c r="E130" s="43">
        <v>0</v>
      </c>
      <c r="F130" s="43">
        <v>0</v>
      </c>
      <c r="G130" s="43">
        <v>0</v>
      </c>
      <c r="H130" s="43">
        <v>0</v>
      </c>
      <c r="I130" s="43">
        <v>0</v>
      </c>
      <c r="J130" s="43">
        <v>0</v>
      </c>
      <c r="K130" s="44">
        <f t="shared" si="9"/>
        <v>0</v>
      </c>
      <c r="L130" s="43">
        <v>0</v>
      </c>
      <c r="M130" s="43">
        <v>0</v>
      </c>
      <c r="N130" s="43">
        <v>0</v>
      </c>
      <c r="O130" s="43">
        <v>0</v>
      </c>
      <c r="P130" s="43">
        <v>0</v>
      </c>
      <c r="Q130" s="43">
        <v>0</v>
      </c>
      <c r="R130" s="43">
        <v>0</v>
      </c>
      <c r="S130" s="43">
        <v>0</v>
      </c>
      <c r="T130" s="43">
        <v>0</v>
      </c>
      <c r="U130" s="43">
        <v>0</v>
      </c>
      <c r="V130" s="43">
        <v>0</v>
      </c>
      <c r="W130" s="43">
        <v>0</v>
      </c>
      <c r="X130" s="44">
        <f t="shared" si="10"/>
        <v>0</v>
      </c>
      <c r="Y130" s="43">
        <v>0</v>
      </c>
      <c r="Z130" s="43">
        <v>0</v>
      </c>
      <c r="AA130" s="43">
        <v>0</v>
      </c>
      <c r="AB130" s="43">
        <v>0</v>
      </c>
      <c r="AC130" s="43">
        <v>0</v>
      </c>
      <c r="AD130" s="43">
        <v>0</v>
      </c>
      <c r="AE130" s="43">
        <v>0</v>
      </c>
      <c r="AF130" s="43">
        <v>0</v>
      </c>
      <c r="AG130" s="43">
        <v>0</v>
      </c>
      <c r="AH130" s="43">
        <v>0</v>
      </c>
      <c r="AI130" s="43">
        <v>0</v>
      </c>
      <c r="AJ130" s="43">
        <v>0</v>
      </c>
      <c r="AK130" s="44">
        <f t="shared" si="11"/>
        <v>0</v>
      </c>
      <c r="AL130" s="43">
        <v>0</v>
      </c>
      <c r="AM130" s="43">
        <v>0</v>
      </c>
      <c r="AN130" s="43">
        <v>0</v>
      </c>
      <c r="AO130" s="43">
        <v>0</v>
      </c>
      <c r="AP130" s="43">
        <v>0</v>
      </c>
      <c r="AQ130" s="43">
        <v>0</v>
      </c>
      <c r="AR130" s="43">
        <v>0</v>
      </c>
      <c r="AS130" s="43">
        <v>0</v>
      </c>
      <c r="AT130" s="43">
        <v>0</v>
      </c>
      <c r="AU130" s="43">
        <v>0</v>
      </c>
      <c r="AV130" s="43">
        <v>0</v>
      </c>
      <c r="AW130" s="43">
        <v>0</v>
      </c>
      <c r="AX130" s="44">
        <f t="shared" si="12"/>
        <v>0</v>
      </c>
      <c r="AY130" s="317">
        <f>SUMIF(Recibos!$D$4:$D$3010,Cobranza!$B130,Recibos!K$4:K$3010)</f>
        <v>0</v>
      </c>
      <c r="AZ130" s="317">
        <f>SUMIF(Recibos!$D$4:$D$3010,Cobranza!$B130,Recibos!L$4:L$3010)</f>
        <v>0</v>
      </c>
      <c r="BA130" s="317">
        <f>SUMIF(Recibos!$D$4:$D$3010,Cobranza!$B130,Recibos!M$4:M$3010)</f>
        <v>200</v>
      </c>
      <c r="BB130" s="317">
        <f>SUMIF(Recibos!$D$4:$D$3010,Cobranza!$B130,Recibos!N$4:N$3010)</f>
        <v>200</v>
      </c>
      <c r="BC130" s="317">
        <f>SUMIF(Recibos!$D$4:$D$3010,Cobranza!$B130,Recibos!O$4:O$3010)</f>
        <v>200</v>
      </c>
      <c r="BD130" s="317">
        <f>SUMIF(Recibos!$D$4:$D$3010,Cobranza!$B130,Recibos!P$4:P$3010)</f>
        <v>200</v>
      </c>
      <c r="BE130" s="317">
        <f>SUMIF(Recibos!$D$4:$D$3010,Cobranza!$B130,Recibos!Q$4:Q$3010)</f>
        <v>200</v>
      </c>
      <c r="BF130" s="317">
        <f>SUMIF(Recibos!$D$4:$D$3010,Cobranza!$B130,Recibos!R$4:R$3010)</f>
        <v>200</v>
      </c>
      <c r="BG130" s="317">
        <f>SUMIF(Recibos!$D$4:$D$3010,Cobranza!$B130,Recibos!S$4:S$3010)</f>
        <v>200</v>
      </c>
      <c r="BH130" s="317">
        <f>SUMIF(Recibos!$D$4:$D$3010,Cobranza!$B130,Recibos!T$4:T$3010)</f>
        <v>0</v>
      </c>
      <c r="BI130" s="317">
        <f>SUMIF(Recibos!$D$4:$D$3010,Cobranza!$B130,Recibos!U$4:U$3010)</f>
        <v>0</v>
      </c>
      <c r="BJ130" s="317">
        <f>SUMIF(Recibos!$D$4:$D$3010,Cobranza!$B130,Recibos!V$4:V$3010)</f>
        <v>0</v>
      </c>
      <c r="BK130" s="318">
        <f t="shared" si="13"/>
        <v>1400</v>
      </c>
      <c r="BL130" s="317">
        <f>SUMIF(Recibos!$D$4:$D$3010,Cobranza!$B130,Recibos!X$4:X$3010)</f>
        <v>0</v>
      </c>
      <c r="BM130" s="317">
        <f>SUMIF(Recibos!$D$4:$D$3010,Cobranza!$B130,Recibos!Y$4:Y$3010)</f>
        <v>0</v>
      </c>
      <c r="BN130" s="317">
        <f>SUMIF(Recibos!$D$4:$D$3010,Cobranza!$B130,Recibos!Z$4:Z$3010)</f>
        <v>0</v>
      </c>
      <c r="BO130" s="317">
        <f>SUMIF(Recibos!$D$4:$D$3010,Cobranza!$B130,Recibos!AA$4:AA$3010)</f>
        <v>0</v>
      </c>
      <c r="BP130" s="317">
        <f>SUMIF(Recibos!$D$4:$D$3010,Cobranza!$B130,Recibos!AB$4:AB$3010)</f>
        <v>0</v>
      </c>
      <c r="BQ130" s="317">
        <f>SUMIF(Recibos!$D$4:$D$3010,Cobranza!$B130,Recibos!AC$4:AC$3010)</f>
        <v>0</v>
      </c>
      <c r="BR130" s="317">
        <f>SUMIF(Recibos!$D$4:$D$3010,Cobranza!$B130,Recibos!AD$4:AD$3010)</f>
        <v>0</v>
      </c>
      <c r="BS130" s="317">
        <f>SUMIF(Recibos!$D$4:$D$3010,Cobranza!$B130,Recibos!AE$4:AE$3010)</f>
        <v>0</v>
      </c>
      <c r="BT130" s="317">
        <f>SUMIF(Recibos!$D$4:$D$3010,Cobranza!$B130,Recibos!AF$4:AF$3010)</f>
        <v>0</v>
      </c>
      <c r="BU130" s="317">
        <f>SUMIF(Recibos!$D$4:$D$3010,Cobranza!$B130,Recibos!AG$4:AG$3010)</f>
        <v>0</v>
      </c>
      <c r="BV130" s="317">
        <f>SUMIF(Recibos!$D$4:$D$3010,Cobranza!$B130,Recibos!AH$4:AH$3010)</f>
        <v>0</v>
      </c>
      <c r="BW130" s="317">
        <f>SUMIF(Recibos!$D$4:$D$3010,Cobranza!$B130,Recibos!AI$4:AI$3010)</f>
        <v>0</v>
      </c>
      <c r="BX130" s="318">
        <f t="shared" si="14"/>
        <v>0</v>
      </c>
    </row>
    <row r="131" spans="2:76" x14ac:dyDescent="0.2">
      <c r="B131" s="45" t="s">
        <v>81</v>
      </c>
      <c r="C131" s="45" t="s">
        <v>82</v>
      </c>
      <c r="D131" s="45" t="s">
        <v>83</v>
      </c>
      <c r="E131" s="46">
        <v>0</v>
      </c>
      <c r="F131" s="46">
        <v>0</v>
      </c>
      <c r="G131" s="46">
        <v>0</v>
      </c>
      <c r="H131" s="46">
        <v>0</v>
      </c>
      <c r="I131" s="46">
        <v>0</v>
      </c>
      <c r="J131" s="46">
        <v>150</v>
      </c>
      <c r="K131" s="47">
        <f t="shared" si="9"/>
        <v>150</v>
      </c>
      <c r="L131" s="46">
        <v>150</v>
      </c>
      <c r="M131" s="46">
        <v>150</v>
      </c>
      <c r="N131" s="46">
        <v>150</v>
      </c>
      <c r="O131" s="46">
        <v>150</v>
      </c>
      <c r="P131" s="46">
        <v>150</v>
      </c>
      <c r="Q131" s="46">
        <v>150</v>
      </c>
      <c r="R131" s="46">
        <v>300</v>
      </c>
      <c r="S131" s="46">
        <v>150</v>
      </c>
      <c r="T131" s="46">
        <v>150</v>
      </c>
      <c r="U131" s="46">
        <v>200</v>
      </c>
      <c r="V131" s="46">
        <v>200</v>
      </c>
      <c r="W131" s="46">
        <v>200</v>
      </c>
      <c r="X131" s="47">
        <f t="shared" si="10"/>
        <v>2100</v>
      </c>
      <c r="Y131" s="46">
        <v>200</v>
      </c>
      <c r="Z131" s="46">
        <v>200</v>
      </c>
      <c r="AA131" s="46">
        <v>200</v>
      </c>
      <c r="AB131" s="46">
        <v>200</v>
      </c>
      <c r="AC131" s="46">
        <v>200</v>
      </c>
      <c r="AD131" s="46">
        <v>200</v>
      </c>
      <c r="AE131" s="46">
        <v>200</v>
      </c>
      <c r="AF131" s="46">
        <v>200</v>
      </c>
      <c r="AG131" s="46">
        <v>200</v>
      </c>
      <c r="AH131" s="46">
        <v>200</v>
      </c>
      <c r="AI131" s="46">
        <v>200</v>
      </c>
      <c r="AJ131" s="46">
        <v>200</v>
      </c>
      <c r="AK131" s="47">
        <f t="shared" si="11"/>
        <v>2400</v>
      </c>
      <c r="AL131" s="46">
        <v>200</v>
      </c>
      <c r="AM131" s="46">
        <v>200</v>
      </c>
      <c r="AN131" s="46">
        <v>200</v>
      </c>
      <c r="AO131" s="46">
        <v>200</v>
      </c>
      <c r="AP131" s="46">
        <v>200</v>
      </c>
      <c r="AQ131" s="46">
        <v>200</v>
      </c>
      <c r="AR131" s="46">
        <v>200</v>
      </c>
      <c r="AS131" s="46">
        <v>200</v>
      </c>
      <c r="AT131" s="46">
        <v>200</v>
      </c>
      <c r="AU131" s="46">
        <v>200</v>
      </c>
      <c r="AV131" s="46">
        <v>200</v>
      </c>
      <c r="AW131" s="46">
        <v>200</v>
      </c>
      <c r="AX131" s="47">
        <f t="shared" si="12"/>
        <v>2400</v>
      </c>
      <c r="AY131" s="319">
        <f>SUMIF(Recibos!$D$4:$D$3010,Cobranza!$B131,Recibos!K$4:K$3010)</f>
        <v>200</v>
      </c>
      <c r="AZ131" s="319">
        <f>SUMIF(Recibos!$D$4:$D$3010,Cobranza!$B131,Recibos!L$4:L$3010)</f>
        <v>200</v>
      </c>
      <c r="BA131" s="319">
        <f>SUMIF(Recibos!$D$4:$D$3010,Cobranza!$B131,Recibos!M$4:M$3010)</f>
        <v>200</v>
      </c>
      <c r="BB131" s="319">
        <f>SUMIF(Recibos!$D$4:$D$3010,Cobranza!$B131,Recibos!N$4:N$3010)</f>
        <v>200</v>
      </c>
      <c r="BC131" s="319">
        <f>SUMIF(Recibos!$D$4:$D$3010,Cobranza!$B131,Recibos!O$4:O$3010)</f>
        <v>200</v>
      </c>
      <c r="BD131" s="319">
        <f>SUMIF(Recibos!$D$4:$D$3010,Cobranza!$B131,Recibos!P$4:P$3010)</f>
        <v>200</v>
      </c>
      <c r="BE131" s="319">
        <f>SUMIF(Recibos!$D$4:$D$3010,Cobranza!$B131,Recibos!Q$4:Q$3010)</f>
        <v>200</v>
      </c>
      <c r="BF131" s="319">
        <f>SUMIF(Recibos!$D$4:$D$3010,Cobranza!$B131,Recibos!R$4:R$3010)</f>
        <v>200</v>
      </c>
      <c r="BG131" s="319">
        <f>SUMIF(Recibos!$D$4:$D$3010,Cobranza!$B131,Recibos!S$4:S$3010)</f>
        <v>200</v>
      </c>
      <c r="BH131" s="319">
        <f>SUMIF(Recibos!$D$4:$D$3010,Cobranza!$B131,Recibos!T$4:T$3010)</f>
        <v>200</v>
      </c>
      <c r="BI131" s="319">
        <f>SUMIF(Recibos!$D$4:$D$3010,Cobranza!$B131,Recibos!U$4:U$3010)</f>
        <v>200</v>
      </c>
      <c r="BJ131" s="319">
        <f>SUMIF(Recibos!$D$4:$D$3010,Cobranza!$B131,Recibos!V$4:V$3010)</f>
        <v>0</v>
      </c>
      <c r="BK131" s="320">
        <f t="shared" si="13"/>
        <v>2200</v>
      </c>
      <c r="BL131" s="319">
        <f>SUMIF(Recibos!$D$4:$D$3010,Cobranza!$B131,Recibos!X$4:X$3010)</f>
        <v>0</v>
      </c>
      <c r="BM131" s="319">
        <f>SUMIF(Recibos!$D$4:$D$3010,Cobranza!$B131,Recibos!Y$4:Y$3010)</f>
        <v>0</v>
      </c>
      <c r="BN131" s="319">
        <f>SUMIF(Recibos!$D$4:$D$3010,Cobranza!$B131,Recibos!Z$4:Z$3010)</f>
        <v>0</v>
      </c>
      <c r="BO131" s="319">
        <f>SUMIF(Recibos!$D$4:$D$3010,Cobranza!$B131,Recibos!AA$4:AA$3010)</f>
        <v>0</v>
      </c>
      <c r="BP131" s="319">
        <f>SUMIF(Recibos!$D$4:$D$3010,Cobranza!$B131,Recibos!AB$4:AB$3010)</f>
        <v>0</v>
      </c>
      <c r="BQ131" s="319">
        <f>SUMIF(Recibos!$D$4:$D$3010,Cobranza!$B131,Recibos!AC$4:AC$3010)</f>
        <v>0</v>
      </c>
      <c r="BR131" s="319">
        <f>SUMIF(Recibos!$D$4:$D$3010,Cobranza!$B131,Recibos!AD$4:AD$3010)</f>
        <v>0</v>
      </c>
      <c r="BS131" s="319">
        <f>SUMIF(Recibos!$D$4:$D$3010,Cobranza!$B131,Recibos!AE$4:AE$3010)</f>
        <v>0</v>
      </c>
      <c r="BT131" s="319">
        <f>SUMIF(Recibos!$D$4:$D$3010,Cobranza!$B131,Recibos!AF$4:AF$3010)</f>
        <v>0</v>
      </c>
      <c r="BU131" s="319">
        <f>SUMIF(Recibos!$D$4:$D$3010,Cobranza!$B131,Recibos!AG$4:AG$3010)</f>
        <v>0</v>
      </c>
      <c r="BV131" s="319">
        <f>SUMIF(Recibos!$D$4:$D$3010,Cobranza!$B131,Recibos!AH$4:AH$3010)</f>
        <v>0</v>
      </c>
      <c r="BW131" s="319">
        <f>SUMIF(Recibos!$D$4:$D$3010,Cobranza!$B131,Recibos!AI$4:AI$3010)</f>
        <v>0</v>
      </c>
      <c r="BX131" s="320">
        <f t="shared" si="14"/>
        <v>0</v>
      </c>
    </row>
    <row r="132" spans="2:76" x14ac:dyDescent="0.2">
      <c r="B132" s="42" t="s">
        <v>1324</v>
      </c>
      <c r="C132" s="42" t="s">
        <v>1325</v>
      </c>
      <c r="D132" s="42" t="s">
        <v>1326</v>
      </c>
      <c r="E132" s="43">
        <v>0</v>
      </c>
      <c r="F132" s="43">
        <v>0</v>
      </c>
      <c r="G132" s="43">
        <v>0</v>
      </c>
      <c r="H132" s="43">
        <v>0</v>
      </c>
      <c r="I132" s="43">
        <v>0</v>
      </c>
      <c r="J132" s="43">
        <v>0</v>
      </c>
      <c r="K132" s="44">
        <f t="shared" si="9"/>
        <v>0</v>
      </c>
      <c r="L132" s="43">
        <v>0</v>
      </c>
      <c r="M132" s="43">
        <v>0</v>
      </c>
      <c r="N132" s="43">
        <v>0</v>
      </c>
      <c r="O132" s="43">
        <v>0</v>
      </c>
      <c r="P132" s="43">
        <v>0</v>
      </c>
      <c r="Q132" s="43">
        <v>0</v>
      </c>
      <c r="R132" s="43">
        <v>0</v>
      </c>
      <c r="S132" s="43">
        <v>0</v>
      </c>
      <c r="T132" s="43">
        <v>0</v>
      </c>
      <c r="U132" s="43">
        <v>0</v>
      </c>
      <c r="V132" s="43">
        <v>0</v>
      </c>
      <c r="W132" s="43">
        <v>0</v>
      </c>
      <c r="X132" s="44">
        <f t="shared" si="10"/>
        <v>0</v>
      </c>
      <c r="Y132" s="43">
        <v>0</v>
      </c>
      <c r="Z132" s="43">
        <v>0</v>
      </c>
      <c r="AA132" s="43">
        <v>0</v>
      </c>
      <c r="AB132" s="43">
        <v>0</v>
      </c>
      <c r="AC132" s="43">
        <v>0</v>
      </c>
      <c r="AD132" s="43">
        <v>0</v>
      </c>
      <c r="AE132" s="43">
        <v>0</v>
      </c>
      <c r="AF132" s="43">
        <v>0</v>
      </c>
      <c r="AG132" s="43">
        <v>0</v>
      </c>
      <c r="AH132" s="43">
        <v>0</v>
      </c>
      <c r="AI132" s="43">
        <v>0</v>
      </c>
      <c r="AJ132" s="43">
        <v>0</v>
      </c>
      <c r="AK132" s="44">
        <f t="shared" si="11"/>
        <v>0</v>
      </c>
      <c r="AL132" s="43">
        <v>0</v>
      </c>
      <c r="AM132" s="43">
        <v>0</v>
      </c>
      <c r="AN132" s="43">
        <v>0</v>
      </c>
      <c r="AO132" s="43">
        <v>0</v>
      </c>
      <c r="AP132" s="43">
        <v>0</v>
      </c>
      <c r="AQ132" s="43">
        <v>0</v>
      </c>
      <c r="AR132" s="43">
        <v>0</v>
      </c>
      <c r="AS132" s="43">
        <v>0</v>
      </c>
      <c r="AT132" s="43">
        <v>0</v>
      </c>
      <c r="AU132" s="43">
        <v>0</v>
      </c>
      <c r="AV132" s="43">
        <v>0</v>
      </c>
      <c r="AW132" s="43">
        <v>0</v>
      </c>
      <c r="AX132" s="44">
        <f t="shared" si="12"/>
        <v>0</v>
      </c>
      <c r="AY132" s="317">
        <f>SUMIF(Recibos!$D$4:$D$3010,Cobranza!$B132,Recibos!K$4:K$3010)</f>
        <v>0</v>
      </c>
      <c r="AZ132" s="317">
        <f>SUMIF(Recibos!$D$4:$D$3010,Cobranza!$B132,Recibos!L$4:L$3010)</f>
        <v>0</v>
      </c>
      <c r="BA132" s="317">
        <f>SUMIF(Recibos!$D$4:$D$3010,Cobranza!$B132,Recibos!M$4:M$3010)</f>
        <v>0</v>
      </c>
      <c r="BB132" s="317">
        <f>SUMIF(Recibos!$D$4:$D$3010,Cobranza!$B132,Recibos!N$4:N$3010)</f>
        <v>0</v>
      </c>
      <c r="BC132" s="317">
        <f>SUMIF(Recibos!$D$4:$D$3010,Cobranza!$B132,Recibos!O$4:O$3010)</f>
        <v>0</v>
      </c>
      <c r="BD132" s="317">
        <f>SUMIF(Recibos!$D$4:$D$3010,Cobranza!$B132,Recibos!P$4:P$3010)</f>
        <v>0</v>
      </c>
      <c r="BE132" s="317">
        <f>SUMIF(Recibos!$D$4:$D$3010,Cobranza!$B132,Recibos!Q$4:Q$3010)</f>
        <v>0</v>
      </c>
      <c r="BF132" s="317">
        <f>SUMIF(Recibos!$D$4:$D$3010,Cobranza!$B132,Recibos!R$4:R$3010)</f>
        <v>0</v>
      </c>
      <c r="BG132" s="317">
        <f>SUMIF(Recibos!$D$4:$D$3010,Cobranza!$B132,Recibos!S$4:S$3010)</f>
        <v>0</v>
      </c>
      <c r="BH132" s="317">
        <f>SUMIF(Recibos!$D$4:$D$3010,Cobranza!$B132,Recibos!T$4:T$3010)</f>
        <v>0</v>
      </c>
      <c r="BI132" s="317">
        <f>SUMIF(Recibos!$D$4:$D$3010,Cobranza!$B132,Recibos!U$4:U$3010)</f>
        <v>0</v>
      </c>
      <c r="BJ132" s="317">
        <f>SUMIF(Recibos!$D$4:$D$3010,Cobranza!$B132,Recibos!V$4:V$3010)</f>
        <v>0</v>
      </c>
      <c r="BK132" s="318">
        <f t="shared" si="13"/>
        <v>0</v>
      </c>
      <c r="BL132" s="317">
        <f>SUMIF(Recibos!$D$4:$D$3010,Cobranza!$B132,Recibos!X$4:X$3010)</f>
        <v>0</v>
      </c>
      <c r="BM132" s="317">
        <f>SUMIF(Recibos!$D$4:$D$3010,Cobranza!$B132,Recibos!Y$4:Y$3010)</f>
        <v>0</v>
      </c>
      <c r="BN132" s="317">
        <f>SUMIF(Recibos!$D$4:$D$3010,Cobranza!$B132,Recibos!Z$4:Z$3010)</f>
        <v>0</v>
      </c>
      <c r="BO132" s="317">
        <f>SUMIF(Recibos!$D$4:$D$3010,Cobranza!$B132,Recibos!AA$4:AA$3010)</f>
        <v>0</v>
      </c>
      <c r="BP132" s="317">
        <f>SUMIF(Recibos!$D$4:$D$3010,Cobranza!$B132,Recibos!AB$4:AB$3010)</f>
        <v>0</v>
      </c>
      <c r="BQ132" s="317">
        <f>SUMIF(Recibos!$D$4:$D$3010,Cobranza!$B132,Recibos!AC$4:AC$3010)</f>
        <v>0</v>
      </c>
      <c r="BR132" s="317">
        <f>SUMIF(Recibos!$D$4:$D$3010,Cobranza!$B132,Recibos!AD$4:AD$3010)</f>
        <v>0</v>
      </c>
      <c r="BS132" s="317">
        <f>SUMIF(Recibos!$D$4:$D$3010,Cobranza!$B132,Recibos!AE$4:AE$3010)</f>
        <v>0</v>
      </c>
      <c r="BT132" s="317">
        <f>SUMIF(Recibos!$D$4:$D$3010,Cobranza!$B132,Recibos!AF$4:AF$3010)</f>
        <v>0</v>
      </c>
      <c r="BU132" s="317">
        <f>SUMIF(Recibos!$D$4:$D$3010,Cobranza!$B132,Recibos!AG$4:AG$3010)</f>
        <v>0</v>
      </c>
      <c r="BV132" s="317">
        <f>SUMIF(Recibos!$D$4:$D$3010,Cobranza!$B132,Recibos!AH$4:AH$3010)</f>
        <v>0</v>
      </c>
      <c r="BW132" s="317">
        <f>SUMIF(Recibos!$D$4:$D$3010,Cobranza!$B132,Recibos!AI$4:AI$3010)</f>
        <v>0</v>
      </c>
      <c r="BX132" s="318">
        <f t="shared" si="14"/>
        <v>0</v>
      </c>
    </row>
    <row r="133" spans="2:76" x14ac:dyDescent="0.2">
      <c r="B133" s="45" t="s">
        <v>1327</v>
      </c>
      <c r="C133" s="45" t="s">
        <v>1328</v>
      </c>
      <c r="D133" s="45" t="s">
        <v>1329</v>
      </c>
      <c r="E133" s="46">
        <v>0</v>
      </c>
      <c r="F133" s="46">
        <v>0</v>
      </c>
      <c r="G133" s="46">
        <v>0</v>
      </c>
      <c r="H133" s="46">
        <v>0</v>
      </c>
      <c r="I133" s="46">
        <v>0</v>
      </c>
      <c r="J133" s="46">
        <v>0</v>
      </c>
      <c r="K133" s="47">
        <f t="shared" si="9"/>
        <v>0</v>
      </c>
      <c r="L133" s="46">
        <v>0</v>
      </c>
      <c r="M133" s="46">
        <v>0</v>
      </c>
      <c r="N133" s="46">
        <v>0</v>
      </c>
      <c r="O133" s="46">
        <v>0</v>
      </c>
      <c r="P133" s="46">
        <v>0</v>
      </c>
      <c r="Q133" s="46">
        <v>0</v>
      </c>
      <c r="R133" s="46">
        <v>0</v>
      </c>
      <c r="S133" s="46">
        <v>0</v>
      </c>
      <c r="T133" s="46">
        <v>0</v>
      </c>
      <c r="U133" s="46">
        <v>0</v>
      </c>
      <c r="V133" s="46">
        <v>0</v>
      </c>
      <c r="W133" s="46">
        <v>0</v>
      </c>
      <c r="X133" s="47">
        <f t="shared" si="10"/>
        <v>0</v>
      </c>
      <c r="Y133" s="46">
        <v>0</v>
      </c>
      <c r="Z133" s="46">
        <v>0</v>
      </c>
      <c r="AA133" s="46">
        <v>0</v>
      </c>
      <c r="AB133" s="46">
        <v>0</v>
      </c>
      <c r="AC133" s="46">
        <v>0</v>
      </c>
      <c r="AD133" s="46">
        <v>0</v>
      </c>
      <c r="AE133" s="46">
        <v>0</v>
      </c>
      <c r="AF133" s="46">
        <v>0</v>
      </c>
      <c r="AG133" s="46">
        <v>0</v>
      </c>
      <c r="AH133" s="46">
        <v>0</v>
      </c>
      <c r="AI133" s="46">
        <v>0</v>
      </c>
      <c r="AJ133" s="46">
        <v>0</v>
      </c>
      <c r="AK133" s="47">
        <f t="shared" si="11"/>
        <v>0</v>
      </c>
      <c r="AL133" s="46">
        <v>0</v>
      </c>
      <c r="AM133" s="46">
        <v>0</v>
      </c>
      <c r="AN133" s="46">
        <v>0</v>
      </c>
      <c r="AO133" s="46">
        <v>0</v>
      </c>
      <c r="AP133" s="46">
        <v>0</v>
      </c>
      <c r="AQ133" s="46">
        <v>0</v>
      </c>
      <c r="AR133" s="46">
        <v>0</v>
      </c>
      <c r="AS133" s="46">
        <v>0</v>
      </c>
      <c r="AT133" s="46">
        <v>0</v>
      </c>
      <c r="AU133" s="46">
        <v>0</v>
      </c>
      <c r="AV133" s="46">
        <v>0</v>
      </c>
      <c r="AW133" s="46">
        <v>0</v>
      </c>
      <c r="AX133" s="47">
        <f t="shared" si="12"/>
        <v>0</v>
      </c>
      <c r="AY133" s="319">
        <f>SUMIF(Recibos!$D$4:$D$3010,Cobranza!$B133,Recibos!K$4:K$3010)</f>
        <v>0</v>
      </c>
      <c r="AZ133" s="319">
        <f>SUMIF(Recibos!$D$4:$D$3010,Cobranza!$B133,Recibos!L$4:L$3010)</f>
        <v>0</v>
      </c>
      <c r="BA133" s="319">
        <f>SUMIF(Recibos!$D$4:$D$3010,Cobranza!$B133,Recibos!M$4:M$3010)</f>
        <v>0</v>
      </c>
      <c r="BB133" s="319">
        <f>SUMIF(Recibos!$D$4:$D$3010,Cobranza!$B133,Recibos!N$4:N$3010)</f>
        <v>0</v>
      </c>
      <c r="BC133" s="319">
        <f>SUMIF(Recibos!$D$4:$D$3010,Cobranza!$B133,Recibos!O$4:O$3010)</f>
        <v>0</v>
      </c>
      <c r="BD133" s="319">
        <f>SUMIF(Recibos!$D$4:$D$3010,Cobranza!$B133,Recibos!P$4:P$3010)</f>
        <v>0</v>
      </c>
      <c r="BE133" s="319">
        <f>SUMIF(Recibos!$D$4:$D$3010,Cobranza!$B133,Recibos!Q$4:Q$3010)</f>
        <v>0</v>
      </c>
      <c r="BF133" s="319">
        <f>SUMIF(Recibos!$D$4:$D$3010,Cobranza!$B133,Recibos!R$4:R$3010)</f>
        <v>0</v>
      </c>
      <c r="BG133" s="319">
        <f>SUMIF(Recibos!$D$4:$D$3010,Cobranza!$B133,Recibos!S$4:S$3010)</f>
        <v>0</v>
      </c>
      <c r="BH133" s="319">
        <f>SUMIF(Recibos!$D$4:$D$3010,Cobranza!$B133,Recibos!T$4:T$3010)</f>
        <v>0</v>
      </c>
      <c r="BI133" s="319">
        <f>SUMIF(Recibos!$D$4:$D$3010,Cobranza!$B133,Recibos!U$4:U$3010)</f>
        <v>0</v>
      </c>
      <c r="BJ133" s="319">
        <f>SUMIF(Recibos!$D$4:$D$3010,Cobranza!$B133,Recibos!V$4:V$3010)</f>
        <v>0</v>
      </c>
      <c r="BK133" s="320">
        <f t="shared" si="13"/>
        <v>0</v>
      </c>
      <c r="BL133" s="319">
        <f>SUMIF(Recibos!$D$4:$D$3010,Cobranza!$B133,Recibos!X$4:X$3010)</f>
        <v>0</v>
      </c>
      <c r="BM133" s="319">
        <f>SUMIF(Recibos!$D$4:$D$3010,Cobranza!$B133,Recibos!Y$4:Y$3010)</f>
        <v>0</v>
      </c>
      <c r="BN133" s="319">
        <f>SUMIF(Recibos!$D$4:$D$3010,Cobranza!$B133,Recibos!Z$4:Z$3010)</f>
        <v>0</v>
      </c>
      <c r="BO133" s="319">
        <f>SUMIF(Recibos!$D$4:$D$3010,Cobranza!$B133,Recibos!AA$4:AA$3010)</f>
        <v>0</v>
      </c>
      <c r="BP133" s="319">
        <f>SUMIF(Recibos!$D$4:$D$3010,Cobranza!$B133,Recibos!AB$4:AB$3010)</f>
        <v>0</v>
      </c>
      <c r="BQ133" s="319">
        <f>SUMIF(Recibos!$D$4:$D$3010,Cobranza!$B133,Recibos!AC$4:AC$3010)</f>
        <v>0</v>
      </c>
      <c r="BR133" s="319">
        <f>SUMIF(Recibos!$D$4:$D$3010,Cobranza!$B133,Recibos!AD$4:AD$3010)</f>
        <v>0</v>
      </c>
      <c r="BS133" s="319">
        <f>SUMIF(Recibos!$D$4:$D$3010,Cobranza!$B133,Recibos!AE$4:AE$3010)</f>
        <v>0</v>
      </c>
      <c r="BT133" s="319">
        <f>SUMIF(Recibos!$D$4:$D$3010,Cobranza!$B133,Recibos!AF$4:AF$3010)</f>
        <v>0</v>
      </c>
      <c r="BU133" s="319">
        <f>SUMIF(Recibos!$D$4:$D$3010,Cobranza!$B133,Recibos!AG$4:AG$3010)</f>
        <v>0</v>
      </c>
      <c r="BV133" s="319">
        <f>SUMIF(Recibos!$D$4:$D$3010,Cobranza!$B133,Recibos!AH$4:AH$3010)</f>
        <v>0</v>
      </c>
      <c r="BW133" s="319">
        <f>SUMIF(Recibos!$D$4:$D$3010,Cobranza!$B133,Recibos!AI$4:AI$3010)</f>
        <v>0</v>
      </c>
      <c r="BX133" s="320">
        <f t="shared" si="14"/>
        <v>0</v>
      </c>
    </row>
    <row r="134" spans="2:76" x14ac:dyDescent="0.2">
      <c r="B134" s="42" t="s">
        <v>277</v>
      </c>
      <c r="C134" s="42" t="s">
        <v>278</v>
      </c>
      <c r="D134" s="42" t="s">
        <v>279</v>
      </c>
      <c r="E134" s="43">
        <v>0</v>
      </c>
      <c r="F134" s="43">
        <v>0</v>
      </c>
      <c r="G134" s="43">
        <v>0</v>
      </c>
      <c r="H134" s="43">
        <v>0</v>
      </c>
      <c r="I134" s="43">
        <v>0</v>
      </c>
      <c r="J134" s="43">
        <v>150</v>
      </c>
      <c r="K134" s="44">
        <f t="shared" si="9"/>
        <v>150</v>
      </c>
      <c r="L134" s="43">
        <v>150</v>
      </c>
      <c r="M134" s="43">
        <v>150</v>
      </c>
      <c r="N134" s="43">
        <v>150</v>
      </c>
      <c r="O134" s="43">
        <v>150</v>
      </c>
      <c r="P134" s="43">
        <v>150</v>
      </c>
      <c r="Q134" s="43">
        <v>150</v>
      </c>
      <c r="R134" s="43">
        <v>150</v>
      </c>
      <c r="S134" s="43">
        <v>150</v>
      </c>
      <c r="T134" s="43">
        <v>150</v>
      </c>
      <c r="U134" s="43">
        <v>200</v>
      </c>
      <c r="V134" s="43">
        <v>200</v>
      </c>
      <c r="W134" s="43">
        <v>200</v>
      </c>
      <c r="X134" s="44">
        <f t="shared" si="10"/>
        <v>1950</v>
      </c>
      <c r="Y134" s="43">
        <v>200</v>
      </c>
      <c r="Z134" s="43">
        <v>200</v>
      </c>
      <c r="AA134" s="43">
        <v>200</v>
      </c>
      <c r="AB134" s="43">
        <v>200</v>
      </c>
      <c r="AC134" s="43">
        <v>200</v>
      </c>
      <c r="AD134" s="43">
        <v>200</v>
      </c>
      <c r="AE134" s="43">
        <v>200</v>
      </c>
      <c r="AF134" s="43">
        <v>200</v>
      </c>
      <c r="AG134" s="43">
        <v>200</v>
      </c>
      <c r="AH134" s="43">
        <v>200</v>
      </c>
      <c r="AI134" s="43">
        <v>200</v>
      </c>
      <c r="AJ134" s="43">
        <v>200</v>
      </c>
      <c r="AK134" s="44">
        <f t="shared" si="11"/>
        <v>2400</v>
      </c>
      <c r="AL134" s="43">
        <v>200</v>
      </c>
      <c r="AM134" s="43">
        <v>200</v>
      </c>
      <c r="AN134" s="43">
        <v>200</v>
      </c>
      <c r="AO134" s="43">
        <v>200</v>
      </c>
      <c r="AP134" s="43">
        <v>200</v>
      </c>
      <c r="AQ134" s="43">
        <v>200</v>
      </c>
      <c r="AR134" s="43">
        <v>200</v>
      </c>
      <c r="AS134" s="43">
        <v>200</v>
      </c>
      <c r="AT134" s="43">
        <v>200</v>
      </c>
      <c r="AU134" s="43">
        <v>200</v>
      </c>
      <c r="AV134" s="43">
        <v>200</v>
      </c>
      <c r="AW134" s="43">
        <v>200</v>
      </c>
      <c r="AX134" s="44">
        <f t="shared" si="12"/>
        <v>2400</v>
      </c>
      <c r="AY134" s="317">
        <f>SUMIF(Recibos!$D$4:$D$3010,Cobranza!$B134,Recibos!K$4:K$3010)</f>
        <v>200</v>
      </c>
      <c r="AZ134" s="317">
        <f>SUMIF(Recibos!$D$4:$D$3010,Cobranza!$B134,Recibos!L$4:L$3010)</f>
        <v>200</v>
      </c>
      <c r="BA134" s="317">
        <f>SUMIF(Recibos!$D$4:$D$3010,Cobranza!$B134,Recibos!M$4:M$3010)</f>
        <v>200</v>
      </c>
      <c r="BB134" s="317">
        <f>SUMIF(Recibos!$D$4:$D$3010,Cobranza!$B134,Recibos!N$4:N$3010)</f>
        <v>200</v>
      </c>
      <c r="BC134" s="317">
        <f>SUMIF(Recibos!$D$4:$D$3010,Cobranza!$B134,Recibos!O$4:O$3010)</f>
        <v>200</v>
      </c>
      <c r="BD134" s="317">
        <f>SUMIF(Recibos!$D$4:$D$3010,Cobranza!$B134,Recibos!P$4:P$3010)</f>
        <v>200</v>
      </c>
      <c r="BE134" s="317">
        <f>SUMIF(Recibos!$D$4:$D$3010,Cobranza!$B134,Recibos!Q$4:Q$3010)</f>
        <v>200</v>
      </c>
      <c r="BF134" s="317">
        <f>SUMIF(Recibos!$D$4:$D$3010,Cobranza!$B134,Recibos!R$4:R$3010)</f>
        <v>200</v>
      </c>
      <c r="BG134" s="317">
        <f>SUMIF(Recibos!$D$4:$D$3010,Cobranza!$B134,Recibos!S$4:S$3010)</f>
        <v>200</v>
      </c>
      <c r="BH134" s="317">
        <f>SUMIF(Recibos!$D$4:$D$3010,Cobranza!$B134,Recibos!T$4:T$3010)</f>
        <v>200</v>
      </c>
      <c r="BI134" s="317">
        <f>SUMIF(Recibos!$D$4:$D$3010,Cobranza!$B134,Recibos!U$4:U$3010)</f>
        <v>200</v>
      </c>
      <c r="BJ134" s="317">
        <f>SUMIF(Recibos!$D$4:$D$3010,Cobranza!$B134,Recibos!V$4:V$3010)</f>
        <v>200</v>
      </c>
      <c r="BK134" s="318">
        <f t="shared" si="13"/>
        <v>2400</v>
      </c>
      <c r="BL134" s="317">
        <f>SUMIF(Recibos!$D$4:$D$3010,Cobranza!$B134,Recibos!X$4:X$3010)</f>
        <v>0</v>
      </c>
      <c r="BM134" s="317">
        <f>SUMIF(Recibos!$D$4:$D$3010,Cobranza!$B134,Recibos!Y$4:Y$3010)</f>
        <v>0</v>
      </c>
      <c r="BN134" s="317">
        <f>SUMIF(Recibos!$D$4:$D$3010,Cobranza!$B134,Recibos!Z$4:Z$3010)</f>
        <v>0</v>
      </c>
      <c r="BO134" s="317">
        <f>SUMIF(Recibos!$D$4:$D$3010,Cobranza!$B134,Recibos!AA$4:AA$3010)</f>
        <v>0</v>
      </c>
      <c r="BP134" s="317">
        <f>SUMIF(Recibos!$D$4:$D$3010,Cobranza!$B134,Recibos!AB$4:AB$3010)</f>
        <v>0</v>
      </c>
      <c r="BQ134" s="317">
        <f>SUMIF(Recibos!$D$4:$D$3010,Cobranza!$B134,Recibos!AC$4:AC$3010)</f>
        <v>0</v>
      </c>
      <c r="BR134" s="317">
        <f>SUMIF(Recibos!$D$4:$D$3010,Cobranza!$B134,Recibos!AD$4:AD$3010)</f>
        <v>0</v>
      </c>
      <c r="BS134" s="317">
        <f>SUMIF(Recibos!$D$4:$D$3010,Cobranza!$B134,Recibos!AE$4:AE$3010)</f>
        <v>0</v>
      </c>
      <c r="BT134" s="317">
        <f>SUMIF(Recibos!$D$4:$D$3010,Cobranza!$B134,Recibos!AF$4:AF$3010)</f>
        <v>0</v>
      </c>
      <c r="BU134" s="317">
        <f>SUMIF(Recibos!$D$4:$D$3010,Cobranza!$B134,Recibos!AG$4:AG$3010)</f>
        <v>0</v>
      </c>
      <c r="BV134" s="317">
        <f>SUMIF(Recibos!$D$4:$D$3010,Cobranza!$B134,Recibos!AH$4:AH$3010)</f>
        <v>0</v>
      </c>
      <c r="BW134" s="317">
        <f>SUMIF(Recibos!$D$4:$D$3010,Cobranza!$B134,Recibos!AI$4:AI$3010)</f>
        <v>0</v>
      </c>
      <c r="BX134" s="318">
        <f t="shared" si="14"/>
        <v>0</v>
      </c>
    </row>
    <row r="135" spans="2:76" x14ac:dyDescent="0.2">
      <c r="B135" s="45" t="s">
        <v>817</v>
      </c>
      <c r="C135" s="45" t="s">
        <v>818</v>
      </c>
      <c r="D135" s="45" t="s">
        <v>819</v>
      </c>
      <c r="E135" s="46">
        <v>0</v>
      </c>
      <c r="F135" s="46">
        <v>0</v>
      </c>
      <c r="G135" s="46">
        <v>0</v>
      </c>
      <c r="H135" s="46">
        <v>0</v>
      </c>
      <c r="I135" s="46">
        <v>0</v>
      </c>
      <c r="J135" s="46">
        <v>0</v>
      </c>
      <c r="K135" s="47">
        <f t="shared" si="9"/>
        <v>0</v>
      </c>
      <c r="L135" s="46">
        <v>150</v>
      </c>
      <c r="M135" s="46">
        <v>150</v>
      </c>
      <c r="N135" s="46">
        <v>150</v>
      </c>
      <c r="O135" s="46">
        <v>150</v>
      </c>
      <c r="P135" s="46">
        <v>150</v>
      </c>
      <c r="Q135" s="46">
        <v>150</v>
      </c>
      <c r="R135" s="46">
        <v>150</v>
      </c>
      <c r="S135" s="46">
        <v>150</v>
      </c>
      <c r="T135" s="46">
        <v>150</v>
      </c>
      <c r="U135" s="46">
        <v>200</v>
      </c>
      <c r="V135" s="46">
        <v>200</v>
      </c>
      <c r="W135" s="46">
        <v>200</v>
      </c>
      <c r="X135" s="47">
        <f t="shared" si="10"/>
        <v>1950</v>
      </c>
      <c r="Y135" s="46">
        <v>200</v>
      </c>
      <c r="Z135" s="46">
        <v>200</v>
      </c>
      <c r="AA135" s="46">
        <v>200</v>
      </c>
      <c r="AB135" s="46">
        <v>200</v>
      </c>
      <c r="AC135" s="46">
        <v>200</v>
      </c>
      <c r="AD135" s="46">
        <v>200</v>
      </c>
      <c r="AE135" s="46">
        <v>200</v>
      </c>
      <c r="AF135" s="46">
        <v>200</v>
      </c>
      <c r="AG135" s="46">
        <v>200</v>
      </c>
      <c r="AH135" s="46">
        <v>200</v>
      </c>
      <c r="AI135" s="46">
        <v>200</v>
      </c>
      <c r="AJ135" s="46">
        <v>200</v>
      </c>
      <c r="AK135" s="47">
        <f t="shared" si="11"/>
        <v>2400</v>
      </c>
      <c r="AL135" s="46">
        <v>200</v>
      </c>
      <c r="AM135" s="46">
        <v>200</v>
      </c>
      <c r="AN135" s="46">
        <v>200</v>
      </c>
      <c r="AO135" s="46">
        <v>200</v>
      </c>
      <c r="AP135" s="46">
        <v>200</v>
      </c>
      <c r="AQ135" s="46">
        <v>200</v>
      </c>
      <c r="AR135" s="46">
        <v>200</v>
      </c>
      <c r="AS135" s="46">
        <v>200</v>
      </c>
      <c r="AT135" s="46">
        <v>200</v>
      </c>
      <c r="AU135" s="46">
        <v>200</v>
      </c>
      <c r="AV135" s="46">
        <v>200</v>
      </c>
      <c r="AW135" s="46">
        <v>0</v>
      </c>
      <c r="AX135" s="47">
        <f t="shared" si="12"/>
        <v>2200</v>
      </c>
      <c r="AY135" s="319">
        <f>SUMIF(Recibos!$D$4:$D$3010,Cobranza!$B135,Recibos!K$4:K$3010)</f>
        <v>200</v>
      </c>
      <c r="AZ135" s="319">
        <f>SUMIF(Recibos!$D$4:$D$3010,Cobranza!$B135,Recibos!L$4:L$3010)</f>
        <v>200</v>
      </c>
      <c r="BA135" s="319">
        <f>SUMIF(Recibos!$D$4:$D$3010,Cobranza!$B135,Recibos!M$4:M$3010)</f>
        <v>200</v>
      </c>
      <c r="BB135" s="319">
        <f>SUMIF(Recibos!$D$4:$D$3010,Cobranza!$B135,Recibos!N$4:N$3010)</f>
        <v>200</v>
      </c>
      <c r="BC135" s="319">
        <f>SUMIF(Recibos!$D$4:$D$3010,Cobranza!$B135,Recibos!O$4:O$3010)</f>
        <v>200</v>
      </c>
      <c r="BD135" s="319">
        <f>SUMIF(Recibos!$D$4:$D$3010,Cobranza!$B135,Recibos!P$4:P$3010)</f>
        <v>200</v>
      </c>
      <c r="BE135" s="319">
        <f>SUMIF(Recibos!$D$4:$D$3010,Cobranza!$B135,Recibos!Q$4:Q$3010)</f>
        <v>200</v>
      </c>
      <c r="BF135" s="319">
        <f>SUMIF(Recibos!$D$4:$D$3010,Cobranza!$B135,Recibos!R$4:R$3010)</f>
        <v>200</v>
      </c>
      <c r="BG135" s="319">
        <f>SUMIF(Recibos!$D$4:$D$3010,Cobranza!$B135,Recibos!S$4:S$3010)</f>
        <v>200</v>
      </c>
      <c r="BH135" s="319">
        <f>SUMIF(Recibos!$D$4:$D$3010,Cobranza!$B135,Recibos!T$4:T$3010)</f>
        <v>200</v>
      </c>
      <c r="BI135" s="319">
        <f>SUMIF(Recibos!$D$4:$D$3010,Cobranza!$B135,Recibos!U$4:U$3010)</f>
        <v>200</v>
      </c>
      <c r="BJ135" s="319">
        <f>SUMIF(Recibos!$D$4:$D$3010,Cobranza!$B135,Recibos!V$4:V$3010)</f>
        <v>0</v>
      </c>
      <c r="BK135" s="320">
        <f t="shared" si="13"/>
        <v>2200</v>
      </c>
      <c r="BL135" s="319">
        <f>SUMIF(Recibos!$D$4:$D$3010,Cobranza!$B135,Recibos!X$4:X$3010)</f>
        <v>0</v>
      </c>
      <c r="BM135" s="319">
        <f>SUMIF(Recibos!$D$4:$D$3010,Cobranza!$B135,Recibos!Y$4:Y$3010)</f>
        <v>0</v>
      </c>
      <c r="BN135" s="319">
        <f>SUMIF(Recibos!$D$4:$D$3010,Cobranza!$B135,Recibos!Z$4:Z$3010)</f>
        <v>0</v>
      </c>
      <c r="BO135" s="319">
        <f>SUMIF(Recibos!$D$4:$D$3010,Cobranza!$B135,Recibos!AA$4:AA$3010)</f>
        <v>0</v>
      </c>
      <c r="BP135" s="319">
        <f>SUMIF(Recibos!$D$4:$D$3010,Cobranza!$B135,Recibos!AB$4:AB$3010)</f>
        <v>0</v>
      </c>
      <c r="BQ135" s="319">
        <f>SUMIF(Recibos!$D$4:$D$3010,Cobranza!$B135,Recibos!AC$4:AC$3010)</f>
        <v>0</v>
      </c>
      <c r="BR135" s="319">
        <f>SUMIF(Recibos!$D$4:$D$3010,Cobranza!$B135,Recibos!AD$4:AD$3010)</f>
        <v>0</v>
      </c>
      <c r="BS135" s="319">
        <f>SUMIF(Recibos!$D$4:$D$3010,Cobranza!$B135,Recibos!AE$4:AE$3010)</f>
        <v>0</v>
      </c>
      <c r="BT135" s="319">
        <f>SUMIF(Recibos!$D$4:$D$3010,Cobranza!$B135,Recibos!AF$4:AF$3010)</f>
        <v>0</v>
      </c>
      <c r="BU135" s="319">
        <f>SUMIF(Recibos!$D$4:$D$3010,Cobranza!$B135,Recibos!AG$4:AG$3010)</f>
        <v>0</v>
      </c>
      <c r="BV135" s="319">
        <f>SUMIF(Recibos!$D$4:$D$3010,Cobranza!$B135,Recibos!AH$4:AH$3010)</f>
        <v>0</v>
      </c>
      <c r="BW135" s="319">
        <f>SUMIF(Recibos!$D$4:$D$3010,Cobranza!$B135,Recibos!AI$4:AI$3010)</f>
        <v>0</v>
      </c>
      <c r="BX135" s="320">
        <f t="shared" si="14"/>
        <v>0</v>
      </c>
    </row>
    <row r="136" spans="2:76" x14ac:dyDescent="0.2">
      <c r="B136" s="42" t="s">
        <v>1092</v>
      </c>
      <c r="C136" s="42" t="s">
        <v>1093</v>
      </c>
      <c r="D136" s="42" t="s">
        <v>1094</v>
      </c>
      <c r="E136" s="43">
        <v>0</v>
      </c>
      <c r="F136" s="43">
        <v>0</v>
      </c>
      <c r="G136" s="43">
        <v>100</v>
      </c>
      <c r="H136" s="43">
        <v>100</v>
      </c>
      <c r="I136" s="43">
        <v>100</v>
      </c>
      <c r="J136" s="43">
        <v>100</v>
      </c>
      <c r="K136" s="44">
        <f t="shared" si="9"/>
        <v>400</v>
      </c>
      <c r="L136" s="43">
        <v>0</v>
      </c>
      <c r="M136" s="43">
        <v>0</v>
      </c>
      <c r="N136" s="43">
        <v>0</v>
      </c>
      <c r="O136" s="43">
        <v>0</v>
      </c>
      <c r="P136" s="43">
        <v>0</v>
      </c>
      <c r="Q136" s="43">
        <v>0</v>
      </c>
      <c r="R136" s="43">
        <v>0</v>
      </c>
      <c r="S136" s="43">
        <v>0</v>
      </c>
      <c r="T136" s="43">
        <v>0</v>
      </c>
      <c r="U136" s="43">
        <v>0</v>
      </c>
      <c r="V136" s="43">
        <v>0</v>
      </c>
      <c r="W136" s="43">
        <v>0</v>
      </c>
      <c r="X136" s="44">
        <f t="shared" si="10"/>
        <v>0</v>
      </c>
      <c r="Y136" s="43">
        <v>0</v>
      </c>
      <c r="Z136" s="43">
        <v>0</v>
      </c>
      <c r="AA136" s="43">
        <v>0</v>
      </c>
      <c r="AB136" s="43">
        <v>0</v>
      </c>
      <c r="AC136" s="43">
        <v>0</v>
      </c>
      <c r="AD136" s="43">
        <v>0</v>
      </c>
      <c r="AE136" s="43">
        <v>0</v>
      </c>
      <c r="AF136" s="43">
        <v>0</v>
      </c>
      <c r="AG136" s="43">
        <v>0</v>
      </c>
      <c r="AH136" s="43">
        <v>0</v>
      </c>
      <c r="AI136" s="43">
        <v>0</v>
      </c>
      <c r="AJ136" s="43">
        <v>0</v>
      </c>
      <c r="AK136" s="44">
        <f t="shared" si="11"/>
        <v>0</v>
      </c>
      <c r="AL136" s="43">
        <v>0</v>
      </c>
      <c r="AM136" s="43">
        <v>0</v>
      </c>
      <c r="AN136" s="43">
        <v>0</v>
      </c>
      <c r="AO136" s="43">
        <v>0</v>
      </c>
      <c r="AP136" s="43">
        <v>0</v>
      </c>
      <c r="AQ136" s="43">
        <v>0</v>
      </c>
      <c r="AR136" s="43">
        <v>0</v>
      </c>
      <c r="AS136" s="43">
        <v>0</v>
      </c>
      <c r="AT136" s="43">
        <v>0</v>
      </c>
      <c r="AU136" s="43">
        <v>0</v>
      </c>
      <c r="AV136" s="43">
        <v>0</v>
      </c>
      <c r="AW136" s="43">
        <v>0</v>
      </c>
      <c r="AX136" s="44">
        <f t="shared" si="12"/>
        <v>0</v>
      </c>
      <c r="AY136" s="317">
        <f>SUMIF(Recibos!$D$4:$D$3010,Cobranza!$B136,Recibos!K$4:K$3010)</f>
        <v>0</v>
      </c>
      <c r="AZ136" s="317">
        <f>SUMIF(Recibos!$D$4:$D$3010,Cobranza!$B136,Recibos!L$4:L$3010)</f>
        <v>0</v>
      </c>
      <c r="BA136" s="317">
        <f>SUMIF(Recibos!$D$4:$D$3010,Cobranza!$B136,Recibos!M$4:M$3010)</f>
        <v>0</v>
      </c>
      <c r="BB136" s="317">
        <f>SUMIF(Recibos!$D$4:$D$3010,Cobranza!$B136,Recibos!N$4:N$3010)</f>
        <v>0</v>
      </c>
      <c r="BC136" s="317">
        <f>SUMIF(Recibos!$D$4:$D$3010,Cobranza!$B136,Recibos!O$4:O$3010)</f>
        <v>0</v>
      </c>
      <c r="BD136" s="317">
        <f>SUMIF(Recibos!$D$4:$D$3010,Cobranza!$B136,Recibos!P$4:P$3010)</f>
        <v>0</v>
      </c>
      <c r="BE136" s="317">
        <f>SUMIF(Recibos!$D$4:$D$3010,Cobranza!$B136,Recibos!Q$4:Q$3010)</f>
        <v>200</v>
      </c>
      <c r="BF136" s="317">
        <f>SUMIF(Recibos!$D$4:$D$3010,Cobranza!$B136,Recibos!R$4:R$3010)</f>
        <v>200</v>
      </c>
      <c r="BG136" s="317">
        <f>SUMIF(Recibos!$D$4:$D$3010,Cobranza!$B136,Recibos!S$4:S$3010)</f>
        <v>200</v>
      </c>
      <c r="BH136" s="317">
        <f>SUMIF(Recibos!$D$4:$D$3010,Cobranza!$B136,Recibos!T$4:T$3010)</f>
        <v>200</v>
      </c>
      <c r="BI136" s="317">
        <f>SUMIF(Recibos!$D$4:$D$3010,Cobranza!$B136,Recibos!U$4:U$3010)</f>
        <v>200</v>
      </c>
      <c r="BJ136" s="317">
        <f>SUMIF(Recibos!$D$4:$D$3010,Cobranza!$B136,Recibos!V$4:V$3010)</f>
        <v>200</v>
      </c>
      <c r="BK136" s="318">
        <f t="shared" si="13"/>
        <v>1200</v>
      </c>
      <c r="BL136" s="317">
        <f>SUMIF(Recibos!$D$4:$D$3010,Cobranza!$B136,Recibos!X$4:X$3010)</f>
        <v>0</v>
      </c>
      <c r="BM136" s="317">
        <f>SUMIF(Recibos!$D$4:$D$3010,Cobranza!$B136,Recibos!Y$4:Y$3010)</f>
        <v>0</v>
      </c>
      <c r="BN136" s="317">
        <f>SUMIF(Recibos!$D$4:$D$3010,Cobranza!$B136,Recibos!Z$4:Z$3010)</f>
        <v>0</v>
      </c>
      <c r="BO136" s="317">
        <f>SUMIF(Recibos!$D$4:$D$3010,Cobranza!$B136,Recibos!AA$4:AA$3010)</f>
        <v>0</v>
      </c>
      <c r="BP136" s="317">
        <f>SUMIF(Recibos!$D$4:$D$3010,Cobranza!$B136,Recibos!AB$4:AB$3010)</f>
        <v>0</v>
      </c>
      <c r="BQ136" s="317">
        <f>SUMIF(Recibos!$D$4:$D$3010,Cobranza!$B136,Recibos!AC$4:AC$3010)</f>
        <v>0</v>
      </c>
      <c r="BR136" s="317">
        <f>SUMIF(Recibos!$D$4:$D$3010,Cobranza!$B136,Recibos!AD$4:AD$3010)</f>
        <v>0</v>
      </c>
      <c r="BS136" s="317">
        <f>SUMIF(Recibos!$D$4:$D$3010,Cobranza!$B136,Recibos!AE$4:AE$3010)</f>
        <v>0</v>
      </c>
      <c r="BT136" s="317">
        <f>SUMIF(Recibos!$D$4:$D$3010,Cobranza!$B136,Recibos!AF$4:AF$3010)</f>
        <v>0</v>
      </c>
      <c r="BU136" s="317">
        <f>SUMIF(Recibos!$D$4:$D$3010,Cobranza!$B136,Recibos!AG$4:AG$3010)</f>
        <v>0</v>
      </c>
      <c r="BV136" s="317">
        <f>SUMIF(Recibos!$D$4:$D$3010,Cobranza!$B136,Recibos!AH$4:AH$3010)</f>
        <v>0</v>
      </c>
      <c r="BW136" s="317">
        <f>SUMIF(Recibos!$D$4:$D$3010,Cobranza!$B136,Recibos!AI$4:AI$3010)</f>
        <v>0</v>
      </c>
      <c r="BX136" s="318">
        <f t="shared" si="14"/>
        <v>0</v>
      </c>
    </row>
    <row r="137" spans="2:76" x14ac:dyDescent="0.2">
      <c r="B137" s="45" t="s">
        <v>74</v>
      </c>
      <c r="C137" s="45" t="s">
        <v>75</v>
      </c>
      <c r="D137" s="45" t="s">
        <v>76</v>
      </c>
      <c r="E137" s="46">
        <v>0</v>
      </c>
      <c r="F137" s="46">
        <v>0</v>
      </c>
      <c r="G137" s="46">
        <v>0</v>
      </c>
      <c r="H137" s="46">
        <v>0</v>
      </c>
      <c r="I137" s="46">
        <v>0</v>
      </c>
      <c r="J137" s="46">
        <v>200</v>
      </c>
      <c r="K137" s="47">
        <f t="shared" si="9"/>
        <v>200</v>
      </c>
      <c r="L137" s="46">
        <v>200</v>
      </c>
      <c r="M137" s="46">
        <v>200</v>
      </c>
      <c r="N137" s="46">
        <v>200</v>
      </c>
      <c r="O137" s="46">
        <v>200</v>
      </c>
      <c r="P137" s="46">
        <v>200</v>
      </c>
      <c r="Q137" s="46">
        <v>200</v>
      </c>
      <c r="R137" s="46">
        <v>200</v>
      </c>
      <c r="S137" s="46">
        <v>200</v>
      </c>
      <c r="T137" s="46">
        <v>200</v>
      </c>
      <c r="U137" s="46">
        <v>200</v>
      </c>
      <c r="V137" s="46">
        <v>200</v>
      </c>
      <c r="W137" s="46">
        <v>200</v>
      </c>
      <c r="X137" s="47">
        <f t="shared" si="10"/>
        <v>2400</v>
      </c>
      <c r="Y137" s="46">
        <v>200</v>
      </c>
      <c r="Z137" s="46">
        <v>200</v>
      </c>
      <c r="AA137" s="46">
        <v>200</v>
      </c>
      <c r="AB137" s="46">
        <v>200</v>
      </c>
      <c r="AC137" s="46">
        <v>200</v>
      </c>
      <c r="AD137" s="46">
        <v>200</v>
      </c>
      <c r="AE137" s="46">
        <v>200</v>
      </c>
      <c r="AF137" s="46">
        <v>200</v>
      </c>
      <c r="AG137" s="46">
        <v>600</v>
      </c>
      <c r="AH137" s="46">
        <v>200</v>
      </c>
      <c r="AI137" s="46">
        <v>200</v>
      </c>
      <c r="AJ137" s="46">
        <v>200</v>
      </c>
      <c r="AK137" s="47">
        <f t="shared" si="11"/>
        <v>2800</v>
      </c>
      <c r="AL137" s="46">
        <v>200</v>
      </c>
      <c r="AM137" s="46">
        <v>200</v>
      </c>
      <c r="AN137" s="46">
        <v>200</v>
      </c>
      <c r="AO137" s="46">
        <v>200</v>
      </c>
      <c r="AP137" s="46">
        <v>200</v>
      </c>
      <c r="AQ137" s="46">
        <v>200</v>
      </c>
      <c r="AR137" s="46">
        <v>200</v>
      </c>
      <c r="AS137" s="46">
        <v>200</v>
      </c>
      <c r="AT137" s="46">
        <v>200</v>
      </c>
      <c r="AU137" s="46">
        <v>200</v>
      </c>
      <c r="AV137" s="46">
        <v>200</v>
      </c>
      <c r="AW137" s="46">
        <v>200</v>
      </c>
      <c r="AX137" s="47">
        <f t="shared" si="12"/>
        <v>2400</v>
      </c>
      <c r="AY137" s="319">
        <f>SUMIF(Recibos!$D$4:$D$3010,Cobranza!$B137,Recibos!K$4:K$3010)</f>
        <v>200</v>
      </c>
      <c r="AZ137" s="319">
        <f>SUMIF(Recibos!$D$4:$D$3010,Cobranza!$B137,Recibos!L$4:L$3010)</f>
        <v>200</v>
      </c>
      <c r="BA137" s="319">
        <f>SUMIF(Recibos!$D$4:$D$3010,Cobranza!$B137,Recibos!M$4:M$3010)</f>
        <v>200</v>
      </c>
      <c r="BB137" s="319">
        <f>SUMIF(Recibos!$D$4:$D$3010,Cobranza!$B137,Recibos!N$4:N$3010)</f>
        <v>200</v>
      </c>
      <c r="BC137" s="319">
        <f>SUMIF(Recibos!$D$4:$D$3010,Cobranza!$B137,Recibos!O$4:O$3010)</f>
        <v>200</v>
      </c>
      <c r="BD137" s="319">
        <f>SUMIF(Recibos!$D$4:$D$3010,Cobranza!$B137,Recibos!P$4:P$3010)</f>
        <v>200</v>
      </c>
      <c r="BE137" s="319">
        <f>SUMIF(Recibos!$D$4:$D$3010,Cobranza!$B137,Recibos!Q$4:Q$3010)</f>
        <v>200</v>
      </c>
      <c r="BF137" s="319">
        <f>SUMIF(Recibos!$D$4:$D$3010,Cobranza!$B137,Recibos!R$4:R$3010)</f>
        <v>200</v>
      </c>
      <c r="BG137" s="319">
        <f>SUMIF(Recibos!$D$4:$D$3010,Cobranza!$B137,Recibos!S$4:S$3010)</f>
        <v>200</v>
      </c>
      <c r="BH137" s="319">
        <f>SUMIF(Recibos!$D$4:$D$3010,Cobranza!$B137,Recibos!T$4:T$3010)</f>
        <v>200</v>
      </c>
      <c r="BI137" s="319">
        <f>SUMIF(Recibos!$D$4:$D$3010,Cobranza!$B137,Recibos!U$4:U$3010)</f>
        <v>200</v>
      </c>
      <c r="BJ137" s="319">
        <f>SUMIF(Recibos!$D$4:$D$3010,Cobranza!$B137,Recibos!V$4:V$3010)</f>
        <v>0</v>
      </c>
      <c r="BK137" s="320">
        <f t="shared" si="13"/>
        <v>2200</v>
      </c>
      <c r="BL137" s="319">
        <f>SUMIF(Recibos!$D$4:$D$3010,Cobranza!$B137,Recibos!X$4:X$3010)</f>
        <v>0</v>
      </c>
      <c r="BM137" s="319">
        <f>SUMIF(Recibos!$D$4:$D$3010,Cobranza!$B137,Recibos!Y$4:Y$3010)</f>
        <v>0</v>
      </c>
      <c r="BN137" s="319">
        <f>SUMIF(Recibos!$D$4:$D$3010,Cobranza!$B137,Recibos!Z$4:Z$3010)</f>
        <v>0</v>
      </c>
      <c r="BO137" s="319">
        <f>SUMIF(Recibos!$D$4:$D$3010,Cobranza!$B137,Recibos!AA$4:AA$3010)</f>
        <v>0</v>
      </c>
      <c r="BP137" s="319">
        <f>SUMIF(Recibos!$D$4:$D$3010,Cobranza!$B137,Recibos!AB$4:AB$3010)</f>
        <v>0</v>
      </c>
      <c r="BQ137" s="319">
        <f>SUMIF(Recibos!$D$4:$D$3010,Cobranza!$B137,Recibos!AC$4:AC$3010)</f>
        <v>0</v>
      </c>
      <c r="BR137" s="319">
        <f>SUMIF(Recibos!$D$4:$D$3010,Cobranza!$B137,Recibos!AD$4:AD$3010)</f>
        <v>0</v>
      </c>
      <c r="BS137" s="319">
        <f>SUMIF(Recibos!$D$4:$D$3010,Cobranza!$B137,Recibos!AE$4:AE$3010)</f>
        <v>0</v>
      </c>
      <c r="BT137" s="319">
        <f>SUMIF(Recibos!$D$4:$D$3010,Cobranza!$B137,Recibos!AF$4:AF$3010)</f>
        <v>0</v>
      </c>
      <c r="BU137" s="319">
        <f>SUMIF(Recibos!$D$4:$D$3010,Cobranza!$B137,Recibos!AG$4:AG$3010)</f>
        <v>0</v>
      </c>
      <c r="BV137" s="319">
        <f>SUMIF(Recibos!$D$4:$D$3010,Cobranza!$B137,Recibos!AH$4:AH$3010)</f>
        <v>0</v>
      </c>
      <c r="BW137" s="319">
        <f>SUMIF(Recibos!$D$4:$D$3010,Cobranza!$B137,Recibos!AI$4:AI$3010)</f>
        <v>0</v>
      </c>
      <c r="BX137" s="320">
        <f t="shared" si="14"/>
        <v>0</v>
      </c>
    </row>
    <row r="138" spans="2:76" x14ac:dyDescent="0.2">
      <c r="B138" s="42" t="s">
        <v>355</v>
      </c>
      <c r="C138" s="42" t="s">
        <v>356</v>
      </c>
      <c r="D138" s="42" t="s">
        <v>357</v>
      </c>
      <c r="E138" s="43">
        <v>0</v>
      </c>
      <c r="F138" s="43">
        <v>0</v>
      </c>
      <c r="G138" s="43">
        <v>0</v>
      </c>
      <c r="H138" s="43">
        <v>0</v>
      </c>
      <c r="I138" s="43">
        <v>0</v>
      </c>
      <c r="J138" s="43">
        <v>300</v>
      </c>
      <c r="K138" s="44">
        <f t="shared" ref="K138:K202" si="17">SUM(E138:J138)</f>
        <v>300</v>
      </c>
      <c r="L138" s="43">
        <v>300</v>
      </c>
      <c r="M138" s="43">
        <v>300</v>
      </c>
      <c r="N138" s="43">
        <v>300</v>
      </c>
      <c r="O138" s="43">
        <v>300</v>
      </c>
      <c r="P138" s="43">
        <v>300</v>
      </c>
      <c r="Q138" s="43">
        <v>300</v>
      </c>
      <c r="R138" s="43">
        <v>300</v>
      </c>
      <c r="S138" s="43">
        <v>300</v>
      </c>
      <c r="T138" s="43">
        <v>0</v>
      </c>
      <c r="U138" s="43">
        <v>0</v>
      </c>
      <c r="V138" s="43">
        <v>0</v>
      </c>
      <c r="W138" s="43">
        <v>0</v>
      </c>
      <c r="X138" s="44">
        <f t="shared" ref="X138:X202" si="18">SUM(L138:W138)</f>
        <v>2400</v>
      </c>
      <c r="Y138" s="43">
        <v>300</v>
      </c>
      <c r="Z138" s="43">
        <v>300</v>
      </c>
      <c r="AA138" s="43">
        <v>300</v>
      </c>
      <c r="AB138" s="43">
        <v>300</v>
      </c>
      <c r="AC138" s="43">
        <v>300</v>
      </c>
      <c r="AD138" s="43">
        <v>300</v>
      </c>
      <c r="AE138" s="43">
        <v>300</v>
      </c>
      <c r="AF138" s="43">
        <v>300</v>
      </c>
      <c r="AG138" s="43">
        <v>300</v>
      </c>
      <c r="AH138" s="43">
        <v>300</v>
      </c>
      <c r="AI138" s="43">
        <v>300</v>
      </c>
      <c r="AJ138" s="43">
        <v>0</v>
      </c>
      <c r="AK138" s="44">
        <f t="shared" ref="AK138:AK202" si="19">SUM(Y138:AJ138)</f>
        <v>3300</v>
      </c>
      <c r="AL138" s="43">
        <v>300</v>
      </c>
      <c r="AM138" s="43">
        <v>300</v>
      </c>
      <c r="AN138" s="43">
        <v>300</v>
      </c>
      <c r="AO138" s="43">
        <v>300</v>
      </c>
      <c r="AP138" s="43">
        <v>300</v>
      </c>
      <c r="AQ138" s="43">
        <v>300</v>
      </c>
      <c r="AR138" s="43">
        <v>300</v>
      </c>
      <c r="AS138" s="43">
        <v>300</v>
      </c>
      <c r="AT138" s="43">
        <v>300</v>
      </c>
      <c r="AU138" s="43">
        <v>300</v>
      </c>
      <c r="AV138" s="43">
        <v>300</v>
      </c>
      <c r="AW138" s="43">
        <v>300</v>
      </c>
      <c r="AX138" s="44">
        <f t="shared" ref="AX138:AX202" si="20">SUM(AL138:AW138)</f>
        <v>3600</v>
      </c>
      <c r="AY138" s="317">
        <f>SUMIF(Recibos!$D$4:$D$3010,Cobranza!$B138,Recibos!K$4:K$3010)</f>
        <v>300</v>
      </c>
      <c r="AZ138" s="317">
        <f>SUMIF(Recibos!$D$4:$D$3010,Cobranza!$B138,Recibos!L$4:L$3010)</f>
        <v>300</v>
      </c>
      <c r="BA138" s="317">
        <f>SUMIF(Recibos!$D$4:$D$3010,Cobranza!$B138,Recibos!M$4:M$3010)</f>
        <v>300</v>
      </c>
      <c r="BB138" s="317">
        <f>SUMIF(Recibos!$D$4:$D$3010,Cobranza!$B138,Recibos!N$4:N$3010)</f>
        <v>300</v>
      </c>
      <c r="BC138" s="317">
        <f>SUMIF(Recibos!$D$4:$D$3010,Cobranza!$B138,Recibos!O$4:O$3010)</f>
        <v>300</v>
      </c>
      <c r="BD138" s="317">
        <f>SUMIF(Recibos!$D$4:$D$3010,Cobranza!$B138,Recibos!P$4:P$3010)</f>
        <v>300</v>
      </c>
      <c r="BE138" s="317">
        <f>SUMIF(Recibos!$D$4:$D$3010,Cobranza!$B138,Recibos!Q$4:Q$3010)</f>
        <v>300</v>
      </c>
      <c r="BF138" s="317">
        <f>SUMIF(Recibos!$D$4:$D$3010,Cobranza!$B138,Recibos!R$4:R$3010)</f>
        <v>300</v>
      </c>
      <c r="BG138" s="317">
        <f>SUMIF(Recibos!$D$4:$D$3010,Cobranza!$B138,Recibos!S$4:S$3010)</f>
        <v>300</v>
      </c>
      <c r="BH138" s="317">
        <f>SUMIF(Recibos!$D$4:$D$3010,Cobranza!$B138,Recibos!T$4:T$3010)</f>
        <v>300</v>
      </c>
      <c r="BI138" s="317">
        <f>SUMIF(Recibos!$D$4:$D$3010,Cobranza!$B138,Recibos!U$4:U$3010)</f>
        <v>300</v>
      </c>
      <c r="BJ138" s="317">
        <f>SUMIF(Recibos!$D$4:$D$3010,Cobranza!$B138,Recibos!V$4:V$3010)</f>
        <v>300</v>
      </c>
      <c r="BK138" s="318">
        <f t="shared" si="13"/>
        <v>3600</v>
      </c>
      <c r="BL138" s="317">
        <f>SUMIF(Recibos!$D$4:$D$3010,Cobranza!$B138,Recibos!X$4:X$3010)</f>
        <v>0</v>
      </c>
      <c r="BM138" s="317">
        <f>SUMIF(Recibos!$D$4:$D$3010,Cobranza!$B138,Recibos!Y$4:Y$3010)</f>
        <v>0</v>
      </c>
      <c r="BN138" s="317">
        <f>SUMIF(Recibos!$D$4:$D$3010,Cobranza!$B138,Recibos!Z$4:Z$3010)</f>
        <v>0</v>
      </c>
      <c r="BO138" s="317">
        <f>SUMIF(Recibos!$D$4:$D$3010,Cobranza!$B138,Recibos!AA$4:AA$3010)</f>
        <v>0</v>
      </c>
      <c r="BP138" s="317">
        <f>SUMIF(Recibos!$D$4:$D$3010,Cobranza!$B138,Recibos!AB$4:AB$3010)</f>
        <v>0</v>
      </c>
      <c r="BQ138" s="317">
        <f>SUMIF(Recibos!$D$4:$D$3010,Cobranza!$B138,Recibos!AC$4:AC$3010)</f>
        <v>0</v>
      </c>
      <c r="BR138" s="317">
        <f>SUMIF(Recibos!$D$4:$D$3010,Cobranza!$B138,Recibos!AD$4:AD$3010)</f>
        <v>0</v>
      </c>
      <c r="BS138" s="317">
        <f>SUMIF(Recibos!$D$4:$D$3010,Cobranza!$B138,Recibos!AE$4:AE$3010)</f>
        <v>0</v>
      </c>
      <c r="BT138" s="317">
        <f>SUMIF(Recibos!$D$4:$D$3010,Cobranza!$B138,Recibos!AF$4:AF$3010)</f>
        <v>0</v>
      </c>
      <c r="BU138" s="317">
        <f>SUMIF(Recibos!$D$4:$D$3010,Cobranza!$B138,Recibos!AG$4:AG$3010)</f>
        <v>0</v>
      </c>
      <c r="BV138" s="317">
        <f>SUMIF(Recibos!$D$4:$D$3010,Cobranza!$B138,Recibos!AH$4:AH$3010)</f>
        <v>0</v>
      </c>
      <c r="BW138" s="317">
        <f>SUMIF(Recibos!$D$4:$D$3010,Cobranza!$B138,Recibos!AI$4:AI$3010)</f>
        <v>0</v>
      </c>
      <c r="BX138" s="318">
        <f t="shared" si="14"/>
        <v>0</v>
      </c>
    </row>
    <row r="139" spans="2:76" x14ac:dyDescent="0.2">
      <c r="B139" s="45" t="s">
        <v>672</v>
      </c>
      <c r="C139" s="45" t="s">
        <v>673</v>
      </c>
      <c r="D139" s="45" t="s">
        <v>674</v>
      </c>
      <c r="E139" s="46">
        <v>0</v>
      </c>
      <c r="F139" s="46">
        <v>0</v>
      </c>
      <c r="G139" s="46">
        <v>0</v>
      </c>
      <c r="H139" s="46">
        <v>0</v>
      </c>
      <c r="I139" s="46">
        <v>0</v>
      </c>
      <c r="J139" s="46">
        <v>200</v>
      </c>
      <c r="K139" s="47">
        <f t="shared" si="17"/>
        <v>200</v>
      </c>
      <c r="L139" s="46">
        <v>200</v>
      </c>
      <c r="M139" s="46">
        <v>200</v>
      </c>
      <c r="N139" s="46">
        <v>200</v>
      </c>
      <c r="O139" s="46">
        <v>200</v>
      </c>
      <c r="P139" s="46">
        <v>200</v>
      </c>
      <c r="Q139" s="46">
        <v>200</v>
      </c>
      <c r="R139" s="46">
        <v>200</v>
      </c>
      <c r="S139" s="46">
        <v>200</v>
      </c>
      <c r="T139" s="46">
        <v>200</v>
      </c>
      <c r="U139" s="46">
        <v>200</v>
      </c>
      <c r="V139" s="46">
        <v>0</v>
      </c>
      <c r="W139" s="46">
        <v>0</v>
      </c>
      <c r="X139" s="47">
        <f t="shared" si="18"/>
        <v>2000</v>
      </c>
      <c r="Y139" s="46">
        <v>200</v>
      </c>
      <c r="Z139" s="46">
        <v>200</v>
      </c>
      <c r="AA139" s="46">
        <v>200</v>
      </c>
      <c r="AB139" s="46">
        <v>200</v>
      </c>
      <c r="AC139" s="46">
        <v>200</v>
      </c>
      <c r="AD139" s="46">
        <v>200</v>
      </c>
      <c r="AE139" s="46">
        <v>200</v>
      </c>
      <c r="AF139" s="46">
        <v>200</v>
      </c>
      <c r="AG139" s="46">
        <v>200</v>
      </c>
      <c r="AH139" s="46">
        <v>200</v>
      </c>
      <c r="AI139" s="46">
        <v>200</v>
      </c>
      <c r="AJ139" s="46">
        <v>200</v>
      </c>
      <c r="AK139" s="47">
        <f t="shared" si="19"/>
        <v>2400</v>
      </c>
      <c r="AL139" s="46">
        <v>200</v>
      </c>
      <c r="AM139" s="46">
        <v>200</v>
      </c>
      <c r="AN139" s="46">
        <v>200</v>
      </c>
      <c r="AO139" s="46">
        <v>200</v>
      </c>
      <c r="AP139" s="46">
        <v>200</v>
      </c>
      <c r="AQ139" s="46">
        <v>200</v>
      </c>
      <c r="AR139" s="46">
        <v>200</v>
      </c>
      <c r="AS139" s="46">
        <v>200</v>
      </c>
      <c r="AT139" s="46">
        <v>200</v>
      </c>
      <c r="AU139" s="46">
        <v>200</v>
      </c>
      <c r="AV139" s="46">
        <v>200</v>
      </c>
      <c r="AW139" s="46">
        <v>200</v>
      </c>
      <c r="AX139" s="47">
        <f t="shared" si="20"/>
        <v>2400</v>
      </c>
      <c r="AY139" s="319">
        <f>SUMIF(Recibos!$D$4:$D$3010,Cobranza!$B139,Recibos!K$4:K$3010)</f>
        <v>200</v>
      </c>
      <c r="AZ139" s="319">
        <f>SUMIF(Recibos!$D$4:$D$3010,Cobranza!$B139,Recibos!L$4:L$3010)</f>
        <v>200</v>
      </c>
      <c r="BA139" s="319">
        <f>SUMIF(Recibos!$D$4:$D$3010,Cobranza!$B139,Recibos!M$4:M$3010)</f>
        <v>200</v>
      </c>
      <c r="BB139" s="319">
        <f>SUMIF(Recibos!$D$4:$D$3010,Cobranza!$B139,Recibos!N$4:N$3010)</f>
        <v>200</v>
      </c>
      <c r="BC139" s="319">
        <f>SUMIF(Recibos!$D$4:$D$3010,Cobranza!$B139,Recibos!O$4:O$3010)</f>
        <v>200</v>
      </c>
      <c r="BD139" s="319">
        <f>SUMIF(Recibos!$D$4:$D$3010,Cobranza!$B139,Recibos!P$4:P$3010)</f>
        <v>200</v>
      </c>
      <c r="BE139" s="319">
        <f>SUMIF(Recibos!$D$4:$D$3010,Cobranza!$B139,Recibos!Q$4:Q$3010)</f>
        <v>200</v>
      </c>
      <c r="BF139" s="319">
        <f>SUMIF(Recibos!$D$4:$D$3010,Cobranza!$B139,Recibos!R$4:R$3010)</f>
        <v>200</v>
      </c>
      <c r="BG139" s="319">
        <f>SUMIF(Recibos!$D$4:$D$3010,Cobranza!$B139,Recibos!S$4:S$3010)</f>
        <v>200</v>
      </c>
      <c r="BH139" s="319">
        <f>SUMIF(Recibos!$D$4:$D$3010,Cobranza!$B139,Recibos!T$4:T$3010)</f>
        <v>200</v>
      </c>
      <c r="BI139" s="319">
        <f>SUMIF(Recibos!$D$4:$D$3010,Cobranza!$B139,Recibos!U$4:U$3010)</f>
        <v>200</v>
      </c>
      <c r="BJ139" s="319">
        <f>SUMIF(Recibos!$D$4:$D$3010,Cobranza!$B139,Recibos!V$4:V$3010)</f>
        <v>200</v>
      </c>
      <c r="BK139" s="320">
        <f t="shared" si="13"/>
        <v>2400</v>
      </c>
      <c r="BL139" s="319">
        <f>SUMIF(Recibos!$D$4:$D$3010,Cobranza!$B139,Recibos!X$4:X$3010)</f>
        <v>0</v>
      </c>
      <c r="BM139" s="319">
        <f>SUMIF(Recibos!$D$4:$D$3010,Cobranza!$B139,Recibos!Y$4:Y$3010)</f>
        <v>0</v>
      </c>
      <c r="BN139" s="319">
        <f>SUMIF(Recibos!$D$4:$D$3010,Cobranza!$B139,Recibos!Z$4:Z$3010)</f>
        <v>0</v>
      </c>
      <c r="BO139" s="319">
        <f>SUMIF(Recibos!$D$4:$D$3010,Cobranza!$B139,Recibos!AA$4:AA$3010)</f>
        <v>0</v>
      </c>
      <c r="BP139" s="319">
        <f>SUMIF(Recibos!$D$4:$D$3010,Cobranza!$B139,Recibos!AB$4:AB$3010)</f>
        <v>0</v>
      </c>
      <c r="BQ139" s="319">
        <f>SUMIF(Recibos!$D$4:$D$3010,Cobranza!$B139,Recibos!AC$4:AC$3010)</f>
        <v>0</v>
      </c>
      <c r="BR139" s="319">
        <f>SUMIF(Recibos!$D$4:$D$3010,Cobranza!$B139,Recibos!AD$4:AD$3010)</f>
        <v>0</v>
      </c>
      <c r="BS139" s="319">
        <f>SUMIF(Recibos!$D$4:$D$3010,Cobranza!$B139,Recibos!AE$4:AE$3010)</f>
        <v>0</v>
      </c>
      <c r="BT139" s="319">
        <f>SUMIF(Recibos!$D$4:$D$3010,Cobranza!$B139,Recibos!AF$4:AF$3010)</f>
        <v>0</v>
      </c>
      <c r="BU139" s="319">
        <f>SUMIF(Recibos!$D$4:$D$3010,Cobranza!$B139,Recibos!AG$4:AG$3010)</f>
        <v>0</v>
      </c>
      <c r="BV139" s="319">
        <f>SUMIF(Recibos!$D$4:$D$3010,Cobranza!$B139,Recibos!AH$4:AH$3010)</f>
        <v>0</v>
      </c>
      <c r="BW139" s="319">
        <f>SUMIF(Recibos!$D$4:$D$3010,Cobranza!$B139,Recibos!AI$4:AI$3010)</f>
        <v>0</v>
      </c>
      <c r="BX139" s="320">
        <f t="shared" si="14"/>
        <v>0</v>
      </c>
    </row>
    <row r="140" spans="2:76" x14ac:dyDescent="0.2">
      <c r="B140" s="42" t="s">
        <v>571</v>
      </c>
      <c r="C140" s="42" t="s">
        <v>572</v>
      </c>
      <c r="D140" s="42" t="s">
        <v>573</v>
      </c>
      <c r="E140" s="43">
        <v>0</v>
      </c>
      <c r="F140" s="43">
        <v>0</v>
      </c>
      <c r="G140" s="43">
        <v>0</v>
      </c>
      <c r="H140" s="43">
        <v>0</v>
      </c>
      <c r="I140" s="43">
        <v>0</v>
      </c>
      <c r="J140" s="43">
        <v>0</v>
      </c>
      <c r="K140" s="44">
        <f t="shared" si="17"/>
        <v>0</v>
      </c>
      <c r="L140" s="43">
        <v>150</v>
      </c>
      <c r="M140" s="43">
        <v>150</v>
      </c>
      <c r="N140" s="43">
        <v>150</v>
      </c>
      <c r="O140" s="43">
        <v>150</v>
      </c>
      <c r="P140" s="43">
        <v>150</v>
      </c>
      <c r="Q140" s="43">
        <v>150</v>
      </c>
      <c r="R140" s="43">
        <v>150</v>
      </c>
      <c r="S140" s="43">
        <v>150</v>
      </c>
      <c r="T140" s="43">
        <v>150</v>
      </c>
      <c r="U140" s="43">
        <v>200</v>
      </c>
      <c r="V140" s="43">
        <v>400</v>
      </c>
      <c r="W140" s="43">
        <v>400</v>
      </c>
      <c r="X140" s="44">
        <f t="shared" si="18"/>
        <v>2350</v>
      </c>
      <c r="Y140" s="43">
        <v>400</v>
      </c>
      <c r="Z140" s="43">
        <v>400</v>
      </c>
      <c r="AA140" s="43">
        <v>200</v>
      </c>
      <c r="AB140" s="43">
        <v>200</v>
      </c>
      <c r="AC140" s="43">
        <v>200</v>
      </c>
      <c r="AD140" s="43">
        <v>0</v>
      </c>
      <c r="AE140" s="43">
        <v>0</v>
      </c>
      <c r="AF140" s="43">
        <v>0</v>
      </c>
      <c r="AG140" s="43">
        <v>0</v>
      </c>
      <c r="AH140" s="43">
        <v>200</v>
      </c>
      <c r="AI140" s="43">
        <v>200</v>
      </c>
      <c r="AJ140" s="43">
        <v>200</v>
      </c>
      <c r="AK140" s="44">
        <f t="shared" si="19"/>
        <v>2000</v>
      </c>
      <c r="AL140" s="43">
        <v>200</v>
      </c>
      <c r="AM140" s="43">
        <v>200</v>
      </c>
      <c r="AN140" s="43">
        <v>200</v>
      </c>
      <c r="AO140" s="43">
        <v>200</v>
      </c>
      <c r="AP140" s="43">
        <v>200</v>
      </c>
      <c r="AQ140" s="43">
        <v>200</v>
      </c>
      <c r="AR140" s="43">
        <v>200</v>
      </c>
      <c r="AS140" s="43">
        <v>200</v>
      </c>
      <c r="AT140" s="43">
        <v>200</v>
      </c>
      <c r="AU140" s="43">
        <v>200</v>
      </c>
      <c r="AV140" s="43">
        <v>200</v>
      </c>
      <c r="AW140" s="43">
        <v>200</v>
      </c>
      <c r="AX140" s="44">
        <f t="shared" si="20"/>
        <v>2400</v>
      </c>
      <c r="AY140" s="317">
        <f>SUMIF(Recibos!$D$4:$D$3010,Cobranza!$B140,Recibos!K$4:K$3010)</f>
        <v>200</v>
      </c>
      <c r="AZ140" s="317">
        <f>SUMIF(Recibos!$D$4:$D$3010,Cobranza!$B140,Recibos!L$4:L$3010)</f>
        <v>200</v>
      </c>
      <c r="BA140" s="317">
        <f>SUMIF(Recibos!$D$4:$D$3010,Cobranza!$B140,Recibos!M$4:M$3010)</f>
        <v>200</v>
      </c>
      <c r="BB140" s="317">
        <f>SUMIF(Recibos!$D$4:$D$3010,Cobranza!$B140,Recibos!N$4:N$3010)</f>
        <v>200</v>
      </c>
      <c r="BC140" s="317">
        <f>SUMIF(Recibos!$D$4:$D$3010,Cobranza!$B140,Recibos!O$4:O$3010)</f>
        <v>200</v>
      </c>
      <c r="BD140" s="317">
        <f>SUMIF(Recibos!$D$4:$D$3010,Cobranza!$B140,Recibos!P$4:P$3010)</f>
        <v>200</v>
      </c>
      <c r="BE140" s="317">
        <f>SUMIF(Recibos!$D$4:$D$3010,Cobranza!$B140,Recibos!Q$4:Q$3010)</f>
        <v>200</v>
      </c>
      <c r="BF140" s="317">
        <f>SUMIF(Recibos!$D$4:$D$3010,Cobranza!$B140,Recibos!R$4:R$3010)</f>
        <v>200</v>
      </c>
      <c r="BG140" s="317">
        <f>SUMIF(Recibos!$D$4:$D$3010,Cobranza!$B140,Recibos!S$4:S$3010)</f>
        <v>200</v>
      </c>
      <c r="BH140" s="317">
        <f>SUMIF(Recibos!$D$4:$D$3010,Cobranza!$B140,Recibos!T$4:T$3010)</f>
        <v>200</v>
      </c>
      <c r="BI140" s="317">
        <f>SUMIF(Recibos!$D$4:$D$3010,Cobranza!$B140,Recibos!U$4:U$3010)</f>
        <v>200</v>
      </c>
      <c r="BJ140" s="317">
        <f>SUMIF(Recibos!$D$4:$D$3010,Cobranza!$B140,Recibos!V$4:V$3010)</f>
        <v>0</v>
      </c>
      <c r="BK140" s="318">
        <f t="shared" si="13"/>
        <v>2200</v>
      </c>
      <c r="BL140" s="317">
        <f>SUMIF(Recibos!$D$4:$D$3010,Cobranza!$B140,Recibos!X$4:X$3010)</f>
        <v>0</v>
      </c>
      <c r="BM140" s="317">
        <f>SUMIF(Recibos!$D$4:$D$3010,Cobranza!$B140,Recibos!Y$4:Y$3010)</f>
        <v>0</v>
      </c>
      <c r="BN140" s="317">
        <f>SUMIF(Recibos!$D$4:$D$3010,Cobranza!$B140,Recibos!Z$4:Z$3010)</f>
        <v>0</v>
      </c>
      <c r="BO140" s="317">
        <f>SUMIF(Recibos!$D$4:$D$3010,Cobranza!$B140,Recibos!AA$4:AA$3010)</f>
        <v>0</v>
      </c>
      <c r="BP140" s="317">
        <f>SUMIF(Recibos!$D$4:$D$3010,Cobranza!$B140,Recibos!AB$4:AB$3010)</f>
        <v>0</v>
      </c>
      <c r="BQ140" s="317">
        <f>SUMIF(Recibos!$D$4:$D$3010,Cobranza!$B140,Recibos!AC$4:AC$3010)</f>
        <v>0</v>
      </c>
      <c r="BR140" s="317">
        <f>SUMIF(Recibos!$D$4:$D$3010,Cobranza!$B140,Recibos!AD$4:AD$3010)</f>
        <v>0</v>
      </c>
      <c r="BS140" s="317">
        <f>SUMIF(Recibos!$D$4:$D$3010,Cobranza!$B140,Recibos!AE$4:AE$3010)</f>
        <v>0</v>
      </c>
      <c r="BT140" s="317">
        <f>SUMIF(Recibos!$D$4:$D$3010,Cobranza!$B140,Recibos!AF$4:AF$3010)</f>
        <v>0</v>
      </c>
      <c r="BU140" s="317">
        <f>SUMIF(Recibos!$D$4:$D$3010,Cobranza!$B140,Recibos!AG$4:AG$3010)</f>
        <v>0</v>
      </c>
      <c r="BV140" s="317">
        <f>SUMIF(Recibos!$D$4:$D$3010,Cobranza!$B140,Recibos!AH$4:AH$3010)</f>
        <v>0</v>
      </c>
      <c r="BW140" s="317">
        <f>SUMIF(Recibos!$D$4:$D$3010,Cobranza!$B140,Recibos!AI$4:AI$3010)</f>
        <v>0</v>
      </c>
      <c r="BX140" s="318">
        <f t="shared" si="14"/>
        <v>0</v>
      </c>
    </row>
    <row r="141" spans="2:76" x14ac:dyDescent="0.2">
      <c r="B141" s="45" t="s">
        <v>1151</v>
      </c>
      <c r="C141" s="45" t="s">
        <v>1152</v>
      </c>
      <c r="D141" s="45" t="s">
        <v>1153</v>
      </c>
      <c r="E141" s="46">
        <v>0</v>
      </c>
      <c r="F141" s="46">
        <v>0</v>
      </c>
      <c r="G141" s="46">
        <v>0</v>
      </c>
      <c r="H141" s="46">
        <v>0</v>
      </c>
      <c r="I141" s="46">
        <v>0</v>
      </c>
      <c r="J141" s="46">
        <v>0</v>
      </c>
      <c r="K141" s="47">
        <f t="shared" si="17"/>
        <v>0</v>
      </c>
      <c r="L141" s="46">
        <v>150</v>
      </c>
      <c r="M141" s="46">
        <v>150</v>
      </c>
      <c r="N141" s="46">
        <v>150</v>
      </c>
      <c r="O141" s="46">
        <v>150</v>
      </c>
      <c r="P141" s="46">
        <v>150</v>
      </c>
      <c r="Q141" s="46">
        <v>150</v>
      </c>
      <c r="R141" s="46">
        <v>150</v>
      </c>
      <c r="S141" s="46">
        <v>150</v>
      </c>
      <c r="T141" s="46">
        <v>150</v>
      </c>
      <c r="U141" s="46">
        <v>150</v>
      </c>
      <c r="V141" s="46">
        <v>150</v>
      </c>
      <c r="W141" s="46">
        <v>0</v>
      </c>
      <c r="X141" s="47">
        <f t="shared" si="18"/>
        <v>1650</v>
      </c>
      <c r="Y141" s="46">
        <v>0</v>
      </c>
      <c r="Z141" s="46">
        <v>0</v>
      </c>
      <c r="AA141" s="46">
        <v>0</v>
      </c>
      <c r="AB141" s="46">
        <v>0</v>
      </c>
      <c r="AC141" s="46">
        <v>0</v>
      </c>
      <c r="AD141" s="46">
        <v>0</v>
      </c>
      <c r="AE141" s="46">
        <v>0</v>
      </c>
      <c r="AF141" s="46">
        <v>0</v>
      </c>
      <c r="AG141" s="46">
        <v>0</v>
      </c>
      <c r="AH141" s="46">
        <v>0</v>
      </c>
      <c r="AI141" s="46">
        <v>0</v>
      </c>
      <c r="AJ141" s="46">
        <v>0</v>
      </c>
      <c r="AK141" s="47">
        <f t="shared" si="19"/>
        <v>0</v>
      </c>
      <c r="AL141" s="46">
        <v>0</v>
      </c>
      <c r="AM141" s="46">
        <v>0</v>
      </c>
      <c r="AN141" s="46">
        <v>0</v>
      </c>
      <c r="AO141" s="46">
        <v>0</v>
      </c>
      <c r="AP141" s="46">
        <v>0</v>
      </c>
      <c r="AQ141" s="46">
        <v>0</v>
      </c>
      <c r="AR141" s="46">
        <v>0</v>
      </c>
      <c r="AS141" s="46">
        <v>0</v>
      </c>
      <c r="AT141" s="46">
        <v>0</v>
      </c>
      <c r="AU141" s="46">
        <v>0</v>
      </c>
      <c r="AV141" s="46">
        <v>0</v>
      </c>
      <c r="AW141" s="46">
        <v>0</v>
      </c>
      <c r="AX141" s="47">
        <f t="shared" si="20"/>
        <v>0</v>
      </c>
      <c r="AY141" s="319">
        <f>SUMIF(Recibos!$D$4:$D$3010,Cobranza!$B141,Recibos!K$4:K$3010)</f>
        <v>0</v>
      </c>
      <c r="AZ141" s="319">
        <f>SUMIF(Recibos!$D$4:$D$3010,Cobranza!$B141,Recibos!L$4:L$3010)</f>
        <v>0</v>
      </c>
      <c r="BA141" s="319">
        <f>SUMIF(Recibos!$D$4:$D$3010,Cobranza!$B141,Recibos!M$4:M$3010)</f>
        <v>0</v>
      </c>
      <c r="BB141" s="319">
        <f>SUMIF(Recibos!$D$4:$D$3010,Cobranza!$B141,Recibos!N$4:N$3010)</f>
        <v>0</v>
      </c>
      <c r="BC141" s="319">
        <f>SUMIF(Recibos!$D$4:$D$3010,Cobranza!$B141,Recibos!O$4:O$3010)</f>
        <v>0</v>
      </c>
      <c r="BD141" s="319">
        <f>SUMIF(Recibos!$D$4:$D$3010,Cobranza!$B141,Recibos!P$4:P$3010)</f>
        <v>0</v>
      </c>
      <c r="BE141" s="319">
        <f>SUMIF(Recibos!$D$4:$D$3010,Cobranza!$B141,Recibos!Q$4:Q$3010)</f>
        <v>0</v>
      </c>
      <c r="BF141" s="319">
        <f>SUMIF(Recibos!$D$4:$D$3010,Cobranza!$B141,Recibos!R$4:R$3010)</f>
        <v>100</v>
      </c>
      <c r="BG141" s="319">
        <f>SUMIF(Recibos!$D$4:$D$3010,Cobranza!$B141,Recibos!S$4:S$3010)</f>
        <v>100</v>
      </c>
      <c r="BH141" s="319">
        <f>SUMIF(Recibos!$D$4:$D$3010,Cobranza!$B141,Recibos!T$4:T$3010)</f>
        <v>100</v>
      </c>
      <c r="BI141" s="319">
        <f>SUMIF(Recibos!$D$4:$D$3010,Cobranza!$B141,Recibos!U$4:U$3010)</f>
        <v>100</v>
      </c>
      <c r="BJ141" s="319">
        <f>SUMIF(Recibos!$D$4:$D$3010,Cobranza!$B141,Recibos!V$4:V$3010)</f>
        <v>100</v>
      </c>
      <c r="BK141" s="320">
        <f t="shared" si="13"/>
        <v>500</v>
      </c>
      <c r="BL141" s="319">
        <f>SUMIF(Recibos!$D$4:$D$3010,Cobranza!$B141,Recibos!X$4:X$3010)</f>
        <v>0</v>
      </c>
      <c r="BM141" s="319">
        <f>SUMIF(Recibos!$D$4:$D$3010,Cobranza!$B141,Recibos!Y$4:Y$3010)</f>
        <v>0</v>
      </c>
      <c r="BN141" s="319">
        <f>SUMIF(Recibos!$D$4:$D$3010,Cobranza!$B141,Recibos!Z$4:Z$3010)</f>
        <v>0</v>
      </c>
      <c r="BO141" s="319">
        <f>SUMIF(Recibos!$D$4:$D$3010,Cobranza!$B141,Recibos!AA$4:AA$3010)</f>
        <v>0</v>
      </c>
      <c r="BP141" s="319">
        <f>SUMIF(Recibos!$D$4:$D$3010,Cobranza!$B141,Recibos!AB$4:AB$3010)</f>
        <v>0</v>
      </c>
      <c r="BQ141" s="319">
        <f>SUMIF(Recibos!$D$4:$D$3010,Cobranza!$B141,Recibos!AC$4:AC$3010)</f>
        <v>0</v>
      </c>
      <c r="BR141" s="319">
        <f>SUMIF(Recibos!$D$4:$D$3010,Cobranza!$B141,Recibos!AD$4:AD$3010)</f>
        <v>0</v>
      </c>
      <c r="BS141" s="319">
        <f>SUMIF(Recibos!$D$4:$D$3010,Cobranza!$B141,Recibos!AE$4:AE$3010)</f>
        <v>0</v>
      </c>
      <c r="BT141" s="319">
        <f>SUMIF(Recibos!$D$4:$D$3010,Cobranza!$B141,Recibos!AF$4:AF$3010)</f>
        <v>0</v>
      </c>
      <c r="BU141" s="319">
        <f>SUMIF(Recibos!$D$4:$D$3010,Cobranza!$B141,Recibos!AG$4:AG$3010)</f>
        <v>0</v>
      </c>
      <c r="BV141" s="319">
        <f>SUMIF(Recibos!$D$4:$D$3010,Cobranza!$B141,Recibos!AH$4:AH$3010)</f>
        <v>0</v>
      </c>
      <c r="BW141" s="319">
        <f>SUMIF(Recibos!$D$4:$D$3010,Cobranza!$B141,Recibos!AI$4:AI$3010)</f>
        <v>0</v>
      </c>
      <c r="BX141" s="320">
        <f t="shared" si="14"/>
        <v>0</v>
      </c>
    </row>
    <row r="142" spans="2:76" x14ac:dyDescent="0.2">
      <c r="B142" s="42" t="s">
        <v>289</v>
      </c>
      <c r="C142" s="42" t="s">
        <v>290</v>
      </c>
      <c r="D142" s="42" t="s">
        <v>291</v>
      </c>
      <c r="E142" s="43">
        <v>0</v>
      </c>
      <c r="F142" s="43">
        <v>0</v>
      </c>
      <c r="G142" s="43">
        <v>0</v>
      </c>
      <c r="H142" s="43">
        <v>0</v>
      </c>
      <c r="I142" s="43">
        <v>0</v>
      </c>
      <c r="J142" s="43">
        <v>0</v>
      </c>
      <c r="K142" s="44">
        <f t="shared" si="17"/>
        <v>0</v>
      </c>
      <c r="L142" s="43">
        <v>0</v>
      </c>
      <c r="M142" s="43">
        <v>0</v>
      </c>
      <c r="N142" s="43">
        <v>0</v>
      </c>
      <c r="O142" s="43">
        <v>0</v>
      </c>
      <c r="P142" s="43">
        <v>0</v>
      </c>
      <c r="Q142" s="43">
        <v>0</v>
      </c>
      <c r="R142" s="43">
        <v>0</v>
      </c>
      <c r="S142" s="43">
        <v>0</v>
      </c>
      <c r="T142" s="43">
        <v>0</v>
      </c>
      <c r="U142" s="43">
        <v>0</v>
      </c>
      <c r="V142" s="43">
        <v>0</v>
      </c>
      <c r="W142" s="43">
        <v>0</v>
      </c>
      <c r="X142" s="44">
        <f t="shared" si="18"/>
        <v>0</v>
      </c>
      <c r="Y142" s="43">
        <v>0</v>
      </c>
      <c r="Z142" s="43">
        <v>0</v>
      </c>
      <c r="AA142" s="43">
        <v>0</v>
      </c>
      <c r="AB142" s="43">
        <v>0</v>
      </c>
      <c r="AC142" s="43">
        <v>0</v>
      </c>
      <c r="AD142" s="43">
        <v>0</v>
      </c>
      <c r="AE142" s="43">
        <v>0</v>
      </c>
      <c r="AF142" s="43">
        <v>0</v>
      </c>
      <c r="AG142" s="43">
        <v>0</v>
      </c>
      <c r="AH142" s="43">
        <v>0</v>
      </c>
      <c r="AI142" s="43">
        <v>0</v>
      </c>
      <c r="AJ142" s="43">
        <v>0</v>
      </c>
      <c r="AK142" s="44">
        <f t="shared" si="19"/>
        <v>0</v>
      </c>
      <c r="AL142" s="43">
        <v>0</v>
      </c>
      <c r="AM142" s="43">
        <v>0</v>
      </c>
      <c r="AN142" s="43">
        <v>0</v>
      </c>
      <c r="AO142" s="43">
        <v>0</v>
      </c>
      <c r="AP142" s="43">
        <v>0</v>
      </c>
      <c r="AQ142" s="43">
        <v>0</v>
      </c>
      <c r="AR142" s="43">
        <v>0</v>
      </c>
      <c r="AS142" s="43">
        <v>0</v>
      </c>
      <c r="AT142" s="43">
        <v>250</v>
      </c>
      <c r="AU142" s="43">
        <v>250</v>
      </c>
      <c r="AV142" s="43">
        <v>250</v>
      </c>
      <c r="AW142" s="43">
        <v>250</v>
      </c>
      <c r="AX142" s="44">
        <f t="shared" si="20"/>
        <v>1000</v>
      </c>
      <c r="AY142" s="317">
        <f>SUMIF(Recibos!$D$4:$D$3010,Cobranza!$B142,Recibos!K$4:K$3010)</f>
        <v>250</v>
      </c>
      <c r="AZ142" s="317">
        <f>SUMIF(Recibos!$D$4:$D$3010,Cobranza!$B142,Recibos!L$4:L$3010)</f>
        <v>250</v>
      </c>
      <c r="BA142" s="317">
        <f>SUMIF(Recibos!$D$4:$D$3010,Cobranza!$B142,Recibos!M$4:M$3010)</f>
        <v>250</v>
      </c>
      <c r="BB142" s="317">
        <f>SUMIF(Recibos!$D$4:$D$3010,Cobranza!$B142,Recibos!N$4:N$3010)</f>
        <v>250</v>
      </c>
      <c r="BC142" s="317">
        <f>SUMIF(Recibos!$D$4:$D$3010,Cobranza!$B142,Recibos!O$4:O$3010)</f>
        <v>250</v>
      </c>
      <c r="BD142" s="317">
        <f>SUMIF(Recibos!$D$4:$D$3010,Cobranza!$B142,Recibos!P$4:P$3010)</f>
        <v>250</v>
      </c>
      <c r="BE142" s="317">
        <f>SUMIF(Recibos!$D$4:$D$3010,Cobranza!$B142,Recibos!Q$4:Q$3010)</f>
        <v>250</v>
      </c>
      <c r="BF142" s="317">
        <f>SUMIF(Recibos!$D$4:$D$3010,Cobranza!$B142,Recibos!R$4:R$3010)</f>
        <v>250</v>
      </c>
      <c r="BG142" s="317">
        <f>SUMIF(Recibos!$D$4:$D$3010,Cobranza!$B142,Recibos!S$4:S$3010)</f>
        <v>250</v>
      </c>
      <c r="BH142" s="317">
        <f>SUMIF(Recibos!$D$4:$D$3010,Cobranza!$B142,Recibos!T$4:T$3010)</f>
        <v>250</v>
      </c>
      <c r="BI142" s="317">
        <f>SUMIF(Recibos!$D$4:$D$3010,Cobranza!$B142,Recibos!U$4:U$3010)</f>
        <v>250</v>
      </c>
      <c r="BJ142" s="317">
        <f>SUMIF(Recibos!$D$4:$D$3010,Cobranza!$B142,Recibos!V$4:V$3010)</f>
        <v>0</v>
      </c>
      <c r="BK142" s="318">
        <f t="shared" si="13"/>
        <v>2750</v>
      </c>
      <c r="BL142" s="317">
        <f>SUMIF(Recibos!$D$4:$D$3010,Cobranza!$B142,Recibos!X$4:X$3010)</f>
        <v>200</v>
      </c>
      <c r="BM142" s="317">
        <f>SUMIF(Recibos!$D$4:$D$3010,Cobranza!$B142,Recibos!Y$4:Y$3010)</f>
        <v>200</v>
      </c>
      <c r="BN142" s="317">
        <f>SUMIF(Recibos!$D$4:$D$3010,Cobranza!$B142,Recibos!Z$4:Z$3010)</f>
        <v>200</v>
      </c>
      <c r="BO142" s="317">
        <f>SUMIF(Recibos!$D$4:$D$3010,Cobranza!$B142,Recibos!AA$4:AA$3010)</f>
        <v>200</v>
      </c>
      <c r="BP142" s="317">
        <f>SUMIF(Recibos!$D$4:$D$3010,Cobranza!$B142,Recibos!AB$4:AB$3010)</f>
        <v>200</v>
      </c>
      <c r="BQ142" s="317">
        <f>SUMIF(Recibos!$D$4:$D$3010,Cobranza!$B142,Recibos!AC$4:AC$3010)</f>
        <v>200</v>
      </c>
      <c r="BR142" s="317">
        <f>SUMIF(Recibos!$D$4:$D$3010,Cobranza!$B142,Recibos!AD$4:AD$3010)</f>
        <v>200</v>
      </c>
      <c r="BS142" s="317">
        <f>SUMIF(Recibos!$D$4:$D$3010,Cobranza!$B142,Recibos!AE$4:AE$3010)</f>
        <v>200</v>
      </c>
      <c r="BT142" s="317">
        <f>SUMIF(Recibos!$D$4:$D$3010,Cobranza!$B142,Recibos!AF$4:AF$3010)</f>
        <v>200</v>
      </c>
      <c r="BU142" s="317">
        <f>SUMIF(Recibos!$D$4:$D$3010,Cobranza!$B142,Recibos!AG$4:AG$3010)</f>
        <v>200</v>
      </c>
      <c r="BV142" s="317">
        <f>SUMIF(Recibos!$D$4:$D$3010,Cobranza!$B142,Recibos!AH$4:AH$3010)</f>
        <v>200</v>
      </c>
      <c r="BW142" s="317">
        <f>SUMIF(Recibos!$D$4:$D$3010,Cobranza!$B142,Recibos!AI$4:AI$3010)</f>
        <v>0</v>
      </c>
      <c r="BX142" s="318">
        <f t="shared" si="14"/>
        <v>2200</v>
      </c>
    </row>
    <row r="143" spans="2:76" x14ac:dyDescent="0.2">
      <c r="B143" s="45" t="s">
        <v>911</v>
      </c>
      <c r="C143" s="45" t="s">
        <v>912</v>
      </c>
      <c r="D143" s="45" t="s">
        <v>397</v>
      </c>
      <c r="E143" s="46">
        <v>0</v>
      </c>
      <c r="F143" s="46">
        <v>0</v>
      </c>
      <c r="G143" s="46">
        <v>0</v>
      </c>
      <c r="H143" s="46">
        <v>0</v>
      </c>
      <c r="I143" s="46">
        <v>0</v>
      </c>
      <c r="J143" s="46">
        <v>300</v>
      </c>
      <c r="K143" s="47">
        <f t="shared" si="17"/>
        <v>300</v>
      </c>
      <c r="L143" s="46">
        <v>300</v>
      </c>
      <c r="M143" s="46">
        <v>300</v>
      </c>
      <c r="N143" s="46">
        <v>300</v>
      </c>
      <c r="O143" s="46">
        <v>300</v>
      </c>
      <c r="P143" s="46">
        <v>300</v>
      </c>
      <c r="Q143" s="46">
        <v>300</v>
      </c>
      <c r="R143" s="46">
        <v>300</v>
      </c>
      <c r="S143" s="46">
        <v>300</v>
      </c>
      <c r="T143" s="46">
        <v>300</v>
      </c>
      <c r="U143" s="46">
        <v>400</v>
      </c>
      <c r="V143" s="46">
        <v>400</v>
      </c>
      <c r="W143" s="46">
        <v>400</v>
      </c>
      <c r="X143" s="47">
        <f t="shared" si="18"/>
        <v>3900</v>
      </c>
      <c r="Y143" s="46">
        <v>400</v>
      </c>
      <c r="Z143" s="46">
        <v>400</v>
      </c>
      <c r="AA143" s="46">
        <v>400</v>
      </c>
      <c r="AB143" s="46">
        <v>400</v>
      </c>
      <c r="AC143" s="46">
        <v>400</v>
      </c>
      <c r="AD143" s="46">
        <v>400</v>
      </c>
      <c r="AE143" s="46">
        <v>400</v>
      </c>
      <c r="AF143" s="46">
        <v>400</v>
      </c>
      <c r="AG143" s="46">
        <v>400</v>
      </c>
      <c r="AH143" s="46">
        <v>400</v>
      </c>
      <c r="AI143" s="46">
        <v>400</v>
      </c>
      <c r="AJ143" s="46">
        <v>400</v>
      </c>
      <c r="AK143" s="47">
        <f t="shared" si="19"/>
        <v>4800</v>
      </c>
      <c r="AL143" s="46">
        <v>400</v>
      </c>
      <c r="AM143" s="46">
        <v>400</v>
      </c>
      <c r="AN143" s="46">
        <v>400</v>
      </c>
      <c r="AO143" s="46">
        <v>400</v>
      </c>
      <c r="AP143" s="46">
        <v>400</v>
      </c>
      <c r="AQ143" s="46">
        <v>400</v>
      </c>
      <c r="AR143" s="46">
        <v>400</v>
      </c>
      <c r="AS143" s="46">
        <v>400</v>
      </c>
      <c r="AT143" s="46">
        <v>300</v>
      </c>
      <c r="AU143" s="46">
        <v>300</v>
      </c>
      <c r="AV143" s="46">
        <v>300</v>
      </c>
      <c r="AW143" s="46">
        <v>300</v>
      </c>
      <c r="AX143" s="47">
        <f t="shared" si="20"/>
        <v>4400</v>
      </c>
      <c r="AY143" s="319">
        <f>SUMIF(Recibos!$D$4:$D$3010,Cobranza!$B143,Recibos!K$4:K$3010)</f>
        <v>400</v>
      </c>
      <c r="AZ143" s="319">
        <f>SUMIF(Recibos!$D$4:$D$3010,Cobranza!$B143,Recibos!L$4:L$3010)</f>
        <v>400</v>
      </c>
      <c r="BA143" s="319">
        <f>SUMIF(Recibos!$D$4:$D$3010,Cobranza!$B143,Recibos!M$4:M$3010)</f>
        <v>400</v>
      </c>
      <c r="BB143" s="319">
        <f>SUMIF(Recibos!$D$4:$D$3010,Cobranza!$B143,Recibos!N$4:N$3010)</f>
        <v>400</v>
      </c>
      <c r="BC143" s="319">
        <f>SUMIF(Recibos!$D$4:$D$3010,Cobranza!$B143,Recibos!O$4:O$3010)</f>
        <v>400</v>
      </c>
      <c r="BD143" s="319">
        <f>SUMIF(Recibos!$D$4:$D$3010,Cobranza!$B143,Recibos!P$4:P$3010)</f>
        <v>400</v>
      </c>
      <c r="BE143" s="319">
        <f>SUMIF(Recibos!$D$4:$D$3010,Cobranza!$B143,Recibos!Q$4:Q$3010)</f>
        <v>400</v>
      </c>
      <c r="BF143" s="319">
        <f>SUMIF(Recibos!$D$4:$D$3010,Cobranza!$B143,Recibos!R$4:R$3010)</f>
        <v>400</v>
      </c>
      <c r="BG143" s="319">
        <f>SUMIF(Recibos!$D$4:$D$3010,Cobranza!$B143,Recibos!S$4:S$3010)</f>
        <v>400</v>
      </c>
      <c r="BH143" s="319">
        <f>SUMIF(Recibos!$D$4:$D$3010,Cobranza!$B143,Recibos!T$4:T$3010)</f>
        <v>400</v>
      </c>
      <c r="BI143" s="319">
        <f>SUMIF(Recibos!$D$4:$D$3010,Cobranza!$B143,Recibos!U$4:U$3010)</f>
        <v>400</v>
      </c>
      <c r="BJ143" s="319">
        <f>SUMIF(Recibos!$D$4:$D$3010,Cobranza!$B143,Recibos!V$4:V$3010)</f>
        <v>400</v>
      </c>
      <c r="BK143" s="320">
        <f t="shared" si="13"/>
        <v>4800</v>
      </c>
      <c r="BL143" s="319">
        <f>SUMIF(Recibos!$D$4:$D$3010,Cobranza!$B143,Recibos!X$4:X$3010)</f>
        <v>0</v>
      </c>
      <c r="BM143" s="319">
        <f>SUMIF(Recibos!$D$4:$D$3010,Cobranza!$B143,Recibos!Y$4:Y$3010)</f>
        <v>0</v>
      </c>
      <c r="BN143" s="319">
        <f>SUMIF(Recibos!$D$4:$D$3010,Cobranza!$B143,Recibos!Z$4:Z$3010)</f>
        <v>0</v>
      </c>
      <c r="BO143" s="319">
        <f>SUMIF(Recibos!$D$4:$D$3010,Cobranza!$B143,Recibos!AA$4:AA$3010)</f>
        <v>0</v>
      </c>
      <c r="BP143" s="319">
        <f>SUMIF(Recibos!$D$4:$D$3010,Cobranza!$B143,Recibos!AB$4:AB$3010)</f>
        <v>0</v>
      </c>
      <c r="BQ143" s="319">
        <f>SUMIF(Recibos!$D$4:$D$3010,Cobranza!$B143,Recibos!AC$4:AC$3010)</f>
        <v>0</v>
      </c>
      <c r="BR143" s="319">
        <f>SUMIF(Recibos!$D$4:$D$3010,Cobranza!$B143,Recibos!AD$4:AD$3010)</f>
        <v>0</v>
      </c>
      <c r="BS143" s="319">
        <f>SUMIF(Recibos!$D$4:$D$3010,Cobranza!$B143,Recibos!AE$4:AE$3010)</f>
        <v>0</v>
      </c>
      <c r="BT143" s="319">
        <f>SUMIF(Recibos!$D$4:$D$3010,Cobranza!$B143,Recibos!AF$4:AF$3010)</f>
        <v>0</v>
      </c>
      <c r="BU143" s="319">
        <f>SUMIF(Recibos!$D$4:$D$3010,Cobranza!$B143,Recibos!AG$4:AG$3010)</f>
        <v>0</v>
      </c>
      <c r="BV143" s="319">
        <f>SUMIF(Recibos!$D$4:$D$3010,Cobranza!$B143,Recibos!AH$4:AH$3010)</f>
        <v>0</v>
      </c>
      <c r="BW143" s="319">
        <f>SUMIF(Recibos!$D$4:$D$3010,Cobranza!$B143,Recibos!AI$4:AI$3010)</f>
        <v>0</v>
      </c>
      <c r="BX143" s="320">
        <f t="shared" si="14"/>
        <v>0</v>
      </c>
    </row>
    <row r="144" spans="2:76" x14ac:dyDescent="0.2">
      <c r="B144" s="42" t="s">
        <v>598</v>
      </c>
      <c r="C144" s="42" t="s">
        <v>599</v>
      </c>
      <c r="D144" s="42" t="s">
        <v>886</v>
      </c>
      <c r="E144" s="43">
        <v>0</v>
      </c>
      <c r="F144" s="43">
        <v>0</v>
      </c>
      <c r="G144" s="43">
        <v>0</v>
      </c>
      <c r="H144" s="43">
        <v>0</v>
      </c>
      <c r="I144" s="43">
        <v>0</v>
      </c>
      <c r="J144" s="43">
        <v>300</v>
      </c>
      <c r="K144" s="44">
        <f t="shared" si="17"/>
        <v>300</v>
      </c>
      <c r="L144" s="43">
        <v>300</v>
      </c>
      <c r="M144" s="43">
        <v>300</v>
      </c>
      <c r="N144" s="43">
        <v>300</v>
      </c>
      <c r="O144" s="43">
        <v>300</v>
      </c>
      <c r="P144" s="43">
        <v>300</v>
      </c>
      <c r="Q144" s="43">
        <v>300</v>
      </c>
      <c r="R144" s="43">
        <v>0</v>
      </c>
      <c r="S144" s="43">
        <v>0</v>
      </c>
      <c r="T144" s="43">
        <v>0</v>
      </c>
      <c r="U144" s="43">
        <v>0</v>
      </c>
      <c r="V144" s="43">
        <v>0</v>
      </c>
      <c r="W144" s="43">
        <v>0</v>
      </c>
      <c r="X144" s="44">
        <f t="shared" si="18"/>
        <v>1800</v>
      </c>
      <c r="Y144" s="43">
        <v>0</v>
      </c>
      <c r="Z144" s="43">
        <v>0</v>
      </c>
      <c r="AA144" s="43">
        <v>0</v>
      </c>
      <c r="AB144" s="43">
        <v>0</v>
      </c>
      <c r="AC144" s="43">
        <v>0</v>
      </c>
      <c r="AD144" s="43">
        <v>0</v>
      </c>
      <c r="AE144" s="43">
        <v>0</v>
      </c>
      <c r="AF144" s="43">
        <v>0</v>
      </c>
      <c r="AG144" s="43">
        <v>0</v>
      </c>
      <c r="AH144" s="43">
        <v>0</v>
      </c>
      <c r="AI144" s="43">
        <v>0</v>
      </c>
      <c r="AJ144" s="43">
        <v>0</v>
      </c>
      <c r="AK144" s="44">
        <f t="shared" si="19"/>
        <v>0</v>
      </c>
      <c r="AL144" s="43">
        <v>0</v>
      </c>
      <c r="AM144" s="43">
        <v>0</v>
      </c>
      <c r="AN144" s="43">
        <v>0</v>
      </c>
      <c r="AO144" s="43">
        <v>0</v>
      </c>
      <c r="AP144" s="43">
        <v>0</v>
      </c>
      <c r="AQ144" s="43">
        <v>0</v>
      </c>
      <c r="AR144" s="43">
        <v>0</v>
      </c>
      <c r="AS144" s="43">
        <v>0</v>
      </c>
      <c r="AT144" s="43">
        <v>400</v>
      </c>
      <c r="AU144" s="43">
        <v>0</v>
      </c>
      <c r="AV144" s="43">
        <v>0</v>
      </c>
      <c r="AW144" s="43">
        <v>0</v>
      </c>
      <c r="AX144" s="44">
        <f t="shared" si="20"/>
        <v>400</v>
      </c>
      <c r="AY144" s="317">
        <f>SUMIF(Recibos!$D$4:$D$3010,Cobranza!$B144,Recibos!K$4:K$3010)</f>
        <v>0</v>
      </c>
      <c r="AZ144" s="317">
        <f>SUMIF(Recibos!$D$4:$D$3010,Cobranza!$B144,Recibos!L$4:L$3010)</f>
        <v>0</v>
      </c>
      <c r="BA144" s="317">
        <f>SUMIF(Recibos!$D$4:$D$3010,Cobranza!$B144,Recibos!M$4:M$3010)</f>
        <v>0</v>
      </c>
      <c r="BB144" s="317">
        <f>SUMIF(Recibos!$D$4:$D$3010,Cobranza!$B144,Recibos!N$4:N$3010)</f>
        <v>0</v>
      </c>
      <c r="BC144" s="317">
        <f>SUMIF(Recibos!$D$4:$D$3010,Cobranza!$B144,Recibos!O$4:O$3010)</f>
        <v>400</v>
      </c>
      <c r="BD144" s="317">
        <f>SUMIF(Recibos!$D$4:$D$3010,Cobranza!$B144,Recibos!P$4:P$3010)</f>
        <v>400</v>
      </c>
      <c r="BE144" s="317">
        <f>SUMIF(Recibos!$D$4:$D$3010,Cobranza!$B144,Recibos!Q$4:Q$3010)</f>
        <v>400</v>
      </c>
      <c r="BF144" s="317">
        <f>SUMIF(Recibos!$D$4:$D$3010,Cobranza!$B144,Recibos!R$4:R$3010)</f>
        <v>400</v>
      </c>
      <c r="BG144" s="317">
        <f>SUMIF(Recibos!$D$4:$D$3010,Cobranza!$B144,Recibos!S$4:S$3010)</f>
        <v>400</v>
      </c>
      <c r="BH144" s="317">
        <f>SUMIF(Recibos!$D$4:$D$3010,Cobranza!$B144,Recibos!T$4:T$3010)</f>
        <v>400</v>
      </c>
      <c r="BI144" s="317">
        <f>SUMIF(Recibos!$D$4:$D$3010,Cobranza!$B144,Recibos!U$4:U$3010)</f>
        <v>0</v>
      </c>
      <c r="BJ144" s="317">
        <f>SUMIF(Recibos!$D$4:$D$3010,Cobranza!$B144,Recibos!V$4:V$3010)</f>
        <v>0</v>
      </c>
      <c r="BK144" s="318">
        <f t="shared" si="13"/>
        <v>2400</v>
      </c>
      <c r="BL144" s="317">
        <f>SUMIF(Recibos!$D$4:$D$3010,Cobranza!$B144,Recibos!X$4:X$3010)</f>
        <v>0</v>
      </c>
      <c r="BM144" s="317">
        <f>SUMIF(Recibos!$D$4:$D$3010,Cobranza!$B144,Recibos!Y$4:Y$3010)</f>
        <v>0</v>
      </c>
      <c r="BN144" s="317">
        <f>SUMIF(Recibos!$D$4:$D$3010,Cobranza!$B144,Recibos!Z$4:Z$3010)</f>
        <v>0</v>
      </c>
      <c r="BO144" s="317">
        <f>SUMIF(Recibos!$D$4:$D$3010,Cobranza!$B144,Recibos!AA$4:AA$3010)</f>
        <v>0</v>
      </c>
      <c r="BP144" s="317">
        <f>SUMIF(Recibos!$D$4:$D$3010,Cobranza!$B144,Recibos!AB$4:AB$3010)</f>
        <v>0</v>
      </c>
      <c r="BQ144" s="317">
        <f>SUMIF(Recibos!$D$4:$D$3010,Cobranza!$B144,Recibos!AC$4:AC$3010)</f>
        <v>0</v>
      </c>
      <c r="BR144" s="317">
        <f>SUMIF(Recibos!$D$4:$D$3010,Cobranza!$B144,Recibos!AD$4:AD$3010)</f>
        <v>0</v>
      </c>
      <c r="BS144" s="317">
        <f>SUMIF(Recibos!$D$4:$D$3010,Cobranza!$B144,Recibos!AE$4:AE$3010)</f>
        <v>0</v>
      </c>
      <c r="BT144" s="317">
        <f>SUMIF(Recibos!$D$4:$D$3010,Cobranza!$B144,Recibos!AF$4:AF$3010)</f>
        <v>0</v>
      </c>
      <c r="BU144" s="317">
        <f>SUMIF(Recibos!$D$4:$D$3010,Cobranza!$B144,Recibos!AG$4:AG$3010)</f>
        <v>0</v>
      </c>
      <c r="BV144" s="317">
        <f>SUMIF(Recibos!$D$4:$D$3010,Cobranza!$B144,Recibos!AH$4:AH$3010)</f>
        <v>0</v>
      </c>
      <c r="BW144" s="317">
        <f>SUMIF(Recibos!$D$4:$D$3010,Cobranza!$B144,Recibos!AI$4:AI$3010)</f>
        <v>0</v>
      </c>
      <c r="BX144" s="318">
        <f t="shared" si="14"/>
        <v>0</v>
      </c>
    </row>
    <row r="145" spans="2:76" x14ac:dyDescent="0.2">
      <c r="B145" s="45" t="s">
        <v>202</v>
      </c>
      <c r="C145" s="45" t="s">
        <v>203</v>
      </c>
      <c r="D145" s="45" t="s">
        <v>204</v>
      </c>
      <c r="E145" s="46">
        <v>0</v>
      </c>
      <c r="F145" s="46">
        <v>0</v>
      </c>
      <c r="G145" s="46">
        <v>0</v>
      </c>
      <c r="H145" s="46">
        <v>0</v>
      </c>
      <c r="I145" s="46">
        <v>0</v>
      </c>
      <c r="J145" s="46">
        <v>300</v>
      </c>
      <c r="K145" s="47">
        <f t="shared" si="17"/>
        <v>300</v>
      </c>
      <c r="L145" s="46">
        <v>300</v>
      </c>
      <c r="M145" s="46">
        <v>300</v>
      </c>
      <c r="N145" s="46">
        <v>300</v>
      </c>
      <c r="O145" s="46">
        <v>300</v>
      </c>
      <c r="P145" s="46">
        <v>300</v>
      </c>
      <c r="Q145" s="46">
        <v>300</v>
      </c>
      <c r="R145" s="46">
        <v>300</v>
      </c>
      <c r="S145" s="46">
        <v>300</v>
      </c>
      <c r="T145" s="46">
        <v>300</v>
      </c>
      <c r="U145" s="46">
        <v>300</v>
      </c>
      <c r="V145" s="46">
        <v>300</v>
      </c>
      <c r="W145" s="46">
        <v>300</v>
      </c>
      <c r="X145" s="47">
        <f t="shared" si="18"/>
        <v>3600</v>
      </c>
      <c r="Y145" s="46">
        <v>800</v>
      </c>
      <c r="Z145" s="46">
        <v>800</v>
      </c>
      <c r="AA145" s="46">
        <v>400</v>
      </c>
      <c r="AB145" s="46">
        <v>400</v>
      </c>
      <c r="AC145" s="46">
        <v>400</v>
      </c>
      <c r="AD145" s="46">
        <v>400</v>
      </c>
      <c r="AE145" s="46">
        <v>0</v>
      </c>
      <c r="AF145" s="46">
        <v>0</v>
      </c>
      <c r="AG145" s="46">
        <v>0</v>
      </c>
      <c r="AH145" s="46">
        <v>0</v>
      </c>
      <c r="AI145" s="46">
        <v>0</v>
      </c>
      <c r="AJ145" s="46">
        <v>0</v>
      </c>
      <c r="AK145" s="47">
        <f t="shared" si="19"/>
        <v>3200</v>
      </c>
      <c r="AL145" s="46">
        <v>0</v>
      </c>
      <c r="AM145" s="46">
        <v>0</v>
      </c>
      <c r="AN145" s="46">
        <v>0</v>
      </c>
      <c r="AO145" s="46">
        <v>0</v>
      </c>
      <c r="AP145" s="46">
        <v>0</v>
      </c>
      <c r="AQ145" s="46">
        <v>0</v>
      </c>
      <c r="AR145" s="46">
        <v>0</v>
      </c>
      <c r="AS145" s="46">
        <v>0</v>
      </c>
      <c r="AT145" s="46">
        <v>0</v>
      </c>
      <c r="AU145" s="46">
        <v>0</v>
      </c>
      <c r="AV145" s="46">
        <v>0</v>
      </c>
      <c r="AW145" s="46">
        <v>0</v>
      </c>
      <c r="AX145" s="47">
        <f t="shared" si="20"/>
        <v>0</v>
      </c>
      <c r="AY145" s="319">
        <f>SUMIF(Recibos!$D$4:$D$3010,Cobranza!$B145,Recibos!K$4:K$3010)</f>
        <v>400</v>
      </c>
      <c r="AZ145" s="319">
        <f>SUMIF(Recibos!$D$4:$D$3010,Cobranza!$B145,Recibos!L$4:L$3010)</f>
        <v>400</v>
      </c>
      <c r="BA145" s="319">
        <f>SUMIF(Recibos!$D$4:$D$3010,Cobranza!$B145,Recibos!M$4:M$3010)</f>
        <v>400</v>
      </c>
      <c r="BB145" s="319">
        <f>SUMIF(Recibos!$D$4:$D$3010,Cobranza!$B145,Recibos!N$4:N$3010)</f>
        <v>400</v>
      </c>
      <c r="BC145" s="319">
        <f>SUMIF(Recibos!$D$4:$D$3010,Cobranza!$B145,Recibos!O$4:O$3010)</f>
        <v>400</v>
      </c>
      <c r="BD145" s="319">
        <f>SUMIF(Recibos!$D$4:$D$3010,Cobranza!$B145,Recibos!P$4:P$3010)</f>
        <v>400</v>
      </c>
      <c r="BE145" s="319">
        <f>SUMIF(Recibos!$D$4:$D$3010,Cobranza!$B145,Recibos!Q$4:Q$3010)</f>
        <v>400</v>
      </c>
      <c r="BF145" s="319">
        <f>SUMIF(Recibos!$D$4:$D$3010,Cobranza!$B145,Recibos!R$4:R$3010)</f>
        <v>400</v>
      </c>
      <c r="BG145" s="319">
        <f>SUMIF(Recibos!$D$4:$D$3010,Cobranza!$B145,Recibos!S$4:S$3010)</f>
        <v>400</v>
      </c>
      <c r="BH145" s="319">
        <f>SUMIF(Recibos!$D$4:$D$3010,Cobranza!$B145,Recibos!T$4:T$3010)</f>
        <v>400</v>
      </c>
      <c r="BI145" s="319">
        <f>SUMIF(Recibos!$D$4:$D$3010,Cobranza!$B145,Recibos!U$4:U$3010)</f>
        <v>400</v>
      </c>
      <c r="BJ145" s="319">
        <f>SUMIF(Recibos!$D$4:$D$3010,Cobranza!$B145,Recibos!V$4:V$3010)</f>
        <v>400</v>
      </c>
      <c r="BK145" s="320">
        <f t="shared" si="13"/>
        <v>4800</v>
      </c>
      <c r="BL145" s="319">
        <f>SUMIF(Recibos!$D$4:$D$3010,Cobranza!$B145,Recibos!X$4:X$3010)</f>
        <v>0</v>
      </c>
      <c r="BM145" s="319">
        <f>SUMIF(Recibos!$D$4:$D$3010,Cobranza!$B145,Recibos!Y$4:Y$3010)</f>
        <v>0</v>
      </c>
      <c r="BN145" s="319">
        <f>SUMIF(Recibos!$D$4:$D$3010,Cobranza!$B145,Recibos!Z$4:Z$3010)</f>
        <v>0</v>
      </c>
      <c r="BO145" s="319">
        <f>SUMIF(Recibos!$D$4:$D$3010,Cobranza!$B145,Recibos!AA$4:AA$3010)</f>
        <v>0</v>
      </c>
      <c r="BP145" s="319">
        <f>SUMIF(Recibos!$D$4:$D$3010,Cobranza!$B145,Recibos!AB$4:AB$3010)</f>
        <v>0</v>
      </c>
      <c r="BQ145" s="319">
        <f>SUMIF(Recibos!$D$4:$D$3010,Cobranza!$B145,Recibos!AC$4:AC$3010)</f>
        <v>0</v>
      </c>
      <c r="BR145" s="319">
        <f>SUMIF(Recibos!$D$4:$D$3010,Cobranza!$B145,Recibos!AD$4:AD$3010)</f>
        <v>0</v>
      </c>
      <c r="BS145" s="319">
        <f>SUMIF(Recibos!$D$4:$D$3010,Cobranza!$B145,Recibos!AE$4:AE$3010)</f>
        <v>0</v>
      </c>
      <c r="BT145" s="319">
        <f>SUMIF(Recibos!$D$4:$D$3010,Cobranza!$B145,Recibos!AF$4:AF$3010)</f>
        <v>0</v>
      </c>
      <c r="BU145" s="319">
        <f>SUMIF(Recibos!$D$4:$D$3010,Cobranza!$B145,Recibos!AG$4:AG$3010)</f>
        <v>0</v>
      </c>
      <c r="BV145" s="319">
        <f>SUMIF(Recibos!$D$4:$D$3010,Cobranza!$B145,Recibos!AH$4:AH$3010)</f>
        <v>0</v>
      </c>
      <c r="BW145" s="319">
        <f>SUMIF(Recibos!$D$4:$D$3010,Cobranza!$B145,Recibos!AI$4:AI$3010)</f>
        <v>0</v>
      </c>
      <c r="BX145" s="320">
        <f t="shared" si="14"/>
        <v>0</v>
      </c>
    </row>
    <row r="146" spans="2:76" x14ac:dyDescent="0.2">
      <c r="B146" s="42" t="s">
        <v>109</v>
      </c>
      <c r="C146" s="42" t="s">
        <v>110</v>
      </c>
      <c r="D146" s="42" t="s">
        <v>111</v>
      </c>
      <c r="E146" s="43">
        <v>0</v>
      </c>
      <c r="F146" s="43">
        <v>0</v>
      </c>
      <c r="G146" s="43">
        <v>0</v>
      </c>
      <c r="H146" s="43">
        <v>0</v>
      </c>
      <c r="I146" s="43">
        <v>0</v>
      </c>
      <c r="J146" s="43">
        <v>300</v>
      </c>
      <c r="K146" s="44">
        <f t="shared" si="17"/>
        <v>300</v>
      </c>
      <c r="L146" s="43">
        <v>300</v>
      </c>
      <c r="M146" s="43">
        <v>300</v>
      </c>
      <c r="N146" s="43">
        <v>300</v>
      </c>
      <c r="O146" s="43">
        <v>300</v>
      </c>
      <c r="P146" s="43">
        <v>300</v>
      </c>
      <c r="Q146" s="43">
        <v>300</v>
      </c>
      <c r="R146" s="43">
        <v>300</v>
      </c>
      <c r="S146" s="43">
        <v>300</v>
      </c>
      <c r="T146" s="43">
        <v>300</v>
      </c>
      <c r="U146" s="43">
        <v>400</v>
      </c>
      <c r="V146" s="43">
        <v>400</v>
      </c>
      <c r="W146" s="43">
        <v>400</v>
      </c>
      <c r="X146" s="44">
        <f t="shared" si="18"/>
        <v>3900</v>
      </c>
      <c r="Y146" s="43">
        <v>400</v>
      </c>
      <c r="Z146" s="43">
        <v>400</v>
      </c>
      <c r="AA146" s="43">
        <v>400</v>
      </c>
      <c r="AB146" s="43">
        <v>400</v>
      </c>
      <c r="AC146" s="43">
        <v>400</v>
      </c>
      <c r="AD146" s="43">
        <v>400</v>
      </c>
      <c r="AE146" s="43">
        <v>400</v>
      </c>
      <c r="AF146" s="43">
        <v>400</v>
      </c>
      <c r="AG146" s="43">
        <v>400</v>
      </c>
      <c r="AH146" s="43">
        <v>400</v>
      </c>
      <c r="AI146" s="43">
        <v>400</v>
      </c>
      <c r="AJ146" s="43">
        <v>400</v>
      </c>
      <c r="AK146" s="44">
        <f t="shared" si="19"/>
        <v>4800</v>
      </c>
      <c r="AL146" s="43">
        <v>400</v>
      </c>
      <c r="AM146" s="43">
        <v>400</v>
      </c>
      <c r="AN146" s="43">
        <v>400</v>
      </c>
      <c r="AO146" s="43">
        <v>400</v>
      </c>
      <c r="AP146" s="43">
        <v>400</v>
      </c>
      <c r="AQ146" s="43">
        <v>400</v>
      </c>
      <c r="AR146" s="43">
        <v>400</v>
      </c>
      <c r="AS146" s="43">
        <v>400</v>
      </c>
      <c r="AT146" s="43">
        <v>400</v>
      </c>
      <c r="AU146" s="43">
        <v>400</v>
      </c>
      <c r="AV146" s="43">
        <v>400</v>
      </c>
      <c r="AW146" s="43">
        <v>400</v>
      </c>
      <c r="AX146" s="44">
        <f t="shared" si="20"/>
        <v>4800</v>
      </c>
      <c r="AY146" s="317">
        <f>SUMIF(Recibos!$D$4:$D$3010,Cobranza!$B146,Recibos!K$4:K$3010)</f>
        <v>400</v>
      </c>
      <c r="AZ146" s="317">
        <f>SUMIF(Recibos!$D$4:$D$3010,Cobranza!$B146,Recibos!L$4:L$3010)</f>
        <v>400</v>
      </c>
      <c r="BA146" s="317">
        <f>SUMIF(Recibos!$D$4:$D$3010,Cobranza!$B146,Recibos!M$4:M$3010)</f>
        <v>400</v>
      </c>
      <c r="BB146" s="317">
        <f>SUMIF(Recibos!$D$4:$D$3010,Cobranza!$B146,Recibos!N$4:N$3010)</f>
        <v>400</v>
      </c>
      <c r="BC146" s="317">
        <f>SUMIF(Recibos!$D$4:$D$3010,Cobranza!$B146,Recibos!O$4:O$3010)</f>
        <v>400</v>
      </c>
      <c r="BD146" s="317">
        <f>SUMIF(Recibos!$D$4:$D$3010,Cobranza!$B146,Recibos!P$4:P$3010)</f>
        <v>400</v>
      </c>
      <c r="BE146" s="317">
        <f>SUMIF(Recibos!$D$4:$D$3010,Cobranza!$B146,Recibos!Q$4:Q$3010)</f>
        <v>400</v>
      </c>
      <c r="BF146" s="317">
        <f>SUMIF(Recibos!$D$4:$D$3010,Cobranza!$B146,Recibos!R$4:R$3010)</f>
        <v>400</v>
      </c>
      <c r="BG146" s="317">
        <f>SUMIF(Recibos!$D$4:$D$3010,Cobranza!$B146,Recibos!S$4:S$3010)</f>
        <v>400</v>
      </c>
      <c r="BH146" s="317">
        <f>SUMIF(Recibos!$D$4:$D$3010,Cobranza!$B146,Recibos!T$4:T$3010)</f>
        <v>400</v>
      </c>
      <c r="BI146" s="317">
        <f>SUMIF(Recibos!$D$4:$D$3010,Cobranza!$B146,Recibos!U$4:U$3010)</f>
        <v>400</v>
      </c>
      <c r="BJ146" s="317">
        <f>SUMIF(Recibos!$D$4:$D$3010,Cobranza!$B146,Recibos!V$4:V$3010)</f>
        <v>400</v>
      </c>
      <c r="BK146" s="318">
        <f t="shared" ref="BK146:BK209" si="21">SUM(AY146:BJ146)</f>
        <v>4800</v>
      </c>
      <c r="BL146" s="317">
        <f>SUMIF(Recibos!$D$4:$D$3010,Cobranza!$B146,Recibos!X$4:X$3010)</f>
        <v>0</v>
      </c>
      <c r="BM146" s="317">
        <f>SUMIF(Recibos!$D$4:$D$3010,Cobranza!$B146,Recibos!Y$4:Y$3010)</f>
        <v>0</v>
      </c>
      <c r="BN146" s="317">
        <f>SUMIF(Recibos!$D$4:$D$3010,Cobranza!$B146,Recibos!Z$4:Z$3010)</f>
        <v>0</v>
      </c>
      <c r="BO146" s="317">
        <f>SUMIF(Recibos!$D$4:$D$3010,Cobranza!$B146,Recibos!AA$4:AA$3010)</f>
        <v>0</v>
      </c>
      <c r="BP146" s="317">
        <f>SUMIF(Recibos!$D$4:$D$3010,Cobranza!$B146,Recibos!AB$4:AB$3010)</f>
        <v>0</v>
      </c>
      <c r="BQ146" s="317">
        <f>SUMIF(Recibos!$D$4:$D$3010,Cobranza!$B146,Recibos!AC$4:AC$3010)</f>
        <v>0</v>
      </c>
      <c r="BR146" s="317">
        <f>SUMIF(Recibos!$D$4:$D$3010,Cobranza!$B146,Recibos!AD$4:AD$3010)</f>
        <v>0</v>
      </c>
      <c r="BS146" s="317">
        <f>SUMIF(Recibos!$D$4:$D$3010,Cobranza!$B146,Recibos!AE$4:AE$3010)</f>
        <v>0</v>
      </c>
      <c r="BT146" s="317">
        <f>SUMIF(Recibos!$D$4:$D$3010,Cobranza!$B146,Recibos!AF$4:AF$3010)</f>
        <v>0</v>
      </c>
      <c r="BU146" s="317">
        <f>SUMIF(Recibos!$D$4:$D$3010,Cobranza!$B146,Recibos!AG$4:AG$3010)</f>
        <v>0</v>
      </c>
      <c r="BV146" s="317">
        <f>SUMIF(Recibos!$D$4:$D$3010,Cobranza!$B146,Recibos!AH$4:AH$3010)</f>
        <v>0</v>
      </c>
      <c r="BW146" s="317">
        <f>SUMIF(Recibos!$D$4:$D$3010,Cobranza!$B146,Recibos!AI$4:AI$3010)</f>
        <v>0</v>
      </c>
      <c r="BX146" s="318">
        <f t="shared" ref="BX146:BX209" si="22">SUM(BL146:BW146)</f>
        <v>0</v>
      </c>
    </row>
    <row r="147" spans="2:76" x14ac:dyDescent="0.2">
      <c r="B147" s="45" t="s">
        <v>376</v>
      </c>
      <c r="C147" s="45" t="s">
        <v>377</v>
      </c>
      <c r="D147" s="45" t="s">
        <v>378</v>
      </c>
      <c r="E147" s="46">
        <v>0</v>
      </c>
      <c r="F147" s="46">
        <v>0</v>
      </c>
      <c r="G147" s="46">
        <v>0</v>
      </c>
      <c r="H147" s="46">
        <v>0</v>
      </c>
      <c r="I147" s="46">
        <v>0</v>
      </c>
      <c r="J147" s="46">
        <v>0</v>
      </c>
      <c r="K147" s="47">
        <f t="shared" si="17"/>
        <v>0</v>
      </c>
      <c r="L147" s="46">
        <v>0</v>
      </c>
      <c r="M147" s="46">
        <v>0</v>
      </c>
      <c r="N147" s="46">
        <v>0</v>
      </c>
      <c r="O147" s="46">
        <v>0</v>
      </c>
      <c r="P147" s="46">
        <v>0</v>
      </c>
      <c r="Q147" s="46">
        <v>0</v>
      </c>
      <c r="R147" s="46">
        <v>0</v>
      </c>
      <c r="S147" s="46">
        <v>0</v>
      </c>
      <c r="T147" s="46">
        <v>0</v>
      </c>
      <c r="U147" s="46">
        <v>0</v>
      </c>
      <c r="V147" s="46">
        <v>0</v>
      </c>
      <c r="W147" s="46">
        <v>0</v>
      </c>
      <c r="X147" s="47">
        <f t="shared" si="18"/>
        <v>0</v>
      </c>
      <c r="Y147" s="46">
        <v>400</v>
      </c>
      <c r="Z147" s="46">
        <v>400</v>
      </c>
      <c r="AA147" s="46">
        <v>400</v>
      </c>
      <c r="AB147" s="46">
        <v>400</v>
      </c>
      <c r="AC147" s="46">
        <v>400</v>
      </c>
      <c r="AD147" s="46">
        <v>400</v>
      </c>
      <c r="AE147" s="46">
        <v>400</v>
      </c>
      <c r="AF147" s="46">
        <v>400</v>
      </c>
      <c r="AG147" s="46">
        <v>400</v>
      </c>
      <c r="AH147" s="46">
        <v>400</v>
      </c>
      <c r="AI147" s="46">
        <v>400</v>
      </c>
      <c r="AJ147" s="46">
        <v>0</v>
      </c>
      <c r="AK147" s="47">
        <f t="shared" si="19"/>
        <v>4400</v>
      </c>
      <c r="AL147" s="46">
        <v>400</v>
      </c>
      <c r="AM147" s="46">
        <v>400</v>
      </c>
      <c r="AN147" s="46">
        <v>400</v>
      </c>
      <c r="AO147" s="46">
        <v>400</v>
      </c>
      <c r="AP147" s="46">
        <v>400</v>
      </c>
      <c r="AQ147" s="46">
        <v>400</v>
      </c>
      <c r="AR147" s="46">
        <v>400</v>
      </c>
      <c r="AS147" s="46">
        <v>400</v>
      </c>
      <c r="AT147" s="46">
        <v>400</v>
      </c>
      <c r="AU147" s="46">
        <v>400</v>
      </c>
      <c r="AV147" s="46">
        <v>400</v>
      </c>
      <c r="AW147" s="46">
        <v>0</v>
      </c>
      <c r="AX147" s="47">
        <f t="shared" si="20"/>
        <v>4400</v>
      </c>
      <c r="AY147" s="319">
        <f>SUMIF(Recibos!$D$4:$D$3010,Cobranza!$B147,Recibos!K$4:K$3010)</f>
        <v>400</v>
      </c>
      <c r="AZ147" s="319">
        <f>SUMIF(Recibos!$D$4:$D$3010,Cobranza!$B147,Recibos!L$4:L$3010)</f>
        <v>400</v>
      </c>
      <c r="BA147" s="319">
        <f>SUMIF(Recibos!$D$4:$D$3010,Cobranza!$B147,Recibos!M$4:M$3010)</f>
        <v>400</v>
      </c>
      <c r="BB147" s="319">
        <f>SUMIF(Recibos!$D$4:$D$3010,Cobranza!$B147,Recibos!N$4:N$3010)</f>
        <v>400</v>
      </c>
      <c r="BC147" s="319">
        <f>SUMIF(Recibos!$D$4:$D$3010,Cobranza!$B147,Recibos!O$4:O$3010)</f>
        <v>400</v>
      </c>
      <c r="BD147" s="319">
        <f>SUMIF(Recibos!$D$4:$D$3010,Cobranza!$B147,Recibos!P$4:P$3010)</f>
        <v>400</v>
      </c>
      <c r="BE147" s="319">
        <f>SUMIF(Recibos!$D$4:$D$3010,Cobranza!$B147,Recibos!Q$4:Q$3010)</f>
        <v>400</v>
      </c>
      <c r="BF147" s="319">
        <f>SUMIF(Recibos!$D$4:$D$3010,Cobranza!$B147,Recibos!R$4:R$3010)</f>
        <v>400</v>
      </c>
      <c r="BG147" s="319">
        <f>SUMIF(Recibos!$D$4:$D$3010,Cobranza!$B147,Recibos!S$4:S$3010)</f>
        <v>400</v>
      </c>
      <c r="BH147" s="319">
        <f>SUMIF(Recibos!$D$4:$D$3010,Cobranza!$B147,Recibos!T$4:T$3010)</f>
        <v>400</v>
      </c>
      <c r="BI147" s="319">
        <f>SUMIF(Recibos!$D$4:$D$3010,Cobranza!$B147,Recibos!U$4:U$3010)</f>
        <v>400</v>
      </c>
      <c r="BJ147" s="319">
        <f>SUMIF(Recibos!$D$4:$D$3010,Cobranza!$B147,Recibos!V$4:V$3010)</f>
        <v>0</v>
      </c>
      <c r="BK147" s="320">
        <f t="shared" si="21"/>
        <v>4400</v>
      </c>
      <c r="BL147" s="319">
        <f>SUMIF(Recibos!$D$4:$D$3010,Cobranza!$B147,Recibos!X$4:X$3010)</f>
        <v>0</v>
      </c>
      <c r="BM147" s="319">
        <f>SUMIF(Recibos!$D$4:$D$3010,Cobranza!$B147,Recibos!Y$4:Y$3010)</f>
        <v>0</v>
      </c>
      <c r="BN147" s="319">
        <f>SUMIF(Recibos!$D$4:$D$3010,Cobranza!$B147,Recibos!Z$4:Z$3010)</f>
        <v>0</v>
      </c>
      <c r="BO147" s="319">
        <f>SUMIF(Recibos!$D$4:$D$3010,Cobranza!$B147,Recibos!AA$4:AA$3010)</f>
        <v>0</v>
      </c>
      <c r="BP147" s="319">
        <f>SUMIF(Recibos!$D$4:$D$3010,Cobranza!$B147,Recibos!AB$4:AB$3010)</f>
        <v>0</v>
      </c>
      <c r="BQ147" s="319">
        <f>SUMIF(Recibos!$D$4:$D$3010,Cobranza!$B147,Recibos!AC$4:AC$3010)</f>
        <v>0</v>
      </c>
      <c r="BR147" s="319">
        <f>SUMIF(Recibos!$D$4:$D$3010,Cobranza!$B147,Recibos!AD$4:AD$3010)</f>
        <v>0</v>
      </c>
      <c r="BS147" s="319">
        <f>SUMIF(Recibos!$D$4:$D$3010,Cobranza!$B147,Recibos!AE$4:AE$3010)</f>
        <v>0</v>
      </c>
      <c r="BT147" s="319">
        <f>SUMIF(Recibos!$D$4:$D$3010,Cobranza!$B147,Recibos!AF$4:AF$3010)</f>
        <v>0</v>
      </c>
      <c r="BU147" s="319">
        <f>SUMIF(Recibos!$D$4:$D$3010,Cobranza!$B147,Recibos!AG$4:AG$3010)</f>
        <v>0</v>
      </c>
      <c r="BV147" s="319">
        <f>SUMIF(Recibos!$D$4:$D$3010,Cobranza!$B147,Recibos!AH$4:AH$3010)</f>
        <v>0</v>
      </c>
      <c r="BW147" s="319">
        <f>SUMIF(Recibos!$D$4:$D$3010,Cobranza!$B147,Recibos!AI$4:AI$3010)</f>
        <v>0</v>
      </c>
      <c r="BX147" s="320">
        <f t="shared" si="22"/>
        <v>0</v>
      </c>
    </row>
    <row r="148" spans="2:76" x14ac:dyDescent="0.2">
      <c r="B148" s="42" t="s">
        <v>782</v>
      </c>
      <c r="C148" s="42" t="s">
        <v>783</v>
      </c>
      <c r="D148" s="42" t="s">
        <v>784</v>
      </c>
      <c r="E148" s="43">
        <v>0</v>
      </c>
      <c r="F148" s="43">
        <v>0</v>
      </c>
      <c r="G148" s="43">
        <v>0</v>
      </c>
      <c r="H148" s="43">
        <v>0</v>
      </c>
      <c r="I148" s="43">
        <v>0</v>
      </c>
      <c r="J148" s="43">
        <v>300</v>
      </c>
      <c r="K148" s="44">
        <f t="shared" si="17"/>
        <v>300</v>
      </c>
      <c r="L148" s="43">
        <v>300</v>
      </c>
      <c r="M148" s="43">
        <v>300</v>
      </c>
      <c r="N148" s="43">
        <v>300</v>
      </c>
      <c r="O148" s="43">
        <v>300</v>
      </c>
      <c r="P148" s="43">
        <v>300</v>
      </c>
      <c r="Q148" s="43">
        <v>300</v>
      </c>
      <c r="R148" s="43">
        <v>300</v>
      </c>
      <c r="S148" s="43">
        <v>300</v>
      </c>
      <c r="T148" s="43">
        <v>300</v>
      </c>
      <c r="U148" s="43">
        <v>300</v>
      </c>
      <c r="V148" s="43">
        <v>400</v>
      </c>
      <c r="W148" s="43">
        <v>0</v>
      </c>
      <c r="X148" s="44">
        <f t="shared" si="18"/>
        <v>3400</v>
      </c>
      <c r="Y148" s="43">
        <v>400</v>
      </c>
      <c r="Z148" s="43">
        <v>400</v>
      </c>
      <c r="AA148" s="43">
        <v>400</v>
      </c>
      <c r="AB148" s="43">
        <v>400</v>
      </c>
      <c r="AC148" s="43">
        <v>400</v>
      </c>
      <c r="AD148" s="43">
        <v>400</v>
      </c>
      <c r="AE148" s="43">
        <v>400</v>
      </c>
      <c r="AF148" s="43">
        <v>400</v>
      </c>
      <c r="AG148" s="43">
        <v>400</v>
      </c>
      <c r="AH148" s="43">
        <v>400</v>
      </c>
      <c r="AI148" s="43">
        <v>400</v>
      </c>
      <c r="AJ148" s="43">
        <v>0</v>
      </c>
      <c r="AK148" s="44">
        <f t="shared" si="19"/>
        <v>4400</v>
      </c>
      <c r="AL148" s="43">
        <v>400</v>
      </c>
      <c r="AM148" s="43">
        <v>400</v>
      </c>
      <c r="AN148" s="43">
        <v>300</v>
      </c>
      <c r="AO148" s="43">
        <v>300</v>
      </c>
      <c r="AP148" s="43">
        <v>300</v>
      </c>
      <c r="AQ148" s="43">
        <v>300</v>
      </c>
      <c r="AR148" s="43">
        <v>300</v>
      </c>
      <c r="AS148" s="43">
        <v>100</v>
      </c>
      <c r="AT148" s="43">
        <v>100</v>
      </c>
      <c r="AU148" s="43">
        <v>100</v>
      </c>
      <c r="AV148" s="43">
        <v>100</v>
      </c>
      <c r="AW148" s="43">
        <v>100</v>
      </c>
      <c r="AX148" s="44">
        <f t="shared" si="20"/>
        <v>2800</v>
      </c>
      <c r="AY148" s="317">
        <f>SUMIF(Recibos!$D$4:$D$3010,Cobranza!$B148,Recibos!K$4:K$3010)</f>
        <v>100</v>
      </c>
      <c r="AZ148" s="317">
        <f>SUMIF(Recibos!$D$4:$D$3010,Cobranza!$B148,Recibos!L$4:L$3010)</f>
        <v>100</v>
      </c>
      <c r="BA148" s="317">
        <f>SUMIF(Recibos!$D$4:$D$3010,Cobranza!$B148,Recibos!M$4:M$3010)</f>
        <v>100</v>
      </c>
      <c r="BB148" s="317">
        <f>SUMIF(Recibos!$D$4:$D$3010,Cobranza!$B148,Recibos!N$4:N$3010)</f>
        <v>100</v>
      </c>
      <c r="BC148" s="317">
        <f>SUMIF(Recibos!$D$4:$D$3010,Cobranza!$B148,Recibos!O$4:O$3010)</f>
        <v>100</v>
      </c>
      <c r="BD148" s="317">
        <f>SUMIF(Recibos!$D$4:$D$3010,Cobranza!$B148,Recibos!P$4:P$3010)</f>
        <v>0</v>
      </c>
      <c r="BE148" s="317">
        <f>SUMIF(Recibos!$D$4:$D$3010,Cobranza!$B148,Recibos!Q$4:Q$3010)</f>
        <v>200</v>
      </c>
      <c r="BF148" s="317">
        <f>SUMIF(Recibos!$D$4:$D$3010,Cobranza!$B148,Recibos!R$4:R$3010)</f>
        <v>200</v>
      </c>
      <c r="BG148" s="317">
        <f>SUMIF(Recibos!$D$4:$D$3010,Cobranza!$B148,Recibos!S$4:S$3010)</f>
        <v>200</v>
      </c>
      <c r="BH148" s="317">
        <f>SUMIF(Recibos!$D$4:$D$3010,Cobranza!$B148,Recibos!T$4:T$3010)</f>
        <v>200</v>
      </c>
      <c r="BI148" s="317">
        <f>SUMIF(Recibos!$D$4:$D$3010,Cobranza!$B148,Recibos!U$4:U$3010)</f>
        <v>200</v>
      </c>
      <c r="BJ148" s="317">
        <f>SUMIF(Recibos!$D$4:$D$3010,Cobranza!$B148,Recibos!V$4:V$3010)</f>
        <v>200</v>
      </c>
      <c r="BK148" s="318">
        <f t="shared" si="21"/>
        <v>1700</v>
      </c>
      <c r="BL148" s="317">
        <f>SUMIF(Recibos!$D$4:$D$3010,Cobranza!$B148,Recibos!X$4:X$3010)</f>
        <v>200</v>
      </c>
      <c r="BM148" s="317">
        <f>SUMIF(Recibos!$D$4:$D$3010,Cobranza!$B148,Recibos!Y$4:Y$3010)</f>
        <v>200</v>
      </c>
      <c r="BN148" s="317">
        <f>SUMIF(Recibos!$D$4:$D$3010,Cobranza!$B148,Recibos!Z$4:Z$3010)</f>
        <v>200</v>
      </c>
      <c r="BO148" s="317">
        <f>SUMIF(Recibos!$D$4:$D$3010,Cobranza!$B148,Recibos!AA$4:AA$3010)</f>
        <v>0</v>
      </c>
      <c r="BP148" s="317">
        <f>SUMIF(Recibos!$D$4:$D$3010,Cobranza!$B148,Recibos!AB$4:AB$3010)</f>
        <v>0</v>
      </c>
      <c r="BQ148" s="317">
        <f>SUMIF(Recibos!$D$4:$D$3010,Cobranza!$B148,Recibos!AC$4:AC$3010)</f>
        <v>0</v>
      </c>
      <c r="BR148" s="317">
        <f>SUMIF(Recibos!$D$4:$D$3010,Cobranza!$B148,Recibos!AD$4:AD$3010)</f>
        <v>0</v>
      </c>
      <c r="BS148" s="317">
        <f>SUMIF(Recibos!$D$4:$D$3010,Cobranza!$B148,Recibos!AE$4:AE$3010)</f>
        <v>0</v>
      </c>
      <c r="BT148" s="317">
        <f>SUMIF(Recibos!$D$4:$D$3010,Cobranza!$B148,Recibos!AF$4:AF$3010)</f>
        <v>0</v>
      </c>
      <c r="BU148" s="317">
        <f>SUMIF(Recibos!$D$4:$D$3010,Cobranza!$B148,Recibos!AG$4:AG$3010)</f>
        <v>0</v>
      </c>
      <c r="BV148" s="317">
        <f>SUMIF(Recibos!$D$4:$D$3010,Cobranza!$B148,Recibos!AH$4:AH$3010)</f>
        <v>0</v>
      </c>
      <c r="BW148" s="317">
        <f>SUMIF(Recibos!$D$4:$D$3010,Cobranza!$B148,Recibos!AI$4:AI$3010)</f>
        <v>0</v>
      </c>
      <c r="BX148" s="318">
        <f t="shared" si="22"/>
        <v>600</v>
      </c>
    </row>
    <row r="149" spans="2:76" x14ac:dyDescent="0.2">
      <c r="B149" s="45" t="s">
        <v>529</v>
      </c>
      <c r="C149" s="45" t="s">
        <v>530</v>
      </c>
      <c r="D149" s="45" t="s">
        <v>531</v>
      </c>
      <c r="E149" s="46">
        <v>0</v>
      </c>
      <c r="F149" s="46">
        <v>0</v>
      </c>
      <c r="G149" s="46">
        <v>0</v>
      </c>
      <c r="H149" s="46">
        <v>0</v>
      </c>
      <c r="I149" s="46">
        <v>300</v>
      </c>
      <c r="J149" s="46">
        <v>300</v>
      </c>
      <c r="K149" s="47">
        <f t="shared" si="17"/>
        <v>600</v>
      </c>
      <c r="L149" s="46">
        <v>300</v>
      </c>
      <c r="M149" s="46">
        <v>300</v>
      </c>
      <c r="N149" s="46">
        <v>300</v>
      </c>
      <c r="O149" s="46">
        <v>0</v>
      </c>
      <c r="P149" s="46">
        <v>300</v>
      </c>
      <c r="Q149" s="46">
        <v>300</v>
      </c>
      <c r="R149" s="46">
        <v>300</v>
      </c>
      <c r="S149" s="46">
        <v>300</v>
      </c>
      <c r="T149" s="46">
        <v>150</v>
      </c>
      <c r="U149" s="46">
        <v>550</v>
      </c>
      <c r="V149" s="46">
        <v>400</v>
      </c>
      <c r="W149" s="46">
        <v>400</v>
      </c>
      <c r="X149" s="47">
        <f t="shared" si="18"/>
        <v>3600</v>
      </c>
      <c r="Y149" s="46">
        <v>400</v>
      </c>
      <c r="Z149" s="46">
        <v>400</v>
      </c>
      <c r="AA149" s="46">
        <v>400</v>
      </c>
      <c r="AB149" s="46">
        <v>400</v>
      </c>
      <c r="AC149" s="46">
        <v>400</v>
      </c>
      <c r="AD149" s="46">
        <v>400</v>
      </c>
      <c r="AE149" s="46">
        <v>0</v>
      </c>
      <c r="AF149" s="46">
        <v>0</v>
      </c>
      <c r="AG149" s="46">
        <v>0</v>
      </c>
      <c r="AH149" s="46">
        <v>400</v>
      </c>
      <c r="AI149" s="46">
        <v>400</v>
      </c>
      <c r="AJ149" s="46">
        <v>400</v>
      </c>
      <c r="AK149" s="47">
        <f t="shared" si="19"/>
        <v>3600</v>
      </c>
      <c r="AL149" s="46">
        <v>400</v>
      </c>
      <c r="AM149" s="46">
        <v>400</v>
      </c>
      <c r="AN149" s="46">
        <v>400</v>
      </c>
      <c r="AO149" s="46">
        <v>400</v>
      </c>
      <c r="AP149" s="46">
        <v>400</v>
      </c>
      <c r="AQ149" s="46">
        <v>400</v>
      </c>
      <c r="AR149" s="46">
        <v>400</v>
      </c>
      <c r="AS149" s="46">
        <v>400</v>
      </c>
      <c r="AT149" s="46">
        <v>400</v>
      </c>
      <c r="AU149" s="46">
        <v>400</v>
      </c>
      <c r="AV149" s="46">
        <v>400</v>
      </c>
      <c r="AW149" s="46">
        <v>400</v>
      </c>
      <c r="AX149" s="47">
        <f t="shared" si="20"/>
        <v>4800</v>
      </c>
      <c r="AY149" s="319">
        <f>SUMIF(Recibos!$D$4:$D$3010,Cobranza!$B149,Recibos!K$4:K$3010)</f>
        <v>400</v>
      </c>
      <c r="AZ149" s="319">
        <f>SUMIF(Recibos!$D$4:$D$3010,Cobranza!$B149,Recibos!L$4:L$3010)</f>
        <v>400</v>
      </c>
      <c r="BA149" s="319">
        <f>SUMIF(Recibos!$D$4:$D$3010,Cobranza!$B149,Recibos!M$4:M$3010)</f>
        <v>400</v>
      </c>
      <c r="BB149" s="319">
        <f>SUMIF(Recibos!$D$4:$D$3010,Cobranza!$B149,Recibos!N$4:N$3010)</f>
        <v>400</v>
      </c>
      <c r="BC149" s="319">
        <f>SUMIF(Recibos!$D$4:$D$3010,Cobranza!$B149,Recibos!O$4:O$3010)</f>
        <v>400</v>
      </c>
      <c r="BD149" s="319">
        <f>SUMIF(Recibos!$D$4:$D$3010,Cobranza!$B149,Recibos!P$4:P$3010)</f>
        <v>400</v>
      </c>
      <c r="BE149" s="319">
        <f>SUMIF(Recibos!$D$4:$D$3010,Cobranza!$B149,Recibos!Q$4:Q$3010)</f>
        <v>400</v>
      </c>
      <c r="BF149" s="319">
        <f>SUMIF(Recibos!$D$4:$D$3010,Cobranza!$B149,Recibos!R$4:R$3010)</f>
        <v>400</v>
      </c>
      <c r="BG149" s="319">
        <f>SUMIF(Recibos!$D$4:$D$3010,Cobranza!$B149,Recibos!S$4:S$3010)</f>
        <v>400</v>
      </c>
      <c r="BH149" s="319">
        <f>SUMIF(Recibos!$D$4:$D$3010,Cobranza!$B149,Recibos!T$4:T$3010)</f>
        <v>0</v>
      </c>
      <c r="BI149" s="319">
        <f>SUMIF(Recibos!$D$4:$D$3010,Cobranza!$B149,Recibos!U$4:U$3010)</f>
        <v>0</v>
      </c>
      <c r="BJ149" s="319">
        <f>SUMIF(Recibos!$D$4:$D$3010,Cobranza!$B149,Recibos!V$4:V$3010)</f>
        <v>0</v>
      </c>
      <c r="BK149" s="320">
        <f t="shared" si="21"/>
        <v>3600</v>
      </c>
      <c r="BL149" s="319">
        <f>SUMIF(Recibos!$D$4:$D$3010,Cobranza!$B149,Recibos!X$4:X$3010)</f>
        <v>0</v>
      </c>
      <c r="BM149" s="319">
        <f>SUMIF(Recibos!$D$4:$D$3010,Cobranza!$B149,Recibos!Y$4:Y$3010)</f>
        <v>0</v>
      </c>
      <c r="BN149" s="319">
        <f>SUMIF(Recibos!$D$4:$D$3010,Cobranza!$B149,Recibos!Z$4:Z$3010)</f>
        <v>0</v>
      </c>
      <c r="BO149" s="319">
        <f>SUMIF(Recibos!$D$4:$D$3010,Cobranza!$B149,Recibos!AA$4:AA$3010)</f>
        <v>0</v>
      </c>
      <c r="BP149" s="319">
        <f>SUMIF(Recibos!$D$4:$D$3010,Cobranza!$B149,Recibos!AB$4:AB$3010)</f>
        <v>0</v>
      </c>
      <c r="BQ149" s="319">
        <f>SUMIF(Recibos!$D$4:$D$3010,Cobranza!$B149,Recibos!AC$4:AC$3010)</f>
        <v>0</v>
      </c>
      <c r="BR149" s="319">
        <f>SUMIF(Recibos!$D$4:$D$3010,Cobranza!$B149,Recibos!AD$4:AD$3010)</f>
        <v>0</v>
      </c>
      <c r="BS149" s="319">
        <f>SUMIF(Recibos!$D$4:$D$3010,Cobranza!$B149,Recibos!AE$4:AE$3010)</f>
        <v>0</v>
      </c>
      <c r="BT149" s="319">
        <f>SUMIF(Recibos!$D$4:$D$3010,Cobranza!$B149,Recibos!AF$4:AF$3010)</f>
        <v>0</v>
      </c>
      <c r="BU149" s="319">
        <f>SUMIF(Recibos!$D$4:$D$3010,Cobranza!$B149,Recibos!AG$4:AG$3010)</f>
        <v>0</v>
      </c>
      <c r="BV149" s="319">
        <f>SUMIF(Recibos!$D$4:$D$3010,Cobranza!$B149,Recibos!AH$4:AH$3010)</f>
        <v>0</v>
      </c>
      <c r="BW149" s="319">
        <f>SUMIF(Recibos!$D$4:$D$3010,Cobranza!$B149,Recibos!AI$4:AI$3010)</f>
        <v>0</v>
      </c>
      <c r="BX149" s="320">
        <f t="shared" si="22"/>
        <v>0</v>
      </c>
    </row>
    <row r="150" spans="2:76" x14ac:dyDescent="0.2">
      <c r="B150" s="42" t="s">
        <v>1330</v>
      </c>
      <c r="C150" s="42" t="s">
        <v>1331</v>
      </c>
      <c r="D150" s="42" t="s">
        <v>264</v>
      </c>
      <c r="E150" s="43">
        <v>0</v>
      </c>
      <c r="F150" s="43">
        <v>0</v>
      </c>
      <c r="G150" s="43">
        <v>0</v>
      </c>
      <c r="H150" s="43">
        <v>0</v>
      </c>
      <c r="I150" s="43">
        <v>0</v>
      </c>
      <c r="J150" s="43">
        <v>0</v>
      </c>
      <c r="K150" s="44">
        <f t="shared" si="17"/>
        <v>0</v>
      </c>
      <c r="L150" s="43">
        <v>0</v>
      </c>
      <c r="M150" s="43">
        <v>0</v>
      </c>
      <c r="N150" s="43">
        <v>300</v>
      </c>
      <c r="O150" s="43">
        <v>300</v>
      </c>
      <c r="P150" s="43">
        <v>0</v>
      </c>
      <c r="Q150" s="43">
        <v>0</v>
      </c>
      <c r="R150" s="43">
        <v>0</v>
      </c>
      <c r="S150" s="43">
        <v>0</v>
      </c>
      <c r="T150" s="43">
        <v>0</v>
      </c>
      <c r="U150" s="43">
        <v>0</v>
      </c>
      <c r="V150" s="43">
        <v>0</v>
      </c>
      <c r="W150" s="43">
        <v>0</v>
      </c>
      <c r="X150" s="44">
        <f t="shared" si="18"/>
        <v>600</v>
      </c>
      <c r="Y150" s="43">
        <v>0</v>
      </c>
      <c r="Z150" s="43">
        <v>0</v>
      </c>
      <c r="AA150" s="43">
        <v>0</v>
      </c>
      <c r="AB150" s="43">
        <v>0</v>
      </c>
      <c r="AC150" s="43">
        <v>0</v>
      </c>
      <c r="AD150" s="43">
        <v>0</v>
      </c>
      <c r="AE150" s="43">
        <v>0</v>
      </c>
      <c r="AF150" s="43">
        <v>0</v>
      </c>
      <c r="AG150" s="43">
        <v>0</v>
      </c>
      <c r="AH150" s="43">
        <v>0</v>
      </c>
      <c r="AI150" s="43">
        <v>0</v>
      </c>
      <c r="AJ150" s="43">
        <v>0</v>
      </c>
      <c r="AK150" s="44">
        <f t="shared" si="19"/>
        <v>0</v>
      </c>
      <c r="AL150" s="43">
        <v>0</v>
      </c>
      <c r="AM150" s="43">
        <v>0</v>
      </c>
      <c r="AN150" s="43">
        <v>0</v>
      </c>
      <c r="AO150" s="43">
        <v>0</v>
      </c>
      <c r="AP150" s="43">
        <v>0</v>
      </c>
      <c r="AQ150" s="43">
        <v>0</v>
      </c>
      <c r="AR150" s="43">
        <v>0</v>
      </c>
      <c r="AS150" s="43">
        <v>0</v>
      </c>
      <c r="AT150" s="43">
        <v>0</v>
      </c>
      <c r="AU150" s="43">
        <v>0</v>
      </c>
      <c r="AV150" s="43">
        <v>0</v>
      </c>
      <c r="AW150" s="43">
        <v>0</v>
      </c>
      <c r="AX150" s="44">
        <f t="shared" si="20"/>
        <v>0</v>
      </c>
      <c r="AY150" s="317">
        <f>SUMIF(Recibos!$D$4:$D$3010,Cobranza!$B150,Recibos!K$4:K$3010)</f>
        <v>0</v>
      </c>
      <c r="AZ150" s="317">
        <f>SUMIF(Recibos!$D$4:$D$3010,Cobranza!$B150,Recibos!L$4:L$3010)</f>
        <v>0</v>
      </c>
      <c r="BA150" s="317">
        <f>SUMIF(Recibos!$D$4:$D$3010,Cobranza!$B150,Recibos!M$4:M$3010)</f>
        <v>0</v>
      </c>
      <c r="BB150" s="317">
        <f>SUMIF(Recibos!$D$4:$D$3010,Cobranza!$B150,Recibos!N$4:N$3010)</f>
        <v>0</v>
      </c>
      <c r="BC150" s="317">
        <f>SUMIF(Recibos!$D$4:$D$3010,Cobranza!$B150,Recibos!O$4:O$3010)</f>
        <v>0</v>
      </c>
      <c r="BD150" s="317">
        <f>SUMIF(Recibos!$D$4:$D$3010,Cobranza!$B150,Recibos!P$4:P$3010)</f>
        <v>0</v>
      </c>
      <c r="BE150" s="317">
        <f>SUMIF(Recibos!$D$4:$D$3010,Cobranza!$B150,Recibos!Q$4:Q$3010)</f>
        <v>0</v>
      </c>
      <c r="BF150" s="317">
        <f>SUMIF(Recibos!$D$4:$D$3010,Cobranza!$B150,Recibos!R$4:R$3010)</f>
        <v>0</v>
      </c>
      <c r="BG150" s="317">
        <f>SUMIF(Recibos!$D$4:$D$3010,Cobranza!$B150,Recibos!S$4:S$3010)</f>
        <v>0</v>
      </c>
      <c r="BH150" s="317">
        <f>SUMIF(Recibos!$D$4:$D$3010,Cobranza!$B150,Recibos!T$4:T$3010)</f>
        <v>0</v>
      </c>
      <c r="BI150" s="317">
        <f>SUMIF(Recibos!$D$4:$D$3010,Cobranza!$B150,Recibos!U$4:U$3010)</f>
        <v>0</v>
      </c>
      <c r="BJ150" s="317">
        <f>SUMIF(Recibos!$D$4:$D$3010,Cobranza!$B150,Recibos!V$4:V$3010)</f>
        <v>0</v>
      </c>
      <c r="BK150" s="318">
        <f t="shared" si="21"/>
        <v>0</v>
      </c>
      <c r="BL150" s="317">
        <f>SUMIF(Recibos!$D$4:$D$3010,Cobranza!$B150,Recibos!X$4:X$3010)</f>
        <v>0</v>
      </c>
      <c r="BM150" s="317">
        <f>SUMIF(Recibos!$D$4:$D$3010,Cobranza!$B150,Recibos!Y$4:Y$3010)</f>
        <v>0</v>
      </c>
      <c r="BN150" s="317">
        <f>SUMIF(Recibos!$D$4:$D$3010,Cobranza!$B150,Recibos!Z$4:Z$3010)</f>
        <v>0</v>
      </c>
      <c r="BO150" s="317">
        <f>SUMIF(Recibos!$D$4:$D$3010,Cobranza!$B150,Recibos!AA$4:AA$3010)</f>
        <v>0</v>
      </c>
      <c r="BP150" s="317">
        <f>SUMIF(Recibos!$D$4:$D$3010,Cobranza!$B150,Recibos!AB$4:AB$3010)</f>
        <v>0</v>
      </c>
      <c r="BQ150" s="317">
        <f>SUMIF(Recibos!$D$4:$D$3010,Cobranza!$B150,Recibos!AC$4:AC$3010)</f>
        <v>0</v>
      </c>
      <c r="BR150" s="317">
        <f>SUMIF(Recibos!$D$4:$D$3010,Cobranza!$B150,Recibos!AD$4:AD$3010)</f>
        <v>0</v>
      </c>
      <c r="BS150" s="317">
        <f>SUMIF(Recibos!$D$4:$D$3010,Cobranza!$B150,Recibos!AE$4:AE$3010)</f>
        <v>0</v>
      </c>
      <c r="BT150" s="317">
        <f>SUMIF(Recibos!$D$4:$D$3010,Cobranza!$B150,Recibos!AF$4:AF$3010)</f>
        <v>0</v>
      </c>
      <c r="BU150" s="317">
        <f>SUMIF(Recibos!$D$4:$D$3010,Cobranza!$B150,Recibos!AG$4:AG$3010)</f>
        <v>0</v>
      </c>
      <c r="BV150" s="317">
        <f>SUMIF(Recibos!$D$4:$D$3010,Cobranza!$B150,Recibos!AH$4:AH$3010)</f>
        <v>0</v>
      </c>
      <c r="BW150" s="317">
        <f>SUMIF(Recibos!$D$4:$D$3010,Cobranza!$B150,Recibos!AI$4:AI$3010)</f>
        <v>0</v>
      </c>
      <c r="BX150" s="318">
        <f t="shared" si="22"/>
        <v>0</v>
      </c>
    </row>
    <row r="151" spans="2:76" x14ac:dyDescent="0.2">
      <c r="B151" s="45" t="s">
        <v>1332</v>
      </c>
      <c r="C151" s="45" t="s">
        <v>1333</v>
      </c>
      <c r="D151" s="45"/>
      <c r="E151" s="46">
        <v>0</v>
      </c>
      <c r="F151" s="46">
        <v>0</v>
      </c>
      <c r="G151" s="46">
        <v>0</v>
      </c>
      <c r="H151" s="46">
        <v>0</v>
      </c>
      <c r="I151" s="46">
        <v>0</v>
      </c>
      <c r="J151" s="46">
        <v>0</v>
      </c>
      <c r="K151" s="47">
        <f t="shared" si="17"/>
        <v>0</v>
      </c>
      <c r="L151" s="46">
        <v>0</v>
      </c>
      <c r="M151" s="46">
        <v>0</v>
      </c>
      <c r="N151" s="46">
        <v>0</v>
      </c>
      <c r="O151" s="46">
        <v>0</v>
      </c>
      <c r="P151" s="46">
        <v>0</v>
      </c>
      <c r="Q151" s="46">
        <v>0</v>
      </c>
      <c r="R151" s="46">
        <v>0</v>
      </c>
      <c r="S151" s="46">
        <v>0</v>
      </c>
      <c r="T151" s="46">
        <v>0</v>
      </c>
      <c r="U151" s="46">
        <v>0</v>
      </c>
      <c r="V151" s="46">
        <v>0</v>
      </c>
      <c r="W151" s="46">
        <v>0</v>
      </c>
      <c r="X151" s="47">
        <f t="shared" si="18"/>
        <v>0</v>
      </c>
      <c r="Y151" s="46">
        <v>0</v>
      </c>
      <c r="Z151" s="46">
        <v>0</v>
      </c>
      <c r="AA151" s="46">
        <v>200</v>
      </c>
      <c r="AB151" s="46">
        <v>0</v>
      </c>
      <c r="AC151" s="46">
        <v>0</v>
      </c>
      <c r="AD151" s="46">
        <v>0</v>
      </c>
      <c r="AE151" s="46">
        <v>0</v>
      </c>
      <c r="AF151" s="46">
        <v>0</v>
      </c>
      <c r="AG151" s="46">
        <v>0</v>
      </c>
      <c r="AH151" s="46">
        <v>0</v>
      </c>
      <c r="AI151" s="46">
        <v>0</v>
      </c>
      <c r="AJ151" s="46">
        <v>0</v>
      </c>
      <c r="AK151" s="47">
        <f t="shared" si="19"/>
        <v>200</v>
      </c>
      <c r="AL151" s="46">
        <v>0</v>
      </c>
      <c r="AM151" s="46">
        <v>0</v>
      </c>
      <c r="AN151" s="46">
        <v>0</v>
      </c>
      <c r="AO151" s="46">
        <v>0</v>
      </c>
      <c r="AP151" s="46">
        <v>0</v>
      </c>
      <c r="AQ151" s="46">
        <v>0</v>
      </c>
      <c r="AR151" s="46">
        <v>0</v>
      </c>
      <c r="AS151" s="46">
        <v>0</v>
      </c>
      <c r="AT151" s="46">
        <v>0</v>
      </c>
      <c r="AU151" s="46">
        <v>0</v>
      </c>
      <c r="AV151" s="46">
        <v>0</v>
      </c>
      <c r="AW151" s="46">
        <v>0</v>
      </c>
      <c r="AX151" s="47">
        <f t="shared" si="20"/>
        <v>0</v>
      </c>
      <c r="AY151" s="319">
        <f>SUMIF(Recibos!$D$4:$D$3010,Cobranza!$B151,Recibos!K$4:K$3010)</f>
        <v>0</v>
      </c>
      <c r="AZ151" s="319">
        <f>SUMIF(Recibos!$D$4:$D$3010,Cobranza!$B151,Recibos!L$4:L$3010)</f>
        <v>0</v>
      </c>
      <c r="BA151" s="319">
        <f>SUMIF(Recibos!$D$4:$D$3010,Cobranza!$B151,Recibos!M$4:M$3010)</f>
        <v>0</v>
      </c>
      <c r="BB151" s="319">
        <f>SUMIF(Recibos!$D$4:$D$3010,Cobranza!$B151,Recibos!N$4:N$3010)</f>
        <v>0</v>
      </c>
      <c r="BC151" s="319">
        <f>SUMIF(Recibos!$D$4:$D$3010,Cobranza!$B151,Recibos!O$4:O$3010)</f>
        <v>0</v>
      </c>
      <c r="BD151" s="319">
        <f>SUMIF(Recibos!$D$4:$D$3010,Cobranza!$B151,Recibos!P$4:P$3010)</f>
        <v>0</v>
      </c>
      <c r="BE151" s="319">
        <f>SUMIF(Recibos!$D$4:$D$3010,Cobranza!$B151,Recibos!Q$4:Q$3010)</f>
        <v>0</v>
      </c>
      <c r="BF151" s="319">
        <f>SUMIF(Recibos!$D$4:$D$3010,Cobranza!$B151,Recibos!R$4:R$3010)</f>
        <v>0</v>
      </c>
      <c r="BG151" s="319">
        <f>SUMIF(Recibos!$D$4:$D$3010,Cobranza!$B151,Recibos!S$4:S$3010)</f>
        <v>0</v>
      </c>
      <c r="BH151" s="319">
        <f>SUMIF(Recibos!$D$4:$D$3010,Cobranza!$B151,Recibos!T$4:T$3010)</f>
        <v>0</v>
      </c>
      <c r="BI151" s="319">
        <f>SUMIF(Recibos!$D$4:$D$3010,Cobranza!$B151,Recibos!U$4:U$3010)</f>
        <v>0</v>
      </c>
      <c r="BJ151" s="319">
        <f>SUMIF(Recibos!$D$4:$D$3010,Cobranza!$B151,Recibos!V$4:V$3010)</f>
        <v>0</v>
      </c>
      <c r="BK151" s="320">
        <f t="shared" si="21"/>
        <v>0</v>
      </c>
      <c r="BL151" s="319">
        <f>SUMIF(Recibos!$D$4:$D$3010,Cobranza!$B151,Recibos!X$4:X$3010)</f>
        <v>0</v>
      </c>
      <c r="BM151" s="319">
        <f>SUMIF(Recibos!$D$4:$D$3010,Cobranza!$B151,Recibos!Y$4:Y$3010)</f>
        <v>0</v>
      </c>
      <c r="BN151" s="319">
        <f>SUMIF(Recibos!$D$4:$D$3010,Cobranza!$B151,Recibos!Z$4:Z$3010)</f>
        <v>0</v>
      </c>
      <c r="BO151" s="319">
        <f>SUMIF(Recibos!$D$4:$D$3010,Cobranza!$B151,Recibos!AA$4:AA$3010)</f>
        <v>0</v>
      </c>
      <c r="BP151" s="319">
        <f>SUMIF(Recibos!$D$4:$D$3010,Cobranza!$B151,Recibos!AB$4:AB$3010)</f>
        <v>0</v>
      </c>
      <c r="BQ151" s="319">
        <f>SUMIF(Recibos!$D$4:$D$3010,Cobranza!$B151,Recibos!AC$4:AC$3010)</f>
        <v>0</v>
      </c>
      <c r="BR151" s="319">
        <f>SUMIF(Recibos!$D$4:$D$3010,Cobranza!$B151,Recibos!AD$4:AD$3010)</f>
        <v>0</v>
      </c>
      <c r="BS151" s="319">
        <f>SUMIF(Recibos!$D$4:$D$3010,Cobranza!$B151,Recibos!AE$4:AE$3010)</f>
        <v>0</v>
      </c>
      <c r="BT151" s="319">
        <f>SUMIF(Recibos!$D$4:$D$3010,Cobranza!$B151,Recibos!AF$4:AF$3010)</f>
        <v>0</v>
      </c>
      <c r="BU151" s="319">
        <f>SUMIF(Recibos!$D$4:$D$3010,Cobranza!$B151,Recibos!AG$4:AG$3010)</f>
        <v>0</v>
      </c>
      <c r="BV151" s="319">
        <f>SUMIF(Recibos!$D$4:$D$3010,Cobranza!$B151,Recibos!AH$4:AH$3010)</f>
        <v>0</v>
      </c>
      <c r="BW151" s="319">
        <f>SUMIF(Recibos!$D$4:$D$3010,Cobranza!$B151,Recibos!AI$4:AI$3010)</f>
        <v>0</v>
      </c>
      <c r="BX151" s="320">
        <f t="shared" si="22"/>
        <v>0</v>
      </c>
    </row>
    <row r="152" spans="2:76" x14ac:dyDescent="0.2">
      <c r="B152" s="42" t="s">
        <v>1334</v>
      </c>
      <c r="C152" s="42" t="s">
        <v>1335</v>
      </c>
      <c r="D152" s="42"/>
      <c r="E152" s="43">
        <v>0</v>
      </c>
      <c r="F152" s="43">
        <v>0</v>
      </c>
      <c r="G152" s="43">
        <v>0</v>
      </c>
      <c r="H152" s="43">
        <v>0</v>
      </c>
      <c r="I152" s="43">
        <v>0</v>
      </c>
      <c r="J152" s="43">
        <v>0</v>
      </c>
      <c r="K152" s="44">
        <f t="shared" si="17"/>
        <v>0</v>
      </c>
      <c r="L152" s="43">
        <v>0</v>
      </c>
      <c r="M152" s="43">
        <v>0</v>
      </c>
      <c r="N152" s="43">
        <v>0</v>
      </c>
      <c r="O152" s="43">
        <v>0</v>
      </c>
      <c r="P152" s="43">
        <v>0</v>
      </c>
      <c r="Q152" s="43">
        <v>0</v>
      </c>
      <c r="R152" s="43">
        <v>0</v>
      </c>
      <c r="S152" s="43">
        <v>0</v>
      </c>
      <c r="T152" s="43">
        <v>0</v>
      </c>
      <c r="U152" s="43">
        <v>0</v>
      </c>
      <c r="V152" s="43">
        <v>0</v>
      </c>
      <c r="W152" s="43">
        <v>0</v>
      </c>
      <c r="X152" s="44">
        <f t="shared" si="18"/>
        <v>0</v>
      </c>
      <c r="Y152" s="43">
        <v>0</v>
      </c>
      <c r="Z152" s="43">
        <v>0</v>
      </c>
      <c r="AA152" s="43">
        <v>0</v>
      </c>
      <c r="AB152" s="43">
        <v>0</v>
      </c>
      <c r="AC152" s="43">
        <v>0</v>
      </c>
      <c r="AD152" s="43">
        <v>0</v>
      </c>
      <c r="AE152" s="43">
        <v>0</v>
      </c>
      <c r="AF152" s="43">
        <v>0</v>
      </c>
      <c r="AG152" s="43">
        <v>0</v>
      </c>
      <c r="AH152" s="43">
        <v>0</v>
      </c>
      <c r="AI152" s="43">
        <v>0</v>
      </c>
      <c r="AJ152" s="43">
        <v>0</v>
      </c>
      <c r="AK152" s="44">
        <f t="shared" si="19"/>
        <v>0</v>
      </c>
      <c r="AL152" s="43">
        <v>0</v>
      </c>
      <c r="AM152" s="43">
        <v>0</v>
      </c>
      <c r="AN152" s="43">
        <v>0</v>
      </c>
      <c r="AO152" s="43">
        <v>0</v>
      </c>
      <c r="AP152" s="43">
        <v>0</v>
      </c>
      <c r="AQ152" s="43">
        <v>0</v>
      </c>
      <c r="AR152" s="43">
        <v>0</v>
      </c>
      <c r="AS152" s="43">
        <v>0</v>
      </c>
      <c r="AT152" s="43">
        <v>0</v>
      </c>
      <c r="AU152" s="43">
        <v>0</v>
      </c>
      <c r="AV152" s="43">
        <v>0</v>
      </c>
      <c r="AW152" s="43">
        <v>0</v>
      </c>
      <c r="AX152" s="44">
        <f t="shared" si="20"/>
        <v>0</v>
      </c>
      <c r="AY152" s="317">
        <f>SUMIF(Recibos!$D$4:$D$3010,Cobranza!$B152,Recibos!K$4:K$3010)</f>
        <v>0</v>
      </c>
      <c r="AZ152" s="317">
        <f>SUMIF(Recibos!$D$4:$D$3010,Cobranza!$B152,Recibos!L$4:L$3010)</f>
        <v>0</v>
      </c>
      <c r="BA152" s="317">
        <f>SUMIF(Recibos!$D$4:$D$3010,Cobranza!$B152,Recibos!M$4:M$3010)</f>
        <v>0</v>
      </c>
      <c r="BB152" s="317">
        <f>SUMIF(Recibos!$D$4:$D$3010,Cobranza!$B152,Recibos!N$4:N$3010)</f>
        <v>0</v>
      </c>
      <c r="BC152" s="317">
        <f>SUMIF(Recibos!$D$4:$D$3010,Cobranza!$B152,Recibos!O$4:O$3010)</f>
        <v>0</v>
      </c>
      <c r="BD152" s="317">
        <f>SUMIF(Recibos!$D$4:$D$3010,Cobranza!$B152,Recibos!P$4:P$3010)</f>
        <v>0</v>
      </c>
      <c r="BE152" s="317">
        <f>SUMIF(Recibos!$D$4:$D$3010,Cobranza!$B152,Recibos!Q$4:Q$3010)</f>
        <v>0</v>
      </c>
      <c r="BF152" s="317">
        <f>SUMIF(Recibos!$D$4:$D$3010,Cobranza!$B152,Recibos!R$4:R$3010)</f>
        <v>0</v>
      </c>
      <c r="BG152" s="317">
        <f>SUMIF(Recibos!$D$4:$D$3010,Cobranza!$B152,Recibos!S$4:S$3010)</f>
        <v>0</v>
      </c>
      <c r="BH152" s="317">
        <f>SUMIF(Recibos!$D$4:$D$3010,Cobranza!$B152,Recibos!T$4:T$3010)</f>
        <v>0</v>
      </c>
      <c r="BI152" s="317">
        <f>SUMIF(Recibos!$D$4:$D$3010,Cobranza!$B152,Recibos!U$4:U$3010)</f>
        <v>0</v>
      </c>
      <c r="BJ152" s="317">
        <f>SUMIF(Recibos!$D$4:$D$3010,Cobranza!$B152,Recibos!V$4:V$3010)</f>
        <v>0</v>
      </c>
      <c r="BK152" s="318">
        <f t="shared" si="21"/>
        <v>0</v>
      </c>
      <c r="BL152" s="317">
        <f>SUMIF(Recibos!$D$4:$D$3010,Cobranza!$B152,Recibos!X$4:X$3010)</f>
        <v>0</v>
      </c>
      <c r="BM152" s="317">
        <f>SUMIF(Recibos!$D$4:$D$3010,Cobranza!$B152,Recibos!Y$4:Y$3010)</f>
        <v>0</v>
      </c>
      <c r="BN152" s="317">
        <f>SUMIF(Recibos!$D$4:$D$3010,Cobranza!$B152,Recibos!Z$4:Z$3010)</f>
        <v>0</v>
      </c>
      <c r="BO152" s="317">
        <f>SUMIF(Recibos!$D$4:$D$3010,Cobranza!$B152,Recibos!AA$4:AA$3010)</f>
        <v>0</v>
      </c>
      <c r="BP152" s="317">
        <f>SUMIF(Recibos!$D$4:$D$3010,Cobranza!$B152,Recibos!AB$4:AB$3010)</f>
        <v>0</v>
      </c>
      <c r="BQ152" s="317">
        <f>SUMIF(Recibos!$D$4:$D$3010,Cobranza!$B152,Recibos!AC$4:AC$3010)</f>
        <v>0</v>
      </c>
      <c r="BR152" s="317">
        <f>SUMIF(Recibos!$D$4:$D$3010,Cobranza!$B152,Recibos!AD$4:AD$3010)</f>
        <v>0</v>
      </c>
      <c r="BS152" s="317">
        <f>SUMIF(Recibos!$D$4:$D$3010,Cobranza!$B152,Recibos!AE$4:AE$3010)</f>
        <v>0</v>
      </c>
      <c r="BT152" s="317">
        <f>SUMIF(Recibos!$D$4:$D$3010,Cobranza!$B152,Recibos!AF$4:AF$3010)</f>
        <v>0</v>
      </c>
      <c r="BU152" s="317">
        <f>SUMIF(Recibos!$D$4:$D$3010,Cobranza!$B152,Recibos!AG$4:AG$3010)</f>
        <v>0</v>
      </c>
      <c r="BV152" s="317">
        <f>SUMIF(Recibos!$D$4:$D$3010,Cobranza!$B152,Recibos!AH$4:AH$3010)</f>
        <v>0</v>
      </c>
      <c r="BW152" s="317">
        <f>SUMIF(Recibos!$D$4:$D$3010,Cobranza!$B152,Recibos!AI$4:AI$3010)</f>
        <v>0</v>
      </c>
      <c r="BX152" s="318">
        <f t="shared" si="22"/>
        <v>0</v>
      </c>
    </row>
    <row r="153" spans="2:76" x14ac:dyDescent="0.2">
      <c r="B153" s="45" t="s">
        <v>611</v>
      </c>
      <c r="C153" s="45" t="s">
        <v>612</v>
      </c>
      <c r="D153" s="45" t="s">
        <v>613</v>
      </c>
      <c r="E153" s="46">
        <v>0</v>
      </c>
      <c r="F153" s="46">
        <v>0</v>
      </c>
      <c r="G153" s="46">
        <v>0</v>
      </c>
      <c r="H153" s="46">
        <v>0</v>
      </c>
      <c r="I153" s="46">
        <v>0</v>
      </c>
      <c r="J153" s="46">
        <v>300</v>
      </c>
      <c r="K153" s="47">
        <f t="shared" si="17"/>
        <v>300</v>
      </c>
      <c r="L153" s="46">
        <v>300</v>
      </c>
      <c r="M153" s="46">
        <v>300</v>
      </c>
      <c r="N153" s="46">
        <v>300</v>
      </c>
      <c r="O153" s="46">
        <v>300</v>
      </c>
      <c r="P153" s="46">
        <v>300</v>
      </c>
      <c r="Q153" s="46">
        <v>0</v>
      </c>
      <c r="R153" s="46">
        <v>0</v>
      </c>
      <c r="S153" s="46">
        <v>0</v>
      </c>
      <c r="T153" s="46">
        <v>0</v>
      </c>
      <c r="U153" s="46">
        <v>0</v>
      </c>
      <c r="V153" s="46">
        <v>0</v>
      </c>
      <c r="W153" s="46">
        <v>400</v>
      </c>
      <c r="X153" s="47">
        <f t="shared" si="18"/>
        <v>1900</v>
      </c>
      <c r="Y153" s="46">
        <v>400</v>
      </c>
      <c r="Z153" s="46">
        <v>400</v>
      </c>
      <c r="AA153" s="46">
        <v>400</v>
      </c>
      <c r="AB153" s="46">
        <v>400</v>
      </c>
      <c r="AC153" s="46">
        <v>400</v>
      </c>
      <c r="AD153" s="46">
        <v>400</v>
      </c>
      <c r="AE153" s="46">
        <v>400</v>
      </c>
      <c r="AF153" s="46">
        <v>400</v>
      </c>
      <c r="AG153" s="46">
        <v>400</v>
      </c>
      <c r="AH153" s="46">
        <v>400</v>
      </c>
      <c r="AI153" s="46">
        <v>0</v>
      </c>
      <c r="AJ153" s="46">
        <v>400</v>
      </c>
      <c r="AK153" s="47">
        <f t="shared" si="19"/>
        <v>4400</v>
      </c>
      <c r="AL153" s="46">
        <v>400</v>
      </c>
      <c r="AM153" s="46">
        <v>400</v>
      </c>
      <c r="AN153" s="46">
        <v>400</v>
      </c>
      <c r="AO153" s="46">
        <v>400</v>
      </c>
      <c r="AP153" s="46">
        <v>400</v>
      </c>
      <c r="AQ153" s="46">
        <v>400</v>
      </c>
      <c r="AR153" s="46">
        <v>400</v>
      </c>
      <c r="AS153" s="46">
        <v>400</v>
      </c>
      <c r="AT153" s="46">
        <v>400</v>
      </c>
      <c r="AU153" s="46">
        <v>400</v>
      </c>
      <c r="AV153" s="46">
        <v>400</v>
      </c>
      <c r="AW153" s="46">
        <v>400</v>
      </c>
      <c r="AX153" s="47">
        <f t="shared" si="20"/>
        <v>4800</v>
      </c>
      <c r="AY153" s="319">
        <f>SUMIF(Recibos!$D$4:$D$3010,Cobranza!$B153,Recibos!K$4:K$3010)</f>
        <v>400</v>
      </c>
      <c r="AZ153" s="319">
        <f>SUMIF(Recibos!$D$4:$D$3010,Cobranza!$B153,Recibos!L$4:L$3010)</f>
        <v>400</v>
      </c>
      <c r="BA153" s="319">
        <f>SUMIF(Recibos!$D$4:$D$3010,Cobranza!$B153,Recibos!M$4:M$3010)</f>
        <v>400</v>
      </c>
      <c r="BB153" s="319">
        <f>SUMIF(Recibos!$D$4:$D$3010,Cobranza!$B153,Recibos!N$4:N$3010)</f>
        <v>400</v>
      </c>
      <c r="BC153" s="319">
        <f>SUMIF(Recibos!$D$4:$D$3010,Cobranza!$B153,Recibos!O$4:O$3010)</f>
        <v>400</v>
      </c>
      <c r="BD153" s="319">
        <f>SUMIF(Recibos!$D$4:$D$3010,Cobranza!$B153,Recibos!P$4:P$3010)</f>
        <v>400</v>
      </c>
      <c r="BE153" s="319">
        <f>SUMIF(Recibos!$D$4:$D$3010,Cobranza!$B153,Recibos!Q$4:Q$3010)</f>
        <v>400</v>
      </c>
      <c r="BF153" s="319">
        <f>SUMIF(Recibos!$D$4:$D$3010,Cobranza!$B153,Recibos!R$4:R$3010)</f>
        <v>400</v>
      </c>
      <c r="BG153" s="319">
        <f>SUMIF(Recibos!$D$4:$D$3010,Cobranza!$B153,Recibos!S$4:S$3010)</f>
        <v>400</v>
      </c>
      <c r="BH153" s="319">
        <f>SUMIF(Recibos!$D$4:$D$3010,Cobranza!$B153,Recibos!T$4:T$3010)</f>
        <v>400</v>
      </c>
      <c r="BI153" s="319">
        <f>SUMIF(Recibos!$D$4:$D$3010,Cobranza!$B153,Recibos!U$4:U$3010)</f>
        <v>400</v>
      </c>
      <c r="BJ153" s="319">
        <f>SUMIF(Recibos!$D$4:$D$3010,Cobranza!$B153,Recibos!V$4:V$3010)</f>
        <v>400</v>
      </c>
      <c r="BK153" s="320">
        <f t="shared" si="21"/>
        <v>4800</v>
      </c>
      <c r="BL153" s="319">
        <f>SUMIF(Recibos!$D$4:$D$3010,Cobranza!$B153,Recibos!X$4:X$3010)</f>
        <v>0</v>
      </c>
      <c r="BM153" s="319">
        <f>SUMIF(Recibos!$D$4:$D$3010,Cobranza!$B153,Recibos!Y$4:Y$3010)</f>
        <v>0</v>
      </c>
      <c r="BN153" s="319">
        <f>SUMIF(Recibos!$D$4:$D$3010,Cobranza!$B153,Recibos!Z$4:Z$3010)</f>
        <v>0</v>
      </c>
      <c r="BO153" s="319">
        <f>SUMIF(Recibos!$D$4:$D$3010,Cobranza!$B153,Recibos!AA$4:AA$3010)</f>
        <v>0</v>
      </c>
      <c r="BP153" s="319">
        <f>SUMIF(Recibos!$D$4:$D$3010,Cobranza!$B153,Recibos!AB$4:AB$3010)</f>
        <v>0</v>
      </c>
      <c r="BQ153" s="319">
        <f>SUMIF(Recibos!$D$4:$D$3010,Cobranza!$B153,Recibos!AC$4:AC$3010)</f>
        <v>0</v>
      </c>
      <c r="BR153" s="319">
        <f>SUMIF(Recibos!$D$4:$D$3010,Cobranza!$B153,Recibos!AD$4:AD$3010)</f>
        <v>0</v>
      </c>
      <c r="BS153" s="319">
        <f>SUMIF(Recibos!$D$4:$D$3010,Cobranza!$B153,Recibos!AE$4:AE$3010)</f>
        <v>0</v>
      </c>
      <c r="BT153" s="319">
        <f>SUMIF(Recibos!$D$4:$D$3010,Cobranza!$B153,Recibos!AF$4:AF$3010)</f>
        <v>0</v>
      </c>
      <c r="BU153" s="319">
        <f>SUMIF(Recibos!$D$4:$D$3010,Cobranza!$B153,Recibos!AG$4:AG$3010)</f>
        <v>0</v>
      </c>
      <c r="BV153" s="319">
        <f>SUMIF(Recibos!$D$4:$D$3010,Cobranza!$B153,Recibos!AH$4:AH$3010)</f>
        <v>0</v>
      </c>
      <c r="BW153" s="319">
        <f>SUMIF(Recibos!$D$4:$D$3010,Cobranza!$B153,Recibos!AI$4:AI$3010)</f>
        <v>0</v>
      </c>
      <c r="BX153" s="320">
        <f t="shared" si="22"/>
        <v>0</v>
      </c>
    </row>
    <row r="154" spans="2:76" x14ac:dyDescent="0.2">
      <c r="B154" s="42" t="s">
        <v>1336</v>
      </c>
      <c r="C154" s="42" t="s">
        <v>1337</v>
      </c>
      <c r="D154" s="42" t="s">
        <v>1338</v>
      </c>
      <c r="E154" s="43">
        <v>0</v>
      </c>
      <c r="F154" s="43">
        <v>300</v>
      </c>
      <c r="G154" s="43">
        <v>300</v>
      </c>
      <c r="H154" s="43">
        <v>0</v>
      </c>
      <c r="I154" s="43">
        <v>0</v>
      </c>
      <c r="J154" s="43">
        <v>300</v>
      </c>
      <c r="K154" s="44">
        <f t="shared" si="17"/>
        <v>900</v>
      </c>
      <c r="L154" s="43">
        <v>300</v>
      </c>
      <c r="M154" s="43">
        <v>300</v>
      </c>
      <c r="N154" s="43">
        <v>300</v>
      </c>
      <c r="O154" s="43">
        <v>300</v>
      </c>
      <c r="P154" s="43">
        <v>300</v>
      </c>
      <c r="Q154" s="43">
        <v>300</v>
      </c>
      <c r="R154" s="43">
        <v>0</v>
      </c>
      <c r="S154" s="43">
        <v>0</v>
      </c>
      <c r="T154" s="43">
        <v>0</v>
      </c>
      <c r="U154" s="43">
        <v>0</v>
      </c>
      <c r="V154" s="43">
        <v>0</v>
      </c>
      <c r="W154" s="43">
        <v>0</v>
      </c>
      <c r="X154" s="44">
        <f t="shared" si="18"/>
        <v>1800</v>
      </c>
      <c r="Y154" s="43">
        <v>200</v>
      </c>
      <c r="Z154" s="43">
        <v>200</v>
      </c>
      <c r="AA154" s="43">
        <v>0</v>
      </c>
      <c r="AB154" s="43">
        <v>200</v>
      </c>
      <c r="AC154" s="43">
        <v>200</v>
      </c>
      <c r="AD154" s="43">
        <v>200</v>
      </c>
      <c r="AE154" s="43">
        <v>200</v>
      </c>
      <c r="AF154" s="43">
        <v>200</v>
      </c>
      <c r="AG154" s="43">
        <v>200</v>
      </c>
      <c r="AH154" s="43">
        <v>200</v>
      </c>
      <c r="AI154" s="43">
        <v>200</v>
      </c>
      <c r="AJ154" s="43">
        <v>200</v>
      </c>
      <c r="AK154" s="44">
        <f t="shared" si="19"/>
        <v>2200</v>
      </c>
      <c r="AL154" s="43">
        <v>200</v>
      </c>
      <c r="AM154" s="43">
        <v>200</v>
      </c>
      <c r="AN154" s="43">
        <v>200</v>
      </c>
      <c r="AO154" s="43">
        <v>0</v>
      </c>
      <c r="AP154" s="43">
        <v>0</v>
      </c>
      <c r="AQ154" s="43">
        <v>0</v>
      </c>
      <c r="AR154" s="43">
        <v>0</v>
      </c>
      <c r="AS154" s="43">
        <v>0</v>
      </c>
      <c r="AT154" s="43">
        <v>0</v>
      </c>
      <c r="AU154" s="43">
        <v>0</v>
      </c>
      <c r="AV154" s="43">
        <v>0</v>
      </c>
      <c r="AW154" s="43">
        <v>0</v>
      </c>
      <c r="AX154" s="44">
        <f t="shared" si="20"/>
        <v>600</v>
      </c>
      <c r="AY154" s="317">
        <f>SUMIF(Recibos!$D$4:$D$3010,Cobranza!$B154,Recibos!K$4:K$3010)</f>
        <v>0</v>
      </c>
      <c r="AZ154" s="317">
        <f>SUMIF(Recibos!$D$4:$D$3010,Cobranza!$B154,Recibos!L$4:L$3010)</f>
        <v>0</v>
      </c>
      <c r="BA154" s="317">
        <f>SUMIF(Recibos!$D$4:$D$3010,Cobranza!$B154,Recibos!M$4:M$3010)</f>
        <v>0</v>
      </c>
      <c r="BB154" s="317">
        <f>SUMIF(Recibos!$D$4:$D$3010,Cobranza!$B154,Recibos!N$4:N$3010)</f>
        <v>0</v>
      </c>
      <c r="BC154" s="317">
        <f>SUMIF(Recibos!$D$4:$D$3010,Cobranza!$B154,Recibos!O$4:O$3010)</f>
        <v>0</v>
      </c>
      <c r="BD154" s="317">
        <f>SUMIF(Recibos!$D$4:$D$3010,Cobranza!$B154,Recibos!P$4:P$3010)</f>
        <v>0</v>
      </c>
      <c r="BE154" s="317">
        <f>SUMIF(Recibos!$D$4:$D$3010,Cobranza!$B154,Recibos!Q$4:Q$3010)</f>
        <v>0</v>
      </c>
      <c r="BF154" s="317">
        <f>SUMIF(Recibos!$D$4:$D$3010,Cobranza!$B154,Recibos!R$4:R$3010)</f>
        <v>0</v>
      </c>
      <c r="BG154" s="317">
        <f>SUMIF(Recibos!$D$4:$D$3010,Cobranza!$B154,Recibos!S$4:S$3010)</f>
        <v>0</v>
      </c>
      <c r="BH154" s="317">
        <f>SUMIF(Recibos!$D$4:$D$3010,Cobranza!$B154,Recibos!T$4:T$3010)</f>
        <v>0</v>
      </c>
      <c r="BI154" s="317">
        <f>SUMIF(Recibos!$D$4:$D$3010,Cobranza!$B154,Recibos!U$4:U$3010)</f>
        <v>0</v>
      </c>
      <c r="BJ154" s="317">
        <f>SUMIF(Recibos!$D$4:$D$3010,Cobranza!$B154,Recibos!V$4:V$3010)</f>
        <v>0</v>
      </c>
      <c r="BK154" s="318">
        <f t="shared" si="21"/>
        <v>0</v>
      </c>
      <c r="BL154" s="317">
        <f>SUMIF(Recibos!$D$4:$D$3010,Cobranza!$B154,Recibos!X$4:X$3010)</f>
        <v>0</v>
      </c>
      <c r="BM154" s="317">
        <f>SUMIF(Recibos!$D$4:$D$3010,Cobranza!$B154,Recibos!Y$4:Y$3010)</f>
        <v>0</v>
      </c>
      <c r="BN154" s="317">
        <f>SUMIF(Recibos!$D$4:$D$3010,Cobranza!$B154,Recibos!Z$4:Z$3010)</f>
        <v>0</v>
      </c>
      <c r="BO154" s="317">
        <f>SUMIF(Recibos!$D$4:$D$3010,Cobranza!$B154,Recibos!AA$4:AA$3010)</f>
        <v>0</v>
      </c>
      <c r="BP154" s="317">
        <f>SUMIF(Recibos!$D$4:$D$3010,Cobranza!$B154,Recibos!AB$4:AB$3010)</f>
        <v>0</v>
      </c>
      <c r="BQ154" s="317">
        <f>SUMIF(Recibos!$D$4:$D$3010,Cobranza!$B154,Recibos!AC$4:AC$3010)</f>
        <v>0</v>
      </c>
      <c r="BR154" s="317">
        <f>SUMIF(Recibos!$D$4:$D$3010,Cobranza!$B154,Recibos!AD$4:AD$3010)</f>
        <v>0</v>
      </c>
      <c r="BS154" s="317">
        <f>SUMIF(Recibos!$D$4:$D$3010,Cobranza!$B154,Recibos!AE$4:AE$3010)</f>
        <v>0</v>
      </c>
      <c r="BT154" s="317">
        <f>SUMIF(Recibos!$D$4:$D$3010,Cobranza!$B154,Recibos!AF$4:AF$3010)</f>
        <v>0</v>
      </c>
      <c r="BU154" s="317">
        <f>SUMIF(Recibos!$D$4:$D$3010,Cobranza!$B154,Recibos!AG$4:AG$3010)</f>
        <v>0</v>
      </c>
      <c r="BV154" s="317">
        <f>SUMIF(Recibos!$D$4:$D$3010,Cobranza!$B154,Recibos!AH$4:AH$3010)</f>
        <v>0</v>
      </c>
      <c r="BW154" s="317">
        <f>SUMIF(Recibos!$D$4:$D$3010,Cobranza!$B154,Recibos!AI$4:AI$3010)</f>
        <v>0</v>
      </c>
      <c r="BX154" s="318">
        <f t="shared" si="22"/>
        <v>0</v>
      </c>
    </row>
    <row r="155" spans="2:76" x14ac:dyDescent="0.2">
      <c r="B155" s="45" t="s">
        <v>1006</v>
      </c>
      <c r="C155" s="45" t="s">
        <v>1007</v>
      </c>
      <c r="D155" s="45" t="s">
        <v>1008</v>
      </c>
      <c r="E155" s="46">
        <v>0</v>
      </c>
      <c r="F155" s="46">
        <v>0</v>
      </c>
      <c r="G155" s="46">
        <v>0</v>
      </c>
      <c r="H155" s="46">
        <v>0</v>
      </c>
      <c r="I155" s="46">
        <v>0</v>
      </c>
      <c r="J155" s="46">
        <v>0</v>
      </c>
      <c r="K155" s="47">
        <f t="shared" si="17"/>
        <v>0</v>
      </c>
      <c r="L155" s="46">
        <v>0</v>
      </c>
      <c r="M155" s="46">
        <v>0</v>
      </c>
      <c r="N155" s="46">
        <v>0</v>
      </c>
      <c r="O155" s="46">
        <v>0</v>
      </c>
      <c r="P155" s="46">
        <v>0</v>
      </c>
      <c r="Q155" s="46">
        <v>0</v>
      </c>
      <c r="R155" s="46">
        <v>0</v>
      </c>
      <c r="S155" s="46">
        <v>0</v>
      </c>
      <c r="T155" s="46">
        <v>0</v>
      </c>
      <c r="U155" s="46">
        <v>0</v>
      </c>
      <c r="V155" s="46">
        <v>0</v>
      </c>
      <c r="W155" s="46">
        <v>0</v>
      </c>
      <c r="X155" s="47">
        <f t="shared" si="18"/>
        <v>0</v>
      </c>
      <c r="Y155" s="46">
        <v>0</v>
      </c>
      <c r="Z155" s="46">
        <v>0</v>
      </c>
      <c r="AA155" s="46">
        <v>0</v>
      </c>
      <c r="AB155" s="46">
        <v>0</v>
      </c>
      <c r="AC155" s="46">
        <v>0</v>
      </c>
      <c r="AD155" s="46">
        <v>0</v>
      </c>
      <c r="AE155" s="46">
        <v>0</v>
      </c>
      <c r="AF155" s="46">
        <v>0</v>
      </c>
      <c r="AG155" s="46">
        <v>0</v>
      </c>
      <c r="AH155" s="46">
        <v>0</v>
      </c>
      <c r="AI155" s="46">
        <v>0</v>
      </c>
      <c r="AJ155" s="46">
        <v>0</v>
      </c>
      <c r="AK155" s="47">
        <f t="shared" si="19"/>
        <v>0</v>
      </c>
      <c r="AL155" s="46">
        <v>0</v>
      </c>
      <c r="AM155" s="46">
        <v>0</v>
      </c>
      <c r="AN155" s="46">
        <v>0</v>
      </c>
      <c r="AO155" s="46">
        <v>0</v>
      </c>
      <c r="AP155" s="46">
        <v>0</v>
      </c>
      <c r="AQ155" s="46">
        <v>0</v>
      </c>
      <c r="AR155" s="46">
        <v>0</v>
      </c>
      <c r="AS155" s="46">
        <v>0</v>
      </c>
      <c r="AT155" s="46">
        <v>0</v>
      </c>
      <c r="AU155" s="46">
        <v>0</v>
      </c>
      <c r="AV155" s="46">
        <v>0</v>
      </c>
      <c r="AW155" s="46">
        <v>0</v>
      </c>
      <c r="AX155" s="47">
        <f t="shared" si="20"/>
        <v>0</v>
      </c>
      <c r="AY155" s="319">
        <f>SUMIF(Recibos!$D$4:$D$3010,Cobranza!$B155,Recibos!K$4:K$3010)</f>
        <v>0</v>
      </c>
      <c r="AZ155" s="319">
        <f>SUMIF(Recibos!$D$4:$D$3010,Cobranza!$B155,Recibos!L$4:L$3010)</f>
        <v>0</v>
      </c>
      <c r="BA155" s="319">
        <f>SUMIF(Recibos!$D$4:$D$3010,Cobranza!$B155,Recibos!M$4:M$3010)</f>
        <v>0</v>
      </c>
      <c r="BB155" s="319">
        <f>SUMIF(Recibos!$D$4:$D$3010,Cobranza!$B155,Recibos!N$4:N$3010)</f>
        <v>0</v>
      </c>
      <c r="BC155" s="319">
        <f>SUMIF(Recibos!$D$4:$D$3010,Cobranza!$B155,Recibos!O$4:O$3010)</f>
        <v>0</v>
      </c>
      <c r="BD155" s="319">
        <f>SUMIF(Recibos!$D$4:$D$3010,Cobranza!$B155,Recibos!P$4:P$3010)</f>
        <v>0</v>
      </c>
      <c r="BE155" s="319">
        <f>SUMIF(Recibos!$D$4:$D$3010,Cobranza!$B155,Recibos!Q$4:Q$3010)</f>
        <v>0</v>
      </c>
      <c r="BF155" s="319">
        <f>SUMIF(Recibos!$D$4:$D$3010,Cobranza!$B155,Recibos!R$4:R$3010)</f>
        <v>0</v>
      </c>
      <c r="BG155" s="319">
        <f>SUMIF(Recibos!$D$4:$D$3010,Cobranza!$B155,Recibos!S$4:S$3010)</f>
        <v>0</v>
      </c>
      <c r="BH155" s="319">
        <f>SUMIF(Recibos!$D$4:$D$3010,Cobranza!$B155,Recibos!T$4:T$3010)</f>
        <v>0</v>
      </c>
      <c r="BI155" s="319">
        <f>SUMIF(Recibos!$D$4:$D$3010,Cobranza!$B155,Recibos!U$4:U$3010)</f>
        <v>0</v>
      </c>
      <c r="BJ155" s="319">
        <f>SUMIF(Recibos!$D$4:$D$3010,Cobranza!$B155,Recibos!V$4:V$3010)</f>
        <v>0</v>
      </c>
      <c r="BK155" s="320">
        <f t="shared" si="21"/>
        <v>0</v>
      </c>
      <c r="BL155" s="319">
        <f>SUMIF(Recibos!$D$4:$D$3010,Cobranza!$B155,Recibos!X$4:X$3010)</f>
        <v>0</v>
      </c>
      <c r="BM155" s="319">
        <f>SUMIF(Recibos!$D$4:$D$3010,Cobranza!$B155,Recibos!Y$4:Y$3010)</f>
        <v>0</v>
      </c>
      <c r="BN155" s="319">
        <f>SUMIF(Recibos!$D$4:$D$3010,Cobranza!$B155,Recibos!Z$4:Z$3010)</f>
        <v>0</v>
      </c>
      <c r="BO155" s="319">
        <f>SUMIF(Recibos!$D$4:$D$3010,Cobranza!$B155,Recibos!AA$4:AA$3010)</f>
        <v>0</v>
      </c>
      <c r="BP155" s="319">
        <f>SUMIF(Recibos!$D$4:$D$3010,Cobranza!$B155,Recibos!AB$4:AB$3010)</f>
        <v>0</v>
      </c>
      <c r="BQ155" s="319">
        <f>SUMIF(Recibos!$D$4:$D$3010,Cobranza!$B155,Recibos!AC$4:AC$3010)</f>
        <v>0</v>
      </c>
      <c r="BR155" s="319">
        <f>SUMIF(Recibos!$D$4:$D$3010,Cobranza!$B155,Recibos!AD$4:AD$3010)</f>
        <v>0</v>
      </c>
      <c r="BS155" s="319">
        <f>SUMIF(Recibos!$D$4:$D$3010,Cobranza!$B155,Recibos!AE$4:AE$3010)</f>
        <v>0</v>
      </c>
      <c r="BT155" s="319">
        <f>SUMIF(Recibos!$D$4:$D$3010,Cobranza!$B155,Recibos!AF$4:AF$3010)</f>
        <v>0</v>
      </c>
      <c r="BU155" s="319">
        <f>SUMIF(Recibos!$D$4:$D$3010,Cobranza!$B155,Recibos!AG$4:AG$3010)</f>
        <v>0</v>
      </c>
      <c r="BV155" s="319">
        <f>SUMIF(Recibos!$D$4:$D$3010,Cobranza!$B155,Recibos!AH$4:AH$3010)</f>
        <v>0</v>
      </c>
      <c r="BW155" s="319">
        <f>SUMIF(Recibos!$D$4:$D$3010,Cobranza!$B155,Recibos!AI$4:AI$3010)</f>
        <v>0</v>
      </c>
      <c r="BX155" s="320">
        <f t="shared" si="22"/>
        <v>0</v>
      </c>
    </row>
    <row r="156" spans="2:76" x14ac:dyDescent="0.2">
      <c r="B156" s="42" t="s">
        <v>259</v>
      </c>
      <c r="C156" s="42" t="s">
        <v>260</v>
      </c>
      <c r="D156" s="42" t="s">
        <v>261</v>
      </c>
      <c r="E156" s="43">
        <v>0</v>
      </c>
      <c r="F156" s="43">
        <v>0</v>
      </c>
      <c r="G156" s="43">
        <v>0</v>
      </c>
      <c r="H156" s="43">
        <v>0</v>
      </c>
      <c r="I156" s="43">
        <v>0</v>
      </c>
      <c r="J156" s="43">
        <v>300</v>
      </c>
      <c r="K156" s="44">
        <f t="shared" si="17"/>
        <v>300</v>
      </c>
      <c r="L156" s="43">
        <v>300</v>
      </c>
      <c r="M156" s="43">
        <v>300</v>
      </c>
      <c r="N156" s="43">
        <v>300</v>
      </c>
      <c r="O156" s="43">
        <v>300</v>
      </c>
      <c r="P156" s="43">
        <v>300</v>
      </c>
      <c r="Q156" s="43">
        <v>300</v>
      </c>
      <c r="R156" s="43">
        <v>300</v>
      </c>
      <c r="S156" s="43">
        <v>300</v>
      </c>
      <c r="T156" s="43">
        <v>300</v>
      </c>
      <c r="U156" s="43">
        <v>400</v>
      </c>
      <c r="V156" s="43">
        <v>400</v>
      </c>
      <c r="W156" s="43">
        <v>400</v>
      </c>
      <c r="X156" s="44">
        <f t="shared" si="18"/>
        <v>3900</v>
      </c>
      <c r="Y156" s="43">
        <v>400</v>
      </c>
      <c r="Z156" s="43">
        <v>400</v>
      </c>
      <c r="AA156" s="43">
        <v>400</v>
      </c>
      <c r="AB156" s="43">
        <v>400</v>
      </c>
      <c r="AC156" s="43">
        <v>400</v>
      </c>
      <c r="AD156" s="43">
        <v>400</v>
      </c>
      <c r="AE156" s="43">
        <v>400</v>
      </c>
      <c r="AF156" s="43">
        <v>400</v>
      </c>
      <c r="AG156" s="43">
        <v>400</v>
      </c>
      <c r="AH156" s="43">
        <v>400</v>
      </c>
      <c r="AI156" s="43">
        <v>400</v>
      </c>
      <c r="AJ156" s="43">
        <v>400</v>
      </c>
      <c r="AK156" s="44">
        <f t="shared" si="19"/>
        <v>4800</v>
      </c>
      <c r="AL156" s="43">
        <v>400</v>
      </c>
      <c r="AM156" s="43">
        <v>400</v>
      </c>
      <c r="AN156" s="43">
        <v>400</v>
      </c>
      <c r="AO156" s="43">
        <v>400</v>
      </c>
      <c r="AP156" s="43">
        <v>400</v>
      </c>
      <c r="AQ156" s="43">
        <v>400</v>
      </c>
      <c r="AR156" s="43">
        <v>400</v>
      </c>
      <c r="AS156" s="43">
        <v>400</v>
      </c>
      <c r="AT156" s="43">
        <v>400</v>
      </c>
      <c r="AU156" s="43">
        <v>400</v>
      </c>
      <c r="AV156" s="43">
        <v>400</v>
      </c>
      <c r="AW156" s="43">
        <v>400</v>
      </c>
      <c r="AX156" s="44">
        <f t="shared" si="20"/>
        <v>4800</v>
      </c>
      <c r="AY156" s="317">
        <f>SUMIF(Recibos!$D$4:$D$3010,Cobranza!$B156,Recibos!K$4:K$3010)</f>
        <v>400</v>
      </c>
      <c r="AZ156" s="317">
        <f>SUMIF(Recibos!$D$4:$D$3010,Cobranza!$B156,Recibos!L$4:L$3010)</f>
        <v>400</v>
      </c>
      <c r="BA156" s="317">
        <f>SUMIF(Recibos!$D$4:$D$3010,Cobranza!$B156,Recibos!M$4:M$3010)</f>
        <v>400</v>
      </c>
      <c r="BB156" s="317">
        <f>SUMIF(Recibos!$D$4:$D$3010,Cobranza!$B156,Recibos!N$4:N$3010)</f>
        <v>400</v>
      </c>
      <c r="BC156" s="317">
        <f>SUMIF(Recibos!$D$4:$D$3010,Cobranza!$B156,Recibos!O$4:O$3010)</f>
        <v>400</v>
      </c>
      <c r="BD156" s="317">
        <f>SUMIF(Recibos!$D$4:$D$3010,Cobranza!$B156,Recibos!P$4:P$3010)</f>
        <v>400</v>
      </c>
      <c r="BE156" s="317">
        <f>SUMIF(Recibos!$D$4:$D$3010,Cobranza!$B156,Recibos!Q$4:Q$3010)</f>
        <v>400</v>
      </c>
      <c r="BF156" s="317">
        <f>SUMIF(Recibos!$D$4:$D$3010,Cobranza!$B156,Recibos!R$4:R$3010)</f>
        <v>400</v>
      </c>
      <c r="BG156" s="317">
        <f>SUMIF(Recibos!$D$4:$D$3010,Cobranza!$B156,Recibos!S$4:S$3010)</f>
        <v>400</v>
      </c>
      <c r="BH156" s="317">
        <f>SUMIF(Recibos!$D$4:$D$3010,Cobranza!$B156,Recibos!T$4:T$3010)</f>
        <v>400</v>
      </c>
      <c r="BI156" s="317">
        <f>SUMIF(Recibos!$D$4:$D$3010,Cobranza!$B156,Recibos!U$4:U$3010)</f>
        <v>400</v>
      </c>
      <c r="BJ156" s="317">
        <f>SUMIF(Recibos!$D$4:$D$3010,Cobranza!$B156,Recibos!V$4:V$3010)</f>
        <v>400</v>
      </c>
      <c r="BK156" s="318">
        <f t="shared" si="21"/>
        <v>4800</v>
      </c>
      <c r="BL156" s="317">
        <f>SUMIF(Recibos!$D$4:$D$3010,Cobranza!$B156,Recibos!X$4:X$3010)</f>
        <v>0</v>
      </c>
      <c r="BM156" s="317">
        <f>SUMIF(Recibos!$D$4:$D$3010,Cobranza!$B156,Recibos!Y$4:Y$3010)</f>
        <v>0</v>
      </c>
      <c r="BN156" s="317">
        <f>SUMIF(Recibos!$D$4:$D$3010,Cobranza!$B156,Recibos!Z$4:Z$3010)</f>
        <v>0</v>
      </c>
      <c r="BO156" s="317">
        <f>SUMIF(Recibos!$D$4:$D$3010,Cobranza!$B156,Recibos!AA$4:AA$3010)</f>
        <v>0</v>
      </c>
      <c r="BP156" s="317">
        <f>SUMIF(Recibos!$D$4:$D$3010,Cobranza!$B156,Recibos!AB$4:AB$3010)</f>
        <v>0</v>
      </c>
      <c r="BQ156" s="317">
        <f>SUMIF(Recibos!$D$4:$D$3010,Cobranza!$B156,Recibos!AC$4:AC$3010)</f>
        <v>0</v>
      </c>
      <c r="BR156" s="317">
        <f>SUMIF(Recibos!$D$4:$D$3010,Cobranza!$B156,Recibos!AD$4:AD$3010)</f>
        <v>0</v>
      </c>
      <c r="BS156" s="317">
        <f>SUMIF(Recibos!$D$4:$D$3010,Cobranza!$B156,Recibos!AE$4:AE$3010)</f>
        <v>0</v>
      </c>
      <c r="BT156" s="317">
        <f>SUMIF(Recibos!$D$4:$D$3010,Cobranza!$B156,Recibos!AF$4:AF$3010)</f>
        <v>0</v>
      </c>
      <c r="BU156" s="317">
        <f>SUMIF(Recibos!$D$4:$D$3010,Cobranza!$B156,Recibos!AG$4:AG$3010)</f>
        <v>0</v>
      </c>
      <c r="BV156" s="317">
        <f>SUMIF(Recibos!$D$4:$D$3010,Cobranza!$B156,Recibos!AH$4:AH$3010)</f>
        <v>0</v>
      </c>
      <c r="BW156" s="317">
        <f>SUMIF(Recibos!$D$4:$D$3010,Cobranza!$B156,Recibos!AI$4:AI$3010)</f>
        <v>0</v>
      </c>
      <c r="BX156" s="318">
        <f t="shared" si="22"/>
        <v>0</v>
      </c>
    </row>
    <row r="157" spans="2:76" x14ac:dyDescent="0.2">
      <c r="B157" s="45" t="s">
        <v>649</v>
      </c>
      <c r="C157" s="45" t="s">
        <v>650</v>
      </c>
      <c r="D157" s="45" t="s">
        <v>651</v>
      </c>
      <c r="E157" s="46">
        <v>300</v>
      </c>
      <c r="F157" s="46">
        <v>300</v>
      </c>
      <c r="G157" s="46">
        <v>300</v>
      </c>
      <c r="H157" s="46">
        <v>300</v>
      </c>
      <c r="I157" s="46">
        <v>300</v>
      </c>
      <c r="J157" s="46">
        <v>300</v>
      </c>
      <c r="K157" s="47">
        <f t="shared" si="17"/>
        <v>1800</v>
      </c>
      <c r="L157" s="46">
        <v>600</v>
      </c>
      <c r="M157" s="46">
        <v>300</v>
      </c>
      <c r="N157" s="46">
        <v>300</v>
      </c>
      <c r="O157" s="46">
        <v>0</v>
      </c>
      <c r="P157" s="46">
        <v>300</v>
      </c>
      <c r="Q157" s="46">
        <v>300</v>
      </c>
      <c r="R157" s="46">
        <v>300</v>
      </c>
      <c r="S157" s="46">
        <v>300</v>
      </c>
      <c r="T157" s="46">
        <v>300</v>
      </c>
      <c r="U157" s="46">
        <v>400</v>
      </c>
      <c r="V157" s="46">
        <v>400</v>
      </c>
      <c r="W157" s="46">
        <v>400</v>
      </c>
      <c r="X157" s="47">
        <f t="shared" si="18"/>
        <v>3900</v>
      </c>
      <c r="Y157" s="46">
        <v>400</v>
      </c>
      <c r="Z157" s="46">
        <v>400</v>
      </c>
      <c r="AA157" s="46">
        <v>400</v>
      </c>
      <c r="AB157" s="46">
        <v>400</v>
      </c>
      <c r="AC157" s="46">
        <v>400</v>
      </c>
      <c r="AD157" s="46">
        <v>400</v>
      </c>
      <c r="AE157" s="46">
        <v>400</v>
      </c>
      <c r="AF157" s="46">
        <v>0</v>
      </c>
      <c r="AG157" s="46">
        <v>0</v>
      </c>
      <c r="AH157" s="46">
        <v>0</v>
      </c>
      <c r="AI157" s="46">
        <v>0</v>
      </c>
      <c r="AJ157" s="46">
        <v>0</v>
      </c>
      <c r="AK157" s="47">
        <f t="shared" si="19"/>
        <v>2800</v>
      </c>
      <c r="AL157" s="46">
        <v>400</v>
      </c>
      <c r="AM157" s="46">
        <v>400</v>
      </c>
      <c r="AN157" s="46">
        <v>400</v>
      </c>
      <c r="AO157" s="46">
        <v>400</v>
      </c>
      <c r="AP157" s="46">
        <v>400</v>
      </c>
      <c r="AQ157" s="46">
        <v>400</v>
      </c>
      <c r="AR157" s="46">
        <v>400</v>
      </c>
      <c r="AS157" s="46">
        <v>300</v>
      </c>
      <c r="AT157" s="46">
        <v>300</v>
      </c>
      <c r="AU157" s="46">
        <v>300</v>
      </c>
      <c r="AV157" s="46">
        <v>300</v>
      </c>
      <c r="AW157" s="46">
        <v>300</v>
      </c>
      <c r="AX157" s="47">
        <f t="shared" si="20"/>
        <v>4300</v>
      </c>
      <c r="AY157" s="319">
        <f>SUMIF(Recibos!$D$4:$D$3010,Cobranza!$B157,Recibos!K$4:K$3010)</f>
        <v>300</v>
      </c>
      <c r="AZ157" s="319">
        <f>SUMIF(Recibos!$D$4:$D$3010,Cobranza!$B157,Recibos!L$4:L$3010)</f>
        <v>300</v>
      </c>
      <c r="BA157" s="319">
        <f>SUMIF(Recibos!$D$4:$D$3010,Cobranza!$B157,Recibos!M$4:M$3010)</f>
        <v>300</v>
      </c>
      <c r="BB157" s="319">
        <f>SUMIF(Recibos!$D$4:$D$3010,Cobranza!$B157,Recibos!N$4:N$3010)</f>
        <v>300</v>
      </c>
      <c r="BC157" s="319">
        <f>SUMIF(Recibos!$D$4:$D$3010,Cobranza!$B157,Recibos!O$4:O$3010)</f>
        <v>300</v>
      </c>
      <c r="BD157" s="319">
        <f>SUMIF(Recibos!$D$4:$D$3010,Cobranza!$B157,Recibos!P$4:P$3010)</f>
        <v>300</v>
      </c>
      <c r="BE157" s="319">
        <f>SUMIF(Recibos!$D$4:$D$3010,Cobranza!$B157,Recibos!Q$4:Q$3010)</f>
        <v>300</v>
      </c>
      <c r="BF157" s="319">
        <f>SUMIF(Recibos!$D$4:$D$3010,Cobranza!$B157,Recibos!R$4:R$3010)</f>
        <v>300</v>
      </c>
      <c r="BG157" s="319">
        <f>SUMIF(Recibos!$D$4:$D$3010,Cobranza!$B157,Recibos!S$4:S$3010)</f>
        <v>300</v>
      </c>
      <c r="BH157" s="319">
        <f>SUMIF(Recibos!$D$4:$D$3010,Cobranza!$B157,Recibos!T$4:T$3010)</f>
        <v>300</v>
      </c>
      <c r="BI157" s="319">
        <f>SUMIF(Recibos!$D$4:$D$3010,Cobranza!$B157,Recibos!U$4:U$3010)</f>
        <v>300</v>
      </c>
      <c r="BJ157" s="319">
        <f>SUMIF(Recibos!$D$4:$D$3010,Cobranza!$B157,Recibos!V$4:V$3010)</f>
        <v>300</v>
      </c>
      <c r="BK157" s="320">
        <f t="shared" si="21"/>
        <v>3600</v>
      </c>
      <c r="BL157" s="319">
        <f>SUMIF(Recibos!$D$4:$D$3010,Cobranza!$B157,Recibos!X$4:X$3010)</f>
        <v>0</v>
      </c>
      <c r="BM157" s="319">
        <f>SUMIF(Recibos!$D$4:$D$3010,Cobranza!$B157,Recibos!Y$4:Y$3010)</f>
        <v>0</v>
      </c>
      <c r="BN157" s="319">
        <f>SUMIF(Recibos!$D$4:$D$3010,Cobranza!$B157,Recibos!Z$4:Z$3010)</f>
        <v>0</v>
      </c>
      <c r="BO157" s="319">
        <f>SUMIF(Recibos!$D$4:$D$3010,Cobranza!$B157,Recibos!AA$4:AA$3010)</f>
        <v>0</v>
      </c>
      <c r="BP157" s="319">
        <f>SUMIF(Recibos!$D$4:$D$3010,Cobranza!$B157,Recibos!AB$4:AB$3010)</f>
        <v>0</v>
      </c>
      <c r="BQ157" s="319">
        <f>SUMIF(Recibos!$D$4:$D$3010,Cobranza!$B157,Recibos!AC$4:AC$3010)</f>
        <v>0</v>
      </c>
      <c r="BR157" s="319">
        <f>SUMIF(Recibos!$D$4:$D$3010,Cobranza!$B157,Recibos!AD$4:AD$3010)</f>
        <v>0</v>
      </c>
      <c r="BS157" s="319">
        <f>SUMIF(Recibos!$D$4:$D$3010,Cobranza!$B157,Recibos!AE$4:AE$3010)</f>
        <v>0</v>
      </c>
      <c r="BT157" s="319">
        <f>SUMIF(Recibos!$D$4:$D$3010,Cobranza!$B157,Recibos!AF$4:AF$3010)</f>
        <v>0</v>
      </c>
      <c r="BU157" s="319">
        <f>SUMIF(Recibos!$D$4:$D$3010,Cobranza!$B157,Recibos!AG$4:AG$3010)</f>
        <v>0</v>
      </c>
      <c r="BV157" s="319">
        <f>SUMIF(Recibos!$D$4:$D$3010,Cobranza!$B157,Recibos!AH$4:AH$3010)</f>
        <v>0</v>
      </c>
      <c r="BW157" s="319">
        <f>SUMIF(Recibos!$D$4:$D$3010,Cobranza!$B157,Recibos!AI$4:AI$3010)</f>
        <v>0</v>
      </c>
      <c r="BX157" s="320">
        <f t="shared" si="22"/>
        <v>0</v>
      </c>
    </row>
    <row r="158" spans="2:76" x14ac:dyDescent="0.2">
      <c r="B158" s="42" t="s">
        <v>1339</v>
      </c>
      <c r="C158" s="42" t="s">
        <v>1340</v>
      </c>
      <c r="D158" s="42"/>
      <c r="E158" s="43">
        <v>0</v>
      </c>
      <c r="F158" s="43">
        <v>0</v>
      </c>
      <c r="G158" s="43">
        <v>0</v>
      </c>
      <c r="H158" s="43">
        <v>0</v>
      </c>
      <c r="I158" s="43">
        <v>0</v>
      </c>
      <c r="J158" s="43">
        <v>0</v>
      </c>
      <c r="K158" s="44">
        <f t="shared" si="17"/>
        <v>0</v>
      </c>
      <c r="L158" s="43">
        <v>0</v>
      </c>
      <c r="M158" s="43">
        <v>0</v>
      </c>
      <c r="N158" s="43">
        <v>0</v>
      </c>
      <c r="O158" s="43">
        <v>0</v>
      </c>
      <c r="P158" s="43">
        <v>0</v>
      </c>
      <c r="Q158" s="43">
        <v>0</v>
      </c>
      <c r="R158" s="43">
        <v>0</v>
      </c>
      <c r="S158" s="43">
        <v>0</v>
      </c>
      <c r="T158" s="43">
        <v>0</v>
      </c>
      <c r="U158" s="43">
        <v>0</v>
      </c>
      <c r="V158" s="43">
        <v>0</v>
      </c>
      <c r="W158" s="43">
        <v>0</v>
      </c>
      <c r="X158" s="44">
        <f t="shared" si="18"/>
        <v>0</v>
      </c>
      <c r="Y158" s="43">
        <v>0</v>
      </c>
      <c r="Z158" s="43">
        <v>0</v>
      </c>
      <c r="AA158" s="43">
        <v>0</v>
      </c>
      <c r="AB158" s="43">
        <v>0</v>
      </c>
      <c r="AC158" s="43">
        <v>0</v>
      </c>
      <c r="AD158" s="43">
        <v>0</v>
      </c>
      <c r="AE158" s="43">
        <v>0</v>
      </c>
      <c r="AF158" s="43">
        <v>0</v>
      </c>
      <c r="AG158" s="43">
        <v>0</v>
      </c>
      <c r="AH158" s="43">
        <v>0</v>
      </c>
      <c r="AI158" s="43">
        <v>0</v>
      </c>
      <c r="AJ158" s="43">
        <v>0</v>
      </c>
      <c r="AK158" s="44">
        <f t="shared" si="19"/>
        <v>0</v>
      </c>
      <c r="AL158" s="43">
        <v>0</v>
      </c>
      <c r="AM158" s="43">
        <v>0</v>
      </c>
      <c r="AN158" s="43">
        <v>0</v>
      </c>
      <c r="AO158" s="43">
        <v>0</v>
      </c>
      <c r="AP158" s="43">
        <v>0</v>
      </c>
      <c r="AQ158" s="43">
        <v>0</v>
      </c>
      <c r="AR158" s="43">
        <v>0</v>
      </c>
      <c r="AS158" s="43">
        <v>0</v>
      </c>
      <c r="AT158" s="43">
        <v>0</v>
      </c>
      <c r="AU158" s="43">
        <v>0</v>
      </c>
      <c r="AV158" s="43">
        <v>0</v>
      </c>
      <c r="AW158" s="43">
        <v>0</v>
      </c>
      <c r="AX158" s="44">
        <f t="shared" si="20"/>
        <v>0</v>
      </c>
      <c r="AY158" s="317">
        <f>SUMIF(Recibos!$D$4:$D$3010,Cobranza!$B158,Recibos!K$4:K$3010)</f>
        <v>0</v>
      </c>
      <c r="AZ158" s="317">
        <f>SUMIF(Recibos!$D$4:$D$3010,Cobranza!$B158,Recibos!L$4:L$3010)</f>
        <v>0</v>
      </c>
      <c r="BA158" s="317">
        <f>SUMIF(Recibos!$D$4:$D$3010,Cobranza!$B158,Recibos!M$4:M$3010)</f>
        <v>0</v>
      </c>
      <c r="BB158" s="317">
        <f>SUMIF(Recibos!$D$4:$D$3010,Cobranza!$B158,Recibos!N$4:N$3010)</f>
        <v>0</v>
      </c>
      <c r="BC158" s="317">
        <f>SUMIF(Recibos!$D$4:$D$3010,Cobranza!$B158,Recibos!O$4:O$3010)</f>
        <v>0</v>
      </c>
      <c r="BD158" s="317">
        <f>SUMIF(Recibos!$D$4:$D$3010,Cobranza!$B158,Recibos!P$4:P$3010)</f>
        <v>0</v>
      </c>
      <c r="BE158" s="317">
        <f>SUMIF(Recibos!$D$4:$D$3010,Cobranza!$B158,Recibos!Q$4:Q$3010)</f>
        <v>0</v>
      </c>
      <c r="BF158" s="317">
        <f>SUMIF(Recibos!$D$4:$D$3010,Cobranza!$B158,Recibos!R$4:R$3010)</f>
        <v>0</v>
      </c>
      <c r="BG158" s="317">
        <f>SUMIF(Recibos!$D$4:$D$3010,Cobranza!$B158,Recibos!S$4:S$3010)</f>
        <v>0</v>
      </c>
      <c r="BH158" s="317">
        <f>SUMIF(Recibos!$D$4:$D$3010,Cobranza!$B158,Recibos!T$4:T$3010)</f>
        <v>0</v>
      </c>
      <c r="BI158" s="317">
        <f>SUMIF(Recibos!$D$4:$D$3010,Cobranza!$B158,Recibos!U$4:U$3010)</f>
        <v>0</v>
      </c>
      <c r="BJ158" s="317">
        <f>SUMIF(Recibos!$D$4:$D$3010,Cobranza!$B158,Recibos!V$4:V$3010)</f>
        <v>0</v>
      </c>
      <c r="BK158" s="318">
        <f t="shared" si="21"/>
        <v>0</v>
      </c>
      <c r="BL158" s="317">
        <f>SUMIF(Recibos!$D$4:$D$3010,Cobranza!$B158,Recibos!X$4:X$3010)</f>
        <v>0</v>
      </c>
      <c r="BM158" s="317">
        <f>SUMIF(Recibos!$D$4:$D$3010,Cobranza!$B158,Recibos!Y$4:Y$3010)</f>
        <v>0</v>
      </c>
      <c r="BN158" s="317">
        <f>SUMIF(Recibos!$D$4:$D$3010,Cobranza!$B158,Recibos!Z$4:Z$3010)</f>
        <v>0</v>
      </c>
      <c r="BO158" s="317">
        <f>SUMIF(Recibos!$D$4:$D$3010,Cobranza!$B158,Recibos!AA$4:AA$3010)</f>
        <v>0</v>
      </c>
      <c r="BP158" s="317">
        <f>SUMIF(Recibos!$D$4:$D$3010,Cobranza!$B158,Recibos!AB$4:AB$3010)</f>
        <v>0</v>
      </c>
      <c r="BQ158" s="317">
        <f>SUMIF(Recibos!$D$4:$D$3010,Cobranza!$B158,Recibos!AC$4:AC$3010)</f>
        <v>0</v>
      </c>
      <c r="BR158" s="317">
        <f>SUMIF(Recibos!$D$4:$D$3010,Cobranza!$B158,Recibos!AD$4:AD$3010)</f>
        <v>0</v>
      </c>
      <c r="BS158" s="317">
        <f>SUMIF(Recibos!$D$4:$D$3010,Cobranza!$B158,Recibos!AE$4:AE$3010)</f>
        <v>0</v>
      </c>
      <c r="BT158" s="317">
        <f>SUMIF(Recibos!$D$4:$D$3010,Cobranza!$B158,Recibos!AF$4:AF$3010)</f>
        <v>0</v>
      </c>
      <c r="BU158" s="317">
        <f>SUMIF(Recibos!$D$4:$D$3010,Cobranza!$B158,Recibos!AG$4:AG$3010)</f>
        <v>0</v>
      </c>
      <c r="BV158" s="317">
        <f>SUMIF(Recibos!$D$4:$D$3010,Cobranza!$B158,Recibos!AH$4:AH$3010)</f>
        <v>0</v>
      </c>
      <c r="BW158" s="317">
        <f>SUMIF(Recibos!$D$4:$D$3010,Cobranza!$B158,Recibos!AI$4:AI$3010)</f>
        <v>0</v>
      </c>
      <c r="BX158" s="318">
        <f t="shared" si="22"/>
        <v>0</v>
      </c>
    </row>
    <row r="159" spans="2:76" x14ac:dyDescent="0.2">
      <c r="B159" s="45" t="s">
        <v>785</v>
      </c>
      <c r="C159" s="45" t="s">
        <v>786</v>
      </c>
      <c r="D159" s="45" t="s">
        <v>787</v>
      </c>
      <c r="E159" s="46">
        <v>0</v>
      </c>
      <c r="F159" s="46">
        <v>0</v>
      </c>
      <c r="G159" s="46">
        <v>0</v>
      </c>
      <c r="H159" s="46">
        <v>0</v>
      </c>
      <c r="I159" s="46">
        <v>0</v>
      </c>
      <c r="J159" s="46">
        <v>300</v>
      </c>
      <c r="K159" s="47">
        <f t="shared" si="17"/>
        <v>300</v>
      </c>
      <c r="L159" s="46">
        <v>300</v>
      </c>
      <c r="M159" s="46">
        <v>300</v>
      </c>
      <c r="N159" s="46">
        <v>300</v>
      </c>
      <c r="O159" s="46">
        <v>300</v>
      </c>
      <c r="P159" s="46">
        <v>300</v>
      </c>
      <c r="Q159" s="46">
        <v>300</v>
      </c>
      <c r="R159" s="46">
        <v>300</v>
      </c>
      <c r="S159" s="46">
        <v>300</v>
      </c>
      <c r="T159" s="46">
        <v>300</v>
      </c>
      <c r="U159" s="46">
        <v>400</v>
      </c>
      <c r="V159" s="46">
        <v>0</v>
      </c>
      <c r="W159" s="46">
        <v>0</v>
      </c>
      <c r="X159" s="47">
        <f t="shared" si="18"/>
        <v>3100</v>
      </c>
      <c r="Y159" s="46">
        <v>400</v>
      </c>
      <c r="Z159" s="46">
        <v>400</v>
      </c>
      <c r="AA159" s="46">
        <v>400</v>
      </c>
      <c r="AB159" s="46">
        <v>400</v>
      </c>
      <c r="AC159" s="46">
        <v>400</v>
      </c>
      <c r="AD159" s="46">
        <v>400</v>
      </c>
      <c r="AE159" s="46">
        <v>400</v>
      </c>
      <c r="AF159" s="46">
        <v>300</v>
      </c>
      <c r="AG159" s="46">
        <v>300</v>
      </c>
      <c r="AH159" s="46">
        <v>300</v>
      </c>
      <c r="AI159" s="46">
        <v>300</v>
      </c>
      <c r="AJ159" s="46">
        <v>300</v>
      </c>
      <c r="AK159" s="47">
        <f t="shared" si="19"/>
        <v>4300</v>
      </c>
      <c r="AL159" s="46">
        <v>300</v>
      </c>
      <c r="AM159" s="46">
        <v>300</v>
      </c>
      <c r="AN159" s="46">
        <v>300</v>
      </c>
      <c r="AO159" s="46">
        <v>300</v>
      </c>
      <c r="AP159" s="46">
        <v>300</v>
      </c>
      <c r="AQ159" s="46">
        <v>300</v>
      </c>
      <c r="AR159" s="46">
        <v>300</v>
      </c>
      <c r="AS159" s="46">
        <v>0</v>
      </c>
      <c r="AT159" s="46">
        <v>300</v>
      </c>
      <c r="AU159" s="46">
        <v>300</v>
      </c>
      <c r="AV159" s="46">
        <v>300</v>
      </c>
      <c r="AW159" s="46">
        <v>200</v>
      </c>
      <c r="AX159" s="47">
        <f t="shared" si="20"/>
        <v>3200</v>
      </c>
      <c r="AY159" s="319">
        <f>SUMIF(Recibos!$D$4:$D$3010,Cobranza!$B159,Recibos!K$4:K$3010)</f>
        <v>200</v>
      </c>
      <c r="AZ159" s="319">
        <f>SUMIF(Recibos!$D$4:$D$3010,Cobranza!$B159,Recibos!L$4:L$3010)</f>
        <v>200</v>
      </c>
      <c r="BA159" s="319">
        <f>SUMIF(Recibos!$D$4:$D$3010,Cobranza!$B159,Recibos!M$4:M$3010)</f>
        <v>200</v>
      </c>
      <c r="BB159" s="319">
        <f>SUMIF(Recibos!$D$4:$D$3010,Cobranza!$B159,Recibos!N$4:N$3010)</f>
        <v>200</v>
      </c>
      <c r="BC159" s="319">
        <f>SUMIF(Recibos!$D$4:$D$3010,Cobranza!$B159,Recibos!O$4:O$3010)</f>
        <v>200</v>
      </c>
      <c r="BD159" s="319">
        <f>SUMIF(Recibos!$D$4:$D$3010,Cobranza!$B159,Recibos!P$4:P$3010)</f>
        <v>200</v>
      </c>
      <c r="BE159" s="319">
        <f>SUMIF(Recibos!$D$4:$D$3010,Cobranza!$B159,Recibos!Q$4:Q$3010)</f>
        <v>200</v>
      </c>
      <c r="BF159" s="319">
        <f>SUMIF(Recibos!$D$4:$D$3010,Cobranza!$B159,Recibos!R$4:R$3010)</f>
        <v>200</v>
      </c>
      <c r="BG159" s="319">
        <f>SUMIF(Recibos!$D$4:$D$3010,Cobranza!$B159,Recibos!S$4:S$3010)</f>
        <v>200</v>
      </c>
      <c r="BH159" s="319">
        <f>SUMIF(Recibos!$D$4:$D$3010,Cobranza!$B159,Recibos!T$4:T$3010)</f>
        <v>200</v>
      </c>
      <c r="BI159" s="319">
        <f>SUMIF(Recibos!$D$4:$D$3010,Cobranza!$B159,Recibos!U$4:U$3010)</f>
        <v>200</v>
      </c>
      <c r="BJ159" s="319">
        <f>SUMIF(Recibos!$D$4:$D$3010,Cobranza!$B159,Recibos!V$4:V$3010)</f>
        <v>200</v>
      </c>
      <c r="BK159" s="320">
        <f t="shared" si="21"/>
        <v>2400</v>
      </c>
      <c r="BL159" s="319">
        <f>SUMIF(Recibos!$D$4:$D$3010,Cobranza!$B159,Recibos!X$4:X$3010)</f>
        <v>0</v>
      </c>
      <c r="BM159" s="319">
        <f>SUMIF(Recibos!$D$4:$D$3010,Cobranza!$B159,Recibos!Y$4:Y$3010)</f>
        <v>0</v>
      </c>
      <c r="BN159" s="319">
        <f>SUMIF(Recibos!$D$4:$D$3010,Cobranza!$B159,Recibos!Z$4:Z$3010)</f>
        <v>0</v>
      </c>
      <c r="BO159" s="319">
        <f>SUMIF(Recibos!$D$4:$D$3010,Cobranza!$B159,Recibos!AA$4:AA$3010)</f>
        <v>0</v>
      </c>
      <c r="BP159" s="319">
        <f>SUMIF(Recibos!$D$4:$D$3010,Cobranza!$B159,Recibos!AB$4:AB$3010)</f>
        <v>0</v>
      </c>
      <c r="BQ159" s="319">
        <f>SUMIF(Recibos!$D$4:$D$3010,Cobranza!$B159,Recibos!AC$4:AC$3010)</f>
        <v>0</v>
      </c>
      <c r="BR159" s="319">
        <f>SUMIF(Recibos!$D$4:$D$3010,Cobranza!$B159,Recibos!AD$4:AD$3010)</f>
        <v>0</v>
      </c>
      <c r="BS159" s="319">
        <f>SUMIF(Recibos!$D$4:$D$3010,Cobranza!$B159,Recibos!AE$4:AE$3010)</f>
        <v>0</v>
      </c>
      <c r="BT159" s="319">
        <f>SUMIF(Recibos!$D$4:$D$3010,Cobranza!$B159,Recibos!AF$4:AF$3010)</f>
        <v>0</v>
      </c>
      <c r="BU159" s="319">
        <f>SUMIF(Recibos!$D$4:$D$3010,Cobranza!$B159,Recibos!AG$4:AG$3010)</f>
        <v>0</v>
      </c>
      <c r="BV159" s="319">
        <f>SUMIF(Recibos!$D$4:$D$3010,Cobranza!$B159,Recibos!AH$4:AH$3010)</f>
        <v>0</v>
      </c>
      <c r="BW159" s="319">
        <f>SUMIF(Recibos!$D$4:$D$3010,Cobranza!$B159,Recibos!AI$4:AI$3010)</f>
        <v>0</v>
      </c>
      <c r="BX159" s="320">
        <f t="shared" si="22"/>
        <v>0</v>
      </c>
    </row>
    <row r="160" spans="2:76" x14ac:dyDescent="0.2">
      <c r="B160" s="42" t="s">
        <v>1023</v>
      </c>
      <c r="C160" s="42" t="s">
        <v>1024</v>
      </c>
      <c r="D160" s="42" t="s">
        <v>1025</v>
      </c>
      <c r="E160" s="43">
        <v>0</v>
      </c>
      <c r="F160" s="43">
        <v>300</v>
      </c>
      <c r="G160" s="43">
        <v>300</v>
      </c>
      <c r="H160" s="43">
        <v>0</v>
      </c>
      <c r="I160" s="43">
        <v>0</v>
      </c>
      <c r="J160" s="43">
        <v>0</v>
      </c>
      <c r="K160" s="44">
        <f t="shared" si="17"/>
        <v>600</v>
      </c>
      <c r="L160" s="43">
        <v>200</v>
      </c>
      <c r="M160" s="43">
        <v>200</v>
      </c>
      <c r="N160" s="43">
        <v>200</v>
      </c>
      <c r="O160" s="43">
        <v>200</v>
      </c>
      <c r="P160" s="43">
        <v>200</v>
      </c>
      <c r="Q160" s="43">
        <v>200</v>
      </c>
      <c r="R160" s="43">
        <v>200</v>
      </c>
      <c r="S160" s="43">
        <v>200</v>
      </c>
      <c r="T160" s="43">
        <v>200</v>
      </c>
      <c r="U160" s="43">
        <v>200</v>
      </c>
      <c r="V160" s="43">
        <v>200</v>
      </c>
      <c r="W160" s="43">
        <v>200</v>
      </c>
      <c r="X160" s="44">
        <f t="shared" si="18"/>
        <v>2400</v>
      </c>
      <c r="Y160" s="43">
        <v>300</v>
      </c>
      <c r="Z160" s="43">
        <v>300</v>
      </c>
      <c r="AA160" s="43">
        <v>300</v>
      </c>
      <c r="AB160" s="43">
        <v>300</v>
      </c>
      <c r="AC160" s="43">
        <v>300</v>
      </c>
      <c r="AD160" s="43">
        <v>300</v>
      </c>
      <c r="AE160" s="43">
        <v>300</v>
      </c>
      <c r="AF160" s="43">
        <v>300</v>
      </c>
      <c r="AG160" s="43">
        <v>300</v>
      </c>
      <c r="AH160" s="43">
        <v>300</v>
      </c>
      <c r="AI160" s="43">
        <v>300</v>
      </c>
      <c r="AJ160" s="43">
        <v>300</v>
      </c>
      <c r="AK160" s="44">
        <f t="shared" si="19"/>
        <v>3600</v>
      </c>
      <c r="AL160" s="43">
        <v>300</v>
      </c>
      <c r="AM160" s="43">
        <v>300</v>
      </c>
      <c r="AN160" s="43">
        <v>300</v>
      </c>
      <c r="AO160" s="43">
        <v>300</v>
      </c>
      <c r="AP160" s="43">
        <v>300</v>
      </c>
      <c r="AQ160" s="43">
        <v>300</v>
      </c>
      <c r="AR160" s="43">
        <v>300</v>
      </c>
      <c r="AS160" s="43">
        <v>300</v>
      </c>
      <c r="AT160" s="43">
        <v>300</v>
      </c>
      <c r="AU160" s="43">
        <v>300</v>
      </c>
      <c r="AV160" s="43">
        <v>300</v>
      </c>
      <c r="AW160" s="43">
        <v>300</v>
      </c>
      <c r="AX160" s="44">
        <f t="shared" si="20"/>
        <v>3600</v>
      </c>
      <c r="AY160" s="317">
        <f>SUMIF(Recibos!$D$4:$D$3010,Cobranza!$B160,Recibos!K$4:K$3010)</f>
        <v>300</v>
      </c>
      <c r="AZ160" s="317">
        <f>SUMIF(Recibos!$D$4:$D$3010,Cobranza!$B160,Recibos!L$4:L$3010)</f>
        <v>300</v>
      </c>
      <c r="BA160" s="317">
        <f>SUMIF(Recibos!$D$4:$D$3010,Cobranza!$B160,Recibos!M$4:M$3010)</f>
        <v>300</v>
      </c>
      <c r="BB160" s="317">
        <f>SUMIF(Recibos!$D$4:$D$3010,Cobranza!$B160,Recibos!N$4:N$3010)</f>
        <v>300</v>
      </c>
      <c r="BC160" s="317">
        <f>SUMIF(Recibos!$D$4:$D$3010,Cobranza!$B160,Recibos!O$4:O$3010)</f>
        <v>300</v>
      </c>
      <c r="BD160" s="317">
        <f>SUMIF(Recibos!$D$4:$D$3010,Cobranza!$B160,Recibos!P$4:P$3010)</f>
        <v>300</v>
      </c>
      <c r="BE160" s="317">
        <f>SUMIF(Recibos!$D$4:$D$3010,Cobranza!$B160,Recibos!Q$4:Q$3010)</f>
        <v>300</v>
      </c>
      <c r="BF160" s="317">
        <f>SUMIF(Recibos!$D$4:$D$3010,Cobranza!$B160,Recibos!R$4:R$3010)</f>
        <v>300</v>
      </c>
      <c r="BG160" s="317">
        <f>SUMIF(Recibos!$D$4:$D$3010,Cobranza!$B160,Recibos!S$4:S$3010)</f>
        <v>300</v>
      </c>
      <c r="BH160" s="317">
        <f>SUMIF(Recibos!$D$4:$D$3010,Cobranza!$B160,Recibos!T$4:T$3010)</f>
        <v>300</v>
      </c>
      <c r="BI160" s="317">
        <f>SUMIF(Recibos!$D$4:$D$3010,Cobranza!$B160,Recibos!U$4:U$3010)</f>
        <v>300</v>
      </c>
      <c r="BJ160" s="317">
        <f>SUMIF(Recibos!$D$4:$D$3010,Cobranza!$B160,Recibos!V$4:V$3010)</f>
        <v>300</v>
      </c>
      <c r="BK160" s="318">
        <f t="shared" si="21"/>
        <v>3600</v>
      </c>
      <c r="BL160" s="317">
        <f>SUMIF(Recibos!$D$4:$D$3010,Cobranza!$B160,Recibos!X$4:X$3010)</f>
        <v>0</v>
      </c>
      <c r="BM160" s="317">
        <f>SUMIF(Recibos!$D$4:$D$3010,Cobranza!$B160,Recibos!Y$4:Y$3010)</f>
        <v>0</v>
      </c>
      <c r="BN160" s="317">
        <f>SUMIF(Recibos!$D$4:$D$3010,Cobranza!$B160,Recibos!Z$4:Z$3010)</f>
        <v>0</v>
      </c>
      <c r="BO160" s="317">
        <f>SUMIF(Recibos!$D$4:$D$3010,Cobranza!$B160,Recibos!AA$4:AA$3010)</f>
        <v>0</v>
      </c>
      <c r="BP160" s="317">
        <f>SUMIF(Recibos!$D$4:$D$3010,Cobranza!$B160,Recibos!AB$4:AB$3010)</f>
        <v>0</v>
      </c>
      <c r="BQ160" s="317">
        <f>SUMIF(Recibos!$D$4:$D$3010,Cobranza!$B160,Recibos!AC$4:AC$3010)</f>
        <v>0</v>
      </c>
      <c r="BR160" s="317">
        <f>SUMIF(Recibos!$D$4:$D$3010,Cobranza!$B160,Recibos!AD$4:AD$3010)</f>
        <v>0</v>
      </c>
      <c r="BS160" s="317">
        <f>SUMIF(Recibos!$D$4:$D$3010,Cobranza!$B160,Recibos!AE$4:AE$3010)</f>
        <v>0</v>
      </c>
      <c r="BT160" s="317">
        <f>SUMIF(Recibos!$D$4:$D$3010,Cobranza!$B160,Recibos!AF$4:AF$3010)</f>
        <v>0</v>
      </c>
      <c r="BU160" s="317">
        <f>SUMIF(Recibos!$D$4:$D$3010,Cobranza!$B160,Recibos!AG$4:AG$3010)</f>
        <v>0</v>
      </c>
      <c r="BV160" s="317">
        <f>SUMIF(Recibos!$D$4:$D$3010,Cobranza!$B160,Recibos!AH$4:AH$3010)</f>
        <v>0</v>
      </c>
      <c r="BW160" s="317">
        <f>SUMIF(Recibos!$D$4:$D$3010,Cobranza!$B160,Recibos!AI$4:AI$3010)</f>
        <v>0</v>
      </c>
      <c r="BX160" s="318">
        <f t="shared" si="22"/>
        <v>0</v>
      </c>
    </row>
    <row r="161" spans="2:76" x14ac:dyDescent="0.2">
      <c r="B161" s="45" t="s">
        <v>126</v>
      </c>
      <c r="C161" s="45" t="s">
        <v>127</v>
      </c>
      <c r="D161" s="45" t="s">
        <v>128</v>
      </c>
      <c r="E161" s="46">
        <v>0</v>
      </c>
      <c r="F161" s="46">
        <v>0</v>
      </c>
      <c r="G161" s="46">
        <v>0</v>
      </c>
      <c r="H161" s="46">
        <v>0</v>
      </c>
      <c r="I161" s="46">
        <v>0</v>
      </c>
      <c r="J161" s="46">
        <v>300</v>
      </c>
      <c r="K161" s="47">
        <f t="shared" si="17"/>
        <v>300</v>
      </c>
      <c r="L161" s="46">
        <v>300</v>
      </c>
      <c r="M161" s="46">
        <v>300</v>
      </c>
      <c r="N161" s="46">
        <v>300</v>
      </c>
      <c r="O161" s="46">
        <v>300</v>
      </c>
      <c r="P161" s="46">
        <v>300</v>
      </c>
      <c r="Q161" s="46">
        <v>300</v>
      </c>
      <c r="R161" s="46">
        <v>300</v>
      </c>
      <c r="S161" s="46">
        <v>300</v>
      </c>
      <c r="T161" s="46">
        <v>300</v>
      </c>
      <c r="U161" s="46">
        <v>300</v>
      </c>
      <c r="V161" s="46">
        <v>300</v>
      </c>
      <c r="W161" s="46">
        <v>300</v>
      </c>
      <c r="X161" s="47">
        <f t="shared" si="18"/>
        <v>3600</v>
      </c>
      <c r="Y161" s="46">
        <v>400</v>
      </c>
      <c r="Z161" s="46">
        <v>400</v>
      </c>
      <c r="AA161" s="46">
        <v>400</v>
      </c>
      <c r="AB161" s="46">
        <v>400</v>
      </c>
      <c r="AC161" s="46">
        <v>400</v>
      </c>
      <c r="AD161" s="46">
        <v>400</v>
      </c>
      <c r="AE161" s="46">
        <v>400</v>
      </c>
      <c r="AF161" s="46">
        <v>400</v>
      </c>
      <c r="AG161" s="46">
        <v>400</v>
      </c>
      <c r="AH161" s="46">
        <v>400</v>
      </c>
      <c r="AI161" s="46">
        <v>400</v>
      </c>
      <c r="AJ161" s="46">
        <v>0</v>
      </c>
      <c r="AK161" s="47">
        <f t="shared" si="19"/>
        <v>4400</v>
      </c>
      <c r="AL161" s="46">
        <v>400</v>
      </c>
      <c r="AM161" s="46">
        <v>400</v>
      </c>
      <c r="AN161" s="46">
        <v>400</v>
      </c>
      <c r="AO161" s="46">
        <v>400</v>
      </c>
      <c r="AP161" s="46">
        <v>400</v>
      </c>
      <c r="AQ161" s="46">
        <v>400</v>
      </c>
      <c r="AR161" s="46">
        <v>400</v>
      </c>
      <c r="AS161" s="46">
        <v>400</v>
      </c>
      <c r="AT161" s="46">
        <v>400</v>
      </c>
      <c r="AU161" s="46">
        <v>400</v>
      </c>
      <c r="AV161" s="46">
        <v>400</v>
      </c>
      <c r="AW161" s="46">
        <v>400</v>
      </c>
      <c r="AX161" s="47">
        <f t="shared" si="20"/>
        <v>4800</v>
      </c>
      <c r="AY161" s="319">
        <f>SUMIF(Recibos!$D$4:$D$3010,Cobranza!$B161,Recibos!K$4:K$3010)</f>
        <v>400</v>
      </c>
      <c r="AZ161" s="319">
        <f>SUMIF(Recibos!$D$4:$D$3010,Cobranza!$B161,Recibos!L$4:L$3010)</f>
        <v>400</v>
      </c>
      <c r="BA161" s="319">
        <f>SUMIF(Recibos!$D$4:$D$3010,Cobranza!$B161,Recibos!M$4:M$3010)</f>
        <v>400</v>
      </c>
      <c r="BB161" s="319">
        <f>SUMIF(Recibos!$D$4:$D$3010,Cobranza!$B161,Recibos!N$4:N$3010)</f>
        <v>400</v>
      </c>
      <c r="BC161" s="319">
        <f>SUMIF(Recibos!$D$4:$D$3010,Cobranza!$B161,Recibos!O$4:O$3010)</f>
        <v>400</v>
      </c>
      <c r="BD161" s="319">
        <f>SUMIF(Recibos!$D$4:$D$3010,Cobranza!$B161,Recibos!P$4:P$3010)</f>
        <v>400</v>
      </c>
      <c r="BE161" s="319">
        <f>SUMIF(Recibos!$D$4:$D$3010,Cobranza!$B161,Recibos!Q$4:Q$3010)</f>
        <v>400</v>
      </c>
      <c r="BF161" s="319">
        <f>SUMIF(Recibos!$D$4:$D$3010,Cobranza!$B161,Recibos!R$4:R$3010)</f>
        <v>400</v>
      </c>
      <c r="BG161" s="319">
        <f>SUMIF(Recibos!$D$4:$D$3010,Cobranza!$B161,Recibos!S$4:S$3010)</f>
        <v>400</v>
      </c>
      <c r="BH161" s="319">
        <f>SUMIF(Recibos!$D$4:$D$3010,Cobranza!$B161,Recibos!T$4:T$3010)</f>
        <v>400</v>
      </c>
      <c r="BI161" s="319">
        <f>SUMIF(Recibos!$D$4:$D$3010,Cobranza!$B161,Recibos!U$4:U$3010)</f>
        <v>400</v>
      </c>
      <c r="BJ161" s="319">
        <f>SUMIF(Recibos!$D$4:$D$3010,Cobranza!$B161,Recibos!V$4:V$3010)</f>
        <v>0</v>
      </c>
      <c r="BK161" s="320">
        <f t="shared" si="21"/>
        <v>4400</v>
      </c>
      <c r="BL161" s="319">
        <f>SUMIF(Recibos!$D$4:$D$3010,Cobranza!$B161,Recibos!X$4:X$3010)</f>
        <v>0</v>
      </c>
      <c r="BM161" s="319">
        <f>SUMIF(Recibos!$D$4:$D$3010,Cobranza!$B161,Recibos!Y$4:Y$3010)</f>
        <v>0</v>
      </c>
      <c r="BN161" s="319">
        <f>SUMIF(Recibos!$D$4:$D$3010,Cobranza!$B161,Recibos!Z$4:Z$3010)</f>
        <v>0</v>
      </c>
      <c r="BO161" s="319">
        <f>SUMIF(Recibos!$D$4:$D$3010,Cobranza!$B161,Recibos!AA$4:AA$3010)</f>
        <v>0</v>
      </c>
      <c r="BP161" s="319">
        <f>SUMIF(Recibos!$D$4:$D$3010,Cobranza!$B161,Recibos!AB$4:AB$3010)</f>
        <v>0</v>
      </c>
      <c r="BQ161" s="319">
        <f>SUMIF(Recibos!$D$4:$D$3010,Cobranza!$B161,Recibos!AC$4:AC$3010)</f>
        <v>0</v>
      </c>
      <c r="BR161" s="319">
        <f>SUMIF(Recibos!$D$4:$D$3010,Cobranza!$B161,Recibos!AD$4:AD$3010)</f>
        <v>0</v>
      </c>
      <c r="BS161" s="319">
        <f>SUMIF(Recibos!$D$4:$D$3010,Cobranza!$B161,Recibos!AE$4:AE$3010)</f>
        <v>0</v>
      </c>
      <c r="BT161" s="319">
        <f>SUMIF(Recibos!$D$4:$D$3010,Cobranza!$B161,Recibos!AF$4:AF$3010)</f>
        <v>0</v>
      </c>
      <c r="BU161" s="319">
        <f>SUMIF(Recibos!$D$4:$D$3010,Cobranza!$B161,Recibos!AG$4:AG$3010)</f>
        <v>0</v>
      </c>
      <c r="BV161" s="319">
        <f>SUMIF(Recibos!$D$4:$D$3010,Cobranza!$B161,Recibos!AH$4:AH$3010)</f>
        <v>0</v>
      </c>
      <c r="BW161" s="319">
        <f>SUMIF(Recibos!$D$4:$D$3010,Cobranza!$B161,Recibos!AI$4:AI$3010)</f>
        <v>0</v>
      </c>
      <c r="BX161" s="320">
        <f t="shared" si="22"/>
        <v>0</v>
      </c>
    </row>
    <row r="162" spans="2:76" x14ac:dyDescent="0.2">
      <c r="B162" s="42" t="s">
        <v>837</v>
      </c>
      <c r="C162" s="42" t="s">
        <v>838</v>
      </c>
      <c r="D162" s="42" t="s">
        <v>839</v>
      </c>
      <c r="E162" s="43">
        <v>0</v>
      </c>
      <c r="F162" s="43">
        <v>0</v>
      </c>
      <c r="G162" s="43">
        <v>0</v>
      </c>
      <c r="H162" s="43">
        <v>0</v>
      </c>
      <c r="I162" s="43">
        <v>0</v>
      </c>
      <c r="J162" s="43">
        <v>0</v>
      </c>
      <c r="K162" s="44">
        <f t="shared" si="17"/>
        <v>0</v>
      </c>
      <c r="L162" s="43">
        <v>300</v>
      </c>
      <c r="M162" s="43">
        <v>300</v>
      </c>
      <c r="N162" s="43">
        <v>300</v>
      </c>
      <c r="O162" s="43">
        <v>300</v>
      </c>
      <c r="P162" s="43">
        <v>300</v>
      </c>
      <c r="Q162" s="43">
        <v>300</v>
      </c>
      <c r="R162" s="43">
        <v>300</v>
      </c>
      <c r="S162" s="43">
        <v>300</v>
      </c>
      <c r="T162" s="43">
        <v>300</v>
      </c>
      <c r="U162" s="43">
        <v>300</v>
      </c>
      <c r="V162" s="43">
        <v>300</v>
      </c>
      <c r="W162" s="43">
        <v>0</v>
      </c>
      <c r="X162" s="44">
        <f t="shared" si="18"/>
        <v>3300</v>
      </c>
      <c r="Y162" s="43">
        <v>400</v>
      </c>
      <c r="Z162" s="43">
        <v>400</v>
      </c>
      <c r="AA162" s="43">
        <v>400</v>
      </c>
      <c r="AB162" s="43">
        <v>400</v>
      </c>
      <c r="AC162" s="43">
        <v>400</v>
      </c>
      <c r="AD162" s="43">
        <v>400</v>
      </c>
      <c r="AE162" s="43">
        <v>400</v>
      </c>
      <c r="AF162" s="43">
        <v>400</v>
      </c>
      <c r="AG162" s="43">
        <v>400</v>
      </c>
      <c r="AH162" s="43">
        <v>400</v>
      </c>
      <c r="AI162" s="43">
        <v>400</v>
      </c>
      <c r="AJ162" s="43">
        <v>400</v>
      </c>
      <c r="AK162" s="44">
        <f t="shared" si="19"/>
        <v>4800</v>
      </c>
      <c r="AL162" s="43">
        <v>400</v>
      </c>
      <c r="AM162" s="43">
        <v>400</v>
      </c>
      <c r="AN162" s="43">
        <v>400</v>
      </c>
      <c r="AO162" s="43">
        <v>400</v>
      </c>
      <c r="AP162" s="43">
        <v>400</v>
      </c>
      <c r="AQ162" s="43">
        <v>400</v>
      </c>
      <c r="AR162" s="43">
        <v>400</v>
      </c>
      <c r="AS162" s="43">
        <v>400</v>
      </c>
      <c r="AT162" s="43">
        <v>400</v>
      </c>
      <c r="AU162" s="43">
        <v>400</v>
      </c>
      <c r="AV162" s="43">
        <v>400</v>
      </c>
      <c r="AW162" s="43">
        <v>400</v>
      </c>
      <c r="AX162" s="44">
        <f t="shared" si="20"/>
        <v>4800</v>
      </c>
      <c r="AY162" s="317">
        <f>SUMIF(Recibos!$D$4:$D$3010,Cobranza!$B162,Recibos!K$4:K$3010)</f>
        <v>400</v>
      </c>
      <c r="AZ162" s="317">
        <f>SUMIF(Recibos!$D$4:$D$3010,Cobranza!$B162,Recibos!L$4:L$3010)</f>
        <v>400</v>
      </c>
      <c r="BA162" s="317">
        <f>SUMIF(Recibos!$D$4:$D$3010,Cobranza!$B162,Recibos!M$4:M$3010)</f>
        <v>400</v>
      </c>
      <c r="BB162" s="317">
        <f>SUMIF(Recibos!$D$4:$D$3010,Cobranza!$B162,Recibos!N$4:N$3010)</f>
        <v>400</v>
      </c>
      <c r="BC162" s="317">
        <f>SUMIF(Recibos!$D$4:$D$3010,Cobranza!$B162,Recibos!O$4:O$3010)</f>
        <v>400</v>
      </c>
      <c r="BD162" s="317">
        <f>SUMIF(Recibos!$D$4:$D$3010,Cobranza!$B162,Recibos!P$4:P$3010)</f>
        <v>400</v>
      </c>
      <c r="BE162" s="317">
        <f>SUMIF(Recibos!$D$4:$D$3010,Cobranza!$B162,Recibos!Q$4:Q$3010)</f>
        <v>400</v>
      </c>
      <c r="BF162" s="317">
        <f>SUMIF(Recibos!$D$4:$D$3010,Cobranza!$B162,Recibos!R$4:R$3010)</f>
        <v>400</v>
      </c>
      <c r="BG162" s="317">
        <f>SUMIF(Recibos!$D$4:$D$3010,Cobranza!$B162,Recibos!S$4:S$3010)</f>
        <v>400</v>
      </c>
      <c r="BH162" s="317">
        <f>SUMIF(Recibos!$D$4:$D$3010,Cobranza!$B162,Recibos!T$4:T$3010)</f>
        <v>400</v>
      </c>
      <c r="BI162" s="317">
        <f>SUMIF(Recibos!$D$4:$D$3010,Cobranza!$B162,Recibos!U$4:U$3010)</f>
        <v>400</v>
      </c>
      <c r="BJ162" s="317">
        <f>SUMIF(Recibos!$D$4:$D$3010,Cobranza!$B162,Recibos!V$4:V$3010)</f>
        <v>400</v>
      </c>
      <c r="BK162" s="318">
        <f t="shared" si="21"/>
        <v>4800</v>
      </c>
      <c r="BL162" s="317">
        <f>SUMIF(Recibos!$D$4:$D$3010,Cobranza!$B162,Recibos!X$4:X$3010)</f>
        <v>0</v>
      </c>
      <c r="BM162" s="317">
        <f>SUMIF(Recibos!$D$4:$D$3010,Cobranza!$B162,Recibos!Y$4:Y$3010)</f>
        <v>0</v>
      </c>
      <c r="BN162" s="317">
        <f>SUMIF(Recibos!$D$4:$D$3010,Cobranza!$B162,Recibos!Z$4:Z$3010)</f>
        <v>0</v>
      </c>
      <c r="BO162" s="317">
        <f>SUMIF(Recibos!$D$4:$D$3010,Cobranza!$B162,Recibos!AA$4:AA$3010)</f>
        <v>0</v>
      </c>
      <c r="BP162" s="317">
        <f>SUMIF(Recibos!$D$4:$D$3010,Cobranza!$B162,Recibos!AB$4:AB$3010)</f>
        <v>0</v>
      </c>
      <c r="BQ162" s="317">
        <f>SUMIF(Recibos!$D$4:$D$3010,Cobranza!$B162,Recibos!AC$4:AC$3010)</f>
        <v>0</v>
      </c>
      <c r="BR162" s="317">
        <f>SUMIF(Recibos!$D$4:$D$3010,Cobranza!$B162,Recibos!AD$4:AD$3010)</f>
        <v>0</v>
      </c>
      <c r="BS162" s="317">
        <f>SUMIF(Recibos!$D$4:$D$3010,Cobranza!$B162,Recibos!AE$4:AE$3010)</f>
        <v>0</v>
      </c>
      <c r="BT162" s="317">
        <f>SUMIF(Recibos!$D$4:$D$3010,Cobranza!$B162,Recibos!AF$4:AF$3010)</f>
        <v>0</v>
      </c>
      <c r="BU162" s="317">
        <f>SUMIF(Recibos!$D$4:$D$3010,Cobranza!$B162,Recibos!AG$4:AG$3010)</f>
        <v>0</v>
      </c>
      <c r="BV162" s="317">
        <f>SUMIF(Recibos!$D$4:$D$3010,Cobranza!$B162,Recibos!AH$4:AH$3010)</f>
        <v>0</v>
      </c>
      <c r="BW162" s="317">
        <f>SUMIF(Recibos!$D$4:$D$3010,Cobranza!$B162,Recibos!AI$4:AI$3010)</f>
        <v>0</v>
      </c>
      <c r="BX162" s="318">
        <f t="shared" si="22"/>
        <v>0</v>
      </c>
    </row>
    <row r="163" spans="2:76" x14ac:dyDescent="0.2">
      <c r="B163" s="45" t="s">
        <v>90</v>
      </c>
      <c r="C163" s="45" t="s">
        <v>91</v>
      </c>
      <c r="D163" s="45" t="s">
        <v>92</v>
      </c>
      <c r="E163" s="46">
        <v>0</v>
      </c>
      <c r="F163" s="46">
        <v>0</v>
      </c>
      <c r="G163" s="46">
        <v>0</v>
      </c>
      <c r="H163" s="46">
        <v>0</v>
      </c>
      <c r="I163" s="46">
        <v>0</v>
      </c>
      <c r="J163" s="46">
        <v>300</v>
      </c>
      <c r="K163" s="47">
        <f t="shared" si="17"/>
        <v>300</v>
      </c>
      <c r="L163" s="46">
        <v>300</v>
      </c>
      <c r="M163" s="46">
        <v>300</v>
      </c>
      <c r="N163" s="46">
        <v>300</v>
      </c>
      <c r="O163" s="46">
        <v>300</v>
      </c>
      <c r="P163" s="46">
        <v>300</v>
      </c>
      <c r="Q163" s="46">
        <v>300</v>
      </c>
      <c r="R163" s="46">
        <v>300</v>
      </c>
      <c r="S163" s="46">
        <v>300</v>
      </c>
      <c r="T163" s="46">
        <v>300</v>
      </c>
      <c r="U163" s="46">
        <v>400</v>
      </c>
      <c r="V163" s="46">
        <v>400</v>
      </c>
      <c r="W163" s="46">
        <v>400</v>
      </c>
      <c r="X163" s="47">
        <f t="shared" si="18"/>
        <v>3900</v>
      </c>
      <c r="Y163" s="46">
        <v>400</v>
      </c>
      <c r="Z163" s="46">
        <v>400</v>
      </c>
      <c r="AA163" s="46">
        <v>400</v>
      </c>
      <c r="AB163" s="46">
        <v>400</v>
      </c>
      <c r="AC163" s="46">
        <v>400</v>
      </c>
      <c r="AD163" s="46">
        <v>400</v>
      </c>
      <c r="AE163" s="46">
        <v>400</v>
      </c>
      <c r="AF163" s="46">
        <v>400</v>
      </c>
      <c r="AG163" s="46">
        <v>400</v>
      </c>
      <c r="AH163" s="46">
        <v>400</v>
      </c>
      <c r="AI163" s="46">
        <v>400</v>
      </c>
      <c r="AJ163" s="46">
        <v>400</v>
      </c>
      <c r="AK163" s="47">
        <f t="shared" si="19"/>
        <v>4800</v>
      </c>
      <c r="AL163" s="46">
        <v>400</v>
      </c>
      <c r="AM163" s="46">
        <v>400</v>
      </c>
      <c r="AN163" s="46">
        <v>400</v>
      </c>
      <c r="AO163" s="46">
        <v>400</v>
      </c>
      <c r="AP163" s="46">
        <v>400</v>
      </c>
      <c r="AQ163" s="46">
        <v>400</v>
      </c>
      <c r="AR163" s="46">
        <v>400</v>
      </c>
      <c r="AS163" s="46">
        <v>400</v>
      </c>
      <c r="AT163" s="46">
        <v>400</v>
      </c>
      <c r="AU163" s="46">
        <v>400</v>
      </c>
      <c r="AV163" s="46">
        <v>400</v>
      </c>
      <c r="AW163" s="46">
        <v>400</v>
      </c>
      <c r="AX163" s="47">
        <f t="shared" si="20"/>
        <v>4800</v>
      </c>
      <c r="AY163" s="319">
        <f>SUMIF(Recibos!$D$4:$D$3010,Cobranza!$B163,Recibos!K$4:K$3010)</f>
        <v>400</v>
      </c>
      <c r="AZ163" s="319">
        <f>SUMIF(Recibos!$D$4:$D$3010,Cobranza!$B163,Recibos!L$4:L$3010)</f>
        <v>400</v>
      </c>
      <c r="BA163" s="319">
        <f>SUMIF(Recibos!$D$4:$D$3010,Cobranza!$B163,Recibos!M$4:M$3010)</f>
        <v>400</v>
      </c>
      <c r="BB163" s="319">
        <f>SUMIF(Recibos!$D$4:$D$3010,Cobranza!$B163,Recibos!N$4:N$3010)</f>
        <v>400</v>
      </c>
      <c r="BC163" s="319">
        <f>SUMIF(Recibos!$D$4:$D$3010,Cobranza!$B163,Recibos!O$4:O$3010)</f>
        <v>400</v>
      </c>
      <c r="BD163" s="319">
        <f>SUMIF(Recibos!$D$4:$D$3010,Cobranza!$B163,Recibos!P$4:P$3010)</f>
        <v>400</v>
      </c>
      <c r="BE163" s="319">
        <f>SUMIF(Recibos!$D$4:$D$3010,Cobranza!$B163,Recibos!Q$4:Q$3010)</f>
        <v>400</v>
      </c>
      <c r="BF163" s="319">
        <f>SUMIF(Recibos!$D$4:$D$3010,Cobranza!$B163,Recibos!R$4:R$3010)</f>
        <v>400</v>
      </c>
      <c r="BG163" s="319">
        <f>SUMIF(Recibos!$D$4:$D$3010,Cobranza!$B163,Recibos!S$4:S$3010)</f>
        <v>400</v>
      </c>
      <c r="BH163" s="319">
        <f>SUMIF(Recibos!$D$4:$D$3010,Cobranza!$B163,Recibos!T$4:T$3010)</f>
        <v>400</v>
      </c>
      <c r="BI163" s="319">
        <f>SUMIF(Recibos!$D$4:$D$3010,Cobranza!$B163,Recibos!U$4:U$3010)</f>
        <v>400</v>
      </c>
      <c r="BJ163" s="319">
        <f>SUMIF(Recibos!$D$4:$D$3010,Cobranza!$B163,Recibos!V$4:V$3010)</f>
        <v>0</v>
      </c>
      <c r="BK163" s="320">
        <f t="shared" si="21"/>
        <v>4400</v>
      </c>
      <c r="BL163" s="319">
        <f>SUMIF(Recibos!$D$4:$D$3010,Cobranza!$B163,Recibos!X$4:X$3010)</f>
        <v>400</v>
      </c>
      <c r="BM163" s="319">
        <f>SUMIF(Recibos!$D$4:$D$3010,Cobranza!$B163,Recibos!Y$4:Y$3010)</f>
        <v>400</v>
      </c>
      <c r="BN163" s="319">
        <f>SUMIF(Recibos!$D$4:$D$3010,Cobranza!$B163,Recibos!Z$4:Z$3010)</f>
        <v>400</v>
      </c>
      <c r="BO163" s="319">
        <f>SUMIF(Recibos!$D$4:$D$3010,Cobranza!$B163,Recibos!AA$4:AA$3010)</f>
        <v>400</v>
      </c>
      <c r="BP163" s="319">
        <f>SUMIF(Recibos!$D$4:$D$3010,Cobranza!$B163,Recibos!AB$4:AB$3010)</f>
        <v>400</v>
      </c>
      <c r="BQ163" s="319">
        <f>SUMIF(Recibos!$D$4:$D$3010,Cobranza!$B163,Recibos!AC$4:AC$3010)</f>
        <v>400</v>
      </c>
      <c r="BR163" s="319">
        <f>SUMIF(Recibos!$D$4:$D$3010,Cobranza!$B163,Recibos!AD$4:AD$3010)</f>
        <v>400</v>
      </c>
      <c r="BS163" s="319">
        <f>SUMIF(Recibos!$D$4:$D$3010,Cobranza!$B163,Recibos!AE$4:AE$3010)</f>
        <v>400</v>
      </c>
      <c r="BT163" s="319">
        <f>SUMIF(Recibos!$D$4:$D$3010,Cobranza!$B163,Recibos!AF$4:AF$3010)</f>
        <v>400</v>
      </c>
      <c r="BU163" s="319">
        <f>SUMIF(Recibos!$D$4:$D$3010,Cobranza!$B163,Recibos!AG$4:AG$3010)</f>
        <v>400</v>
      </c>
      <c r="BV163" s="319">
        <f>SUMIF(Recibos!$D$4:$D$3010,Cobranza!$B163,Recibos!AH$4:AH$3010)</f>
        <v>400</v>
      </c>
      <c r="BW163" s="319">
        <f>SUMIF(Recibos!$D$4:$D$3010,Cobranza!$B163,Recibos!AI$4:AI$3010)</f>
        <v>0</v>
      </c>
      <c r="BX163" s="320">
        <f t="shared" si="22"/>
        <v>4400</v>
      </c>
    </row>
    <row r="164" spans="2:76" x14ac:dyDescent="0.2">
      <c r="B164" s="42" t="s">
        <v>722</v>
      </c>
      <c r="C164" s="42" t="s">
        <v>723</v>
      </c>
      <c r="D164" s="42" t="s">
        <v>724</v>
      </c>
      <c r="E164" s="43">
        <v>0</v>
      </c>
      <c r="F164" s="43">
        <v>0</v>
      </c>
      <c r="G164" s="43">
        <v>0</v>
      </c>
      <c r="H164" s="43">
        <v>0</v>
      </c>
      <c r="I164" s="43">
        <v>0</v>
      </c>
      <c r="J164" s="43">
        <v>0</v>
      </c>
      <c r="K164" s="44">
        <f t="shared" si="17"/>
        <v>0</v>
      </c>
      <c r="L164" s="43">
        <v>300</v>
      </c>
      <c r="M164" s="43">
        <v>300</v>
      </c>
      <c r="N164" s="43">
        <v>300</v>
      </c>
      <c r="O164" s="43">
        <v>300</v>
      </c>
      <c r="P164" s="43">
        <v>300</v>
      </c>
      <c r="Q164" s="43">
        <v>300</v>
      </c>
      <c r="R164" s="43">
        <v>300</v>
      </c>
      <c r="S164" s="43">
        <v>300</v>
      </c>
      <c r="T164" s="43">
        <v>300</v>
      </c>
      <c r="U164" s="43">
        <v>300</v>
      </c>
      <c r="V164" s="43">
        <v>300</v>
      </c>
      <c r="W164" s="43">
        <v>0</v>
      </c>
      <c r="X164" s="44">
        <f t="shared" si="18"/>
        <v>3300</v>
      </c>
      <c r="Y164" s="43">
        <v>0</v>
      </c>
      <c r="Z164" s="43">
        <v>400</v>
      </c>
      <c r="AA164" s="43">
        <v>400</v>
      </c>
      <c r="AB164" s="43">
        <v>400</v>
      </c>
      <c r="AC164" s="43">
        <v>400</v>
      </c>
      <c r="AD164" s="43">
        <v>400</v>
      </c>
      <c r="AE164" s="43">
        <v>400</v>
      </c>
      <c r="AF164" s="43">
        <v>400</v>
      </c>
      <c r="AG164" s="43">
        <v>400</v>
      </c>
      <c r="AH164" s="43">
        <v>400</v>
      </c>
      <c r="AI164" s="43">
        <v>400</v>
      </c>
      <c r="AJ164" s="43">
        <v>400</v>
      </c>
      <c r="AK164" s="44">
        <f t="shared" si="19"/>
        <v>4400</v>
      </c>
      <c r="AL164" s="43">
        <v>400</v>
      </c>
      <c r="AM164" s="43">
        <v>400</v>
      </c>
      <c r="AN164" s="43">
        <v>400</v>
      </c>
      <c r="AO164" s="43">
        <v>400</v>
      </c>
      <c r="AP164" s="43">
        <v>400</v>
      </c>
      <c r="AQ164" s="43">
        <v>400</v>
      </c>
      <c r="AR164" s="43">
        <v>400</v>
      </c>
      <c r="AS164" s="43">
        <v>400</v>
      </c>
      <c r="AT164" s="43">
        <v>400</v>
      </c>
      <c r="AU164" s="43">
        <v>400</v>
      </c>
      <c r="AV164" s="43">
        <v>400</v>
      </c>
      <c r="AW164" s="43">
        <v>0</v>
      </c>
      <c r="AX164" s="44">
        <f t="shared" si="20"/>
        <v>4400</v>
      </c>
      <c r="AY164" s="317">
        <f>SUMIF(Recibos!$D$4:$D$3010,Cobranza!$B164,Recibos!K$4:K$3010)</f>
        <v>400</v>
      </c>
      <c r="AZ164" s="317">
        <f>SUMIF(Recibos!$D$4:$D$3010,Cobranza!$B164,Recibos!L$4:L$3010)</f>
        <v>400</v>
      </c>
      <c r="BA164" s="317">
        <f>SUMIF(Recibos!$D$4:$D$3010,Cobranza!$B164,Recibos!M$4:M$3010)</f>
        <v>400</v>
      </c>
      <c r="BB164" s="317">
        <f>SUMIF(Recibos!$D$4:$D$3010,Cobranza!$B164,Recibos!N$4:N$3010)</f>
        <v>400</v>
      </c>
      <c r="BC164" s="317">
        <f>SUMIF(Recibos!$D$4:$D$3010,Cobranza!$B164,Recibos!O$4:O$3010)</f>
        <v>400</v>
      </c>
      <c r="BD164" s="317">
        <f>SUMIF(Recibos!$D$4:$D$3010,Cobranza!$B164,Recibos!P$4:P$3010)</f>
        <v>400</v>
      </c>
      <c r="BE164" s="317">
        <f>SUMIF(Recibos!$D$4:$D$3010,Cobranza!$B164,Recibos!Q$4:Q$3010)</f>
        <v>400</v>
      </c>
      <c r="BF164" s="317">
        <f>SUMIF(Recibos!$D$4:$D$3010,Cobranza!$B164,Recibos!R$4:R$3010)</f>
        <v>400</v>
      </c>
      <c r="BG164" s="317">
        <f>SUMIF(Recibos!$D$4:$D$3010,Cobranza!$B164,Recibos!S$4:S$3010)</f>
        <v>400</v>
      </c>
      <c r="BH164" s="317">
        <f>SUMIF(Recibos!$D$4:$D$3010,Cobranza!$B164,Recibos!T$4:T$3010)</f>
        <v>400</v>
      </c>
      <c r="BI164" s="317">
        <f>SUMIF(Recibos!$D$4:$D$3010,Cobranza!$B164,Recibos!U$4:U$3010)</f>
        <v>400</v>
      </c>
      <c r="BJ164" s="317">
        <f>SUMIF(Recibos!$D$4:$D$3010,Cobranza!$B164,Recibos!V$4:V$3010)</f>
        <v>0</v>
      </c>
      <c r="BK164" s="318">
        <f t="shared" si="21"/>
        <v>4400</v>
      </c>
      <c r="BL164" s="317">
        <f>SUMIF(Recibos!$D$4:$D$3010,Cobranza!$B164,Recibos!X$4:X$3010)</f>
        <v>0</v>
      </c>
      <c r="BM164" s="317">
        <f>SUMIF(Recibos!$D$4:$D$3010,Cobranza!$B164,Recibos!Y$4:Y$3010)</f>
        <v>0</v>
      </c>
      <c r="BN164" s="317">
        <f>SUMIF(Recibos!$D$4:$D$3010,Cobranza!$B164,Recibos!Z$4:Z$3010)</f>
        <v>0</v>
      </c>
      <c r="BO164" s="317">
        <f>SUMIF(Recibos!$D$4:$D$3010,Cobranza!$B164,Recibos!AA$4:AA$3010)</f>
        <v>0</v>
      </c>
      <c r="BP164" s="317">
        <f>SUMIF(Recibos!$D$4:$D$3010,Cobranza!$B164,Recibos!AB$4:AB$3010)</f>
        <v>0</v>
      </c>
      <c r="BQ164" s="317">
        <f>SUMIF(Recibos!$D$4:$D$3010,Cobranza!$B164,Recibos!AC$4:AC$3010)</f>
        <v>0</v>
      </c>
      <c r="BR164" s="317">
        <f>SUMIF(Recibos!$D$4:$D$3010,Cobranza!$B164,Recibos!AD$4:AD$3010)</f>
        <v>0</v>
      </c>
      <c r="BS164" s="317">
        <f>SUMIF(Recibos!$D$4:$D$3010,Cobranza!$B164,Recibos!AE$4:AE$3010)</f>
        <v>0</v>
      </c>
      <c r="BT164" s="317">
        <f>SUMIF(Recibos!$D$4:$D$3010,Cobranza!$B164,Recibos!AF$4:AF$3010)</f>
        <v>0</v>
      </c>
      <c r="BU164" s="317">
        <f>SUMIF(Recibos!$D$4:$D$3010,Cobranza!$B164,Recibos!AG$4:AG$3010)</f>
        <v>0</v>
      </c>
      <c r="BV164" s="317">
        <f>SUMIF(Recibos!$D$4:$D$3010,Cobranza!$B164,Recibos!AH$4:AH$3010)</f>
        <v>0</v>
      </c>
      <c r="BW164" s="317">
        <f>SUMIF(Recibos!$D$4:$D$3010,Cobranza!$B164,Recibos!AI$4:AI$3010)</f>
        <v>0</v>
      </c>
      <c r="BX164" s="318">
        <f t="shared" si="22"/>
        <v>0</v>
      </c>
    </row>
    <row r="165" spans="2:76" x14ac:dyDescent="0.2">
      <c r="B165" s="45" t="s">
        <v>1341</v>
      </c>
      <c r="C165" s="45" t="s">
        <v>1342</v>
      </c>
      <c r="D165" s="45" t="s">
        <v>1343</v>
      </c>
      <c r="E165" s="46">
        <v>0</v>
      </c>
      <c r="F165" s="46">
        <v>0</v>
      </c>
      <c r="G165" s="46">
        <v>0</v>
      </c>
      <c r="H165" s="46">
        <v>0</v>
      </c>
      <c r="I165" s="46">
        <v>0</v>
      </c>
      <c r="J165" s="46">
        <v>300</v>
      </c>
      <c r="K165" s="47">
        <f t="shared" si="17"/>
        <v>300</v>
      </c>
      <c r="L165" s="46">
        <v>300</v>
      </c>
      <c r="M165" s="46">
        <v>300</v>
      </c>
      <c r="N165" s="46">
        <v>300</v>
      </c>
      <c r="O165" s="46">
        <v>300</v>
      </c>
      <c r="P165" s="46">
        <v>300</v>
      </c>
      <c r="Q165" s="46">
        <v>300</v>
      </c>
      <c r="R165" s="46">
        <v>300</v>
      </c>
      <c r="S165" s="46">
        <v>0</v>
      </c>
      <c r="T165" s="46">
        <v>0</v>
      </c>
      <c r="U165" s="46">
        <v>0</v>
      </c>
      <c r="V165" s="46">
        <v>0</v>
      </c>
      <c r="W165" s="46">
        <v>0</v>
      </c>
      <c r="X165" s="47">
        <f t="shared" si="18"/>
        <v>2100</v>
      </c>
      <c r="Y165" s="46">
        <v>400</v>
      </c>
      <c r="Z165" s="46">
        <v>400</v>
      </c>
      <c r="AA165" s="46">
        <v>400</v>
      </c>
      <c r="AB165" s="46">
        <v>400</v>
      </c>
      <c r="AC165" s="46">
        <v>400</v>
      </c>
      <c r="AD165" s="46">
        <v>400</v>
      </c>
      <c r="AE165" s="46">
        <v>400</v>
      </c>
      <c r="AF165" s="46">
        <v>400</v>
      </c>
      <c r="AG165" s="46">
        <v>400</v>
      </c>
      <c r="AH165" s="46">
        <v>400</v>
      </c>
      <c r="AI165" s="46">
        <v>400</v>
      </c>
      <c r="AJ165" s="46">
        <v>0</v>
      </c>
      <c r="AK165" s="47">
        <f t="shared" si="19"/>
        <v>4400</v>
      </c>
      <c r="AL165" s="46">
        <v>0</v>
      </c>
      <c r="AM165" s="46">
        <v>0</v>
      </c>
      <c r="AN165" s="46">
        <v>0</v>
      </c>
      <c r="AO165" s="46">
        <v>0</v>
      </c>
      <c r="AP165" s="46">
        <v>0</v>
      </c>
      <c r="AQ165" s="46">
        <v>0</v>
      </c>
      <c r="AR165" s="46">
        <v>0</v>
      </c>
      <c r="AS165" s="46">
        <v>0</v>
      </c>
      <c r="AT165" s="46">
        <v>0</v>
      </c>
      <c r="AU165" s="46">
        <v>0</v>
      </c>
      <c r="AV165" s="46">
        <v>0</v>
      </c>
      <c r="AW165" s="46">
        <v>0</v>
      </c>
      <c r="AX165" s="47">
        <f t="shared" si="20"/>
        <v>0</v>
      </c>
      <c r="AY165" s="319">
        <f>SUMIF(Recibos!$D$4:$D$3010,Cobranza!$B165,Recibos!K$4:K$3010)</f>
        <v>0</v>
      </c>
      <c r="AZ165" s="319">
        <f>SUMIF(Recibos!$D$4:$D$3010,Cobranza!$B165,Recibos!L$4:L$3010)</f>
        <v>0</v>
      </c>
      <c r="BA165" s="319">
        <f>SUMIF(Recibos!$D$4:$D$3010,Cobranza!$B165,Recibos!M$4:M$3010)</f>
        <v>0</v>
      </c>
      <c r="BB165" s="319">
        <f>SUMIF(Recibos!$D$4:$D$3010,Cobranza!$B165,Recibos!N$4:N$3010)</f>
        <v>0</v>
      </c>
      <c r="BC165" s="319">
        <f>SUMIF(Recibos!$D$4:$D$3010,Cobranza!$B165,Recibos!O$4:O$3010)</f>
        <v>0</v>
      </c>
      <c r="BD165" s="319">
        <f>SUMIF(Recibos!$D$4:$D$3010,Cobranza!$B165,Recibos!P$4:P$3010)</f>
        <v>0</v>
      </c>
      <c r="BE165" s="319">
        <f>SUMIF(Recibos!$D$4:$D$3010,Cobranza!$B165,Recibos!Q$4:Q$3010)</f>
        <v>0</v>
      </c>
      <c r="BF165" s="319">
        <f>SUMIF(Recibos!$D$4:$D$3010,Cobranza!$B165,Recibos!R$4:R$3010)</f>
        <v>0</v>
      </c>
      <c r="BG165" s="319">
        <f>SUMIF(Recibos!$D$4:$D$3010,Cobranza!$B165,Recibos!S$4:S$3010)</f>
        <v>0</v>
      </c>
      <c r="BH165" s="319">
        <f>SUMIF(Recibos!$D$4:$D$3010,Cobranza!$B165,Recibos!T$4:T$3010)</f>
        <v>0</v>
      </c>
      <c r="BI165" s="319">
        <f>SUMIF(Recibos!$D$4:$D$3010,Cobranza!$B165,Recibos!U$4:U$3010)</f>
        <v>0</v>
      </c>
      <c r="BJ165" s="319">
        <f>SUMIF(Recibos!$D$4:$D$3010,Cobranza!$B165,Recibos!V$4:V$3010)</f>
        <v>0</v>
      </c>
      <c r="BK165" s="320">
        <f t="shared" si="21"/>
        <v>0</v>
      </c>
      <c r="BL165" s="319">
        <f>SUMIF(Recibos!$D$4:$D$3010,Cobranza!$B165,Recibos!X$4:X$3010)</f>
        <v>0</v>
      </c>
      <c r="BM165" s="319">
        <f>SUMIF(Recibos!$D$4:$D$3010,Cobranza!$B165,Recibos!Y$4:Y$3010)</f>
        <v>0</v>
      </c>
      <c r="BN165" s="319">
        <f>SUMIF(Recibos!$D$4:$D$3010,Cobranza!$B165,Recibos!Z$4:Z$3010)</f>
        <v>0</v>
      </c>
      <c r="BO165" s="319">
        <f>SUMIF(Recibos!$D$4:$D$3010,Cobranza!$B165,Recibos!AA$4:AA$3010)</f>
        <v>0</v>
      </c>
      <c r="BP165" s="319">
        <f>SUMIF(Recibos!$D$4:$D$3010,Cobranza!$B165,Recibos!AB$4:AB$3010)</f>
        <v>0</v>
      </c>
      <c r="BQ165" s="319">
        <f>SUMIF(Recibos!$D$4:$D$3010,Cobranza!$B165,Recibos!AC$4:AC$3010)</f>
        <v>0</v>
      </c>
      <c r="BR165" s="319">
        <f>SUMIF(Recibos!$D$4:$D$3010,Cobranza!$B165,Recibos!AD$4:AD$3010)</f>
        <v>0</v>
      </c>
      <c r="BS165" s="319">
        <f>SUMIF(Recibos!$D$4:$D$3010,Cobranza!$B165,Recibos!AE$4:AE$3010)</f>
        <v>0</v>
      </c>
      <c r="BT165" s="319">
        <f>SUMIF(Recibos!$D$4:$D$3010,Cobranza!$B165,Recibos!AF$4:AF$3010)</f>
        <v>0</v>
      </c>
      <c r="BU165" s="319">
        <f>SUMIF(Recibos!$D$4:$D$3010,Cobranza!$B165,Recibos!AG$4:AG$3010)</f>
        <v>0</v>
      </c>
      <c r="BV165" s="319">
        <f>SUMIF(Recibos!$D$4:$D$3010,Cobranza!$B165,Recibos!AH$4:AH$3010)</f>
        <v>0</v>
      </c>
      <c r="BW165" s="319">
        <f>SUMIF(Recibos!$D$4:$D$3010,Cobranza!$B165,Recibos!AI$4:AI$3010)</f>
        <v>0</v>
      </c>
      <c r="BX165" s="320">
        <f t="shared" si="22"/>
        <v>0</v>
      </c>
    </row>
    <row r="166" spans="2:76" x14ac:dyDescent="0.2">
      <c r="B166" s="42" t="s">
        <v>922</v>
      </c>
      <c r="C166" s="42" t="s">
        <v>923</v>
      </c>
      <c r="D166" s="42" t="s">
        <v>924</v>
      </c>
      <c r="E166" s="43">
        <v>0</v>
      </c>
      <c r="F166" s="43">
        <v>0</v>
      </c>
      <c r="G166" s="43">
        <v>0</v>
      </c>
      <c r="H166" s="43">
        <v>150</v>
      </c>
      <c r="I166" s="43">
        <v>150</v>
      </c>
      <c r="J166" s="43">
        <v>150</v>
      </c>
      <c r="K166" s="44">
        <f t="shared" si="17"/>
        <v>450</v>
      </c>
      <c r="L166" s="43">
        <v>150</v>
      </c>
      <c r="M166" s="43">
        <v>150</v>
      </c>
      <c r="N166" s="43">
        <v>150</v>
      </c>
      <c r="O166" s="43">
        <v>150</v>
      </c>
      <c r="P166" s="43">
        <v>150</v>
      </c>
      <c r="Q166" s="43">
        <v>150</v>
      </c>
      <c r="R166" s="43">
        <v>150</v>
      </c>
      <c r="S166" s="43">
        <v>150</v>
      </c>
      <c r="T166" s="43">
        <v>200</v>
      </c>
      <c r="U166" s="43">
        <v>200</v>
      </c>
      <c r="V166" s="43">
        <v>200</v>
      </c>
      <c r="W166" s="43">
        <v>200</v>
      </c>
      <c r="X166" s="44">
        <f t="shared" si="18"/>
        <v>2000</v>
      </c>
      <c r="Y166" s="43">
        <v>200</v>
      </c>
      <c r="Z166" s="43">
        <v>200</v>
      </c>
      <c r="AA166" s="43">
        <v>200</v>
      </c>
      <c r="AB166" s="43">
        <v>200</v>
      </c>
      <c r="AC166" s="43">
        <v>200</v>
      </c>
      <c r="AD166" s="43">
        <v>200</v>
      </c>
      <c r="AE166" s="43">
        <v>200</v>
      </c>
      <c r="AF166" s="43">
        <v>200</v>
      </c>
      <c r="AG166" s="43">
        <v>200</v>
      </c>
      <c r="AH166" s="43">
        <v>200</v>
      </c>
      <c r="AI166" s="43">
        <v>0</v>
      </c>
      <c r="AJ166" s="43">
        <v>0</v>
      </c>
      <c r="AK166" s="44">
        <f t="shared" si="19"/>
        <v>2000</v>
      </c>
      <c r="AL166" s="43">
        <v>200</v>
      </c>
      <c r="AM166" s="43">
        <v>200</v>
      </c>
      <c r="AN166" s="43">
        <v>200</v>
      </c>
      <c r="AO166" s="43">
        <v>200</v>
      </c>
      <c r="AP166" s="43">
        <v>200</v>
      </c>
      <c r="AQ166" s="43">
        <v>200</v>
      </c>
      <c r="AR166" s="43">
        <v>200</v>
      </c>
      <c r="AS166" s="43">
        <v>200</v>
      </c>
      <c r="AT166" s="43">
        <v>200</v>
      </c>
      <c r="AU166" s="43">
        <v>200</v>
      </c>
      <c r="AV166" s="43">
        <v>0</v>
      </c>
      <c r="AW166" s="43">
        <v>0</v>
      </c>
      <c r="AX166" s="44">
        <f t="shared" si="20"/>
        <v>2000</v>
      </c>
      <c r="AY166" s="317">
        <f>SUMIF(Recibos!$D$4:$D$3010,Cobranza!$B166,Recibos!K$4:K$3010)</f>
        <v>250</v>
      </c>
      <c r="AZ166" s="317">
        <f>SUMIF(Recibos!$D$4:$D$3010,Cobranza!$B166,Recibos!L$4:L$3010)</f>
        <v>250</v>
      </c>
      <c r="BA166" s="317">
        <f>SUMIF(Recibos!$D$4:$D$3010,Cobranza!$B166,Recibos!M$4:M$3010)</f>
        <v>250</v>
      </c>
      <c r="BB166" s="317">
        <f>SUMIF(Recibos!$D$4:$D$3010,Cobranza!$B166,Recibos!N$4:N$3010)</f>
        <v>250</v>
      </c>
      <c r="BC166" s="317">
        <f>SUMIF(Recibos!$D$4:$D$3010,Cobranza!$B166,Recibos!O$4:O$3010)</f>
        <v>250</v>
      </c>
      <c r="BD166" s="317">
        <f>SUMIF(Recibos!$D$4:$D$3010,Cobranza!$B166,Recibos!P$4:P$3010)</f>
        <v>250</v>
      </c>
      <c r="BE166" s="317">
        <f>SUMIF(Recibos!$D$4:$D$3010,Cobranza!$B166,Recibos!Q$4:Q$3010)</f>
        <v>0</v>
      </c>
      <c r="BF166" s="317">
        <f>SUMIF(Recibos!$D$4:$D$3010,Cobranza!$B166,Recibos!R$4:R$3010)</f>
        <v>0</v>
      </c>
      <c r="BG166" s="317">
        <f>SUMIF(Recibos!$D$4:$D$3010,Cobranza!$B166,Recibos!S$4:S$3010)</f>
        <v>0</v>
      </c>
      <c r="BH166" s="317">
        <f>SUMIF(Recibos!$D$4:$D$3010,Cobranza!$B166,Recibos!T$4:T$3010)</f>
        <v>0</v>
      </c>
      <c r="BI166" s="317">
        <f>SUMIF(Recibos!$D$4:$D$3010,Cobranza!$B166,Recibos!U$4:U$3010)</f>
        <v>0</v>
      </c>
      <c r="BJ166" s="317">
        <f>SUMIF(Recibos!$D$4:$D$3010,Cobranza!$B166,Recibos!V$4:V$3010)</f>
        <v>0</v>
      </c>
      <c r="BK166" s="318">
        <f t="shared" si="21"/>
        <v>1500</v>
      </c>
      <c r="BL166" s="317">
        <f>SUMIF(Recibos!$D$4:$D$3010,Cobranza!$B166,Recibos!X$4:X$3010)</f>
        <v>0</v>
      </c>
      <c r="BM166" s="317">
        <f>SUMIF(Recibos!$D$4:$D$3010,Cobranza!$B166,Recibos!Y$4:Y$3010)</f>
        <v>0</v>
      </c>
      <c r="BN166" s="317">
        <f>SUMIF(Recibos!$D$4:$D$3010,Cobranza!$B166,Recibos!Z$4:Z$3010)</f>
        <v>0</v>
      </c>
      <c r="BO166" s="317">
        <f>SUMIF(Recibos!$D$4:$D$3010,Cobranza!$B166,Recibos!AA$4:AA$3010)</f>
        <v>0</v>
      </c>
      <c r="BP166" s="317">
        <f>SUMIF(Recibos!$D$4:$D$3010,Cobranza!$B166,Recibos!AB$4:AB$3010)</f>
        <v>0</v>
      </c>
      <c r="BQ166" s="317">
        <f>SUMIF(Recibos!$D$4:$D$3010,Cobranza!$B166,Recibos!AC$4:AC$3010)</f>
        <v>0</v>
      </c>
      <c r="BR166" s="317">
        <f>SUMIF(Recibos!$D$4:$D$3010,Cobranza!$B166,Recibos!AD$4:AD$3010)</f>
        <v>0</v>
      </c>
      <c r="BS166" s="317">
        <f>SUMIF(Recibos!$D$4:$D$3010,Cobranza!$B166,Recibos!AE$4:AE$3010)</f>
        <v>0</v>
      </c>
      <c r="BT166" s="317">
        <f>SUMIF(Recibos!$D$4:$D$3010,Cobranza!$B166,Recibos!AF$4:AF$3010)</f>
        <v>0</v>
      </c>
      <c r="BU166" s="317">
        <f>SUMIF(Recibos!$D$4:$D$3010,Cobranza!$B166,Recibos!AG$4:AG$3010)</f>
        <v>0</v>
      </c>
      <c r="BV166" s="317">
        <f>SUMIF(Recibos!$D$4:$D$3010,Cobranza!$B166,Recibos!AH$4:AH$3010)</f>
        <v>0</v>
      </c>
      <c r="BW166" s="317">
        <f>SUMIF(Recibos!$D$4:$D$3010,Cobranza!$B166,Recibos!AI$4:AI$3010)</f>
        <v>0</v>
      </c>
      <c r="BX166" s="318">
        <f t="shared" si="22"/>
        <v>0</v>
      </c>
    </row>
    <row r="167" spans="2:76" x14ac:dyDescent="0.2">
      <c r="B167" s="45" t="s">
        <v>728</v>
      </c>
      <c r="C167" s="45" t="s">
        <v>729</v>
      </c>
      <c r="D167" s="45" t="s">
        <v>730</v>
      </c>
      <c r="E167" s="46">
        <v>0</v>
      </c>
      <c r="F167" s="46">
        <v>0</v>
      </c>
      <c r="G167" s="46">
        <v>300</v>
      </c>
      <c r="H167" s="46">
        <v>300</v>
      </c>
      <c r="I167" s="46">
        <v>0</v>
      </c>
      <c r="J167" s="46">
        <v>0</v>
      </c>
      <c r="K167" s="47">
        <f t="shared" si="17"/>
        <v>600</v>
      </c>
      <c r="L167" s="46">
        <v>300</v>
      </c>
      <c r="M167" s="46">
        <v>300</v>
      </c>
      <c r="N167" s="46">
        <v>300</v>
      </c>
      <c r="O167" s="46">
        <v>300</v>
      </c>
      <c r="P167" s="46">
        <v>600</v>
      </c>
      <c r="Q167" s="46">
        <v>600</v>
      </c>
      <c r="R167" s="46">
        <v>300</v>
      </c>
      <c r="S167" s="46">
        <v>300</v>
      </c>
      <c r="T167" s="46">
        <v>300</v>
      </c>
      <c r="U167" s="46">
        <v>400</v>
      </c>
      <c r="V167" s="46">
        <v>400</v>
      </c>
      <c r="W167" s="46">
        <v>400</v>
      </c>
      <c r="X167" s="47">
        <f t="shared" si="18"/>
        <v>4500</v>
      </c>
      <c r="Y167" s="46">
        <v>400</v>
      </c>
      <c r="Z167" s="46">
        <v>400</v>
      </c>
      <c r="AA167" s="46">
        <v>400</v>
      </c>
      <c r="AB167" s="46">
        <v>400</v>
      </c>
      <c r="AC167" s="46">
        <v>400</v>
      </c>
      <c r="AD167" s="46">
        <v>400</v>
      </c>
      <c r="AE167" s="46">
        <v>400</v>
      </c>
      <c r="AF167" s="46">
        <v>400</v>
      </c>
      <c r="AG167" s="46">
        <v>400</v>
      </c>
      <c r="AH167" s="46">
        <v>400</v>
      </c>
      <c r="AI167" s="46">
        <v>400</v>
      </c>
      <c r="AJ167" s="46">
        <v>400</v>
      </c>
      <c r="AK167" s="47">
        <f t="shared" si="19"/>
        <v>4800</v>
      </c>
      <c r="AL167" s="46">
        <v>400</v>
      </c>
      <c r="AM167" s="46">
        <v>400</v>
      </c>
      <c r="AN167" s="46">
        <v>400</v>
      </c>
      <c r="AO167" s="46">
        <v>400</v>
      </c>
      <c r="AP167" s="46">
        <v>400</v>
      </c>
      <c r="AQ167" s="46">
        <v>400</v>
      </c>
      <c r="AR167" s="46">
        <v>400</v>
      </c>
      <c r="AS167" s="46">
        <v>400</v>
      </c>
      <c r="AT167" s="46">
        <v>400</v>
      </c>
      <c r="AU167" s="46">
        <v>400</v>
      </c>
      <c r="AV167" s="46">
        <v>400</v>
      </c>
      <c r="AW167" s="46">
        <v>400</v>
      </c>
      <c r="AX167" s="47">
        <f t="shared" si="20"/>
        <v>4800</v>
      </c>
      <c r="AY167" s="319">
        <f>SUMIF(Recibos!$D$4:$D$3010,Cobranza!$B167,Recibos!K$4:K$3010)</f>
        <v>400</v>
      </c>
      <c r="AZ167" s="319">
        <f>SUMIF(Recibos!$D$4:$D$3010,Cobranza!$B167,Recibos!L$4:L$3010)</f>
        <v>400</v>
      </c>
      <c r="BA167" s="319">
        <f>SUMIF(Recibos!$D$4:$D$3010,Cobranza!$B167,Recibos!M$4:M$3010)</f>
        <v>400</v>
      </c>
      <c r="BB167" s="319">
        <f>SUMIF(Recibos!$D$4:$D$3010,Cobranza!$B167,Recibos!N$4:N$3010)</f>
        <v>400</v>
      </c>
      <c r="BC167" s="319">
        <f>SUMIF(Recibos!$D$4:$D$3010,Cobranza!$B167,Recibos!O$4:O$3010)</f>
        <v>400</v>
      </c>
      <c r="BD167" s="319">
        <f>SUMIF(Recibos!$D$4:$D$3010,Cobranza!$B167,Recibos!P$4:P$3010)</f>
        <v>400</v>
      </c>
      <c r="BE167" s="319">
        <f>SUMIF(Recibos!$D$4:$D$3010,Cobranza!$B167,Recibos!Q$4:Q$3010)</f>
        <v>400</v>
      </c>
      <c r="BF167" s="319">
        <f>SUMIF(Recibos!$D$4:$D$3010,Cobranza!$B167,Recibos!R$4:R$3010)</f>
        <v>400</v>
      </c>
      <c r="BG167" s="319">
        <f>SUMIF(Recibos!$D$4:$D$3010,Cobranza!$B167,Recibos!S$4:S$3010)</f>
        <v>400</v>
      </c>
      <c r="BH167" s="319">
        <f>SUMIF(Recibos!$D$4:$D$3010,Cobranza!$B167,Recibos!T$4:T$3010)</f>
        <v>400</v>
      </c>
      <c r="BI167" s="319">
        <f>SUMIF(Recibos!$D$4:$D$3010,Cobranza!$B167,Recibos!U$4:U$3010)</f>
        <v>0</v>
      </c>
      <c r="BJ167" s="319">
        <f>SUMIF(Recibos!$D$4:$D$3010,Cobranza!$B167,Recibos!V$4:V$3010)</f>
        <v>0</v>
      </c>
      <c r="BK167" s="320">
        <f t="shared" si="21"/>
        <v>4000</v>
      </c>
      <c r="BL167" s="319">
        <f>SUMIF(Recibos!$D$4:$D$3010,Cobranza!$B167,Recibos!X$4:X$3010)</f>
        <v>0</v>
      </c>
      <c r="BM167" s="319">
        <f>SUMIF(Recibos!$D$4:$D$3010,Cobranza!$B167,Recibos!Y$4:Y$3010)</f>
        <v>0</v>
      </c>
      <c r="BN167" s="319">
        <f>SUMIF(Recibos!$D$4:$D$3010,Cobranza!$B167,Recibos!Z$4:Z$3010)</f>
        <v>0</v>
      </c>
      <c r="BO167" s="319">
        <f>SUMIF(Recibos!$D$4:$D$3010,Cobranza!$B167,Recibos!AA$4:AA$3010)</f>
        <v>0</v>
      </c>
      <c r="BP167" s="319">
        <f>SUMIF(Recibos!$D$4:$D$3010,Cobranza!$B167,Recibos!AB$4:AB$3010)</f>
        <v>0</v>
      </c>
      <c r="BQ167" s="319">
        <f>SUMIF(Recibos!$D$4:$D$3010,Cobranza!$B167,Recibos!AC$4:AC$3010)</f>
        <v>0</v>
      </c>
      <c r="BR167" s="319">
        <f>SUMIF(Recibos!$D$4:$D$3010,Cobranza!$B167,Recibos!AD$4:AD$3010)</f>
        <v>0</v>
      </c>
      <c r="BS167" s="319">
        <f>SUMIF(Recibos!$D$4:$D$3010,Cobranza!$B167,Recibos!AE$4:AE$3010)</f>
        <v>0</v>
      </c>
      <c r="BT167" s="319">
        <f>SUMIF(Recibos!$D$4:$D$3010,Cobranza!$B167,Recibos!AF$4:AF$3010)</f>
        <v>0</v>
      </c>
      <c r="BU167" s="319">
        <f>SUMIF(Recibos!$D$4:$D$3010,Cobranza!$B167,Recibos!AG$4:AG$3010)</f>
        <v>0</v>
      </c>
      <c r="BV167" s="319">
        <f>SUMIF(Recibos!$D$4:$D$3010,Cobranza!$B167,Recibos!AH$4:AH$3010)</f>
        <v>0</v>
      </c>
      <c r="BW167" s="319">
        <f>SUMIF(Recibos!$D$4:$D$3010,Cobranza!$B167,Recibos!AI$4:AI$3010)</f>
        <v>0</v>
      </c>
      <c r="BX167" s="320">
        <f t="shared" si="22"/>
        <v>0</v>
      </c>
    </row>
    <row r="168" spans="2:76" x14ac:dyDescent="0.2">
      <c r="B168" s="42" t="s">
        <v>763</v>
      </c>
      <c r="C168" s="42" t="s">
        <v>764</v>
      </c>
      <c r="D168" s="42" t="s">
        <v>765</v>
      </c>
      <c r="E168" s="43">
        <v>0</v>
      </c>
      <c r="F168" s="43">
        <v>0</v>
      </c>
      <c r="G168" s="43">
        <v>0</v>
      </c>
      <c r="H168" s="43">
        <v>0</v>
      </c>
      <c r="I168" s="43">
        <v>300</v>
      </c>
      <c r="J168" s="43">
        <v>300</v>
      </c>
      <c r="K168" s="44">
        <f t="shared" si="17"/>
        <v>600</v>
      </c>
      <c r="L168" s="43">
        <v>300</v>
      </c>
      <c r="M168" s="43">
        <v>300</v>
      </c>
      <c r="N168" s="43">
        <v>300</v>
      </c>
      <c r="O168" s="43">
        <v>300</v>
      </c>
      <c r="P168" s="43">
        <v>300</v>
      </c>
      <c r="Q168" s="43">
        <v>300</v>
      </c>
      <c r="R168" s="43">
        <v>300</v>
      </c>
      <c r="S168" s="43">
        <v>300</v>
      </c>
      <c r="T168" s="43">
        <v>300</v>
      </c>
      <c r="U168" s="43">
        <v>300</v>
      </c>
      <c r="V168" s="43">
        <v>300</v>
      </c>
      <c r="W168" s="43">
        <v>300</v>
      </c>
      <c r="X168" s="44">
        <f t="shared" si="18"/>
        <v>3600</v>
      </c>
      <c r="Y168" s="43">
        <v>400</v>
      </c>
      <c r="Z168" s="43">
        <v>400</v>
      </c>
      <c r="AA168" s="43">
        <v>400</v>
      </c>
      <c r="AB168" s="43">
        <v>400</v>
      </c>
      <c r="AC168" s="43">
        <v>400</v>
      </c>
      <c r="AD168" s="43">
        <v>400</v>
      </c>
      <c r="AE168" s="43">
        <v>400</v>
      </c>
      <c r="AF168" s="43">
        <v>0</v>
      </c>
      <c r="AG168" s="43">
        <v>0</v>
      </c>
      <c r="AH168" s="43">
        <v>0</v>
      </c>
      <c r="AI168" s="43">
        <v>0</v>
      </c>
      <c r="AJ168" s="43">
        <v>0</v>
      </c>
      <c r="AK168" s="44">
        <f t="shared" si="19"/>
        <v>2800</v>
      </c>
      <c r="AL168" s="43">
        <v>400</v>
      </c>
      <c r="AM168" s="43">
        <v>400</v>
      </c>
      <c r="AN168" s="43">
        <v>400</v>
      </c>
      <c r="AO168" s="43">
        <v>400</v>
      </c>
      <c r="AP168" s="43">
        <v>400</v>
      </c>
      <c r="AQ168" s="43">
        <v>400</v>
      </c>
      <c r="AR168" s="43">
        <v>400</v>
      </c>
      <c r="AS168" s="43">
        <v>400</v>
      </c>
      <c r="AT168" s="43">
        <v>400</v>
      </c>
      <c r="AU168" s="43">
        <v>400</v>
      </c>
      <c r="AV168" s="43">
        <v>400</v>
      </c>
      <c r="AW168" s="43">
        <v>400</v>
      </c>
      <c r="AX168" s="44">
        <f t="shared" si="20"/>
        <v>4800</v>
      </c>
      <c r="AY168" s="317">
        <f>SUMIF(Recibos!$D$4:$D$3010,Cobranza!$B168,Recibos!K$4:K$3010)</f>
        <v>400</v>
      </c>
      <c r="AZ168" s="317">
        <f>SUMIF(Recibos!$D$4:$D$3010,Cobranza!$B168,Recibos!L$4:L$3010)</f>
        <v>400</v>
      </c>
      <c r="BA168" s="317">
        <f>SUMIF(Recibos!$D$4:$D$3010,Cobranza!$B168,Recibos!M$4:M$3010)</f>
        <v>400</v>
      </c>
      <c r="BB168" s="317">
        <f>SUMIF(Recibos!$D$4:$D$3010,Cobranza!$B168,Recibos!N$4:N$3010)</f>
        <v>400</v>
      </c>
      <c r="BC168" s="317">
        <f>SUMIF(Recibos!$D$4:$D$3010,Cobranza!$B168,Recibos!O$4:O$3010)</f>
        <v>400</v>
      </c>
      <c r="BD168" s="317">
        <f>SUMIF(Recibos!$D$4:$D$3010,Cobranza!$B168,Recibos!P$4:P$3010)</f>
        <v>400</v>
      </c>
      <c r="BE168" s="317">
        <f>SUMIF(Recibos!$D$4:$D$3010,Cobranza!$B168,Recibos!Q$4:Q$3010)</f>
        <v>400</v>
      </c>
      <c r="BF168" s="317">
        <f>SUMIF(Recibos!$D$4:$D$3010,Cobranza!$B168,Recibos!R$4:R$3010)</f>
        <v>400</v>
      </c>
      <c r="BG168" s="317">
        <f>SUMIF(Recibos!$D$4:$D$3010,Cobranza!$B168,Recibos!S$4:S$3010)</f>
        <v>400</v>
      </c>
      <c r="BH168" s="317">
        <f>SUMIF(Recibos!$D$4:$D$3010,Cobranza!$B168,Recibos!T$4:T$3010)</f>
        <v>400</v>
      </c>
      <c r="BI168" s="317">
        <f>SUMIF(Recibos!$D$4:$D$3010,Cobranza!$B168,Recibos!U$4:U$3010)</f>
        <v>400</v>
      </c>
      <c r="BJ168" s="317">
        <f>SUMIF(Recibos!$D$4:$D$3010,Cobranza!$B168,Recibos!V$4:V$3010)</f>
        <v>400</v>
      </c>
      <c r="BK168" s="318">
        <f t="shared" si="21"/>
        <v>4800</v>
      </c>
      <c r="BL168" s="317">
        <f>SUMIF(Recibos!$D$4:$D$3010,Cobranza!$B168,Recibos!X$4:X$3010)</f>
        <v>0</v>
      </c>
      <c r="BM168" s="317">
        <f>SUMIF(Recibos!$D$4:$D$3010,Cobranza!$B168,Recibos!Y$4:Y$3010)</f>
        <v>0</v>
      </c>
      <c r="BN168" s="317">
        <f>SUMIF(Recibos!$D$4:$D$3010,Cobranza!$B168,Recibos!Z$4:Z$3010)</f>
        <v>0</v>
      </c>
      <c r="BO168" s="317">
        <f>SUMIF(Recibos!$D$4:$D$3010,Cobranza!$B168,Recibos!AA$4:AA$3010)</f>
        <v>0</v>
      </c>
      <c r="BP168" s="317">
        <f>SUMIF(Recibos!$D$4:$D$3010,Cobranza!$B168,Recibos!AB$4:AB$3010)</f>
        <v>0</v>
      </c>
      <c r="BQ168" s="317">
        <f>SUMIF(Recibos!$D$4:$D$3010,Cobranza!$B168,Recibos!AC$4:AC$3010)</f>
        <v>0</v>
      </c>
      <c r="BR168" s="317">
        <f>SUMIF(Recibos!$D$4:$D$3010,Cobranza!$B168,Recibos!AD$4:AD$3010)</f>
        <v>0</v>
      </c>
      <c r="BS168" s="317">
        <f>SUMIF(Recibos!$D$4:$D$3010,Cobranza!$B168,Recibos!AE$4:AE$3010)</f>
        <v>0</v>
      </c>
      <c r="BT168" s="317">
        <f>SUMIF(Recibos!$D$4:$D$3010,Cobranza!$B168,Recibos!AF$4:AF$3010)</f>
        <v>0</v>
      </c>
      <c r="BU168" s="317">
        <f>SUMIF(Recibos!$D$4:$D$3010,Cobranza!$B168,Recibos!AG$4:AG$3010)</f>
        <v>0</v>
      </c>
      <c r="BV168" s="317">
        <f>SUMIF(Recibos!$D$4:$D$3010,Cobranza!$B168,Recibos!AH$4:AH$3010)</f>
        <v>0</v>
      </c>
      <c r="BW168" s="317">
        <f>SUMIF(Recibos!$D$4:$D$3010,Cobranza!$B168,Recibos!AI$4:AI$3010)</f>
        <v>0</v>
      </c>
      <c r="BX168" s="318">
        <f t="shared" si="22"/>
        <v>0</v>
      </c>
    </row>
    <row r="169" spans="2:76" x14ac:dyDescent="0.2">
      <c r="B169" s="45" t="s">
        <v>544</v>
      </c>
      <c r="C169" s="45" t="s">
        <v>545</v>
      </c>
      <c r="D169" s="45" t="s">
        <v>546</v>
      </c>
      <c r="E169" s="46">
        <v>0</v>
      </c>
      <c r="F169" s="46">
        <v>0</v>
      </c>
      <c r="G169" s="46">
        <v>0</v>
      </c>
      <c r="H169" s="46">
        <v>0</v>
      </c>
      <c r="I169" s="46">
        <v>0</v>
      </c>
      <c r="J169" s="46">
        <v>300</v>
      </c>
      <c r="K169" s="47">
        <f t="shared" si="17"/>
        <v>300</v>
      </c>
      <c r="L169" s="46">
        <v>300</v>
      </c>
      <c r="M169" s="46">
        <v>300</v>
      </c>
      <c r="N169" s="46">
        <v>300</v>
      </c>
      <c r="O169" s="46">
        <v>300</v>
      </c>
      <c r="P169" s="46">
        <v>300</v>
      </c>
      <c r="Q169" s="46">
        <v>300</v>
      </c>
      <c r="R169" s="46">
        <v>300</v>
      </c>
      <c r="S169" s="46">
        <v>300</v>
      </c>
      <c r="T169" s="46">
        <v>300</v>
      </c>
      <c r="U169" s="46">
        <v>400</v>
      </c>
      <c r="V169" s="46">
        <v>400</v>
      </c>
      <c r="W169" s="46">
        <v>400</v>
      </c>
      <c r="X169" s="47">
        <f t="shared" si="18"/>
        <v>3900</v>
      </c>
      <c r="Y169" s="46">
        <v>400</v>
      </c>
      <c r="Z169" s="46">
        <v>400</v>
      </c>
      <c r="AA169" s="46">
        <v>400</v>
      </c>
      <c r="AB169" s="46">
        <v>400</v>
      </c>
      <c r="AC169" s="46">
        <v>400</v>
      </c>
      <c r="AD169" s="46">
        <v>400</v>
      </c>
      <c r="AE169" s="46">
        <v>400</v>
      </c>
      <c r="AF169" s="46">
        <v>400</v>
      </c>
      <c r="AG169" s="46">
        <v>400</v>
      </c>
      <c r="AH169" s="46">
        <v>400</v>
      </c>
      <c r="AI169" s="46">
        <v>400</v>
      </c>
      <c r="AJ169" s="46">
        <v>400</v>
      </c>
      <c r="AK169" s="47">
        <f t="shared" si="19"/>
        <v>4800</v>
      </c>
      <c r="AL169" s="46">
        <v>400</v>
      </c>
      <c r="AM169" s="46">
        <v>400</v>
      </c>
      <c r="AN169" s="46">
        <v>400</v>
      </c>
      <c r="AO169" s="46">
        <v>400</v>
      </c>
      <c r="AP169" s="46">
        <v>400</v>
      </c>
      <c r="AQ169" s="46">
        <v>400</v>
      </c>
      <c r="AR169" s="46">
        <v>400</v>
      </c>
      <c r="AS169" s="46">
        <v>400</v>
      </c>
      <c r="AT169" s="46">
        <v>400</v>
      </c>
      <c r="AU169" s="46">
        <v>400</v>
      </c>
      <c r="AV169" s="46">
        <v>400</v>
      </c>
      <c r="AW169" s="46">
        <v>400</v>
      </c>
      <c r="AX169" s="47">
        <f t="shared" si="20"/>
        <v>4800</v>
      </c>
      <c r="AY169" s="319">
        <f>SUMIF(Recibos!$D$4:$D$3010,Cobranza!$B169,Recibos!K$4:K$3010)</f>
        <v>400</v>
      </c>
      <c r="AZ169" s="319">
        <f>SUMIF(Recibos!$D$4:$D$3010,Cobranza!$B169,Recibos!L$4:L$3010)</f>
        <v>400</v>
      </c>
      <c r="BA169" s="319">
        <f>SUMIF(Recibos!$D$4:$D$3010,Cobranza!$B169,Recibos!M$4:M$3010)</f>
        <v>400</v>
      </c>
      <c r="BB169" s="319">
        <f>SUMIF(Recibos!$D$4:$D$3010,Cobranza!$B169,Recibos!N$4:N$3010)</f>
        <v>400</v>
      </c>
      <c r="BC169" s="319">
        <f>SUMIF(Recibos!$D$4:$D$3010,Cobranza!$B169,Recibos!O$4:O$3010)</f>
        <v>400</v>
      </c>
      <c r="BD169" s="319">
        <f>SUMIF(Recibos!$D$4:$D$3010,Cobranza!$B169,Recibos!P$4:P$3010)</f>
        <v>400</v>
      </c>
      <c r="BE169" s="319">
        <f>SUMIF(Recibos!$D$4:$D$3010,Cobranza!$B169,Recibos!Q$4:Q$3010)</f>
        <v>400</v>
      </c>
      <c r="BF169" s="319">
        <f>SUMIF(Recibos!$D$4:$D$3010,Cobranza!$B169,Recibos!R$4:R$3010)</f>
        <v>400</v>
      </c>
      <c r="BG169" s="319">
        <f>SUMIF(Recibos!$D$4:$D$3010,Cobranza!$B169,Recibos!S$4:S$3010)</f>
        <v>400</v>
      </c>
      <c r="BH169" s="319">
        <f>SUMIF(Recibos!$D$4:$D$3010,Cobranza!$B169,Recibos!T$4:T$3010)</f>
        <v>400</v>
      </c>
      <c r="BI169" s="319">
        <f>SUMIF(Recibos!$D$4:$D$3010,Cobranza!$B169,Recibos!U$4:U$3010)</f>
        <v>400</v>
      </c>
      <c r="BJ169" s="319">
        <f>SUMIF(Recibos!$D$4:$D$3010,Cobranza!$B169,Recibos!V$4:V$3010)</f>
        <v>0</v>
      </c>
      <c r="BK169" s="320">
        <f t="shared" si="21"/>
        <v>4400</v>
      </c>
      <c r="BL169" s="319">
        <f>SUMIF(Recibos!$D$4:$D$3010,Cobranza!$B169,Recibos!X$4:X$3010)</f>
        <v>0</v>
      </c>
      <c r="BM169" s="319">
        <f>SUMIF(Recibos!$D$4:$D$3010,Cobranza!$B169,Recibos!Y$4:Y$3010)</f>
        <v>0</v>
      </c>
      <c r="BN169" s="319">
        <f>SUMIF(Recibos!$D$4:$D$3010,Cobranza!$B169,Recibos!Z$4:Z$3010)</f>
        <v>0</v>
      </c>
      <c r="BO169" s="319">
        <f>SUMIF(Recibos!$D$4:$D$3010,Cobranza!$B169,Recibos!AA$4:AA$3010)</f>
        <v>0</v>
      </c>
      <c r="BP169" s="319">
        <f>SUMIF(Recibos!$D$4:$D$3010,Cobranza!$B169,Recibos!AB$4:AB$3010)</f>
        <v>0</v>
      </c>
      <c r="BQ169" s="319">
        <f>SUMIF(Recibos!$D$4:$D$3010,Cobranza!$B169,Recibos!AC$4:AC$3010)</f>
        <v>0</v>
      </c>
      <c r="BR169" s="319">
        <f>SUMIF(Recibos!$D$4:$D$3010,Cobranza!$B169,Recibos!AD$4:AD$3010)</f>
        <v>0</v>
      </c>
      <c r="BS169" s="319">
        <f>SUMIF(Recibos!$D$4:$D$3010,Cobranza!$B169,Recibos!AE$4:AE$3010)</f>
        <v>0</v>
      </c>
      <c r="BT169" s="319">
        <f>SUMIF(Recibos!$D$4:$D$3010,Cobranza!$B169,Recibos!AF$4:AF$3010)</f>
        <v>0</v>
      </c>
      <c r="BU169" s="319">
        <f>SUMIF(Recibos!$D$4:$D$3010,Cobranza!$B169,Recibos!AG$4:AG$3010)</f>
        <v>0</v>
      </c>
      <c r="BV169" s="319">
        <f>SUMIF(Recibos!$D$4:$D$3010,Cobranza!$B169,Recibos!AH$4:AH$3010)</f>
        <v>0</v>
      </c>
      <c r="BW169" s="319">
        <f>SUMIF(Recibos!$D$4:$D$3010,Cobranza!$B169,Recibos!AI$4:AI$3010)</f>
        <v>0</v>
      </c>
      <c r="BX169" s="320">
        <f t="shared" si="22"/>
        <v>0</v>
      </c>
    </row>
    <row r="170" spans="2:76" x14ac:dyDescent="0.2">
      <c r="B170" s="42" t="s">
        <v>141</v>
      </c>
      <c r="C170" s="42" t="s">
        <v>142</v>
      </c>
      <c r="D170" s="42" t="s">
        <v>143</v>
      </c>
      <c r="E170" s="43">
        <v>0</v>
      </c>
      <c r="F170" s="43">
        <v>0</v>
      </c>
      <c r="G170" s="43">
        <v>0</v>
      </c>
      <c r="H170" s="43">
        <v>300</v>
      </c>
      <c r="I170" s="43">
        <v>300</v>
      </c>
      <c r="J170" s="43">
        <v>300</v>
      </c>
      <c r="K170" s="44">
        <f t="shared" si="17"/>
        <v>900</v>
      </c>
      <c r="L170" s="43">
        <v>300</v>
      </c>
      <c r="M170" s="43">
        <v>300</v>
      </c>
      <c r="N170" s="43">
        <v>300</v>
      </c>
      <c r="O170" s="43">
        <v>300</v>
      </c>
      <c r="P170" s="43">
        <v>300</v>
      </c>
      <c r="Q170" s="43">
        <v>300</v>
      </c>
      <c r="R170" s="43">
        <v>300</v>
      </c>
      <c r="S170" s="43">
        <v>300</v>
      </c>
      <c r="T170" s="43">
        <v>300</v>
      </c>
      <c r="U170" s="43">
        <v>400</v>
      </c>
      <c r="V170" s="43">
        <v>400</v>
      </c>
      <c r="W170" s="43">
        <v>400</v>
      </c>
      <c r="X170" s="44">
        <f t="shared" si="18"/>
        <v>3900</v>
      </c>
      <c r="Y170" s="43">
        <v>400</v>
      </c>
      <c r="Z170" s="43">
        <v>400</v>
      </c>
      <c r="AA170" s="43">
        <v>400</v>
      </c>
      <c r="AB170" s="43">
        <v>400</v>
      </c>
      <c r="AC170" s="43">
        <v>400</v>
      </c>
      <c r="AD170" s="43">
        <v>400</v>
      </c>
      <c r="AE170" s="43">
        <v>400</v>
      </c>
      <c r="AF170" s="43">
        <v>400</v>
      </c>
      <c r="AG170" s="43">
        <v>400</v>
      </c>
      <c r="AH170" s="43">
        <v>400</v>
      </c>
      <c r="AI170" s="43">
        <v>400</v>
      </c>
      <c r="AJ170" s="43">
        <v>400</v>
      </c>
      <c r="AK170" s="44">
        <f t="shared" si="19"/>
        <v>4800</v>
      </c>
      <c r="AL170" s="43">
        <v>400</v>
      </c>
      <c r="AM170" s="43">
        <v>400</v>
      </c>
      <c r="AN170" s="43">
        <v>400</v>
      </c>
      <c r="AO170" s="43">
        <v>400</v>
      </c>
      <c r="AP170" s="43">
        <v>400</v>
      </c>
      <c r="AQ170" s="43">
        <v>400</v>
      </c>
      <c r="AR170" s="43">
        <v>400</v>
      </c>
      <c r="AS170" s="43">
        <v>400</v>
      </c>
      <c r="AT170" s="43">
        <v>400</v>
      </c>
      <c r="AU170" s="43">
        <v>400</v>
      </c>
      <c r="AV170" s="43">
        <v>400</v>
      </c>
      <c r="AW170" s="43">
        <v>400</v>
      </c>
      <c r="AX170" s="44">
        <f t="shared" si="20"/>
        <v>4800</v>
      </c>
      <c r="AY170" s="317">
        <f>SUMIF(Recibos!$D$4:$D$3010,Cobranza!$B170,Recibos!K$4:K$3010)</f>
        <v>400</v>
      </c>
      <c r="AZ170" s="317">
        <f>SUMIF(Recibos!$D$4:$D$3010,Cobranza!$B170,Recibos!L$4:L$3010)</f>
        <v>400</v>
      </c>
      <c r="BA170" s="317">
        <f>SUMIF(Recibos!$D$4:$D$3010,Cobranza!$B170,Recibos!M$4:M$3010)</f>
        <v>400</v>
      </c>
      <c r="BB170" s="317">
        <f>SUMIF(Recibos!$D$4:$D$3010,Cobranza!$B170,Recibos!N$4:N$3010)</f>
        <v>400</v>
      </c>
      <c r="BC170" s="317">
        <f>SUMIF(Recibos!$D$4:$D$3010,Cobranza!$B170,Recibos!O$4:O$3010)</f>
        <v>400</v>
      </c>
      <c r="BD170" s="317">
        <f>SUMIF(Recibos!$D$4:$D$3010,Cobranza!$B170,Recibos!P$4:P$3010)</f>
        <v>400</v>
      </c>
      <c r="BE170" s="317">
        <f>SUMIF(Recibos!$D$4:$D$3010,Cobranza!$B170,Recibos!Q$4:Q$3010)</f>
        <v>400</v>
      </c>
      <c r="BF170" s="317">
        <f>SUMIF(Recibos!$D$4:$D$3010,Cobranza!$B170,Recibos!R$4:R$3010)</f>
        <v>400</v>
      </c>
      <c r="BG170" s="317">
        <f>SUMIF(Recibos!$D$4:$D$3010,Cobranza!$B170,Recibos!S$4:S$3010)</f>
        <v>400</v>
      </c>
      <c r="BH170" s="317">
        <f>SUMIF(Recibos!$D$4:$D$3010,Cobranza!$B170,Recibos!T$4:T$3010)</f>
        <v>400</v>
      </c>
      <c r="BI170" s="317">
        <f>SUMIF(Recibos!$D$4:$D$3010,Cobranza!$B170,Recibos!U$4:U$3010)</f>
        <v>400</v>
      </c>
      <c r="BJ170" s="317">
        <f>SUMIF(Recibos!$D$4:$D$3010,Cobranza!$B170,Recibos!V$4:V$3010)</f>
        <v>400</v>
      </c>
      <c r="BK170" s="318">
        <f t="shared" si="21"/>
        <v>4800</v>
      </c>
      <c r="BL170" s="317">
        <f>SUMIF(Recibos!$D$4:$D$3010,Cobranza!$B170,Recibos!X$4:X$3010)</f>
        <v>0</v>
      </c>
      <c r="BM170" s="317">
        <f>SUMIF(Recibos!$D$4:$D$3010,Cobranza!$B170,Recibos!Y$4:Y$3010)</f>
        <v>0</v>
      </c>
      <c r="BN170" s="317">
        <f>SUMIF(Recibos!$D$4:$D$3010,Cobranza!$B170,Recibos!Z$4:Z$3010)</f>
        <v>0</v>
      </c>
      <c r="BO170" s="317">
        <f>SUMIF(Recibos!$D$4:$D$3010,Cobranza!$B170,Recibos!AA$4:AA$3010)</f>
        <v>0</v>
      </c>
      <c r="BP170" s="317">
        <f>SUMIF(Recibos!$D$4:$D$3010,Cobranza!$B170,Recibos!AB$4:AB$3010)</f>
        <v>0</v>
      </c>
      <c r="BQ170" s="317">
        <f>SUMIF(Recibos!$D$4:$D$3010,Cobranza!$B170,Recibos!AC$4:AC$3010)</f>
        <v>0</v>
      </c>
      <c r="BR170" s="317">
        <f>SUMIF(Recibos!$D$4:$D$3010,Cobranza!$B170,Recibos!AD$4:AD$3010)</f>
        <v>0</v>
      </c>
      <c r="BS170" s="317">
        <f>SUMIF(Recibos!$D$4:$D$3010,Cobranza!$B170,Recibos!AE$4:AE$3010)</f>
        <v>0</v>
      </c>
      <c r="BT170" s="317">
        <f>SUMIF(Recibos!$D$4:$D$3010,Cobranza!$B170,Recibos!AF$4:AF$3010)</f>
        <v>0</v>
      </c>
      <c r="BU170" s="317">
        <f>SUMIF(Recibos!$D$4:$D$3010,Cobranza!$B170,Recibos!AG$4:AG$3010)</f>
        <v>0</v>
      </c>
      <c r="BV170" s="317">
        <f>SUMIF(Recibos!$D$4:$D$3010,Cobranza!$B170,Recibos!AH$4:AH$3010)</f>
        <v>0</v>
      </c>
      <c r="BW170" s="317">
        <f>SUMIF(Recibos!$D$4:$D$3010,Cobranza!$B170,Recibos!AI$4:AI$3010)</f>
        <v>0</v>
      </c>
      <c r="BX170" s="318">
        <f t="shared" si="22"/>
        <v>0</v>
      </c>
    </row>
    <row r="171" spans="2:76" x14ac:dyDescent="0.2">
      <c r="B171" s="45" t="s">
        <v>1131</v>
      </c>
      <c r="C171" s="45" t="s">
        <v>1132</v>
      </c>
      <c r="D171" s="45" t="s">
        <v>1133</v>
      </c>
      <c r="E171" s="46">
        <v>0</v>
      </c>
      <c r="F171" s="46">
        <v>0</v>
      </c>
      <c r="G171" s="46">
        <v>0</v>
      </c>
      <c r="H171" s="46">
        <v>0</v>
      </c>
      <c r="I171" s="46">
        <v>0</v>
      </c>
      <c r="J171" s="46">
        <v>0</v>
      </c>
      <c r="K171" s="47">
        <f t="shared" si="17"/>
        <v>0</v>
      </c>
      <c r="L171" s="46">
        <v>0</v>
      </c>
      <c r="M171" s="46">
        <v>0</v>
      </c>
      <c r="N171" s="46">
        <v>0</v>
      </c>
      <c r="O171" s="46">
        <v>0</v>
      </c>
      <c r="P171" s="46">
        <v>0</v>
      </c>
      <c r="Q171" s="46">
        <v>0</v>
      </c>
      <c r="R171" s="46">
        <v>0</v>
      </c>
      <c r="S171" s="46">
        <v>0</v>
      </c>
      <c r="T171" s="46">
        <v>0</v>
      </c>
      <c r="U171" s="46">
        <v>0</v>
      </c>
      <c r="V171" s="46">
        <v>0</v>
      </c>
      <c r="W171" s="46">
        <v>0</v>
      </c>
      <c r="X171" s="47">
        <f t="shared" si="18"/>
        <v>0</v>
      </c>
      <c r="Y171" s="46">
        <v>0</v>
      </c>
      <c r="Z171" s="46">
        <v>0</v>
      </c>
      <c r="AA171" s="46">
        <v>0</v>
      </c>
      <c r="AB171" s="46">
        <v>0</v>
      </c>
      <c r="AC171" s="46">
        <v>0</v>
      </c>
      <c r="AD171" s="46">
        <v>0</v>
      </c>
      <c r="AE171" s="46">
        <v>0</v>
      </c>
      <c r="AF171" s="46">
        <v>0</v>
      </c>
      <c r="AG171" s="46">
        <v>0</v>
      </c>
      <c r="AH171" s="46">
        <v>0</v>
      </c>
      <c r="AI171" s="46">
        <v>0</v>
      </c>
      <c r="AJ171" s="46">
        <v>0</v>
      </c>
      <c r="AK171" s="47">
        <f t="shared" si="19"/>
        <v>0</v>
      </c>
      <c r="AL171" s="46">
        <v>0</v>
      </c>
      <c r="AM171" s="46">
        <v>0</v>
      </c>
      <c r="AN171" s="46">
        <v>0</v>
      </c>
      <c r="AO171" s="46">
        <v>0</v>
      </c>
      <c r="AP171" s="46">
        <v>0</v>
      </c>
      <c r="AQ171" s="46">
        <v>0</v>
      </c>
      <c r="AR171" s="46">
        <v>0</v>
      </c>
      <c r="AS171" s="46">
        <v>0</v>
      </c>
      <c r="AT171" s="46">
        <v>0</v>
      </c>
      <c r="AU171" s="46">
        <v>0</v>
      </c>
      <c r="AV171" s="46">
        <v>0</v>
      </c>
      <c r="AW171" s="46">
        <v>0</v>
      </c>
      <c r="AX171" s="47">
        <f t="shared" si="20"/>
        <v>0</v>
      </c>
      <c r="AY171" s="319">
        <f>SUMIF(Recibos!$D$4:$D$3010,Cobranza!$B171,Recibos!K$4:K$3010)</f>
        <v>0</v>
      </c>
      <c r="AZ171" s="319">
        <f>SUMIF(Recibos!$D$4:$D$3010,Cobranza!$B171,Recibos!L$4:L$3010)</f>
        <v>0</v>
      </c>
      <c r="BA171" s="319">
        <f>SUMIF(Recibos!$D$4:$D$3010,Cobranza!$B171,Recibos!M$4:M$3010)</f>
        <v>0</v>
      </c>
      <c r="BB171" s="319">
        <f>SUMIF(Recibos!$D$4:$D$3010,Cobranza!$B171,Recibos!N$4:N$3010)</f>
        <v>0</v>
      </c>
      <c r="BC171" s="319">
        <f>SUMIF(Recibos!$D$4:$D$3010,Cobranza!$B171,Recibos!O$4:O$3010)</f>
        <v>0</v>
      </c>
      <c r="BD171" s="319">
        <f>SUMIF(Recibos!$D$4:$D$3010,Cobranza!$B171,Recibos!P$4:P$3010)</f>
        <v>0</v>
      </c>
      <c r="BE171" s="319">
        <f>SUMIF(Recibos!$D$4:$D$3010,Cobranza!$B171,Recibos!Q$4:Q$3010)</f>
        <v>0</v>
      </c>
      <c r="BF171" s="319">
        <f>SUMIF(Recibos!$D$4:$D$3010,Cobranza!$B171,Recibos!R$4:R$3010)</f>
        <v>300</v>
      </c>
      <c r="BG171" s="319">
        <f>SUMIF(Recibos!$D$4:$D$3010,Cobranza!$B171,Recibos!S$4:S$3010)</f>
        <v>300</v>
      </c>
      <c r="BH171" s="319">
        <f>SUMIF(Recibos!$D$4:$D$3010,Cobranza!$B171,Recibos!T$4:T$3010)</f>
        <v>300</v>
      </c>
      <c r="BI171" s="319">
        <f>SUMIF(Recibos!$D$4:$D$3010,Cobranza!$B171,Recibos!U$4:U$3010)</f>
        <v>0</v>
      </c>
      <c r="BJ171" s="319">
        <f>SUMIF(Recibos!$D$4:$D$3010,Cobranza!$B171,Recibos!V$4:V$3010)</f>
        <v>0</v>
      </c>
      <c r="BK171" s="320">
        <f t="shared" si="21"/>
        <v>900</v>
      </c>
      <c r="BL171" s="319">
        <f>SUMIF(Recibos!$D$4:$D$3010,Cobranza!$B171,Recibos!X$4:X$3010)</f>
        <v>0</v>
      </c>
      <c r="BM171" s="319">
        <f>SUMIF(Recibos!$D$4:$D$3010,Cobranza!$B171,Recibos!Y$4:Y$3010)</f>
        <v>0</v>
      </c>
      <c r="BN171" s="319">
        <f>SUMIF(Recibos!$D$4:$D$3010,Cobranza!$B171,Recibos!Z$4:Z$3010)</f>
        <v>0</v>
      </c>
      <c r="BO171" s="319">
        <f>SUMIF(Recibos!$D$4:$D$3010,Cobranza!$B171,Recibos!AA$4:AA$3010)</f>
        <v>0</v>
      </c>
      <c r="BP171" s="319">
        <f>SUMIF(Recibos!$D$4:$D$3010,Cobranza!$B171,Recibos!AB$4:AB$3010)</f>
        <v>0</v>
      </c>
      <c r="BQ171" s="319">
        <f>SUMIF(Recibos!$D$4:$D$3010,Cobranza!$B171,Recibos!AC$4:AC$3010)</f>
        <v>0</v>
      </c>
      <c r="BR171" s="319">
        <f>SUMIF(Recibos!$D$4:$D$3010,Cobranza!$B171,Recibos!AD$4:AD$3010)</f>
        <v>0</v>
      </c>
      <c r="BS171" s="319">
        <f>SUMIF(Recibos!$D$4:$D$3010,Cobranza!$B171,Recibos!AE$4:AE$3010)</f>
        <v>0</v>
      </c>
      <c r="BT171" s="319">
        <f>SUMIF(Recibos!$D$4:$D$3010,Cobranza!$B171,Recibos!AF$4:AF$3010)</f>
        <v>0</v>
      </c>
      <c r="BU171" s="319">
        <f>SUMIF(Recibos!$D$4:$D$3010,Cobranza!$B171,Recibos!AG$4:AG$3010)</f>
        <v>0</v>
      </c>
      <c r="BV171" s="319">
        <f>SUMIF(Recibos!$D$4:$D$3010,Cobranza!$B171,Recibos!AH$4:AH$3010)</f>
        <v>0</v>
      </c>
      <c r="BW171" s="319">
        <f>SUMIF(Recibos!$D$4:$D$3010,Cobranza!$B171,Recibos!AI$4:AI$3010)</f>
        <v>0</v>
      </c>
      <c r="BX171" s="320">
        <f t="shared" si="22"/>
        <v>0</v>
      </c>
    </row>
    <row r="172" spans="2:76" x14ac:dyDescent="0.2">
      <c r="B172" s="42" t="s">
        <v>846</v>
      </c>
      <c r="C172" s="42" t="s">
        <v>847</v>
      </c>
      <c r="D172" s="42" t="s">
        <v>848</v>
      </c>
      <c r="E172" s="43">
        <v>0</v>
      </c>
      <c r="F172" s="43">
        <v>0</v>
      </c>
      <c r="G172" s="43">
        <v>0</v>
      </c>
      <c r="H172" s="43">
        <v>0</v>
      </c>
      <c r="I172" s="43">
        <v>0</v>
      </c>
      <c r="J172" s="43">
        <v>300</v>
      </c>
      <c r="K172" s="44">
        <f t="shared" si="17"/>
        <v>300</v>
      </c>
      <c r="L172" s="43">
        <v>300</v>
      </c>
      <c r="M172" s="43">
        <v>300</v>
      </c>
      <c r="N172" s="43">
        <v>300</v>
      </c>
      <c r="O172" s="43">
        <v>300</v>
      </c>
      <c r="P172" s="43">
        <v>300</v>
      </c>
      <c r="Q172" s="43">
        <v>300</v>
      </c>
      <c r="R172" s="43">
        <v>300</v>
      </c>
      <c r="S172" s="43">
        <v>300</v>
      </c>
      <c r="T172" s="43">
        <v>300</v>
      </c>
      <c r="U172" s="43">
        <v>400</v>
      </c>
      <c r="V172" s="43">
        <v>400</v>
      </c>
      <c r="W172" s="43">
        <v>400</v>
      </c>
      <c r="X172" s="44">
        <f t="shared" si="18"/>
        <v>3900</v>
      </c>
      <c r="Y172" s="43">
        <v>400</v>
      </c>
      <c r="Z172" s="43">
        <v>400</v>
      </c>
      <c r="AA172" s="43">
        <v>0</v>
      </c>
      <c r="AB172" s="43">
        <v>0</v>
      </c>
      <c r="AC172" s="43">
        <v>400</v>
      </c>
      <c r="AD172" s="43">
        <v>400</v>
      </c>
      <c r="AE172" s="43">
        <v>400</v>
      </c>
      <c r="AF172" s="43">
        <v>400</v>
      </c>
      <c r="AG172" s="43">
        <v>400</v>
      </c>
      <c r="AH172" s="43">
        <v>400</v>
      </c>
      <c r="AI172" s="43">
        <v>400</v>
      </c>
      <c r="AJ172" s="43">
        <v>400</v>
      </c>
      <c r="AK172" s="44">
        <f t="shared" si="19"/>
        <v>4000</v>
      </c>
      <c r="AL172" s="43">
        <v>400</v>
      </c>
      <c r="AM172" s="43">
        <v>400</v>
      </c>
      <c r="AN172" s="43">
        <v>400</v>
      </c>
      <c r="AO172" s="43">
        <v>400</v>
      </c>
      <c r="AP172" s="43">
        <v>400</v>
      </c>
      <c r="AQ172" s="43">
        <v>400</v>
      </c>
      <c r="AR172" s="43">
        <v>400</v>
      </c>
      <c r="AS172" s="43">
        <v>400</v>
      </c>
      <c r="AT172" s="43">
        <v>400</v>
      </c>
      <c r="AU172" s="43">
        <v>400</v>
      </c>
      <c r="AV172" s="43">
        <v>400</v>
      </c>
      <c r="AW172" s="43">
        <v>400</v>
      </c>
      <c r="AX172" s="44">
        <f t="shared" si="20"/>
        <v>4800</v>
      </c>
      <c r="AY172" s="317">
        <f>SUMIF(Recibos!$D$4:$D$3010,Cobranza!$B172,Recibos!K$4:K$3010)</f>
        <v>400</v>
      </c>
      <c r="AZ172" s="317">
        <f>SUMIF(Recibos!$D$4:$D$3010,Cobranza!$B172,Recibos!L$4:L$3010)</f>
        <v>400</v>
      </c>
      <c r="BA172" s="317">
        <f>SUMIF(Recibos!$D$4:$D$3010,Cobranza!$B172,Recibos!M$4:M$3010)</f>
        <v>400</v>
      </c>
      <c r="BB172" s="317">
        <f>SUMIF(Recibos!$D$4:$D$3010,Cobranza!$B172,Recibos!N$4:N$3010)</f>
        <v>400</v>
      </c>
      <c r="BC172" s="317">
        <f>SUMIF(Recibos!$D$4:$D$3010,Cobranza!$B172,Recibos!O$4:O$3010)</f>
        <v>400</v>
      </c>
      <c r="BD172" s="317">
        <f>SUMIF(Recibos!$D$4:$D$3010,Cobranza!$B172,Recibos!P$4:P$3010)</f>
        <v>400</v>
      </c>
      <c r="BE172" s="317">
        <f>SUMIF(Recibos!$D$4:$D$3010,Cobranza!$B172,Recibos!Q$4:Q$3010)</f>
        <v>400</v>
      </c>
      <c r="BF172" s="317">
        <f>SUMIF(Recibos!$D$4:$D$3010,Cobranza!$B172,Recibos!R$4:R$3010)</f>
        <v>400</v>
      </c>
      <c r="BG172" s="317">
        <f>SUMIF(Recibos!$D$4:$D$3010,Cobranza!$B172,Recibos!S$4:S$3010)</f>
        <v>400</v>
      </c>
      <c r="BH172" s="317">
        <f>SUMIF(Recibos!$D$4:$D$3010,Cobranza!$B172,Recibos!T$4:T$3010)</f>
        <v>400</v>
      </c>
      <c r="BI172" s="317">
        <f>SUMIF(Recibos!$D$4:$D$3010,Cobranza!$B172,Recibos!U$4:U$3010)</f>
        <v>0</v>
      </c>
      <c r="BJ172" s="317">
        <f>SUMIF(Recibos!$D$4:$D$3010,Cobranza!$B172,Recibos!V$4:V$3010)</f>
        <v>0</v>
      </c>
      <c r="BK172" s="318">
        <f t="shared" si="21"/>
        <v>4000</v>
      </c>
      <c r="BL172" s="317">
        <f>SUMIF(Recibos!$D$4:$D$3010,Cobranza!$B172,Recibos!X$4:X$3010)</f>
        <v>0</v>
      </c>
      <c r="BM172" s="317">
        <f>SUMIF(Recibos!$D$4:$D$3010,Cobranza!$B172,Recibos!Y$4:Y$3010)</f>
        <v>0</v>
      </c>
      <c r="BN172" s="317">
        <f>SUMIF(Recibos!$D$4:$D$3010,Cobranza!$B172,Recibos!Z$4:Z$3010)</f>
        <v>0</v>
      </c>
      <c r="BO172" s="317">
        <f>SUMIF(Recibos!$D$4:$D$3010,Cobranza!$B172,Recibos!AA$4:AA$3010)</f>
        <v>0</v>
      </c>
      <c r="BP172" s="317">
        <f>SUMIF(Recibos!$D$4:$D$3010,Cobranza!$B172,Recibos!AB$4:AB$3010)</f>
        <v>0</v>
      </c>
      <c r="BQ172" s="317">
        <f>SUMIF(Recibos!$D$4:$D$3010,Cobranza!$B172,Recibos!AC$4:AC$3010)</f>
        <v>0</v>
      </c>
      <c r="BR172" s="317">
        <f>SUMIF(Recibos!$D$4:$D$3010,Cobranza!$B172,Recibos!AD$4:AD$3010)</f>
        <v>0</v>
      </c>
      <c r="BS172" s="317">
        <f>SUMIF(Recibos!$D$4:$D$3010,Cobranza!$B172,Recibos!AE$4:AE$3010)</f>
        <v>0</v>
      </c>
      <c r="BT172" s="317">
        <f>SUMIF(Recibos!$D$4:$D$3010,Cobranza!$B172,Recibos!AF$4:AF$3010)</f>
        <v>0</v>
      </c>
      <c r="BU172" s="317">
        <f>SUMIF(Recibos!$D$4:$D$3010,Cobranza!$B172,Recibos!AG$4:AG$3010)</f>
        <v>0</v>
      </c>
      <c r="BV172" s="317">
        <f>SUMIF(Recibos!$D$4:$D$3010,Cobranza!$B172,Recibos!AH$4:AH$3010)</f>
        <v>0</v>
      </c>
      <c r="BW172" s="317">
        <f>SUMIF(Recibos!$D$4:$D$3010,Cobranza!$B172,Recibos!AI$4:AI$3010)</f>
        <v>0</v>
      </c>
      <c r="BX172" s="318">
        <f t="shared" si="22"/>
        <v>0</v>
      </c>
    </row>
    <row r="173" spans="2:76" x14ac:dyDescent="0.2">
      <c r="B173" s="45" t="s">
        <v>1344</v>
      </c>
      <c r="C173" s="45" t="s">
        <v>1345</v>
      </c>
      <c r="D173" s="45" t="s">
        <v>1346</v>
      </c>
      <c r="E173" s="46">
        <v>0</v>
      </c>
      <c r="F173" s="46">
        <v>0</v>
      </c>
      <c r="G173" s="46">
        <v>0</v>
      </c>
      <c r="H173" s="46">
        <v>0</v>
      </c>
      <c r="I173" s="46">
        <v>0</v>
      </c>
      <c r="J173" s="46">
        <v>0</v>
      </c>
      <c r="K173" s="47">
        <f t="shared" si="17"/>
        <v>0</v>
      </c>
      <c r="L173" s="46">
        <v>0</v>
      </c>
      <c r="M173" s="46">
        <v>0</v>
      </c>
      <c r="N173" s="46">
        <v>0</v>
      </c>
      <c r="O173" s="46">
        <v>0</v>
      </c>
      <c r="P173" s="46">
        <v>0</v>
      </c>
      <c r="Q173" s="46">
        <v>0</v>
      </c>
      <c r="R173" s="46">
        <v>0</v>
      </c>
      <c r="S173" s="46">
        <v>0</v>
      </c>
      <c r="T173" s="46">
        <v>0</v>
      </c>
      <c r="U173" s="46">
        <v>0</v>
      </c>
      <c r="V173" s="46">
        <v>0</v>
      </c>
      <c r="W173" s="46">
        <v>0</v>
      </c>
      <c r="X173" s="47">
        <f t="shared" si="18"/>
        <v>0</v>
      </c>
      <c r="Y173" s="46">
        <v>0</v>
      </c>
      <c r="Z173" s="46">
        <v>0</v>
      </c>
      <c r="AA173" s="46">
        <v>0</v>
      </c>
      <c r="AB173" s="46">
        <v>0</v>
      </c>
      <c r="AC173" s="46">
        <v>0</v>
      </c>
      <c r="AD173" s="46">
        <v>0</v>
      </c>
      <c r="AE173" s="46">
        <v>0</v>
      </c>
      <c r="AF173" s="46">
        <v>0</v>
      </c>
      <c r="AG173" s="46">
        <v>0</v>
      </c>
      <c r="AH173" s="46">
        <v>0</v>
      </c>
      <c r="AI173" s="46">
        <v>0</v>
      </c>
      <c r="AJ173" s="46">
        <v>0</v>
      </c>
      <c r="AK173" s="47">
        <f t="shared" si="19"/>
        <v>0</v>
      </c>
      <c r="AL173" s="46">
        <v>0</v>
      </c>
      <c r="AM173" s="46">
        <v>0</v>
      </c>
      <c r="AN173" s="46">
        <v>0</v>
      </c>
      <c r="AO173" s="46">
        <v>0</v>
      </c>
      <c r="AP173" s="46">
        <v>0</v>
      </c>
      <c r="AQ173" s="46">
        <v>0</v>
      </c>
      <c r="AR173" s="46">
        <v>0</v>
      </c>
      <c r="AS173" s="46">
        <v>0</v>
      </c>
      <c r="AT173" s="46">
        <v>0</v>
      </c>
      <c r="AU173" s="46">
        <v>0</v>
      </c>
      <c r="AV173" s="46">
        <v>0</v>
      </c>
      <c r="AW173" s="46">
        <v>0</v>
      </c>
      <c r="AX173" s="47">
        <f t="shared" si="20"/>
        <v>0</v>
      </c>
      <c r="AY173" s="319">
        <f>SUMIF(Recibos!$D$4:$D$3010,Cobranza!$B173,Recibos!K$4:K$3010)</f>
        <v>0</v>
      </c>
      <c r="AZ173" s="319">
        <f>SUMIF(Recibos!$D$4:$D$3010,Cobranza!$B173,Recibos!L$4:L$3010)</f>
        <v>0</v>
      </c>
      <c r="BA173" s="319">
        <f>SUMIF(Recibos!$D$4:$D$3010,Cobranza!$B173,Recibos!M$4:M$3010)</f>
        <v>0</v>
      </c>
      <c r="BB173" s="319">
        <f>SUMIF(Recibos!$D$4:$D$3010,Cobranza!$B173,Recibos!N$4:N$3010)</f>
        <v>0</v>
      </c>
      <c r="BC173" s="319">
        <f>SUMIF(Recibos!$D$4:$D$3010,Cobranza!$B173,Recibos!O$4:O$3010)</f>
        <v>0</v>
      </c>
      <c r="BD173" s="319">
        <f>SUMIF(Recibos!$D$4:$D$3010,Cobranza!$B173,Recibos!P$4:P$3010)</f>
        <v>0</v>
      </c>
      <c r="BE173" s="319">
        <f>SUMIF(Recibos!$D$4:$D$3010,Cobranza!$B173,Recibos!Q$4:Q$3010)</f>
        <v>0</v>
      </c>
      <c r="BF173" s="319">
        <f>SUMIF(Recibos!$D$4:$D$3010,Cobranza!$B173,Recibos!R$4:R$3010)</f>
        <v>0</v>
      </c>
      <c r="BG173" s="319">
        <f>SUMIF(Recibos!$D$4:$D$3010,Cobranza!$B173,Recibos!S$4:S$3010)</f>
        <v>0</v>
      </c>
      <c r="BH173" s="319">
        <f>SUMIF(Recibos!$D$4:$D$3010,Cobranza!$B173,Recibos!T$4:T$3010)</f>
        <v>0</v>
      </c>
      <c r="BI173" s="319">
        <f>SUMIF(Recibos!$D$4:$D$3010,Cobranza!$B173,Recibos!U$4:U$3010)</f>
        <v>0</v>
      </c>
      <c r="BJ173" s="319">
        <f>SUMIF(Recibos!$D$4:$D$3010,Cobranza!$B173,Recibos!V$4:V$3010)</f>
        <v>0</v>
      </c>
      <c r="BK173" s="320">
        <f t="shared" si="21"/>
        <v>0</v>
      </c>
      <c r="BL173" s="319">
        <f>SUMIF(Recibos!$D$4:$D$3010,Cobranza!$B173,Recibos!X$4:X$3010)</f>
        <v>0</v>
      </c>
      <c r="BM173" s="319">
        <f>SUMIF(Recibos!$D$4:$D$3010,Cobranza!$B173,Recibos!Y$4:Y$3010)</f>
        <v>0</v>
      </c>
      <c r="BN173" s="319">
        <f>SUMIF(Recibos!$D$4:$D$3010,Cobranza!$B173,Recibos!Z$4:Z$3010)</f>
        <v>0</v>
      </c>
      <c r="BO173" s="319">
        <f>SUMIF(Recibos!$D$4:$D$3010,Cobranza!$B173,Recibos!AA$4:AA$3010)</f>
        <v>0</v>
      </c>
      <c r="BP173" s="319">
        <f>SUMIF(Recibos!$D$4:$D$3010,Cobranza!$B173,Recibos!AB$4:AB$3010)</f>
        <v>0</v>
      </c>
      <c r="BQ173" s="319">
        <f>SUMIF(Recibos!$D$4:$D$3010,Cobranza!$B173,Recibos!AC$4:AC$3010)</f>
        <v>0</v>
      </c>
      <c r="BR173" s="319">
        <f>SUMIF(Recibos!$D$4:$D$3010,Cobranza!$B173,Recibos!AD$4:AD$3010)</f>
        <v>0</v>
      </c>
      <c r="BS173" s="319">
        <f>SUMIF(Recibos!$D$4:$D$3010,Cobranza!$B173,Recibos!AE$4:AE$3010)</f>
        <v>0</v>
      </c>
      <c r="BT173" s="319">
        <f>SUMIF(Recibos!$D$4:$D$3010,Cobranza!$B173,Recibos!AF$4:AF$3010)</f>
        <v>0</v>
      </c>
      <c r="BU173" s="319">
        <f>SUMIF(Recibos!$D$4:$D$3010,Cobranza!$B173,Recibos!AG$4:AG$3010)</f>
        <v>0</v>
      </c>
      <c r="BV173" s="319">
        <f>SUMIF(Recibos!$D$4:$D$3010,Cobranza!$B173,Recibos!AH$4:AH$3010)</f>
        <v>0</v>
      </c>
      <c r="BW173" s="319">
        <f>SUMIF(Recibos!$D$4:$D$3010,Cobranza!$B173,Recibos!AI$4:AI$3010)</f>
        <v>0</v>
      </c>
      <c r="BX173" s="320">
        <f t="shared" si="22"/>
        <v>0</v>
      </c>
    </row>
    <row r="174" spans="2:76" x14ac:dyDescent="0.2">
      <c r="B174" s="42" t="s">
        <v>407</v>
      </c>
      <c r="C174" s="42" t="s">
        <v>408</v>
      </c>
      <c r="D174" s="42" t="s">
        <v>409</v>
      </c>
      <c r="E174" s="43">
        <v>0</v>
      </c>
      <c r="F174" s="43">
        <v>0</v>
      </c>
      <c r="G174" s="43">
        <v>0</v>
      </c>
      <c r="H174" s="43">
        <v>0</v>
      </c>
      <c r="I174" s="43">
        <v>300</v>
      </c>
      <c r="J174" s="43">
        <v>300</v>
      </c>
      <c r="K174" s="44">
        <f t="shared" si="17"/>
        <v>600</v>
      </c>
      <c r="L174" s="43">
        <v>300</v>
      </c>
      <c r="M174" s="43">
        <v>300</v>
      </c>
      <c r="N174" s="43">
        <v>300</v>
      </c>
      <c r="O174" s="43">
        <v>300</v>
      </c>
      <c r="P174" s="43">
        <v>300</v>
      </c>
      <c r="Q174" s="43">
        <v>300</v>
      </c>
      <c r="R174" s="43">
        <v>300</v>
      </c>
      <c r="S174" s="43">
        <v>300</v>
      </c>
      <c r="T174" s="43">
        <v>300</v>
      </c>
      <c r="U174" s="43">
        <v>400</v>
      </c>
      <c r="V174" s="43">
        <v>400</v>
      </c>
      <c r="W174" s="43">
        <v>400</v>
      </c>
      <c r="X174" s="44">
        <f t="shared" si="18"/>
        <v>3900</v>
      </c>
      <c r="Y174" s="43">
        <v>400</v>
      </c>
      <c r="Z174" s="43">
        <v>400</v>
      </c>
      <c r="AA174" s="43">
        <v>400</v>
      </c>
      <c r="AB174" s="43">
        <v>400</v>
      </c>
      <c r="AC174" s="43">
        <v>400</v>
      </c>
      <c r="AD174" s="43">
        <v>400</v>
      </c>
      <c r="AE174" s="43">
        <v>400</v>
      </c>
      <c r="AF174" s="43">
        <v>400</v>
      </c>
      <c r="AG174" s="43">
        <v>400</v>
      </c>
      <c r="AH174" s="43">
        <v>400</v>
      </c>
      <c r="AI174" s="43">
        <v>400</v>
      </c>
      <c r="AJ174" s="43">
        <v>400</v>
      </c>
      <c r="AK174" s="44">
        <f t="shared" si="19"/>
        <v>4800</v>
      </c>
      <c r="AL174" s="43">
        <v>400</v>
      </c>
      <c r="AM174" s="43">
        <v>400</v>
      </c>
      <c r="AN174" s="43">
        <v>400</v>
      </c>
      <c r="AO174" s="43">
        <v>400</v>
      </c>
      <c r="AP174" s="43">
        <v>400</v>
      </c>
      <c r="AQ174" s="43">
        <v>400</v>
      </c>
      <c r="AR174" s="43">
        <v>400</v>
      </c>
      <c r="AS174" s="43">
        <v>400</v>
      </c>
      <c r="AT174" s="43">
        <v>400</v>
      </c>
      <c r="AU174" s="43">
        <v>400</v>
      </c>
      <c r="AV174" s="43">
        <v>400</v>
      </c>
      <c r="AW174" s="43">
        <v>400</v>
      </c>
      <c r="AX174" s="44">
        <f t="shared" si="20"/>
        <v>4800</v>
      </c>
      <c r="AY174" s="317">
        <f>SUMIF(Recibos!$D$4:$D$3010,Cobranza!$B174,Recibos!K$4:K$3010)</f>
        <v>400</v>
      </c>
      <c r="AZ174" s="317">
        <f>SUMIF(Recibos!$D$4:$D$3010,Cobranza!$B174,Recibos!L$4:L$3010)</f>
        <v>400</v>
      </c>
      <c r="BA174" s="317">
        <f>SUMIF(Recibos!$D$4:$D$3010,Cobranza!$B174,Recibos!M$4:M$3010)</f>
        <v>400</v>
      </c>
      <c r="BB174" s="317">
        <f>SUMIF(Recibos!$D$4:$D$3010,Cobranza!$B174,Recibos!N$4:N$3010)</f>
        <v>400</v>
      </c>
      <c r="BC174" s="317">
        <f>SUMIF(Recibos!$D$4:$D$3010,Cobranza!$B174,Recibos!O$4:O$3010)</f>
        <v>400</v>
      </c>
      <c r="BD174" s="317">
        <f>SUMIF(Recibos!$D$4:$D$3010,Cobranza!$B174,Recibos!P$4:P$3010)</f>
        <v>400</v>
      </c>
      <c r="BE174" s="317">
        <f>SUMIF(Recibos!$D$4:$D$3010,Cobranza!$B174,Recibos!Q$4:Q$3010)</f>
        <v>400</v>
      </c>
      <c r="BF174" s="317">
        <f>SUMIF(Recibos!$D$4:$D$3010,Cobranza!$B174,Recibos!R$4:R$3010)</f>
        <v>400</v>
      </c>
      <c r="BG174" s="317">
        <f>SUMIF(Recibos!$D$4:$D$3010,Cobranza!$B174,Recibos!S$4:S$3010)</f>
        <v>400</v>
      </c>
      <c r="BH174" s="317">
        <f>SUMIF(Recibos!$D$4:$D$3010,Cobranza!$B174,Recibos!T$4:T$3010)</f>
        <v>400</v>
      </c>
      <c r="BI174" s="317">
        <f>SUMIF(Recibos!$D$4:$D$3010,Cobranza!$B174,Recibos!U$4:U$3010)</f>
        <v>400</v>
      </c>
      <c r="BJ174" s="317">
        <f>SUMIF(Recibos!$D$4:$D$3010,Cobranza!$B174,Recibos!V$4:V$3010)</f>
        <v>400</v>
      </c>
      <c r="BK174" s="318">
        <f t="shared" si="21"/>
        <v>4800</v>
      </c>
      <c r="BL174" s="317">
        <f>SUMIF(Recibos!$D$4:$D$3010,Cobranza!$B174,Recibos!X$4:X$3010)</f>
        <v>0</v>
      </c>
      <c r="BM174" s="317">
        <f>SUMIF(Recibos!$D$4:$D$3010,Cobranza!$B174,Recibos!Y$4:Y$3010)</f>
        <v>0</v>
      </c>
      <c r="BN174" s="317">
        <f>SUMIF(Recibos!$D$4:$D$3010,Cobranza!$B174,Recibos!Z$4:Z$3010)</f>
        <v>0</v>
      </c>
      <c r="BO174" s="317">
        <f>SUMIF(Recibos!$D$4:$D$3010,Cobranza!$B174,Recibos!AA$4:AA$3010)</f>
        <v>0</v>
      </c>
      <c r="BP174" s="317">
        <f>SUMIF(Recibos!$D$4:$D$3010,Cobranza!$B174,Recibos!AB$4:AB$3010)</f>
        <v>0</v>
      </c>
      <c r="BQ174" s="317">
        <f>SUMIF(Recibos!$D$4:$D$3010,Cobranza!$B174,Recibos!AC$4:AC$3010)</f>
        <v>0</v>
      </c>
      <c r="BR174" s="317">
        <f>SUMIF(Recibos!$D$4:$D$3010,Cobranza!$B174,Recibos!AD$4:AD$3010)</f>
        <v>0</v>
      </c>
      <c r="BS174" s="317">
        <f>SUMIF(Recibos!$D$4:$D$3010,Cobranza!$B174,Recibos!AE$4:AE$3010)</f>
        <v>0</v>
      </c>
      <c r="BT174" s="317">
        <f>SUMIF(Recibos!$D$4:$D$3010,Cobranza!$B174,Recibos!AF$4:AF$3010)</f>
        <v>0</v>
      </c>
      <c r="BU174" s="317">
        <f>SUMIF(Recibos!$D$4:$D$3010,Cobranza!$B174,Recibos!AG$4:AG$3010)</f>
        <v>0</v>
      </c>
      <c r="BV174" s="317">
        <f>SUMIF(Recibos!$D$4:$D$3010,Cobranza!$B174,Recibos!AH$4:AH$3010)</f>
        <v>0</v>
      </c>
      <c r="BW174" s="317">
        <f>SUMIF(Recibos!$D$4:$D$3010,Cobranza!$B174,Recibos!AI$4:AI$3010)</f>
        <v>0</v>
      </c>
      <c r="BX174" s="318">
        <f t="shared" si="22"/>
        <v>0</v>
      </c>
    </row>
    <row r="175" spans="2:76" x14ac:dyDescent="0.2">
      <c r="B175" s="45" t="s">
        <v>195</v>
      </c>
      <c r="C175" s="45" t="s">
        <v>196</v>
      </c>
      <c r="D175" s="45" t="s">
        <v>197</v>
      </c>
      <c r="E175" s="46">
        <v>0</v>
      </c>
      <c r="F175" s="46">
        <v>0</v>
      </c>
      <c r="G175" s="46">
        <v>0</v>
      </c>
      <c r="H175" s="46">
        <v>0</v>
      </c>
      <c r="I175" s="46">
        <v>0</v>
      </c>
      <c r="J175" s="46">
        <v>300</v>
      </c>
      <c r="K175" s="47">
        <f t="shared" si="17"/>
        <v>300</v>
      </c>
      <c r="L175" s="46">
        <v>300</v>
      </c>
      <c r="M175" s="46">
        <v>300</v>
      </c>
      <c r="N175" s="46">
        <v>300</v>
      </c>
      <c r="O175" s="46">
        <v>300</v>
      </c>
      <c r="P175" s="46">
        <v>300</v>
      </c>
      <c r="Q175" s="46">
        <v>300</v>
      </c>
      <c r="R175" s="46">
        <v>300</v>
      </c>
      <c r="S175" s="46">
        <v>300</v>
      </c>
      <c r="T175" s="46">
        <v>300</v>
      </c>
      <c r="U175" s="46">
        <v>400</v>
      </c>
      <c r="V175" s="46">
        <v>400</v>
      </c>
      <c r="W175" s="46">
        <v>400</v>
      </c>
      <c r="X175" s="47">
        <f t="shared" si="18"/>
        <v>3900</v>
      </c>
      <c r="Y175" s="46">
        <v>400</v>
      </c>
      <c r="Z175" s="46">
        <v>400</v>
      </c>
      <c r="AA175" s="46">
        <v>400</v>
      </c>
      <c r="AB175" s="46">
        <v>400</v>
      </c>
      <c r="AC175" s="46">
        <v>400</v>
      </c>
      <c r="AD175" s="46">
        <v>400</v>
      </c>
      <c r="AE175" s="46">
        <v>400</v>
      </c>
      <c r="AF175" s="46">
        <v>400</v>
      </c>
      <c r="AG175" s="46">
        <v>400</v>
      </c>
      <c r="AH175" s="46">
        <v>400</v>
      </c>
      <c r="AI175" s="46">
        <v>0</v>
      </c>
      <c r="AJ175" s="46">
        <v>0</v>
      </c>
      <c r="AK175" s="47">
        <f t="shared" si="19"/>
        <v>4000</v>
      </c>
      <c r="AL175" s="46">
        <v>400</v>
      </c>
      <c r="AM175" s="46">
        <v>400</v>
      </c>
      <c r="AN175" s="46">
        <v>400</v>
      </c>
      <c r="AO175" s="46">
        <v>400</v>
      </c>
      <c r="AP175" s="46">
        <v>400</v>
      </c>
      <c r="AQ175" s="46">
        <v>400</v>
      </c>
      <c r="AR175" s="46">
        <v>400</v>
      </c>
      <c r="AS175" s="46">
        <v>400</v>
      </c>
      <c r="AT175" s="46">
        <v>400</v>
      </c>
      <c r="AU175" s="46">
        <v>400</v>
      </c>
      <c r="AV175" s="46">
        <v>400</v>
      </c>
      <c r="AW175" s="46">
        <v>400</v>
      </c>
      <c r="AX175" s="47">
        <f t="shared" si="20"/>
        <v>4800</v>
      </c>
      <c r="AY175" s="319">
        <f>SUMIF(Recibos!$D$4:$D$3010,Cobranza!$B175,Recibos!K$4:K$3010)</f>
        <v>400</v>
      </c>
      <c r="AZ175" s="319">
        <f>SUMIF(Recibos!$D$4:$D$3010,Cobranza!$B175,Recibos!L$4:L$3010)</f>
        <v>400</v>
      </c>
      <c r="BA175" s="319">
        <f>SUMIF(Recibos!$D$4:$D$3010,Cobranza!$B175,Recibos!M$4:M$3010)</f>
        <v>400</v>
      </c>
      <c r="BB175" s="319">
        <f>SUMIF(Recibos!$D$4:$D$3010,Cobranza!$B175,Recibos!N$4:N$3010)</f>
        <v>400</v>
      </c>
      <c r="BC175" s="319">
        <f>SUMIF(Recibos!$D$4:$D$3010,Cobranza!$B175,Recibos!O$4:O$3010)</f>
        <v>400</v>
      </c>
      <c r="BD175" s="319">
        <f>SUMIF(Recibos!$D$4:$D$3010,Cobranza!$B175,Recibos!P$4:P$3010)</f>
        <v>400</v>
      </c>
      <c r="BE175" s="319">
        <f>SUMIF(Recibos!$D$4:$D$3010,Cobranza!$B175,Recibos!Q$4:Q$3010)</f>
        <v>400</v>
      </c>
      <c r="BF175" s="319">
        <f>SUMIF(Recibos!$D$4:$D$3010,Cobranza!$B175,Recibos!R$4:R$3010)</f>
        <v>400</v>
      </c>
      <c r="BG175" s="319">
        <f>SUMIF(Recibos!$D$4:$D$3010,Cobranza!$B175,Recibos!S$4:S$3010)</f>
        <v>400</v>
      </c>
      <c r="BH175" s="319">
        <f>SUMIF(Recibos!$D$4:$D$3010,Cobranza!$B175,Recibos!T$4:T$3010)</f>
        <v>400</v>
      </c>
      <c r="BI175" s="319">
        <f>SUMIF(Recibos!$D$4:$D$3010,Cobranza!$B175,Recibos!U$4:U$3010)</f>
        <v>400</v>
      </c>
      <c r="BJ175" s="319">
        <f>SUMIF(Recibos!$D$4:$D$3010,Cobranza!$B175,Recibos!V$4:V$3010)</f>
        <v>0</v>
      </c>
      <c r="BK175" s="320">
        <f t="shared" si="21"/>
        <v>4400</v>
      </c>
      <c r="BL175" s="319">
        <f>SUMIF(Recibos!$D$4:$D$3010,Cobranza!$B175,Recibos!X$4:X$3010)</f>
        <v>0</v>
      </c>
      <c r="BM175" s="319">
        <f>SUMIF(Recibos!$D$4:$D$3010,Cobranza!$B175,Recibos!Y$4:Y$3010)</f>
        <v>0</v>
      </c>
      <c r="BN175" s="319">
        <f>SUMIF(Recibos!$D$4:$D$3010,Cobranza!$B175,Recibos!Z$4:Z$3010)</f>
        <v>0</v>
      </c>
      <c r="BO175" s="319">
        <f>SUMIF(Recibos!$D$4:$D$3010,Cobranza!$B175,Recibos!AA$4:AA$3010)</f>
        <v>0</v>
      </c>
      <c r="BP175" s="319">
        <f>SUMIF(Recibos!$D$4:$D$3010,Cobranza!$B175,Recibos!AB$4:AB$3010)</f>
        <v>0</v>
      </c>
      <c r="BQ175" s="319">
        <f>SUMIF(Recibos!$D$4:$D$3010,Cobranza!$B175,Recibos!AC$4:AC$3010)</f>
        <v>0</v>
      </c>
      <c r="BR175" s="319">
        <f>SUMIF(Recibos!$D$4:$D$3010,Cobranza!$B175,Recibos!AD$4:AD$3010)</f>
        <v>0</v>
      </c>
      <c r="BS175" s="319">
        <f>SUMIF(Recibos!$D$4:$D$3010,Cobranza!$B175,Recibos!AE$4:AE$3010)</f>
        <v>0</v>
      </c>
      <c r="BT175" s="319">
        <f>SUMIF(Recibos!$D$4:$D$3010,Cobranza!$B175,Recibos!AF$4:AF$3010)</f>
        <v>0</v>
      </c>
      <c r="BU175" s="319">
        <f>SUMIF(Recibos!$D$4:$D$3010,Cobranza!$B175,Recibos!AG$4:AG$3010)</f>
        <v>0</v>
      </c>
      <c r="BV175" s="319">
        <f>SUMIF(Recibos!$D$4:$D$3010,Cobranza!$B175,Recibos!AH$4:AH$3010)</f>
        <v>0</v>
      </c>
      <c r="BW175" s="319">
        <f>SUMIF(Recibos!$D$4:$D$3010,Cobranza!$B175,Recibos!AI$4:AI$3010)</f>
        <v>0</v>
      </c>
      <c r="BX175" s="320">
        <f t="shared" si="22"/>
        <v>0</v>
      </c>
    </row>
    <row r="176" spans="2:76" x14ac:dyDescent="0.2">
      <c r="B176" s="42" t="s">
        <v>532</v>
      </c>
      <c r="C176" s="42" t="s">
        <v>533</v>
      </c>
      <c r="D176" s="42" t="s">
        <v>534</v>
      </c>
      <c r="E176" s="43">
        <v>0</v>
      </c>
      <c r="F176" s="43">
        <v>0</v>
      </c>
      <c r="G176" s="43">
        <v>0</v>
      </c>
      <c r="H176" s="43">
        <v>0</v>
      </c>
      <c r="I176" s="43">
        <v>0</v>
      </c>
      <c r="J176" s="43">
        <v>300</v>
      </c>
      <c r="K176" s="44">
        <f t="shared" si="17"/>
        <v>300</v>
      </c>
      <c r="L176" s="43">
        <v>300</v>
      </c>
      <c r="M176" s="43">
        <v>300</v>
      </c>
      <c r="N176" s="43">
        <v>300</v>
      </c>
      <c r="O176" s="43">
        <v>300</v>
      </c>
      <c r="P176" s="43">
        <v>300</v>
      </c>
      <c r="Q176" s="43">
        <v>300</v>
      </c>
      <c r="R176" s="43">
        <v>300</v>
      </c>
      <c r="S176" s="43">
        <v>300</v>
      </c>
      <c r="T176" s="43">
        <v>300</v>
      </c>
      <c r="U176" s="43">
        <v>400</v>
      </c>
      <c r="V176" s="43">
        <v>400</v>
      </c>
      <c r="W176" s="43">
        <v>400</v>
      </c>
      <c r="X176" s="44">
        <f t="shared" si="18"/>
        <v>3900</v>
      </c>
      <c r="Y176" s="43">
        <v>400</v>
      </c>
      <c r="Z176" s="43">
        <v>400</v>
      </c>
      <c r="AA176" s="43">
        <v>400</v>
      </c>
      <c r="AB176" s="43">
        <v>400</v>
      </c>
      <c r="AC176" s="43">
        <v>400</v>
      </c>
      <c r="AD176" s="43">
        <v>400</v>
      </c>
      <c r="AE176" s="43">
        <v>400</v>
      </c>
      <c r="AF176" s="43">
        <v>400</v>
      </c>
      <c r="AG176" s="43">
        <v>400</v>
      </c>
      <c r="AH176" s="43">
        <v>400</v>
      </c>
      <c r="AI176" s="43">
        <v>400</v>
      </c>
      <c r="AJ176" s="43">
        <v>400</v>
      </c>
      <c r="AK176" s="44">
        <f t="shared" si="19"/>
        <v>4800</v>
      </c>
      <c r="AL176" s="43">
        <v>400</v>
      </c>
      <c r="AM176" s="43">
        <v>400</v>
      </c>
      <c r="AN176" s="43">
        <v>400</v>
      </c>
      <c r="AO176" s="43">
        <v>400</v>
      </c>
      <c r="AP176" s="43">
        <v>400</v>
      </c>
      <c r="AQ176" s="43">
        <v>400</v>
      </c>
      <c r="AR176" s="43">
        <v>400</v>
      </c>
      <c r="AS176" s="43">
        <v>400</v>
      </c>
      <c r="AT176" s="43">
        <v>400</v>
      </c>
      <c r="AU176" s="43">
        <v>400</v>
      </c>
      <c r="AV176" s="43">
        <v>400</v>
      </c>
      <c r="AW176" s="43">
        <v>400</v>
      </c>
      <c r="AX176" s="44">
        <f t="shared" si="20"/>
        <v>4800</v>
      </c>
      <c r="AY176" s="317">
        <f>SUMIF(Recibos!$D$4:$D$3010,Cobranza!$B176,Recibos!K$4:K$3010)</f>
        <v>400</v>
      </c>
      <c r="AZ176" s="317">
        <f>SUMIF(Recibos!$D$4:$D$3010,Cobranza!$B176,Recibos!L$4:L$3010)</f>
        <v>400</v>
      </c>
      <c r="BA176" s="317">
        <f>SUMIF(Recibos!$D$4:$D$3010,Cobranza!$B176,Recibos!M$4:M$3010)</f>
        <v>400</v>
      </c>
      <c r="BB176" s="317">
        <f>SUMIF(Recibos!$D$4:$D$3010,Cobranza!$B176,Recibos!N$4:N$3010)</f>
        <v>400</v>
      </c>
      <c r="BC176" s="317">
        <f>SUMIF(Recibos!$D$4:$D$3010,Cobranza!$B176,Recibos!O$4:O$3010)</f>
        <v>400</v>
      </c>
      <c r="BD176" s="317">
        <f>SUMIF(Recibos!$D$4:$D$3010,Cobranza!$B176,Recibos!P$4:P$3010)</f>
        <v>400</v>
      </c>
      <c r="BE176" s="317">
        <f>SUMIF(Recibos!$D$4:$D$3010,Cobranza!$B176,Recibos!Q$4:Q$3010)</f>
        <v>200</v>
      </c>
      <c r="BF176" s="317">
        <f>SUMIF(Recibos!$D$4:$D$3010,Cobranza!$B176,Recibos!R$4:R$3010)</f>
        <v>200</v>
      </c>
      <c r="BG176" s="317">
        <f>SUMIF(Recibos!$D$4:$D$3010,Cobranza!$B176,Recibos!S$4:S$3010)</f>
        <v>200</v>
      </c>
      <c r="BH176" s="317">
        <f>SUMIF(Recibos!$D$4:$D$3010,Cobranza!$B176,Recibos!T$4:T$3010)</f>
        <v>200</v>
      </c>
      <c r="BI176" s="317">
        <f>SUMIF(Recibos!$D$4:$D$3010,Cobranza!$B176,Recibos!U$4:U$3010)</f>
        <v>0</v>
      </c>
      <c r="BJ176" s="317">
        <f>SUMIF(Recibos!$D$4:$D$3010,Cobranza!$B176,Recibos!V$4:V$3010)</f>
        <v>0</v>
      </c>
      <c r="BK176" s="318">
        <f t="shared" si="21"/>
        <v>3200</v>
      </c>
      <c r="BL176" s="317">
        <f>SUMIF(Recibos!$D$4:$D$3010,Cobranza!$B176,Recibos!X$4:X$3010)</f>
        <v>0</v>
      </c>
      <c r="BM176" s="317">
        <f>SUMIF(Recibos!$D$4:$D$3010,Cobranza!$B176,Recibos!Y$4:Y$3010)</f>
        <v>0</v>
      </c>
      <c r="BN176" s="317">
        <f>SUMIF(Recibos!$D$4:$D$3010,Cobranza!$B176,Recibos!Z$4:Z$3010)</f>
        <v>0</v>
      </c>
      <c r="BO176" s="317">
        <f>SUMIF(Recibos!$D$4:$D$3010,Cobranza!$B176,Recibos!AA$4:AA$3010)</f>
        <v>0</v>
      </c>
      <c r="BP176" s="317">
        <f>SUMIF(Recibos!$D$4:$D$3010,Cobranza!$B176,Recibos!AB$4:AB$3010)</f>
        <v>0</v>
      </c>
      <c r="BQ176" s="317">
        <f>SUMIF(Recibos!$D$4:$D$3010,Cobranza!$B176,Recibos!AC$4:AC$3010)</f>
        <v>0</v>
      </c>
      <c r="BR176" s="317">
        <f>SUMIF(Recibos!$D$4:$D$3010,Cobranza!$B176,Recibos!AD$4:AD$3010)</f>
        <v>0</v>
      </c>
      <c r="BS176" s="317">
        <f>SUMIF(Recibos!$D$4:$D$3010,Cobranza!$B176,Recibos!AE$4:AE$3010)</f>
        <v>0</v>
      </c>
      <c r="BT176" s="317">
        <f>SUMIF(Recibos!$D$4:$D$3010,Cobranza!$B176,Recibos!AF$4:AF$3010)</f>
        <v>0</v>
      </c>
      <c r="BU176" s="317">
        <f>SUMIF(Recibos!$D$4:$D$3010,Cobranza!$B176,Recibos!AG$4:AG$3010)</f>
        <v>0</v>
      </c>
      <c r="BV176" s="317">
        <f>SUMIF(Recibos!$D$4:$D$3010,Cobranza!$B176,Recibos!AH$4:AH$3010)</f>
        <v>0</v>
      </c>
      <c r="BW176" s="317">
        <f>SUMIF(Recibos!$D$4:$D$3010,Cobranza!$B176,Recibos!AI$4:AI$3010)</f>
        <v>0</v>
      </c>
      <c r="BX176" s="318">
        <f t="shared" si="22"/>
        <v>0</v>
      </c>
    </row>
    <row r="177" spans="2:76" x14ac:dyDescent="0.2">
      <c r="B177" s="45" t="s">
        <v>1061</v>
      </c>
      <c r="C177" s="45" t="s">
        <v>1062</v>
      </c>
      <c r="D177" s="45" t="s">
        <v>1063</v>
      </c>
      <c r="E177" s="46">
        <v>0</v>
      </c>
      <c r="F177" s="46">
        <v>0</v>
      </c>
      <c r="G177" s="46">
        <v>0</v>
      </c>
      <c r="H177" s="46">
        <v>0</v>
      </c>
      <c r="I177" s="46">
        <v>0</v>
      </c>
      <c r="J177" s="46">
        <v>0</v>
      </c>
      <c r="K177" s="47">
        <f t="shared" si="17"/>
        <v>0</v>
      </c>
      <c r="L177" s="46">
        <v>300</v>
      </c>
      <c r="M177" s="46">
        <v>300</v>
      </c>
      <c r="N177" s="46">
        <v>300</v>
      </c>
      <c r="O177" s="46">
        <v>300</v>
      </c>
      <c r="P177" s="46">
        <v>300</v>
      </c>
      <c r="Q177" s="46">
        <v>300</v>
      </c>
      <c r="R177" s="46">
        <v>300</v>
      </c>
      <c r="S177" s="46">
        <v>300</v>
      </c>
      <c r="T177" s="46">
        <v>300</v>
      </c>
      <c r="U177" s="46">
        <v>300</v>
      </c>
      <c r="V177" s="46">
        <v>300</v>
      </c>
      <c r="W177" s="46">
        <v>0</v>
      </c>
      <c r="X177" s="47">
        <f t="shared" si="18"/>
        <v>3300</v>
      </c>
      <c r="Y177" s="46">
        <v>400</v>
      </c>
      <c r="Z177" s="46">
        <v>400</v>
      </c>
      <c r="AA177" s="46">
        <v>400</v>
      </c>
      <c r="AB177" s="46">
        <v>400</v>
      </c>
      <c r="AC177" s="46">
        <v>400</v>
      </c>
      <c r="AD177" s="46">
        <v>400</v>
      </c>
      <c r="AE177" s="46">
        <v>400</v>
      </c>
      <c r="AF177" s="46">
        <v>400</v>
      </c>
      <c r="AG177" s="46">
        <v>0</v>
      </c>
      <c r="AH177" s="46">
        <v>0</v>
      </c>
      <c r="AI177" s="46">
        <v>200</v>
      </c>
      <c r="AJ177" s="46">
        <v>0</v>
      </c>
      <c r="AK177" s="47">
        <f t="shared" si="19"/>
        <v>3400</v>
      </c>
      <c r="AL177" s="46">
        <v>0</v>
      </c>
      <c r="AM177" s="46">
        <v>0</v>
      </c>
      <c r="AN177" s="46">
        <v>0</v>
      </c>
      <c r="AO177" s="46">
        <v>0</v>
      </c>
      <c r="AP177" s="46">
        <v>0</v>
      </c>
      <c r="AQ177" s="46">
        <v>0</v>
      </c>
      <c r="AR177" s="46">
        <v>0</v>
      </c>
      <c r="AS177" s="46">
        <v>0</v>
      </c>
      <c r="AT177" s="46">
        <v>0</v>
      </c>
      <c r="AU177" s="46">
        <v>0</v>
      </c>
      <c r="AV177" s="46">
        <v>0</v>
      </c>
      <c r="AW177" s="46">
        <v>0</v>
      </c>
      <c r="AX177" s="47">
        <f t="shared" si="20"/>
        <v>0</v>
      </c>
      <c r="AY177" s="319">
        <f>SUMIF(Recibos!$D$4:$D$3010,Cobranza!$B177,Recibos!K$4:K$3010)</f>
        <v>0</v>
      </c>
      <c r="AZ177" s="319">
        <f>SUMIF(Recibos!$D$4:$D$3010,Cobranza!$B177,Recibos!L$4:L$3010)</f>
        <v>0</v>
      </c>
      <c r="BA177" s="319">
        <f>SUMIF(Recibos!$D$4:$D$3010,Cobranza!$B177,Recibos!M$4:M$3010)</f>
        <v>0</v>
      </c>
      <c r="BB177" s="319">
        <f>SUMIF(Recibos!$D$4:$D$3010,Cobranza!$B177,Recibos!N$4:N$3010)</f>
        <v>0</v>
      </c>
      <c r="BC177" s="319">
        <f>SUMIF(Recibos!$D$4:$D$3010,Cobranza!$B177,Recibos!O$4:O$3010)</f>
        <v>0</v>
      </c>
      <c r="BD177" s="319">
        <f>SUMIF(Recibos!$D$4:$D$3010,Cobranza!$B177,Recibos!P$4:P$3010)</f>
        <v>0</v>
      </c>
      <c r="BE177" s="319">
        <f>SUMIF(Recibos!$D$4:$D$3010,Cobranza!$B177,Recibos!Q$4:Q$3010)</f>
        <v>200</v>
      </c>
      <c r="BF177" s="319">
        <f>SUMIF(Recibos!$D$4:$D$3010,Cobranza!$B177,Recibos!R$4:R$3010)</f>
        <v>0</v>
      </c>
      <c r="BG177" s="319">
        <f>SUMIF(Recibos!$D$4:$D$3010,Cobranza!$B177,Recibos!S$4:S$3010)</f>
        <v>0</v>
      </c>
      <c r="BH177" s="319">
        <f>SUMIF(Recibos!$D$4:$D$3010,Cobranza!$B177,Recibos!T$4:T$3010)</f>
        <v>0</v>
      </c>
      <c r="BI177" s="319">
        <f>SUMIF(Recibos!$D$4:$D$3010,Cobranza!$B177,Recibos!U$4:U$3010)</f>
        <v>0</v>
      </c>
      <c r="BJ177" s="319">
        <f>SUMIF(Recibos!$D$4:$D$3010,Cobranza!$B177,Recibos!V$4:V$3010)</f>
        <v>0</v>
      </c>
      <c r="BK177" s="320">
        <f t="shared" si="21"/>
        <v>200</v>
      </c>
      <c r="BL177" s="319">
        <f>SUMIF(Recibos!$D$4:$D$3010,Cobranza!$B177,Recibos!X$4:X$3010)</f>
        <v>0</v>
      </c>
      <c r="BM177" s="319">
        <f>SUMIF(Recibos!$D$4:$D$3010,Cobranza!$B177,Recibos!Y$4:Y$3010)</f>
        <v>0</v>
      </c>
      <c r="BN177" s="319">
        <f>SUMIF(Recibos!$D$4:$D$3010,Cobranza!$B177,Recibos!Z$4:Z$3010)</f>
        <v>0</v>
      </c>
      <c r="BO177" s="319">
        <f>SUMIF(Recibos!$D$4:$D$3010,Cobranza!$B177,Recibos!AA$4:AA$3010)</f>
        <v>0</v>
      </c>
      <c r="BP177" s="319">
        <f>SUMIF(Recibos!$D$4:$D$3010,Cobranza!$B177,Recibos!AB$4:AB$3010)</f>
        <v>0</v>
      </c>
      <c r="BQ177" s="319">
        <f>SUMIF(Recibos!$D$4:$D$3010,Cobranza!$B177,Recibos!AC$4:AC$3010)</f>
        <v>0</v>
      </c>
      <c r="BR177" s="319">
        <f>SUMIF(Recibos!$D$4:$D$3010,Cobranza!$B177,Recibos!AD$4:AD$3010)</f>
        <v>0</v>
      </c>
      <c r="BS177" s="319">
        <f>SUMIF(Recibos!$D$4:$D$3010,Cobranza!$B177,Recibos!AE$4:AE$3010)</f>
        <v>0</v>
      </c>
      <c r="BT177" s="319">
        <f>SUMIF(Recibos!$D$4:$D$3010,Cobranza!$B177,Recibos!AF$4:AF$3010)</f>
        <v>0</v>
      </c>
      <c r="BU177" s="319">
        <f>SUMIF(Recibos!$D$4:$D$3010,Cobranza!$B177,Recibos!AG$4:AG$3010)</f>
        <v>0</v>
      </c>
      <c r="BV177" s="319">
        <f>SUMIF(Recibos!$D$4:$D$3010,Cobranza!$B177,Recibos!AH$4:AH$3010)</f>
        <v>0</v>
      </c>
      <c r="BW177" s="319">
        <f>SUMIF(Recibos!$D$4:$D$3010,Cobranza!$B177,Recibos!AI$4:AI$3010)</f>
        <v>0</v>
      </c>
      <c r="BX177" s="320">
        <f t="shared" si="22"/>
        <v>0</v>
      </c>
    </row>
    <row r="178" spans="2:76" x14ac:dyDescent="0.2">
      <c r="B178" s="42" t="s">
        <v>541</v>
      </c>
      <c r="C178" s="42" t="s">
        <v>542</v>
      </c>
      <c r="D178" s="42" t="s">
        <v>543</v>
      </c>
      <c r="E178" s="43">
        <v>0</v>
      </c>
      <c r="F178" s="43">
        <v>0</v>
      </c>
      <c r="G178" s="43">
        <v>0</v>
      </c>
      <c r="H178" s="43">
        <v>0</v>
      </c>
      <c r="I178" s="43">
        <v>0</v>
      </c>
      <c r="J178" s="43">
        <v>0</v>
      </c>
      <c r="K178" s="44">
        <f t="shared" si="17"/>
        <v>0</v>
      </c>
      <c r="L178" s="43">
        <v>0</v>
      </c>
      <c r="M178" s="43">
        <v>0</v>
      </c>
      <c r="N178" s="43">
        <v>0</v>
      </c>
      <c r="O178" s="43">
        <v>0</v>
      </c>
      <c r="P178" s="43">
        <v>0</v>
      </c>
      <c r="Q178" s="43">
        <v>0</v>
      </c>
      <c r="R178" s="43">
        <v>0</v>
      </c>
      <c r="S178" s="43">
        <v>0</v>
      </c>
      <c r="T178" s="43">
        <v>0</v>
      </c>
      <c r="U178" s="43">
        <v>0</v>
      </c>
      <c r="V178" s="43">
        <v>0</v>
      </c>
      <c r="W178" s="43">
        <v>0</v>
      </c>
      <c r="X178" s="44">
        <f t="shared" si="18"/>
        <v>0</v>
      </c>
      <c r="Y178" s="43">
        <v>0</v>
      </c>
      <c r="Z178" s="43">
        <v>0</v>
      </c>
      <c r="AA178" s="43">
        <v>0</v>
      </c>
      <c r="AB178" s="43">
        <v>0</v>
      </c>
      <c r="AC178" s="43">
        <v>0</v>
      </c>
      <c r="AD178" s="43">
        <v>0</v>
      </c>
      <c r="AE178" s="43">
        <v>0</v>
      </c>
      <c r="AF178" s="43">
        <v>0</v>
      </c>
      <c r="AG178" s="43">
        <v>400</v>
      </c>
      <c r="AH178" s="43">
        <v>400</v>
      </c>
      <c r="AI178" s="43">
        <v>400</v>
      </c>
      <c r="AJ178" s="43">
        <v>400</v>
      </c>
      <c r="AK178" s="44">
        <f t="shared" si="19"/>
        <v>1600</v>
      </c>
      <c r="AL178" s="43">
        <v>400</v>
      </c>
      <c r="AM178" s="43">
        <v>400</v>
      </c>
      <c r="AN178" s="43">
        <v>400</v>
      </c>
      <c r="AO178" s="43">
        <v>400</v>
      </c>
      <c r="AP178" s="43">
        <v>400</v>
      </c>
      <c r="AQ178" s="43">
        <v>400</v>
      </c>
      <c r="AR178" s="43">
        <v>400</v>
      </c>
      <c r="AS178" s="43">
        <v>400</v>
      </c>
      <c r="AT178" s="43">
        <v>400</v>
      </c>
      <c r="AU178" s="43">
        <v>400</v>
      </c>
      <c r="AV178" s="43">
        <v>400</v>
      </c>
      <c r="AW178" s="43">
        <v>400</v>
      </c>
      <c r="AX178" s="44">
        <f t="shared" si="20"/>
        <v>4800</v>
      </c>
      <c r="AY178" s="317">
        <f>SUMIF(Recibos!$D$4:$D$3010,Cobranza!$B178,Recibos!K$4:K$3010)</f>
        <v>400</v>
      </c>
      <c r="AZ178" s="317">
        <f>SUMIF(Recibos!$D$4:$D$3010,Cobranza!$B178,Recibos!L$4:L$3010)</f>
        <v>400</v>
      </c>
      <c r="BA178" s="317">
        <f>SUMIF(Recibos!$D$4:$D$3010,Cobranza!$B178,Recibos!M$4:M$3010)</f>
        <v>400</v>
      </c>
      <c r="BB178" s="317">
        <f>SUMIF(Recibos!$D$4:$D$3010,Cobranza!$B178,Recibos!N$4:N$3010)</f>
        <v>400</v>
      </c>
      <c r="BC178" s="317">
        <f>SUMIF(Recibos!$D$4:$D$3010,Cobranza!$B178,Recibos!O$4:O$3010)</f>
        <v>400</v>
      </c>
      <c r="BD178" s="317">
        <f>SUMIF(Recibos!$D$4:$D$3010,Cobranza!$B178,Recibos!P$4:P$3010)</f>
        <v>400</v>
      </c>
      <c r="BE178" s="317">
        <f>SUMIF(Recibos!$D$4:$D$3010,Cobranza!$B178,Recibos!Q$4:Q$3010)</f>
        <v>400</v>
      </c>
      <c r="BF178" s="317">
        <f>SUMIF(Recibos!$D$4:$D$3010,Cobranza!$B178,Recibos!R$4:R$3010)</f>
        <v>400</v>
      </c>
      <c r="BG178" s="317">
        <f>SUMIF(Recibos!$D$4:$D$3010,Cobranza!$B178,Recibos!S$4:S$3010)</f>
        <v>400</v>
      </c>
      <c r="BH178" s="317">
        <f>SUMIF(Recibos!$D$4:$D$3010,Cobranza!$B178,Recibos!T$4:T$3010)</f>
        <v>400</v>
      </c>
      <c r="BI178" s="317">
        <f>SUMIF(Recibos!$D$4:$D$3010,Cobranza!$B178,Recibos!U$4:U$3010)</f>
        <v>400</v>
      </c>
      <c r="BJ178" s="317">
        <f>SUMIF(Recibos!$D$4:$D$3010,Cobranza!$B178,Recibos!V$4:V$3010)</f>
        <v>400</v>
      </c>
      <c r="BK178" s="318">
        <f t="shared" si="21"/>
        <v>4800</v>
      </c>
      <c r="BL178" s="317">
        <f>SUMIF(Recibos!$D$4:$D$3010,Cobranza!$B178,Recibos!X$4:X$3010)</f>
        <v>0</v>
      </c>
      <c r="BM178" s="317">
        <f>SUMIF(Recibos!$D$4:$D$3010,Cobranza!$B178,Recibos!Y$4:Y$3010)</f>
        <v>0</v>
      </c>
      <c r="BN178" s="317">
        <f>SUMIF(Recibos!$D$4:$D$3010,Cobranza!$B178,Recibos!Z$4:Z$3010)</f>
        <v>0</v>
      </c>
      <c r="BO178" s="317">
        <f>SUMIF(Recibos!$D$4:$D$3010,Cobranza!$B178,Recibos!AA$4:AA$3010)</f>
        <v>0</v>
      </c>
      <c r="BP178" s="317">
        <f>SUMIF(Recibos!$D$4:$D$3010,Cobranza!$B178,Recibos!AB$4:AB$3010)</f>
        <v>0</v>
      </c>
      <c r="BQ178" s="317">
        <f>SUMIF(Recibos!$D$4:$D$3010,Cobranza!$B178,Recibos!AC$4:AC$3010)</f>
        <v>0</v>
      </c>
      <c r="BR178" s="317">
        <f>SUMIF(Recibos!$D$4:$D$3010,Cobranza!$B178,Recibos!AD$4:AD$3010)</f>
        <v>0</v>
      </c>
      <c r="BS178" s="317">
        <f>SUMIF(Recibos!$D$4:$D$3010,Cobranza!$B178,Recibos!AE$4:AE$3010)</f>
        <v>0</v>
      </c>
      <c r="BT178" s="317">
        <f>SUMIF(Recibos!$D$4:$D$3010,Cobranza!$B178,Recibos!AF$4:AF$3010)</f>
        <v>0</v>
      </c>
      <c r="BU178" s="317">
        <f>SUMIF(Recibos!$D$4:$D$3010,Cobranza!$B178,Recibos!AG$4:AG$3010)</f>
        <v>0</v>
      </c>
      <c r="BV178" s="317">
        <f>SUMIF(Recibos!$D$4:$D$3010,Cobranza!$B178,Recibos!AH$4:AH$3010)</f>
        <v>0</v>
      </c>
      <c r="BW178" s="317">
        <f>SUMIF(Recibos!$D$4:$D$3010,Cobranza!$B178,Recibos!AI$4:AI$3010)</f>
        <v>0</v>
      </c>
      <c r="BX178" s="318">
        <f t="shared" si="22"/>
        <v>0</v>
      </c>
    </row>
    <row r="179" spans="2:76" x14ac:dyDescent="0.2">
      <c r="B179" s="45" t="s">
        <v>1064</v>
      </c>
      <c r="C179" s="45" t="s">
        <v>1065</v>
      </c>
      <c r="D179" s="45" t="s">
        <v>1066</v>
      </c>
      <c r="E179" s="46">
        <v>0</v>
      </c>
      <c r="F179" s="46">
        <v>0</v>
      </c>
      <c r="G179" s="46">
        <v>0</v>
      </c>
      <c r="H179" s="46">
        <v>0</v>
      </c>
      <c r="I179" s="46">
        <v>0</v>
      </c>
      <c r="J179" s="46">
        <v>0</v>
      </c>
      <c r="K179" s="47">
        <f t="shared" si="17"/>
        <v>0</v>
      </c>
      <c r="L179" s="46">
        <v>0</v>
      </c>
      <c r="M179" s="46">
        <v>0</v>
      </c>
      <c r="N179" s="46">
        <v>0</v>
      </c>
      <c r="O179" s="46">
        <v>0</v>
      </c>
      <c r="P179" s="46">
        <v>0</v>
      </c>
      <c r="Q179" s="46">
        <v>0</v>
      </c>
      <c r="R179" s="46">
        <v>0</v>
      </c>
      <c r="S179" s="46">
        <v>0</v>
      </c>
      <c r="T179" s="46">
        <v>0</v>
      </c>
      <c r="U179" s="46">
        <v>0</v>
      </c>
      <c r="V179" s="46">
        <v>0</v>
      </c>
      <c r="W179" s="46">
        <v>0</v>
      </c>
      <c r="X179" s="47">
        <f t="shared" si="18"/>
        <v>0</v>
      </c>
      <c r="Y179" s="46">
        <v>0</v>
      </c>
      <c r="Z179" s="46">
        <v>0</v>
      </c>
      <c r="AA179" s="46">
        <v>0</v>
      </c>
      <c r="AB179" s="46">
        <v>0</v>
      </c>
      <c r="AC179" s="46">
        <v>0</v>
      </c>
      <c r="AD179" s="46">
        <v>0</v>
      </c>
      <c r="AE179" s="46">
        <v>0</v>
      </c>
      <c r="AF179" s="46">
        <v>0</v>
      </c>
      <c r="AG179" s="46">
        <v>0</v>
      </c>
      <c r="AH179" s="46">
        <v>0</v>
      </c>
      <c r="AI179" s="46">
        <v>0</v>
      </c>
      <c r="AJ179" s="46">
        <v>0</v>
      </c>
      <c r="AK179" s="47">
        <f t="shared" si="19"/>
        <v>0</v>
      </c>
      <c r="AL179" s="46">
        <v>0</v>
      </c>
      <c r="AM179" s="46">
        <v>200</v>
      </c>
      <c r="AN179" s="46">
        <v>0</v>
      </c>
      <c r="AO179" s="46">
        <v>0</v>
      </c>
      <c r="AP179" s="46">
        <v>0</v>
      </c>
      <c r="AQ179" s="46">
        <v>0</v>
      </c>
      <c r="AR179" s="46">
        <v>0</v>
      </c>
      <c r="AS179" s="46">
        <v>0</v>
      </c>
      <c r="AT179" s="46">
        <v>0</v>
      </c>
      <c r="AU179" s="46">
        <v>0</v>
      </c>
      <c r="AV179" s="46">
        <v>0</v>
      </c>
      <c r="AW179" s="46">
        <v>0</v>
      </c>
      <c r="AX179" s="47">
        <f t="shared" si="20"/>
        <v>200</v>
      </c>
      <c r="AY179" s="319">
        <f>SUMIF(Recibos!$D$4:$D$3010,Cobranza!$B179,Recibos!K$4:K$3010)</f>
        <v>0</v>
      </c>
      <c r="AZ179" s="319">
        <f>SUMIF(Recibos!$D$4:$D$3010,Cobranza!$B179,Recibos!L$4:L$3010)</f>
        <v>0</v>
      </c>
      <c r="BA179" s="319">
        <f>SUMIF(Recibos!$D$4:$D$3010,Cobranza!$B179,Recibos!M$4:M$3010)</f>
        <v>0</v>
      </c>
      <c r="BB179" s="319">
        <f>SUMIF(Recibos!$D$4:$D$3010,Cobranza!$B179,Recibos!N$4:N$3010)</f>
        <v>0</v>
      </c>
      <c r="BC179" s="319">
        <f>SUMIF(Recibos!$D$4:$D$3010,Cobranza!$B179,Recibos!O$4:O$3010)</f>
        <v>0</v>
      </c>
      <c r="BD179" s="319">
        <f>SUMIF(Recibos!$D$4:$D$3010,Cobranza!$B179,Recibos!P$4:P$3010)</f>
        <v>0</v>
      </c>
      <c r="BE179" s="319">
        <f>SUMIF(Recibos!$D$4:$D$3010,Cobranza!$B179,Recibos!Q$4:Q$3010)</f>
        <v>100</v>
      </c>
      <c r="BF179" s="319">
        <f>SUMIF(Recibos!$D$4:$D$3010,Cobranza!$B179,Recibos!R$4:R$3010)</f>
        <v>100</v>
      </c>
      <c r="BG179" s="319">
        <f>SUMIF(Recibos!$D$4:$D$3010,Cobranza!$B179,Recibos!S$4:S$3010)</f>
        <v>0</v>
      </c>
      <c r="BH179" s="319">
        <f>SUMIF(Recibos!$D$4:$D$3010,Cobranza!$B179,Recibos!T$4:T$3010)</f>
        <v>0</v>
      </c>
      <c r="BI179" s="319">
        <f>SUMIF(Recibos!$D$4:$D$3010,Cobranza!$B179,Recibos!U$4:U$3010)</f>
        <v>0</v>
      </c>
      <c r="BJ179" s="319">
        <f>SUMIF(Recibos!$D$4:$D$3010,Cobranza!$B179,Recibos!V$4:V$3010)</f>
        <v>0</v>
      </c>
      <c r="BK179" s="320">
        <f t="shared" si="21"/>
        <v>200</v>
      </c>
      <c r="BL179" s="319">
        <f>SUMIF(Recibos!$D$4:$D$3010,Cobranza!$B179,Recibos!X$4:X$3010)</f>
        <v>0</v>
      </c>
      <c r="BM179" s="319">
        <f>SUMIF(Recibos!$D$4:$D$3010,Cobranza!$B179,Recibos!Y$4:Y$3010)</f>
        <v>0</v>
      </c>
      <c r="BN179" s="319">
        <f>SUMIF(Recibos!$D$4:$D$3010,Cobranza!$B179,Recibos!Z$4:Z$3010)</f>
        <v>0</v>
      </c>
      <c r="BO179" s="319">
        <f>SUMIF(Recibos!$D$4:$D$3010,Cobranza!$B179,Recibos!AA$4:AA$3010)</f>
        <v>0</v>
      </c>
      <c r="BP179" s="319">
        <f>SUMIF(Recibos!$D$4:$D$3010,Cobranza!$B179,Recibos!AB$4:AB$3010)</f>
        <v>0</v>
      </c>
      <c r="BQ179" s="319">
        <f>SUMIF(Recibos!$D$4:$D$3010,Cobranza!$B179,Recibos!AC$4:AC$3010)</f>
        <v>0</v>
      </c>
      <c r="BR179" s="319">
        <f>SUMIF(Recibos!$D$4:$D$3010,Cobranza!$B179,Recibos!AD$4:AD$3010)</f>
        <v>0</v>
      </c>
      <c r="BS179" s="319">
        <f>SUMIF(Recibos!$D$4:$D$3010,Cobranza!$B179,Recibos!AE$4:AE$3010)</f>
        <v>0</v>
      </c>
      <c r="BT179" s="319">
        <f>SUMIF(Recibos!$D$4:$D$3010,Cobranza!$B179,Recibos!AF$4:AF$3010)</f>
        <v>0</v>
      </c>
      <c r="BU179" s="319">
        <f>SUMIF(Recibos!$D$4:$D$3010,Cobranza!$B179,Recibos!AG$4:AG$3010)</f>
        <v>0</v>
      </c>
      <c r="BV179" s="319">
        <f>SUMIF(Recibos!$D$4:$D$3010,Cobranza!$B179,Recibos!AH$4:AH$3010)</f>
        <v>0</v>
      </c>
      <c r="BW179" s="319">
        <f>SUMIF(Recibos!$D$4:$D$3010,Cobranza!$B179,Recibos!AI$4:AI$3010)</f>
        <v>0</v>
      </c>
      <c r="BX179" s="320">
        <f t="shared" si="22"/>
        <v>0</v>
      </c>
    </row>
    <row r="180" spans="2:76" x14ac:dyDescent="0.2">
      <c r="B180" s="42" t="s">
        <v>485</v>
      </c>
      <c r="C180" s="42" t="s">
        <v>486</v>
      </c>
      <c r="D180" s="42" t="s">
        <v>487</v>
      </c>
      <c r="E180" s="43">
        <v>0</v>
      </c>
      <c r="F180" s="43">
        <v>0</v>
      </c>
      <c r="G180" s="43">
        <v>0</v>
      </c>
      <c r="H180" s="43">
        <v>0</v>
      </c>
      <c r="I180" s="43">
        <v>0</v>
      </c>
      <c r="J180" s="43">
        <v>300</v>
      </c>
      <c r="K180" s="44">
        <f t="shared" si="17"/>
        <v>300</v>
      </c>
      <c r="L180" s="43">
        <v>300</v>
      </c>
      <c r="M180" s="43">
        <v>300</v>
      </c>
      <c r="N180" s="43">
        <v>300</v>
      </c>
      <c r="O180" s="43">
        <v>300</v>
      </c>
      <c r="P180" s="43">
        <v>300</v>
      </c>
      <c r="Q180" s="43">
        <v>300</v>
      </c>
      <c r="R180" s="43">
        <v>300</v>
      </c>
      <c r="S180" s="43">
        <v>300</v>
      </c>
      <c r="T180" s="43">
        <v>300</v>
      </c>
      <c r="U180" s="43">
        <v>400</v>
      </c>
      <c r="V180" s="43">
        <v>400</v>
      </c>
      <c r="W180" s="43">
        <v>400</v>
      </c>
      <c r="X180" s="44">
        <f t="shared" si="18"/>
        <v>3900</v>
      </c>
      <c r="Y180" s="43">
        <v>400</v>
      </c>
      <c r="Z180" s="43">
        <v>400</v>
      </c>
      <c r="AA180" s="43">
        <v>400</v>
      </c>
      <c r="AB180" s="43">
        <v>400</v>
      </c>
      <c r="AC180" s="43">
        <v>400</v>
      </c>
      <c r="AD180" s="43">
        <v>400</v>
      </c>
      <c r="AE180" s="43">
        <v>400</v>
      </c>
      <c r="AF180" s="43">
        <v>400</v>
      </c>
      <c r="AG180" s="43">
        <v>400</v>
      </c>
      <c r="AH180" s="43">
        <v>400</v>
      </c>
      <c r="AI180" s="43">
        <v>400</v>
      </c>
      <c r="AJ180" s="43">
        <v>400</v>
      </c>
      <c r="AK180" s="44">
        <f t="shared" si="19"/>
        <v>4800</v>
      </c>
      <c r="AL180" s="43">
        <v>400</v>
      </c>
      <c r="AM180" s="43">
        <v>400</v>
      </c>
      <c r="AN180" s="43">
        <v>400</v>
      </c>
      <c r="AO180" s="43">
        <v>400</v>
      </c>
      <c r="AP180" s="43">
        <v>400</v>
      </c>
      <c r="AQ180" s="43">
        <v>400</v>
      </c>
      <c r="AR180" s="43">
        <v>400</v>
      </c>
      <c r="AS180" s="43">
        <v>400</v>
      </c>
      <c r="AT180" s="43">
        <v>400</v>
      </c>
      <c r="AU180" s="43">
        <v>400</v>
      </c>
      <c r="AV180" s="43">
        <v>400</v>
      </c>
      <c r="AW180" s="43">
        <v>400</v>
      </c>
      <c r="AX180" s="44">
        <f t="shared" si="20"/>
        <v>4800</v>
      </c>
      <c r="AY180" s="317">
        <f>SUMIF(Recibos!$D$4:$D$3010,Cobranza!$B180,Recibos!K$4:K$3010)</f>
        <v>400</v>
      </c>
      <c r="AZ180" s="317">
        <f>SUMIF(Recibos!$D$4:$D$3010,Cobranza!$B180,Recibos!L$4:L$3010)</f>
        <v>400</v>
      </c>
      <c r="BA180" s="317">
        <f>SUMIF(Recibos!$D$4:$D$3010,Cobranza!$B180,Recibos!M$4:M$3010)</f>
        <v>400</v>
      </c>
      <c r="BB180" s="317">
        <f>SUMIF(Recibos!$D$4:$D$3010,Cobranza!$B180,Recibos!N$4:N$3010)</f>
        <v>400</v>
      </c>
      <c r="BC180" s="317">
        <f>SUMIF(Recibos!$D$4:$D$3010,Cobranza!$B180,Recibos!O$4:O$3010)</f>
        <v>400</v>
      </c>
      <c r="BD180" s="317">
        <f>SUMIF(Recibos!$D$4:$D$3010,Cobranza!$B180,Recibos!P$4:P$3010)</f>
        <v>400</v>
      </c>
      <c r="BE180" s="317">
        <f>SUMIF(Recibos!$D$4:$D$3010,Cobranza!$B180,Recibos!Q$4:Q$3010)</f>
        <v>400</v>
      </c>
      <c r="BF180" s="317">
        <f>SUMIF(Recibos!$D$4:$D$3010,Cobranza!$B180,Recibos!R$4:R$3010)</f>
        <v>400</v>
      </c>
      <c r="BG180" s="317">
        <f>SUMIF(Recibos!$D$4:$D$3010,Cobranza!$B180,Recibos!S$4:S$3010)</f>
        <v>400</v>
      </c>
      <c r="BH180" s="317">
        <f>SUMIF(Recibos!$D$4:$D$3010,Cobranza!$B180,Recibos!T$4:T$3010)</f>
        <v>400</v>
      </c>
      <c r="BI180" s="317">
        <f>SUMIF(Recibos!$D$4:$D$3010,Cobranza!$B180,Recibos!U$4:U$3010)</f>
        <v>400</v>
      </c>
      <c r="BJ180" s="317">
        <f>SUMIF(Recibos!$D$4:$D$3010,Cobranza!$B180,Recibos!V$4:V$3010)</f>
        <v>400</v>
      </c>
      <c r="BK180" s="318">
        <f t="shared" si="21"/>
        <v>4800</v>
      </c>
      <c r="BL180" s="317">
        <f>SUMIF(Recibos!$D$4:$D$3010,Cobranza!$B180,Recibos!X$4:X$3010)</f>
        <v>0</v>
      </c>
      <c r="BM180" s="317">
        <f>SUMIF(Recibos!$D$4:$D$3010,Cobranza!$B180,Recibos!Y$4:Y$3010)</f>
        <v>0</v>
      </c>
      <c r="BN180" s="317">
        <f>SUMIF(Recibos!$D$4:$D$3010,Cobranza!$B180,Recibos!Z$4:Z$3010)</f>
        <v>0</v>
      </c>
      <c r="BO180" s="317">
        <f>SUMIF(Recibos!$D$4:$D$3010,Cobranza!$B180,Recibos!AA$4:AA$3010)</f>
        <v>0</v>
      </c>
      <c r="BP180" s="317">
        <f>SUMIF(Recibos!$D$4:$D$3010,Cobranza!$B180,Recibos!AB$4:AB$3010)</f>
        <v>0</v>
      </c>
      <c r="BQ180" s="317">
        <f>SUMIF(Recibos!$D$4:$D$3010,Cobranza!$B180,Recibos!AC$4:AC$3010)</f>
        <v>0</v>
      </c>
      <c r="BR180" s="317">
        <f>SUMIF(Recibos!$D$4:$D$3010,Cobranza!$B180,Recibos!AD$4:AD$3010)</f>
        <v>0</v>
      </c>
      <c r="BS180" s="317">
        <f>SUMIF(Recibos!$D$4:$D$3010,Cobranza!$B180,Recibos!AE$4:AE$3010)</f>
        <v>0</v>
      </c>
      <c r="BT180" s="317">
        <f>SUMIF(Recibos!$D$4:$D$3010,Cobranza!$B180,Recibos!AF$4:AF$3010)</f>
        <v>0</v>
      </c>
      <c r="BU180" s="317">
        <f>SUMIF(Recibos!$D$4:$D$3010,Cobranza!$B180,Recibos!AG$4:AG$3010)</f>
        <v>0</v>
      </c>
      <c r="BV180" s="317">
        <f>SUMIF(Recibos!$D$4:$D$3010,Cobranza!$B180,Recibos!AH$4:AH$3010)</f>
        <v>0</v>
      </c>
      <c r="BW180" s="317">
        <f>SUMIF(Recibos!$D$4:$D$3010,Cobranza!$B180,Recibos!AI$4:AI$3010)</f>
        <v>0</v>
      </c>
      <c r="BX180" s="318">
        <f t="shared" si="22"/>
        <v>0</v>
      </c>
    </row>
    <row r="181" spans="2:76" x14ac:dyDescent="0.2">
      <c r="B181" s="45" t="s">
        <v>283</v>
      </c>
      <c r="C181" s="45" t="s">
        <v>284</v>
      </c>
      <c r="D181" s="45" t="s">
        <v>285</v>
      </c>
      <c r="E181" s="46">
        <v>0</v>
      </c>
      <c r="F181" s="46">
        <v>0</v>
      </c>
      <c r="G181" s="46">
        <v>0</v>
      </c>
      <c r="H181" s="46">
        <v>0</v>
      </c>
      <c r="I181" s="46">
        <v>200</v>
      </c>
      <c r="J181" s="46">
        <v>200</v>
      </c>
      <c r="K181" s="47">
        <f t="shared" si="17"/>
        <v>400</v>
      </c>
      <c r="L181" s="46">
        <v>200</v>
      </c>
      <c r="M181" s="46">
        <v>200</v>
      </c>
      <c r="N181" s="46">
        <v>200</v>
      </c>
      <c r="O181" s="46">
        <v>200</v>
      </c>
      <c r="P181" s="46">
        <v>200</v>
      </c>
      <c r="Q181" s="46">
        <v>200</v>
      </c>
      <c r="R181" s="46">
        <v>200</v>
      </c>
      <c r="S181" s="46">
        <v>200</v>
      </c>
      <c r="T181" s="46">
        <v>200</v>
      </c>
      <c r="U181" s="46">
        <v>0</v>
      </c>
      <c r="V181" s="46">
        <v>200</v>
      </c>
      <c r="W181" s="46">
        <v>200</v>
      </c>
      <c r="X181" s="47">
        <f t="shared" si="18"/>
        <v>2200</v>
      </c>
      <c r="Y181" s="46">
        <v>250</v>
      </c>
      <c r="Z181" s="46">
        <v>250</v>
      </c>
      <c r="AA181" s="46">
        <v>250</v>
      </c>
      <c r="AB181" s="46">
        <v>250</v>
      </c>
      <c r="AC181" s="46">
        <v>250</v>
      </c>
      <c r="AD181" s="46">
        <v>250</v>
      </c>
      <c r="AE181" s="46">
        <v>250</v>
      </c>
      <c r="AF181" s="46">
        <v>250</v>
      </c>
      <c r="AG181" s="46">
        <v>250</v>
      </c>
      <c r="AH181" s="46">
        <v>250</v>
      </c>
      <c r="AI181" s="46">
        <v>250</v>
      </c>
      <c r="AJ181" s="46">
        <v>250</v>
      </c>
      <c r="AK181" s="47">
        <f t="shared" si="19"/>
        <v>3000</v>
      </c>
      <c r="AL181" s="46">
        <v>250</v>
      </c>
      <c r="AM181" s="46">
        <v>250</v>
      </c>
      <c r="AN181" s="46">
        <v>250</v>
      </c>
      <c r="AO181" s="46">
        <v>250</v>
      </c>
      <c r="AP181" s="46">
        <v>250</v>
      </c>
      <c r="AQ181" s="46">
        <v>250</v>
      </c>
      <c r="AR181" s="46">
        <v>250</v>
      </c>
      <c r="AS181" s="46">
        <v>250</v>
      </c>
      <c r="AT181" s="46">
        <v>250</v>
      </c>
      <c r="AU181" s="46">
        <v>250</v>
      </c>
      <c r="AV181" s="46">
        <v>250</v>
      </c>
      <c r="AW181" s="46">
        <v>250</v>
      </c>
      <c r="AX181" s="47">
        <f t="shared" si="20"/>
        <v>3000</v>
      </c>
      <c r="AY181" s="319">
        <f>SUMIF(Recibos!$D$4:$D$3010,Cobranza!$B181,Recibos!K$4:K$3010)</f>
        <v>250</v>
      </c>
      <c r="AZ181" s="319">
        <f>SUMIF(Recibos!$D$4:$D$3010,Cobranza!$B181,Recibos!L$4:L$3010)</f>
        <v>250</v>
      </c>
      <c r="BA181" s="319">
        <f>SUMIF(Recibos!$D$4:$D$3010,Cobranza!$B181,Recibos!M$4:M$3010)</f>
        <v>250</v>
      </c>
      <c r="BB181" s="319">
        <f>SUMIF(Recibos!$D$4:$D$3010,Cobranza!$B181,Recibos!N$4:N$3010)</f>
        <v>250</v>
      </c>
      <c r="BC181" s="319">
        <f>SUMIF(Recibos!$D$4:$D$3010,Cobranza!$B181,Recibos!O$4:O$3010)</f>
        <v>250</v>
      </c>
      <c r="BD181" s="319">
        <f>SUMIF(Recibos!$D$4:$D$3010,Cobranza!$B181,Recibos!P$4:P$3010)</f>
        <v>250</v>
      </c>
      <c r="BE181" s="319">
        <f>SUMIF(Recibos!$D$4:$D$3010,Cobranza!$B181,Recibos!Q$4:Q$3010)</f>
        <v>250</v>
      </c>
      <c r="BF181" s="319">
        <f>SUMIF(Recibos!$D$4:$D$3010,Cobranza!$B181,Recibos!R$4:R$3010)</f>
        <v>250</v>
      </c>
      <c r="BG181" s="319">
        <f>SUMIF(Recibos!$D$4:$D$3010,Cobranza!$B181,Recibos!S$4:S$3010)</f>
        <v>250</v>
      </c>
      <c r="BH181" s="319">
        <f>SUMIF(Recibos!$D$4:$D$3010,Cobranza!$B181,Recibos!T$4:T$3010)</f>
        <v>250</v>
      </c>
      <c r="BI181" s="319">
        <f>SUMIF(Recibos!$D$4:$D$3010,Cobranza!$B181,Recibos!U$4:U$3010)</f>
        <v>250</v>
      </c>
      <c r="BJ181" s="319">
        <f>SUMIF(Recibos!$D$4:$D$3010,Cobranza!$B181,Recibos!V$4:V$3010)</f>
        <v>250</v>
      </c>
      <c r="BK181" s="320">
        <f t="shared" si="21"/>
        <v>3000</v>
      </c>
      <c r="BL181" s="319">
        <f>SUMIF(Recibos!$D$4:$D$3010,Cobranza!$B181,Recibos!X$4:X$3010)</f>
        <v>0</v>
      </c>
      <c r="BM181" s="319">
        <f>SUMIF(Recibos!$D$4:$D$3010,Cobranza!$B181,Recibos!Y$4:Y$3010)</f>
        <v>0</v>
      </c>
      <c r="BN181" s="319">
        <f>SUMIF(Recibos!$D$4:$D$3010,Cobranza!$B181,Recibos!Z$4:Z$3010)</f>
        <v>0</v>
      </c>
      <c r="BO181" s="319">
        <f>SUMIF(Recibos!$D$4:$D$3010,Cobranza!$B181,Recibos!AA$4:AA$3010)</f>
        <v>0</v>
      </c>
      <c r="BP181" s="319">
        <f>SUMIF(Recibos!$D$4:$D$3010,Cobranza!$B181,Recibos!AB$4:AB$3010)</f>
        <v>0</v>
      </c>
      <c r="BQ181" s="319">
        <f>SUMIF(Recibos!$D$4:$D$3010,Cobranza!$B181,Recibos!AC$4:AC$3010)</f>
        <v>0</v>
      </c>
      <c r="BR181" s="319">
        <f>SUMIF(Recibos!$D$4:$D$3010,Cobranza!$B181,Recibos!AD$4:AD$3010)</f>
        <v>0</v>
      </c>
      <c r="BS181" s="319">
        <f>SUMIF(Recibos!$D$4:$D$3010,Cobranza!$B181,Recibos!AE$4:AE$3010)</f>
        <v>0</v>
      </c>
      <c r="BT181" s="319">
        <f>SUMIF(Recibos!$D$4:$D$3010,Cobranza!$B181,Recibos!AF$4:AF$3010)</f>
        <v>0</v>
      </c>
      <c r="BU181" s="319">
        <f>SUMIF(Recibos!$D$4:$D$3010,Cobranza!$B181,Recibos!AG$4:AG$3010)</f>
        <v>0</v>
      </c>
      <c r="BV181" s="319">
        <f>SUMIF(Recibos!$D$4:$D$3010,Cobranza!$B181,Recibos!AH$4:AH$3010)</f>
        <v>0</v>
      </c>
      <c r="BW181" s="319">
        <f>SUMIF(Recibos!$D$4:$D$3010,Cobranza!$B181,Recibos!AI$4:AI$3010)</f>
        <v>0</v>
      </c>
      <c r="BX181" s="320">
        <f t="shared" si="22"/>
        <v>0</v>
      </c>
    </row>
    <row r="182" spans="2:76" x14ac:dyDescent="0.2">
      <c r="B182" s="42" t="s">
        <v>1200</v>
      </c>
      <c r="C182" s="42" t="s">
        <v>1201</v>
      </c>
      <c r="D182" s="42" t="s">
        <v>1202</v>
      </c>
      <c r="E182" s="43">
        <v>0</v>
      </c>
      <c r="F182" s="43">
        <v>0</v>
      </c>
      <c r="G182" s="43">
        <v>0</v>
      </c>
      <c r="H182" s="43">
        <v>0</v>
      </c>
      <c r="I182" s="43">
        <v>0</v>
      </c>
      <c r="J182" s="43">
        <v>0</v>
      </c>
      <c r="K182" s="44">
        <f t="shared" si="17"/>
        <v>0</v>
      </c>
      <c r="L182" s="43">
        <v>0</v>
      </c>
      <c r="M182" s="43">
        <v>0</v>
      </c>
      <c r="N182" s="43">
        <v>0</v>
      </c>
      <c r="O182" s="43">
        <v>0</v>
      </c>
      <c r="P182" s="43">
        <v>0</v>
      </c>
      <c r="Q182" s="43">
        <v>0</v>
      </c>
      <c r="R182" s="43">
        <v>0</v>
      </c>
      <c r="S182" s="43">
        <v>0</v>
      </c>
      <c r="T182" s="43">
        <v>0</v>
      </c>
      <c r="U182" s="43">
        <v>0</v>
      </c>
      <c r="V182" s="43">
        <v>0</v>
      </c>
      <c r="W182" s="43">
        <v>0</v>
      </c>
      <c r="X182" s="44">
        <f t="shared" si="18"/>
        <v>0</v>
      </c>
      <c r="Y182" s="43">
        <v>250</v>
      </c>
      <c r="Z182" s="43">
        <v>250</v>
      </c>
      <c r="AA182" s="43">
        <v>250</v>
      </c>
      <c r="AB182" s="43">
        <v>500</v>
      </c>
      <c r="AC182" s="43">
        <v>250</v>
      </c>
      <c r="AD182" s="43">
        <v>250</v>
      </c>
      <c r="AE182" s="43">
        <v>250</v>
      </c>
      <c r="AF182" s="43">
        <v>250</v>
      </c>
      <c r="AG182" s="43">
        <v>250</v>
      </c>
      <c r="AH182" s="43">
        <v>250</v>
      </c>
      <c r="AI182" s="43">
        <v>250</v>
      </c>
      <c r="AJ182" s="43">
        <v>250</v>
      </c>
      <c r="AK182" s="44">
        <f t="shared" si="19"/>
        <v>3250</v>
      </c>
      <c r="AL182" s="43">
        <v>250</v>
      </c>
      <c r="AM182" s="43">
        <v>250</v>
      </c>
      <c r="AN182" s="43">
        <v>250</v>
      </c>
      <c r="AO182" s="43">
        <v>0</v>
      </c>
      <c r="AP182" s="43">
        <v>0</v>
      </c>
      <c r="AQ182" s="43">
        <v>0</v>
      </c>
      <c r="AR182" s="43">
        <v>0</v>
      </c>
      <c r="AS182" s="43">
        <v>0</v>
      </c>
      <c r="AT182" s="43">
        <v>0</v>
      </c>
      <c r="AU182" s="43">
        <v>0</v>
      </c>
      <c r="AV182" s="43">
        <v>0</v>
      </c>
      <c r="AW182" s="43">
        <v>0</v>
      </c>
      <c r="AX182" s="44">
        <f t="shared" si="20"/>
        <v>750</v>
      </c>
      <c r="AY182" s="317">
        <f>SUMIF(Recibos!$D$4:$D$3010,Cobranza!$B182,Recibos!K$4:K$3010)</f>
        <v>250</v>
      </c>
      <c r="AZ182" s="317">
        <f>SUMIF(Recibos!$D$4:$D$3010,Cobranza!$B182,Recibos!L$4:L$3010)</f>
        <v>250</v>
      </c>
      <c r="BA182" s="317">
        <f>SUMIF(Recibos!$D$4:$D$3010,Cobranza!$B182,Recibos!M$4:M$3010)</f>
        <v>0</v>
      </c>
      <c r="BB182" s="317">
        <f>SUMIF(Recibos!$D$4:$D$3010,Cobranza!$B182,Recibos!N$4:N$3010)</f>
        <v>0</v>
      </c>
      <c r="BC182" s="317">
        <f>SUMIF(Recibos!$D$4:$D$3010,Cobranza!$B182,Recibos!O$4:O$3010)</f>
        <v>0</v>
      </c>
      <c r="BD182" s="317">
        <f>SUMIF(Recibos!$D$4:$D$3010,Cobranza!$B182,Recibos!P$4:P$3010)</f>
        <v>0</v>
      </c>
      <c r="BE182" s="317">
        <f>SUMIF(Recibos!$D$4:$D$3010,Cobranza!$B182,Recibos!Q$4:Q$3010)</f>
        <v>0</v>
      </c>
      <c r="BF182" s="317">
        <f>SUMIF(Recibos!$D$4:$D$3010,Cobranza!$B182,Recibos!R$4:R$3010)</f>
        <v>0</v>
      </c>
      <c r="BG182" s="317">
        <f>SUMIF(Recibos!$D$4:$D$3010,Cobranza!$B182,Recibos!S$4:S$3010)</f>
        <v>0</v>
      </c>
      <c r="BH182" s="317">
        <f>SUMIF(Recibos!$D$4:$D$3010,Cobranza!$B182,Recibos!T$4:T$3010)</f>
        <v>0</v>
      </c>
      <c r="BI182" s="317">
        <f>SUMIF(Recibos!$D$4:$D$3010,Cobranza!$B182,Recibos!U$4:U$3010)</f>
        <v>0</v>
      </c>
      <c r="BJ182" s="317">
        <f>SUMIF(Recibos!$D$4:$D$3010,Cobranza!$B182,Recibos!V$4:V$3010)</f>
        <v>0</v>
      </c>
      <c r="BK182" s="318">
        <f t="shared" si="21"/>
        <v>500</v>
      </c>
      <c r="BL182" s="317">
        <f>SUMIF(Recibos!$D$4:$D$3010,Cobranza!$B182,Recibos!X$4:X$3010)</f>
        <v>0</v>
      </c>
      <c r="BM182" s="317">
        <f>SUMIF(Recibos!$D$4:$D$3010,Cobranza!$B182,Recibos!Y$4:Y$3010)</f>
        <v>0</v>
      </c>
      <c r="BN182" s="317">
        <f>SUMIF(Recibos!$D$4:$D$3010,Cobranza!$B182,Recibos!Z$4:Z$3010)</f>
        <v>0</v>
      </c>
      <c r="BO182" s="317">
        <f>SUMIF(Recibos!$D$4:$D$3010,Cobranza!$B182,Recibos!AA$4:AA$3010)</f>
        <v>0</v>
      </c>
      <c r="BP182" s="317">
        <f>SUMIF(Recibos!$D$4:$D$3010,Cobranza!$B182,Recibos!AB$4:AB$3010)</f>
        <v>0</v>
      </c>
      <c r="BQ182" s="317">
        <f>SUMIF(Recibos!$D$4:$D$3010,Cobranza!$B182,Recibos!AC$4:AC$3010)</f>
        <v>0</v>
      </c>
      <c r="BR182" s="317">
        <f>SUMIF(Recibos!$D$4:$D$3010,Cobranza!$B182,Recibos!AD$4:AD$3010)</f>
        <v>0</v>
      </c>
      <c r="BS182" s="317">
        <f>SUMIF(Recibos!$D$4:$D$3010,Cobranza!$B182,Recibos!AE$4:AE$3010)</f>
        <v>0</v>
      </c>
      <c r="BT182" s="317">
        <f>SUMIF(Recibos!$D$4:$D$3010,Cobranza!$B182,Recibos!AF$4:AF$3010)</f>
        <v>0</v>
      </c>
      <c r="BU182" s="317">
        <f>SUMIF(Recibos!$D$4:$D$3010,Cobranza!$B182,Recibos!AG$4:AG$3010)</f>
        <v>0</v>
      </c>
      <c r="BV182" s="317">
        <f>SUMIF(Recibos!$D$4:$D$3010,Cobranza!$B182,Recibos!AH$4:AH$3010)</f>
        <v>0</v>
      </c>
      <c r="BW182" s="317">
        <f>SUMIF(Recibos!$D$4:$D$3010,Cobranza!$B182,Recibos!AI$4:AI$3010)</f>
        <v>0</v>
      </c>
      <c r="BX182" s="318">
        <f t="shared" si="22"/>
        <v>0</v>
      </c>
    </row>
    <row r="183" spans="2:76" x14ac:dyDescent="0.2">
      <c r="B183" s="45" t="s">
        <v>719</v>
      </c>
      <c r="C183" s="45" t="s">
        <v>720</v>
      </c>
      <c r="D183" s="45" t="s">
        <v>867</v>
      </c>
      <c r="E183" s="46">
        <v>0</v>
      </c>
      <c r="F183" s="46">
        <v>0</v>
      </c>
      <c r="G183" s="46">
        <v>0</v>
      </c>
      <c r="H183" s="46">
        <v>250</v>
      </c>
      <c r="I183" s="46">
        <v>250</v>
      </c>
      <c r="J183" s="46">
        <v>300</v>
      </c>
      <c r="K183" s="47">
        <f t="shared" si="17"/>
        <v>800</v>
      </c>
      <c r="L183" s="46">
        <v>300</v>
      </c>
      <c r="M183" s="46">
        <v>0</v>
      </c>
      <c r="N183" s="46">
        <v>0</v>
      </c>
      <c r="O183" s="46">
        <v>0</v>
      </c>
      <c r="P183" s="46">
        <v>0</v>
      </c>
      <c r="Q183" s="46">
        <v>0</v>
      </c>
      <c r="R183" s="46">
        <v>0</v>
      </c>
      <c r="S183" s="46">
        <v>0</v>
      </c>
      <c r="T183" s="46">
        <v>0</v>
      </c>
      <c r="U183" s="46">
        <v>0</v>
      </c>
      <c r="V183" s="46">
        <v>0</v>
      </c>
      <c r="W183" s="46">
        <v>0</v>
      </c>
      <c r="X183" s="47">
        <f t="shared" si="18"/>
        <v>300</v>
      </c>
      <c r="Y183" s="46">
        <v>400</v>
      </c>
      <c r="Z183" s="46">
        <v>400</v>
      </c>
      <c r="AA183" s="46">
        <v>400</v>
      </c>
      <c r="AB183" s="46">
        <v>400</v>
      </c>
      <c r="AC183" s="46">
        <v>400</v>
      </c>
      <c r="AD183" s="46">
        <v>400</v>
      </c>
      <c r="AE183" s="46">
        <v>400</v>
      </c>
      <c r="AF183" s="46">
        <v>400</v>
      </c>
      <c r="AG183" s="46">
        <v>400</v>
      </c>
      <c r="AH183" s="46">
        <v>400</v>
      </c>
      <c r="AI183" s="46">
        <v>400</v>
      </c>
      <c r="AJ183" s="46">
        <v>400</v>
      </c>
      <c r="AK183" s="47">
        <f t="shared" si="19"/>
        <v>4800</v>
      </c>
      <c r="AL183" s="46">
        <v>400</v>
      </c>
      <c r="AM183" s="46">
        <v>400</v>
      </c>
      <c r="AN183" s="46">
        <v>400</v>
      </c>
      <c r="AO183" s="46">
        <v>400</v>
      </c>
      <c r="AP183" s="46">
        <v>200</v>
      </c>
      <c r="AQ183" s="46">
        <v>200</v>
      </c>
      <c r="AR183" s="46">
        <v>200</v>
      </c>
      <c r="AS183" s="46">
        <v>400</v>
      </c>
      <c r="AT183" s="46">
        <v>400</v>
      </c>
      <c r="AU183" s="46">
        <v>400</v>
      </c>
      <c r="AV183" s="46">
        <v>400</v>
      </c>
      <c r="AW183" s="46">
        <v>400</v>
      </c>
      <c r="AX183" s="47">
        <f t="shared" si="20"/>
        <v>4200</v>
      </c>
      <c r="AY183" s="319">
        <f>SUMIF(Recibos!$D$4:$D$3010,Cobranza!$B183,Recibos!K$4:K$3010)</f>
        <v>400</v>
      </c>
      <c r="AZ183" s="319">
        <f>SUMIF(Recibos!$D$4:$D$3010,Cobranza!$B183,Recibos!L$4:L$3010)</f>
        <v>400</v>
      </c>
      <c r="BA183" s="319">
        <f>SUMIF(Recibos!$D$4:$D$3010,Cobranza!$B183,Recibos!M$4:M$3010)</f>
        <v>400</v>
      </c>
      <c r="BB183" s="319">
        <f>SUMIF(Recibos!$D$4:$D$3010,Cobranza!$B183,Recibos!N$4:N$3010)</f>
        <v>400</v>
      </c>
      <c r="BC183" s="319">
        <f>SUMIF(Recibos!$D$4:$D$3010,Cobranza!$B183,Recibos!O$4:O$3010)</f>
        <v>200</v>
      </c>
      <c r="BD183" s="319">
        <f>SUMIF(Recibos!$D$4:$D$3010,Cobranza!$B183,Recibos!P$4:P$3010)</f>
        <v>200</v>
      </c>
      <c r="BE183" s="319">
        <f>SUMIF(Recibos!$D$4:$D$3010,Cobranza!$B183,Recibos!Q$4:Q$3010)</f>
        <v>200</v>
      </c>
      <c r="BF183" s="319">
        <f>SUMIF(Recibos!$D$4:$D$3010,Cobranza!$B183,Recibos!R$4:R$3010)</f>
        <v>200</v>
      </c>
      <c r="BG183" s="319">
        <f>SUMIF(Recibos!$D$4:$D$3010,Cobranza!$B183,Recibos!S$4:S$3010)</f>
        <v>200</v>
      </c>
      <c r="BH183" s="319">
        <f>SUMIF(Recibos!$D$4:$D$3010,Cobranza!$B183,Recibos!T$4:T$3010)</f>
        <v>200</v>
      </c>
      <c r="BI183" s="319">
        <f>SUMIF(Recibos!$D$4:$D$3010,Cobranza!$B183,Recibos!U$4:U$3010)</f>
        <v>200</v>
      </c>
      <c r="BJ183" s="319">
        <f>SUMIF(Recibos!$D$4:$D$3010,Cobranza!$B183,Recibos!V$4:V$3010)</f>
        <v>200</v>
      </c>
      <c r="BK183" s="320">
        <f t="shared" si="21"/>
        <v>3200</v>
      </c>
      <c r="BL183" s="319">
        <f>SUMIF(Recibos!$D$4:$D$3010,Cobranza!$B183,Recibos!X$4:X$3010)</f>
        <v>0</v>
      </c>
      <c r="BM183" s="319">
        <f>SUMIF(Recibos!$D$4:$D$3010,Cobranza!$B183,Recibos!Y$4:Y$3010)</f>
        <v>0</v>
      </c>
      <c r="BN183" s="319">
        <f>SUMIF(Recibos!$D$4:$D$3010,Cobranza!$B183,Recibos!Z$4:Z$3010)</f>
        <v>0</v>
      </c>
      <c r="BO183" s="319">
        <f>SUMIF(Recibos!$D$4:$D$3010,Cobranza!$B183,Recibos!AA$4:AA$3010)</f>
        <v>0</v>
      </c>
      <c r="BP183" s="319">
        <f>SUMIF(Recibos!$D$4:$D$3010,Cobranza!$B183,Recibos!AB$4:AB$3010)</f>
        <v>0</v>
      </c>
      <c r="BQ183" s="319">
        <f>SUMIF(Recibos!$D$4:$D$3010,Cobranza!$B183,Recibos!AC$4:AC$3010)</f>
        <v>0</v>
      </c>
      <c r="BR183" s="319">
        <f>SUMIF(Recibos!$D$4:$D$3010,Cobranza!$B183,Recibos!AD$4:AD$3010)</f>
        <v>0</v>
      </c>
      <c r="BS183" s="319">
        <f>SUMIF(Recibos!$D$4:$D$3010,Cobranza!$B183,Recibos!AE$4:AE$3010)</f>
        <v>0</v>
      </c>
      <c r="BT183" s="319">
        <f>SUMIF(Recibos!$D$4:$D$3010,Cobranza!$B183,Recibos!AF$4:AF$3010)</f>
        <v>0</v>
      </c>
      <c r="BU183" s="319">
        <f>SUMIF(Recibos!$D$4:$D$3010,Cobranza!$B183,Recibos!AG$4:AG$3010)</f>
        <v>0</v>
      </c>
      <c r="BV183" s="319">
        <f>SUMIF(Recibos!$D$4:$D$3010,Cobranza!$B183,Recibos!AH$4:AH$3010)</f>
        <v>0</v>
      </c>
      <c r="BW183" s="319">
        <f>SUMIF(Recibos!$D$4:$D$3010,Cobranza!$B183,Recibos!AI$4:AI$3010)</f>
        <v>0</v>
      </c>
      <c r="BX183" s="320">
        <f t="shared" si="22"/>
        <v>0</v>
      </c>
    </row>
    <row r="184" spans="2:76" x14ac:dyDescent="0.2">
      <c r="B184" s="42" t="s">
        <v>1026</v>
      </c>
      <c r="C184" s="42" t="s">
        <v>1027</v>
      </c>
      <c r="D184" s="42" t="s">
        <v>1028</v>
      </c>
      <c r="E184" s="43">
        <v>0</v>
      </c>
      <c r="F184" s="43">
        <v>0</v>
      </c>
      <c r="G184" s="43">
        <v>0</v>
      </c>
      <c r="H184" s="43">
        <v>0</v>
      </c>
      <c r="I184" s="43">
        <v>0</v>
      </c>
      <c r="J184" s="43">
        <v>0</v>
      </c>
      <c r="K184" s="44">
        <f t="shared" si="17"/>
        <v>0</v>
      </c>
      <c r="L184" s="43">
        <v>0</v>
      </c>
      <c r="M184" s="43">
        <v>0</v>
      </c>
      <c r="N184" s="43">
        <v>0</v>
      </c>
      <c r="O184" s="43">
        <v>0</v>
      </c>
      <c r="P184" s="43">
        <v>0</v>
      </c>
      <c r="Q184" s="43">
        <v>0</v>
      </c>
      <c r="R184" s="43">
        <v>0</v>
      </c>
      <c r="S184" s="43">
        <v>0</v>
      </c>
      <c r="T184" s="43">
        <v>0</v>
      </c>
      <c r="U184" s="43">
        <v>0</v>
      </c>
      <c r="V184" s="43">
        <v>0</v>
      </c>
      <c r="W184" s="43">
        <v>0</v>
      </c>
      <c r="X184" s="44">
        <f t="shared" si="18"/>
        <v>0</v>
      </c>
      <c r="Y184" s="43">
        <v>0</v>
      </c>
      <c r="Z184" s="43">
        <v>0</v>
      </c>
      <c r="AA184" s="43">
        <v>0</v>
      </c>
      <c r="AB184" s="43">
        <v>0</v>
      </c>
      <c r="AC184" s="43">
        <v>0</v>
      </c>
      <c r="AD184" s="43">
        <v>0</v>
      </c>
      <c r="AE184" s="43">
        <v>0</v>
      </c>
      <c r="AF184" s="43">
        <v>0</v>
      </c>
      <c r="AG184" s="43">
        <v>0</v>
      </c>
      <c r="AH184" s="43">
        <v>0</v>
      </c>
      <c r="AI184" s="43">
        <v>0</v>
      </c>
      <c r="AJ184" s="43">
        <v>0</v>
      </c>
      <c r="AK184" s="44">
        <f t="shared" si="19"/>
        <v>0</v>
      </c>
      <c r="AL184" s="43">
        <v>0</v>
      </c>
      <c r="AM184" s="43">
        <v>0</v>
      </c>
      <c r="AN184" s="43">
        <v>0</v>
      </c>
      <c r="AO184" s="43">
        <v>0</v>
      </c>
      <c r="AP184" s="43">
        <v>200</v>
      </c>
      <c r="AQ184" s="43">
        <v>200</v>
      </c>
      <c r="AR184" s="43">
        <v>0</v>
      </c>
      <c r="AS184" s="43">
        <v>0</v>
      </c>
      <c r="AT184" s="43">
        <v>0</v>
      </c>
      <c r="AU184" s="43">
        <v>0</v>
      </c>
      <c r="AV184" s="43">
        <v>0</v>
      </c>
      <c r="AW184" s="43">
        <v>0</v>
      </c>
      <c r="AX184" s="44">
        <f t="shared" si="20"/>
        <v>400</v>
      </c>
      <c r="AY184" s="317">
        <f>SUMIF(Recibos!$D$4:$D$3010,Cobranza!$B184,Recibos!K$4:K$3010)</f>
        <v>0</v>
      </c>
      <c r="AZ184" s="317">
        <f>SUMIF(Recibos!$D$4:$D$3010,Cobranza!$B184,Recibos!L$4:L$3010)</f>
        <v>0</v>
      </c>
      <c r="BA184" s="317">
        <f>SUMIF(Recibos!$D$4:$D$3010,Cobranza!$B184,Recibos!M$4:M$3010)</f>
        <v>0</v>
      </c>
      <c r="BB184" s="317">
        <f>SUMIF(Recibos!$D$4:$D$3010,Cobranza!$B184,Recibos!N$4:N$3010)</f>
        <v>0</v>
      </c>
      <c r="BC184" s="317">
        <f>SUMIF(Recibos!$D$4:$D$3010,Cobranza!$B184,Recibos!O$4:O$3010)</f>
        <v>200</v>
      </c>
      <c r="BD184" s="317">
        <f>SUMIF(Recibos!$D$4:$D$3010,Cobranza!$B184,Recibos!P$4:P$3010)</f>
        <v>200</v>
      </c>
      <c r="BE184" s="317">
        <f>SUMIF(Recibos!$D$4:$D$3010,Cobranza!$B184,Recibos!Q$4:Q$3010)</f>
        <v>200</v>
      </c>
      <c r="BF184" s="317">
        <f>SUMIF(Recibos!$D$4:$D$3010,Cobranza!$B184,Recibos!R$4:R$3010)</f>
        <v>200</v>
      </c>
      <c r="BG184" s="317">
        <f>SUMIF(Recibos!$D$4:$D$3010,Cobranza!$B184,Recibos!S$4:S$3010)</f>
        <v>200</v>
      </c>
      <c r="BH184" s="317">
        <f>SUMIF(Recibos!$D$4:$D$3010,Cobranza!$B184,Recibos!T$4:T$3010)</f>
        <v>200</v>
      </c>
      <c r="BI184" s="317">
        <f>SUMIF(Recibos!$D$4:$D$3010,Cobranza!$B184,Recibos!U$4:U$3010)</f>
        <v>200</v>
      </c>
      <c r="BJ184" s="317">
        <f>SUMIF(Recibos!$D$4:$D$3010,Cobranza!$B184,Recibos!V$4:V$3010)</f>
        <v>0</v>
      </c>
      <c r="BK184" s="318">
        <f t="shared" si="21"/>
        <v>1400</v>
      </c>
      <c r="BL184" s="317">
        <f>SUMIF(Recibos!$D$4:$D$3010,Cobranza!$B184,Recibos!X$4:X$3010)</f>
        <v>0</v>
      </c>
      <c r="BM184" s="317">
        <f>SUMIF(Recibos!$D$4:$D$3010,Cobranza!$B184,Recibos!Y$4:Y$3010)</f>
        <v>0</v>
      </c>
      <c r="BN184" s="317">
        <f>SUMIF(Recibos!$D$4:$D$3010,Cobranza!$B184,Recibos!Z$4:Z$3010)</f>
        <v>0</v>
      </c>
      <c r="BO184" s="317">
        <f>SUMIF(Recibos!$D$4:$D$3010,Cobranza!$B184,Recibos!AA$4:AA$3010)</f>
        <v>0</v>
      </c>
      <c r="BP184" s="317">
        <f>SUMIF(Recibos!$D$4:$D$3010,Cobranza!$B184,Recibos!AB$4:AB$3010)</f>
        <v>0</v>
      </c>
      <c r="BQ184" s="317">
        <f>SUMIF(Recibos!$D$4:$D$3010,Cobranza!$B184,Recibos!AC$4:AC$3010)</f>
        <v>0</v>
      </c>
      <c r="BR184" s="317">
        <f>SUMIF(Recibos!$D$4:$D$3010,Cobranza!$B184,Recibos!AD$4:AD$3010)</f>
        <v>0</v>
      </c>
      <c r="BS184" s="317">
        <f>SUMIF(Recibos!$D$4:$D$3010,Cobranza!$B184,Recibos!AE$4:AE$3010)</f>
        <v>0</v>
      </c>
      <c r="BT184" s="317">
        <f>SUMIF(Recibos!$D$4:$D$3010,Cobranza!$B184,Recibos!AF$4:AF$3010)</f>
        <v>0</v>
      </c>
      <c r="BU184" s="317">
        <f>SUMIF(Recibos!$D$4:$D$3010,Cobranza!$B184,Recibos!AG$4:AG$3010)</f>
        <v>0</v>
      </c>
      <c r="BV184" s="317">
        <f>SUMIF(Recibos!$D$4:$D$3010,Cobranza!$B184,Recibos!AH$4:AH$3010)</f>
        <v>0</v>
      </c>
      <c r="BW184" s="317">
        <f>SUMIF(Recibos!$D$4:$D$3010,Cobranza!$B184,Recibos!AI$4:AI$3010)</f>
        <v>0</v>
      </c>
      <c r="BX184" s="318">
        <f t="shared" si="22"/>
        <v>0</v>
      </c>
    </row>
    <row r="185" spans="2:76" x14ac:dyDescent="0.2">
      <c r="B185" s="45" t="s">
        <v>1017</v>
      </c>
      <c r="C185" s="45" t="s">
        <v>1018</v>
      </c>
      <c r="D185" s="45" t="s">
        <v>1019</v>
      </c>
      <c r="E185" s="46">
        <v>0</v>
      </c>
      <c r="F185" s="46">
        <v>0</v>
      </c>
      <c r="G185" s="46">
        <v>0</v>
      </c>
      <c r="H185" s="46">
        <v>0</v>
      </c>
      <c r="I185" s="46">
        <v>0</v>
      </c>
      <c r="J185" s="46">
        <v>0</v>
      </c>
      <c r="K185" s="47">
        <f t="shared" si="17"/>
        <v>0</v>
      </c>
      <c r="L185" s="46">
        <v>0</v>
      </c>
      <c r="M185" s="46">
        <v>0</v>
      </c>
      <c r="N185" s="46">
        <v>0</v>
      </c>
      <c r="O185" s="46">
        <v>0</v>
      </c>
      <c r="P185" s="46">
        <v>0</v>
      </c>
      <c r="Q185" s="46">
        <v>0</v>
      </c>
      <c r="R185" s="46">
        <v>0</v>
      </c>
      <c r="S185" s="46">
        <v>0</v>
      </c>
      <c r="T185" s="46">
        <v>0</v>
      </c>
      <c r="U185" s="46">
        <v>0</v>
      </c>
      <c r="V185" s="46">
        <v>0</v>
      </c>
      <c r="W185" s="46">
        <v>0</v>
      </c>
      <c r="X185" s="47">
        <f t="shared" si="18"/>
        <v>0</v>
      </c>
      <c r="Y185" s="46">
        <v>0</v>
      </c>
      <c r="Z185" s="46">
        <v>0</v>
      </c>
      <c r="AA185" s="46">
        <v>0</v>
      </c>
      <c r="AB185" s="46">
        <v>0</v>
      </c>
      <c r="AC185" s="46">
        <v>0</v>
      </c>
      <c r="AD185" s="46">
        <v>0</v>
      </c>
      <c r="AE185" s="46">
        <v>0</v>
      </c>
      <c r="AF185" s="46">
        <v>0</v>
      </c>
      <c r="AG185" s="46">
        <v>0</v>
      </c>
      <c r="AH185" s="46">
        <v>0</v>
      </c>
      <c r="AI185" s="46">
        <v>0</v>
      </c>
      <c r="AJ185" s="46">
        <v>0</v>
      </c>
      <c r="AK185" s="47">
        <f t="shared" si="19"/>
        <v>0</v>
      </c>
      <c r="AL185" s="46">
        <v>0</v>
      </c>
      <c r="AM185" s="46">
        <v>0</v>
      </c>
      <c r="AN185" s="46">
        <v>0</v>
      </c>
      <c r="AO185" s="46">
        <v>0</v>
      </c>
      <c r="AP185" s="46">
        <v>0</v>
      </c>
      <c r="AQ185" s="46">
        <v>0</v>
      </c>
      <c r="AR185" s="46">
        <v>0</v>
      </c>
      <c r="AS185" s="46">
        <v>0</v>
      </c>
      <c r="AT185" s="46">
        <v>0</v>
      </c>
      <c r="AU185" s="46">
        <v>0</v>
      </c>
      <c r="AV185" s="46">
        <v>0</v>
      </c>
      <c r="AW185" s="46">
        <v>0</v>
      </c>
      <c r="AX185" s="47">
        <f t="shared" si="20"/>
        <v>0</v>
      </c>
      <c r="AY185" s="319">
        <f>SUMIF(Recibos!$D$4:$D$3010,Cobranza!$B185,Recibos!K$4:K$3010)</f>
        <v>0</v>
      </c>
      <c r="AZ185" s="319">
        <f>SUMIF(Recibos!$D$4:$D$3010,Cobranza!$B185,Recibos!L$4:L$3010)</f>
        <v>0</v>
      </c>
      <c r="BA185" s="319">
        <f>SUMIF(Recibos!$D$4:$D$3010,Cobranza!$B185,Recibos!M$4:M$3010)</f>
        <v>0</v>
      </c>
      <c r="BB185" s="319">
        <f>SUMIF(Recibos!$D$4:$D$3010,Cobranza!$B185,Recibos!N$4:N$3010)</f>
        <v>0</v>
      </c>
      <c r="BC185" s="319">
        <f>SUMIF(Recibos!$D$4:$D$3010,Cobranza!$B185,Recibos!O$4:O$3010)</f>
        <v>200</v>
      </c>
      <c r="BD185" s="319">
        <f>SUMIF(Recibos!$D$4:$D$3010,Cobranza!$B185,Recibos!P$4:P$3010)</f>
        <v>200</v>
      </c>
      <c r="BE185" s="319">
        <f>SUMIF(Recibos!$D$4:$D$3010,Cobranza!$B185,Recibos!Q$4:Q$3010)</f>
        <v>200</v>
      </c>
      <c r="BF185" s="319">
        <f>SUMIF(Recibos!$D$4:$D$3010,Cobranza!$B185,Recibos!R$4:R$3010)</f>
        <v>200</v>
      </c>
      <c r="BG185" s="319">
        <f>SUMIF(Recibos!$D$4:$D$3010,Cobranza!$B185,Recibos!S$4:S$3010)</f>
        <v>200</v>
      </c>
      <c r="BH185" s="319">
        <f>SUMIF(Recibos!$D$4:$D$3010,Cobranza!$B185,Recibos!T$4:T$3010)</f>
        <v>200</v>
      </c>
      <c r="BI185" s="319">
        <f>SUMIF(Recibos!$D$4:$D$3010,Cobranza!$B185,Recibos!U$4:U$3010)</f>
        <v>200</v>
      </c>
      <c r="BJ185" s="319">
        <f>SUMIF(Recibos!$D$4:$D$3010,Cobranza!$B185,Recibos!V$4:V$3010)</f>
        <v>0</v>
      </c>
      <c r="BK185" s="320">
        <f t="shared" si="21"/>
        <v>1400</v>
      </c>
      <c r="BL185" s="319">
        <f>SUMIF(Recibos!$D$4:$D$3010,Cobranza!$B185,Recibos!X$4:X$3010)</f>
        <v>0</v>
      </c>
      <c r="BM185" s="319">
        <f>SUMIF(Recibos!$D$4:$D$3010,Cobranza!$B185,Recibos!Y$4:Y$3010)</f>
        <v>0</v>
      </c>
      <c r="BN185" s="319">
        <f>SUMIF(Recibos!$D$4:$D$3010,Cobranza!$B185,Recibos!Z$4:Z$3010)</f>
        <v>0</v>
      </c>
      <c r="BO185" s="319">
        <f>SUMIF(Recibos!$D$4:$D$3010,Cobranza!$B185,Recibos!AA$4:AA$3010)</f>
        <v>0</v>
      </c>
      <c r="BP185" s="319">
        <f>SUMIF(Recibos!$D$4:$D$3010,Cobranza!$B185,Recibos!AB$4:AB$3010)</f>
        <v>0</v>
      </c>
      <c r="BQ185" s="319">
        <f>SUMIF(Recibos!$D$4:$D$3010,Cobranza!$B185,Recibos!AC$4:AC$3010)</f>
        <v>0</v>
      </c>
      <c r="BR185" s="319">
        <f>SUMIF(Recibos!$D$4:$D$3010,Cobranza!$B185,Recibos!AD$4:AD$3010)</f>
        <v>0</v>
      </c>
      <c r="BS185" s="319">
        <f>SUMIF(Recibos!$D$4:$D$3010,Cobranza!$B185,Recibos!AE$4:AE$3010)</f>
        <v>0</v>
      </c>
      <c r="BT185" s="319">
        <f>SUMIF(Recibos!$D$4:$D$3010,Cobranza!$B185,Recibos!AF$4:AF$3010)</f>
        <v>0</v>
      </c>
      <c r="BU185" s="319">
        <f>SUMIF(Recibos!$D$4:$D$3010,Cobranza!$B185,Recibos!AG$4:AG$3010)</f>
        <v>0</v>
      </c>
      <c r="BV185" s="319">
        <f>SUMIF(Recibos!$D$4:$D$3010,Cobranza!$B185,Recibos!AH$4:AH$3010)</f>
        <v>0</v>
      </c>
      <c r="BW185" s="319">
        <f>SUMIF(Recibos!$D$4:$D$3010,Cobranza!$B185,Recibos!AI$4:AI$3010)</f>
        <v>0</v>
      </c>
      <c r="BX185" s="320">
        <f t="shared" si="22"/>
        <v>0</v>
      </c>
    </row>
    <row r="186" spans="2:76" x14ac:dyDescent="0.2">
      <c r="B186" s="42" t="s">
        <v>1055</v>
      </c>
      <c r="C186" s="42" t="s">
        <v>1056</v>
      </c>
      <c r="D186" s="42" t="s">
        <v>1057</v>
      </c>
      <c r="E186" s="43">
        <v>0</v>
      </c>
      <c r="F186" s="43">
        <v>0</v>
      </c>
      <c r="G186" s="43">
        <v>0</v>
      </c>
      <c r="H186" s="43">
        <v>0</v>
      </c>
      <c r="I186" s="43">
        <v>0</v>
      </c>
      <c r="J186" s="43">
        <v>0</v>
      </c>
      <c r="K186" s="44">
        <f t="shared" si="17"/>
        <v>0</v>
      </c>
      <c r="L186" s="43">
        <v>0</v>
      </c>
      <c r="M186" s="43">
        <v>0</v>
      </c>
      <c r="N186" s="43">
        <v>0</v>
      </c>
      <c r="O186" s="43">
        <v>0</v>
      </c>
      <c r="P186" s="43">
        <v>0</v>
      </c>
      <c r="Q186" s="43">
        <v>0</v>
      </c>
      <c r="R186" s="43">
        <v>0</v>
      </c>
      <c r="S186" s="43">
        <v>0</v>
      </c>
      <c r="T186" s="43">
        <v>0</v>
      </c>
      <c r="U186" s="43">
        <v>0</v>
      </c>
      <c r="V186" s="43">
        <v>0</v>
      </c>
      <c r="W186" s="43">
        <v>0</v>
      </c>
      <c r="X186" s="44">
        <f t="shared" si="18"/>
        <v>0</v>
      </c>
      <c r="Y186" s="43">
        <v>0</v>
      </c>
      <c r="Z186" s="43">
        <v>0</v>
      </c>
      <c r="AA186" s="43">
        <v>0</v>
      </c>
      <c r="AB186" s="43">
        <v>0</v>
      </c>
      <c r="AC186" s="43">
        <v>0</v>
      </c>
      <c r="AD186" s="43">
        <v>0</v>
      </c>
      <c r="AE186" s="43">
        <v>0</v>
      </c>
      <c r="AF186" s="43">
        <v>0</v>
      </c>
      <c r="AG186" s="43">
        <v>0</v>
      </c>
      <c r="AH186" s="43">
        <v>0</v>
      </c>
      <c r="AI186" s="43">
        <v>0</v>
      </c>
      <c r="AJ186" s="43">
        <v>0</v>
      </c>
      <c r="AK186" s="44">
        <f t="shared" si="19"/>
        <v>0</v>
      </c>
      <c r="AL186" s="43">
        <v>0</v>
      </c>
      <c r="AM186" s="43">
        <v>0</v>
      </c>
      <c r="AN186" s="43">
        <v>0</v>
      </c>
      <c r="AO186" s="43">
        <v>0</v>
      </c>
      <c r="AP186" s="43">
        <v>0</v>
      </c>
      <c r="AQ186" s="43">
        <v>0</v>
      </c>
      <c r="AR186" s="43">
        <v>200</v>
      </c>
      <c r="AS186" s="43">
        <v>0</v>
      </c>
      <c r="AT186" s="43">
        <v>0</v>
      </c>
      <c r="AU186" s="43">
        <v>0</v>
      </c>
      <c r="AV186" s="43">
        <v>0</v>
      </c>
      <c r="AW186" s="43">
        <v>0</v>
      </c>
      <c r="AX186" s="44">
        <f t="shared" si="20"/>
        <v>200</v>
      </c>
      <c r="AY186" s="317">
        <f>SUMIF(Recibos!$D$4:$D$3010,Cobranza!$B186,Recibos!K$4:K$3010)</f>
        <v>0</v>
      </c>
      <c r="AZ186" s="317">
        <f>SUMIF(Recibos!$D$4:$D$3010,Cobranza!$B186,Recibos!L$4:L$3010)</f>
        <v>0</v>
      </c>
      <c r="BA186" s="317">
        <f>SUMIF(Recibos!$D$4:$D$3010,Cobranza!$B186,Recibos!M$4:M$3010)</f>
        <v>0</v>
      </c>
      <c r="BB186" s="317">
        <f>SUMIF(Recibos!$D$4:$D$3010,Cobranza!$B186,Recibos!N$4:N$3010)</f>
        <v>0</v>
      </c>
      <c r="BC186" s="317">
        <f>SUMIF(Recibos!$D$4:$D$3010,Cobranza!$B186,Recibos!O$4:O$3010)</f>
        <v>200</v>
      </c>
      <c r="BD186" s="317">
        <f>SUMIF(Recibos!$D$4:$D$3010,Cobranza!$B186,Recibos!P$4:P$3010)</f>
        <v>200</v>
      </c>
      <c r="BE186" s="317">
        <f>SUMIF(Recibos!$D$4:$D$3010,Cobranza!$B186,Recibos!Q$4:Q$3010)</f>
        <v>200</v>
      </c>
      <c r="BF186" s="317">
        <f>SUMIF(Recibos!$D$4:$D$3010,Cobranza!$B186,Recibos!R$4:R$3010)</f>
        <v>200</v>
      </c>
      <c r="BG186" s="317">
        <f>SUMIF(Recibos!$D$4:$D$3010,Cobranza!$B186,Recibos!S$4:S$3010)</f>
        <v>200</v>
      </c>
      <c r="BH186" s="317">
        <f>SUMIF(Recibos!$D$4:$D$3010,Cobranza!$B186,Recibos!T$4:T$3010)</f>
        <v>200</v>
      </c>
      <c r="BI186" s="317">
        <f>SUMIF(Recibos!$D$4:$D$3010,Cobranza!$B186,Recibos!U$4:U$3010)</f>
        <v>200</v>
      </c>
      <c r="BJ186" s="317">
        <f>SUMIF(Recibos!$D$4:$D$3010,Cobranza!$B186,Recibos!V$4:V$3010)</f>
        <v>0</v>
      </c>
      <c r="BK186" s="318">
        <f t="shared" si="21"/>
        <v>1400</v>
      </c>
      <c r="BL186" s="317">
        <f>SUMIF(Recibos!$D$4:$D$3010,Cobranza!$B186,Recibos!X$4:X$3010)</f>
        <v>0</v>
      </c>
      <c r="BM186" s="317">
        <f>SUMIF(Recibos!$D$4:$D$3010,Cobranza!$B186,Recibos!Y$4:Y$3010)</f>
        <v>0</v>
      </c>
      <c r="BN186" s="317">
        <f>SUMIF(Recibos!$D$4:$D$3010,Cobranza!$B186,Recibos!Z$4:Z$3010)</f>
        <v>0</v>
      </c>
      <c r="BO186" s="317">
        <f>SUMIF(Recibos!$D$4:$D$3010,Cobranza!$B186,Recibos!AA$4:AA$3010)</f>
        <v>0</v>
      </c>
      <c r="BP186" s="317">
        <f>SUMIF(Recibos!$D$4:$D$3010,Cobranza!$B186,Recibos!AB$4:AB$3010)</f>
        <v>0</v>
      </c>
      <c r="BQ186" s="317">
        <f>SUMIF(Recibos!$D$4:$D$3010,Cobranza!$B186,Recibos!AC$4:AC$3010)</f>
        <v>0</v>
      </c>
      <c r="BR186" s="317">
        <f>SUMIF(Recibos!$D$4:$D$3010,Cobranza!$B186,Recibos!AD$4:AD$3010)</f>
        <v>0</v>
      </c>
      <c r="BS186" s="317">
        <f>SUMIF(Recibos!$D$4:$D$3010,Cobranza!$B186,Recibos!AE$4:AE$3010)</f>
        <v>0</v>
      </c>
      <c r="BT186" s="317">
        <f>SUMIF(Recibos!$D$4:$D$3010,Cobranza!$B186,Recibos!AF$4:AF$3010)</f>
        <v>0</v>
      </c>
      <c r="BU186" s="317">
        <f>SUMIF(Recibos!$D$4:$D$3010,Cobranza!$B186,Recibos!AG$4:AG$3010)</f>
        <v>0</v>
      </c>
      <c r="BV186" s="317">
        <f>SUMIF(Recibos!$D$4:$D$3010,Cobranza!$B186,Recibos!AH$4:AH$3010)</f>
        <v>0</v>
      </c>
      <c r="BW186" s="317">
        <f>SUMIF(Recibos!$D$4:$D$3010,Cobranza!$B186,Recibos!AI$4:AI$3010)</f>
        <v>0</v>
      </c>
      <c r="BX186" s="318">
        <f t="shared" si="22"/>
        <v>0</v>
      </c>
    </row>
    <row r="187" spans="2:76" x14ac:dyDescent="0.2">
      <c r="B187" s="45" t="s">
        <v>690</v>
      </c>
      <c r="C187" s="45" t="s">
        <v>691</v>
      </c>
      <c r="D187" s="45" t="s">
        <v>692</v>
      </c>
      <c r="E187" s="46">
        <v>0</v>
      </c>
      <c r="F187" s="46">
        <v>0</v>
      </c>
      <c r="G187" s="46">
        <v>0</v>
      </c>
      <c r="H187" s="46">
        <v>0</v>
      </c>
      <c r="I187" s="46">
        <v>0</v>
      </c>
      <c r="J187" s="46">
        <v>0</v>
      </c>
      <c r="K187" s="47">
        <f t="shared" si="17"/>
        <v>0</v>
      </c>
      <c r="L187" s="46">
        <v>0</v>
      </c>
      <c r="M187" s="46">
        <v>0</v>
      </c>
      <c r="N187" s="46">
        <v>0</v>
      </c>
      <c r="O187" s="46">
        <v>0</v>
      </c>
      <c r="P187" s="46">
        <v>0</v>
      </c>
      <c r="Q187" s="46">
        <v>0</v>
      </c>
      <c r="R187" s="46">
        <v>0</v>
      </c>
      <c r="S187" s="46">
        <v>0</v>
      </c>
      <c r="T187" s="46">
        <v>0</v>
      </c>
      <c r="U187" s="46">
        <v>0</v>
      </c>
      <c r="V187" s="46">
        <v>0</v>
      </c>
      <c r="W187" s="46">
        <v>0</v>
      </c>
      <c r="X187" s="47">
        <f t="shared" si="18"/>
        <v>0</v>
      </c>
      <c r="Y187" s="46">
        <v>0</v>
      </c>
      <c r="Z187" s="46">
        <v>0</v>
      </c>
      <c r="AA187" s="46">
        <v>0</v>
      </c>
      <c r="AB187" s="46">
        <v>0</v>
      </c>
      <c r="AC187" s="46">
        <v>0</v>
      </c>
      <c r="AD187" s="46">
        <v>0</v>
      </c>
      <c r="AE187" s="46">
        <v>0</v>
      </c>
      <c r="AF187" s="46">
        <v>0</v>
      </c>
      <c r="AG187" s="46">
        <v>0</v>
      </c>
      <c r="AH187" s="46">
        <v>0</v>
      </c>
      <c r="AI187" s="46">
        <v>0</v>
      </c>
      <c r="AJ187" s="46">
        <v>0</v>
      </c>
      <c r="AK187" s="47">
        <f t="shared" si="19"/>
        <v>0</v>
      </c>
      <c r="AL187" s="46">
        <v>0</v>
      </c>
      <c r="AM187" s="46">
        <v>0</v>
      </c>
      <c r="AN187" s="46">
        <v>0</v>
      </c>
      <c r="AO187" s="46">
        <v>0</v>
      </c>
      <c r="AP187" s="46">
        <v>0</v>
      </c>
      <c r="AQ187" s="46">
        <v>0</v>
      </c>
      <c r="AR187" s="46">
        <v>0</v>
      </c>
      <c r="AS187" s="46">
        <v>0</v>
      </c>
      <c r="AT187" s="46">
        <v>0</v>
      </c>
      <c r="AU187" s="46">
        <v>0</v>
      </c>
      <c r="AV187" s="46">
        <v>0</v>
      </c>
      <c r="AW187" s="46">
        <v>0</v>
      </c>
      <c r="AX187" s="47">
        <f t="shared" si="20"/>
        <v>0</v>
      </c>
      <c r="AY187" s="319">
        <f>SUMIF(Recibos!$D$4:$D$3010,Cobranza!$B187,Recibos!K$4:K$3010)</f>
        <v>0</v>
      </c>
      <c r="AZ187" s="319">
        <f>SUMIF(Recibos!$D$4:$D$3010,Cobranza!$B187,Recibos!L$4:L$3010)</f>
        <v>0</v>
      </c>
      <c r="BA187" s="319">
        <f>SUMIF(Recibos!$D$4:$D$3010,Cobranza!$B187,Recibos!M$4:M$3010)</f>
        <v>0</v>
      </c>
      <c r="BB187" s="319">
        <f>SUMIF(Recibos!$D$4:$D$3010,Cobranza!$B187,Recibos!N$4:N$3010)</f>
        <v>0</v>
      </c>
      <c r="BC187" s="319">
        <f>SUMIF(Recibos!$D$4:$D$3010,Cobranza!$B187,Recibos!O$4:O$3010)</f>
        <v>0</v>
      </c>
      <c r="BD187" s="319">
        <f>SUMIF(Recibos!$D$4:$D$3010,Cobranza!$B187,Recibos!P$4:P$3010)</f>
        <v>0</v>
      </c>
      <c r="BE187" s="319">
        <f>SUMIF(Recibos!$D$4:$D$3010,Cobranza!$B187,Recibos!Q$4:Q$3010)</f>
        <v>0</v>
      </c>
      <c r="BF187" s="319">
        <f>SUMIF(Recibos!$D$4:$D$3010,Cobranza!$B187,Recibos!R$4:R$3010)</f>
        <v>0</v>
      </c>
      <c r="BG187" s="319">
        <f>SUMIF(Recibos!$D$4:$D$3010,Cobranza!$B187,Recibos!S$4:S$3010)</f>
        <v>0</v>
      </c>
      <c r="BH187" s="319">
        <f>SUMIF(Recibos!$D$4:$D$3010,Cobranza!$B187,Recibos!T$4:T$3010)</f>
        <v>0</v>
      </c>
      <c r="BI187" s="319">
        <f>SUMIF(Recibos!$D$4:$D$3010,Cobranza!$B187,Recibos!U$4:U$3010)</f>
        <v>0</v>
      </c>
      <c r="BJ187" s="319">
        <f>SUMIF(Recibos!$D$4:$D$3010,Cobranza!$B187,Recibos!V$4:V$3010)</f>
        <v>0</v>
      </c>
      <c r="BK187" s="320">
        <f t="shared" si="21"/>
        <v>0</v>
      </c>
      <c r="BL187" s="319">
        <f>SUMIF(Recibos!$D$4:$D$3010,Cobranza!$B187,Recibos!X$4:X$3010)</f>
        <v>0</v>
      </c>
      <c r="BM187" s="319">
        <f>SUMIF(Recibos!$D$4:$D$3010,Cobranza!$B187,Recibos!Y$4:Y$3010)</f>
        <v>0</v>
      </c>
      <c r="BN187" s="319">
        <f>SUMIF(Recibos!$D$4:$D$3010,Cobranza!$B187,Recibos!Z$4:Z$3010)</f>
        <v>0</v>
      </c>
      <c r="BO187" s="319">
        <f>SUMIF(Recibos!$D$4:$D$3010,Cobranza!$B187,Recibos!AA$4:AA$3010)</f>
        <v>0</v>
      </c>
      <c r="BP187" s="319">
        <f>SUMIF(Recibos!$D$4:$D$3010,Cobranza!$B187,Recibos!AB$4:AB$3010)</f>
        <v>0</v>
      </c>
      <c r="BQ187" s="319">
        <f>SUMIF(Recibos!$D$4:$D$3010,Cobranza!$B187,Recibos!AC$4:AC$3010)</f>
        <v>0</v>
      </c>
      <c r="BR187" s="319">
        <f>SUMIF(Recibos!$D$4:$D$3010,Cobranza!$B187,Recibos!AD$4:AD$3010)</f>
        <v>0</v>
      </c>
      <c r="BS187" s="319">
        <f>SUMIF(Recibos!$D$4:$D$3010,Cobranza!$B187,Recibos!AE$4:AE$3010)</f>
        <v>0</v>
      </c>
      <c r="BT187" s="319">
        <f>SUMIF(Recibos!$D$4:$D$3010,Cobranza!$B187,Recibos!AF$4:AF$3010)</f>
        <v>0</v>
      </c>
      <c r="BU187" s="319">
        <f>SUMIF(Recibos!$D$4:$D$3010,Cobranza!$B187,Recibos!AG$4:AG$3010)</f>
        <v>0</v>
      </c>
      <c r="BV187" s="319">
        <f>SUMIF(Recibos!$D$4:$D$3010,Cobranza!$B187,Recibos!AH$4:AH$3010)</f>
        <v>0</v>
      </c>
      <c r="BW187" s="319">
        <f>SUMIF(Recibos!$D$4:$D$3010,Cobranza!$B187,Recibos!AI$4:AI$3010)</f>
        <v>0</v>
      </c>
      <c r="BX187" s="320">
        <f t="shared" si="22"/>
        <v>0</v>
      </c>
    </row>
    <row r="188" spans="2:76" x14ac:dyDescent="0.2">
      <c r="B188" s="42" t="s">
        <v>1347</v>
      </c>
      <c r="C188" s="42" t="s">
        <v>1348</v>
      </c>
      <c r="D188" s="42" t="s">
        <v>1349</v>
      </c>
      <c r="E188" s="43">
        <v>0</v>
      </c>
      <c r="F188" s="43">
        <v>0</v>
      </c>
      <c r="G188" s="43">
        <v>0</v>
      </c>
      <c r="H188" s="43">
        <v>0</v>
      </c>
      <c r="I188" s="43">
        <v>0</v>
      </c>
      <c r="J188" s="43">
        <v>150</v>
      </c>
      <c r="K188" s="44">
        <f t="shared" si="17"/>
        <v>150</v>
      </c>
      <c r="L188" s="43">
        <v>150</v>
      </c>
      <c r="M188" s="43">
        <v>0</v>
      </c>
      <c r="N188" s="43">
        <v>0</v>
      </c>
      <c r="O188" s="43">
        <v>0</v>
      </c>
      <c r="P188" s="43">
        <v>0</v>
      </c>
      <c r="Q188" s="43">
        <v>0</v>
      </c>
      <c r="R188" s="43">
        <v>0</v>
      </c>
      <c r="S188" s="43">
        <v>0</v>
      </c>
      <c r="T188" s="43">
        <v>0</v>
      </c>
      <c r="U188" s="43">
        <v>0</v>
      </c>
      <c r="V188" s="43">
        <v>0</v>
      </c>
      <c r="W188" s="43">
        <v>0</v>
      </c>
      <c r="X188" s="44">
        <f t="shared" si="18"/>
        <v>150</v>
      </c>
      <c r="Y188" s="43">
        <v>0</v>
      </c>
      <c r="Z188" s="43">
        <v>0</v>
      </c>
      <c r="AA188" s="43">
        <v>0</v>
      </c>
      <c r="AB188" s="43">
        <v>0</v>
      </c>
      <c r="AC188" s="43">
        <v>0</v>
      </c>
      <c r="AD188" s="43">
        <v>0</v>
      </c>
      <c r="AE188" s="43">
        <v>0</v>
      </c>
      <c r="AF188" s="43">
        <v>0</v>
      </c>
      <c r="AG188" s="43">
        <v>0</v>
      </c>
      <c r="AH188" s="43">
        <v>0</v>
      </c>
      <c r="AI188" s="43">
        <v>0</v>
      </c>
      <c r="AJ188" s="43">
        <v>0</v>
      </c>
      <c r="AK188" s="44">
        <f t="shared" si="19"/>
        <v>0</v>
      </c>
      <c r="AL188" s="43">
        <v>0</v>
      </c>
      <c r="AM188" s="43">
        <v>0</v>
      </c>
      <c r="AN188" s="43">
        <v>0</v>
      </c>
      <c r="AO188" s="43">
        <v>0</v>
      </c>
      <c r="AP188" s="43">
        <v>0</v>
      </c>
      <c r="AQ188" s="43">
        <v>0</v>
      </c>
      <c r="AR188" s="43">
        <v>250</v>
      </c>
      <c r="AS188" s="43">
        <v>0</v>
      </c>
      <c r="AT188" s="43">
        <v>250</v>
      </c>
      <c r="AU188" s="43">
        <v>250</v>
      </c>
      <c r="AV188" s="43">
        <v>0</v>
      </c>
      <c r="AW188" s="43">
        <v>0</v>
      </c>
      <c r="AX188" s="44">
        <f t="shared" si="20"/>
        <v>750</v>
      </c>
      <c r="AY188" s="317">
        <f>SUMIF(Recibos!$D$4:$D$3010,Cobranza!$B188,Recibos!K$4:K$3010)</f>
        <v>0</v>
      </c>
      <c r="AZ188" s="317">
        <f>SUMIF(Recibos!$D$4:$D$3010,Cobranza!$B188,Recibos!L$4:L$3010)</f>
        <v>0</v>
      </c>
      <c r="BA188" s="317">
        <f>SUMIF(Recibos!$D$4:$D$3010,Cobranza!$B188,Recibos!M$4:M$3010)</f>
        <v>0</v>
      </c>
      <c r="BB188" s="317">
        <f>SUMIF(Recibos!$D$4:$D$3010,Cobranza!$B188,Recibos!N$4:N$3010)</f>
        <v>0</v>
      </c>
      <c r="BC188" s="317">
        <f>SUMIF(Recibos!$D$4:$D$3010,Cobranza!$B188,Recibos!O$4:O$3010)</f>
        <v>0</v>
      </c>
      <c r="BD188" s="317">
        <f>SUMIF(Recibos!$D$4:$D$3010,Cobranza!$B188,Recibos!P$4:P$3010)</f>
        <v>0</v>
      </c>
      <c r="BE188" s="317">
        <f>SUMIF(Recibos!$D$4:$D$3010,Cobranza!$B188,Recibos!Q$4:Q$3010)</f>
        <v>0</v>
      </c>
      <c r="BF188" s="317">
        <f>SUMIF(Recibos!$D$4:$D$3010,Cobranza!$B188,Recibos!R$4:R$3010)</f>
        <v>0</v>
      </c>
      <c r="BG188" s="317">
        <f>SUMIF(Recibos!$D$4:$D$3010,Cobranza!$B188,Recibos!S$4:S$3010)</f>
        <v>0</v>
      </c>
      <c r="BH188" s="317">
        <f>SUMIF(Recibos!$D$4:$D$3010,Cobranza!$B188,Recibos!T$4:T$3010)</f>
        <v>0</v>
      </c>
      <c r="BI188" s="317">
        <f>SUMIF(Recibos!$D$4:$D$3010,Cobranza!$B188,Recibos!U$4:U$3010)</f>
        <v>0</v>
      </c>
      <c r="BJ188" s="317">
        <f>SUMIF(Recibos!$D$4:$D$3010,Cobranza!$B188,Recibos!V$4:V$3010)</f>
        <v>0</v>
      </c>
      <c r="BK188" s="318">
        <f t="shared" si="21"/>
        <v>0</v>
      </c>
      <c r="BL188" s="317">
        <f>SUMIF(Recibos!$D$4:$D$3010,Cobranza!$B188,Recibos!X$4:X$3010)</f>
        <v>0</v>
      </c>
      <c r="BM188" s="317">
        <f>SUMIF(Recibos!$D$4:$D$3010,Cobranza!$B188,Recibos!Y$4:Y$3010)</f>
        <v>0</v>
      </c>
      <c r="BN188" s="317">
        <f>SUMIF(Recibos!$D$4:$D$3010,Cobranza!$B188,Recibos!Z$4:Z$3010)</f>
        <v>0</v>
      </c>
      <c r="BO188" s="317">
        <f>SUMIF(Recibos!$D$4:$D$3010,Cobranza!$B188,Recibos!AA$4:AA$3010)</f>
        <v>0</v>
      </c>
      <c r="BP188" s="317">
        <f>SUMIF(Recibos!$D$4:$D$3010,Cobranza!$B188,Recibos!AB$4:AB$3010)</f>
        <v>0</v>
      </c>
      <c r="BQ188" s="317">
        <f>SUMIF(Recibos!$D$4:$D$3010,Cobranza!$B188,Recibos!AC$4:AC$3010)</f>
        <v>0</v>
      </c>
      <c r="BR188" s="317">
        <f>SUMIF(Recibos!$D$4:$D$3010,Cobranza!$B188,Recibos!AD$4:AD$3010)</f>
        <v>0</v>
      </c>
      <c r="BS188" s="317">
        <f>SUMIF(Recibos!$D$4:$D$3010,Cobranza!$B188,Recibos!AE$4:AE$3010)</f>
        <v>0</v>
      </c>
      <c r="BT188" s="317">
        <f>SUMIF(Recibos!$D$4:$D$3010,Cobranza!$B188,Recibos!AF$4:AF$3010)</f>
        <v>0</v>
      </c>
      <c r="BU188" s="317">
        <f>SUMIF(Recibos!$D$4:$D$3010,Cobranza!$B188,Recibos!AG$4:AG$3010)</f>
        <v>0</v>
      </c>
      <c r="BV188" s="317">
        <f>SUMIF(Recibos!$D$4:$D$3010,Cobranza!$B188,Recibos!AH$4:AH$3010)</f>
        <v>0</v>
      </c>
      <c r="BW188" s="317">
        <f>SUMIF(Recibos!$D$4:$D$3010,Cobranza!$B188,Recibos!AI$4:AI$3010)</f>
        <v>0</v>
      </c>
      <c r="BX188" s="318">
        <f t="shared" si="22"/>
        <v>0</v>
      </c>
    </row>
    <row r="189" spans="2:76" x14ac:dyDescent="0.2">
      <c r="B189" s="45" t="s">
        <v>115</v>
      </c>
      <c r="C189" s="45" t="s">
        <v>116</v>
      </c>
      <c r="D189" s="45" t="s">
        <v>117</v>
      </c>
      <c r="E189" s="46">
        <v>0</v>
      </c>
      <c r="F189" s="46">
        <v>0</v>
      </c>
      <c r="G189" s="46">
        <v>200</v>
      </c>
      <c r="H189" s="46">
        <v>200</v>
      </c>
      <c r="I189" s="46">
        <v>0</v>
      </c>
      <c r="J189" s="46">
        <v>0</v>
      </c>
      <c r="K189" s="47">
        <f t="shared" si="17"/>
        <v>400</v>
      </c>
      <c r="L189" s="46">
        <v>0</v>
      </c>
      <c r="M189" s="46">
        <v>0</v>
      </c>
      <c r="N189" s="46">
        <v>0</v>
      </c>
      <c r="O189" s="46">
        <v>0</v>
      </c>
      <c r="P189" s="46">
        <v>0</v>
      </c>
      <c r="Q189" s="46">
        <v>0</v>
      </c>
      <c r="R189" s="46">
        <v>0</v>
      </c>
      <c r="S189" s="46">
        <v>0</v>
      </c>
      <c r="T189" s="46">
        <v>0</v>
      </c>
      <c r="U189" s="46">
        <v>0</v>
      </c>
      <c r="V189" s="46">
        <v>0</v>
      </c>
      <c r="W189" s="46">
        <v>0</v>
      </c>
      <c r="X189" s="47">
        <f t="shared" si="18"/>
        <v>0</v>
      </c>
      <c r="Y189" s="46">
        <v>0</v>
      </c>
      <c r="Z189" s="46">
        <v>150</v>
      </c>
      <c r="AA189" s="46">
        <v>150</v>
      </c>
      <c r="AB189" s="46">
        <v>300</v>
      </c>
      <c r="AC189" s="46">
        <v>150</v>
      </c>
      <c r="AD189" s="46">
        <v>0</v>
      </c>
      <c r="AE189" s="46">
        <v>150</v>
      </c>
      <c r="AF189" s="46">
        <v>150</v>
      </c>
      <c r="AG189" s="46">
        <v>150</v>
      </c>
      <c r="AH189" s="46">
        <v>150</v>
      </c>
      <c r="AI189" s="46">
        <v>150</v>
      </c>
      <c r="AJ189" s="46">
        <v>150</v>
      </c>
      <c r="AK189" s="47">
        <f t="shared" si="19"/>
        <v>1650</v>
      </c>
      <c r="AL189" s="46">
        <v>150</v>
      </c>
      <c r="AM189" s="46">
        <v>150</v>
      </c>
      <c r="AN189" s="46">
        <v>150</v>
      </c>
      <c r="AO189" s="46">
        <v>150</v>
      </c>
      <c r="AP189" s="46">
        <v>150</v>
      </c>
      <c r="AQ189" s="46">
        <v>150</v>
      </c>
      <c r="AR189" s="46">
        <v>150</v>
      </c>
      <c r="AS189" s="46">
        <v>150</v>
      </c>
      <c r="AT189" s="46">
        <v>150</v>
      </c>
      <c r="AU189" s="46">
        <v>150</v>
      </c>
      <c r="AV189" s="46">
        <v>150</v>
      </c>
      <c r="AW189" s="46">
        <v>150</v>
      </c>
      <c r="AX189" s="47">
        <f t="shared" si="20"/>
        <v>1800</v>
      </c>
      <c r="AY189" s="319">
        <f>SUMIF(Recibos!$D$4:$D$3010,Cobranza!$B189,Recibos!K$4:K$3010)</f>
        <v>150</v>
      </c>
      <c r="AZ189" s="319">
        <f>SUMIF(Recibos!$D$4:$D$3010,Cobranza!$B189,Recibos!L$4:L$3010)</f>
        <v>150</v>
      </c>
      <c r="BA189" s="319">
        <f>SUMIF(Recibos!$D$4:$D$3010,Cobranza!$B189,Recibos!M$4:M$3010)</f>
        <v>150</v>
      </c>
      <c r="BB189" s="319">
        <f>SUMIF(Recibos!$D$4:$D$3010,Cobranza!$B189,Recibos!N$4:N$3010)</f>
        <v>150</v>
      </c>
      <c r="BC189" s="319">
        <f>SUMIF(Recibos!$D$4:$D$3010,Cobranza!$B189,Recibos!O$4:O$3010)</f>
        <v>150</v>
      </c>
      <c r="BD189" s="319">
        <f>SUMIF(Recibos!$D$4:$D$3010,Cobranza!$B189,Recibos!P$4:P$3010)</f>
        <v>150</v>
      </c>
      <c r="BE189" s="319">
        <f>SUMIF(Recibos!$D$4:$D$3010,Cobranza!$B189,Recibos!Q$4:Q$3010)</f>
        <v>150</v>
      </c>
      <c r="BF189" s="319">
        <f>SUMIF(Recibos!$D$4:$D$3010,Cobranza!$B189,Recibos!R$4:R$3010)</f>
        <v>150</v>
      </c>
      <c r="BG189" s="319">
        <f>SUMIF(Recibos!$D$4:$D$3010,Cobranza!$B189,Recibos!S$4:S$3010)</f>
        <v>150</v>
      </c>
      <c r="BH189" s="319">
        <f>SUMIF(Recibos!$D$4:$D$3010,Cobranza!$B189,Recibos!T$4:T$3010)</f>
        <v>150</v>
      </c>
      <c r="BI189" s="319">
        <f>SUMIF(Recibos!$D$4:$D$3010,Cobranza!$B189,Recibos!U$4:U$3010)</f>
        <v>150</v>
      </c>
      <c r="BJ189" s="319">
        <f>SUMIF(Recibos!$D$4:$D$3010,Cobranza!$B189,Recibos!V$4:V$3010)</f>
        <v>150</v>
      </c>
      <c r="BK189" s="320">
        <f t="shared" si="21"/>
        <v>1800</v>
      </c>
      <c r="BL189" s="319">
        <f>SUMIF(Recibos!$D$4:$D$3010,Cobranza!$B189,Recibos!X$4:X$3010)</f>
        <v>150</v>
      </c>
      <c r="BM189" s="319">
        <f>SUMIF(Recibos!$D$4:$D$3010,Cobranza!$B189,Recibos!Y$4:Y$3010)</f>
        <v>150</v>
      </c>
      <c r="BN189" s="319">
        <f>SUMIF(Recibos!$D$4:$D$3010,Cobranza!$B189,Recibos!Z$4:Z$3010)</f>
        <v>150</v>
      </c>
      <c r="BO189" s="319">
        <f>SUMIF(Recibos!$D$4:$D$3010,Cobranza!$B189,Recibos!AA$4:AA$3010)</f>
        <v>150</v>
      </c>
      <c r="BP189" s="319">
        <f>SUMIF(Recibos!$D$4:$D$3010,Cobranza!$B189,Recibos!AB$4:AB$3010)</f>
        <v>150</v>
      </c>
      <c r="BQ189" s="319">
        <f>SUMIF(Recibos!$D$4:$D$3010,Cobranza!$B189,Recibos!AC$4:AC$3010)</f>
        <v>150</v>
      </c>
      <c r="BR189" s="319">
        <f>SUMIF(Recibos!$D$4:$D$3010,Cobranza!$B189,Recibos!AD$4:AD$3010)</f>
        <v>150</v>
      </c>
      <c r="BS189" s="319">
        <f>SUMIF(Recibos!$D$4:$D$3010,Cobranza!$B189,Recibos!AE$4:AE$3010)</f>
        <v>150</v>
      </c>
      <c r="BT189" s="319">
        <f>SUMIF(Recibos!$D$4:$D$3010,Cobranza!$B189,Recibos!AF$4:AF$3010)</f>
        <v>150</v>
      </c>
      <c r="BU189" s="319">
        <f>SUMIF(Recibos!$D$4:$D$3010,Cobranza!$B189,Recibos!AG$4:AG$3010)</f>
        <v>150</v>
      </c>
      <c r="BV189" s="319">
        <f>SUMIF(Recibos!$D$4:$D$3010,Cobranza!$B189,Recibos!AH$4:AH$3010)</f>
        <v>150</v>
      </c>
      <c r="BW189" s="319">
        <f>SUMIF(Recibos!$D$4:$D$3010,Cobranza!$B189,Recibos!AI$4:AI$3010)</f>
        <v>0</v>
      </c>
      <c r="BX189" s="320">
        <f t="shared" si="22"/>
        <v>1650</v>
      </c>
    </row>
    <row r="190" spans="2:76" x14ac:dyDescent="0.2">
      <c r="B190" s="42" t="s">
        <v>112</v>
      </c>
      <c r="C190" s="42" t="s">
        <v>113</v>
      </c>
      <c r="D190" s="42" t="s">
        <v>114</v>
      </c>
      <c r="E190" s="43">
        <v>0</v>
      </c>
      <c r="F190" s="43">
        <v>0</v>
      </c>
      <c r="G190" s="43">
        <v>0</v>
      </c>
      <c r="H190" s="43">
        <v>0</v>
      </c>
      <c r="I190" s="43">
        <v>0</v>
      </c>
      <c r="J190" s="43">
        <v>0</v>
      </c>
      <c r="K190" s="44">
        <f t="shared" si="17"/>
        <v>0</v>
      </c>
      <c r="L190" s="43">
        <v>0</v>
      </c>
      <c r="M190" s="43">
        <v>0</v>
      </c>
      <c r="N190" s="43">
        <v>0</v>
      </c>
      <c r="O190" s="43">
        <v>0</v>
      </c>
      <c r="P190" s="43">
        <v>0</v>
      </c>
      <c r="Q190" s="43">
        <v>0</v>
      </c>
      <c r="R190" s="43">
        <v>0</v>
      </c>
      <c r="S190" s="43">
        <v>0</v>
      </c>
      <c r="T190" s="43">
        <v>0</v>
      </c>
      <c r="U190" s="43">
        <v>250</v>
      </c>
      <c r="V190" s="43">
        <v>250</v>
      </c>
      <c r="W190" s="43">
        <v>250</v>
      </c>
      <c r="X190" s="44">
        <f t="shared" si="18"/>
        <v>750</v>
      </c>
      <c r="Y190" s="43">
        <v>250</v>
      </c>
      <c r="Z190" s="43">
        <v>250</v>
      </c>
      <c r="AA190" s="43">
        <v>250</v>
      </c>
      <c r="AB190" s="43">
        <v>250</v>
      </c>
      <c r="AC190" s="43">
        <v>250</v>
      </c>
      <c r="AD190" s="43">
        <v>250</v>
      </c>
      <c r="AE190" s="43">
        <v>250</v>
      </c>
      <c r="AF190" s="43">
        <v>250</v>
      </c>
      <c r="AG190" s="43">
        <v>250</v>
      </c>
      <c r="AH190" s="43">
        <v>0</v>
      </c>
      <c r="AI190" s="43">
        <v>0</v>
      </c>
      <c r="AJ190" s="43">
        <v>0</v>
      </c>
      <c r="AK190" s="44">
        <f t="shared" si="19"/>
        <v>2250</v>
      </c>
      <c r="AL190" s="43">
        <v>0</v>
      </c>
      <c r="AM190" s="43">
        <v>0</v>
      </c>
      <c r="AN190" s="43">
        <v>0</v>
      </c>
      <c r="AO190" s="43">
        <v>0</v>
      </c>
      <c r="AP190" s="43">
        <v>0</v>
      </c>
      <c r="AQ190" s="43">
        <v>250</v>
      </c>
      <c r="AR190" s="43">
        <v>250</v>
      </c>
      <c r="AS190" s="43">
        <v>250</v>
      </c>
      <c r="AT190" s="43">
        <v>250</v>
      </c>
      <c r="AU190" s="43">
        <v>250</v>
      </c>
      <c r="AV190" s="43">
        <v>250</v>
      </c>
      <c r="AW190" s="43">
        <v>250</v>
      </c>
      <c r="AX190" s="44">
        <f t="shared" si="20"/>
        <v>1750</v>
      </c>
      <c r="AY190" s="317">
        <f>SUMIF(Recibos!$D$4:$D$3010,Cobranza!$B190,Recibos!K$4:K$3010)</f>
        <v>250</v>
      </c>
      <c r="AZ190" s="317">
        <f>SUMIF(Recibos!$D$4:$D$3010,Cobranza!$B190,Recibos!L$4:L$3010)</f>
        <v>250</v>
      </c>
      <c r="BA190" s="317">
        <f>SUMIF(Recibos!$D$4:$D$3010,Cobranza!$B190,Recibos!M$4:M$3010)</f>
        <v>250</v>
      </c>
      <c r="BB190" s="317">
        <f>SUMIF(Recibos!$D$4:$D$3010,Cobranza!$B190,Recibos!N$4:N$3010)</f>
        <v>250</v>
      </c>
      <c r="BC190" s="317">
        <f>SUMIF(Recibos!$D$4:$D$3010,Cobranza!$B190,Recibos!O$4:O$3010)</f>
        <v>250</v>
      </c>
      <c r="BD190" s="317">
        <f>SUMIF(Recibos!$D$4:$D$3010,Cobranza!$B190,Recibos!P$4:P$3010)</f>
        <v>250</v>
      </c>
      <c r="BE190" s="317">
        <f>SUMIF(Recibos!$D$4:$D$3010,Cobranza!$B190,Recibos!Q$4:Q$3010)</f>
        <v>250</v>
      </c>
      <c r="BF190" s="317">
        <f>SUMIF(Recibos!$D$4:$D$3010,Cobranza!$B190,Recibos!R$4:R$3010)</f>
        <v>250</v>
      </c>
      <c r="BG190" s="317">
        <f>SUMIF(Recibos!$D$4:$D$3010,Cobranza!$B190,Recibos!S$4:S$3010)</f>
        <v>250</v>
      </c>
      <c r="BH190" s="317">
        <f>SUMIF(Recibos!$D$4:$D$3010,Cobranza!$B190,Recibos!T$4:T$3010)</f>
        <v>250</v>
      </c>
      <c r="BI190" s="317">
        <f>SUMIF(Recibos!$D$4:$D$3010,Cobranza!$B190,Recibos!U$4:U$3010)</f>
        <v>250</v>
      </c>
      <c r="BJ190" s="317">
        <f>SUMIF(Recibos!$D$4:$D$3010,Cobranza!$B190,Recibos!V$4:V$3010)</f>
        <v>250</v>
      </c>
      <c r="BK190" s="318">
        <f t="shared" si="21"/>
        <v>3000</v>
      </c>
      <c r="BL190" s="317">
        <f>SUMIF(Recibos!$D$4:$D$3010,Cobranza!$B190,Recibos!X$4:X$3010)</f>
        <v>0</v>
      </c>
      <c r="BM190" s="317">
        <f>SUMIF(Recibos!$D$4:$D$3010,Cobranza!$B190,Recibos!Y$4:Y$3010)</f>
        <v>0</v>
      </c>
      <c r="BN190" s="317">
        <f>SUMIF(Recibos!$D$4:$D$3010,Cobranza!$B190,Recibos!Z$4:Z$3010)</f>
        <v>0</v>
      </c>
      <c r="BO190" s="317">
        <f>SUMIF(Recibos!$D$4:$D$3010,Cobranza!$B190,Recibos!AA$4:AA$3010)</f>
        <v>0</v>
      </c>
      <c r="BP190" s="317">
        <f>SUMIF(Recibos!$D$4:$D$3010,Cobranza!$B190,Recibos!AB$4:AB$3010)</f>
        <v>0</v>
      </c>
      <c r="BQ190" s="317">
        <f>SUMIF(Recibos!$D$4:$D$3010,Cobranza!$B190,Recibos!AC$4:AC$3010)</f>
        <v>0</v>
      </c>
      <c r="BR190" s="317">
        <f>SUMIF(Recibos!$D$4:$D$3010,Cobranza!$B190,Recibos!AD$4:AD$3010)</f>
        <v>0</v>
      </c>
      <c r="BS190" s="317">
        <f>SUMIF(Recibos!$D$4:$D$3010,Cobranza!$B190,Recibos!AE$4:AE$3010)</f>
        <v>0</v>
      </c>
      <c r="BT190" s="317">
        <f>SUMIF(Recibos!$D$4:$D$3010,Cobranza!$B190,Recibos!AF$4:AF$3010)</f>
        <v>0</v>
      </c>
      <c r="BU190" s="317">
        <f>SUMIF(Recibos!$D$4:$D$3010,Cobranza!$B190,Recibos!AG$4:AG$3010)</f>
        <v>0</v>
      </c>
      <c r="BV190" s="317">
        <f>SUMIF(Recibos!$D$4:$D$3010,Cobranza!$B190,Recibos!AH$4:AH$3010)</f>
        <v>0</v>
      </c>
      <c r="BW190" s="317">
        <f>SUMIF(Recibos!$D$4:$D$3010,Cobranza!$B190,Recibos!AI$4:AI$3010)</f>
        <v>0</v>
      </c>
      <c r="BX190" s="318">
        <f t="shared" si="22"/>
        <v>0</v>
      </c>
    </row>
    <row r="191" spans="2:76" x14ac:dyDescent="0.2">
      <c r="B191" s="45" t="s">
        <v>806</v>
      </c>
      <c r="C191" s="45" t="s">
        <v>885</v>
      </c>
      <c r="D191" s="45" t="s">
        <v>805</v>
      </c>
      <c r="E191" s="46">
        <v>0</v>
      </c>
      <c r="F191" s="46">
        <v>0</v>
      </c>
      <c r="G191" s="46">
        <v>0</v>
      </c>
      <c r="H191" s="46">
        <v>0</v>
      </c>
      <c r="I191" s="46">
        <v>0</v>
      </c>
      <c r="J191" s="46">
        <v>0</v>
      </c>
      <c r="K191" s="47">
        <f t="shared" si="17"/>
        <v>0</v>
      </c>
      <c r="L191" s="46">
        <v>10000</v>
      </c>
      <c r="M191" s="46">
        <v>10000</v>
      </c>
      <c r="N191" s="46">
        <v>10000</v>
      </c>
      <c r="O191" s="46">
        <v>0</v>
      </c>
      <c r="P191" s="46">
        <v>20000</v>
      </c>
      <c r="Q191" s="46">
        <v>10000</v>
      </c>
      <c r="R191" s="46">
        <v>10000</v>
      </c>
      <c r="S191" s="46">
        <v>10000</v>
      </c>
      <c r="T191" s="46">
        <v>10000</v>
      </c>
      <c r="U191" s="46">
        <v>10000</v>
      </c>
      <c r="V191" s="46">
        <v>10000</v>
      </c>
      <c r="W191" s="46">
        <v>10000</v>
      </c>
      <c r="X191" s="47">
        <f t="shared" si="18"/>
        <v>120000</v>
      </c>
      <c r="Y191" s="46">
        <v>10000</v>
      </c>
      <c r="Z191" s="46">
        <v>10000</v>
      </c>
      <c r="AA191" s="46">
        <v>10000</v>
      </c>
      <c r="AB191" s="46">
        <v>10000</v>
      </c>
      <c r="AC191" s="46">
        <v>10000</v>
      </c>
      <c r="AD191" s="46">
        <v>10000</v>
      </c>
      <c r="AE191" s="46">
        <v>10000</v>
      </c>
      <c r="AF191" s="46">
        <v>10000</v>
      </c>
      <c r="AG191" s="46">
        <v>10000</v>
      </c>
      <c r="AH191" s="46">
        <v>10000</v>
      </c>
      <c r="AI191" s="46">
        <v>10000</v>
      </c>
      <c r="AJ191" s="46">
        <v>10000</v>
      </c>
      <c r="AK191" s="47">
        <f t="shared" si="19"/>
        <v>120000</v>
      </c>
      <c r="AL191" s="46">
        <v>11000</v>
      </c>
      <c r="AM191" s="46">
        <v>11000</v>
      </c>
      <c r="AN191" s="46">
        <v>11000</v>
      </c>
      <c r="AO191" s="46">
        <v>11000</v>
      </c>
      <c r="AP191" s="46">
        <v>11000</v>
      </c>
      <c r="AQ191" s="46">
        <v>11000</v>
      </c>
      <c r="AR191" s="46">
        <v>11000</v>
      </c>
      <c r="AS191" s="46">
        <v>11000</v>
      </c>
      <c r="AT191" s="46">
        <v>11000</v>
      </c>
      <c r="AU191" s="46">
        <v>11000</v>
      </c>
      <c r="AV191" s="46">
        <v>11000</v>
      </c>
      <c r="AW191" s="46">
        <v>11000</v>
      </c>
      <c r="AX191" s="47">
        <f t="shared" si="20"/>
        <v>132000</v>
      </c>
      <c r="AY191" s="319">
        <f>SUMIF(Recibos!$D$4:$D$3010,Cobranza!$B191,Recibos!K$4:K$3010)</f>
        <v>11000</v>
      </c>
      <c r="AZ191" s="319">
        <f>SUMIF(Recibos!$D$4:$D$3010,Cobranza!$B191,Recibos!L$4:L$3010)</f>
        <v>11000</v>
      </c>
      <c r="BA191" s="319">
        <f>SUMIF(Recibos!$D$4:$D$3010,Cobranza!$B191,Recibos!M$4:M$3010)</f>
        <v>11000</v>
      </c>
      <c r="BB191" s="319">
        <f>SUMIF(Recibos!$D$4:$D$3010,Cobranza!$B191,Recibos!N$4:N$3010)</f>
        <v>11000</v>
      </c>
      <c r="BC191" s="319">
        <f>SUMIF(Recibos!$D$4:$D$3010,Cobranza!$B191,Recibos!O$4:O$3010)</f>
        <v>11000</v>
      </c>
      <c r="BD191" s="319">
        <f>SUMIF(Recibos!$D$4:$D$3010,Cobranza!$B191,Recibos!P$4:P$3010)</f>
        <v>11000</v>
      </c>
      <c r="BE191" s="319">
        <f>SUMIF(Recibos!$D$4:$D$3010,Cobranza!$B191,Recibos!Q$4:Q$3010)</f>
        <v>11000</v>
      </c>
      <c r="BF191" s="319">
        <f>SUMIF(Recibos!$D$4:$D$3010,Cobranza!$B191,Recibos!R$4:R$3010)</f>
        <v>11000</v>
      </c>
      <c r="BG191" s="319">
        <f>SUMIF(Recibos!$D$4:$D$3010,Cobranza!$B191,Recibos!S$4:S$3010)</f>
        <v>11000</v>
      </c>
      <c r="BH191" s="319">
        <f>SUMIF(Recibos!$D$4:$D$3010,Cobranza!$B191,Recibos!T$4:T$3010)</f>
        <v>11000</v>
      </c>
      <c r="BI191" s="319">
        <f>SUMIF(Recibos!$D$4:$D$3010,Cobranza!$B191,Recibos!U$4:U$3010)</f>
        <v>11000</v>
      </c>
      <c r="BJ191" s="319">
        <f>SUMIF(Recibos!$D$4:$D$3010,Cobranza!$B191,Recibos!V$4:V$3010)</f>
        <v>11000</v>
      </c>
      <c r="BK191" s="320">
        <f t="shared" si="21"/>
        <v>132000</v>
      </c>
      <c r="BL191" s="319">
        <f>SUMIF(Recibos!$D$4:$D$3010,Cobranza!$B191,Recibos!X$4:X$3010)</f>
        <v>0</v>
      </c>
      <c r="BM191" s="319">
        <f>SUMIF(Recibos!$D$4:$D$3010,Cobranza!$B191,Recibos!Y$4:Y$3010)</f>
        <v>0</v>
      </c>
      <c r="BN191" s="319">
        <f>SUMIF(Recibos!$D$4:$D$3010,Cobranza!$B191,Recibos!Z$4:Z$3010)</f>
        <v>0</v>
      </c>
      <c r="BO191" s="319">
        <f>SUMIF(Recibos!$D$4:$D$3010,Cobranza!$B191,Recibos!AA$4:AA$3010)</f>
        <v>0</v>
      </c>
      <c r="BP191" s="319">
        <f>SUMIF(Recibos!$D$4:$D$3010,Cobranza!$B191,Recibos!AB$4:AB$3010)</f>
        <v>0</v>
      </c>
      <c r="BQ191" s="319">
        <f>SUMIF(Recibos!$D$4:$D$3010,Cobranza!$B191,Recibos!AC$4:AC$3010)</f>
        <v>0</v>
      </c>
      <c r="BR191" s="319">
        <f>SUMIF(Recibos!$D$4:$D$3010,Cobranza!$B191,Recibos!AD$4:AD$3010)</f>
        <v>0</v>
      </c>
      <c r="BS191" s="319">
        <f>SUMIF(Recibos!$D$4:$D$3010,Cobranza!$B191,Recibos!AE$4:AE$3010)</f>
        <v>0</v>
      </c>
      <c r="BT191" s="319">
        <f>SUMIF(Recibos!$D$4:$D$3010,Cobranza!$B191,Recibos!AF$4:AF$3010)</f>
        <v>0</v>
      </c>
      <c r="BU191" s="319">
        <f>SUMIF(Recibos!$D$4:$D$3010,Cobranza!$B191,Recibos!AG$4:AG$3010)</f>
        <v>0</v>
      </c>
      <c r="BV191" s="319">
        <f>SUMIF(Recibos!$D$4:$D$3010,Cobranza!$B191,Recibos!AH$4:AH$3010)</f>
        <v>0</v>
      </c>
      <c r="BW191" s="319">
        <f>SUMIF(Recibos!$D$4:$D$3010,Cobranza!$B191,Recibos!AI$4:AI$3010)</f>
        <v>0</v>
      </c>
      <c r="BX191" s="320">
        <f t="shared" si="22"/>
        <v>0</v>
      </c>
    </row>
    <row r="192" spans="2:76" x14ac:dyDescent="0.2">
      <c r="B192" s="42" t="s">
        <v>1350</v>
      </c>
      <c r="C192" s="42" t="s">
        <v>1351</v>
      </c>
      <c r="D192" s="42" t="s">
        <v>886</v>
      </c>
      <c r="E192" s="43">
        <v>0</v>
      </c>
      <c r="F192" s="43">
        <v>0</v>
      </c>
      <c r="G192" s="43">
        <v>0</v>
      </c>
      <c r="H192" s="43">
        <v>0</v>
      </c>
      <c r="I192" s="43">
        <v>0</v>
      </c>
      <c r="J192" s="43">
        <v>0</v>
      </c>
      <c r="K192" s="44">
        <f t="shared" si="17"/>
        <v>0</v>
      </c>
      <c r="L192" s="43">
        <v>0</v>
      </c>
      <c r="M192" s="43">
        <v>0</v>
      </c>
      <c r="N192" s="43">
        <v>0</v>
      </c>
      <c r="O192" s="43">
        <v>0</v>
      </c>
      <c r="P192" s="43">
        <v>0</v>
      </c>
      <c r="Q192" s="43">
        <v>0</v>
      </c>
      <c r="R192" s="43">
        <v>0</v>
      </c>
      <c r="S192" s="43">
        <v>0</v>
      </c>
      <c r="T192" s="43">
        <v>0</v>
      </c>
      <c r="U192" s="43">
        <v>0</v>
      </c>
      <c r="V192" s="43">
        <v>0</v>
      </c>
      <c r="W192" s="43">
        <v>0</v>
      </c>
      <c r="X192" s="44">
        <f t="shared" si="18"/>
        <v>0</v>
      </c>
      <c r="Y192" s="43">
        <v>0</v>
      </c>
      <c r="Z192" s="43">
        <v>0</v>
      </c>
      <c r="AA192" s="43">
        <v>0</v>
      </c>
      <c r="AB192" s="43">
        <v>0</v>
      </c>
      <c r="AC192" s="43">
        <v>0</v>
      </c>
      <c r="AD192" s="43">
        <v>0</v>
      </c>
      <c r="AE192" s="43">
        <v>0</v>
      </c>
      <c r="AF192" s="43">
        <v>0</v>
      </c>
      <c r="AG192" s="43">
        <v>0</v>
      </c>
      <c r="AH192" s="43">
        <v>0</v>
      </c>
      <c r="AI192" s="43">
        <v>0</v>
      </c>
      <c r="AJ192" s="43">
        <v>0</v>
      </c>
      <c r="AK192" s="44">
        <f t="shared" si="19"/>
        <v>0</v>
      </c>
      <c r="AL192" s="43">
        <v>0</v>
      </c>
      <c r="AM192" s="43">
        <v>0</v>
      </c>
      <c r="AN192" s="43">
        <v>0</v>
      </c>
      <c r="AO192" s="43">
        <v>0</v>
      </c>
      <c r="AP192" s="43">
        <v>0</v>
      </c>
      <c r="AQ192" s="43">
        <v>0</v>
      </c>
      <c r="AR192" s="43">
        <v>0</v>
      </c>
      <c r="AS192" s="43">
        <v>0</v>
      </c>
      <c r="AT192" s="43">
        <v>0</v>
      </c>
      <c r="AU192" s="43">
        <v>0</v>
      </c>
      <c r="AV192" s="43">
        <v>0</v>
      </c>
      <c r="AW192" s="43">
        <v>0</v>
      </c>
      <c r="AX192" s="44">
        <f t="shared" si="20"/>
        <v>0</v>
      </c>
      <c r="AY192" s="317">
        <f>SUMIF(Recibos!$D$4:$D$3010,Cobranza!$B192,Recibos!K$4:K$3010)</f>
        <v>0</v>
      </c>
      <c r="AZ192" s="317">
        <f>SUMIF(Recibos!$D$4:$D$3010,Cobranza!$B192,Recibos!L$4:L$3010)</f>
        <v>0</v>
      </c>
      <c r="BA192" s="317">
        <f>SUMIF(Recibos!$D$4:$D$3010,Cobranza!$B192,Recibos!M$4:M$3010)</f>
        <v>0</v>
      </c>
      <c r="BB192" s="317">
        <f>SUMIF(Recibos!$D$4:$D$3010,Cobranza!$B192,Recibos!N$4:N$3010)</f>
        <v>0</v>
      </c>
      <c r="BC192" s="317">
        <f>SUMIF(Recibos!$D$4:$D$3010,Cobranza!$B192,Recibos!O$4:O$3010)</f>
        <v>0</v>
      </c>
      <c r="BD192" s="317">
        <f>SUMIF(Recibos!$D$4:$D$3010,Cobranza!$B192,Recibos!P$4:P$3010)</f>
        <v>0</v>
      </c>
      <c r="BE192" s="317">
        <f>SUMIF(Recibos!$D$4:$D$3010,Cobranza!$B192,Recibos!Q$4:Q$3010)</f>
        <v>0</v>
      </c>
      <c r="BF192" s="317">
        <f>SUMIF(Recibos!$D$4:$D$3010,Cobranza!$B192,Recibos!R$4:R$3010)</f>
        <v>0</v>
      </c>
      <c r="BG192" s="317">
        <f>SUMIF(Recibos!$D$4:$D$3010,Cobranza!$B192,Recibos!S$4:S$3010)</f>
        <v>0</v>
      </c>
      <c r="BH192" s="317">
        <f>SUMIF(Recibos!$D$4:$D$3010,Cobranza!$B192,Recibos!T$4:T$3010)</f>
        <v>0</v>
      </c>
      <c r="BI192" s="317">
        <f>SUMIF(Recibos!$D$4:$D$3010,Cobranza!$B192,Recibos!U$4:U$3010)</f>
        <v>0</v>
      </c>
      <c r="BJ192" s="317">
        <f>SUMIF(Recibos!$D$4:$D$3010,Cobranza!$B192,Recibos!V$4:V$3010)</f>
        <v>0</v>
      </c>
      <c r="BK192" s="318">
        <f t="shared" si="21"/>
        <v>0</v>
      </c>
      <c r="BL192" s="317">
        <f>SUMIF(Recibos!$D$4:$D$3010,Cobranza!$B192,Recibos!X$4:X$3010)</f>
        <v>0</v>
      </c>
      <c r="BM192" s="317">
        <f>SUMIF(Recibos!$D$4:$D$3010,Cobranza!$B192,Recibos!Y$4:Y$3010)</f>
        <v>0</v>
      </c>
      <c r="BN192" s="317">
        <f>SUMIF(Recibos!$D$4:$D$3010,Cobranza!$B192,Recibos!Z$4:Z$3010)</f>
        <v>0</v>
      </c>
      <c r="BO192" s="317">
        <f>SUMIF(Recibos!$D$4:$D$3010,Cobranza!$B192,Recibos!AA$4:AA$3010)</f>
        <v>0</v>
      </c>
      <c r="BP192" s="317">
        <f>SUMIF(Recibos!$D$4:$D$3010,Cobranza!$B192,Recibos!AB$4:AB$3010)</f>
        <v>0</v>
      </c>
      <c r="BQ192" s="317">
        <f>SUMIF(Recibos!$D$4:$D$3010,Cobranza!$B192,Recibos!AC$4:AC$3010)</f>
        <v>0</v>
      </c>
      <c r="BR192" s="317">
        <f>SUMIF(Recibos!$D$4:$D$3010,Cobranza!$B192,Recibos!AD$4:AD$3010)</f>
        <v>0</v>
      </c>
      <c r="BS192" s="317">
        <f>SUMIF(Recibos!$D$4:$D$3010,Cobranza!$B192,Recibos!AE$4:AE$3010)</f>
        <v>0</v>
      </c>
      <c r="BT192" s="317">
        <f>SUMIF(Recibos!$D$4:$D$3010,Cobranza!$B192,Recibos!AF$4:AF$3010)</f>
        <v>0</v>
      </c>
      <c r="BU192" s="317">
        <f>SUMIF(Recibos!$D$4:$D$3010,Cobranza!$B192,Recibos!AG$4:AG$3010)</f>
        <v>0</v>
      </c>
      <c r="BV192" s="317">
        <f>SUMIF(Recibos!$D$4:$D$3010,Cobranza!$B192,Recibos!AH$4:AH$3010)</f>
        <v>0</v>
      </c>
      <c r="BW192" s="317">
        <f>SUMIF(Recibos!$D$4:$D$3010,Cobranza!$B192,Recibos!AI$4:AI$3010)</f>
        <v>0</v>
      </c>
      <c r="BX192" s="318">
        <f t="shared" si="22"/>
        <v>0</v>
      </c>
    </row>
    <row r="193" spans="2:76" x14ac:dyDescent="0.2">
      <c r="B193" s="45" t="s">
        <v>731</v>
      </c>
      <c r="C193" s="45" t="s">
        <v>732</v>
      </c>
      <c r="D193" s="45" t="s">
        <v>733</v>
      </c>
      <c r="E193" s="46">
        <v>0</v>
      </c>
      <c r="F193" s="46">
        <v>0</v>
      </c>
      <c r="G193" s="46">
        <v>0</v>
      </c>
      <c r="H193" s="46">
        <v>0</v>
      </c>
      <c r="I193" s="46">
        <v>0</v>
      </c>
      <c r="J193" s="46">
        <v>0</v>
      </c>
      <c r="K193" s="47">
        <f t="shared" si="17"/>
        <v>0</v>
      </c>
      <c r="L193" s="46">
        <v>0</v>
      </c>
      <c r="M193" s="46">
        <v>0</v>
      </c>
      <c r="N193" s="46">
        <v>0</v>
      </c>
      <c r="O193" s="46">
        <v>0</v>
      </c>
      <c r="P193" s="46">
        <v>0</v>
      </c>
      <c r="Q193" s="46">
        <v>0</v>
      </c>
      <c r="R193" s="46">
        <v>0</v>
      </c>
      <c r="S193" s="46">
        <v>250</v>
      </c>
      <c r="T193" s="46">
        <v>250</v>
      </c>
      <c r="U193" s="46">
        <v>300</v>
      </c>
      <c r="V193" s="46">
        <v>300</v>
      </c>
      <c r="W193" s="46">
        <v>300</v>
      </c>
      <c r="X193" s="47">
        <f t="shared" si="18"/>
        <v>1400</v>
      </c>
      <c r="Y193" s="46">
        <v>300</v>
      </c>
      <c r="Z193" s="46">
        <v>300</v>
      </c>
      <c r="AA193" s="46">
        <v>300</v>
      </c>
      <c r="AB193" s="46">
        <v>300</v>
      </c>
      <c r="AC193" s="46">
        <v>300</v>
      </c>
      <c r="AD193" s="46">
        <v>300</v>
      </c>
      <c r="AE193" s="46">
        <v>300</v>
      </c>
      <c r="AF193" s="46">
        <v>300</v>
      </c>
      <c r="AG193" s="46">
        <v>300</v>
      </c>
      <c r="AH193" s="46">
        <v>300</v>
      </c>
      <c r="AI193" s="46">
        <v>300</v>
      </c>
      <c r="AJ193" s="46">
        <v>300</v>
      </c>
      <c r="AK193" s="47">
        <f t="shared" si="19"/>
        <v>3600</v>
      </c>
      <c r="AL193" s="46">
        <v>300</v>
      </c>
      <c r="AM193" s="46">
        <v>300</v>
      </c>
      <c r="AN193" s="46">
        <v>300</v>
      </c>
      <c r="AO193" s="46">
        <v>300</v>
      </c>
      <c r="AP193" s="46">
        <v>300</v>
      </c>
      <c r="AQ193" s="46">
        <v>300</v>
      </c>
      <c r="AR193" s="46">
        <v>300</v>
      </c>
      <c r="AS193" s="46">
        <v>300</v>
      </c>
      <c r="AT193" s="46">
        <v>300</v>
      </c>
      <c r="AU193" s="46">
        <v>300</v>
      </c>
      <c r="AV193" s="46">
        <v>0</v>
      </c>
      <c r="AW193" s="46">
        <v>0</v>
      </c>
      <c r="AX193" s="47">
        <f t="shared" si="20"/>
        <v>3000</v>
      </c>
      <c r="AY193" s="319">
        <f>SUMIF(Recibos!$D$4:$D$3010,Cobranza!$B193,Recibos!K$4:K$3010)</f>
        <v>300</v>
      </c>
      <c r="AZ193" s="319">
        <f>SUMIF(Recibos!$D$4:$D$3010,Cobranza!$B193,Recibos!L$4:L$3010)</f>
        <v>300</v>
      </c>
      <c r="BA193" s="319">
        <f>SUMIF(Recibos!$D$4:$D$3010,Cobranza!$B193,Recibos!M$4:M$3010)</f>
        <v>300</v>
      </c>
      <c r="BB193" s="319">
        <f>SUMIF(Recibos!$D$4:$D$3010,Cobranza!$B193,Recibos!N$4:N$3010)</f>
        <v>300</v>
      </c>
      <c r="BC193" s="319">
        <f>SUMIF(Recibos!$D$4:$D$3010,Cobranza!$B193,Recibos!O$4:O$3010)</f>
        <v>300</v>
      </c>
      <c r="BD193" s="319">
        <f>SUMIF(Recibos!$D$4:$D$3010,Cobranza!$B193,Recibos!P$4:P$3010)</f>
        <v>300</v>
      </c>
      <c r="BE193" s="319">
        <f>SUMIF(Recibos!$D$4:$D$3010,Cobranza!$B193,Recibos!Q$4:Q$3010)</f>
        <v>300</v>
      </c>
      <c r="BF193" s="319">
        <f>SUMIF(Recibos!$D$4:$D$3010,Cobranza!$B193,Recibos!R$4:R$3010)</f>
        <v>300</v>
      </c>
      <c r="BG193" s="319">
        <f>SUMIF(Recibos!$D$4:$D$3010,Cobranza!$B193,Recibos!S$4:S$3010)</f>
        <v>300</v>
      </c>
      <c r="BH193" s="319">
        <f>SUMIF(Recibos!$D$4:$D$3010,Cobranza!$B193,Recibos!T$4:T$3010)</f>
        <v>0</v>
      </c>
      <c r="BI193" s="319">
        <f>SUMIF(Recibos!$D$4:$D$3010,Cobranza!$B193,Recibos!U$4:U$3010)</f>
        <v>0</v>
      </c>
      <c r="BJ193" s="319">
        <f>SUMIF(Recibos!$D$4:$D$3010,Cobranza!$B193,Recibos!V$4:V$3010)</f>
        <v>0</v>
      </c>
      <c r="BK193" s="320">
        <f t="shared" si="21"/>
        <v>2700</v>
      </c>
      <c r="BL193" s="319">
        <f>SUMIF(Recibos!$D$4:$D$3010,Cobranza!$B193,Recibos!X$4:X$3010)</f>
        <v>0</v>
      </c>
      <c r="BM193" s="319">
        <f>SUMIF(Recibos!$D$4:$D$3010,Cobranza!$B193,Recibos!Y$4:Y$3010)</f>
        <v>0</v>
      </c>
      <c r="BN193" s="319">
        <f>SUMIF(Recibos!$D$4:$D$3010,Cobranza!$B193,Recibos!Z$4:Z$3010)</f>
        <v>0</v>
      </c>
      <c r="BO193" s="319">
        <f>SUMIF(Recibos!$D$4:$D$3010,Cobranza!$B193,Recibos!AA$4:AA$3010)</f>
        <v>0</v>
      </c>
      <c r="BP193" s="319">
        <f>SUMIF(Recibos!$D$4:$D$3010,Cobranza!$B193,Recibos!AB$4:AB$3010)</f>
        <v>0</v>
      </c>
      <c r="BQ193" s="319">
        <f>SUMIF(Recibos!$D$4:$D$3010,Cobranza!$B193,Recibos!AC$4:AC$3010)</f>
        <v>0</v>
      </c>
      <c r="BR193" s="319">
        <f>SUMIF(Recibos!$D$4:$D$3010,Cobranza!$B193,Recibos!AD$4:AD$3010)</f>
        <v>0</v>
      </c>
      <c r="BS193" s="319">
        <f>SUMIF(Recibos!$D$4:$D$3010,Cobranza!$B193,Recibos!AE$4:AE$3010)</f>
        <v>0</v>
      </c>
      <c r="BT193" s="319">
        <f>SUMIF(Recibos!$D$4:$D$3010,Cobranza!$B193,Recibos!AF$4:AF$3010)</f>
        <v>0</v>
      </c>
      <c r="BU193" s="319">
        <f>SUMIF(Recibos!$D$4:$D$3010,Cobranza!$B193,Recibos!AG$4:AG$3010)</f>
        <v>0</v>
      </c>
      <c r="BV193" s="319">
        <f>SUMIF(Recibos!$D$4:$D$3010,Cobranza!$B193,Recibos!AH$4:AH$3010)</f>
        <v>0</v>
      </c>
      <c r="BW193" s="319">
        <f>SUMIF(Recibos!$D$4:$D$3010,Cobranza!$B193,Recibos!AI$4:AI$3010)</f>
        <v>0</v>
      </c>
      <c r="BX193" s="320">
        <f t="shared" si="22"/>
        <v>0</v>
      </c>
    </row>
    <row r="194" spans="2:76" x14ac:dyDescent="0.2">
      <c r="B194" s="42" t="s">
        <v>1352</v>
      </c>
      <c r="C194" s="42" t="s">
        <v>1351</v>
      </c>
      <c r="D194" s="42"/>
      <c r="E194" s="43">
        <v>0</v>
      </c>
      <c r="F194" s="43">
        <v>0</v>
      </c>
      <c r="G194" s="43">
        <v>0</v>
      </c>
      <c r="H194" s="43">
        <v>0</v>
      </c>
      <c r="I194" s="43">
        <v>0</v>
      </c>
      <c r="J194" s="43">
        <v>250</v>
      </c>
      <c r="K194" s="44">
        <f t="shared" si="17"/>
        <v>250</v>
      </c>
      <c r="L194" s="43">
        <v>250</v>
      </c>
      <c r="M194" s="43">
        <v>250</v>
      </c>
      <c r="N194" s="43">
        <v>250</v>
      </c>
      <c r="O194" s="43">
        <v>250</v>
      </c>
      <c r="P194" s="43">
        <v>250</v>
      </c>
      <c r="Q194" s="43">
        <v>250</v>
      </c>
      <c r="R194" s="43">
        <v>250</v>
      </c>
      <c r="S194" s="43">
        <v>0</v>
      </c>
      <c r="T194" s="43">
        <v>0</v>
      </c>
      <c r="U194" s="43">
        <v>0</v>
      </c>
      <c r="V194" s="43">
        <v>0</v>
      </c>
      <c r="W194" s="43">
        <v>0</v>
      </c>
      <c r="X194" s="44">
        <f t="shared" si="18"/>
        <v>1750</v>
      </c>
      <c r="Y194" s="43">
        <v>0</v>
      </c>
      <c r="Z194" s="43">
        <v>0</v>
      </c>
      <c r="AA194" s="43">
        <v>0</v>
      </c>
      <c r="AB194" s="43">
        <v>0</v>
      </c>
      <c r="AC194" s="43">
        <v>0</v>
      </c>
      <c r="AD194" s="43">
        <v>0</v>
      </c>
      <c r="AE194" s="43">
        <v>0</v>
      </c>
      <c r="AF194" s="43">
        <v>0</v>
      </c>
      <c r="AG194" s="43">
        <v>0</v>
      </c>
      <c r="AH194" s="43">
        <v>0</v>
      </c>
      <c r="AI194" s="43">
        <v>0</v>
      </c>
      <c r="AJ194" s="43">
        <v>0</v>
      </c>
      <c r="AK194" s="44">
        <f t="shared" si="19"/>
        <v>0</v>
      </c>
      <c r="AL194" s="43">
        <v>0</v>
      </c>
      <c r="AM194" s="43">
        <v>0</v>
      </c>
      <c r="AN194" s="43">
        <v>0</v>
      </c>
      <c r="AO194" s="43">
        <v>0</v>
      </c>
      <c r="AP194" s="43">
        <v>0</v>
      </c>
      <c r="AQ194" s="43">
        <v>0</v>
      </c>
      <c r="AR194" s="43">
        <v>0</v>
      </c>
      <c r="AS194" s="43">
        <v>0</v>
      </c>
      <c r="AT194" s="43">
        <v>0</v>
      </c>
      <c r="AU194" s="43">
        <v>0</v>
      </c>
      <c r="AV194" s="43">
        <v>0</v>
      </c>
      <c r="AW194" s="43">
        <v>0</v>
      </c>
      <c r="AX194" s="44">
        <f t="shared" si="20"/>
        <v>0</v>
      </c>
      <c r="AY194" s="317">
        <f>SUMIF(Recibos!$D$4:$D$3010,Cobranza!$B194,Recibos!K$4:K$3010)</f>
        <v>0</v>
      </c>
      <c r="AZ194" s="317">
        <f>SUMIF(Recibos!$D$4:$D$3010,Cobranza!$B194,Recibos!L$4:L$3010)</f>
        <v>0</v>
      </c>
      <c r="BA194" s="317">
        <f>SUMIF(Recibos!$D$4:$D$3010,Cobranza!$B194,Recibos!M$4:M$3010)</f>
        <v>0</v>
      </c>
      <c r="BB194" s="317">
        <f>SUMIF(Recibos!$D$4:$D$3010,Cobranza!$B194,Recibos!N$4:N$3010)</f>
        <v>0</v>
      </c>
      <c r="BC194" s="317">
        <f>SUMIF(Recibos!$D$4:$D$3010,Cobranza!$B194,Recibos!O$4:O$3010)</f>
        <v>0</v>
      </c>
      <c r="BD194" s="317">
        <f>SUMIF(Recibos!$D$4:$D$3010,Cobranza!$B194,Recibos!P$4:P$3010)</f>
        <v>0</v>
      </c>
      <c r="BE194" s="317">
        <f>SUMIF(Recibos!$D$4:$D$3010,Cobranza!$B194,Recibos!Q$4:Q$3010)</f>
        <v>0</v>
      </c>
      <c r="BF194" s="317">
        <f>SUMIF(Recibos!$D$4:$D$3010,Cobranza!$B194,Recibos!R$4:R$3010)</f>
        <v>0</v>
      </c>
      <c r="BG194" s="317">
        <f>SUMIF(Recibos!$D$4:$D$3010,Cobranza!$B194,Recibos!S$4:S$3010)</f>
        <v>0</v>
      </c>
      <c r="BH194" s="317">
        <f>SUMIF(Recibos!$D$4:$D$3010,Cobranza!$B194,Recibos!T$4:T$3010)</f>
        <v>0</v>
      </c>
      <c r="BI194" s="317">
        <f>SUMIF(Recibos!$D$4:$D$3010,Cobranza!$B194,Recibos!U$4:U$3010)</f>
        <v>0</v>
      </c>
      <c r="BJ194" s="317">
        <f>SUMIF(Recibos!$D$4:$D$3010,Cobranza!$B194,Recibos!V$4:V$3010)</f>
        <v>0</v>
      </c>
      <c r="BK194" s="318">
        <f t="shared" si="21"/>
        <v>0</v>
      </c>
      <c r="BL194" s="317">
        <f>SUMIF(Recibos!$D$4:$D$3010,Cobranza!$B194,Recibos!X$4:X$3010)</f>
        <v>0</v>
      </c>
      <c r="BM194" s="317">
        <f>SUMIF(Recibos!$D$4:$D$3010,Cobranza!$B194,Recibos!Y$4:Y$3010)</f>
        <v>0</v>
      </c>
      <c r="BN194" s="317">
        <f>SUMIF(Recibos!$D$4:$D$3010,Cobranza!$B194,Recibos!Z$4:Z$3010)</f>
        <v>0</v>
      </c>
      <c r="BO194" s="317">
        <f>SUMIF(Recibos!$D$4:$D$3010,Cobranza!$B194,Recibos!AA$4:AA$3010)</f>
        <v>0</v>
      </c>
      <c r="BP194" s="317">
        <f>SUMIF(Recibos!$D$4:$D$3010,Cobranza!$B194,Recibos!AB$4:AB$3010)</f>
        <v>0</v>
      </c>
      <c r="BQ194" s="317">
        <f>SUMIF(Recibos!$D$4:$D$3010,Cobranza!$B194,Recibos!AC$4:AC$3010)</f>
        <v>0</v>
      </c>
      <c r="BR194" s="317">
        <f>SUMIF(Recibos!$D$4:$D$3010,Cobranza!$B194,Recibos!AD$4:AD$3010)</f>
        <v>0</v>
      </c>
      <c r="BS194" s="317">
        <f>SUMIF(Recibos!$D$4:$D$3010,Cobranza!$B194,Recibos!AE$4:AE$3010)</f>
        <v>0</v>
      </c>
      <c r="BT194" s="317">
        <f>SUMIF(Recibos!$D$4:$D$3010,Cobranza!$B194,Recibos!AF$4:AF$3010)</f>
        <v>0</v>
      </c>
      <c r="BU194" s="317">
        <f>SUMIF(Recibos!$D$4:$D$3010,Cobranza!$B194,Recibos!AG$4:AG$3010)</f>
        <v>0</v>
      </c>
      <c r="BV194" s="317">
        <f>SUMIF(Recibos!$D$4:$D$3010,Cobranza!$B194,Recibos!AH$4:AH$3010)</f>
        <v>0</v>
      </c>
      <c r="BW194" s="317">
        <f>SUMIF(Recibos!$D$4:$D$3010,Cobranza!$B194,Recibos!AI$4:AI$3010)</f>
        <v>0</v>
      </c>
      <c r="BX194" s="318">
        <f t="shared" si="22"/>
        <v>0</v>
      </c>
    </row>
    <row r="195" spans="2:76" x14ac:dyDescent="0.2">
      <c r="B195" s="45" t="s">
        <v>199</v>
      </c>
      <c r="C195" s="45" t="s">
        <v>200</v>
      </c>
      <c r="D195" s="45" t="s">
        <v>201</v>
      </c>
      <c r="E195" s="46">
        <v>0</v>
      </c>
      <c r="F195" s="46">
        <v>0</v>
      </c>
      <c r="G195" s="46">
        <v>0</v>
      </c>
      <c r="H195" s="46">
        <v>0</v>
      </c>
      <c r="I195" s="46">
        <v>0</v>
      </c>
      <c r="J195" s="46">
        <v>0</v>
      </c>
      <c r="K195" s="47">
        <f t="shared" si="17"/>
        <v>0</v>
      </c>
      <c r="L195" s="46">
        <v>0</v>
      </c>
      <c r="M195" s="46">
        <v>0</v>
      </c>
      <c r="N195" s="46">
        <v>0</v>
      </c>
      <c r="O195" s="46">
        <v>0</v>
      </c>
      <c r="P195" s="46">
        <v>0</v>
      </c>
      <c r="Q195" s="46">
        <v>0</v>
      </c>
      <c r="R195" s="46">
        <v>0</v>
      </c>
      <c r="S195" s="46">
        <v>0</v>
      </c>
      <c r="T195" s="46">
        <v>0</v>
      </c>
      <c r="U195" s="46">
        <v>0</v>
      </c>
      <c r="V195" s="46">
        <v>0</v>
      </c>
      <c r="W195" s="46">
        <v>0</v>
      </c>
      <c r="X195" s="47">
        <f t="shared" si="18"/>
        <v>0</v>
      </c>
      <c r="Y195" s="46">
        <v>0</v>
      </c>
      <c r="Z195" s="46">
        <v>0</v>
      </c>
      <c r="AA195" s="46">
        <v>0</v>
      </c>
      <c r="AB195" s="46">
        <v>0</v>
      </c>
      <c r="AC195" s="46">
        <v>0</v>
      </c>
      <c r="AD195" s="46">
        <v>0</v>
      </c>
      <c r="AE195" s="46">
        <v>0</v>
      </c>
      <c r="AF195" s="46">
        <v>0</v>
      </c>
      <c r="AG195" s="46">
        <v>0</v>
      </c>
      <c r="AH195" s="46">
        <v>0</v>
      </c>
      <c r="AI195" s="46">
        <v>0</v>
      </c>
      <c r="AJ195" s="46">
        <v>0</v>
      </c>
      <c r="AK195" s="47">
        <f t="shared" si="19"/>
        <v>0</v>
      </c>
      <c r="AL195" s="46">
        <v>0</v>
      </c>
      <c r="AM195" s="46">
        <v>0</v>
      </c>
      <c r="AN195" s="46">
        <v>0</v>
      </c>
      <c r="AO195" s="46">
        <v>0</v>
      </c>
      <c r="AP195" s="46">
        <v>0</v>
      </c>
      <c r="AQ195" s="46">
        <v>0</v>
      </c>
      <c r="AR195" s="46">
        <v>0</v>
      </c>
      <c r="AS195" s="46">
        <v>0</v>
      </c>
      <c r="AT195" s="46">
        <v>0</v>
      </c>
      <c r="AU195" s="46">
        <v>0</v>
      </c>
      <c r="AV195" s="46">
        <v>0</v>
      </c>
      <c r="AW195" s="46">
        <v>0</v>
      </c>
      <c r="AX195" s="47">
        <f t="shared" si="20"/>
        <v>0</v>
      </c>
      <c r="AY195" s="319">
        <f>SUMIF(Recibos!$D$4:$D$3010,Cobranza!$B195,Recibos!K$4:K$3010)</f>
        <v>400</v>
      </c>
      <c r="AZ195" s="319">
        <f>SUMIF(Recibos!$D$4:$D$3010,Cobranza!$B195,Recibos!L$4:L$3010)</f>
        <v>400</v>
      </c>
      <c r="BA195" s="319">
        <f>SUMIF(Recibos!$D$4:$D$3010,Cobranza!$B195,Recibos!M$4:M$3010)</f>
        <v>400</v>
      </c>
      <c r="BB195" s="319">
        <f>SUMIF(Recibos!$D$4:$D$3010,Cobranza!$B195,Recibos!N$4:N$3010)</f>
        <v>400</v>
      </c>
      <c r="BC195" s="319">
        <f>SUMIF(Recibos!$D$4:$D$3010,Cobranza!$B195,Recibos!O$4:O$3010)</f>
        <v>400</v>
      </c>
      <c r="BD195" s="319">
        <f>SUMIF(Recibos!$D$4:$D$3010,Cobranza!$B195,Recibos!P$4:P$3010)</f>
        <v>400</v>
      </c>
      <c r="BE195" s="319">
        <f>SUMIF(Recibos!$D$4:$D$3010,Cobranza!$B195,Recibos!Q$4:Q$3010)</f>
        <v>400</v>
      </c>
      <c r="BF195" s="319">
        <f>SUMIF(Recibos!$D$4:$D$3010,Cobranza!$B195,Recibos!R$4:R$3010)</f>
        <v>0</v>
      </c>
      <c r="BG195" s="319">
        <f>SUMIF(Recibos!$D$4:$D$3010,Cobranza!$B195,Recibos!S$4:S$3010)</f>
        <v>0</v>
      </c>
      <c r="BH195" s="319">
        <f>SUMIF(Recibos!$D$4:$D$3010,Cobranza!$B195,Recibos!T$4:T$3010)</f>
        <v>0</v>
      </c>
      <c r="BI195" s="319">
        <f>SUMIF(Recibos!$D$4:$D$3010,Cobranza!$B195,Recibos!U$4:U$3010)</f>
        <v>0</v>
      </c>
      <c r="BJ195" s="319">
        <f>SUMIF(Recibos!$D$4:$D$3010,Cobranza!$B195,Recibos!V$4:V$3010)</f>
        <v>0</v>
      </c>
      <c r="BK195" s="320">
        <f t="shared" si="21"/>
        <v>2800</v>
      </c>
      <c r="BL195" s="319">
        <f>SUMIF(Recibos!$D$4:$D$3010,Cobranza!$B195,Recibos!X$4:X$3010)</f>
        <v>0</v>
      </c>
      <c r="BM195" s="319">
        <f>SUMIF(Recibos!$D$4:$D$3010,Cobranza!$B195,Recibos!Y$4:Y$3010)</f>
        <v>0</v>
      </c>
      <c r="BN195" s="319">
        <f>SUMIF(Recibos!$D$4:$D$3010,Cobranza!$B195,Recibos!Z$4:Z$3010)</f>
        <v>0</v>
      </c>
      <c r="BO195" s="319">
        <f>SUMIF(Recibos!$D$4:$D$3010,Cobranza!$B195,Recibos!AA$4:AA$3010)</f>
        <v>0</v>
      </c>
      <c r="BP195" s="319">
        <f>SUMIF(Recibos!$D$4:$D$3010,Cobranza!$B195,Recibos!AB$4:AB$3010)</f>
        <v>0</v>
      </c>
      <c r="BQ195" s="319">
        <f>SUMIF(Recibos!$D$4:$D$3010,Cobranza!$B195,Recibos!AC$4:AC$3010)</f>
        <v>0</v>
      </c>
      <c r="BR195" s="319">
        <f>SUMIF(Recibos!$D$4:$D$3010,Cobranza!$B195,Recibos!AD$4:AD$3010)</f>
        <v>0</v>
      </c>
      <c r="BS195" s="319">
        <f>SUMIF(Recibos!$D$4:$D$3010,Cobranza!$B195,Recibos!AE$4:AE$3010)</f>
        <v>0</v>
      </c>
      <c r="BT195" s="319">
        <f>SUMIF(Recibos!$D$4:$D$3010,Cobranza!$B195,Recibos!AF$4:AF$3010)</f>
        <v>0</v>
      </c>
      <c r="BU195" s="319">
        <f>SUMIF(Recibos!$D$4:$D$3010,Cobranza!$B195,Recibos!AG$4:AG$3010)</f>
        <v>0</v>
      </c>
      <c r="BV195" s="319">
        <f>SUMIF(Recibos!$D$4:$D$3010,Cobranza!$B195,Recibos!AH$4:AH$3010)</f>
        <v>0</v>
      </c>
      <c r="BW195" s="319">
        <f>SUMIF(Recibos!$D$4:$D$3010,Cobranza!$B195,Recibos!AI$4:AI$3010)</f>
        <v>0</v>
      </c>
      <c r="BX195" s="320">
        <f t="shared" si="22"/>
        <v>0</v>
      </c>
    </row>
    <row r="196" spans="2:76" x14ac:dyDescent="0.2">
      <c r="B196" s="42" t="s">
        <v>523</v>
      </c>
      <c r="C196" s="42" t="s">
        <v>524</v>
      </c>
      <c r="D196" s="42" t="s">
        <v>525</v>
      </c>
      <c r="E196" s="43">
        <v>0</v>
      </c>
      <c r="F196" s="43">
        <v>0</v>
      </c>
      <c r="G196" s="43">
        <v>0</v>
      </c>
      <c r="H196" s="43">
        <v>0</v>
      </c>
      <c r="I196" s="43">
        <v>0</v>
      </c>
      <c r="J196" s="43">
        <v>300</v>
      </c>
      <c r="K196" s="44">
        <f t="shared" si="17"/>
        <v>300</v>
      </c>
      <c r="L196" s="43">
        <v>300</v>
      </c>
      <c r="M196" s="43">
        <v>300</v>
      </c>
      <c r="N196" s="43">
        <v>300</v>
      </c>
      <c r="O196" s="43">
        <v>300</v>
      </c>
      <c r="P196" s="43">
        <v>300</v>
      </c>
      <c r="Q196" s="43">
        <v>300</v>
      </c>
      <c r="R196" s="43">
        <v>300</v>
      </c>
      <c r="S196" s="43">
        <v>300</v>
      </c>
      <c r="T196" s="43">
        <v>300</v>
      </c>
      <c r="U196" s="43">
        <v>300</v>
      </c>
      <c r="V196" s="43">
        <v>300</v>
      </c>
      <c r="W196" s="43">
        <v>300</v>
      </c>
      <c r="X196" s="44">
        <f t="shared" si="18"/>
        <v>3600</v>
      </c>
      <c r="Y196" s="43">
        <v>400</v>
      </c>
      <c r="Z196" s="43">
        <v>400</v>
      </c>
      <c r="AA196" s="43">
        <v>400</v>
      </c>
      <c r="AB196" s="43">
        <v>400</v>
      </c>
      <c r="AC196" s="43">
        <v>400</v>
      </c>
      <c r="AD196" s="43">
        <v>400</v>
      </c>
      <c r="AE196" s="43">
        <v>400</v>
      </c>
      <c r="AF196" s="43">
        <v>400</v>
      </c>
      <c r="AG196" s="43">
        <v>400</v>
      </c>
      <c r="AH196" s="43">
        <v>400</v>
      </c>
      <c r="AI196" s="43">
        <v>400</v>
      </c>
      <c r="AJ196" s="43">
        <v>400</v>
      </c>
      <c r="AK196" s="44">
        <f t="shared" si="19"/>
        <v>4800</v>
      </c>
      <c r="AL196" s="43">
        <v>400</v>
      </c>
      <c r="AM196" s="43">
        <v>400</v>
      </c>
      <c r="AN196" s="43">
        <v>400</v>
      </c>
      <c r="AO196" s="43">
        <v>400</v>
      </c>
      <c r="AP196" s="43">
        <v>400</v>
      </c>
      <c r="AQ196" s="43">
        <v>400</v>
      </c>
      <c r="AR196" s="43">
        <v>400</v>
      </c>
      <c r="AS196" s="43">
        <v>400</v>
      </c>
      <c r="AT196" s="43">
        <v>400</v>
      </c>
      <c r="AU196" s="43">
        <v>400</v>
      </c>
      <c r="AV196" s="43">
        <v>400</v>
      </c>
      <c r="AW196" s="43">
        <v>400</v>
      </c>
      <c r="AX196" s="44">
        <f t="shared" si="20"/>
        <v>4800</v>
      </c>
      <c r="AY196" s="317">
        <f>SUMIF(Recibos!$D$4:$D$3010,Cobranza!$B196,Recibos!K$4:K$3010)</f>
        <v>400</v>
      </c>
      <c r="AZ196" s="317">
        <f>SUMIF(Recibos!$D$4:$D$3010,Cobranza!$B196,Recibos!L$4:L$3010)</f>
        <v>400</v>
      </c>
      <c r="BA196" s="317">
        <f>SUMIF(Recibos!$D$4:$D$3010,Cobranza!$B196,Recibos!M$4:M$3010)</f>
        <v>400</v>
      </c>
      <c r="BB196" s="317">
        <f>SUMIF(Recibos!$D$4:$D$3010,Cobranza!$B196,Recibos!N$4:N$3010)</f>
        <v>400</v>
      </c>
      <c r="BC196" s="317">
        <f>SUMIF(Recibos!$D$4:$D$3010,Cobranza!$B196,Recibos!O$4:O$3010)</f>
        <v>400</v>
      </c>
      <c r="BD196" s="317">
        <f>SUMIF(Recibos!$D$4:$D$3010,Cobranza!$B196,Recibos!P$4:P$3010)</f>
        <v>400</v>
      </c>
      <c r="BE196" s="317">
        <f>SUMIF(Recibos!$D$4:$D$3010,Cobranza!$B196,Recibos!Q$4:Q$3010)</f>
        <v>400</v>
      </c>
      <c r="BF196" s="317">
        <f>SUMIF(Recibos!$D$4:$D$3010,Cobranza!$B196,Recibos!R$4:R$3010)</f>
        <v>400</v>
      </c>
      <c r="BG196" s="317">
        <f>SUMIF(Recibos!$D$4:$D$3010,Cobranza!$B196,Recibos!S$4:S$3010)</f>
        <v>400</v>
      </c>
      <c r="BH196" s="317">
        <f>SUMIF(Recibos!$D$4:$D$3010,Cobranza!$B196,Recibos!T$4:T$3010)</f>
        <v>400</v>
      </c>
      <c r="BI196" s="317">
        <f>SUMIF(Recibos!$D$4:$D$3010,Cobranza!$B196,Recibos!U$4:U$3010)</f>
        <v>400</v>
      </c>
      <c r="BJ196" s="317">
        <f>SUMIF(Recibos!$D$4:$D$3010,Cobranza!$B196,Recibos!V$4:V$3010)</f>
        <v>400</v>
      </c>
      <c r="BK196" s="318">
        <f t="shared" si="21"/>
        <v>4800</v>
      </c>
      <c r="BL196" s="317">
        <f>SUMIF(Recibos!$D$4:$D$3010,Cobranza!$B196,Recibos!X$4:X$3010)</f>
        <v>0</v>
      </c>
      <c r="BM196" s="317">
        <f>SUMIF(Recibos!$D$4:$D$3010,Cobranza!$B196,Recibos!Y$4:Y$3010)</f>
        <v>0</v>
      </c>
      <c r="BN196" s="317">
        <f>SUMIF(Recibos!$D$4:$D$3010,Cobranza!$B196,Recibos!Z$4:Z$3010)</f>
        <v>0</v>
      </c>
      <c r="BO196" s="317">
        <f>SUMIF(Recibos!$D$4:$D$3010,Cobranza!$B196,Recibos!AA$4:AA$3010)</f>
        <v>0</v>
      </c>
      <c r="BP196" s="317">
        <f>SUMIF(Recibos!$D$4:$D$3010,Cobranza!$B196,Recibos!AB$4:AB$3010)</f>
        <v>0</v>
      </c>
      <c r="BQ196" s="317">
        <f>SUMIF(Recibos!$D$4:$D$3010,Cobranza!$B196,Recibos!AC$4:AC$3010)</f>
        <v>0</v>
      </c>
      <c r="BR196" s="317">
        <f>SUMIF(Recibos!$D$4:$D$3010,Cobranza!$B196,Recibos!AD$4:AD$3010)</f>
        <v>0</v>
      </c>
      <c r="BS196" s="317">
        <f>SUMIF(Recibos!$D$4:$D$3010,Cobranza!$B196,Recibos!AE$4:AE$3010)</f>
        <v>0</v>
      </c>
      <c r="BT196" s="317">
        <f>SUMIF(Recibos!$D$4:$D$3010,Cobranza!$B196,Recibos!AF$4:AF$3010)</f>
        <v>0</v>
      </c>
      <c r="BU196" s="317">
        <f>SUMIF(Recibos!$D$4:$D$3010,Cobranza!$B196,Recibos!AG$4:AG$3010)</f>
        <v>0</v>
      </c>
      <c r="BV196" s="317">
        <f>SUMIF(Recibos!$D$4:$D$3010,Cobranza!$B196,Recibos!AH$4:AH$3010)</f>
        <v>0</v>
      </c>
      <c r="BW196" s="317">
        <f>SUMIF(Recibos!$D$4:$D$3010,Cobranza!$B196,Recibos!AI$4:AI$3010)</f>
        <v>0</v>
      </c>
      <c r="BX196" s="318">
        <f t="shared" si="22"/>
        <v>0</v>
      </c>
    </row>
    <row r="197" spans="2:76" x14ac:dyDescent="0.2">
      <c r="B197" s="45" t="s">
        <v>980</v>
      </c>
      <c r="C197" s="45" t="s">
        <v>981</v>
      </c>
      <c r="D197" s="45" t="s">
        <v>982</v>
      </c>
      <c r="E197" s="46">
        <v>0</v>
      </c>
      <c r="F197" s="46">
        <v>0</v>
      </c>
      <c r="G197" s="46">
        <v>300</v>
      </c>
      <c r="H197" s="46">
        <v>300</v>
      </c>
      <c r="I197" s="46">
        <v>300</v>
      </c>
      <c r="J197" s="46">
        <v>300</v>
      </c>
      <c r="K197" s="47">
        <f t="shared" si="17"/>
        <v>1200</v>
      </c>
      <c r="L197" s="46">
        <v>300</v>
      </c>
      <c r="M197" s="46">
        <v>300</v>
      </c>
      <c r="N197" s="46">
        <v>300</v>
      </c>
      <c r="O197" s="46">
        <v>300</v>
      </c>
      <c r="P197" s="46">
        <v>300</v>
      </c>
      <c r="Q197" s="46">
        <v>300</v>
      </c>
      <c r="R197" s="46">
        <v>0</v>
      </c>
      <c r="S197" s="46">
        <v>0</v>
      </c>
      <c r="T197" s="46">
        <v>0</v>
      </c>
      <c r="U197" s="46">
        <v>0</v>
      </c>
      <c r="V197" s="46">
        <v>0</v>
      </c>
      <c r="W197" s="46">
        <v>0</v>
      </c>
      <c r="X197" s="47">
        <f t="shared" si="18"/>
        <v>1800</v>
      </c>
      <c r="Y197" s="46">
        <v>400</v>
      </c>
      <c r="Z197" s="46">
        <v>400</v>
      </c>
      <c r="AA197" s="46">
        <v>400</v>
      </c>
      <c r="AB197" s="46">
        <v>400</v>
      </c>
      <c r="AC197" s="46">
        <v>0</v>
      </c>
      <c r="AD197" s="46">
        <v>0</v>
      </c>
      <c r="AE197" s="46">
        <v>0</v>
      </c>
      <c r="AF197" s="46">
        <v>0</v>
      </c>
      <c r="AG197" s="46">
        <v>0</v>
      </c>
      <c r="AH197" s="46">
        <v>0</v>
      </c>
      <c r="AI197" s="46">
        <v>0</v>
      </c>
      <c r="AJ197" s="46">
        <v>0</v>
      </c>
      <c r="AK197" s="47">
        <f t="shared" si="19"/>
        <v>1600</v>
      </c>
      <c r="AL197" s="46">
        <v>0</v>
      </c>
      <c r="AM197" s="46">
        <v>0</v>
      </c>
      <c r="AN197" s="46">
        <v>0</v>
      </c>
      <c r="AO197" s="46">
        <v>0</v>
      </c>
      <c r="AP197" s="46">
        <v>0</v>
      </c>
      <c r="AQ197" s="46">
        <v>0</v>
      </c>
      <c r="AR197" s="46">
        <v>0</v>
      </c>
      <c r="AS197" s="46">
        <v>0</v>
      </c>
      <c r="AT197" s="46">
        <v>0</v>
      </c>
      <c r="AU197" s="46">
        <v>0</v>
      </c>
      <c r="AV197" s="46">
        <v>400</v>
      </c>
      <c r="AW197" s="46">
        <v>0</v>
      </c>
      <c r="AX197" s="47">
        <f t="shared" si="20"/>
        <v>400</v>
      </c>
      <c r="AY197" s="319">
        <f>SUMIF(Recibos!$D$4:$D$3010,Cobranza!$B197,Recibos!K$4:K$3010)</f>
        <v>0</v>
      </c>
      <c r="AZ197" s="319">
        <f>SUMIF(Recibos!$D$4:$D$3010,Cobranza!$B197,Recibos!L$4:L$3010)</f>
        <v>0</v>
      </c>
      <c r="BA197" s="319">
        <f>SUMIF(Recibos!$D$4:$D$3010,Cobranza!$B197,Recibos!M$4:M$3010)</f>
        <v>0</v>
      </c>
      <c r="BB197" s="319">
        <f>SUMIF(Recibos!$D$4:$D$3010,Cobranza!$B197,Recibos!N$4:N$3010)</f>
        <v>0</v>
      </c>
      <c r="BC197" s="319">
        <f>SUMIF(Recibos!$D$4:$D$3010,Cobranza!$B197,Recibos!O$4:O$3010)</f>
        <v>0</v>
      </c>
      <c r="BD197" s="319">
        <f>SUMIF(Recibos!$D$4:$D$3010,Cobranza!$B197,Recibos!P$4:P$3010)</f>
        <v>400</v>
      </c>
      <c r="BE197" s="319">
        <f>SUMIF(Recibos!$D$4:$D$3010,Cobranza!$B197,Recibos!Q$4:Q$3010)</f>
        <v>400</v>
      </c>
      <c r="BF197" s="319">
        <f>SUMIF(Recibos!$D$4:$D$3010,Cobranza!$B197,Recibos!R$4:R$3010)</f>
        <v>0</v>
      </c>
      <c r="BG197" s="319">
        <f>SUMIF(Recibos!$D$4:$D$3010,Cobranza!$B197,Recibos!S$4:S$3010)</f>
        <v>0</v>
      </c>
      <c r="BH197" s="319">
        <f>SUMIF(Recibos!$D$4:$D$3010,Cobranza!$B197,Recibos!T$4:T$3010)</f>
        <v>0</v>
      </c>
      <c r="BI197" s="319">
        <f>SUMIF(Recibos!$D$4:$D$3010,Cobranza!$B197,Recibos!U$4:U$3010)</f>
        <v>0</v>
      </c>
      <c r="BJ197" s="319">
        <f>SUMIF(Recibos!$D$4:$D$3010,Cobranza!$B197,Recibos!V$4:V$3010)</f>
        <v>0</v>
      </c>
      <c r="BK197" s="320">
        <f t="shared" si="21"/>
        <v>800</v>
      </c>
      <c r="BL197" s="319">
        <f>SUMIF(Recibos!$D$4:$D$3010,Cobranza!$B197,Recibos!X$4:X$3010)</f>
        <v>0</v>
      </c>
      <c r="BM197" s="319">
        <f>SUMIF(Recibos!$D$4:$D$3010,Cobranza!$B197,Recibos!Y$4:Y$3010)</f>
        <v>0</v>
      </c>
      <c r="BN197" s="319">
        <f>SUMIF(Recibos!$D$4:$D$3010,Cobranza!$B197,Recibos!Z$4:Z$3010)</f>
        <v>0</v>
      </c>
      <c r="BO197" s="319">
        <f>SUMIF(Recibos!$D$4:$D$3010,Cobranza!$B197,Recibos!AA$4:AA$3010)</f>
        <v>0</v>
      </c>
      <c r="BP197" s="319">
        <f>SUMIF(Recibos!$D$4:$D$3010,Cobranza!$B197,Recibos!AB$4:AB$3010)</f>
        <v>0</v>
      </c>
      <c r="BQ197" s="319">
        <f>SUMIF(Recibos!$D$4:$D$3010,Cobranza!$B197,Recibos!AC$4:AC$3010)</f>
        <v>0</v>
      </c>
      <c r="BR197" s="319">
        <f>SUMIF(Recibos!$D$4:$D$3010,Cobranza!$B197,Recibos!AD$4:AD$3010)</f>
        <v>0</v>
      </c>
      <c r="BS197" s="319">
        <f>SUMIF(Recibos!$D$4:$D$3010,Cobranza!$B197,Recibos!AE$4:AE$3010)</f>
        <v>0</v>
      </c>
      <c r="BT197" s="319">
        <f>SUMIF(Recibos!$D$4:$D$3010,Cobranza!$B197,Recibos!AF$4:AF$3010)</f>
        <v>0</v>
      </c>
      <c r="BU197" s="319">
        <f>SUMIF(Recibos!$D$4:$D$3010,Cobranza!$B197,Recibos!AG$4:AG$3010)</f>
        <v>0</v>
      </c>
      <c r="BV197" s="319">
        <f>SUMIF(Recibos!$D$4:$D$3010,Cobranza!$B197,Recibos!AH$4:AH$3010)</f>
        <v>0</v>
      </c>
      <c r="BW197" s="319">
        <f>SUMIF(Recibos!$D$4:$D$3010,Cobranza!$B197,Recibos!AI$4:AI$3010)</f>
        <v>0</v>
      </c>
      <c r="BX197" s="320">
        <f t="shared" si="22"/>
        <v>0</v>
      </c>
    </row>
    <row r="198" spans="2:76" x14ac:dyDescent="0.2">
      <c r="B198" s="42" t="s">
        <v>458</v>
      </c>
      <c r="C198" s="42" t="s">
        <v>459</v>
      </c>
      <c r="D198" s="42" t="s">
        <v>460</v>
      </c>
      <c r="E198" s="43">
        <v>0</v>
      </c>
      <c r="F198" s="43">
        <v>0</v>
      </c>
      <c r="G198" s="43">
        <v>0</v>
      </c>
      <c r="H198" s="43">
        <v>0</v>
      </c>
      <c r="I198" s="43">
        <v>0</v>
      </c>
      <c r="J198" s="43">
        <v>0</v>
      </c>
      <c r="K198" s="44">
        <f t="shared" si="17"/>
        <v>0</v>
      </c>
      <c r="L198" s="43">
        <v>0</v>
      </c>
      <c r="M198" s="43">
        <v>0</v>
      </c>
      <c r="N198" s="43">
        <v>0</v>
      </c>
      <c r="O198" s="43">
        <v>0</v>
      </c>
      <c r="P198" s="43">
        <v>0</v>
      </c>
      <c r="Q198" s="43">
        <v>0</v>
      </c>
      <c r="R198" s="43">
        <v>0</v>
      </c>
      <c r="S198" s="43">
        <v>0</v>
      </c>
      <c r="T198" s="43">
        <v>0</v>
      </c>
      <c r="U198" s="43">
        <v>0</v>
      </c>
      <c r="V198" s="43">
        <v>0</v>
      </c>
      <c r="W198" s="43">
        <v>0</v>
      </c>
      <c r="X198" s="44">
        <f t="shared" si="18"/>
        <v>0</v>
      </c>
      <c r="Y198" s="43">
        <v>300</v>
      </c>
      <c r="Z198" s="43">
        <v>400</v>
      </c>
      <c r="AA198" s="43">
        <v>400</v>
      </c>
      <c r="AB198" s="43">
        <v>400</v>
      </c>
      <c r="AC198" s="43">
        <v>400</v>
      </c>
      <c r="AD198" s="43">
        <v>0</v>
      </c>
      <c r="AE198" s="43">
        <v>400</v>
      </c>
      <c r="AF198" s="43">
        <v>800</v>
      </c>
      <c r="AG198" s="43">
        <v>400</v>
      </c>
      <c r="AH198" s="43">
        <v>400</v>
      </c>
      <c r="AI198" s="43">
        <v>400</v>
      </c>
      <c r="AJ198" s="43">
        <v>400</v>
      </c>
      <c r="AK198" s="44">
        <f t="shared" si="19"/>
        <v>4700</v>
      </c>
      <c r="AL198" s="43">
        <v>400</v>
      </c>
      <c r="AM198" s="43">
        <v>400</v>
      </c>
      <c r="AN198" s="43">
        <v>400</v>
      </c>
      <c r="AO198" s="43">
        <v>400</v>
      </c>
      <c r="AP198" s="43">
        <v>400</v>
      </c>
      <c r="AQ198" s="43">
        <v>400</v>
      </c>
      <c r="AR198" s="43">
        <v>400</v>
      </c>
      <c r="AS198" s="43">
        <v>400</v>
      </c>
      <c r="AT198" s="43">
        <v>400</v>
      </c>
      <c r="AU198" s="43">
        <v>400</v>
      </c>
      <c r="AV198" s="43">
        <v>400</v>
      </c>
      <c r="AW198" s="43">
        <v>400</v>
      </c>
      <c r="AX198" s="44">
        <f t="shared" si="20"/>
        <v>4800</v>
      </c>
      <c r="AY198" s="317">
        <f>SUMIF(Recibos!$D$4:$D$3010,Cobranza!$B198,Recibos!K$4:K$3010)</f>
        <v>400</v>
      </c>
      <c r="AZ198" s="317">
        <f>SUMIF(Recibos!$D$4:$D$3010,Cobranza!$B198,Recibos!L$4:L$3010)</f>
        <v>400</v>
      </c>
      <c r="BA198" s="317">
        <f>SUMIF(Recibos!$D$4:$D$3010,Cobranza!$B198,Recibos!M$4:M$3010)</f>
        <v>400</v>
      </c>
      <c r="BB198" s="317">
        <f>SUMIF(Recibos!$D$4:$D$3010,Cobranza!$B198,Recibos!N$4:N$3010)</f>
        <v>400</v>
      </c>
      <c r="BC198" s="317">
        <f>SUMIF(Recibos!$D$4:$D$3010,Cobranza!$B198,Recibos!O$4:O$3010)</f>
        <v>400</v>
      </c>
      <c r="BD198" s="317">
        <f>SUMIF(Recibos!$D$4:$D$3010,Cobranza!$B198,Recibos!P$4:P$3010)</f>
        <v>400</v>
      </c>
      <c r="BE198" s="317">
        <f>SUMIF(Recibos!$D$4:$D$3010,Cobranza!$B198,Recibos!Q$4:Q$3010)</f>
        <v>400</v>
      </c>
      <c r="BF198" s="317">
        <f>SUMIF(Recibos!$D$4:$D$3010,Cobranza!$B198,Recibos!R$4:R$3010)</f>
        <v>400</v>
      </c>
      <c r="BG198" s="317">
        <f>SUMIF(Recibos!$D$4:$D$3010,Cobranza!$B198,Recibos!S$4:S$3010)</f>
        <v>400</v>
      </c>
      <c r="BH198" s="317">
        <f>SUMIF(Recibos!$D$4:$D$3010,Cobranza!$B198,Recibos!T$4:T$3010)</f>
        <v>400</v>
      </c>
      <c r="BI198" s="317">
        <f>SUMIF(Recibos!$D$4:$D$3010,Cobranza!$B198,Recibos!U$4:U$3010)</f>
        <v>400</v>
      </c>
      <c r="BJ198" s="317">
        <f>SUMIF(Recibos!$D$4:$D$3010,Cobranza!$B198,Recibos!V$4:V$3010)</f>
        <v>400</v>
      </c>
      <c r="BK198" s="318">
        <f t="shared" si="21"/>
        <v>4800</v>
      </c>
      <c r="BL198" s="317">
        <f>SUMIF(Recibos!$D$4:$D$3010,Cobranza!$B198,Recibos!X$4:X$3010)</f>
        <v>0</v>
      </c>
      <c r="BM198" s="317">
        <f>SUMIF(Recibos!$D$4:$D$3010,Cobranza!$B198,Recibos!Y$4:Y$3010)</f>
        <v>0</v>
      </c>
      <c r="BN198" s="317">
        <f>SUMIF(Recibos!$D$4:$D$3010,Cobranza!$B198,Recibos!Z$4:Z$3010)</f>
        <v>0</v>
      </c>
      <c r="BO198" s="317">
        <f>SUMIF(Recibos!$D$4:$D$3010,Cobranza!$B198,Recibos!AA$4:AA$3010)</f>
        <v>0</v>
      </c>
      <c r="BP198" s="317">
        <f>SUMIF(Recibos!$D$4:$D$3010,Cobranza!$B198,Recibos!AB$4:AB$3010)</f>
        <v>0</v>
      </c>
      <c r="BQ198" s="317">
        <f>SUMIF(Recibos!$D$4:$D$3010,Cobranza!$B198,Recibos!AC$4:AC$3010)</f>
        <v>0</v>
      </c>
      <c r="BR198" s="317">
        <f>SUMIF(Recibos!$D$4:$D$3010,Cobranza!$B198,Recibos!AD$4:AD$3010)</f>
        <v>0</v>
      </c>
      <c r="BS198" s="317">
        <f>SUMIF(Recibos!$D$4:$D$3010,Cobranza!$B198,Recibos!AE$4:AE$3010)</f>
        <v>0</v>
      </c>
      <c r="BT198" s="317">
        <f>SUMIF(Recibos!$D$4:$D$3010,Cobranza!$B198,Recibos!AF$4:AF$3010)</f>
        <v>0</v>
      </c>
      <c r="BU198" s="317">
        <f>SUMIF(Recibos!$D$4:$D$3010,Cobranza!$B198,Recibos!AG$4:AG$3010)</f>
        <v>0</v>
      </c>
      <c r="BV198" s="317">
        <f>SUMIF(Recibos!$D$4:$D$3010,Cobranza!$B198,Recibos!AH$4:AH$3010)</f>
        <v>0</v>
      </c>
      <c r="BW198" s="317">
        <f>SUMIF(Recibos!$D$4:$D$3010,Cobranza!$B198,Recibos!AI$4:AI$3010)</f>
        <v>0</v>
      </c>
      <c r="BX198" s="318">
        <f t="shared" si="22"/>
        <v>0</v>
      </c>
    </row>
    <row r="199" spans="2:76" x14ac:dyDescent="0.2">
      <c r="B199" s="45" t="s">
        <v>316</v>
      </c>
      <c r="C199" s="45" t="s">
        <v>317</v>
      </c>
      <c r="D199" s="45" t="s">
        <v>318</v>
      </c>
      <c r="E199" s="46">
        <v>0</v>
      </c>
      <c r="F199" s="46">
        <v>0</v>
      </c>
      <c r="G199" s="46">
        <v>0</v>
      </c>
      <c r="H199" s="46">
        <v>0</v>
      </c>
      <c r="I199" s="46">
        <v>0</v>
      </c>
      <c r="J199" s="46">
        <v>0</v>
      </c>
      <c r="K199" s="47">
        <f t="shared" si="17"/>
        <v>0</v>
      </c>
      <c r="L199" s="46">
        <v>100</v>
      </c>
      <c r="M199" s="46">
        <v>100</v>
      </c>
      <c r="N199" s="46">
        <v>100</v>
      </c>
      <c r="O199" s="46">
        <v>0</v>
      </c>
      <c r="P199" s="46">
        <v>0</v>
      </c>
      <c r="Q199" s="46">
        <v>0</v>
      </c>
      <c r="R199" s="46">
        <v>0</v>
      </c>
      <c r="S199" s="46">
        <v>0</v>
      </c>
      <c r="T199" s="46">
        <v>0</v>
      </c>
      <c r="U199" s="46">
        <v>0</v>
      </c>
      <c r="V199" s="46">
        <v>0</v>
      </c>
      <c r="W199" s="46">
        <v>0</v>
      </c>
      <c r="X199" s="47">
        <f t="shared" si="18"/>
        <v>300</v>
      </c>
      <c r="Y199" s="46">
        <v>100</v>
      </c>
      <c r="Z199" s="46">
        <v>100</v>
      </c>
      <c r="AA199" s="46">
        <v>100</v>
      </c>
      <c r="AB199" s="46">
        <v>0</v>
      </c>
      <c r="AC199" s="46">
        <v>0</v>
      </c>
      <c r="AD199" s="46">
        <v>200</v>
      </c>
      <c r="AE199" s="46">
        <v>200</v>
      </c>
      <c r="AF199" s="46">
        <v>100</v>
      </c>
      <c r="AG199" s="46">
        <v>100</v>
      </c>
      <c r="AH199" s="46">
        <v>100</v>
      </c>
      <c r="AI199" s="46">
        <v>100</v>
      </c>
      <c r="AJ199" s="46">
        <v>100</v>
      </c>
      <c r="AK199" s="47">
        <f t="shared" si="19"/>
        <v>1200</v>
      </c>
      <c r="AL199" s="46">
        <v>100</v>
      </c>
      <c r="AM199" s="46">
        <v>100</v>
      </c>
      <c r="AN199" s="46">
        <v>100</v>
      </c>
      <c r="AO199" s="46">
        <v>100</v>
      </c>
      <c r="AP199" s="46">
        <v>100</v>
      </c>
      <c r="AQ199" s="46">
        <v>100</v>
      </c>
      <c r="AR199" s="46">
        <v>100</v>
      </c>
      <c r="AS199" s="46">
        <v>100</v>
      </c>
      <c r="AT199" s="46">
        <v>100</v>
      </c>
      <c r="AU199" s="46">
        <v>100</v>
      </c>
      <c r="AV199" s="46">
        <v>100</v>
      </c>
      <c r="AW199" s="46">
        <v>100</v>
      </c>
      <c r="AX199" s="47">
        <f t="shared" si="20"/>
        <v>1200</v>
      </c>
      <c r="AY199" s="319">
        <f>SUMIF(Recibos!$D$4:$D$3010,Cobranza!$B199,Recibos!K$4:K$3010)</f>
        <v>100</v>
      </c>
      <c r="AZ199" s="319">
        <f>SUMIF(Recibos!$D$4:$D$3010,Cobranza!$B199,Recibos!L$4:L$3010)</f>
        <v>100</v>
      </c>
      <c r="BA199" s="319">
        <f>SUMIF(Recibos!$D$4:$D$3010,Cobranza!$B199,Recibos!M$4:M$3010)</f>
        <v>100</v>
      </c>
      <c r="BB199" s="319">
        <f>SUMIF(Recibos!$D$4:$D$3010,Cobranza!$B199,Recibos!N$4:N$3010)</f>
        <v>100</v>
      </c>
      <c r="BC199" s="319">
        <f>SUMIF(Recibos!$D$4:$D$3010,Cobranza!$B199,Recibos!O$4:O$3010)</f>
        <v>100</v>
      </c>
      <c r="BD199" s="319">
        <f>SUMIF(Recibos!$D$4:$D$3010,Cobranza!$B199,Recibos!P$4:P$3010)</f>
        <v>100</v>
      </c>
      <c r="BE199" s="319">
        <f>SUMIF(Recibos!$D$4:$D$3010,Cobranza!$B199,Recibos!Q$4:Q$3010)</f>
        <v>100</v>
      </c>
      <c r="BF199" s="319">
        <f>SUMIF(Recibos!$D$4:$D$3010,Cobranza!$B199,Recibos!R$4:R$3010)</f>
        <v>100</v>
      </c>
      <c r="BG199" s="319">
        <f>SUMIF(Recibos!$D$4:$D$3010,Cobranza!$B199,Recibos!S$4:S$3010)</f>
        <v>100</v>
      </c>
      <c r="BH199" s="319">
        <f>SUMIF(Recibos!$D$4:$D$3010,Cobranza!$B199,Recibos!T$4:T$3010)</f>
        <v>0</v>
      </c>
      <c r="BI199" s="319">
        <f>SUMIF(Recibos!$D$4:$D$3010,Cobranza!$B199,Recibos!U$4:U$3010)</f>
        <v>0</v>
      </c>
      <c r="BJ199" s="319">
        <f>SUMIF(Recibos!$D$4:$D$3010,Cobranza!$B199,Recibos!V$4:V$3010)</f>
        <v>0</v>
      </c>
      <c r="BK199" s="320">
        <f t="shared" si="21"/>
        <v>900</v>
      </c>
      <c r="BL199" s="319">
        <f>SUMIF(Recibos!$D$4:$D$3010,Cobranza!$B199,Recibos!X$4:X$3010)</f>
        <v>0</v>
      </c>
      <c r="BM199" s="319">
        <f>SUMIF(Recibos!$D$4:$D$3010,Cobranza!$B199,Recibos!Y$4:Y$3010)</f>
        <v>0</v>
      </c>
      <c r="BN199" s="319">
        <f>SUMIF(Recibos!$D$4:$D$3010,Cobranza!$B199,Recibos!Z$4:Z$3010)</f>
        <v>0</v>
      </c>
      <c r="BO199" s="319">
        <f>SUMIF(Recibos!$D$4:$D$3010,Cobranza!$B199,Recibos!AA$4:AA$3010)</f>
        <v>0</v>
      </c>
      <c r="BP199" s="319">
        <f>SUMIF(Recibos!$D$4:$D$3010,Cobranza!$B199,Recibos!AB$4:AB$3010)</f>
        <v>0</v>
      </c>
      <c r="BQ199" s="319">
        <f>SUMIF(Recibos!$D$4:$D$3010,Cobranza!$B199,Recibos!AC$4:AC$3010)</f>
        <v>0</v>
      </c>
      <c r="BR199" s="319">
        <f>SUMIF(Recibos!$D$4:$D$3010,Cobranza!$B199,Recibos!AD$4:AD$3010)</f>
        <v>0</v>
      </c>
      <c r="BS199" s="319">
        <f>SUMIF(Recibos!$D$4:$D$3010,Cobranza!$B199,Recibos!AE$4:AE$3010)</f>
        <v>0</v>
      </c>
      <c r="BT199" s="319">
        <f>SUMIF(Recibos!$D$4:$D$3010,Cobranza!$B199,Recibos!AF$4:AF$3010)</f>
        <v>0</v>
      </c>
      <c r="BU199" s="319">
        <f>SUMIF(Recibos!$D$4:$D$3010,Cobranza!$B199,Recibos!AG$4:AG$3010)</f>
        <v>0</v>
      </c>
      <c r="BV199" s="319">
        <f>SUMIF(Recibos!$D$4:$D$3010,Cobranza!$B199,Recibos!AH$4:AH$3010)</f>
        <v>0</v>
      </c>
      <c r="BW199" s="319">
        <f>SUMIF(Recibos!$D$4:$D$3010,Cobranza!$B199,Recibos!AI$4:AI$3010)</f>
        <v>0</v>
      </c>
      <c r="BX199" s="320">
        <f t="shared" si="22"/>
        <v>0</v>
      </c>
    </row>
    <row r="200" spans="2:76" x14ac:dyDescent="0.2">
      <c r="B200" s="42" t="s">
        <v>319</v>
      </c>
      <c r="C200" s="42" t="s">
        <v>320</v>
      </c>
      <c r="D200" s="42" t="s">
        <v>321</v>
      </c>
      <c r="E200" s="43">
        <v>0</v>
      </c>
      <c r="F200" s="43">
        <v>0</v>
      </c>
      <c r="G200" s="43">
        <v>0</v>
      </c>
      <c r="H200" s="43">
        <v>0</v>
      </c>
      <c r="I200" s="43">
        <v>300</v>
      </c>
      <c r="J200" s="43">
        <v>300</v>
      </c>
      <c r="K200" s="44">
        <f t="shared" si="17"/>
        <v>600</v>
      </c>
      <c r="L200" s="43">
        <v>300</v>
      </c>
      <c r="M200" s="43">
        <v>300</v>
      </c>
      <c r="N200" s="43">
        <v>0</v>
      </c>
      <c r="O200" s="43">
        <v>0</v>
      </c>
      <c r="P200" s="43">
        <v>0</v>
      </c>
      <c r="Q200" s="43">
        <v>0</v>
      </c>
      <c r="R200" s="43">
        <v>0</v>
      </c>
      <c r="S200" s="43">
        <v>0</v>
      </c>
      <c r="T200" s="43">
        <v>0</v>
      </c>
      <c r="U200" s="43">
        <v>0</v>
      </c>
      <c r="V200" s="43">
        <v>0</v>
      </c>
      <c r="W200" s="43">
        <v>0</v>
      </c>
      <c r="X200" s="44">
        <f t="shared" si="18"/>
        <v>600</v>
      </c>
      <c r="Y200" s="43">
        <v>100</v>
      </c>
      <c r="Z200" s="43">
        <v>100</v>
      </c>
      <c r="AA200" s="43">
        <v>0</v>
      </c>
      <c r="AB200" s="43">
        <v>0</v>
      </c>
      <c r="AC200" s="43">
        <v>0</v>
      </c>
      <c r="AD200" s="43">
        <v>0</v>
      </c>
      <c r="AE200" s="43">
        <v>0</v>
      </c>
      <c r="AF200" s="43">
        <v>100</v>
      </c>
      <c r="AG200" s="43">
        <v>100</v>
      </c>
      <c r="AH200" s="43">
        <v>100</v>
      </c>
      <c r="AI200" s="43">
        <v>100</v>
      </c>
      <c r="AJ200" s="43">
        <v>100</v>
      </c>
      <c r="AK200" s="44">
        <f t="shared" si="19"/>
        <v>700</v>
      </c>
      <c r="AL200" s="43">
        <v>100</v>
      </c>
      <c r="AM200" s="43">
        <v>100</v>
      </c>
      <c r="AN200" s="43">
        <v>100</v>
      </c>
      <c r="AO200" s="43">
        <v>100</v>
      </c>
      <c r="AP200" s="43">
        <v>100</v>
      </c>
      <c r="AQ200" s="43">
        <v>100</v>
      </c>
      <c r="AR200" s="43">
        <v>100</v>
      </c>
      <c r="AS200" s="43">
        <v>100</v>
      </c>
      <c r="AT200" s="43">
        <v>100</v>
      </c>
      <c r="AU200" s="43">
        <v>100</v>
      </c>
      <c r="AV200" s="43">
        <v>100</v>
      </c>
      <c r="AW200" s="43">
        <v>100</v>
      </c>
      <c r="AX200" s="44">
        <f t="shared" si="20"/>
        <v>1200</v>
      </c>
      <c r="AY200" s="317">
        <f>SUMIF(Recibos!$D$4:$D$3010,Cobranza!$B200,Recibos!K$4:K$3010)</f>
        <v>100</v>
      </c>
      <c r="AZ200" s="317">
        <f>SUMIF(Recibos!$D$4:$D$3010,Cobranza!$B200,Recibos!L$4:L$3010)</f>
        <v>100</v>
      </c>
      <c r="BA200" s="317">
        <f>SUMIF(Recibos!$D$4:$D$3010,Cobranza!$B200,Recibos!M$4:M$3010)</f>
        <v>100</v>
      </c>
      <c r="BB200" s="317">
        <f>SUMIF(Recibos!$D$4:$D$3010,Cobranza!$B200,Recibos!N$4:N$3010)</f>
        <v>100</v>
      </c>
      <c r="BC200" s="317">
        <f>SUMIF(Recibos!$D$4:$D$3010,Cobranza!$B200,Recibos!O$4:O$3010)</f>
        <v>100</v>
      </c>
      <c r="BD200" s="317">
        <f>SUMIF(Recibos!$D$4:$D$3010,Cobranza!$B200,Recibos!P$4:P$3010)</f>
        <v>100</v>
      </c>
      <c r="BE200" s="317">
        <f>SUMIF(Recibos!$D$4:$D$3010,Cobranza!$B200,Recibos!Q$4:Q$3010)</f>
        <v>100</v>
      </c>
      <c r="BF200" s="317">
        <f>SUMIF(Recibos!$D$4:$D$3010,Cobranza!$B200,Recibos!R$4:R$3010)</f>
        <v>100</v>
      </c>
      <c r="BG200" s="317">
        <f>SUMIF(Recibos!$D$4:$D$3010,Cobranza!$B200,Recibos!S$4:S$3010)</f>
        <v>100</v>
      </c>
      <c r="BH200" s="317">
        <f>SUMIF(Recibos!$D$4:$D$3010,Cobranza!$B200,Recibos!T$4:T$3010)</f>
        <v>0</v>
      </c>
      <c r="BI200" s="317">
        <f>SUMIF(Recibos!$D$4:$D$3010,Cobranza!$B200,Recibos!U$4:U$3010)</f>
        <v>0</v>
      </c>
      <c r="BJ200" s="317">
        <f>SUMIF(Recibos!$D$4:$D$3010,Cobranza!$B200,Recibos!V$4:V$3010)</f>
        <v>0</v>
      </c>
      <c r="BK200" s="318">
        <f t="shared" si="21"/>
        <v>900</v>
      </c>
      <c r="BL200" s="317">
        <f>SUMIF(Recibos!$D$4:$D$3010,Cobranza!$B200,Recibos!X$4:X$3010)</f>
        <v>0</v>
      </c>
      <c r="BM200" s="317">
        <f>SUMIF(Recibos!$D$4:$D$3010,Cobranza!$B200,Recibos!Y$4:Y$3010)</f>
        <v>0</v>
      </c>
      <c r="BN200" s="317">
        <f>SUMIF(Recibos!$D$4:$D$3010,Cobranza!$B200,Recibos!Z$4:Z$3010)</f>
        <v>0</v>
      </c>
      <c r="BO200" s="317">
        <f>SUMIF(Recibos!$D$4:$D$3010,Cobranza!$B200,Recibos!AA$4:AA$3010)</f>
        <v>0</v>
      </c>
      <c r="BP200" s="317">
        <f>SUMIF(Recibos!$D$4:$D$3010,Cobranza!$B200,Recibos!AB$4:AB$3010)</f>
        <v>0</v>
      </c>
      <c r="BQ200" s="317">
        <f>SUMIF(Recibos!$D$4:$D$3010,Cobranza!$B200,Recibos!AC$4:AC$3010)</f>
        <v>0</v>
      </c>
      <c r="BR200" s="317">
        <f>SUMIF(Recibos!$D$4:$D$3010,Cobranza!$B200,Recibos!AD$4:AD$3010)</f>
        <v>0</v>
      </c>
      <c r="BS200" s="317">
        <f>SUMIF(Recibos!$D$4:$D$3010,Cobranza!$B200,Recibos!AE$4:AE$3010)</f>
        <v>0</v>
      </c>
      <c r="BT200" s="317">
        <f>SUMIF(Recibos!$D$4:$D$3010,Cobranza!$B200,Recibos!AF$4:AF$3010)</f>
        <v>0</v>
      </c>
      <c r="BU200" s="317">
        <f>SUMIF(Recibos!$D$4:$D$3010,Cobranza!$B200,Recibos!AG$4:AG$3010)</f>
        <v>0</v>
      </c>
      <c r="BV200" s="317">
        <f>SUMIF(Recibos!$D$4:$D$3010,Cobranza!$B200,Recibos!AH$4:AH$3010)</f>
        <v>0</v>
      </c>
      <c r="BW200" s="317">
        <f>SUMIF(Recibos!$D$4:$D$3010,Cobranza!$B200,Recibos!AI$4:AI$3010)</f>
        <v>0</v>
      </c>
      <c r="BX200" s="318">
        <f t="shared" si="22"/>
        <v>0</v>
      </c>
    </row>
    <row r="201" spans="2:76" x14ac:dyDescent="0.2">
      <c r="B201" s="45" t="s">
        <v>1353</v>
      </c>
      <c r="C201" s="45" t="s">
        <v>1354</v>
      </c>
      <c r="D201" s="45" t="s">
        <v>1355</v>
      </c>
      <c r="E201" s="46">
        <v>0</v>
      </c>
      <c r="F201" s="46">
        <v>0</v>
      </c>
      <c r="G201" s="46">
        <v>0</v>
      </c>
      <c r="H201" s="46">
        <v>0</v>
      </c>
      <c r="I201" s="46">
        <v>0</v>
      </c>
      <c r="J201" s="46">
        <v>0</v>
      </c>
      <c r="K201" s="47">
        <f t="shared" si="17"/>
        <v>0</v>
      </c>
      <c r="L201" s="46">
        <v>0</v>
      </c>
      <c r="M201" s="46">
        <v>0</v>
      </c>
      <c r="N201" s="46">
        <v>0</v>
      </c>
      <c r="O201" s="46">
        <v>0</v>
      </c>
      <c r="P201" s="46">
        <v>0</v>
      </c>
      <c r="Q201" s="46">
        <v>0</v>
      </c>
      <c r="R201" s="46">
        <v>0</v>
      </c>
      <c r="S201" s="46">
        <v>0</v>
      </c>
      <c r="T201" s="46">
        <v>0</v>
      </c>
      <c r="U201" s="46">
        <v>0</v>
      </c>
      <c r="V201" s="46">
        <v>0</v>
      </c>
      <c r="W201" s="46">
        <v>0</v>
      </c>
      <c r="X201" s="47">
        <f t="shared" si="18"/>
        <v>0</v>
      </c>
      <c r="Y201" s="46">
        <v>0</v>
      </c>
      <c r="Z201" s="46">
        <v>0</v>
      </c>
      <c r="AA201" s="46">
        <v>0</v>
      </c>
      <c r="AB201" s="46">
        <v>0</v>
      </c>
      <c r="AC201" s="46">
        <v>0</v>
      </c>
      <c r="AD201" s="46">
        <v>0</v>
      </c>
      <c r="AE201" s="46">
        <v>0</v>
      </c>
      <c r="AF201" s="46">
        <v>0</v>
      </c>
      <c r="AG201" s="46">
        <v>0</v>
      </c>
      <c r="AH201" s="46">
        <v>0</v>
      </c>
      <c r="AI201" s="46">
        <v>0</v>
      </c>
      <c r="AJ201" s="46">
        <v>0</v>
      </c>
      <c r="AK201" s="47">
        <f t="shared" si="19"/>
        <v>0</v>
      </c>
      <c r="AL201" s="46">
        <v>0</v>
      </c>
      <c r="AM201" s="46">
        <v>0</v>
      </c>
      <c r="AN201" s="46">
        <v>0</v>
      </c>
      <c r="AO201" s="46">
        <v>0</v>
      </c>
      <c r="AP201" s="46">
        <v>0</v>
      </c>
      <c r="AQ201" s="46">
        <v>0</v>
      </c>
      <c r="AR201" s="46">
        <v>0</v>
      </c>
      <c r="AS201" s="46">
        <v>0</v>
      </c>
      <c r="AT201" s="46">
        <v>0</v>
      </c>
      <c r="AU201" s="46">
        <v>0</v>
      </c>
      <c r="AV201" s="46">
        <v>0</v>
      </c>
      <c r="AW201" s="46">
        <v>0</v>
      </c>
      <c r="AX201" s="47">
        <f t="shared" si="20"/>
        <v>0</v>
      </c>
      <c r="AY201" s="319">
        <f>SUMIF(Recibos!$D$4:$D$3010,Cobranza!$B201,Recibos!K$4:K$3010)</f>
        <v>0</v>
      </c>
      <c r="AZ201" s="319">
        <f>SUMIF(Recibos!$D$4:$D$3010,Cobranza!$B201,Recibos!L$4:L$3010)</f>
        <v>0</v>
      </c>
      <c r="BA201" s="319">
        <f>SUMIF(Recibos!$D$4:$D$3010,Cobranza!$B201,Recibos!M$4:M$3010)</f>
        <v>0</v>
      </c>
      <c r="BB201" s="319">
        <f>SUMIF(Recibos!$D$4:$D$3010,Cobranza!$B201,Recibos!N$4:N$3010)</f>
        <v>0</v>
      </c>
      <c r="BC201" s="319">
        <f>SUMIF(Recibos!$D$4:$D$3010,Cobranza!$B201,Recibos!O$4:O$3010)</f>
        <v>0</v>
      </c>
      <c r="BD201" s="319">
        <f>SUMIF(Recibos!$D$4:$D$3010,Cobranza!$B201,Recibos!P$4:P$3010)</f>
        <v>0</v>
      </c>
      <c r="BE201" s="319">
        <f>SUMIF(Recibos!$D$4:$D$3010,Cobranza!$B201,Recibos!Q$4:Q$3010)</f>
        <v>0</v>
      </c>
      <c r="BF201" s="319">
        <f>SUMIF(Recibos!$D$4:$D$3010,Cobranza!$B201,Recibos!R$4:R$3010)</f>
        <v>0</v>
      </c>
      <c r="BG201" s="319">
        <f>SUMIF(Recibos!$D$4:$D$3010,Cobranza!$B201,Recibos!S$4:S$3010)</f>
        <v>0</v>
      </c>
      <c r="BH201" s="319">
        <f>SUMIF(Recibos!$D$4:$D$3010,Cobranza!$B201,Recibos!T$4:T$3010)</f>
        <v>0</v>
      </c>
      <c r="BI201" s="319">
        <f>SUMIF(Recibos!$D$4:$D$3010,Cobranza!$B201,Recibos!U$4:U$3010)</f>
        <v>0</v>
      </c>
      <c r="BJ201" s="319">
        <f>SUMIF(Recibos!$D$4:$D$3010,Cobranza!$B201,Recibos!V$4:V$3010)</f>
        <v>0</v>
      </c>
      <c r="BK201" s="320">
        <f t="shared" si="21"/>
        <v>0</v>
      </c>
      <c r="BL201" s="319">
        <f>SUMIF(Recibos!$D$4:$D$3010,Cobranza!$B201,Recibos!X$4:X$3010)</f>
        <v>0</v>
      </c>
      <c r="BM201" s="319">
        <f>SUMIF(Recibos!$D$4:$D$3010,Cobranza!$B201,Recibos!Y$4:Y$3010)</f>
        <v>0</v>
      </c>
      <c r="BN201" s="319">
        <f>SUMIF(Recibos!$D$4:$D$3010,Cobranza!$B201,Recibos!Z$4:Z$3010)</f>
        <v>0</v>
      </c>
      <c r="BO201" s="319">
        <f>SUMIF(Recibos!$D$4:$D$3010,Cobranza!$B201,Recibos!AA$4:AA$3010)</f>
        <v>0</v>
      </c>
      <c r="BP201" s="319">
        <f>SUMIF(Recibos!$D$4:$D$3010,Cobranza!$B201,Recibos!AB$4:AB$3010)</f>
        <v>0</v>
      </c>
      <c r="BQ201" s="319">
        <f>SUMIF(Recibos!$D$4:$D$3010,Cobranza!$B201,Recibos!AC$4:AC$3010)</f>
        <v>0</v>
      </c>
      <c r="BR201" s="319">
        <f>SUMIF(Recibos!$D$4:$D$3010,Cobranza!$B201,Recibos!AD$4:AD$3010)</f>
        <v>0</v>
      </c>
      <c r="BS201" s="319">
        <f>SUMIF(Recibos!$D$4:$D$3010,Cobranza!$B201,Recibos!AE$4:AE$3010)</f>
        <v>0</v>
      </c>
      <c r="BT201" s="319">
        <f>SUMIF(Recibos!$D$4:$D$3010,Cobranza!$B201,Recibos!AF$4:AF$3010)</f>
        <v>0</v>
      </c>
      <c r="BU201" s="319">
        <f>SUMIF(Recibos!$D$4:$D$3010,Cobranza!$B201,Recibos!AG$4:AG$3010)</f>
        <v>0</v>
      </c>
      <c r="BV201" s="319">
        <f>SUMIF(Recibos!$D$4:$D$3010,Cobranza!$B201,Recibos!AH$4:AH$3010)</f>
        <v>0</v>
      </c>
      <c r="BW201" s="319">
        <f>SUMIF(Recibos!$D$4:$D$3010,Cobranza!$B201,Recibos!AI$4:AI$3010)</f>
        <v>0</v>
      </c>
      <c r="BX201" s="320">
        <f t="shared" si="22"/>
        <v>0</v>
      </c>
    </row>
    <row r="202" spans="2:76" x14ac:dyDescent="0.2">
      <c r="B202" s="42" t="s">
        <v>559</v>
      </c>
      <c r="C202" s="42" t="s">
        <v>560</v>
      </c>
      <c r="D202" s="42" t="s">
        <v>561</v>
      </c>
      <c r="E202" s="43">
        <v>0</v>
      </c>
      <c r="F202" s="43">
        <v>0</v>
      </c>
      <c r="G202" s="43">
        <v>0</v>
      </c>
      <c r="H202" s="43">
        <v>0</v>
      </c>
      <c r="I202" s="43">
        <v>0</v>
      </c>
      <c r="J202" s="43">
        <v>0</v>
      </c>
      <c r="K202" s="44">
        <f t="shared" si="17"/>
        <v>0</v>
      </c>
      <c r="L202" s="43">
        <v>300</v>
      </c>
      <c r="M202" s="43">
        <v>0</v>
      </c>
      <c r="N202" s="43">
        <v>0</v>
      </c>
      <c r="O202" s="43">
        <v>300</v>
      </c>
      <c r="P202" s="43">
        <v>300</v>
      </c>
      <c r="Q202" s="43">
        <v>300</v>
      </c>
      <c r="R202" s="43">
        <v>300</v>
      </c>
      <c r="S202" s="43">
        <v>300</v>
      </c>
      <c r="T202" s="43">
        <v>300</v>
      </c>
      <c r="U202" s="43">
        <v>400</v>
      </c>
      <c r="V202" s="43">
        <v>400</v>
      </c>
      <c r="W202" s="43">
        <v>400</v>
      </c>
      <c r="X202" s="44">
        <f t="shared" si="18"/>
        <v>3300</v>
      </c>
      <c r="Y202" s="43">
        <v>400</v>
      </c>
      <c r="Z202" s="43">
        <v>400</v>
      </c>
      <c r="AA202" s="43">
        <v>400</v>
      </c>
      <c r="AB202" s="43">
        <v>400</v>
      </c>
      <c r="AC202" s="43">
        <v>400</v>
      </c>
      <c r="AD202" s="43">
        <v>400</v>
      </c>
      <c r="AE202" s="43">
        <v>400</v>
      </c>
      <c r="AF202" s="43">
        <v>400</v>
      </c>
      <c r="AG202" s="43">
        <v>400</v>
      </c>
      <c r="AH202" s="43">
        <v>400</v>
      </c>
      <c r="AI202" s="43">
        <v>400</v>
      </c>
      <c r="AJ202" s="43">
        <v>0</v>
      </c>
      <c r="AK202" s="44">
        <f t="shared" si="19"/>
        <v>4400</v>
      </c>
      <c r="AL202" s="43">
        <v>400</v>
      </c>
      <c r="AM202" s="43">
        <v>400</v>
      </c>
      <c r="AN202" s="43">
        <v>400</v>
      </c>
      <c r="AO202" s="43">
        <v>400</v>
      </c>
      <c r="AP202" s="43">
        <v>400</v>
      </c>
      <c r="AQ202" s="43">
        <v>400</v>
      </c>
      <c r="AR202" s="43">
        <v>400</v>
      </c>
      <c r="AS202" s="43">
        <v>400</v>
      </c>
      <c r="AT202" s="43">
        <v>400</v>
      </c>
      <c r="AU202" s="43">
        <v>400</v>
      </c>
      <c r="AV202" s="43">
        <v>400</v>
      </c>
      <c r="AW202" s="43">
        <v>0</v>
      </c>
      <c r="AX202" s="44">
        <f t="shared" si="20"/>
        <v>4400</v>
      </c>
      <c r="AY202" s="317">
        <f>SUMIF(Recibos!$D$4:$D$3010,Cobranza!$B202,Recibos!K$4:K$3010)</f>
        <v>400</v>
      </c>
      <c r="AZ202" s="317">
        <f>SUMIF(Recibos!$D$4:$D$3010,Cobranza!$B202,Recibos!L$4:L$3010)</f>
        <v>400</v>
      </c>
      <c r="BA202" s="317">
        <f>SUMIF(Recibos!$D$4:$D$3010,Cobranza!$B202,Recibos!M$4:M$3010)</f>
        <v>400</v>
      </c>
      <c r="BB202" s="317">
        <f>SUMIF(Recibos!$D$4:$D$3010,Cobranza!$B202,Recibos!N$4:N$3010)</f>
        <v>400</v>
      </c>
      <c r="BC202" s="317">
        <f>SUMIF(Recibos!$D$4:$D$3010,Cobranza!$B202,Recibos!O$4:O$3010)</f>
        <v>400</v>
      </c>
      <c r="BD202" s="317">
        <f>SUMIF(Recibos!$D$4:$D$3010,Cobranza!$B202,Recibos!P$4:P$3010)</f>
        <v>400</v>
      </c>
      <c r="BE202" s="317">
        <f>SUMIF(Recibos!$D$4:$D$3010,Cobranza!$B202,Recibos!Q$4:Q$3010)</f>
        <v>400</v>
      </c>
      <c r="BF202" s="317">
        <f>SUMIF(Recibos!$D$4:$D$3010,Cobranza!$B202,Recibos!R$4:R$3010)</f>
        <v>400</v>
      </c>
      <c r="BG202" s="317">
        <f>SUMIF(Recibos!$D$4:$D$3010,Cobranza!$B202,Recibos!S$4:S$3010)</f>
        <v>400</v>
      </c>
      <c r="BH202" s="317">
        <f>SUMIF(Recibos!$D$4:$D$3010,Cobranza!$B202,Recibos!T$4:T$3010)</f>
        <v>400</v>
      </c>
      <c r="BI202" s="317">
        <f>SUMIF(Recibos!$D$4:$D$3010,Cobranza!$B202,Recibos!U$4:U$3010)</f>
        <v>400</v>
      </c>
      <c r="BJ202" s="317">
        <f>SUMIF(Recibos!$D$4:$D$3010,Cobranza!$B202,Recibos!V$4:V$3010)</f>
        <v>0</v>
      </c>
      <c r="BK202" s="318">
        <f t="shared" si="21"/>
        <v>4400</v>
      </c>
      <c r="BL202" s="317">
        <f>SUMIF(Recibos!$D$4:$D$3010,Cobranza!$B202,Recibos!X$4:X$3010)</f>
        <v>400</v>
      </c>
      <c r="BM202" s="317">
        <f>SUMIF(Recibos!$D$4:$D$3010,Cobranza!$B202,Recibos!Y$4:Y$3010)</f>
        <v>400</v>
      </c>
      <c r="BN202" s="317">
        <f>SUMIF(Recibos!$D$4:$D$3010,Cobranza!$B202,Recibos!Z$4:Z$3010)</f>
        <v>400</v>
      </c>
      <c r="BO202" s="317">
        <f>SUMIF(Recibos!$D$4:$D$3010,Cobranza!$B202,Recibos!AA$4:AA$3010)</f>
        <v>400</v>
      </c>
      <c r="BP202" s="317">
        <f>SUMIF(Recibos!$D$4:$D$3010,Cobranza!$B202,Recibos!AB$4:AB$3010)</f>
        <v>400</v>
      </c>
      <c r="BQ202" s="317">
        <f>SUMIF(Recibos!$D$4:$D$3010,Cobranza!$B202,Recibos!AC$4:AC$3010)</f>
        <v>400</v>
      </c>
      <c r="BR202" s="317">
        <f>SUMIF(Recibos!$D$4:$D$3010,Cobranza!$B202,Recibos!AD$4:AD$3010)</f>
        <v>400</v>
      </c>
      <c r="BS202" s="317">
        <f>SUMIF(Recibos!$D$4:$D$3010,Cobranza!$B202,Recibos!AE$4:AE$3010)</f>
        <v>400</v>
      </c>
      <c r="BT202" s="317">
        <f>SUMIF(Recibos!$D$4:$D$3010,Cobranza!$B202,Recibos!AF$4:AF$3010)</f>
        <v>400</v>
      </c>
      <c r="BU202" s="317">
        <f>SUMIF(Recibos!$D$4:$D$3010,Cobranza!$B202,Recibos!AG$4:AG$3010)</f>
        <v>400</v>
      </c>
      <c r="BV202" s="317">
        <f>SUMIF(Recibos!$D$4:$D$3010,Cobranza!$B202,Recibos!AH$4:AH$3010)</f>
        <v>400</v>
      </c>
      <c r="BW202" s="317">
        <f>SUMIF(Recibos!$D$4:$D$3010,Cobranza!$B202,Recibos!AI$4:AI$3010)</f>
        <v>0</v>
      </c>
      <c r="BX202" s="318">
        <f t="shared" si="22"/>
        <v>4400</v>
      </c>
    </row>
    <row r="203" spans="2:76" x14ac:dyDescent="0.2">
      <c r="B203" s="45" t="s">
        <v>398</v>
      </c>
      <c r="C203" s="45" t="s">
        <v>399</v>
      </c>
      <c r="D203" s="45" t="s">
        <v>400</v>
      </c>
      <c r="E203" s="46">
        <v>0</v>
      </c>
      <c r="F203" s="46">
        <v>0</v>
      </c>
      <c r="G203" s="46">
        <v>0</v>
      </c>
      <c r="H203" s="46">
        <v>0</v>
      </c>
      <c r="I203" s="46">
        <v>0</v>
      </c>
      <c r="J203" s="46">
        <v>300</v>
      </c>
      <c r="K203" s="47">
        <f t="shared" ref="K203:K266" si="23">SUM(E203:J203)</f>
        <v>300</v>
      </c>
      <c r="L203" s="46">
        <v>300</v>
      </c>
      <c r="M203" s="46">
        <v>300</v>
      </c>
      <c r="N203" s="46">
        <v>300</v>
      </c>
      <c r="O203" s="46">
        <v>300</v>
      </c>
      <c r="P203" s="46">
        <v>300</v>
      </c>
      <c r="Q203" s="46">
        <v>300</v>
      </c>
      <c r="R203" s="46">
        <v>300</v>
      </c>
      <c r="S203" s="46">
        <v>300</v>
      </c>
      <c r="T203" s="46">
        <v>300</v>
      </c>
      <c r="U203" s="46">
        <v>400</v>
      </c>
      <c r="V203" s="46">
        <v>400</v>
      </c>
      <c r="W203" s="46">
        <v>400</v>
      </c>
      <c r="X203" s="47">
        <f t="shared" ref="X203:X266" si="24">SUM(L203:W203)</f>
        <v>3900</v>
      </c>
      <c r="Y203" s="46">
        <v>400</v>
      </c>
      <c r="Z203" s="46">
        <v>400</v>
      </c>
      <c r="AA203" s="46">
        <v>400</v>
      </c>
      <c r="AB203" s="46">
        <v>550</v>
      </c>
      <c r="AC203" s="46">
        <v>400</v>
      </c>
      <c r="AD203" s="46">
        <v>400</v>
      </c>
      <c r="AE203" s="46">
        <v>400</v>
      </c>
      <c r="AF203" s="46">
        <v>400</v>
      </c>
      <c r="AG203" s="46">
        <v>400</v>
      </c>
      <c r="AH203" s="46">
        <v>400</v>
      </c>
      <c r="AI203" s="46">
        <v>400</v>
      </c>
      <c r="AJ203" s="46">
        <v>400</v>
      </c>
      <c r="AK203" s="47">
        <f t="shared" ref="AK203:AK266" si="25">SUM(Y203:AJ203)</f>
        <v>4950</v>
      </c>
      <c r="AL203" s="46">
        <v>400</v>
      </c>
      <c r="AM203" s="46">
        <v>400</v>
      </c>
      <c r="AN203" s="46">
        <v>400</v>
      </c>
      <c r="AO203" s="46">
        <v>400</v>
      </c>
      <c r="AP203" s="46">
        <v>400</v>
      </c>
      <c r="AQ203" s="46">
        <v>400</v>
      </c>
      <c r="AR203" s="46">
        <v>400</v>
      </c>
      <c r="AS203" s="46">
        <v>400</v>
      </c>
      <c r="AT203" s="46">
        <v>400</v>
      </c>
      <c r="AU203" s="46">
        <v>400</v>
      </c>
      <c r="AV203" s="46">
        <v>400</v>
      </c>
      <c r="AW203" s="46">
        <v>400</v>
      </c>
      <c r="AX203" s="47">
        <f t="shared" ref="AX203:AX266" si="26">SUM(AL203:AW203)</f>
        <v>4800</v>
      </c>
      <c r="AY203" s="319">
        <f>SUMIF(Recibos!$D$4:$D$3010,Cobranza!$B203,Recibos!K$4:K$3010)</f>
        <v>400</v>
      </c>
      <c r="AZ203" s="319">
        <f>SUMIF(Recibos!$D$4:$D$3010,Cobranza!$B203,Recibos!L$4:L$3010)</f>
        <v>400</v>
      </c>
      <c r="BA203" s="319">
        <f>SUMIF(Recibos!$D$4:$D$3010,Cobranza!$B203,Recibos!M$4:M$3010)</f>
        <v>400</v>
      </c>
      <c r="BB203" s="319">
        <f>SUMIF(Recibos!$D$4:$D$3010,Cobranza!$B203,Recibos!N$4:N$3010)</f>
        <v>400</v>
      </c>
      <c r="BC203" s="319">
        <f>SUMIF(Recibos!$D$4:$D$3010,Cobranza!$B203,Recibos!O$4:O$3010)</f>
        <v>400</v>
      </c>
      <c r="BD203" s="319">
        <f>SUMIF(Recibos!$D$4:$D$3010,Cobranza!$B203,Recibos!P$4:P$3010)</f>
        <v>400</v>
      </c>
      <c r="BE203" s="319">
        <f>SUMIF(Recibos!$D$4:$D$3010,Cobranza!$B203,Recibos!Q$4:Q$3010)</f>
        <v>400</v>
      </c>
      <c r="BF203" s="319">
        <f>SUMIF(Recibos!$D$4:$D$3010,Cobranza!$B203,Recibos!R$4:R$3010)</f>
        <v>400</v>
      </c>
      <c r="BG203" s="319">
        <f>SUMIF(Recibos!$D$4:$D$3010,Cobranza!$B203,Recibos!S$4:S$3010)</f>
        <v>400</v>
      </c>
      <c r="BH203" s="319">
        <f>SUMIF(Recibos!$D$4:$D$3010,Cobranza!$B203,Recibos!T$4:T$3010)</f>
        <v>400</v>
      </c>
      <c r="BI203" s="319">
        <f>SUMIF(Recibos!$D$4:$D$3010,Cobranza!$B203,Recibos!U$4:U$3010)</f>
        <v>400</v>
      </c>
      <c r="BJ203" s="319">
        <f>SUMIF(Recibos!$D$4:$D$3010,Cobranza!$B203,Recibos!V$4:V$3010)</f>
        <v>400</v>
      </c>
      <c r="BK203" s="320">
        <f t="shared" si="21"/>
        <v>4800</v>
      </c>
      <c r="BL203" s="319">
        <f>SUMIF(Recibos!$D$4:$D$3010,Cobranza!$B203,Recibos!X$4:X$3010)</f>
        <v>0</v>
      </c>
      <c r="BM203" s="319">
        <f>SUMIF(Recibos!$D$4:$D$3010,Cobranza!$B203,Recibos!Y$4:Y$3010)</f>
        <v>0</v>
      </c>
      <c r="BN203" s="319">
        <f>SUMIF(Recibos!$D$4:$D$3010,Cobranza!$B203,Recibos!Z$4:Z$3010)</f>
        <v>0</v>
      </c>
      <c r="BO203" s="319">
        <f>SUMIF(Recibos!$D$4:$D$3010,Cobranza!$B203,Recibos!AA$4:AA$3010)</f>
        <v>0</v>
      </c>
      <c r="BP203" s="319">
        <f>SUMIF(Recibos!$D$4:$D$3010,Cobranza!$B203,Recibos!AB$4:AB$3010)</f>
        <v>0</v>
      </c>
      <c r="BQ203" s="319">
        <f>SUMIF(Recibos!$D$4:$D$3010,Cobranza!$B203,Recibos!AC$4:AC$3010)</f>
        <v>0</v>
      </c>
      <c r="BR203" s="319">
        <f>SUMIF(Recibos!$D$4:$D$3010,Cobranza!$B203,Recibos!AD$4:AD$3010)</f>
        <v>0</v>
      </c>
      <c r="BS203" s="319">
        <f>SUMIF(Recibos!$D$4:$D$3010,Cobranza!$B203,Recibos!AE$4:AE$3010)</f>
        <v>0</v>
      </c>
      <c r="BT203" s="319">
        <f>SUMIF(Recibos!$D$4:$D$3010,Cobranza!$B203,Recibos!AF$4:AF$3010)</f>
        <v>0</v>
      </c>
      <c r="BU203" s="319">
        <f>SUMIF(Recibos!$D$4:$D$3010,Cobranza!$B203,Recibos!AG$4:AG$3010)</f>
        <v>0</v>
      </c>
      <c r="BV203" s="319">
        <f>SUMIF(Recibos!$D$4:$D$3010,Cobranza!$B203,Recibos!AH$4:AH$3010)</f>
        <v>0</v>
      </c>
      <c r="BW203" s="319">
        <f>SUMIF(Recibos!$D$4:$D$3010,Cobranza!$B203,Recibos!AI$4:AI$3010)</f>
        <v>0</v>
      </c>
      <c r="BX203" s="320">
        <f t="shared" si="22"/>
        <v>0</v>
      </c>
    </row>
    <row r="204" spans="2:76" x14ac:dyDescent="0.2">
      <c r="B204" s="42" t="s">
        <v>1356</v>
      </c>
      <c r="C204" s="42" t="s">
        <v>1357</v>
      </c>
      <c r="D204" s="42" t="s">
        <v>1358</v>
      </c>
      <c r="E204" s="43">
        <v>0</v>
      </c>
      <c r="F204" s="43">
        <v>0</v>
      </c>
      <c r="G204" s="43">
        <v>0</v>
      </c>
      <c r="H204" s="43">
        <v>0</v>
      </c>
      <c r="I204" s="43">
        <v>0</v>
      </c>
      <c r="J204" s="43">
        <v>0</v>
      </c>
      <c r="K204" s="44">
        <f t="shared" si="23"/>
        <v>0</v>
      </c>
      <c r="L204" s="43">
        <v>0</v>
      </c>
      <c r="M204" s="43">
        <v>0</v>
      </c>
      <c r="N204" s="43">
        <v>0</v>
      </c>
      <c r="O204" s="43">
        <v>0</v>
      </c>
      <c r="P204" s="43">
        <v>0</v>
      </c>
      <c r="Q204" s="43">
        <v>0</v>
      </c>
      <c r="R204" s="43">
        <v>0</v>
      </c>
      <c r="S204" s="43">
        <v>0</v>
      </c>
      <c r="T204" s="43">
        <v>0</v>
      </c>
      <c r="U204" s="43">
        <v>0</v>
      </c>
      <c r="V204" s="43">
        <v>0</v>
      </c>
      <c r="W204" s="43">
        <v>0</v>
      </c>
      <c r="X204" s="44">
        <f t="shared" si="24"/>
        <v>0</v>
      </c>
      <c r="Y204" s="43">
        <v>0</v>
      </c>
      <c r="Z204" s="43">
        <v>0</v>
      </c>
      <c r="AA204" s="43">
        <v>0</v>
      </c>
      <c r="AB204" s="43">
        <v>0</v>
      </c>
      <c r="AC204" s="43">
        <v>0</v>
      </c>
      <c r="AD204" s="43">
        <v>0</v>
      </c>
      <c r="AE204" s="43">
        <v>0</v>
      </c>
      <c r="AF204" s="43">
        <v>0</v>
      </c>
      <c r="AG204" s="43">
        <v>0</v>
      </c>
      <c r="AH204" s="43">
        <v>0</v>
      </c>
      <c r="AI204" s="43">
        <v>0</v>
      </c>
      <c r="AJ204" s="43">
        <v>0</v>
      </c>
      <c r="AK204" s="44">
        <f t="shared" si="25"/>
        <v>0</v>
      </c>
      <c r="AL204" s="43">
        <v>400</v>
      </c>
      <c r="AM204" s="43">
        <v>400</v>
      </c>
      <c r="AN204" s="43">
        <v>400</v>
      </c>
      <c r="AO204" s="43">
        <v>400</v>
      </c>
      <c r="AP204" s="43">
        <v>400</v>
      </c>
      <c r="AQ204" s="43">
        <v>400</v>
      </c>
      <c r="AR204" s="43">
        <v>400</v>
      </c>
      <c r="AS204" s="43">
        <v>400</v>
      </c>
      <c r="AT204" s="43">
        <v>400</v>
      </c>
      <c r="AU204" s="43">
        <v>400</v>
      </c>
      <c r="AV204" s="43">
        <v>0</v>
      </c>
      <c r="AW204" s="43">
        <v>0</v>
      </c>
      <c r="AX204" s="44">
        <f t="shared" si="26"/>
        <v>4000</v>
      </c>
      <c r="AY204" s="317">
        <f>SUMIF(Recibos!$D$4:$D$3010,Cobranza!$B204,Recibos!K$4:K$3010)</f>
        <v>0</v>
      </c>
      <c r="AZ204" s="317">
        <f>SUMIF(Recibos!$D$4:$D$3010,Cobranza!$B204,Recibos!L$4:L$3010)</f>
        <v>0</v>
      </c>
      <c r="BA204" s="317">
        <f>SUMIF(Recibos!$D$4:$D$3010,Cobranza!$B204,Recibos!M$4:M$3010)</f>
        <v>0</v>
      </c>
      <c r="BB204" s="317">
        <f>SUMIF(Recibos!$D$4:$D$3010,Cobranza!$B204,Recibos!N$4:N$3010)</f>
        <v>0</v>
      </c>
      <c r="BC204" s="317">
        <f>SUMIF(Recibos!$D$4:$D$3010,Cobranza!$B204,Recibos!O$4:O$3010)</f>
        <v>0</v>
      </c>
      <c r="BD204" s="317">
        <f>SUMIF(Recibos!$D$4:$D$3010,Cobranza!$B204,Recibos!P$4:P$3010)</f>
        <v>0</v>
      </c>
      <c r="BE204" s="317">
        <f>SUMIF(Recibos!$D$4:$D$3010,Cobranza!$B204,Recibos!Q$4:Q$3010)</f>
        <v>0</v>
      </c>
      <c r="BF204" s="317">
        <f>SUMIF(Recibos!$D$4:$D$3010,Cobranza!$B204,Recibos!R$4:R$3010)</f>
        <v>0</v>
      </c>
      <c r="BG204" s="317">
        <f>SUMIF(Recibos!$D$4:$D$3010,Cobranza!$B204,Recibos!S$4:S$3010)</f>
        <v>0</v>
      </c>
      <c r="BH204" s="317">
        <f>SUMIF(Recibos!$D$4:$D$3010,Cobranza!$B204,Recibos!T$4:T$3010)</f>
        <v>0</v>
      </c>
      <c r="BI204" s="317">
        <f>SUMIF(Recibos!$D$4:$D$3010,Cobranza!$B204,Recibos!U$4:U$3010)</f>
        <v>0</v>
      </c>
      <c r="BJ204" s="317">
        <f>SUMIF(Recibos!$D$4:$D$3010,Cobranza!$B204,Recibos!V$4:V$3010)</f>
        <v>0</v>
      </c>
      <c r="BK204" s="318">
        <f t="shared" si="21"/>
        <v>0</v>
      </c>
      <c r="BL204" s="317">
        <f>SUMIF(Recibos!$D$4:$D$3010,Cobranza!$B204,Recibos!X$4:X$3010)</f>
        <v>0</v>
      </c>
      <c r="BM204" s="317">
        <f>SUMIF(Recibos!$D$4:$D$3010,Cobranza!$B204,Recibos!Y$4:Y$3010)</f>
        <v>0</v>
      </c>
      <c r="BN204" s="317">
        <f>SUMIF(Recibos!$D$4:$D$3010,Cobranza!$B204,Recibos!Z$4:Z$3010)</f>
        <v>0</v>
      </c>
      <c r="BO204" s="317">
        <f>SUMIF(Recibos!$D$4:$D$3010,Cobranza!$B204,Recibos!AA$4:AA$3010)</f>
        <v>0</v>
      </c>
      <c r="BP204" s="317">
        <f>SUMIF(Recibos!$D$4:$D$3010,Cobranza!$B204,Recibos!AB$4:AB$3010)</f>
        <v>0</v>
      </c>
      <c r="BQ204" s="317">
        <f>SUMIF(Recibos!$D$4:$D$3010,Cobranza!$B204,Recibos!AC$4:AC$3010)</f>
        <v>0</v>
      </c>
      <c r="BR204" s="317">
        <f>SUMIF(Recibos!$D$4:$D$3010,Cobranza!$B204,Recibos!AD$4:AD$3010)</f>
        <v>0</v>
      </c>
      <c r="BS204" s="317">
        <f>SUMIF(Recibos!$D$4:$D$3010,Cobranza!$B204,Recibos!AE$4:AE$3010)</f>
        <v>0</v>
      </c>
      <c r="BT204" s="317">
        <f>SUMIF(Recibos!$D$4:$D$3010,Cobranza!$B204,Recibos!AF$4:AF$3010)</f>
        <v>0</v>
      </c>
      <c r="BU204" s="317">
        <f>SUMIF(Recibos!$D$4:$D$3010,Cobranza!$B204,Recibos!AG$4:AG$3010)</f>
        <v>0</v>
      </c>
      <c r="BV204" s="317">
        <f>SUMIF(Recibos!$D$4:$D$3010,Cobranza!$B204,Recibos!AH$4:AH$3010)</f>
        <v>0</v>
      </c>
      <c r="BW204" s="317">
        <f>SUMIF(Recibos!$D$4:$D$3010,Cobranza!$B204,Recibos!AI$4:AI$3010)</f>
        <v>0</v>
      </c>
      <c r="BX204" s="318">
        <f t="shared" si="22"/>
        <v>0</v>
      </c>
    </row>
    <row r="205" spans="2:76" x14ac:dyDescent="0.2">
      <c r="B205" s="45" t="s">
        <v>675</v>
      </c>
      <c r="C205" s="45" t="s">
        <v>676</v>
      </c>
      <c r="D205" s="45" t="s">
        <v>677</v>
      </c>
      <c r="E205" s="46">
        <v>0</v>
      </c>
      <c r="F205" s="46">
        <v>0</v>
      </c>
      <c r="G205" s="46">
        <v>0</v>
      </c>
      <c r="H205" s="46">
        <v>0</v>
      </c>
      <c r="I205" s="46">
        <v>0</v>
      </c>
      <c r="J205" s="46">
        <v>0</v>
      </c>
      <c r="K205" s="47">
        <f t="shared" si="23"/>
        <v>0</v>
      </c>
      <c r="L205" s="46">
        <v>0</v>
      </c>
      <c r="M205" s="46">
        <v>0</v>
      </c>
      <c r="N205" s="46">
        <v>0</v>
      </c>
      <c r="O205" s="46">
        <v>0</v>
      </c>
      <c r="P205" s="46">
        <v>0</v>
      </c>
      <c r="Q205" s="46">
        <v>0</v>
      </c>
      <c r="R205" s="46">
        <v>0</v>
      </c>
      <c r="S205" s="46">
        <v>0</v>
      </c>
      <c r="T205" s="46">
        <v>0</v>
      </c>
      <c r="U205" s="46">
        <v>0</v>
      </c>
      <c r="V205" s="46">
        <v>0</v>
      </c>
      <c r="W205" s="46">
        <v>0</v>
      </c>
      <c r="X205" s="47">
        <f t="shared" si="24"/>
        <v>0</v>
      </c>
      <c r="Y205" s="46">
        <v>0</v>
      </c>
      <c r="Z205" s="46">
        <v>0</v>
      </c>
      <c r="AA205" s="46">
        <v>0</v>
      </c>
      <c r="AB205" s="46">
        <v>0</v>
      </c>
      <c r="AC205" s="46">
        <v>0</v>
      </c>
      <c r="AD205" s="46">
        <v>0</v>
      </c>
      <c r="AE205" s="46">
        <v>0</v>
      </c>
      <c r="AF205" s="46">
        <v>0</v>
      </c>
      <c r="AG205" s="46">
        <v>0</v>
      </c>
      <c r="AH205" s="46">
        <v>0</v>
      </c>
      <c r="AI205" s="46">
        <v>0</v>
      </c>
      <c r="AJ205" s="46">
        <v>0</v>
      </c>
      <c r="AK205" s="47">
        <f t="shared" si="25"/>
        <v>0</v>
      </c>
      <c r="AL205" s="46">
        <v>400</v>
      </c>
      <c r="AM205" s="46">
        <v>400</v>
      </c>
      <c r="AN205" s="46">
        <v>400</v>
      </c>
      <c r="AO205" s="46">
        <v>400</v>
      </c>
      <c r="AP205" s="46">
        <v>400</v>
      </c>
      <c r="AQ205" s="46">
        <v>400</v>
      </c>
      <c r="AR205" s="46">
        <v>400</v>
      </c>
      <c r="AS205" s="46">
        <v>400</v>
      </c>
      <c r="AT205" s="46">
        <v>400</v>
      </c>
      <c r="AU205" s="46">
        <v>400</v>
      </c>
      <c r="AV205" s="46">
        <v>400</v>
      </c>
      <c r="AW205" s="46">
        <v>0</v>
      </c>
      <c r="AX205" s="47">
        <f t="shared" si="26"/>
        <v>4400</v>
      </c>
      <c r="AY205" s="319">
        <f>SUMIF(Recibos!$D$4:$D$3010,Cobranza!$B205,Recibos!K$4:K$3010)</f>
        <v>400</v>
      </c>
      <c r="AZ205" s="319">
        <f>SUMIF(Recibos!$D$4:$D$3010,Cobranza!$B205,Recibos!L$4:L$3010)</f>
        <v>400</v>
      </c>
      <c r="BA205" s="319">
        <f>SUMIF(Recibos!$D$4:$D$3010,Cobranza!$B205,Recibos!M$4:M$3010)</f>
        <v>400</v>
      </c>
      <c r="BB205" s="319">
        <f>SUMIF(Recibos!$D$4:$D$3010,Cobranza!$B205,Recibos!N$4:N$3010)</f>
        <v>400</v>
      </c>
      <c r="BC205" s="319">
        <f>SUMIF(Recibos!$D$4:$D$3010,Cobranza!$B205,Recibos!O$4:O$3010)</f>
        <v>400</v>
      </c>
      <c r="BD205" s="319">
        <f>SUMIF(Recibos!$D$4:$D$3010,Cobranza!$B205,Recibos!P$4:P$3010)</f>
        <v>400</v>
      </c>
      <c r="BE205" s="319">
        <f>SUMIF(Recibos!$D$4:$D$3010,Cobranza!$B205,Recibos!Q$4:Q$3010)</f>
        <v>400</v>
      </c>
      <c r="BF205" s="319">
        <f>SUMIF(Recibos!$D$4:$D$3010,Cobranza!$B205,Recibos!R$4:R$3010)</f>
        <v>400</v>
      </c>
      <c r="BG205" s="319">
        <f>SUMIF(Recibos!$D$4:$D$3010,Cobranza!$B205,Recibos!S$4:S$3010)</f>
        <v>400</v>
      </c>
      <c r="BH205" s="319">
        <f>SUMIF(Recibos!$D$4:$D$3010,Cobranza!$B205,Recibos!T$4:T$3010)</f>
        <v>400</v>
      </c>
      <c r="BI205" s="319">
        <f>SUMIF(Recibos!$D$4:$D$3010,Cobranza!$B205,Recibos!U$4:U$3010)</f>
        <v>400</v>
      </c>
      <c r="BJ205" s="319">
        <f>SUMIF(Recibos!$D$4:$D$3010,Cobranza!$B205,Recibos!V$4:V$3010)</f>
        <v>0</v>
      </c>
      <c r="BK205" s="320">
        <f t="shared" si="21"/>
        <v>4400</v>
      </c>
      <c r="BL205" s="319">
        <f>SUMIF(Recibos!$D$4:$D$3010,Cobranza!$B205,Recibos!X$4:X$3010)</f>
        <v>400</v>
      </c>
      <c r="BM205" s="319">
        <f>SUMIF(Recibos!$D$4:$D$3010,Cobranza!$B205,Recibos!Y$4:Y$3010)</f>
        <v>400</v>
      </c>
      <c r="BN205" s="319">
        <f>SUMIF(Recibos!$D$4:$D$3010,Cobranza!$B205,Recibos!Z$4:Z$3010)</f>
        <v>400</v>
      </c>
      <c r="BO205" s="319">
        <f>SUMIF(Recibos!$D$4:$D$3010,Cobranza!$B205,Recibos!AA$4:AA$3010)</f>
        <v>400</v>
      </c>
      <c r="BP205" s="319">
        <f>SUMIF(Recibos!$D$4:$D$3010,Cobranza!$B205,Recibos!AB$4:AB$3010)</f>
        <v>400</v>
      </c>
      <c r="BQ205" s="319">
        <f>SUMIF(Recibos!$D$4:$D$3010,Cobranza!$B205,Recibos!AC$4:AC$3010)</f>
        <v>400</v>
      </c>
      <c r="BR205" s="319">
        <f>SUMIF(Recibos!$D$4:$D$3010,Cobranza!$B205,Recibos!AD$4:AD$3010)</f>
        <v>400</v>
      </c>
      <c r="BS205" s="319">
        <f>SUMIF(Recibos!$D$4:$D$3010,Cobranza!$B205,Recibos!AE$4:AE$3010)</f>
        <v>400</v>
      </c>
      <c r="BT205" s="319">
        <f>SUMIF(Recibos!$D$4:$D$3010,Cobranza!$B205,Recibos!AF$4:AF$3010)</f>
        <v>400</v>
      </c>
      <c r="BU205" s="319">
        <f>SUMIF(Recibos!$D$4:$D$3010,Cobranza!$B205,Recibos!AG$4:AG$3010)</f>
        <v>400</v>
      </c>
      <c r="BV205" s="319">
        <f>SUMIF(Recibos!$D$4:$D$3010,Cobranza!$B205,Recibos!AH$4:AH$3010)</f>
        <v>400</v>
      </c>
      <c r="BW205" s="319">
        <f>SUMIF(Recibos!$D$4:$D$3010,Cobranza!$B205,Recibos!AI$4:AI$3010)</f>
        <v>0</v>
      </c>
      <c r="BX205" s="320">
        <f t="shared" si="22"/>
        <v>4400</v>
      </c>
    </row>
    <row r="206" spans="2:76" x14ac:dyDescent="0.2">
      <c r="B206" s="42" t="s">
        <v>1032</v>
      </c>
      <c r="C206" s="42" t="s">
        <v>1033</v>
      </c>
      <c r="D206" s="42" t="s">
        <v>1034</v>
      </c>
      <c r="E206" s="43">
        <v>0</v>
      </c>
      <c r="F206" s="43">
        <v>0</v>
      </c>
      <c r="G206" s="43">
        <v>0</v>
      </c>
      <c r="H206" s="43">
        <v>0</v>
      </c>
      <c r="I206" s="43">
        <v>450</v>
      </c>
      <c r="J206" s="43">
        <v>450</v>
      </c>
      <c r="K206" s="44">
        <f t="shared" si="23"/>
        <v>900</v>
      </c>
      <c r="L206" s="43">
        <v>450</v>
      </c>
      <c r="M206" s="43">
        <v>450</v>
      </c>
      <c r="N206" s="43">
        <v>450</v>
      </c>
      <c r="O206" s="43">
        <v>450</v>
      </c>
      <c r="P206" s="43">
        <v>450</v>
      </c>
      <c r="Q206" s="43">
        <v>450</v>
      </c>
      <c r="R206" s="43">
        <v>450</v>
      </c>
      <c r="S206" s="43">
        <v>150</v>
      </c>
      <c r="T206" s="43">
        <v>150</v>
      </c>
      <c r="U206" s="43">
        <v>150</v>
      </c>
      <c r="V206" s="43">
        <v>150</v>
      </c>
      <c r="W206" s="43">
        <v>0</v>
      </c>
      <c r="X206" s="44">
        <f t="shared" si="24"/>
        <v>3750</v>
      </c>
      <c r="Y206" s="43">
        <v>150</v>
      </c>
      <c r="Z206" s="43">
        <v>150</v>
      </c>
      <c r="AA206" s="43">
        <v>150</v>
      </c>
      <c r="AB206" s="43">
        <v>150</v>
      </c>
      <c r="AC206" s="43">
        <v>150</v>
      </c>
      <c r="AD206" s="43">
        <v>150</v>
      </c>
      <c r="AE206" s="43">
        <v>150</v>
      </c>
      <c r="AF206" s="43">
        <v>150</v>
      </c>
      <c r="AG206" s="43">
        <v>150</v>
      </c>
      <c r="AH206" s="43">
        <v>150</v>
      </c>
      <c r="AI206" s="43">
        <v>150</v>
      </c>
      <c r="AJ206" s="43">
        <v>150</v>
      </c>
      <c r="AK206" s="44">
        <f t="shared" si="25"/>
        <v>1800</v>
      </c>
      <c r="AL206" s="43">
        <v>150</v>
      </c>
      <c r="AM206" s="43">
        <v>150</v>
      </c>
      <c r="AN206" s="43">
        <v>150</v>
      </c>
      <c r="AO206" s="43">
        <v>150</v>
      </c>
      <c r="AP206" s="43">
        <v>150</v>
      </c>
      <c r="AQ206" s="43">
        <v>150</v>
      </c>
      <c r="AR206" s="43">
        <v>150</v>
      </c>
      <c r="AS206" s="43">
        <v>150</v>
      </c>
      <c r="AT206" s="43">
        <v>150</v>
      </c>
      <c r="AU206" s="43">
        <v>150</v>
      </c>
      <c r="AV206" s="43">
        <v>150</v>
      </c>
      <c r="AW206" s="43">
        <v>150</v>
      </c>
      <c r="AX206" s="44">
        <f t="shared" si="26"/>
        <v>1800</v>
      </c>
      <c r="AY206" s="317">
        <f>SUMIF(Recibos!$D$4:$D$3010,Cobranza!$B206,Recibos!K$4:K$3010)</f>
        <v>150</v>
      </c>
      <c r="AZ206" s="317">
        <f>SUMIF(Recibos!$D$4:$D$3010,Cobranza!$B206,Recibos!L$4:L$3010)</f>
        <v>150</v>
      </c>
      <c r="BA206" s="317">
        <f>SUMIF(Recibos!$D$4:$D$3010,Cobranza!$B206,Recibos!M$4:M$3010)</f>
        <v>150</v>
      </c>
      <c r="BB206" s="317">
        <f>SUMIF(Recibos!$D$4:$D$3010,Cobranza!$B206,Recibos!N$4:N$3010)</f>
        <v>150</v>
      </c>
      <c r="BC206" s="317">
        <f>SUMIF(Recibos!$D$4:$D$3010,Cobranza!$B206,Recibos!O$4:O$3010)</f>
        <v>150</v>
      </c>
      <c r="BD206" s="317">
        <f>SUMIF(Recibos!$D$4:$D$3010,Cobranza!$B206,Recibos!P$4:P$3010)</f>
        <v>150</v>
      </c>
      <c r="BE206" s="317">
        <f>SUMIF(Recibos!$D$4:$D$3010,Cobranza!$B206,Recibos!Q$4:Q$3010)</f>
        <v>0</v>
      </c>
      <c r="BF206" s="317">
        <f>SUMIF(Recibos!$D$4:$D$3010,Cobranza!$B206,Recibos!R$4:R$3010)</f>
        <v>0</v>
      </c>
      <c r="BG206" s="317">
        <f>SUMIF(Recibos!$D$4:$D$3010,Cobranza!$B206,Recibos!S$4:S$3010)</f>
        <v>0</v>
      </c>
      <c r="BH206" s="317">
        <f>SUMIF(Recibos!$D$4:$D$3010,Cobranza!$B206,Recibos!T$4:T$3010)</f>
        <v>0</v>
      </c>
      <c r="BI206" s="317">
        <f>SUMIF(Recibos!$D$4:$D$3010,Cobranza!$B206,Recibos!U$4:U$3010)</f>
        <v>0</v>
      </c>
      <c r="BJ206" s="317">
        <f>SUMIF(Recibos!$D$4:$D$3010,Cobranza!$B206,Recibos!V$4:V$3010)</f>
        <v>0</v>
      </c>
      <c r="BK206" s="318">
        <f t="shared" si="21"/>
        <v>900</v>
      </c>
      <c r="BL206" s="317">
        <f>SUMIF(Recibos!$D$4:$D$3010,Cobranza!$B206,Recibos!X$4:X$3010)</f>
        <v>0</v>
      </c>
      <c r="BM206" s="317">
        <f>SUMIF(Recibos!$D$4:$D$3010,Cobranza!$B206,Recibos!Y$4:Y$3010)</f>
        <v>0</v>
      </c>
      <c r="BN206" s="317">
        <f>SUMIF(Recibos!$D$4:$D$3010,Cobranza!$B206,Recibos!Z$4:Z$3010)</f>
        <v>0</v>
      </c>
      <c r="BO206" s="317">
        <f>SUMIF(Recibos!$D$4:$D$3010,Cobranza!$B206,Recibos!AA$4:AA$3010)</f>
        <v>0</v>
      </c>
      <c r="BP206" s="317">
        <f>SUMIF(Recibos!$D$4:$D$3010,Cobranza!$B206,Recibos!AB$4:AB$3010)</f>
        <v>0</v>
      </c>
      <c r="BQ206" s="317">
        <f>SUMIF(Recibos!$D$4:$D$3010,Cobranza!$B206,Recibos!AC$4:AC$3010)</f>
        <v>0</v>
      </c>
      <c r="BR206" s="317">
        <f>SUMIF(Recibos!$D$4:$D$3010,Cobranza!$B206,Recibos!AD$4:AD$3010)</f>
        <v>0</v>
      </c>
      <c r="BS206" s="317">
        <f>SUMIF(Recibos!$D$4:$D$3010,Cobranza!$B206,Recibos!AE$4:AE$3010)</f>
        <v>0</v>
      </c>
      <c r="BT206" s="317">
        <f>SUMIF(Recibos!$D$4:$D$3010,Cobranza!$B206,Recibos!AF$4:AF$3010)</f>
        <v>0</v>
      </c>
      <c r="BU206" s="317">
        <f>SUMIF(Recibos!$D$4:$D$3010,Cobranza!$B206,Recibos!AG$4:AG$3010)</f>
        <v>0</v>
      </c>
      <c r="BV206" s="317">
        <f>SUMIF(Recibos!$D$4:$D$3010,Cobranza!$B206,Recibos!AH$4:AH$3010)</f>
        <v>0</v>
      </c>
      <c r="BW206" s="317">
        <f>SUMIF(Recibos!$D$4:$D$3010,Cobranza!$B206,Recibos!AI$4:AI$3010)</f>
        <v>0</v>
      </c>
      <c r="BX206" s="318">
        <f t="shared" si="22"/>
        <v>0</v>
      </c>
    </row>
    <row r="207" spans="2:76" x14ac:dyDescent="0.2">
      <c r="B207" s="45" t="s">
        <v>926</v>
      </c>
      <c r="C207" s="45" t="s">
        <v>927</v>
      </c>
      <c r="D207" s="45" t="s">
        <v>928</v>
      </c>
      <c r="E207" s="46">
        <v>0</v>
      </c>
      <c r="F207" s="46">
        <v>0</v>
      </c>
      <c r="G207" s="46">
        <v>0</v>
      </c>
      <c r="H207" s="46">
        <v>0</v>
      </c>
      <c r="I207" s="46">
        <v>0</v>
      </c>
      <c r="J207" s="46">
        <v>0</v>
      </c>
      <c r="K207" s="47">
        <f t="shared" si="23"/>
        <v>0</v>
      </c>
      <c r="L207" s="46">
        <v>0</v>
      </c>
      <c r="M207" s="46">
        <v>0</v>
      </c>
      <c r="N207" s="46">
        <v>0</v>
      </c>
      <c r="O207" s="46">
        <v>0</v>
      </c>
      <c r="P207" s="46">
        <v>0</v>
      </c>
      <c r="Q207" s="46">
        <v>0</v>
      </c>
      <c r="R207" s="46">
        <v>0</v>
      </c>
      <c r="S207" s="46">
        <v>150</v>
      </c>
      <c r="T207" s="46">
        <v>150</v>
      </c>
      <c r="U207" s="46">
        <v>150</v>
      </c>
      <c r="V207" s="46">
        <v>150</v>
      </c>
      <c r="W207" s="46">
        <v>0</v>
      </c>
      <c r="X207" s="47">
        <f t="shared" si="24"/>
        <v>600</v>
      </c>
      <c r="Y207" s="46">
        <v>0</v>
      </c>
      <c r="Z207" s="46">
        <v>150</v>
      </c>
      <c r="AA207" s="46">
        <v>150</v>
      </c>
      <c r="AB207" s="46">
        <v>150</v>
      </c>
      <c r="AC207" s="46">
        <v>150</v>
      </c>
      <c r="AD207" s="46">
        <v>150</v>
      </c>
      <c r="AE207" s="46">
        <v>150</v>
      </c>
      <c r="AF207" s="46">
        <v>150</v>
      </c>
      <c r="AG207" s="46">
        <v>150</v>
      </c>
      <c r="AH207" s="46">
        <v>150</v>
      </c>
      <c r="AI207" s="46">
        <v>150</v>
      </c>
      <c r="AJ207" s="46">
        <v>150</v>
      </c>
      <c r="AK207" s="47">
        <f t="shared" si="25"/>
        <v>1650</v>
      </c>
      <c r="AL207" s="46">
        <v>150</v>
      </c>
      <c r="AM207" s="46">
        <v>150</v>
      </c>
      <c r="AN207" s="46">
        <v>150</v>
      </c>
      <c r="AO207" s="46">
        <v>150</v>
      </c>
      <c r="AP207" s="46">
        <v>150</v>
      </c>
      <c r="AQ207" s="46">
        <v>150</v>
      </c>
      <c r="AR207" s="46">
        <v>150</v>
      </c>
      <c r="AS207" s="46">
        <v>150</v>
      </c>
      <c r="AT207" s="46">
        <v>150</v>
      </c>
      <c r="AU207" s="46">
        <v>150</v>
      </c>
      <c r="AV207" s="46">
        <v>150</v>
      </c>
      <c r="AW207" s="46">
        <v>150</v>
      </c>
      <c r="AX207" s="47">
        <f t="shared" si="26"/>
        <v>1800</v>
      </c>
      <c r="AY207" s="319">
        <f>SUMIF(Recibos!$D$4:$D$3010,Cobranza!$B207,Recibos!K$4:K$3010)</f>
        <v>150</v>
      </c>
      <c r="AZ207" s="319">
        <f>SUMIF(Recibos!$D$4:$D$3010,Cobranza!$B207,Recibos!L$4:L$3010)</f>
        <v>150</v>
      </c>
      <c r="BA207" s="319">
        <f>SUMIF(Recibos!$D$4:$D$3010,Cobranza!$B207,Recibos!M$4:M$3010)</f>
        <v>150</v>
      </c>
      <c r="BB207" s="319">
        <f>SUMIF(Recibos!$D$4:$D$3010,Cobranza!$B207,Recibos!N$4:N$3010)</f>
        <v>150</v>
      </c>
      <c r="BC207" s="319">
        <f>SUMIF(Recibos!$D$4:$D$3010,Cobranza!$B207,Recibos!O$4:O$3010)</f>
        <v>150</v>
      </c>
      <c r="BD207" s="319">
        <f>SUMIF(Recibos!$D$4:$D$3010,Cobranza!$B207,Recibos!P$4:P$3010)</f>
        <v>150</v>
      </c>
      <c r="BE207" s="319">
        <f>SUMIF(Recibos!$D$4:$D$3010,Cobranza!$B207,Recibos!Q$4:Q$3010)</f>
        <v>0</v>
      </c>
      <c r="BF207" s="319">
        <f>SUMIF(Recibos!$D$4:$D$3010,Cobranza!$B207,Recibos!R$4:R$3010)</f>
        <v>0</v>
      </c>
      <c r="BG207" s="319">
        <f>SUMIF(Recibos!$D$4:$D$3010,Cobranza!$B207,Recibos!S$4:S$3010)</f>
        <v>0</v>
      </c>
      <c r="BH207" s="319">
        <f>SUMIF(Recibos!$D$4:$D$3010,Cobranza!$B207,Recibos!T$4:T$3010)</f>
        <v>0</v>
      </c>
      <c r="BI207" s="319">
        <f>SUMIF(Recibos!$D$4:$D$3010,Cobranza!$B207,Recibos!U$4:U$3010)</f>
        <v>0</v>
      </c>
      <c r="BJ207" s="319">
        <f>SUMIF(Recibos!$D$4:$D$3010,Cobranza!$B207,Recibos!V$4:V$3010)</f>
        <v>0</v>
      </c>
      <c r="BK207" s="320">
        <f t="shared" si="21"/>
        <v>900</v>
      </c>
      <c r="BL207" s="319">
        <f>SUMIF(Recibos!$D$4:$D$3010,Cobranza!$B207,Recibos!X$4:X$3010)</f>
        <v>0</v>
      </c>
      <c r="BM207" s="319">
        <f>SUMIF(Recibos!$D$4:$D$3010,Cobranza!$B207,Recibos!Y$4:Y$3010)</f>
        <v>0</v>
      </c>
      <c r="BN207" s="319">
        <f>SUMIF(Recibos!$D$4:$D$3010,Cobranza!$B207,Recibos!Z$4:Z$3010)</f>
        <v>0</v>
      </c>
      <c r="BO207" s="319">
        <f>SUMIF(Recibos!$D$4:$D$3010,Cobranza!$B207,Recibos!AA$4:AA$3010)</f>
        <v>0</v>
      </c>
      <c r="BP207" s="319">
        <f>SUMIF(Recibos!$D$4:$D$3010,Cobranza!$B207,Recibos!AB$4:AB$3010)</f>
        <v>0</v>
      </c>
      <c r="BQ207" s="319">
        <f>SUMIF(Recibos!$D$4:$D$3010,Cobranza!$B207,Recibos!AC$4:AC$3010)</f>
        <v>0</v>
      </c>
      <c r="BR207" s="319">
        <f>SUMIF(Recibos!$D$4:$D$3010,Cobranza!$B207,Recibos!AD$4:AD$3010)</f>
        <v>0</v>
      </c>
      <c r="BS207" s="319">
        <f>SUMIF(Recibos!$D$4:$D$3010,Cobranza!$B207,Recibos!AE$4:AE$3010)</f>
        <v>0</v>
      </c>
      <c r="BT207" s="319">
        <f>SUMIF(Recibos!$D$4:$D$3010,Cobranza!$B207,Recibos!AF$4:AF$3010)</f>
        <v>0</v>
      </c>
      <c r="BU207" s="319">
        <f>SUMIF(Recibos!$D$4:$D$3010,Cobranza!$B207,Recibos!AG$4:AG$3010)</f>
        <v>0</v>
      </c>
      <c r="BV207" s="319">
        <f>SUMIF(Recibos!$D$4:$D$3010,Cobranza!$B207,Recibos!AH$4:AH$3010)</f>
        <v>0</v>
      </c>
      <c r="BW207" s="319">
        <f>SUMIF(Recibos!$D$4:$D$3010,Cobranza!$B207,Recibos!AI$4:AI$3010)</f>
        <v>0</v>
      </c>
      <c r="BX207" s="320">
        <f t="shared" si="22"/>
        <v>0</v>
      </c>
    </row>
    <row r="208" spans="2:76" x14ac:dyDescent="0.2">
      <c r="B208" s="42" t="s">
        <v>929</v>
      </c>
      <c r="C208" s="42" t="s">
        <v>930</v>
      </c>
      <c r="D208" s="42" t="s">
        <v>931</v>
      </c>
      <c r="E208" s="43">
        <v>0</v>
      </c>
      <c r="F208" s="43">
        <v>0</v>
      </c>
      <c r="G208" s="43">
        <v>0</v>
      </c>
      <c r="H208" s="43">
        <v>0</v>
      </c>
      <c r="I208" s="43">
        <v>0</v>
      </c>
      <c r="J208" s="43">
        <v>0</v>
      </c>
      <c r="K208" s="44">
        <f t="shared" si="23"/>
        <v>0</v>
      </c>
      <c r="L208" s="43">
        <v>0</v>
      </c>
      <c r="M208" s="43">
        <v>0</v>
      </c>
      <c r="N208" s="43">
        <v>0</v>
      </c>
      <c r="O208" s="43">
        <v>0</v>
      </c>
      <c r="P208" s="43">
        <v>0</v>
      </c>
      <c r="Q208" s="43">
        <v>0</v>
      </c>
      <c r="R208" s="43">
        <v>0</v>
      </c>
      <c r="S208" s="43">
        <v>300</v>
      </c>
      <c r="T208" s="43">
        <v>300</v>
      </c>
      <c r="U208" s="43">
        <v>350</v>
      </c>
      <c r="V208" s="43">
        <v>150</v>
      </c>
      <c r="W208" s="43">
        <v>0</v>
      </c>
      <c r="X208" s="44">
        <f t="shared" si="24"/>
        <v>1100</v>
      </c>
      <c r="Y208" s="43">
        <v>150</v>
      </c>
      <c r="Z208" s="43">
        <v>150</v>
      </c>
      <c r="AA208" s="43">
        <v>150</v>
      </c>
      <c r="AB208" s="43">
        <v>0</v>
      </c>
      <c r="AC208" s="43">
        <v>150</v>
      </c>
      <c r="AD208" s="43">
        <v>150</v>
      </c>
      <c r="AE208" s="43">
        <v>150</v>
      </c>
      <c r="AF208" s="43">
        <v>150</v>
      </c>
      <c r="AG208" s="43">
        <v>150</v>
      </c>
      <c r="AH208" s="43">
        <v>150</v>
      </c>
      <c r="AI208" s="43">
        <v>150</v>
      </c>
      <c r="AJ208" s="43">
        <v>150</v>
      </c>
      <c r="AK208" s="44">
        <f t="shared" si="25"/>
        <v>1650</v>
      </c>
      <c r="AL208" s="43">
        <v>150</v>
      </c>
      <c r="AM208" s="43">
        <v>150</v>
      </c>
      <c r="AN208" s="43">
        <v>150</v>
      </c>
      <c r="AO208" s="43">
        <v>150</v>
      </c>
      <c r="AP208" s="43">
        <v>150</v>
      </c>
      <c r="AQ208" s="43">
        <v>150</v>
      </c>
      <c r="AR208" s="43">
        <v>150</v>
      </c>
      <c r="AS208" s="43">
        <v>150</v>
      </c>
      <c r="AT208" s="43">
        <v>150</v>
      </c>
      <c r="AU208" s="43">
        <v>150</v>
      </c>
      <c r="AV208" s="43">
        <v>150</v>
      </c>
      <c r="AW208" s="43">
        <v>150</v>
      </c>
      <c r="AX208" s="44">
        <f t="shared" si="26"/>
        <v>1800</v>
      </c>
      <c r="AY208" s="317">
        <f>SUMIF(Recibos!$D$4:$D$3010,Cobranza!$B208,Recibos!K$4:K$3010)</f>
        <v>150</v>
      </c>
      <c r="AZ208" s="317">
        <f>SUMIF(Recibos!$D$4:$D$3010,Cobranza!$B208,Recibos!L$4:L$3010)</f>
        <v>150</v>
      </c>
      <c r="BA208" s="317">
        <f>SUMIF(Recibos!$D$4:$D$3010,Cobranza!$B208,Recibos!M$4:M$3010)</f>
        <v>150</v>
      </c>
      <c r="BB208" s="317">
        <f>SUMIF(Recibos!$D$4:$D$3010,Cobranza!$B208,Recibos!N$4:N$3010)</f>
        <v>150</v>
      </c>
      <c r="BC208" s="317">
        <f>SUMIF(Recibos!$D$4:$D$3010,Cobranza!$B208,Recibos!O$4:O$3010)</f>
        <v>150</v>
      </c>
      <c r="BD208" s="317">
        <f>SUMIF(Recibos!$D$4:$D$3010,Cobranza!$B208,Recibos!P$4:P$3010)</f>
        <v>150</v>
      </c>
      <c r="BE208" s="317">
        <f>SUMIF(Recibos!$D$4:$D$3010,Cobranza!$B208,Recibos!Q$4:Q$3010)</f>
        <v>0</v>
      </c>
      <c r="BF208" s="317">
        <f>SUMIF(Recibos!$D$4:$D$3010,Cobranza!$B208,Recibos!R$4:R$3010)</f>
        <v>0</v>
      </c>
      <c r="BG208" s="317">
        <f>SUMIF(Recibos!$D$4:$D$3010,Cobranza!$B208,Recibos!S$4:S$3010)</f>
        <v>0</v>
      </c>
      <c r="BH208" s="317">
        <f>SUMIF(Recibos!$D$4:$D$3010,Cobranza!$B208,Recibos!T$4:T$3010)</f>
        <v>0</v>
      </c>
      <c r="BI208" s="317">
        <f>SUMIF(Recibos!$D$4:$D$3010,Cobranza!$B208,Recibos!U$4:U$3010)</f>
        <v>0</v>
      </c>
      <c r="BJ208" s="317">
        <f>SUMIF(Recibos!$D$4:$D$3010,Cobranza!$B208,Recibos!V$4:V$3010)</f>
        <v>0</v>
      </c>
      <c r="BK208" s="318">
        <f t="shared" si="21"/>
        <v>900</v>
      </c>
      <c r="BL208" s="317">
        <f>SUMIF(Recibos!$D$4:$D$3010,Cobranza!$B208,Recibos!X$4:X$3010)</f>
        <v>0</v>
      </c>
      <c r="BM208" s="317">
        <f>SUMIF(Recibos!$D$4:$D$3010,Cobranza!$B208,Recibos!Y$4:Y$3010)</f>
        <v>0</v>
      </c>
      <c r="BN208" s="317">
        <f>SUMIF(Recibos!$D$4:$D$3010,Cobranza!$B208,Recibos!Z$4:Z$3010)</f>
        <v>0</v>
      </c>
      <c r="BO208" s="317">
        <f>SUMIF(Recibos!$D$4:$D$3010,Cobranza!$B208,Recibos!AA$4:AA$3010)</f>
        <v>0</v>
      </c>
      <c r="BP208" s="317">
        <f>SUMIF(Recibos!$D$4:$D$3010,Cobranza!$B208,Recibos!AB$4:AB$3010)</f>
        <v>0</v>
      </c>
      <c r="BQ208" s="317">
        <f>SUMIF(Recibos!$D$4:$D$3010,Cobranza!$B208,Recibos!AC$4:AC$3010)</f>
        <v>0</v>
      </c>
      <c r="BR208" s="317">
        <f>SUMIF(Recibos!$D$4:$D$3010,Cobranza!$B208,Recibos!AD$4:AD$3010)</f>
        <v>0</v>
      </c>
      <c r="BS208" s="317">
        <f>SUMIF(Recibos!$D$4:$D$3010,Cobranza!$B208,Recibos!AE$4:AE$3010)</f>
        <v>0</v>
      </c>
      <c r="BT208" s="317">
        <f>SUMIF(Recibos!$D$4:$D$3010,Cobranza!$B208,Recibos!AF$4:AF$3010)</f>
        <v>0</v>
      </c>
      <c r="BU208" s="317">
        <f>SUMIF(Recibos!$D$4:$D$3010,Cobranza!$B208,Recibos!AG$4:AG$3010)</f>
        <v>0</v>
      </c>
      <c r="BV208" s="317">
        <f>SUMIF(Recibos!$D$4:$D$3010,Cobranza!$B208,Recibos!AH$4:AH$3010)</f>
        <v>0</v>
      </c>
      <c r="BW208" s="317">
        <f>SUMIF(Recibos!$D$4:$D$3010,Cobranza!$B208,Recibos!AI$4:AI$3010)</f>
        <v>0</v>
      </c>
      <c r="BX208" s="318">
        <f t="shared" si="22"/>
        <v>0</v>
      </c>
    </row>
    <row r="209" spans="2:76" x14ac:dyDescent="0.2">
      <c r="B209" s="45" t="s">
        <v>440</v>
      </c>
      <c r="C209" s="45" t="s">
        <v>441</v>
      </c>
      <c r="D209" s="45" t="s">
        <v>442</v>
      </c>
      <c r="E209" s="46">
        <v>0</v>
      </c>
      <c r="F209" s="46">
        <v>0</v>
      </c>
      <c r="G209" s="46">
        <v>0</v>
      </c>
      <c r="H209" s="46">
        <v>0</v>
      </c>
      <c r="I209" s="46">
        <v>0</v>
      </c>
      <c r="J209" s="46">
        <v>250</v>
      </c>
      <c r="K209" s="47">
        <f t="shared" si="23"/>
        <v>250</v>
      </c>
      <c r="L209" s="46">
        <v>250</v>
      </c>
      <c r="M209" s="46">
        <v>250</v>
      </c>
      <c r="N209" s="46">
        <v>250</v>
      </c>
      <c r="O209" s="46">
        <v>250</v>
      </c>
      <c r="P209" s="46">
        <v>250</v>
      </c>
      <c r="Q209" s="46">
        <v>250</v>
      </c>
      <c r="R209" s="46">
        <v>250</v>
      </c>
      <c r="S209" s="46">
        <v>250</v>
      </c>
      <c r="T209" s="46">
        <v>250</v>
      </c>
      <c r="U209" s="46">
        <v>300</v>
      </c>
      <c r="V209" s="46">
        <v>300</v>
      </c>
      <c r="W209" s="46">
        <v>300</v>
      </c>
      <c r="X209" s="47">
        <f t="shared" si="24"/>
        <v>3150</v>
      </c>
      <c r="Y209" s="46">
        <v>300</v>
      </c>
      <c r="Z209" s="46">
        <v>300</v>
      </c>
      <c r="AA209" s="46">
        <v>0</v>
      </c>
      <c r="AB209" s="46">
        <v>600</v>
      </c>
      <c r="AC209" s="46">
        <v>0</v>
      </c>
      <c r="AD209" s="46">
        <v>300</v>
      </c>
      <c r="AE209" s="46">
        <v>300</v>
      </c>
      <c r="AF209" s="46">
        <v>300</v>
      </c>
      <c r="AG209" s="46">
        <v>300</v>
      </c>
      <c r="AH209" s="46">
        <v>300</v>
      </c>
      <c r="AI209" s="46">
        <v>300</v>
      </c>
      <c r="AJ209" s="46">
        <v>300</v>
      </c>
      <c r="AK209" s="47">
        <f t="shared" si="25"/>
        <v>3300</v>
      </c>
      <c r="AL209" s="46">
        <v>300</v>
      </c>
      <c r="AM209" s="46">
        <v>300</v>
      </c>
      <c r="AN209" s="46">
        <v>300</v>
      </c>
      <c r="AO209" s="46">
        <v>300</v>
      </c>
      <c r="AP209" s="46">
        <v>300</v>
      </c>
      <c r="AQ209" s="46">
        <v>300</v>
      </c>
      <c r="AR209" s="46">
        <v>300</v>
      </c>
      <c r="AS209" s="46">
        <v>300</v>
      </c>
      <c r="AT209" s="46">
        <v>300</v>
      </c>
      <c r="AU209" s="46">
        <v>300</v>
      </c>
      <c r="AV209" s="46">
        <v>300</v>
      </c>
      <c r="AW209" s="46">
        <v>300</v>
      </c>
      <c r="AX209" s="47">
        <f t="shared" si="26"/>
        <v>3600</v>
      </c>
      <c r="AY209" s="319">
        <f>SUMIF(Recibos!$D$4:$D$3010,Cobranza!$B209,Recibos!K$4:K$3010)</f>
        <v>300</v>
      </c>
      <c r="AZ209" s="319">
        <f>SUMIF(Recibos!$D$4:$D$3010,Cobranza!$B209,Recibos!L$4:L$3010)</f>
        <v>300</v>
      </c>
      <c r="BA209" s="319">
        <f>SUMIF(Recibos!$D$4:$D$3010,Cobranza!$B209,Recibos!M$4:M$3010)</f>
        <v>0</v>
      </c>
      <c r="BB209" s="319">
        <f>SUMIF(Recibos!$D$4:$D$3010,Cobranza!$B209,Recibos!N$4:N$3010)</f>
        <v>300</v>
      </c>
      <c r="BC209" s="319">
        <f>SUMIF(Recibos!$D$4:$D$3010,Cobranza!$B209,Recibos!O$4:O$3010)</f>
        <v>300</v>
      </c>
      <c r="BD209" s="319">
        <f>SUMIF(Recibos!$D$4:$D$3010,Cobranza!$B209,Recibos!P$4:P$3010)</f>
        <v>300</v>
      </c>
      <c r="BE209" s="319">
        <f>SUMIF(Recibos!$D$4:$D$3010,Cobranza!$B209,Recibos!Q$4:Q$3010)</f>
        <v>300</v>
      </c>
      <c r="BF209" s="319">
        <f>SUMIF(Recibos!$D$4:$D$3010,Cobranza!$B209,Recibos!R$4:R$3010)</f>
        <v>300</v>
      </c>
      <c r="BG209" s="319">
        <f>SUMIF(Recibos!$D$4:$D$3010,Cobranza!$B209,Recibos!S$4:S$3010)</f>
        <v>300</v>
      </c>
      <c r="BH209" s="319">
        <f>SUMIF(Recibos!$D$4:$D$3010,Cobranza!$B209,Recibos!T$4:T$3010)</f>
        <v>0</v>
      </c>
      <c r="BI209" s="319">
        <f>SUMIF(Recibos!$D$4:$D$3010,Cobranza!$B209,Recibos!U$4:U$3010)</f>
        <v>0</v>
      </c>
      <c r="BJ209" s="319">
        <f>SUMIF(Recibos!$D$4:$D$3010,Cobranza!$B209,Recibos!V$4:V$3010)</f>
        <v>0</v>
      </c>
      <c r="BK209" s="320">
        <f t="shared" si="21"/>
        <v>2400</v>
      </c>
      <c r="BL209" s="319">
        <f>SUMIF(Recibos!$D$4:$D$3010,Cobranza!$B209,Recibos!X$4:X$3010)</f>
        <v>0</v>
      </c>
      <c r="BM209" s="319">
        <f>SUMIF(Recibos!$D$4:$D$3010,Cobranza!$B209,Recibos!Y$4:Y$3010)</f>
        <v>0</v>
      </c>
      <c r="BN209" s="319">
        <f>SUMIF(Recibos!$D$4:$D$3010,Cobranza!$B209,Recibos!Z$4:Z$3010)</f>
        <v>0</v>
      </c>
      <c r="BO209" s="319">
        <f>SUMIF(Recibos!$D$4:$D$3010,Cobranza!$B209,Recibos!AA$4:AA$3010)</f>
        <v>0</v>
      </c>
      <c r="BP209" s="319">
        <f>SUMIF(Recibos!$D$4:$D$3010,Cobranza!$B209,Recibos!AB$4:AB$3010)</f>
        <v>0</v>
      </c>
      <c r="BQ209" s="319">
        <f>SUMIF(Recibos!$D$4:$D$3010,Cobranza!$B209,Recibos!AC$4:AC$3010)</f>
        <v>0</v>
      </c>
      <c r="BR209" s="319">
        <f>SUMIF(Recibos!$D$4:$D$3010,Cobranza!$B209,Recibos!AD$4:AD$3010)</f>
        <v>0</v>
      </c>
      <c r="BS209" s="319">
        <f>SUMIF(Recibos!$D$4:$D$3010,Cobranza!$B209,Recibos!AE$4:AE$3010)</f>
        <v>0</v>
      </c>
      <c r="BT209" s="319">
        <f>SUMIF(Recibos!$D$4:$D$3010,Cobranza!$B209,Recibos!AF$4:AF$3010)</f>
        <v>0</v>
      </c>
      <c r="BU209" s="319">
        <f>SUMIF(Recibos!$D$4:$D$3010,Cobranza!$B209,Recibos!AG$4:AG$3010)</f>
        <v>0</v>
      </c>
      <c r="BV209" s="319">
        <f>SUMIF(Recibos!$D$4:$D$3010,Cobranza!$B209,Recibos!AH$4:AH$3010)</f>
        <v>0</v>
      </c>
      <c r="BW209" s="319">
        <f>SUMIF(Recibos!$D$4:$D$3010,Cobranza!$B209,Recibos!AI$4:AI$3010)</f>
        <v>0</v>
      </c>
      <c r="BX209" s="320">
        <f t="shared" si="22"/>
        <v>0</v>
      </c>
    </row>
    <row r="210" spans="2:76" x14ac:dyDescent="0.2">
      <c r="B210" s="42" t="s">
        <v>586</v>
      </c>
      <c r="C210" s="42" t="s">
        <v>587</v>
      </c>
      <c r="D210" s="42" t="s">
        <v>588</v>
      </c>
      <c r="E210" s="43">
        <v>0</v>
      </c>
      <c r="F210" s="43">
        <v>0</v>
      </c>
      <c r="G210" s="43">
        <v>150</v>
      </c>
      <c r="H210" s="43">
        <v>150</v>
      </c>
      <c r="I210" s="43">
        <v>150</v>
      </c>
      <c r="J210" s="43">
        <v>150</v>
      </c>
      <c r="K210" s="44">
        <f t="shared" si="23"/>
        <v>600</v>
      </c>
      <c r="L210" s="43">
        <v>150</v>
      </c>
      <c r="M210" s="43">
        <v>150</v>
      </c>
      <c r="N210" s="43">
        <v>150</v>
      </c>
      <c r="O210" s="43">
        <v>150</v>
      </c>
      <c r="P210" s="43">
        <v>150</v>
      </c>
      <c r="Q210" s="43">
        <v>150</v>
      </c>
      <c r="R210" s="43">
        <v>150</v>
      </c>
      <c r="S210" s="43">
        <v>150</v>
      </c>
      <c r="T210" s="43">
        <v>150</v>
      </c>
      <c r="U210" s="43">
        <v>200</v>
      </c>
      <c r="V210" s="43">
        <v>200</v>
      </c>
      <c r="W210" s="43">
        <v>200</v>
      </c>
      <c r="X210" s="44">
        <f t="shared" si="24"/>
        <v>1950</v>
      </c>
      <c r="Y210" s="43">
        <v>200</v>
      </c>
      <c r="Z210" s="43">
        <v>200</v>
      </c>
      <c r="AA210" s="43">
        <v>200</v>
      </c>
      <c r="AB210" s="43">
        <v>200</v>
      </c>
      <c r="AC210" s="43">
        <v>200</v>
      </c>
      <c r="AD210" s="43">
        <v>200</v>
      </c>
      <c r="AE210" s="43">
        <v>200</v>
      </c>
      <c r="AF210" s="43">
        <v>200</v>
      </c>
      <c r="AG210" s="43">
        <v>200</v>
      </c>
      <c r="AH210" s="43">
        <v>200</v>
      </c>
      <c r="AI210" s="43">
        <v>200</v>
      </c>
      <c r="AJ210" s="43">
        <v>200</v>
      </c>
      <c r="AK210" s="44">
        <f t="shared" si="25"/>
        <v>2400</v>
      </c>
      <c r="AL210" s="43">
        <v>200</v>
      </c>
      <c r="AM210" s="43">
        <v>200</v>
      </c>
      <c r="AN210" s="43">
        <v>200</v>
      </c>
      <c r="AO210" s="43">
        <v>200</v>
      </c>
      <c r="AP210" s="43">
        <v>200</v>
      </c>
      <c r="AQ210" s="43">
        <v>200</v>
      </c>
      <c r="AR210" s="43">
        <v>200</v>
      </c>
      <c r="AS210" s="43">
        <v>200</v>
      </c>
      <c r="AT210" s="43">
        <v>200</v>
      </c>
      <c r="AU210" s="43">
        <v>200</v>
      </c>
      <c r="AV210" s="43">
        <v>200</v>
      </c>
      <c r="AW210" s="43">
        <v>200</v>
      </c>
      <c r="AX210" s="44">
        <f t="shared" si="26"/>
        <v>2400</v>
      </c>
      <c r="AY210" s="317">
        <f>SUMIF(Recibos!$D$4:$D$3010,Cobranza!$B210,Recibos!K$4:K$3010)</f>
        <v>200</v>
      </c>
      <c r="AZ210" s="317">
        <f>SUMIF(Recibos!$D$4:$D$3010,Cobranza!$B210,Recibos!L$4:L$3010)</f>
        <v>200</v>
      </c>
      <c r="BA210" s="317">
        <f>SUMIF(Recibos!$D$4:$D$3010,Cobranza!$B210,Recibos!M$4:M$3010)</f>
        <v>200</v>
      </c>
      <c r="BB210" s="317">
        <f>SUMIF(Recibos!$D$4:$D$3010,Cobranza!$B210,Recibos!N$4:N$3010)</f>
        <v>200</v>
      </c>
      <c r="BC210" s="317">
        <f>SUMIF(Recibos!$D$4:$D$3010,Cobranza!$B210,Recibos!O$4:O$3010)</f>
        <v>200</v>
      </c>
      <c r="BD210" s="317">
        <f>SUMIF(Recibos!$D$4:$D$3010,Cobranza!$B210,Recibos!P$4:P$3010)</f>
        <v>200</v>
      </c>
      <c r="BE210" s="317">
        <f>SUMIF(Recibos!$D$4:$D$3010,Cobranza!$B210,Recibos!Q$4:Q$3010)</f>
        <v>200</v>
      </c>
      <c r="BF210" s="317">
        <f>SUMIF(Recibos!$D$4:$D$3010,Cobranza!$B210,Recibos!R$4:R$3010)</f>
        <v>200</v>
      </c>
      <c r="BG210" s="317">
        <f>SUMIF(Recibos!$D$4:$D$3010,Cobranza!$B210,Recibos!S$4:S$3010)</f>
        <v>200</v>
      </c>
      <c r="BH210" s="317">
        <f>SUMIF(Recibos!$D$4:$D$3010,Cobranza!$B210,Recibos!T$4:T$3010)</f>
        <v>200</v>
      </c>
      <c r="BI210" s="317">
        <f>SUMIF(Recibos!$D$4:$D$3010,Cobranza!$B210,Recibos!U$4:U$3010)</f>
        <v>200</v>
      </c>
      <c r="BJ210" s="317">
        <f>SUMIF(Recibos!$D$4:$D$3010,Cobranza!$B210,Recibos!V$4:V$3010)</f>
        <v>200</v>
      </c>
      <c r="BK210" s="318">
        <f t="shared" ref="BK210:BK273" si="27">SUM(AY210:BJ210)</f>
        <v>2400</v>
      </c>
      <c r="BL210" s="317">
        <f>SUMIF(Recibos!$D$4:$D$3010,Cobranza!$B210,Recibos!X$4:X$3010)</f>
        <v>0</v>
      </c>
      <c r="BM210" s="317">
        <f>SUMIF(Recibos!$D$4:$D$3010,Cobranza!$B210,Recibos!Y$4:Y$3010)</f>
        <v>0</v>
      </c>
      <c r="BN210" s="317">
        <f>SUMIF(Recibos!$D$4:$D$3010,Cobranza!$B210,Recibos!Z$4:Z$3010)</f>
        <v>0</v>
      </c>
      <c r="BO210" s="317">
        <f>SUMIF(Recibos!$D$4:$D$3010,Cobranza!$B210,Recibos!AA$4:AA$3010)</f>
        <v>0</v>
      </c>
      <c r="BP210" s="317">
        <f>SUMIF(Recibos!$D$4:$D$3010,Cobranza!$B210,Recibos!AB$4:AB$3010)</f>
        <v>0</v>
      </c>
      <c r="BQ210" s="317">
        <f>SUMIF(Recibos!$D$4:$D$3010,Cobranza!$B210,Recibos!AC$4:AC$3010)</f>
        <v>0</v>
      </c>
      <c r="BR210" s="317">
        <f>SUMIF(Recibos!$D$4:$D$3010,Cobranza!$B210,Recibos!AD$4:AD$3010)</f>
        <v>0</v>
      </c>
      <c r="BS210" s="317">
        <f>SUMIF(Recibos!$D$4:$D$3010,Cobranza!$B210,Recibos!AE$4:AE$3010)</f>
        <v>0</v>
      </c>
      <c r="BT210" s="317">
        <f>SUMIF(Recibos!$D$4:$D$3010,Cobranza!$B210,Recibos!AF$4:AF$3010)</f>
        <v>0</v>
      </c>
      <c r="BU210" s="317">
        <f>SUMIF(Recibos!$D$4:$D$3010,Cobranza!$B210,Recibos!AG$4:AG$3010)</f>
        <v>0</v>
      </c>
      <c r="BV210" s="317">
        <f>SUMIF(Recibos!$D$4:$D$3010,Cobranza!$B210,Recibos!AH$4:AH$3010)</f>
        <v>0</v>
      </c>
      <c r="BW210" s="317">
        <f>SUMIF(Recibos!$D$4:$D$3010,Cobranza!$B210,Recibos!AI$4:AI$3010)</f>
        <v>0</v>
      </c>
      <c r="BX210" s="318">
        <f t="shared" ref="BX210:BX273" si="28">SUM(BL210:BW210)</f>
        <v>0</v>
      </c>
    </row>
    <row r="211" spans="2:76" x14ac:dyDescent="0.2">
      <c r="B211" s="45" t="s">
        <v>1359</v>
      </c>
      <c r="C211" s="45" t="s">
        <v>1360</v>
      </c>
      <c r="D211" s="45" t="s">
        <v>1361</v>
      </c>
      <c r="E211" s="46">
        <v>0</v>
      </c>
      <c r="F211" s="46">
        <v>0</v>
      </c>
      <c r="G211" s="46">
        <v>0</v>
      </c>
      <c r="H211" s="46">
        <v>0</v>
      </c>
      <c r="I211" s="46">
        <v>0</v>
      </c>
      <c r="J211" s="46">
        <v>0</v>
      </c>
      <c r="K211" s="47">
        <f t="shared" si="23"/>
        <v>0</v>
      </c>
      <c r="L211" s="46">
        <v>0</v>
      </c>
      <c r="M211" s="46">
        <v>0</v>
      </c>
      <c r="N211" s="46">
        <v>0</v>
      </c>
      <c r="O211" s="46">
        <v>0</v>
      </c>
      <c r="P211" s="46">
        <v>0</v>
      </c>
      <c r="Q211" s="46">
        <v>0</v>
      </c>
      <c r="R211" s="46">
        <v>0</v>
      </c>
      <c r="S211" s="46">
        <v>0</v>
      </c>
      <c r="T211" s="46">
        <v>0</v>
      </c>
      <c r="U211" s="46">
        <v>0</v>
      </c>
      <c r="V211" s="46">
        <v>0</v>
      </c>
      <c r="W211" s="46">
        <v>0</v>
      </c>
      <c r="X211" s="47">
        <f t="shared" si="24"/>
        <v>0</v>
      </c>
      <c r="Y211" s="46">
        <v>0</v>
      </c>
      <c r="Z211" s="46">
        <v>0</v>
      </c>
      <c r="AA211" s="46">
        <v>0</v>
      </c>
      <c r="AB211" s="46">
        <v>0</v>
      </c>
      <c r="AC211" s="46">
        <v>0</v>
      </c>
      <c r="AD211" s="46">
        <v>0</v>
      </c>
      <c r="AE211" s="46">
        <v>0</v>
      </c>
      <c r="AF211" s="46">
        <v>0</v>
      </c>
      <c r="AG211" s="46">
        <v>0</v>
      </c>
      <c r="AH211" s="46">
        <v>0</v>
      </c>
      <c r="AI211" s="46">
        <v>0</v>
      </c>
      <c r="AJ211" s="46">
        <v>0</v>
      </c>
      <c r="AK211" s="47">
        <f t="shared" si="25"/>
        <v>0</v>
      </c>
      <c r="AL211" s="46">
        <v>0</v>
      </c>
      <c r="AM211" s="46">
        <v>0</v>
      </c>
      <c r="AN211" s="46">
        <v>0</v>
      </c>
      <c r="AO211" s="46">
        <v>0</v>
      </c>
      <c r="AP211" s="46">
        <v>0</v>
      </c>
      <c r="AQ211" s="46">
        <v>0</v>
      </c>
      <c r="AR211" s="46">
        <v>0</v>
      </c>
      <c r="AS211" s="46">
        <v>0</v>
      </c>
      <c r="AT211" s="46">
        <v>0</v>
      </c>
      <c r="AU211" s="46">
        <v>0</v>
      </c>
      <c r="AV211" s="46">
        <v>0</v>
      </c>
      <c r="AW211" s="46">
        <v>0</v>
      </c>
      <c r="AX211" s="47">
        <f t="shared" si="26"/>
        <v>0</v>
      </c>
      <c r="AY211" s="319">
        <f>SUMIF(Recibos!$D$4:$D$3010,Cobranza!$B211,Recibos!K$4:K$3010)</f>
        <v>0</v>
      </c>
      <c r="AZ211" s="319">
        <f>SUMIF(Recibos!$D$4:$D$3010,Cobranza!$B211,Recibos!L$4:L$3010)</f>
        <v>0</v>
      </c>
      <c r="BA211" s="319">
        <f>SUMIF(Recibos!$D$4:$D$3010,Cobranza!$B211,Recibos!M$4:M$3010)</f>
        <v>0</v>
      </c>
      <c r="BB211" s="319">
        <f>SUMIF(Recibos!$D$4:$D$3010,Cobranza!$B211,Recibos!N$4:N$3010)</f>
        <v>0</v>
      </c>
      <c r="BC211" s="319">
        <f>SUMIF(Recibos!$D$4:$D$3010,Cobranza!$B211,Recibos!O$4:O$3010)</f>
        <v>0</v>
      </c>
      <c r="BD211" s="319">
        <f>SUMIF(Recibos!$D$4:$D$3010,Cobranza!$B211,Recibos!P$4:P$3010)</f>
        <v>0</v>
      </c>
      <c r="BE211" s="319">
        <f>SUMIF(Recibos!$D$4:$D$3010,Cobranza!$B211,Recibos!Q$4:Q$3010)</f>
        <v>0</v>
      </c>
      <c r="BF211" s="319">
        <f>SUMIF(Recibos!$D$4:$D$3010,Cobranza!$B211,Recibos!R$4:R$3010)</f>
        <v>0</v>
      </c>
      <c r="BG211" s="319">
        <f>SUMIF(Recibos!$D$4:$D$3010,Cobranza!$B211,Recibos!S$4:S$3010)</f>
        <v>0</v>
      </c>
      <c r="BH211" s="319">
        <f>SUMIF(Recibos!$D$4:$D$3010,Cobranza!$B211,Recibos!T$4:T$3010)</f>
        <v>0</v>
      </c>
      <c r="BI211" s="319">
        <f>SUMIF(Recibos!$D$4:$D$3010,Cobranza!$B211,Recibos!U$4:U$3010)</f>
        <v>0</v>
      </c>
      <c r="BJ211" s="319">
        <f>SUMIF(Recibos!$D$4:$D$3010,Cobranza!$B211,Recibos!V$4:V$3010)</f>
        <v>0</v>
      </c>
      <c r="BK211" s="320">
        <f t="shared" si="27"/>
        <v>0</v>
      </c>
      <c r="BL211" s="319">
        <f>SUMIF(Recibos!$D$4:$D$3010,Cobranza!$B211,Recibos!X$4:X$3010)</f>
        <v>0</v>
      </c>
      <c r="BM211" s="319">
        <f>SUMIF(Recibos!$D$4:$D$3010,Cobranza!$B211,Recibos!Y$4:Y$3010)</f>
        <v>0</v>
      </c>
      <c r="BN211" s="319">
        <f>SUMIF(Recibos!$D$4:$D$3010,Cobranza!$B211,Recibos!Z$4:Z$3010)</f>
        <v>0</v>
      </c>
      <c r="BO211" s="319">
        <f>SUMIF(Recibos!$D$4:$D$3010,Cobranza!$B211,Recibos!AA$4:AA$3010)</f>
        <v>0</v>
      </c>
      <c r="BP211" s="319">
        <f>SUMIF(Recibos!$D$4:$D$3010,Cobranza!$B211,Recibos!AB$4:AB$3010)</f>
        <v>0</v>
      </c>
      <c r="BQ211" s="319">
        <f>SUMIF(Recibos!$D$4:$D$3010,Cobranza!$B211,Recibos!AC$4:AC$3010)</f>
        <v>0</v>
      </c>
      <c r="BR211" s="319">
        <f>SUMIF(Recibos!$D$4:$D$3010,Cobranza!$B211,Recibos!AD$4:AD$3010)</f>
        <v>0</v>
      </c>
      <c r="BS211" s="319">
        <f>SUMIF(Recibos!$D$4:$D$3010,Cobranza!$B211,Recibos!AE$4:AE$3010)</f>
        <v>0</v>
      </c>
      <c r="BT211" s="319">
        <f>SUMIF(Recibos!$D$4:$D$3010,Cobranza!$B211,Recibos!AF$4:AF$3010)</f>
        <v>0</v>
      </c>
      <c r="BU211" s="319">
        <f>SUMIF(Recibos!$D$4:$D$3010,Cobranza!$B211,Recibos!AG$4:AG$3010)</f>
        <v>0</v>
      </c>
      <c r="BV211" s="319">
        <f>SUMIF(Recibos!$D$4:$D$3010,Cobranza!$B211,Recibos!AH$4:AH$3010)</f>
        <v>0</v>
      </c>
      <c r="BW211" s="319">
        <f>SUMIF(Recibos!$D$4:$D$3010,Cobranza!$B211,Recibos!AI$4:AI$3010)</f>
        <v>0</v>
      </c>
      <c r="BX211" s="320">
        <f t="shared" si="28"/>
        <v>0</v>
      </c>
    </row>
    <row r="212" spans="2:76" x14ac:dyDescent="0.2">
      <c r="B212" s="42" t="s">
        <v>938</v>
      </c>
      <c r="C212" s="42" t="s">
        <v>939</v>
      </c>
      <c r="D212" s="42" t="s">
        <v>940</v>
      </c>
      <c r="E212" s="43">
        <v>0</v>
      </c>
      <c r="F212" s="43">
        <v>0</v>
      </c>
      <c r="G212" s="43">
        <v>0</v>
      </c>
      <c r="H212" s="43">
        <v>0</v>
      </c>
      <c r="I212" s="43">
        <v>300</v>
      </c>
      <c r="J212" s="43">
        <v>300</v>
      </c>
      <c r="K212" s="44">
        <f t="shared" si="23"/>
        <v>600</v>
      </c>
      <c r="L212" s="43">
        <v>0</v>
      </c>
      <c r="M212" s="43">
        <v>0</v>
      </c>
      <c r="N212" s="43">
        <v>0</v>
      </c>
      <c r="O212" s="43">
        <v>0</v>
      </c>
      <c r="P212" s="43">
        <v>0</v>
      </c>
      <c r="Q212" s="43">
        <v>0</v>
      </c>
      <c r="R212" s="43">
        <v>0</v>
      </c>
      <c r="S212" s="43">
        <v>0</v>
      </c>
      <c r="T212" s="43">
        <v>0</v>
      </c>
      <c r="U212" s="43">
        <v>0</v>
      </c>
      <c r="V212" s="43">
        <v>0</v>
      </c>
      <c r="W212" s="43">
        <v>0</v>
      </c>
      <c r="X212" s="44">
        <f t="shared" si="24"/>
        <v>0</v>
      </c>
      <c r="Y212" s="43">
        <v>0</v>
      </c>
      <c r="Z212" s="43">
        <v>0</v>
      </c>
      <c r="AA212" s="43">
        <v>0</v>
      </c>
      <c r="AB212" s="43">
        <v>0</v>
      </c>
      <c r="AC212" s="43">
        <v>0</v>
      </c>
      <c r="AD212" s="43">
        <v>0</v>
      </c>
      <c r="AE212" s="43">
        <v>0</v>
      </c>
      <c r="AF212" s="43">
        <v>0</v>
      </c>
      <c r="AG212" s="43">
        <v>0</v>
      </c>
      <c r="AH212" s="43">
        <v>0</v>
      </c>
      <c r="AI212" s="43">
        <v>0</v>
      </c>
      <c r="AJ212" s="43">
        <v>0</v>
      </c>
      <c r="AK212" s="44">
        <f t="shared" si="25"/>
        <v>0</v>
      </c>
      <c r="AL212" s="43">
        <v>0</v>
      </c>
      <c r="AM212" s="43">
        <v>0</v>
      </c>
      <c r="AN212" s="43">
        <v>0</v>
      </c>
      <c r="AO212" s="43">
        <v>0</v>
      </c>
      <c r="AP212" s="43">
        <v>0</v>
      </c>
      <c r="AQ212" s="43">
        <v>0</v>
      </c>
      <c r="AR212" s="43">
        <v>0</v>
      </c>
      <c r="AS212" s="43">
        <v>0</v>
      </c>
      <c r="AT212" s="43">
        <v>0</v>
      </c>
      <c r="AU212" s="43">
        <v>0</v>
      </c>
      <c r="AV212" s="43">
        <v>0</v>
      </c>
      <c r="AW212" s="43">
        <v>0</v>
      </c>
      <c r="AX212" s="44">
        <f t="shared" si="26"/>
        <v>0</v>
      </c>
      <c r="AY212" s="317">
        <f>SUMIF(Recibos!$D$4:$D$3010,Cobranza!$B212,Recibos!K$4:K$3010)</f>
        <v>0</v>
      </c>
      <c r="AZ212" s="317">
        <f>SUMIF(Recibos!$D$4:$D$3010,Cobranza!$B212,Recibos!L$4:L$3010)</f>
        <v>0</v>
      </c>
      <c r="BA212" s="317">
        <f>SUMIF(Recibos!$D$4:$D$3010,Cobranza!$B212,Recibos!M$4:M$3010)</f>
        <v>0</v>
      </c>
      <c r="BB212" s="317">
        <f>SUMIF(Recibos!$D$4:$D$3010,Cobranza!$B212,Recibos!N$4:N$3010)</f>
        <v>400</v>
      </c>
      <c r="BC212" s="317">
        <f>SUMIF(Recibos!$D$4:$D$3010,Cobranza!$B212,Recibos!O$4:O$3010)</f>
        <v>400</v>
      </c>
      <c r="BD212" s="317">
        <f>SUMIF(Recibos!$D$4:$D$3010,Cobranza!$B212,Recibos!P$4:P$3010)</f>
        <v>400</v>
      </c>
      <c r="BE212" s="317">
        <f>SUMIF(Recibos!$D$4:$D$3010,Cobranza!$B212,Recibos!Q$4:Q$3010)</f>
        <v>0</v>
      </c>
      <c r="BF212" s="317">
        <f>SUMIF(Recibos!$D$4:$D$3010,Cobranza!$B212,Recibos!R$4:R$3010)</f>
        <v>0</v>
      </c>
      <c r="BG212" s="317">
        <f>SUMIF(Recibos!$D$4:$D$3010,Cobranza!$B212,Recibos!S$4:S$3010)</f>
        <v>0</v>
      </c>
      <c r="BH212" s="317">
        <f>SUMIF(Recibos!$D$4:$D$3010,Cobranza!$B212,Recibos!T$4:T$3010)</f>
        <v>0</v>
      </c>
      <c r="BI212" s="317">
        <f>SUMIF(Recibos!$D$4:$D$3010,Cobranza!$B212,Recibos!U$4:U$3010)</f>
        <v>0</v>
      </c>
      <c r="BJ212" s="317">
        <f>SUMIF(Recibos!$D$4:$D$3010,Cobranza!$B212,Recibos!V$4:V$3010)</f>
        <v>0</v>
      </c>
      <c r="BK212" s="318">
        <f t="shared" si="27"/>
        <v>1200</v>
      </c>
      <c r="BL212" s="317">
        <f>SUMIF(Recibos!$D$4:$D$3010,Cobranza!$B212,Recibos!X$4:X$3010)</f>
        <v>0</v>
      </c>
      <c r="BM212" s="317">
        <f>SUMIF(Recibos!$D$4:$D$3010,Cobranza!$B212,Recibos!Y$4:Y$3010)</f>
        <v>0</v>
      </c>
      <c r="BN212" s="317">
        <f>SUMIF(Recibos!$D$4:$D$3010,Cobranza!$B212,Recibos!Z$4:Z$3010)</f>
        <v>0</v>
      </c>
      <c r="BO212" s="317">
        <f>SUMIF(Recibos!$D$4:$D$3010,Cobranza!$B212,Recibos!AA$4:AA$3010)</f>
        <v>0</v>
      </c>
      <c r="BP212" s="317">
        <f>SUMIF(Recibos!$D$4:$D$3010,Cobranza!$B212,Recibos!AB$4:AB$3010)</f>
        <v>0</v>
      </c>
      <c r="BQ212" s="317">
        <f>SUMIF(Recibos!$D$4:$D$3010,Cobranza!$B212,Recibos!AC$4:AC$3010)</f>
        <v>0</v>
      </c>
      <c r="BR212" s="317">
        <f>SUMIF(Recibos!$D$4:$D$3010,Cobranza!$B212,Recibos!AD$4:AD$3010)</f>
        <v>0</v>
      </c>
      <c r="BS212" s="317">
        <f>SUMIF(Recibos!$D$4:$D$3010,Cobranza!$B212,Recibos!AE$4:AE$3010)</f>
        <v>0</v>
      </c>
      <c r="BT212" s="317">
        <f>SUMIF(Recibos!$D$4:$D$3010,Cobranza!$B212,Recibos!AF$4:AF$3010)</f>
        <v>0</v>
      </c>
      <c r="BU212" s="317">
        <f>SUMIF(Recibos!$D$4:$D$3010,Cobranza!$B212,Recibos!AG$4:AG$3010)</f>
        <v>0</v>
      </c>
      <c r="BV212" s="317">
        <f>SUMIF(Recibos!$D$4:$D$3010,Cobranza!$B212,Recibos!AH$4:AH$3010)</f>
        <v>0</v>
      </c>
      <c r="BW212" s="317">
        <f>SUMIF(Recibos!$D$4:$D$3010,Cobranza!$B212,Recibos!AI$4:AI$3010)</f>
        <v>0</v>
      </c>
      <c r="BX212" s="318">
        <f t="shared" si="28"/>
        <v>0</v>
      </c>
    </row>
    <row r="213" spans="2:76" x14ac:dyDescent="0.2">
      <c r="B213" s="45" t="s">
        <v>1362</v>
      </c>
      <c r="C213" s="45" t="s">
        <v>1363</v>
      </c>
      <c r="D213" s="45" t="s">
        <v>1364</v>
      </c>
      <c r="E213" s="46">
        <v>0</v>
      </c>
      <c r="F213" s="46">
        <v>0</v>
      </c>
      <c r="G213" s="46">
        <v>0</v>
      </c>
      <c r="H213" s="46">
        <v>0</v>
      </c>
      <c r="I213" s="46">
        <v>0</v>
      </c>
      <c r="J213" s="46">
        <v>0</v>
      </c>
      <c r="K213" s="47">
        <f t="shared" si="23"/>
        <v>0</v>
      </c>
      <c r="L213" s="46">
        <v>0</v>
      </c>
      <c r="M213" s="46">
        <v>0</v>
      </c>
      <c r="N213" s="46">
        <v>0</v>
      </c>
      <c r="O213" s="46">
        <v>0</v>
      </c>
      <c r="P213" s="46">
        <v>0</v>
      </c>
      <c r="Q213" s="46">
        <v>0</v>
      </c>
      <c r="R213" s="46">
        <v>0</v>
      </c>
      <c r="S213" s="46">
        <v>0</v>
      </c>
      <c r="T213" s="46">
        <v>0</v>
      </c>
      <c r="U213" s="46">
        <v>0</v>
      </c>
      <c r="V213" s="46">
        <v>0</v>
      </c>
      <c r="W213" s="46">
        <v>0</v>
      </c>
      <c r="X213" s="47">
        <f t="shared" si="24"/>
        <v>0</v>
      </c>
      <c r="Y213" s="46">
        <v>0</v>
      </c>
      <c r="Z213" s="46">
        <v>0</v>
      </c>
      <c r="AA213" s="46">
        <v>0</v>
      </c>
      <c r="AB213" s="46">
        <v>0</v>
      </c>
      <c r="AC213" s="46">
        <v>0</v>
      </c>
      <c r="AD213" s="46">
        <v>0</v>
      </c>
      <c r="AE213" s="46">
        <v>0</v>
      </c>
      <c r="AF213" s="46">
        <v>0</v>
      </c>
      <c r="AG213" s="46">
        <v>0</v>
      </c>
      <c r="AH213" s="46">
        <v>0</v>
      </c>
      <c r="AI213" s="46">
        <v>0</v>
      </c>
      <c r="AJ213" s="46">
        <v>0</v>
      </c>
      <c r="AK213" s="47">
        <f t="shared" si="25"/>
        <v>0</v>
      </c>
      <c r="AL213" s="46">
        <v>0</v>
      </c>
      <c r="AM213" s="46">
        <v>0</v>
      </c>
      <c r="AN213" s="46">
        <v>0</v>
      </c>
      <c r="AO213" s="46">
        <v>0</v>
      </c>
      <c r="AP213" s="46">
        <v>0</v>
      </c>
      <c r="AQ213" s="46">
        <v>0</v>
      </c>
      <c r="AR213" s="46">
        <v>0</v>
      </c>
      <c r="AS213" s="46">
        <v>0</v>
      </c>
      <c r="AT213" s="46">
        <v>0</v>
      </c>
      <c r="AU213" s="46">
        <v>0</v>
      </c>
      <c r="AV213" s="46">
        <v>0</v>
      </c>
      <c r="AW213" s="46">
        <v>0</v>
      </c>
      <c r="AX213" s="47">
        <f t="shared" si="26"/>
        <v>0</v>
      </c>
      <c r="AY213" s="319">
        <f>SUMIF(Recibos!$D$4:$D$3010,Cobranza!$B213,Recibos!K$4:K$3010)</f>
        <v>0</v>
      </c>
      <c r="AZ213" s="319">
        <f>SUMIF(Recibos!$D$4:$D$3010,Cobranza!$B213,Recibos!L$4:L$3010)</f>
        <v>0</v>
      </c>
      <c r="BA213" s="319">
        <f>SUMIF(Recibos!$D$4:$D$3010,Cobranza!$B213,Recibos!M$4:M$3010)</f>
        <v>0</v>
      </c>
      <c r="BB213" s="319">
        <f>SUMIF(Recibos!$D$4:$D$3010,Cobranza!$B213,Recibos!N$4:N$3010)</f>
        <v>0</v>
      </c>
      <c r="BC213" s="319">
        <f>SUMIF(Recibos!$D$4:$D$3010,Cobranza!$B213,Recibos!O$4:O$3010)</f>
        <v>0</v>
      </c>
      <c r="BD213" s="319">
        <f>SUMIF(Recibos!$D$4:$D$3010,Cobranza!$B213,Recibos!P$4:P$3010)</f>
        <v>0</v>
      </c>
      <c r="BE213" s="319">
        <f>SUMIF(Recibos!$D$4:$D$3010,Cobranza!$B213,Recibos!Q$4:Q$3010)</f>
        <v>0</v>
      </c>
      <c r="BF213" s="319">
        <f>SUMIF(Recibos!$D$4:$D$3010,Cobranza!$B213,Recibos!R$4:R$3010)</f>
        <v>0</v>
      </c>
      <c r="BG213" s="319">
        <f>SUMIF(Recibos!$D$4:$D$3010,Cobranza!$B213,Recibos!S$4:S$3010)</f>
        <v>0</v>
      </c>
      <c r="BH213" s="319">
        <f>SUMIF(Recibos!$D$4:$D$3010,Cobranza!$B213,Recibos!T$4:T$3010)</f>
        <v>0</v>
      </c>
      <c r="BI213" s="319">
        <f>SUMIF(Recibos!$D$4:$D$3010,Cobranza!$B213,Recibos!U$4:U$3010)</f>
        <v>0</v>
      </c>
      <c r="BJ213" s="319">
        <f>SUMIF(Recibos!$D$4:$D$3010,Cobranza!$B213,Recibos!V$4:V$3010)</f>
        <v>0</v>
      </c>
      <c r="BK213" s="320">
        <f t="shared" si="27"/>
        <v>0</v>
      </c>
      <c r="BL213" s="319">
        <f>SUMIF(Recibos!$D$4:$D$3010,Cobranza!$B213,Recibos!X$4:X$3010)</f>
        <v>0</v>
      </c>
      <c r="BM213" s="319">
        <f>SUMIF(Recibos!$D$4:$D$3010,Cobranza!$B213,Recibos!Y$4:Y$3010)</f>
        <v>0</v>
      </c>
      <c r="BN213" s="319">
        <f>SUMIF(Recibos!$D$4:$D$3010,Cobranza!$B213,Recibos!Z$4:Z$3010)</f>
        <v>0</v>
      </c>
      <c r="BO213" s="319">
        <f>SUMIF(Recibos!$D$4:$D$3010,Cobranza!$B213,Recibos!AA$4:AA$3010)</f>
        <v>0</v>
      </c>
      <c r="BP213" s="319">
        <f>SUMIF(Recibos!$D$4:$D$3010,Cobranza!$B213,Recibos!AB$4:AB$3010)</f>
        <v>0</v>
      </c>
      <c r="BQ213" s="319">
        <f>SUMIF(Recibos!$D$4:$D$3010,Cobranza!$B213,Recibos!AC$4:AC$3010)</f>
        <v>0</v>
      </c>
      <c r="BR213" s="319">
        <f>SUMIF(Recibos!$D$4:$D$3010,Cobranza!$B213,Recibos!AD$4:AD$3010)</f>
        <v>0</v>
      </c>
      <c r="BS213" s="319">
        <f>SUMIF(Recibos!$D$4:$D$3010,Cobranza!$B213,Recibos!AE$4:AE$3010)</f>
        <v>0</v>
      </c>
      <c r="BT213" s="319">
        <f>SUMIF(Recibos!$D$4:$D$3010,Cobranza!$B213,Recibos!AF$4:AF$3010)</f>
        <v>0</v>
      </c>
      <c r="BU213" s="319">
        <f>SUMIF(Recibos!$D$4:$D$3010,Cobranza!$B213,Recibos!AG$4:AG$3010)</f>
        <v>0</v>
      </c>
      <c r="BV213" s="319">
        <f>SUMIF(Recibos!$D$4:$D$3010,Cobranza!$B213,Recibos!AH$4:AH$3010)</f>
        <v>0</v>
      </c>
      <c r="BW213" s="319">
        <f>SUMIF(Recibos!$D$4:$D$3010,Cobranza!$B213,Recibos!AI$4:AI$3010)</f>
        <v>0</v>
      </c>
      <c r="BX213" s="320">
        <f t="shared" si="28"/>
        <v>0</v>
      </c>
    </row>
    <row r="214" spans="2:76" x14ac:dyDescent="0.2">
      <c r="B214" s="42" t="s">
        <v>1052</v>
      </c>
      <c r="C214" s="42" t="s">
        <v>1053</v>
      </c>
      <c r="D214" s="42" t="s">
        <v>1054</v>
      </c>
      <c r="E214" s="43">
        <v>0</v>
      </c>
      <c r="F214" s="43">
        <v>0</v>
      </c>
      <c r="G214" s="43">
        <v>0</v>
      </c>
      <c r="H214" s="43">
        <v>0</v>
      </c>
      <c r="I214" s="43">
        <v>0</v>
      </c>
      <c r="J214" s="43">
        <v>0</v>
      </c>
      <c r="K214" s="44">
        <f t="shared" si="23"/>
        <v>0</v>
      </c>
      <c r="L214" s="43">
        <v>0</v>
      </c>
      <c r="M214" s="43">
        <v>0</v>
      </c>
      <c r="N214" s="43">
        <v>0</v>
      </c>
      <c r="O214" s="43">
        <v>0</v>
      </c>
      <c r="P214" s="43">
        <v>0</v>
      </c>
      <c r="Q214" s="43">
        <v>0</v>
      </c>
      <c r="R214" s="43">
        <v>0</v>
      </c>
      <c r="S214" s="43">
        <v>0</v>
      </c>
      <c r="T214" s="43">
        <v>0</v>
      </c>
      <c r="U214" s="43">
        <v>0</v>
      </c>
      <c r="V214" s="43">
        <v>0</v>
      </c>
      <c r="W214" s="43">
        <v>0</v>
      </c>
      <c r="X214" s="44">
        <f t="shared" si="24"/>
        <v>0</v>
      </c>
      <c r="Y214" s="43">
        <v>0</v>
      </c>
      <c r="Z214" s="43">
        <v>0</v>
      </c>
      <c r="AA214" s="43">
        <v>0</v>
      </c>
      <c r="AB214" s="43">
        <v>0</v>
      </c>
      <c r="AC214" s="43">
        <v>0</v>
      </c>
      <c r="AD214" s="43">
        <v>0</v>
      </c>
      <c r="AE214" s="43">
        <v>0</v>
      </c>
      <c r="AF214" s="43">
        <v>0</v>
      </c>
      <c r="AG214" s="43">
        <v>0</v>
      </c>
      <c r="AH214" s="43">
        <v>0</v>
      </c>
      <c r="AI214" s="43">
        <v>0</v>
      </c>
      <c r="AJ214" s="43">
        <v>0</v>
      </c>
      <c r="AK214" s="44">
        <f t="shared" si="25"/>
        <v>0</v>
      </c>
      <c r="AL214" s="43">
        <v>0</v>
      </c>
      <c r="AM214" s="43">
        <v>0</v>
      </c>
      <c r="AN214" s="43">
        <v>0</v>
      </c>
      <c r="AO214" s="43">
        <v>0</v>
      </c>
      <c r="AP214" s="43">
        <v>0</v>
      </c>
      <c r="AQ214" s="43">
        <v>0</v>
      </c>
      <c r="AR214" s="43">
        <v>0</v>
      </c>
      <c r="AS214" s="43">
        <v>0</v>
      </c>
      <c r="AT214" s="43">
        <v>0</v>
      </c>
      <c r="AU214" s="43">
        <v>0</v>
      </c>
      <c r="AV214" s="43">
        <v>0</v>
      </c>
      <c r="AW214" s="43">
        <v>0</v>
      </c>
      <c r="AX214" s="44">
        <f t="shared" si="26"/>
        <v>0</v>
      </c>
      <c r="AY214" s="317">
        <f>SUMIF(Recibos!$D$4:$D$3010,Cobranza!$B214,Recibos!K$4:K$3010)</f>
        <v>0</v>
      </c>
      <c r="AZ214" s="317">
        <f>SUMIF(Recibos!$D$4:$D$3010,Cobranza!$B214,Recibos!L$4:L$3010)</f>
        <v>0</v>
      </c>
      <c r="BA214" s="317">
        <f>SUMIF(Recibos!$D$4:$D$3010,Cobranza!$B214,Recibos!M$4:M$3010)</f>
        <v>0</v>
      </c>
      <c r="BB214" s="317">
        <f>SUMIF(Recibos!$D$4:$D$3010,Cobranza!$B214,Recibos!N$4:N$3010)</f>
        <v>0</v>
      </c>
      <c r="BC214" s="317">
        <f>SUMIF(Recibos!$D$4:$D$3010,Cobranza!$B214,Recibos!O$4:O$3010)</f>
        <v>0</v>
      </c>
      <c r="BD214" s="317">
        <f>SUMIF(Recibos!$D$4:$D$3010,Cobranza!$B214,Recibos!P$4:P$3010)</f>
        <v>0</v>
      </c>
      <c r="BE214" s="317">
        <f>SUMIF(Recibos!$D$4:$D$3010,Cobranza!$B214,Recibos!Q$4:Q$3010)</f>
        <v>0</v>
      </c>
      <c r="BF214" s="317">
        <f>SUMIF(Recibos!$D$4:$D$3010,Cobranza!$B214,Recibos!R$4:R$3010)</f>
        <v>0</v>
      </c>
      <c r="BG214" s="317">
        <f>SUMIF(Recibos!$D$4:$D$3010,Cobranza!$B214,Recibos!S$4:S$3010)</f>
        <v>0</v>
      </c>
      <c r="BH214" s="317">
        <f>SUMIF(Recibos!$D$4:$D$3010,Cobranza!$B214,Recibos!T$4:T$3010)</f>
        <v>0</v>
      </c>
      <c r="BI214" s="317">
        <f>SUMIF(Recibos!$D$4:$D$3010,Cobranza!$B214,Recibos!U$4:U$3010)</f>
        <v>0</v>
      </c>
      <c r="BJ214" s="317">
        <f>SUMIF(Recibos!$D$4:$D$3010,Cobranza!$B214,Recibos!V$4:V$3010)</f>
        <v>0</v>
      </c>
      <c r="BK214" s="318">
        <f t="shared" si="27"/>
        <v>0</v>
      </c>
      <c r="BL214" s="317">
        <f>SUMIF(Recibos!$D$4:$D$3010,Cobranza!$B214,Recibos!X$4:X$3010)</f>
        <v>0</v>
      </c>
      <c r="BM214" s="317">
        <f>SUMIF(Recibos!$D$4:$D$3010,Cobranza!$B214,Recibos!Y$4:Y$3010)</f>
        <v>0</v>
      </c>
      <c r="BN214" s="317">
        <f>SUMIF(Recibos!$D$4:$D$3010,Cobranza!$B214,Recibos!Z$4:Z$3010)</f>
        <v>0</v>
      </c>
      <c r="BO214" s="317">
        <f>SUMIF(Recibos!$D$4:$D$3010,Cobranza!$B214,Recibos!AA$4:AA$3010)</f>
        <v>0</v>
      </c>
      <c r="BP214" s="317">
        <f>SUMIF(Recibos!$D$4:$D$3010,Cobranza!$B214,Recibos!AB$4:AB$3010)</f>
        <v>0</v>
      </c>
      <c r="BQ214" s="317">
        <f>SUMIF(Recibos!$D$4:$D$3010,Cobranza!$B214,Recibos!AC$4:AC$3010)</f>
        <v>0</v>
      </c>
      <c r="BR214" s="317">
        <f>SUMIF(Recibos!$D$4:$D$3010,Cobranza!$B214,Recibos!AD$4:AD$3010)</f>
        <v>0</v>
      </c>
      <c r="BS214" s="317">
        <f>SUMIF(Recibos!$D$4:$D$3010,Cobranza!$B214,Recibos!AE$4:AE$3010)</f>
        <v>0</v>
      </c>
      <c r="BT214" s="317">
        <f>SUMIF(Recibos!$D$4:$D$3010,Cobranza!$B214,Recibos!AF$4:AF$3010)</f>
        <v>0</v>
      </c>
      <c r="BU214" s="317">
        <f>SUMIF(Recibos!$D$4:$D$3010,Cobranza!$B214,Recibos!AG$4:AG$3010)</f>
        <v>0</v>
      </c>
      <c r="BV214" s="317">
        <f>SUMIF(Recibos!$D$4:$D$3010,Cobranza!$B214,Recibos!AH$4:AH$3010)</f>
        <v>0</v>
      </c>
      <c r="BW214" s="317">
        <f>SUMIF(Recibos!$D$4:$D$3010,Cobranza!$B214,Recibos!AI$4:AI$3010)</f>
        <v>0</v>
      </c>
      <c r="BX214" s="318">
        <f t="shared" si="28"/>
        <v>0</v>
      </c>
    </row>
    <row r="215" spans="2:76" x14ac:dyDescent="0.2">
      <c r="B215" s="45" t="s">
        <v>1365</v>
      </c>
      <c r="C215" s="45" t="s">
        <v>1366</v>
      </c>
      <c r="D215" s="45" t="s">
        <v>1367</v>
      </c>
      <c r="E215" s="46">
        <v>0</v>
      </c>
      <c r="F215" s="46">
        <v>0</v>
      </c>
      <c r="G215" s="46">
        <v>0</v>
      </c>
      <c r="H215" s="46">
        <v>0</v>
      </c>
      <c r="I215" s="46">
        <v>0</v>
      </c>
      <c r="J215" s="46">
        <v>300</v>
      </c>
      <c r="K215" s="47">
        <f t="shared" si="23"/>
        <v>300</v>
      </c>
      <c r="L215" s="46">
        <v>300</v>
      </c>
      <c r="M215" s="46">
        <v>300</v>
      </c>
      <c r="N215" s="46">
        <v>300</v>
      </c>
      <c r="O215" s="46">
        <v>300</v>
      </c>
      <c r="P215" s="46">
        <v>0</v>
      </c>
      <c r="Q215" s="46">
        <v>300</v>
      </c>
      <c r="R215" s="46">
        <v>300</v>
      </c>
      <c r="S215" s="46">
        <v>300</v>
      </c>
      <c r="T215" s="46">
        <v>0</v>
      </c>
      <c r="U215" s="46">
        <v>600</v>
      </c>
      <c r="V215" s="46">
        <v>400</v>
      </c>
      <c r="W215" s="46">
        <v>0</v>
      </c>
      <c r="X215" s="47">
        <f t="shared" si="24"/>
        <v>3100</v>
      </c>
      <c r="Y215" s="46">
        <v>400</v>
      </c>
      <c r="Z215" s="46">
        <v>400</v>
      </c>
      <c r="AA215" s="46">
        <v>400</v>
      </c>
      <c r="AB215" s="46">
        <v>400</v>
      </c>
      <c r="AC215" s="46">
        <v>400</v>
      </c>
      <c r="AD215" s="46">
        <v>400</v>
      </c>
      <c r="AE215" s="46">
        <v>0</v>
      </c>
      <c r="AF215" s="46">
        <v>0</v>
      </c>
      <c r="AG215" s="46">
        <v>0</v>
      </c>
      <c r="AH215" s="46">
        <v>0</v>
      </c>
      <c r="AI215" s="46">
        <v>0</v>
      </c>
      <c r="AJ215" s="46">
        <v>0</v>
      </c>
      <c r="AK215" s="47">
        <f t="shared" si="25"/>
        <v>2400</v>
      </c>
      <c r="AL215" s="46">
        <v>0</v>
      </c>
      <c r="AM215" s="46">
        <v>0</v>
      </c>
      <c r="AN215" s="46">
        <v>0</v>
      </c>
      <c r="AO215" s="46">
        <v>0</v>
      </c>
      <c r="AP215" s="46">
        <v>0</v>
      </c>
      <c r="AQ215" s="46">
        <v>0</v>
      </c>
      <c r="AR215" s="46">
        <v>0</v>
      </c>
      <c r="AS215" s="46">
        <v>0</v>
      </c>
      <c r="AT215" s="46">
        <v>0</v>
      </c>
      <c r="AU215" s="46">
        <v>0</v>
      </c>
      <c r="AV215" s="46">
        <v>0</v>
      </c>
      <c r="AW215" s="46">
        <v>0</v>
      </c>
      <c r="AX215" s="47">
        <f t="shared" si="26"/>
        <v>0</v>
      </c>
      <c r="AY215" s="319">
        <f>SUMIF(Recibos!$D$4:$D$3010,Cobranza!$B215,Recibos!K$4:K$3010)</f>
        <v>0</v>
      </c>
      <c r="AZ215" s="319">
        <f>SUMIF(Recibos!$D$4:$D$3010,Cobranza!$B215,Recibos!L$4:L$3010)</f>
        <v>0</v>
      </c>
      <c r="BA215" s="319">
        <f>SUMIF(Recibos!$D$4:$D$3010,Cobranza!$B215,Recibos!M$4:M$3010)</f>
        <v>0</v>
      </c>
      <c r="BB215" s="319">
        <f>SUMIF(Recibos!$D$4:$D$3010,Cobranza!$B215,Recibos!N$4:N$3010)</f>
        <v>0</v>
      </c>
      <c r="BC215" s="319">
        <f>SUMIF(Recibos!$D$4:$D$3010,Cobranza!$B215,Recibos!O$4:O$3010)</f>
        <v>0</v>
      </c>
      <c r="BD215" s="319">
        <f>SUMIF(Recibos!$D$4:$D$3010,Cobranza!$B215,Recibos!P$4:P$3010)</f>
        <v>0</v>
      </c>
      <c r="BE215" s="319">
        <f>SUMIF(Recibos!$D$4:$D$3010,Cobranza!$B215,Recibos!Q$4:Q$3010)</f>
        <v>0</v>
      </c>
      <c r="BF215" s="319">
        <f>SUMIF(Recibos!$D$4:$D$3010,Cobranza!$B215,Recibos!R$4:R$3010)</f>
        <v>0</v>
      </c>
      <c r="BG215" s="319">
        <f>SUMIF(Recibos!$D$4:$D$3010,Cobranza!$B215,Recibos!S$4:S$3010)</f>
        <v>0</v>
      </c>
      <c r="BH215" s="319">
        <f>SUMIF(Recibos!$D$4:$D$3010,Cobranza!$B215,Recibos!T$4:T$3010)</f>
        <v>0</v>
      </c>
      <c r="BI215" s="319">
        <f>SUMIF(Recibos!$D$4:$D$3010,Cobranza!$B215,Recibos!U$4:U$3010)</f>
        <v>0</v>
      </c>
      <c r="BJ215" s="319">
        <f>SUMIF(Recibos!$D$4:$D$3010,Cobranza!$B215,Recibos!V$4:V$3010)</f>
        <v>0</v>
      </c>
      <c r="BK215" s="320">
        <f t="shared" si="27"/>
        <v>0</v>
      </c>
      <c r="BL215" s="319">
        <f>SUMIF(Recibos!$D$4:$D$3010,Cobranza!$B215,Recibos!X$4:X$3010)</f>
        <v>0</v>
      </c>
      <c r="BM215" s="319">
        <f>SUMIF(Recibos!$D$4:$D$3010,Cobranza!$B215,Recibos!Y$4:Y$3010)</f>
        <v>0</v>
      </c>
      <c r="BN215" s="319">
        <f>SUMIF(Recibos!$D$4:$D$3010,Cobranza!$B215,Recibos!Z$4:Z$3010)</f>
        <v>0</v>
      </c>
      <c r="BO215" s="319">
        <f>SUMIF(Recibos!$D$4:$D$3010,Cobranza!$B215,Recibos!AA$4:AA$3010)</f>
        <v>0</v>
      </c>
      <c r="BP215" s="319">
        <f>SUMIF(Recibos!$D$4:$D$3010,Cobranza!$B215,Recibos!AB$4:AB$3010)</f>
        <v>0</v>
      </c>
      <c r="BQ215" s="319">
        <f>SUMIF(Recibos!$D$4:$D$3010,Cobranza!$B215,Recibos!AC$4:AC$3010)</f>
        <v>0</v>
      </c>
      <c r="BR215" s="319">
        <f>SUMIF(Recibos!$D$4:$D$3010,Cobranza!$B215,Recibos!AD$4:AD$3010)</f>
        <v>0</v>
      </c>
      <c r="BS215" s="319">
        <f>SUMIF(Recibos!$D$4:$D$3010,Cobranza!$B215,Recibos!AE$4:AE$3010)</f>
        <v>0</v>
      </c>
      <c r="BT215" s="319">
        <f>SUMIF(Recibos!$D$4:$D$3010,Cobranza!$B215,Recibos!AF$4:AF$3010)</f>
        <v>0</v>
      </c>
      <c r="BU215" s="319">
        <f>SUMIF(Recibos!$D$4:$D$3010,Cobranza!$B215,Recibos!AG$4:AG$3010)</f>
        <v>0</v>
      </c>
      <c r="BV215" s="319">
        <f>SUMIF(Recibos!$D$4:$D$3010,Cobranza!$B215,Recibos!AH$4:AH$3010)</f>
        <v>0</v>
      </c>
      <c r="BW215" s="319">
        <f>SUMIF(Recibos!$D$4:$D$3010,Cobranza!$B215,Recibos!AI$4:AI$3010)</f>
        <v>0</v>
      </c>
      <c r="BX215" s="320">
        <f t="shared" si="28"/>
        <v>0</v>
      </c>
    </row>
    <row r="216" spans="2:76" x14ac:dyDescent="0.2">
      <c r="B216" s="42" t="s">
        <v>1119</v>
      </c>
      <c r="C216" s="42" t="s">
        <v>1120</v>
      </c>
      <c r="D216" s="42" t="s">
        <v>1121</v>
      </c>
      <c r="E216" s="43">
        <v>0</v>
      </c>
      <c r="F216" s="43">
        <v>0</v>
      </c>
      <c r="G216" s="43">
        <v>0</v>
      </c>
      <c r="H216" s="43">
        <v>0</v>
      </c>
      <c r="I216" s="43">
        <v>0</v>
      </c>
      <c r="J216" s="43">
        <v>0</v>
      </c>
      <c r="K216" s="44">
        <f t="shared" si="23"/>
        <v>0</v>
      </c>
      <c r="L216" s="43">
        <v>0</v>
      </c>
      <c r="M216" s="43">
        <v>0</v>
      </c>
      <c r="N216" s="43">
        <v>0</v>
      </c>
      <c r="O216" s="43">
        <v>0</v>
      </c>
      <c r="P216" s="43">
        <v>0</v>
      </c>
      <c r="Q216" s="43">
        <v>0</v>
      </c>
      <c r="R216" s="43">
        <v>0</v>
      </c>
      <c r="S216" s="43">
        <v>0</v>
      </c>
      <c r="T216" s="43">
        <v>0</v>
      </c>
      <c r="U216" s="43">
        <v>0</v>
      </c>
      <c r="V216" s="43">
        <v>0</v>
      </c>
      <c r="W216" s="43">
        <v>0</v>
      </c>
      <c r="X216" s="44">
        <f t="shared" si="24"/>
        <v>0</v>
      </c>
      <c r="Y216" s="43">
        <v>0</v>
      </c>
      <c r="Z216" s="43">
        <v>0</v>
      </c>
      <c r="AA216" s="43">
        <v>0</v>
      </c>
      <c r="AB216" s="43">
        <v>0</v>
      </c>
      <c r="AC216" s="43">
        <v>0</v>
      </c>
      <c r="AD216" s="43">
        <v>0</v>
      </c>
      <c r="AE216" s="43">
        <v>0</v>
      </c>
      <c r="AF216" s="43">
        <v>0</v>
      </c>
      <c r="AG216" s="43">
        <v>0</v>
      </c>
      <c r="AH216" s="43">
        <v>0</v>
      </c>
      <c r="AI216" s="43">
        <v>0</v>
      </c>
      <c r="AJ216" s="43">
        <v>0</v>
      </c>
      <c r="AK216" s="44">
        <f t="shared" si="25"/>
        <v>0</v>
      </c>
      <c r="AL216" s="43">
        <v>0</v>
      </c>
      <c r="AM216" s="43">
        <v>0</v>
      </c>
      <c r="AN216" s="43">
        <v>0</v>
      </c>
      <c r="AO216" s="43">
        <v>0</v>
      </c>
      <c r="AP216" s="43">
        <v>0</v>
      </c>
      <c r="AQ216" s="43">
        <v>0</v>
      </c>
      <c r="AR216" s="43">
        <v>0</v>
      </c>
      <c r="AS216" s="43">
        <v>0</v>
      </c>
      <c r="AT216" s="43">
        <v>150</v>
      </c>
      <c r="AU216" s="43">
        <v>150</v>
      </c>
      <c r="AV216" s="43">
        <v>150</v>
      </c>
      <c r="AW216" s="43">
        <v>150</v>
      </c>
      <c r="AX216" s="44">
        <f t="shared" si="26"/>
        <v>600</v>
      </c>
      <c r="AY216" s="317">
        <f>SUMIF(Recibos!$D$4:$D$3010,Cobranza!$B216,Recibos!K$4:K$3010)</f>
        <v>0</v>
      </c>
      <c r="AZ216" s="317">
        <f>SUMIF(Recibos!$D$4:$D$3010,Cobranza!$B216,Recibos!L$4:L$3010)</f>
        <v>0</v>
      </c>
      <c r="BA216" s="317">
        <f>SUMIF(Recibos!$D$4:$D$3010,Cobranza!$B216,Recibos!M$4:M$3010)</f>
        <v>0</v>
      </c>
      <c r="BB216" s="317">
        <f>SUMIF(Recibos!$D$4:$D$3010,Cobranza!$B216,Recibos!N$4:N$3010)</f>
        <v>0</v>
      </c>
      <c r="BC216" s="317">
        <f>SUMIF(Recibos!$D$4:$D$3010,Cobranza!$B216,Recibos!O$4:O$3010)</f>
        <v>0</v>
      </c>
      <c r="BD216" s="317">
        <f>SUMIF(Recibos!$D$4:$D$3010,Cobranza!$B216,Recibos!P$4:P$3010)</f>
        <v>0</v>
      </c>
      <c r="BE216" s="317">
        <f>SUMIF(Recibos!$D$4:$D$3010,Cobranza!$B216,Recibos!Q$4:Q$3010)</f>
        <v>0</v>
      </c>
      <c r="BF216" s="317">
        <f>SUMIF(Recibos!$D$4:$D$3010,Cobranza!$B216,Recibos!R$4:R$3010)</f>
        <v>150</v>
      </c>
      <c r="BG216" s="317">
        <f>SUMIF(Recibos!$D$4:$D$3010,Cobranza!$B216,Recibos!S$4:S$3010)</f>
        <v>0</v>
      </c>
      <c r="BH216" s="317">
        <f>SUMIF(Recibos!$D$4:$D$3010,Cobranza!$B216,Recibos!T$4:T$3010)</f>
        <v>0</v>
      </c>
      <c r="BI216" s="317">
        <f>SUMIF(Recibos!$D$4:$D$3010,Cobranza!$B216,Recibos!U$4:U$3010)</f>
        <v>0</v>
      </c>
      <c r="BJ216" s="317">
        <f>SUMIF(Recibos!$D$4:$D$3010,Cobranza!$B216,Recibos!V$4:V$3010)</f>
        <v>0</v>
      </c>
      <c r="BK216" s="318">
        <f t="shared" si="27"/>
        <v>150</v>
      </c>
      <c r="BL216" s="317">
        <f>SUMIF(Recibos!$D$4:$D$3010,Cobranza!$B216,Recibos!X$4:X$3010)</f>
        <v>0</v>
      </c>
      <c r="BM216" s="317">
        <f>SUMIF(Recibos!$D$4:$D$3010,Cobranza!$B216,Recibos!Y$4:Y$3010)</f>
        <v>0</v>
      </c>
      <c r="BN216" s="317">
        <f>SUMIF(Recibos!$D$4:$D$3010,Cobranza!$B216,Recibos!Z$4:Z$3010)</f>
        <v>0</v>
      </c>
      <c r="BO216" s="317">
        <f>SUMIF(Recibos!$D$4:$D$3010,Cobranza!$B216,Recibos!AA$4:AA$3010)</f>
        <v>0</v>
      </c>
      <c r="BP216" s="317">
        <f>SUMIF(Recibos!$D$4:$D$3010,Cobranza!$B216,Recibos!AB$4:AB$3010)</f>
        <v>0</v>
      </c>
      <c r="BQ216" s="317">
        <f>SUMIF(Recibos!$D$4:$D$3010,Cobranza!$B216,Recibos!AC$4:AC$3010)</f>
        <v>0</v>
      </c>
      <c r="BR216" s="317">
        <f>SUMIF(Recibos!$D$4:$D$3010,Cobranza!$B216,Recibos!AD$4:AD$3010)</f>
        <v>0</v>
      </c>
      <c r="BS216" s="317">
        <f>SUMIF(Recibos!$D$4:$D$3010,Cobranza!$B216,Recibos!AE$4:AE$3010)</f>
        <v>0</v>
      </c>
      <c r="BT216" s="317">
        <f>SUMIF(Recibos!$D$4:$D$3010,Cobranza!$B216,Recibos!AF$4:AF$3010)</f>
        <v>0</v>
      </c>
      <c r="BU216" s="317">
        <f>SUMIF(Recibos!$D$4:$D$3010,Cobranza!$B216,Recibos!AG$4:AG$3010)</f>
        <v>0</v>
      </c>
      <c r="BV216" s="317">
        <f>SUMIF(Recibos!$D$4:$D$3010,Cobranza!$B216,Recibos!AH$4:AH$3010)</f>
        <v>0</v>
      </c>
      <c r="BW216" s="317">
        <f>SUMIF(Recibos!$D$4:$D$3010,Cobranza!$B216,Recibos!AI$4:AI$3010)</f>
        <v>0</v>
      </c>
      <c r="BX216" s="318">
        <f t="shared" si="28"/>
        <v>0</v>
      </c>
    </row>
    <row r="217" spans="2:76" x14ac:dyDescent="0.2">
      <c r="B217" s="45" t="s">
        <v>1368</v>
      </c>
      <c r="C217" s="45" t="s">
        <v>1369</v>
      </c>
      <c r="D217" s="45" t="s">
        <v>1370</v>
      </c>
      <c r="E217" s="46">
        <v>0</v>
      </c>
      <c r="F217" s="46">
        <v>0</v>
      </c>
      <c r="G217" s="46">
        <v>0</v>
      </c>
      <c r="H217" s="46">
        <v>0</v>
      </c>
      <c r="I217" s="46">
        <v>0</v>
      </c>
      <c r="J217" s="46">
        <v>0</v>
      </c>
      <c r="K217" s="47">
        <f t="shared" si="23"/>
        <v>0</v>
      </c>
      <c r="L217" s="46">
        <v>0</v>
      </c>
      <c r="M217" s="46">
        <v>0</v>
      </c>
      <c r="N217" s="46">
        <v>0</v>
      </c>
      <c r="O217" s="46">
        <v>0</v>
      </c>
      <c r="P217" s="46">
        <v>0</v>
      </c>
      <c r="Q217" s="46">
        <v>0</v>
      </c>
      <c r="R217" s="46">
        <v>0</v>
      </c>
      <c r="S217" s="46">
        <v>0</v>
      </c>
      <c r="T217" s="46">
        <v>0</v>
      </c>
      <c r="U217" s="46">
        <v>0</v>
      </c>
      <c r="V217" s="46">
        <v>0</v>
      </c>
      <c r="W217" s="46">
        <v>0</v>
      </c>
      <c r="X217" s="47">
        <f t="shared" si="24"/>
        <v>0</v>
      </c>
      <c r="Y217" s="46">
        <v>400</v>
      </c>
      <c r="Z217" s="46">
        <v>400</v>
      </c>
      <c r="AA217" s="46">
        <v>0</v>
      </c>
      <c r="AB217" s="46">
        <v>0</v>
      </c>
      <c r="AC217" s="46">
        <v>0</v>
      </c>
      <c r="AD217" s="46">
        <v>0</v>
      </c>
      <c r="AE217" s="46">
        <v>0</v>
      </c>
      <c r="AF217" s="46">
        <v>0</v>
      </c>
      <c r="AG217" s="46">
        <v>0</v>
      </c>
      <c r="AH217" s="46">
        <v>0</v>
      </c>
      <c r="AI217" s="46">
        <v>0</v>
      </c>
      <c r="AJ217" s="46">
        <v>0</v>
      </c>
      <c r="AK217" s="47">
        <f t="shared" si="25"/>
        <v>800</v>
      </c>
      <c r="AL217" s="46">
        <v>0</v>
      </c>
      <c r="AM217" s="46">
        <v>0</v>
      </c>
      <c r="AN217" s="46">
        <v>0</v>
      </c>
      <c r="AO217" s="46">
        <v>0</v>
      </c>
      <c r="AP217" s="46">
        <v>0</v>
      </c>
      <c r="AQ217" s="46">
        <v>0</v>
      </c>
      <c r="AR217" s="46">
        <v>0</v>
      </c>
      <c r="AS217" s="46">
        <v>0</v>
      </c>
      <c r="AT217" s="46">
        <v>0</v>
      </c>
      <c r="AU217" s="46">
        <v>0</v>
      </c>
      <c r="AV217" s="46">
        <v>0</v>
      </c>
      <c r="AW217" s="46">
        <v>0</v>
      </c>
      <c r="AX217" s="47">
        <f t="shared" si="26"/>
        <v>0</v>
      </c>
      <c r="AY217" s="319">
        <f>SUMIF(Recibos!$D$4:$D$3010,Cobranza!$B217,Recibos!K$4:K$3010)</f>
        <v>0</v>
      </c>
      <c r="AZ217" s="319">
        <f>SUMIF(Recibos!$D$4:$D$3010,Cobranza!$B217,Recibos!L$4:L$3010)</f>
        <v>0</v>
      </c>
      <c r="BA217" s="319">
        <f>SUMIF(Recibos!$D$4:$D$3010,Cobranza!$B217,Recibos!M$4:M$3010)</f>
        <v>0</v>
      </c>
      <c r="BB217" s="319">
        <f>SUMIF(Recibos!$D$4:$D$3010,Cobranza!$B217,Recibos!N$4:N$3010)</f>
        <v>0</v>
      </c>
      <c r="BC217" s="319">
        <f>SUMIF(Recibos!$D$4:$D$3010,Cobranza!$B217,Recibos!O$4:O$3010)</f>
        <v>0</v>
      </c>
      <c r="BD217" s="319">
        <f>SUMIF(Recibos!$D$4:$D$3010,Cobranza!$B217,Recibos!P$4:P$3010)</f>
        <v>0</v>
      </c>
      <c r="BE217" s="319">
        <f>SUMIF(Recibos!$D$4:$D$3010,Cobranza!$B217,Recibos!Q$4:Q$3010)</f>
        <v>0</v>
      </c>
      <c r="BF217" s="319">
        <f>SUMIF(Recibos!$D$4:$D$3010,Cobranza!$B217,Recibos!R$4:R$3010)</f>
        <v>0</v>
      </c>
      <c r="BG217" s="319">
        <f>SUMIF(Recibos!$D$4:$D$3010,Cobranza!$B217,Recibos!S$4:S$3010)</f>
        <v>0</v>
      </c>
      <c r="BH217" s="319">
        <f>SUMIF(Recibos!$D$4:$D$3010,Cobranza!$B217,Recibos!T$4:T$3010)</f>
        <v>0</v>
      </c>
      <c r="BI217" s="319">
        <f>SUMIF(Recibos!$D$4:$D$3010,Cobranza!$B217,Recibos!U$4:U$3010)</f>
        <v>0</v>
      </c>
      <c r="BJ217" s="319">
        <f>SUMIF(Recibos!$D$4:$D$3010,Cobranza!$B217,Recibos!V$4:V$3010)</f>
        <v>0</v>
      </c>
      <c r="BK217" s="320">
        <f t="shared" si="27"/>
        <v>0</v>
      </c>
      <c r="BL217" s="319">
        <f>SUMIF(Recibos!$D$4:$D$3010,Cobranza!$B217,Recibos!X$4:X$3010)</f>
        <v>0</v>
      </c>
      <c r="BM217" s="319">
        <f>SUMIF(Recibos!$D$4:$D$3010,Cobranza!$B217,Recibos!Y$4:Y$3010)</f>
        <v>0</v>
      </c>
      <c r="BN217" s="319">
        <f>SUMIF(Recibos!$D$4:$D$3010,Cobranza!$B217,Recibos!Z$4:Z$3010)</f>
        <v>0</v>
      </c>
      <c r="BO217" s="319">
        <f>SUMIF(Recibos!$D$4:$D$3010,Cobranza!$B217,Recibos!AA$4:AA$3010)</f>
        <v>0</v>
      </c>
      <c r="BP217" s="319">
        <f>SUMIF(Recibos!$D$4:$D$3010,Cobranza!$B217,Recibos!AB$4:AB$3010)</f>
        <v>0</v>
      </c>
      <c r="BQ217" s="319">
        <f>SUMIF(Recibos!$D$4:$D$3010,Cobranza!$B217,Recibos!AC$4:AC$3010)</f>
        <v>0</v>
      </c>
      <c r="BR217" s="319">
        <f>SUMIF(Recibos!$D$4:$D$3010,Cobranza!$B217,Recibos!AD$4:AD$3010)</f>
        <v>0</v>
      </c>
      <c r="BS217" s="319">
        <f>SUMIF(Recibos!$D$4:$D$3010,Cobranza!$B217,Recibos!AE$4:AE$3010)</f>
        <v>0</v>
      </c>
      <c r="BT217" s="319">
        <f>SUMIF(Recibos!$D$4:$D$3010,Cobranza!$B217,Recibos!AF$4:AF$3010)</f>
        <v>0</v>
      </c>
      <c r="BU217" s="319">
        <f>SUMIF(Recibos!$D$4:$D$3010,Cobranza!$B217,Recibos!AG$4:AG$3010)</f>
        <v>0</v>
      </c>
      <c r="BV217" s="319">
        <f>SUMIF(Recibos!$D$4:$D$3010,Cobranza!$B217,Recibos!AH$4:AH$3010)</f>
        <v>0</v>
      </c>
      <c r="BW217" s="319">
        <f>SUMIF(Recibos!$D$4:$D$3010,Cobranza!$B217,Recibos!AI$4:AI$3010)</f>
        <v>0</v>
      </c>
      <c r="BX217" s="320">
        <f t="shared" si="28"/>
        <v>0</v>
      </c>
    </row>
    <row r="218" spans="2:76" x14ac:dyDescent="0.2">
      <c r="B218" s="42" t="s">
        <v>1160</v>
      </c>
      <c r="C218" s="42" t="s">
        <v>1161</v>
      </c>
      <c r="D218" s="42" t="s">
        <v>1162</v>
      </c>
      <c r="E218" s="43">
        <v>0</v>
      </c>
      <c r="F218" s="43">
        <v>0</v>
      </c>
      <c r="G218" s="43">
        <v>0</v>
      </c>
      <c r="H218" s="43">
        <v>0</v>
      </c>
      <c r="I218" s="43">
        <v>0</v>
      </c>
      <c r="J218" s="43">
        <v>0</v>
      </c>
      <c r="K218" s="44">
        <f t="shared" si="23"/>
        <v>0</v>
      </c>
      <c r="L218" s="43">
        <v>0</v>
      </c>
      <c r="M218" s="43">
        <v>0</v>
      </c>
      <c r="N218" s="43">
        <v>0</v>
      </c>
      <c r="O218" s="43">
        <v>0</v>
      </c>
      <c r="P218" s="43">
        <v>0</v>
      </c>
      <c r="Q218" s="43">
        <v>0</v>
      </c>
      <c r="R218" s="43">
        <v>0</v>
      </c>
      <c r="S218" s="43">
        <v>0</v>
      </c>
      <c r="T218" s="43">
        <v>0</v>
      </c>
      <c r="U218" s="43">
        <v>0</v>
      </c>
      <c r="V218" s="43">
        <v>0</v>
      </c>
      <c r="W218" s="43">
        <v>0</v>
      </c>
      <c r="X218" s="44">
        <f t="shared" si="24"/>
        <v>0</v>
      </c>
      <c r="Y218" s="43">
        <v>0</v>
      </c>
      <c r="Z218" s="43">
        <v>0</v>
      </c>
      <c r="AA218" s="43">
        <v>0</v>
      </c>
      <c r="AB218" s="43">
        <v>0</v>
      </c>
      <c r="AC218" s="43">
        <v>0</v>
      </c>
      <c r="AD218" s="43">
        <v>0</v>
      </c>
      <c r="AE218" s="43">
        <v>0</v>
      </c>
      <c r="AF218" s="43">
        <v>0</v>
      </c>
      <c r="AG218" s="43">
        <v>0</v>
      </c>
      <c r="AH218" s="43">
        <v>0</v>
      </c>
      <c r="AI218" s="43">
        <v>0</v>
      </c>
      <c r="AJ218" s="43">
        <v>0</v>
      </c>
      <c r="AK218" s="44">
        <f t="shared" si="25"/>
        <v>0</v>
      </c>
      <c r="AL218" s="43">
        <v>0</v>
      </c>
      <c r="AM218" s="43">
        <v>0</v>
      </c>
      <c r="AN218" s="43">
        <v>0</v>
      </c>
      <c r="AO218" s="43">
        <v>0</v>
      </c>
      <c r="AP218" s="43">
        <v>0</v>
      </c>
      <c r="AQ218" s="43">
        <v>0</v>
      </c>
      <c r="AR218" s="43">
        <v>0</v>
      </c>
      <c r="AS218" s="43">
        <v>0</v>
      </c>
      <c r="AT218" s="43">
        <v>0</v>
      </c>
      <c r="AU218" s="43">
        <v>0</v>
      </c>
      <c r="AV218" s="43">
        <v>0</v>
      </c>
      <c r="AW218" s="43">
        <v>0</v>
      </c>
      <c r="AX218" s="44">
        <f t="shared" si="26"/>
        <v>0</v>
      </c>
      <c r="AY218" s="317">
        <f>SUMIF(Recibos!$D$4:$D$3010,Cobranza!$B218,Recibos!K$4:K$3010)</f>
        <v>0</v>
      </c>
      <c r="AZ218" s="317">
        <f>SUMIF(Recibos!$D$4:$D$3010,Cobranza!$B218,Recibos!L$4:L$3010)</f>
        <v>0</v>
      </c>
      <c r="BA218" s="317">
        <f>SUMIF(Recibos!$D$4:$D$3010,Cobranza!$B218,Recibos!M$4:M$3010)</f>
        <v>0</v>
      </c>
      <c r="BB218" s="317">
        <f>SUMIF(Recibos!$D$4:$D$3010,Cobranza!$B218,Recibos!N$4:N$3010)</f>
        <v>0</v>
      </c>
      <c r="BC218" s="317">
        <f>SUMIF(Recibos!$D$4:$D$3010,Cobranza!$B218,Recibos!O$4:O$3010)</f>
        <v>0</v>
      </c>
      <c r="BD218" s="317">
        <f>SUMIF(Recibos!$D$4:$D$3010,Cobranza!$B218,Recibos!P$4:P$3010)</f>
        <v>0</v>
      </c>
      <c r="BE218" s="317">
        <f>SUMIF(Recibos!$D$4:$D$3010,Cobranza!$B218,Recibos!Q$4:Q$3010)</f>
        <v>0</v>
      </c>
      <c r="BF218" s="317">
        <f>SUMIF(Recibos!$D$4:$D$3010,Cobranza!$B218,Recibos!R$4:R$3010)</f>
        <v>200</v>
      </c>
      <c r="BG218" s="317">
        <f>SUMIF(Recibos!$D$4:$D$3010,Cobranza!$B218,Recibos!S$4:S$3010)</f>
        <v>200</v>
      </c>
      <c r="BH218" s="317">
        <f>SUMIF(Recibos!$D$4:$D$3010,Cobranza!$B218,Recibos!T$4:T$3010)</f>
        <v>200</v>
      </c>
      <c r="BI218" s="317">
        <f>SUMIF(Recibos!$D$4:$D$3010,Cobranza!$B218,Recibos!U$4:U$3010)</f>
        <v>200</v>
      </c>
      <c r="BJ218" s="317">
        <f>SUMIF(Recibos!$D$4:$D$3010,Cobranza!$B218,Recibos!V$4:V$3010)</f>
        <v>0</v>
      </c>
      <c r="BK218" s="318">
        <f t="shared" si="27"/>
        <v>800</v>
      </c>
      <c r="BL218" s="317">
        <f>SUMIF(Recibos!$D$4:$D$3010,Cobranza!$B218,Recibos!X$4:X$3010)</f>
        <v>0</v>
      </c>
      <c r="BM218" s="317">
        <f>SUMIF(Recibos!$D$4:$D$3010,Cobranza!$B218,Recibos!Y$4:Y$3010)</f>
        <v>0</v>
      </c>
      <c r="BN218" s="317">
        <f>SUMIF(Recibos!$D$4:$D$3010,Cobranza!$B218,Recibos!Z$4:Z$3010)</f>
        <v>0</v>
      </c>
      <c r="BO218" s="317">
        <f>SUMIF(Recibos!$D$4:$D$3010,Cobranza!$B218,Recibos!AA$4:AA$3010)</f>
        <v>0</v>
      </c>
      <c r="BP218" s="317">
        <f>SUMIF(Recibos!$D$4:$D$3010,Cobranza!$B218,Recibos!AB$4:AB$3010)</f>
        <v>0</v>
      </c>
      <c r="BQ218" s="317">
        <f>SUMIF(Recibos!$D$4:$D$3010,Cobranza!$B218,Recibos!AC$4:AC$3010)</f>
        <v>0</v>
      </c>
      <c r="BR218" s="317">
        <f>SUMIF(Recibos!$D$4:$D$3010,Cobranza!$B218,Recibos!AD$4:AD$3010)</f>
        <v>0</v>
      </c>
      <c r="BS218" s="317">
        <f>SUMIF(Recibos!$D$4:$D$3010,Cobranza!$B218,Recibos!AE$4:AE$3010)</f>
        <v>0</v>
      </c>
      <c r="BT218" s="317">
        <f>SUMIF(Recibos!$D$4:$D$3010,Cobranza!$B218,Recibos!AF$4:AF$3010)</f>
        <v>0</v>
      </c>
      <c r="BU218" s="317">
        <f>SUMIF(Recibos!$D$4:$D$3010,Cobranza!$B218,Recibos!AG$4:AG$3010)</f>
        <v>0</v>
      </c>
      <c r="BV218" s="317">
        <f>SUMIF(Recibos!$D$4:$D$3010,Cobranza!$B218,Recibos!AH$4:AH$3010)</f>
        <v>0</v>
      </c>
      <c r="BW218" s="317">
        <f>SUMIF(Recibos!$D$4:$D$3010,Cobranza!$B218,Recibos!AI$4:AI$3010)</f>
        <v>0</v>
      </c>
      <c r="BX218" s="318">
        <f t="shared" si="28"/>
        <v>0</v>
      </c>
    </row>
    <row r="219" spans="2:76" x14ac:dyDescent="0.2">
      <c r="B219" s="45" t="s">
        <v>1371</v>
      </c>
      <c r="C219" s="45" t="s">
        <v>1372</v>
      </c>
      <c r="D219" s="45" t="s">
        <v>1373</v>
      </c>
      <c r="E219" s="46">
        <v>0</v>
      </c>
      <c r="F219" s="46">
        <v>0</v>
      </c>
      <c r="G219" s="46">
        <v>0</v>
      </c>
      <c r="H219" s="46">
        <v>0</v>
      </c>
      <c r="I219" s="46">
        <v>0</v>
      </c>
      <c r="J219" s="46">
        <v>0</v>
      </c>
      <c r="K219" s="47">
        <f t="shared" si="23"/>
        <v>0</v>
      </c>
      <c r="L219" s="46">
        <v>1000</v>
      </c>
      <c r="M219" s="46">
        <v>1000</v>
      </c>
      <c r="N219" s="46">
        <v>1000</v>
      </c>
      <c r="O219" s="46">
        <v>1000</v>
      </c>
      <c r="P219" s="46">
        <v>1000</v>
      </c>
      <c r="Q219" s="46">
        <v>1000</v>
      </c>
      <c r="R219" s="46">
        <v>1000</v>
      </c>
      <c r="S219" s="46">
        <v>1000</v>
      </c>
      <c r="T219" s="46">
        <v>0</v>
      </c>
      <c r="U219" s="46">
        <v>0</v>
      </c>
      <c r="V219" s="46">
        <v>0</v>
      </c>
      <c r="W219" s="46">
        <v>0</v>
      </c>
      <c r="X219" s="47">
        <f t="shared" si="24"/>
        <v>8000</v>
      </c>
      <c r="Y219" s="46">
        <v>0</v>
      </c>
      <c r="Z219" s="46">
        <v>0</v>
      </c>
      <c r="AA219" s="46">
        <v>0</v>
      </c>
      <c r="AB219" s="46">
        <v>0</v>
      </c>
      <c r="AC219" s="46">
        <v>0</v>
      </c>
      <c r="AD219" s="46">
        <v>0</v>
      </c>
      <c r="AE219" s="46">
        <v>0</v>
      </c>
      <c r="AF219" s="46">
        <v>0</v>
      </c>
      <c r="AG219" s="46">
        <v>0</v>
      </c>
      <c r="AH219" s="46">
        <v>0</v>
      </c>
      <c r="AI219" s="46">
        <v>0</v>
      </c>
      <c r="AJ219" s="46">
        <v>0</v>
      </c>
      <c r="AK219" s="47">
        <f t="shared" si="25"/>
        <v>0</v>
      </c>
      <c r="AL219" s="46">
        <v>0</v>
      </c>
      <c r="AM219" s="46">
        <v>0</v>
      </c>
      <c r="AN219" s="46">
        <v>0</v>
      </c>
      <c r="AO219" s="46">
        <v>0</v>
      </c>
      <c r="AP219" s="46">
        <v>0</v>
      </c>
      <c r="AQ219" s="46">
        <v>0</v>
      </c>
      <c r="AR219" s="46">
        <v>0</v>
      </c>
      <c r="AS219" s="46">
        <v>0</v>
      </c>
      <c r="AT219" s="46">
        <v>0</v>
      </c>
      <c r="AU219" s="46">
        <v>0</v>
      </c>
      <c r="AV219" s="46">
        <v>0</v>
      </c>
      <c r="AW219" s="46">
        <v>0</v>
      </c>
      <c r="AX219" s="47">
        <f t="shared" si="26"/>
        <v>0</v>
      </c>
      <c r="AY219" s="319">
        <f>SUMIF(Recibos!$D$4:$D$3010,Cobranza!$B219,Recibos!K$4:K$3010)</f>
        <v>0</v>
      </c>
      <c r="AZ219" s="319">
        <f>SUMIF(Recibos!$D$4:$D$3010,Cobranza!$B219,Recibos!L$4:L$3010)</f>
        <v>0</v>
      </c>
      <c r="BA219" s="319">
        <f>SUMIF(Recibos!$D$4:$D$3010,Cobranza!$B219,Recibos!M$4:M$3010)</f>
        <v>0</v>
      </c>
      <c r="BB219" s="319">
        <f>SUMIF(Recibos!$D$4:$D$3010,Cobranza!$B219,Recibos!N$4:N$3010)</f>
        <v>0</v>
      </c>
      <c r="BC219" s="319">
        <f>SUMIF(Recibos!$D$4:$D$3010,Cobranza!$B219,Recibos!O$4:O$3010)</f>
        <v>0</v>
      </c>
      <c r="BD219" s="319">
        <f>SUMIF(Recibos!$D$4:$D$3010,Cobranza!$B219,Recibos!P$4:P$3010)</f>
        <v>0</v>
      </c>
      <c r="BE219" s="319">
        <f>SUMIF(Recibos!$D$4:$D$3010,Cobranza!$B219,Recibos!Q$4:Q$3010)</f>
        <v>0</v>
      </c>
      <c r="BF219" s="319">
        <f>SUMIF(Recibos!$D$4:$D$3010,Cobranza!$B219,Recibos!R$4:R$3010)</f>
        <v>0</v>
      </c>
      <c r="BG219" s="319">
        <f>SUMIF(Recibos!$D$4:$D$3010,Cobranza!$B219,Recibos!S$4:S$3010)</f>
        <v>0</v>
      </c>
      <c r="BH219" s="319">
        <f>SUMIF(Recibos!$D$4:$D$3010,Cobranza!$B219,Recibos!T$4:T$3010)</f>
        <v>0</v>
      </c>
      <c r="BI219" s="319">
        <f>SUMIF(Recibos!$D$4:$D$3010,Cobranza!$B219,Recibos!U$4:U$3010)</f>
        <v>0</v>
      </c>
      <c r="BJ219" s="319">
        <f>SUMIF(Recibos!$D$4:$D$3010,Cobranza!$B219,Recibos!V$4:V$3010)</f>
        <v>0</v>
      </c>
      <c r="BK219" s="320">
        <f t="shared" si="27"/>
        <v>0</v>
      </c>
      <c r="BL219" s="319">
        <f>SUMIF(Recibos!$D$4:$D$3010,Cobranza!$B219,Recibos!X$4:X$3010)</f>
        <v>0</v>
      </c>
      <c r="BM219" s="319">
        <f>SUMIF(Recibos!$D$4:$D$3010,Cobranza!$B219,Recibos!Y$4:Y$3010)</f>
        <v>0</v>
      </c>
      <c r="BN219" s="319">
        <f>SUMIF(Recibos!$D$4:$D$3010,Cobranza!$B219,Recibos!Z$4:Z$3010)</f>
        <v>0</v>
      </c>
      <c r="BO219" s="319">
        <f>SUMIF(Recibos!$D$4:$D$3010,Cobranza!$B219,Recibos!AA$4:AA$3010)</f>
        <v>0</v>
      </c>
      <c r="BP219" s="319">
        <f>SUMIF(Recibos!$D$4:$D$3010,Cobranza!$B219,Recibos!AB$4:AB$3010)</f>
        <v>0</v>
      </c>
      <c r="BQ219" s="319">
        <f>SUMIF(Recibos!$D$4:$D$3010,Cobranza!$B219,Recibos!AC$4:AC$3010)</f>
        <v>0</v>
      </c>
      <c r="BR219" s="319">
        <f>SUMIF(Recibos!$D$4:$D$3010,Cobranza!$B219,Recibos!AD$4:AD$3010)</f>
        <v>0</v>
      </c>
      <c r="BS219" s="319">
        <f>SUMIF(Recibos!$D$4:$D$3010,Cobranza!$B219,Recibos!AE$4:AE$3010)</f>
        <v>0</v>
      </c>
      <c r="BT219" s="319">
        <f>SUMIF(Recibos!$D$4:$D$3010,Cobranza!$B219,Recibos!AF$4:AF$3010)</f>
        <v>0</v>
      </c>
      <c r="BU219" s="319">
        <f>SUMIF(Recibos!$D$4:$D$3010,Cobranza!$B219,Recibos!AG$4:AG$3010)</f>
        <v>0</v>
      </c>
      <c r="BV219" s="319">
        <f>SUMIF(Recibos!$D$4:$D$3010,Cobranza!$B219,Recibos!AH$4:AH$3010)</f>
        <v>0</v>
      </c>
      <c r="BW219" s="319">
        <f>SUMIF(Recibos!$D$4:$D$3010,Cobranza!$B219,Recibos!AI$4:AI$3010)</f>
        <v>0</v>
      </c>
      <c r="BX219" s="320">
        <f t="shared" si="28"/>
        <v>0</v>
      </c>
    </row>
    <row r="220" spans="2:76" x14ac:dyDescent="0.2">
      <c r="B220" s="42" t="s">
        <v>1374</v>
      </c>
      <c r="C220" s="42" t="s">
        <v>1375</v>
      </c>
      <c r="D220" s="42" t="s">
        <v>1376</v>
      </c>
      <c r="E220" s="43">
        <v>0</v>
      </c>
      <c r="F220" s="43">
        <v>0</v>
      </c>
      <c r="G220" s="43">
        <v>0</v>
      </c>
      <c r="H220" s="43">
        <v>0</v>
      </c>
      <c r="I220" s="43">
        <v>0</v>
      </c>
      <c r="J220" s="43">
        <v>0</v>
      </c>
      <c r="K220" s="44">
        <f t="shared" si="23"/>
        <v>0</v>
      </c>
      <c r="L220" s="43">
        <v>0</v>
      </c>
      <c r="M220" s="43">
        <v>0</v>
      </c>
      <c r="N220" s="43">
        <v>0</v>
      </c>
      <c r="O220" s="43">
        <v>0</v>
      </c>
      <c r="P220" s="43">
        <v>0</v>
      </c>
      <c r="Q220" s="43">
        <v>0</v>
      </c>
      <c r="R220" s="43">
        <v>0</v>
      </c>
      <c r="S220" s="43">
        <v>0</v>
      </c>
      <c r="T220" s="43">
        <v>0</v>
      </c>
      <c r="U220" s="43">
        <v>0</v>
      </c>
      <c r="V220" s="43">
        <v>0</v>
      </c>
      <c r="W220" s="43">
        <v>0</v>
      </c>
      <c r="X220" s="44">
        <f t="shared" si="24"/>
        <v>0</v>
      </c>
      <c r="Y220" s="43">
        <v>0</v>
      </c>
      <c r="Z220" s="43">
        <v>0</v>
      </c>
      <c r="AA220" s="43">
        <v>0</v>
      </c>
      <c r="AB220" s="43">
        <v>0</v>
      </c>
      <c r="AC220" s="43">
        <v>0</v>
      </c>
      <c r="AD220" s="43">
        <v>0</v>
      </c>
      <c r="AE220" s="43">
        <v>0</v>
      </c>
      <c r="AF220" s="43">
        <v>0</v>
      </c>
      <c r="AG220" s="43">
        <v>0</v>
      </c>
      <c r="AH220" s="43">
        <v>0</v>
      </c>
      <c r="AI220" s="43">
        <v>0</v>
      </c>
      <c r="AJ220" s="43">
        <v>0</v>
      </c>
      <c r="AK220" s="44">
        <f t="shared" si="25"/>
        <v>0</v>
      </c>
      <c r="AL220" s="43">
        <v>0</v>
      </c>
      <c r="AM220" s="43">
        <v>0</v>
      </c>
      <c r="AN220" s="43">
        <v>0</v>
      </c>
      <c r="AO220" s="43">
        <v>0</v>
      </c>
      <c r="AP220" s="43">
        <v>0</v>
      </c>
      <c r="AQ220" s="43">
        <v>0</v>
      </c>
      <c r="AR220" s="43">
        <v>0</v>
      </c>
      <c r="AS220" s="43">
        <v>0</v>
      </c>
      <c r="AT220" s="43">
        <v>0</v>
      </c>
      <c r="AU220" s="43">
        <v>0</v>
      </c>
      <c r="AV220" s="43">
        <v>0</v>
      </c>
      <c r="AW220" s="43">
        <v>0</v>
      </c>
      <c r="AX220" s="44">
        <f t="shared" si="26"/>
        <v>0</v>
      </c>
      <c r="AY220" s="317">
        <f>SUMIF(Recibos!$D$4:$D$3010,Cobranza!$B220,Recibos!K$4:K$3010)</f>
        <v>0</v>
      </c>
      <c r="AZ220" s="317">
        <f>SUMIF(Recibos!$D$4:$D$3010,Cobranza!$B220,Recibos!L$4:L$3010)</f>
        <v>0</v>
      </c>
      <c r="BA220" s="317">
        <f>SUMIF(Recibos!$D$4:$D$3010,Cobranza!$B220,Recibos!M$4:M$3010)</f>
        <v>0</v>
      </c>
      <c r="BB220" s="317">
        <f>SUMIF(Recibos!$D$4:$D$3010,Cobranza!$B220,Recibos!N$4:N$3010)</f>
        <v>0</v>
      </c>
      <c r="BC220" s="317">
        <f>SUMIF(Recibos!$D$4:$D$3010,Cobranza!$B220,Recibos!O$4:O$3010)</f>
        <v>0</v>
      </c>
      <c r="BD220" s="317">
        <f>SUMIF(Recibos!$D$4:$D$3010,Cobranza!$B220,Recibos!P$4:P$3010)</f>
        <v>0</v>
      </c>
      <c r="BE220" s="317">
        <f>SUMIF(Recibos!$D$4:$D$3010,Cobranza!$B220,Recibos!Q$4:Q$3010)</f>
        <v>0</v>
      </c>
      <c r="BF220" s="317">
        <f>SUMIF(Recibos!$D$4:$D$3010,Cobranza!$B220,Recibos!R$4:R$3010)</f>
        <v>0</v>
      </c>
      <c r="BG220" s="317">
        <f>SUMIF(Recibos!$D$4:$D$3010,Cobranza!$B220,Recibos!S$4:S$3010)</f>
        <v>0</v>
      </c>
      <c r="BH220" s="317">
        <f>SUMIF(Recibos!$D$4:$D$3010,Cobranza!$B220,Recibos!T$4:T$3010)</f>
        <v>0</v>
      </c>
      <c r="BI220" s="317">
        <f>SUMIF(Recibos!$D$4:$D$3010,Cobranza!$B220,Recibos!U$4:U$3010)</f>
        <v>0</v>
      </c>
      <c r="BJ220" s="317">
        <f>SUMIF(Recibos!$D$4:$D$3010,Cobranza!$B220,Recibos!V$4:V$3010)</f>
        <v>0</v>
      </c>
      <c r="BK220" s="318">
        <f t="shared" si="27"/>
        <v>0</v>
      </c>
      <c r="BL220" s="317">
        <f>SUMIF(Recibos!$D$4:$D$3010,Cobranza!$B220,Recibos!X$4:X$3010)</f>
        <v>0</v>
      </c>
      <c r="BM220" s="317">
        <f>SUMIF(Recibos!$D$4:$D$3010,Cobranza!$B220,Recibos!Y$4:Y$3010)</f>
        <v>0</v>
      </c>
      <c r="BN220" s="317">
        <f>SUMIF(Recibos!$D$4:$D$3010,Cobranza!$B220,Recibos!Z$4:Z$3010)</f>
        <v>0</v>
      </c>
      <c r="BO220" s="317">
        <f>SUMIF(Recibos!$D$4:$D$3010,Cobranza!$B220,Recibos!AA$4:AA$3010)</f>
        <v>0</v>
      </c>
      <c r="BP220" s="317">
        <f>SUMIF(Recibos!$D$4:$D$3010,Cobranza!$B220,Recibos!AB$4:AB$3010)</f>
        <v>0</v>
      </c>
      <c r="BQ220" s="317">
        <f>SUMIF(Recibos!$D$4:$D$3010,Cobranza!$B220,Recibos!AC$4:AC$3010)</f>
        <v>0</v>
      </c>
      <c r="BR220" s="317">
        <f>SUMIF(Recibos!$D$4:$D$3010,Cobranza!$B220,Recibos!AD$4:AD$3010)</f>
        <v>0</v>
      </c>
      <c r="BS220" s="317">
        <f>SUMIF(Recibos!$D$4:$D$3010,Cobranza!$B220,Recibos!AE$4:AE$3010)</f>
        <v>0</v>
      </c>
      <c r="BT220" s="317">
        <f>SUMIF(Recibos!$D$4:$D$3010,Cobranza!$B220,Recibos!AF$4:AF$3010)</f>
        <v>0</v>
      </c>
      <c r="BU220" s="317">
        <f>SUMIF(Recibos!$D$4:$D$3010,Cobranza!$B220,Recibos!AG$4:AG$3010)</f>
        <v>0</v>
      </c>
      <c r="BV220" s="317">
        <f>SUMIF(Recibos!$D$4:$D$3010,Cobranza!$B220,Recibos!AH$4:AH$3010)</f>
        <v>0</v>
      </c>
      <c r="BW220" s="317">
        <f>SUMIF(Recibos!$D$4:$D$3010,Cobranza!$B220,Recibos!AI$4:AI$3010)</f>
        <v>0</v>
      </c>
      <c r="BX220" s="318">
        <f t="shared" si="28"/>
        <v>0</v>
      </c>
    </row>
    <row r="221" spans="2:76" x14ac:dyDescent="0.2">
      <c r="B221" s="45" t="s">
        <v>205</v>
      </c>
      <c r="C221" s="45" t="s">
        <v>206</v>
      </c>
      <c r="D221" s="45" t="s">
        <v>207</v>
      </c>
      <c r="E221" s="46">
        <v>0</v>
      </c>
      <c r="F221" s="46">
        <v>0</v>
      </c>
      <c r="G221" s="46">
        <v>0</v>
      </c>
      <c r="H221" s="46">
        <v>0</v>
      </c>
      <c r="I221" s="46">
        <v>0</v>
      </c>
      <c r="J221" s="46">
        <v>0</v>
      </c>
      <c r="K221" s="47">
        <f t="shared" si="23"/>
        <v>0</v>
      </c>
      <c r="L221" s="46">
        <v>0</v>
      </c>
      <c r="M221" s="46">
        <v>0</v>
      </c>
      <c r="N221" s="46">
        <v>0</v>
      </c>
      <c r="O221" s="46">
        <v>0</v>
      </c>
      <c r="P221" s="46">
        <v>0</v>
      </c>
      <c r="Q221" s="46">
        <v>0</v>
      </c>
      <c r="R221" s="46">
        <v>0</v>
      </c>
      <c r="S221" s="46">
        <v>0</v>
      </c>
      <c r="T221" s="46">
        <v>300</v>
      </c>
      <c r="U221" s="46">
        <v>400</v>
      </c>
      <c r="V221" s="46">
        <v>400</v>
      </c>
      <c r="W221" s="46">
        <v>400</v>
      </c>
      <c r="X221" s="47">
        <f t="shared" si="24"/>
        <v>1500</v>
      </c>
      <c r="Y221" s="46">
        <v>400</v>
      </c>
      <c r="Z221" s="46">
        <v>400</v>
      </c>
      <c r="AA221" s="46">
        <v>400</v>
      </c>
      <c r="AB221" s="46">
        <v>400</v>
      </c>
      <c r="AC221" s="46">
        <v>800</v>
      </c>
      <c r="AD221" s="46">
        <v>400</v>
      </c>
      <c r="AE221" s="46">
        <v>400</v>
      </c>
      <c r="AF221" s="46">
        <v>400</v>
      </c>
      <c r="AG221" s="46">
        <v>400</v>
      </c>
      <c r="AH221" s="46">
        <v>700</v>
      </c>
      <c r="AI221" s="46">
        <v>300</v>
      </c>
      <c r="AJ221" s="46">
        <v>600</v>
      </c>
      <c r="AK221" s="47">
        <f t="shared" si="25"/>
        <v>5600</v>
      </c>
      <c r="AL221" s="46">
        <v>600</v>
      </c>
      <c r="AM221" s="46">
        <v>600</v>
      </c>
      <c r="AN221" s="46">
        <v>600</v>
      </c>
      <c r="AO221" s="46">
        <v>600</v>
      </c>
      <c r="AP221" s="46">
        <v>600</v>
      </c>
      <c r="AQ221" s="46">
        <v>600</v>
      </c>
      <c r="AR221" s="46">
        <v>600</v>
      </c>
      <c r="AS221" s="46">
        <v>600</v>
      </c>
      <c r="AT221" s="46">
        <v>600</v>
      </c>
      <c r="AU221" s="46">
        <v>600</v>
      </c>
      <c r="AV221" s="46">
        <v>600</v>
      </c>
      <c r="AW221" s="46">
        <v>600</v>
      </c>
      <c r="AX221" s="47">
        <f t="shared" si="26"/>
        <v>7200</v>
      </c>
      <c r="AY221" s="319">
        <f>SUMIF(Recibos!$D$4:$D$3010,Cobranza!$B221,Recibos!K$4:K$3010)</f>
        <v>600</v>
      </c>
      <c r="AZ221" s="319">
        <f>SUMIF(Recibos!$D$4:$D$3010,Cobranza!$B221,Recibos!L$4:L$3010)</f>
        <v>600</v>
      </c>
      <c r="BA221" s="319">
        <f>SUMIF(Recibos!$D$4:$D$3010,Cobranza!$B221,Recibos!M$4:M$3010)</f>
        <v>600</v>
      </c>
      <c r="BB221" s="319">
        <f>SUMIF(Recibos!$D$4:$D$3010,Cobranza!$B221,Recibos!N$4:N$3010)</f>
        <v>600</v>
      </c>
      <c r="BC221" s="319">
        <f>SUMIF(Recibos!$D$4:$D$3010,Cobranza!$B221,Recibos!O$4:O$3010)</f>
        <v>600</v>
      </c>
      <c r="BD221" s="319">
        <f>SUMIF(Recibos!$D$4:$D$3010,Cobranza!$B221,Recibos!P$4:P$3010)</f>
        <v>600</v>
      </c>
      <c r="BE221" s="319">
        <f>SUMIF(Recibos!$D$4:$D$3010,Cobranza!$B221,Recibos!Q$4:Q$3010)</f>
        <v>600</v>
      </c>
      <c r="BF221" s="319">
        <f>SUMIF(Recibos!$D$4:$D$3010,Cobranza!$B221,Recibos!R$4:R$3010)</f>
        <v>600</v>
      </c>
      <c r="BG221" s="319">
        <f>SUMIF(Recibos!$D$4:$D$3010,Cobranza!$B221,Recibos!S$4:S$3010)</f>
        <v>600</v>
      </c>
      <c r="BH221" s="319">
        <f>SUMIF(Recibos!$D$4:$D$3010,Cobranza!$B221,Recibos!T$4:T$3010)</f>
        <v>600</v>
      </c>
      <c r="BI221" s="319">
        <f>SUMIF(Recibos!$D$4:$D$3010,Cobranza!$B221,Recibos!U$4:U$3010)</f>
        <v>600</v>
      </c>
      <c r="BJ221" s="319">
        <f>SUMIF(Recibos!$D$4:$D$3010,Cobranza!$B221,Recibos!V$4:V$3010)</f>
        <v>600</v>
      </c>
      <c r="BK221" s="320">
        <f t="shared" si="27"/>
        <v>7200</v>
      </c>
      <c r="BL221" s="319">
        <f>SUMIF(Recibos!$D$4:$D$3010,Cobranza!$B221,Recibos!X$4:X$3010)</f>
        <v>0</v>
      </c>
      <c r="BM221" s="319">
        <f>SUMIF(Recibos!$D$4:$D$3010,Cobranza!$B221,Recibos!Y$4:Y$3010)</f>
        <v>0</v>
      </c>
      <c r="BN221" s="319">
        <f>SUMIF(Recibos!$D$4:$D$3010,Cobranza!$B221,Recibos!Z$4:Z$3010)</f>
        <v>0</v>
      </c>
      <c r="BO221" s="319">
        <f>SUMIF(Recibos!$D$4:$D$3010,Cobranza!$B221,Recibos!AA$4:AA$3010)</f>
        <v>0</v>
      </c>
      <c r="BP221" s="319">
        <f>SUMIF(Recibos!$D$4:$D$3010,Cobranza!$B221,Recibos!AB$4:AB$3010)</f>
        <v>0</v>
      </c>
      <c r="BQ221" s="319">
        <f>SUMIF(Recibos!$D$4:$D$3010,Cobranza!$B221,Recibos!AC$4:AC$3010)</f>
        <v>0</v>
      </c>
      <c r="BR221" s="319">
        <f>SUMIF(Recibos!$D$4:$D$3010,Cobranza!$B221,Recibos!AD$4:AD$3010)</f>
        <v>0</v>
      </c>
      <c r="BS221" s="319">
        <f>SUMIF(Recibos!$D$4:$D$3010,Cobranza!$B221,Recibos!AE$4:AE$3010)</f>
        <v>0</v>
      </c>
      <c r="BT221" s="319">
        <f>SUMIF(Recibos!$D$4:$D$3010,Cobranza!$B221,Recibos!AF$4:AF$3010)</f>
        <v>0</v>
      </c>
      <c r="BU221" s="319">
        <f>SUMIF(Recibos!$D$4:$D$3010,Cobranza!$B221,Recibos!AG$4:AG$3010)</f>
        <v>0</v>
      </c>
      <c r="BV221" s="319">
        <f>SUMIF(Recibos!$D$4:$D$3010,Cobranza!$B221,Recibos!AH$4:AH$3010)</f>
        <v>0</v>
      </c>
      <c r="BW221" s="319">
        <f>SUMIF(Recibos!$D$4:$D$3010,Cobranza!$B221,Recibos!AI$4:AI$3010)</f>
        <v>0</v>
      </c>
      <c r="BX221" s="320">
        <f t="shared" si="28"/>
        <v>0</v>
      </c>
    </row>
    <row r="222" spans="2:76" x14ac:dyDescent="0.2">
      <c r="B222" s="42" t="s">
        <v>1377</v>
      </c>
      <c r="C222" s="42" t="s">
        <v>1378</v>
      </c>
      <c r="D222" s="42" t="s">
        <v>790</v>
      </c>
      <c r="E222" s="43">
        <v>0</v>
      </c>
      <c r="F222" s="43">
        <v>0</v>
      </c>
      <c r="G222" s="43">
        <v>0</v>
      </c>
      <c r="H222" s="43">
        <v>0</v>
      </c>
      <c r="I222" s="43">
        <v>0</v>
      </c>
      <c r="J222" s="43">
        <v>0</v>
      </c>
      <c r="K222" s="44">
        <f t="shared" si="23"/>
        <v>0</v>
      </c>
      <c r="L222" s="43">
        <v>0</v>
      </c>
      <c r="M222" s="43">
        <v>0</v>
      </c>
      <c r="N222" s="43">
        <v>0</v>
      </c>
      <c r="O222" s="43">
        <v>0</v>
      </c>
      <c r="P222" s="43">
        <v>0</v>
      </c>
      <c r="Q222" s="43">
        <v>0</v>
      </c>
      <c r="R222" s="43">
        <v>0</v>
      </c>
      <c r="S222" s="43">
        <v>0</v>
      </c>
      <c r="T222" s="43">
        <v>0</v>
      </c>
      <c r="U222" s="43">
        <v>0</v>
      </c>
      <c r="V222" s="43">
        <v>0</v>
      </c>
      <c r="W222" s="43">
        <v>0</v>
      </c>
      <c r="X222" s="44">
        <f t="shared" si="24"/>
        <v>0</v>
      </c>
      <c r="Y222" s="43">
        <v>0</v>
      </c>
      <c r="Z222" s="43">
        <v>0</v>
      </c>
      <c r="AA222" s="43">
        <v>0</v>
      </c>
      <c r="AB222" s="43">
        <v>0</v>
      </c>
      <c r="AC222" s="43">
        <v>0</v>
      </c>
      <c r="AD222" s="43">
        <v>0</v>
      </c>
      <c r="AE222" s="43">
        <v>0</v>
      </c>
      <c r="AF222" s="43">
        <v>0</v>
      </c>
      <c r="AG222" s="43">
        <v>0</v>
      </c>
      <c r="AH222" s="43">
        <v>0</v>
      </c>
      <c r="AI222" s="43">
        <v>0</v>
      </c>
      <c r="AJ222" s="43">
        <v>0</v>
      </c>
      <c r="AK222" s="44">
        <f t="shared" si="25"/>
        <v>0</v>
      </c>
      <c r="AL222" s="43">
        <v>0</v>
      </c>
      <c r="AM222" s="43">
        <v>0</v>
      </c>
      <c r="AN222" s="43">
        <v>0</v>
      </c>
      <c r="AO222" s="43">
        <v>0</v>
      </c>
      <c r="AP222" s="43">
        <v>0</v>
      </c>
      <c r="AQ222" s="43">
        <v>0</v>
      </c>
      <c r="AR222" s="43">
        <v>0</v>
      </c>
      <c r="AS222" s="43">
        <v>0</v>
      </c>
      <c r="AT222" s="43">
        <v>0</v>
      </c>
      <c r="AU222" s="43">
        <v>0</v>
      </c>
      <c r="AV222" s="43">
        <v>0</v>
      </c>
      <c r="AW222" s="43">
        <v>0</v>
      </c>
      <c r="AX222" s="44">
        <f t="shared" si="26"/>
        <v>0</v>
      </c>
      <c r="AY222" s="317">
        <f>SUMIF(Recibos!$D$4:$D$3010,Cobranza!$B222,Recibos!K$4:K$3010)</f>
        <v>0</v>
      </c>
      <c r="AZ222" s="317">
        <f>SUMIF(Recibos!$D$4:$D$3010,Cobranza!$B222,Recibos!L$4:L$3010)</f>
        <v>0</v>
      </c>
      <c r="BA222" s="317">
        <f>SUMIF(Recibos!$D$4:$D$3010,Cobranza!$B222,Recibos!M$4:M$3010)</f>
        <v>0</v>
      </c>
      <c r="BB222" s="317">
        <f>SUMIF(Recibos!$D$4:$D$3010,Cobranza!$B222,Recibos!N$4:N$3010)</f>
        <v>0</v>
      </c>
      <c r="BC222" s="317">
        <f>SUMIF(Recibos!$D$4:$D$3010,Cobranza!$B222,Recibos!O$4:O$3010)</f>
        <v>0</v>
      </c>
      <c r="BD222" s="317">
        <f>SUMIF(Recibos!$D$4:$D$3010,Cobranza!$B222,Recibos!P$4:P$3010)</f>
        <v>0</v>
      </c>
      <c r="BE222" s="317">
        <f>SUMIF(Recibos!$D$4:$D$3010,Cobranza!$B222,Recibos!Q$4:Q$3010)</f>
        <v>0</v>
      </c>
      <c r="BF222" s="317">
        <f>SUMIF(Recibos!$D$4:$D$3010,Cobranza!$B222,Recibos!R$4:R$3010)</f>
        <v>0</v>
      </c>
      <c r="BG222" s="317">
        <f>SUMIF(Recibos!$D$4:$D$3010,Cobranza!$B222,Recibos!S$4:S$3010)</f>
        <v>0</v>
      </c>
      <c r="BH222" s="317">
        <f>SUMIF(Recibos!$D$4:$D$3010,Cobranza!$B222,Recibos!T$4:T$3010)</f>
        <v>0</v>
      </c>
      <c r="BI222" s="317">
        <f>SUMIF(Recibos!$D$4:$D$3010,Cobranza!$B222,Recibos!U$4:U$3010)</f>
        <v>0</v>
      </c>
      <c r="BJ222" s="317">
        <f>SUMIF(Recibos!$D$4:$D$3010,Cobranza!$B222,Recibos!V$4:V$3010)</f>
        <v>0</v>
      </c>
      <c r="BK222" s="318">
        <f t="shared" si="27"/>
        <v>0</v>
      </c>
      <c r="BL222" s="317">
        <f>SUMIF(Recibos!$D$4:$D$3010,Cobranza!$B222,Recibos!X$4:X$3010)</f>
        <v>0</v>
      </c>
      <c r="BM222" s="317">
        <f>SUMIF(Recibos!$D$4:$D$3010,Cobranza!$B222,Recibos!Y$4:Y$3010)</f>
        <v>0</v>
      </c>
      <c r="BN222" s="317">
        <f>SUMIF(Recibos!$D$4:$D$3010,Cobranza!$B222,Recibos!Z$4:Z$3010)</f>
        <v>0</v>
      </c>
      <c r="BO222" s="317">
        <f>SUMIF(Recibos!$D$4:$D$3010,Cobranza!$B222,Recibos!AA$4:AA$3010)</f>
        <v>0</v>
      </c>
      <c r="BP222" s="317">
        <f>SUMIF(Recibos!$D$4:$D$3010,Cobranza!$B222,Recibos!AB$4:AB$3010)</f>
        <v>0</v>
      </c>
      <c r="BQ222" s="317">
        <f>SUMIF(Recibos!$D$4:$D$3010,Cobranza!$B222,Recibos!AC$4:AC$3010)</f>
        <v>0</v>
      </c>
      <c r="BR222" s="317">
        <f>SUMIF(Recibos!$D$4:$D$3010,Cobranza!$B222,Recibos!AD$4:AD$3010)</f>
        <v>0</v>
      </c>
      <c r="BS222" s="317">
        <f>SUMIF(Recibos!$D$4:$D$3010,Cobranza!$B222,Recibos!AE$4:AE$3010)</f>
        <v>0</v>
      </c>
      <c r="BT222" s="317">
        <f>SUMIF(Recibos!$D$4:$D$3010,Cobranza!$B222,Recibos!AF$4:AF$3010)</f>
        <v>0</v>
      </c>
      <c r="BU222" s="317">
        <f>SUMIF(Recibos!$D$4:$D$3010,Cobranza!$B222,Recibos!AG$4:AG$3010)</f>
        <v>0</v>
      </c>
      <c r="BV222" s="317">
        <f>SUMIF(Recibos!$D$4:$D$3010,Cobranza!$B222,Recibos!AH$4:AH$3010)</f>
        <v>0</v>
      </c>
      <c r="BW222" s="317">
        <f>SUMIF(Recibos!$D$4:$D$3010,Cobranza!$B222,Recibos!AI$4:AI$3010)</f>
        <v>0</v>
      </c>
      <c r="BX222" s="318">
        <f t="shared" si="28"/>
        <v>0</v>
      </c>
    </row>
    <row r="223" spans="2:76" x14ac:dyDescent="0.2">
      <c r="B223" s="45" t="s">
        <v>1206</v>
      </c>
      <c r="C223" s="45" t="s">
        <v>1379</v>
      </c>
      <c r="D223" s="45" t="s">
        <v>1208</v>
      </c>
      <c r="E223" s="46">
        <v>0</v>
      </c>
      <c r="F223" s="46">
        <v>0</v>
      </c>
      <c r="G223" s="46">
        <v>0</v>
      </c>
      <c r="H223" s="46">
        <v>0</v>
      </c>
      <c r="I223" s="46">
        <v>0</v>
      </c>
      <c r="J223" s="46">
        <v>0</v>
      </c>
      <c r="K223" s="47">
        <f t="shared" si="23"/>
        <v>0</v>
      </c>
      <c r="L223" s="46">
        <v>0</v>
      </c>
      <c r="M223" s="46">
        <v>0</v>
      </c>
      <c r="N223" s="46">
        <v>0</v>
      </c>
      <c r="O223" s="46">
        <v>0</v>
      </c>
      <c r="P223" s="46">
        <v>0</v>
      </c>
      <c r="Q223" s="46">
        <v>0</v>
      </c>
      <c r="R223" s="46">
        <v>0</v>
      </c>
      <c r="S223" s="46">
        <v>0</v>
      </c>
      <c r="T223" s="46">
        <v>0</v>
      </c>
      <c r="U223" s="46">
        <v>0</v>
      </c>
      <c r="V223" s="46">
        <v>0</v>
      </c>
      <c r="W223" s="46">
        <v>0</v>
      </c>
      <c r="X223" s="47">
        <f t="shared" si="24"/>
        <v>0</v>
      </c>
      <c r="Y223" s="46">
        <v>0</v>
      </c>
      <c r="Z223" s="46">
        <v>0</v>
      </c>
      <c r="AA223" s="46">
        <v>0</v>
      </c>
      <c r="AB223" s="46">
        <v>0</v>
      </c>
      <c r="AC223" s="46">
        <v>0</v>
      </c>
      <c r="AD223" s="46">
        <v>0</v>
      </c>
      <c r="AE223" s="46">
        <v>0</v>
      </c>
      <c r="AF223" s="46">
        <v>0</v>
      </c>
      <c r="AG223" s="46">
        <v>0</v>
      </c>
      <c r="AH223" s="46">
        <v>0</v>
      </c>
      <c r="AI223" s="46">
        <v>0</v>
      </c>
      <c r="AJ223" s="46">
        <v>0</v>
      </c>
      <c r="AK223" s="47">
        <f t="shared" si="25"/>
        <v>0</v>
      </c>
      <c r="AL223" s="46">
        <v>0</v>
      </c>
      <c r="AM223" s="46">
        <v>0</v>
      </c>
      <c r="AN223" s="46">
        <v>0</v>
      </c>
      <c r="AO223" s="46">
        <v>0</v>
      </c>
      <c r="AP223" s="46">
        <v>0</v>
      </c>
      <c r="AQ223" s="46">
        <v>0</v>
      </c>
      <c r="AR223" s="46">
        <v>0</v>
      </c>
      <c r="AS223" s="46">
        <v>0</v>
      </c>
      <c r="AT223" s="46">
        <v>0</v>
      </c>
      <c r="AU223" s="46">
        <v>0</v>
      </c>
      <c r="AV223" s="46">
        <v>0</v>
      </c>
      <c r="AW223" s="46">
        <v>0</v>
      </c>
      <c r="AX223" s="47">
        <f t="shared" si="26"/>
        <v>0</v>
      </c>
      <c r="AY223" s="319">
        <f>SUMIF(Recibos!$D$4:$D$3010,Cobranza!$B223,Recibos!K$4:K$3010)</f>
        <v>0</v>
      </c>
      <c r="AZ223" s="319">
        <f>SUMIF(Recibos!$D$4:$D$3010,Cobranza!$B223,Recibos!L$4:L$3010)</f>
        <v>0</v>
      </c>
      <c r="BA223" s="319">
        <f>SUMIF(Recibos!$D$4:$D$3010,Cobranza!$B223,Recibos!M$4:M$3010)</f>
        <v>0</v>
      </c>
      <c r="BB223" s="319">
        <f>SUMIF(Recibos!$D$4:$D$3010,Cobranza!$B223,Recibos!N$4:N$3010)</f>
        <v>150</v>
      </c>
      <c r="BC223" s="319">
        <f>SUMIF(Recibos!$D$4:$D$3010,Cobranza!$B223,Recibos!O$4:O$3010)</f>
        <v>150</v>
      </c>
      <c r="BD223" s="319">
        <f>SUMIF(Recibos!$D$4:$D$3010,Cobranza!$B223,Recibos!P$4:P$3010)</f>
        <v>150</v>
      </c>
      <c r="BE223" s="319">
        <f>SUMIF(Recibos!$D$4:$D$3010,Cobranza!$B223,Recibos!Q$4:Q$3010)</f>
        <v>150</v>
      </c>
      <c r="BF223" s="319">
        <f>SUMIF(Recibos!$D$4:$D$3010,Cobranza!$B223,Recibos!R$4:R$3010)</f>
        <v>150</v>
      </c>
      <c r="BG223" s="319">
        <f>SUMIF(Recibos!$D$4:$D$3010,Cobranza!$B223,Recibos!S$4:S$3010)</f>
        <v>150</v>
      </c>
      <c r="BH223" s="319">
        <f>SUMIF(Recibos!$D$4:$D$3010,Cobranza!$B223,Recibos!T$4:T$3010)</f>
        <v>150</v>
      </c>
      <c r="BI223" s="319">
        <f>SUMIF(Recibos!$D$4:$D$3010,Cobranza!$B223,Recibos!U$4:U$3010)</f>
        <v>0</v>
      </c>
      <c r="BJ223" s="319">
        <f>SUMIF(Recibos!$D$4:$D$3010,Cobranza!$B223,Recibos!V$4:V$3010)</f>
        <v>0</v>
      </c>
      <c r="BK223" s="320">
        <f t="shared" si="27"/>
        <v>1050</v>
      </c>
      <c r="BL223" s="319">
        <f>SUMIF(Recibos!$D$4:$D$3010,Cobranza!$B223,Recibos!X$4:X$3010)</f>
        <v>0</v>
      </c>
      <c r="BM223" s="319">
        <f>SUMIF(Recibos!$D$4:$D$3010,Cobranza!$B223,Recibos!Y$4:Y$3010)</f>
        <v>0</v>
      </c>
      <c r="BN223" s="319">
        <f>SUMIF(Recibos!$D$4:$D$3010,Cobranza!$B223,Recibos!Z$4:Z$3010)</f>
        <v>0</v>
      </c>
      <c r="BO223" s="319">
        <f>SUMIF(Recibos!$D$4:$D$3010,Cobranza!$B223,Recibos!AA$4:AA$3010)</f>
        <v>0</v>
      </c>
      <c r="BP223" s="319">
        <f>SUMIF(Recibos!$D$4:$D$3010,Cobranza!$B223,Recibos!AB$4:AB$3010)</f>
        <v>0</v>
      </c>
      <c r="BQ223" s="319">
        <f>SUMIF(Recibos!$D$4:$D$3010,Cobranza!$B223,Recibos!AC$4:AC$3010)</f>
        <v>0</v>
      </c>
      <c r="BR223" s="319">
        <f>SUMIF(Recibos!$D$4:$D$3010,Cobranza!$B223,Recibos!AD$4:AD$3010)</f>
        <v>0</v>
      </c>
      <c r="BS223" s="319">
        <f>SUMIF(Recibos!$D$4:$D$3010,Cobranza!$B223,Recibos!AE$4:AE$3010)</f>
        <v>0</v>
      </c>
      <c r="BT223" s="319">
        <f>SUMIF(Recibos!$D$4:$D$3010,Cobranza!$B223,Recibos!AF$4:AF$3010)</f>
        <v>0</v>
      </c>
      <c r="BU223" s="319">
        <f>SUMIF(Recibos!$D$4:$D$3010,Cobranza!$B223,Recibos!AG$4:AG$3010)</f>
        <v>0</v>
      </c>
      <c r="BV223" s="319">
        <f>SUMIF(Recibos!$D$4:$D$3010,Cobranza!$B223,Recibos!AH$4:AH$3010)</f>
        <v>0</v>
      </c>
      <c r="BW223" s="319">
        <f>SUMIF(Recibos!$D$4:$D$3010,Cobranza!$B223,Recibos!AI$4:AI$3010)</f>
        <v>0</v>
      </c>
      <c r="BX223" s="320">
        <f t="shared" si="28"/>
        <v>0</v>
      </c>
    </row>
    <row r="224" spans="2:76" x14ac:dyDescent="0.2">
      <c r="B224" s="42" t="s">
        <v>503</v>
      </c>
      <c r="C224" s="42" t="s">
        <v>1380</v>
      </c>
      <c r="D224" s="42" t="s">
        <v>1381</v>
      </c>
      <c r="E224" s="43">
        <v>0</v>
      </c>
      <c r="F224" s="43">
        <v>0</v>
      </c>
      <c r="G224" s="43">
        <v>0</v>
      </c>
      <c r="H224" s="43">
        <v>0</v>
      </c>
      <c r="I224" s="43">
        <v>0</v>
      </c>
      <c r="J224" s="43">
        <v>0</v>
      </c>
      <c r="K224" s="44">
        <f t="shared" si="23"/>
        <v>0</v>
      </c>
      <c r="L224" s="43">
        <v>0</v>
      </c>
      <c r="M224" s="43">
        <v>0</v>
      </c>
      <c r="N224" s="43">
        <v>0</v>
      </c>
      <c r="O224" s="43">
        <v>0</v>
      </c>
      <c r="P224" s="43">
        <v>0</v>
      </c>
      <c r="Q224" s="43">
        <v>0</v>
      </c>
      <c r="R224" s="43">
        <v>0</v>
      </c>
      <c r="S224" s="43">
        <v>0</v>
      </c>
      <c r="T224" s="43">
        <v>0</v>
      </c>
      <c r="U224" s="43">
        <v>0</v>
      </c>
      <c r="V224" s="43">
        <v>0</v>
      </c>
      <c r="W224" s="43">
        <v>0</v>
      </c>
      <c r="X224" s="44">
        <f t="shared" si="24"/>
        <v>0</v>
      </c>
      <c r="Y224" s="43">
        <v>0</v>
      </c>
      <c r="Z224" s="43">
        <v>0</v>
      </c>
      <c r="AA224" s="43">
        <v>0</v>
      </c>
      <c r="AB224" s="43">
        <v>0</v>
      </c>
      <c r="AC224" s="43">
        <v>0</v>
      </c>
      <c r="AD224" s="43">
        <v>0</v>
      </c>
      <c r="AE224" s="43">
        <v>0</v>
      </c>
      <c r="AF224" s="43">
        <v>0</v>
      </c>
      <c r="AG224" s="43">
        <v>0</v>
      </c>
      <c r="AH224" s="43">
        <v>0</v>
      </c>
      <c r="AI224" s="43">
        <v>0</v>
      </c>
      <c r="AJ224" s="43">
        <v>0</v>
      </c>
      <c r="AK224" s="44">
        <f t="shared" si="25"/>
        <v>0</v>
      </c>
      <c r="AL224" s="43">
        <v>0</v>
      </c>
      <c r="AM224" s="43">
        <v>0</v>
      </c>
      <c r="AN224" s="43">
        <v>0</v>
      </c>
      <c r="AO224" s="43">
        <v>0</v>
      </c>
      <c r="AP224" s="43">
        <v>0</v>
      </c>
      <c r="AQ224" s="43">
        <v>0</v>
      </c>
      <c r="AR224" s="43">
        <v>0</v>
      </c>
      <c r="AS224" s="43">
        <v>0</v>
      </c>
      <c r="AT224" s="43">
        <v>0</v>
      </c>
      <c r="AU224" s="43">
        <v>0</v>
      </c>
      <c r="AV224" s="43">
        <v>150</v>
      </c>
      <c r="AW224" s="43">
        <v>150</v>
      </c>
      <c r="AX224" s="44">
        <f t="shared" si="26"/>
        <v>300</v>
      </c>
      <c r="AY224" s="317">
        <f>SUMIF(Recibos!$D$4:$D$3010,Cobranza!$B224,Recibos!K$4:K$3010)</f>
        <v>150</v>
      </c>
      <c r="AZ224" s="317">
        <f>SUMIF(Recibos!$D$4:$D$3010,Cobranza!$B224,Recibos!L$4:L$3010)</f>
        <v>150</v>
      </c>
      <c r="BA224" s="317">
        <f>SUMIF(Recibos!$D$4:$D$3010,Cobranza!$B224,Recibos!M$4:M$3010)</f>
        <v>150</v>
      </c>
      <c r="BB224" s="317">
        <f>SUMIF(Recibos!$D$4:$D$3010,Cobranza!$B224,Recibos!N$4:N$3010)</f>
        <v>150</v>
      </c>
      <c r="BC224" s="317">
        <f>SUMIF(Recibos!$D$4:$D$3010,Cobranza!$B224,Recibos!O$4:O$3010)</f>
        <v>150</v>
      </c>
      <c r="BD224" s="317">
        <f>SUMIF(Recibos!$D$4:$D$3010,Cobranza!$B224,Recibos!P$4:P$3010)</f>
        <v>150</v>
      </c>
      <c r="BE224" s="317">
        <f>SUMIF(Recibos!$D$4:$D$3010,Cobranza!$B224,Recibos!Q$4:Q$3010)</f>
        <v>150</v>
      </c>
      <c r="BF224" s="317">
        <f>SUMIF(Recibos!$D$4:$D$3010,Cobranza!$B224,Recibos!R$4:R$3010)</f>
        <v>150</v>
      </c>
      <c r="BG224" s="317">
        <f>SUMIF(Recibos!$D$4:$D$3010,Cobranza!$B224,Recibos!S$4:S$3010)</f>
        <v>150</v>
      </c>
      <c r="BH224" s="317">
        <f>SUMIF(Recibos!$D$4:$D$3010,Cobranza!$B224,Recibos!T$4:T$3010)</f>
        <v>150</v>
      </c>
      <c r="BI224" s="317">
        <f>SUMIF(Recibos!$D$4:$D$3010,Cobranza!$B224,Recibos!U$4:U$3010)</f>
        <v>150</v>
      </c>
      <c r="BJ224" s="317">
        <f>SUMIF(Recibos!$D$4:$D$3010,Cobranza!$B224,Recibos!V$4:V$3010)</f>
        <v>0</v>
      </c>
      <c r="BK224" s="318">
        <f t="shared" si="27"/>
        <v>1650</v>
      </c>
      <c r="BL224" s="317">
        <f>SUMIF(Recibos!$D$4:$D$3010,Cobranza!$B224,Recibos!X$4:X$3010)</f>
        <v>0</v>
      </c>
      <c r="BM224" s="317">
        <f>SUMIF(Recibos!$D$4:$D$3010,Cobranza!$B224,Recibos!Y$4:Y$3010)</f>
        <v>0</v>
      </c>
      <c r="BN224" s="317">
        <f>SUMIF(Recibos!$D$4:$D$3010,Cobranza!$B224,Recibos!Z$4:Z$3010)</f>
        <v>0</v>
      </c>
      <c r="BO224" s="317">
        <f>SUMIF(Recibos!$D$4:$D$3010,Cobranza!$B224,Recibos!AA$4:AA$3010)</f>
        <v>0</v>
      </c>
      <c r="BP224" s="317">
        <f>SUMIF(Recibos!$D$4:$D$3010,Cobranza!$B224,Recibos!AB$4:AB$3010)</f>
        <v>0</v>
      </c>
      <c r="BQ224" s="317">
        <f>SUMIF(Recibos!$D$4:$D$3010,Cobranza!$B224,Recibos!AC$4:AC$3010)</f>
        <v>0</v>
      </c>
      <c r="BR224" s="317">
        <f>SUMIF(Recibos!$D$4:$D$3010,Cobranza!$B224,Recibos!AD$4:AD$3010)</f>
        <v>0</v>
      </c>
      <c r="BS224" s="317">
        <f>SUMIF(Recibos!$D$4:$D$3010,Cobranza!$B224,Recibos!AE$4:AE$3010)</f>
        <v>0</v>
      </c>
      <c r="BT224" s="317">
        <f>SUMIF(Recibos!$D$4:$D$3010,Cobranza!$B224,Recibos!AF$4:AF$3010)</f>
        <v>0</v>
      </c>
      <c r="BU224" s="317">
        <f>SUMIF(Recibos!$D$4:$D$3010,Cobranza!$B224,Recibos!AG$4:AG$3010)</f>
        <v>0</v>
      </c>
      <c r="BV224" s="317">
        <f>SUMIF(Recibos!$D$4:$D$3010,Cobranza!$B224,Recibos!AH$4:AH$3010)</f>
        <v>0</v>
      </c>
      <c r="BW224" s="317">
        <f>SUMIF(Recibos!$D$4:$D$3010,Cobranza!$B224,Recibos!AI$4:AI$3010)</f>
        <v>0</v>
      </c>
      <c r="BX224" s="318">
        <f t="shared" si="28"/>
        <v>0</v>
      </c>
    </row>
    <row r="225" spans="2:76" x14ac:dyDescent="0.2">
      <c r="B225" s="45" t="s">
        <v>38</v>
      </c>
      <c r="C225" s="45" t="s">
        <v>993</v>
      </c>
      <c r="D225" s="45" t="s">
        <v>994</v>
      </c>
      <c r="E225" s="46">
        <v>150</v>
      </c>
      <c r="F225" s="46">
        <v>150</v>
      </c>
      <c r="G225" s="46">
        <v>150</v>
      </c>
      <c r="H225" s="46">
        <v>150</v>
      </c>
      <c r="I225" s="46">
        <v>150</v>
      </c>
      <c r="J225" s="46">
        <v>150</v>
      </c>
      <c r="K225" s="47">
        <f t="shared" si="23"/>
        <v>900</v>
      </c>
      <c r="L225" s="46">
        <v>150</v>
      </c>
      <c r="M225" s="46">
        <v>0</v>
      </c>
      <c r="N225" s="46">
        <v>150</v>
      </c>
      <c r="O225" s="46">
        <v>150</v>
      </c>
      <c r="P225" s="46">
        <v>150</v>
      </c>
      <c r="Q225" s="46">
        <v>150</v>
      </c>
      <c r="R225" s="46">
        <v>150</v>
      </c>
      <c r="S225" s="46">
        <v>150</v>
      </c>
      <c r="T225" s="46">
        <v>150</v>
      </c>
      <c r="U225" s="46">
        <v>150</v>
      </c>
      <c r="V225" s="46">
        <v>150</v>
      </c>
      <c r="W225" s="46">
        <v>150</v>
      </c>
      <c r="X225" s="47">
        <f t="shared" si="24"/>
        <v>1650</v>
      </c>
      <c r="Y225" s="46">
        <v>150</v>
      </c>
      <c r="Z225" s="46">
        <v>150</v>
      </c>
      <c r="AA225" s="46">
        <v>150</v>
      </c>
      <c r="AB225" s="46">
        <v>150</v>
      </c>
      <c r="AC225" s="46">
        <v>150</v>
      </c>
      <c r="AD225" s="46">
        <v>150</v>
      </c>
      <c r="AE225" s="46">
        <v>150</v>
      </c>
      <c r="AF225" s="46">
        <v>150</v>
      </c>
      <c r="AG225" s="46">
        <v>150</v>
      </c>
      <c r="AH225" s="46">
        <v>150</v>
      </c>
      <c r="AI225" s="46">
        <v>150</v>
      </c>
      <c r="AJ225" s="46">
        <v>150</v>
      </c>
      <c r="AK225" s="47">
        <f t="shared" si="25"/>
        <v>1800</v>
      </c>
      <c r="AL225" s="46">
        <v>150</v>
      </c>
      <c r="AM225" s="46">
        <v>150</v>
      </c>
      <c r="AN225" s="46">
        <v>150</v>
      </c>
      <c r="AO225" s="46">
        <v>150</v>
      </c>
      <c r="AP225" s="46">
        <v>150</v>
      </c>
      <c r="AQ225" s="46">
        <v>150</v>
      </c>
      <c r="AR225" s="46">
        <v>150</v>
      </c>
      <c r="AS225" s="46">
        <v>150</v>
      </c>
      <c r="AT225" s="46">
        <v>150</v>
      </c>
      <c r="AU225" s="46">
        <v>150</v>
      </c>
      <c r="AV225" s="46">
        <v>150</v>
      </c>
      <c r="AW225" s="46">
        <v>0</v>
      </c>
      <c r="AX225" s="47">
        <f t="shared" si="26"/>
        <v>1650</v>
      </c>
      <c r="AY225" s="319">
        <f>SUMIF(Recibos!$D$4:$D$3010,Cobranza!$B225,Recibos!K$4:K$3010)</f>
        <v>150</v>
      </c>
      <c r="AZ225" s="319">
        <f>SUMIF(Recibos!$D$4:$D$3010,Cobranza!$B225,Recibos!L$4:L$3010)</f>
        <v>150</v>
      </c>
      <c r="BA225" s="319">
        <f>SUMIF(Recibos!$D$4:$D$3010,Cobranza!$B225,Recibos!M$4:M$3010)</f>
        <v>150</v>
      </c>
      <c r="BB225" s="319">
        <f>SUMIF(Recibos!$D$4:$D$3010,Cobranza!$B225,Recibos!N$4:N$3010)</f>
        <v>150</v>
      </c>
      <c r="BC225" s="319">
        <f>SUMIF(Recibos!$D$4:$D$3010,Cobranza!$B225,Recibos!O$4:O$3010)</f>
        <v>150</v>
      </c>
      <c r="BD225" s="319">
        <f>SUMIF(Recibos!$D$4:$D$3010,Cobranza!$B225,Recibos!P$4:P$3010)</f>
        <v>150</v>
      </c>
      <c r="BE225" s="319">
        <f>SUMIF(Recibos!$D$4:$D$3010,Cobranza!$B225,Recibos!Q$4:Q$3010)</f>
        <v>150</v>
      </c>
      <c r="BF225" s="319">
        <f>SUMIF(Recibos!$D$4:$D$3010,Cobranza!$B225,Recibos!R$4:R$3010)</f>
        <v>150</v>
      </c>
      <c r="BG225" s="319">
        <f>SUMIF(Recibos!$D$4:$D$3010,Cobranza!$B225,Recibos!S$4:S$3010)</f>
        <v>150</v>
      </c>
      <c r="BH225" s="319">
        <f>SUMIF(Recibos!$D$4:$D$3010,Cobranza!$B225,Recibos!T$4:T$3010)</f>
        <v>150</v>
      </c>
      <c r="BI225" s="319">
        <f>SUMIF(Recibos!$D$4:$D$3010,Cobranza!$B225,Recibos!U$4:U$3010)</f>
        <v>150</v>
      </c>
      <c r="BJ225" s="319">
        <f>SUMIF(Recibos!$D$4:$D$3010,Cobranza!$B225,Recibos!V$4:V$3010)</f>
        <v>150</v>
      </c>
      <c r="BK225" s="320">
        <f t="shared" si="27"/>
        <v>1800</v>
      </c>
      <c r="BL225" s="319">
        <f>SUMIF(Recibos!$D$4:$D$3010,Cobranza!$B225,Recibos!X$4:X$3010)</f>
        <v>0</v>
      </c>
      <c r="BM225" s="319">
        <f>SUMIF(Recibos!$D$4:$D$3010,Cobranza!$B225,Recibos!Y$4:Y$3010)</f>
        <v>0</v>
      </c>
      <c r="BN225" s="319">
        <f>SUMIF(Recibos!$D$4:$D$3010,Cobranza!$B225,Recibos!Z$4:Z$3010)</f>
        <v>0</v>
      </c>
      <c r="BO225" s="319">
        <f>SUMIF(Recibos!$D$4:$D$3010,Cobranza!$B225,Recibos!AA$4:AA$3010)</f>
        <v>0</v>
      </c>
      <c r="BP225" s="319">
        <f>SUMIF(Recibos!$D$4:$D$3010,Cobranza!$B225,Recibos!AB$4:AB$3010)</f>
        <v>0</v>
      </c>
      <c r="BQ225" s="319">
        <f>SUMIF(Recibos!$D$4:$D$3010,Cobranza!$B225,Recibos!AC$4:AC$3010)</f>
        <v>0</v>
      </c>
      <c r="BR225" s="319">
        <f>SUMIF(Recibos!$D$4:$D$3010,Cobranza!$B225,Recibos!AD$4:AD$3010)</f>
        <v>0</v>
      </c>
      <c r="BS225" s="319">
        <f>SUMIF(Recibos!$D$4:$D$3010,Cobranza!$B225,Recibos!AE$4:AE$3010)</f>
        <v>0</v>
      </c>
      <c r="BT225" s="319">
        <f>SUMIF(Recibos!$D$4:$D$3010,Cobranza!$B225,Recibos!AF$4:AF$3010)</f>
        <v>0</v>
      </c>
      <c r="BU225" s="319">
        <f>SUMIF(Recibos!$D$4:$D$3010,Cobranza!$B225,Recibos!AG$4:AG$3010)</f>
        <v>0</v>
      </c>
      <c r="BV225" s="319">
        <f>SUMIF(Recibos!$D$4:$D$3010,Cobranza!$B225,Recibos!AH$4:AH$3010)</f>
        <v>0</v>
      </c>
      <c r="BW225" s="319">
        <f>SUMIF(Recibos!$D$4:$D$3010,Cobranza!$B225,Recibos!AI$4:AI$3010)</f>
        <v>0</v>
      </c>
      <c r="BX225" s="320">
        <f t="shared" si="28"/>
        <v>0</v>
      </c>
    </row>
    <row r="226" spans="2:76" x14ac:dyDescent="0.2">
      <c r="B226" s="42" t="s">
        <v>358</v>
      </c>
      <c r="C226" s="42" t="s">
        <v>359</v>
      </c>
      <c r="D226" s="42" t="s">
        <v>360</v>
      </c>
      <c r="E226" s="43">
        <v>0</v>
      </c>
      <c r="F226" s="43">
        <v>0</v>
      </c>
      <c r="G226" s="43">
        <v>0</v>
      </c>
      <c r="H226" s="43">
        <v>0</v>
      </c>
      <c r="I226" s="43">
        <v>0</v>
      </c>
      <c r="J226" s="43">
        <v>0</v>
      </c>
      <c r="K226" s="44">
        <f t="shared" si="23"/>
        <v>0</v>
      </c>
      <c r="L226" s="43">
        <v>0</v>
      </c>
      <c r="M226" s="43">
        <v>0</v>
      </c>
      <c r="N226" s="43">
        <v>0</v>
      </c>
      <c r="O226" s="43">
        <v>0</v>
      </c>
      <c r="P226" s="43">
        <v>0</v>
      </c>
      <c r="Q226" s="43">
        <v>0</v>
      </c>
      <c r="R226" s="43">
        <v>0</v>
      </c>
      <c r="S226" s="43">
        <v>0</v>
      </c>
      <c r="T226" s="43">
        <v>0</v>
      </c>
      <c r="U226" s="43">
        <v>0</v>
      </c>
      <c r="V226" s="43">
        <v>0</v>
      </c>
      <c r="W226" s="43">
        <v>0</v>
      </c>
      <c r="X226" s="44">
        <f t="shared" si="24"/>
        <v>0</v>
      </c>
      <c r="Y226" s="43">
        <v>0</v>
      </c>
      <c r="Z226" s="43">
        <v>0</v>
      </c>
      <c r="AA226" s="43">
        <v>0</v>
      </c>
      <c r="AB226" s="43">
        <v>0</v>
      </c>
      <c r="AC226" s="43">
        <v>0</v>
      </c>
      <c r="AD226" s="43">
        <v>0</v>
      </c>
      <c r="AE226" s="43">
        <v>0</v>
      </c>
      <c r="AF226" s="43">
        <v>0</v>
      </c>
      <c r="AG226" s="43">
        <v>0</v>
      </c>
      <c r="AH226" s="43">
        <v>0</v>
      </c>
      <c r="AI226" s="43">
        <v>0</v>
      </c>
      <c r="AJ226" s="43">
        <v>0</v>
      </c>
      <c r="AK226" s="44">
        <f t="shared" si="25"/>
        <v>0</v>
      </c>
      <c r="AL226" s="43">
        <v>0</v>
      </c>
      <c r="AM226" s="43">
        <v>0</v>
      </c>
      <c r="AN226" s="43">
        <v>0</v>
      </c>
      <c r="AO226" s="43">
        <v>0</v>
      </c>
      <c r="AP226" s="43">
        <v>0</v>
      </c>
      <c r="AQ226" s="43">
        <v>0</v>
      </c>
      <c r="AR226" s="43">
        <v>0</v>
      </c>
      <c r="AS226" s="43">
        <v>150</v>
      </c>
      <c r="AT226" s="43">
        <v>150</v>
      </c>
      <c r="AU226" s="43">
        <v>0</v>
      </c>
      <c r="AV226" s="43">
        <v>150</v>
      </c>
      <c r="AW226" s="43">
        <v>150</v>
      </c>
      <c r="AX226" s="44">
        <f t="shared" si="26"/>
        <v>600</v>
      </c>
      <c r="AY226" s="317">
        <f>SUMIF(Recibos!$D$4:$D$3010,Cobranza!$B226,Recibos!K$4:K$3010)</f>
        <v>0</v>
      </c>
      <c r="AZ226" s="317">
        <f>SUMIF(Recibos!$D$4:$D$3010,Cobranza!$B226,Recibos!L$4:L$3010)</f>
        <v>0</v>
      </c>
      <c r="BA226" s="317">
        <f>SUMIF(Recibos!$D$4:$D$3010,Cobranza!$B226,Recibos!M$4:M$3010)</f>
        <v>0</v>
      </c>
      <c r="BB226" s="317">
        <f>SUMIF(Recibos!$D$4:$D$3010,Cobranza!$B226,Recibos!N$4:N$3010)</f>
        <v>0</v>
      </c>
      <c r="BC226" s="317">
        <f>SUMIF(Recibos!$D$4:$D$3010,Cobranza!$B226,Recibos!O$4:O$3010)</f>
        <v>150</v>
      </c>
      <c r="BD226" s="317">
        <f>SUMIF(Recibos!$D$4:$D$3010,Cobranza!$B226,Recibos!P$4:P$3010)</f>
        <v>100</v>
      </c>
      <c r="BE226" s="317">
        <f>SUMIF(Recibos!$D$4:$D$3010,Cobranza!$B226,Recibos!Q$4:Q$3010)</f>
        <v>150</v>
      </c>
      <c r="BF226" s="317">
        <f>SUMIF(Recibos!$D$4:$D$3010,Cobranza!$B226,Recibos!R$4:R$3010)</f>
        <v>150</v>
      </c>
      <c r="BG226" s="317">
        <f>SUMIF(Recibos!$D$4:$D$3010,Cobranza!$B226,Recibos!S$4:S$3010)</f>
        <v>150</v>
      </c>
      <c r="BH226" s="317">
        <f>SUMIF(Recibos!$D$4:$D$3010,Cobranza!$B226,Recibos!T$4:T$3010)</f>
        <v>150</v>
      </c>
      <c r="BI226" s="317">
        <f>SUMIF(Recibos!$D$4:$D$3010,Cobranza!$B226,Recibos!U$4:U$3010)</f>
        <v>150</v>
      </c>
      <c r="BJ226" s="317">
        <f>SUMIF(Recibos!$D$4:$D$3010,Cobranza!$B226,Recibos!V$4:V$3010)</f>
        <v>150</v>
      </c>
      <c r="BK226" s="318">
        <f t="shared" si="27"/>
        <v>1150</v>
      </c>
      <c r="BL226" s="317">
        <f>SUMIF(Recibos!$D$4:$D$3010,Cobranza!$B226,Recibos!X$4:X$3010)</f>
        <v>0</v>
      </c>
      <c r="BM226" s="317">
        <f>SUMIF(Recibos!$D$4:$D$3010,Cobranza!$B226,Recibos!Y$4:Y$3010)</f>
        <v>0</v>
      </c>
      <c r="BN226" s="317">
        <f>SUMIF(Recibos!$D$4:$D$3010,Cobranza!$B226,Recibos!Z$4:Z$3010)</f>
        <v>0</v>
      </c>
      <c r="BO226" s="317">
        <f>SUMIF(Recibos!$D$4:$D$3010,Cobranza!$B226,Recibos!AA$4:AA$3010)</f>
        <v>0</v>
      </c>
      <c r="BP226" s="317">
        <f>SUMIF(Recibos!$D$4:$D$3010,Cobranza!$B226,Recibos!AB$4:AB$3010)</f>
        <v>0</v>
      </c>
      <c r="BQ226" s="317">
        <f>SUMIF(Recibos!$D$4:$D$3010,Cobranza!$B226,Recibos!AC$4:AC$3010)</f>
        <v>0</v>
      </c>
      <c r="BR226" s="317">
        <f>SUMIF(Recibos!$D$4:$D$3010,Cobranza!$B226,Recibos!AD$4:AD$3010)</f>
        <v>0</v>
      </c>
      <c r="BS226" s="317">
        <f>SUMIF(Recibos!$D$4:$D$3010,Cobranza!$B226,Recibos!AE$4:AE$3010)</f>
        <v>0</v>
      </c>
      <c r="BT226" s="317">
        <f>SUMIF(Recibos!$D$4:$D$3010,Cobranza!$B226,Recibos!AF$4:AF$3010)</f>
        <v>0</v>
      </c>
      <c r="BU226" s="317">
        <f>SUMIF(Recibos!$D$4:$D$3010,Cobranza!$B226,Recibos!AG$4:AG$3010)</f>
        <v>0</v>
      </c>
      <c r="BV226" s="317">
        <f>SUMIF(Recibos!$D$4:$D$3010,Cobranza!$B226,Recibos!AH$4:AH$3010)</f>
        <v>0</v>
      </c>
      <c r="BW226" s="317">
        <f>SUMIF(Recibos!$D$4:$D$3010,Cobranza!$B226,Recibos!AI$4:AI$3010)</f>
        <v>0</v>
      </c>
      <c r="BX226" s="318">
        <f t="shared" si="28"/>
        <v>0</v>
      </c>
    </row>
    <row r="227" spans="2:76" x14ac:dyDescent="0.2">
      <c r="B227" s="45" t="s">
        <v>1382</v>
      </c>
      <c r="C227" s="45" t="s">
        <v>39</v>
      </c>
      <c r="D227" s="45" t="s">
        <v>40</v>
      </c>
      <c r="E227" s="46">
        <v>0</v>
      </c>
      <c r="F227" s="46">
        <v>0</v>
      </c>
      <c r="G227" s="46">
        <v>0</v>
      </c>
      <c r="H227" s="46">
        <v>0</v>
      </c>
      <c r="I227" s="46">
        <v>0</v>
      </c>
      <c r="J227" s="46">
        <v>0</v>
      </c>
      <c r="K227" s="47">
        <f t="shared" si="23"/>
        <v>0</v>
      </c>
      <c r="L227" s="46">
        <v>150</v>
      </c>
      <c r="M227" s="46">
        <v>150</v>
      </c>
      <c r="N227" s="46">
        <v>0</v>
      </c>
      <c r="O227" s="46">
        <v>0</v>
      </c>
      <c r="P227" s="46">
        <v>0</v>
      </c>
      <c r="Q227" s="46">
        <v>0</v>
      </c>
      <c r="R227" s="46">
        <v>0</v>
      </c>
      <c r="S227" s="46">
        <v>0</v>
      </c>
      <c r="T227" s="46">
        <v>0</v>
      </c>
      <c r="U227" s="46">
        <v>0</v>
      </c>
      <c r="V227" s="46">
        <v>0</v>
      </c>
      <c r="W227" s="46">
        <v>0</v>
      </c>
      <c r="X227" s="47">
        <f t="shared" si="24"/>
        <v>300</v>
      </c>
      <c r="Y227" s="46">
        <v>0</v>
      </c>
      <c r="Z227" s="46">
        <v>0</v>
      </c>
      <c r="AA227" s="46">
        <v>0</v>
      </c>
      <c r="AB227" s="46">
        <v>0</v>
      </c>
      <c r="AC227" s="46">
        <v>0</v>
      </c>
      <c r="AD227" s="46">
        <v>0</v>
      </c>
      <c r="AE227" s="46">
        <v>0</v>
      </c>
      <c r="AF227" s="46">
        <v>0</v>
      </c>
      <c r="AG227" s="46">
        <v>0</v>
      </c>
      <c r="AH227" s="46">
        <v>0</v>
      </c>
      <c r="AI227" s="46">
        <v>0</v>
      </c>
      <c r="AJ227" s="46">
        <v>0</v>
      </c>
      <c r="AK227" s="47">
        <f t="shared" si="25"/>
        <v>0</v>
      </c>
      <c r="AL227" s="46">
        <v>0</v>
      </c>
      <c r="AM227" s="46">
        <v>0</v>
      </c>
      <c r="AN227" s="46">
        <v>0</v>
      </c>
      <c r="AO227" s="46">
        <v>0</v>
      </c>
      <c r="AP227" s="46">
        <v>0</v>
      </c>
      <c r="AQ227" s="46">
        <v>0</v>
      </c>
      <c r="AR227" s="46">
        <v>0</v>
      </c>
      <c r="AS227" s="46">
        <v>150</v>
      </c>
      <c r="AT227" s="46">
        <v>0</v>
      </c>
      <c r="AU227" s="46">
        <v>0</v>
      </c>
      <c r="AV227" s="46">
        <v>0</v>
      </c>
      <c r="AW227" s="46">
        <v>0</v>
      </c>
      <c r="AX227" s="47">
        <f t="shared" si="26"/>
        <v>150</v>
      </c>
      <c r="AY227" s="319">
        <f>SUMIF(Recibos!$D$4:$D$3010,Cobranza!$B227,Recibos!K$4:K$3010)</f>
        <v>0</v>
      </c>
      <c r="AZ227" s="319">
        <f>SUMIF(Recibos!$D$4:$D$3010,Cobranza!$B227,Recibos!L$4:L$3010)</f>
        <v>0</v>
      </c>
      <c r="BA227" s="319">
        <f>SUMIF(Recibos!$D$4:$D$3010,Cobranza!$B227,Recibos!M$4:M$3010)</f>
        <v>0</v>
      </c>
      <c r="BB227" s="319">
        <f>SUMIF(Recibos!$D$4:$D$3010,Cobranza!$B227,Recibos!N$4:N$3010)</f>
        <v>0</v>
      </c>
      <c r="BC227" s="319">
        <f>SUMIF(Recibos!$D$4:$D$3010,Cobranza!$B227,Recibos!O$4:O$3010)</f>
        <v>0</v>
      </c>
      <c r="BD227" s="319">
        <f>SUMIF(Recibos!$D$4:$D$3010,Cobranza!$B227,Recibos!P$4:P$3010)</f>
        <v>0</v>
      </c>
      <c r="BE227" s="319">
        <f>SUMIF(Recibos!$D$4:$D$3010,Cobranza!$B227,Recibos!Q$4:Q$3010)</f>
        <v>0</v>
      </c>
      <c r="BF227" s="319">
        <f>SUMIF(Recibos!$D$4:$D$3010,Cobranza!$B227,Recibos!R$4:R$3010)</f>
        <v>0</v>
      </c>
      <c r="BG227" s="319">
        <f>SUMIF(Recibos!$D$4:$D$3010,Cobranza!$B227,Recibos!S$4:S$3010)</f>
        <v>0</v>
      </c>
      <c r="BH227" s="319">
        <f>SUMIF(Recibos!$D$4:$D$3010,Cobranza!$B227,Recibos!T$4:T$3010)</f>
        <v>0</v>
      </c>
      <c r="BI227" s="319">
        <f>SUMIF(Recibos!$D$4:$D$3010,Cobranza!$B227,Recibos!U$4:U$3010)</f>
        <v>0</v>
      </c>
      <c r="BJ227" s="319">
        <f>SUMIF(Recibos!$D$4:$D$3010,Cobranza!$B227,Recibos!V$4:V$3010)</f>
        <v>0</v>
      </c>
      <c r="BK227" s="320">
        <f t="shared" si="27"/>
        <v>0</v>
      </c>
      <c r="BL227" s="319">
        <f>SUMIF(Recibos!$D$4:$D$3010,Cobranza!$B227,Recibos!X$4:X$3010)</f>
        <v>0</v>
      </c>
      <c r="BM227" s="319">
        <f>SUMIF(Recibos!$D$4:$D$3010,Cobranza!$B227,Recibos!Y$4:Y$3010)</f>
        <v>0</v>
      </c>
      <c r="BN227" s="319">
        <f>SUMIF(Recibos!$D$4:$D$3010,Cobranza!$B227,Recibos!Z$4:Z$3010)</f>
        <v>0</v>
      </c>
      <c r="BO227" s="319">
        <f>SUMIF(Recibos!$D$4:$D$3010,Cobranza!$B227,Recibos!AA$4:AA$3010)</f>
        <v>0</v>
      </c>
      <c r="BP227" s="319">
        <f>SUMIF(Recibos!$D$4:$D$3010,Cobranza!$B227,Recibos!AB$4:AB$3010)</f>
        <v>0</v>
      </c>
      <c r="BQ227" s="319">
        <f>SUMIF(Recibos!$D$4:$D$3010,Cobranza!$B227,Recibos!AC$4:AC$3010)</f>
        <v>0</v>
      </c>
      <c r="BR227" s="319">
        <f>SUMIF(Recibos!$D$4:$D$3010,Cobranza!$B227,Recibos!AD$4:AD$3010)</f>
        <v>0</v>
      </c>
      <c r="BS227" s="319">
        <f>SUMIF(Recibos!$D$4:$D$3010,Cobranza!$B227,Recibos!AE$4:AE$3010)</f>
        <v>0</v>
      </c>
      <c r="BT227" s="319">
        <f>SUMIF(Recibos!$D$4:$D$3010,Cobranza!$B227,Recibos!AF$4:AF$3010)</f>
        <v>0</v>
      </c>
      <c r="BU227" s="319">
        <f>SUMIF(Recibos!$D$4:$D$3010,Cobranza!$B227,Recibos!AG$4:AG$3010)</f>
        <v>0</v>
      </c>
      <c r="BV227" s="319">
        <f>SUMIF(Recibos!$D$4:$D$3010,Cobranza!$B227,Recibos!AH$4:AH$3010)</f>
        <v>0</v>
      </c>
      <c r="BW227" s="319">
        <f>SUMIF(Recibos!$D$4:$D$3010,Cobranza!$B227,Recibos!AI$4:AI$3010)</f>
        <v>0</v>
      </c>
      <c r="BX227" s="320">
        <f t="shared" si="28"/>
        <v>0</v>
      </c>
    </row>
    <row r="228" spans="2:76" x14ac:dyDescent="0.2">
      <c r="B228" s="42" t="s">
        <v>494</v>
      </c>
      <c r="C228" s="42" t="s">
        <v>495</v>
      </c>
      <c r="D228" s="42" t="s">
        <v>496</v>
      </c>
      <c r="E228" s="43">
        <v>0</v>
      </c>
      <c r="F228" s="43">
        <v>0</v>
      </c>
      <c r="G228" s="43">
        <v>0</v>
      </c>
      <c r="H228" s="43">
        <v>0</v>
      </c>
      <c r="I228" s="43">
        <v>0</v>
      </c>
      <c r="J228" s="43">
        <v>0</v>
      </c>
      <c r="K228" s="44">
        <f t="shared" si="23"/>
        <v>0</v>
      </c>
      <c r="L228" s="43">
        <v>0</v>
      </c>
      <c r="M228" s="43">
        <v>0</v>
      </c>
      <c r="N228" s="43">
        <v>0</v>
      </c>
      <c r="O228" s="43">
        <v>0</v>
      </c>
      <c r="P228" s="43">
        <v>0</v>
      </c>
      <c r="Q228" s="43">
        <v>0</v>
      </c>
      <c r="R228" s="43">
        <v>0</v>
      </c>
      <c r="S228" s="43">
        <v>0</v>
      </c>
      <c r="T228" s="43">
        <v>0</v>
      </c>
      <c r="U228" s="43">
        <v>0</v>
      </c>
      <c r="V228" s="43">
        <v>0</v>
      </c>
      <c r="W228" s="43">
        <v>0</v>
      </c>
      <c r="X228" s="44">
        <f t="shared" si="24"/>
        <v>0</v>
      </c>
      <c r="Y228" s="43">
        <v>0</v>
      </c>
      <c r="Z228" s="43">
        <v>0</v>
      </c>
      <c r="AA228" s="43">
        <v>0</v>
      </c>
      <c r="AB228" s="43">
        <v>0</v>
      </c>
      <c r="AC228" s="43">
        <v>0</v>
      </c>
      <c r="AD228" s="43">
        <v>0</v>
      </c>
      <c r="AE228" s="43">
        <v>0</v>
      </c>
      <c r="AF228" s="43">
        <v>0</v>
      </c>
      <c r="AG228" s="43">
        <v>0</v>
      </c>
      <c r="AH228" s="43">
        <v>0</v>
      </c>
      <c r="AI228" s="43">
        <v>0</v>
      </c>
      <c r="AJ228" s="43">
        <v>0</v>
      </c>
      <c r="AK228" s="44">
        <f t="shared" si="25"/>
        <v>0</v>
      </c>
      <c r="AL228" s="43">
        <v>150</v>
      </c>
      <c r="AM228" s="43">
        <v>150</v>
      </c>
      <c r="AN228" s="43">
        <v>150</v>
      </c>
      <c r="AO228" s="43">
        <v>150</v>
      </c>
      <c r="AP228" s="43">
        <v>150</v>
      </c>
      <c r="AQ228" s="43">
        <v>150</v>
      </c>
      <c r="AR228" s="43">
        <v>0</v>
      </c>
      <c r="AS228" s="43">
        <v>0</v>
      </c>
      <c r="AT228" s="43">
        <v>150</v>
      </c>
      <c r="AU228" s="43">
        <v>150</v>
      </c>
      <c r="AV228" s="43">
        <v>150</v>
      </c>
      <c r="AW228" s="43">
        <v>150</v>
      </c>
      <c r="AX228" s="44">
        <f t="shared" si="26"/>
        <v>1500</v>
      </c>
      <c r="AY228" s="317">
        <f>SUMIF(Recibos!$D$4:$D$3010,Cobranza!$B228,Recibos!K$4:K$3010)</f>
        <v>150</v>
      </c>
      <c r="AZ228" s="317">
        <f>SUMIF(Recibos!$D$4:$D$3010,Cobranza!$B228,Recibos!L$4:L$3010)</f>
        <v>150</v>
      </c>
      <c r="BA228" s="317">
        <f>SUMIF(Recibos!$D$4:$D$3010,Cobranza!$B228,Recibos!M$4:M$3010)</f>
        <v>150</v>
      </c>
      <c r="BB228" s="317">
        <f>SUMIF(Recibos!$D$4:$D$3010,Cobranza!$B228,Recibos!N$4:N$3010)</f>
        <v>150</v>
      </c>
      <c r="BC228" s="317">
        <f>SUMIF(Recibos!$D$4:$D$3010,Cobranza!$B228,Recibos!O$4:O$3010)</f>
        <v>150</v>
      </c>
      <c r="BD228" s="317">
        <f>SUMIF(Recibos!$D$4:$D$3010,Cobranza!$B228,Recibos!P$4:P$3010)</f>
        <v>0</v>
      </c>
      <c r="BE228" s="317">
        <f>SUMIF(Recibos!$D$4:$D$3010,Cobranza!$B228,Recibos!Q$4:Q$3010)</f>
        <v>300</v>
      </c>
      <c r="BF228" s="317">
        <f>SUMIF(Recibos!$D$4:$D$3010,Cobranza!$B228,Recibos!R$4:R$3010)</f>
        <v>150</v>
      </c>
      <c r="BG228" s="317">
        <f>SUMIF(Recibos!$D$4:$D$3010,Cobranza!$B228,Recibos!S$4:S$3010)</f>
        <v>150</v>
      </c>
      <c r="BH228" s="317">
        <f>SUMIF(Recibos!$D$4:$D$3010,Cobranza!$B228,Recibos!T$4:T$3010)</f>
        <v>150</v>
      </c>
      <c r="BI228" s="317">
        <f>SUMIF(Recibos!$D$4:$D$3010,Cobranza!$B228,Recibos!U$4:U$3010)</f>
        <v>150</v>
      </c>
      <c r="BJ228" s="317">
        <f>SUMIF(Recibos!$D$4:$D$3010,Cobranza!$B228,Recibos!V$4:V$3010)</f>
        <v>150</v>
      </c>
      <c r="BK228" s="318">
        <f t="shared" si="27"/>
        <v>1800</v>
      </c>
      <c r="BL228" s="317">
        <f>SUMIF(Recibos!$D$4:$D$3010,Cobranza!$B228,Recibos!X$4:X$3010)</f>
        <v>0</v>
      </c>
      <c r="BM228" s="317">
        <f>SUMIF(Recibos!$D$4:$D$3010,Cobranza!$B228,Recibos!Y$4:Y$3010)</f>
        <v>0</v>
      </c>
      <c r="BN228" s="317">
        <f>SUMIF(Recibos!$D$4:$D$3010,Cobranza!$B228,Recibos!Z$4:Z$3010)</f>
        <v>0</v>
      </c>
      <c r="BO228" s="317">
        <f>SUMIF(Recibos!$D$4:$D$3010,Cobranza!$B228,Recibos!AA$4:AA$3010)</f>
        <v>0</v>
      </c>
      <c r="BP228" s="317">
        <f>SUMIF(Recibos!$D$4:$D$3010,Cobranza!$B228,Recibos!AB$4:AB$3010)</f>
        <v>0</v>
      </c>
      <c r="BQ228" s="317">
        <f>SUMIF(Recibos!$D$4:$D$3010,Cobranza!$B228,Recibos!AC$4:AC$3010)</f>
        <v>0</v>
      </c>
      <c r="BR228" s="317">
        <f>SUMIF(Recibos!$D$4:$D$3010,Cobranza!$B228,Recibos!AD$4:AD$3010)</f>
        <v>0</v>
      </c>
      <c r="BS228" s="317">
        <f>SUMIF(Recibos!$D$4:$D$3010,Cobranza!$B228,Recibos!AE$4:AE$3010)</f>
        <v>0</v>
      </c>
      <c r="BT228" s="317">
        <f>SUMIF(Recibos!$D$4:$D$3010,Cobranza!$B228,Recibos!AF$4:AF$3010)</f>
        <v>0</v>
      </c>
      <c r="BU228" s="317">
        <f>SUMIF(Recibos!$D$4:$D$3010,Cobranza!$B228,Recibos!AG$4:AG$3010)</f>
        <v>0</v>
      </c>
      <c r="BV228" s="317">
        <f>SUMIF(Recibos!$D$4:$D$3010,Cobranza!$B228,Recibos!AH$4:AH$3010)</f>
        <v>0</v>
      </c>
      <c r="BW228" s="317">
        <f>SUMIF(Recibos!$D$4:$D$3010,Cobranza!$B228,Recibos!AI$4:AI$3010)</f>
        <v>0</v>
      </c>
      <c r="BX228" s="318">
        <f t="shared" si="28"/>
        <v>0</v>
      </c>
    </row>
    <row r="229" spans="2:76" x14ac:dyDescent="0.2">
      <c r="B229" s="45" t="s">
        <v>395</v>
      </c>
      <c r="C229" s="45" t="s">
        <v>396</v>
      </c>
      <c r="D229" s="45" t="s">
        <v>397</v>
      </c>
      <c r="E229" s="46">
        <v>0</v>
      </c>
      <c r="F229" s="46">
        <v>0</v>
      </c>
      <c r="G229" s="46">
        <v>0</v>
      </c>
      <c r="H229" s="46">
        <v>0</v>
      </c>
      <c r="I229" s="46">
        <v>0</v>
      </c>
      <c r="J229" s="46">
        <v>150</v>
      </c>
      <c r="K229" s="47">
        <f t="shared" si="23"/>
        <v>150</v>
      </c>
      <c r="L229" s="46">
        <v>150</v>
      </c>
      <c r="M229" s="46">
        <v>150</v>
      </c>
      <c r="N229" s="46">
        <v>150</v>
      </c>
      <c r="O229" s="46">
        <v>150</v>
      </c>
      <c r="P229" s="46">
        <v>150</v>
      </c>
      <c r="Q229" s="46">
        <v>150</v>
      </c>
      <c r="R229" s="46">
        <v>150</v>
      </c>
      <c r="S229" s="46">
        <v>150</v>
      </c>
      <c r="T229" s="46">
        <v>150</v>
      </c>
      <c r="U229" s="46">
        <v>150</v>
      </c>
      <c r="V229" s="46">
        <v>150</v>
      </c>
      <c r="W229" s="46">
        <v>150</v>
      </c>
      <c r="X229" s="47">
        <f t="shared" si="24"/>
        <v>1800</v>
      </c>
      <c r="Y229" s="46">
        <v>150</v>
      </c>
      <c r="Z229" s="46">
        <v>150</v>
      </c>
      <c r="AA229" s="46">
        <v>150</v>
      </c>
      <c r="AB229" s="46">
        <v>150</v>
      </c>
      <c r="AC229" s="46">
        <v>150</v>
      </c>
      <c r="AD229" s="46">
        <v>150</v>
      </c>
      <c r="AE229" s="46">
        <v>150</v>
      </c>
      <c r="AF229" s="46">
        <v>150</v>
      </c>
      <c r="AG229" s="46">
        <v>150</v>
      </c>
      <c r="AH229" s="46">
        <v>150</v>
      </c>
      <c r="AI229" s="46">
        <v>150</v>
      </c>
      <c r="AJ229" s="46">
        <v>150</v>
      </c>
      <c r="AK229" s="47">
        <f t="shared" si="25"/>
        <v>1800</v>
      </c>
      <c r="AL229" s="46">
        <v>150</v>
      </c>
      <c r="AM229" s="46">
        <v>150</v>
      </c>
      <c r="AN229" s="46">
        <v>150</v>
      </c>
      <c r="AO229" s="46">
        <v>150</v>
      </c>
      <c r="AP229" s="46">
        <v>150</v>
      </c>
      <c r="AQ229" s="46">
        <v>150</v>
      </c>
      <c r="AR229" s="46">
        <v>150</v>
      </c>
      <c r="AS229" s="46">
        <v>150</v>
      </c>
      <c r="AT229" s="46">
        <v>150</v>
      </c>
      <c r="AU229" s="46">
        <v>150</v>
      </c>
      <c r="AV229" s="46">
        <v>150</v>
      </c>
      <c r="AW229" s="46">
        <v>150</v>
      </c>
      <c r="AX229" s="47">
        <f t="shared" si="26"/>
        <v>1800</v>
      </c>
      <c r="AY229" s="319">
        <f>SUMIF(Recibos!$D$4:$D$3010,Cobranza!$B229,Recibos!K$4:K$3010)</f>
        <v>150</v>
      </c>
      <c r="AZ229" s="319">
        <f>SUMIF(Recibos!$D$4:$D$3010,Cobranza!$B229,Recibos!L$4:L$3010)</f>
        <v>150</v>
      </c>
      <c r="BA229" s="319">
        <f>SUMIF(Recibos!$D$4:$D$3010,Cobranza!$B229,Recibos!M$4:M$3010)</f>
        <v>150</v>
      </c>
      <c r="BB229" s="319">
        <f>SUMIF(Recibos!$D$4:$D$3010,Cobranza!$B229,Recibos!N$4:N$3010)</f>
        <v>150</v>
      </c>
      <c r="BC229" s="319">
        <f>SUMIF(Recibos!$D$4:$D$3010,Cobranza!$B229,Recibos!O$4:O$3010)</f>
        <v>150</v>
      </c>
      <c r="BD229" s="319">
        <f>SUMIF(Recibos!$D$4:$D$3010,Cobranza!$B229,Recibos!P$4:P$3010)</f>
        <v>150</v>
      </c>
      <c r="BE229" s="319">
        <f>SUMIF(Recibos!$D$4:$D$3010,Cobranza!$B229,Recibos!Q$4:Q$3010)</f>
        <v>150</v>
      </c>
      <c r="BF229" s="319">
        <f>SUMIF(Recibos!$D$4:$D$3010,Cobranza!$B229,Recibos!R$4:R$3010)</f>
        <v>200</v>
      </c>
      <c r="BG229" s="319">
        <f>SUMIF(Recibos!$D$4:$D$3010,Cobranza!$B229,Recibos!S$4:S$3010)</f>
        <v>200</v>
      </c>
      <c r="BH229" s="319">
        <f>SUMIF(Recibos!$D$4:$D$3010,Cobranza!$B229,Recibos!T$4:T$3010)</f>
        <v>200</v>
      </c>
      <c r="BI229" s="319">
        <f>SUMIF(Recibos!$D$4:$D$3010,Cobranza!$B229,Recibos!U$4:U$3010)</f>
        <v>200</v>
      </c>
      <c r="BJ229" s="319">
        <f>SUMIF(Recibos!$D$4:$D$3010,Cobranza!$B229,Recibos!V$4:V$3010)</f>
        <v>200</v>
      </c>
      <c r="BK229" s="320">
        <f t="shared" si="27"/>
        <v>2050</v>
      </c>
      <c r="BL229" s="319">
        <f>SUMIF(Recibos!$D$4:$D$3010,Cobranza!$B229,Recibos!X$4:X$3010)</f>
        <v>0</v>
      </c>
      <c r="BM229" s="319">
        <f>SUMIF(Recibos!$D$4:$D$3010,Cobranza!$B229,Recibos!Y$4:Y$3010)</f>
        <v>0</v>
      </c>
      <c r="BN229" s="319">
        <f>SUMIF(Recibos!$D$4:$D$3010,Cobranza!$B229,Recibos!Z$4:Z$3010)</f>
        <v>0</v>
      </c>
      <c r="BO229" s="319">
        <f>SUMIF(Recibos!$D$4:$D$3010,Cobranza!$B229,Recibos!AA$4:AA$3010)</f>
        <v>0</v>
      </c>
      <c r="BP229" s="319">
        <f>SUMIF(Recibos!$D$4:$D$3010,Cobranza!$B229,Recibos!AB$4:AB$3010)</f>
        <v>0</v>
      </c>
      <c r="BQ229" s="319">
        <f>SUMIF(Recibos!$D$4:$D$3010,Cobranza!$B229,Recibos!AC$4:AC$3010)</f>
        <v>0</v>
      </c>
      <c r="BR229" s="319">
        <f>SUMIF(Recibos!$D$4:$D$3010,Cobranza!$B229,Recibos!AD$4:AD$3010)</f>
        <v>0</v>
      </c>
      <c r="BS229" s="319">
        <f>SUMIF(Recibos!$D$4:$D$3010,Cobranza!$B229,Recibos!AE$4:AE$3010)</f>
        <v>0</v>
      </c>
      <c r="BT229" s="319">
        <f>SUMIF(Recibos!$D$4:$D$3010,Cobranza!$B229,Recibos!AF$4:AF$3010)</f>
        <v>0</v>
      </c>
      <c r="BU229" s="319">
        <f>SUMIF(Recibos!$D$4:$D$3010,Cobranza!$B229,Recibos!AG$4:AG$3010)</f>
        <v>0</v>
      </c>
      <c r="BV229" s="319">
        <f>SUMIF(Recibos!$D$4:$D$3010,Cobranza!$B229,Recibos!AH$4:AH$3010)</f>
        <v>0</v>
      </c>
      <c r="BW229" s="319">
        <f>SUMIF(Recibos!$D$4:$D$3010,Cobranza!$B229,Recibos!AI$4:AI$3010)</f>
        <v>0</v>
      </c>
      <c r="BX229" s="320">
        <f t="shared" si="28"/>
        <v>0</v>
      </c>
    </row>
    <row r="230" spans="2:76" x14ac:dyDescent="0.2">
      <c r="B230" s="42" t="s">
        <v>899</v>
      </c>
      <c r="C230" s="42" t="s">
        <v>900</v>
      </c>
      <c r="D230" s="42" t="s">
        <v>901</v>
      </c>
      <c r="E230" s="43">
        <v>0</v>
      </c>
      <c r="F230" s="43">
        <v>0</v>
      </c>
      <c r="G230" s="43">
        <v>0</v>
      </c>
      <c r="H230" s="43">
        <v>0</v>
      </c>
      <c r="I230" s="43">
        <v>250</v>
      </c>
      <c r="J230" s="43">
        <v>250</v>
      </c>
      <c r="K230" s="44">
        <f t="shared" si="23"/>
        <v>500</v>
      </c>
      <c r="L230" s="43">
        <v>250</v>
      </c>
      <c r="M230" s="43">
        <v>250</v>
      </c>
      <c r="N230" s="43">
        <v>250</v>
      </c>
      <c r="O230" s="43">
        <v>250</v>
      </c>
      <c r="P230" s="43">
        <v>250</v>
      </c>
      <c r="Q230" s="43">
        <v>250</v>
      </c>
      <c r="R230" s="43">
        <v>250</v>
      </c>
      <c r="S230" s="43">
        <v>250</v>
      </c>
      <c r="T230" s="43">
        <v>250</v>
      </c>
      <c r="U230" s="43">
        <v>250</v>
      </c>
      <c r="V230" s="43">
        <v>250</v>
      </c>
      <c r="W230" s="43">
        <v>250</v>
      </c>
      <c r="X230" s="44">
        <f t="shared" si="24"/>
        <v>3000</v>
      </c>
      <c r="Y230" s="43">
        <v>250</v>
      </c>
      <c r="Z230" s="43">
        <v>250</v>
      </c>
      <c r="AA230" s="43">
        <v>250</v>
      </c>
      <c r="AB230" s="43">
        <v>250</v>
      </c>
      <c r="AC230" s="43">
        <v>250</v>
      </c>
      <c r="AD230" s="43">
        <v>250</v>
      </c>
      <c r="AE230" s="43">
        <v>250</v>
      </c>
      <c r="AF230" s="43">
        <v>250</v>
      </c>
      <c r="AG230" s="43">
        <v>250</v>
      </c>
      <c r="AH230" s="43">
        <v>250</v>
      </c>
      <c r="AI230" s="43">
        <v>250</v>
      </c>
      <c r="AJ230" s="43">
        <v>250</v>
      </c>
      <c r="AK230" s="44">
        <f t="shared" si="25"/>
        <v>3000</v>
      </c>
      <c r="AL230" s="43">
        <v>250</v>
      </c>
      <c r="AM230" s="43">
        <v>250</v>
      </c>
      <c r="AN230" s="43">
        <v>250</v>
      </c>
      <c r="AO230" s="43">
        <v>250</v>
      </c>
      <c r="AP230" s="43">
        <v>250</v>
      </c>
      <c r="AQ230" s="43">
        <v>250</v>
      </c>
      <c r="AR230" s="43">
        <v>250</v>
      </c>
      <c r="AS230" s="43">
        <v>250</v>
      </c>
      <c r="AT230" s="43">
        <v>250</v>
      </c>
      <c r="AU230" s="43">
        <v>250</v>
      </c>
      <c r="AV230" s="43">
        <v>250</v>
      </c>
      <c r="AW230" s="43">
        <v>250</v>
      </c>
      <c r="AX230" s="44">
        <f t="shared" si="26"/>
        <v>3000</v>
      </c>
      <c r="AY230" s="317">
        <f>SUMIF(Recibos!$D$4:$D$3010,Cobranza!$B230,Recibos!K$4:K$3010)</f>
        <v>0</v>
      </c>
      <c r="AZ230" s="317">
        <f>SUMIF(Recibos!$D$4:$D$3010,Cobranza!$B230,Recibos!L$4:L$3010)</f>
        <v>0</v>
      </c>
      <c r="BA230" s="317">
        <f>SUMIF(Recibos!$D$4:$D$3010,Cobranza!$B230,Recibos!M$4:M$3010)</f>
        <v>250</v>
      </c>
      <c r="BB230" s="317">
        <f>SUMIF(Recibos!$D$4:$D$3010,Cobranza!$B230,Recibos!N$4:N$3010)</f>
        <v>250</v>
      </c>
      <c r="BC230" s="317">
        <f>SUMIF(Recibos!$D$4:$D$3010,Cobranza!$B230,Recibos!O$4:O$3010)</f>
        <v>250</v>
      </c>
      <c r="BD230" s="317">
        <f>SUMIF(Recibos!$D$4:$D$3010,Cobranza!$B230,Recibos!P$4:P$3010)</f>
        <v>250</v>
      </c>
      <c r="BE230" s="317">
        <f>SUMIF(Recibos!$D$4:$D$3010,Cobranza!$B230,Recibos!Q$4:Q$3010)</f>
        <v>400</v>
      </c>
      <c r="BF230" s="317">
        <f>SUMIF(Recibos!$D$4:$D$3010,Cobranza!$B230,Recibos!R$4:R$3010)</f>
        <v>400</v>
      </c>
      <c r="BG230" s="317">
        <f>SUMIF(Recibos!$D$4:$D$3010,Cobranza!$B230,Recibos!S$4:S$3010)</f>
        <v>400</v>
      </c>
      <c r="BH230" s="317">
        <f>SUMIF(Recibos!$D$4:$D$3010,Cobranza!$B230,Recibos!T$4:T$3010)</f>
        <v>400</v>
      </c>
      <c r="BI230" s="317">
        <f>SUMIF(Recibos!$D$4:$D$3010,Cobranza!$B230,Recibos!U$4:U$3010)</f>
        <v>400</v>
      </c>
      <c r="BJ230" s="317">
        <f>SUMIF(Recibos!$D$4:$D$3010,Cobranza!$B230,Recibos!V$4:V$3010)</f>
        <v>400</v>
      </c>
      <c r="BK230" s="318">
        <f t="shared" si="27"/>
        <v>3400</v>
      </c>
      <c r="BL230" s="317">
        <f>SUMIF(Recibos!$D$4:$D$3010,Cobranza!$B230,Recibos!X$4:X$3010)</f>
        <v>400</v>
      </c>
      <c r="BM230" s="317">
        <f>SUMIF(Recibos!$D$4:$D$3010,Cobranza!$B230,Recibos!Y$4:Y$3010)</f>
        <v>0</v>
      </c>
      <c r="BN230" s="317">
        <f>SUMIF(Recibos!$D$4:$D$3010,Cobranza!$B230,Recibos!Z$4:Z$3010)</f>
        <v>0</v>
      </c>
      <c r="BO230" s="317">
        <f>SUMIF(Recibos!$D$4:$D$3010,Cobranza!$B230,Recibos!AA$4:AA$3010)</f>
        <v>0</v>
      </c>
      <c r="BP230" s="317">
        <f>SUMIF(Recibos!$D$4:$D$3010,Cobranza!$B230,Recibos!AB$4:AB$3010)</f>
        <v>0</v>
      </c>
      <c r="BQ230" s="317">
        <f>SUMIF(Recibos!$D$4:$D$3010,Cobranza!$B230,Recibos!AC$4:AC$3010)</f>
        <v>0</v>
      </c>
      <c r="BR230" s="317">
        <f>SUMIF(Recibos!$D$4:$D$3010,Cobranza!$B230,Recibos!AD$4:AD$3010)</f>
        <v>0</v>
      </c>
      <c r="BS230" s="317">
        <f>SUMIF(Recibos!$D$4:$D$3010,Cobranza!$B230,Recibos!AE$4:AE$3010)</f>
        <v>0</v>
      </c>
      <c r="BT230" s="317">
        <f>SUMIF(Recibos!$D$4:$D$3010,Cobranza!$B230,Recibos!AF$4:AF$3010)</f>
        <v>0</v>
      </c>
      <c r="BU230" s="317">
        <f>SUMIF(Recibos!$D$4:$D$3010,Cobranza!$B230,Recibos!AG$4:AG$3010)</f>
        <v>0</v>
      </c>
      <c r="BV230" s="317">
        <f>SUMIF(Recibos!$D$4:$D$3010,Cobranza!$B230,Recibos!AH$4:AH$3010)</f>
        <v>0</v>
      </c>
      <c r="BW230" s="317">
        <f>SUMIF(Recibos!$D$4:$D$3010,Cobranza!$B230,Recibos!AI$4:AI$3010)</f>
        <v>0</v>
      </c>
      <c r="BX230" s="318">
        <f t="shared" si="28"/>
        <v>400</v>
      </c>
    </row>
    <row r="231" spans="2:76" x14ac:dyDescent="0.2">
      <c r="B231" s="45" t="s">
        <v>1036</v>
      </c>
      <c r="C231" s="45" t="s">
        <v>1037</v>
      </c>
      <c r="D231" s="45" t="s">
        <v>1038</v>
      </c>
      <c r="E231" s="46">
        <v>0</v>
      </c>
      <c r="F231" s="46">
        <v>0</v>
      </c>
      <c r="G231" s="46">
        <v>0</v>
      </c>
      <c r="H231" s="46">
        <v>0</v>
      </c>
      <c r="I231" s="46">
        <v>0</v>
      </c>
      <c r="J231" s="46">
        <v>0</v>
      </c>
      <c r="K231" s="47">
        <f t="shared" si="23"/>
        <v>0</v>
      </c>
      <c r="L231" s="46">
        <v>0</v>
      </c>
      <c r="M231" s="46">
        <v>0</v>
      </c>
      <c r="N231" s="46">
        <v>0</v>
      </c>
      <c r="O231" s="46">
        <v>0</v>
      </c>
      <c r="P231" s="46">
        <v>0</v>
      </c>
      <c r="Q231" s="46">
        <v>0</v>
      </c>
      <c r="R231" s="46">
        <v>0</v>
      </c>
      <c r="S231" s="46">
        <v>0</v>
      </c>
      <c r="T231" s="46">
        <v>0</v>
      </c>
      <c r="U231" s="46">
        <v>0</v>
      </c>
      <c r="V231" s="46">
        <v>0</v>
      </c>
      <c r="W231" s="46">
        <v>0</v>
      </c>
      <c r="X231" s="47">
        <f t="shared" si="24"/>
        <v>0</v>
      </c>
      <c r="Y231" s="46">
        <v>0</v>
      </c>
      <c r="Z231" s="46">
        <v>0</v>
      </c>
      <c r="AA231" s="46">
        <v>0</v>
      </c>
      <c r="AB231" s="46">
        <v>0</v>
      </c>
      <c r="AC231" s="46">
        <v>0</v>
      </c>
      <c r="AD231" s="46">
        <v>0</v>
      </c>
      <c r="AE231" s="46">
        <v>0</v>
      </c>
      <c r="AF231" s="46">
        <v>0</v>
      </c>
      <c r="AG231" s="46">
        <v>0</v>
      </c>
      <c r="AH231" s="46">
        <v>0</v>
      </c>
      <c r="AI231" s="46">
        <v>0</v>
      </c>
      <c r="AJ231" s="46">
        <v>0</v>
      </c>
      <c r="AK231" s="47">
        <f t="shared" si="25"/>
        <v>0</v>
      </c>
      <c r="AL231" s="46">
        <v>0</v>
      </c>
      <c r="AM231" s="46">
        <v>0</v>
      </c>
      <c r="AN231" s="46">
        <v>0</v>
      </c>
      <c r="AO231" s="46">
        <v>0</v>
      </c>
      <c r="AP231" s="46">
        <v>0</v>
      </c>
      <c r="AQ231" s="46">
        <v>0</v>
      </c>
      <c r="AR231" s="46">
        <v>0</v>
      </c>
      <c r="AS231" s="46">
        <v>0</v>
      </c>
      <c r="AT231" s="46">
        <v>0</v>
      </c>
      <c r="AU231" s="46">
        <v>0</v>
      </c>
      <c r="AV231" s="46">
        <v>0</v>
      </c>
      <c r="AW231" s="46">
        <v>0</v>
      </c>
      <c r="AX231" s="47">
        <f t="shared" si="26"/>
        <v>0</v>
      </c>
      <c r="AY231" s="319">
        <f>SUMIF(Recibos!$D$4:$D$3010,Cobranza!$B231,Recibos!K$4:K$3010)</f>
        <v>0</v>
      </c>
      <c r="AZ231" s="319">
        <f>SUMIF(Recibos!$D$4:$D$3010,Cobranza!$B231,Recibos!L$4:L$3010)</f>
        <v>0</v>
      </c>
      <c r="BA231" s="319">
        <f>SUMIF(Recibos!$D$4:$D$3010,Cobranza!$B231,Recibos!M$4:M$3010)</f>
        <v>0</v>
      </c>
      <c r="BB231" s="319">
        <f>SUMIF(Recibos!$D$4:$D$3010,Cobranza!$B231,Recibos!N$4:N$3010)</f>
        <v>0</v>
      </c>
      <c r="BC231" s="319">
        <f>SUMIF(Recibos!$D$4:$D$3010,Cobranza!$B231,Recibos!O$4:O$3010)</f>
        <v>0</v>
      </c>
      <c r="BD231" s="319">
        <f>SUMIF(Recibos!$D$4:$D$3010,Cobranza!$B231,Recibos!P$4:P$3010)</f>
        <v>0</v>
      </c>
      <c r="BE231" s="319">
        <f>SUMIF(Recibos!$D$4:$D$3010,Cobranza!$B231,Recibos!Q$4:Q$3010)</f>
        <v>400</v>
      </c>
      <c r="BF231" s="319">
        <f>SUMIF(Recibos!$D$4:$D$3010,Cobranza!$B231,Recibos!R$4:R$3010)</f>
        <v>400</v>
      </c>
      <c r="BG231" s="319">
        <f>SUMIF(Recibos!$D$4:$D$3010,Cobranza!$B231,Recibos!S$4:S$3010)</f>
        <v>400</v>
      </c>
      <c r="BH231" s="319">
        <f>SUMIF(Recibos!$D$4:$D$3010,Cobranza!$B231,Recibos!T$4:T$3010)</f>
        <v>400</v>
      </c>
      <c r="BI231" s="319">
        <f>SUMIF(Recibos!$D$4:$D$3010,Cobranza!$B231,Recibos!U$4:U$3010)</f>
        <v>400</v>
      </c>
      <c r="BJ231" s="319">
        <f>SUMIF(Recibos!$D$4:$D$3010,Cobranza!$B231,Recibos!V$4:V$3010)</f>
        <v>400</v>
      </c>
      <c r="BK231" s="320">
        <f t="shared" si="27"/>
        <v>2400</v>
      </c>
      <c r="BL231" s="319">
        <f>SUMIF(Recibos!$D$4:$D$3010,Cobranza!$B231,Recibos!X$4:X$3010)</f>
        <v>0</v>
      </c>
      <c r="BM231" s="319">
        <f>SUMIF(Recibos!$D$4:$D$3010,Cobranza!$B231,Recibos!Y$4:Y$3010)</f>
        <v>0</v>
      </c>
      <c r="BN231" s="319">
        <f>SUMIF(Recibos!$D$4:$D$3010,Cobranza!$B231,Recibos!Z$4:Z$3010)</f>
        <v>0</v>
      </c>
      <c r="BO231" s="319">
        <f>SUMIF(Recibos!$D$4:$D$3010,Cobranza!$B231,Recibos!AA$4:AA$3010)</f>
        <v>0</v>
      </c>
      <c r="BP231" s="319">
        <f>SUMIF(Recibos!$D$4:$D$3010,Cobranza!$B231,Recibos!AB$4:AB$3010)</f>
        <v>0</v>
      </c>
      <c r="BQ231" s="319">
        <f>SUMIF(Recibos!$D$4:$D$3010,Cobranza!$B231,Recibos!AC$4:AC$3010)</f>
        <v>0</v>
      </c>
      <c r="BR231" s="319">
        <f>SUMIF(Recibos!$D$4:$D$3010,Cobranza!$B231,Recibos!AD$4:AD$3010)</f>
        <v>0</v>
      </c>
      <c r="BS231" s="319">
        <f>SUMIF(Recibos!$D$4:$D$3010,Cobranza!$B231,Recibos!AE$4:AE$3010)</f>
        <v>0</v>
      </c>
      <c r="BT231" s="319">
        <f>SUMIF(Recibos!$D$4:$D$3010,Cobranza!$B231,Recibos!AF$4:AF$3010)</f>
        <v>0</v>
      </c>
      <c r="BU231" s="319">
        <f>SUMIF(Recibos!$D$4:$D$3010,Cobranza!$B231,Recibos!AG$4:AG$3010)</f>
        <v>0</v>
      </c>
      <c r="BV231" s="319">
        <f>SUMIF(Recibos!$D$4:$D$3010,Cobranza!$B231,Recibos!AH$4:AH$3010)</f>
        <v>0</v>
      </c>
      <c r="BW231" s="319">
        <f>SUMIF(Recibos!$D$4:$D$3010,Cobranza!$B231,Recibos!AI$4:AI$3010)</f>
        <v>0</v>
      </c>
      <c r="BX231" s="320">
        <f t="shared" si="28"/>
        <v>0</v>
      </c>
    </row>
    <row r="232" spans="2:76" x14ac:dyDescent="0.2">
      <c r="B232" s="42" t="s">
        <v>443</v>
      </c>
      <c r="C232" s="42" t="s">
        <v>444</v>
      </c>
      <c r="D232" s="42" t="s">
        <v>445</v>
      </c>
      <c r="E232" s="43">
        <v>0</v>
      </c>
      <c r="F232" s="43">
        <v>0</v>
      </c>
      <c r="G232" s="43">
        <v>0</v>
      </c>
      <c r="H232" s="43">
        <v>0</v>
      </c>
      <c r="I232" s="43">
        <v>0</v>
      </c>
      <c r="J232" s="43">
        <v>0</v>
      </c>
      <c r="K232" s="44">
        <f t="shared" si="23"/>
        <v>0</v>
      </c>
      <c r="L232" s="43">
        <v>0</v>
      </c>
      <c r="M232" s="43">
        <v>0</v>
      </c>
      <c r="N232" s="43">
        <v>0</v>
      </c>
      <c r="O232" s="43">
        <v>0</v>
      </c>
      <c r="P232" s="43">
        <v>0</v>
      </c>
      <c r="Q232" s="43">
        <v>0</v>
      </c>
      <c r="R232" s="43">
        <v>0</v>
      </c>
      <c r="S232" s="43">
        <v>0</v>
      </c>
      <c r="T232" s="43">
        <v>0</v>
      </c>
      <c r="U232" s="43">
        <v>0</v>
      </c>
      <c r="V232" s="43">
        <v>0</v>
      </c>
      <c r="W232" s="43">
        <v>0</v>
      </c>
      <c r="X232" s="44">
        <f t="shared" si="24"/>
        <v>0</v>
      </c>
      <c r="Y232" s="43">
        <v>400</v>
      </c>
      <c r="Z232" s="43">
        <v>0</v>
      </c>
      <c r="AA232" s="43">
        <v>0</v>
      </c>
      <c r="AB232" s="43">
        <v>0</v>
      </c>
      <c r="AC232" s="43">
        <v>0</v>
      </c>
      <c r="AD232" s="43">
        <v>0</v>
      </c>
      <c r="AE232" s="43">
        <v>0</v>
      </c>
      <c r="AF232" s="43">
        <v>0</v>
      </c>
      <c r="AG232" s="43">
        <v>0</v>
      </c>
      <c r="AH232" s="43">
        <v>0</v>
      </c>
      <c r="AI232" s="43">
        <v>0</v>
      </c>
      <c r="AJ232" s="43">
        <v>0</v>
      </c>
      <c r="AK232" s="44">
        <f t="shared" si="25"/>
        <v>400</v>
      </c>
      <c r="AL232" s="43">
        <v>400</v>
      </c>
      <c r="AM232" s="43">
        <v>400</v>
      </c>
      <c r="AN232" s="43">
        <v>400</v>
      </c>
      <c r="AO232" s="43">
        <v>400</v>
      </c>
      <c r="AP232" s="43">
        <v>400</v>
      </c>
      <c r="AQ232" s="43">
        <v>0</v>
      </c>
      <c r="AR232" s="43">
        <v>0</v>
      </c>
      <c r="AS232" s="43">
        <v>0</v>
      </c>
      <c r="AT232" s="43">
        <v>400</v>
      </c>
      <c r="AU232" s="43">
        <v>0</v>
      </c>
      <c r="AV232" s="43">
        <v>0</v>
      </c>
      <c r="AW232" s="43">
        <v>0</v>
      </c>
      <c r="AX232" s="44">
        <f t="shared" si="26"/>
        <v>2400</v>
      </c>
      <c r="AY232" s="317">
        <f>SUMIF(Recibos!$D$4:$D$3010,Cobranza!$B232,Recibos!K$4:K$3010)</f>
        <v>400</v>
      </c>
      <c r="AZ232" s="317">
        <f>SUMIF(Recibos!$D$4:$D$3010,Cobranza!$B232,Recibos!L$4:L$3010)</f>
        <v>400</v>
      </c>
      <c r="BA232" s="317">
        <f>SUMIF(Recibos!$D$4:$D$3010,Cobranza!$B232,Recibos!M$4:M$3010)</f>
        <v>400</v>
      </c>
      <c r="BB232" s="317">
        <f>SUMIF(Recibos!$D$4:$D$3010,Cobranza!$B232,Recibos!N$4:N$3010)</f>
        <v>400</v>
      </c>
      <c r="BC232" s="317">
        <f>SUMIF(Recibos!$D$4:$D$3010,Cobranza!$B232,Recibos!O$4:O$3010)</f>
        <v>400</v>
      </c>
      <c r="BD232" s="317">
        <f>SUMIF(Recibos!$D$4:$D$3010,Cobranza!$B232,Recibos!P$4:P$3010)</f>
        <v>400</v>
      </c>
      <c r="BE232" s="317">
        <f>SUMIF(Recibos!$D$4:$D$3010,Cobranza!$B232,Recibos!Q$4:Q$3010)</f>
        <v>400</v>
      </c>
      <c r="BF232" s="317">
        <f>SUMIF(Recibos!$D$4:$D$3010,Cobranza!$B232,Recibos!R$4:R$3010)</f>
        <v>400</v>
      </c>
      <c r="BG232" s="317">
        <f>SUMIF(Recibos!$D$4:$D$3010,Cobranza!$B232,Recibos!S$4:S$3010)</f>
        <v>400</v>
      </c>
      <c r="BH232" s="317">
        <f>SUMIF(Recibos!$D$4:$D$3010,Cobranza!$B232,Recibos!T$4:T$3010)</f>
        <v>400</v>
      </c>
      <c r="BI232" s="317">
        <f>SUMIF(Recibos!$D$4:$D$3010,Cobranza!$B232,Recibos!U$4:U$3010)</f>
        <v>400</v>
      </c>
      <c r="BJ232" s="317">
        <f>SUMIF(Recibos!$D$4:$D$3010,Cobranza!$B232,Recibos!V$4:V$3010)</f>
        <v>0</v>
      </c>
      <c r="BK232" s="318">
        <f t="shared" si="27"/>
        <v>4400</v>
      </c>
      <c r="BL232" s="317">
        <f>SUMIF(Recibos!$D$4:$D$3010,Cobranza!$B232,Recibos!X$4:X$3010)</f>
        <v>0</v>
      </c>
      <c r="BM232" s="317">
        <f>SUMIF(Recibos!$D$4:$D$3010,Cobranza!$B232,Recibos!Y$4:Y$3010)</f>
        <v>0</v>
      </c>
      <c r="BN232" s="317">
        <f>SUMIF(Recibos!$D$4:$D$3010,Cobranza!$B232,Recibos!Z$4:Z$3010)</f>
        <v>0</v>
      </c>
      <c r="BO232" s="317">
        <f>SUMIF(Recibos!$D$4:$D$3010,Cobranza!$B232,Recibos!AA$4:AA$3010)</f>
        <v>0</v>
      </c>
      <c r="BP232" s="317">
        <f>SUMIF(Recibos!$D$4:$D$3010,Cobranza!$B232,Recibos!AB$4:AB$3010)</f>
        <v>0</v>
      </c>
      <c r="BQ232" s="317">
        <f>SUMIF(Recibos!$D$4:$D$3010,Cobranza!$B232,Recibos!AC$4:AC$3010)</f>
        <v>0</v>
      </c>
      <c r="BR232" s="317">
        <f>SUMIF(Recibos!$D$4:$D$3010,Cobranza!$B232,Recibos!AD$4:AD$3010)</f>
        <v>0</v>
      </c>
      <c r="BS232" s="317">
        <f>SUMIF(Recibos!$D$4:$D$3010,Cobranza!$B232,Recibos!AE$4:AE$3010)</f>
        <v>0</v>
      </c>
      <c r="BT232" s="317">
        <f>SUMIF(Recibos!$D$4:$D$3010,Cobranza!$B232,Recibos!AF$4:AF$3010)</f>
        <v>0</v>
      </c>
      <c r="BU232" s="317">
        <f>SUMIF(Recibos!$D$4:$D$3010,Cobranza!$B232,Recibos!AG$4:AG$3010)</f>
        <v>0</v>
      </c>
      <c r="BV232" s="317">
        <f>SUMIF(Recibos!$D$4:$D$3010,Cobranza!$B232,Recibos!AH$4:AH$3010)</f>
        <v>0</v>
      </c>
      <c r="BW232" s="317">
        <f>SUMIF(Recibos!$D$4:$D$3010,Cobranza!$B232,Recibos!AI$4:AI$3010)</f>
        <v>0</v>
      </c>
      <c r="BX232" s="318">
        <f t="shared" si="28"/>
        <v>0</v>
      </c>
    </row>
    <row r="233" spans="2:76" x14ac:dyDescent="0.2">
      <c r="B233" s="45" t="s">
        <v>843</v>
      </c>
      <c r="C233" s="45" t="s">
        <v>844</v>
      </c>
      <c r="D233" s="45" t="s">
        <v>845</v>
      </c>
      <c r="E233" s="46">
        <v>0</v>
      </c>
      <c r="F233" s="46">
        <v>0</v>
      </c>
      <c r="G233" s="46">
        <v>0</v>
      </c>
      <c r="H233" s="46">
        <v>0</v>
      </c>
      <c r="I233" s="46">
        <v>0</v>
      </c>
      <c r="J233" s="46">
        <v>300</v>
      </c>
      <c r="K233" s="47">
        <f t="shared" si="23"/>
        <v>300</v>
      </c>
      <c r="L233" s="46">
        <v>300</v>
      </c>
      <c r="M233" s="46">
        <v>300</v>
      </c>
      <c r="N233" s="46">
        <v>300</v>
      </c>
      <c r="O233" s="46">
        <v>300</v>
      </c>
      <c r="P233" s="46">
        <v>300</v>
      </c>
      <c r="Q233" s="46">
        <v>300</v>
      </c>
      <c r="R233" s="46">
        <v>0</v>
      </c>
      <c r="S233" s="46">
        <v>0</v>
      </c>
      <c r="T233" s="46">
        <v>0</v>
      </c>
      <c r="U233" s="46">
        <v>0</v>
      </c>
      <c r="V233" s="46">
        <v>0</v>
      </c>
      <c r="W233" s="46">
        <v>0</v>
      </c>
      <c r="X233" s="47">
        <f t="shared" si="24"/>
        <v>1800</v>
      </c>
      <c r="Y233" s="46">
        <v>400</v>
      </c>
      <c r="Z233" s="46">
        <v>400</v>
      </c>
      <c r="AA233" s="46">
        <v>400</v>
      </c>
      <c r="AB233" s="46">
        <v>0</v>
      </c>
      <c r="AC233" s="46">
        <v>0</v>
      </c>
      <c r="AD233" s="46">
        <v>0</v>
      </c>
      <c r="AE233" s="46">
        <v>0</v>
      </c>
      <c r="AF233" s="46">
        <v>0</v>
      </c>
      <c r="AG233" s="46">
        <v>0</v>
      </c>
      <c r="AH233" s="46">
        <v>0</v>
      </c>
      <c r="AI233" s="46">
        <v>0</v>
      </c>
      <c r="AJ233" s="46">
        <v>0</v>
      </c>
      <c r="AK233" s="47">
        <f t="shared" si="25"/>
        <v>1200</v>
      </c>
      <c r="AL233" s="46">
        <v>200</v>
      </c>
      <c r="AM233" s="46">
        <v>200</v>
      </c>
      <c r="AN233" s="46">
        <v>200</v>
      </c>
      <c r="AO233" s="46">
        <v>200</v>
      </c>
      <c r="AP233" s="46">
        <v>200</v>
      </c>
      <c r="AQ233" s="46">
        <v>200</v>
      </c>
      <c r="AR233" s="46">
        <v>200</v>
      </c>
      <c r="AS233" s="46">
        <v>200</v>
      </c>
      <c r="AT233" s="46">
        <v>200</v>
      </c>
      <c r="AU233" s="46">
        <v>200</v>
      </c>
      <c r="AV233" s="46">
        <v>200</v>
      </c>
      <c r="AW233" s="46">
        <v>200</v>
      </c>
      <c r="AX233" s="47">
        <f t="shared" si="26"/>
        <v>2400</v>
      </c>
      <c r="AY233" s="319">
        <f>SUMIF(Recibos!$D$4:$D$3010,Cobranza!$B233,Recibos!K$4:K$3010)</f>
        <v>200</v>
      </c>
      <c r="AZ233" s="319">
        <f>SUMIF(Recibos!$D$4:$D$3010,Cobranza!$B233,Recibos!L$4:L$3010)</f>
        <v>200</v>
      </c>
      <c r="BA233" s="319">
        <f>SUMIF(Recibos!$D$4:$D$3010,Cobranza!$B233,Recibos!M$4:M$3010)</f>
        <v>200</v>
      </c>
      <c r="BB233" s="319">
        <f>SUMIF(Recibos!$D$4:$D$3010,Cobranza!$B233,Recibos!N$4:N$3010)</f>
        <v>200</v>
      </c>
      <c r="BC233" s="319">
        <f>SUMIF(Recibos!$D$4:$D$3010,Cobranza!$B233,Recibos!O$4:O$3010)</f>
        <v>200</v>
      </c>
      <c r="BD233" s="319">
        <f>SUMIF(Recibos!$D$4:$D$3010,Cobranza!$B233,Recibos!P$4:P$3010)</f>
        <v>200</v>
      </c>
      <c r="BE233" s="319">
        <f>SUMIF(Recibos!$D$4:$D$3010,Cobranza!$B233,Recibos!Q$4:Q$3010)</f>
        <v>200</v>
      </c>
      <c r="BF233" s="319">
        <f>SUMIF(Recibos!$D$4:$D$3010,Cobranza!$B233,Recibos!R$4:R$3010)</f>
        <v>0</v>
      </c>
      <c r="BG233" s="319">
        <f>SUMIF(Recibos!$D$4:$D$3010,Cobranza!$B233,Recibos!S$4:S$3010)</f>
        <v>0</v>
      </c>
      <c r="BH233" s="319">
        <f>SUMIF(Recibos!$D$4:$D$3010,Cobranza!$B233,Recibos!T$4:T$3010)</f>
        <v>0</v>
      </c>
      <c r="BI233" s="319">
        <f>SUMIF(Recibos!$D$4:$D$3010,Cobranza!$B233,Recibos!U$4:U$3010)</f>
        <v>0</v>
      </c>
      <c r="BJ233" s="319">
        <f>SUMIF(Recibos!$D$4:$D$3010,Cobranza!$B233,Recibos!V$4:V$3010)</f>
        <v>0</v>
      </c>
      <c r="BK233" s="320">
        <f t="shared" si="27"/>
        <v>1400</v>
      </c>
      <c r="BL233" s="319">
        <f>SUMIF(Recibos!$D$4:$D$3010,Cobranza!$B233,Recibos!X$4:X$3010)</f>
        <v>0</v>
      </c>
      <c r="BM233" s="319">
        <f>SUMIF(Recibos!$D$4:$D$3010,Cobranza!$B233,Recibos!Y$4:Y$3010)</f>
        <v>0</v>
      </c>
      <c r="BN233" s="319">
        <f>SUMIF(Recibos!$D$4:$D$3010,Cobranza!$B233,Recibos!Z$4:Z$3010)</f>
        <v>0</v>
      </c>
      <c r="BO233" s="319">
        <f>SUMIF(Recibos!$D$4:$D$3010,Cobranza!$B233,Recibos!AA$4:AA$3010)</f>
        <v>0</v>
      </c>
      <c r="BP233" s="319">
        <f>SUMIF(Recibos!$D$4:$D$3010,Cobranza!$B233,Recibos!AB$4:AB$3010)</f>
        <v>0</v>
      </c>
      <c r="BQ233" s="319">
        <f>SUMIF(Recibos!$D$4:$D$3010,Cobranza!$B233,Recibos!AC$4:AC$3010)</f>
        <v>0</v>
      </c>
      <c r="BR233" s="319">
        <f>SUMIF(Recibos!$D$4:$D$3010,Cobranza!$B233,Recibos!AD$4:AD$3010)</f>
        <v>0</v>
      </c>
      <c r="BS233" s="319">
        <f>SUMIF(Recibos!$D$4:$D$3010,Cobranza!$B233,Recibos!AE$4:AE$3010)</f>
        <v>0</v>
      </c>
      <c r="BT233" s="319">
        <f>SUMIF(Recibos!$D$4:$D$3010,Cobranza!$B233,Recibos!AF$4:AF$3010)</f>
        <v>0</v>
      </c>
      <c r="BU233" s="319">
        <f>SUMIF(Recibos!$D$4:$D$3010,Cobranza!$B233,Recibos!AG$4:AG$3010)</f>
        <v>0</v>
      </c>
      <c r="BV233" s="319">
        <f>SUMIF(Recibos!$D$4:$D$3010,Cobranza!$B233,Recibos!AH$4:AH$3010)</f>
        <v>0</v>
      </c>
      <c r="BW233" s="319">
        <f>SUMIF(Recibos!$D$4:$D$3010,Cobranza!$B233,Recibos!AI$4:AI$3010)</f>
        <v>0</v>
      </c>
      <c r="BX233" s="320">
        <f t="shared" si="28"/>
        <v>0</v>
      </c>
    </row>
    <row r="234" spans="2:76" x14ac:dyDescent="0.2">
      <c r="B234" s="42" t="s">
        <v>1383</v>
      </c>
      <c r="C234" s="42" t="s">
        <v>1384</v>
      </c>
      <c r="D234" s="42" t="s">
        <v>827</v>
      </c>
      <c r="E234" s="43">
        <v>0</v>
      </c>
      <c r="F234" s="43">
        <v>0</v>
      </c>
      <c r="G234" s="43">
        <v>0</v>
      </c>
      <c r="H234" s="43">
        <v>0</v>
      </c>
      <c r="I234" s="43">
        <v>0</v>
      </c>
      <c r="J234" s="43">
        <v>0</v>
      </c>
      <c r="K234" s="44">
        <f t="shared" si="23"/>
        <v>0</v>
      </c>
      <c r="L234" s="43">
        <v>0</v>
      </c>
      <c r="M234" s="43">
        <v>0</v>
      </c>
      <c r="N234" s="43">
        <v>0</v>
      </c>
      <c r="O234" s="43">
        <v>0</v>
      </c>
      <c r="P234" s="43">
        <v>0</v>
      </c>
      <c r="Q234" s="43">
        <v>0</v>
      </c>
      <c r="R234" s="43">
        <v>0</v>
      </c>
      <c r="S234" s="43">
        <v>0</v>
      </c>
      <c r="T234" s="43">
        <v>0</v>
      </c>
      <c r="U234" s="43">
        <v>0</v>
      </c>
      <c r="V234" s="43">
        <v>0</v>
      </c>
      <c r="W234" s="43">
        <v>0</v>
      </c>
      <c r="X234" s="44">
        <f t="shared" si="24"/>
        <v>0</v>
      </c>
      <c r="Y234" s="43">
        <v>0</v>
      </c>
      <c r="Z234" s="43">
        <v>0</v>
      </c>
      <c r="AA234" s="43">
        <v>0</v>
      </c>
      <c r="AB234" s="43">
        <v>0</v>
      </c>
      <c r="AC234" s="43">
        <v>0</v>
      </c>
      <c r="AD234" s="43">
        <v>0</v>
      </c>
      <c r="AE234" s="43">
        <v>0</v>
      </c>
      <c r="AF234" s="43">
        <v>0</v>
      </c>
      <c r="AG234" s="43">
        <v>0</v>
      </c>
      <c r="AH234" s="43">
        <v>0</v>
      </c>
      <c r="AI234" s="43">
        <v>0</v>
      </c>
      <c r="AJ234" s="43">
        <v>0</v>
      </c>
      <c r="AK234" s="44">
        <f t="shared" si="25"/>
        <v>0</v>
      </c>
      <c r="AL234" s="43">
        <v>0</v>
      </c>
      <c r="AM234" s="43">
        <v>0</v>
      </c>
      <c r="AN234" s="43">
        <v>0</v>
      </c>
      <c r="AO234" s="43">
        <v>0</v>
      </c>
      <c r="AP234" s="43">
        <v>0</v>
      </c>
      <c r="AQ234" s="43">
        <v>0</v>
      </c>
      <c r="AR234" s="43">
        <v>0</v>
      </c>
      <c r="AS234" s="43">
        <v>0</v>
      </c>
      <c r="AT234" s="43">
        <v>0</v>
      </c>
      <c r="AU234" s="43">
        <v>0</v>
      </c>
      <c r="AV234" s="43">
        <v>0</v>
      </c>
      <c r="AW234" s="43">
        <v>0</v>
      </c>
      <c r="AX234" s="44">
        <f t="shared" si="26"/>
        <v>0</v>
      </c>
      <c r="AY234" s="317">
        <f>SUMIF(Recibos!$D$4:$D$3010,Cobranza!$B234,Recibos!K$4:K$3010)</f>
        <v>0</v>
      </c>
      <c r="AZ234" s="317">
        <f>SUMIF(Recibos!$D$4:$D$3010,Cobranza!$B234,Recibos!L$4:L$3010)</f>
        <v>0</v>
      </c>
      <c r="BA234" s="317">
        <f>SUMIF(Recibos!$D$4:$D$3010,Cobranza!$B234,Recibos!M$4:M$3010)</f>
        <v>0</v>
      </c>
      <c r="BB234" s="317">
        <f>SUMIF(Recibos!$D$4:$D$3010,Cobranza!$B234,Recibos!N$4:N$3010)</f>
        <v>0</v>
      </c>
      <c r="BC234" s="317">
        <f>SUMIF(Recibos!$D$4:$D$3010,Cobranza!$B234,Recibos!O$4:O$3010)</f>
        <v>0</v>
      </c>
      <c r="BD234" s="317">
        <f>SUMIF(Recibos!$D$4:$D$3010,Cobranza!$B234,Recibos!P$4:P$3010)</f>
        <v>0</v>
      </c>
      <c r="BE234" s="317">
        <f>SUMIF(Recibos!$D$4:$D$3010,Cobranza!$B234,Recibos!Q$4:Q$3010)</f>
        <v>0</v>
      </c>
      <c r="BF234" s="317">
        <f>SUMIF(Recibos!$D$4:$D$3010,Cobranza!$B234,Recibos!R$4:R$3010)</f>
        <v>0</v>
      </c>
      <c r="BG234" s="317">
        <f>SUMIF(Recibos!$D$4:$D$3010,Cobranza!$B234,Recibos!S$4:S$3010)</f>
        <v>0</v>
      </c>
      <c r="BH234" s="317">
        <f>SUMIF(Recibos!$D$4:$D$3010,Cobranza!$B234,Recibos!T$4:T$3010)</f>
        <v>0</v>
      </c>
      <c r="BI234" s="317">
        <f>SUMIF(Recibos!$D$4:$D$3010,Cobranza!$B234,Recibos!U$4:U$3010)</f>
        <v>0</v>
      </c>
      <c r="BJ234" s="317">
        <f>SUMIF(Recibos!$D$4:$D$3010,Cobranza!$B234,Recibos!V$4:V$3010)</f>
        <v>0</v>
      </c>
      <c r="BK234" s="318">
        <f t="shared" si="27"/>
        <v>0</v>
      </c>
      <c r="BL234" s="317">
        <f>SUMIF(Recibos!$D$4:$D$3010,Cobranza!$B234,Recibos!X$4:X$3010)</f>
        <v>0</v>
      </c>
      <c r="BM234" s="317">
        <f>SUMIF(Recibos!$D$4:$D$3010,Cobranza!$B234,Recibos!Y$4:Y$3010)</f>
        <v>0</v>
      </c>
      <c r="BN234" s="317">
        <f>SUMIF(Recibos!$D$4:$D$3010,Cobranza!$B234,Recibos!Z$4:Z$3010)</f>
        <v>0</v>
      </c>
      <c r="BO234" s="317">
        <f>SUMIF(Recibos!$D$4:$D$3010,Cobranza!$B234,Recibos!AA$4:AA$3010)</f>
        <v>0</v>
      </c>
      <c r="BP234" s="317">
        <f>SUMIF(Recibos!$D$4:$D$3010,Cobranza!$B234,Recibos!AB$4:AB$3010)</f>
        <v>0</v>
      </c>
      <c r="BQ234" s="317">
        <f>SUMIF(Recibos!$D$4:$D$3010,Cobranza!$B234,Recibos!AC$4:AC$3010)</f>
        <v>0</v>
      </c>
      <c r="BR234" s="317">
        <f>SUMIF(Recibos!$D$4:$D$3010,Cobranza!$B234,Recibos!AD$4:AD$3010)</f>
        <v>0</v>
      </c>
      <c r="BS234" s="317">
        <f>SUMIF(Recibos!$D$4:$D$3010,Cobranza!$B234,Recibos!AE$4:AE$3010)</f>
        <v>0</v>
      </c>
      <c r="BT234" s="317">
        <f>SUMIF(Recibos!$D$4:$D$3010,Cobranza!$B234,Recibos!AF$4:AF$3010)</f>
        <v>0</v>
      </c>
      <c r="BU234" s="317">
        <f>SUMIF(Recibos!$D$4:$D$3010,Cobranza!$B234,Recibos!AG$4:AG$3010)</f>
        <v>0</v>
      </c>
      <c r="BV234" s="317">
        <f>SUMIF(Recibos!$D$4:$D$3010,Cobranza!$B234,Recibos!AH$4:AH$3010)</f>
        <v>0</v>
      </c>
      <c r="BW234" s="317">
        <f>SUMIF(Recibos!$D$4:$D$3010,Cobranza!$B234,Recibos!AI$4:AI$3010)</f>
        <v>0</v>
      </c>
      <c r="BX234" s="318">
        <f t="shared" si="28"/>
        <v>0</v>
      </c>
    </row>
    <row r="235" spans="2:76" x14ac:dyDescent="0.2">
      <c r="B235" s="45" t="s">
        <v>44</v>
      </c>
      <c r="C235" s="45" t="s">
        <v>45</v>
      </c>
      <c r="D235" s="45" t="s">
        <v>46</v>
      </c>
      <c r="E235" s="46">
        <v>0</v>
      </c>
      <c r="F235" s="46">
        <v>300</v>
      </c>
      <c r="G235" s="46">
        <v>300</v>
      </c>
      <c r="H235" s="46">
        <v>300</v>
      </c>
      <c r="I235" s="46">
        <v>300</v>
      </c>
      <c r="J235" s="46">
        <v>300</v>
      </c>
      <c r="K235" s="47">
        <f t="shared" si="23"/>
        <v>1500</v>
      </c>
      <c r="L235" s="46">
        <v>300</v>
      </c>
      <c r="M235" s="46">
        <v>300</v>
      </c>
      <c r="N235" s="46">
        <v>300</v>
      </c>
      <c r="O235" s="46">
        <v>300</v>
      </c>
      <c r="P235" s="46">
        <v>300</v>
      </c>
      <c r="Q235" s="46">
        <v>300</v>
      </c>
      <c r="R235" s="46">
        <v>300</v>
      </c>
      <c r="S235" s="46">
        <v>300</v>
      </c>
      <c r="T235" s="46">
        <v>300</v>
      </c>
      <c r="U235" s="46">
        <v>400</v>
      </c>
      <c r="V235" s="46">
        <v>400</v>
      </c>
      <c r="W235" s="46">
        <v>400</v>
      </c>
      <c r="X235" s="47">
        <f t="shared" si="24"/>
        <v>3900</v>
      </c>
      <c r="Y235" s="46">
        <v>400</v>
      </c>
      <c r="Z235" s="46">
        <v>400</v>
      </c>
      <c r="AA235" s="46">
        <v>400</v>
      </c>
      <c r="AB235" s="46">
        <v>400</v>
      </c>
      <c r="AC235" s="46">
        <v>400</v>
      </c>
      <c r="AD235" s="46">
        <v>400</v>
      </c>
      <c r="AE235" s="46">
        <v>400</v>
      </c>
      <c r="AF235" s="46">
        <v>400</v>
      </c>
      <c r="AG235" s="46">
        <v>400</v>
      </c>
      <c r="AH235" s="46">
        <v>400</v>
      </c>
      <c r="AI235" s="46">
        <v>400</v>
      </c>
      <c r="AJ235" s="46">
        <v>400</v>
      </c>
      <c r="AK235" s="47">
        <f t="shared" si="25"/>
        <v>4800</v>
      </c>
      <c r="AL235" s="46">
        <v>400</v>
      </c>
      <c r="AM235" s="46">
        <v>400</v>
      </c>
      <c r="AN235" s="46">
        <v>400</v>
      </c>
      <c r="AO235" s="46">
        <v>400</v>
      </c>
      <c r="AP235" s="46">
        <v>400</v>
      </c>
      <c r="AQ235" s="46">
        <v>400</v>
      </c>
      <c r="AR235" s="46">
        <v>400</v>
      </c>
      <c r="AS235" s="46">
        <v>400</v>
      </c>
      <c r="AT235" s="46">
        <v>400</v>
      </c>
      <c r="AU235" s="46">
        <v>400</v>
      </c>
      <c r="AV235" s="46">
        <v>400</v>
      </c>
      <c r="AW235" s="46">
        <v>400</v>
      </c>
      <c r="AX235" s="47">
        <f t="shared" si="26"/>
        <v>4800</v>
      </c>
      <c r="AY235" s="319">
        <f>SUMIF(Recibos!$D$4:$D$3010,Cobranza!$B235,Recibos!K$4:K$3010)</f>
        <v>400</v>
      </c>
      <c r="AZ235" s="319">
        <f>SUMIF(Recibos!$D$4:$D$3010,Cobranza!$B235,Recibos!L$4:L$3010)</f>
        <v>400</v>
      </c>
      <c r="BA235" s="319">
        <f>SUMIF(Recibos!$D$4:$D$3010,Cobranza!$B235,Recibos!M$4:M$3010)</f>
        <v>400</v>
      </c>
      <c r="BB235" s="319">
        <f>SUMIF(Recibos!$D$4:$D$3010,Cobranza!$B235,Recibos!N$4:N$3010)</f>
        <v>400</v>
      </c>
      <c r="BC235" s="319">
        <f>SUMIF(Recibos!$D$4:$D$3010,Cobranza!$B235,Recibos!O$4:O$3010)</f>
        <v>400</v>
      </c>
      <c r="BD235" s="319">
        <f>SUMIF(Recibos!$D$4:$D$3010,Cobranza!$B235,Recibos!P$4:P$3010)</f>
        <v>400</v>
      </c>
      <c r="BE235" s="319">
        <f>SUMIF(Recibos!$D$4:$D$3010,Cobranza!$B235,Recibos!Q$4:Q$3010)</f>
        <v>400</v>
      </c>
      <c r="BF235" s="319">
        <f>SUMIF(Recibos!$D$4:$D$3010,Cobranza!$B235,Recibos!R$4:R$3010)</f>
        <v>400</v>
      </c>
      <c r="BG235" s="319">
        <f>SUMIF(Recibos!$D$4:$D$3010,Cobranza!$B235,Recibos!S$4:S$3010)</f>
        <v>400</v>
      </c>
      <c r="BH235" s="319">
        <f>SUMIF(Recibos!$D$4:$D$3010,Cobranza!$B235,Recibos!T$4:T$3010)</f>
        <v>400</v>
      </c>
      <c r="BI235" s="319">
        <f>SUMIF(Recibos!$D$4:$D$3010,Cobranza!$B235,Recibos!U$4:U$3010)</f>
        <v>400</v>
      </c>
      <c r="BJ235" s="319">
        <f>SUMIF(Recibos!$D$4:$D$3010,Cobranza!$B235,Recibos!V$4:V$3010)</f>
        <v>400</v>
      </c>
      <c r="BK235" s="320">
        <f t="shared" si="27"/>
        <v>4800</v>
      </c>
      <c r="BL235" s="319">
        <f>SUMIF(Recibos!$D$4:$D$3010,Cobranza!$B235,Recibos!X$4:X$3010)</f>
        <v>400</v>
      </c>
      <c r="BM235" s="319">
        <f>SUMIF(Recibos!$D$4:$D$3010,Cobranza!$B235,Recibos!Y$4:Y$3010)</f>
        <v>0</v>
      </c>
      <c r="BN235" s="319">
        <f>SUMIF(Recibos!$D$4:$D$3010,Cobranza!$B235,Recibos!Z$4:Z$3010)</f>
        <v>0</v>
      </c>
      <c r="BO235" s="319">
        <f>SUMIF(Recibos!$D$4:$D$3010,Cobranza!$B235,Recibos!AA$4:AA$3010)</f>
        <v>0</v>
      </c>
      <c r="BP235" s="319">
        <f>SUMIF(Recibos!$D$4:$D$3010,Cobranza!$B235,Recibos!AB$4:AB$3010)</f>
        <v>0</v>
      </c>
      <c r="BQ235" s="319">
        <f>SUMIF(Recibos!$D$4:$D$3010,Cobranza!$B235,Recibos!AC$4:AC$3010)</f>
        <v>0</v>
      </c>
      <c r="BR235" s="319">
        <f>SUMIF(Recibos!$D$4:$D$3010,Cobranza!$B235,Recibos!AD$4:AD$3010)</f>
        <v>0</v>
      </c>
      <c r="BS235" s="319">
        <f>SUMIF(Recibos!$D$4:$D$3010,Cobranza!$B235,Recibos!AE$4:AE$3010)</f>
        <v>0</v>
      </c>
      <c r="BT235" s="319">
        <f>SUMIF(Recibos!$D$4:$D$3010,Cobranza!$B235,Recibos!AF$4:AF$3010)</f>
        <v>0</v>
      </c>
      <c r="BU235" s="319">
        <f>SUMIF(Recibos!$D$4:$D$3010,Cobranza!$B235,Recibos!AG$4:AG$3010)</f>
        <v>0</v>
      </c>
      <c r="BV235" s="319">
        <f>SUMIF(Recibos!$D$4:$D$3010,Cobranza!$B235,Recibos!AH$4:AH$3010)</f>
        <v>0</v>
      </c>
      <c r="BW235" s="319">
        <f>SUMIF(Recibos!$D$4:$D$3010,Cobranza!$B235,Recibos!AI$4:AI$3010)</f>
        <v>0</v>
      </c>
      <c r="BX235" s="320">
        <f t="shared" si="28"/>
        <v>400</v>
      </c>
    </row>
    <row r="236" spans="2:76" x14ac:dyDescent="0.2">
      <c r="B236" s="42" t="s">
        <v>232</v>
      </c>
      <c r="C236" s="42" t="s">
        <v>233</v>
      </c>
      <c r="D236" s="42" t="s">
        <v>234</v>
      </c>
      <c r="E236" s="43">
        <v>0</v>
      </c>
      <c r="F236" s="43">
        <v>0</v>
      </c>
      <c r="G236" s="43">
        <v>0</v>
      </c>
      <c r="H236" s="43">
        <v>0</v>
      </c>
      <c r="I236" s="43">
        <v>0</v>
      </c>
      <c r="J236" s="43">
        <v>0</v>
      </c>
      <c r="K236" s="44">
        <f t="shared" si="23"/>
        <v>0</v>
      </c>
      <c r="L236" s="43">
        <v>300</v>
      </c>
      <c r="M236" s="43">
        <v>300</v>
      </c>
      <c r="N236" s="43">
        <v>300</v>
      </c>
      <c r="O236" s="43">
        <v>300</v>
      </c>
      <c r="P236" s="43">
        <v>300</v>
      </c>
      <c r="Q236" s="43">
        <v>300</v>
      </c>
      <c r="R236" s="43">
        <v>300</v>
      </c>
      <c r="S236" s="43">
        <v>300</v>
      </c>
      <c r="T236" s="43">
        <v>300</v>
      </c>
      <c r="U236" s="43">
        <v>300</v>
      </c>
      <c r="V236" s="43">
        <v>300</v>
      </c>
      <c r="W236" s="43">
        <v>0</v>
      </c>
      <c r="X236" s="44">
        <f t="shared" si="24"/>
        <v>3300</v>
      </c>
      <c r="Y236" s="43">
        <v>400</v>
      </c>
      <c r="Z236" s="43">
        <v>400</v>
      </c>
      <c r="AA236" s="43">
        <v>400</v>
      </c>
      <c r="AB236" s="43">
        <v>400</v>
      </c>
      <c r="AC236" s="43">
        <v>400</v>
      </c>
      <c r="AD236" s="43">
        <v>400</v>
      </c>
      <c r="AE236" s="43">
        <v>400</v>
      </c>
      <c r="AF236" s="43">
        <v>400</v>
      </c>
      <c r="AG236" s="43">
        <v>400</v>
      </c>
      <c r="AH236" s="43">
        <v>400</v>
      </c>
      <c r="AI236" s="43">
        <v>400</v>
      </c>
      <c r="AJ236" s="43">
        <v>0</v>
      </c>
      <c r="AK236" s="44">
        <f t="shared" si="25"/>
        <v>4400</v>
      </c>
      <c r="AL236" s="43">
        <v>400</v>
      </c>
      <c r="AM236" s="43">
        <v>400</v>
      </c>
      <c r="AN236" s="43">
        <v>400</v>
      </c>
      <c r="AO236" s="43">
        <v>400</v>
      </c>
      <c r="AP236" s="43">
        <v>400</v>
      </c>
      <c r="AQ236" s="43">
        <v>400</v>
      </c>
      <c r="AR236" s="43">
        <v>400</v>
      </c>
      <c r="AS236" s="43">
        <v>400</v>
      </c>
      <c r="AT236" s="43">
        <v>400</v>
      </c>
      <c r="AU236" s="43">
        <v>400</v>
      </c>
      <c r="AV236" s="43">
        <v>400</v>
      </c>
      <c r="AW236" s="43">
        <v>0</v>
      </c>
      <c r="AX236" s="44">
        <f t="shared" si="26"/>
        <v>4400</v>
      </c>
      <c r="AY236" s="317">
        <f>SUMIF(Recibos!$D$4:$D$3010,Cobranza!$B236,Recibos!K$4:K$3010)</f>
        <v>400</v>
      </c>
      <c r="AZ236" s="317">
        <f>SUMIF(Recibos!$D$4:$D$3010,Cobranza!$B236,Recibos!L$4:L$3010)</f>
        <v>400</v>
      </c>
      <c r="BA236" s="317">
        <f>SUMIF(Recibos!$D$4:$D$3010,Cobranza!$B236,Recibos!M$4:M$3010)</f>
        <v>400</v>
      </c>
      <c r="BB236" s="317">
        <f>SUMIF(Recibos!$D$4:$D$3010,Cobranza!$B236,Recibos!N$4:N$3010)</f>
        <v>400</v>
      </c>
      <c r="BC236" s="317">
        <f>SUMIF(Recibos!$D$4:$D$3010,Cobranza!$B236,Recibos!O$4:O$3010)</f>
        <v>400</v>
      </c>
      <c r="BD236" s="317">
        <f>SUMIF(Recibos!$D$4:$D$3010,Cobranza!$B236,Recibos!P$4:P$3010)</f>
        <v>400</v>
      </c>
      <c r="BE236" s="317">
        <f>SUMIF(Recibos!$D$4:$D$3010,Cobranza!$B236,Recibos!Q$4:Q$3010)</f>
        <v>400</v>
      </c>
      <c r="BF236" s="317">
        <f>SUMIF(Recibos!$D$4:$D$3010,Cobranza!$B236,Recibos!R$4:R$3010)</f>
        <v>400</v>
      </c>
      <c r="BG236" s="317">
        <f>SUMIF(Recibos!$D$4:$D$3010,Cobranza!$B236,Recibos!S$4:S$3010)</f>
        <v>400</v>
      </c>
      <c r="BH236" s="317">
        <f>SUMIF(Recibos!$D$4:$D$3010,Cobranza!$B236,Recibos!T$4:T$3010)</f>
        <v>400</v>
      </c>
      <c r="BI236" s="317">
        <f>SUMIF(Recibos!$D$4:$D$3010,Cobranza!$B236,Recibos!U$4:U$3010)</f>
        <v>400</v>
      </c>
      <c r="BJ236" s="317">
        <f>SUMIF(Recibos!$D$4:$D$3010,Cobranza!$B236,Recibos!V$4:V$3010)</f>
        <v>0</v>
      </c>
      <c r="BK236" s="318">
        <f t="shared" si="27"/>
        <v>4400</v>
      </c>
      <c r="BL236" s="317">
        <f>SUMIF(Recibos!$D$4:$D$3010,Cobranza!$B236,Recibos!X$4:X$3010)</f>
        <v>0</v>
      </c>
      <c r="BM236" s="317">
        <f>SUMIF(Recibos!$D$4:$D$3010,Cobranza!$B236,Recibos!Y$4:Y$3010)</f>
        <v>0</v>
      </c>
      <c r="BN236" s="317">
        <f>SUMIF(Recibos!$D$4:$D$3010,Cobranza!$B236,Recibos!Z$4:Z$3010)</f>
        <v>0</v>
      </c>
      <c r="BO236" s="317">
        <f>SUMIF(Recibos!$D$4:$D$3010,Cobranza!$B236,Recibos!AA$4:AA$3010)</f>
        <v>0</v>
      </c>
      <c r="BP236" s="317">
        <f>SUMIF(Recibos!$D$4:$D$3010,Cobranza!$B236,Recibos!AB$4:AB$3010)</f>
        <v>0</v>
      </c>
      <c r="BQ236" s="317">
        <f>SUMIF(Recibos!$D$4:$D$3010,Cobranza!$B236,Recibos!AC$4:AC$3010)</f>
        <v>0</v>
      </c>
      <c r="BR236" s="317">
        <f>SUMIF(Recibos!$D$4:$D$3010,Cobranza!$B236,Recibos!AD$4:AD$3010)</f>
        <v>0</v>
      </c>
      <c r="BS236" s="317">
        <f>SUMIF(Recibos!$D$4:$D$3010,Cobranza!$B236,Recibos!AE$4:AE$3010)</f>
        <v>0</v>
      </c>
      <c r="BT236" s="317">
        <f>SUMIF(Recibos!$D$4:$D$3010,Cobranza!$B236,Recibos!AF$4:AF$3010)</f>
        <v>0</v>
      </c>
      <c r="BU236" s="317">
        <f>SUMIF(Recibos!$D$4:$D$3010,Cobranza!$B236,Recibos!AG$4:AG$3010)</f>
        <v>0</v>
      </c>
      <c r="BV236" s="317">
        <f>SUMIF(Recibos!$D$4:$D$3010,Cobranza!$B236,Recibos!AH$4:AH$3010)</f>
        <v>0</v>
      </c>
      <c r="BW236" s="317">
        <f>SUMIF(Recibos!$D$4:$D$3010,Cobranza!$B236,Recibos!AI$4:AI$3010)</f>
        <v>0</v>
      </c>
      <c r="BX236" s="318">
        <f t="shared" si="28"/>
        <v>0</v>
      </c>
    </row>
    <row r="237" spans="2:76" x14ac:dyDescent="0.2">
      <c r="B237" s="45" t="s">
        <v>975</v>
      </c>
      <c r="C237" s="45" t="s">
        <v>976</v>
      </c>
      <c r="D237" s="45" t="s">
        <v>573</v>
      </c>
      <c r="E237" s="46">
        <v>0</v>
      </c>
      <c r="F237" s="46">
        <v>0</v>
      </c>
      <c r="G237" s="46">
        <v>0</v>
      </c>
      <c r="H237" s="46">
        <v>0</v>
      </c>
      <c r="I237" s="46">
        <v>0</v>
      </c>
      <c r="J237" s="46">
        <v>0</v>
      </c>
      <c r="K237" s="47">
        <f t="shared" si="23"/>
        <v>0</v>
      </c>
      <c r="L237" s="46">
        <v>0</v>
      </c>
      <c r="M237" s="46">
        <v>0</v>
      </c>
      <c r="N237" s="46">
        <v>0</v>
      </c>
      <c r="O237" s="46">
        <v>0</v>
      </c>
      <c r="P237" s="46">
        <v>0</v>
      </c>
      <c r="Q237" s="46">
        <v>0</v>
      </c>
      <c r="R237" s="46">
        <v>0</v>
      </c>
      <c r="S237" s="46">
        <v>0</v>
      </c>
      <c r="T237" s="46">
        <v>0</v>
      </c>
      <c r="U237" s="46">
        <v>0</v>
      </c>
      <c r="V237" s="46">
        <v>0</v>
      </c>
      <c r="W237" s="46">
        <v>0</v>
      </c>
      <c r="X237" s="47">
        <f t="shared" si="24"/>
        <v>0</v>
      </c>
      <c r="Y237" s="46">
        <v>400</v>
      </c>
      <c r="Z237" s="46">
        <v>400</v>
      </c>
      <c r="AA237" s="46">
        <v>0</v>
      </c>
      <c r="AB237" s="46">
        <v>0</v>
      </c>
      <c r="AC237" s="46">
        <v>0</v>
      </c>
      <c r="AD237" s="46">
        <v>0</v>
      </c>
      <c r="AE237" s="46">
        <v>0</v>
      </c>
      <c r="AF237" s="46">
        <v>400</v>
      </c>
      <c r="AG237" s="46">
        <v>400</v>
      </c>
      <c r="AH237" s="46">
        <v>400</v>
      </c>
      <c r="AI237" s="46">
        <v>400</v>
      </c>
      <c r="AJ237" s="46">
        <v>400</v>
      </c>
      <c r="AK237" s="47">
        <f t="shared" si="25"/>
        <v>2800</v>
      </c>
      <c r="AL237" s="46">
        <v>400</v>
      </c>
      <c r="AM237" s="46">
        <v>400</v>
      </c>
      <c r="AN237" s="46">
        <v>400</v>
      </c>
      <c r="AO237" s="46">
        <v>400</v>
      </c>
      <c r="AP237" s="46">
        <v>400</v>
      </c>
      <c r="AQ237" s="46">
        <v>0</v>
      </c>
      <c r="AR237" s="46">
        <v>0</v>
      </c>
      <c r="AS237" s="46">
        <v>0</v>
      </c>
      <c r="AT237" s="46">
        <v>0</v>
      </c>
      <c r="AU237" s="46">
        <v>0</v>
      </c>
      <c r="AV237" s="46">
        <v>0</v>
      </c>
      <c r="AW237" s="46">
        <v>0</v>
      </c>
      <c r="AX237" s="47">
        <f t="shared" si="26"/>
        <v>2000</v>
      </c>
      <c r="AY237" s="319">
        <f>SUMIF(Recibos!$D$4:$D$3010,Cobranza!$B237,Recibos!K$4:K$3010)</f>
        <v>0</v>
      </c>
      <c r="AZ237" s="319">
        <f>SUMIF(Recibos!$D$4:$D$3010,Cobranza!$B237,Recibos!L$4:L$3010)</f>
        <v>0</v>
      </c>
      <c r="BA237" s="319">
        <f>SUMIF(Recibos!$D$4:$D$3010,Cobranza!$B237,Recibos!M$4:M$3010)</f>
        <v>0</v>
      </c>
      <c r="BB237" s="319">
        <f>SUMIF(Recibos!$D$4:$D$3010,Cobranza!$B237,Recibos!N$4:N$3010)</f>
        <v>0</v>
      </c>
      <c r="BC237" s="319">
        <f>SUMIF(Recibos!$D$4:$D$3010,Cobranza!$B237,Recibos!O$4:O$3010)</f>
        <v>0</v>
      </c>
      <c r="BD237" s="319">
        <f>SUMIF(Recibos!$D$4:$D$3010,Cobranza!$B237,Recibos!P$4:P$3010)</f>
        <v>400</v>
      </c>
      <c r="BE237" s="319">
        <f>SUMIF(Recibos!$D$4:$D$3010,Cobranza!$B237,Recibos!Q$4:Q$3010)</f>
        <v>400</v>
      </c>
      <c r="BF237" s="319">
        <f>SUMIF(Recibos!$D$4:$D$3010,Cobranza!$B237,Recibos!R$4:R$3010)</f>
        <v>0</v>
      </c>
      <c r="BG237" s="319">
        <f>SUMIF(Recibos!$D$4:$D$3010,Cobranza!$B237,Recibos!S$4:S$3010)</f>
        <v>0</v>
      </c>
      <c r="BH237" s="319">
        <f>SUMIF(Recibos!$D$4:$D$3010,Cobranza!$B237,Recibos!T$4:T$3010)</f>
        <v>0</v>
      </c>
      <c r="BI237" s="319">
        <f>SUMIF(Recibos!$D$4:$D$3010,Cobranza!$B237,Recibos!U$4:U$3010)</f>
        <v>0</v>
      </c>
      <c r="BJ237" s="319">
        <f>SUMIF(Recibos!$D$4:$D$3010,Cobranza!$B237,Recibos!V$4:V$3010)</f>
        <v>0</v>
      </c>
      <c r="BK237" s="320">
        <f t="shared" si="27"/>
        <v>800</v>
      </c>
      <c r="BL237" s="319">
        <f>SUMIF(Recibos!$D$4:$D$3010,Cobranza!$B237,Recibos!X$4:X$3010)</f>
        <v>0</v>
      </c>
      <c r="BM237" s="319">
        <f>SUMIF(Recibos!$D$4:$D$3010,Cobranza!$B237,Recibos!Y$4:Y$3010)</f>
        <v>0</v>
      </c>
      <c r="BN237" s="319">
        <f>SUMIF(Recibos!$D$4:$D$3010,Cobranza!$B237,Recibos!Z$4:Z$3010)</f>
        <v>0</v>
      </c>
      <c r="BO237" s="319">
        <f>SUMIF(Recibos!$D$4:$D$3010,Cobranza!$B237,Recibos!AA$4:AA$3010)</f>
        <v>0</v>
      </c>
      <c r="BP237" s="319">
        <f>SUMIF(Recibos!$D$4:$D$3010,Cobranza!$B237,Recibos!AB$4:AB$3010)</f>
        <v>0</v>
      </c>
      <c r="BQ237" s="319">
        <f>SUMIF(Recibos!$D$4:$D$3010,Cobranza!$B237,Recibos!AC$4:AC$3010)</f>
        <v>0</v>
      </c>
      <c r="BR237" s="319">
        <f>SUMIF(Recibos!$D$4:$D$3010,Cobranza!$B237,Recibos!AD$4:AD$3010)</f>
        <v>0</v>
      </c>
      <c r="BS237" s="319">
        <f>SUMIF(Recibos!$D$4:$D$3010,Cobranza!$B237,Recibos!AE$4:AE$3010)</f>
        <v>0</v>
      </c>
      <c r="BT237" s="319">
        <f>SUMIF(Recibos!$D$4:$D$3010,Cobranza!$B237,Recibos!AF$4:AF$3010)</f>
        <v>0</v>
      </c>
      <c r="BU237" s="319">
        <f>SUMIF(Recibos!$D$4:$D$3010,Cobranza!$B237,Recibos!AG$4:AG$3010)</f>
        <v>0</v>
      </c>
      <c r="BV237" s="319">
        <f>SUMIF(Recibos!$D$4:$D$3010,Cobranza!$B237,Recibos!AH$4:AH$3010)</f>
        <v>0</v>
      </c>
      <c r="BW237" s="319">
        <f>SUMIF(Recibos!$D$4:$D$3010,Cobranza!$B237,Recibos!AI$4:AI$3010)</f>
        <v>0</v>
      </c>
      <c r="BX237" s="320">
        <f t="shared" si="28"/>
        <v>0</v>
      </c>
    </row>
    <row r="238" spans="2:76" x14ac:dyDescent="0.2">
      <c r="B238" s="42" t="s">
        <v>794</v>
      </c>
      <c r="C238" s="42" t="s">
        <v>795</v>
      </c>
      <c r="D238" s="42" t="s">
        <v>796</v>
      </c>
      <c r="E238" s="43">
        <v>0</v>
      </c>
      <c r="F238" s="43">
        <v>0</v>
      </c>
      <c r="G238" s="43">
        <v>0</v>
      </c>
      <c r="H238" s="43">
        <v>0</v>
      </c>
      <c r="I238" s="43">
        <v>0</v>
      </c>
      <c r="J238" s="43">
        <v>250</v>
      </c>
      <c r="K238" s="44">
        <f t="shared" si="23"/>
        <v>250</v>
      </c>
      <c r="L238" s="43">
        <v>250</v>
      </c>
      <c r="M238" s="43">
        <v>250</v>
      </c>
      <c r="N238" s="43">
        <v>250</v>
      </c>
      <c r="O238" s="43">
        <v>250</v>
      </c>
      <c r="P238" s="43">
        <v>250</v>
      </c>
      <c r="Q238" s="43">
        <v>250</v>
      </c>
      <c r="R238" s="43">
        <v>250</v>
      </c>
      <c r="S238" s="43">
        <v>250</v>
      </c>
      <c r="T238" s="43">
        <v>250</v>
      </c>
      <c r="U238" s="43">
        <v>0</v>
      </c>
      <c r="V238" s="43">
        <v>0</v>
      </c>
      <c r="W238" s="43">
        <v>0</v>
      </c>
      <c r="X238" s="44">
        <f t="shared" si="24"/>
        <v>2250</v>
      </c>
      <c r="Y238" s="43">
        <v>0</v>
      </c>
      <c r="Z238" s="43">
        <v>0</v>
      </c>
      <c r="AA238" s="43">
        <v>300</v>
      </c>
      <c r="AB238" s="43">
        <v>300</v>
      </c>
      <c r="AC238" s="43">
        <v>300</v>
      </c>
      <c r="AD238" s="43">
        <v>300</v>
      </c>
      <c r="AE238" s="43">
        <v>300</v>
      </c>
      <c r="AF238" s="43">
        <v>300</v>
      </c>
      <c r="AG238" s="43">
        <v>300</v>
      </c>
      <c r="AH238" s="43">
        <v>300</v>
      </c>
      <c r="AI238" s="43">
        <v>300</v>
      </c>
      <c r="AJ238" s="43">
        <v>300</v>
      </c>
      <c r="AK238" s="44">
        <f t="shared" si="25"/>
        <v>3000</v>
      </c>
      <c r="AL238" s="43">
        <v>300</v>
      </c>
      <c r="AM238" s="43">
        <v>300</v>
      </c>
      <c r="AN238" s="43">
        <v>300</v>
      </c>
      <c r="AO238" s="43">
        <v>300</v>
      </c>
      <c r="AP238" s="43">
        <v>300</v>
      </c>
      <c r="AQ238" s="43">
        <v>300</v>
      </c>
      <c r="AR238" s="43">
        <v>300</v>
      </c>
      <c r="AS238" s="43">
        <v>300</v>
      </c>
      <c r="AT238" s="43">
        <v>300</v>
      </c>
      <c r="AU238" s="43">
        <v>300</v>
      </c>
      <c r="AV238" s="43">
        <v>300</v>
      </c>
      <c r="AW238" s="43">
        <v>0</v>
      </c>
      <c r="AX238" s="44">
        <f t="shared" si="26"/>
        <v>3300</v>
      </c>
      <c r="AY238" s="317">
        <f>SUMIF(Recibos!$D$4:$D$3010,Cobranza!$B238,Recibos!K$4:K$3010)</f>
        <v>0</v>
      </c>
      <c r="AZ238" s="317">
        <f>SUMIF(Recibos!$D$4:$D$3010,Cobranza!$B238,Recibos!L$4:L$3010)</f>
        <v>300</v>
      </c>
      <c r="BA238" s="317">
        <f>SUMIF(Recibos!$D$4:$D$3010,Cobranza!$B238,Recibos!M$4:M$3010)</f>
        <v>300</v>
      </c>
      <c r="BB238" s="317">
        <f>SUMIF(Recibos!$D$4:$D$3010,Cobranza!$B238,Recibos!N$4:N$3010)</f>
        <v>300</v>
      </c>
      <c r="BC238" s="317">
        <f>SUMIF(Recibos!$D$4:$D$3010,Cobranza!$B238,Recibos!O$4:O$3010)</f>
        <v>300</v>
      </c>
      <c r="BD238" s="317">
        <f>SUMIF(Recibos!$D$4:$D$3010,Cobranza!$B238,Recibos!P$4:P$3010)</f>
        <v>0</v>
      </c>
      <c r="BE238" s="317">
        <f>SUMIF(Recibos!$D$4:$D$3010,Cobranza!$B238,Recibos!Q$4:Q$3010)</f>
        <v>600</v>
      </c>
      <c r="BF238" s="317">
        <f>SUMIF(Recibos!$D$4:$D$3010,Cobranza!$B238,Recibos!R$4:R$3010)</f>
        <v>300</v>
      </c>
      <c r="BG238" s="317">
        <f>SUMIF(Recibos!$D$4:$D$3010,Cobranza!$B238,Recibos!S$4:S$3010)</f>
        <v>300</v>
      </c>
      <c r="BH238" s="317">
        <f>SUMIF(Recibos!$D$4:$D$3010,Cobranza!$B238,Recibos!T$4:T$3010)</f>
        <v>300</v>
      </c>
      <c r="BI238" s="317">
        <f>SUMIF(Recibos!$D$4:$D$3010,Cobranza!$B238,Recibos!U$4:U$3010)</f>
        <v>300</v>
      </c>
      <c r="BJ238" s="317">
        <f>SUMIF(Recibos!$D$4:$D$3010,Cobranza!$B238,Recibos!V$4:V$3010)</f>
        <v>0</v>
      </c>
      <c r="BK238" s="318">
        <f t="shared" si="27"/>
        <v>3000</v>
      </c>
      <c r="BL238" s="317">
        <f>SUMIF(Recibos!$D$4:$D$3010,Cobranza!$B238,Recibos!X$4:X$3010)</f>
        <v>0</v>
      </c>
      <c r="BM238" s="317">
        <f>SUMIF(Recibos!$D$4:$D$3010,Cobranza!$B238,Recibos!Y$4:Y$3010)</f>
        <v>0</v>
      </c>
      <c r="BN238" s="317">
        <f>SUMIF(Recibos!$D$4:$D$3010,Cobranza!$B238,Recibos!Z$4:Z$3010)</f>
        <v>0</v>
      </c>
      <c r="BO238" s="317">
        <f>SUMIF(Recibos!$D$4:$D$3010,Cobranza!$B238,Recibos!AA$4:AA$3010)</f>
        <v>0</v>
      </c>
      <c r="BP238" s="317">
        <f>SUMIF(Recibos!$D$4:$D$3010,Cobranza!$B238,Recibos!AB$4:AB$3010)</f>
        <v>0</v>
      </c>
      <c r="BQ238" s="317">
        <f>SUMIF(Recibos!$D$4:$D$3010,Cobranza!$B238,Recibos!AC$4:AC$3010)</f>
        <v>0</v>
      </c>
      <c r="BR238" s="317">
        <f>SUMIF(Recibos!$D$4:$D$3010,Cobranza!$B238,Recibos!AD$4:AD$3010)</f>
        <v>0</v>
      </c>
      <c r="BS238" s="317">
        <f>SUMIF(Recibos!$D$4:$D$3010,Cobranza!$B238,Recibos!AE$4:AE$3010)</f>
        <v>0</v>
      </c>
      <c r="BT238" s="317">
        <f>SUMIF(Recibos!$D$4:$D$3010,Cobranza!$B238,Recibos!AF$4:AF$3010)</f>
        <v>0</v>
      </c>
      <c r="BU238" s="317">
        <f>SUMIF(Recibos!$D$4:$D$3010,Cobranza!$B238,Recibos!AG$4:AG$3010)</f>
        <v>0</v>
      </c>
      <c r="BV238" s="317">
        <f>SUMIF(Recibos!$D$4:$D$3010,Cobranza!$B238,Recibos!AH$4:AH$3010)</f>
        <v>0</v>
      </c>
      <c r="BW238" s="317">
        <f>SUMIF(Recibos!$D$4:$D$3010,Cobranza!$B238,Recibos!AI$4:AI$3010)</f>
        <v>0</v>
      </c>
      <c r="BX238" s="318">
        <f t="shared" si="28"/>
        <v>0</v>
      </c>
    </row>
    <row r="239" spans="2:76" x14ac:dyDescent="0.2">
      <c r="B239" s="45" t="s">
        <v>58</v>
      </c>
      <c r="C239" s="45" t="s">
        <v>59</v>
      </c>
      <c r="D239" s="45" t="s">
        <v>60</v>
      </c>
      <c r="E239" s="46">
        <v>0</v>
      </c>
      <c r="F239" s="46">
        <v>0</v>
      </c>
      <c r="G239" s="46">
        <v>0</v>
      </c>
      <c r="H239" s="46">
        <v>0</v>
      </c>
      <c r="I239" s="46">
        <v>300</v>
      </c>
      <c r="J239" s="46">
        <v>300</v>
      </c>
      <c r="K239" s="47">
        <f t="shared" si="23"/>
        <v>600</v>
      </c>
      <c r="L239" s="46">
        <v>300</v>
      </c>
      <c r="M239" s="46">
        <v>300</v>
      </c>
      <c r="N239" s="46">
        <v>300</v>
      </c>
      <c r="O239" s="46">
        <v>300</v>
      </c>
      <c r="P239" s="46">
        <v>300</v>
      </c>
      <c r="Q239" s="46">
        <v>300</v>
      </c>
      <c r="R239" s="46">
        <v>300</v>
      </c>
      <c r="S239" s="46">
        <v>300</v>
      </c>
      <c r="T239" s="46">
        <v>300</v>
      </c>
      <c r="U239" s="46">
        <v>300</v>
      </c>
      <c r="V239" s="46">
        <v>300</v>
      </c>
      <c r="W239" s="46">
        <v>300</v>
      </c>
      <c r="X239" s="47">
        <f t="shared" si="24"/>
        <v>3600</v>
      </c>
      <c r="Y239" s="46">
        <v>300</v>
      </c>
      <c r="Z239" s="46">
        <v>300</v>
      </c>
      <c r="AA239" s="46">
        <v>300</v>
      </c>
      <c r="AB239" s="46">
        <v>300</v>
      </c>
      <c r="AC239" s="46">
        <v>300</v>
      </c>
      <c r="AD239" s="46">
        <v>300</v>
      </c>
      <c r="AE239" s="46">
        <v>300</v>
      </c>
      <c r="AF239" s="46">
        <v>300</v>
      </c>
      <c r="AG239" s="46">
        <v>300</v>
      </c>
      <c r="AH239" s="46">
        <v>300</v>
      </c>
      <c r="AI239" s="46">
        <v>300</v>
      </c>
      <c r="AJ239" s="46">
        <v>300</v>
      </c>
      <c r="AK239" s="47">
        <f t="shared" si="25"/>
        <v>3600</v>
      </c>
      <c r="AL239" s="46">
        <v>300</v>
      </c>
      <c r="AM239" s="46">
        <v>300</v>
      </c>
      <c r="AN239" s="46">
        <v>300</v>
      </c>
      <c r="AO239" s="46">
        <v>300</v>
      </c>
      <c r="AP239" s="46">
        <v>300</v>
      </c>
      <c r="AQ239" s="46">
        <v>300</v>
      </c>
      <c r="AR239" s="46">
        <v>300</v>
      </c>
      <c r="AS239" s="46">
        <v>300</v>
      </c>
      <c r="AT239" s="46">
        <v>300</v>
      </c>
      <c r="AU239" s="46">
        <v>300</v>
      </c>
      <c r="AV239" s="46">
        <v>300</v>
      </c>
      <c r="AW239" s="46">
        <v>300</v>
      </c>
      <c r="AX239" s="47">
        <f t="shared" si="26"/>
        <v>3600</v>
      </c>
      <c r="AY239" s="319">
        <f>SUMIF(Recibos!$D$4:$D$3010,Cobranza!$B239,Recibos!K$4:K$3010)</f>
        <v>300</v>
      </c>
      <c r="AZ239" s="319">
        <f>SUMIF(Recibos!$D$4:$D$3010,Cobranza!$B239,Recibos!L$4:L$3010)</f>
        <v>300</v>
      </c>
      <c r="BA239" s="319">
        <f>SUMIF(Recibos!$D$4:$D$3010,Cobranza!$B239,Recibos!M$4:M$3010)</f>
        <v>300</v>
      </c>
      <c r="BB239" s="319">
        <f>SUMIF(Recibos!$D$4:$D$3010,Cobranza!$B239,Recibos!N$4:N$3010)</f>
        <v>300</v>
      </c>
      <c r="BC239" s="319">
        <f>SUMIF(Recibos!$D$4:$D$3010,Cobranza!$B239,Recibos!O$4:O$3010)</f>
        <v>300</v>
      </c>
      <c r="BD239" s="319">
        <f>SUMIF(Recibos!$D$4:$D$3010,Cobranza!$B239,Recibos!P$4:P$3010)</f>
        <v>300</v>
      </c>
      <c r="BE239" s="319">
        <f>SUMIF(Recibos!$D$4:$D$3010,Cobranza!$B239,Recibos!Q$4:Q$3010)</f>
        <v>300</v>
      </c>
      <c r="BF239" s="319">
        <f>SUMIF(Recibos!$D$4:$D$3010,Cobranza!$B239,Recibos!R$4:R$3010)</f>
        <v>300</v>
      </c>
      <c r="BG239" s="319">
        <f>SUMIF(Recibos!$D$4:$D$3010,Cobranza!$B239,Recibos!S$4:S$3010)</f>
        <v>300</v>
      </c>
      <c r="BH239" s="319">
        <f>SUMIF(Recibos!$D$4:$D$3010,Cobranza!$B239,Recibos!T$4:T$3010)</f>
        <v>300</v>
      </c>
      <c r="BI239" s="319">
        <f>SUMIF(Recibos!$D$4:$D$3010,Cobranza!$B239,Recibos!U$4:U$3010)</f>
        <v>0</v>
      </c>
      <c r="BJ239" s="319">
        <f>SUMIF(Recibos!$D$4:$D$3010,Cobranza!$B239,Recibos!V$4:V$3010)</f>
        <v>0</v>
      </c>
      <c r="BK239" s="320">
        <f t="shared" si="27"/>
        <v>3000</v>
      </c>
      <c r="BL239" s="319">
        <f>SUMIF(Recibos!$D$4:$D$3010,Cobranza!$B239,Recibos!X$4:X$3010)</f>
        <v>0</v>
      </c>
      <c r="BM239" s="319">
        <f>SUMIF(Recibos!$D$4:$D$3010,Cobranza!$B239,Recibos!Y$4:Y$3010)</f>
        <v>0</v>
      </c>
      <c r="BN239" s="319">
        <f>SUMIF(Recibos!$D$4:$D$3010,Cobranza!$B239,Recibos!Z$4:Z$3010)</f>
        <v>0</v>
      </c>
      <c r="BO239" s="319">
        <f>SUMIF(Recibos!$D$4:$D$3010,Cobranza!$B239,Recibos!AA$4:AA$3010)</f>
        <v>0</v>
      </c>
      <c r="BP239" s="319">
        <f>SUMIF(Recibos!$D$4:$D$3010,Cobranza!$B239,Recibos!AB$4:AB$3010)</f>
        <v>0</v>
      </c>
      <c r="BQ239" s="319">
        <f>SUMIF(Recibos!$D$4:$D$3010,Cobranza!$B239,Recibos!AC$4:AC$3010)</f>
        <v>0</v>
      </c>
      <c r="BR239" s="319">
        <f>SUMIF(Recibos!$D$4:$D$3010,Cobranza!$B239,Recibos!AD$4:AD$3010)</f>
        <v>0</v>
      </c>
      <c r="BS239" s="319">
        <f>SUMIF(Recibos!$D$4:$D$3010,Cobranza!$B239,Recibos!AE$4:AE$3010)</f>
        <v>0</v>
      </c>
      <c r="BT239" s="319">
        <f>SUMIF(Recibos!$D$4:$D$3010,Cobranza!$B239,Recibos!AF$4:AF$3010)</f>
        <v>0</v>
      </c>
      <c r="BU239" s="319">
        <f>SUMIF(Recibos!$D$4:$D$3010,Cobranza!$B239,Recibos!AG$4:AG$3010)</f>
        <v>0</v>
      </c>
      <c r="BV239" s="319">
        <f>SUMIF(Recibos!$D$4:$D$3010,Cobranza!$B239,Recibos!AH$4:AH$3010)</f>
        <v>0</v>
      </c>
      <c r="BW239" s="319">
        <f>SUMIF(Recibos!$D$4:$D$3010,Cobranza!$B239,Recibos!AI$4:AI$3010)</f>
        <v>0</v>
      </c>
      <c r="BX239" s="320">
        <f t="shared" si="28"/>
        <v>0</v>
      </c>
    </row>
    <row r="240" spans="2:76" x14ac:dyDescent="0.2">
      <c r="B240" s="42" t="s">
        <v>716</v>
      </c>
      <c r="C240" s="42" t="s">
        <v>717</v>
      </c>
      <c r="D240" s="42" t="s">
        <v>718</v>
      </c>
      <c r="E240" s="43">
        <v>0</v>
      </c>
      <c r="F240" s="43">
        <v>300</v>
      </c>
      <c r="G240" s="43">
        <v>300</v>
      </c>
      <c r="H240" s="43">
        <v>300</v>
      </c>
      <c r="I240" s="43">
        <v>300</v>
      </c>
      <c r="J240" s="43">
        <v>300</v>
      </c>
      <c r="K240" s="44">
        <f t="shared" si="23"/>
        <v>1500</v>
      </c>
      <c r="L240" s="43">
        <v>0</v>
      </c>
      <c r="M240" s="43">
        <v>0</v>
      </c>
      <c r="N240" s="43">
        <v>0</v>
      </c>
      <c r="O240" s="43">
        <v>300</v>
      </c>
      <c r="P240" s="43">
        <v>300</v>
      </c>
      <c r="Q240" s="43">
        <v>300</v>
      </c>
      <c r="R240" s="43">
        <v>300</v>
      </c>
      <c r="S240" s="43">
        <v>300</v>
      </c>
      <c r="T240" s="43">
        <v>300</v>
      </c>
      <c r="U240" s="43">
        <v>300</v>
      </c>
      <c r="V240" s="43">
        <v>300</v>
      </c>
      <c r="W240" s="43">
        <v>300</v>
      </c>
      <c r="X240" s="44">
        <f t="shared" si="24"/>
        <v>2700</v>
      </c>
      <c r="Y240" s="43">
        <v>300</v>
      </c>
      <c r="Z240" s="43">
        <v>300</v>
      </c>
      <c r="AA240" s="43">
        <v>300</v>
      </c>
      <c r="AB240" s="43">
        <v>300</v>
      </c>
      <c r="AC240" s="43">
        <v>300</v>
      </c>
      <c r="AD240" s="43">
        <v>300</v>
      </c>
      <c r="AE240" s="43">
        <v>300</v>
      </c>
      <c r="AF240" s="43">
        <v>300</v>
      </c>
      <c r="AG240" s="43">
        <v>300</v>
      </c>
      <c r="AH240" s="43">
        <v>300</v>
      </c>
      <c r="AI240" s="43">
        <v>300</v>
      </c>
      <c r="AJ240" s="43">
        <v>300</v>
      </c>
      <c r="AK240" s="44">
        <f t="shared" si="25"/>
        <v>3600</v>
      </c>
      <c r="AL240" s="43">
        <v>300</v>
      </c>
      <c r="AM240" s="43">
        <v>300</v>
      </c>
      <c r="AN240" s="43">
        <v>300</v>
      </c>
      <c r="AO240" s="43">
        <v>300</v>
      </c>
      <c r="AP240" s="43">
        <v>300</v>
      </c>
      <c r="AQ240" s="43">
        <v>300</v>
      </c>
      <c r="AR240" s="43">
        <v>300</v>
      </c>
      <c r="AS240" s="43">
        <v>300</v>
      </c>
      <c r="AT240" s="43">
        <v>300</v>
      </c>
      <c r="AU240" s="43">
        <v>300</v>
      </c>
      <c r="AV240" s="43">
        <v>300</v>
      </c>
      <c r="AW240" s="43">
        <v>300</v>
      </c>
      <c r="AX240" s="44">
        <f t="shared" si="26"/>
        <v>3600</v>
      </c>
      <c r="AY240" s="317">
        <f>SUMIF(Recibos!$D$4:$D$3010,Cobranza!$B240,Recibos!K$4:K$3010)</f>
        <v>300</v>
      </c>
      <c r="AZ240" s="317">
        <f>SUMIF(Recibos!$D$4:$D$3010,Cobranza!$B240,Recibos!L$4:L$3010)</f>
        <v>300</v>
      </c>
      <c r="BA240" s="317">
        <f>SUMIF(Recibos!$D$4:$D$3010,Cobranza!$B240,Recibos!M$4:M$3010)</f>
        <v>300</v>
      </c>
      <c r="BB240" s="317">
        <f>SUMIF(Recibos!$D$4:$D$3010,Cobranza!$B240,Recibos!N$4:N$3010)</f>
        <v>300</v>
      </c>
      <c r="BC240" s="317">
        <f>SUMIF(Recibos!$D$4:$D$3010,Cobranza!$B240,Recibos!O$4:O$3010)</f>
        <v>300</v>
      </c>
      <c r="BD240" s="317">
        <f>SUMIF(Recibos!$D$4:$D$3010,Cobranza!$B240,Recibos!P$4:P$3010)</f>
        <v>300</v>
      </c>
      <c r="BE240" s="317">
        <f>SUMIF(Recibos!$D$4:$D$3010,Cobranza!$B240,Recibos!Q$4:Q$3010)</f>
        <v>300</v>
      </c>
      <c r="BF240" s="317">
        <f>SUMIF(Recibos!$D$4:$D$3010,Cobranza!$B240,Recibos!R$4:R$3010)</f>
        <v>300</v>
      </c>
      <c r="BG240" s="317">
        <f>SUMIF(Recibos!$D$4:$D$3010,Cobranza!$B240,Recibos!S$4:S$3010)</f>
        <v>300</v>
      </c>
      <c r="BH240" s="317">
        <f>SUMIF(Recibos!$D$4:$D$3010,Cobranza!$B240,Recibos!T$4:T$3010)</f>
        <v>300</v>
      </c>
      <c r="BI240" s="317">
        <f>SUMIF(Recibos!$D$4:$D$3010,Cobranza!$B240,Recibos!U$4:U$3010)</f>
        <v>300</v>
      </c>
      <c r="BJ240" s="317">
        <f>SUMIF(Recibos!$D$4:$D$3010,Cobranza!$B240,Recibos!V$4:V$3010)</f>
        <v>300</v>
      </c>
      <c r="BK240" s="318">
        <f t="shared" si="27"/>
        <v>3600</v>
      </c>
      <c r="BL240" s="317">
        <f>SUMIF(Recibos!$D$4:$D$3010,Cobranza!$B240,Recibos!X$4:X$3010)</f>
        <v>0</v>
      </c>
      <c r="BM240" s="317">
        <f>SUMIF(Recibos!$D$4:$D$3010,Cobranza!$B240,Recibos!Y$4:Y$3010)</f>
        <v>0</v>
      </c>
      <c r="BN240" s="317">
        <f>SUMIF(Recibos!$D$4:$D$3010,Cobranza!$B240,Recibos!Z$4:Z$3010)</f>
        <v>0</v>
      </c>
      <c r="BO240" s="317">
        <f>SUMIF(Recibos!$D$4:$D$3010,Cobranza!$B240,Recibos!AA$4:AA$3010)</f>
        <v>0</v>
      </c>
      <c r="BP240" s="317">
        <f>SUMIF(Recibos!$D$4:$D$3010,Cobranza!$B240,Recibos!AB$4:AB$3010)</f>
        <v>0</v>
      </c>
      <c r="BQ240" s="317">
        <f>SUMIF(Recibos!$D$4:$D$3010,Cobranza!$B240,Recibos!AC$4:AC$3010)</f>
        <v>0</v>
      </c>
      <c r="BR240" s="317">
        <f>SUMIF(Recibos!$D$4:$D$3010,Cobranza!$B240,Recibos!AD$4:AD$3010)</f>
        <v>0</v>
      </c>
      <c r="BS240" s="317">
        <f>SUMIF(Recibos!$D$4:$D$3010,Cobranza!$B240,Recibos!AE$4:AE$3010)</f>
        <v>0</v>
      </c>
      <c r="BT240" s="317">
        <f>SUMIF(Recibos!$D$4:$D$3010,Cobranza!$B240,Recibos!AF$4:AF$3010)</f>
        <v>0</v>
      </c>
      <c r="BU240" s="317">
        <f>SUMIF(Recibos!$D$4:$D$3010,Cobranza!$B240,Recibos!AG$4:AG$3010)</f>
        <v>0</v>
      </c>
      <c r="BV240" s="317">
        <f>SUMIF(Recibos!$D$4:$D$3010,Cobranza!$B240,Recibos!AH$4:AH$3010)</f>
        <v>0</v>
      </c>
      <c r="BW240" s="317">
        <f>SUMIF(Recibos!$D$4:$D$3010,Cobranza!$B240,Recibos!AI$4:AI$3010)</f>
        <v>0</v>
      </c>
      <c r="BX240" s="318">
        <f t="shared" si="28"/>
        <v>0</v>
      </c>
    </row>
    <row r="241" spans="2:76" x14ac:dyDescent="0.2">
      <c r="B241" s="45" t="s">
        <v>708</v>
      </c>
      <c r="C241" s="45" t="s">
        <v>709</v>
      </c>
      <c r="D241" s="45" t="s">
        <v>710</v>
      </c>
      <c r="E241" s="46">
        <v>0</v>
      </c>
      <c r="F241" s="46">
        <v>0</v>
      </c>
      <c r="G241" s="46">
        <v>0</v>
      </c>
      <c r="H241" s="46">
        <v>0</v>
      </c>
      <c r="I241" s="46">
        <v>0</v>
      </c>
      <c r="J241" s="46">
        <v>300</v>
      </c>
      <c r="K241" s="47">
        <f t="shared" si="23"/>
        <v>300</v>
      </c>
      <c r="L241" s="46">
        <v>300</v>
      </c>
      <c r="M241" s="46">
        <v>300</v>
      </c>
      <c r="N241" s="46">
        <v>300</v>
      </c>
      <c r="O241" s="46">
        <v>300</v>
      </c>
      <c r="P241" s="46">
        <v>300</v>
      </c>
      <c r="Q241" s="46">
        <v>300</v>
      </c>
      <c r="R241" s="46">
        <v>300</v>
      </c>
      <c r="S241" s="46">
        <v>300</v>
      </c>
      <c r="T241" s="46">
        <v>300</v>
      </c>
      <c r="U241" s="46">
        <v>400</v>
      </c>
      <c r="V241" s="46">
        <v>400</v>
      </c>
      <c r="W241" s="46">
        <v>400</v>
      </c>
      <c r="X241" s="47">
        <f t="shared" si="24"/>
        <v>3900</v>
      </c>
      <c r="Y241" s="46">
        <v>400</v>
      </c>
      <c r="Z241" s="46">
        <v>400</v>
      </c>
      <c r="AA241" s="46">
        <v>400</v>
      </c>
      <c r="AB241" s="46">
        <v>400</v>
      </c>
      <c r="AC241" s="46">
        <v>400</v>
      </c>
      <c r="AD241" s="46">
        <v>400</v>
      </c>
      <c r="AE241" s="46">
        <v>400</v>
      </c>
      <c r="AF241" s="46">
        <v>400</v>
      </c>
      <c r="AG241" s="46">
        <v>0</v>
      </c>
      <c r="AH241" s="46">
        <v>400</v>
      </c>
      <c r="AI241" s="46">
        <v>400</v>
      </c>
      <c r="AJ241" s="46">
        <v>400</v>
      </c>
      <c r="AK241" s="47">
        <f t="shared" si="25"/>
        <v>4400</v>
      </c>
      <c r="AL241" s="46">
        <v>400</v>
      </c>
      <c r="AM241" s="46">
        <v>400</v>
      </c>
      <c r="AN241" s="46">
        <v>400</v>
      </c>
      <c r="AO241" s="46">
        <v>400</v>
      </c>
      <c r="AP241" s="46">
        <v>400</v>
      </c>
      <c r="AQ241" s="46">
        <v>400</v>
      </c>
      <c r="AR241" s="46">
        <v>400</v>
      </c>
      <c r="AS241" s="46">
        <v>400</v>
      </c>
      <c r="AT241" s="46">
        <v>400</v>
      </c>
      <c r="AU241" s="46">
        <v>400</v>
      </c>
      <c r="AV241" s="46">
        <v>400</v>
      </c>
      <c r="AW241" s="46">
        <v>400</v>
      </c>
      <c r="AX241" s="47">
        <f t="shared" si="26"/>
        <v>4800</v>
      </c>
      <c r="AY241" s="319">
        <f>SUMIF(Recibos!$D$4:$D$3010,Cobranza!$B241,Recibos!K$4:K$3010)</f>
        <v>400</v>
      </c>
      <c r="AZ241" s="319">
        <f>SUMIF(Recibos!$D$4:$D$3010,Cobranza!$B241,Recibos!L$4:L$3010)</f>
        <v>400</v>
      </c>
      <c r="BA241" s="319">
        <f>SUMIF(Recibos!$D$4:$D$3010,Cobranza!$B241,Recibos!M$4:M$3010)</f>
        <v>400</v>
      </c>
      <c r="BB241" s="319">
        <f>SUMIF(Recibos!$D$4:$D$3010,Cobranza!$B241,Recibos!N$4:N$3010)</f>
        <v>400</v>
      </c>
      <c r="BC241" s="319">
        <f>SUMIF(Recibos!$D$4:$D$3010,Cobranza!$B241,Recibos!O$4:O$3010)</f>
        <v>400</v>
      </c>
      <c r="BD241" s="319">
        <f>SUMIF(Recibos!$D$4:$D$3010,Cobranza!$B241,Recibos!P$4:P$3010)</f>
        <v>0</v>
      </c>
      <c r="BE241" s="319">
        <f>SUMIF(Recibos!$D$4:$D$3010,Cobranza!$B241,Recibos!Q$4:Q$3010)</f>
        <v>400</v>
      </c>
      <c r="BF241" s="319">
        <f>SUMIF(Recibos!$D$4:$D$3010,Cobranza!$B241,Recibos!R$4:R$3010)</f>
        <v>800</v>
      </c>
      <c r="BG241" s="319">
        <f>SUMIF(Recibos!$D$4:$D$3010,Cobranza!$B241,Recibos!S$4:S$3010)</f>
        <v>400</v>
      </c>
      <c r="BH241" s="319">
        <f>SUMIF(Recibos!$D$4:$D$3010,Cobranza!$B241,Recibos!T$4:T$3010)</f>
        <v>400</v>
      </c>
      <c r="BI241" s="319">
        <f>SUMIF(Recibos!$D$4:$D$3010,Cobranza!$B241,Recibos!U$4:U$3010)</f>
        <v>400</v>
      </c>
      <c r="BJ241" s="319">
        <f>SUMIF(Recibos!$D$4:$D$3010,Cobranza!$B241,Recibos!V$4:V$3010)</f>
        <v>400</v>
      </c>
      <c r="BK241" s="320">
        <f t="shared" si="27"/>
        <v>4800</v>
      </c>
      <c r="BL241" s="319">
        <f>SUMIF(Recibos!$D$4:$D$3010,Cobranza!$B241,Recibos!X$4:X$3010)</f>
        <v>0</v>
      </c>
      <c r="BM241" s="319">
        <f>SUMIF(Recibos!$D$4:$D$3010,Cobranza!$B241,Recibos!Y$4:Y$3010)</f>
        <v>0</v>
      </c>
      <c r="BN241" s="319">
        <f>SUMIF(Recibos!$D$4:$D$3010,Cobranza!$B241,Recibos!Z$4:Z$3010)</f>
        <v>0</v>
      </c>
      <c r="BO241" s="319">
        <f>SUMIF(Recibos!$D$4:$D$3010,Cobranza!$B241,Recibos!AA$4:AA$3010)</f>
        <v>0</v>
      </c>
      <c r="BP241" s="319">
        <f>SUMIF(Recibos!$D$4:$D$3010,Cobranza!$B241,Recibos!AB$4:AB$3010)</f>
        <v>0</v>
      </c>
      <c r="BQ241" s="319">
        <f>SUMIF(Recibos!$D$4:$D$3010,Cobranza!$B241,Recibos!AC$4:AC$3010)</f>
        <v>0</v>
      </c>
      <c r="BR241" s="319">
        <f>SUMIF(Recibos!$D$4:$D$3010,Cobranza!$B241,Recibos!AD$4:AD$3010)</f>
        <v>0</v>
      </c>
      <c r="BS241" s="319">
        <f>SUMIF(Recibos!$D$4:$D$3010,Cobranza!$B241,Recibos!AE$4:AE$3010)</f>
        <v>0</v>
      </c>
      <c r="BT241" s="319">
        <f>SUMIF(Recibos!$D$4:$D$3010,Cobranza!$B241,Recibos!AF$4:AF$3010)</f>
        <v>0</v>
      </c>
      <c r="BU241" s="319">
        <f>SUMIF(Recibos!$D$4:$D$3010,Cobranza!$B241,Recibos!AG$4:AG$3010)</f>
        <v>0</v>
      </c>
      <c r="BV241" s="319">
        <f>SUMIF(Recibos!$D$4:$D$3010,Cobranza!$B241,Recibos!AH$4:AH$3010)</f>
        <v>0</v>
      </c>
      <c r="BW241" s="319">
        <f>SUMIF(Recibos!$D$4:$D$3010,Cobranza!$B241,Recibos!AI$4:AI$3010)</f>
        <v>0</v>
      </c>
      <c r="BX241" s="320">
        <f t="shared" si="28"/>
        <v>0</v>
      </c>
    </row>
    <row r="242" spans="2:76" x14ac:dyDescent="0.2">
      <c r="B242" s="42" t="s">
        <v>51</v>
      </c>
      <c r="C242" s="42" t="s">
        <v>52</v>
      </c>
      <c r="D242" s="42" t="s">
        <v>53</v>
      </c>
      <c r="E242" s="43">
        <v>0</v>
      </c>
      <c r="F242" s="43">
        <v>0</v>
      </c>
      <c r="G242" s="43">
        <v>0</v>
      </c>
      <c r="H242" s="43">
        <v>0</v>
      </c>
      <c r="I242" s="43">
        <v>0</v>
      </c>
      <c r="J242" s="43">
        <v>150</v>
      </c>
      <c r="K242" s="44">
        <f t="shared" si="23"/>
        <v>150</v>
      </c>
      <c r="L242" s="43">
        <v>150</v>
      </c>
      <c r="M242" s="43">
        <v>150</v>
      </c>
      <c r="N242" s="43">
        <v>150</v>
      </c>
      <c r="O242" s="43">
        <v>150</v>
      </c>
      <c r="P242" s="43">
        <v>150</v>
      </c>
      <c r="Q242" s="43">
        <v>150</v>
      </c>
      <c r="R242" s="43">
        <v>150</v>
      </c>
      <c r="S242" s="43">
        <v>150</v>
      </c>
      <c r="T242" s="43">
        <v>150</v>
      </c>
      <c r="U242" s="43">
        <v>200</v>
      </c>
      <c r="V242" s="43">
        <v>200</v>
      </c>
      <c r="W242" s="43">
        <v>200</v>
      </c>
      <c r="X242" s="44">
        <f t="shared" si="24"/>
        <v>1950</v>
      </c>
      <c r="Y242" s="43">
        <v>200</v>
      </c>
      <c r="Z242" s="43">
        <v>200</v>
      </c>
      <c r="AA242" s="43">
        <v>200</v>
      </c>
      <c r="AB242" s="43">
        <v>200</v>
      </c>
      <c r="AC242" s="43">
        <v>200</v>
      </c>
      <c r="AD242" s="43">
        <v>200</v>
      </c>
      <c r="AE242" s="43">
        <v>200</v>
      </c>
      <c r="AF242" s="43">
        <v>0</v>
      </c>
      <c r="AG242" s="43">
        <v>400</v>
      </c>
      <c r="AH242" s="43">
        <v>0</v>
      </c>
      <c r="AI242" s="43">
        <v>400</v>
      </c>
      <c r="AJ242" s="43">
        <v>200</v>
      </c>
      <c r="AK242" s="44">
        <f t="shared" si="25"/>
        <v>2400</v>
      </c>
      <c r="AL242" s="43">
        <v>200</v>
      </c>
      <c r="AM242" s="43">
        <v>200</v>
      </c>
      <c r="AN242" s="43">
        <v>200</v>
      </c>
      <c r="AO242" s="43">
        <v>200</v>
      </c>
      <c r="AP242" s="43">
        <v>200</v>
      </c>
      <c r="AQ242" s="43">
        <v>200</v>
      </c>
      <c r="AR242" s="43">
        <v>200</v>
      </c>
      <c r="AS242" s="43">
        <v>200</v>
      </c>
      <c r="AT242" s="43">
        <v>250</v>
      </c>
      <c r="AU242" s="43">
        <v>250</v>
      </c>
      <c r="AV242" s="43">
        <v>250</v>
      </c>
      <c r="AW242" s="43">
        <v>250</v>
      </c>
      <c r="AX242" s="44">
        <f t="shared" si="26"/>
        <v>2600</v>
      </c>
      <c r="AY242" s="317">
        <f>SUMIF(Recibos!$D$4:$D$3010,Cobranza!$B242,Recibos!K$4:K$3010)</f>
        <v>250</v>
      </c>
      <c r="AZ242" s="317">
        <f>SUMIF(Recibos!$D$4:$D$3010,Cobranza!$B242,Recibos!L$4:L$3010)</f>
        <v>250</v>
      </c>
      <c r="BA242" s="317">
        <f>SUMIF(Recibos!$D$4:$D$3010,Cobranza!$B242,Recibos!M$4:M$3010)</f>
        <v>250</v>
      </c>
      <c r="BB242" s="317">
        <f>SUMIF(Recibos!$D$4:$D$3010,Cobranza!$B242,Recibos!N$4:N$3010)</f>
        <v>250</v>
      </c>
      <c r="BC242" s="317">
        <f>SUMIF(Recibos!$D$4:$D$3010,Cobranza!$B242,Recibos!O$4:O$3010)</f>
        <v>250</v>
      </c>
      <c r="BD242" s="317">
        <f>SUMIF(Recibos!$D$4:$D$3010,Cobranza!$B242,Recibos!P$4:P$3010)</f>
        <v>250</v>
      </c>
      <c r="BE242" s="317">
        <f>SUMIF(Recibos!$D$4:$D$3010,Cobranza!$B242,Recibos!Q$4:Q$3010)</f>
        <v>250</v>
      </c>
      <c r="BF242" s="317">
        <f>SUMIF(Recibos!$D$4:$D$3010,Cobranza!$B242,Recibos!R$4:R$3010)</f>
        <v>250</v>
      </c>
      <c r="BG242" s="317">
        <f>SUMIF(Recibos!$D$4:$D$3010,Cobranza!$B242,Recibos!S$4:S$3010)</f>
        <v>250</v>
      </c>
      <c r="BH242" s="317">
        <f>SUMIF(Recibos!$D$4:$D$3010,Cobranza!$B242,Recibos!T$4:T$3010)</f>
        <v>250</v>
      </c>
      <c r="BI242" s="317">
        <f>SUMIF(Recibos!$D$4:$D$3010,Cobranza!$B242,Recibos!U$4:U$3010)</f>
        <v>250</v>
      </c>
      <c r="BJ242" s="317">
        <f>SUMIF(Recibos!$D$4:$D$3010,Cobranza!$B242,Recibos!V$4:V$3010)</f>
        <v>250</v>
      </c>
      <c r="BK242" s="318">
        <f t="shared" si="27"/>
        <v>3000</v>
      </c>
      <c r="BL242" s="317">
        <f>SUMIF(Recibos!$D$4:$D$3010,Cobranza!$B242,Recibos!X$4:X$3010)</f>
        <v>250</v>
      </c>
      <c r="BM242" s="317">
        <f>SUMIF(Recibos!$D$4:$D$3010,Cobranza!$B242,Recibos!Y$4:Y$3010)</f>
        <v>0</v>
      </c>
      <c r="BN242" s="317">
        <f>SUMIF(Recibos!$D$4:$D$3010,Cobranza!$B242,Recibos!Z$4:Z$3010)</f>
        <v>0</v>
      </c>
      <c r="BO242" s="317">
        <f>SUMIF(Recibos!$D$4:$D$3010,Cobranza!$B242,Recibos!AA$4:AA$3010)</f>
        <v>0</v>
      </c>
      <c r="BP242" s="317">
        <f>SUMIF(Recibos!$D$4:$D$3010,Cobranza!$B242,Recibos!AB$4:AB$3010)</f>
        <v>0</v>
      </c>
      <c r="BQ242" s="317">
        <f>SUMIF(Recibos!$D$4:$D$3010,Cobranza!$B242,Recibos!AC$4:AC$3010)</f>
        <v>0</v>
      </c>
      <c r="BR242" s="317">
        <f>SUMIF(Recibos!$D$4:$D$3010,Cobranza!$B242,Recibos!AD$4:AD$3010)</f>
        <v>0</v>
      </c>
      <c r="BS242" s="317">
        <f>SUMIF(Recibos!$D$4:$D$3010,Cobranza!$B242,Recibos!AE$4:AE$3010)</f>
        <v>0</v>
      </c>
      <c r="BT242" s="317">
        <f>SUMIF(Recibos!$D$4:$D$3010,Cobranza!$B242,Recibos!AF$4:AF$3010)</f>
        <v>0</v>
      </c>
      <c r="BU242" s="317">
        <f>SUMIF(Recibos!$D$4:$D$3010,Cobranza!$B242,Recibos!AG$4:AG$3010)</f>
        <v>0</v>
      </c>
      <c r="BV242" s="317">
        <f>SUMIF(Recibos!$D$4:$D$3010,Cobranza!$B242,Recibos!AH$4:AH$3010)</f>
        <v>0</v>
      </c>
      <c r="BW242" s="317">
        <f>SUMIF(Recibos!$D$4:$D$3010,Cobranza!$B242,Recibos!AI$4:AI$3010)</f>
        <v>0</v>
      </c>
      <c r="BX242" s="318">
        <f t="shared" si="28"/>
        <v>250</v>
      </c>
    </row>
    <row r="243" spans="2:76" x14ac:dyDescent="0.2">
      <c r="B243" s="45" t="s">
        <v>669</v>
      </c>
      <c r="C243" s="45" t="s">
        <v>670</v>
      </c>
      <c r="D243" s="45" t="s">
        <v>671</v>
      </c>
      <c r="E243" s="46">
        <v>0</v>
      </c>
      <c r="F243" s="46">
        <v>0</v>
      </c>
      <c r="G243" s="46">
        <v>0</v>
      </c>
      <c r="H243" s="46">
        <v>0</v>
      </c>
      <c r="I243" s="46">
        <v>0</v>
      </c>
      <c r="J243" s="46">
        <v>300</v>
      </c>
      <c r="K243" s="47">
        <f t="shared" si="23"/>
        <v>300</v>
      </c>
      <c r="L243" s="46">
        <v>300</v>
      </c>
      <c r="M243" s="46">
        <v>300</v>
      </c>
      <c r="N243" s="46">
        <v>300</v>
      </c>
      <c r="O243" s="46">
        <v>300</v>
      </c>
      <c r="P243" s="46">
        <v>300</v>
      </c>
      <c r="Q243" s="46">
        <v>300</v>
      </c>
      <c r="R243" s="46">
        <v>300</v>
      </c>
      <c r="S243" s="46">
        <v>300</v>
      </c>
      <c r="T243" s="46">
        <v>300</v>
      </c>
      <c r="U243" s="46">
        <v>400</v>
      </c>
      <c r="V243" s="46">
        <v>400</v>
      </c>
      <c r="W243" s="46">
        <v>400</v>
      </c>
      <c r="X243" s="47">
        <f t="shared" si="24"/>
        <v>3900</v>
      </c>
      <c r="Y243" s="46">
        <v>400</v>
      </c>
      <c r="Z243" s="46">
        <v>400</v>
      </c>
      <c r="AA243" s="46">
        <v>400</v>
      </c>
      <c r="AB243" s="46">
        <v>400</v>
      </c>
      <c r="AC243" s="46">
        <v>400</v>
      </c>
      <c r="AD243" s="46">
        <v>400</v>
      </c>
      <c r="AE243" s="46">
        <v>400</v>
      </c>
      <c r="AF243" s="46">
        <v>400</v>
      </c>
      <c r="AG243" s="46">
        <v>0</v>
      </c>
      <c r="AH243" s="46">
        <v>400</v>
      </c>
      <c r="AI243" s="46">
        <v>400</v>
      </c>
      <c r="AJ243" s="46">
        <v>400</v>
      </c>
      <c r="AK243" s="47">
        <f t="shared" si="25"/>
        <v>4400</v>
      </c>
      <c r="AL243" s="46">
        <v>400</v>
      </c>
      <c r="AM243" s="46">
        <v>400</v>
      </c>
      <c r="AN243" s="46">
        <v>400</v>
      </c>
      <c r="AO243" s="46">
        <v>400</v>
      </c>
      <c r="AP243" s="46">
        <v>400</v>
      </c>
      <c r="AQ243" s="46">
        <v>400</v>
      </c>
      <c r="AR243" s="46">
        <v>400</v>
      </c>
      <c r="AS243" s="46">
        <v>400</v>
      </c>
      <c r="AT243" s="46">
        <v>400</v>
      </c>
      <c r="AU243" s="46">
        <v>400</v>
      </c>
      <c r="AV243" s="46">
        <v>400</v>
      </c>
      <c r="AW243" s="46">
        <v>400</v>
      </c>
      <c r="AX243" s="47">
        <f t="shared" si="26"/>
        <v>4800</v>
      </c>
      <c r="AY243" s="319">
        <f>SUMIF(Recibos!$D$4:$D$3010,Cobranza!$B243,Recibos!K$4:K$3010)</f>
        <v>400</v>
      </c>
      <c r="AZ243" s="319">
        <f>SUMIF(Recibos!$D$4:$D$3010,Cobranza!$B243,Recibos!L$4:L$3010)</f>
        <v>400</v>
      </c>
      <c r="BA243" s="319">
        <f>SUMIF(Recibos!$D$4:$D$3010,Cobranza!$B243,Recibos!M$4:M$3010)</f>
        <v>400</v>
      </c>
      <c r="BB243" s="319">
        <f>SUMIF(Recibos!$D$4:$D$3010,Cobranza!$B243,Recibos!N$4:N$3010)</f>
        <v>400</v>
      </c>
      <c r="BC243" s="319">
        <f>SUMIF(Recibos!$D$4:$D$3010,Cobranza!$B243,Recibos!O$4:O$3010)</f>
        <v>400</v>
      </c>
      <c r="BD243" s="319">
        <f>SUMIF(Recibos!$D$4:$D$3010,Cobranza!$B243,Recibos!P$4:P$3010)</f>
        <v>400</v>
      </c>
      <c r="BE243" s="319">
        <f>SUMIF(Recibos!$D$4:$D$3010,Cobranza!$B243,Recibos!Q$4:Q$3010)</f>
        <v>400</v>
      </c>
      <c r="BF243" s="319">
        <f>SUMIF(Recibos!$D$4:$D$3010,Cobranza!$B243,Recibos!R$4:R$3010)</f>
        <v>400</v>
      </c>
      <c r="BG243" s="319">
        <f>SUMIF(Recibos!$D$4:$D$3010,Cobranza!$B243,Recibos!S$4:S$3010)</f>
        <v>400</v>
      </c>
      <c r="BH243" s="319">
        <f>SUMIF(Recibos!$D$4:$D$3010,Cobranza!$B243,Recibos!T$4:T$3010)</f>
        <v>400</v>
      </c>
      <c r="BI243" s="319">
        <f>SUMIF(Recibos!$D$4:$D$3010,Cobranza!$B243,Recibos!U$4:U$3010)</f>
        <v>0</v>
      </c>
      <c r="BJ243" s="319">
        <f>SUMIF(Recibos!$D$4:$D$3010,Cobranza!$B243,Recibos!V$4:V$3010)</f>
        <v>0</v>
      </c>
      <c r="BK243" s="320">
        <f t="shared" si="27"/>
        <v>4000</v>
      </c>
      <c r="BL243" s="319">
        <f>SUMIF(Recibos!$D$4:$D$3010,Cobranza!$B243,Recibos!X$4:X$3010)</f>
        <v>0</v>
      </c>
      <c r="BM243" s="319">
        <f>SUMIF(Recibos!$D$4:$D$3010,Cobranza!$B243,Recibos!Y$4:Y$3010)</f>
        <v>0</v>
      </c>
      <c r="BN243" s="319">
        <f>SUMIF(Recibos!$D$4:$D$3010,Cobranza!$B243,Recibos!Z$4:Z$3010)</f>
        <v>0</v>
      </c>
      <c r="BO243" s="319">
        <f>SUMIF(Recibos!$D$4:$D$3010,Cobranza!$B243,Recibos!AA$4:AA$3010)</f>
        <v>0</v>
      </c>
      <c r="BP243" s="319">
        <f>SUMIF(Recibos!$D$4:$D$3010,Cobranza!$B243,Recibos!AB$4:AB$3010)</f>
        <v>0</v>
      </c>
      <c r="BQ243" s="319">
        <f>SUMIF(Recibos!$D$4:$D$3010,Cobranza!$B243,Recibos!AC$4:AC$3010)</f>
        <v>0</v>
      </c>
      <c r="BR243" s="319">
        <f>SUMIF(Recibos!$D$4:$D$3010,Cobranza!$B243,Recibos!AD$4:AD$3010)</f>
        <v>0</v>
      </c>
      <c r="BS243" s="319">
        <f>SUMIF(Recibos!$D$4:$D$3010,Cobranza!$B243,Recibos!AE$4:AE$3010)</f>
        <v>0</v>
      </c>
      <c r="BT243" s="319">
        <f>SUMIF(Recibos!$D$4:$D$3010,Cobranza!$B243,Recibos!AF$4:AF$3010)</f>
        <v>0</v>
      </c>
      <c r="BU243" s="319">
        <f>SUMIF(Recibos!$D$4:$D$3010,Cobranza!$B243,Recibos!AG$4:AG$3010)</f>
        <v>0</v>
      </c>
      <c r="BV243" s="319">
        <f>SUMIF(Recibos!$D$4:$D$3010,Cobranza!$B243,Recibos!AH$4:AH$3010)</f>
        <v>0</v>
      </c>
      <c r="BW243" s="319">
        <f>SUMIF(Recibos!$D$4:$D$3010,Cobranza!$B243,Recibos!AI$4:AI$3010)</f>
        <v>0</v>
      </c>
      <c r="BX243" s="320">
        <f t="shared" si="28"/>
        <v>0</v>
      </c>
    </row>
    <row r="244" spans="2:76" x14ac:dyDescent="0.2">
      <c r="B244" s="42" t="s">
        <v>119</v>
      </c>
      <c r="C244" s="42" t="s">
        <v>120</v>
      </c>
      <c r="D244" s="42" t="s">
        <v>121</v>
      </c>
      <c r="E244" s="43">
        <v>0</v>
      </c>
      <c r="F244" s="43">
        <v>0</v>
      </c>
      <c r="G244" s="43">
        <v>0</v>
      </c>
      <c r="H244" s="43">
        <v>0</v>
      </c>
      <c r="I244" s="43">
        <v>300</v>
      </c>
      <c r="J244" s="43">
        <v>300</v>
      </c>
      <c r="K244" s="44">
        <f t="shared" si="23"/>
        <v>600</v>
      </c>
      <c r="L244" s="43">
        <v>300</v>
      </c>
      <c r="M244" s="43">
        <v>300</v>
      </c>
      <c r="N244" s="43">
        <v>300</v>
      </c>
      <c r="O244" s="43">
        <v>300</v>
      </c>
      <c r="P244" s="43">
        <v>300</v>
      </c>
      <c r="Q244" s="43">
        <v>300</v>
      </c>
      <c r="R244" s="43">
        <v>300</v>
      </c>
      <c r="S244" s="43">
        <v>300</v>
      </c>
      <c r="T244" s="43">
        <v>300</v>
      </c>
      <c r="U244" s="43">
        <v>400</v>
      </c>
      <c r="V244" s="43">
        <v>400</v>
      </c>
      <c r="W244" s="43">
        <v>400</v>
      </c>
      <c r="X244" s="44">
        <f t="shared" si="24"/>
        <v>3900</v>
      </c>
      <c r="Y244" s="43">
        <v>0</v>
      </c>
      <c r="Z244" s="43">
        <v>400</v>
      </c>
      <c r="AA244" s="43">
        <v>400</v>
      </c>
      <c r="AB244" s="43">
        <v>400</v>
      </c>
      <c r="AC244" s="43">
        <v>400</v>
      </c>
      <c r="AD244" s="43">
        <v>400</v>
      </c>
      <c r="AE244" s="43">
        <v>400</v>
      </c>
      <c r="AF244" s="43">
        <v>400</v>
      </c>
      <c r="AG244" s="43">
        <v>400</v>
      </c>
      <c r="AH244" s="43">
        <v>400</v>
      </c>
      <c r="AI244" s="43">
        <v>400</v>
      </c>
      <c r="AJ244" s="43">
        <v>400</v>
      </c>
      <c r="AK244" s="44">
        <f t="shared" si="25"/>
        <v>4400</v>
      </c>
      <c r="AL244" s="43">
        <v>400</v>
      </c>
      <c r="AM244" s="43">
        <v>400</v>
      </c>
      <c r="AN244" s="43">
        <v>400</v>
      </c>
      <c r="AO244" s="43">
        <v>400</v>
      </c>
      <c r="AP244" s="43">
        <v>400</v>
      </c>
      <c r="AQ244" s="43">
        <v>400</v>
      </c>
      <c r="AR244" s="43">
        <v>400</v>
      </c>
      <c r="AS244" s="43">
        <v>400</v>
      </c>
      <c r="AT244" s="43">
        <v>400</v>
      </c>
      <c r="AU244" s="43">
        <v>400</v>
      </c>
      <c r="AV244" s="43">
        <v>400</v>
      </c>
      <c r="AW244" s="43">
        <v>0</v>
      </c>
      <c r="AX244" s="44">
        <f t="shared" si="26"/>
        <v>4400</v>
      </c>
      <c r="AY244" s="317">
        <f>SUMIF(Recibos!$D$4:$D$3010,Cobranza!$B244,Recibos!K$4:K$3010)</f>
        <v>400</v>
      </c>
      <c r="AZ244" s="317">
        <f>SUMIF(Recibos!$D$4:$D$3010,Cobranza!$B244,Recibos!L$4:L$3010)</f>
        <v>400</v>
      </c>
      <c r="BA244" s="317">
        <f>SUMIF(Recibos!$D$4:$D$3010,Cobranza!$B244,Recibos!M$4:M$3010)</f>
        <v>400</v>
      </c>
      <c r="BB244" s="317">
        <f>SUMIF(Recibos!$D$4:$D$3010,Cobranza!$B244,Recibos!N$4:N$3010)</f>
        <v>400</v>
      </c>
      <c r="BC244" s="317">
        <f>SUMIF(Recibos!$D$4:$D$3010,Cobranza!$B244,Recibos!O$4:O$3010)</f>
        <v>400</v>
      </c>
      <c r="BD244" s="317">
        <f>SUMIF(Recibos!$D$4:$D$3010,Cobranza!$B244,Recibos!P$4:P$3010)</f>
        <v>400</v>
      </c>
      <c r="BE244" s="317">
        <f>SUMIF(Recibos!$D$4:$D$3010,Cobranza!$B244,Recibos!Q$4:Q$3010)</f>
        <v>400</v>
      </c>
      <c r="BF244" s="317">
        <f>SUMIF(Recibos!$D$4:$D$3010,Cobranza!$B244,Recibos!R$4:R$3010)</f>
        <v>400</v>
      </c>
      <c r="BG244" s="317">
        <f>SUMIF(Recibos!$D$4:$D$3010,Cobranza!$B244,Recibos!S$4:S$3010)</f>
        <v>400</v>
      </c>
      <c r="BH244" s="317">
        <f>SUMIF(Recibos!$D$4:$D$3010,Cobranza!$B244,Recibos!T$4:T$3010)</f>
        <v>400</v>
      </c>
      <c r="BI244" s="317">
        <f>SUMIF(Recibos!$D$4:$D$3010,Cobranza!$B244,Recibos!U$4:U$3010)</f>
        <v>400</v>
      </c>
      <c r="BJ244" s="317">
        <f>SUMIF(Recibos!$D$4:$D$3010,Cobranza!$B244,Recibos!V$4:V$3010)</f>
        <v>0</v>
      </c>
      <c r="BK244" s="318">
        <f t="shared" si="27"/>
        <v>4400</v>
      </c>
      <c r="BL244" s="317">
        <f>SUMIF(Recibos!$D$4:$D$3010,Cobranza!$B244,Recibos!X$4:X$3010)</f>
        <v>0</v>
      </c>
      <c r="BM244" s="317">
        <f>SUMIF(Recibos!$D$4:$D$3010,Cobranza!$B244,Recibos!Y$4:Y$3010)</f>
        <v>0</v>
      </c>
      <c r="BN244" s="317">
        <f>SUMIF(Recibos!$D$4:$D$3010,Cobranza!$B244,Recibos!Z$4:Z$3010)</f>
        <v>0</v>
      </c>
      <c r="BO244" s="317">
        <f>SUMIF(Recibos!$D$4:$D$3010,Cobranza!$B244,Recibos!AA$4:AA$3010)</f>
        <v>0</v>
      </c>
      <c r="BP244" s="317">
        <f>SUMIF(Recibos!$D$4:$D$3010,Cobranza!$B244,Recibos!AB$4:AB$3010)</f>
        <v>0</v>
      </c>
      <c r="BQ244" s="317">
        <f>SUMIF(Recibos!$D$4:$D$3010,Cobranza!$B244,Recibos!AC$4:AC$3010)</f>
        <v>0</v>
      </c>
      <c r="BR244" s="317">
        <f>SUMIF(Recibos!$D$4:$D$3010,Cobranza!$B244,Recibos!AD$4:AD$3010)</f>
        <v>0</v>
      </c>
      <c r="BS244" s="317">
        <f>SUMIF(Recibos!$D$4:$D$3010,Cobranza!$B244,Recibos!AE$4:AE$3010)</f>
        <v>0</v>
      </c>
      <c r="BT244" s="317">
        <f>SUMIF(Recibos!$D$4:$D$3010,Cobranza!$B244,Recibos!AF$4:AF$3010)</f>
        <v>0</v>
      </c>
      <c r="BU244" s="317">
        <f>SUMIF(Recibos!$D$4:$D$3010,Cobranza!$B244,Recibos!AG$4:AG$3010)</f>
        <v>0</v>
      </c>
      <c r="BV244" s="317">
        <f>SUMIF(Recibos!$D$4:$D$3010,Cobranza!$B244,Recibos!AH$4:AH$3010)</f>
        <v>0</v>
      </c>
      <c r="BW244" s="317">
        <f>SUMIF(Recibos!$D$4:$D$3010,Cobranza!$B244,Recibos!AI$4:AI$3010)</f>
        <v>0</v>
      </c>
      <c r="BX244" s="318">
        <f t="shared" si="28"/>
        <v>0</v>
      </c>
    </row>
    <row r="245" spans="2:76" x14ac:dyDescent="0.2">
      <c r="B245" s="45" t="s">
        <v>223</v>
      </c>
      <c r="C245" s="45" t="s">
        <v>224</v>
      </c>
      <c r="D245" s="45" t="s">
        <v>225</v>
      </c>
      <c r="E245" s="46">
        <v>0</v>
      </c>
      <c r="F245" s="46">
        <v>0</v>
      </c>
      <c r="G245" s="46">
        <v>0</v>
      </c>
      <c r="H245" s="46">
        <v>200</v>
      </c>
      <c r="I245" s="46">
        <v>200</v>
      </c>
      <c r="J245" s="46">
        <v>200</v>
      </c>
      <c r="K245" s="47">
        <f t="shared" si="23"/>
        <v>600</v>
      </c>
      <c r="L245" s="46">
        <v>200</v>
      </c>
      <c r="M245" s="46">
        <v>200</v>
      </c>
      <c r="N245" s="46">
        <v>200</v>
      </c>
      <c r="O245" s="46">
        <v>0</v>
      </c>
      <c r="P245" s="46">
        <v>0</v>
      </c>
      <c r="Q245" s="46">
        <v>0</v>
      </c>
      <c r="R245" s="46">
        <v>0</v>
      </c>
      <c r="S245" s="46">
        <v>0</v>
      </c>
      <c r="T245" s="46">
        <v>0</v>
      </c>
      <c r="U245" s="46">
        <v>0</v>
      </c>
      <c r="V245" s="46">
        <v>0</v>
      </c>
      <c r="W245" s="46">
        <v>0</v>
      </c>
      <c r="X245" s="47">
        <f t="shared" si="24"/>
        <v>600</v>
      </c>
      <c r="Y245" s="46">
        <v>0</v>
      </c>
      <c r="Z245" s="46">
        <v>0</v>
      </c>
      <c r="AA245" s="46">
        <v>0</v>
      </c>
      <c r="AB245" s="46">
        <v>0</v>
      </c>
      <c r="AC245" s="46">
        <v>0</v>
      </c>
      <c r="AD245" s="46">
        <v>0</v>
      </c>
      <c r="AE245" s="46">
        <v>0</v>
      </c>
      <c r="AF245" s="46">
        <v>0</v>
      </c>
      <c r="AG245" s="46">
        <v>0</v>
      </c>
      <c r="AH245" s="46">
        <v>0</v>
      </c>
      <c r="AI245" s="46">
        <v>0</v>
      </c>
      <c r="AJ245" s="46">
        <v>0</v>
      </c>
      <c r="AK245" s="47">
        <f t="shared" si="25"/>
        <v>0</v>
      </c>
      <c r="AL245" s="46">
        <v>0</v>
      </c>
      <c r="AM245" s="46">
        <v>0</v>
      </c>
      <c r="AN245" s="46">
        <v>0</v>
      </c>
      <c r="AO245" s="46">
        <v>0</v>
      </c>
      <c r="AP245" s="46">
        <v>0</v>
      </c>
      <c r="AQ245" s="46">
        <v>0</v>
      </c>
      <c r="AR245" s="46">
        <v>100</v>
      </c>
      <c r="AS245" s="46">
        <v>100</v>
      </c>
      <c r="AT245" s="46">
        <v>100</v>
      </c>
      <c r="AU245" s="46">
        <v>100</v>
      </c>
      <c r="AV245" s="46">
        <v>0</v>
      </c>
      <c r="AW245" s="46">
        <v>0</v>
      </c>
      <c r="AX245" s="47">
        <f t="shared" si="26"/>
        <v>400</v>
      </c>
      <c r="AY245" s="319">
        <f>SUMIF(Recibos!$D$4:$D$3010,Cobranza!$B245,Recibos!K$4:K$3010)</f>
        <v>100</v>
      </c>
      <c r="AZ245" s="319">
        <f>SUMIF(Recibos!$D$4:$D$3010,Cobranza!$B245,Recibos!L$4:L$3010)</f>
        <v>100</v>
      </c>
      <c r="BA245" s="319">
        <f>SUMIF(Recibos!$D$4:$D$3010,Cobranza!$B245,Recibos!M$4:M$3010)</f>
        <v>0</v>
      </c>
      <c r="BB245" s="319">
        <f>SUMIF(Recibos!$D$4:$D$3010,Cobranza!$B245,Recibos!N$4:N$3010)</f>
        <v>0</v>
      </c>
      <c r="BC245" s="319">
        <f>SUMIF(Recibos!$D$4:$D$3010,Cobranza!$B245,Recibos!O$4:O$3010)</f>
        <v>0</v>
      </c>
      <c r="BD245" s="319">
        <f>SUMIF(Recibos!$D$4:$D$3010,Cobranza!$B245,Recibos!P$4:P$3010)</f>
        <v>0</v>
      </c>
      <c r="BE245" s="319">
        <f>SUMIF(Recibos!$D$4:$D$3010,Cobranza!$B245,Recibos!Q$4:Q$3010)</f>
        <v>0</v>
      </c>
      <c r="BF245" s="319">
        <f>SUMIF(Recibos!$D$4:$D$3010,Cobranza!$B245,Recibos!R$4:R$3010)</f>
        <v>0</v>
      </c>
      <c r="BG245" s="319">
        <f>SUMIF(Recibos!$D$4:$D$3010,Cobranza!$B245,Recibos!S$4:S$3010)</f>
        <v>0</v>
      </c>
      <c r="BH245" s="319">
        <f>SUMIF(Recibos!$D$4:$D$3010,Cobranza!$B245,Recibos!T$4:T$3010)</f>
        <v>0</v>
      </c>
      <c r="BI245" s="319">
        <f>SUMIF(Recibos!$D$4:$D$3010,Cobranza!$B245,Recibos!U$4:U$3010)</f>
        <v>0</v>
      </c>
      <c r="BJ245" s="319">
        <f>SUMIF(Recibos!$D$4:$D$3010,Cobranza!$B245,Recibos!V$4:V$3010)</f>
        <v>0</v>
      </c>
      <c r="BK245" s="320">
        <f t="shared" si="27"/>
        <v>200</v>
      </c>
      <c r="BL245" s="319">
        <f>SUMIF(Recibos!$D$4:$D$3010,Cobranza!$B245,Recibos!X$4:X$3010)</f>
        <v>0</v>
      </c>
      <c r="BM245" s="319">
        <f>SUMIF(Recibos!$D$4:$D$3010,Cobranza!$B245,Recibos!Y$4:Y$3010)</f>
        <v>0</v>
      </c>
      <c r="BN245" s="319">
        <f>SUMIF(Recibos!$D$4:$D$3010,Cobranza!$B245,Recibos!Z$4:Z$3010)</f>
        <v>0</v>
      </c>
      <c r="BO245" s="319">
        <f>SUMIF(Recibos!$D$4:$D$3010,Cobranza!$B245,Recibos!AA$4:AA$3010)</f>
        <v>0</v>
      </c>
      <c r="BP245" s="319">
        <f>SUMIF(Recibos!$D$4:$D$3010,Cobranza!$B245,Recibos!AB$4:AB$3010)</f>
        <v>0</v>
      </c>
      <c r="BQ245" s="319">
        <f>SUMIF(Recibos!$D$4:$D$3010,Cobranza!$B245,Recibos!AC$4:AC$3010)</f>
        <v>0</v>
      </c>
      <c r="BR245" s="319">
        <f>SUMIF(Recibos!$D$4:$D$3010,Cobranza!$B245,Recibos!AD$4:AD$3010)</f>
        <v>0</v>
      </c>
      <c r="BS245" s="319">
        <f>SUMIF(Recibos!$D$4:$D$3010,Cobranza!$B245,Recibos!AE$4:AE$3010)</f>
        <v>0</v>
      </c>
      <c r="BT245" s="319">
        <f>SUMIF(Recibos!$D$4:$D$3010,Cobranza!$B245,Recibos!AF$4:AF$3010)</f>
        <v>0</v>
      </c>
      <c r="BU245" s="319">
        <f>SUMIF(Recibos!$D$4:$D$3010,Cobranza!$B245,Recibos!AG$4:AG$3010)</f>
        <v>0</v>
      </c>
      <c r="BV245" s="319">
        <f>SUMIF(Recibos!$D$4:$D$3010,Cobranza!$B245,Recibos!AH$4:AH$3010)</f>
        <v>0</v>
      </c>
      <c r="BW245" s="319">
        <f>SUMIF(Recibos!$D$4:$D$3010,Cobranza!$B245,Recibos!AI$4:AI$3010)</f>
        <v>0</v>
      </c>
      <c r="BX245" s="320">
        <f t="shared" si="28"/>
        <v>0</v>
      </c>
    </row>
    <row r="246" spans="2:76" x14ac:dyDescent="0.2">
      <c r="B246" s="42" t="s">
        <v>960</v>
      </c>
      <c r="C246" s="42" t="s">
        <v>961</v>
      </c>
      <c r="D246" s="42" t="s">
        <v>962</v>
      </c>
      <c r="E246" s="43">
        <v>0</v>
      </c>
      <c r="F246" s="43">
        <v>0</v>
      </c>
      <c r="G246" s="43">
        <v>0</v>
      </c>
      <c r="H246" s="43">
        <v>0</v>
      </c>
      <c r="I246" s="43">
        <v>0</v>
      </c>
      <c r="J246" s="43">
        <v>0</v>
      </c>
      <c r="K246" s="44">
        <f t="shared" si="23"/>
        <v>0</v>
      </c>
      <c r="L246" s="43">
        <v>0</v>
      </c>
      <c r="M246" s="43">
        <v>0</v>
      </c>
      <c r="N246" s="43">
        <v>0</v>
      </c>
      <c r="O246" s="43">
        <v>0</v>
      </c>
      <c r="P246" s="43">
        <v>0</v>
      </c>
      <c r="Q246" s="43">
        <v>0</v>
      </c>
      <c r="R246" s="43">
        <v>0</v>
      </c>
      <c r="S246" s="43">
        <v>0</v>
      </c>
      <c r="T246" s="43">
        <v>0</v>
      </c>
      <c r="U246" s="43">
        <v>0</v>
      </c>
      <c r="V246" s="43">
        <v>0</v>
      </c>
      <c r="W246" s="43">
        <v>0</v>
      </c>
      <c r="X246" s="44">
        <f t="shared" si="24"/>
        <v>0</v>
      </c>
      <c r="Y246" s="43">
        <v>0</v>
      </c>
      <c r="Z246" s="43">
        <v>0</v>
      </c>
      <c r="AA246" s="43">
        <v>0</v>
      </c>
      <c r="AB246" s="43">
        <v>0</v>
      </c>
      <c r="AC246" s="43">
        <v>0</v>
      </c>
      <c r="AD246" s="43">
        <v>0</v>
      </c>
      <c r="AE246" s="43">
        <v>0</v>
      </c>
      <c r="AF246" s="43">
        <v>0</v>
      </c>
      <c r="AG246" s="43">
        <v>0</v>
      </c>
      <c r="AH246" s="43">
        <v>0</v>
      </c>
      <c r="AI246" s="43">
        <v>0</v>
      </c>
      <c r="AJ246" s="43">
        <v>0</v>
      </c>
      <c r="AK246" s="44">
        <f t="shared" si="25"/>
        <v>0</v>
      </c>
      <c r="AL246" s="43">
        <v>400</v>
      </c>
      <c r="AM246" s="43">
        <v>400</v>
      </c>
      <c r="AN246" s="43">
        <v>0</v>
      </c>
      <c r="AO246" s="43">
        <v>0</v>
      </c>
      <c r="AP246" s="43">
        <v>0</v>
      </c>
      <c r="AQ246" s="43">
        <v>0</v>
      </c>
      <c r="AR246" s="43">
        <v>0</v>
      </c>
      <c r="AS246" s="43">
        <v>0</v>
      </c>
      <c r="AT246" s="43">
        <v>400</v>
      </c>
      <c r="AU246" s="43">
        <v>0</v>
      </c>
      <c r="AV246" s="43">
        <v>0</v>
      </c>
      <c r="AW246" s="43">
        <v>0</v>
      </c>
      <c r="AX246" s="44">
        <f t="shared" si="26"/>
        <v>1200</v>
      </c>
      <c r="AY246" s="317">
        <f>SUMIF(Recibos!$D$4:$D$3010,Cobranza!$B246,Recibos!K$4:K$3010)</f>
        <v>400</v>
      </c>
      <c r="AZ246" s="317">
        <f>SUMIF(Recibos!$D$4:$D$3010,Cobranza!$B246,Recibos!L$4:L$3010)</f>
        <v>400</v>
      </c>
      <c r="BA246" s="317">
        <f>SUMIF(Recibos!$D$4:$D$3010,Cobranza!$B246,Recibos!M$4:M$3010)</f>
        <v>400</v>
      </c>
      <c r="BB246" s="317">
        <f>SUMIF(Recibos!$D$4:$D$3010,Cobranza!$B246,Recibos!N$4:N$3010)</f>
        <v>400</v>
      </c>
      <c r="BC246" s="317">
        <f>SUMIF(Recibos!$D$4:$D$3010,Cobranza!$B246,Recibos!O$4:O$3010)</f>
        <v>400</v>
      </c>
      <c r="BD246" s="317">
        <f>SUMIF(Recibos!$D$4:$D$3010,Cobranza!$B246,Recibos!P$4:P$3010)</f>
        <v>400</v>
      </c>
      <c r="BE246" s="317">
        <f>SUMIF(Recibos!$D$4:$D$3010,Cobranza!$B246,Recibos!Q$4:Q$3010)</f>
        <v>400</v>
      </c>
      <c r="BF246" s="317">
        <f>SUMIF(Recibos!$D$4:$D$3010,Cobranza!$B246,Recibos!R$4:R$3010)</f>
        <v>400</v>
      </c>
      <c r="BG246" s="317">
        <f>SUMIF(Recibos!$D$4:$D$3010,Cobranza!$B246,Recibos!S$4:S$3010)</f>
        <v>400</v>
      </c>
      <c r="BH246" s="317">
        <f>SUMIF(Recibos!$D$4:$D$3010,Cobranza!$B246,Recibos!T$4:T$3010)</f>
        <v>0</v>
      </c>
      <c r="BI246" s="317">
        <f>SUMIF(Recibos!$D$4:$D$3010,Cobranza!$B246,Recibos!U$4:U$3010)</f>
        <v>0</v>
      </c>
      <c r="BJ246" s="317">
        <f>SUMIF(Recibos!$D$4:$D$3010,Cobranza!$B246,Recibos!V$4:V$3010)</f>
        <v>0</v>
      </c>
      <c r="BK246" s="318">
        <f t="shared" si="27"/>
        <v>3600</v>
      </c>
      <c r="BL246" s="317">
        <f>SUMIF(Recibos!$D$4:$D$3010,Cobranza!$B246,Recibos!X$4:X$3010)</f>
        <v>0</v>
      </c>
      <c r="BM246" s="317">
        <f>SUMIF(Recibos!$D$4:$D$3010,Cobranza!$B246,Recibos!Y$4:Y$3010)</f>
        <v>0</v>
      </c>
      <c r="BN246" s="317">
        <f>SUMIF(Recibos!$D$4:$D$3010,Cobranza!$B246,Recibos!Z$4:Z$3010)</f>
        <v>0</v>
      </c>
      <c r="BO246" s="317">
        <f>SUMIF(Recibos!$D$4:$D$3010,Cobranza!$B246,Recibos!AA$4:AA$3010)</f>
        <v>0</v>
      </c>
      <c r="BP246" s="317">
        <f>SUMIF(Recibos!$D$4:$D$3010,Cobranza!$B246,Recibos!AB$4:AB$3010)</f>
        <v>0</v>
      </c>
      <c r="BQ246" s="317">
        <f>SUMIF(Recibos!$D$4:$D$3010,Cobranza!$B246,Recibos!AC$4:AC$3010)</f>
        <v>0</v>
      </c>
      <c r="BR246" s="317">
        <f>SUMIF(Recibos!$D$4:$D$3010,Cobranza!$B246,Recibos!AD$4:AD$3010)</f>
        <v>0</v>
      </c>
      <c r="BS246" s="317">
        <f>SUMIF(Recibos!$D$4:$D$3010,Cobranza!$B246,Recibos!AE$4:AE$3010)</f>
        <v>0</v>
      </c>
      <c r="BT246" s="317">
        <f>SUMIF(Recibos!$D$4:$D$3010,Cobranza!$B246,Recibos!AF$4:AF$3010)</f>
        <v>0</v>
      </c>
      <c r="BU246" s="317">
        <f>SUMIF(Recibos!$D$4:$D$3010,Cobranza!$B246,Recibos!AG$4:AG$3010)</f>
        <v>0</v>
      </c>
      <c r="BV246" s="317">
        <f>SUMIF(Recibos!$D$4:$D$3010,Cobranza!$B246,Recibos!AH$4:AH$3010)</f>
        <v>0</v>
      </c>
      <c r="BW246" s="317">
        <f>SUMIF(Recibos!$D$4:$D$3010,Cobranza!$B246,Recibos!AI$4:AI$3010)</f>
        <v>0</v>
      </c>
      <c r="BX246" s="318">
        <f t="shared" si="28"/>
        <v>0</v>
      </c>
    </row>
    <row r="247" spans="2:76" x14ac:dyDescent="0.2">
      <c r="B247" s="45" t="s">
        <v>941</v>
      </c>
      <c r="C247" s="45" t="s">
        <v>942</v>
      </c>
      <c r="D247" s="45" t="s">
        <v>943</v>
      </c>
      <c r="E247" s="46">
        <v>0</v>
      </c>
      <c r="F247" s="46">
        <v>0</v>
      </c>
      <c r="G247" s="46">
        <v>0</v>
      </c>
      <c r="H247" s="46">
        <v>0</v>
      </c>
      <c r="I247" s="46">
        <v>0</v>
      </c>
      <c r="J247" s="46">
        <v>0</v>
      </c>
      <c r="K247" s="47">
        <f t="shared" si="23"/>
        <v>0</v>
      </c>
      <c r="L247" s="46">
        <v>150</v>
      </c>
      <c r="M247" s="46">
        <v>0</v>
      </c>
      <c r="N247" s="46">
        <v>0</v>
      </c>
      <c r="O247" s="46">
        <v>0</v>
      </c>
      <c r="P247" s="46">
        <v>0</v>
      </c>
      <c r="Q247" s="46">
        <v>0</v>
      </c>
      <c r="R247" s="46">
        <v>0</v>
      </c>
      <c r="S247" s="46">
        <v>0</v>
      </c>
      <c r="T247" s="46">
        <v>0</v>
      </c>
      <c r="U247" s="46">
        <v>0</v>
      </c>
      <c r="V247" s="46">
        <v>0</v>
      </c>
      <c r="W247" s="46">
        <v>0</v>
      </c>
      <c r="X247" s="47">
        <f t="shared" si="24"/>
        <v>150</v>
      </c>
      <c r="Y247" s="46">
        <v>0</v>
      </c>
      <c r="Z247" s="46">
        <v>0</v>
      </c>
      <c r="AA247" s="46">
        <v>0</v>
      </c>
      <c r="AB247" s="46">
        <v>0</v>
      </c>
      <c r="AC247" s="46">
        <v>0</v>
      </c>
      <c r="AD247" s="46">
        <v>0</v>
      </c>
      <c r="AE247" s="46">
        <v>0</v>
      </c>
      <c r="AF247" s="46">
        <v>0</v>
      </c>
      <c r="AG247" s="46">
        <v>0</v>
      </c>
      <c r="AH247" s="46">
        <v>0</v>
      </c>
      <c r="AI247" s="46">
        <v>0</v>
      </c>
      <c r="AJ247" s="46">
        <v>0</v>
      </c>
      <c r="AK247" s="47">
        <f t="shared" si="25"/>
        <v>0</v>
      </c>
      <c r="AL247" s="46">
        <v>0</v>
      </c>
      <c r="AM247" s="46">
        <v>0</v>
      </c>
      <c r="AN247" s="46">
        <v>0</v>
      </c>
      <c r="AO247" s="46">
        <v>0</v>
      </c>
      <c r="AP247" s="46">
        <v>0</v>
      </c>
      <c r="AQ247" s="46">
        <v>0</v>
      </c>
      <c r="AR247" s="46">
        <v>0</v>
      </c>
      <c r="AS247" s="46">
        <v>0</v>
      </c>
      <c r="AT247" s="46">
        <v>0</v>
      </c>
      <c r="AU247" s="46">
        <v>0</v>
      </c>
      <c r="AV247" s="46">
        <v>0</v>
      </c>
      <c r="AW247" s="46">
        <v>0</v>
      </c>
      <c r="AX247" s="47">
        <f t="shared" si="26"/>
        <v>0</v>
      </c>
      <c r="AY247" s="319">
        <f>SUMIF(Recibos!$D$4:$D$3010,Cobranza!$B247,Recibos!K$4:K$3010)</f>
        <v>0</v>
      </c>
      <c r="AZ247" s="319">
        <f>SUMIF(Recibos!$D$4:$D$3010,Cobranza!$B247,Recibos!L$4:L$3010)</f>
        <v>0</v>
      </c>
      <c r="BA247" s="319">
        <f>SUMIF(Recibos!$D$4:$D$3010,Cobranza!$B247,Recibos!M$4:M$3010)</f>
        <v>0</v>
      </c>
      <c r="BB247" s="319">
        <f>SUMIF(Recibos!$D$4:$D$3010,Cobranza!$B247,Recibos!N$4:N$3010)</f>
        <v>0</v>
      </c>
      <c r="BC247" s="319">
        <f>SUMIF(Recibos!$D$4:$D$3010,Cobranza!$B247,Recibos!O$4:O$3010)</f>
        <v>200</v>
      </c>
      <c r="BD247" s="319">
        <f>SUMIF(Recibos!$D$4:$D$3010,Cobranza!$B247,Recibos!P$4:P$3010)</f>
        <v>0</v>
      </c>
      <c r="BE247" s="319">
        <f>SUMIF(Recibos!$D$4:$D$3010,Cobranza!$B247,Recibos!Q$4:Q$3010)</f>
        <v>0</v>
      </c>
      <c r="BF247" s="319">
        <f>SUMIF(Recibos!$D$4:$D$3010,Cobranza!$B247,Recibos!R$4:R$3010)</f>
        <v>200</v>
      </c>
      <c r="BG247" s="319">
        <f>SUMIF(Recibos!$D$4:$D$3010,Cobranza!$B247,Recibos!S$4:S$3010)</f>
        <v>200</v>
      </c>
      <c r="BH247" s="319">
        <f>SUMIF(Recibos!$D$4:$D$3010,Cobranza!$B247,Recibos!T$4:T$3010)</f>
        <v>200</v>
      </c>
      <c r="BI247" s="319">
        <f>SUMIF(Recibos!$D$4:$D$3010,Cobranza!$B247,Recibos!U$4:U$3010)</f>
        <v>200</v>
      </c>
      <c r="BJ247" s="319">
        <f>SUMIF(Recibos!$D$4:$D$3010,Cobranza!$B247,Recibos!V$4:V$3010)</f>
        <v>200</v>
      </c>
      <c r="BK247" s="320">
        <f t="shared" si="27"/>
        <v>1200</v>
      </c>
      <c r="BL247" s="319">
        <f>SUMIF(Recibos!$D$4:$D$3010,Cobranza!$B247,Recibos!X$4:X$3010)</f>
        <v>0</v>
      </c>
      <c r="BM247" s="319">
        <f>SUMIF(Recibos!$D$4:$D$3010,Cobranza!$B247,Recibos!Y$4:Y$3010)</f>
        <v>0</v>
      </c>
      <c r="BN247" s="319">
        <f>SUMIF(Recibos!$D$4:$D$3010,Cobranza!$B247,Recibos!Z$4:Z$3010)</f>
        <v>0</v>
      </c>
      <c r="BO247" s="319">
        <f>SUMIF(Recibos!$D$4:$D$3010,Cobranza!$B247,Recibos!AA$4:AA$3010)</f>
        <v>0</v>
      </c>
      <c r="BP247" s="319">
        <f>SUMIF(Recibos!$D$4:$D$3010,Cobranza!$B247,Recibos!AB$4:AB$3010)</f>
        <v>0</v>
      </c>
      <c r="BQ247" s="319">
        <f>SUMIF(Recibos!$D$4:$D$3010,Cobranza!$B247,Recibos!AC$4:AC$3010)</f>
        <v>0</v>
      </c>
      <c r="BR247" s="319">
        <f>SUMIF(Recibos!$D$4:$D$3010,Cobranza!$B247,Recibos!AD$4:AD$3010)</f>
        <v>0</v>
      </c>
      <c r="BS247" s="319">
        <f>SUMIF(Recibos!$D$4:$D$3010,Cobranza!$B247,Recibos!AE$4:AE$3010)</f>
        <v>0</v>
      </c>
      <c r="BT247" s="319">
        <f>SUMIF(Recibos!$D$4:$D$3010,Cobranza!$B247,Recibos!AF$4:AF$3010)</f>
        <v>0</v>
      </c>
      <c r="BU247" s="319">
        <f>SUMIF(Recibos!$D$4:$D$3010,Cobranza!$B247,Recibos!AG$4:AG$3010)</f>
        <v>0</v>
      </c>
      <c r="BV247" s="319">
        <f>SUMIF(Recibos!$D$4:$D$3010,Cobranza!$B247,Recibos!AH$4:AH$3010)</f>
        <v>0</v>
      </c>
      <c r="BW247" s="319">
        <f>SUMIF(Recibos!$D$4:$D$3010,Cobranza!$B247,Recibos!AI$4:AI$3010)</f>
        <v>0</v>
      </c>
      <c r="BX247" s="320">
        <f t="shared" si="28"/>
        <v>0</v>
      </c>
    </row>
    <row r="248" spans="2:76" x14ac:dyDescent="0.2">
      <c r="B248" s="42" t="s">
        <v>592</v>
      </c>
      <c r="C248" s="42" t="s">
        <v>593</v>
      </c>
      <c r="D248" s="42" t="s">
        <v>594</v>
      </c>
      <c r="E248" s="43">
        <v>0</v>
      </c>
      <c r="F248" s="43">
        <v>0</v>
      </c>
      <c r="G248" s="43">
        <v>0</v>
      </c>
      <c r="H248" s="43">
        <v>0</v>
      </c>
      <c r="I248" s="43">
        <v>0</v>
      </c>
      <c r="J248" s="43">
        <v>300</v>
      </c>
      <c r="K248" s="44">
        <f t="shared" si="23"/>
        <v>300</v>
      </c>
      <c r="L248" s="43">
        <v>300</v>
      </c>
      <c r="M248" s="43">
        <v>300</v>
      </c>
      <c r="N248" s="43">
        <v>300</v>
      </c>
      <c r="O248" s="43">
        <v>300</v>
      </c>
      <c r="P248" s="43">
        <v>300</v>
      </c>
      <c r="Q248" s="43">
        <v>300</v>
      </c>
      <c r="R248" s="43">
        <v>300</v>
      </c>
      <c r="S248" s="43">
        <v>300</v>
      </c>
      <c r="T248" s="43">
        <v>300</v>
      </c>
      <c r="U248" s="43">
        <v>300</v>
      </c>
      <c r="V248" s="43">
        <v>400</v>
      </c>
      <c r="W248" s="43">
        <v>400</v>
      </c>
      <c r="X248" s="44">
        <f t="shared" si="24"/>
        <v>3800</v>
      </c>
      <c r="Y248" s="43">
        <v>400</v>
      </c>
      <c r="Z248" s="43">
        <v>400</v>
      </c>
      <c r="AA248" s="43">
        <v>400</v>
      </c>
      <c r="AB248" s="43">
        <v>400</v>
      </c>
      <c r="AC248" s="43">
        <v>400</v>
      </c>
      <c r="AD248" s="43">
        <v>400</v>
      </c>
      <c r="AE248" s="43">
        <v>400</v>
      </c>
      <c r="AF248" s="43">
        <v>400</v>
      </c>
      <c r="AG248" s="43">
        <v>400</v>
      </c>
      <c r="AH248" s="43">
        <v>400</v>
      </c>
      <c r="AI248" s="43">
        <v>400</v>
      </c>
      <c r="AJ248" s="43">
        <v>400</v>
      </c>
      <c r="AK248" s="44">
        <f t="shared" si="25"/>
        <v>4800</v>
      </c>
      <c r="AL248" s="43">
        <v>400</v>
      </c>
      <c r="AM248" s="43">
        <v>400</v>
      </c>
      <c r="AN248" s="43">
        <v>400</v>
      </c>
      <c r="AO248" s="43">
        <v>400</v>
      </c>
      <c r="AP248" s="43">
        <v>400</v>
      </c>
      <c r="AQ248" s="43">
        <v>400</v>
      </c>
      <c r="AR248" s="43">
        <v>400</v>
      </c>
      <c r="AS248" s="43">
        <v>400</v>
      </c>
      <c r="AT248" s="43">
        <v>400</v>
      </c>
      <c r="AU248" s="43">
        <v>400</v>
      </c>
      <c r="AV248" s="43">
        <v>400</v>
      </c>
      <c r="AW248" s="43">
        <v>400</v>
      </c>
      <c r="AX248" s="44">
        <f t="shared" si="26"/>
        <v>4800</v>
      </c>
      <c r="AY248" s="317">
        <f>SUMIF(Recibos!$D$4:$D$3010,Cobranza!$B248,Recibos!K$4:K$3010)</f>
        <v>400</v>
      </c>
      <c r="AZ248" s="317">
        <f>SUMIF(Recibos!$D$4:$D$3010,Cobranza!$B248,Recibos!L$4:L$3010)</f>
        <v>400</v>
      </c>
      <c r="BA248" s="317">
        <f>SUMIF(Recibos!$D$4:$D$3010,Cobranza!$B248,Recibos!M$4:M$3010)</f>
        <v>400</v>
      </c>
      <c r="BB248" s="317">
        <f>SUMIF(Recibos!$D$4:$D$3010,Cobranza!$B248,Recibos!N$4:N$3010)</f>
        <v>400</v>
      </c>
      <c r="BC248" s="317">
        <f>SUMIF(Recibos!$D$4:$D$3010,Cobranza!$B248,Recibos!O$4:O$3010)</f>
        <v>400</v>
      </c>
      <c r="BD248" s="317">
        <f>SUMIF(Recibos!$D$4:$D$3010,Cobranza!$B248,Recibos!P$4:P$3010)</f>
        <v>400</v>
      </c>
      <c r="BE248" s="317">
        <f>SUMIF(Recibos!$D$4:$D$3010,Cobranza!$B248,Recibos!Q$4:Q$3010)</f>
        <v>400</v>
      </c>
      <c r="BF248" s="317">
        <f>SUMIF(Recibos!$D$4:$D$3010,Cobranza!$B248,Recibos!R$4:R$3010)</f>
        <v>400</v>
      </c>
      <c r="BG248" s="317">
        <f>SUMIF(Recibos!$D$4:$D$3010,Cobranza!$B248,Recibos!S$4:S$3010)</f>
        <v>400</v>
      </c>
      <c r="BH248" s="317">
        <f>SUMIF(Recibos!$D$4:$D$3010,Cobranza!$B248,Recibos!T$4:T$3010)</f>
        <v>400</v>
      </c>
      <c r="BI248" s="317">
        <f>SUMIF(Recibos!$D$4:$D$3010,Cobranza!$B248,Recibos!U$4:U$3010)</f>
        <v>400</v>
      </c>
      <c r="BJ248" s="317">
        <f>SUMIF(Recibos!$D$4:$D$3010,Cobranza!$B248,Recibos!V$4:V$3010)</f>
        <v>400</v>
      </c>
      <c r="BK248" s="318">
        <f t="shared" si="27"/>
        <v>4800</v>
      </c>
      <c r="BL248" s="317">
        <f>SUMIF(Recibos!$D$4:$D$3010,Cobranza!$B248,Recibos!X$4:X$3010)</f>
        <v>0</v>
      </c>
      <c r="BM248" s="317">
        <f>SUMIF(Recibos!$D$4:$D$3010,Cobranza!$B248,Recibos!Y$4:Y$3010)</f>
        <v>0</v>
      </c>
      <c r="BN248" s="317">
        <f>SUMIF(Recibos!$D$4:$D$3010,Cobranza!$B248,Recibos!Z$4:Z$3010)</f>
        <v>0</v>
      </c>
      <c r="BO248" s="317">
        <f>SUMIF(Recibos!$D$4:$D$3010,Cobranza!$B248,Recibos!AA$4:AA$3010)</f>
        <v>0</v>
      </c>
      <c r="BP248" s="317">
        <f>SUMIF(Recibos!$D$4:$D$3010,Cobranza!$B248,Recibos!AB$4:AB$3010)</f>
        <v>0</v>
      </c>
      <c r="BQ248" s="317">
        <f>SUMIF(Recibos!$D$4:$D$3010,Cobranza!$B248,Recibos!AC$4:AC$3010)</f>
        <v>0</v>
      </c>
      <c r="BR248" s="317">
        <f>SUMIF(Recibos!$D$4:$D$3010,Cobranza!$B248,Recibos!AD$4:AD$3010)</f>
        <v>0</v>
      </c>
      <c r="BS248" s="317">
        <f>SUMIF(Recibos!$D$4:$D$3010,Cobranza!$B248,Recibos!AE$4:AE$3010)</f>
        <v>0</v>
      </c>
      <c r="BT248" s="317">
        <f>SUMIF(Recibos!$D$4:$D$3010,Cobranza!$B248,Recibos!AF$4:AF$3010)</f>
        <v>0</v>
      </c>
      <c r="BU248" s="317">
        <f>SUMIF(Recibos!$D$4:$D$3010,Cobranza!$B248,Recibos!AG$4:AG$3010)</f>
        <v>0</v>
      </c>
      <c r="BV248" s="317">
        <f>SUMIF(Recibos!$D$4:$D$3010,Cobranza!$B248,Recibos!AH$4:AH$3010)</f>
        <v>0</v>
      </c>
      <c r="BW248" s="317">
        <f>SUMIF(Recibos!$D$4:$D$3010,Cobranza!$B248,Recibos!AI$4:AI$3010)</f>
        <v>0</v>
      </c>
      <c r="BX248" s="318">
        <f t="shared" si="28"/>
        <v>0</v>
      </c>
    </row>
    <row r="249" spans="2:76" x14ac:dyDescent="0.2">
      <c r="B249" s="45" t="s">
        <v>226</v>
      </c>
      <c r="C249" s="45" t="s">
        <v>227</v>
      </c>
      <c r="D249" s="45" t="s">
        <v>228</v>
      </c>
      <c r="E249" s="46">
        <v>0</v>
      </c>
      <c r="F249" s="46">
        <v>0</v>
      </c>
      <c r="G249" s="46">
        <v>0</v>
      </c>
      <c r="H249" s="46">
        <v>0</v>
      </c>
      <c r="I249" s="46">
        <v>0</v>
      </c>
      <c r="J249" s="46">
        <v>200</v>
      </c>
      <c r="K249" s="47">
        <f t="shared" si="23"/>
        <v>200</v>
      </c>
      <c r="L249" s="46">
        <v>200</v>
      </c>
      <c r="M249" s="46">
        <v>200</v>
      </c>
      <c r="N249" s="46">
        <v>200</v>
      </c>
      <c r="O249" s="46">
        <v>200</v>
      </c>
      <c r="P249" s="46">
        <v>200</v>
      </c>
      <c r="Q249" s="46">
        <v>200</v>
      </c>
      <c r="R249" s="46">
        <v>200</v>
      </c>
      <c r="S249" s="46">
        <v>200</v>
      </c>
      <c r="T249" s="46">
        <v>200</v>
      </c>
      <c r="U249" s="46">
        <v>200</v>
      </c>
      <c r="V249" s="46">
        <v>200</v>
      </c>
      <c r="W249" s="46">
        <v>0</v>
      </c>
      <c r="X249" s="47">
        <f t="shared" si="24"/>
        <v>2200</v>
      </c>
      <c r="Y249" s="46">
        <v>200</v>
      </c>
      <c r="Z249" s="46">
        <v>0</v>
      </c>
      <c r="AA249" s="46">
        <v>200</v>
      </c>
      <c r="AB249" s="46">
        <v>200</v>
      </c>
      <c r="AC249" s="46">
        <v>0</v>
      </c>
      <c r="AD249" s="46">
        <v>0</v>
      </c>
      <c r="AE249" s="46">
        <v>0</v>
      </c>
      <c r="AF249" s="46">
        <v>0</v>
      </c>
      <c r="AG249" s="46">
        <v>0</v>
      </c>
      <c r="AH249" s="46">
        <v>0</v>
      </c>
      <c r="AI249" s="46">
        <v>0</v>
      </c>
      <c r="AJ249" s="46">
        <v>0</v>
      </c>
      <c r="AK249" s="47">
        <f t="shared" si="25"/>
        <v>600</v>
      </c>
      <c r="AL249" s="46">
        <v>0</v>
      </c>
      <c r="AM249" s="46">
        <v>0</v>
      </c>
      <c r="AN249" s="46">
        <v>0</v>
      </c>
      <c r="AO249" s="46">
        <v>0</v>
      </c>
      <c r="AP249" s="46">
        <v>0</v>
      </c>
      <c r="AQ249" s="46">
        <v>0</v>
      </c>
      <c r="AR249" s="46">
        <v>0</v>
      </c>
      <c r="AS249" s="46">
        <v>0</v>
      </c>
      <c r="AT249" s="46">
        <v>0</v>
      </c>
      <c r="AU249" s="46">
        <v>200</v>
      </c>
      <c r="AV249" s="46">
        <v>200</v>
      </c>
      <c r="AW249" s="46">
        <v>200</v>
      </c>
      <c r="AX249" s="47">
        <f t="shared" si="26"/>
        <v>600</v>
      </c>
      <c r="AY249" s="319">
        <f>SUMIF(Recibos!$D$4:$D$3010,Cobranza!$B249,Recibos!K$4:K$3010)</f>
        <v>200</v>
      </c>
      <c r="AZ249" s="319">
        <f>SUMIF(Recibos!$D$4:$D$3010,Cobranza!$B249,Recibos!L$4:L$3010)</f>
        <v>200</v>
      </c>
      <c r="BA249" s="319">
        <f>SUMIF(Recibos!$D$4:$D$3010,Cobranza!$B249,Recibos!M$4:M$3010)</f>
        <v>0</v>
      </c>
      <c r="BB249" s="319">
        <f>SUMIF(Recibos!$D$4:$D$3010,Cobranza!$B249,Recibos!N$4:N$3010)</f>
        <v>200</v>
      </c>
      <c r="BC249" s="319">
        <f>SUMIF(Recibos!$D$4:$D$3010,Cobranza!$B249,Recibos!O$4:O$3010)</f>
        <v>200</v>
      </c>
      <c r="BD249" s="319">
        <f>SUMIF(Recibos!$D$4:$D$3010,Cobranza!$B249,Recibos!P$4:P$3010)</f>
        <v>200</v>
      </c>
      <c r="BE249" s="319">
        <f>SUMIF(Recibos!$D$4:$D$3010,Cobranza!$B249,Recibos!Q$4:Q$3010)</f>
        <v>200</v>
      </c>
      <c r="BF249" s="319">
        <f>SUMIF(Recibos!$D$4:$D$3010,Cobranza!$B249,Recibos!R$4:R$3010)</f>
        <v>200</v>
      </c>
      <c r="BG249" s="319">
        <f>SUMIF(Recibos!$D$4:$D$3010,Cobranza!$B249,Recibos!S$4:S$3010)</f>
        <v>200</v>
      </c>
      <c r="BH249" s="319">
        <f>SUMIF(Recibos!$D$4:$D$3010,Cobranza!$B249,Recibos!T$4:T$3010)</f>
        <v>200</v>
      </c>
      <c r="BI249" s="319">
        <f>SUMIF(Recibos!$D$4:$D$3010,Cobranza!$B249,Recibos!U$4:U$3010)</f>
        <v>200</v>
      </c>
      <c r="BJ249" s="319">
        <f>SUMIF(Recibos!$D$4:$D$3010,Cobranza!$B249,Recibos!V$4:V$3010)</f>
        <v>200</v>
      </c>
      <c r="BK249" s="320">
        <f t="shared" si="27"/>
        <v>2200</v>
      </c>
      <c r="BL249" s="319">
        <f>SUMIF(Recibos!$D$4:$D$3010,Cobranza!$B249,Recibos!X$4:X$3010)</f>
        <v>0</v>
      </c>
      <c r="BM249" s="319">
        <f>SUMIF(Recibos!$D$4:$D$3010,Cobranza!$B249,Recibos!Y$4:Y$3010)</f>
        <v>0</v>
      </c>
      <c r="BN249" s="319">
        <f>SUMIF(Recibos!$D$4:$D$3010,Cobranza!$B249,Recibos!Z$4:Z$3010)</f>
        <v>0</v>
      </c>
      <c r="BO249" s="319">
        <f>SUMIF(Recibos!$D$4:$D$3010,Cobranza!$B249,Recibos!AA$4:AA$3010)</f>
        <v>0</v>
      </c>
      <c r="BP249" s="319">
        <f>SUMIF(Recibos!$D$4:$D$3010,Cobranza!$B249,Recibos!AB$4:AB$3010)</f>
        <v>0</v>
      </c>
      <c r="BQ249" s="319">
        <f>SUMIF(Recibos!$D$4:$D$3010,Cobranza!$B249,Recibos!AC$4:AC$3010)</f>
        <v>0</v>
      </c>
      <c r="BR249" s="319">
        <f>SUMIF(Recibos!$D$4:$D$3010,Cobranza!$B249,Recibos!AD$4:AD$3010)</f>
        <v>0</v>
      </c>
      <c r="BS249" s="319">
        <f>SUMIF(Recibos!$D$4:$D$3010,Cobranza!$B249,Recibos!AE$4:AE$3010)</f>
        <v>0</v>
      </c>
      <c r="BT249" s="319">
        <f>SUMIF(Recibos!$D$4:$D$3010,Cobranza!$B249,Recibos!AF$4:AF$3010)</f>
        <v>0</v>
      </c>
      <c r="BU249" s="319">
        <f>SUMIF(Recibos!$D$4:$D$3010,Cobranza!$B249,Recibos!AG$4:AG$3010)</f>
        <v>0</v>
      </c>
      <c r="BV249" s="319">
        <f>SUMIF(Recibos!$D$4:$D$3010,Cobranza!$B249,Recibos!AH$4:AH$3010)</f>
        <v>0</v>
      </c>
      <c r="BW249" s="319">
        <f>SUMIF(Recibos!$D$4:$D$3010,Cobranza!$B249,Recibos!AI$4:AI$3010)</f>
        <v>0</v>
      </c>
      <c r="BX249" s="320">
        <f t="shared" si="28"/>
        <v>0</v>
      </c>
    </row>
    <row r="250" spans="2:76" x14ac:dyDescent="0.2">
      <c r="B250" s="42" t="s">
        <v>840</v>
      </c>
      <c r="C250" s="42" t="s">
        <v>841</v>
      </c>
      <c r="D250" s="42" t="s">
        <v>842</v>
      </c>
      <c r="E250" s="43">
        <v>0</v>
      </c>
      <c r="F250" s="43">
        <v>0</v>
      </c>
      <c r="G250" s="43">
        <v>0</v>
      </c>
      <c r="H250" s="43">
        <v>0</v>
      </c>
      <c r="I250" s="43">
        <v>0</v>
      </c>
      <c r="J250" s="43">
        <v>300</v>
      </c>
      <c r="K250" s="44">
        <f t="shared" si="23"/>
        <v>300</v>
      </c>
      <c r="L250" s="43">
        <v>300</v>
      </c>
      <c r="M250" s="43">
        <v>300</v>
      </c>
      <c r="N250" s="43">
        <v>300</v>
      </c>
      <c r="O250" s="43">
        <v>300</v>
      </c>
      <c r="P250" s="43">
        <v>300</v>
      </c>
      <c r="Q250" s="43">
        <v>300</v>
      </c>
      <c r="R250" s="43">
        <v>300</v>
      </c>
      <c r="S250" s="43">
        <v>300</v>
      </c>
      <c r="T250" s="43">
        <v>300</v>
      </c>
      <c r="U250" s="43">
        <v>400</v>
      </c>
      <c r="V250" s="43">
        <v>400</v>
      </c>
      <c r="W250" s="43">
        <v>400</v>
      </c>
      <c r="X250" s="44">
        <f t="shared" si="24"/>
        <v>3900</v>
      </c>
      <c r="Y250" s="43">
        <v>400</v>
      </c>
      <c r="Z250" s="43">
        <v>400</v>
      </c>
      <c r="AA250" s="43">
        <v>400</v>
      </c>
      <c r="AB250" s="43">
        <v>400</v>
      </c>
      <c r="AC250" s="43">
        <v>400</v>
      </c>
      <c r="AD250" s="43">
        <v>400</v>
      </c>
      <c r="AE250" s="43">
        <v>400</v>
      </c>
      <c r="AF250" s="43">
        <v>400</v>
      </c>
      <c r="AG250" s="43">
        <v>400</v>
      </c>
      <c r="AH250" s="43">
        <v>400</v>
      </c>
      <c r="AI250" s="43">
        <v>400</v>
      </c>
      <c r="AJ250" s="43">
        <v>400</v>
      </c>
      <c r="AK250" s="44">
        <f t="shared" si="25"/>
        <v>4800</v>
      </c>
      <c r="AL250" s="43">
        <v>400</v>
      </c>
      <c r="AM250" s="43">
        <v>400</v>
      </c>
      <c r="AN250" s="43">
        <v>400</v>
      </c>
      <c r="AO250" s="43">
        <v>400</v>
      </c>
      <c r="AP250" s="43">
        <v>400</v>
      </c>
      <c r="AQ250" s="43">
        <v>400</v>
      </c>
      <c r="AR250" s="43">
        <v>400</v>
      </c>
      <c r="AS250" s="43">
        <v>400</v>
      </c>
      <c r="AT250" s="43">
        <v>400</v>
      </c>
      <c r="AU250" s="43">
        <v>400</v>
      </c>
      <c r="AV250" s="43">
        <v>400</v>
      </c>
      <c r="AW250" s="43">
        <v>400</v>
      </c>
      <c r="AX250" s="44">
        <f t="shared" si="26"/>
        <v>4800</v>
      </c>
      <c r="AY250" s="317">
        <f>SUMIF(Recibos!$D$4:$D$3010,Cobranza!$B250,Recibos!K$4:K$3010)</f>
        <v>400</v>
      </c>
      <c r="AZ250" s="317">
        <f>SUMIF(Recibos!$D$4:$D$3010,Cobranza!$B250,Recibos!L$4:L$3010)</f>
        <v>400</v>
      </c>
      <c r="BA250" s="317">
        <f>SUMIF(Recibos!$D$4:$D$3010,Cobranza!$B250,Recibos!M$4:M$3010)</f>
        <v>400</v>
      </c>
      <c r="BB250" s="317">
        <f>SUMIF(Recibos!$D$4:$D$3010,Cobranza!$B250,Recibos!N$4:N$3010)</f>
        <v>400</v>
      </c>
      <c r="BC250" s="317">
        <f>SUMIF(Recibos!$D$4:$D$3010,Cobranza!$B250,Recibos!O$4:O$3010)</f>
        <v>400</v>
      </c>
      <c r="BD250" s="317">
        <f>SUMIF(Recibos!$D$4:$D$3010,Cobranza!$B250,Recibos!P$4:P$3010)</f>
        <v>400</v>
      </c>
      <c r="BE250" s="317">
        <f>SUMIF(Recibos!$D$4:$D$3010,Cobranza!$B250,Recibos!Q$4:Q$3010)</f>
        <v>400</v>
      </c>
      <c r="BF250" s="317">
        <f>SUMIF(Recibos!$D$4:$D$3010,Cobranza!$B250,Recibos!R$4:R$3010)</f>
        <v>400</v>
      </c>
      <c r="BG250" s="317">
        <f>SUMIF(Recibos!$D$4:$D$3010,Cobranza!$B250,Recibos!S$4:S$3010)</f>
        <v>400</v>
      </c>
      <c r="BH250" s="317">
        <f>SUMIF(Recibos!$D$4:$D$3010,Cobranza!$B250,Recibos!T$4:T$3010)</f>
        <v>0</v>
      </c>
      <c r="BI250" s="317">
        <f>SUMIF(Recibos!$D$4:$D$3010,Cobranza!$B250,Recibos!U$4:U$3010)</f>
        <v>0</v>
      </c>
      <c r="BJ250" s="317">
        <f>SUMIF(Recibos!$D$4:$D$3010,Cobranza!$B250,Recibos!V$4:V$3010)</f>
        <v>0</v>
      </c>
      <c r="BK250" s="318">
        <f t="shared" si="27"/>
        <v>3600</v>
      </c>
      <c r="BL250" s="317">
        <f>SUMIF(Recibos!$D$4:$D$3010,Cobranza!$B250,Recibos!X$4:X$3010)</f>
        <v>0</v>
      </c>
      <c r="BM250" s="317">
        <f>SUMIF(Recibos!$D$4:$D$3010,Cobranza!$B250,Recibos!Y$4:Y$3010)</f>
        <v>0</v>
      </c>
      <c r="BN250" s="317">
        <f>SUMIF(Recibos!$D$4:$D$3010,Cobranza!$B250,Recibos!Z$4:Z$3010)</f>
        <v>0</v>
      </c>
      <c r="BO250" s="317">
        <f>SUMIF(Recibos!$D$4:$D$3010,Cobranza!$B250,Recibos!AA$4:AA$3010)</f>
        <v>0</v>
      </c>
      <c r="BP250" s="317">
        <f>SUMIF(Recibos!$D$4:$D$3010,Cobranza!$B250,Recibos!AB$4:AB$3010)</f>
        <v>0</v>
      </c>
      <c r="BQ250" s="317">
        <f>SUMIF(Recibos!$D$4:$D$3010,Cobranza!$B250,Recibos!AC$4:AC$3010)</f>
        <v>0</v>
      </c>
      <c r="BR250" s="317">
        <f>SUMIF(Recibos!$D$4:$D$3010,Cobranza!$B250,Recibos!AD$4:AD$3010)</f>
        <v>0</v>
      </c>
      <c r="BS250" s="317">
        <f>SUMIF(Recibos!$D$4:$D$3010,Cobranza!$B250,Recibos!AE$4:AE$3010)</f>
        <v>0</v>
      </c>
      <c r="BT250" s="317">
        <f>SUMIF(Recibos!$D$4:$D$3010,Cobranza!$B250,Recibos!AF$4:AF$3010)</f>
        <v>0</v>
      </c>
      <c r="BU250" s="317">
        <f>SUMIF(Recibos!$D$4:$D$3010,Cobranza!$B250,Recibos!AG$4:AG$3010)</f>
        <v>0</v>
      </c>
      <c r="BV250" s="317">
        <f>SUMIF(Recibos!$D$4:$D$3010,Cobranza!$B250,Recibos!AH$4:AH$3010)</f>
        <v>0</v>
      </c>
      <c r="BW250" s="317">
        <f>SUMIF(Recibos!$D$4:$D$3010,Cobranza!$B250,Recibos!AI$4:AI$3010)</f>
        <v>0</v>
      </c>
      <c r="BX250" s="318">
        <f t="shared" si="28"/>
        <v>0</v>
      </c>
    </row>
    <row r="251" spans="2:76" x14ac:dyDescent="0.2">
      <c r="B251" s="45" t="s">
        <v>977</v>
      </c>
      <c r="C251" s="45" t="s">
        <v>978</v>
      </c>
      <c r="D251" s="45" t="s">
        <v>979</v>
      </c>
      <c r="E251" s="46">
        <v>0</v>
      </c>
      <c r="F251" s="46">
        <v>0</v>
      </c>
      <c r="G251" s="46">
        <v>0</v>
      </c>
      <c r="H251" s="46">
        <v>300</v>
      </c>
      <c r="I251" s="46">
        <v>300</v>
      </c>
      <c r="J251" s="46">
        <v>300</v>
      </c>
      <c r="K251" s="47">
        <f t="shared" si="23"/>
        <v>900</v>
      </c>
      <c r="L251" s="46">
        <v>300</v>
      </c>
      <c r="M251" s="46">
        <v>300</v>
      </c>
      <c r="N251" s="46">
        <v>300</v>
      </c>
      <c r="O251" s="46">
        <v>300</v>
      </c>
      <c r="P251" s="46">
        <v>0</v>
      </c>
      <c r="Q251" s="46">
        <v>0</v>
      </c>
      <c r="R251" s="46">
        <v>0</v>
      </c>
      <c r="S251" s="46">
        <v>0</v>
      </c>
      <c r="T251" s="46">
        <v>0</v>
      </c>
      <c r="U251" s="46">
        <v>0</v>
      </c>
      <c r="V251" s="46">
        <v>0</v>
      </c>
      <c r="W251" s="46">
        <v>0</v>
      </c>
      <c r="X251" s="47">
        <f t="shared" si="24"/>
        <v>1200</v>
      </c>
      <c r="Y251" s="46">
        <v>300</v>
      </c>
      <c r="Z251" s="46">
        <v>300</v>
      </c>
      <c r="AA251" s="46">
        <v>300</v>
      </c>
      <c r="AB251" s="46">
        <v>300</v>
      </c>
      <c r="AC251" s="46">
        <v>0</v>
      </c>
      <c r="AD251" s="46">
        <v>0</v>
      </c>
      <c r="AE251" s="46">
        <v>0</v>
      </c>
      <c r="AF251" s="46">
        <v>0</v>
      </c>
      <c r="AG251" s="46">
        <v>0</v>
      </c>
      <c r="AH251" s="46">
        <v>0</v>
      </c>
      <c r="AI251" s="46">
        <v>0</v>
      </c>
      <c r="AJ251" s="46">
        <v>0</v>
      </c>
      <c r="AK251" s="47">
        <f t="shared" si="25"/>
        <v>1200</v>
      </c>
      <c r="AL251" s="46">
        <v>0</v>
      </c>
      <c r="AM251" s="46">
        <v>0</v>
      </c>
      <c r="AN251" s="46">
        <v>0</v>
      </c>
      <c r="AO251" s="46">
        <v>0</v>
      </c>
      <c r="AP251" s="46">
        <v>0</v>
      </c>
      <c r="AQ251" s="46">
        <v>0</v>
      </c>
      <c r="AR251" s="46">
        <v>0</v>
      </c>
      <c r="AS251" s="46">
        <v>0</v>
      </c>
      <c r="AT251" s="46">
        <v>0</v>
      </c>
      <c r="AU251" s="46">
        <v>0</v>
      </c>
      <c r="AV251" s="46">
        <v>0</v>
      </c>
      <c r="AW251" s="46">
        <v>0</v>
      </c>
      <c r="AX251" s="47">
        <f t="shared" si="26"/>
        <v>0</v>
      </c>
      <c r="AY251" s="319">
        <f>SUMIF(Recibos!$D$4:$D$3010,Cobranza!$B251,Recibos!K$4:K$3010)</f>
        <v>0</v>
      </c>
      <c r="AZ251" s="319">
        <f>SUMIF(Recibos!$D$4:$D$3010,Cobranza!$B251,Recibos!L$4:L$3010)</f>
        <v>0</v>
      </c>
      <c r="BA251" s="319">
        <f>SUMIF(Recibos!$D$4:$D$3010,Cobranza!$B251,Recibos!M$4:M$3010)</f>
        <v>0</v>
      </c>
      <c r="BB251" s="319">
        <f>SUMIF(Recibos!$D$4:$D$3010,Cobranza!$B251,Recibos!N$4:N$3010)</f>
        <v>0</v>
      </c>
      <c r="BC251" s="319">
        <f>SUMIF(Recibos!$D$4:$D$3010,Cobranza!$B251,Recibos!O$4:O$3010)</f>
        <v>0</v>
      </c>
      <c r="BD251" s="319">
        <f>SUMIF(Recibos!$D$4:$D$3010,Cobranza!$B251,Recibos!P$4:P$3010)</f>
        <v>250</v>
      </c>
      <c r="BE251" s="319">
        <f>SUMIF(Recibos!$D$4:$D$3010,Cobranza!$B251,Recibos!Q$4:Q$3010)</f>
        <v>0</v>
      </c>
      <c r="BF251" s="319">
        <f>SUMIF(Recibos!$D$4:$D$3010,Cobranza!$B251,Recibos!R$4:R$3010)</f>
        <v>0</v>
      </c>
      <c r="BG251" s="319">
        <f>SUMIF(Recibos!$D$4:$D$3010,Cobranza!$B251,Recibos!S$4:S$3010)</f>
        <v>0</v>
      </c>
      <c r="BH251" s="319">
        <f>SUMIF(Recibos!$D$4:$D$3010,Cobranza!$B251,Recibos!T$4:T$3010)</f>
        <v>0</v>
      </c>
      <c r="BI251" s="319">
        <f>SUMIF(Recibos!$D$4:$D$3010,Cobranza!$B251,Recibos!U$4:U$3010)</f>
        <v>0</v>
      </c>
      <c r="BJ251" s="319">
        <f>SUMIF(Recibos!$D$4:$D$3010,Cobranza!$B251,Recibos!V$4:V$3010)</f>
        <v>0</v>
      </c>
      <c r="BK251" s="320">
        <f t="shared" si="27"/>
        <v>250</v>
      </c>
      <c r="BL251" s="319">
        <f>SUMIF(Recibos!$D$4:$D$3010,Cobranza!$B251,Recibos!X$4:X$3010)</f>
        <v>0</v>
      </c>
      <c r="BM251" s="319">
        <f>SUMIF(Recibos!$D$4:$D$3010,Cobranza!$B251,Recibos!Y$4:Y$3010)</f>
        <v>0</v>
      </c>
      <c r="BN251" s="319">
        <f>SUMIF(Recibos!$D$4:$D$3010,Cobranza!$B251,Recibos!Z$4:Z$3010)</f>
        <v>0</v>
      </c>
      <c r="BO251" s="319">
        <f>SUMIF(Recibos!$D$4:$D$3010,Cobranza!$B251,Recibos!AA$4:AA$3010)</f>
        <v>0</v>
      </c>
      <c r="BP251" s="319">
        <f>SUMIF(Recibos!$D$4:$D$3010,Cobranza!$B251,Recibos!AB$4:AB$3010)</f>
        <v>0</v>
      </c>
      <c r="BQ251" s="319">
        <f>SUMIF(Recibos!$D$4:$D$3010,Cobranza!$B251,Recibos!AC$4:AC$3010)</f>
        <v>0</v>
      </c>
      <c r="BR251" s="319">
        <f>SUMIF(Recibos!$D$4:$D$3010,Cobranza!$B251,Recibos!AD$4:AD$3010)</f>
        <v>0</v>
      </c>
      <c r="BS251" s="319">
        <f>SUMIF(Recibos!$D$4:$D$3010,Cobranza!$B251,Recibos!AE$4:AE$3010)</f>
        <v>0</v>
      </c>
      <c r="BT251" s="319">
        <f>SUMIF(Recibos!$D$4:$D$3010,Cobranza!$B251,Recibos!AF$4:AF$3010)</f>
        <v>0</v>
      </c>
      <c r="BU251" s="319">
        <f>SUMIF(Recibos!$D$4:$D$3010,Cobranza!$B251,Recibos!AG$4:AG$3010)</f>
        <v>0</v>
      </c>
      <c r="BV251" s="319">
        <f>SUMIF(Recibos!$D$4:$D$3010,Cobranza!$B251,Recibos!AH$4:AH$3010)</f>
        <v>0</v>
      </c>
      <c r="BW251" s="319">
        <f>SUMIF(Recibos!$D$4:$D$3010,Cobranza!$B251,Recibos!AI$4:AI$3010)</f>
        <v>0</v>
      </c>
      <c r="BX251" s="320">
        <f t="shared" si="28"/>
        <v>0</v>
      </c>
    </row>
    <row r="252" spans="2:76" x14ac:dyDescent="0.2">
      <c r="B252" s="42" t="s">
        <v>512</v>
      </c>
      <c r="C252" s="42" t="s">
        <v>513</v>
      </c>
      <c r="D252" s="42" t="s">
        <v>511</v>
      </c>
      <c r="E252" s="43">
        <v>0</v>
      </c>
      <c r="F252" s="43">
        <v>0</v>
      </c>
      <c r="G252" s="43">
        <v>0</v>
      </c>
      <c r="H252" s="43">
        <v>300</v>
      </c>
      <c r="I252" s="43">
        <v>300</v>
      </c>
      <c r="J252" s="43">
        <v>300</v>
      </c>
      <c r="K252" s="44">
        <f t="shared" si="23"/>
        <v>900</v>
      </c>
      <c r="L252" s="43">
        <v>300</v>
      </c>
      <c r="M252" s="43">
        <v>300</v>
      </c>
      <c r="N252" s="43">
        <v>300</v>
      </c>
      <c r="O252" s="43">
        <v>300</v>
      </c>
      <c r="P252" s="43">
        <v>0</v>
      </c>
      <c r="Q252" s="43">
        <v>0</v>
      </c>
      <c r="R252" s="43">
        <v>0</v>
      </c>
      <c r="S252" s="43">
        <v>0</v>
      </c>
      <c r="T252" s="43">
        <v>0</v>
      </c>
      <c r="U252" s="43">
        <v>0</v>
      </c>
      <c r="V252" s="43">
        <v>0</v>
      </c>
      <c r="W252" s="43">
        <v>0</v>
      </c>
      <c r="X252" s="44">
        <f t="shared" si="24"/>
        <v>1200</v>
      </c>
      <c r="Y252" s="43">
        <v>400</v>
      </c>
      <c r="Z252" s="43">
        <v>400</v>
      </c>
      <c r="AA252" s="43">
        <v>400</v>
      </c>
      <c r="AB252" s="43">
        <v>400</v>
      </c>
      <c r="AC252" s="43">
        <v>400</v>
      </c>
      <c r="AD252" s="43">
        <v>400</v>
      </c>
      <c r="AE252" s="43">
        <v>400</v>
      </c>
      <c r="AF252" s="43">
        <v>400</v>
      </c>
      <c r="AG252" s="43">
        <v>400</v>
      </c>
      <c r="AH252" s="43">
        <v>0</v>
      </c>
      <c r="AI252" s="43">
        <v>0</v>
      </c>
      <c r="AJ252" s="43">
        <v>0</v>
      </c>
      <c r="AK252" s="44">
        <f t="shared" si="25"/>
        <v>3600</v>
      </c>
      <c r="AL252" s="43">
        <v>400</v>
      </c>
      <c r="AM252" s="43">
        <v>400</v>
      </c>
      <c r="AN252" s="43">
        <v>400</v>
      </c>
      <c r="AO252" s="43">
        <v>400</v>
      </c>
      <c r="AP252" s="43">
        <v>400</v>
      </c>
      <c r="AQ252" s="43">
        <v>400</v>
      </c>
      <c r="AR252" s="43">
        <v>400</v>
      </c>
      <c r="AS252" s="43">
        <v>400</v>
      </c>
      <c r="AT252" s="43">
        <v>400</v>
      </c>
      <c r="AU252" s="43">
        <v>400</v>
      </c>
      <c r="AV252" s="43">
        <v>400</v>
      </c>
      <c r="AW252" s="43">
        <v>400</v>
      </c>
      <c r="AX252" s="44">
        <f t="shared" si="26"/>
        <v>4800</v>
      </c>
      <c r="AY252" s="317">
        <f>SUMIF(Recibos!$D$4:$D$3010,Cobranza!$B252,Recibos!K$4:K$3010)</f>
        <v>400</v>
      </c>
      <c r="AZ252" s="317">
        <f>SUMIF(Recibos!$D$4:$D$3010,Cobranza!$B252,Recibos!L$4:L$3010)</f>
        <v>0</v>
      </c>
      <c r="BA252" s="317">
        <f>SUMIF(Recibos!$D$4:$D$3010,Cobranza!$B252,Recibos!M$4:M$3010)</f>
        <v>0</v>
      </c>
      <c r="BB252" s="317">
        <f>SUMIF(Recibos!$D$4:$D$3010,Cobranza!$B252,Recibos!N$4:N$3010)</f>
        <v>400</v>
      </c>
      <c r="BC252" s="317">
        <f>SUMIF(Recibos!$D$4:$D$3010,Cobranza!$B252,Recibos!O$4:O$3010)</f>
        <v>400</v>
      </c>
      <c r="BD252" s="317">
        <f>SUMIF(Recibos!$D$4:$D$3010,Cobranza!$B252,Recibos!P$4:P$3010)</f>
        <v>400</v>
      </c>
      <c r="BE252" s="317">
        <f>SUMIF(Recibos!$D$4:$D$3010,Cobranza!$B252,Recibos!Q$4:Q$3010)</f>
        <v>400</v>
      </c>
      <c r="BF252" s="317">
        <f>SUMIF(Recibos!$D$4:$D$3010,Cobranza!$B252,Recibos!R$4:R$3010)</f>
        <v>400</v>
      </c>
      <c r="BG252" s="317">
        <f>SUMIF(Recibos!$D$4:$D$3010,Cobranza!$B252,Recibos!S$4:S$3010)</f>
        <v>400</v>
      </c>
      <c r="BH252" s="317">
        <f>SUMIF(Recibos!$D$4:$D$3010,Cobranza!$B252,Recibos!T$4:T$3010)</f>
        <v>400</v>
      </c>
      <c r="BI252" s="317">
        <f>SUMIF(Recibos!$D$4:$D$3010,Cobranza!$B252,Recibos!U$4:U$3010)</f>
        <v>0</v>
      </c>
      <c r="BJ252" s="317">
        <f>SUMIF(Recibos!$D$4:$D$3010,Cobranza!$B252,Recibos!V$4:V$3010)</f>
        <v>0</v>
      </c>
      <c r="BK252" s="318">
        <f t="shared" si="27"/>
        <v>3200</v>
      </c>
      <c r="BL252" s="317">
        <f>SUMIF(Recibos!$D$4:$D$3010,Cobranza!$B252,Recibos!X$4:X$3010)</f>
        <v>0</v>
      </c>
      <c r="BM252" s="317">
        <f>SUMIF(Recibos!$D$4:$D$3010,Cobranza!$B252,Recibos!Y$4:Y$3010)</f>
        <v>0</v>
      </c>
      <c r="BN252" s="317">
        <f>SUMIF(Recibos!$D$4:$D$3010,Cobranza!$B252,Recibos!Z$4:Z$3010)</f>
        <v>0</v>
      </c>
      <c r="BO252" s="317">
        <f>SUMIF(Recibos!$D$4:$D$3010,Cobranza!$B252,Recibos!AA$4:AA$3010)</f>
        <v>0</v>
      </c>
      <c r="BP252" s="317">
        <f>SUMIF(Recibos!$D$4:$D$3010,Cobranza!$B252,Recibos!AB$4:AB$3010)</f>
        <v>0</v>
      </c>
      <c r="BQ252" s="317">
        <f>SUMIF(Recibos!$D$4:$D$3010,Cobranza!$B252,Recibos!AC$4:AC$3010)</f>
        <v>0</v>
      </c>
      <c r="BR252" s="317">
        <f>SUMIF(Recibos!$D$4:$D$3010,Cobranza!$B252,Recibos!AD$4:AD$3010)</f>
        <v>0</v>
      </c>
      <c r="BS252" s="317">
        <f>SUMIF(Recibos!$D$4:$D$3010,Cobranza!$B252,Recibos!AE$4:AE$3010)</f>
        <v>0</v>
      </c>
      <c r="BT252" s="317">
        <f>SUMIF(Recibos!$D$4:$D$3010,Cobranza!$B252,Recibos!AF$4:AF$3010)</f>
        <v>0</v>
      </c>
      <c r="BU252" s="317">
        <f>SUMIF(Recibos!$D$4:$D$3010,Cobranza!$B252,Recibos!AG$4:AG$3010)</f>
        <v>0</v>
      </c>
      <c r="BV252" s="317">
        <f>SUMIF(Recibos!$D$4:$D$3010,Cobranza!$B252,Recibos!AH$4:AH$3010)</f>
        <v>0</v>
      </c>
      <c r="BW252" s="317">
        <f>SUMIF(Recibos!$D$4:$D$3010,Cobranza!$B252,Recibos!AI$4:AI$3010)</f>
        <v>0</v>
      </c>
      <c r="BX252" s="318">
        <f t="shared" si="28"/>
        <v>0</v>
      </c>
    </row>
    <row r="253" spans="2:76" x14ac:dyDescent="0.2">
      <c r="B253" s="45" t="s">
        <v>954</v>
      </c>
      <c r="C253" s="45" t="s">
        <v>955</v>
      </c>
      <c r="D253" s="45" t="s">
        <v>956</v>
      </c>
      <c r="E253" s="46">
        <v>0</v>
      </c>
      <c r="F253" s="46">
        <v>0</v>
      </c>
      <c r="G253" s="46">
        <v>0</v>
      </c>
      <c r="H253" s="46">
        <v>0</v>
      </c>
      <c r="I253" s="46">
        <v>0</v>
      </c>
      <c r="J253" s="46">
        <v>0</v>
      </c>
      <c r="K253" s="47">
        <f t="shared" si="23"/>
        <v>0</v>
      </c>
      <c r="L253" s="46">
        <v>200</v>
      </c>
      <c r="M253" s="46">
        <v>200</v>
      </c>
      <c r="N253" s="46">
        <v>200</v>
      </c>
      <c r="O253" s="46">
        <v>0</v>
      </c>
      <c r="P253" s="46">
        <v>0</v>
      </c>
      <c r="Q253" s="46">
        <v>0</v>
      </c>
      <c r="R253" s="46">
        <v>0</v>
      </c>
      <c r="S253" s="46">
        <v>0</v>
      </c>
      <c r="T253" s="46">
        <v>0</v>
      </c>
      <c r="U253" s="46">
        <v>0</v>
      </c>
      <c r="V253" s="46">
        <v>0</v>
      </c>
      <c r="W253" s="46">
        <v>0</v>
      </c>
      <c r="X253" s="47">
        <f t="shared" si="24"/>
        <v>600</v>
      </c>
      <c r="Y253" s="46">
        <v>0</v>
      </c>
      <c r="Z253" s="46">
        <v>0</v>
      </c>
      <c r="AA253" s="46">
        <v>0</v>
      </c>
      <c r="AB253" s="46">
        <v>0</v>
      </c>
      <c r="AC253" s="46">
        <v>0</v>
      </c>
      <c r="AD253" s="46">
        <v>0</v>
      </c>
      <c r="AE253" s="46">
        <v>0</v>
      </c>
      <c r="AF253" s="46">
        <v>0</v>
      </c>
      <c r="AG253" s="46">
        <v>0</v>
      </c>
      <c r="AH253" s="46">
        <v>0</v>
      </c>
      <c r="AI253" s="46">
        <v>0</v>
      </c>
      <c r="AJ253" s="46">
        <v>0</v>
      </c>
      <c r="AK253" s="47">
        <f t="shared" si="25"/>
        <v>0</v>
      </c>
      <c r="AL253" s="46">
        <v>450</v>
      </c>
      <c r="AM253" s="46">
        <v>200</v>
      </c>
      <c r="AN253" s="46">
        <v>200</v>
      </c>
      <c r="AO253" s="46">
        <v>200</v>
      </c>
      <c r="AP253" s="46">
        <v>200</v>
      </c>
      <c r="AQ253" s="46">
        <v>200</v>
      </c>
      <c r="AR253" s="46">
        <v>200</v>
      </c>
      <c r="AS253" s="46">
        <v>200</v>
      </c>
      <c r="AT253" s="46">
        <v>200</v>
      </c>
      <c r="AU253" s="46">
        <v>200</v>
      </c>
      <c r="AV253" s="46">
        <v>0</v>
      </c>
      <c r="AW253" s="46">
        <v>0</v>
      </c>
      <c r="AX253" s="47">
        <f t="shared" si="26"/>
        <v>2250</v>
      </c>
      <c r="AY253" s="319">
        <f>SUMIF(Recibos!$D$4:$D$3010,Cobranza!$B253,Recibos!K$4:K$3010)</f>
        <v>0</v>
      </c>
      <c r="AZ253" s="319">
        <f>SUMIF(Recibos!$D$4:$D$3010,Cobranza!$B253,Recibos!L$4:L$3010)</f>
        <v>0</v>
      </c>
      <c r="BA253" s="319">
        <f>SUMIF(Recibos!$D$4:$D$3010,Cobranza!$B253,Recibos!M$4:M$3010)</f>
        <v>0</v>
      </c>
      <c r="BB253" s="319">
        <f>SUMIF(Recibos!$D$4:$D$3010,Cobranza!$B253,Recibos!N$4:N$3010)</f>
        <v>0</v>
      </c>
      <c r="BC253" s="319">
        <f>SUMIF(Recibos!$D$4:$D$3010,Cobranza!$B253,Recibos!O$4:O$3010)</f>
        <v>400</v>
      </c>
      <c r="BD253" s="319">
        <f>SUMIF(Recibos!$D$4:$D$3010,Cobranza!$B253,Recibos!P$4:P$3010)</f>
        <v>400</v>
      </c>
      <c r="BE253" s="319">
        <f>SUMIF(Recibos!$D$4:$D$3010,Cobranza!$B253,Recibos!Q$4:Q$3010)</f>
        <v>0</v>
      </c>
      <c r="BF253" s="319">
        <f>SUMIF(Recibos!$D$4:$D$3010,Cobranza!$B253,Recibos!R$4:R$3010)</f>
        <v>0</v>
      </c>
      <c r="BG253" s="319">
        <f>SUMIF(Recibos!$D$4:$D$3010,Cobranza!$B253,Recibos!S$4:S$3010)</f>
        <v>0</v>
      </c>
      <c r="BH253" s="319">
        <f>SUMIF(Recibos!$D$4:$D$3010,Cobranza!$B253,Recibos!T$4:T$3010)</f>
        <v>0</v>
      </c>
      <c r="BI253" s="319">
        <f>SUMIF(Recibos!$D$4:$D$3010,Cobranza!$B253,Recibos!U$4:U$3010)</f>
        <v>0</v>
      </c>
      <c r="BJ253" s="319">
        <f>SUMIF(Recibos!$D$4:$D$3010,Cobranza!$B253,Recibos!V$4:V$3010)</f>
        <v>0</v>
      </c>
      <c r="BK253" s="320">
        <f t="shared" si="27"/>
        <v>800</v>
      </c>
      <c r="BL253" s="319">
        <f>SUMIF(Recibos!$D$4:$D$3010,Cobranza!$B253,Recibos!X$4:X$3010)</f>
        <v>0</v>
      </c>
      <c r="BM253" s="319">
        <f>SUMIF(Recibos!$D$4:$D$3010,Cobranza!$B253,Recibos!Y$4:Y$3010)</f>
        <v>0</v>
      </c>
      <c r="BN253" s="319">
        <f>SUMIF(Recibos!$D$4:$D$3010,Cobranza!$B253,Recibos!Z$4:Z$3010)</f>
        <v>0</v>
      </c>
      <c r="BO253" s="319">
        <f>SUMIF(Recibos!$D$4:$D$3010,Cobranza!$B253,Recibos!AA$4:AA$3010)</f>
        <v>0</v>
      </c>
      <c r="BP253" s="319">
        <f>SUMIF(Recibos!$D$4:$D$3010,Cobranza!$B253,Recibos!AB$4:AB$3010)</f>
        <v>0</v>
      </c>
      <c r="BQ253" s="319">
        <f>SUMIF(Recibos!$D$4:$D$3010,Cobranza!$B253,Recibos!AC$4:AC$3010)</f>
        <v>0</v>
      </c>
      <c r="BR253" s="319">
        <f>SUMIF(Recibos!$D$4:$D$3010,Cobranza!$B253,Recibos!AD$4:AD$3010)</f>
        <v>0</v>
      </c>
      <c r="BS253" s="319">
        <f>SUMIF(Recibos!$D$4:$D$3010,Cobranza!$B253,Recibos!AE$4:AE$3010)</f>
        <v>0</v>
      </c>
      <c r="BT253" s="319">
        <f>SUMIF(Recibos!$D$4:$D$3010,Cobranza!$B253,Recibos!AF$4:AF$3010)</f>
        <v>0</v>
      </c>
      <c r="BU253" s="319">
        <f>SUMIF(Recibos!$D$4:$D$3010,Cobranza!$B253,Recibos!AG$4:AG$3010)</f>
        <v>0</v>
      </c>
      <c r="BV253" s="319">
        <f>SUMIF(Recibos!$D$4:$D$3010,Cobranza!$B253,Recibos!AH$4:AH$3010)</f>
        <v>0</v>
      </c>
      <c r="BW253" s="319">
        <f>SUMIF(Recibos!$D$4:$D$3010,Cobranza!$B253,Recibos!AI$4:AI$3010)</f>
        <v>0</v>
      </c>
      <c r="BX253" s="320">
        <f t="shared" si="28"/>
        <v>0</v>
      </c>
    </row>
    <row r="254" spans="2:76" x14ac:dyDescent="0.2">
      <c r="B254" s="42" t="s">
        <v>364</v>
      </c>
      <c r="C254" s="42" t="s">
        <v>365</v>
      </c>
      <c r="D254" s="42" t="s">
        <v>366</v>
      </c>
      <c r="E254" s="43">
        <v>0</v>
      </c>
      <c r="F254" s="43">
        <v>0</v>
      </c>
      <c r="G254" s="43">
        <v>0</v>
      </c>
      <c r="H254" s="43">
        <v>0</v>
      </c>
      <c r="I254" s="43">
        <v>300</v>
      </c>
      <c r="J254" s="43">
        <v>300</v>
      </c>
      <c r="K254" s="44">
        <f t="shared" si="23"/>
        <v>600</v>
      </c>
      <c r="L254" s="43">
        <v>300</v>
      </c>
      <c r="M254" s="43">
        <v>300</v>
      </c>
      <c r="N254" s="43">
        <v>300</v>
      </c>
      <c r="O254" s="43">
        <v>300</v>
      </c>
      <c r="P254" s="43">
        <v>300</v>
      </c>
      <c r="Q254" s="43">
        <v>300</v>
      </c>
      <c r="R254" s="43">
        <v>300</v>
      </c>
      <c r="S254" s="43">
        <v>300</v>
      </c>
      <c r="T254" s="43">
        <v>300</v>
      </c>
      <c r="U254" s="43">
        <v>300</v>
      </c>
      <c r="V254" s="43">
        <v>300</v>
      </c>
      <c r="W254" s="43">
        <v>300</v>
      </c>
      <c r="X254" s="44">
        <f t="shared" si="24"/>
        <v>3600</v>
      </c>
      <c r="Y254" s="43">
        <v>300</v>
      </c>
      <c r="Z254" s="43">
        <v>300</v>
      </c>
      <c r="AA254" s="43">
        <v>300</v>
      </c>
      <c r="AB254" s="43">
        <v>300</v>
      </c>
      <c r="AC254" s="43">
        <v>300</v>
      </c>
      <c r="AD254" s="43">
        <v>300</v>
      </c>
      <c r="AE254" s="43">
        <v>300</v>
      </c>
      <c r="AF254" s="43">
        <v>300</v>
      </c>
      <c r="AG254" s="43">
        <v>300</v>
      </c>
      <c r="AH254" s="43">
        <v>300</v>
      </c>
      <c r="AI254" s="43">
        <v>300</v>
      </c>
      <c r="AJ254" s="43">
        <v>300</v>
      </c>
      <c r="AK254" s="44">
        <f t="shared" si="25"/>
        <v>3600</v>
      </c>
      <c r="AL254" s="43">
        <v>300</v>
      </c>
      <c r="AM254" s="43">
        <v>300</v>
      </c>
      <c r="AN254" s="43">
        <v>300</v>
      </c>
      <c r="AO254" s="43">
        <v>300</v>
      </c>
      <c r="AP254" s="43">
        <v>300</v>
      </c>
      <c r="AQ254" s="43">
        <v>300</v>
      </c>
      <c r="AR254" s="43">
        <v>300</v>
      </c>
      <c r="AS254" s="43">
        <v>300</v>
      </c>
      <c r="AT254" s="43">
        <v>300</v>
      </c>
      <c r="AU254" s="43">
        <v>300</v>
      </c>
      <c r="AV254" s="43">
        <v>300</v>
      </c>
      <c r="AW254" s="43">
        <v>300</v>
      </c>
      <c r="AX254" s="44">
        <f t="shared" si="26"/>
        <v>3600</v>
      </c>
      <c r="AY254" s="317">
        <f>SUMIF(Recibos!$D$4:$D$3010,Cobranza!$B254,Recibos!K$4:K$3010)</f>
        <v>300</v>
      </c>
      <c r="AZ254" s="317">
        <f>SUMIF(Recibos!$D$4:$D$3010,Cobranza!$B254,Recibos!L$4:L$3010)</f>
        <v>300</v>
      </c>
      <c r="BA254" s="317">
        <f>SUMIF(Recibos!$D$4:$D$3010,Cobranza!$B254,Recibos!M$4:M$3010)</f>
        <v>300</v>
      </c>
      <c r="BB254" s="317">
        <f>SUMIF(Recibos!$D$4:$D$3010,Cobranza!$B254,Recibos!N$4:N$3010)</f>
        <v>300</v>
      </c>
      <c r="BC254" s="317">
        <f>SUMIF(Recibos!$D$4:$D$3010,Cobranza!$B254,Recibos!O$4:O$3010)</f>
        <v>300</v>
      </c>
      <c r="BD254" s="317">
        <f>SUMIF(Recibos!$D$4:$D$3010,Cobranza!$B254,Recibos!P$4:P$3010)</f>
        <v>300</v>
      </c>
      <c r="BE254" s="317">
        <f>SUMIF(Recibos!$D$4:$D$3010,Cobranza!$B254,Recibos!Q$4:Q$3010)</f>
        <v>300</v>
      </c>
      <c r="BF254" s="317">
        <f>SUMIF(Recibos!$D$4:$D$3010,Cobranza!$B254,Recibos!R$4:R$3010)</f>
        <v>300</v>
      </c>
      <c r="BG254" s="317">
        <f>SUMIF(Recibos!$D$4:$D$3010,Cobranza!$B254,Recibos!S$4:S$3010)</f>
        <v>300</v>
      </c>
      <c r="BH254" s="317">
        <f>SUMIF(Recibos!$D$4:$D$3010,Cobranza!$B254,Recibos!T$4:T$3010)</f>
        <v>300</v>
      </c>
      <c r="BI254" s="317">
        <f>SUMIF(Recibos!$D$4:$D$3010,Cobranza!$B254,Recibos!U$4:U$3010)</f>
        <v>300</v>
      </c>
      <c r="BJ254" s="317">
        <f>SUMIF(Recibos!$D$4:$D$3010,Cobranza!$B254,Recibos!V$4:V$3010)</f>
        <v>0</v>
      </c>
      <c r="BK254" s="318">
        <f t="shared" si="27"/>
        <v>3300</v>
      </c>
      <c r="BL254" s="317">
        <f>SUMIF(Recibos!$D$4:$D$3010,Cobranza!$B254,Recibos!X$4:X$3010)</f>
        <v>0</v>
      </c>
      <c r="BM254" s="317">
        <f>SUMIF(Recibos!$D$4:$D$3010,Cobranza!$B254,Recibos!Y$4:Y$3010)</f>
        <v>0</v>
      </c>
      <c r="BN254" s="317">
        <f>SUMIF(Recibos!$D$4:$D$3010,Cobranza!$B254,Recibos!Z$4:Z$3010)</f>
        <v>0</v>
      </c>
      <c r="BO254" s="317">
        <f>SUMIF(Recibos!$D$4:$D$3010,Cobranza!$B254,Recibos!AA$4:AA$3010)</f>
        <v>0</v>
      </c>
      <c r="BP254" s="317">
        <f>SUMIF(Recibos!$D$4:$D$3010,Cobranza!$B254,Recibos!AB$4:AB$3010)</f>
        <v>0</v>
      </c>
      <c r="BQ254" s="317">
        <f>SUMIF(Recibos!$D$4:$D$3010,Cobranza!$B254,Recibos!AC$4:AC$3010)</f>
        <v>0</v>
      </c>
      <c r="BR254" s="317">
        <f>SUMIF(Recibos!$D$4:$D$3010,Cobranza!$B254,Recibos!AD$4:AD$3010)</f>
        <v>0</v>
      </c>
      <c r="BS254" s="317">
        <f>SUMIF(Recibos!$D$4:$D$3010,Cobranza!$B254,Recibos!AE$4:AE$3010)</f>
        <v>0</v>
      </c>
      <c r="BT254" s="317">
        <f>SUMIF(Recibos!$D$4:$D$3010,Cobranza!$B254,Recibos!AF$4:AF$3010)</f>
        <v>0</v>
      </c>
      <c r="BU254" s="317">
        <f>SUMIF(Recibos!$D$4:$D$3010,Cobranza!$B254,Recibos!AG$4:AG$3010)</f>
        <v>0</v>
      </c>
      <c r="BV254" s="317">
        <f>SUMIF(Recibos!$D$4:$D$3010,Cobranza!$B254,Recibos!AH$4:AH$3010)</f>
        <v>0</v>
      </c>
      <c r="BW254" s="317">
        <f>SUMIF(Recibos!$D$4:$D$3010,Cobranza!$B254,Recibos!AI$4:AI$3010)</f>
        <v>0</v>
      </c>
      <c r="BX254" s="318">
        <f t="shared" si="28"/>
        <v>0</v>
      </c>
    </row>
    <row r="255" spans="2:76" x14ac:dyDescent="0.2">
      <c r="B255" s="45" t="s">
        <v>520</v>
      </c>
      <c r="C255" s="45" t="s">
        <v>521</v>
      </c>
      <c r="D255" s="45" t="s">
        <v>522</v>
      </c>
      <c r="E255" s="46">
        <v>0</v>
      </c>
      <c r="F255" s="46">
        <v>0</v>
      </c>
      <c r="G255" s="46">
        <v>0</v>
      </c>
      <c r="H255" s="46">
        <v>0</v>
      </c>
      <c r="I255" s="46">
        <v>0</v>
      </c>
      <c r="J255" s="46">
        <v>300</v>
      </c>
      <c r="K255" s="47">
        <f t="shared" si="23"/>
        <v>300</v>
      </c>
      <c r="L255" s="46">
        <v>300</v>
      </c>
      <c r="M255" s="46">
        <v>300</v>
      </c>
      <c r="N255" s="46">
        <v>300</v>
      </c>
      <c r="O255" s="46">
        <v>300</v>
      </c>
      <c r="P255" s="46">
        <v>300</v>
      </c>
      <c r="Q255" s="46">
        <v>300</v>
      </c>
      <c r="R255" s="46">
        <v>300</v>
      </c>
      <c r="S255" s="46">
        <v>300</v>
      </c>
      <c r="T255" s="46">
        <v>300</v>
      </c>
      <c r="U255" s="46">
        <v>400</v>
      </c>
      <c r="V255" s="46">
        <v>400</v>
      </c>
      <c r="W255" s="46">
        <v>400</v>
      </c>
      <c r="X255" s="47">
        <f t="shared" si="24"/>
        <v>3900</v>
      </c>
      <c r="Y255" s="46">
        <v>400</v>
      </c>
      <c r="Z255" s="46">
        <v>400</v>
      </c>
      <c r="AA255" s="46">
        <v>400</v>
      </c>
      <c r="AB255" s="46">
        <v>400</v>
      </c>
      <c r="AC255" s="46">
        <v>400</v>
      </c>
      <c r="AD255" s="46">
        <v>400</v>
      </c>
      <c r="AE255" s="46">
        <v>400</v>
      </c>
      <c r="AF255" s="46">
        <v>400</v>
      </c>
      <c r="AG255" s="46">
        <v>400</v>
      </c>
      <c r="AH255" s="46">
        <v>400</v>
      </c>
      <c r="AI255" s="46">
        <v>400</v>
      </c>
      <c r="AJ255" s="46">
        <v>400</v>
      </c>
      <c r="AK255" s="47">
        <f t="shared" si="25"/>
        <v>4800</v>
      </c>
      <c r="AL255" s="46">
        <v>400</v>
      </c>
      <c r="AM255" s="46">
        <v>400</v>
      </c>
      <c r="AN255" s="46">
        <v>400</v>
      </c>
      <c r="AO255" s="46">
        <v>400</v>
      </c>
      <c r="AP255" s="46">
        <v>400</v>
      </c>
      <c r="AQ255" s="46">
        <v>400</v>
      </c>
      <c r="AR255" s="46">
        <v>400</v>
      </c>
      <c r="AS255" s="46">
        <v>400</v>
      </c>
      <c r="AT255" s="46">
        <v>400</v>
      </c>
      <c r="AU255" s="46">
        <v>400</v>
      </c>
      <c r="AV255" s="46">
        <v>400</v>
      </c>
      <c r="AW255" s="46">
        <v>400</v>
      </c>
      <c r="AX255" s="47">
        <f t="shared" si="26"/>
        <v>4800</v>
      </c>
      <c r="AY255" s="319">
        <f>SUMIF(Recibos!$D$4:$D$3010,Cobranza!$B255,Recibos!K$4:K$3010)</f>
        <v>400</v>
      </c>
      <c r="AZ255" s="319">
        <f>SUMIF(Recibos!$D$4:$D$3010,Cobranza!$B255,Recibos!L$4:L$3010)</f>
        <v>400</v>
      </c>
      <c r="BA255" s="319">
        <f>SUMIF(Recibos!$D$4:$D$3010,Cobranza!$B255,Recibos!M$4:M$3010)</f>
        <v>400</v>
      </c>
      <c r="BB255" s="319">
        <f>SUMIF(Recibos!$D$4:$D$3010,Cobranza!$B255,Recibos!N$4:N$3010)</f>
        <v>400</v>
      </c>
      <c r="BC255" s="319">
        <f>SUMIF(Recibos!$D$4:$D$3010,Cobranza!$B255,Recibos!O$4:O$3010)</f>
        <v>400</v>
      </c>
      <c r="BD255" s="319">
        <f>SUMIF(Recibos!$D$4:$D$3010,Cobranza!$B255,Recibos!P$4:P$3010)</f>
        <v>400</v>
      </c>
      <c r="BE255" s="319">
        <f>SUMIF(Recibos!$D$4:$D$3010,Cobranza!$B255,Recibos!Q$4:Q$3010)</f>
        <v>400</v>
      </c>
      <c r="BF255" s="319">
        <f>SUMIF(Recibos!$D$4:$D$3010,Cobranza!$B255,Recibos!R$4:R$3010)</f>
        <v>400</v>
      </c>
      <c r="BG255" s="319">
        <f>SUMIF(Recibos!$D$4:$D$3010,Cobranza!$B255,Recibos!S$4:S$3010)</f>
        <v>400</v>
      </c>
      <c r="BH255" s="319">
        <f>SUMIF(Recibos!$D$4:$D$3010,Cobranza!$B255,Recibos!T$4:T$3010)</f>
        <v>400</v>
      </c>
      <c r="BI255" s="319">
        <f>SUMIF(Recibos!$D$4:$D$3010,Cobranza!$B255,Recibos!U$4:U$3010)</f>
        <v>400</v>
      </c>
      <c r="BJ255" s="319">
        <f>SUMIF(Recibos!$D$4:$D$3010,Cobranza!$B255,Recibos!V$4:V$3010)</f>
        <v>400</v>
      </c>
      <c r="BK255" s="320">
        <f t="shared" si="27"/>
        <v>4800</v>
      </c>
      <c r="BL255" s="319">
        <f>SUMIF(Recibos!$D$4:$D$3010,Cobranza!$B255,Recibos!X$4:X$3010)</f>
        <v>0</v>
      </c>
      <c r="BM255" s="319">
        <f>SUMIF(Recibos!$D$4:$D$3010,Cobranza!$B255,Recibos!Y$4:Y$3010)</f>
        <v>0</v>
      </c>
      <c r="BN255" s="319">
        <f>SUMIF(Recibos!$D$4:$D$3010,Cobranza!$B255,Recibos!Z$4:Z$3010)</f>
        <v>0</v>
      </c>
      <c r="BO255" s="319">
        <f>SUMIF(Recibos!$D$4:$D$3010,Cobranza!$B255,Recibos!AA$4:AA$3010)</f>
        <v>0</v>
      </c>
      <c r="BP255" s="319">
        <f>SUMIF(Recibos!$D$4:$D$3010,Cobranza!$B255,Recibos!AB$4:AB$3010)</f>
        <v>0</v>
      </c>
      <c r="BQ255" s="319">
        <f>SUMIF(Recibos!$D$4:$D$3010,Cobranza!$B255,Recibos!AC$4:AC$3010)</f>
        <v>0</v>
      </c>
      <c r="BR255" s="319">
        <f>SUMIF(Recibos!$D$4:$D$3010,Cobranza!$B255,Recibos!AD$4:AD$3010)</f>
        <v>0</v>
      </c>
      <c r="BS255" s="319">
        <f>SUMIF(Recibos!$D$4:$D$3010,Cobranza!$B255,Recibos!AE$4:AE$3010)</f>
        <v>0</v>
      </c>
      <c r="BT255" s="319">
        <f>SUMIF(Recibos!$D$4:$D$3010,Cobranza!$B255,Recibos!AF$4:AF$3010)</f>
        <v>0</v>
      </c>
      <c r="BU255" s="319">
        <f>SUMIF(Recibos!$D$4:$D$3010,Cobranza!$B255,Recibos!AG$4:AG$3010)</f>
        <v>0</v>
      </c>
      <c r="BV255" s="319">
        <f>SUMIF(Recibos!$D$4:$D$3010,Cobranza!$B255,Recibos!AH$4:AH$3010)</f>
        <v>0</v>
      </c>
      <c r="BW255" s="319">
        <f>SUMIF(Recibos!$D$4:$D$3010,Cobranza!$B255,Recibos!AI$4:AI$3010)</f>
        <v>0</v>
      </c>
      <c r="BX255" s="320">
        <f t="shared" si="28"/>
        <v>0</v>
      </c>
    </row>
    <row r="256" spans="2:76" x14ac:dyDescent="0.2">
      <c r="B256" s="42" t="s">
        <v>935</v>
      </c>
      <c r="C256" s="42" t="s">
        <v>936</v>
      </c>
      <c r="D256" s="42" t="s">
        <v>937</v>
      </c>
      <c r="E256" s="43">
        <v>0</v>
      </c>
      <c r="F256" s="43">
        <v>0</v>
      </c>
      <c r="G256" s="43">
        <v>0</v>
      </c>
      <c r="H256" s="43">
        <v>0</v>
      </c>
      <c r="I256" s="43">
        <v>0</v>
      </c>
      <c r="J256" s="43">
        <v>0</v>
      </c>
      <c r="K256" s="44">
        <f t="shared" si="23"/>
        <v>0</v>
      </c>
      <c r="L256" s="43">
        <v>250</v>
      </c>
      <c r="M256" s="43">
        <v>250</v>
      </c>
      <c r="N256" s="43">
        <v>0</v>
      </c>
      <c r="O256" s="43">
        <v>0</v>
      </c>
      <c r="P256" s="43">
        <v>0</v>
      </c>
      <c r="Q256" s="43">
        <v>0</v>
      </c>
      <c r="R256" s="43">
        <v>0</v>
      </c>
      <c r="S256" s="43">
        <v>0</v>
      </c>
      <c r="T256" s="43">
        <v>0</v>
      </c>
      <c r="U256" s="43">
        <v>0</v>
      </c>
      <c r="V256" s="43">
        <v>0</v>
      </c>
      <c r="W256" s="43">
        <v>0</v>
      </c>
      <c r="X256" s="44">
        <f t="shared" si="24"/>
        <v>500</v>
      </c>
      <c r="Y256" s="43">
        <v>250</v>
      </c>
      <c r="Z256" s="43">
        <v>250</v>
      </c>
      <c r="AA256" s="43">
        <v>250</v>
      </c>
      <c r="AB256" s="43">
        <v>250</v>
      </c>
      <c r="AC256" s="43">
        <v>250</v>
      </c>
      <c r="AD256" s="43">
        <v>250</v>
      </c>
      <c r="AE256" s="43">
        <v>250</v>
      </c>
      <c r="AF256" s="43">
        <v>250</v>
      </c>
      <c r="AG256" s="43">
        <v>250</v>
      </c>
      <c r="AH256" s="43">
        <v>250</v>
      </c>
      <c r="AI256" s="43">
        <v>250</v>
      </c>
      <c r="AJ256" s="43">
        <v>250</v>
      </c>
      <c r="AK256" s="44">
        <f t="shared" si="25"/>
        <v>3000</v>
      </c>
      <c r="AL256" s="43">
        <v>250</v>
      </c>
      <c r="AM256" s="43">
        <v>250</v>
      </c>
      <c r="AN256" s="43">
        <v>250</v>
      </c>
      <c r="AO256" s="43">
        <v>0</v>
      </c>
      <c r="AP256" s="43">
        <v>0</v>
      </c>
      <c r="AQ256" s="43">
        <v>300</v>
      </c>
      <c r="AR256" s="43">
        <v>0</v>
      </c>
      <c r="AS256" s="43">
        <v>250</v>
      </c>
      <c r="AT256" s="43">
        <v>250</v>
      </c>
      <c r="AU256" s="43">
        <v>250</v>
      </c>
      <c r="AV256" s="43">
        <v>0</v>
      </c>
      <c r="AW256" s="43">
        <v>0</v>
      </c>
      <c r="AX256" s="44">
        <f t="shared" si="26"/>
        <v>1800</v>
      </c>
      <c r="AY256" s="317">
        <f>SUMIF(Recibos!$D$4:$D$3010,Cobranza!$B256,Recibos!K$4:K$3010)</f>
        <v>250</v>
      </c>
      <c r="AZ256" s="317">
        <f>SUMIF(Recibos!$D$4:$D$3010,Cobranza!$B256,Recibos!L$4:L$3010)</f>
        <v>250</v>
      </c>
      <c r="BA256" s="317">
        <f>SUMIF(Recibos!$D$4:$D$3010,Cobranza!$B256,Recibos!M$4:M$3010)</f>
        <v>250</v>
      </c>
      <c r="BB256" s="317">
        <f>SUMIF(Recibos!$D$4:$D$3010,Cobranza!$B256,Recibos!N$4:N$3010)</f>
        <v>250</v>
      </c>
      <c r="BC256" s="317">
        <f>SUMIF(Recibos!$D$4:$D$3010,Cobranza!$B256,Recibos!O$4:O$3010)</f>
        <v>250</v>
      </c>
      <c r="BD256" s="317">
        <f>SUMIF(Recibos!$D$4:$D$3010,Cobranza!$B256,Recibos!P$4:P$3010)</f>
        <v>250</v>
      </c>
      <c r="BE256" s="317">
        <f>SUMIF(Recibos!$D$4:$D$3010,Cobranza!$B256,Recibos!Q$4:Q$3010)</f>
        <v>250</v>
      </c>
      <c r="BF256" s="317">
        <f>SUMIF(Recibos!$D$4:$D$3010,Cobranza!$B256,Recibos!R$4:R$3010)</f>
        <v>250</v>
      </c>
      <c r="BG256" s="317">
        <f>SUMIF(Recibos!$D$4:$D$3010,Cobranza!$B256,Recibos!S$4:S$3010)</f>
        <v>250</v>
      </c>
      <c r="BH256" s="317">
        <f>SUMIF(Recibos!$D$4:$D$3010,Cobranza!$B256,Recibos!T$4:T$3010)</f>
        <v>250</v>
      </c>
      <c r="BI256" s="317">
        <f>SUMIF(Recibos!$D$4:$D$3010,Cobranza!$B256,Recibos!U$4:U$3010)</f>
        <v>0</v>
      </c>
      <c r="BJ256" s="317">
        <f>SUMIF(Recibos!$D$4:$D$3010,Cobranza!$B256,Recibos!V$4:V$3010)</f>
        <v>0</v>
      </c>
      <c r="BK256" s="318">
        <f t="shared" si="27"/>
        <v>2500</v>
      </c>
      <c r="BL256" s="317">
        <f>SUMIF(Recibos!$D$4:$D$3010,Cobranza!$B256,Recibos!X$4:X$3010)</f>
        <v>0</v>
      </c>
      <c r="BM256" s="317">
        <f>SUMIF(Recibos!$D$4:$D$3010,Cobranza!$B256,Recibos!Y$4:Y$3010)</f>
        <v>0</v>
      </c>
      <c r="BN256" s="317">
        <f>SUMIF(Recibos!$D$4:$D$3010,Cobranza!$B256,Recibos!Z$4:Z$3010)</f>
        <v>0</v>
      </c>
      <c r="BO256" s="317">
        <f>SUMIF(Recibos!$D$4:$D$3010,Cobranza!$B256,Recibos!AA$4:AA$3010)</f>
        <v>0</v>
      </c>
      <c r="BP256" s="317">
        <f>SUMIF(Recibos!$D$4:$D$3010,Cobranza!$B256,Recibos!AB$4:AB$3010)</f>
        <v>0</v>
      </c>
      <c r="BQ256" s="317">
        <f>SUMIF(Recibos!$D$4:$D$3010,Cobranza!$B256,Recibos!AC$4:AC$3010)</f>
        <v>0</v>
      </c>
      <c r="BR256" s="317">
        <f>SUMIF(Recibos!$D$4:$D$3010,Cobranza!$B256,Recibos!AD$4:AD$3010)</f>
        <v>0</v>
      </c>
      <c r="BS256" s="317">
        <f>SUMIF(Recibos!$D$4:$D$3010,Cobranza!$B256,Recibos!AE$4:AE$3010)</f>
        <v>0</v>
      </c>
      <c r="BT256" s="317">
        <f>SUMIF(Recibos!$D$4:$D$3010,Cobranza!$B256,Recibos!AF$4:AF$3010)</f>
        <v>0</v>
      </c>
      <c r="BU256" s="317">
        <f>SUMIF(Recibos!$D$4:$D$3010,Cobranza!$B256,Recibos!AG$4:AG$3010)</f>
        <v>0</v>
      </c>
      <c r="BV256" s="317">
        <f>SUMIF(Recibos!$D$4:$D$3010,Cobranza!$B256,Recibos!AH$4:AH$3010)</f>
        <v>0</v>
      </c>
      <c r="BW256" s="317">
        <f>SUMIF(Recibos!$D$4:$D$3010,Cobranza!$B256,Recibos!AI$4:AI$3010)</f>
        <v>0</v>
      </c>
      <c r="BX256" s="318">
        <f t="shared" si="28"/>
        <v>0</v>
      </c>
    </row>
    <row r="257" spans="2:76" x14ac:dyDescent="0.2">
      <c r="B257" s="45" t="s">
        <v>774</v>
      </c>
      <c r="C257" s="45" t="s">
        <v>775</v>
      </c>
      <c r="D257" s="45" t="s">
        <v>776</v>
      </c>
      <c r="E257" s="46">
        <v>300</v>
      </c>
      <c r="F257" s="46">
        <v>300</v>
      </c>
      <c r="G257" s="46">
        <v>300</v>
      </c>
      <c r="H257" s="46">
        <v>300</v>
      </c>
      <c r="I257" s="46">
        <v>300</v>
      </c>
      <c r="J257" s="46">
        <v>300</v>
      </c>
      <c r="K257" s="47">
        <f t="shared" si="23"/>
        <v>1800</v>
      </c>
      <c r="L257" s="46">
        <v>300</v>
      </c>
      <c r="M257" s="46">
        <v>300</v>
      </c>
      <c r="N257" s="46">
        <v>0</v>
      </c>
      <c r="O257" s="46">
        <v>0</v>
      </c>
      <c r="P257" s="46">
        <v>0</v>
      </c>
      <c r="Q257" s="46">
        <v>0</v>
      </c>
      <c r="R257" s="46">
        <v>0</v>
      </c>
      <c r="S257" s="46">
        <v>0</v>
      </c>
      <c r="T257" s="46">
        <v>0</v>
      </c>
      <c r="U257" s="46">
        <v>0</v>
      </c>
      <c r="V257" s="46">
        <v>0</v>
      </c>
      <c r="W257" s="46">
        <v>0</v>
      </c>
      <c r="X257" s="47">
        <f t="shared" si="24"/>
        <v>600</v>
      </c>
      <c r="Y257" s="46">
        <v>400</v>
      </c>
      <c r="Z257" s="46">
        <v>400</v>
      </c>
      <c r="AA257" s="46">
        <v>400</v>
      </c>
      <c r="AB257" s="46">
        <v>400</v>
      </c>
      <c r="AC257" s="46">
        <v>400</v>
      </c>
      <c r="AD257" s="46">
        <v>400</v>
      </c>
      <c r="AE257" s="46">
        <v>0</v>
      </c>
      <c r="AF257" s="46">
        <v>0</v>
      </c>
      <c r="AG257" s="46">
        <v>0</v>
      </c>
      <c r="AH257" s="46">
        <v>400</v>
      </c>
      <c r="AI257" s="46">
        <v>400</v>
      </c>
      <c r="AJ257" s="46">
        <v>0</v>
      </c>
      <c r="AK257" s="47">
        <f t="shared" si="25"/>
        <v>3200</v>
      </c>
      <c r="AL257" s="46">
        <v>400</v>
      </c>
      <c r="AM257" s="46">
        <v>0</v>
      </c>
      <c r="AN257" s="46">
        <v>0</v>
      </c>
      <c r="AO257" s="46">
        <v>400</v>
      </c>
      <c r="AP257" s="46">
        <v>400</v>
      </c>
      <c r="AQ257" s="46">
        <v>400</v>
      </c>
      <c r="AR257" s="46">
        <v>400</v>
      </c>
      <c r="AS257" s="46">
        <v>400</v>
      </c>
      <c r="AT257" s="46">
        <v>400</v>
      </c>
      <c r="AU257" s="46">
        <v>400</v>
      </c>
      <c r="AV257" s="46">
        <v>400</v>
      </c>
      <c r="AW257" s="46">
        <v>400</v>
      </c>
      <c r="AX257" s="47">
        <f t="shared" si="26"/>
        <v>4000</v>
      </c>
      <c r="AY257" s="319">
        <f>SUMIF(Recibos!$D$4:$D$3010,Cobranza!$B257,Recibos!K$4:K$3010)</f>
        <v>400</v>
      </c>
      <c r="AZ257" s="319">
        <f>SUMIF(Recibos!$D$4:$D$3010,Cobranza!$B257,Recibos!L$4:L$3010)</f>
        <v>400</v>
      </c>
      <c r="BA257" s="319">
        <f>SUMIF(Recibos!$D$4:$D$3010,Cobranza!$B257,Recibos!M$4:M$3010)</f>
        <v>400</v>
      </c>
      <c r="BB257" s="319">
        <f>SUMIF(Recibos!$D$4:$D$3010,Cobranza!$B257,Recibos!N$4:N$3010)</f>
        <v>400</v>
      </c>
      <c r="BC257" s="319">
        <f>SUMIF(Recibos!$D$4:$D$3010,Cobranza!$B257,Recibos!O$4:O$3010)</f>
        <v>400</v>
      </c>
      <c r="BD257" s="319">
        <f>SUMIF(Recibos!$D$4:$D$3010,Cobranza!$B257,Recibos!P$4:P$3010)</f>
        <v>400</v>
      </c>
      <c r="BE257" s="319">
        <f>SUMIF(Recibos!$D$4:$D$3010,Cobranza!$B257,Recibos!Q$4:Q$3010)</f>
        <v>400</v>
      </c>
      <c r="BF257" s="319">
        <f>SUMIF(Recibos!$D$4:$D$3010,Cobranza!$B257,Recibos!R$4:R$3010)</f>
        <v>400</v>
      </c>
      <c r="BG257" s="319">
        <f>SUMIF(Recibos!$D$4:$D$3010,Cobranza!$B257,Recibos!S$4:S$3010)</f>
        <v>400</v>
      </c>
      <c r="BH257" s="319">
        <f>SUMIF(Recibos!$D$4:$D$3010,Cobranza!$B257,Recibos!T$4:T$3010)</f>
        <v>400</v>
      </c>
      <c r="BI257" s="319">
        <f>SUMIF(Recibos!$D$4:$D$3010,Cobranza!$B257,Recibos!U$4:U$3010)</f>
        <v>0</v>
      </c>
      <c r="BJ257" s="319">
        <f>SUMIF(Recibos!$D$4:$D$3010,Cobranza!$B257,Recibos!V$4:V$3010)</f>
        <v>0</v>
      </c>
      <c r="BK257" s="320">
        <f t="shared" si="27"/>
        <v>4000</v>
      </c>
      <c r="BL257" s="319">
        <f>SUMIF(Recibos!$D$4:$D$3010,Cobranza!$B257,Recibos!X$4:X$3010)</f>
        <v>0</v>
      </c>
      <c r="BM257" s="319">
        <f>SUMIF(Recibos!$D$4:$D$3010,Cobranza!$B257,Recibos!Y$4:Y$3010)</f>
        <v>0</v>
      </c>
      <c r="BN257" s="319">
        <f>SUMIF(Recibos!$D$4:$D$3010,Cobranza!$B257,Recibos!Z$4:Z$3010)</f>
        <v>0</v>
      </c>
      <c r="BO257" s="319">
        <f>SUMIF(Recibos!$D$4:$D$3010,Cobranza!$B257,Recibos!AA$4:AA$3010)</f>
        <v>0</v>
      </c>
      <c r="BP257" s="319">
        <f>SUMIF(Recibos!$D$4:$D$3010,Cobranza!$B257,Recibos!AB$4:AB$3010)</f>
        <v>0</v>
      </c>
      <c r="BQ257" s="319">
        <f>SUMIF(Recibos!$D$4:$D$3010,Cobranza!$B257,Recibos!AC$4:AC$3010)</f>
        <v>0</v>
      </c>
      <c r="BR257" s="319">
        <f>SUMIF(Recibos!$D$4:$D$3010,Cobranza!$B257,Recibos!AD$4:AD$3010)</f>
        <v>0</v>
      </c>
      <c r="BS257" s="319">
        <f>SUMIF(Recibos!$D$4:$D$3010,Cobranza!$B257,Recibos!AE$4:AE$3010)</f>
        <v>0</v>
      </c>
      <c r="BT257" s="319">
        <f>SUMIF(Recibos!$D$4:$D$3010,Cobranza!$B257,Recibos!AF$4:AF$3010)</f>
        <v>0</v>
      </c>
      <c r="BU257" s="319">
        <f>SUMIF(Recibos!$D$4:$D$3010,Cobranza!$B257,Recibos!AG$4:AG$3010)</f>
        <v>0</v>
      </c>
      <c r="BV257" s="319">
        <f>SUMIF(Recibos!$D$4:$D$3010,Cobranza!$B257,Recibos!AH$4:AH$3010)</f>
        <v>0</v>
      </c>
      <c r="BW257" s="319">
        <f>SUMIF(Recibos!$D$4:$D$3010,Cobranza!$B257,Recibos!AI$4:AI$3010)</f>
        <v>0</v>
      </c>
      <c r="BX257" s="320">
        <f t="shared" si="28"/>
        <v>0</v>
      </c>
    </row>
    <row r="258" spans="2:76" x14ac:dyDescent="0.2">
      <c r="B258" s="42" t="s">
        <v>1385</v>
      </c>
      <c r="C258" s="42" t="s">
        <v>1386</v>
      </c>
      <c r="D258" s="42"/>
      <c r="E258" s="43">
        <v>0</v>
      </c>
      <c r="F258" s="43">
        <v>0</v>
      </c>
      <c r="G258" s="43">
        <v>0</v>
      </c>
      <c r="H258" s="43">
        <v>0</v>
      </c>
      <c r="I258" s="43">
        <v>0</v>
      </c>
      <c r="J258" s="43">
        <v>0</v>
      </c>
      <c r="K258" s="44">
        <f t="shared" si="23"/>
        <v>0</v>
      </c>
      <c r="L258" s="43">
        <v>0</v>
      </c>
      <c r="M258" s="43">
        <v>0</v>
      </c>
      <c r="N258" s="43">
        <v>0</v>
      </c>
      <c r="O258" s="43">
        <v>0</v>
      </c>
      <c r="P258" s="43">
        <v>0</v>
      </c>
      <c r="Q258" s="43">
        <v>0</v>
      </c>
      <c r="R258" s="43">
        <v>0</v>
      </c>
      <c r="S258" s="43">
        <v>0</v>
      </c>
      <c r="T258" s="43">
        <v>0</v>
      </c>
      <c r="U258" s="43">
        <v>0</v>
      </c>
      <c r="V258" s="43">
        <v>0</v>
      </c>
      <c r="W258" s="43">
        <v>0</v>
      </c>
      <c r="X258" s="44">
        <f t="shared" si="24"/>
        <v>0</v>
      </c>
      <c r="Y258" s="43">
        <v>0</v>
      </c>
      <c r="Z258" s="43">
        <v>0</v>
      </c>
      <c r="AA258" s="43">
        <v>0</v>
      </c>
      <c r="AB258" s="43">
        <v>0</v>
      </c>
      <c r="AC258" s="43">
        <v>0</v>
      </c>
      <c r="AD258" s="43">
        <v>0</v>
      </c>
      <c r="AE258" s="43">
        <v>0</v>
      </c>
      <c r="AF258" s="43">
        <v>0</v>
      </c>
      <c r="AG258" s="43">
        <v>0</v>
      </c>
      <c r="AH258" s="43">
        <v>0</v>
      </c>
      <c r="AI258" s="43">
        <v>0</v>
      </c>
      <c r="AJ258" s="43">
        <v>0</v>
      </c>
      <c r="AK258" s="44">
        <f t="shared" si="25"/>
        <v>0</v>
      </c>
      <c r="AL258" s="43">
        <v>0</v>
      </c>
      <c r="AM258" s="43">
        <v>0</v>
      </c>
      <c r="AN258" s="43">
        <v>0</v>
      </c>
      <c r="AO258" s="43">
        <v>0</v>
      </c>
      <c r="AP258" s="43">
        <v>0</v>
      </c>
      <c r="AQ258" s="43">
        <v>0</v>
      </c>
      <c r="AR258" s="43">
        <v>0</v>
      </c>
      <c r="AS258" s="43">
        <v>0</v>
      </c>
      <c r="AT258" s="43">
        <v>0</v>
      </c>
      <c r="AU258" s="43">
        <v>0</v>
      </c>
      <c r="AV258" s="43">
        <v>0</v>
      </c>
      <c r="AW258" s="43">
        <v>0</v>
      </c>
      <c r="AX258" s="44">
        <f t="shared" si="26"/>
        <v>0</v>
      </c>
      <c r="AY258" s="317">
        <f>SUMIF(Recibos!$D$4:$D$3010,Cobranza!$B258,Recibos!K$4:K$3010)</f>
        <v>0</v>
      </c>
      <c r="AZ258" s="317">
        <f>SUMIF(Recibos!$D$4:$D$3010,Cobranza!$B258,Recibos!L$4:L$3010)</f>
        <v>0</v>
      </c>
      <c r="BA258" s="317">
        <f>SUMIF(Recibos!$D$4:$D$3010,Cobranza!$B258,Recibos!M$4:M$3010)</f>
        <v>0</v>
      </c>
      <c r="BB258" s="317">
        <f>SUMIF(Recibos!$D$4:$D$3010,Cobranza!$B258,Recibos!N$4:N$3010)</f>
        <v>0</v>
      </c>
      <c r="BC258" s="317">
        <f>SUMIF(Recibos!$D$4:$D$3010,Cobranza!$B258,Recibos!O$4:O$3010)</f>
        <v>0</v>
      </c>
      <c r="BD258" s="317">
        <f>SUMIF(Recibos!$D$4:$D$3010,Cobranza!$B258,Recibos!P$4:P$3010)</f>
        <v>0</v>
      </c>
      <c r="BE258" s="317">
        <f>SUMIF(Recibos!$D$4:$D$3010,Cobranza!$B258,Recibos!Q$4:Q$3010)</f>
        <v>0</v>
      </c>
      <c r="BF258" s="317">
        <f>SUMIF(Recibos!$D$4:$D$3010,Cobranza!$B258,Recibos!R$4:R$3010)</f>
        <v>0</v>
      </c>
      <c r="BG258" s="317">
        <f>SUMIF(Recibos!$D$4:$D$3010,Cobranza!$B258,Recibos!S$4:S$3010)</f>
        <v>0</v>
      </c>
      <c r="BH258" s="317">
        <f>SUMIF(Recibos!$D$4:$D$3010,Cobranza!$B258,Recibos!T$4:T$3010)</f>
        <v>0</v>
      </c>
      <c r="BI258" s="317">
        <f>SUMIF(Recibos!$D$4:$D$3010,Cobranza!$B258,Recibos!U$4:U$3010)</f>
        <v>0</v>
      </c>
      <c r="BJ258" s="317">
        <f>SUMIF(Recibos!$D$4:$D$3010,Cobranza!$B258,Recibos!V$4:V$3010)</f>
        <v>0</v>
      </c>
      <c r="BK258" s="318">
        <f t="shared" si="27"/>
        <v>0</v>
      </c>
      <c r="BL258" s="317">
        <f>SUMIF(Recibos!$D$4:$D$3010,Cobranza!$B258,Recibos!X$4:X$3010)</f>
        <v>0</v>
      </c>
      <c r="BM258" s="317">
        <f>SUMIF(Recibos!$D$4:$D$3010,Cobranza!$B258,Recibos!Y$4:Y$3010)</f>
        <v>0</v>
      </c>
      <c r="BN258" s="317">
        <f>SUMIF(Recibos!$D$4:$D$3010,Cobranza!$B258,Recibos!Z$4:Z$3010)</f>
        <v>0</v>
      </c>
      <c r="BO258" s="317">
        <f>SUMIF(Recibos!$D$4:$D$3010,Cobranza!$B258,Recibos!AA$4:AA$3010)</f>
        <v>0</v>
      </c>
      <c r="BP258" s="317">
        <f>SUMIF(Recibos!$D$4:$D$3010,Cobranza!$B258,Recibos!AB$4:AB$3010)</f>
        <v>0</v>
      </c>
      <c r="BQ258" s="317">
        <f>SUMIF(Recibos!$D$4:$D$3010,Cobranza!$B258,Recibos!AC$4:AC$3010)</f>
        <v>0</v>
      </c>
      <c r="BR258" s="317">
        <f>SUMIF(Recibos!$D$4:$D$3010,Cobranza!$B258,Recibos!AD$4:AD$3010)</f>
        <v>0</v>
      </c>
      <c r="BS258" s="317">
        <f>SUMIF(Recibos!$D$4:$D$3010,Cobranza!$B258,Recibos!AE$4:AE$3010)</f>
        <v>0</v>
      </c>
      <c r="BT258" s="317">
        <f>SUMIF(Recibos!$D$4:$D$3010,Cobranza!$B258,Recibos!AF$4:AF$3010)</f>
        <v>0</v>
      </c>
      <c r="BU258" s="317">
        <f>SUMIF(Recibos!$D$4:$D$3010,Cobranza!$B258,Recibos!AG$4:AG$3010)</f>
        <v>0</v>
      </c>
      <c r="BV258" s="317">
        <f>SUMIF(Recibos!$D$4:$D$3010,Cobranza!$B258,Recibos!AH$4:AH$3010)</f>
        <v>0</v>
      </c>
      <c r="BW258" s="317">
        <f>SUMIF(Recibos!$D$4:$D$3010,Cobranza!$B258,Recibos!AI$4:AI$3010)</f>
        <v>0</v>
      </c>
      <c r="BX258" s="318">
        <f t="shared" si="28"/>
        <v>0</v>
      </c>
    </row>
    <row r="259" spans="2:76" x14ac:dyDescent="0.2">
      <c r="B259" s="45" t="s">
        <v>94</v>
      </c>
      <c r="C259" s="45" t="s">
        <v>95</v>
      </c>
      <c r="D259" s="45" t="s">
        <v>96</v>
      </c>
      <c r="E259" s="46">
        <v>0</v>
      </c>
      <c r="F259" s="46">
        <v>0</v>
      </c>
      <c r="G259" s="46">
        <v>0</v>
      </c>
      <c r="H259" s="46">
        <v>0</v>
      </c>
      <c r="I259" s="46">
        <v>0</v>
      </c>
      <c r="J259" s="46">
        <v>300</v>
      </c>
      <c r="K259" s="47">
        <f t="shared" si="23"/>
        <v>300</v>
      </c>
      <c r="L259" s="46">
        <v>300</v>
      </c>
      <c r="M259" s="46">
        <v>300</v>
      </c>
      <c r="N259" s="46">
        <v>300</v>
      </c>
      <c r="O259" s="46">
        <v>300</v>
      </c>
      <c r="P259" s="46">
        <v>300</v>
      </c>
      <c r="Q259" s="46">
        <v>300</v>
      </c>
      <c r="R259" s="46">
        <v>300</v>
      </c>
      <c r="S259" s="46">
        <v>300</v>
      </c>
      <c r="T259" s="46">
        <v>300</v>
      </c>
      <c r="U259" s="46">
        <v>400</v>
      </c>
      <c r="V259" s="46">
        <v>400</v>
      </c>
      <c r="W259" s="46">
        <v>400</v>
      </c>
      <c r="X259" s="47">
        <f t="shared" si="24"/>
        <v>3900</v>
      </c>
      <c r="Y259" s="46">
        <v>400</v>
      </c>
      <c r="Z259" s="46">
        <v>400</v>
      </c>
      <c r="AA259" s="46">
        <v>400</v>
      </c>
      <c r="AB259" s="46">
        <v>400</v>
      </c>
      <c r="AC259" s="46">
        <v>400</v>
      </c>
      <c r="AD259" s="46">
        <v>400</v>
      </c>
      <c r="AE259" s="46">
        <v>400</v>
      </c>
      <c r="AF259" s="46">
        <v>400</v>
      </c>
      <c r="AG259" s="46">
        <v>900</v>
      </c>
      <c r="AH259" s="46">
        <v>400</v>
      </c>
      <c r="AI259" s="46">
        <v>400</v>
      </c>
      <c r="AJ259" s="46">
        <v>400</v>
      </c>
      <c r="AK259" s="47">
        <f t="shared" si="25"/>
        <v>5300</v>
      </c>
      <c r="AL259" s="46">
        <v>400</v>
      </c>
      <c r="AM259" s="46">
        <v>400</v>
      </c>
      <c r="AN259" s="46">
        <v>400</v>
      </c>
      <c r="AO259" s="46">
        <v>400</v>
      </c>
      <c r="AP259" s="46">
        <v>400</v>
      </c>
      <c r="AQ259" s="46">
        <v>400</v>
      </c>
      <c r="AR259" s="46">
        <v>400</v>
      </c>
      <c r="AS259" s="46">
        <v>400</v>
      </c>
      <c r="AT259" s="46">
        <v>400</v>
      </c>
      <c r="AU259" s="46">
        <v>400</v>
      </c>
      <c r="AV259" s="46">
        <v>400</v>
      </c>
      <c r="AW259" s="46">
        <v>400</v>
      </c>
      <c r="AX259" s="47">
        <f t="shared" si="26"/>
        <v>4800</v>
      </c>
      <c r="AY259" s="319">
        <f>SUMIF(Recibos!$D$4:$D$3010,Cobranza!$B259,Recibos!K$4:K$3010)</f>
        <v>400</v>
      </c>
      <c r="AZ259" s="319">
        <f>SUMIF(Recibos!$D$4:$D$3010,Cobranza!$B259,Recibos!L$4:L$3010)</f>
        <v>400</v>
      </c>
      <c r="BA259" s="319">
        <f>SUMIF(Recibos!$D$4:$D$3010,Cobranza!$B259,Recibos!M$4:M$3010)</f>
        <v>400</v>
      </c>
      <c r="BB259" s="319">
        <f>SUMIF(Recibos!$D$4:$D$3010,Cobranza!$B259,Recibos!N$4:N$3010)</f>
        <v>400</v>
      </c>
      <c r="BC259" s="319">
        <f>SUMIF(Recibos!$D$4:$D$3010,Cobranza!$B259,Recibos!O$4:O$3010)</f>
        <v>400</v>
      </c>
      <c r="BD259" s="319">
        <f>SUMIF(Recibos!$D$4:$D$3010,Cobranza!$B259,Recibos!P$4:P$3010)</f>
        <v>400</v>
      </c>
      <c r="BE259" s="319">
        <f>SUMIF(Recibos!$D$4:$D$3010,Cobranza!$B259,Recibos!Q$4:Q$3010)</f>
        <v>400</v>
      </c>
      <c r="BF259" s="319">
        <f>SUMIF(Recibos!$D$4:$D$3010,Cobranza!$B259,Recibos!R$4:R$3010)</f>
        <v>400</v>
      </c>
      <c r="BG259" s="319">
        <f>SUMIF(Recibos!$D$4:$D$3010,Cobranza!$B259,Recibos!S$4:S$3010)</f>
        <v>400</v>
      </c>
      <c r="BH259" s="319">
        <f>SUMIF(Recibos!$D$4:$D$3010,Cobranza!$B259,Recibos!T$4:T$3010)</f>
        <v>400</v>
      </c>
      <c r="BI259" s="319">
        <f>SUMIF(Recibos!$D$4:$D$3010,Cobranza!$B259,Recibos!U$4:U$3010)</f>
        <v>400</v>
      </c>
      <c r="BJ259" s="319">
        <f>SUMIF(Recibos!$D$4:$D$3010,Cobranza!$B259,Recibos!V$4:V$3010)</f>
        <v>400</v>
      </c>
      <c r="BK259" s="320">
        <f t="shared" si="27"/>
        <v>4800</v>
      </c>
      <c r="BL259" s="319">
        <f>SUMIF(Recibos!$D$4:$D$3010,Cobranza!$B259,Recibos!X$4:X$3010)</f>
        <v>0</v>
      </c>
      <c r="BM259" s="319">
        <f>SUMIF(Recibos!$D$4:$D$3010,Cobranza!$B259,Recibos!Y$4:Y$3010)</f>
        <v>0</v>
      </c>
      <c r="BN259" s="319">
        <f>SUMIF(Recibos!$D$4:$D$3010,Cobranza!$B259,Recibos!Z$4:Z$3010)</f>
        <v>0</v>
      </c>
      <c r="BO259" s="319">
        <f>SUMIF(Recibos!$D$4:$D$3010,Cobranza!$B259,Recibos!AA$4:AA$3010)</f>
        <v>0</v>
      </c>
      <c r="BP259" s="319">
        <f>SUMIF(Recibos!$D$4:$D$3010,Cobranza!$B259,Recibos!AB$4:AB$3010)</f>
        <v>0</v>
      </c>
      <c r="BQ259" s="319">
        <f>SUMIF(Recibos!$D$4:$D$3010,Cobranza!$B259,Recibos!AC$4:AC$3010)</f>
        <v>0</v>
      </c>
      <c r="BR259" s="319">
        <f>SUMIF(Recibos!$D$4:$D$3010,Cobranza!$B259,Recibos!AD$4:AD$3010)</f>
        <v>0</v>
      </c>
      <c r="BS259" s="319">
        <f>SUMIF(Recibos!$D$4:$D$3010,Cobranza!$B259,Recibos!AE$4:AE$3010)</f>
        <v>0</v>
      </c>
      <c r="BT259" s="319">
        <f>SUMIF(Recibos!$D$4:$D$3010,Cobranza!$B259,Recibos!AF$4:AF$3010)</f>
        <v>0</v>
      </c>
      <c r="BU259" s="319">
        <f>SUMIF(Recibos!$D$4:$D$3010,Cobranza!$B259,Recibos!AG$4:AG$3010)</f>
        <v>0</v>
      </c>
      <c r="BV259" s="319">
        <f>SUMIF(Recibos!$D$4:$D$3010,Cobranza!$B259,Recibos!AH$4:AH$3010)</f>
        <v>0</v>
      </c>
      <c r="BW259" s="319">
        <f>SUMIF(Recibos!$D$4:$D$3010,Cobranza!$B259,Recibos!AI$4:AI$3010)</f>
        <v>0</v>
      </c>
      <c r="BX259" s="320">
        <f t="shared" si="28"/>
        <v>0</v>
      </c>
    </row>
    <row r="260" spans="2:76" x14ac:dyDescent="0.2">
      <c r="B260" s="42" t="s">
        <v>446</v>
      </c>
      <c r="C260" s="42" t="s">
        <v>447</v>
      </c>
      <c r="D260" s="42" t="s">
        <v>448</v>
      </c>
      <c r="E260" s="43">
        <v>0</v>
      </c>
      <c r="F260" s="43">
        <v>0</v>
      </c>
      <c r="G260" s="43">
        <v>0</v>
      </c>
      <c r="H260" s="43">
        <v>0</v>
      </c>
      <c r="I260" s="43">
        <v>0</v>
      </c>
      <c r="J260" s="43">
        <v>0</v>
      </c>
      <c r="K260" s="44">
        <f t="shared" si="23"/>
        <v>0</v>
      </c>
      <c r="L260" s="43">
        <v>0</v>
      </c>
      <c r="M260" s="43">
        <v>0</v>
      </c>
      <c r="N260" s="43">
        <v>0</v>
      </c>
      <c r="O260" s="43">
        <v>0</v>
      </c>
      <c r="P260" s="43">
        <v>0</v>
      </c>
      <c r="Q260" s="43">
        <v>0</v>
      </c>
      <c r="R260" s="43">
        <v>0</v>
      </c>
      <c r="S260" s="43">
        <v>0</v>
      </c>
      <c r="T260" s="43">
        <v>0</v>
      </c>
      <c r="U260" s="43">
        <v>0</v>
      </c>
      <c r="V260" s="43">
        <v>0</v>
      </c>
      <c r="W260" s="43">
        <v>0</v>
      </c>
      <c r="X260" s="44">
        <f t="shared" si="24"/>
        <v>0</v>
      </c>
      <c r="Y260" s="43">
        <v>0</v>
      </c>
      <c r="Z260" s="43">
        <v>0</v>
      </c>
      <c r="AA260" s="43">
        <v>0</v>
      </c>
      <c r="AB260" s="43">
        <v>0</v>
      </c>
      <c r="AC260" s="43">
        <v>0</v>
      </c>
      <c r="AD260" s="43">
        <v>0</v>
      </c>
      <c r="AE260" s="43">
        <v>0</v>
      </c>
      <c r="AF260" s="43">
        <v>0</v>
      </c>
      <c r="AG260" s="43">
        <v>0</v>
      </c>
      <c r="AH260" s="43">
        <v>0</v>
      </c>
      <c r="AI260" s="43">
        <v>0</v>
      </c>
      <c r="AJ260" s="43">
        <v>0</v>
      </c>
      <c r="AK260" s="44">
        <f t="shared" si="25"/>
        <v>0</v>
      </c>
      <c r="AL260" s="43">
        <v>0</v>
      </c>
      <c r="AM260" s="43">
        <v>0</v>
      </c>
      <c r="AN260" s="43">
        <v>0</v>
      </c>
      <c r="AO260" s="43">
        <v>0</v>
      </c>
      <c r="AP260" s="43">
        <v>300</v>
      </c>
      <c r="AQ260" s="43">
        <v>300</v>
      </c>
      <c r="AR260" s="43">
        <v>300</v>
      </c>
      <c r="AS260" s="43">
        <v>150</v>
      </c>
      <c r="AT260" s="43">
        <v>150</v>
      </c>
      <c r="AU260" s="43">
        <v>150</v>
      </c>
      <c r="AV260" s="43">
        <v>150</v>
      </c>
      <c r="AW260" s="43">
        <v>150</v>
      </c>
      <c r="AX260" s="44">
        <f t="shared" si="26"/>
        <v>1650</v>
      </c>
      <c r="AY260" s="317">
        <f>SUMIF(Recibos!$D$4:$D$3010,Cobranza!$B260,Recibos!K$4:K$3010)</f>
        <v>150</v>
      </c>
      <c r="AZ260" s="317">
        <f>SUMIF(Recibos!$D$4:$D$3010,Cobranza!$B260,Recibos!L$4:L$3010)</f>
        <v>150</v>
      </c>
      <c r="BA260" s="317">
        <f>SUMIF(Recibos!$D$4:$D$3010,Cobranza!$B260,Recibos!M$4:M$3010)</f>
        <v>150</v>
      </c>
      <c r="BB260" s="317">
        <f>SUMIF(Recibos!$D$4:$D$3010,Cobranza!$B260,Recibos!N$4:N$3010)</f>
        <v>150</v>
      </c>
      <c r="BC260" s="317">
        <f>SUMIF(Recibos!$D$4:$D$3010,Cobranza!$B260,Recibos!O$4:O$3010)</f>
        <v>200</v>
      </c>
      <c r="BD260" s="317">
        <f>SUMIF(Recibos!$D$4:$D$3010,Cobranza!$B260,Recibos!P$4:P$3010)</f>
        <v>0</v>
      </c>
      <c r="BE260" s="317">
        <f>SUMIF(Recibos!$D$4:$D$3010,Cobranza!$B260,Recibos!Q$4:Q$3010)</f>
        <v>0</v>
      </c>
      <c r="BF260" s="317">
        <f>SUMIF(Recibos!$D$4:$D$3010,Cobranza!$B260,Recibos!R$4:R$3010)</f>
        <v>200</v>
      </c>
      <c r="BG260" s="317">
        <f>SUMIF(Recibos!$D$4:$D$3010,Cobranza!$B260,Recibos!S$4:S$3010)</f>
        <v>200</v>
      </c>
      <c r="BH260" s="317">
        <f>SUMIF(Recibos!$D$4:$D$3010,Cobranza!$B260,Recibos!T$4:T$3010)</f>
        <v>200</v>
      </c>
      <c r="BI260" s="317">
        <f>SUMIF(Recibos!$D$4:$D$3010,Cobranza!$B260,Recibos!U$4:U$3010)</f>
        <v>200</v>
      </c>
      <c r="BJ260" s="317">
        <f>SUMIF(Recibos!$D$4:$D$3010,Cobranza!$B260,Recibos!V$4:V$3010)</f>
        <v>0</v>
      </c>
      <c r="BK260" s="318">
        <f t="shared" si="27"/>
        <v>1600</v>
      </c>
      <c r="BL260" s="317">
        <f>SUMIF(Recibos!$D$4:$D$3010,Cobranza!$B260,Recibos!X$4:X$3010)</f>
        <v>0</v>
      </c>
      <c r="BM260" s="317">
        <f>SUMIF(Recibos!$D$4:$D$3010,Cobranza!$B260,Recibos!Y$4:Y$3010)</f>
        <v>0</v>
      </c>
      <c r="BN260" s="317">
        <f>SUMIF(Recibos!$D$4:$D$3010,Cobranza!$B260,Recibos!Z$4:Z$3010)</f>
        <v>0</v>
      </c>
      <c r="BO260" s="317">
        <f>SUMIF(Recibos!$D$4:$D$3010,Cobranza!$B260,Recibos!AA$4:AA$3010)</f>
        <v>0</v>
      </c>
      <c r="BP260" s="317">
        <f>SUMIF(Recibos!$D$4:$D$3010,Cobranza!$B260,Recibos!AB$4:AB$3010)</f>
        <v>0</v>
      </c>
      <c r="BQ260" s="317">
        <f>SUMIF(Recibos!$D$4:$D$3010,Cobranza!$B260,Recibos!AC$4:AC$3010)</f>
        <v>0</v>
      </c>
      <c r="BR260" s="317">
        <f>SUMIF(Recibos!$D$4:$D$3010,Cobranza!$B260,Recibos!AD$4:AD$3010)</f>
        <v>0</v>
      </c>
      <c r="BS260" s="317">
        <f>SUMIF(Recibos!$D$4:$D$3010,Cobranza!$B260,Recibos!AE$4:AE$3010)</f>
        <v>0</v>
      </c>
      <c r="BT260" s="317">
        <f>SUMIF(Recibos!$D$4:$D$3010,Cobranza!$B260,Recibos!AF$4:AF$3010)</f>
        <v>0</v>
      </c>
      <c r="BU260" s="317">
        <f>SUMIF(Recibos!$D$4:$D$3010,Cobranza!$B260,Recibos!AG$4:AG$3010)</f>
        <v>0</v>
      </c>
      <c r="BV260" s="317">
        <f>SUMIF(Recibos!$D$4:$D$3010,Cobranza!$B260,Recibos!AH$4:AH$3010)</f>
        <v>0</v>
      </c>
      <c r="BW260" s="317">
        <f>SUMIF(Recibos!$D$4:$D$3010,Cobranza!$B260,Recibos!AI$4:AI$3010)</f>
        <v>0</v>
      </c>
      <c r="BX260" s="318">
        <f t="shared" si="28"/>
        <v>0</v>
      </c>
    </row>
    <row r="261" spans="2:76" x14ac:dyDescent="0.2">
      <c r="B261" s="45" t="s">
        <v>858</v>
      </c>
      <c r="C261" s="45" t="s">
        <v>859</v>
      </c>
      <c r="D261" s="45" t="s">
        <v>860</v>
      </c>
      <c r="E261" s="46">
        <v>0</v>
      </c>
      <c r="F261" s="46">
        <v>0</v>
      </c>
      <c r="G261" s="46">
        <v>0</v>
      </c>
      <c r="H261" s="46">
        <v>0</v>
      </c>
      <c r="I261" s="46">
        <v>0</v>
      </c>
      <c r="J261" s="46">
        <v>250</v>
      </c>
      <c r="K261" s="47">
        <f t="shared" si="23"/>
        <v>250</v>
      </c>
      <c r="L261" s="46">
        <v>250</v>
      </c>
      <c r="M261" s="46">
        <v>250</v>
      </c>
      <c r="N261" s="46">
        <v>300</v>
      </c>
      <c r="O261" s="46">
        <v>250</v>
      </c>
      <c r="P261" s="46">
        <v>0</v>
      </c>
      <c r="Q261" s="46">
        <v>0</v>
      </c>
      <c r="R261" s="46">
        <v>0</v>
      </c>
      <c r="S261" s="46">
        <v>300</v>
      </c>
      <c r="T261" s="46">
        <v>300</v>
      </c>
      <c r="U261" s="46">
        <v>400</v>
      </c>
      <c r="V261" s="46">
        <v>400</v>
      </c>
      <c r="W261" s="46">
        <v>400</v>
      </c>
      <c r="X261" s="47">
        <f t="shared" si="24"/>
        <v>2850</v>
      </c>
      <c r="Y261" s="46">
        <v>400</v>
      </c>
      <c r="Z261" s="46">
        <v>400</v>
      </c>
      <c r="AA261" s="46">
        <v>400</v>
      </c>
      <c r="AB261" s="46">
        <v>400</v>
      </c>
      <c r="AC261" s="46">
        <v>400</v>
      </c>
      <c r="AD261" s="46">
        <v>400</v>
      </c>
      <c r="AE261" s="46">
        <v>400</v>
      </c>
      <c r="AF261" s="46">
        <v>400</v>
      </c>
      <c r="AG261" s="46">
        <v>400</v>
      </c>
      <c r="AH261" s="46">
        <v>400</v>
      </c>
      <c r="AI261" s="46">
        <v>400</v>
      </c>
      <c r="AJ261" s="46">
        <v>400</v>
      </c>
      <c r="AK261" s="47">
        <f t="shared" si="25"/>
        <v>4800</v>
      </c>
      <c r="AL261" s="46">
        <v>400</v>
      </c>
      <c r="AM261" s="46">
        <v>400</v>
      </c>
      <c r="AN261" s="46">
        <v>400</v>
      </c>
      <c r="AO261" s="46">
        <v>400</v>
      </c>
      <c r="AP261" s="46">
        <v>400</v>
      </c>
      <c r="AQ261" s="46">
        <v>400</v>
      </c>
      <c r="AR261" s="46">
        <v>400</v>
      </c>
      <c r="AS261" s="46">
        <v>400</v>
      </c>
      <c r="AT261" s="46">
        <v>400</v>
      </c>
      <c r="AU261" s="46">
        <v>400</v>
      </c>
      <c r="AV261" s="46">
        <v>400</v>
      </c>
      <c r="AW261" s="46">
        <v>400</v>
      </c>
      <c r="AX261" s="47">
        <f t="shared" si="26"/>
        <v>4800</v>
      </c>
      <c r="AY261" s="319">
        <f>SUMIF(Recibos!$D$4:$D$3010,Cobranza!$B261,Recibos!K$4:K$3010)</f>
        <v>400</v>
      </c>
      <c r="AZ261" s="319">
        <f>SUMIF(Recibos!$D$4:$D$3010,Cobranza!$B261,Recibos!L$4:L$3010)</f>
        <v>400</v>
      </c>
      <c r="BA261" s="319">
        <f>SUMIF(Recibos!$D$4:$D$3010,Cobranza!$B261,Recibos!M$4:M$3010)</f>
        <v>400</v>
      </c>
      <c r="BB261" s="319">
        <f>SUMIF(Recibos!$D$4:$D$3010,Cobranza!$B261,Recibos!N$4:N$3010)</f>
        <v>400</v>
      </c>
      <c r="BC261" s="319">
        <f>SUMIF(Recibos!$D$4:$D$3010,Cobranza!$B261,Recibos!O$4:O$3010)</f>
        <v>400</v>
      </c>
      <c r="BD261" s="319">
        <f>SUMIF(Recibos!$D$4:$D$3010,Cobranza!$B261,Recibos!P$4:P$3010)</f>
        <v>0</v>
      </c>
      <c r="BE261" s="319">
        <f>SUMIF(Recibos!$D$4:$D$3010,Cobranza!$B261,Recibos!Q$4:Q$3010)</f>
        <v>400</v>
      </c>
      <c r="BF261" s="319">
        <f>SUMIF(Recibos!$D$4:$D$3010,Cobranza!$B261,Recibos!R$4:R$3010)</f>
        <v>400</v>
      </c>
      <c r="BG261" s="319">
        <f>SUMIF(Recibos!$D$4:$D$3010,Cobranza!$B261,Recibos!S$4:S$3010)</f>
        <v>800</v>
      </c>
      <c r="BH261" s="319">
        <f>SUMIF(Recibos!$D$4:$D$3010,Cobranza!$B261,Recibos!T$4:T$3010)</f>
        <v>400</v>
      </c>
      <c r="BI261" s="319">
        <f>SUMIF(Recibos!$D$4:$D$3010,Cobranza!$B261,Recibos!U$4:U$3010)</f>
        <v>400</v>
      </c>
      <c r="BJ261" s="319">
        <f>SUMIF(Recibos!$D$4:$D$3010,Cobranza!$B261,Recibos!V$4:V$3010)</f>
        <v>400</v>
      </c>
      <c r="BK261" s="320">
        <f t="shared" si="27"/>
        <v>4800</v>
      </c>
      <c r="BL261" s="319">
        <f>SUMIF(Recibos!$D$4:$D$3010,Cobranza!$B261,Recibos!X$4:X$3010)</f>
        <v>0</v>
      </c>
      <c r="BM261" s="319">
        <f>SUMIF(Recibos!$D$4:$D$3010,Cobranza!$B261,Recibos!Y$4:Y$3010)</f>
        <v>0</v>
      </c>
      <c r="BN261" s="319">
        <f>SUMIF(Recibos!$D$4:$D$3010,Cobranza!$B261,Recibos!Z$4:Z$3010)</f>
        <v>0</v>
      </c>
      <c r="BO261" s="319">
        <f>SUMIF(Recibos!$D$4:$D$3010,Cobranza!$B261,Recibos!AA$4:AA$3010)</f>
        <v>0</v>
      </c>
      <c r="BP261" s="319">
        <f>SUMIF(Recibos!$D$4:$D$3010,Cobranza!$B261,Recibos!AB$4:AB$3010)</f>
        <v>0</v>
      </c>
      <c r="BQ261" s="319">
        <f>SUMIF(Recibos!$D$4:$D$3010,Cobranza!$B261,Recibos!AC$4:AC$3010)</f>
        <v>0</v>
      </c>
      <c r="BR261" s="319">
        <f>SUMIF(Recibos!$D$4:$D$3010,Cobranza!$B261,Recibos!AD$4:AD$3010)</f>
        <v>0</v>
      </c>
      <c r="BS261" s="319">
        <f>SUMIF(Recibos!$D$4:$D$3010,Cobranza!$B261,Recibos!AE$4:AE$3010)</f>
        <v>0</v>
      </c>
      <c r="BT261" s="319">
        <f>SUMIF(Recibos!$D$4:$D$3010,Cobranza!$B261,Recibos!AF$4:AF$3010)</f>
        <v>0</v>
      </c>
      <c r="BU261" s="319">
        <f>SUMIF(Recibos!$D$4:$D$3010,Cobranza!$B261,Recibos!AG$4:AG$3010)</f>
        <v>0</v>
      </c>
      <c r="BV261" s="319">
        <f>SUMIF(Recibos!$D$4:$D$3010,Cobranza!$B261,Recibos!AH$4:AH$3010)</f>
        <v>0</v>
      </c>
      <c r="BW261" s="319">
        <f>SUMIF(Recibos!$D$4:$D$3010,Cobranza!$B261,Recibos!AI$4:AI$3010)</f>
        <v>0</v>
      </c>
      <c r="BX261" s="320">
        <f t="shared" si="28"/>
        <v>0</v>
      </c>
    </row>
    <row r="262" spans="2:76" x14ac:dyDescent="0.2">
      <c r="B262" s="42" t="s">
        <v>814</v>
      </c>
      <c r="C262" s="42" t="s">
        <v>815</v>
      </c>
      <c r="D262" s="42" t="s">
        <v>1177</v>
      </c>
      <c r="E262" s="43">
        <v>0</v>
      </c>
      <c r="F262" s="43">
        <v>0</v>
      </c>
      <c r="G262" s="43">
        <v>0</v>
      </c>
      <c r="H262" s="43">
        <v>0</v>
      </c>
      <c r="I262" s="43">
        <v>0</v>
      </c>
      <c r="J262" s="43">
        <v>300</v>
      </c>
      <c r="K262" s="44">
        <f t="shared" si="23"/>
        <v>300</v>
      </c>
      <c r="L262" s="43">
        <v>300</v>
      </c>
      <c r="M262" s="43">
        <v>300</v>
      </c>
      <c r="N262" s="43">
        <v>300</v>
      </c>
      <c r="O262" s="43">
        <v>300</v>
      </c>
      <c r="P262" s="43">
        <v>300</v>
      </c>
      <c r="Q262" s="43">
        <v>300</v>
      </c>
      <c r="R262" s="43">
        <v>300</v>
      </c>
      <c r="S262" s="43">
        <v>300</v>
      </c>
      <c r="T262" s="43">
        <v>300</v>
      </c>
      <c r="U262" s="43">
        <v>400</v>
      </c>
      <c r="V262" s="43">
        <v>400</v>
      </c>
      <c r="W262" s="43">
        <v>400</v>
      </c>
      <c r="X262" s="44">
        <f t="shared" si="24"/>
        <v>3900</v>
      </c>
      <c r="Y262" s="43">
        <v>400</v>
      </c>
      <c r="Z262" s="43">
        <v>400</v>
      </c>
      <c r="AA262" s="43">
        <v>400</v>
      </c>
      <c r="AB262" s="43">
        <v>400</v>
      </c>
      <c r="AC262" s="43">
        <v>400</v>
      </c>
      <c r="AD262" s="43">
        <v>400</v>
      </c>
      <c r="AE262" s="43">
        <v>400</v>
      </c>
      <c r="AF262" s="43">
        <v>400</v>
      </c>
      <c r="AG262" s="43">
        <v>400</v>
      </c>
      <c r="AH262" s="43">
        <v>400</v>
      </c>
      <c r="AI262" s="43">
        <v>400</v>
      </c>
      <c r="AJ262" s="43">
        <v>400</v>
      </c>
      <c r="AK262" s="44">
        <f t="shared" si="25"/>
        <v>4800</v>
      </c>
      <c r="AL262" s="43">
        <v>400</v>
      </c>
      <c r="AM262" s="43">
        <v>400</v>
      </c>
      <c r="AN262" s="43">
        <v>400</v>
      </c>
      <c r="AO262" s="43">
        <v>400</v>
      </c>
      <c r="AP262" s="43">
        <v>400</v>
      </c>
      <c r="AQ262" s="43">
        <v>400</v>
      </c>
      <c r="AR262" s="43">
        <v>400</v>
      </c>
      <c r="AS262" s="43">
        <v>400</v>
      </c>
      <c r="AT262" s="43">
        <v>400</v>
      </c>
      <c r="AU262" s="43">
        <v>400</v>
      </c>
      <c r="AV262" s="43">
        <v>400</v>
      </c>
      <c r="AW262" s="43">
        <v>400</v>
      </c>
      <c r="AX262" s="44">
        <f t="shared" si="26"/>
        <v>4800</v>
      </c>
      <c r="AY262" s="317">
        <f>SUMIF(Recibos!$D$4:$D$3010,Cobranza!$B262,Recibos!K$4:K$3010)</f>
        <v>400</v>
      </c>
      <c r="AZ262" s="317">
        <f>SUMIF(Recibos!$D$4:$D$3010,Cobranza!$B262,Recibos!L$4:L$3010)</f>
        <v>400</v>
      </c>
      <c r="BA262" s="317">
        <f>SUMIF(Recibos!$D$4:$D$3010,Cobranza!$B262,Recibos!M$4:M$3010)</f>
        <v>400</v>
      </c>
      <c r="BB262" s="317">
        <f>SUMIF(Recibos!$D$4:$D$3010,Cobranza!$B262,Recibos!N$4:N$3010)</f>
        <v>400</v>
      </c>
      <c r="BC262" s="317">
        <f>SUMIF(Recibos!$D$4:$D$3010,Cobranza!$B262,Recibos!O$4:O$3010)</f>
        <v>400</v>
      </c>
      <c r="BD262" s="317">
        <f>SUMIF(Recibos!$D$4:$D$3010,Cobranza!$B262,Recibos!P$4:P$3010)</f>
        <v>400</v>
      </c>
      <c r="BE262" s="317">
        <f>SUMIF(Recibos!$D$4:$D$3010,Cobranza!$B262,Recibos!Q$4:Q$3010)</f>
        <v>400</v>
      </c>
      <c r="BF262" s="317">
        <f>SUMIF(Recibos!$D$4:$D$3010,Cobranza!$B262,Recibos!R$4:R$3010)</f>
        <v>400</v>
      </c>
      <c r="BG262" s="317">
        <f>SUMIF(Recibos!$D$4:$D$3010,Cobranza!$B262,Recibos!S$4:S$3010)</f>
        <v>400</v>
      </c>
      <c r="BH262" s="317">
        <f>SUMIF(Recibos!$D$4:$D$3010,Cobranza!$B262,Recibos!T$4:T$3010)</f>
        <v>400</v>
      </c>
      <c r="BI262" s="317">
        <f>SUMIF(Recibos!$D$4:$D$3010,Cobranza!$B262,Recibos!U$4:U$3010)</f>
        <v>400</v>
      </c>
      <c r="BJ262" s="317">
        <f>SUMIF(Recibos!$D$4:$D$3010,Cobranza!$B262,Recibos!V$4:V$3010)</f>
        <v>400</v>
      </c>
      <c r="BK262" s="318">
        <f t="shared" si="27"/>
        <v>4800</v>
      </c>
      <c r="BL262" s="317">
        <f>SUMIF(Recibos!$D$4:$D$3010,Cobranza!$B262,Recibos!X$4:X$3010)</f>
        <v>0</v>
      </c>
      <c r="BM262" s="317">
        <f>SUMIF(Recibos!$D$4:$D$3010,Cobranza!$B262,Recibos!Y$4:Y$3010)</f>
        <v>0</v>
      </c>
      <c r="BN262" s="317">
        <f>SUMIF(Recibos!$D$4:$D$3010,Cobranza!$B262,Recibos!Z$4:Z$3010)</f>
        <v>0</v>
      </c>
      <c r="BO262" s="317">
        <f>SUMIF(Recibos!$D$4:$D$3010,Cobranza!$B262,Recibos!AA$4:AA$3010)</f>
        <v>0</v>
      </c>
      <c r="BP262" s="317">
        <f>SUMIF(Recibos!$D$4:$D$3010,Cobranza!$B262,Recibos!AB$4:AB$3010)</f>
        <v>0</v>
      </c>
      <c r="BQ262" s="317">
        <f>SUMIF(Recibos!$D$4:$D$3010,Cobranza!$B262,Recibos!AC$4:AC$3010)</f>
        <v>0</v>
      </c>
      <c r="BR262" s="317">
        <f>SUMIF(Recibos!$D$4:$D$3010,Cobranza!$B262,Recibos!AD$4:AD$3010)</f>
        <v>0</v>
      </c>
      <c r="BS262" s="317">
        <f>SUMIF(Recibos!$D$4:$D$3010,Cobranza!$B262,Recibos!AE$4:AE$3010)</f>
        <v>0</v>
      </c>
      <c r="BT262" s="317">
        <f>SUMIF(Recibos!$D$4:$D$3010,Cobranza!$B262,Recibos!AF$4:AF$3010)</f>
        <v>0</v>
      </c>
      <c r="BU262" s="317">
        <f>SUMIF(Recibos!$D$4:$D$3010,Cobranza!$B262,Recibos!AG$4:AG$3010)</f>
        <v>0</v>
      </c>
      <c r="BV262" s="317">
        <f>SUMIF(Recibos!$D$4:$D$3010,Cobranza!$B262,Recibos!AH$4:AH$3010)</f>
        <v>0</v>
      </c>
      <c r="BW262" s="317">
        <f>SUMIF(Recibos!$D$4:$D$3010,Cobranza!$B262,Recibos!AI$4:AI$3010)</f>
        <v>0</v>
      </c>
      <c r="BX262" s="318">
        <f t="shared" si="28"/>
        <v>0</v>
      </c>
    </row>
    <row r="263" spans="2:76" x14ac:dyDescent="0.2">
      <c r="B263" s="45" t="s">
        <v>1387</v>
      </c>
      <c r="C263" s="45" t="s">
        <v>1388</v>
      </c>
      <c r="D263" s="45" t="s">
        <v>892</v>
      </c>
      <c r="E263" s="46">
        <v>0</v>
      </c>
      <c r="F263" s="46">
        <v>0</v>
      </c>
      <c r="G263" s="46">
        <v>0</v>
      </c>
      <c r="H263" s="46">
        <v>0</v>
      </c>
      <c r="I263" s="46">
        <v>0</v>
      </c>
      <c r="J263" s="46">
        <v>0</v>
      </c>
      <c r="K263" s="47">
        <f t="shared" si="23"/>
        <v>0</v>
      </c>
      <c r="L263" s="46">
        <v>0</v>
      </c>
      <c r="M263" s="46">
        <v>0</v>
      </c>
      <c r="N263" s="46">
        <v>0</v>
      </c>
      <c r="O263" s="46">
        <v>0</v>
      </c>
      <c r="P263" s="46">
        <v>0</v>
      </c>
      <c r="Q263" s="46">
        <v>0</v>
      </c>
      <c r="R263" s="46">
        <v>0</v>
      </c>
      <c r="S263" s="46">
        <v>0</v>
      </c>
      <c r="T263" s="46">
        <v>0</v>
      </c>
      <c r="U263" s="46">
        <v>0</v>
      </c>
      <c r="V263" s="46">
        <v>0</v>
      </c>
      <c r="W263" s="46">
        <v>0</v>
      </c>
      <c r="X263" s="47">
        <f t="shared" si="24"/>
        <v>0</v>
      </c>
      <c r="Y263" s="46">
        <v>0</v>
      </c>
      <c r="Z263" s="46">
        <v>0</v>
      </c>
      <c r="AA263" s="46">
        <v>0</v>
      </c>
      <c r="AB263" s="46">
        <v>0</v>
      </c>
      <c r="AC263" s="46">
        <v>0</v>
      </c>
      <c r="AD263" s="46">
        <v>0</v>
      </c>
      <c r="AE263" s="46">
        <v>0</v>
      </c>
      <c r="AF263" s="46">
        <v>0</v>
      </c>
      <c r="AG263" s="46">
        <v>0</v>
      </c>
      <c r="AH263" s="46">
        <v>0</v>
      </c>
      <c r="AI263" s="46">
        <v>0</v>
      </c>
      <c r="AJ263" s="46">
        <v>0</v>
      </c>
      <c r="AK263" s="47">
        <f t="shared" si="25"/>
        <v>0</v>
      </c>
      <c r="AL263" s="46">
        <v>0</v>
      </c>
      <c r="AM263" s="46">
        <v>0</v>
      </c>
      <c r="AN263" s="46">
        <v>0</v>
      </c>
      <c r="AO263" s="46">
        <v>0</v>
      </c>
      <c r="AP263" s="46">
        <v>0</v>
      </c>
      <c r="AQ263" s="46">
        <v>0</v>
      </c>
      <c r="AR263" s="46">
        <v>0</v>
      </c>
      <c r="AS263" s="46">
        <v>0</v>
      </c>
      <c r="AT263" s="46">
        <v>0</v>
      </c>
      <c r="AU263" s="46">
        <v>0</v>
      </c>
      <c r="AV263" s="46">
        <v>0</v>
      </c>
      <c r="AW263" s="46">
        <v>0</v>
      </c>
      <c r="AX263" s="47">
        <f t="shared" si="26"/>
        <v>0</v>
      </c>
      <c r="AY263" s="319">
        <f>SUMIF(Recibos!$D$4:$D$3010,Cobranza!$B263,Recibos!K$4:K$3010)</f>
        <v>0</v>
      </c>
      <c r="AZ263" s="319">
        <f>SUMIF(Recibos!$D$4:$D$3010,Cobranza!$B263,Recibos!L$4:L$3010)</f>
        <v>0</v>
      </c>
      <c r="BA263" s="319">
        <f>SUMIF(Recibos!$D$4:$D$3010,Cobranza!$B263,Recibos!M$4:M$3010)</f>
        <v>0</v>
      </c>
      <c r="BB263" s="319">
        <f>SUMIF(Recibos!$D$4:$D$3010,Cobranza!$B263,Recibos!N$4:N$3010)</f>
        <v>0</v>
      </c>
      <c r="BC263" s="319">
        <f>SUMIF(Recibos!$D$4:$D$3010,Cobranza!$B263,Recibos!O$4:O$3010)</f>
        <v>0</v>
      </c>
      <c r="BD263" s="319">
        <f>SUMIF(Recibos!$D$4:$D$3010,Cobranza!$B263,Recibos!P$4:P$3010)</f>
        <v>0</v>
      </c>
      <c r="BE263" s="319">
        <f>SUMIF(Recibos!$D$4:$D$3010,Cobranza!$B263,Recibos!Q$4:Q$3010)</f>
        <v>0</v>
      </c>
      <c r="BF263" s="319">
        <f>SUMIF(Recibos!$D$4:$D$3010,Cobranza!$B263,Recibos!R$4:R$3010)</f>
        <v>0</v>
      </c>
      <c r="BG263" s="319">
        <f>SUMIF(Recibos!$D$4:$D$3010,Cobranza!$B263,Recibos!S$4:S$3010)</f>
        <v>0</v>
      </c>
      <c r="BH263" s="319">
        <f>SUMIF(Recibos!$D$4:$D$3010,Cobranza!$B263,Recibos!T$4:T$3010)</f>
        <v>0</v>
      </c>
      <c r="BI263" s="319">
        <f>SUMIF(Recibos!$D$4:$D$3010,Cobranza!$B263,Recibos!U$4:U$3010)</f>
        <v>0</v>
      </c>
      <c r="BJ263" s="319">
        <f>SUMIF(Recibos!$D$4:$D$3010,Cobranza!$B263,Recibos!V$4:V$3010)</f>
        <v>0</v>
      </c>
      <c r="BK263" s="320">
        <f t="shared" si="27"/>
        <v>0</v>
      </c>
      <c r="BL263" s="319">
        <f>SUMIF(Recibos!$D$4:$D$3010,Cobranza!$B263,Recibos!X$4:X$3010)</f>
        <v>0</v>
      </c>
      <c r="BM263" s="319">
        <f>SUMIF(Recibos!$D$4:$D$3010,Cobranza!$B263,Recibos!Y$4:Y$3010)</f>
        <v>0</v>
      </c>
      <c r="BN263" s="319">
        <f>SUMIF(Recibos!$D$4:$D$3010,Cobranza!$B263,Recibos!Z$4:Z$3010)</f>
        <v>0</v>
      </c>
      <c r="BO263" s="319">
        <f>SUMIF(Recibos!$D$4:$D$3010,Cobranza!$B263,Recibos!AA$4:AA$3010)</f>
        <v>0</v>
      </c>
      <c r="BP263" s="319">
        <f>SUMIF(Recibos!$D$4:$D$3010,Cobranza!$B263,Recibos!AB$4:AB$3010)</f>
        <v>0</v>
      </c>
      <c r="BQ263" s="319">
        <f>SUMIF(Recibos!$D$4:$D$3010,Cobranza!$B263,Recibos!AC$4:AC$3010)</f>
        <v>0</v>
      </c>
      <c r="BR263" s="319">
        <f>SUMIF(Recibos!$D$4:$D$3010,Cobranza!$B263,Recibos!AD$4:AD$3010)</f>
        <v>0</v>
      </c>
      <c r="BS263" s="319">
        <f>SUMIF(Recibos!$D$4:$D$3010,Cobranza!$B263,Recibos!AE$4:AE$3010)</f>
        <v>0</v>
      </c>
      <c r="BT263" s="319">
        <f>SUMIF(Recibos!$D$4:$D$3010,Cobranza!$B263,Recibos!AF$4:AF$3010)</f>
        <v>0</v>
      </c>
      <c r="BU263" s="319">
        <f>SUMIF(Recibos!$D$4:$D$3010,Cobranza!$B263,Recibos!AG$4:AG$3010)</f>
        <v>0</v>
      </c>
      <c r="BV263" s="319">
        <f>SUMIF(Recibos!$D$4:$D$3010,Cobranza!$B263,Recibos!AH$4:AH$3010)</f>
        <v>0</v>
      </c>
      <c r="BW263" s="319">
        <f>SUMIF(Recibos!$D$4:$D$3010,Cobranza!$B263,Recibos!AI$4:AI$3010)</f>
        <v>0</v>
      </c>
      <c r="BX263" s="320">
        <f t="shared" si="28"/>
        <v>0</v>
      </c>
    </row>
    <row r="264" spans="2:76" x14ac:dyDescent="0.2">
      <c r="B264" s="42" t="s">
        <v>1389</v>
      </c>
      <c r="C264" s="42" t="s">
        <v>1390</v>
      </c>
      <c r="D264" s="42" t="s">
        <v>1391</v>
      </c>
      <c r="E264" s="43">
        <v>0</v>
      </c>
      <c r="F264" s="43">
        <v>0</v>
      </c>
      <c r="G264" s="43">
        <v>0</v>
      </c>
      <c r="H264" s="43">
        <v>0</v>
      </c>
      <c r="I264" s="43">
        <v>0</v>
      </c>
      <c r="J264" s="43">
        <v>0</v>
      </c>
      <c r="K264" s="44">
        <f t="shared" si="23"/>
        <v>0</v>
      </c>
      <c r="L264" s="43">
        <v>0</v>
      </c>
      <c r="M264" s="43">
        <v>0</v>
      </c>
      <c r="N264" s="43">
        <v>0</v>
      </c>
      <c r="O264" s="43">
        <v>0</v>
      </c>
      <c r="P264" s="43">
        <v>0</v>
      </c>
      <c r="Q264" s="43">
        <v>0</v>
      </c>
      <c r="R264" s="43">
        <v>0</v>
      </c>
      <c r="S264" s="43">
        <v>0</v>
      </c>
      <c r="T264" s="43">
        <v>0</v>
      </c>
      <c r="U264" s="43">
        <v>0</v>
      </c>
      <c r="V264" s="43">
        <v>0</v>
      </c>
      <c r="W264" s="43">
        <v>0</v>
      </c>
      <c r="X264" s="44">
        <f t="shared" si="24"/>
        <v>0</v>
      </c>
      <c r="Y264" s="43">
        <v>0</v>
      </c>
      <c r="Z264" s="43">
        <v>0</v>
      </c>
      <c r="AA264" s="43">
        <v>0</v>
      </c>
      <c r="AB264" s="43">
        <v>0</v>
      </c>
      <c r="AC264" s="43">
        <v>0</v>
      </c>
      <c r="AD264" s="43">
        <v>0</v>
      </c>
      <c r="AE264" s="43">
        <v>0</v>
      </c>
      <c r="AF264" s="43">
        <v>0</v>
      </c>
      <c r="AG264" s="43">
        <v>0</v>
      </c>
      <c r="AH264" s="43">
        <v>0</v>
      </c>
      <c r="AI264" s="43">
        <v>0</v>
      </c>
      <c r="AJ264" s="43">
        <v>0</v>
      </c>
      <c r="AK264" s="44">
        <f t="shared" si="25"/>
        <v>0</v>
      </c>
      <c r="AL264" s="43">
        <v>0</v>
      </c>
      <c r="AM264" s="43">
        <v>0</v>
      </c>
      <c r="AN264" s="43">
        <v>0</v>
      </c>
      <c r="AO264" s="43">
        <v>0</v>
      </c>
      <c r="AP264" s="43">
        <v>0</v>
      </c>
      <c r="AQ264" s="43">
        <v>0</v>
      </c>
      <c r="AR264" s="43">
        <v>0</v>
      </c>
      <c r="AS264" s="43">
        <v>0</v>
      </c>
      <c r="AT264" s="43">
        <v>0</v>
      </c>
      <c r="AU264" s="43">
        <v>0</v>
      </c>
      <c r="AV264" s="43">
        <v>0</v>
      </c>
      <c r="AW264" s="43">
        <v>0</v>
      </c>
      <c r="AX264" s="44">
        <f t="shared" si="26"/>
        <v>0</v>
      </c>
      <c r="AY264" s="317">
        <f>SUMIF(Recibos!$D$4:$D$3010,Cobranza!$B264,Recibos!K$4:K$3010)</f>
        <v>0</v>
      </c>
      <c r="AZ264" s="317">
        <f>SUMIF(Recibos!$D$4:$D$3010,Cobranza!$B264,Recibos!L$4:L$3010)</f>
        <v>0</v>
      </c>
      <c r="BA264" s="317">
        <f>SUMIF(Recibos!$D$4:$D$3010,Cobranza!$B264,Recibos!M$4:M$3010)</f>
        <v>0</v>
      </c>
      <c r="BB264" s="317">
        <f>SUMIF(Recibos!$D$4:$D$3010,Cobranza!$B264,Recibos!N$4:N$3010)</f>
        <v>0</v>
      </c>
      <c r="BC264" s="317">
        <f>SUMIF(Recibos!$D$4:$D$3010,Cobranza!$B264,Recibos!O$4:O$3010)</f>
        <v>0</v>
      </c>
      <c r="BD264" s="317">
        <f>SUMIF(Recibos!$D$4:$D$3010,Cobranza!$B264,Recibos!P$4:P$3010)</f>
        <v>0</v>
      </c>
      <c r="BE264" s="317">
        <f>SUMIF(Recibos!$D$4:$D$3010,Cobranza!$B264,Recibos!Q$4:Q$3010)</f>
        <v>0</v>
      </c>
      <c r="BF264" s="317">
        <f>SUMIF(Recibos!$D$4:$D$3010,Cobranza!$B264,Recibos!R$4:R$3010)</f>
        <v>0</v>
      </c>
      <c r="BG264" s="317">
        <f>SUMIF(Recibos!$D$4:$D$3010,Cobranza!$B264,Recibos!S$4:S$3010)</f>
        <v>0</v>
      </c>
      <c r="BH264" s="317">
        <f>SUMIF(Recibos!$D$4:$D$3010,Cobranza!$B264,Recibos!T$4:T$3010)</f>
        <v>0</v>
      </c>
      <c r="BI264" s="317">
        <f>SUMIF(Recibos!$D$4:$D$3010,Cobranza!$B264,Recibos!U$4:U$3010)</f>
        <v>0</v>
      </c>
      <c r="BJ264" s="317">
        <f>SUMIF(Recibos!$D$4:$D$3010,Cobranza!$B264,Recibos!V$4:V$3010)</f>
        <v>0</v>
      </c>
      <c r="BK264" s="318">
        <f t="shared" si="27"/>
        <v>0</v>
      </c>
      <c r="BL264" s="317">
        <f>SUMIF(Recibos!$D$4:$D$3010,Cobranza!$B264,Recibos!X$4:X$3010)</f>
        <v>0</v>
      </c>
      <c r="BM264" s="317">
        <f>SUMIF(Recibos!$D$4:$D$3010,Cobranza!$B264,Recibos!Y$4:Y$3010)</f>
        <v>0</v>
      </c>
      <c r="BN264" s="317">
        <f>SUMIF(Recibos!$D$4:$D$3010,Cobranza!$B264,Recibos!Z$4:Z$3010)</f>
        <v>0</v>
      </c>
      <c r="BO264" s="317">
        <f>SUMIF(Recibos!$D$4:$D$3010,Cobranza!$B264,Recibos!AA$4:AA$3010)</f>
        <v>0</v>
      </c>
      <c r="BP264" s="317">
        <f>SUMIF(Recibos!$D$4:$D$3010,Cobranza!$B264,Recibos!AB$4:AB$3010)</f>
        <v>0</v>
      </c>
      <c r="BQ264" s="317">
        <f>SUMIF(Recibos!$D$4:$D$3010,Cobranza!$B264,Recibos!AC$4:AC$3010)</f>
        <v>0</v>
      </c>
      <c r="BR264" s="317">
        <f>SUMIF(Recibos!$D$4:$D$3010,Cobranza!$B264,Recibos!AD$4:AD$3010)</f>
        <v>0</v>
      </c>
      <c r="BS264" s="317">
        <f>SUMIF(Recibos!$D$4:$D$3010,Cobranza!$B264,Recibos!AE$4:AE$3010)</f>
        <v>0</v>
      </c>
      <c r="BT264" s="317">
        <f>SUMIF(Recibos!$D$4:$D$3010,Cobranza!$B264,Recibos!AF$4:AF$3010)</f>
        <v>0</v>
      </c>
      <c r="BU264" s="317">
        <f>SUMIF(Recibos!$D$4:$D$3010,Cobranza!$B264,Recibos!AG$4:AG$3010)</f>
        <v>0</v>
      </c>
      <c r="BV264" s="317">
        <f>SUMIF(Recibos!$D$4:$D$3010,Cobranza!$B264,Recibos!AH$4:AH$3010)</f>
        <v>0</v>
      </c>
      <c r="BW264" s="317">
        <f>SUMIF(Recibos!$D$4:$D$3010,Cobranza!$B264,Recibos!AI$4:AI$3010)</f>
        <v>0</v>
      </c>
      <c r="BX264" s="318">
        <f t="shared" si="28"/>
        <v>0</v>
      </c>
    </row>
    <row r="265" spans="2:76" x14ac:dyDescent="0.2">
      <c r="B265" s="45" t="s">
        <v>628</v>
      </c>
      <c r="C265" s="45" t="s">
        <v>629</v>
      </c>
      <c r="D265" s="45" t="s">
        <v>630</v>
      </c>
      <c r="E265" s="46">
        <v>0</v>
      </c>
      <c r="F265" s="46">
        <v>0</v>
      </c>
      <c r="G265" s="46">
        <v>0</v>
      </c>
      <c r="H265" s="46">
        <v>0</v>
      </c>
      <c r="I265" s="46">
        <v>0</v>
      </c>
      <c r="J265" s="46">
        <v>300</v>
      </c>
      <c r="K265" s="47">
        <f t="shared" si="23"/>
        <v>300</v>
      </c>
      <c r="L265" s="46">
        <v>300</v>
      </c>
      <c r="M265" s="46">
        <v>300</v>
      </c>
      <c r="N265" s="46">
        <v>300</v>
      </c>
      <c r="O265" s="46">
        <v>300</v>
      </c>
      <c r="P265" s="46">
        <v>300</v>
      </c>
      <c r="Q265" s="46">
        <v>300</v>
      </c>
      <c r="R265" s="46">
        <v>300</v>
      </c>
      <c r="S265" s="46">
        <v>300</v>
      </c>
      <c r="T265" s="46">
        <v>300</v>
      </c>
      <c r="U265" s="46">
        <v>300</v>
      </c>
      <c r="V265" s="46">
        <v>400</v>
      </c>
      <c r="W265" s="46">
        <v>400</v>
      </c>
      <c r="X265" s="47">
        <f t="shared" si="24"/>
        <v>3800</v>
      </c>
      <c r="Y265" s="46">
        <v>400</v>
      </c>
      <c r="Z265" s="46">
        <v>400</v>
      </c>
      <c r="AA265" s="46">
        <v>400</v>
      </c>
      <c r="AB265" s="46">
        <v>400</v>
      </c>
      <c r="AC265" s="46">
        <v>400</v>
      </c>
      <c r="AD265" s="46">
        <v>400</v>
      </c>
      <c r="AE265" s="46">
        <v>400</v>
      </c>
      <c r="AF265" s="46">
        <v>400</v>
      </c>
      <c r="AG265" s="46">
        <v>400</v>
      </c>
      <c r="AH265" s="46">
        <v>400</v>
      </c>
      <c r="AI265" s="46">
        <v>400</v>
      </c>
      <c r="AJ265" s="46">
        <v>400</v>
      </c>
      <c r="AK265" s="47">
        <f t="shared" si="25"/>
        <v>4800</v>
      </c>
      <c r="AL265" s="46">
        <v>400</v>
      </c>
      <c r="AM265" s="46">
        <v>400</v>
      </c>
      <c r="AN265" s="46">
        <v>400</v>
      </c>
      <c r="AO265" s="46">
        <v>400</v>
      </c>
      <c r="AP265" s="46">
        <v>400</v>
      </c>
      <c r="AQ265" s="46">
        <v>400</v>
      </c>
      <c r="AR265" s="46">
        <v>400</v>
      </c>
      <c r="AS265" s="46">
        <v>400</v>
      </c>
      <c r="AT265" s="46">
        <v>400</v>
      </c>
      <c r="AU265" s="46">
        <v>400</v>
      </c>
      <c r="AV265" s="46">
        <v>400</v>
      </c>
      <c r="AW265" s="46">
        <v>400</v>
      </c>
      <c r="AX265" s="47">
        <f t="shared" si="26"/>
        <v>4800</v>
      </c>
      <c r="AY265" s="319">
        <f>SUMIF(Recibos!$D$4:$D$3010,Cobranza!$B265,Recibos!K$4:K$3010)</f>
        <v>800</v>
      </c>
      <c r="AZ265" s="319">
        <f>SUMIF(Recibos!$D$4:$D$3010,Cobranza!$B265,Recibos!L$4:L$3010)</f>
        <v>0</v>
      </c>
      <c r="BA265" s="319">
        <f>SUMIF(Recibos!$D$4:$D$3010,Cobranza!$B265,Recibos!M$4:M$3010)</f>
        <v>400</v>
      </c>
      <c r="BB265" s="319">
        <f>SUMIF(Recibos!$D$4:$D$3010,Cobranza!$B265,Recibos!N$4:N$3010)</f>
        <v>400</v>
      </c>
      <c r="BC265" s="319">
        <f>SUMIF(Recibos!$D$4:$D$3010,Cobranza!$B265,Recibos!O$4:O$3010)</f>
        <v>400</v>
      </c>
      <c r="BD265" s="319">
        <f>SUMIF(Recibos!$D$4:$D$3010,Cobranza!$B265,Recibos!P$4:P$3010)</f>
        <v>400</v>
      </c>
      <c r="BE265" s="319">
        <f>SUMIF(Recibos!$D$4:$D$3010,Cobranza!$B265,Recibos!Q$4:Q$3010)</f>
        <v>400</v>
      </c>
      <c r="BF265" s="319">
        <f>SUMIF(Recibos!$D$4:$D$3010,Cobranza!$B265,Recibos!R$4:R$3010)</f>
        <v>400</v>
      </c>
      <c r="BG265" s="319">
        <f>SUMIF(Recibos!$D$4:$D$3010,Cobranza!$B265,Recibos!S$4:S$3010)</f>
        <v>400</v>
      </c>
      <c r="BH265" s="319">
        <f>SUMIF(Recibos!$D$4:$D$3010,Cobranza!$B265,Recibos!T$4:T$3010)</f>
        <v>400</v>
      </c>
      <c r="BI265" s="319">
        <f>SUMIF(Recibos!$D$4:$D$3010,Cobranza!$B265,Recibos!U$4:U$3010)</f>
        <v>400</v>
      </c>
      <c r="BJ265" s="319">
        <f>SUMIF(Recibos!$D$4:$D$3010,Cobranza!$B265,Recibos!V$4:V$3010)</f>
        <v>400</v>
      </c>
      <c r="BK265" s="320">
        <f t="shared" si="27"/>
        <v>4800</v>
      </c>
      <c r="BL265" s="319">
        <f>SUMIF(Recibos!$D$4:$D$3010,Cobranza!$B265,Recibos!X$4:X$3010)</f>
        <v>0</v>
      </c>
      <c r="BM265" s="319">
        <f>SUMIF(Recibos!$D$4:$D$3010,Cobranza!$B265,Recibos!Y$4:Y$3010)</f>
        <v>0</v>
      </c>
      <c r="BN265" s="319">
        <f>SUMIF(Recibos!$D$4:$D$3010,Cobranza!$B265,Recibos!Z$4:Z$3010)</f>
        <v>0</v>
      </c>
      <c r="BO265" s="319">
        <f>SUMIF(Recibos!$D$4:$D$3010,Cobranza!$B265,Recibos!AA$4:AA$3010)</f>
        <v>0</v>
      </c>
      <c r="BP265" s="319">
        <f>SUMIF(Recibos!$D$4:$D$3010,Cobranza!$B265,Recibos!AB$4:AB$3010)</f>
        <v>0</v>
      </c>
      <c r="BQ265" s="319">
        <f>SUMIF(Recibos!$D$4:$D$3010,Cobranza!$B265,Recibos!AC$4:AC$3010)</f>
        <v>0</v>
      </c>
      <c r="BR265" s="319">
        <f>SUMIF(Recibos!$D$4:$D$3010,Cobranza!$B265,Recibos!AD$4:AD$3010)</f>
        <v>0</v>
      </c>
      <c r="BS265" s="319">
        <f>SUMIF(Recibos!$D$4:$D$3010,Cobranza!$B265,Recibos!AE$4:AE$3010)</f>
        <v>0</v>
      </c>
      <c r="BT265" s="319">
        <f>SUMIF(Recibos!$D$4:$D$3010,Cobranza!$B265,Recibos!AF$4:AF$3010)</f>
        <v>0</v>
      </c>
      <c r="BU265" s="319">
        <f>SUMIF(Recibos!$D$4:$D$3010,Cobranza!$B265,Recibos!AG$4:AG$3010)</f>
        <v>0</v>
      </c>
      <c r="BV265" s="319">
        <f>SUMIF(Recibos!$D$4:$D$3010,Cobranza!$B265,Recibos!AH$4:AH$3010)</f>
        <v>0</v>
      </c>
      <c r="BW265" s="319">
        <f>SUMIF(Recibos!$D$4:$D$3010,Cobranza!$B265,Recibos!AI$4:AI$3010)</f>
        <v>0</v>
      </c>
      <c r="BX265" s="320">
        <f t="shared" si="28"/>
        <v>0</v>
      </c>
    </row>
    <row r="266" spans="2:76" x14ac:dyDescent="0.2">
      <c r="B266" s="42" t="s">
        <v>1020</v>
      </c>
      <c r="C266" s="42" t="s">
        <v>1021</v>
      </c>
      <c r="D266" s="42" t="s">
        <v>1022</v>
      </c>
      <c r="E266" s="43">
        <v>0</v>
      </c>
      <c r="F266" s="43">
        <v>0</v>
      </c>
      <c r="G266" s="43">
        <v>0</v>
      </c>
      <c r="H266" s="43">
        <v>0</v>
      </c>
      <c r="I266" s="43">
        <v>0</v>
      </c>
      <c r="J266" s="43">
        <v>0</v>
      </c>
      <c r="K266" s="44">
        <f t="shared" si="23"/>
        <v>0</v>
      </c>
      <c r="L266" s="43">
        <v>0</v>
      </c>
      <c r="M266" s="43">
        <v>0</v>
      </c>
      <c r="N266" s="43">
        <v>0</v>
      </c>
      <c r="O266" s="43">
        <v>0</v>
      </c>
      <c r="P266" s="43">
        <v>0</v>
      </c>
      <c r="Q266" s="43">
        <v>0</v>
      </c>
      <c r="R266" s="43">
        <v>0</v>
      </c>
      <c r="S266" s="43">
        <v>0</v>
      </c>
      <c r="T266" s="43">
        <v>0</v>
      </c>
      <c r="U266" s="43">
        <v>0</v>
      </c>
      <c r="V266" s="43">
        <v>0</v>
      </c>
      <c r="W266" s="43">
        <v>0</v>
      </c>
      <c r="X266" s="44">
        <f t="shared" si="24"/>
        <v>0</v>
      </c>
      <c r="Y266" s="43">
        <v>0</v>
      </c>
      <c r="Z266" s="43">
        <v>0</v>
      </c>
      <c r="AA266" s="43">
        <v>0</v>
      </c>
      <c r="AB266" s="43">
        <v>0</v>
      </c>
      <c r="AC266" s="43">
        <v>0</v>
      </c>
      <c r="AD266" s="43">
        <v>0</v>
      </c>
      <c r="AE266" s="43">
        <v>0</v>
      </c>
      <c r="AF266" s="43">
        <v>0</v>
      </c>
      <c r="AG266" s="43">
        <v>0</v>
      </c>
      <c r="AH266" s="43">
        <v>0</v>
      </c>
      <c r="AI266" s="43">
        <v>400</v>
      </c>
      <c r="AJ266" s="43">
        <v>400</v>
      </c>
      <c r="AK266" s="44">
        <f t="shared" si="25"/>
        <v>800</v>
      </c>
      <c r="AL266" s="43">
        <v>0</v>
      </c>
      <c r="AM266" s="43">
        <v>0</v>
      </c>
      <c r="AN266" s="43">
        <v>0</v>
      </c>
      <c r="AO266" s="43">
        <v>0</v>
      </c>
      <c r="AP266" s="43">
        <v>0</v>
      </c>
      <c r="AQ266" s="43">
        <v>0</v>
      </c>
      <c r="AR266" s="43">
        <v>0</v>
      </c>
      <c r="AS266" s="43">
        <v>0</v>
      </c>
      <c r="AT266" s="43">
        <v>0</v>
      </c>
      <c r="AU266" s="43">
        <v>0</v>
      </c>
      <c r="AV266" s="43">
        <v>0</v>
      </c>
      <c r="AW266" s="43">
        <v>0</v>
      </c>
      <c r="AX266" s="44">
        <f t="shared" si="26"/>
        <v>0</v>
      </c>
      <c r="AY266" s="317">
        <f>SUMIF(Recibos!$D$4:$D$3010,Cobranza!$B266,Recibos!K$4:K$3010)</f>
        <v>0</v>
      </c>
      <c r="AZ266" s="317">
        <f>SUMIF(Recibos!$D$4:$D$3010,Cobranza!$B266,Recibos!L$4:L$3010)</f>
        <v>0</v>
      </c>
      <c r="BA266" s="317">
        <f>SUMIF(Recibos!$D$4:$D$3010,Cobranza!$B266,Recibos!M$4:M$3010)</f>
        <v>0</v>
      </c>
      <c r="BB266" s="317">
        <f>SUMIF(Recibos!$D$4:$D$3010,Cobranza!$B266,Recibos!N$4:N$3010)</f>
        <v>400</v>
      </c>
      <c r="BC266" s="317">
        <f>SUMIF(Recibos!$D$4:$D$3010,Cobranza!$B266,Recibos!O$4:O$3010)</f>
        <v>400</v>
      </c>
      <c r="BD266" s="317">
        <f>SUMIF(Recibos!$D$4:$D$3010,Cobranza!$B266,Recibos!P$4:P$3010)</f>
        <v>400</v>
      </c>
      <c r="BE266" s="317">
        <f>SUMIF(Recibos!$D$4:$D$3010,Cobranza!$B266,Recibos!Q$4:Q$3010)</f>
        <v>400</v>
      </c>
      <c r="BF266" s="317">
        <f>SUMIF(Recibos!$D$4:$D$3010,Cobranza!$B266,Recibos!R$4:R$3010)</f>
        <v>400</v>
      </c>
      <c r="BG266" s="317">
        <f>SUMIF(Recibos!$D$4:$D$3010,Cobranza!$B266,Recibos!S$4:S$3010)</f>
        <v>400</v>
      </c>
      <c r="BH266" s="317">
        <f>SUMIF(Recibos!$D$4:$D$3010,Cobranza!$B266,Recibos!T$4:T$3010)</f>
        <v>400</v>
      </c>
      <c r="BI266" s="317">
        <f>SUMIF(Recibos!$D$4:$D$3010,Cobranza!$B266,Recibos!U$4:U$3010)</f>
        <v>400</v>
      </c>
      <c r="BJ266" s="317">
        <f>SUMIF(Recibos!$D$4:$D$3010,Cobranza!$B266,Recibos!V$4:V$3010)</f>
        <v>0</v>
      </c>
      <c r="BK266" s="318">
        <f t="shared" si="27"/>
        <v>3200</v>
      </c>
      <c r="BL266" s="317">
        <f>SUMIF(Recibos!$D$4:$D$3010,Cobranza!$B266,Recibos!X$4:X$3010)</f>
        <v>0</v>
      </c>
      <c r="BM266" s="317">
        <f>SUMIF(Recibos!$D$4:$D$3010,Cobranza!$B266,Recibos!Y$4:Y$3010)</f>
        <v>0</v>
      </c>
      <c r="BN266" s="317">
        <f>SUMIF(Recibos!$D$4:$D$3010,Cobranza!$B266,Recibos!Z$4:Z$3010)</f>
        <v>0</v>
      </c>
      <c r="BO266" s="317">
        <f>SUMIF(Recibos!$D$4:$D$3010,Cobranza!$B266,Recibos!AA$4:AA$3010)</f>
        <v>0</v>
      </c>
      <c r="BP266" s="317">
        <f>SUMIF(Recibos!$D$4:$D$3010,Cobranza!$B266,Recibos!AB$4:AB$3010)</f>
        <v>0</v>
      </c>
      <c r="BQ266" s="317">
        <f>SUMIF(Recibos!$D$4:$D$3010,Cobranza!$B266,Recibos!AC$4:AC$3010)</f>
        <v>0</v>
      </c>
      <c r="BR266" s="317">
        <f>SUMIF(Recibos!$D$4:$D$3010,Cobranza!$B266,Recibos!AD$4:AD$3010)</f>
        <v>0</v>
      </c>
      <c r="BS266" s="317">
        <f>SUMIF(Recibos!$D$4:$D$3010,Cobranza!$B266,Recibos!AE$4:AE$3010)</f>
        <v>0</v>
      </c>
      <c r="BT266" s="317">
        <f>SUMIF(Recibos!$D$4:$D$3010,Cobranza!$B266,Recibos!AF$4:AF$3010)</f>
        <v>0</v>
      </c>
      <c r="BU266" s="317">
        <f>SUMIF(Recibos!$D$4:$D$3010,Cobranza!$B266,Recibos!AG$4:AG$3010)</f>
        <v>0</v>
      </c>
      <c r="BV266" s="317">
        <f>SUMIF(Recibos!$D$4:$D$3010,Cobranza!$B266,Recibos!AH$4:AH$3010)</f>
        <v>0</v>
      </c>
      <c r="BW266" s="317">
        <f>SUMIF(Recibos!$D$4:$D$3010,Cobranza!$B266,Recibos!AI$4:AI$3010)</f>
        <v>0</v>
      </c>
      <c r="BX266" s="318">
        <f t="shared" si="28"/>
        <v>0</v>
      </c>
    </row>
    <row r="267" spans="2:76" x14ac:dyDescent="0.2">
      <c r="B267" s="45" t="s">
        <v>1167</v>
      </c>
      <c r="C267" s="45" t="s">
        <v>1168</v>
      </c>
      <c r="D267" s="45" t="s">
        <v>1169</v>
      </c>
      <c r="E267" s="46">
        <v>0</v>
      </c>
      <c r="F267" s="46">
        <v>0</v>
      </c>
      <c r="G267" s="46">
        <v>0</v>
      </c>
      <c r="H267" s="46">
        <v>0</v>
      </c>
      <c r="I267" s="46">
        <v>0</v>
      </c>
      <c r="J267" s="46">
        <v>0</v>
      </c>
      <c r="K267" s="47">
        <f t="shared" ref="K267:K330" si="29">SUM(E267:J267)</f>
        <v>0</v>
      </c>
      <c r="L267" s="46">
        <v>0</v>
      </c>
      <c r="M267" s="46">
        <v>0</v>
      </c>
      <c r="N267" s="46">
        <v>0</v>
      </c>
      <c r="O267" s="46">
        <v>0</v>
      </c>
      <c r="P267" s="46">
        <v>0</v>
      </c>
      <c r="Q267" s="46">
        <v>0</v>
      </c>
      <c r="R267" s="46">
        <v>0</v>
      </c>
      <c r="S267" s="46">
        <v>0</v>
      </c>
      <c r="T267" s="46">
        <v>0</v>
      </c>
      <c r="U267" s="46">
        <v>0</v>
      </c>
      <c r="V267" s="46">
        <v>0</v>
      </c>
      <c r="W267" s="46">
        <v>0</v>
      </c>
      <c r="X267" s="47">
        <f t="shared" ref="X267:X330" si="30">SUM(L267:W267)</f>
        <v>0</v>
      </c>
      <c r="Y267" s="46">
        <v>0</v>
      </c>
      <c r="Z267" s="46">
        <v>0</v>
      </c>
      <c r="AA267" s="46">
        <v>0</v>
      </c>
      <c r="AB267" s="46">
        <v>0</v>
      </c>
      <c r="AC267" s="46">
        <v>0</v>
      </c>
      <c r="AD267" s="46">
        <v>0</v>
      </c>
      <c r="AE267" s="46">
        <v>0</v>
      </c>
      <c r="AF267" s="46">
        <v>0</v>
      </c>
      <c r="AG267" s="46">
        <v>0</v>
      </c>
      <c r="AH267" s="46">
        <v>400</v>
      </c>
      <c r="AI267" s="46">
        <v>0</v>
      </c>
      <c r="AJ267" s="46">
        <v>0</v>
      </c>
      <c r="AK267" s="47">
        <f t="shared" ref="AK267:AK330" si="31">SUM(Y267:AJ267)</f>
        <v>400</v>
      </c>
      <c r="AL267" s="46">
        <v>0</v>
      </c>
      <c r="AM267" s="46">
        <v>0</v>
      </c>
      <c r="AN267" s="46">
        <v>0</v>
      </c>
      <c r="AO267" s="46">
        <v>0</v>
      </c>
      <c r="AP267" s="46">
        <v>0</v>
      </c>
      <c r="AQ267" s="46">
        <v>0</v>
      </c>
      <c r="AR267" s="46">
        <v>0</v>
      </c>
      <c r="AS267" s="46">
        <v>0</v>
      </c>
      <c r="AT267" s="46">
        <v>0</v>
      </c>
      <c r="AU267" s="46">
        <v>0</v>
      </c>
      <c r="AV267" s="46">
        <v>0</v>
      </c>
      <c r="AW267" s="46">
        <v>0</v>
      </c>
      <c r="AX267" s="47">
        <f t="shared" ref="AX267:AX330" si="32">SUM(AL267:AW267)</f>
        <v>0</v>
      </c>
      <c r="AY267" s="319">
        <f>SUMIF(Recibos!$D$4:$D$3010,Cobranza!$B267,Recibos!K$4:K$3010)</f>
        <v>400</v>
      </c>
      <c r="AZ267" s="319">
        <f>SUMIF(Recibos!$D$4:$D$3010,Cobranza!$B267,Recibos!L$4:L$3010)</f>
        <v>400</v>
      </c>
      <c r="BA267" s="319">
        <f>SUMIF(Recibos!$D$4:$D$3010,Cobranza!$B267,Recibos!M$4:M$3010)</f>
        <v>400</v>
      </c>
      <c r="BB267" s="319">
        <f>SUMIF(Recibos!$D$4:$D$3010,Cobranza!$B267,Recibos!N$4:N$3010)</f>
        <v>400</v>
      </c>
      <c r="BC267" s="319">
        <f>SUMIF(Recibos!$D$4:$D$3010,Cobranza!$B267,Recibos!O$4:O$3010)</f>
        <v>400</v>
      </c>
      <c r="BD267" s="319">
        <f>SUMIF(Recibos!$D$4:$D$3010,Cobranza!$B267,Recibos!P$4:P$3010)</f>
        <v>400</v>
      </c>
      <c r="BE267" s="319">
        <f>SUMIF(Recibos!$D$4:$D$3010,Cobranza!$B267,Recibos!Q$4:Q$3010)</f>
        <v>400</v>
      </c>
      <c r="BF267" s="319">
        <f>SUMIF(Recibos!$D$4:$D$3010,Cobranza!$B267,Recibos!R$4:R$3010)</f>
        <v>400</v>
      </c>
      <c r="BG267" s="319">
        <f>SUMIF(Recibos!$D$4:$D$3010,Cobranza!$B267,Recibos!S$4:S$3010)</f>
        <v>400</v>
      </c>
      <c r="BH267" s="319">
        <f>SUMIF(Recibos!$D$4:$D$3010,Cobranza!$B267,Recibos!T$4:T$3010)</f>
        <v>400</v>
      </c>
      <c r="BI267" s="319">
        <f>SUMIF(Recibos!$D$4:$D$3010,Cobranza!$B267,Recibos!U$4:U$3010)</f>
        <v>0</v>
      </c>
      <c r="BJ267" s="319">
        <f>SUMIF(Recibos!$D$4:$D$3010,Cobranza!$B267,Recibos!V$4:V$3010)</f>
        <v>400</v>
      </c>
      <c r="BK267" s="320">
        <f t="shared" si="27"/>
        <v>4400</v>
      </c>
      <c r="BL267" s="319">
        <f>SUMIF(Recibos!$D$4:$D$3010,Cobranza!$B267,Recibos!X$4:X$3010)</f>
        <v>0</v>
      </c>
      <c r="BM267" s="319">
        <f>SUMIF(Recibos!$D$4:$D$3010,Cobranza!$B267,Recibos!Y$4:Y$3010)</f>
        <v>0</v>
      </c>
      <c r="BN267" s="319">
        <f>SUMIF(Recibos!$D$4:$D$3010,Cobranza!$B267,Recibos!Z$4:Z$3010)</f>
        <v>0</v>
      </c>
      <c r="BO267" s="319">
        <f>SUMIF(Recibos!$D$4:$D$3010,Cobranza!$B267,Recibos!AA$4:AA$3010)</f>
        <v>0</v>
      </c>
      <c r="BP267" s="319">
        <f>SUMIF(Recibos!$D$4:$D$3010,Cobranza!$B267,Recibos!AB$4:AB$3010)</f>
        <v>0</v>
      </c>
      <c r="BQ267" s="319">
        <f>SUMIF(Recibos!$D$4:$D$3010,Cobranza!$B267,Recibos!AC$4:AC$3010)</f>
        <v>0</v>
      </c>
      <c r="BR267" s="319">
        <f>SUMIF(Recibos!$D$4:$D$3010,Cobranza!$B267,Recibos!AD$4:AD$3010)</f>
        <v>0</v>
      </c>
      <c r="BS267" s="319">
        <f>SUMIF(Recibos!$D$4:$D$3010,Cobranza!$B267,Recibos!AE$4:AE$3010)</f>
        <v>0</v>
      </c>
      <c r="BT267" s="319">
        <f>SUMIF(Recibos!$D$4:$D$3010,Cobranza!$B267,Recibos!AF$4:AF$3010)</f>
        <v>0</v>
      </c>
      <c r="BU267" s="319">
        <f>SUMIF(Recibos!$D$4:$D$3010,Cobranza!$B267,Recibos!AG$4:AG$3010)</f>
        <v>0</v>
      </c>
      <c r="BV267" s="319">
        <f>SUMIF(Recibos!$D$4:$D$3010,Cobranza!$B267,Recibos!AH$4:AH$3010)</f>
        <v>0</v>
      </c>
      <c r="BW267" s="319">
        <f>SUMIF(Recibos!$D$4:$D$3010,Cobranza!$B267,Recibos!AI$4:AI$3010)</f>
        <v>0</v>
      </c>
      <c r="BX267" s="320">
        <f t="shared" si="28"/>
        <v>0</v>
      </c>
    </row>
    <row r="268" spans="2:76" x14ac:dyDescent="0.2">
      <c r="B268" s="42" t="s">
        <v>1392</v>
      </c>
      <c r="C268" s="42" t="s">
        <v>1393</v>
      </c>
      <c r="D268" s="42" t="s">
        <v>1394</v>
      </c>
      <c r="E268" s="43">
        <v>0</v>
      </c>
      <c r="F268" s="43">
        <v>0</v>
      </c>
      <c r="G268" s="43">
        <v>0</v>
      </c>
      <c r="H268" s="43">
        <v>0</v>
      </c>
      <c r="I268" s="43">
        <v>0</v>
      </c>
      <c r="J268" s="43">
        <v>300</v>
      </c>
      <c r="K268" s="44">
        <f t="shared" si="29"/>
        <v>300</v>
      </c>
      <c r="L268" s="43">
        <v>300</v>
      </c>
      <c r="M268" s="43">
        <v>0</v>
      </c>
      <c r="N268" s="43">
        <v>300</v>
      </c>
      <c r="O268" s="43">
        <v>300</v>
      </c>
      <c r="P268" s="43">
        <v>0</v>
      </c>
      <c r="Q268" s="43">
        <v>0</v>
      </c>
      <c r="R268" s="43">
        <v>0</v>
      </c>
      <c r="S268" s="43">
        <v>0</v>
      </c>
      <c r="T268" s="43">
        <v>0</v>
      </c>
      <c r="U268" s="43">
        <v>0</v>
      </c>
      <c r="V268" s="43">
        <v>0</v>
      </c>
      <c r="W268" s="43">
        <v>0</v>
      </c>
      <c r="X268" s="44">
        <f t="shared" si="30"/>
        <v>900</v>
      </c>
      <c r="Y268" s="43">
        <v>0</v>
      </c>
      <c r="Z268" s="43">
        <v>0</v>
      </c>
      <c r="AA268" s="43">
        <v>0</v>
      </c>
      <c r="AB268" s="43">
        <v>0</v>
      </c>
      <c r="AC268" s="43">
        <v>0</v>
      </c>
      <c r="AD268" s="43">
        <v>0</v>
      </c>
      <c r="AE268" s="43">
        <v>0</v>
      </c>
      <c r="AF268" s="43">
        <v>0</v>
      </c>
      <c r="AG268" s="43">
        <v>0</v>
      </c>
      <c r="AH268" s="43">
        <v>0</v>
      </c>
      <c r="AI268" s="43">
        <v>0</v>
      </c>
      <c r="AJ268" s="43">
        <v>0</v>
      </c>
      <c r="AK268" s="44">
        <f t="shared" si="31"/>
        <v>0</v>
      </c>
      <c r="AL268" s="43">
        <v>0</v>
      </c>
      <c r="AM268" s="43">
        <v>0</v>
      </c>
      <c r="AN268" s="43">
        <v>0</v>
      </c>
      <c r="AO268" s="43">
        <v>0</v>
      </c>
      <c r="AP268" s="43">
        <v>0</v>
      </c>
      <c r="AQ268" s="43">
        <v>0</v>
      </c>
      <c r="AR268" s="43">
        <v>0</v>
      </c>
      <c r="AS268" s="43">
        <v>0</v>
      </c>
      <c r="AT268" s="43">
        <v>0</v>
      </c>
      <c r="AU268" s="43">
        <v>0</v>
      </c>
      <c r="AV268" s="43">
        <v>0</v>
      </c>
      <c r="AW268" s="43">
        <v>0</v>
      </c>
      <c r="AX268" s="44">
        <f t="shared" si="32"/>
        <v>0</v>
      </c>
      <c r="AY268" s="317">
        <f>SUMIF(Recibos!$D$4:$D$3010,Cobranza!$B268,Recibos!K$4:K$3010)</f>
        <v>0</v>
      </c>
      <c r="AZ268" s="317">
        <f>SUMIF(Recibos!$D$4:$D$3010,Cobranza!$B268,Recibos!L$4:L$3010)</f>
        <v>0</v>
      </c>
      <c r="BA268" s="317">
        <f>SUMIF(Recibos!$D$4:$D$3010,Cobranza!$B268,Recibos!M$4:M$3010)</f>
        <v>0</v>
      </c>
      <c r="BB268" s="317">
        <f>SUMIF(Recibos!$D$4:$D$3010,Cobranza!$B268,Recibos!N$4:N$3010)</f>
        <v>0</v>
      </c>
      <c r="BC268" s="317">
        <f>SUMIF(Recibos!$D$4:$D$3010,Cobranza!$B268,Recibos!O$4:O$3010)</f>
        <v>0</v>
      </c>
      <c r="BD268" s="317">
        <f>SUMIF(Recibos!$D$4:$D$3010,Cobranza!$B268,Recibos!P$4:P$3010)</f>
        <v>0</v>
      </c>
      <c r="BE268" s="317">
        <f>SUMIF(Recibos!$D$4:$D$3010,Cobranza!$B268,Recibos!Q$4:Q$3010)</f>
        <v>0</v>
      </c>
      <c r="BF268" s="317">
        <f>SUMIF(Recibos!$D$4:$D$3010,Cobranza!$B268,Recibos!R$4:R$3010)</f>
        <v>0</v>
      </c>
      <c r="BG268" s="317">
        <f>SUMIF(Recibos!$D$4:$D$3010,Cobranza!$B268,Recibos!S$4:S$3010)</f>
        <v>0</v>
      </c>
      <c r="BH268" s="317">
        <f>SUMIF(Recibos!$D$4:$D$3010,Cobranza!$B268,Recibos!T$4:T$3010)</f>
        <v>0</v>
      </c>
      <c r="BI268" s="317">
        <f>SUMIF(Recibos!$D$4:$D$3010,Cobranza!$B268,Recibos!U$4:U$3010)</f>
        <v>0</v>
      </c>
      <c r="BJ268" s="317">
        <f>SUMIF(Recibos!$D$4:$D$3010,Cobranza!$B268,Recibos!V$4:V$3010)</f>
        <v>0</v>
      </c>
      <c r="BK268" s="318">
        <f t="shared" si="27"/>
        <v>0</v>
      </c>
      <c r="BL268" s="317">
        <f>SUMIF(Recibos!$D$4:$D$3010,Cobranza!$B268,Recibos!X$4:X$3010)</f>
        <v>0</v>
      </c>
      <c r="BM268" s="317">
        <f>SUMIF(Recibos!$D$4:$D$3010,Cobranza!$B268,Recibos!Y$4:Y$3010)</f>
        <v>0</v>
      </c>
      <c r="BN268" s="317">
        <f>SUMIF(Recibos!$D$4:$D$3010,Cobranza!$B268,Recibos!Z$4:Z$3010)</f>
        <v>0</v>
      </c>
      <c r="BO268" s="317">
        <f>SUMIF(Recibos!$D$4:$D$3010,Cobranza!$B268,Recibos!AA$4:AA$3010)</f>
        <v>0</v>
      </c>
      <c r="BP268" s="317">
        <f>SUMIF(Recibos!$D$4:$D$3010,Cobranza!$B268,Recibos!AB$4:AB$3010)</f>
        <v>0</v>
      </c>
      <c r="BQ268" s="317">
        <f>SUMIF(Recibos!$D$4:$D$3010,Cobranza!$B268,Recibos!AC$4:AC$3010)</f>
        <v>0</v>
      </c>
      <c r="BR268" s="317">
        <f>SUMIF(Recibos!$D$4:$D$3010,Cobranza!$B268,Recibos!AD$4:AD$3010)</f>
        <v>0</v>
      </c>
      <c r="BS268" s="317">
        <f>SUMIF(Recibos!$D$4:$D$3010,Cobranza!$B268,Recibos!AE$4:AE$3010)</f>
        <v>0</v>
      </c>
      <c r="BT268" s="317">
        <f>SUMIF(Recibos!$D$4:$D$3010,Cobranza!$B268,Recibos!AF$4:AF$3010)</f>
        <v>0</v>
      </c>
      <c r="BU268" s="317">
        <f>SUMIF(Recibos!$D$4:$D$3010,Cobranza!$B268,Recibos!AG$4:AG$3010)</f>
        <v>0</v>
      </c>
      <c r="BV268" s="317">
        <f>SUMIF(Recibos!$D$4:$D$3010,Cobranza!$B268,Recibos!AH$4:AH$3010)</f>
        <v>0</v>
      </c>
      <c r="BW268" s="317">
        <f>SUMIF(Recibos!$D$4:$D$3010,Cobranza!$B268,Recibos!AI$4:AI$3010)</f>
        <v>0</v>
      </c>
      <c r="BX268" s="318">
        <f t="shared" si="28"/>
        <v>0</v>
      </c>
    </row>
    <row r="269" spans="2:76" x14ac:dyDescent="0.2">
      <c r="B269" s="45" t="s">
        <v>41</v>
      </c>
      <c r="C269" s="45" t="s">
        <v>42</v>
      </c>
      <c r="D269" s="45" t="s">
        <v>43</v>
      </c>
      <c r="E269" s="46">
        <v>0</v>
      </c>
      <c r="F269" s="46">
        <v>0</v>
      </c>
      <c r="G269" s="46">
        <v>0</v>
      </c>
      <c r="H269" s="46">
        <v>0</v>
      </c>
      <c r="I269" s="46">
        <v>0</v>
      </c>
      <c r="J269" s="46">
        <v>0</v>
      </c>
      <c r="K269" s="47">
        <f t="shared" si="29"/>
        <v>0</v>
      </c>
      <c r="L269" s="46">
        <v>0</v>
      </c>
      <c r="M269" s="46">
        <v>0</v>
      </c>
      <c r="N269" s="46">
        <v>0</v>
      </c>
      <c r="O269" s="46">
        <v>0</v>
      </c>
      <c r="P269" s="46">
        <v>0</v>
      </c>
      <c r="Q269" s="46">
        <v>0</v>
      </c>
      <c r="R269" s="46">
        <v>150</v>
      </c>
      <c r="S269" s="46">
        <v>150</v>
      </c>
      <c r="T269" s="46">
        <v>150</v>
      </c>
      <c r="U269" s="46">
        <v>200</v>
      </c>
      <c r="V269" s="46">
        <v>200</v>
      </c>
      <c r="W269" s="46">
        <v>0</v>
      </c>
      <c r="X269" s="47">
        <f t="shared" si="30"/>
        <v>850</v>
      </c>
      <c r="Y269" s="46">
        <v>300</v>
      </c>
      <c r="Z269" s="46">
        <v>150</v>
      </c>
      <c r="AA269" s="46">
        <v>150</v>
      </c>
      <c r="AB269" s="46">
        <v>150</v>
      </c>
      <c r="AC269" s="46">
        <v>150</v>
      </c>
      <c r="AD269" s="46">
        <v>150</v>
      </c>
      <c r="AE269" s="46">
        <v>150</v>
      </c>
      <c r="AF269" s="46">
        <v>150</v>
      </c>
      <c r="AG269" s="46">
        <v>150</v>
      </c>
      <c r="AH269" s="46">
        <v>150</v>
      </c>
      <c r="AI269" s="46">
        <v>150</v>
      </c>
      <c r="AJ269" s="46">
        <v>150</v>
      </c>
      <c r="AK269" s="47">
        <f t="shared" si="31"/>
        <v>1950</v>
      </c>
      <c r="AL269" s="46">
        <v>0</v>
      </c>
      <c r="AM269" s="46">
        <v>0</v>
      </c>
      <c r="AN269" s="46">
        <v>0</v>
      </c>
      <c r="AO269" s="46">
        <v>0</v>
      </c>
      <c r="AP269" s="46">
        <v>0</v>
      </c>
      <c r="AQ269" s="46">
        <v>0</v>
      </c>
      <c r="AR269" s="46">
        <v>150</v>
      </c>
      <c r="AS269" s="46">
        <v>150</v>
      </c>
      <c r="AT269" s="46">
        <v>150</v>
      </c>
      <c r="AU269" s="46">
        <v>150</v>
      </c>
      <c r="AV269" s="46">
        <v>150</v>
      </c>
      <c r="AW269" s="46">
        <v>150</v>
      </c>
      <c r="AX269" s="47">
        <f t="shared" si="32"/>
        <v>900</v>
      </c>
      <c r="AY269" s="319">
        <f>SUMIF(Recibos!$D$4:$D$3010,Cobranza!$B269,Recibos!K$4:K$3010)</f>
        <v>150</v>
      </c>
      <c r="AZ269" s="319">
        <f>SUMIF(Recibos!$D$4:$D$3010,Cobranza!$B269,Recibos!L$4:L$3010)</f>
        <v>0</v>
      </c>
      <c r="BA269" s="319">
        <f>SUMIF(Recibos!$D$4:$D$3010,Cobranza!$B269,Recibos!M$4:M$3010)</f>
        <v>0</v>
      </c>
      <c r="BB269" s="319">
        <f>SUMIF(Recibos!$D$4:$D$3010,Cobranza!$B269,Recibos!N$4:N$3010)</f>
        <v>0</v>
      </c>
      <c r="BC269" s="319">
        <f>SUMIF(Recibos!$D$4:$D$3010,Cobranza!$B269,Recibos!O$4:O$3010)</f>
        <v>0</v>
      </c>
      <c r="BD269" s="319">
        <f>SUMIF(Recibos!$D$4:$D$3010,Cobranza!$B269,Recibos!P$4:P$3010)</f>
        <v>0</v>
      </c>
      <c r="BE269" s="319">
        <f>SUMIF(Recibos!$D$4:$D$3010,Cobranza!$B269,Recibos!Q$4:Q$3010)</f>
        <v>0</v>
      </c>
      <c r="BF269" s="319">
        <f>SUMIF(Recibos!$D$4:$D$3010,Cobranza!$B269,Recibos!R$4:R$3010)</f>
        <v>0</v>
      </c>
      <c r="BG269" s="319">
        <f>SUMIF(Recibos!$D$4:$D$3010,Cobranza!$B269,Recibos!S$4:S$3010)</f>
        <v>0</v>
      </c>
      <c r="BH269" s="319">
        <f>SUMIF(Recibos!$D$4:$D$3010,Cobranza!$B269,Recibos!T$4:T$3010)</f>
        <v>0</v>
      </c>
      <c r="BI269" s="319">
        <f>SUMIF(Recibos!$D$4:$D$3010,Cobranza!$B269,Recibos!U$4:U$3010)</f>
        <v>0</v>
      </c>
      <c r="BJ269" s="319">
        <f>SUMIF(Recibos!$D$4:$D$3010,Cobranza!$B269,Recibos!V$4:V$3010)</f>
        <v>0</v>
      </c>
      <c r="BK269" s="320">
        <f t="shared" si="27"/>
        <v>150</v>
      </c>
      <c r="BL269" s="319">
        <f>SUMIF(Recibos!$D$4:$D$3010,Cobranza!$B269,Recibos!X$4:X$3010)</f>
        <v>0</v>
      </c>
      <c r="BM269" s="319">
        <f>SUMIF(Recibos!$D$4:$D$3010,Cobranza!$B269,Recibos!Y$4:Y$3010)</f>
        <v>0</v>
      </c>
      <c r="BN269" s="319">
        <f>SUMIF(Recibos!$D$4:$D$3010,Cobranza!$B269,Recibos!Z$4:Z$3010)</f>
        <v>0</v>
      </c>
      <c r="BO269" s="319">
        <f>SUMIF(Recibos!$D$4:$D$3010,Cobranza!$B269,Recibos!AA$4:AA$3010)</f>
        <v>0</v>
      </c>
      <c r="BP269" s="319">
        <f>SUMIF(Recibos!$D$4:$D$3010,Cobranza!$B269,Recibos!AB$4:AB$3010)</f>
        <v>0</v>
      </c>
      <c r="BQ269" s="319">
        <f>SUMIF(Recibos!$D$4:$D$3010,Cobranza!$B269,Recibos!AC$4:AC$3010)</f>
        <v>0</v>
      </c>
      <c r="BR269" s="319">
        <f>SUMIF(Recibos!$D$4:$D$3010,Cobranza!$B269,Recibos!AD$4:AD$3010)</f>
        <v>0</v>
      </c>
      <c r="BS269" s="319">
        <f>SUMIF(Recibos!$D$4:$D$3010,Cobranza!$B269,Recibos!AE$4:AE$3010)</f>
        <v>0</v>
      </c>
      <c r="BT269" s="319">
        <f>SUMIF(Recibos!$D$4:$D$3010,Cobranza!$B269,Recibos!AF$4:AF$3010)</f>
        <v>0</v>
      </c>
      <c r="BU269" s="319">
        <f>SUMIF(Recibos!$D$4:$D$3010,Cobranza!$B269,Recibos!AG$4:AG$3010)</f>
        <v>0</v>
      </c>
      <c r="BV269" s="319">
        <f>SUMIF(Recibos!$D$4:$D$3010,Cobranza!$B269,Recibos!AH$4:AH$3010)</f>
        <v>0</v>
      </c>
      <c r="BW269" s="319">
        <f>SUMIF(Recibos!$D$4:$D$3010,Cobranza!$B269,Recibos!AI$4:AI$3010)</f>
        <v>0</v>
      </c>
      <c r="BX269" s="320">
        <f t="shared" si="28"/>
        <v>0</v>
      </c>
    </row>
    <row r="270" spans="2:76" x14ac:dyDescent="0.2">
      <c r="B270" s="42" t="s">
        <v>932</v>
      </c>
      <c r="C270" s="42" t="s">
        <v>933</v>
      </c>
      <c r="D270" s="42" t="s">
        <v>934</v>
      </c>
      <c r="E270" s="43">
        <v>0</v>
      </c>
      <c r="F270" s="43">
        <v>0</v>
      </c>
      <c r="G270" s="43">
        <v>0</v>
      </c>
      <c r="H270" s="43">
        <v>0</v>
      </c>
      <c r="I270" s="43">
        <v>0</v>
      </c>
      <c r="J270" s="43">
        <v>300</v>
      </c>
      <c r="K270" s="44">
        <f t="shared" si="29"/>
        <v>300</v>
      </c>
      <c r="L270" s="43">
        <v>300</v>
      </c>
      <c r="M270" s="43">
        <v>300</v>
      </c>
      <c r="N270" s="43">
        <v>300</v>
      </c>
      <c r="O270" s="43">
        <v>300</v>
      </c>
      <c r="P270" s="43">
        <v>300</v>
      </c>
      <c r="Q270" s="43">
        <v>300</v>
      </c>
      <c r="R270" s="43">
        <v>300</v>
      </c>
      <c r="S270" s="43">
        <v>300</v>
      </c>
      <c r="T270" s="43">
        <v>300</v>
      </c>
      <c r="U270" s="43">
        <v>400</v>
      </c>
      <c r="V270" s="43">
        <v>400</v>
      </c>
      <c r="W270" s="43">
        <v>400</v>
      </c>
      <c r="X270" s="44">
        <f t="shared" si="30"/>
        <v>3900</v>
      </c>
      <c r="Y270" s="43">
        <v>400</v>
      </c>
      <c r="Z270" s="43">
        <v>400</v>
      </c>
      <c r="AA270" s="43">
        <v>400</v>
      </c>
      <c r="AB270" s="43">
        <v>400</v>
      </c>
      <c r="AC270" s="43">
        <v>400</v>
      </c>
      <c r="AD270" s="43">
        <v>400</v>
      </c>
      <c r="AE270" s="43">
        <v>400</v>
      </c>
      <c r="AF270" s="43">
        <v>400</v>
      </c>
      <c r="AG270" s="43">
        <v>400</v>
      </c>
      <c r="AH270" s="43">
        <v>400</v>
      </c>
      <c r="AI270" s="43">
        <v>400</v>
      </c>
      <c r="AJ270" s="43">
        <v>400</v>
      </c>
      <c r="AK270" s="44">
        <f t="shared" si="31"/>
        <v>4800</v>
      </c>
      <c r="AL270" s="43">
        <v>400</v>
      </c>
      <c r="AM270" s="43">
        <v>400</v>
      </c>
      <c r="AN270" s="43">
        <v>400</v>
      </c>
      <c r="AO270" s="43">
        <v>400</v>
      </c>
      <c r="AP270" s="43">
        <v>0</v>
      </c>
      <c r="AQ270" s="43">
        <v>0</v>
      </c>
      <c r="AR270" s="43">
        <v>0</v>
      </c>
      <c r="AS270" s="43">
        <v>400</v>
      </c>
      <c r="AT270" s="43">
        <v>400</v>
      </c>
      <c r="AU270" s="43">
        <v>0</v>
      </c>
      <c r="AV270" s="43">
        <v>0</v>
      </c>
      <c r="AW270" s="43">
        <v>0</v>
      </c>
      <c r="AX270" s="44">
        <f t="shared" si="32"/>
        <v>2400</v>
      </c>
      <c r="AY270" s="317">
        <f>SUMIF(Recibos!$D$4:$D$3010,Cobranza!$B270,Recibos!K$4:K$3010)</f>
        <v>400</v>
      </c>
      <c r="AZ270" s="317">
        <f>SUMIF(Recibos!$D$4:$D$3010,Cobranza!$B270,Recibos!L$4:L$3010)</f>
        <v>400</v>
      </c>
      <c r="BA270" s="317">
        <f>SUMIF(Recibos!$D$4:$D$3010,Cobranza!$B270,Recibos!M$4:M$3010)</f>
        <v>400</v>
      </c>
      <c r="BB270" s="317">
        <f>SUMIF(Recibos!$D$4:$D$3010,Cobranza!$B270,Recibos!N$4:N$3010)</f>
        <v>400</v>
      </c>
      <c r="BC270" s="317">
        <f>SUMIF(Recibos!$D$4:$D$3010,Cobranza!$B270,Recibos!O$4:O$3010)</f>
        <v>400</v>
      </c>
      <c r="BD270" s="317">
        <f>SUMIF(Recibos!$D$4:$D$3010,Cobranza!$B270,Recibos!P$4:P$3010)</f>
        <v>400</v>
      </c>
      <c r="BE270" s="317">
        <f>SUMIF(Recibos!$D$4:$D$3010,Cobranza!$B270,Recibos!Q$4:Q$3010)</f>
        <v>400</v>
      </c>
      <c r="BF270" s="317">
        <f>SUMIF(Recibos!$D$4:$D$3010,Cobranza!$B270,Recibos!R$4:R$3010)</f>
        <v>400</v>
      </c>
      <c r="BG270" s="317">
        <f>SUMIF(Recibos!$D$4:$D$3010,Cobranza!$B270,Recibos!S$4:S$3010)</f>
        <v>400</v>
      </c>
      <c r="BH270" s="317">
        <f>SUMIF(Recibos!$D$4:$D$3010,Cobranza!$B270,Recibos!T$4:T$3010)</f>
        <v>400</v>
      </c>
      <c r="BI270" s="317">
        <f>SUMIF(Recibos!$D$4:$D$3010,Cobranza!$B270,Recibos!U$4:U$3010)</f>
        <v>400</v>
      </c>
      <c r="BJ270" s="317">
        <f>SUMIF(Recibos!$D$4:$D$3010,Cobranza!$B270,Recibos!V$4:V$3010)</f>
        <v>400</v>
      </c>
      <c r="BK270" s="318">
        <f t="shared" si="27"/>
        <v>4800</v>
      </c>
      <c r="BL270" s="317">
        <f>SUMIF(Recibos!$D$4:$D$3010,Cobranza!$B270,Recibos!X$4:X$3010)</f>
        <v>400</v>
      </c>
      <c r="BM270" s="317">
        <f>SUMIF(Recibos!$D$4:$D$3010,Cobranza!$B270,Recibos!Y$4:Y$3010)</f>
        <v>400</v>
      </c>
      <c r="BN270" s="317">
        <f>SUMIF(Recibos!$D$4:$D$3010,Cobranza!$B270,Recibos!Z$4:Z$3010)</f>
        <v>400</v>
      </c>
      <c r="BO270" s="317">
        <f>SUMIF(Recibos!$D$4:$D$3010,Cobranza!$B270,Recibos!AA$4:AA$3010)</f>
        <v>0</v>
      </c>
      <c r="BP270" s="317">
        <f>SUMIF(Recibos!$D$4:$D$3010,Cobranza!$B270,Recibos!AB$4:AB$3010)</f>
        <v>0</v>
      </c>
      <c r="BQ270" s="317">
        <f>SUMIF(Recibos!$D$4:$D$3010,Cobranza!$B270,Recibos!AC$4:AC$3010)</f>
        <v>0</v>
      </c>
      <c r="BR270" s="317">
        <f>SUMIF(Recibos!$D$4:$D$3010,Cobranza!$B270,Recibos!AD$4:AD$3010)</f>
        <v>0</v>
      </c>
      <c r="BS270" s="317">
        <f>SUMIF(Recibos!$D$4:$D$3010,Cobranza!$B270,Recibos!AE$4:AE$3010)</f>
        <v>0</v>
      </c>
      <c r="BT270" s="317">
        <f>SUMIF(Recibos!$D$4:$D$3010,Cobranza!$B270,Recibos!AF$4:AF$3010)</f>
        <v>0</v>
      </c>
      <c r="BU270" s="317">
        <f>SUMIF(Recibos!$D$4:$D$3010,Cobranza!$B270,Recibos!AG$4:AG$3010)</f>
        <v>0</v>
      </c>
      <c r="BV270" s="317">
        <f>SUMIF(Recibos!$D$4:$D$3010,Cobranza!$B270,Recibos!AH$4:AH$3010)</f>
        <v>0</v>
      </c>
      <c r="BW270" s="317">
        <f>SUMIF(Recibos!$D$4:$D$3010,Cobranza!$B270,Recibos!AI$4:AI$3010)</f>
        <v>0</v>
      </c>
      <c r="BX270" s="318">
        <f t="shared" si="28"/>
        <v>1200</v>
      </c>
    </row>
    <row r="271" spans="2:76" x14ac:dyDescent="0.2">
      <c r="B271" s="45" t="s">
        <v>947</v>
      </c>
      <c r="C271" s="45" t="s">
        <v>948</v>
      </c>
      <c r="D271" s="45" t="s">
        <v>949</v>
      </c>
      <c r="E271" s="46">
        <v>0</v>
      </c>
      <c r="F271" s="46">
        <v>0</v>
      </c>
      <c r="G271" s="46">
        <v>0</v>
      </c>
      <c r="H271" s="46">
        <v>0</v>
      </c>
      <c r="I271" s="46">
        <v>0</v>
      </c>
      <c r="J271" s="46">
        <v>0</v>
      </c>
      <c r="K271" s="47">
        <f t="shared" si="29"/>
        <v>0</v>
      </c>
      <c r="L271" s="46">
        <v>0</v>
      </c>
      <c r="M271" s="46">
        <v>0</v>
      </c>
      <c r="N271" s="46">
        <v>0</v>
      </c>
      <c r="O271" s="46">
        <v>0</v>
      </c>
      <c r="P271" s="46">
        <v>0</v>
      </c>
      <c r="Q271" s="46">
        <v>0</v>
      </c>
      <c r="R271" s="46">
        <v>0</v>
      </c>
      <c r="S271" s="46">
        <v>0</v>
      </c>
      <c r="T271" s="46">
        <v>0</v>
      </c>
      <c r="U271" s="46">
        <v>0</v>
      </c>
      <c r="V271" s="46">
        <v>0</v>
      </c>
      <c r="W271" s="46">
        <v>0</v>
      </c>
      <c r="X271" s="47">
        <f t="shared" si="30"/>
        <v>0</v>
      </c>
      <c r="Y271" s="46">
        <v>0</v>
      </c>
      <c r="Z271" s="46">
        <v>0</v>
      </c>
      <c r="AA271" s="46">
        <v>0</v>
      </c>
      <c r="AB271" s="46">
        <v>0</v>
      </c>
      <c r="AC271" s="46">
        <v>0</v>
      </c>
      <c r="AD271" s="46">
        <v>0</v>
      </c>
      <c r="AE271" s="46">
        <v>0</v>
      </c>
      <c r="AF271" s="46">
        <v>0</v>
      </c>
      <c r="AG271" s="46">
        <v>0</v>
      </c>
      <c r="AH271" s="46">
        <v>0</v>
      </c>
      <c r="AI271" s="46">
        <v>0</v>
      </c>
      <c r="AJ271" s="46">
        <v>0</v>
      </c>
      <c r="AK271" s="47">
        <f t="shared" si="31"/>
        <v>0</v>
      </c>
      <c r="AL271" s="46">
        <v>0</v>
      </c>
      <c r="AM271" s="46">
        <v>0</v>
      </c>
      <c r="AN271" s="46">
        <v>0</v>
      </c>
      <c r="AO271" s="46">
        <v>0</v>
      </c>
      <c r="AP271" s="46">
        <v>0</v>
      </c>
      <c r="AQ271" s="46">
        <v>0</v>
      </c>
      <c r="AR271" s="46">
        <v>0</v>
      </c>
      <c r="AS271" s="46">
        <v>0</v>
      </c>
      <c r="AT271" s="46">
        <v>0</v>
      </c>
      <c r="AU271" s="46">
        <v>0</v>
      </c>
      <c r="AV271" s="46">
        <v>0</v>
      </c>
      <c r="AW271" s="46">
        <v>0</v>
      </c>
      <c r="AX271" s="47">
        <f t="shared" si="32"/>
        <v>0</v>
      </c>
      <c r="AY271" s="319">
        <f>SUMIF(Recibos!$D$4:$D$3010,Cobranza!$B271,Recibos!K$4:K$3010)</f>
        <v>0</v>
      </c>
      <c r="AZ271" s="319">
        <f>SUMIF(Recibos!$D$4:$D$3010,Cobranza!$B271,Recibos!L$4:L$3010)</f>
        <v>0</v>
      </c>
      <c r="BA271" s="319">
        <f>SUMIF(Recibos!$D$4:$D$3010,Cobranza!$B271,Recibos!M$4:M$3010)</f>
        <v>0</v>
      </c>
      <c r="BB271" s="319">
        <f>SUMIF(Recibos!$D$4:$D$3010,Cobranza!$B271,Recibos!N$4:N$3010)</f>
        <v>0</v>
      </c>
      <c r="BC271" s="319">
        <f>SUMIF(Recibos!$D$4:$D$3010,Cobranza!$B271,Recibos!O$4:O$3010)</f>
        <v>400</v>
      </c>
      <c r="BD271" s="319">
        <f>SUMIF(Recibos!$D$4:$D$3010,Cobranza!$B271,Recibos!P$4:P$3010)</f>
        <v>0</v>
      </c>
      <c r="BE271" s="319">
        <f>SUMIF(Recibos!$D$4:$D$3010,Cobranza!$B271,Recibos!Q$4:Q$3010)</f>
        <v>0</v>
      </c>
      <c r="BF271" s="319">
        <f>SUMIF(Recibos!$D$4:$D$3010,Cobranza!$B271,Recibos!R$4:R$3010)</f>
        <v>0</v>
      </c>
      <c r="BG271" s="319">
        <f>SUMIF(Recibos!$D$4:$D$3010,Cobranza!$B271,Recibos!S$4:S$3010)</f>
        <v>0</v>
      </c>
      <c r="BH271" s="319">
        <f>SUMIF(Recibos!$D$4:$D$3010,Cobranza!$B271,Recibos!T$4:T$3010)</f>
        <v>0</v>
      </c>
      <c r="BI271" s="319">
        <f>SUMIF(Recibos!$D$4:$D$3010,Cobranza!$B271,Recibos!U$4:U$3010)</f>
        <v>0</v>
      </c>
      <c r="BJ271" s="319">
        <f>SUMIF(Recibos!$D$4:$D$3010,Cobranza!$B271,Recibos!V$4:V$3010)</f>
        <v>0</v>
      </c>
      <c r="BK271" s="320">
        <f t="shared" si="27"/>
        <v>400</v>
      </c>
      <c r="BL271" s="319">
        <f>SUMIF(Recibos!$D$4:$D$3010,Cobranza!$B271,Recibos!X$4:X$3010)</f>
        <v>0</v>
      </c>
      <c r="BM271" s="319">
        <f>SUMIF(Recibos!$D$4:$D$3010,Cobranza!$B271,Recibos!Y$4:Y$3010)</f>
        <v>0</v>
      </c>
      <c r="BN271" s="319">
        <f>SUMIF(Recibos!$D$4:$D$3010,Cobranza!$B271,Recibos!Z$4:Z$3010)</f>
        <v>0</v>
      </c>
      <c r="BO271" s="319">
        <f>SUMIF(Recibos!$D$4:$D$3010,Cobranza!$B271,Recibos!AA$4:AA$3010)</f>
        <v>0</v>
      </c>
      <c r="BP271" s="319">
        <f>SUMIF(Recibos!$D$4:$D$3010,Cobranza!$B271,Recibos!AB$4:AB$3010)</f>
        <v>0</v>
      </c>
      <c r="BQ271" s="319">
        <f>SUMIF(Recibos!$D$4:$D$3010,Cobranza!$B271,Recibos!AC$4:AC$3010)</f>
        <v>0</v>
      </c>
      <c r="BR271" s="319">
        <f>SUMIF(Recibos!$D$4:$D$3010,Cobranza!$B271,Recibos!AD$4:AD$3010)</f>
        <v>0</v>
      </c>
      <c r="BS271" s="319">
        <f>SUMIF(Recibos!$D$4:$D$3010,Cobranza!$B271,Recibos!AE$4:AE$3010)</f>
        <v>0</v>
      </c>
      <c r="BT271" s="319">
        <f>SUMIF(Recibos!$D$4:$D$3010,Cobranza!$B271,Recibos!AF$4:AF$3010)</f>
        <v>0</v>
      </c>
      <c r="BU271" s="319">
        <f>SUMIF(Recibos!$D$4:$D$3010,Cobranza!$B271,Recibos!AG$4:AG$3010)</f>
        <v>0</v>
      </c>
      <c r="BV271" s="319">
        <f>SUMIF(Recibos!$D$4:$D$3010,Cobranza!$B271,Recibos!AH$4:AH$3010)</f>
        <v>0</v>
      </c>
      <c r="BW271" s="319">
        <f>SUMIF(Recibos!$D$4:$D$3010,Cobranza!$B271,Recibos!AI$4:AI$3010)</f>
        <v>0</v>
      </c>
      <c r="BX271" s="320">
        <f t="shared" si="28"/>
        <v>0</v>
      </c>
    </row>
    <row r="272" spans="2:76" x14ac:dyDescent="0.2">
      <c r="B272" s="42" t="s">
        <v>1192</v>
      </c>
      <c r="C272" s="42" t="s">
        <v>1193</v>
      </c>
      <c r="D272" s="42" t="s">
        <v>1194</v>
      </c>
      <c r="E272" s="43">
        <v>0</v>
      </c>
      <c r="F272" s="43">
        <v>0</v>
      </c>
      <c r="G272" s="43">
        <v>0</v>
      </c>
      <c r="H272" s="43">
        <v>0</v>
      </c>
      <c r="I272" s="43">
        <v>0</v>
      </c>
      <c r="J272" s="43">
        <v>0</v>
      </c>
      <c r="K272" s="44">
        <f t="shared" si="29"/>
        <v>0</v>
      </c>
      <c r="L272" s="43">
        <v>0</v>
      </c>
      <c r="M272" s="43">
        <v>0</v>
      </c>
      <c r="N272" s="43">
        <v>0</v>
      </c>
      <c r="O272" s="43">
        <v>0</v>
      </c>
      <c r="P272" s="43">
        <v>0</v>
      </c>
      <c r="Q272" s="43">
        <v>0</v>
      </c>
      <c r="R272" s="43">
        <v>0</v>
      </c>
      <c r="S272" s="43">
        <v>0</v>
      </c>
      <c r="T272" s="43">
        <v>0</v>
      </c>
      <c r="U272" s="43">
        <v>0</v>
      </c>
      <c r="V272" s="43">
        <v>0</v>
      </c>
      <c r="W272" s="43">
        <v>0</v>
      </c>
      <c r="X272" s="44">
        <f t="shared" si="30"/>
        <v>0</v>
      </c>
      <c r="Y272" s="43">
        <v>400</v>
      </c>
      <c r="Z272" s="43">
        <v>400</v>
      </c>
      <c r="AA272" s="43">
        <v>0</v>
      </c>
      <c r="AB272" s="43">
        <v>0</v>
      </c>
      <c r="AC272" s="43">
        <v>0</v>
      </c>
      <c r="AD272" s="43">
        <v>0</v>
      </c>
      <c r="AE272" s="43">
        <v>0</v>
      </c>
      <c r="AF272" s="43">
        <v>0</v>
      </c>
      <c r="AG272" s="43">
        <v>0</v>
      </c>
      <c r="AH272" s="43">
        <v>0</v>
      </c>
      <c r="AI272" s="43">
        <v>0</v>
      </c>
      <c r="AJ272" s="43">
        <v>0</v>
      </c>
      <c r="AK272" s="44">
        <f t="shared" si="31"/>
        <v>800</v>
      </c>
      <c r="AL272" s="43">
        <v>0</v>
      </c>
      <c r="AM272" s="43">
        <v>0</v>
      </c>
      <c r="AN272" s="43">
        <v>0</v>
      </c>
      <c r="AO272" s="43">
        <v>0</v>
      </c>
      <c r="AP272" s="43">
        <v>0</v>
      </c>
      <c r="AQ272" s="43">
        <v>0</v>
      </c>
      <c r="AR272" s="43">
        <v>0</v>
      </c>
      <c r="AS272" s="43">
        <v>0</v>
      </c>
      <c r="AT272" s="43">
        <v>0</v>
      </c>
      <c r="AU272" s="43">
        <v>0</v>
      </c>
      <c r="AV272" s="43">
        <v>0</v>
      </c>
      <c r="AW272" s="43">
        <v>0</v>
      </c>
      <c r="AX272" s="44">
        <f t="shared" si="32"/>
        <v>0</v>
      </c>
      <c r="AY272" s="317">
        <f>SUMIF(Recibos!$D$4:$D$3010,Cobranza!$B272,Recibos!K$4:K$3010)</f>
        <v>0</v>
      </c>
      <c r="AZ272" s="317">
        <f>SUMIF(Recibos!$D$4:$D$3010,Cobranza!$B272,Recibos!L$4:L$3010)</f>
        <v>0</v>
      </c>
      <c r="BA272" s="317">
        <f>SUMIF(Recibos!$D$4:$D$3010,Cobranza!$B272,Recibos!M$4:M$3010)</f>
        <v>0</v>
      </c>
      <c r="BB272" s="317">
        <f>SUMIF(Recibos!$D$4:$D$3010,Cobranza!$B272,Recibos!N$4:N$3010)</f>
        <v>0</v>
      </c>
      <c r="BC272" s="317">
        <f>SUMIF(Recibos!$D$4:$D$3010,Cobranza!$B272,Recibos!O$4:O$3010)</f>
        <v>0</v>
      </c>
      <c r="BD272" s="317">
        <f>SUMIF(Recibos!$D$4:$D$3010,Cobranza!$B272,Recibos!P$4:P$3010)</f>
        <v>0</v>
      </c>
      <c r="BE272" s="317">
        <f>SUMIF(Recibos!$D$4:$D$3010,Cobranza!$B272,Recibos!Q$4:Q$3010)</f>
        <v>0</v>
      </c>
      <c r="BF272" s="317">
        <f>SUMIF(Recibos!$D$4:$D$3010,Cobranza!$B272,Recibos!R$4:R$3010)</f>
        <v>0</v>
      </c>
      <c r="BG272" s="317">
        <f>SUMIF(Recibos!$D$4:$D$3010,Cobranza!$B272,Recibos!S$4:S$3010)</f>
        <v>400</v>
      </c>
      <c r="BH272" s="317">
        <f>SUMIF(Recibos!$D$4:$D$3010,Cobranza!$B272,Recibos!T$4:T$3010)</f>
        <v>400</v>
      </c>
      <c r="BI272" s="317">
        <f>SUMIF(Recibos!$D$4:$D$3010,Cobranza!$B272,Recibos!U$4:U$3010)</f>
        <v>400</v>
      </c>
      <c r="BJ272" s="317">
        <f>SUMIF(Recibos!$D$4:$D$3010,Cobranza!$B272,Recibos!V$4:V$3010)</f>
        <v>0</v>
      </c>
      <c r="BK272" s="318">
        <f t="shared" si="27"/>
        <v>1200</v>
      </c>
      <c r="BL272" s="317">
        <f>SUMIF(Recibos!$D$4:$D$3010,Cobranza!$B272,Recibos!X$4:X$3010)</f>
        <v>0</v>
      </c>
      <c r="BM272" s="317">
        <f>SUMIF(Recibos!$D$4:$D$3010,Cobranza!$B272,Recibos!Y$4:Y$3010)</f>
        <v>0</v>
      </c>
      <c r="BN272" s="317">
        <f>SUMIF(Recibos!$D$4:$D$3010,Cobranza!$B272,Recibos!Z$4:Z$3010)</f>
        <v>0</v>
      </c>
      <c r="BO272" s="317">
        <f>SUMIF(Recibos!$D$4:$D$3010,Cobranza!$B272,Recibos!AA$4:AA$3010)</f>
        <v>0</v>
      </c>
      <c r="BP272" s="317">
        <f>SUMIF(Recibos!$D$4:$D$3010,Cobranza!$B272,Recibos!AB$4:AB$3010)</f>
        <v>0</v>
      </c>
      <c r="BQ272" s="317">
        <f>SUMIF(Recibos!$D$4:$D$3010,Cobranza!$B272,Recibos!AC$4:AC$3010)</f>
        <v>0</v>
      </c>
      <c r="BR272" s="317">
        <f>SUMIF(Recibos!$D$4:$D$3010,Cobranza!$B272,Recibos!AD$4:AD$3010)</f>
        <v>0</v>
      </c>
      <c r="BS272" s="317">
        <f>SUMIF(Recibos!$D$4:$D$3010,Cobranza!$B272,Recibos!AE$4:AE$3010)</f>
        <v>0</v>
      </c>
      <c r="BT272" s="317">
        <f>SUMIF(Recibos!$D$4:$D$3010,Cobranza!$B272,Recibos!AF$4:AF$3010)</f>
        <v>0</v>
      </c>
      <c r="BU272" s="317">
        <f>SUMIF(Recibos!$D$4:$D$3010,Cobranza!$B272,Recibos!AG$4:AG$3010)</f>
        <v>0</v>
      </c>
      <c r="BV272" s="317">
        <f>SUMIF(Recibos!$D$4:$D$3010,Cobranza!$B272,Recibos!AH$4:AH$3010)</f>
        <v>0</v>
      </c>
      <c r="BW272" s="317">
        <f>SUMIF(Recibos!$D$4:$D$3010,Cobranza!$B272,Recibos!AI$4:AI$3010)</f>
        <v>0</v>
      </c>
      <c r="BX272" s="318">
        <f t="shared" si="28"/>
        <v>0</v>
      </c>
    </row>
    <row r="273" spans="2:76" x14ac:dyDescent="0.2">
      <c r="B273" s="45" t="s">
        <v>526</v>
      </c>
      <c r="C273" s="45" t="s">
        <v>527</v>
      </c>
      <c r="D273" s="45" t="s">
        <v>528</v>
      </c>
      <c r="E273" s="46">
        <v>0</v>
      </c>
      <c r="F273" s="46">
        <v>0</v>
      </c>
      <c r="G273" s="46">
        <v>0</v>
      </c>
      <c r="H273" s="46">
        <v>0</v>
      </c>
      <c r="I273" s="46">
        <v>0</v>
      </c>
      <c r="J273" s="46">
        <v>0</v>
      </c>
      <c r="K273" s="47">
        <f t="shared" si="29"/>
        <v>0</v>
      </c>
      <c r="L273" s="46">
        <v>300</v>
      </c>
      <c r="M273" s="46">
        <v>300</v>
      </c>
      <c r="N273" s="46">
        <v>300</v>
      </c>
      <c r="O273" s="46">
        <v>300</v>
      </c>
      <c r="P273" s="46">
        <v>300</v>
      </c>
      <c r="Q273" s="46">
        <v>300</v>
      </c>
      <c r="R273" s="46">
        <v>300</v>
      </c>
      <c r="S273" s="46">
        <v>300</v>
      </c>
      <c r="T273" s="46">
        <v>300</v>
      </c>
      <c r="U273" s="46">
        <v>400</v>
      </c>
      <c r="V273" s="46">
        <v>400</v>
      </c>
      <c r="W273" s="46">
        <v>400</v>
      </c>
      <c r="X273" s="47">
        <f t="shared" si="30"/>
        <v>3900</v>
      </c>
      <c r="Y273" s="46">
        <v>400</v>
      </c>
      <c r="Z273" s="46">
        <v>400</v>
      </c>
      <c r="AA273" s="46">
        <v>400</v>
      </c>
      <c r="AB273" s="46">
        <v>400</v>
      </c>
      <c r="AC273" s="46">
        <v>400</v>
      </c>
      <c r="AD273" s="46">
        <v>400</v>
      </c>
      <c r="AE273" s="46">
        <v>400</v>
      </c>
      <c r="AF273" s="46">
        <v>400</v>
      </c>
      <c r="AG273" s="46">
        <v>400</v>
      </c>
      <c r="AH273" s="46">
        <v>400</v>
      </c>
      <c r="AI273" s="46">
        <v>400</v>
      </c>
      <c r="AJ273" s="46">
        <v>400</v>
      </c>
      <c r="AK273" s="47">
        <f t="shared" si="31"/>
        <v>4800</v>
      </c>
      <c r="AL273" s="46">
        <v>400</v>
      </c>
      <c r="AM273" s="46">
        <v>400</v>
      </c>
      <c r="AN273" s="46">
        <v>400</v>
      </c>
      <c r="AO273" s="46">
        <v>400</v>
      </c>
      <c r="AP273" s="46">
        <v>400</v>
      </c>
      <c r="AQ273" s="46">
        <v>400</v>
      </c>
      <c r="AR273" s="46">
        <v>400</v>
      </c>
      <c r="AS273" s="46">
        <v>400</v>
      </c>
      <c r="AT273" s="46">
        <v>400</v>
      </c>
      <c r="AU273" s="46">
        <v>400</v>
      </c>
      <c r="AV273" s="46">
        <v>400</v>
      </c>
      <c r="AW273" s="46">
        <v>400</v>
      </c>
      <c r="AX273" s="47">
        <f t="shared" si="32"/>
        <v>4800</v>
      </c>
      <c r="AY273" s="319">
        <f>SUMIF(Recibos!$D$4:$D$3010,Cobranza!$B273,Recibos!K$4:K$3010)</f>
        <v>400</v>
      </c>
      <c r="AZ273" s="319">
        <f>SUMIF(Recibos!$D$4:$D$3010,Cobranza!$B273,Recibos!L$4:L$3010)</f>
        <v>400</v>
      </c>
      <c r="BA273" s="319">
        <f>SUMIF(Recibos!$D$4:$D$3010,Cobranza!$B273,Recibos!M$4:M$3010)</f>
        <v>400</v>
      </c>
      <c r="BB273" s="319">
        <f>SUMIF(Recibos!$D$4:$D$3010,Cobranza!$B273,Recibos!N$4:N$3010)</f>
        <v>400</v>
      </c>
      <c r="BC273" s="319">
        <f>SUMIF(Recibos!$D$4:$D$3010,Cobranza!$B273,Recibos!O$4:O$3010)</f>
        <v>400</v>
      </c>
      <c r="BD273" s="319">
        <f>SUMIF(Recibos!$D$4:$D$3010,Cobranza!$B273,Recibos!P$4:P$3010)</f>
        <v>400</v>
      </c>
      <c r="BE273" s="319">
        <f>SUMIF(Recibos!$D$4:$D$3010,Cobranza!$B273,Recibos!Q$4:Q$3010)</f>
        <v>300</v>
      </c>
      <c r="BF273" s="319">
        <f>SUMIF(Recibos!$D$4:$D$3010,Cobranza!$B273,Recibos!R$4:R$3010)</f>
        <v>300</v>
      </c>
      <c r="BG273" s="319">
        <f>SUMIF(Recibos!$D$4:$D$3010,Cobranza!$B273,Recibos!S$4:S$3010)</f>
        <v>300</v>
      </c>
      <c r="BH273" s="319">
        <f>SUMIF(Recibos!$D$4:$D$3010,Cobranza!$B273,Recibos!T$4:T$3010)</f>
        <v>300</v>
      </c>
      <c r="BI273" s="319">
        <f>SUMIF(Recibos!$D$4:$D$3010,Cobranza!$B273,Recibos!U$4:U$3010)</f>
        <v>300</v>
      </c>
      <c r="BJ273" s="319">
        <f>SUMIF(Recibos!$D$4:$D$3010,Cobranza!$B273,Recibos!V$4:V$3010)</f>
        <v>300</v>
      </c>
      <c r="BK273" s="320">
        <f t="shared" si="27"/>
        <v>4200</v>
      </c>
      <c r="BL273" s="319">
        <f>SUMIF(Recibos!$D$4:$D$3010,Cobranza!$B273,Recibos!X$4:X$3010)</f>
        <v>0</v>
      </c>
      <c r="BM273" s="319">
        <f>SUMIF(Recibos!$D$4:$D$3010,Cobranza!$B273,Recibos!Y$4:Y$3010)</f>
        <v>0</v>
      </c>
      <c r="BN273" s="319">
        <f>SUMIF(Recibos!$D$4:$D$3010,Cobranza!$B273,Recibos!Z$4:Z$3010)</f>
        <v>0</v>
      </c>
      <c r="BO273" s="319">
        <f>SUMIF(Recibos!$D$4:$D$3010,Cobranza!$B273,Recibos!AA$4:AA$3010)</f>
        <v>0</v>
      </c>
      <c r="BP273" s="319">
        <f>SUMIF(Recibos!$D$4:$D$3010,Cobranza!$B273,Recibos!AB$4:AB$3010)</f>
        <v>0</v>
      </c>
      <c r="BQ273" s="319">
        <f>SUMIF(Recibos!$D$4:$D$3010,Cobranza!$B273,Recibos!AC$4:AC$3010)</f>
        <v>0</v>
      </c>
      <c r="BR273" s="319">
        <f>SUMIF(Recibos!$D$4:$D$3010,Cobranza!$B273,Recibos!AD$4:AD$3010)</f>
        <v>0</v>
      </c>
      <c r="BS273" s="319">
        <f>SUMIF(Recibos!$D$4:$D$3010,Cobranza!$B273,Recibos!AE$4:AE$3010)</f>
        <v>0</v>
      </c>
      <c r="BT273" s="319">
        <f>SUMIF(Recibos!$D$4:$D$3010,Cobranza!$B273,Recibos!AF$4:AF$3010)</f>
        <v>0</v>
      </c>
      <c r="BU273" s="319">
        <f>SUMIF(Recibos!$D$4:$D$3010,Cobranza!$B273,Recibos!AG$4:AG$3010)</f>
        <v>0</v>
      </c>
      <c r="BV273" s="319">
        <f>SUMIF(Recibos!$D$4:$D$3010,Cobranza!$B273,Recibos!AH$4:AH$3010)</f>
        <v>0</v>
      </c>
      <c r="BW273" s="319">
        <f>SUMIF(Recibos!$D$4:$D$3010,Cobranza!$B273,Recibos!AI$4:AI$3010)</f>
        <v>0</v>
      </c>
      <c r="BX273" s="320">
        <f t="shared" si="28"/>
        <v>0</v>
      </c>
    </row>
    <row r="274" spans="2:76" x14ac:dyDescent="0.2">
      <c r="B274" s="42" t="s">
        <v>431</v>
      </c>
      <c r="C274" s="42" t="s">
        <v>432</v>
      </c>
      <c r="D274" s="42" t="s">
        <v>433</v>
      </c>
      <c r="E274" s="43">
        <v>0</v>
      </c>
      <c r="F274" s="43">
        <v>0</v>
      </c>
      <c r="G274" s="43">
        <v>0</v>
      </c>
      <c r="H274" s="43">
        <v>0</v>
      </c>
      <c r="I274" s="43">
        <v>0</v>
      </c>
      <c r="J274" s="43">
        <v>0</v>
      </c>
      <c r="K274" s="44">
        <f t="shared" si="29"/>
        <v>0</v>
      </c>
      <c r="L274" s="43">
        <v>300</v>
      </c>
      <c r="M274" s="43">
        <v>300</v>
      </c>
      <c r="N274" s="43">
        <v>300</v>
      </c>
      <c r="O274" s="43">
        <v>300</v>
      </c>
      <c r="P274" s="43">
        <v>300</v>
      </c>
      <c r="Q274" s="43">
        <v>300</v>
      </c>
      <c r="R274" s="43">
        <v>300</v>
      </c>
      <c r="S274" s="43">
        <v>300</v>
      </c>
      <c r="T274" s="43">
        <v>300</v>
      </c>
      <c r="U274" s="43">
        <v>0</v>
      </c>
      <c r="V274" s="43">
        <v>0</v>
      </c>
      <c r="W274" s="43">
        <v>0</v>
      </c>
      <c r="X274" s="44">
        <f t="shared" si="30"/>
        <v>2700</v>
      </c>
      <c r="Y274" s="43">
        <v>400</v>
      </c>
      <c r="Z274" s="43">
        <v>400</v>
      </c>
      <c r="AA274" s="43">
        <v>400</v>
      </c>
      <c r="AB274" s="43">
        <v>400</v>
      </c>
      <c r="AC274" s="43">
        <v>400</v>
      </c>
      <c r="AD274" s="43">
        <v>400</v>
      </c>
      <c r="AE274" s="43">
        <v>400</v>
      </c>
      <c r="AF274" s="43">
        <v>400</v>
      </c>
      <c r="AG274" s="43">
        <v>400</v>
      </c>
      <c r="AH274" s="43">
        <v>400</v>
      </c>
      <c r="AI274" s="43">
        <v>400</v>
      </c>
      <c r="AJ274" s="43">
        <v>400</v>
      </c>
      <c r="AK274" s="44">
        <f t="shared" si="31"/>
        <v>4800</v>
      </c>
      <c r="AL274" s="43">
        <v>400</v>
      </c>
      <c r="AM274" s="43">
        <v>400</v>
      </c>
      <c r="AN274" s="43">
        <v>400</v>
      </c>
      <c r="AO274" s="43">
        <v>400</v>
      </c>
      <c r="AP274" s="43">
        <v>400</v>
      </c>
      <c r="AQ274" s="43">
        <v>400</v>
      </c>
      <c r="AR274" s="43">
        <v>400</v>
      </c>
      <c r="AS274" s="43">
        <v>400</v>
      </c>
      <c r="AT274" s="43">
        <v>400</v>
      </c>
      <c r="AU274" s="43">
        <v>400</v>
      </c>
      <c r="AV274" s="43">
        <v>400</v>
      </c>
      <c r="AW274" s="43">
        <v>400</v>
      </c>
      <c r="AX274" s="44">
        <f t="shared" si="32"/>
        <v>4800</v>
      </c>
      <c r="AY274" s="317">
        <f>SUMIF(Recibos!$D$4:$D$3010,Cobranza!$B274,Recibos!K$4:K$3010)</f>
        <v>400</v>
      </c>
      <c r="AZ274" s="317">
        <f>SUMIF(Recibos!$D$4:$D$3010,Cobranza!$B274,Recibos!L$4:L$3010)</f>
        <v>400</v>
      </c>
      <c r="BA274" s="317">
        <f>SUMIF(Recibos!$D$4:$D$3010,Cobranza!$B274,Recibos!M$4:M$3010)</f>
        <v>400</v>
      </c>
      <c r="BB274" s="317">
        <f>SUMIF(Recibos!$D$4:$D$3010,Cobranza!$B274,Recibos!N$4:N$3010)</f>
        <v>400</v>
      </c>
      <c r="BC274" s="317">
        <f>SUMIF(Recibos!$D$4:$D$3010,Cobranza!$B274,Recibos!O$4:O$3010)</f>
        <v>400</v>
      </c>
      <c r="BD274" s="317">
        <f>SUMIF(Recibos!$D$4:$D$3010,Cobranza!$B274,Recibos!P$4:P$3010)</f>
        <v>400</v>
      </c>
      <c r="BE274" s="317">
        <f>SUMIF(Recibos!$D$4:$D$3010,Cobranza!$B274,Recibos!Q$4:Q$3010)</f>
        <v>400</v>
      </c>
      <c r="BF274" s="317">
        <f>SUMIF(Recibos!$D$4:$D$3010,Cobranza!$B274,Recibos!R$4:R$3010)</f>
        <v>400</v>
      </c>
      <c r="BG274" s="317">
        <f>SUMIF(Recibos!$D$4:$D$3010,Cobranza!$B274,Recibos!S$4:S$3010)</f>
        <v>400</v>
      </c>
      <c r="BH274" s="317">
        <f>SUMIF(Recibos!$D$4:$D$3010,Cobranza!$B274,Recibos!T$4:T$3010)</f>
        <v>400</v>
      </c>
      <c r="BI274" s="317">
        <f>SUMIF(Recibos!$D$4:$D$3010,Cobranza!$B274,Recibos!U$4:U$3010)</f>
        <v>400</v>
      </c>
      <c r="BJ274" s="317">
        <f>SUMIF(Recibos!$D$4:$D$3010,Cobranza!$B274,Recibos!V$4:V$3010)</f>
        <v>400</v>
      </c>
      <c r="BK274" s="318">
        <f t="shared" ref="BK274:BK337" si="33">SUM(AY274:BJ274)</f>
        <v>4800</v>
      </c>
      <c r="BL274" s="317">
        <f>SUMIF(Recibos!$D$4:$D$3010,Cobranza!$B274,Recibos!X$4:X$3010)</f>
        <v>0</v>
      </c>
      <c r="BM274" s="317">
        <f>SUMIF(Recibos!$D$4:$D$3010,Cobranza!$B274,Recibos!Y$4:Y$3010)</f>
        <v>0</v>
      </c>
      <c r="BN274" s="317">
        <f>SUMIF(Recibos!$D$4:$D$3010,Cobranza!$B274,Recibos!Z$4:Z$3010)</f>
        <v>0</v>
      </c>
      <c r="BO274" s="317">
        <f>SUMIF(Recibos!$D$4:$D$3010,Cobranza!$B274,Recibos!AA$4:AA$3010)</f>
        <v>0</v>
      </c>
      <c r="BP274" s="317">
        <f>SUMIF(Recibos!$D$4:$D$3010,Cobranza!$B274,Recibos!AB$4:AB$3010)</f>
        <v>0</v>
      </c>
      <c r="BQ274" s="317">
        <f>SUMIF(Recibos!$D$4:$D$3010,Cobranza!$B274,Recibos!AC$4:AC$3010)</f>
        <v>0</v>
      </c>
      <c r="BR274" s="317">
        <f>SUMIF(Recibos!$D$4:$D$3010,Cobranza!$B274,Recibos!AD$4:AD$3010)</f>
        <v>0</v>
      </c>
      <c r="BS274" s="317">
        <f>SUMIF(Recibos!$D$4:$D$3010,Cobranza!$B274,Recibos!AE$4:AE$3010)</f>
        <v>0</v>
      </c>
      <c r="BT274" s="317">
        <f>SUMIF(Recibos!$D$4:$D$3010,Cobranza!$B274,Recibos!AF$4:AF$3010)</f>
        <v>0</v>
      </c>
      <c r="BU274" s="317">
        <f>SUMIF(Recibos!$D$4:$D$3010,Cobranza!$B274,Recibos!AG$4:AG$3010)</f>
        <v>0</v>
      </c>
      <c r="BV274" s="317">
        <f>SUMIF(Recibos!$D$4:$D$3010,Cobranza!$B274,Recibos!AH$4:AH$3010)</f>
        <v>0</v>
      </c>
      <c r="BW274" s="317">
        <f>SUMIF(Recibos!$D$4:$D$3010,Cobranza!$B274,Recibos!AI$4:AI$3010)</f>
        <v>0</v>
      </c>
      <c r="BX274" s="318">
        <f t="shared" ref="BX274:BX337" si="34">SUM(BL274:BW274)</f>
        <v>0</v>
      </c>
    </row>
    <row r="275" spans="2:76" x14ac:dyDescent="0.2">
      <c r="B275" s="45" t="s">
        <v>1395</v>
      </c>
      <c r="C275" s="45" t="s">
        <v>1396</v>
      </c>
      <c r="D275" s="45" t="s">
        <v>1397</v>
      </c>
      <c r="E275" s="46">
        <v>0</v>
      </c>
      <c r="F275" s="46">
        <v>0</v>
      </c>
      <c r="G275" s="46">
        <v>0</v>
      </c>
      <c r="H275" s="46">
        <v>0</v>
      </c>
      <c r="I275" s="46">
        <v>300</v>
      </c>
      <c r="J275" s="46">
        <v>300</v>
      </c>
      <c r="K275" s="47">
        <f t="shared" si="29"/>
        <v>600</v>
      </c>
      <c r="L275" s="46">
        <v>300</v>
      </c>
      <c r="M275" s="46">
        <v>300</v>
      </c>
      <c r="N275" s="46">
        <v>300</v>
      </c>
      <c r="O275" s="46">
        <v>300</v>
      </c>
      <c r="P275" s="46">
        <v>0</v>
      </c>
      <c r="Q275" s="46">
        <v>0</v>
      </c>
      <c r="R275" s="46">
        <v>0</v>
      </c>
      <c r="S275" s="46">
        <v>0</v>
      </c>
      <c r="T275" s="46">
        <v>0</v>
      </c>
      <c r="U275" s="46">
        <v>0</v>
      </c>
      <c r="V275" s="46">
        <v>0</v>
      </c>
      <c r="W275" s="46">
        <v>0</v>
      </c>
      <c r="X275" s="47">
        <f t="shared" si="30"/>
        <v>1200</v>
      </c>
      <c r="Y275" s="46">
        <v>0</v>
      </c>
      <c r="Z275" s="46">
        <v>0</v>
      </c>
      <c r="AA275" s="46">
        <v>0</v>
      </c>
      <c r="AB275" s="46">
        <v>0</v>
      </c>
      <c r="AC275" s="46">
        <v>0</v>
      </c>
      <c r="AD275" s="46">
        <v>0</v>
      </c>
      <c r="AE275" s="46">
        <v>0</v>
      </c>
      <c r="AF275" s="46">
        <v>0</v>
      </c>
      <c r="AG275" s="46">
        <v>0</v>
      </c>
      <c r="AH275" s="46">
        <v>0</v>
      </c>
      <c r="AI275" s="46">
        <v>0</v>
      </c>
      <c r="AJ275" s="46">
        <v>0</v>
      </c>
      <c r="AK275" s="47">
        <f t="shared" si="31"/>
        <v>0</v>
      </c>
      <c r="AL275" s="46">
        <v>0</v>
      </c>
      <c r="AM275" s="46">
        <v>0</v>
      </c>
      <c r="AN275" s="46">
        <v>0</v>
      </c>
      <c r="AO275" s="46">
        <v>0</v>
      </c>
      <c r="AP275" s="46">
        <v>0</v>
      </c>
      <c r="AQ275" s="46">
        <v>0</v>
      </c>
      <c r="AR275" s="46">
        <v>0</v>
      </c>
      <c r="AS275" s="46">
        <v>0</v>
      </c>
      <c r="AT275" s="46">
        <v>0</v>
      </c>
      <c r="AU275" s="46">
        <v>0</v>
      </c>
      <c r="AV275" s="46">
        <v>0</v>
      </c>
      <c r="AW275" s="46">
        <v>0</v>
      </c>
      <c r="AX275" s="47">
        <f t="shared" si="32"/>
        <v>0</v>
      </c>
      <c r="AY275" s="319">
        <f>SUMIF(Recibos!$D$4:$D$3010,Cobranza!$B275,Recibos!K$4:K$3010)</f>
        <v>0</v>
      </c>
      <c r="AZ275" s="319">
        <f>SUMIF(Recibos!$D$4:$D$3010,Cobranza!$B275,Recibos!L$4:L$3010)</f>
        <v>0</v>
      </c>
      <c r="BA275" s="319">
        <f>SUMIF(Recibos!$D$4:$D$3010,Cobranza!$B275,Recibos!M$4:M$3010)</f>
        <v>0</v>
      </c>
      <c r="BB275" s="319">
        <f>SUMIF(Recibos!$D$4:$D$3010,Cobranza!$B275,Recibos!N$4:N$3010)</f>
        <v>0</v>
      </c>
      <c r="BC275" s="319">
        <f>SUMIF(Recibos!$D$4:$D$3010,Cobranza!$B275,Recibos!O$4:O$3010)</f>
        <v>0</v>
      </c>
      <c r="BD275" s="319">
        <f>SUMIF(Recibos!$D$4:$D$3010,Cobranza!$B275,Recibos!P$4:P$3010)</f>
        <v>0</v>
      </c>
      <c r="BE275" s="319">
        <f>SUMIF(Recibos!$D$4:$D$3010,Cobranza!$B275,Recibos!Q$4:Q$3010)</f>
        <v>0</v>
      </c>
      <c r="BF275" s="319">
        <f>SUMIF(Recibos!$D$4:$D$3010,Cobranza!$B275,Recibos!R$4:R$3010)</f>
        <v>0</v>
      </c>
      <c r="BG275" s="319">
        <f>SUMIF(Recibos!$D$4:$D$3010,Cobranza!$B275,Recibos!S$4:S$3010)</f>
        <v>0</v>
      </c>
      <c r="BH275" s="319">
        <f>SUMIF(Recibos!$D$4:$D$3010,Cobranza!$B275,Recibos!T$4:T$3010)</f>
        <v>0</v>
      </c>
      <c r="BI275" s="319">
        <f>SUMIF(Recibos!$D$4:$D$3010,Cobranza!$B275,Recibos!U$4:U$3010)</f>
        <v>0</v>
      </c>
      <c r="BJ275" s="319">
        <f>SUMIF(Recibos!$D$4:$D$3010,Cobranza!$B275,Recibos!V$4:V$3010)</f>
        <v>0</v>
      </c>
      <c r="BK275" s="320">
        <f t="shared" si="33"/>
        <v>0</v>
      </c>
      <c r="BL275" s="319">
        <f>SUMIF(Recibos!$D$4:$D$3010,Cobranza!$B275,Recibos!X$4:X$3010)</f>
        <v>0</v>
      </c>
      <c r="BM275" s="319">
        <f>SUMIF(Recibos!$D$4:$D$3010,Cobranza!$B275,Recibos!Y$4:Y$3010)</f>
        <v>0</v>
      </c>
      <c r="BN275" s="319">
        <f>SUMIF(Recibos!$D$4:$D$3010,Cobranza!$B275,Recibos!Z$4:Z$3010)</f>
        <v>0</v>
      </c>
      <c r="BO275" s="319">
        <f>SUMIF(Recibos!$D$4:$D$3010,Cobranza!$B275,Recibos!AA$4:AA$3010)</f>
        <v>0</v>
      </c>
      <c r="BP275" s="319">
        <f>SUMIF(Recibos!$D$4:$D$3010,Cobranza!$B275,Recibos!AB$4:AB$3010)</f>
        <v>0</v>
      </c>
      <c r="BQ275" s="319">
        <f>SUMIF(Recibos!$D$4:$D$3010,Cobranza!$B275,Recibos!AC$4:AC$3010)</f>
        <v>0</v>
      </c>
      <c r="BR275" s="319">
        <f>SUMIF(Recibos!$D$4:$D$3010,Cobranza!$B275,Recibos!AD$4:AD$3010)</f>
        <v>0</v>
      </c>
      <c r="BS275" s="319">
        <f>SUMIF(Recibos!$D$4:$D$3010,Cobranza!$B275,Recibos!AE$4:AE$3010)</f>
        <v>0</v>
      </c>
      <c r="BT275" s="319">
        <f>SUMIF(Recibos!$D$4:$D$3010,Cobranza!$B275,Recibos!AF$4:AF$3010)</f>
        <v>0</v>
      </c>
      <c r="BU275" s="319">
        <f>SUMIF(Recibos!$D$4:$D$3010,Cobranza!$B275,Recibos!AG$4:AG$3010)</f>
        <v>0</v>
      </c>
      <c r="BV275" s="319">
        <f>SUMIF(Recibos!$D$4:$D$3010,Cobranza!$B275,Recibos!AH$4:AH$3010)</f>
        <v>0</v>
      </c>
      <c r="BW275" s="319">
        <f>SUMIF(Recibos!$D$4:$D$3010,Cobranza!$B275,Recibos!AI$4:AI$3010)</f>
        <v>0</v>
      </c>
      <c r="BX275" s="320">
        <f t="shared" si="34"/>
        <v>0</v>
      </c>
    </row>
    <row r="276" spans="2:76" x14ac:dyDescent="0.2">
      <c r="B276" s="42" t="s">
        <v>684</v>
      </c>
      <c r="C276" s="42" t="s">
        <v>685</v>
      </c>
      <c r="D276" s="42" t="s">
        <v>686</v>
      </c>
      <c r="E276" s="43">
        <v>0</v>
      </c>
      <c r="F276" s="43">
        <v>0</v>
      </c>
      <c r="G276" s="43">
        <v>0</v>
      </c>
      <c r="H276" s="43">
        <v>300</v>
      </c>
      <c r="I276" s="43">
        <v>300</v>
      </c>
      <c r="J276" s="43">
        <v>300</v>
      </c>
      <c r="K276" s="44">
        <f t="shared" si="29"/>
        <v>900</v>
      </c>
      <c r="L276" s="43">
        <v>300</v>
      </c>
      <c r="M276" s="43">
        <v>300</v>
      </c>
      <c r="N276" s="43">
        <v>300</v>
      </c>
      <c r="O276" s="43">
        <v>300</v>
      </c>
      <c r="P276" s="43">
        <v>300</v>
      </c>
      <c r="Q276" s="43">
        <v>300</v>
      </c>
      <c r="R276" s="43">
        <v>300</v>
      </c>
      <c r="S276" s="43">
        <v>300</v>
      </c>
      <c r="T276" s="43">
        <v>300</v>
      </c>
      <c r="U276" s="43">
        <v>400</v>
      </c>
      <c r="V276" s="43">
        <v>400</v>
      </c>
      <c r="W276" s="43">
        <v>400</v>
      </c>
      <c r="X276" s="44">
        <f t="shared" si="30"/>
        <v>3900</v>
      </c>
      <c r="Y276" s="43">
        <v>400</v>
      </c>
      <c r="Z276" s="43">
        <v>400</v>
      </c>
      <c r="AA276" s="43">
        <v>400</v>
      </c>
      <c r="AB276" s="43">
        <v>400</v>
      </c>
      <c r="AC276" s="43">
        <v>400</v>
      </c>
      <c r="AD276" s="43">
        <v>400</v>
      </c>
      <c r="AE276" s="43">
        <v>400</v>
      </c>
      <c r="AF276" s="43">
        <v>400</v>
      </c>
      <c r="AG276" s="43">
        <v>400</v>
      </c>
      <c r="AH276" s="43">
        <v>400</v>
      </c>
      <c r="AI276" s="43">
        <v>400</v>
      </c>
      <c r="AJ276" s="43">
        <v>400</v>
      </c>
      <c r="AK276" s="44">
        <f t="shared" si="31"/>
        <v>4800</v>
      </c>
      <c r="AL276" s="43">
        <v>400</v>
      </c>
      <c r="AM276" s="43">
        <v>400</v>
      </c>
      <c r="AN276" s="43">
        <v>400</v>
      </c>
      <c r="AO276" s="43">
        <v>400</v>
      </c>
      <c r="AP276" s="43">
        <v>400</v>
      </c>
      <c r="AQ276" s="43">
        <v>400</v>
      </c>
      <c r="AR276" s="43">
        <v>400</v>
      </c>
      <c r="AS276" s="43">
        <v>400</v>
      </c>
      <c r="AT276" s="43">
        <v>400</v>
      </c>
      <c r="AU276" s="43">
        <v>400</v>
      </c>
      <c r="AV276" s="43">
        <v>400</v>
      </c>
      <c r="AW276" s="43">
        <v>400</v>
      </c>
      <c r="AX276" s="44">
        <f t="shared" si="32"/>
        <v>4800</v>
      </c>
      <c r="AY276" s="317">
        <f>SUMIF(Recibos!$D$4:$D$3010,Cobranza!$B276,Recibos!K$4:K$3010)</f>
        <v>400</v>
      </c>
      <c r="AZ276" s="317">
        <f>SUMIF(Recibos!$D$4:$D$3010,Cobranza!$B276,Recibos!L$4:L$3010)</f>
        <v>400</v>
      </c>
      <c r="BA276" s="317">
        <f>SUMIF(Recibos!$D$4:$D$3010,Cobranza!$B276,Recibos!M$4:M$3010)</f>
        <v>400</v>
      </c>
      <c r="BB276" s="317">
        <f>SUMIF(Recibos!$D$4:$D$3010,Cobranza!$B276,Recibos!N$4:N$3010)</f>
        <v>400</v>
      </c>
      <c r="BC276" s="317">
        <f>SUMIF(Recibos!$D$4:$D$3010,Cobranza!$B276,Recibos!O$4:O$3010)</f>
        <v>400</v>
      </c>
      <c r="BD276" s="317">
        <f>SUMIF(Recibos!$D$4:$D$3010,Cobranza!$B276,Recibos!P$4:P$3010)</f>
        <v>0</v>
      </c>
      <c r="BE276" s="317">
        <f>SUMIF(Recibos!$D$4:$D$3010,Cobranza!$B276,Recibos!Q$4:Q$3010)</f>
        <v>400</v>
      </c>
      <c r="BF276" s="317">
        <f>SUMIF(Recibos!$D$4:$D$3010,Cobranza!$B276,Recibos!R$4:R$3010)</f>
        <v>800</v>
      </c>
      <c r="BG276" s="317">
        <f>SUMIF(Recibos!$D$4:$D$3010,Cobranza!$B276,Recibos!S$4:S$3010)</f>
        <v>400</v>
      </c>
      <c r="BH276" s="317">
        <f>SUMIF(Recibos!$D$4:$D$3010,Cobranza!$B276,Recibos!T$4:T$3010)</f>
        <v>400</v>
      </c>
      <c r="BI276" s="317">
        <f>SUMIF(Recibos!$D$4:$D$3010,Cobranza!$B276,Recibos!U$4:U$3010)</f>
        <v>400</v>
      </c>
      <c r="BJ276" s="317">
        <f>SUMIF(Recibos!$D$4:$D$3010,Cobranza!$B276,Recibos!V$4:V$3010)</f>
        <v>400</v>
      </c>
      <c r="BK276" s="318">
        <f t="shared" si="33"/>
        <v>4800</v>
      </c>
      <c r="BL276" s="317">
        <f>SUMIF(Recibos!$D$4:$D$3010,Cobranza!$B276,Recibos!X$4:X$3010)</f>
        <v>400</v>
      </c>
      <c r="BM276" s="317">
        <f>SUMIF(Recibos!$D$4:$D$3010,Cobranza!$B276,Recibos!Y$4:Y$3010)</f>
        <v>0</v>
      </c>
      <c r="BN276" s="317">
        <f>SUMIF(Recibos!$D$4:$D$3010,Cobranza!$B276,Recibos!Z$4:Z$3010)</f>
        <v>0</v>
      </c>
      <c r="BO276" s="317">
        <f>SUMIF(Recibos!$D$4:$D$3010,Cobranza!$B276,Recibos!AA$4:AA$3010)</f>
        <v>0</v>
      </c>
      <c r="BP276" s="317">
        <f>SUMIF(Recibos!$D$4:$D$3010,Cobranza!$B276,Recibos!AB$4:AB$3010)</f>
        <v>0</v>
      </c>
      <c r="BQ276" s="317">
        <f>SUMIF(Recibos!$D$4:$D$3010,Cobranza!$B276,Recibos!AC$4:AC$3010)</f>
        <v>0</v>
      </c>
      <c r="BR276" s="317">
        <f>SUMIF(Recibos!$D$4:$D$3010,Cobranza!$B276,Recibos!AD$4:AD$3010)</f>
        <v>0</v>
      </c>
      <c r="BS276" s="317">
        <f>SUMIF(Recibos!$D$4:$D$3010,Cobranza!$B276,Recibos!AE$4:AE$3010)</f>
        <v>0</v>
      </c>
      <c r="BT276" s="317">
        <f>SUMIF(Recibos!$D$4:$D$3010,Cobranza!$B276,Recibos!AF$4:AF$3010)</f>
        <v>0</v>
      </c>
      <c r="BU276" s="317">
        <f>SUMIF(Recibos!$D$4:$D$3010,Cobranza!$B276,Recibos!AG$4:AG$3010)</f>
        <v>0</v>
      </c>
      <c r="BV276" s="317">
        <f>SUMIF(Recibos!$D$4:$D$3010,Cobranza!$B276,Recibos!AH$4:AH$3010)</f>
        <v>0</v>
      </c>
      <c r="BW276" s="317">
        <f>SUMIF(Recibos!$D$4:$D$3010,Cobranza!$B276,Recibos!AI$4:AI$3010)</f>
        <v>0</v>
      </c>
      <c r="BX276" s="318">
        <f t="shared" si="34"/>
        <v>400</v>
      </c>
    </row>
    <row r="277" spans="2:76" x14ac:dyDescent="0.2">
      <c r="B277" s="45" t="s">
        <v>1398</v>
      </c>
      <c r="C277" s="45" t="s">
        <v>1399</v>
      </c>
      <c r="D277" s="45"/>
      <c r="E277" s="46">
        <v>0</v>
      </c>
      <c r="F277" s="46">
        <v>0</v>
      </c>
      <c r="G277" s="46">
        <v>0</v>
      </c>
      <c r="H277" s="46">
        <v>0</v>
      </c>
      <c r="I277" s="46">
        <v>0</v>
      </c>
      <c r="J277" s="46">
        <v>0</v>
      </c>
      <c r="K277" s="47">
        <f t="shared" si="29"/>
        <v>0</v>
      </c>
      <c r="L277" s="46">
        <v>0</v>
      </c>
      <c r="M277" s="46">
        <v>0</v>
      </c>
      <c r="N277" s="46">
        <v>0</v>
      </c>
      <c r="O277" s="46">
        <v>0</v>
      </c>
      <c r="P277" s="46">
        <v>0</v>
      </c>
      <c r="Q277" s="46">
        <v>0</v>
      </c>
      <c r="R277" s="46">
        <v>0</v>
      </c>
      <c r="S277" s="46">
        <v>0</v>
      </c>
      <c r="T277" s="46">
        <v>0</v>
      </c>
      <c r="U277" s="46">
        <v>0</v>
      </c>
      <c r="V277" s="46">
        <v>0</v>
      </c>
      <c r="W277" s="46">
        <v>0</v>
      </c>
      <c r="X277" s="47">
        <f t="shared" si="30"/>
        <v>0</v>
      </c>
      <c r="Y277" s="46">
        <v>0</v>
      </c>
      <c r="Z277" s="46">
        <v>0</v>
      </c>
      <c r="AA277" s="46">
        <v>0</v>
      </c>
      <c r="AB277" s="46">
        <v>0</v>
      </c>
      <c r="AC277" s="46">
        <v>0</v>
      </c>
      <c r="AD277" s="46">
        <v>0</v>
      </c>
      <c r="AE277" s="46">
        <v>0</v>
      </c>
      <c r="AF277" s="46">
        <v>0</v>
      </c>
      <c r="AG277" s="46">
        <v>0</v>
      </c>
      <c r="AH277" s="46">
        <v>0</v>
      </c>
      <c r="AI277" s="46">
        <v>0</v>
      </c>
      <c r="AJ277" s="46">
        <v>0</v>
      </c>
      <c r="AK277" s="47">
        <f t="shared" si="31"/>
        <v>0</v>
      </c>
      <c r="AL277" s="46">
        <v>0</v>
      </c>
      <c r="AM277" s="46">
        <v>0</v>
      </c>
      <c r="AN277" s="46">
        <v>0</v>
      </c>
      <c r="AO277" s="46">
        <v>0</v>
      </c>
      <c r="AP277" s="46">
        <v>0</v>
      </c>
      <c r="AQ277" s="46">
        <v>0</v>
      </c>
      <c r="AR277" s="46">
        <v>0</v>
      </c>
      <c r="AS277" s="46">
        <v>0</v>
      </c>
      <c r="AT277" s="46">
        <v>0</v>
      </c>
      <c r="AU277" s="46">
        <v>0</v>
      </c>
      <c r="AV277" s="46">
        <v>0</v>
      </c>
      <c r="AW277" s="46">
        <v>0</v>
      </c>
      <c r="AX277" s="47">
        <f t="shared" si="32"/>
        <v>0</v>
      </c>
      <c r="AY277" s="319">
        <f>SUMIF(Recibos!$D$4:$D$3010,Cobranza!$B277,Recibos!K$4:K$3010)</f>
        <v>0</v>
      </c>
      <c r="AZ277" s="319">
        <f>SUMIF(Recibos!$D$4:$D$3010,Cobranza!$B277,Recibos!L$4:L$3010)</f>
        <v>0</v>
      </c>
      <c r="BA277" s="319">
        <f>SUMIF(Recibos!$D$4:$D$3010,Cobranza!$B277,Recibos!M$4:M$3010)</f>
        <v>0</v>
      </c>
      <c r="BB277" s="319">
        <f>SUMIF(Recibos!$D$4:$D$3010,Cobranza!$B277,Recibos!N$4:N$3010)</f>
        <v>0</v>
      </c>
      <c r="BC277" s="319">
        <f>SUMIF(Recibos!$D$4:$D$3010,Cobranza!$B277,Recibos!O$4:O$3010)</f>
        <v>0</v>
      </c>
      <c r="BD277" s="319">
        <f>SUMIF(Recibos!$D$4:$D$3010,Cobranza!$B277,Recibos!P$4:P$3010)</f>
        <v>0</v>
      </c>
      <c r="BE277" s="319">
        <f>SUMIF(Recibos!$D$4:$D$3010,Cobranza!$B277,Recibos!Q$4:Q$3010)</f>
        <v>0</v>
      </c>
      <c r="BF277" s="319">
        <f>SUMIF(Recibos!$D$4:$D$3010,Cobranza!$B277,Recibos!R$4:R$3010)</f>
        <v>0</v>
      </c>
      <c r="BG277" s="319">
        <f>SUMIF(Recibos!$D$4:$D$3010,Cobranza!$B277,Recibos!S$4:S$3010)</f>
        <v>0</v>
      </c>
      <c r="BH277" s="319">
        <f>SUMIF(Recibos!$D$4:$D$3010,Cobranza!$B277,Recibos!T$4:T$3010)</f>
        <v>0</v>
      </c>
      <c r="BI277" s="319">
        <f>SUMIF(Recibos!$D$4:$D$3010,Cobranza!$B277,Recibos!U$4:U$3010)</f>
        <v>0</v>
      </c>
      <c r="BJ277" s="319">
        <f>SUMIF(Recibos!$D$4:$D$3010,Cobranza!$B277,Recibos!V$4:V$3010)</f>
        <v>0</v>
      </c>
      <c r="BK277" s="320">
        <f t="shared" si="33"/>
        <v>0</v>
      </c>
      <c r="BL277" s="319">
        <f>SUMIF(Recibos!$D$4:$D$3010,Cobranza!$B277,Recibos!X$4:X$3010)</f>
        <v>0</v>
      </c>
      <c r="BM277" s="319">
        <f>SUMIF(Recibos!$D$4:$D$3010,Cobranza!$B277,Recibos!Y$4:Y$3010)</f>
        <v>0</v>
      </c>
      <c r="BN277" s="319">
        <f>SUMIF(Recibos!$D$4:$D$3010,Cobranza!$B277,Recibos!Z$4:Z$3010)</f>
        <v>0</v>
      </c>
      <c r="BO277" s="319">
        <f>SUMIF(Recibos!$D$4:$D$3010,Cobranza!$B277,Recibos!AA$4:AA$3010)</f>
        <v>0</v>
      </c>
      <c r="BP277" s="319">
        <f>SUMIF(Recibos!$D$4:$D$3010,Cobranza!$B277,Recibos!AB$4:AB$3010)</f>
        <v>0</v>
      </c>
      <c r="BQ277" s="319">
        <f>SUMIF(Recibos!$D$4:$D$3010,Cobranza!$B277,Recibos!AC$4:AC$3010)</f>
        <v>0</v>
      </c>
      <c r="BR277" s="319">
        <f>SUMIF(Recibos!$D$4:$D$3010,Cobranza!$B277,Recibos!AD$4:AD$3010)</f>
        <v>0</v>
      </c>
      <c r="BS277" s="319">
        <f>SUMIF(Recibos!$D$4:$D$3010,Cobranza!$B277,Recibos!AE$4:AE$3010)</f>
        <v>0</v>
      </c>
      <c r="BT277" s="319">
        <f>SUMIF(Recibos!$D$4:$D$3010,Cobranza!$B277,Recibos!AF$4:AF$3010)</f>
        <v>0</v>
      </c>
      <c r="BU277" s="319">
        <f>SUMIF(Recibos!$D$4:$D$3010,Cobranza!$B277,Recibos!AG$4:AG$3010)</f>
        <v>0</v>
      </c>
      <c r="BV277" s="319">
        <f>SUMIF(Recibos!$D$4:$D$3010,Cobranza!$B277,Recibos!AH$4:AH$3010)</f>
        <v>0</v>
      </c>
      <c r="BW277" s="319">
        <f>SUMIF(Recibos!$D$4:$D$3010,Cobranza!$B277,Recibos!AI$4:AI$3010)</f>
        <v>0</v>
      </c>
      <c r="BX277" s="320">
        <f t="shared" si="34"/>
        <v>0</v>
      </c>
    </row>
    <row r="278" spans="2:76" x14ac:dyDescent="0.2">
      <c r="B278" s="42" t="s">
        <v>401</v>
      </c>
      <c r="C278" s="42" t="s">
        <v>402</v>
      </c>
      <c r="D278" s="42" t="s">
        <v>403</v>
      </c>
      <c r="E278" s="43">
        <v>0</v>
      </c>
      <c r="F278" s="43">
        <v>0</v>
      </c>
      <c r="G278" s="43">
        <v>0</v>
      </c>
      <c r="H278" s="43">
        <v>0</v>
      </c>
      <c r="I278" s="43">
        <v>0</v>
      </c>
      <c r="J278" s="43">
        <v>0</v>
      </c>
      <c r="K278" s="44">
        <f t="shared" si="29"/>
        <v>0</v>
      </c>
      <c r="L278" s="43">
        <v>300</v>
      </c>
      <c r="M278" s="43">
        <v>300</v>
      </c>
      <c r="N278" s="43">
        <v>300</v>
      </c>
      <c r="O278" s="43">
        <v>300</v>
      </c>
      <c r="P278" s="43">
        <v>300</v>
      </c>
      <c r="Q278" s="43">
        <v>300</v>
      </c>
      <c r="R278" s="43">
        <v>300</v>
      </c>
      <c r="S278" s="43">
        <v>300</v>
      </c>
      <c r="T278" s="43">
        <v>300</v>
      </c>
      <c r="U278" s="43">
        <v>400</v>
      </c>
      <c r="V278" s="43">
        <v>400</v>
      </c>
      <c r="W278" s="43">
        <v>400</v>
      </c>
      <c r="X278" s="44">
        <f t="shared" si="30"/>
        <v>3900</v>
      </c>
      <c r="Y278" s="43">
        <v>400</v>
      </c>
      <c r="Z278" s="43">
        <v>400</v>
      </c>
      <c r="AA278" s="43">
        <v>400</v>
      </c>
      <c r="AB278" s="43">
        <v>400</v>
      </c>
      <c r="AC278" s="43">
        <v>400</v>
      </c>
      <c r="AD278" s="43">
        <v>400</v>
      </c>
      <c r="AE278" s="43">
        <v>400</v>
      </c>
      <c r="AF278" s="43">
        <v>400</v>
      </c>
      <c r="AG278" s="43">
        <v>400</v>
      </c>
      <c r="AH278" s="43">
        <v>400</v>
      </c>
      <c r="AI278" s="43">
        <v>400</v>
      </c>
      <c r="AJ278" s="43">
        <v>400</v>
      </c>
      <c r="AK278" s="44">
        <f t="shared" si="31"/>
        <v>4800</v>
      </c>
      <c r="AL278" s="43">
        <v>400</v>
      </c>
      <c r="AM278" s="43">
        <v>400</v>
      </c>
      <c r="AN278" s="43">
        <v>400</v>
      </c>
      <c r="AO278" s="43">
        <v>400</v>
      </c>
      <c r="AP278" s="43">
        <v>400</v>
      </c>
      <c r="AQ278" s="43">
        <v>400</v>
      </c>
      <c r="AR278" s="43">
        <v>400</v>
      </c>
      <c r="AS278" s="43">
        <v>400</v>
      </c>
      <c r="AT278" s="43">
        <v>400</v>
      </c>
      <c r="AU278" s="43">
        <v>400</v>
      </c>
      <c r="AV278" s="43">
        <v>400</v>
      </c>
      <c r="AW278" s="43">
        <v>400</v>
      </c>
      <c r="AX278" s="44">
        <f t="shared" si="32"/>
        <v>4800</v>
      </c>
      <c r="AY278" s="317">
        <f>SUMIF(Recibos!$D$4:$D$3010,Cobranza!$B278,Recibos!K$4:K$3010)</f>
        <v>400</v>
      </c>
      <c r="AZ278" s="317">
        <f>SUMIF(Recibos!$D$4:$D$3010,Cobranza!$B278,Recibos!L$4:L$3010)</f>
        <v>400</v>
      </c>
      <c r="BA278" s="317">
        <f>SUMIF(Recibos!$D$4:$D$3010,Cobranza!$B278,Recibos!M$4:M$3010)</f>
        <v>400</v>
      </c>
      <c r="BB278" s="317">
        <f>SUMIF(Recibos!$D$4:$D$3010,Cobranza!$B278,Recibos!N$4:N$3010)</f>
        <v>400</v>
      </c>
      <c r="BC278" s="317">
        <f>SUMIF(Recibos!$D$4:$D$3010,Cobranza!$B278,Recibos!O$4:O$3010)</f>
        <v>400</v>
      </c>
      <c r="BD278" s="317">
        <f>SUMIF(Recibos!$D$4:$D$3010,Cobranza!$B278,Recibos!P$4:P$3010)</f>
        <v>400</v>
      </c>
      <c r="BE278" s="317">
        <f>SUMIF(Recibos!$D$4:$D$3010,Cobranza!$B278,Recibos!Q$4:Q$3010)</f>
        <v>400</v>
      </c>
      <c r="BF278" s="317">
        <f>SUMIF(Recibos!$D$4:$D$3010,Cobranza!$B278,Recibos!R$4:R$3010)</f>
        <v>400</v>
      </c>
      <c r="BG278" s="317">
        <f>SUMIF(Recibos!$D$4:$D$3010,Cobranza!$B278,Recibos!S$4:S$3010)</f>
        <v>400</v>
      </c>
      <c r="BH278" s="317">
        <f>SUMIF(Recibos!$D$4:$D$3010,Cobranza!$B278,Recibos!T$4:T$3010)</f>
        <v>400</v>
      </c>
      <c r="BI278" s="317">
        <f>SUMIF(Recibos!$D$4:$D$3010,Cobranza!$B278,Recibos!U$4:U$3010)</f>
        <v>400</v>
      </c>
      <c r="BJ278" s="317">
        <f>SUMIF(Recibos!$D$4:$D$3010,Cobranza!$B278,Recibos!V$4:V$3010)</f>
        <v>400</v>
      </c>
      <c r="BK278" s="318">
        <f t="shared" si="33"/>
        <v>4800</v>
      </c>
      <c r="BL278" s="317">
        <f>SUMIF(Recibos!$D$4:$D$3010,Cobranza!$B278,Recibos!X$4:X$3010)</f>
        <v>0</v>
      </c>
      <c r="BM278" s="317">
        <f>SUMIF(Recibos!$D$4:$D$3010,Cobranza!$B278,Recibos!Y$4:Y$3010)</f>
        <v>0</v>
      </c>
      <c r="BN278" s="317">
        <f>SUMIF(Recibos!$D$4:$D$3010,Cobranza!$B278,Recibos!Z$4:Z$3010)</f>
        <v>0</v>
      </c>
      <c r="BO278" s="317">
        <f>SUMIF(Recibos!$D$4:$D$3010,Cobranza!$B278,Recibos!AA$4:AA$3010)</f>
        <v>0</v>
      </c>
      <c r="BP278" s="317">
        <f>SUMIF(Recibos!$D$4:$D$3010,Cobranza!$B278,Recibos!AB$4:AB$3010)</f>
        <v>0</v>
      </c>
      <c r="BQ278" s="317">
        <f>SUMIF(Recibos!$D$4:$D$3010,Cobranza!$B278,Recibos!AC$4:AC$3010)</f>
        <v>0</v>
      </c>
      <c r="BR278" s="317">
        <f>SUMIF(Recibos!$D$4:$D$3010,Cobranza!$B278,Recibos!AD$4:AD$3010)</f>
        <v>0</v>
      </c>
      <c r="BS278" s="317">
        <f>SUMIF(Recibos!$D$4:$D$3010,Cobranza!$B278,Recibos!AE$4:AE$3010)</f>
        <v>0</v>
      </c>
      <c r="BT278" s="317">
        <f>SUMIF(Recibos!$D$4:$D$3010,Cobranza!$B278,Recibos!AF$4:AF$3010)</f>
        <v>0</v>
      </c>
      <c r="BU278" s="317">
        <f>SUMIF(Recibos!$D$4:$D$3010,Cobranza!$B278,Recibos!AG$4:AG$3010)</f>
        <v>0</v>
      </c>
      <c r="BV278" s="317">
        <f>SUMIF(Recibos!$D$4:$D$3010,Cobranza!$B278,Recibos!AH$4:AH$3010)</f>
        <v>0</v>
      </c>
      <c r="BW278" s="317">
        <f>SUMIF(Recibos!$D$4:$D$3010,Cobranza!$B278,Recibos!AI$4:AI$3010)</f>
        <v>0</v>
      </c>
      <c r="BX278" s="318">
        <f t="shared" si="34"/>
        <v>0</v>
      </c>
    </row>
    <row r="279" spans="2:76" x14ac:dyDescent="0.2">
      <c r="B279" s="45" t="s">
        <v>1164</v>
      </c>
      <c r="C279" s="45" t="s">
        <v>1165</v>
      </c>
      <c r="D279" s="45" t="s">
        <v>1166</v>
      </c>
      <c r="E279" s="46">
        <v>0</v>
      </c>
      <c r="F279" s="46">
        <v>0</v>
      </c>
      <c r="G279" s="46">
        <v>0</v>
      </c>
      <c r="H279" s="46">
        <v>300</v>
      </c>
      <c r="I279" s="46">
        <v>300</v>
      </c>
      <c r="J279" s="46">
        <v>300</v>
      </c>
      <c r="K279" s="47">
        <f t="shared" si="29"/>
        <v>900</v>
      </c>
      <c r="L279" s="46">
        <v>300</v>
      </c>
      <c r="M279" s="46">
        <v>300</v>
      </c>
      <c r="N279" s="46">
        <v>300</v>
      </c>
      <c r="O279" s="46">
        <v>300</v>
      </c>
      <c r="P279" s="46">
        <v>300</v>
      </c>
      <c r="Q279" s="46">
        <v>300</v>
      </c>
      <c r="R279" s="46">
        <v>300</v>
      </c>
      <c r="S279" s="46">
        <v>300</v>
      </c>
      <c r="T279" s="46">
        <v>300</v>
      </c>
      <c r="U279" s="46">
        <v>400</v>
      </c>
      <c r="V279" s="46">
        <v>400</v>
      </c>
      <c r="W279" s="46">
        <v>0</v>
      </c>
      <c r="X279" s="47">
        <f t="shared" si="30"/>
        <v>3500</v>
      </c>
      <c r="Y279" s="46">
        <v>0</v>
      </c>
      <c r="Z279" s="46">
        <v>0</v>
      </c>
      <c r="AA279" s="46">
        <v>0</v>
      </c>
      <c r="AB279" s="46">
        <v>0</v>
      </c>
      <c r="AC279" s="46">
        <v>0</v>
      </c>
      <c r="AD279" s="46">
        <v>0</v>
      </c>
      <c r="AE279" s="46">
        <v>0</v>
      </c>
      <c r="AF279" s="46">
        <v>0</v>
      </c>
      <c r="AG279" s="46">
        <v>0</v>
      </c>
      <c r="AH279" s="46">
        <v>0</v>
      </c>
      <c r="AI279" s="46">
        <v>0</v>
      </c>
      <c r="AJ279" s="46">
        <v>0</v>
      </c>
      <c r="AK279" s="47">
        <f t="shared" si="31"/>
        <v>0</v>
      </c>
      <c r="AL279" s="46">
        <v>0</v>
      </c>
      <c r="AM279" s="46">
        <v>0</v>
      </c>
      <c r="AN279" s="46">
        <v>0</v>
      </c>
      <c r="AO279" s="46">
        <v>0</v>
      </c>
      <c r="AP279" s="46">
        <v>0</v>
      </c>
      <c r="AQ279" s="46">
        <v>0</v>
      </c>
      <c r="AR279" s="46">
        <v>0</v>
      </c>
      <c r="AS279" s="46">
        <v>0</v>
      </c>
      <c r="AT279" s="46">
        <v>0</v>
      </c>
      <c r="AU279" s="46">
        <v>0</v>
      </c>
      <c r="AV279" s="46">
        <v>0</v>
      </c>
      <c r="AW279" s="46">
        <v>0</v>
      </c>
      <c r="AX279" s="47">
        <f t="shared" si="32"/>
        <v>0</v>
      </c>
      <c r="AY279" s="319">
        <f>SUMIF(Recibos!$D$4:$D$3010,Cobranza!$B279,Recibos!K$4:K$3010)</f>
        <v>0</v>
      </c>
      <c r="AZ279" s="319">
        <f>SUMIF(Recibos!$D$4:$D$3010,Cobranza!$B279,Recibos!L$4:L$3010)</f>
        <v>0</v>
      </c>
      <c r="BA279" s="319">
        <f>SUMIF(Recibos!$D$4:$D$3010,Cobranza!$B279,Recibos!M$4:M$3010)</f>
        <v>0</v>
      </c>
      <c r="BB279" s="319">
        <f>SUMIF(Recibos!$D$4:$D$3010,Cobranza!$B279,Recibos!N$4:N$3010)</f>
        <v>0</v>
      </c>
      <c r="BC279" s="319">
        <f>SUMIF(Recibos!$D$4:$D$3010,Cobranza!$B279,Recibos!O$4:O$3010)</f>
        <v>0</v>
      </c>
      <c r="BD279" s="319">
        <f>SUMIF(Recibos!$D$4:$D$3010,Cobranza!$B279,Recibos!P$4:P$3010)</f>
        <v>0</v>
      </c>
      <c r="BE279" s="319">
        <f>SUMIF(Recibos!$D$4:$D$3010,Cobranza!$B279,Recibos!Q$4:Q$3010)</f>
        <v>0</v>
      </c>
      <c r="BF279" s="319">
        <f>SUMIF(Recibos!$D$4:$D$3010,Cobranza!$B279,Recibos!R$4:R$3010)</f>
        <v>400</v>
      </c>
      <c r="BG279" s="319">
        <f>SUMIF(Recibos!$D$4:$D$3010,Cobranza!$B279,Recibos!S$4:S$3010)</f>
        <v>400</v>
      </c>
      <c r="BH279" s="319">
        <f>SUMIF(Recibos!$D$4:$D$3010,Cobranza!$B279,Recibos!T$4:T$3010)</f>
        <v>0</v>
      </c>
      <c r="BI279" s="319">
        <f>SUMIF(Recibos!$D$4:$D$3010,Cobranza!$B279,Recibos!U$4:U$3010)</f>
        <v>0</v>
      </c>
      <c r="BJ279" s="319">
        <f>SUMIF(Recibos!$D$4:$D$3010,Cobranza!$B279,Recibos!V$4:V$3010)</f>
        <v>0</v>
      </c>
      <c r="BK279" s="320">
        <f t="shared" si="33"/>
        <v>800</v>
      </c>
      <c r="BL279" s="319">
        <f>SUMIF(Recibos!$D$4:$D$3010,Cobranza!$B279,Recibos!X$4:X$3010)</f>
        <v>0</v>
      </c>
      <c r="BM279" s="319">
        <f>SUMIF(Recibos!$D$4:$D$3010,Cobranza!$B279,Recibos!Y$4:Y$3010)</f>
        <v>0</v>
      </c>
      <c r="BN279" s="319">
        <f>SUMIF(Recibos!$D$4:$D$3010,Cobranza!$B279,Recibos!Z$4:Z$3010)</f>
        <v>0</v>
      </c>
      <c r="BO279" s="319">
        <f>SUMIF(Recibos!$D$4:$D$3010,Cobranza!$B279,Recibos!AA$4:AA$3010)</f>
        <v>0</v>
      </c>
      <c r="BP279" s="319">
        <f>SUMIF(Recibos!$D$4:$D$3010,Cobranza!$B279,Recibos!AB$4:AB$3010)</f>
        <v>0</v>
      </c>
      <c r="BQ279" s="319">
        <f>SUMIF(Recibos!$D$4:$D$3010,Cobranza!$B279,Recibos!AC$4:AC$3010)</f>
        <v>0</v>
      </c>
      <c r="BR279" s="319">
        <f>SUMIF(Recibos!$D$4:$D$3010,Cobranza!$B279,Recibos!AD$4:AD$3010)</f>
        <v>0</v>
      </c>
      <c r="BS279" s="319">
        <f>SUMIF(Recibos!$D$4:$D$3010,Cobranza!$B279,Recibos!AE$4:AE$3010)</f>
        <v>0</v>
      </c>
      <c r="BT279" s="319">
        <f>SUMIF(Recibos!$D$4:$D$3010,Cobranza!$B279,Recibos!AF$4:AF$3010)</f>
        <v>0</v>
      </c>
      <c r="BU279" s="319">
        <f>SUMIF(Recibos!$D$4:$D$3010,Cobranza!$B279,Recibos!AG$4:AG$3010)</f>
        <v>0</v>
      </c>
      <c r="BV279" s="319">
        <f>SUMIF(Recibos!$D$4:$D$3010,Cobranza!$B279,Recibos!AH$4:AH$3010)</f>
        <v>0</v>
      </c>
      <c r="BW279" s="319">
        <f>SUMIF(Recibos!$D$4:$D$3010,Cobranza!$B279,Recibos!AI$4:AI$3010)</f>
        <v>0</v>
      </c>
      <c r="BX279" s="320">
        <f t="shared" si="34"/>
        <v>0</v>
      </c>
    </row>
    <row r="280" spans="2:76" x14ac:dyDescent="0.2">
      <c r="B280" s="42" t="s">
        <v>491</v>
      </c>
      <c r="C280" s="42" t="s">
        <v>492</v>
      </c>
      <c r="D280" s="42" t="s">
        <v>493</v>
      </c>
      <c r="E280" s="43">
        <v>0</v>
      </c>
      <c r="F280" s="43">
        <v>0</v>
      </c>
      <c r="G280" s="43">
        <v>0</v>
      </c>
      <c r="H280" s="43">
        <v>100</v>
      </c>
      <c r="I280" s="43">
        <v>100</v>
      </c>
      <c r="J280" s="43">
        <v>100</v>
      </c>
      <c r="K280" s="44">
        <f t="shared" si="29"/>
        <v>300</v>
      </c>
      <c r="L280" s="43">
        <v>0</v>
      </c>
      <c r="M280" s="43">
        <v>100</v>
      </c>
      <c r="N280" s="43">
        <v>0</v>
      </c>
      <c r="O280" s="43">
        <v>0</v>
      </c>
      <c r="P280" s="43">
        <v>100</v>
      </c>
      <c r="Q280" s="43">
        <v>100</v>
      </c>
      <c r="R280" s="43">
        <v>100</v>
      </c>
      <c r="S280" s="43">
        <v>200</v>
      </c>
      <c r="T280" s="43">
        <v>100</v>
      </c>
      <c r="U280" s="43">
        <v>0</v>
      </c>
      <c r="V280" s="43">
        <v>100</v>
      </c>
      <c r="W280" s="43">
        <v>100</v>
      </c>
      <c r="X280" s="44">
        <f t="shared" si="30"/>
        <v>900</v>
      </c>
      <c r="Y280" s="43">
        <v>100</v>
      </c>
      <c r="Z280" s="43">
        <v>100</v>
      </c>
      <c r="AA280" s="43">
        <v>0</v>
      </c>
      <c r="AB280" s="43">
        <v>0</v>
      </c>
      <c r="AC280" s="43">
        <v>0</v>
      </c>
      <c r="AD280" s="43">
        <v>100</v>
      </c>
      <c r="AE280" s="43">
        <v>100</v>
      </c>
      <c r="AF280" s="43">
        <v>100</v>
      </c>
      <c r="AG280" s="43">
        <v>0</v>
      </c>
      <c r="AH280" s="43">
        <v>100</v>
      </c>
      <c r="AI280" s="43">
        <v>100</v>
      </c>
      <c r="AJ280" s="43">
        <v>100</v>
      </c>
      <c r="AK280" s="44">
        <f t="shared" si="31"/>
        <v>800</v>
      </c>
      <c r="AL280" s="43">
        <v>100</v>
      </c>
      <c r="AM280" s="43">
        <v>100</v>
      </c>
      <c r="AN280" s="43">
        <v>100</v>
      </c>
      <c r="AO280" s="43">
        <v>100</v>
      </c>
      <c r="AP280" s="43">
        <v>100</v>
      </c>
      <c r="AQ280" s="43">
        <v>100</v>
      </c>
      <c r="AR280" s="43">
        <v>100</v>
      </c>
      <c r="AS280" s="43">
        <v>100</v>
      </c>
      <c r="AT280" s="43">
        <v>100</v>
      </c>
      <c r="AU280" s="43">
        <v>100</v>
      </c>
      <c r="AV280" s="43">
        <v>100</v>
      </c>
      <c r="AW280" s="43">
        <v>100</v>
      </c>
      <c r="AX280" s="44">
        <f t="shared" si="32"/>
        <v>1200</v>
      </c>
      <c r="AY280" s="317">
        <f>SUMIF(Recibos!$D$4:$D$3010,Cobranza!$B280,Recibos!K$4:K$3010)</f>
        <v>100</v>
      </c>
      <c r="AZ280" s="317">
        <f>SUMIF(Recibos!$D$4:$D$3010,Cobranza!$B280,Recibos!L$4:L$3010)</f>
        <v>100</v>
      </c>
      <c r="BA280" s="317">
        <f>SUMIF(Recibos!$D$4:$D$3010,Cobranza!$B280,Recibos!M$4:M$3010)</f>
        <v>100</v>
      </c>
      <c r="BB280" s="317">
        <f>SUMIF(Recibos!$D$4:$D$3010,Cobranza!$B280,Recibos!N$4:N$3010)</f>
        <v>100</v>
      </c>
      <c r="BC280" s="317">
        <f>SUMIF(Recibos!$D$4:$D$3010,Cobranza!$B280,Recibos!O$4:O$3010)</f>
        <v>100</v>
      </c>
      <c r="BD280" s="317">
        <f>SUMIF(Recibos!$D$4:$D$3010,Cobranza!$B280,Recibos!P$4:P$3010)</f>
        <v>100</v>
      </c>
      <c r="BE280" s="317">
        <f>SUMIF(Recibos!$D$4:$D$3010,Cobranza!$B280,Recibos!Q$4:Q$3010)</f>
        <v>100</v>
      </c>
      <c r="BF280" s="317">
        <f>SUMIF(Recibos!$D$4:$D$3010,Cobranza!$B280,Recibos!R$4:R$3010)</f>
        <v>100</v>
      </c>
      <c r="BG280" s="317">
        <f>SUMIF(Recibos!$D$4:$D$3010,Cobranza!$B280,Recibos!S$4:S$3010)</f>
        <v>100</v>
      </c>
      <c r="BH280" s="317">
        <f>SUMIF(Recibos!$D$4:$D$3010,Cobranza!$B280,Recibos!T$4:T$3010)</f>
        <v>100</v>
      </c>
      <c r="BI280" s="317">
        <f>SUMIF(Recibos!$D$4:$D$3010,Cobranza!$B280,Recibos!U$4:U$3010)</f>
        <v>100</v>
      </c>
      <c r="BJ280" s="317">
        <f>SUMIF(Recibos!$D$4:$D$3010,Cobranza!$B280,Recibos!V$4:V$3010)</f>
        <v>100</v>
      </c>
      <c r="BK280" s="318">
        <f t="shared" si="33"/>
        <v>1200</v>
      </c>
      <c r="BL280" s="317">
        <f>SUMIF(Recibos!$D$4:$D$3010,Cobranza!$B280,Recibos!X$4:X$3010)</f>
        <v>0</v>
      </c>
      <c r="BM280" s="317">
        <f>SUMIF(Recibos!$D$4:$D$3010,Cobranza!$B280,Recibos!Y$4:Y$3010)</f>
        <v>0</v>
      </c>
      <c r="BN280" s="317">
        <f>SUMIF(Recibos!$D$4:$D$3010,Cobranza!$B280,Recibos!Z$4:Z$3010)</f>
        <v>0</v>
      </c>
      <c r="BO280" s="317">
        <f>SUMIF(Recibos!$D$4:$D$3010,Cobranza!$B280,Recibos!AA$4:AA$3010)</f>
        <v>0</v>
      </c>
      <c r="BP280" s="317">
        <f>SUMIF(Recibos!$D$4:$D$3010,Cobranza!$B280,Recibos!AB$4:AB$3010)</f>
        <v>0</v>
      </c>
      <c r="BQ280" s="317">
        <f>SUMIF(Recibos!$D$4:$D$3010,Cobranza!$B280,Recibos!AC$4:AC$3010)</f>
        <v>0</v>
      </c>
      <c r="BR280" s="317">
        <f>SUMIF(Recibos!$D$4:$D$3010,Cobranza!$B280,Recibos!AD$4:AD$3010)</f>
        <v>0</v>
      </c>
      <c r="BS280" s="317">
        <f>SUMIF(Recibos!$D$4:$D$3010,Cobranza!$B280,Recibos!AE$4:AE$3010)</f>
        <v>0</v>
      </c>
      <c r="BT280" s="317">
        <f>SUMIF(Recibos!$D$4:$D$3010,Cobranza!$B280,Recibos!AF$4:AF$3010)</f>
        <v>0</v>
      </c>
      <c r="BU280" s="317">
        <f>SUMIF(Recibos!$D$4:$D$3010,Cobranza!$B280,Recibos!AG$4:AG$3010)</f>
        <v>0</v>
      </c>
      <c r="BV280" s="317">
        <f>SUMIF(Recibos!$D$4:$D$3010,Cobranza!$B280,Recibos!AH$4:AH$3010)</f>
        <v>0</v>
      </c>
      <c r="BW280" s="317">
        <f>SUMIF(Recibos!$D$4:$D$3010,Cobranza!$B280,Recibos!AI$4:AI$3010)</f>
        <v>0</v>
      </c>
      <c r="BX280" s="318">
        <f t="shared" si="34"/>
        <v>0</v>
      </c>
    </row>
    <row r="281" spans="2:76" x14ac:dyDescent="0.2">
      <c r="B281" s="45" t="s">
        <v>177</v>
      </c>
      <c r="C281" s="45" t="s">
        <v>178</v>
      </c>
      <c r="D281" s="45" t="s">
        <v>179</v>
      </c>
      <c r="E281" s="46">
        <v>0</v>
      </c>
      <c r="F281" s="46">
        <v>0</v>
      </c>
      <c r="G281" s="46">
        <v>0</v>
      </c>
      <c r="H281" s="46">
        <v>0</v>
      </c>
      <c r="I281" s="46">
        <v>0</v>
      </c>
      <c r="J281" s="46">
        <v>300</v>
      </c>
      <c r="K281" s="47">
        <f t="shared" si="29"/>
        <v>300</v>
      </c>
      <c r="L281" s="46">
        <v>300</v>
      </c>
      <c r="M281" s="46">
        <v>300</v>
      </c>
      <c r="N281" s="46">
        <v>300</v>
      </c>
      <c r="O281" s="46">
        <v>0</v>
      </c>
      <c r="P281" s="46">
        <v>300</v>
      </c>
      <c r="Q281" s="46">
        <v>300</v>
      </c>
      <c r="R281" s="46">
        <v>300</v>
      </c>
      <c r="S281" s="46">
        <v>300</v>
      </c>
      <c r="T281" s="46">
        <v>300</v>
      </c>
      <c r="U281" s="46">
        <v>400</v>
      </c>
      <c r="V281" s="46">
        <v>400</v>
      </c>
      <c r="W281" s="46">
        <v>400</v>
      </c>
      <c r="X281" s="47">
        <f t="shared" si="30"/>
        <v>3600</v>
      </c>
      <c r="Y281" s="46">
        <v>400</v>
      </c>
      <c r="Z281" s="46">
        <v>400</v>
      </c>
      <c r="AA281" s="46">
        <v>400</v>
      </c>
      <c r="AB281" s="46">
        <v>400</v>
      </c>
      <c r="AC281" s="46">
        <v>400</v>
      </c>
      <c r="AD281" s="46">
        <v>400</v>
      </c>
      <c r="AE281" s="46">
        <v>400</v>
      </c>
      <c r="AF281" s="46">
        <v>400</v>
      </c>
      <c r="AG281" s="46">
        <v>400</v>
      </c>
      <c r="AH281" s="46">
        <v>400</v>
      </c>
      <c r="AI281" s="46">
        <v>400</v>
      </c>
      <c r="AJ281" s="46">
        <v>400</v>
      </c>
      <c r="AK281" s="47">
        <f t="shared" si="31"/>
        <v>4800</v>
      </c>
      <c r="AL281" s="46">
        <v>400</v>
      </c>
      <c r="AM281" s="46">
        <v>400</v>
      </c>
      <c r="AN281" s="46">
        <v>400</v>
      </c>
      <c r="AO281" s="46">
        <v>400</v>
      </c>
      <c r="AP281" s="46">
        <v>400</v>
      </c>
      <c r="AQ281" s="46">
        <v>0</v>
      </c>
      <c r="AR281" s="46">
        <v>400</v>
      </c>
      <c r="AS281" s="46">
        <v>400</v>
      </c>
      <c r="AT281" s="46">
        <v>400</v>
      </c>
      <c r="AU281" s="46">
        <v>400</v>
      </c>
      <c r="AV281" s="46">
        <v>400</v>
      </c>
      <c r="AW281" s="46">
        <v>400</v>
      </c>
      <c r="AX281" s="47">
        <f t="shared" si="32"/>
        <v>4400</v>
      </c>
      <c r="AY281" s="319">
        <f>SUMIF(Recibos!$D$4:$D$3010,Cobranza!$B281,Recibos!K$4:K$3010)</f>
        <v>400</v>
      </c>
      <c r="AZ281" s="319">
        <f>SUMIF(Recibos!$D$4:$D$3010,Cobranza!$B281,Recibos!L$4:L$3010)</f>
        <v>400</v>
      </c>
      <c r="BA281" s="319">
        <f>SUMIF(Recibos!$D$4:$D$3010,Cobranza!$B281,Recibos!M$4:M$3010)</f>
        <v>400</v>
      </c>
      <c r="BB281" s="319">
        <f>SUMIF(Recibos!$D$4:$D$3010,Cobranza!$B281,Recibos!N$4:N$3010)</f>
        <v>400</v>
      </c>
      <c r="BC281" s="319">
        <f>SUMIF(Recibos!$D$4:$D$3010,Cobranza!$B281,Recibos!O$4:O$3010)</f>
        <v>400</v>
      </c>
      <c r="BD281" s="319">
        <f>SUMIF(Recibos!$D$4:$D$3010,Cobranza!$B281,Recibos!P$4:P$3010)</f>
        <v>400</v>
      </c>
      <c r="BE281" s="319">
        <f>SUMIF(Recibos!$D$4:$D$3010,Cobranza!$B281,Recibos!Q$4:Q$3010)</f>
        <v>400</v>
      </c>
      <c r="BF281" s="319">
        <f>SUMIF(Recibos!$D$4:$D$3010,Cobranza!$B281,Recibos!R$4:R$3010)</f>
        <v>400</v>
      </c>
      <c r="BG281" s="319">
        <f>SUMIF(Recibos!$D$4:$D$3010,Cobranza!$B281,Recibos!S$4:S$3010)</f>
        <v>400</v>
      </c>
      <c r="BH281" s="319">
        <f>SUMIF(Recibos!$D$4:$D$3010,Cobranza!$B281,Recibos!T$4:T$3010)</f>
        <v>400</v>
      </c>
      <c r="BI281" s="319">
        <f>SUMIF(Recibos!$D$4:$D$3010,Cobranza!$B281,Recibos!U$4:U$3010)</f>
        <v>400</v>
      </c>
      <c r="BJ281" s="319">
        <f>SUMIF(Recibos!$D$4:$D$3010,Cobranza!$B281,Recibos!V$4:V$3010)</f>
        <v>400</v>
      </c>
      <c r="BK281" s="320">
        <f t="shared" si="33"/>
        <v>4800</v>
      </c>
      <c r="BL281" s="319">
        <f>SUMIF(Recibos!$D$4:$D$3010,Cobranza!$B281,Recibos!X$4:X$3010)</f>
        <v>0</v>
      </c>
      <c r="BM281" s="319">
        <f>SUMIF(Recibos!$D$4:$D$3010,Cobranza!$B281,Recibos!Y$4:Y$3010)</f>
        <v>0</v>
      </c>
      <c r="BN281" s="319">
        <f>SUMIF(Recibos!$D$4:$D$3010,Cobranza!$B281,Recibos!Z$4:Z$3010)</f>
        <v>0</v>
      </c>
      <c r="BO281" s="319">
        <f>SUMIF(Recibos!$D$4:$D$3010,Cobranza!$B281,Recibos!AA$4:AA$3010)</f>
        <v>0</v>
      </c>
      <c r="BP281" s="319">
        <f>SUMIF(Recibos!$D$4:$D$3010,Cobranza!$B281,Recibos!AB$4:AB$3010)</f>
        <v>0</v>
      </c>
      <c r="BQ281" s="319">
        <f>SUMIF(Recibos!$D$4:$D$3010,Cobranza!$B281,Recibos!AC$4:AC$3010)</f>
        <v>0</v>
      </c>
      <c r="BR281" s="319">
        <f>SUMIF(Recibos!$D$4:$D$3010,Cobranza!$B281,Recibos!AD$4:AD$3010)</f>
        <v>0</v>
      </c>
      <c r="BS281" s="319">
        <f>SUMIF(Recibos!$D$4:$D$3010,Cobranza!$B281,Recibos!AE$4:AE$3010)</f>
        <v>0</v>
      </c>
      <c r="BT281" s="319">
        <f>SUMIF(Recibos!$D$4:$D$3010,Cobranza!$B281,Recibos!AF$4:AF$3010)</f>
        <v>0</v>
      </c>
      <c r="BU281" s="319">
        <f>SUMIF(Recibos!$D$4:$D$3010,Cobranza!$B281,Recibos!AG$4:AG$3010)</f>
        <v>0</v>
      </c>
      <c r="BV281" s="319">
        <f>SUMIF(Recibos!$D$4:$D$3010,Cobranza!$B281,Recibos!AH$4:AH$3010)</f>
        <v>0</v>
      </c>
      <c r="BW281" s="319">
        <f>SUMIF(Recibos!$D$4:$D$3010,Cobranza!$B281,Recibos!AI$4:AI$3010)</f>
        <v>0</v>
      </c>
      <c r="BX281" s="320">
        <f t="shared" si="34"/>
        <v>0</v>
      </c>
    </row>
    <row r="282" spans="2:76" x14ac:dyDescent="0.2">
      <c r="B282" s="42" t="s">
        <v>780</v>
      </c>
      <c r="C282" s="42" t="s">
        <v>781</v>
      </c>
      <c r="D282" s="42" t="s">
        <v>493</v>
      </c>
      <c r="E282" s="43">
        <v>0</v>
      </c>
      <c r="F282" s="43">
        <v>0</v>
      </c>
      <c r="G282" s="43">
        <v>0</v>
      </c>
      <c r="H282" s="43">
        <v>0</v>
      </c>
      <c r="I282" s="43">
        <v>0</v>
      </c>
      <c r="J282" s="43">
        <v>0</v>
      </c>
      <c r="K282" s="44">
        <f t="shared" si="29"/>
        <v>0</v>
      </c>
      <c r="L282" s="43">
        <v>0</v>
      </c>
      <c r="M282" s="43">
        <v>0</v>
      </c>
      <c r="N282" s="43">
        <v>0</v>
      </c>
      <c r="O282" s="43">
        <v>0</v>
      </c>
      <c r="P282" s="43">
        <v>0</v>
      </c>
      <c r="Q282" s="43">
        <v>0</v>
      </c>
      <c r="R282" s="43">
        <v>0</v>
      </c>
      <c r="S282" s="43">
        <v>0</v>
      </c>
      <c r="T282" s="43">
        <v>0</v>
      </c>
      <c r="U282" s="43">
        <v>0</v>
      </c>
      <c r="V282" s="43">
        <v>0</v>
      </c>
      <c r="W282" s="43">
        <v>0</v>
      </c>
      <c r="X282" s="44">
        <f t="shared" si="30"/>
        <v>0</v>
      </c>
      <c r="Y282" s="43">
        <v>0</v>
      </c>
      <c r="Z282" s="43">
        <v>0</v>
      </c>
      <c r="AA282" s="43">
        <v>0</v>
      </c>
      <c r="AB282" s="43">
        <v>0</v>
      </c>
      <c r="AC282" s="43">
        <v>0</v>
      </c>
      <c r="AD282" s="43">
        <v>0</v>
      </c>
      <c r="AE282" s="43">
        <v>0</v>
      </c>
      <c r="AF282" s="43">
        <v>0</v>
      </c>
      <c r="AG282" s="43">
        <v>0</v>
      </c>
      <c r="AH282" s="43">
        <v>0</v>
      </c>
      <c r="AI282" s="43">
        <v>0</v>
      </c>
      <c r="AJ282" s="43">
        <v>200</v>
      </c>
      <c r="AK282" s="44">
        <f t="shared" si="31"/>
        <v>200</v>
      </c>
      <c r="AL282" s="43">
        <v>100</v>
      </c>
      <c r="AM282" s="43">
        <v>0</v>
      </c>
      <c r="AN282" s="43">
        <v>0</v>
      </c>
      <c r="AO282" s="43">
        <v>0</v>
      </c>
      <c r="AP282" s="43">
        <v>0</v>
      </c>
      <c r="AQ282" s="43">
        <v>0</v>
      </c>
      <c r="AR282" s="43">
        <v>0</v>
      </c>
      <c r="AS282" s="43">
        <v>0</v>
      </c>
      <c r="AT282" s="43">
        <v>0</v>
      </c>
      <c r="AU282" s="43">
        <v>0</v>
      </c>
      <c r="AV282" s="43">
        <v>0</v>
      </c>
      <c r="AW282" s="43">
        <v>0</v>
      </c>
      <c r="AX282" s="44">
        <f t="shared" si="32"/>
        <v>100</v>
      </c>
      <c r="AY282" s="317">
        <f>SUMIF(Recibos!$D$4:$D$3010,Cobranza!$B282,Recibos!K$4:K$3010)</f>
        <v>0</v>
      </c>
      <c r="AZ282" s="317">
        <f>SUMIF(Recibos!$D$4:$D$3010,Cobranza!$B282,Recibos!L$4:L$3010)</f>
        <v>100</v>
      </c>
      <c r="BA282" s="317">
        <f>SUMIF(Recibos!$D$4:$D$3010,Cobranza!$B282,Recibos!M$4:M$3010)</f>
        <v>100</v>
      </c>
      <c r="BB282" s="317">
        <f>SUMIF(Recibos!$D$4:$D$3010,Cobranza!$B282,Recibos!N$4:N$3010)</f>
        <v>100</v>
      </c>
      <c r="BC282" s="317">
        <f>SUMIF(Recibos!$D$4:$D$3010,Cobranza!$B282,Recibos!O$4:O$3010)</f>
        <v>100</v>
      </c>
      <c r="BD282" s="317">
        <f>SUMIF(Recibos!$D$4:$D$3010,Cobranza!$B282,Recibos!P$4:P$3010)</f>
        <v>100</v>
      </c>
      <c r="BE282" s="317">
        <f>SUMIF(Recibos!$D$4:$D$3010,Cobranza!$B282,Recibos!Q$4:Q$3010)</f>
        <v>100</v>
      </c>
      <c r="BF282" s="317">
        <f>SUMIF(Recibos!$D$4:$D$3010,Cobranza!$B282,Recibos!R$4:R$3010)</f>
        <v>100</v>
      </c>
      <c r="BG282" s="317">
        <f>SUMIF(Recibos!$D$4:$D$3010,Cobranza!$B282,Recibos!S$4:S$3010)</f>
        <v>100</v>
      </c>
      <c r="BH282" s="317">
        <f>SUMIF(Recibos!$D$4:$D$3010,Cobranza!$B282,Recibos!T$4:T$3010)</f>
        <v>100</v>
      </c>
      <c r="BI282" s="317">
        <f>SUMIF(Recibos!$D$4:$D$3010,Cobranza!$B282,Recibos!U$4:U$3010)</f>
        <v>100</v>
      </c>
      <c r="BJ282" s="317">
        <f>SUMIF(Recibos!$D$4:$D$3010,Cobranza!$B282,Recibos!V$4:V$3010)</f>
        <v>100</v>
      </c>
      <c r="BK282" s="318">
        <f t="shared" si="33"/>
        <v>1100</v>
      </c>
      <c r="BL282" s="317">
        <f>SUMIF(Recibos!$D$4:$D$3010,Cobranza!$B282,Recibos!X$4:X$3010)</f>
        <v>0</v>
      </c>
      <c r="BM282" s="317">
        <f>SUMIF(Recibos!$D$4:$D$3010,Cobranza!$B282,Recibos!Y$4:Y$3010)</f>
        <v>0</v>
      </c>
      <c r="BN282" s="317">
        <f>SUMIF(Recibos!$D$4:$D$3010,Cobranza!$B282,Recibos!Z$4:Z$3010)</f>
        <v>0</v>
      </c>
      <c r="BO282" s="317">
        <f>SUMIF(Recibos!$D$4:$D$3010,Cobranza!$B282,Recibos!AA$4:AA$3010)</f>
        <v>0</v>
      </c>
      <c r="BP282" s="317">
        <f>SUMIF(Recibos!$D$4:$D$3010,Cobranza!$B282,Recibos!AB$4:AB$3010)</f>
        <v>0</v>
      </c>
      <c r="BQ282" s="317">
        <f>SUMIF(Recibos!$D$4:$D$3010,Cobranza!$B282,Recibos!AC$4:AC$3010)</f>
        <v>0</v>
      </c>
      <c r="BR282" s="317">
        <f>SUMIF(Recibos!$D$4:$D$3010,Cobranza!$B282,Recibos!AD$4:AD$3010)</f>
        <v>0</v>
      </c>
      <c r="BS282" s="317">
        <f>SUMIF(Recibos!$D$4:$D$3010,Cobranza!$B282,Recibos!AE$4:AE$3010)</f>
        <v>0</v>
      </c>
      <c r="BT282" s="317">
        <f>SUMIF(Recibos!$D$4:$D$3010,Cobranza!$B282,Recibos!AF$4:AF$3010)</f>
        <v>0</v>
      </c>
      <c r="BU282" s="317">
        <f>SUMIF(Recibos!$D$4:$D$3010,Cobranza!$B282,Recibos!AG$4:AG$3010)</f>
        <v>0</v>
      </c>
      <c r="BV282" s="317">
        <f>SUMIF(Recibos!$D$4:$D$3010,Cobranza!$B282,Recibos!AH$4:AH$3010)</f>
        <v>0</v>
      </c>
      <c r="BW282" s="317">
        <f>SUMIF(Recibos!$D$4:$D$3010,Cobranza!$B282,Recibos!AI$4:AI$3010)</f>
        <v>0</v>
      </c>
      <c r="BX282" s="318">
        <f t="shared" si="34"/>
        <v>0</v>
      </c>
    </row>
    <row r="283" spans="2:76" x14ac:dyDescent="0.2">
      <c r="B283" s="45" t="s">
        <v>538</v>
      </c>
      <c r="C283" s="45" t="s">
        <v>539</v>
      </c>
      <c r="D283" s="45" t="s">
        <v>540</v>
      </c>
      <c r="E283" s="46">
        <v>0</v>
      </c>
      <c r="F283" s="46">
        <v>0</v>
      </c>
      <c r="G283" s="46">
        <v>0</v>
      </c>
      <c r="H283" s="46">
        <v>0</v>
      </c>
      <c r="I283" s="46">
        <v>0</v>
      </c>
      <c r="J283" s="46">
        <v>300</v>
      </c>
      <c r="K283" s="47">
        <f t="shared" si="29"/>
        <v>300</v>
      </c>
      <c r="L283" s="46">
        <v>300</v>
      </c>
      <c r="M283" s="46">
        <v>300</v>
      </c>
      <c r="N283" s="46">
        <v>300</v>
      </c>
      <c r="O283" s="46">
        <v>300</v>
      </c>
      <c r="P283" s="46">
        <v>300</v>
      </c>
      <c r="Q283" s="46">
        <v>300</v>
      </c>
      <c r="R283" s="46">
        <v>300</v>
      </c>
      <c r="S283" s="46">
        <v>300</v>
      </c>
      <c r="T283" s="46">
        <v>300</v>
      </c>
      <c r="U283" s="46">
        <v>400</v>
      </c>
      <c r="V283" s="46">
        <v>400</v>
      </c>
      <c r="W283" s="46">
        <v>400</v>
      </c>
      <c r="X283" s="47">
        <f t="shared" si="30"/>
        <v>3900</v>
      </c>
      <c r="Y283" s="46">
        <v>400</v>
      </c>
      <c r="Z283" s="46">
        <v>400</v>
      </c>
      <c r="AA283" s="46">
        <v>400</v>
      </c>
      <c r="AB283" s="46">
        <v>400</v>
      </c>
      <c r="AC283" s="46">
        <v>400</v>
      </c>
      <c r="AD283" s="46">
        <v>400</v>
      </c>
      <c r="AE283" s="46">
        <v>400</v>
      </c>
      <c r="AF283" s="46">
        <v>400</v>
      </c>
      <c r="AG283" s="46">
        <v>400</v>
      </c>
      <c r="AH283" s="46">
        <v>400</v>
      </c>
      <c r="AI283" s="46">
        <v>400</v>
      </c>
      <c r="AJ283" s="46">
        <v>400</v>
      </c>
      <c r="AK283" s="47">
        <f t="shared" si="31"/>
        <v>4800</v>
      </c>
      <c r="AL283" s="46">
        <v>400</v>
      </c>
      <c r="AM283" s="46">
        <v>400</v>
      </c>
      <c r="AN283" s="46">
        <v>400</v>
      </c>
      <c r="AO283" s="46">
        <v>400</v>
      </c>
      <c r="AP283" s="46">
        <v>400</v>
      </c>
      <c r="AQ283" s="46">
        <v>400</v>
      </c>
      <c r="AR283" s="46">
        <v>400</v>
      </c>
      <c r="AS283" s="46">
        <v>400</v>
      </c>
      <c r="AT283" s="46">
        <v>400</v>
      </c>
      <c r="AU283" s="46">
        <v>400</v>
      </c>
      <c r="AV283" s="46">
        <v>400</v>
      </c>
      <c r="AW283" s="46">
        <v>400</v>
      </c>
      <c r="AX283" s="47">
        <f t="shared" si="32"/>
        <v>4800</v>
      </c>
      <c r="AY283" s="319">
        <f>SUMIF(Recibos!$D$4:$D$3010,Cobranza!$B283,Recibos!K$4:K$3010)</f>
        <v>400</v>
      </c>
      <c r="AZ283" s="319">
        <f>SUMIF(Recibos!$D$4:$D$3010,Cobranza!$B283,Recibos!L$4:L$3010)</f>
        <v>400</v>
      </c>
      <c r="BA283" s="319">
        <f>SUMIF(Recibos!$D$4:$D$3010,Cobranza!$B283,Recibos!M$4:M$3010)</f>
        <v>400</v>
      </c>
      <c r="BB283" s="319">
        <f>SUMIF(Recibos!$D$4:$D$3010,Cobranza!$B283,Recibos!N$4:N$3010)</f>
        <v>400</v>
      </c>
      <c r="BC283" s="319">
        <f>SUMIF(Recibos!$D$4:$D$3010,Cobranza!$B283,Recibos!O$4:O$3010)</f>
        <v>400</v>
      </c>
      <c r="BD283" s="319">
        <f>SUMIF(Recibos!$D$4:$D$3010,Cobranza!$B283,Recibos!P$4:P$3010)</f>
        <v>400</v>
      </c>
      <c r="BE283" s="319">
        <f>SUMIF(Recibos!$D$4:$D$3010,Cobranza!$B283,Recibos!Q$4:Q$3010)</f>
        <v>400</v>
      </c>
      <c r="BF283" s="319">
        <f>SUMIF(Recibos!$D$4:$D$3010,Cobranza!$B283,Recibos!R$4:R$3010)</f>
        <v>400</v>
      </c>
      <c r="BG283" s="319">
        <f>SUMIF(Recibos!$D$4:$D$3010,Cobranza!$B283,Recibos!S$4:S$3010)</f>
        <v>400</v>
      </c>
      <c r="BH283" s="319">
        <f>SUMIF(Recibos!$D$4:$D$3010,Cobranza!$B283,Recibos!T$4:T$3010)</f>
        <v>400</v>
      </c>
      <c r="BI283" s="319">
        <f>SUMIF(Recibos!$D$4:$D$3010,Cobranza!$B283,Recibos!U$4:U$3010)</f>
        <v>400</v>
      </c>
      <c r="BJ283" s="319">
        <f>SUMIF(Recibos!$D$4:$D$3010,Cobranza!$B283,Recibos!V$4:V$3010)</f>
        <v>400</v>
      </c>
      <c r="BK283" s="320">
        <f t="shared" si="33"/>
        <v>4800</v>
      </c>
      <c r="BL283" s="319">
        <f>SUMIF(Recibos!$D$4:$D$3010,Cobranza!$B283,Recibos!X$4:X$3010)</f>
        <v>0</v>
      </c>
      <c r="BM283" s="319">
        <f>SUMIF(Recibos!$D$4:$D$3010,Cobranza!$B283,Recibos!Y$4:Y$3010)</f>
        <v>0</v>
      </c>
      <c r="BN283" s="319">
        <f>SUMIF(Recibos!$D$4:$D$3010,Cobranza!$B283,Recibos!Z$4:Z$3010)</f>
        <v>0</v>
      </c>
      <c r="BO283" s="319">
        <f>SUMIF(Recibos!$D$4:$D$3010,Cobranza!$B283,Recibos!AA$4:AA$3010)</f>
        <v>0</v>
      </c>
      <c r="BP283" s="319">
        <f>SUMIF(Recibos!$D$4:$D$3010,Cobranza!$B283,Recibos!AB$4:AB$3010)</f>
        <v>0</v>
      </c>
      <c r="BQ283" s="319">
        <f>SUMIF(Recibos!$D$4:$D$3010,Cobranza!$B283,Recibos!AC$4:AC$3010)</f>
        <v>0</v>
      </c>
      <c r="BR283" s="319">
        <f>SUMIF(Recibos!$D$4:$D$3010,Cobranza!$B283,Recibos!AD$4:AD$3010)</f>
        <v>0</v>
      </c>
      <c r="BS283" s="319">
        <f>SUMIF(Recibos!$D$4:$D$3010,Cobranza!$B283,Recibos!AE$4:AE$3010)</f>
        <v>0</v>
      </c>
      <c r="BT283" s="319">
        <f>SUMIF(Recibos!$D$4:$D$3010,Cobranza!$B283,Recibos!AF$4:AF$3010)</f>
        <v>0</v>
      </c>
      <c r="BU283" s="319">
        <f>SUMIF(Recibos!$D$4:$D$3010,Cobranza!$B283,Recibos!AG$4:AG$3010)</f>
        <v>0</v>
      </c>
      <c r="BV283" s="319">
        <f>SUMIF(Recibos!$D$4:$D$3010,Cobranza!$B283,Recibos!AH$4:AH$3010)</f>
        <v>0</v>
      </c>
      <c r="BW283" s="319">
        <f>SUMIF(Recibos!$D$4:$D$3010,Cobranza!$B283,Recibos!AI$4:AI$3010)</f>
        <v>0</v>
      </c>
      <c r="BX283" s="320">
        <f t="shared" si="34"/>
        <v>0</v>
      </c>
    </row>
    <row r="284" spans="2:76" x14ac:dyDescent="0.2">
      <c r="B284" s="42" t="s">
        <v>1042</v>
      </c>
      <c r="C284" s="42" t="s">
        <v>1043</v>
      </c>
      <c r="D284" s="42" t="s">
        <v>1044</v>
      </c>
      <c r="E284" s="43">
        <v>0</v>
      </c>
      <c r="F284" s="43">
        <v>0</v>
      </c>
      <c r="G284" s="43">
        <v>0</v>
      </c>
      <c r="H284" s="43">
        <v>0</v>
      </c>
      <c r="I284" s="43">
        <v>0</v>
      </c>
      <c r="J284" s="43">
        <v>0</v>
      </c>
      <c r="K284" s="44">
        <f t="shared" si="29"/>
        <v>0</v>
      </c>
      <c r="L284" s="43">
        <v>0</v>
      </c>
      <c r="M284" s="43">
        <v>0</v>
      </c>
      <c r="N284" s="43">
        <v>0</v>
      </c>
      <c r="O284" s="43">
        <v>0</v>
      </c>
      <c r="P284" s="43">
        <v>0</v>
      </c>
      <c r="Q284" s="43">
        <v>0</v>
      </c>
      <c r="R284" s="43">
        <v>0</v>
      </c>
      <c r="S284" s="43">
        <v>0</v>
      </c>
      <c r="T284" s="43">
        <v>0</v>
      </c>
      <c r="U284" s="43">
        <v>0</v>
      </c>
      <c r="V284" s="43">
        <v>0</v>
      </c>
      <c r="W284" s="43">
        <v>0</v>
      </c>
      <c r="X284" s="44">
        <f t="shared" si="30"/>
        <v>0</v>
      </c>
      <c r="Y284" s="43">
        <v>0</v>
      </c>
      <c r="Z284" s="43">
        <v>0</v>
      </c>
      <c r="AA284" s="43">
        <v>0</v>
      </c>
      <c r="AB284" s="43">
        <v>0</v>
      </c>
      <c r="AC284" s="43">
        <v>0</v>
      </c>
      <c r="AD284" s="43">
        <v>0</v>
      </c>
      <c r="AE284" s="43">
        <v>0</v>
      </c>
      <c r="AF284" s="43">
        <v>0</v>
      </c>
      <c r="AG284" s="43">
        <v>0</v>
      </c>
      <c r="AH284" s="43">
        <v>0</v>
      </c>
      <c r="AI284" s="43">
        <v>0</v>
      </c>
      <c r="AJ284" s="43">
        <v>0</v>
      </c>
      <c r="AK284" s="44">
        <f t="shared" si="31"/>
        <v>0</v>
      </c>
      <c r="AL284" s="43">
        <v>0</v>
      </c>
      <c r="AM284" s="43">
        <v>0</v>
      </c>
      <c r="AN284" s="43">
        <v>0</v>
      </c>
      <c r="AO284" s="43">
        <v>0</v>
      </c>
      <c r="AP284" s="43">
        <v>0</v>
      </c>
      <c r="AQ284" s="43">
        <v>0</v>
      </c>
      <c r="AR284" s="43">
        <v>0</v>
      </c>
      <c r="AS284" s="43">
        <v>0</v>
      </c>
      <c r="AT284" s="43">
        <v>0</v>
      </c>
      <c r="AU284" s="43">
        <v>0</v>
      </c>
      <c r="AV284" s="43">
        <v>0</v>
      </c>
      <c r="AW284" s="43">
        <v>0</v>
      </c>
      <c r="AX284" s="44">
        <f t="shared" si="32"/>
        <v>0</v>
      </c>
      <c r="AY284" s="317">
        <f>SUMIF(Recibos!$D$4:$D$3010,Cobranza!$B284,Recibos!K$4:K$3010)</f>
        <v>0</v>
      </c>
      <c r="AZ284" s="317">
        <f>SUMIF(Recibos!$D$4:$D$3010,Cobranza!$B284,Recibos!L$4:L$3010)</f>
        <v>0</v>
      </c>
      <c r="BA284" s="317">
        <f>SUMIF(Recibos!$D$4:$D$3010,Cobranza!$B284,Recibos!M$4:M$3010)</f>
        <v>0</v>
      </c>
      <c r="BB284" s="317">
        <f>SUMIF(Recibos!$D$4:$D$3010,Cobranza!$B284,Recibos!N$4:N$3010)</f>
        <v>0</v>
      </c>
      <c r="BC284" s="317">
        <f>SUMIF(Recibos!$D$4:$D$3010,Cobranza!$B284,Recibos!O$4:O$3010)</f>
        <v>0</v>
      </c>
      <c r="BD284" s="317">
        <f>SUMIF(Recibos!$D$4:$D$3010,Cobranza!$B284,Recibos!P$4:P$3010)</f>
        <v>100</v>
      </c>
      <c r="BE284" s="317">
        <f>SUMIF(Recibos!$D$4:$D$3010,Cobranza!$B284,Recibos!Q$4:Q$3010)</f>
        <v>100</v>
      </c>
      <c r="BF284" s="317">
        <f>SUMIF(Recibos!$D$4:$D$3010,Cobranza!$B284,Recibos!R$4:R$3010)</f>
        <v>100</v>
      </c>
      <c r="BG284" s="317">
        <f>SUMIF(Recibos!$D$4:$D$3010,Cobranza!$B284,Recibos!S$4:S$3010)</f>
        <v>100</v>
      </c>
      <c r="BH284" s="317">
        <f>SUMIF(Recibos!$D$4:$D$3010,Cobranza!$B284,Recibos!T$4:T$3010)</f>
        <v>100</v>
      </c>
      <c r="BI284" s="317">
        <f>SUMIF(Recibos!$D$4:$D$3010,Cobranza!$B284,Recibos!U$4:U$3010)</f>
        <v>0</v>
      </c>
      <c r="BJ284" s="317">
        <f>SUMIF(Recibos!$D$4:$D$3010,Cobranza!$B284,Recibos!V$4:V$3010)</f>
        <v>0</v>
      </c>
      <c r="BK284" s="318">
        <f t="shared" si="33"/>
        <v>500</v>
      </c>
      <c r="BL284" s="317">
        <f>SUMIF(Recibos!$D$4:$D$3010,Cobranza!$B284,Recibos!X$4:X$3010)</f>
        <v>0</v>
      </c>
      <c r="BM284" s="317">
        <f>SUMIF(Recibos!$D$4:$D$3010,Cobranza!$B284,Recibos!Y$4:Y$3010)</f>
        <v>0</v>
      </c>
      <c r="BN284" s="317">
        <f>SUMIF(Recibos!$D$4:$D$3010,Cobranza!$B284,Recibos!Z$4:Z$3010)</f>
        <v>0</v>
      </c>
      <c r="BO284" s="317">
        <f>SUMIF(Recibos!$D$4:$D$3010,Cobranza!$B284,Recibos!AA$4:AA$3010)</f>
        <v>0</v>
      </c>
      <c r="BP284" s="317">
        <f>SUMIF(Recibos!$D$4:$D$3010,Cobranza!$B284,Recibos!AB$4:AB$3010)</f>
        <v>0</v>
      </c>
      <c r="BQ284" s="317">
        <f>SUMIF(Recibos!$D$4:$D$3010,Cobranza!$B284,Recibos!AC$4:AC$3010)</f>
        <v>0</v>
      </c>
      <c r="BR284" s="317">
        <f>SUMIF(Recibos!$D$4:$D$3010,Cobranza!$B284,Recibos!AD$4:AD$3010)</f>
        <v>0</v>
      </c>
      <c r="BS284" s="317">
        <f>SUMIF(Recibos!$D$4:$D$3010,Cobranza!$B284,Recibos!AE$4:AE$3010)</f>
        <v>0</v>
      </c>
      <c r="BT284" s="317">
        <f>SUMIF(Recibos!$D$4:$D$3010,Cobranza!$B284,Recibos!AF$4:AF$3010)</f>
        <v>0</v>
      </c>
      <c r="BU284" s="317">
        <f>SUMIF(Recibos!$D$4:$D$3010,Cobranza!$B284,Recibos!AG$4:AG$3010)</f>
        <v>0</v>
      </c>
      <c r="BV284" s="317">
        <f>SUMIF(Recibos!$D$4:$D$3010,Cobranza!$B284,Recibos!AH$4:AH$3010)</f>
        <v>0</v>
      </c>
      <c r="BW284" s="317">
        <f>SUMIF(Recibos!$D$4:$D$3010,Cobranza!$B284,Recibos!AI$4:AI$3010)</f>
        <v>0</v>
      </c>
      <c r="BX284" s="318">
        <f t="shared" si="34"/>
        <v>0</v>
      </c>
    </row>
    <row r="285" spans="2:76" x14ac:dyDescent="0.2">
      <c r="B285" s="45" t="s">
        <v>1085</v>
      </c>
      <c r="C285" s="45" t="s">
        <v>1086</v>
      </c>
      <c r="D285" s="45" t="s">
        <v>1087</v>
      </c>
      <c r="E285" s="46">
        <v>0</v>
      </c>
      <c r="F285" s="46">
        <v>0</v>
      </c>
      <c r="G285" s="46">
        <v>0</v>
      </c>
      <c r="H285" s="46">
        <v>0</v>
      </c>
      <c r="I285" s="46">
        <v>300</v>
      </c>
      <c r="J285" s="46">
        <v>300</v>
      </c>
      <c r="K285" s="47">
        <f t="shared" si="29"/>
        <v>600</v>
      </c>
      <c r="L285" s="46">
        <v>300</v>
      </c>
      <c r="M285" s="46">
        <v>300</v>
      </c>
      <c r="N285" s="46">
        <v>300</v>
      </c>
      <c r="O285" s="46">
        <v>300</v>
      </c>
      <c r="P285" s="46">
        <v>300</v>
      </c>
      <c r="Q285" s="46">
        <v>300</v>
      </c>
      <c r="R285" s="46">
        <v>300</v>
      </c>
      <c r="S285" s="46">
        <v>300</v>
      </c>
      <c r="T285" s="46">
        <v>300</v>
      </c>
      <c r="U285" s="46">
        <v>300</v>
      </c>
      <c r="V285" s="46">
        <v>300</v>
      </c>
      <c r="W285" s="46">
        <v>300</v>
      </c>
      <c r="X285" s="47">
        <f t="shared" si="30"/>
        <v>3600</v>
      </c>
      <c r="Y285" s="46">
        <v>400</v>
      </c>
      <c r="Z285" s="46">
        <v>400</v>
      </c>
      <c r="AA285" s="46">
        <v>400</v>
      </c>
      <c r="AB285" s="46">
        <v>400</v>
      </c>
      <c r="AC285" s="46">
        <v>0</v>
      </c>
      <c r="AD285" s="46">
        <v>0</v>
      </c>
      <c r="AE285" s="46">
        <v>0</v>
      </c>
      <c r="AF285" s="46">
        <v>0</v>
      </c>
      <c r="AG285" s="46">
        <v>0</v>
      </c>
      <c r="AH285" s="46">
        <v>0</v>
      </c>
      <c r="AI285" s="46">
        <v>0</v>
      </c>
      <c r="AJ285" s="46">
        <v>0</v>
      </c>
      <c r="AK285" s="47">
        <f t="shared" si="31"/>
        <v>1600</v>
      </c>
      <c r="AL285" s="46">
        <v>0</v>
      </c>
      <c r="AM285" s="46">
        <v>0</v>
      </c>
      <c r="AN285" s="46">
        <v>0</v>
      </c>
      <c r="AO285" s="46">
        <v>0</v>
      </c>
      <c r="AP285" s="46">
        <v>0</v>
      </c>
      <c r="AQ285" s="46">
        <v>0</v>
      </c>
      <c r="AR285" s="46">
        <v>0</v>
      </c>
      <c r="AS285" s="46">
        <v>0</v>
      </c>
      <c r="AT285" s="46">
        <v>0</v>
      </c>
      <c r="AU285" s="46">
        <v>0</v>
      </c>
      <c r="AV285" s="46">
        <v>0</v>
      </c>
      <c r="AW285" s="46">
        <v>0</v>
      </c>
      <c r="AX285" s="47">
        <f t="shared" si="32"/>
        <v>0</v>
      </c>
      <c r="AY285" s="319">
        <f>SUMIF(Recibos!$D$4:$D$3010,Cobranza!$B285,Recibos!K$4:K$3010)</f>
        <v>0</v>
      </c>
      <c r="AZ285" s="319">
        <f>SUMIF(Recibos!$D$4:$D$3010,Cobranza!$B285,Recibos!L$4:L$3010)</f>
        <v>0</v>
      </c>
      <c r="BA285" s="319">
        <f>SUMIF(Recibos!$D$4:$D$3010,Cobranza!$B285,Recibos!M$4:M$3010)</f>
        <v>0</v>
      </c>
      <c r="BB285" s="319">
        <f>SUMIF(Recibos!$D$4:$D$3010,Cobranza!$B285,Recibos!N$4:N$3010)</f>
        <v>0</v>
      </c>
      <c r="BC285" s="319">
        <f>SUMIF(Recibos!$D$4:$D$3010,Cobranza!$B285,Recibos!O$4:O$3010)</f>
        <v>0</v>
      </c>
      <c r="BD285" s="319">
        <f>SUMIF(Recibos!$D$4:$D$3010,Cobranza!$B285,Recibos!P$4:P$3010)</f>
        <v>0</v>
      </c>
      <c r="BE285" s="319">
        <f>SUMIF(Recibos!$D$4:$D$3010,Cobranza!$B285,Recibos!Q$4:Q$3010)</f>
        <v>0</v>
      </c>
      <c r="BF285" s="319">
        <f>SUMIF(Recibos!$D$4:$D$3010,Cobranza!$B285,Recibos!R$4:R$3010)</f>
        <v>0</v>
      </c>
      <c r="BG285" s="319">
        <f>SUMIF(Recibos!$D$4:$D$3010,Cobranza!$B285,Recibos!S$4:S$3010)</f>
        <v>0</v>
      </c>
      <c r="BH285" s="319">
        <f>SUMIF(Recibos!$D$4:$D$3010,Cobranza!$B285,Recibos!T$4:T$3010)</f>
        <v>0</v>
      </c>
      <c r="BI285" s="319">
        <f>SUMIF(Recibos!$D$4:$D$3010,Cobranza!$B285,Recibos!U$4:U$3010)</f>
        <v>0</v>
      </c>
      <c r="BJ285" s="319">
        <f>SUMIF(Recibos!$D$4:$D$3010,Cobranza!$B285,Recibos!V$4:V$3010)</f>
        <v>0</v>
      </c>
      <c r="BK285" s="320">
        <f t="shared" si="33"/>
        <v>0</v>
      </c>
      <c r="BL285" s="319">
        <f>SUMIF(Recibos!$D$4:$D$3010,Cobranza!$B285,Recibos!X$4:X$3010)</f>
        <v>0</v>
      </c>
      <c r="BM285" s="319">
        <f>SUMIF(Recibos!$D$4:$D$3010,Cobranza!$B285,Recibos!Y$4:Y$3010)</f>
        <v>0</v>
      </c>
      <c r="BN285" s="319">
        <f>SUMIF(Recibos!$D$4:$D$3010,Cobranza!$B285,Recibos!Z$4:Z$3010)</f>
        <v>0</v>
      </c>
      <c r="BO285" s="319">
        <f>SUMIF(Recibos!$D$4:$D$3010,Cobranza!$B285,Recibos!AA$4:AA$3010)</f>
        <v>0</v>
      </c>
      <c r="BP285" s="319">
        <f>SUMIF(Recibos!$D$4:$D$3010,Cobranza!$B285,Recibos!AB$4:AB$3010)</f>
        <v>0</v>
      </c>
      <c r="BQ285" s="319">
        <f>SUMIF(Recibos!$D$4:$D$3010,Cobranza!$B285,Recibos!AC$4:AC$3010)</f>
        <v>0</v>
      </c>
      <c r="BR285" s="319">
        <f>SUMIF(Recibos!$D$4:$D$3010,Cobranza!$B285,Recibos!AD$4:AD$3010)</f>
        <v>0</v>
      </c>
      <c r="BS285" s="319">
        <f>SUMIF(Recibos!$D$4:$D$3010,Cobranza!$B285,Recibos!AE$4:AE$3010)</f>
        <v>0</v>
      </c>
      <c r="BT285" s="319">
        <f>SUMIF(Recibos!$D$4:$D$3010,Cobranza!$B285,Recibos!AF$4:AF$3010)</f>
        <v>0</v>
      </c>
      <c r="BU285" s="319">
        <f>SUMIF(Recibos!$D$4:$D$3010,Cobranza!$B285,Recibos!AG$4:AG$3010)</f>
        <v>0</v>
      </c>
      <c r="BV285" s="319">
        <f>SUMIF(Recibos!$D$4:$D$3010,Cobranza!$B285,Recibos!AH$4:AH$3010)</f>
        <v>0</v>
      </c>
      <c r="BW285" s="319">
        <f>SUMIF(Recibos!$D$4:$D$3010,Cobranza!$B285,Recibos!AI$4:AI$3010)</f>
        <v>0</v>
      </c>
      <c r="BX285" s="320">
        <f t="shared" si="34"/>
        <v>0</v>
      </c>
    </row>
    <row r="286" spans="2:76" x14ac:dyDescent="0.2">
      <c r="B286" s="42" t="s">
        <v>271</v>
      </c>
      <c r="C286" s="42" t="s">
        <v>272</v>
      </c>
      <c r="D286" s="42" t="s">
        <v>273</v>
      </c>
      <c r="E286" s="43">
        <v>0</v>
      </c>
      <c r="F286" s="43">
        <v>0</v>
      </c>
      <c r="G286" s="43">
        <v>0</v>
      </c>
      <c r="H286" s="43">
        <v>0</v>
      </c>
      <c r="I286" s="43">
        <v>0</v>
      </c>
      <c r="J286" s="43">
        <v>300</v>
      </c>
      <c r="K286" s="44">
        <f t="shared" si="29"/>
        <v>300</v>
      </c>
      <c r="L286" s="43">
        <v>300</v>
      </c>
      <c r="M286" s="43">
        <v>300</v>
      </c>
      <c r="N286" s="43">
        <v>300</v>
      </c>
      <c r="O286" s="43">
        <v>300</v>
      </c>
      <c r="P286" s="43">
        <v>300</v>
      </c>
      <c r="Q286" s="43">
        <v>300</v>
      </c>
      <c r="R286" s="43">
        <v>300</v>
      </c>
      <c r="S286" s="43">
        <v>300</v>
      </c>
      <c r="T286" s="43">
        <v>300</v>
      </c>
      <c r="U286" s="43">
        <v>300</v>
      </c>
      <c r="V286" s="43">
        <v>400</v>
      </c>
      <c r="W286" s="43">
        <v>400</v>
      </c>
      <c r="X286" s="44">
        <f t="shared" si="30"/>
        <v>3800</v>
      </c>
      <c r="Y286" s="43">
        <v>400</v>
      </c>
      <c r="Z286" s="43">
        <v>400</v>
      </c>
      <c r="AA286" s="43">
        <v>400</v>
      </c>
      <c r="AB286" s="43">
        <v>400</v>
      </c>
      <c r="AC286" s="43">
        <v>400</v>
      </c>
      <c r="AD286" s="43">
        <v>400</v>
      </c>
      <c r="AE286" s="43">
        <v>400</v>
      </c>
      <c r="AF286" s="43">
        <v>400</v>
      </c>
      <c r="AG286" s="43">
        <v>400</v>
      </c>
      <c r="AH286" s="43">
        <v>400</v>
      </c>
      <c r="AI286" s="43">
        <v>400</v>
      </c>
      <c r="AJ286" s="43">
        <v>400</v>
      </c>
      <c r="AK286" s="44">
        <f t="shared" si="31"/>
        <v>4800</v>
      </c>
      <c r="AL286" s="43">
        <v>400</v>
      </c>
      <c r="AM286" s="43">
        <v>400</v>
      </c>
      <c r="AN286" s="43">
        <v>400</v>
      </c>
      <c r="AO286" s="43">
        <v>400</v>
      </c>
      <c r="AP286" s="43">
        <v>400</v>
      </c>
      <c r="AQ286" s="43">
        <v>400</v>
      </c>
      <c r="AR286" s="43">
        <v>400</v>
      </c>
      <c r="AS286" s="43">
        <v>400</v>
      </c>
      <c r="AT286" s="43">
        <v>400</v>
      </c>
      <c r="AU286" s="43">
        <v>400</v>
      </c>
      <c r="AV286" s="43">
        <v>400</v>
      </c>
      <c r="AW286" s="43">
        <v>400</v>
      </c>
      <c r="AX286" s="44">
        <f t="shared" si="32"/>
        <v>4800</v>
      </c>
      <c r="AY286" s="317">
        <f>SUMIF(Recibos!$D$4:$D$3010,Cobranza!$B286,Recibos!K$4:K$3010)</f>
        <v>400</v>
      </c>
      <c r="AZ286" s="317">
        <f>SUMIF(Recibos!$D$4:$D$3010,Cobranza!$B286,Recibos!L$4:L$3010)</f>
        <v>400</v>
      </c>
      <c r="BA286" s="317">
        <f>SUMIF(Recibos!$D$4:$D$3010,Cobranza!$B286,Recibos!M$4:M$3010)</f>
        <v>400</v>
      </c>
      <c r="BB286" s="317">
        <f>SUMIF(Recibos!$D$4:$D$3010,Cobranza!$B286,Recibos!N$4:N$3010)</f>
        <v>400</v>
      </c>
      <c r="BC286" s="317">
        <f>SUMIF(Recibos!$D$4:$D$3010,Cobranza!$B286,Recibos!O$4:O$3010)</f>
        <v>400</v>
      </c>
      <c r="BD286" s="317">
        <f>SUMIF(Recibos!$D$4:$D$3010,Cobranza!$B286,Recibos!P$4:P$3010)</f>
        <v>400</v>
      </c>
      <c r="BE286" s="317">
        <f>SUMIF(Recibos!$D$4:$D$3010,Cobranza!$B286,Recibos!Q$4:Q$3010)</f>
        <v>400</v>
      </c>
      <c r="BF286" s="317">
        <f>SUMIF(Recibos!$D$4:$D$3010,Cobranza!$B286,Recibos!R$4:R$3010)</f>
        <v>400</v>
      </c>
      <c r="BG286" s="317">
        <f>SUMIF(Recibos!$D$4:$D$3010,Cobranza!$B286,Recibos!S$4:S$3010)</f>
        <v>400</v>
      </c>
      <c r="BH286" s="317">
        <f>SUMIF(Recibos!$D$4:$D$3010,Cobranza!$B286,Recibos!T$4:T$3010)</f>
        <v>400</v>
      </c>
      <c r="BI286" s="317">
        <f>SUMIF(Recibos!$D$4:$D$3010,Cobranza!$B286,Recibos!U$4:U$3010)</f>
        <v>400</v>
      </c>
      <c r="BJ286" s="317">
        <f>SUMIF(Recibos!$D$4:$D$3010,Cobranza!$B286,Recibos!V$4:V$3010)</f>
        <v>400</v>
      </c>
      <c r="BK286" s="318">
        <f t="shared" si="33"/>
        <v>4800</v>
      </c>
      <c r="BL286" s="317">
        <f>SUMIF(Recibos!$D$4:$D$3010,Cobranza!$B286,Recibos!X$4:X$3010)</f>
        <v>0</v>
      </c>
      <c r="BM286" s="317">
        <f>SUMIF(Recibos!$D$4:$D$3010,Cobranza!$B286,Recibos!Y$4:Y$3010)</f>
        <v>0</v>
      </c>
      <c r="BN286" s="317">
        <f>SUMIF(Recibos!$D$4:$D$3010,Cobranza!$B286,Recibos!Z$4:Z$3010)</f>
        <v>0</v>
      </c>
      <c r="BO286" s="317">
        <f>SUMIF(Recibos!$D$4:$D$3010,Cobranza!$B286,Recibos!AA$4:AA$3010)</f>
        <v>0</v>
      </c>
      <c r="BP286" s="317">
        <f>SUMIF(Recibos!$D$4:$D$3010,Cobranza!$B286,Recibos!AB$4:AB$3010)</f>
        <v>0</v>
      </c>
      <c r="BQ286" s="317">
        <f>SUMIF(Recibos!$D$4:$D$3010,Cobranza!$B286,Recibos!AC$4:AC$3010)</f>
        <v>0</v>
      </c>
      <c r="BR286" s="317">
        <f>SUMIF(Recibos!$D$4:$D$3010,Cobranza!$B286,Recibos!AD$4:AD$3010)</f>
        <v>0</v>
      </c>
      <c r="BS286" s="317">
        <f>SUMIF(Recibos!$D$4:$D$3010,Cobranza!$B286,Recibos!AE$4:AE$3010)</f>
        <v>0</v>
      </c>
      <c r="BT286" s="317">
        <f>SUMIF(Recibos!$D$4:$D$3010,Cobranza!$B286,Recibos!AF$4:AF$3010)</f>
        <v>0</v>
      </c>
      <c r="BU286" s="317">
        <f>SUMIF(Recibos!$D$4:$D$3010,Cobranza!$B286,Recibos!AG$4:AG$3010)</f>
        <v>0</v>
      </c>
      <c r="BV286" s="317">
        <f>SUMIF(Recibos!$D$4:$D$3010,Cobranza!$B286,Recibos!AH$4:AH$3010)</f>
        <v>0</v>
      </c>
      <c r="BW286" s="317">
        <f>SUMIF(Recibos!$D$4:$D$3010,Cobranza!$B286,Recibos!AI$4:AI$3010)</f>
        <v>0</v>
      </c>
      <c r="BX286" s="318">
        <f t="shared" si="34"/>
        <v>0</v>
      </c>
    </row>
    <row r="287" spans="2:76" x14ac:dyDescent="0.2">
      <c r="B287" s="45" t="s">
        <v>192</v>
      </c>
      <c r="C287" s="45" t="s">
        <v>193</v>
      </c>
      <c r="D287" s="45" t="s">
        <v>194</v>
      </c>
      <c r="E287" s="46">
        <v>0</v>
      </c>
      <c r="F287" s="46">
        <v>0</v>
      </c>
      <c r="G287" s="46">
        <v>0</v>
      </c>
      <c r="H287" s="46">
        <v>0</v>
      </c>
      <c r="I287" s="46">
        <v>0</v>
      </c>
      <c r="J287" s="46">
        <v>300</v>
      </c>
      <c r="K287" s="47">
        <f t="shared" si="29"/>
        <v>300</v>
      </c>
      <c r="L287" s="46">
        <v>300</v>
      </c>
      <c r="M287" s="46">
        <v>300</v>
      </c>
      <c r="N287" s="46">
        <v>300</v>
      </c>
      <c r="O287" s="46">
        <v>300</v>
      </c>
      <c r="P287" s="46">
        <v>300</v>
      </c>
      <c r="Q287" s="46">
        <v>300</v>
      </c>
      <c r="R287" s="46">
        <v>300</v>
      </c>
      <c r="S287" s="46">
        <v>300</v>
      </c>
      <c r="T287" s="46">
        <v>300</v>
      </c>
      <c r="U287" s="46">
        <v>400</v>
      </c>
      <c r="V287" s="46">
        <v>400</v>
      </c>
      <c r="W287" s="46">
        <v>400</v>
      </c>
      <c r="X287" s="47">
        <f t="shared" si="30"/>
        <v>3900</v>
      </c>
      <c r="Y287" s="46">
        <v>400</v>
      </c>
      <c r="Z287" s="46">
        <v>400</v>
      </c>
      <c r="AA287" s="46">
        <v>400</v>
      </c>
      <c r="AB287" s="46">
        <v>400</v>
      </c>
      <c r="AC287" s="46">
        <v>400</v>
      </c>
      <c r="AD287" s="46">
        <v>400</v>
      </c>
      <c r="AE287" s="46">
        <v>400</v>
      </c>
      <c r="AF287" s="46">
        <v>400</v>
      </c>
      <c r="AG287" s="46">
        <v>400</v>
      </c>
      <c r="AH287" s="46">
        <v>400</v>
      </c>
      <c r="AI287" s="46">
        <v>400</v>
      </c>
      <c r="AJ287" s="46">
        <v>400</v>
      </c>
      <c r="AK287" s="47">
        <f t="shared" si="31"/>
        <v>4800</v>
      </c>
      <c r="AL287" s="46">
        <v>400</v>
      </c>
      <c r="AM287" s="46">
        <v>400</v>
      </c>
      <c r="AN287" s="46">
        <v>400</v>
      </c>
      <c r="AO287" s="46">
        <v>400</v>
      </c>
      <c r="AP287" s="46">
        <v>400</v>
      </c>
      <c r="AQ287" s="46">
        <v>400</v>
      </c>
      <c r="AR287" s="46">
        <v>400</v>
      </c>
      <c r="AS287" s="46">
        <v>400</v>
      </c>
      <c r="AT287" s="46">
        <v>400</v>
      </c>
      <c r="AU287" s="46">
        <v>400</v>
      </c>
      <c r="AV287" s="46">
        <v>400</v>
      </c>
      <c r="AW287" s="46">
        <v>400</v>
      </c>
      <c r="AX287" s="47">
        <f t="shared" si="32"/>
        <v>4800</v>
      </c>
      <c r="AY287" s="319">
        <f>SUMIF(Recibos!$D$4:$D$3010,Cobranza!$B287,Recibos!K$4:K$3010)</f>
        <v>400</v>
      </c>
      <c r="AZ287" s="319">
        <f>SUMIF(Recibos!$D$4:$D$3010,Cobranza!$B287,Recibos!L$4:L$3010)</f>
        <v>400</v>
      </c>
      <c r="BA287" s="319">
        <f>SUMIF(Recibos!$D$4:$D$3010,Cobranza!$B287,Recibos!M$4:M$3010)</f>
        <v>400</v>
      </c>
      <c r="BB287" s="319">
        <f>SUMIF(Recibos!$D$4:$D$3010,Cobranza!$B287,Recibos!N$4:N$3010)</f>
        <v>400</v>
      </c>
      <c r="BC287" s="319">
        <f>SUMIF(Recibos!$D$4:$D$3010,Cobranza!$B287,Recibos!O$4:O$3010)</f>
        <v>400</v>
      </c>
      <c r="BD287" s="319">
        <f>SUMIF(Recibos!$D$4:$D$3010,Cobranza!$B287,Recibos!P$4:P$3010)</f>
        <v>400</v>
      </c>
      <c r="BE287" s="319">
        <f>SUMIF(Recibos!$D$4:$D$3010,Cobranza!$B287,Recibos!Q$4:Q$3010)</f>
        <v>400</v>
      </c>
      <c r="BF287" s="319">
        <f>SUMIF(Recibos!$D$4:$D$3010,Cobranza!$B287,Recibos!R$4:R$3010)</f>
        <v>400</v>
      </c>
      <c r="BG287" s="319">
        <f>SUMIF(Recibos!$D$4:$D$3010,Cobranza!$B287,Recibos!S$4:S$3010)</f>
        <v>400</v>
      </c>
      <c r="BH287" s="319">
        <f>SUMIF(Recibos!$D$4:$D$3010,Cobranza!$B287,Recibos!T$4:T$3010)</f>
        <v>400</v>
      </c>
      <c r="BI287" s="319">
        <f>SUMIF(Recibos!$D$4:$D$3010,Cobranza!$B287,Recibos!U$4:U$3010)</f>
        <v>400</v>
      </c>
      <c r="BJ287" s="319">
        <f>SUMIF(Recibos!$D$4:$D$3010,Cobranza!$B287,Recibos!V$4:V$3010)</f>
        <v>400</v>
      </c>
      <c r="BK287" s="320">
        <f t="shared" si="33"/>
        <v>4800</v>
      </c>
      <c r="BL287" s="319">
        <f>SUMIF(Recibos!$D$4:$D$3010,Cobranza!$B287,Recibos!X$4:X$3010)</f>
        <v>0</v>
      </c>
      <c r="BM287" s="319">
        <f>SUMIF(Recibos!$D$4:$D$3010,Cobranza!$B287,Recibos!Y$4:Y$3010)</f>
        <v>0</v>
      </c>
      <c r="BN287" s="319">
        <f>SUMIF(Recibos!$D$4:$D$3010,Cobranza!$B287,Recibos!Z$4:Z$3010)</f>
        <v>0</v>
      </c>
      <c r="BO287" s="319">
        <f>SUMIF(Recibos!$D$4:$D$3010,Cobranza!$B287,Recibos!AA$4:AA$3010)</f>
        <v>0</v>
      </c>
      <c r="BP287" s="319">
        <f>SUMIF(Recibos!$D$4:$D$3010,Cobranza!$B287,Recibos!AB$4:AB$3010)</f>
        <v>0</v>
      </c>
      <c r="BQ287" s="319">
        <f>SUMIF(Recibos!$D$4:$D$3010,Cobranza!$B287,Recibos!AC$4:AC$3010)</f>
        <v>0</v>
      </c>
      <c r="BR287" s="319">
        <f>SUMIF(Recibos!$D$4:$D$3010,Cobranza!$B287,Recibos!AD$4:AD$3010)</f>
        <v>0</v>
      </c>
      <c r="BS287" s="319">
        <f>SUMIF(Recibos!$D$4:$D$3010,Cobranza!$B287,Recibos!AE$4:AE$3010)</f>
        <v>0</v>
      </c>
      <c r="BT287" s="319">
        <f>SUMIF(Recibos!$D$4:$D$3010,Cobranza!$B287,Recibos!AF$4:AF$3010)</f>
        <v>0</v>
      </c>
      <c r="BU287" s="319">
        <f>SUMIF(Recibos!$D$4:$D$3010,Cobranza!$B287,Recibos!AG$4:AG$3010)</f>
        <v>0</v>
      </c>
      <c r="BV287" s="319">
        <f>SUMIF(Recibos!$D$4:$D$3010,Cobranza!$B287,Recibos!AH$4:AH$3010)</f>
        <v>0</v>
      </c>
      <c r="BW287" s="319">
        <f>SUMIF(Recibos!$D$4:$D$3010,Cobranza!$B287,Recibos!AI$4:AI$3010)</f>
        <v>0</v>
      </c>
      <c r="BX287" s="320">
        <f t="shared" si="34"/>
        <v>0</v>
      </c>
    </row>
    <row r="288" spans="2:76" x14ac:dyDescent="0.2">
      <c r="B288" s="42" t="s">
        <v>180</v>
      </c>
      <c r="C288" s="42" t="s">
        <v>181</v>
      </c>
      <c r="D288" s="42" t="s">
        <v>182</v>
      </c>
      <c r="E288" s="43">
        <v>0</v>
      </c>
      <c r="F288" s="43">
        <v>0</v>
      </c>
      <c r="G288" s="43">
        <v>0</v>
      </c>
      <c r="H288" s="43">
        <v>0</v>
      </c>
      <c r="I288" s="43">
        <v>0</v>
      </c>
      <c r="J288" s="43">
        <v>300</v>
      </c>
      <c r="K288" s="44">
        <f t="shared" si="29"/>
        <v>300</v>
      </c>
      <c r="L288" s="43">
        <v>300</v>
      </c>
      <c r="M288" s="43">
        <v>300</v>
      </c>
      <c r="N288" s="43">
        <v>300</v>
      </c>
      <c r="O288" s="43">
        <v>300</v>
      </c>
      <c r="P288" s="43">
        <v>300</v>
      </c>
      <c r="Q288" s="43">
        <v>300</v>
      </c>
      <c r="R288" s="43">
        <v>0</v>
      </c>
      <c r="S288" s="43">
        <v>300</v>
      </c>
      <c r="T288" s="43">
        <v>300</v>
      </c>
      <c r="U288" s="43">
        <v>400</v>
      </c>
      <c r="V288" s="43">
        <v>400</v>
      </c>
      <c r="W288" s="43">
        <v>400</v>
      </c>
      <c r="X288" s="44">
        <f t="shared" si="30"/>
        <v>3600</v>
      </c>
      <c r="Y288" s="43">
        <v>400</v>
      </c>
      <c r="Z288" s="43">
        <v>400</v>
      </c>
      <c r="AA288" s="43">
        <v>400</v>
      </c>
      <c r="AB288" s="43">
        <v>600</v>
      </c>
      <c r="AC288" s="43">
        <v>200</v>
      </c>
      <c r="AD288" s="43">
        <v>400</v>
      </c>
      <c r="AE288" s="43">
        <v>400</v>
      </c>
      <c r="AF288" s="43">
        <v>400</v>
      </c>
      <c r="AG288" s="43">
        <v>400</v>
      </c>
      <c r="AH288" s="43">
        <v>400</v>
      </c>
      <c r="AI288" s="43">
        <v>400</v>
      </c>
      <c r="AJ288" s="43">
        <v>400</v>
      </c>
      <c r="AK288" s="44">
        <f t="shared" si="31"/>
        <v>4800</v>
      </c>
      <c r="AL288" s="43">
        <v>400</v>
      </c>
      <c r="AM288" s="43">
        <v>400</v>
      </c>
      <c r="AN288" s="43">
        <v>400</v>
      </c>
      <c r="AO288" s="43">
        <v>400</v>
      </c>
      <c r="AP288" s="43">
        <v>400</v>
      </c>
      <c r="AQ288" s="43">
        <v>400</v>
      </c>
      <c r="AR288" s="43">
        <v>400</v>
      </c>
      <c r="AS288" s="43">
        <v>400</v>
      </c>
      <c r="AT288" s="43">
        <v>400</v>
      </c>
      <c r="AU288" s="43">
        <v>400</v>
      </c>
      <c r="AV288" s="43">
        <v>400</v>
      </c>
      <c r="AW288" s="43">
        <v>400</v>
      </c>
      <c r="AX288" s="44">
        <f t="shared" si="32"/>
        <v>4800</v>
      </c>
      <c r="AY288" s="317">
        <f>SUMIF(Recibos!$D$4:$D$3010,Cobranza!$B288,Recibos!K$4:K$3010)</f>
        <v>400</v>
      </c>
      <c r="AZ288" s="317">
        <f>SUMIF(Recibos!$D$4:$D$3010,Cobranza!$B288,Recibos!L$4:L$3010)</f>
        <v>400</v>
      </c>
      <c r="BA288" s="317">
        <f>SUMIF(Recibos!$D$4:$D$3010,Cobranza!$B288,Recibos!M$4:M$3010)</f>
        <v>400</v>
      </c>
      <c r="BB288" s="317">
        <f>SUMIF(Recibos!$D$4:$D$3010,Cobranza!$B288,Recibos!N$4:N$3010)</f>
        <v>400</v>
      </c>
      <c r="BC288" s="317">
        <f>SUMIF(Recibos!$D$4:$D$3010,Cobranza!$B288,Recibos!O$4:O$3010)</f>
        <v>400</v>
      </c>
      <c r="BD288" s="317">
        <f>SUMIF(Recibos!$D$4:$D$3010,Cobranza!$B288,Recibos!P$4:P$3010)</f>
        <v>400</v>
      </c>
      <c r="BE288" s="317">
        <f>SUMIF(Recibos!$D$4:$D$3010,Cobranza!$B288,Recibos!Q$4:Q$3010)</f>
        <v>400</v>
      </c>
      <c r="BF288" s="317">
        <f>SUMIF(Recibos!$D$4:$D$3010,Cobranza!$B288,Recibos!R$4:R$3010)</f>
        <v>400</v>
      </c>
      <c r="BG288" s="317">
        <f>SUMIF(Recibos!$D$4:$D$3010,Cobranza!$B288,Recibos!S$4:S$3010)</f>
        <v>400</v>
      </c>
      <c r="BH288" s="317">
        <f>SUMIF(Recibos!$D$4:$D$3010,Cobranza!$B288,Recibos!T$4:T$3010)</f>
        <v>400</v>
      </c>
      <c r="BI288" s="317">
        <f>SUMIF(Recibos!$D$4:$D$3010,Cobranza!$B288,Recibos!U$4:U$3010)</f>
        <v>400</v>
      </c>
      <c r="BJ288" s="317">
        <f>SUMIF(Recibos!$D$4:$D$3010,Cobranza!$B288,Recibos!V$4:V$3010)</f>
        <v>400</v>
      </c>
      <c r="BK288" s="318">
        <f t="shared" si="33"/>
        <v>4800</v>
      </c>
      <c r="BL288" s="317">
        <f>SUMIF(Recibos!$D$4:$D$3010,Cobranza!$B288,Recibos!X$4:X$3010)</f>
        <v>0</v>
      </c>
      <c r="BM288" s="317">
        <f>SUMIF(Recibos!$D$4:$D$3010,Cobranza!$B288,Recibos!Y$4:Y$3010)</f>
        <v>0</v>
      </c>
      <c r="BN288" s="317">
        <f>SUMIF(Recibos!$D$4:$D$3010,Cobranza!$B288,Recibos!Z$4:Z$3010)</f>
        <v>0</v>
      </c>
      <c r="BO288" s="317">
        <f>SUMIF(Recibos!$D$4:$D$3010,Cobranza!$B288,Recibos!AA$4:AA$3010)</f>
        <v>0</v>
      </c>
      <c r="BP288" s="317">
        <f>SUMIF(Recibos!$D$4:$D$3010,Cobranza!$B288,Recibos!AB$4:AB$3010)</f>
        <v>0</v>
      </c>
      <c r="BQ288" s="317">
        <f>SUMIF(Recibos!$D$4:$D$3010,Cobranza!$B288,Recibos!AC$4:AC$3010)</f>
        <v>0</v>
      </c>
      <c r="BR288" s="317">
        <f>SUMIF(Recibos!$D$4:$D$3010,Cobranza!$B288,Recibos!AD$4:AD$3010)</f>
        <v>0</v>
      </c>
      <c r="BS288" s="317">
        <f>SUMIF(Recibos!$D$4:$D$3010,Cobranza!$B288,Recibos!AE$4:AE$3010)</f>
        <v>0</v>
      </c>
      <c r="BT288" s="317">
        <f>SUMIF(Recibos!$D$4:$D$3010,Cobranza!$B288,Recibos!AF$4:AF$3010)</f>
        <v>0</v>
      </c>
      <c r="BU288" s="317">
        <f>SUMIF(Recibos!$D$4:$D$3010,Cobranza!$B288,Recibos!AG$4:AG$3010)</f>
        <v>0</v>
      </c>
      <c r="BV288" s="317">
        <f>SUMIF(Recibos!$D$4:$D$3010,Cobranza!$B288,Recibos!AH$4:AH$3010)</f>
        <v>0</v>
      </c>
      <c r="BW288" s="317">
        <f>SUMIF(Recibos!$D$4:$D$3010,Cobranza!$B288,Recibos!AI$4:AI$3010)</f>
        <v>0</v>
      </c>
      <c r="BX288" s="318">
        <f t="shared" si="34"/>
        <v>0</v>
      </c>
    </row>
    <row r="289" spans="2:76" x14ac:dyDescent="0.2">
      <c r="B289" s="45" t="s">
        <v>905</v>
      </c>
      <c r="C289" s="45" t="s">
        <v>906</v>
      </c>
      <c r="D289" s="45" t="s">
        <v>907</v>
      </c>
      <c r="E289" s="46">
        <v>0</v>
      </c>
      <c r="F289" s="46">
        <v>0</v>
      </c>
      <c r="G289" s="46">
        <v>0</v>
      </c>
      <c r="H289" s="46">
        <v>0</v>
      </c>
      <c r="I289" s="46">
        <v>0</v>
      </c>
      <c r="J289" s="46">
        <v>0</v>
      </c>
      <c r="K289" s="47">
        <f t="shared" si="29"/>
        <v>0</v>
      </c>
      <c r="L289" s="46">
        <v>0</v>
      </c>
      <c r="M289" s="46">
        <v>0</v>
      </c>
      <c r="N289" s="46">
        <v>0</v>
      </c>
      <c r="O289" s="46">
        <v>0</v>
      </c>
      <c r="P289" s="46">
        <v>0</v>
      </c>
      <c r="Q289" s="46">
        <v>0</v>
      </c>
      <c r="R289" s="46">
        <v>0</v>
      </c>
      <c r="S289" s="46">
        <v>0</v>
      </c>
      <c r="T289" s="46">
        <v>0</v>
      </c>
      <c r="U289" s="46">
        <v>0</v>
      </c>
      <c r="V289" s="46">
        <v>0</v>
      </c>
      <c r="W289" s="46">
        <v>0</v>
      </c>
      <c r="X289" s="47">
        <f t="shared" si="30"/>
        <v>0</v>
      </c>
      <c r="Y289" s="46">
        <v>0</v>
      </c>
      <c r="Z289" s="46">
        <v>0</v>
      </c>
      <c r="AA289" s="46">
        <v>200</v>
      </c>
      <c r="AB289" s="46">
        <v>200</v>
      </c>
      <c r="AC289" s="46">
        <v>200</v>
      </c>
      <c r="AD289" s="46">
        <v>0</v>
      </c>
      <c r="AE289" s="46">
        <v>200</v>
      </c>
      <c r="AF289" s="46">
        <v>200</v>
      </c>
      <c r="AG289" s="46">
        <v>220</v>
      </c>
      <c r="AH289" s="46">
        <v>200</v>
      </c>
      <c r="AI289" s="46">
        <v>200</v>
      </c>
      <c r="AJ289" s="46">
        <v>200</v>
      </c>
      <c r="AK289" s="47">
        <f t="shared" si="31"/>
        <v>1820</v>
      </c>
      <c r="AL289" s="46">
        <v>200</v>
      </c>
      <c r="AM289" s="46">
        <v>200</v>
      </c>
      <c r="AN289" s="46">
        <v>200</v>
      </c>
      <c r="AO289" s="46">
        <v>200</v>
      </c>
      <c r="AP289" s="46">
        <v>200</v>
      </c>
      <c r="AQ289" s="46">
        <v>0</v>
      </c>
      <c r="AR289" s="46">
        <v>0</v>
      </c>
      <c r="AS289" s="46">
        <v>0</v>
      </c>
      <c r="AT289" s="46">
        <v>0</v>
      </c>
      <c r="AU289" s="46">
        <v>0</v>
      </c>
      <c r="AV289" s="46">
        <v>0</v>
      </c>
      <c r="AW289" s="46">
        <v>0</v>
      </c>
      <c r="AX289" s="47">
        <f t="shared" si="32"/>
        <v>1000</v>
      </c>
      <c r="AY289" s="319">
        <f>SUMIF(Recibos!$D$4:$D$3010,Cobranza!$B289,Recibos!K$4:K$3010)</f>
        <v>0</v>
      </c>
      <c r="AZ289" s="319">
        <f>SUMIF(Recibos!$D$4:$D$3010,Cobranza!$B289,Recibos!L$4:L$3010)</f>
        <v>0</v>
      </c>
      <c r="BA289" s="319">
        <f>SUMIF(Recibos!$D$4:$D$3010,Cobranza!$B289,Recibos!M$4:M$3010)</f>
        <v>0</v>
      </c>
      <c r="BB289" s="319">
        <f>SUMIF(Recibos!$D$4:$D$3010,Cobranza!$B289,Recibos!N$4:N$3010)</f>
        <v>200</v>
      </c>
      <c r="BC289" s="319">
        <f>SUMIF(Recibos!$D$4:$D$3010,Cobranza!$B289,Recibos!O$4:O$3010)</f>
        <v>200</v>
      </c>
      <c r="BD289" s="319">
        <f>SUMIF(Recibos!$D$4:$D$3010,Cobranza!$B289,Recibos!P$4:P$3010)</f>
        <v>200</v>
      </c>
      <c r="BE289" s="319">
        <f>SUMIF(Recibos!$D$4:$D$3010,Cobranza!$B289,Recibos!Q$4:Q$3010)</f>
        <v>200</v>
      </c>
      <c r="BF289" s="319">
        <f>SUMIF(Recibos!$D$4:$D$3010,Cobranza!$B289,Recibos!R$4:R$3010)</f>
        <v>200</v>
      </c>
      <c r="BG289" s="319">
        <f>SUMIF(Recibos!$D$4:$D$3010,Cobranza!$B289,Recibos!S$4:S$3010)</f>
        <v>200</v>
      </c>
      <c r="BH289" s="319">
        <f>SUMIF(Recibos!$D$4:$D$3010,Cobranza!$B289,Recibos!T$4:T$3010)</f>
        <v>200</v>
      </c>
      <c r="BI289" s="319">
        <f>SUMIF(Recibos!$D$4:$D$3010,Cobranza!$B289,Recibos!U$4:U$3010)</f>
        <v>200</v>
      </c>
      <c r="BJ289" s="319">
        <f>SUMIF(Recibos!$D$4:$D$3010,Cobranza!$B289,Recibos!V$4:V$3010)</f>
        <v>200</v>
      </c>
      <c r="BK289" s="320">
        <f t="shared" si="33"/>
        <v>1800</v>
      </c>
      <c r="BL289" s="319">
        <f>SUMIF(Recibos!$D$4:$D$3010,Cobranza!$B289,Recibos!X$4:X$3010)</f>
        <v>0</v>
      </c>
      <c r="BM289" s="319">
        <f>SUMIF(Recibos!$D$4:$D$3010,Cobranza!$B289,Recibos!Y$4:Y$3010)</f>
        <v>0</v>
      </c>
      <c r="BN289" s="319">
        <f>SUMIF(Recibos!$D$4:$D$3010,Cobranza!$B289,Recibos!Z$4:Z$3010)</f>
        <v>0</v>
      </c>
      <c r="BO289" s="319">
        <f>SUMIF(Recibos!$D$4:$D$3010,Cobranza!$B289,Recibos!AA$4:AA$3010)</f>
        <v>0</v>
      </c>
      <c r="BP289" s="319">
        <f>SUMIF(Recibos!$D$4:$D$3010,Cobranza!$B289,Recibos!AB$4:AB$3010)</f>
        <v>0</v>
      </c>
      <c r="BQ289" s="319">
        <f>SUMIF(Recibos!$D$4:$D$3010,Cobranza!$B289,Recibos!AC$4:AC$3010)</f>
        <v>0</v>
      </c>
      <c r="BR289" s="319">
        <f>SUMIF(Recibos!$D$4:$D$3010,Cobranza!$B289,Recibos!AD$4:AD$3010)</f>
        <v>0</v>
      </c>
      <c r="BS289" s="319">
        <f>SUMIF(Recibos!$D$4:$D$3010,Cobranza!$B289,Recibos!AE$4:AE$3010)</f>
        <v>0</v>
      </c>
      <c r="BT289" s="319">
        <f>SUMIF(Recibos!$D$4:$D$3010,Cobranza!$B289,Recibos!AF$4:AF$3010)</f>
        <v>0</v>
      </c>
      <c r="BU289" s="319">
        <f>SUMIF(Recibos!$D$4:$D$3010,Cobranza!$B289,Recibos!AG$4:AG$3010)</f>
        <v>0</v>
      </c>
      <c r="BV289" s="319">
        <f>SUMIF(Recibos!$D$4:$D$3010,Cobranza!$B289,Recibos!AH$4:AH$3010)</f>
        <v>0</v>
      </c>
      <c r="BW289" s="319">
        <f>SUMIF(Recibos!$D$4:$D$3010,Cobranza!$B289,Recibos!AI$4:AI$3010)</f>
        <v>0</v>
      </c>
      <c r="BX289" s="320">
        <f t="shared" si="34"/>
        <v>0</v>
      </c>
    </row>
    <row r="290" spans="2:76" x14ac:dyDescent="0.2">
      <c r="B290" s="42" t="s">
        <v>307</v>
      </c>
      <c r="C290" s="42" t="s">
        <v>308</v>
      </c>
      <c r="D290" s="42" t="s">
        <v>309</v>
      </c>
      <c r="E290" s="43">
        <v>0</v>
      </c>
      <c r="F290" s="43">
        <v>0</v>
      </c>
      <c r="G290" s="43">
        <v>0</v>
      </c>
      <c r="H290" s="43">
        <v>0</v>
      </c>
      <c r="I290" s="43">
        <v>0</v>
      </c>
      <c r="J290" s="43">
        <v>300</v>
      </c>
      <c r="K290" s="44">
        <f t="shared" si="29"/>
        <v>300</v>
      </c>
      <c r="L290" s="43">
        <v>300</v>
      </c>
      <c r="M290" s="43">
        <v>300</v>
      </c>
      <c r="N290" s="43">
        <v>300</v>
      </c>
      <c r="O290" s="43">
        <v>300</v>
      </c>
      <c r="P290" s="43">
        <v>300</v>
      </c>
      <c r="Q290" s="43">
        <v>300</v>
      </c>
      <c r="R290" s="43">
        <v>300</v>
      </c>
      <c r="S290" s="43">
        <v>300</v>
      </c>
      <c r="T290" s="43">
        <v>300</v>
      </c>
      <c r="U290" s="43">
        <v>350</v>
      </c>
      <c r="V290" s="43">
        <v>350</v>
      </c>
      <c r="W290" s="43">
        <v>350</v>
      </c>
      <c r="X290" s="44">
        <f t="shared" si="30"/>
        <v>3750</v>
      </c>
      <c r="Y290" s="43">
        <v>350</v>
      </c>
      <c r="Z290" s="43">
        <v>350</v>
      </c>
      <c r="AA290" s="43">
        <v>350</v>
      </c>
      <c r="AB290" s="43">
        <v>350</v>
      </c>
      <c r="AC290" s="43">
        <v>350</v>
      </c>
      <c r="AD290" s="43">
        <v>350</v>
      </c>
      <c r="AE290" s="43">
        <v>350</v>
      </c>
      <c r="AF290" s="43">
        <v>350</v>
      </c>
      <c r="AG290" s="43">
        <v>350</v>
      </c>
      <c r="AH290" s="43">
        <v>350</v>
      </c>
      <c r="AI290" s="43">
        <v>350</v>
      </c>
      <c r="AJ290" s="43">
        <v>350</v>
      </c>
      <c r="AK290" s="44">
        <f t="shared" si="31"/>
        <v>4200</v>
      </c>
      <c r="AL290" s="43">
        <v>350</v>
      </c>
      <c r="AM290" s="43">
        <v>350</v>
      </c>
      <c r="AN290" s="43">
        <v>350</v>
      </c>
      <c r="AO290" s="43">
        <v>350</v>
      </c>
      <c r="AP290" s="43">
        <v>350</v>
      </c>
      <c r="AQ290" s="43">
        <v>350</v>
      </c>
      <c r="AR290" s="43">
        <v>350</v>
      </c>
      <c r="AS290" s="43">
        <v>350</v>
      </c>
      <c r="AT290" s="43">
        <v>350</v>
      </c>
      <c r="AU290" s="43">
        <v>350</v>
      </c>
      <c r="AV290" s="43">
        <v>350</v>
      </c>
      <c r="AW290" s="43">
        <v>350</v>
      </c>
      <c r="AX290" s="44">
        <f t="shared" si="32"/>
        <v>4200</v>
      </c>
      <c r="AY290" s="317">
        <f>SUMIF(Recibos!$D$4:$D$3010,Cobranza!$B290,Recibos!K$4:K$3010)</f>
        <v>350</v>
      </c>
      <c r="AZ290" s="317">
        <f>SUMIF(Recibos!$D$4:$D$3010,Cobranza!$B290,Recibos!L$4:L$3010)</f>
        <v>350</v>
      </c>
      <c r="BA290" s="317">
        <f>SUMIF(Recibos!$D$4:$D$3010,Cobranza!$B290,Recibos!M$4:M$3010)</f>
        <v>350</v>
      </c>
      <c r="BB290" s="317">
        <f>SUMIF(Recibos!$D$4:$D$3010,Cobranza!$B290,Recibos!N$4:N$3010)</f>
        <v>350</v>
      </c>
      <c r="BC290" s="317">
        <f>SUMIF(Recibos!$D$4:$D$3010,Cobranza!$B290,Recibos!O$4:O$3010)</f>
        <v>350</v>
      </c>
      <c r="BD290" s="317">
        <f>SUMIF(Recibos!$D$4:$D$3010,Cobranza!$B290,Recibos!P$4:P$3010)</f>
        <v>350</v>
      </c>
      <c r="BE290" s="317">
        <f>SUMIF(Recibos!$D$4:$D$3010,Cobranza!$B290,Recibos!Q$4:Q$3010)</f>
        <v>350</v>
      </c>
      <c r="BF290" s="317">
        <f>SUMIF(Recibos!$D$4:$D$3010,Cobranza!$B290,Recibos!R$4:R$3010)</f>
        <v>350</v>
      </c>
      <c r="BG290" s="317">
        <f>SUMIF(Recibos!$D$4:$D$3010,Cobranza!$B290,Recibos!S$4:S$3010)</f>
        <v>350</v>
      </c>
      <c r="BH290" s="317">
        <f>SUMIF(Recibos!$D$4:$D$3010,Cobranza!$B290,Recibos!T$4:T$3010)</f>
        <v>350</v>
      </c>
      <c r="BI290" s="317">
        <f>SUMIF(Recibos!$D$4:$D$3010,Cobranza!$B290,Recibos!U$4:U$3010)</f>
        <v>350</v>
      </c>
      <c r="BJ290" s="317">
        <f>SUMIF(Recibos!$D$4:$D$3010,Cobranza!$B290,Recibos!V$4:V$3010)</f>
        <v>350</v>
      </c>
      <c r="BK290" s="318">
        <f t="shared" si="33"/>
        <v>4200</v>
      </c>
      <c r="BL290" s="317">
        <f>SUMIF(Recibos!$D$4:$D$3010,Cobranza!$B290,Recibos!X$4:X$3010)</f>
        <v>0</v>
      </c>
      <c r="BM290" s="317">
        <f>SUMIF(Recibos!$D$4:$D$3010,Cobranza!$B290,Recibos!Y$4:Y$3010)</f>
        <v>0</v>
      </c>
      <c r="BN290" s="317">
        <f>SUMIF(Recibos!$D$4:$D$3010,Cobranza!$B290,Recibos!Z$4:Z$3010)</f>
        <v>0</v>
      </c>
      <c r="BO290" s="317">
        <f>SUMIF(Recibos!$D$4:$D$3010,Cobranza!$B290,Recibos!AA$4:AA$3010)</f>
        <v>0</v>
      </c>
      <c r="BP290" s="317">
        <f>SUMIF(Recibos!$D$4:$D$3010,Cobranza!$B290,Recibos!AB$4:AB$3010)</f>
        <v>0</v>
      </c>
      <c r="BQ290" s="317">
        <f>SUMIF(Recibos!$D$4:$D$3010,Cobranza!$B290,Recibos!AC$4:AC$3010)</f>
        <v>0</v>
      </c>
      <c r="BR290" s="317">
        <f>SUMIF(Recibos!$D$4:$D$3010,Cobranza!$B290,Recibos!AD$4:AD$3010)</f>
        <v>0</v>
      </c>
      <c r="BS290" s="317">
        <f>SUMIF(Recibos!$D$4:$D$3010,Cobranza!$B290,Recibos!AE$4:AE$3010)</f>
        <v>0</v>
      </c>
      <c r="BT290" s="317">
        <f>SUMIF(Recibos!$D$4:$D$3010,Cobranza!$B290,Recibos!AF$4:AF$3010)</f>
        <v>0</v>
      </c>
      <c r="BU290" s="317">
        <f>SUMIF(Recibos!$D$4:$D$3010,Cobranza!$B290,Recibos!AG$4:AG$3010)</f>
        <v>0</v>
      </c>
      <c r="BV290" s="317">
        <f>SUMIF(Recibos!$D$4:$D$3010,Cobranza!$B290,Recibos!AH$4:AH$3010)</f>
        <v>0</v>
      </c>
      <c r="BW290" s="317">
        <f>SUMIF(Recibos!$D$4:$D$3010,Cobranza!$B290,Recibos!AI$4:AI$3010)</f>
        <v>0</v>
      </c>
      <c r="BX290" s="318">
        <f t="shared" si="34"/>
        <v>0</v>
      </c>
    </row>
    <row r="291" spans="2:76" x14ac:dyDescent="0.2">
      <c r="B291" s="45" t="s">
        <v>646</v>
      </c>
      <c r="C291" s="45" t="s">
        <v>647</v>
      </c>
      <c r="D291" s="45" t="s">
        <v>648</v>
      </c>
      <c r="E291" s="46">
        <v>0</v>
      </c>
      <c r="F291" s="46">
        <v>0</v>
      </c>
      <c r="G291" s="46">
        <v>0</v>
      </c>
      <c r="H291" s="46">
        <v>0</v>
      </c>
      <c r="I291" s="46">
        <v>0</v>
      </c>
      <c r="J291" s="46">
        <v>300</v>
      </c>
      <c r="K291" s="47">
        <f t="shared" si="29"/>
        <v>300</v>
      </c>
      <c r="L291" s="46">
        <v>300</v>
      </c>
      <c r="M291" s="46">
        <v>300</v>
      </c>
      <c r="N291" s="46">
        <v>300</v>
      </c>
      <c r="O291" s="46">
        <v>300</v>
      </c>
      <c r="P291" s="46">
        <v>300</v>
      </c>
      <c r="Q291" s="46">
        <v>300</v>
      </c>
      <c r="R291" s="46">
        <v>300</v>
      </c>
      <c r="S291" s="46">
        <v>300</v>
      </c>
      <c r="T291" s="46">
        <v>300</v>
      </c>
      <c r="U291" s="46">
        <v>300</v>
      </c>
      <c r="V291" s="46">
        <v>300</v>
      </c>
      <c r="W291" s="46">
        <v>300</v>
      </c>
      <c r="X291" s="47">
        <f t="shared" si="30"/>
        <v>3600</v>
      </c>
      <c r="Y291" s="46">
        <v>400</v>
      </c>
      <c r="Z291" s="46">
        <v>400</v>
      </c>
      <c r="AA291" s="46">
        <v>400</v>
      </c>
      <c r="AB291" s="46">
        <v>400</v>
      </c>
      <c r="AC291" s="46">
        <v>400</v>
      </c>
      <c r="AD291" s="46">
        <v>400</v>
      </c>
      <c r="AE291" s="46">
        <v>400</v>
      </c>
      <c r="AF291" s="46">
        <v>400</v>
      </c>
      <c r="AG291" s="46">
        <v>400</v>
      </c>
      <c r="AH291" s="46">
        <v>400</v>
      </c>
      <c r="AI291" s="46">
        <v>400</v>
      </c>
      <c r="AJ291" s="46">
        <v>400</v>
      </c>
      <c r="AK291" s="47">
        <f t="shared" si="31"/>
        <v>4800</v>
      </c>
      <c r="AL291" s="46">
        <v>400</v>
      </c>
      <c r="AM291" s="46">
        <v>400</v>
      </c>
      <c r="AN291" s="46">
        <v>400</v>
      </c>
      <c r="AO291" s="46">
        <v>400</v>
      </c>
      <c r="AP291" s="46">
        <v>400</v>
      </c>
      <c r="AQ291" s="46">
        <v>400</v>
      </c>
      <c r="AR291" s="46">
        <v>400</v>
      </c>
      <c r="AS291" s="46">
        <v>400</v>
      </c>
      <c r="AT291" s="46">
        <v>400</v>
      </c>
      <c r="AU291" s="46">
        <v>400</v>
      </c>
      <c r="AV291" s="46">
        <v>400</v>
      </c>
      <c r="AW291" s="46">
        <v>400</v>
      </c>
      <c r="AX291" s="47">
        <f t="shared" si="32"/>
        <v>4800</v>
      </c>
      <c r="AY291" s="319">
        <f>SUMIF(Recibos!$D$4:$D$3010,Cobranza!$B291,Recibos!K$4:K$3010)</f>
        <v>400</v>
      </c>
      <c r="AZ291" s="319">
        <f>SUMIF(Recibos!$D$4:$D$3010,Cobranza!$B291,Recibos!L$4:L$3010)</f>
        <v>400</v>
      </c>
      <c r="BA291" s="319">
        <f>SUMIF(Recibos!$D$4:$D$3010,Cobranza!$B291,Recibos!M$4:M$3010)</f>
        <v>400</v>
      </c>
      <c r="BB291" s="319">
        <f>SUMIF(Recibos!$D$4:$D$3010,Cobranza!$B291,Recibos!N$4:N$3010)</f>
        <v>400</v>
      </c>
      <c r="BC291" s="319">
        <f>SUMIF(Recibos!$D$4:$D$3010,Cobranza!$B291,Recibos!O$4:O$3010)</f>
        <v>400</v>
      </c>
      <c r="BD291" s="319">
        <f>SUMIF(Recibos!$D$4:$D$3010,Cobranza!$B291,Recibos!P$4:P$3010)</f>
        <v>400</v>
      </c>
      <c r="BE291" s="319">
        <f>SUMIF(Recibos!$D$4:$D$3010,Cobranza!$B291,Recibos!Q$4:Q$3010)</f>
        <v>400</v>
      </c>
      <c r="BF291" s="319">
        <f>SUMIF(Recibos!$D$4:$D$3010,Cobranza!$B291,Recibos!R$4:R$3010)</f>
        <v>400</v>
      </c>
      <c r="BG291" s="319">
        <f>SUMIF(Recibos!$D$4:$D$3010,Cobranza!$B291,Recibos!S$4:S$3010)</f>
        <v>0</v>
      </c>
      <c r="BH291" s="319">
        <f>SUMIF(Recibos!$D$4:$D$3010,Cobranza!$B291,Recibos!T$4:T$3010)</f>
        <v>0</v>
      </c>
      <c r="BI291" s="319">
        <f>SUMIF(Recibos!$D$4:$D$3010,Cobranza!$B291,Recibos!U$4:U$3010)</f>
        <v>0</v>
      </c>
      <c r="BJ291" s="319">
        <f>SUMIF(Recibos!$D$4:$D$3010,Cobranza!$B291,Recibos!V$4:V$3010)</f>
        <v>0</v>
      </c>
      <c r="BK291" s="320">
        <f t="shared" si="33"/>
        <v>3200</v>
      </c>
      <c r="BL291" s="319">
        <f>SUMIF(Recibos!$D$4:$D$3010,Cobranza!$B291,Recibos!X$4:X$3010)</f>
        <v>0</v>
      </c>
      <c r="BM291" s="319">
        <f>SUMIF(Recibos!$D$4:$D$3010,Cobranza!$B291,Recibos!Y$4:Y$3010)</f>
        <v>0</v>
      </c>
      <c r="BN291" s="319">
        <f>SUMIF(Recibos!$D$4:$D$3010,Cobranza!$B291,Recibos!Z$4:Z$3010)</f>
        <v>0</v>
      </c>
      <c r="BO291" s="319">
        <f>SUMIF(Recibos!$D$4:$D$3010,Cobranza!$B291,Recibos!AA$4:AA$3010)</f>
        <v>0</v>
      </c>
      <c r="BP291" s="319">
        <f>SUMIF(Recibos!$D$4:$D$3010,Cobranza!$B291,Recibos!AB$4:AB$3010)</f>
        <v>0</v>
      </c>
      <c r="BQ291" s="319">
        <f>SUMIF(Recibos!$D$4:$D$3010,Cobranza!$B291,Recibos!AC$4:AC$3010)</f>
        <v>0</v>
      </c>
      <c r="BR291" s="319">
        <f>SUMIF(Recibos!$D$4:$D$3010,Cobranza!$B291,Recibos!AD$4:AD$3010)</f>
        <v>0</v>
      </c>
      <c r="BS291" s="319">
        <f>SUMIF(Recibos!$D$4:$D$3010,Cobranza!$B291,Recibos!AE$4:AE$3010)</f>
        <v>0</v>
      </c>
      <c r="BT291" s="319">
        <f>SUMIF(Recibos!$D$4:$D$3010,Cobranza!$B291,Recibos!AF$4:AF$3010)</f>
        <v>0</v>
      </c>
      <c r="BU291" s="319">
        <f>SUMIF(Recibos!$D$4:$D$3010,Cobranza!$B291,Recibos!AG$4:AG$3010)</f>
        <v>0</v>
      </c>
      <c r="BV291" s="319">
        <f>SUMIF(Recibos!$D$4:$D$3010,Cobranza!$B291,Recibos!AH$4:AH$3010)</f>
        <v>0</v>
      </c>
      <c r="BW291" s="319">
        <f>SUMIF(Recibos!$D$4:$D$3010,Cobranza!$B291,Recibos!AI$4:AI$3010)</f>
        <v>0</v>
      </c>
      <c r="BX291" s="320">
        <f t="shared" si="34"/>
        <v>0</v>
      </c>
    </row>
    <row r="292" spans="2:76" x14ac:dyDescent="0.2">
      <c r="B292" s="42" t="s">
        <v>488</v>
      </c>
      <c r="C292" s="42" t="s">
        <v>489</v>
      </c>
      <c r="D292" s="42" t="s">
        <v>490</v>
      </c>
      <c r="E292" s="43">
        <v>0</v>
      </c>
      <c r="F292" s="43">
        <v>0</v>
      </c>
      <c r="G292" s="43">
        <v>0</v>
      </c>
      <c r="H292" s="43">
        <v>0</v>
      </c>
      <c r="I292" s="43">
        <v>0</v>
      </c>
      <c r="J292" s="43">
        <v>300</v>
      </c>
      <c r="K292" s="44">
        <f t="shared" si="29"/>
        <v>300</v>
      </c>
      <c r="L292" s="43">
        <v>300</v>
      </c>
      <c r="M292" s="43">
        <v>300</v>
      </c>
      <c r="N292" s="43">
        <v>300</v>
      </c>
      <c r="O292" s="43">
        <v>0</v>
      </c>
      <c r="P292" s="43">
        <v>0</v>
      </c>
      <c r="Q292" s="43">
        <v>600</v>
      </c>
      <c r="R292" s="43">
        <v>300</v>
      </c>
      <c r="S292" s="43">
        <v>300</v>
      </c>
      <c r="T292" s="43">
        <v>300</v>
      </c>
      <c r="U292" s="43">
        <v>400</v>
      </c>
      <c r="V292" s="43">
        <v>400</v>
      </c>
      <c r="W292" s="43">
        <v>400</v>
      </c>
      <c r="X292" s="44">
        <f t="shared" si="30"/>
        <v>3600</v>
      </c>
      <c r="Y292" s="43">
        <v>400</v>
      </c>
      <c r="Z292" s="43">
        <v>400</v>
      </c>
      <c r="AA292" s="43">
        <v>400</v>
      </c>
      <c r="AB292" s="43">
        <v>400</v>
      </c>
      <c r="AC292" s="43">
        <v>400</v>
      </c>
      <c r="AD292" s="43">
        <v>400</v>
      </c>
      <c r="AE292" s="43">
        <v>400</v>
      </c>
      <c r="AF292" s="43">
        <v>400</v>
      </c>
      <c r="AG292" s="43">
        <v>400</v>
      </c>
      <c r="AH292" s="43">
        <v>400</v>
      </c>
      <c r="AI292" s="43">
        <v>400</v>
      </c>
      <c r="AJ292" s="43">
        <v>400</v>
      </c>
      <c r="AK292" s="44">
        <f t="shared" si="31"/>
        <v>4800</v>
      </c>
      <c r="AL292" s="43">
        <v>400</v>
      </c>
      <c r="AM292" s="43">
        <v>400</v>
      </c>
      <c r="AN292" s="43">
        <v>400</v>
      </c>
      <c r="AO292" s="43">
        <v>400</v>
      </c>
      <c r="AP292" s="43">
        <v>400</v>
      </c>
      <c r="AQ292" s="43">
        <v>400</v>
      </c>
      <c r="AR292" s="43">
        <v>400</v>
      </c>
      <c r="AS292" s="43">
        <v>400</v>
      </c>
      <c r="AT292" s="43">
        <v>400</v>
      </c>
      <c r="AU292" s="43">
        <v>400</v>
      </c>
      <c r="AV292" s="43">
        <v>400</v>
      </c>
      <c r="AW292" s="43">
        <v>400</v>
      </c>
      <c r="AX292" s="44">
        <f t="shared" si="32"/>
        <v>4800</v>
      </c>
      <c r="AY292" s="317">
        <f>SUMIF(Recibos!$D$4:$D$3010,Cobranza!$B292,Recibos!K$4:K$3010)</f>
        <v>400</v>
      </c>
      <c r="AZ292" s="317">
        <f>SUMIF(Recibos!$D$4:$D$3010,Cobranza!$B292,Recibos!L$4:L$3010)</f>
        <v>400</v>
      </c>
      <c r="BA292" s="317">
        <f>SUMIF(Recibos!$D$4:$D$3010,Cobranza!$B292,Recibos!M$4:M$3010)</f>
        <v>400</v>
      </c>
      <c r="BB292" s="317">
        <f>SUMIF(Recibos!$D$4:$D$3010,Cobranza!$B292,Recibos!N$4:N$3010)</f>
        <v>400</v>
      </c>
      <c r="BC292" s="317">
        <f>SUMIF(Recibos!$D$4:$D$3010,Cobranza!$B292,Recibos!O$4:O$3010)</f>
        <v>400</v>
      </c>
      <c r="BD292" s="317">
        <f>SUMIF(Recibos!$D$4:$D$3010,Cobranza!$B292,Recibos!P$4:P$3010)</f>
        <v>400</v>
      </c>
      <c r="BE292" s="317">
        <f>SUMIF(Recibos!$D$4:$D$3010,Cobranza!$B292,Recibos!Q$4:Q$3010)</f>
        <v>400</v>
      </c>
      <c r="BF292" s="317">
        <f>SUMIF(Recibos!$D$4:$D$3010,Cobranza!$B292,Recibos!R$4:R$3010)</f>
        <v>400</v>
      </c>
      <c r="BG292" s="317">
        <f>SUMIF(Recibos!$D$4:$D$3010,Cobranza!$B292,Recibos!S$4:S$3010)</f>
        <v>400</v>
      </c>
      <c r="BH292" s="317">
        <f>SUMIF(Recibos!$D$4:$D$3010,Cobranza!$B292,Recibos!T$4:T$3010)</f>
        <v>400</v>
      </c>
      <c r="BI292" s="317">
        <f>SUMIF(Recibos!$D$4:$D$3010,Cobranza!$B292,Recibos!U$4:U$3010)</f>
        <v>400</v>
      </c>
      <c r="BJ292" s="317">
        <f>SUMIF(Recibos!$D$4:$D$3010,Cobranza!$B292,Recibos!V$4:V$3010)</f>
        <v>400</v>
      </c>
      <c r="BK292" s="318">
        <f t="shared" si="33"/>
        <v>4800</v>
      </c>
      <c r="BL292" s="317">
        <f>SUMIF(Recibos!$D$4:$D$3010,Cobranza!$B292,Recibos!X$4:X$3010)</f>
        <v>0</v>
      </c>
      <c r="BM292" s="317">
        <f>SUMIF(Recibos!$D$4:$D$3010,Cobranza!$B292,Recibos!Y$4:Y$3010)</f>
        <v>0</v>
      </c>
      <c r="BN292" s="317">
        <f>SUMIF(Recibos!$D$4:$D$3010,Cobranza!$B292,Recibos!Z$4:Z$3010)</f>
        <v>0</v>
      </c>
      <c r="BO292" s="317">
        <f>SUMIF(Recibos!$D$4:$D$3010,Cobranza!$B292,Recibos!AA$4:AA$3010)</f>
        <v>0</v>
      </c>
      <c r="BP292" s="317">
        <f>SUMIF(Recibos!$D$4:$D$3010,Cobranza!$B292,Recibos!AB$4:AB$3010)</f>
        <v>0</v>
      </c>
      <c r="BQ292" s="317">
        <f>SUMIF(Recibos!$D$4:$D$3010,Cobranza!$B292,Recibos!AC$4:AC$3010)</f>
        <v>0</v>
      </c>
      <c r="BR292" s="317">
        <f>SUMIF(Recibos!$D$4:$D$3010,Cobranza!$B292,Recibos!AD$4:AD$3010)</f>
        <v>0</v>
      </c>
      <c r="BS292" s="317">
        <f>SUMIF(Recibos!$D$4:$D$3010,Cobranza!$B292,Recibos!AE$4:AE$3010)</f>
        <v>0</v>
      </c>
      <c r="BT292" s="317">
        <f>SUMIF(Recibos!$D$4:$D$3010,Cobranza!$B292,Recibos!AF$4:AF$3010)</f>
        <v>0</v>
      </c>
      <c r="BU292" s="317">
        <f>SUMIF(Recibos!$D$4:$D$3010,Cobranza!$B292,Recibos!AG$4:AG$3010)</f>
        <v>0</v>
      </c>
      <c r="BV292" s="317">
        <f>SUMIF(Recibos!$D$4:$D$3010,Cobranza!$B292,Recibos!AH$4:AH$3010)</f>
        <v>0</v>
      </c>
      <c r="BW292" s="317">
        <f>SUMIF(Recibos!$D$4:$D$3010,Cobranza!$B292,Recibos!AI$4:AI$3010)</f>
        <v>0</v>
      </c>
      <c r="BX292" s="318">
        <f t="shared" si="34"/>
        <v>0</v>
      </c>
    </row>
    <row r="293" spans="2:76" x14ac:dyDescent="0.2">
      <c r="B293" s="45" t="s">
        <v>1103</v>
      </c>
      <c r="C293" s="45" t="s">
        <v>1104</v>
      </c>
      <c r="D293" s="45" t="s">
        <v>1105</v>
      </c>
      <c r="E293" s="46">
        <v>0</v>
      </c>
      <c r="F293" s="46">
        <v>0</v>
      </c>
      <c r="G293" s="46">
        <v>0</v>
      </c>
      <c r="H293" s="46">
        <v>0</v>
      </c>
      <c r="I293" s="46">
        <v>0</v>
      </c>
      <c r="J293" s="46">
        <v>0</v>
      </c>
      <c r="K293" s="47">
        <f t="shared" si="29"/>
        <v>0</v>
      </c>
      <c r="L293" s="46">
        <v>300</v>
      </c>
      <c r="M293" s="46">
        <v>300</v>
      </c>
      <c r="N293" s="46">
        <v>300</v>
      </c>
      <c r="O293" s="46">
        <v>300</v>
      </c>
      <c r="P293" s="46">
        <v>300</v>
      </c>
      <c r="Q293" s="46">
        <v>300</v>
      </c>
      <c r="R293" s="46">
        <v>300</v>
      </c>
      <c r="S293" s="46">
        <v>300</v>
      </c>
      <c r="T293" s="46">
        <v>300</v>
      </c>
      <c r="U293" s="46">
        <v>300</v>
      </c>
      <c r="V293" s="46">
        <v>300</v>
      </c>
      <c r="W293" s="46">
        <v>0</v>
      </c>
      <c r="X293" s="47">
        <f t="shared" si="30"/>
        <v>3300</v>
      </c>
      <c r="Y293" s="46">
        <v>400</v>
      </c>
      <c r="Z293" s="46">
        <v>400</v>
      </c>
      <c r="AA293" s="46">
        <v>400</v>
      </c>
      <c r="AB293" s="46">
        <v>400</v>
      </c>
      <c r="AC293" s="46">
        <v>400</v>
      </c>
      <c r="AD293" s="46">
        <v>400</v>
      </c>
      <c r="AE293" s="46">
        <v>400</v>
      </c>
      <c r="AF293" s="46">
        <v>400</v>
      </c>
      <c r="AG293" s="46">
        <v>400</v>
      </c>
      <c r="AH293" s="46">
        <v>0</v>
      </c>
      <c r="AI293" s="46">
        <v>0</v>
      </c>
      <c r="AJ293" s="46">
        <v>0</v>
      </c>
      <c r="AK293" s="47">
        <f t="shared" si="31"/>
        <v>3600</v>
      </c>
      <c r="AL293" s="46">
        <v>400</v>
      </c>
      <c r="AM293" s="46">
        <v>400</v>
      </c>
      <c r="AN293" s="46">
        <v>400</v>
      </c>
      <c r="AO293" s="46">
        <v>400</v>
      </c>
      <c r="AP293" s="46">
        <v>400</v>
      </c>
      <c r="AQ293" s="46">
        <v>400</v>
      </c>
      <c r="AR293" s="46">
        <v>400</v>
      </c>
      <c r="AS293" s="46">
        <v>400</v>
      </c>
      <c r="AT293" s="46">
        <v>0</v>
      </c>
      <c r="AU293" s="46">
        <v>0</v>
      </c>
      <c r="AV293" s="46">
        <v>0</v>
      </c>
      <c r="AW293" s="46">
        <v>0</v>
      </c>
      <c r="AX293" s="47">
        <f t="shared" si="32"/>
        <v>3200</v>
      </c>
      <c r="AY293" s="319">
        <f>SUMIF(Recibos!$D$4:$D$3010,Cobranza!$B293,Recibos!K$4:K$3010)</f>
        <v>400</v>
      </c>
      <c r="AZ293" s="319">
        <f>SUMIF(Recibos!$D$4:$D$3010,Cobranza!$B293,Recibos!L$4:L$3010)</f>
        <v>400</v>
      </c>
      <c r="BA293" s="319">
        <f>SUMIF(Recibos!$D$4:$D$3010,Cobranza!$B293,Recibos!M$4:M$3010)</f>
        <v>400</v>
      </c>
      <c r="BB293" s="319">
        <f>SUMIF(Recibos!$D$4:$D$3010,Cobranza!$B293,Recibos!N$4:N$3010)</f>
        <v>400</v>
      </c>
      <c r="BC293" s="319">
        <f>SUMIF(Recibos!$D$4:$D$3010,Cobranza!$B293,Recibos!O$4:O$3010)</f>
        <v>400</v>
      </c>
      <c r="BD293" s="319">
        <f>SUMIF(Recibos!$D$4:$D$3010,Cobranza!$B293,Recibos!P$4:P$3010)</f>
        <v>400</v>
      </c>
      <c r="BE293" s="319">
        <f>SUMIF(Recibos!$D$4:$D$3010,Cobranza!$B293,Recibos!Q$4:Q$3010)</f>
        <v>400</v>
      </c>
      <c r="BF293" s="319">
        <f>SUMIF(Recibos!$D$4:$D$3010,Cobranza!$B293,Recibos!R$4:R$3010)</f>
        <v>200</v>
      </c>
      <c r="BG293" s="319">
        <f>SUMIF(Recibos!$D$4:$D$3010,Cobranza!$B293,Recibos!S$4:S$3010)</f>
        <v>0</v>
      </c>
      <c r="BH293" s="319">
        <f>SUMIF(Recibos!$D$4:$D$3010,Cobranza!$B293,Recibos!T$4:T$3010)</f>
        <v>0</v>
      </c>
      <c r="BI293" s="319">
        <f>SUMIF(Recibos!$D$4:$D$3010,Cobranza!$B293,Recibos!U$4:U$3010)</f>
        <v>0</v>
      </c>
      <c r="BJ293" s="319">
        <f>SUMIF(Recibos!$D$4:$D$3010,Cobranza!$B293,Recibos!V$4:V$3010)</f>
        <v>0</v>
      </c>
      <c r="BK293" s="320">
        <f t="shared" si="33"/>
        <v>3000</v>
      </c>
      <c r="BL293" s="319">
        <f>SUMIF(Recibos!$D$4:$D$3010,Cobranza!$B293,Recibos!X$4:X$3010)</f>
        <v>0</v>
      </c>
      <c r="BM293" s="319">
        <f>SUMIF(Recibos!$D$4:$D$3010,Cobranza!$B293,Recibos!Y$4:Y$3010)</f>
        <v>0</v>
      </c>
      <c r="BN293" s="319">
        <f>SUMIF(Recibos!$D$4:$D$3010,Cobranza!$B293,Recibos!Z$4:Z$3010)</f>
        <v>0</v>
      </c>
      <c r="BO293" s="319">
        <f>SUMIF(Recibos!$D$4:$D$3010,Cobranza!$B293,Recibos!AA$4:AA$3010)</f>
        <v>0</v>
      </c>
      <c r="BP293" s="319">
        <f>SUMIF(Recibos!$D$4:$D$3010,Cobranza!$B293,Recibos!AB$4:AB$3010)</f>
        <v>0</v>
      </c>
      <c r="BQ293" s="319">
        <f>SUMIF(Recibos!$D$4:$D$3010,Cobranza!$B293,Recibos!AC$4:AC$3010)</f>
        <v>0</v>
      </c>
      <c r="BR293" s="319">
        <f>SUMIF(Recibos!$D$4:$D$3010,Cobranza!$B293,Recibos!AD$4:AD$3010)</f>
        <v>0</v>
      </c>
      <c r="BS293" s="319">
        <f>SUMIF(Recibos!$D$4:$D$3010,Cobranza!$B293,Recibos!AE$4:AE$3010)</f>
        <v>0</v>
      </c>
      <c r="BT293" s="319">
        <f>SUMIF(Recibos!$D$4:$D$3010,Cobranza!$B293,Recibos!AF$4:AF$3010)</f>
        <v>0</v>
      </c>
      <c r="BU293" s="319">
        <f>SUMIF(Recibos!$D$4:$D$3010,Cobranza!$B293,Recibos!AG$4:AG$3010)</f>
        <v>0</v>
      </c>
      <c r="BV293" s="319">
        <f>SUMIF(Recibos!$D$4:$D$3010,Cobranza!$B293,Recibos!AH$4:AH$3010)</f>
        <v>0</v>
      </c>
      <c r="BW293" s="319">
        <f>SUMIF(Recibos!$D$4:$D$3010,Cobranza!$B293,Recibos!AI$4:AI$3010)</f>
        <v>0</v>
      </c>
      <c r="BX293" s="320">
        <f t="shared" si="34"/>
        <v>0</v>
      </c>
    </row>
    <row r="294" spans="2:76" x14ac:dyDescent="0.2">
      <c r="B294" s="42" t="s">
        <v>681</v>
      </c>
      <c r="C294" s="42" t="s">
        <v>682</v>
      </c>
      <c r="D294" s="42" t="s">
        <v>683</v>
      </c>
      <c r="E294" s="43">
        <v>0</v>
      </c>
      <c r="F294" s="43">
        <v>0</v>
      </c>
      <c r="G294" s="43">
        <v>0</v>
      </c>
      <c r="H294" s="43">
        <v>0</v>
      </c>
      <c r="I294" s="43">
        <v>0</v>
      </c>
      <c r="J294" s="43">
        <v>300</v>
      </c>
      <c r="K294" s="44">
        <f t="shared" si="29"/>
        <v>300</v>
      </c>
      <c r="L294" s="43">
        <v>300</v>
      </c>
      <c r="M294" s="43">
        <v>300</v>
      </c>
      <c r="N294" s="43">
        <v>300</v>
      </c>
      <c r="O294" s="43">
        <v>300</v>
      </c>
      <c r="P294" s="43">
        <v>300</v>
      </c>
      <c r="Q294" s="43">
        <v>300</v>
      </c>
      <c r="R294" s="43">
        <v>300</v>
      </c>
      <c r="S294" s="43">
        <v>300</v>
      </c>
      <c r="T294" s="43">
        <v>300</v>
      </c>
      <c r="U294" s="43">
        <v>400</v>
      </c>
      <c r="V294" s="43">
        <v>300</v>
      </c>
      <c r="W294" s="43">
        <v>300</v>
      </c>
      <c r="X294" s="44">
        <f t="shared" si="30"/>
        <v>3700</v>
      </c>
      <c r="Y294" s="43">
        <v>300</v>
      </c>
      <c r="Z294" s="43">
        <v>300</v>
      </c>
      <c r="AA294" s="43">
        <v>300</v>
      </c>
      <c r="AB294" s="43">
        <v>300</v>
      </c>
      <c r="AC294" s="43">
        <v>300</v>
      </c>
      <c r="AD294" s="43">
        <v>300</v>
      </c>
      <c r="AE294" s="43">
        <v>300</v>
      </c>
      <c r="AF294" s="43">
        <v>300</v>
      </c>
      <c r="AG294" s="43">
        <v>300</v>
      </c>
      <c r="AH294" s="43">
        <v>300</v>
      </c>
      <c r="AI294" s="43">
        <v>300</v>
      </c>
      <c r="AJ294" s="43">
        <v>300</v>
      </c>
      <c r="AK294" s="44">
        <f t="shared" si="31"/>
        <v>3600</v>
      </c>
      <c r="AL294" s="43">
        <v>300</v>
      </c>
      <c r="AM294" s="43">
        <v>300</v>
      </c>
      <c r="AN294" s="43">
        <v>300</v>
      </c>
      <c r="AO294" s="43">
        <v>300</v>
      </c>
      <c r="AP294" s="43">
        <v>300</v>
      </c>
      <c r="AQ294" s="43">
        <v>300</v>
      </c>
      <c r="AR294" s="43">
        <v>300</v>
      </c>
      <c r="AS294" s="43">
        <v>300</v>
      </c>
      <c r="AT294" s="43">
        <v>300</v>
      </c>
      <c r="AU294" s="43">
        <v>300</v>
      </c>
      <c r="AV294" s="43">
        <v>300</v>
      </c>
      <c r="AW294" s="43">
        <v>300</v>
      </c>
      <c r="AX294" s="44">
        <f t="shared" si="32"/>
        <v>3600</v>
      </c>
      <c r="AY294" s="317">
        <f>SUMIF(Recibos!$D$4:$D$3010,Cobranza!$B294,Recibos!K$4:K$3010)</f>
        <v>300</v>
      </c>
      <c r="AZ294" s="317">
        <f>SUMIF(Recibos!$D$4:$D$3010,Cobranza!$B294,Recibos!L$4:L$3010)</f>
        <v>300</v>
      </c>
      <c r="BA294" s="317">
        <f>SUMIF(Recibos!$D$4:$D$3010,Cobranza!$B294,Recibos!M$4:M$3010)</f>
        <v>300</v>
      </c>
      <c r="BB294" s="317">
        <f>SUMIF(Recibos!$D$4:$D$3010,Cobranza!$B294,Recibos!N$4:N$3010)</f>
        <v>300</v>
      </c>
      <c r="BC294" s="317">
        <f>SUMIF(Recibos!$D$4:$D$3010,Cobranza!$B294,Recibos!O$4:O$3010)</f>
        <v>300</v>
      </c>
      <c r="BD294" s="317">
        <f>SUMIF(Recibos!$D$4:$D$3010,Cobranza!$B294,Recibos!P$4:P$3010)</f>
        <v>300</v>
      </c>
      <c r="BE294" s="317">
        <f>SUMIF(Recibos!$D$4:$D$3010,Cobranza!$B294,Recibos!Q$4:Q$3010)</f>
        <v>300</v>
      </c>
      <c r="BF294" s="317">
        <f>SUMIF(Recibos!$D$4:$D$3010,Cobranza!$B294,Recibos!R$4:R$3010)</f>
        <v>300</v>
      </c>
      <c r="BG294" s="317">
        <f>SUMIF(Recibos!$D$4:$D$3010,Cobranza!$B294,Recibos!S$4:S$3010)</f>
        <v>300</v>
      </c>
      <c r="BH294" s="317">
        <f>SUMIF(Recibos!$D$4:$D$3010,Cobranza!$B294,Recibos!T$4:T$3010)</f>
        <v>300</v>
      </c>
      <c r="BI294" s="317">
        <f>SUMIF(Recibos!$D$4:$D$3010,Cobranza!$B294,Recibos!U$4:U$3010)</f>
        <v>300</v>
      </c>
      <c r="BJ294" s="317">
        <f>SUMIF(Recibos!$D$4:$D$3010,Cobranza!$B294,Recibos!V$4:V$3010)</f>
        <v>0</v>
      </c>
      <c r="BK294" s="318">
        <f t="shared" si="33"/>
        <v>3300</v>
      </c>
      <c r="BL294" s="317">
        <f>SUMIF(Recibos!$D$4:$D$3010,Cobranza!$B294,Recibos!X$4:X$3010)</f>
        <v>0</v>
      </c>
      <c r="BM294" s="317">
        <f>SUMIF(Recibos!$D$4:$D$3010,Cobranza!$B294,Recibos!Y$4:Y$3010)</f>
        <v>0</v>
      </c>
      <c r="BN294" s="317">
        <f>SUMIF(Recibos!$D$4:$D$3010,Cobranza!$B294,Recibos!Z$4:Z$3010)</f>
        <v>0</v>
      </c>
      <c r="BO294" s="317">
        <f>SUMIF(Recibos!$D$4:$D$3010,Cobranza!$B294,Recibos!AA$4:AA$3010)</f>
        <v>0</v>
      </c>
      <c r="BP294" s="317">
        <f>SUMIF(Recibos!$D$4:$D$3010,Cobranza!$B294,Recibos!AB$4:AB$3010)</f>
        <v>0</v>
      </c>
      <c r="BQ294" s="317">
        <f>SUMIF(Recibos!$D$4:$D$3010,Cobranza!$B294,Recibos!AC$4:AC$3010)</f>
        <v>0</v>
      </c>
      <c r="BR294" s="317">
        <f>SUMIF(Recibos!$D$4:$D$3010,Cobranza!$B294,Recibos!AD$4:AD$3010)</f>
        <v>0</v>
      </c>
      <c r="BS294" s="317">
        <f>SUMIF(Recibos!$D$4:$D$3010,Cobranza!$B294,Recibos!AE$4:AE$3010)</f>
        <v>0</v>
      </c>
      <c r="BT294" s="317">
        <f>SUMIF(Recibos!$D$4:$D$3010,Cobranza!$B294,Recibos!AF$4:AF$3010)</f>
        <v>0</v>
      </c>
      <c r="BU294" s="317">
        <f>SUMIF(Recibos!$D$4:$D$3010,Cobranza!$B294,Recibos!AG$4:AG$3010)</f>
        <v>0</v>
      </c>
      <c r="BV294" s="317">
        <f>SUMIF(Recibos!$D$4:$D$3010,Cobranza!$B294,Recibos!AH$4:AH$3010)</f>
        <v>0</v>
      </c>
      <c r="BW294" s="317">
        <f>SUMIF(Recibos!$D$4:$D$3010,Cobranza!$B294,Recibos!AI$4:AI$3010)</f>
        <v>0</v>
      </c>
      <c r="BX294" s="318">
        <f t="shared" si="34"/>
        <v>0</v>
      </c>
    </row>
    <row r="295" spans="2:76" x14ac:dyDescent="0.2">
      <c r="B295" s="45" t="s">
        <v>766</v>
      </c>
      <c r="C295" s="45" t="s">
        <v>767</v>
      </c>
      <c r="D295" s="45" t="s">
        <v>768</v>
      </c>
      <c r="E295" s="46">
        <v>0</v>
      </c>
      <c r="F295" s="46">
        <v>0</v>
      </c>
      <c r="G295" s="46">
        <v>0</v>
      </c>
      <c r="H295" s="46">
        <v>0</v>
      </c>
      <c r="I295" s="46">
        <v>300</v>
      </c>
      <c r="J295" s="46">
        <v>300</v>
      </c>
      <c r="K295" s="47">
        <f t="shared" si="29"/>
        <v>600</v>
      </c>
      <c r="L295" s="46">
        <v>300</v>
      </c>
      <c r="M295" s="46">
        <v>0</v>
      </c>
      <c r="N295" s="46">
        <v>0</v>
      </c>
      <c r="O295" s="46">
        <v>0</v>
      </c>
      <c r="P295" s="46">
        <v>0</v>
      </c>
      <c r="Q295" s="46">
        <v>0</v>
      </c>
      <c r="R295" s="46">
        <v>0</v>
      </c>
      <c r="S295" s="46">
        <v>0</v>
      </c>
      <c r="T295" s="46">
        <v>0</v>
      </c>
      <c r="U295" s="46">
        <v>0</v>
      </c>
      <c r="V295" s="46">
        <v>0</v>
      </c>
      <c r="W295" s="46">
        <v>0</v>
      </c>
      <c r="X295" s="47">
        <f t="shared" si="30"/>
        <v>300</v>
      </c>
      <c r="Y295" s="46">
        <v>300</v>
      </c>
      <c r="Z295" s="46">
        <v>300</v>
      </c>
      <c r="AA295" s="46">
        <v>300</v>
      </c>
      <c r="AB295" s="46">
        <v>300</v>
      </c>
      <c r="AC295" s="46">
        <v>300</v>
      </c>
      <c r="AD295" s="46">
        <v>300</v>
      </c>
      <c r="AE295" s="46">
        <v>300</v>
      </c>
      <c r="AF295" s="46">
        <v>300</v>
      </c>
      <c r="AG295" s="46">
        <v>300</v>
      </c>
      <c r="AH295" s="46">
        <v>300</v>
      </c>
      <c r="AI295" s="46">
        <v>0</v>
      </c>
      <c r="AJ295" s="46">
        <v>0</v>
      </c>
      <c r="AK295" s="47">
        <f t="shared" si="31"/>
        <v>3000</v>
      </c>
      <c r="AL295" s="46">
        <v>400</v>
      </c>
      <c r="AM295" s="46">
        <v>400</v>
      </c>
      <c r="AN295" s="46">
        <v>400</v>
      </c>
      <c r="AO295" s="46">
        <v>400</v>
      </c>
      <c r="AP295" s="46">
        <v>400</v>
      </c>
      <c r="AQ295" s="46">
        <v>400</v>
      </c>
      <c r="AR295" s="46">
        <v>400</v>
      </c>
      <c r="AS295" s="46">
        <v>400</v>
      </c>
      <c r="AT295" s="46">
        <v>400</v>
      </c>
      <c r="AU295" s="46">
        <v>400</v>
      </c>
      <c r="AV295" s="46">
        <v>400</v>
      </c>
      <c r="AW295" s="46">
        <v>400</v>
      </c>
      <c r="AX295" s="47">
        <f t="shared" si="32"/>
        <v>4800</v>
      </c>
      <c r="AY295" s="319">
        <f>SUMIF(Recibos!$D$4:$D$3010,Cobranza!$B295,Recibos!K$4:K$3010)</f>
        <v>400</v>
      </c>
      <c r="AZ295" s="319">
        <f>SUMIF(Recibos!$D$4:$D$3010,Cobranza!$B295,Recibos!L$4:L$3010)</f>
        <v>400</v>
      </c>
      <c r="BA295" s="319">
        <f>SUMIF(Recibos!$D$4:$D$3010,Cobranza!$B295,Recibos!M$4:M$3010)</f>
        <v>400</v>
      </c>
      <c r="BB295" s="319">
        <f>SUMIF(Recibos!$D$4:$D$3010,Cobranza!$B295,Recibos!N$4:N$3010)</f>
        <v>400</v>
      </c>
      <c r="BC295" s="319">
        <f>SUMIF(Recibos!$D$4:$D$3010,Cobranza!$B295,Recibos!O$4:O$3010)</f>
        <v>400</v>
      </c>
      <c r="BD295" s="319">
        <f>SUMIF(Recibos!$D$4:$D$3010,Cobranza!$B295,Recibos!P$4:P$3010)</f>
        <v>400</v>
      </c>
      <c r="BE295" s="319">
        <f>SUMIF(Recibos!$D$4:$D$3010,Cobranza!$B295,Recibos!Q$4:Q$3010)</f>
        <v>400</v>
      </c>
      <c r="BF295" s="319">
        <f>SUMIF(Recibos!$D$4:$D$3010,Cobranza!$B295,Recibos!R$4:R$3010)</f>
        <v>400</v>
      </c>
      <c r="BG295" s="319">
        <f>SUMIF(Recibos!$D$4:$D$3010,Cobranza!$B295,Recibos!S$4:S$3010)</f>
        <v>400</v>
      </c>
      <c r="BH295" s="319">
        <f>SUMIF(Recibos!$D$4:$D$3010,Cobranza!$B295,Recibos!T$4:T$3010)</f>
        <v>400</v>
      </c>
      <c r="BI295" s="319">
        <f>SUMIF(Recibos!$D$4:$D$3010,Cobranza!$B295,Recibos!U$4:U$3010)</f>
        <v>400</v>
      </c>
      <c r="BJ295" s="319">
        <f>SUMIF(Recibos!$D$4:$D$3010,Cobranza!$B295,Recibos!V$4:V$3010)</f>
        <v>400</v>
      </c>
      <c r="BK295" s="320">
        <f t="shared" si="33"/>
        <v>4800</v>
      </c>
      <c r="BL295" s="319">
        <f>SUMIF(Recibos!$D$4:$D$3010,Cobranza!$B295,Recibos!X$4:X$3010)</f>
        <v>0</v>
      </c>
      <c r="BM295" s="319">
        <f>SUMIF(Recibos!$D$4:$D$3010,Cobranza!$B295,Recibos!Y$4:Y$3010)</f>
        <v>0</v>
      </c>
      <c r="BN295" s="319">
        <f>SUMIF(Recibos!$D$4:$D$3010,Cobranza!$B295,Recibos!Z$4:Z$3010)</f>
        <v>0</v>
      </c>
      <c r="BO295" s="319">
        <f>SUMIF(Recibos!$D$4:$D$3010,Cobranza!$B295,Recibos!AA$4:AA$3010)</f>
        <v>0</v>
      </c>
      <c r="BP295" s="319">
        <f>SUMIF(Recibos!$D$4:$D$3010,Cobranza!$B295,Recibos!AB$4:AB$3010)</f>
        <v>0</v>
      </c>
      <c r="BQ295" s="319">
        <f>SUMIF(Recibos!$D$4:$D$3010,Cobranza!$B295,Recibos!AC$4:AC$3010)</f>
        <v>0</v>
      </c>
      <c r="BR295" s="319">
        <f>SUMIF(Recibos!$D$4:$D$3010,Cobranza!$B295,Recibos!AD$4:AD$3010)</f>
        <v>0</v>
      </c>
      <c r="BS295" s="319">
        <f>SUMIF(Recibos!$D$4:$D$3010,Cobranza!$B295,Recibos!AE$4:AE$3010)</f>
        <v>0</v>
      </c>
      <c r="BT295" s="319">
        <f>SUMIF(Recibos!$D$4:$D$3010,Cobranza!$B295,Recibos!AF$4:AF$3010)</f>
        <v>0</v>
      </c>
      <c r="BU295" s="319">
        <f>SUMIF(Recibos!$D$4:$D$3010,Cobranza!$B295,Recibos!AG$4:AG$3010)</f>
        <v>0</v>
      </c>
      <c r="BV295" s="319">
        <f>SUMIF(Recibos!$D$4:$D$3010,Cobranza!$B295,Recibos!AH$4:AH$3010)</f>
        <v>0</v>
      </c>
      <c r="BW295" s="319">
        <f>SUMIF(Recibos!$D$4:$D$3010,Cobranza!$B295,Recibos!AI$4:AI$3010)</f>
        <v>0</v>
      </c>
      <c r="BX295" s="320">
        <f t="shared" si="34"/>
        <v>0</v>
      </c>
    </row>
    <row r="296" spans="2:76" x14ac:dyDescent="0.2">
      <c r="B296" s="42" t="s">
        <v>550</v>
      </c>
      <c r="C296" s="42" t="s">
        <v>551</v>
      </c>
      <c r="D296" s="42" t="s">
        <v>552</v>
      </c>
      <c r="E296" s="43">
        <v>0</v>
      </c>
      <c r="F296" s="43">
        <v>0</v>
      </c>
      <c r="G296" s="43">
        <v>0</v>
      </c>
      <c r="H296" s="43">
        <v>0</v>
      </c>
      <c r="I296" s="43">
        <v>0</v>
      </c>
      <c r="J296" s="43">
        <v>300</v>
      </c>
      <c r="K296" s="44">
        <f t="shared" si="29"/>
        <v>300</v>
      </c>
      <c r="L296" s="43">
        <v>300</v>
      </c>
      <c r="M296" s="43">
        <v>300</v>
      </c>
      <c r="N296" s="43">
        <v>300</v>
      </c>
      <c r="O296" s="43">
        <v>300</v>
      </c>
      <c r="P296" s="43">
        <v>300</v>
      </c>
      <c r="Q296" s="43">
        <v>300</v>
      </c>
      <c r="R296" s="43">
        <v>300</v>
      </c>
      <c r="S296" s="43">
        <v>300</v>
      </c>
      <c r="T296" s="43">
        <v>300</v>
      </c>
      <c r="U296" s="43">
        <v>300</v>
      </c>
      <c r="V296" s="43">
        <v>300</v>
      </c>
      <c r="W296" s="43">
        <v>300</v>
      </c>
      <c r="X296" s="44">
        <f t="shared" si="30"/>
        <v>3600</v>
      </c>
      <c r="Y296" s="43">
        <v>300</v>
      </c>
      <c r="Z296" s="43">
        <v>300</v>
      </c>
      <c r="AA296" s="43">
        <v>0</v>
      </c>
      <c r="AB296" s="43">
        <v>300</v>
      </c>
      <c r="AC296" s="43">
        <v>300</v>
      </c>
      <c r="AD296" s="43">
        <v>300</v>
      </c>
      <c r="AE296" s="43">
        <v>300</v>
      </c>
      <c r="AF296" s="43">
        <v>300</v>
      </c>
      <c r="AG296" s="43">
        <v>300</v>
      </c>
      <c r="AH296" s="43">
        <v>300</v>
      </c>
      <c r="AI296" s="43">
        <v>300</v>
      </c>
      <c r="AJ296" s="43">
        <v>300</v>
      </c>
      <c r="AK296" s="44">
        <f t="shared" si="31"/>
        <v>3300</v>
      </c>
      <c r="AL296" s="43">
        <v>300</v>
      </c>
      <c r="AM296" s="43">
        <v>300</v>
      </c>
      <c r="AN296" s="43">
        <v>300</v>
      </c>
      <c r="AO296" s="43">
        <v>300</v>
      </c>
      <c r="AP296" s="43">
        <v>300</v>
      </c>
      <c r="AQ296" s="43">
        <v>0</v>
      </c>
      <c r="AR296" s="43">
        <v>300</v>
      </c>
      <c r="AS296" s="43">
        <v>300</v>
      </c>
      <c r="AT296" s="43">
        <v>300</v>
      </c>
      <c r="AU296" s="43">
        <v>300</v>
      </c>
      <c r="AV296" s="43">
        <v>300</v>
      </c>
      <c r="AW296" s="43">
        <v>300</v>
      </c>
      <c r="AX296" s="44">
        <f t="shared" si="32"/>
        <v>3300</v>
      </c>
      <c r="AY296" s="317">
        <f>SUMIF(Recibos!$D$4:$D$3010,Cobranza!$B296,Recibos!K$4:K$3010)</f>
        <v>300</v>
      </c>
      <c r="AZ296" s="317">
        <f>SUMIF(Recibos!$D$4:$D$3010,Cobranza!$B296,Recibos!L$4:L$3010)</f>
        <v>300</v>
      </c>
      <c r="BA296" s="317">
        <f>SUMIF(Recibos!$D$4:$D$3010,Cobranza!$B296,Recibos!M$4:M$3010)</f>
        <v>300</v>
      </c>
      <c r="BB296" s="317">
        <f>SUMIF(Recibos!$D$4:$D$3010,Cobranza!$B296,Recibos!N$4:N$3010)</f>
        <v>300</v>
      </c>
      <c r="BC296" s="317">
        <f>SUMIF(Recibos!$D$4:$D$3010,Cobranza!$B296,Recibos!O$4:O$3010)</f>
        <v>300</v>
      </c>
      <c r="BD296" s="317">
        <f>SUMIF(Recibos!$D$4:$D$3010,Cobranza!$B296,Recibos!P$4:P$3010)</f>
        <v>300</v>
      </c>
      <c r="BE296" s="317">
        <f>SUMIF(Recibos!$D$4:$D$3010,Cobranza!$B296,Recibos!Q$4:Q$3010)</f>
        <v>300</v>
      </c>
      <c r="BF296" s="317">
        <f>SUMIF(Recibos!$D$4:$D$3010,Cobranza!$B296,Recibos!R$4:R$3010)</f>
        <v>300</v>
      </c>
      <c r="BG296" s="317">
        <f>SUMIF(Recibos!$D$4:$D$3010,Cobranza!$B296,Recibos!S$4:S$3010)</f>
        <v>200</v>
      </c>
      <c r="BH296" s="317">
        <f>SUMIF(Recibos!$D$4:$D$3010,Cobranza!$B296,Recibos!T$4:T$3010)</f>
        <v>200</v>
      </c>
      <c r="BI296" s="317">
        <f>SUMIF(Recibos!$D$4:$D$3010,Cobranza!$B296,Recibos!U$4:U$3010)</f>
        <v>300</v>
      </c>
      <c r="BJ296" s="317">
        <f>SUMIF(Recibos!$D$4:$D$3010,Cobranza!$B296,Recibos!V$4:V$3010)</f>
        <v>200</v>
      </c>
      <c r="BK296" s="318">
        <f t="shared" si="33"/>
        <v>3300</v>
      </c>
      <c r="BL296" s="317">
        <f>SUMIF(Recibos!$D$4:$D$3010,Cobranza!$B296,Recibos!X$4:X$3010)</f>
        <v>0</v>
      </c>
      <c r="BM296" s="317">
        <f>SUMIF(Recibos!$D$4:$D$3010,Cobranza!$B296,Recibos!Y$4:Y$3010)</f>
        <v>0</v>
      </c>
      <c r="BN296" s="317">
        <f>SUMIF(Recibos!$D$4:$D$3010,Cobranza!$B296,Recibos!Z$4:Z$3010)</f>
        <v>0</v>
      </c>
      <c r="BO296" s="317">
        <f>SUMIF(Recibos!$D$4:$D$3010,Cobranza!$B296,Recibos!AA$4:AA$3010)</f>
        <v>0</v>
      </c>
      <c r="BP296" s="317">
        <f>SUMIF(Recibos!$D$4:$D$3010,Cobranza!$B296,Recibos!AB$4:AB$3010)</f>
        <v>0</v>
      </c>
      <c r="BQ296" s="317">
        <f>SUMIF(Recibos!$D$4:$D$3010,Cobranza!$B296,Recibos!AC$4:AC$3010)</f>
        <v>0</v>
      </c>
      <c r="BR296" s="317">
        <f>SUMIF(Recibos!$D$4:$D$3010,Cobranza!$B296,Recibos!AD$4:AD$3010)</f>
        <v>0</v>
      </c>
      <c r="BS296" s="317">
        <f>SUMIF(Recibos!$D$4:$D$3010,Cobranza!$B296,Recibos!AE$4:AE$3010)</f>
        <v>0</v>
      </c>
      <c r="BT296" s="317">
        <f>SUMIF(Recibos!$D$4:$D$3010,Cobranza!$B296,Recibos!AF$4:AF$3010)</f>
        <v>0</v>
      </c>
      <c r="BU296" s="317">
        <f>SUMIF(Recibos!$D$4:$D$3010,Cobranza!$B296,Recibos!AG$4:AG$3010)</f>
        <v>0</v>
      </c>
      <c r="BV296" s="317">
        <f>SUMIF(Recibos!$D$4:$D$3010,Cobranza!$B296,Recibos!AH$4:AH$3010)</f>
        <v>0</v>
      </c>
      <c r="BW296" s="317">
        <f>SUMIF(Recibos!$D$4:$D$3010,Cobranza!$B296,Recibos!AI$4:AI$3010)</f>
        <v>0</v>
      </c>
      <c r="BX296" s="318">
        <f t="shared" si="34"/>
        <v>0</v>
      </c>
    </row>
    <row r="297" spans="2:76" x14ac:dyDescent="0.2">
      <c r="B297" s="45" t="s">
        <v>268</v>
      </c>
      <c r="C297" s="45" t="s">
        <v>269</v>
      </c>
      <c r="D297" s="45" t="s">
        <v>270</v>
      </c>
      <c r="E297" s="46">
        <v>0</v>
      </c>
      <c r="F297" s="46">
        <v>0</v>
      </c>
      <c r="G297" s="46">
        <v>300</v>
      </c>
      <c r="H297" s="46">
        <v>300</v>
      </c>
      <c r="I297" s="46">
        <v>300</v>
      </c>
      <c r="J297" s="46">
        <v>600</v>
      </c>
      <c r="K297" s="47">
        <f t="shared" si="29"/>
        <v>1500</v>
      </c>
      <c r="L297" s="46">
        <v>300</v>
      </c>
      <c r="M297" s="46">
        <v>300</v>
      </c>
      <c r="N297" s="46">
        <v>300</v>
      </c>
      <c r="O297" s="46">
        <v>300</v>
      </c>
      <c r="P297" s="46">
        <v>300</v>
      </c>
      <c r="Q297" s="46">
        <v>300</v>
      </c>
      <c r="R297" s="46">
        <v>300</v>
      </c>
      <c r="S297" s="46">
        <v>300</v>
      </c>
      <c r="T297" s="46">
        <v>300</v>
      </c>
      <c r="U297" s="46">
        <v>300</v>
      </c>
      <c r="V297" s="46">
        <v>300</v>
      </c>
      <c r="W297" s="46">
        <v>300</v>
      </c>
      <c r="X297" s="47">
        <f t="shared" si="30"/>
        <v>3600</v>
      </c>
      <c r="Y297" s="46">
        <v>300</v>
      </c>
      <c r="Z297" s="46">
        <v>300</v>
      </c>
      <c r="AA297" s="46">
        <v>300</v>
      </c>
      <c r="AB297" s="46">
        <v>300</v>
      </c>
      <c r="AC297" s="46">
        <v>300</v>
      </c>
      <c r="AD297" s="46">
        <v>300</v>
      </c>
      <c r="AE297" s="46">
        <v>300</v>
      </c>
      <c r="AF297" s="46">
        <v>300</v>
      </c>
      <c r="AG297" s="46">
        <v>300</v>
      </c>
      <c r="AH297" s="46">
        <v>300</v>
      </c>
      <c r="AI297" s="46">
        <v>300</v>
      </c>
      <c r="AJ297" s="46">
        <v>300</v>
      </c>
      <c r="AK297" s="47">
        <f t="shared" si="31"/>
        <v>3600</v>
      </c>
      <c r="AL297" s="46">
        <v>300</v>
      </c>
      <c r="AM297" s="46">
        <v>300</v>
      </c>
      <c r="AN297" s="46">
        <v>300</v>
      </c>
      <c r="AO297" s="46">
        <v>300</v>
      </c>
      <c r="AP297" s="46">
        <v>300</v>
      </c>
      <c r="AQ297" s="46">
        <v>300</v>
      </c>
      <c r="AR297" s="46">
        <v>300</v>
      </c>
      <c r="AS297" s="46">
        <v>300</v>
      </c>
      <c r="AT297" s="46">
        <v>300</v>
      </c>
      <c r="AU297" s="46">
        <v>300</v>
      </c>
      <c r="AV297" s="46">
        <v>300</v>
      </c>
      <c r="AW297" s="46">
        <v>300</v>
      </c>
      <c r="AX297" s="47">
        <f t="shared" si="32"/>
        <v>3600</v>
      </c>
      <c r="AY297" s="319">
        <f>SUMIF(Recibos!$D$4:$D$3010,Cobranza!$B297,Recibos!K$4:K$3010)</f>
        <v>300</v>
      </c>
      <c r="AZ297" s="319">
        <f>SUMIF(Recibos!$D$4:$D$3010,Cobranza!$B297,Recibos!L$4:L$3010)</f>
        <v>300</v>
      </c>
      <c r="BA297" s="319">
        <f>SUMIF(Recibos!$D$4:$D$3010,Cobranza!$B297,Recibos!M$4:M$3010)</f>
        <v>300</v>
      </c>
      <c r="BB297" s="319">
        <f>SUMIF(Recibos!$D$4:$D$3010,Cobranza!$B297,Recibos!N$4:N$3010)</f>
        <v>300</v>
      </c>
      <c r="BC297" s="319">
        <f>SUMIF(Recibos!$D$4:$D$3010,Cobranza!$B297,Recibos!O$4:O$3010)</f>
        <v>300</v>
      </c>
      <c r="BD297" s="319">
        <f>SUMIF(Recibos!$D$4:$D$3010,Cobranza!$B297,Recibos!P$4:P$3010)</f>
        <v>300</v>
      </c>
      <c r="BE297" s="319">
        <f>SUMIF(Recibos!$D$4:$D$3010,Cobranza!$B297,Recibos!Q$4:Q$3010)</f>
        <v>300</v>
      </c>
      <c r="BF297" s="319">
        <f>SUMIF(Recibos!$D$4:$D$3010,Cobranza!$B297,Recibos!R$4:R$3010)</f>
        <v>300</v>
      </c>
      <c r="BG297" s="319">
        <f>SUMIF(Recibos!$D$4:$D$3010,Cobranza!$B297,Recibos!S$4:S$3010)</f>
        <v>300</v>
      </c>
      <c r="BH297" s="319">
        <f>SUMIF(Recibos!$D$4:$D$3010,Cobranza!$B297,Recibos!T$4:T$3010)</f>
        <v>300</v>
      </c>
      <c r="BI297" s="319">
        <f>SUMIF(Recibos!$D$4:$D$3010,Cobranza!$B297,Recibos!U$4:U$3010)</f>
        <v>300</v>
      </c>
      <c r="BJ297" s="319">
        <f>SUMIF(Recibos!$D$4:$D$3010,Cobranza!$B297,Recibos!V$4:V$3010)</f>
        <v>300</v>
      </c>
      <c r="BK297" s="320">
        <f t="shared" si="33"/>
        <v>3600</v>
      </c>
      <c r="BL297" s="319">
        <f>SUMIF(Recibos!$D$4:$D$3010,Cobranza!$B297,Recibos!X$4:X$3010)</f>
        <v>0</v>
      </c>
      <c r="BM297" s="319">
        <f>SUMIF(Recibos!$D$4:$D$3010,Cobranza!$B297,Recibos!Y$4:Y$3010)</f>
        <v>0</v>
      </c>
      <c r="BN297" s="319">
        <f>SUMIF(Recibos!$D$4:$D$3010,Cobranza!$B297,Recibos!Z$4:Z$3010)</f>
        <v>0</v>
      </c>
      <c r="BO297" s="319">
        <f>SUMIF(Recibos!$D$4:$D$3010,Cobranza!$B297,Recibos!AA$4:AA$3010)</f>
        <v>0</v>
      </c>
      <c r="BP297" s="319">
        <f>SUMIF(Recibos!$D$4:$D$3010,Cobranza!$B297,Recibos!AB$4:AB$3010)</f>
        <v>0</v>
      </c>
      <c r="BQ297" s="319">
        <f>SUMIF(Recibos!$D$4:$D$3010,Cobranza!$B297,Recibos!AC$4:AC$3010)</f>
        <v>0</v>
      </c>
      <c r="BR297" s="319">
        <f>SUMIF(Recibos!$D$4:$D$3010,Cobranza!$B297,Recibos!AD$4:AD$3010)</f>
        <v>0</v>
      </c>
      <c r="BS297" s="319">
        <f>SUMIF(Recibos!$D$4:$D$3010,Cobranza!$B297,Recibos!AE$4:AE$3010)</f>
        <v>0</v>
      </c>
      <c r="BT297" s="319">
        <f>SUMIF(Recibos!$D$4:$D$3010,Cobranza!$B297,Recibos!AF$4:AF$3010)</f>
        <v>0</v>
      </c>
      <c r="BU297" s="319">
        <f>SUMIF(Recibos!$D$4:$D$3010,Cobranza!$B297,Recibos!AG$4:AG$3010)</f>
        <v>0</v>
      </c>
      <c r="BV297" s="319">
        <f>SUMIF(Recibos!$D$4:$D$3010,Cobranza!$B297,Recibos!AH$4:AH$3010)</f>
        <v>0</v>
      </c>
      <c r="BW297" s="319">
        <f>SUMIF(Recibos!$D$4:$D$3010,Cobranza!$B297,Recibos!AI$4:AI$3010)</f>
        <v>0</v>
      </c>
      <c r="BX297" s="320">
        <f t="shared" si="34"/>
        <v>0</v>
      </c>
    </row>
    <row r="298" spans="2:76" x14ac:dyDescent="0.2">
      <c r="B298" s="42" t="s">
        <v>247</v>
      </c>
      <c r="C298" s="42" t="s">
        <v>248</v>
      </c>
      <c r="D298" s="42" t="s">
        <v>249</v>
      </c>
      <c r="E298" s="43">
        <v>0</v>
      </c>
      <c r="F298" s="43">
        <v>0</v>
      </c>
      <c r="G298" s="43">
        <v>0</v>
      </c>
      <c r="H298" s="43">
        <v>0</v>
      </c>
      <c r="I298" s="43">
        <v>0</v>
      </c>
      <c r="J298" s="43">
        <v>300</v>
      </c>
      <c r="K298" s="44">
        <f t="shared" si="29"/>
        <v>300</v>
      </c>
      <c r="L298" s="43">
        <v>300</v>
      </c>
      <c r="M298" s="43">
        <v>300</v>
      </c>
      <c r="N298" s="43">
        <v>300</v>
      </c>
      <c r="O298" s="43">
        <v>300</v>
      </c>
      <c r="P298" s="43">
        <v>300</v>
      </c>
      <c r="Q298" s="43">
        <v>300</v>
      </c>
      <c r="R298" s="43">
        <v>300</v>
      </c>
      <c r="S298" s="43">
        <v>300</v>
      </c>
      <c r="T298" s="43">
        <v>300</v>
      </c>
      <c r="U298" s="43">
        <v>300</v>
      </c>
      <c r="V298" s="43">
        <v>400</v>
      </c>
      <c r="W298" s="43">
        <v>400</v>
      </c>
      <c r="X298" s="44">
        <f t="shared" si="30"/>
        <v>3800</v>
      </c>
      <c r="Y298" s="43">
        <v>400</v>
      </c>
      <c r="Z298" s="43">
        <v>400</v>
      </c>
      <c r="AA298" s="43">
        <v>400</v>
      </c>
      <c r="AB298" s="43">
        <v>400</v>
      </c>
      <c r="AC298" s="43">
        <v>400</v>
      </c>
      <c r="AD298" s="43">
        <v>400</v>
      </c>
      <c r="AE298" s="43">
        <v>400</v>
      </c>
      <c r="AF298" s="43">
        <v>400</v>
      </c>
      <c r="AG298" s="43">
        <v>400</v>
      </c>
      <c r="AH298" s="43">
        <v>400</v>
      </c>
      <c r="AI298" s="43">
        <v>400</v>
      </c>
      <c r="AJ298" s="43">
        <v>400</v>
      </c>
      <c r="AK298" s="44">
        <f t="shared" si="31"/>
        <v>4800</v>
      </c>
      <c r="AL298" s="43">
        <v>400</v>
      </c>
      <c r="AM298" s="43">
        <v>400</v>
      </c>
      <c r="AN298" s="43">
        <v>400</v>
      </c>
      <c r="AO298" s="43">
        <v>400</v>
      </c>
      <c r="AP298" s="43">
        <v>400</v>
      </c>
      <c r="AQ298" s="43">
        <v>400</v>
      </c>
      <c r="AR298" s="43">
        <v>400</v>
      </c>
      <c r="AS298" s="43">
        <v>400</v>
      </c>
      <c r="AT298" s="43">
        <v>400</v>
      </c>
      <c r="AU298" s="43">
        <v>400</v>
      </c>
      <c r="AV298" s="43">
        <v>400</v>
      </c>
      <c r="AW298" s="43">
        <v>400</v>
      </c>
      <c r="AX298" s="44">
        <f t="shared" si="32"/>
        <v>4800</v>
      </c>
      <c r="AY298" s="317">
        <f>SUMIF(Recibos!$D$4:$D$3010,Cobranza!$B298,Recibos!K$4:K$3010)</f>
        <v>400</v>
      </c>
      <c r="AZ298" s="317">
        <f>SUMIF(Recibos!$D$4:$D$3010,Cobranza!$B298,Recibos!L$4:L$3010)</f>
        <v>400</v>
      </c>
      <c r="BA298" s="317">
        <f>SUMIF(Recibos!$D$4:$D$3010,Cobranza!$B298,Recibos!M$4:M$3010)</f>
        <v>400</v>
      </c>
      <c r="BB298" s="317">
        <f>SUMIF(Recibos!$D$4:$D$3010,Cobranza!$B298,Recibos!N$4:N$3010)</f>
        <v>400</v>
      </c>
      <c r="BC298" s="317">
        <f>SUMIF(Recibos!$D$4:$D$3010,Cobranza!$B298,Recibos!O$4:O$3010)</f>
        <v>400</v>
      </c>
      <c r="BD298" s="317">
        <f>SUMIF(Recibos!$D$4:$D$3010,Cobranza!$B298,Recibos!P$4:P$3010)</f>
        <v>400</v>
      </c>
      <c r="BE298" s="317">
        <f>SUMIF(Recibos!$D$4:$D$3010,Cobranza!$B298,Recibos!Q$4:Q$3010)</f>
        <v>400</v>
      </c>
      <c r="BF298" s="317">
        <f>SUMIF(Recibos!$D$4:$D$3010,Cobranza!$B298,Recibos!R$4:R$3010)</f>
        <v>400</v>
      </c>
      <c r="BG298" s="317">
        <f>SUMIF(Recibos!$D$4:$D$3010,Cobranza!$B298,Recibos!S$4:S$3010)</f>
        <v>400</v>
      </c>
      <c r="BH298" s="317">
        <f>SUMIF(Recibos!$D$4:$D$3010,Cobranza!$B298,Recibos!T$4:T$3010)</f>
        <v>400</v>
      </c>
      <c r="BI298" s="317">
        <f>SUMIF(Recibos!$D$4:$D$3010,Cobranza!$B298,Recibos!U$4:U$3010)</f>
        <v>400</v>
      </c>
      <c r="BJ298" s="317">
        <f>SUMIF(Recibos!$D$4:$D$3010,Cobranza!$B298,Recibos!V$4:V$3010)</f>
        <v>400</v>
      </c>
      <c r="BK298" s="318">
        <f t="shared" si="33"/>
        <v>4800</v>
      </c>
      <c r="BL298" s="317">
        <f>SUMIF(Recibos!$D$4:$D$3010,Cobranza!$B298,Recibos!X$4:X$3010)</f>
        <v>0</v>
      </c>
      <c r="BM298" s="317">
        <f>SUMIF(Recibos!$D$4:$D$3010,Cobranza!$B298,Recibos!Y$4:Y$3010)</f>
        <v>0</v>
      </c>
      <c r="BN298" s="317">
        <f>SUMIF(Recibos!$D$4:$D$3010,Cobranza!$B298,Recibos!Z$4:Z$3010)</f>
        <v>0</v>
      </c>
      <c r="BO298" s="317">
        <f>SUMIF(Recibos!$D$4:$D$3010,Cobranza!$B298,Recibos!AA$4:AA$3010)</f>
        <v>0</v>
      </c>
      <c r="BP298" s="317">
        <f>SUMIF(Recibos!$D$4:$D$3010,Cobranza!$B298,Recibos!AB$4:AB$3010)</f>
        <v>0</v>
      </c>
      <c r="BQ298" s="317">
        <f>SUMIF(Recibos!$D$4:$D$3010,Cobranza!$B298,Recibos!AC$4:AC$3010)</f>
        <v>0</v>
      </c>
      <c r="BR298" s="317">
        <f>SUMIF(Recibos!$D$4:$D$3010,Cobranza!$B298,Recibos!AD$4:AD$3010)</f>
        <v>0</v>
      </c>
      <c r="BS298" s="317">
        <f>SUMIF(Recibos!$D$4:$D$3010,Cobranza!$B298,Recibos!AE$4:AE$3010)</f>
        <v>0</v>
      </c>
      <c r="BT298" s="317">
        <f>SUMIF(Recibos!$D$4:$D$3010,Cobranza!$B298,Recibos!AF$4:AF$3010)</f>
        <v>0</v>
      </c>
      <c r="BU298" s="317">
        <f>SUMIF(Recibos!$D$4:$D$3010,Cobranza!$B298,Recibos!AG$4:AG$3010)</f>
        <v>0</v>
      </c>
      <c r="BV298" s="317">
        <f>SUMIF(Recibos!$D$4:$D$3010,Cobranza!$B298,Recibos!AH$4:AH$3010)</f>
        <v>0</v>
      </c>
      <c r="BW298" s="317">
        <f>SUMIF(Recibos!$D$4:$D$3010,Cobranza!$B298,Recibos!AI$4:AI$3010)</f>
        <v>0</v>
      </c>
      <c r="BX298" s="318">
        <f t="shared" si="34"/>
        <v>0</v>
      </c>
    </row>
    <row r="299" spans="2:76" x14ac:dyDescent="0.2">
      <c r="B299" s="45" t="s">
        <v>1203</v>
      </c>
      <c r="C299" s="45" t="s">
        <v>1204</v>
      </c>
      <c r="D299" s="45" t="s">
        <v>1205</v>
      </c>
      <c r="E299" s="46">
        <v>0</v>
      </c>
      <c r="F299" s="46">
        <v>0</v>
      </c>
      <c r="G299" s="46">
        <v>0</v>
      </c>
      <c r="H299" s="46">
        <v>0</v>
      </c>
      <c r="I299" s="46">
        <v>0</v>
      </c>
      <c r="J299" s="46">
        <v>300</v>
      </c>
      <c r="K299" s="47">
        <f t="shared" si="29"/>
        <v>300</v>
      </c>
      <c r="L299" s="46">
        <v>300</v>
      </c>
      <c r="M299" s="46">
        <v>300</v>
      </c>
      <c r="N299" s="46">
        <v>300</v>
      </c>
      <c r="O299" s="46">
        <v>0</v>
      </c>
      <c r="P299" s="46">
        <v>0</v>
      </c>
      <c r="Q299" s="46">
        <v>0</v>
      </c>
      <c r="R299" s="46">
        <v>0</v>
      </c>
      <c r="S299" s="46">
        <v>0</v>
      </c>
      <c r="T299" s="46">
        <v>0</v>
      </c>
      <c r="U299" s="46">
        <v>0</v>
      </c>
      <c r="V299" s="46">
        <v>0</v>
      </c>
      <c r="W299" s="46">
        <v>0</v>
      </c>
      <c r="X299" s="47">
        <f t="shared" si="30"/>
        <v>900</v>
      </c>
      <c r="Y299" s="46">
        <v>0</v>
      </c>
      <c r="Z299" s="46">
        <v>0</v>
      </c>
      <c r="AA299" s="46">
        <v>0</v>
      </c>
      <c r="AB299" s="46">
        <v>0</v>
      </c>
      <c r="AC299" s="46">
        <v>0</v>
      </c>
      <c r="AD299" s="46">
        <v>0</v>
      </c>
      <c r="AE299" s="46">
        <v>0</v>
      </c>
      <c r="AF299" s="46">
        <v>0</v>
      </c>
      <c r="AG299" s="46">
        <v>0</v>
      </c>
      <c r="AH299" s="46">
        <v>0</v>
      </c>
      <c r="AI299" s="46">
        <v>0</v>
      </c>
      <c r="AJ299" s="46">
        <v>0</v>
      </c>
      <c r="AK299" s="47">
        <f t="shared" si="31"/>
        <v>0</v>
      </c>
      <c r="AL299" s="46">
        <v>0</v>
      </c>
      <c r="AM299" s="46">
        <v>0</v>
      </c>
      <c r="AN299" s="46">
        <v>0</v>
      </c>
      <c r="AO299" s="46">
        <v>0</v>
      </c>
      <c r="AP299" s="46">
        <v>0</v>
      </c>
      <c r="AQ299" s="46">
        <v>0</v>
      </c>
      <c r="AR299" s="46">
        <v>0</v>
      </c>
      <c r="AS299" s="46">
        <v>0</v>
      </c>
      <c r="AT299" s="46">
        <v>0</v>
      </c>
      <c r="AU299" s="46">
        <v>0</v>
      </c>
      <c r="AV299" s="46">
        <v>0</v>
      </c>
      <c r="AW299" s="46">
        <v>0</v>
      </c>
      <c r="AX299" s="47">
        <f t="shared" si="32"/>
        <v>0</v>
      </c>
      <c r="AY299" s="319">
        <f>SUMIF(Recibos!$D$4:$D$3010,Cobranza!$B299,Recibos!K$4:K$3010)</f>
        <v>0</v>
      </c>
      <c r="AZ299" s="319">
        <f>SUMIF(Recibos!$D$4:$D$3010,Cobranza!$B299,Recibos!L$4:L$3010)</f>
        <v>0</v>
      </c>
      <c r="BA299" s="319">
        <f>SUMIF(Recibos!$D$4:$D$3010,Cobranza!$B299,Recibos!M$4:M$3010)</f>
        <v>0</v>
      </c>
      <c r="BB299" s="319">
        <f>SUMIF(Recibos!$D$4:$D$3010,Cobranza!$B299,Recibos!N$4:N$3010)</f>
        <v>0</v>
      </c>
      <c r="BC299" s="319">
        <f>SUMIF(Recibos!$D$4:$D$3010,Cobranza!$B299,Recibos!O$4:O$3010)</f>
        <v>0</v>
      </c>
      <c r="BD299" s="319">
        <f>SUMIF(Recibos!$D$4:$D$3010,Cobranza!$B299,Recibos!P$4:P$3010)</f>
        <v>0</v>
      </c>
      <c r="BE299" s="319">
        <f>SUMIF(Recibos!$D$4:$D$3010,Cobranza!$B299,Recibos!Q$4:Q$3010)</f>
        <v>0</v>
      </c>
      <c r="BF299" s="319">
        <f>SUMIF(Recibos!$D$4:$D$3010,Cobranza!$B299,Recibos!R$4:R$3010)</f>
        <v>0</v>
      </c>
      <c r="BG299" s="319">
        <f>SUMIF(Recibos!$D$4:$D$3010,Cobranza!$B299,Recibos!S$4:S$3010)</f>
        <v>0</v>
      </c>
      <c r="BH299" s="319">
        <f>SUMIF(Recibos!$D$4:$D$3010,Cobranza!$B299,Recibos!T$4:T$3010)</f>
        <v>300</v>
      </c>
      <c r="BI299" s="319">
        <f>SUMIF(Recibos!$D$4:$D$3010,Cobranza!$B299,Recibos!U$4:U$3010)</f>
        <v>300</v>
      </c>
      <c r="BJ299" s="319">
        <f>SUMIF(Recibos!$D$4:$D$3010,Cobranza!$B299,Recibos!V$4:V$3010)</f>
        <v>0</v>
      </c>
      <c r="BK299" s="320">
        <f t="shared" si="33"/>
        <v>600</v>
      </c>
      <c r="BL299" s="319">
        <f>SUMIF(Recibos!$D$4:$D$3010,Cobranza!$B299,Recibos!X$4:X$3010)</f>
        <v>0</v>
      </c>
      <c r="BM299" s="319">
        <f>SUMIF(Recibos!$D$4:$D$3010,Cobranza!$B299,Recibos!Y$4:Y$3010)</f>
        <v>0</v>
      </c>
      <c r="BN299" s="319">
        <f>SUMIF(Recibos!$D$4:$D$3010,Cobranza!$B299,Recibos!Z$4:Z$3010)</f>
        <v>0</v>
      </c>
      <c r="BO299" s="319">
        <f>SUMIF(Recibos!$D$4:$D$3010,Cobranza!$B299,Recibos!AA$4:AA$3010)</f>
        <v>0</v>
      </c>
      <c r="BP299" s="319">
        <f>SUMIF(Recibos!$D$4:$D$3010,Cobranza!$B299,Recibos!AB$4:AB$3010)</f>
        <v>0</v>
      </c>
      <c r="BQ299" s="319">
        <f>SUMIF(Recibos!$D$4:$D$3010,Cobranza!$B299,Recibos!AC$4:AC$3010)</f>
        <v>0</v>
      </c>
      <c r="BR299" s="319">
        <f>SUMIF(Recibos!$D$4:$D$3010,Cobranza!$B299,Recibos!AD$4:AD$3010)</f>
        <v>0</v>
      </c>
      <c r="BS299" s="319">
        <f>SUMIF(Recibos!$D$4:$D$3010,Cobranza!$B299,Recibos!AE$4:AE$3010)</f>
        <v>0</v>
      </c>
      <c r="BT299" s="319">
        <f>SUMIF(Recibos!$D$4:$D$3010,Cobranza!$B299,Recibos!AF$4:AF$3010)</f>
        <v>0</v>
      </c>
      <c r="BU299" s="319">
        <f>SUMIF(Recibos!$D$4:$D$3010,Cobranza!$B299,Recibos!AG$4:AG$3010)</f>
        <v>0</v>
      </c>
      <c r="BV299" s="319">
        <f>SUMIF(Recibos!$D$4:$D$3010,Cobranza!$B299,Recibos!AH$4:AH$3010)</f>
        <v>0</v>
      </c>
      <c r="BW299" s="319">
        <f>SUMIF(Recibos!$D$4:$D$3010,Cobranza!$B299,Recibos!AI$4:AI$3010)</f>
        <v>0</v>
      </c>
      <c r="BX299" s="320">
        <f t="shared" si="34"/>
        <v>0</v>
      </c>
    </row>
    <row r="300" spans="2:76" x14ac:dyDescent="0.2">
      <c r="B300" s="42" t="s">
        <v>983</v>
      </c>
      <c r="C300" s="42" t="s">
        <v>984</v>
      </c>
      <c r="D300" s="42" t="s">
        <v>985</v>
      </c>
      <c r="E300" s="43">
        <v>0</v>
      </c>
      <c r="F300" s="43">
        <v>0</v>
      </c>
      <c r="G300" s="43">
        <v>0</v>
      </c>
      <c r="H300" s="43">
        <v>0</v>
      </c>
      <c r="I300" s="43">
        <v>0</v>
      </c>
      <c r="J300" s="43">
        <v>300</v>
      </c>
      <c r="K300" s="44">
        <f t="shared" si="29"/>
        <v>300</v>
      </c>
      <c r="L300" s="43">
        <v>300</v>
      </c>
      <c r="M300" s="43">
        <v>300</v>
      </c>
      <c r="N300" s="43">
        <v>300</v>
      </c>
      <c r="O300" s="43">
        <v>300</v>
      </c>
      <c r="P300" s="43">
        <v>300</v>
      </c>
      <c r="Q300" s="43">
        <v>300</v>
      </c>
      <c r="R300" s="43">
        <v>300</v>
      </c>
      <c r="S300" s="43">
        <v>300</v>
      </c>
      <c r="T300" s="43">
        <v>300</v>
      </c>
      <c r="U300" s="43">
        <v>400</v>
      </c>
      <c r="V300" s="43">
        <v>400</v>
      </c>
      <c r="W300" s="43">
        <v>400</v>
      </c>
      <c r="X300" s="44">
        <f t="shared" si="30"/>
        <v>3900</v>
      </c>
      <c r="Y300" s="43">
        <v>400</v>
      </c>
      <c r="Z300" s="43">
        <v>400</v>
      </c>
      <c r="AA300" s="43">
        <v>400</v>
      </c>
      <c r="AB300" s="43">
        <v>400</v>
      </c>
      <c r="AC300" s="43">
        <v>400</v>
      </c>
      <c r="AD300" s="43">
        <v>400</v>
      </c>
      <c r="AE300" s="43">
        <v>400</v>
      </c>
      <c r="AF300" s="43">
        <v>400</v>
      </c>
      <c r="AG300" s="43">
        <v>400</v>
      </c>
      <c r="AH300" s="43">
        <v>400</v>
      </c>
      <c r="AI300" s="43">
        <v>400</v>
      </c>
      <c r="AJ300" s="43">
        <v>400</v>
      </c>
      <c r="AK300" s="44">
        <f t="shared" si="31"/>
        <v>4800</v>
      </c>
      <c r="AL300" s="43">
        <v>0</v>
      </c>
      <c r="AM300" s="43">
        <v>0</v>
      </c>
      <c r="AN300" s="43">
        <v>0</v>
      </c>
      <c r="AO300" s="43">
        <v>0</v>
      </c>
      <c r="AP300" s="43">
        <v>0</v>
      </c>
      <c r="AQ300" s="43">
        <v>0</v>
      </c>
      <c r="AR300" s="43">
        <v>0</v>
      </c>
      <c r="AS300" s="43">
        <v>0</v>
      </c>
      <c r="AT300" s="43">
        <v>0</v>
      </c>
      <c r="AU300" s="43">
        <v>0</v>
      </c>
      <c r="AV300" s="43">
        <v>0</v>
      </c>
      <c r="AW300" s="43">
        <v>0</v>
      </c>
      <c r="AX300" s="44">
        <f t="shared" si="32"/>
        <v>0</v>
      </c>
      <c r="AY300" s="317">
        <f>SUMIF(Recibos!$D$4:$D$3010,Cobranza!$B300,Recibos!K$4:K$3010)</f>
        <v>400</v>
      </c>
      <c r="AZ300" s="317">
        <f>SUMIF(Recibos!$D$4:$D$3010,Cobranza!$B300,Recibos!L$4:L$3010)</f>
        <v>400</v>
      </c>
      <c r="BA300" s="317">
        <f>SUMIF(Recibos!$D$4:$D$3010,Cobranza!$B300,Recibos!M$4:M$3010)</f>
        <v>400</v>
      </c>
      <c r="BB300" s="317">
        <f>SUMIF(Recibos!$D$4:$D$3010,Cobranza!$B300,Recibos!N$4:N$3010)</f>
        <v>400</v>
      </c>
      <c r="BC300" s="317">
        <f>SUMIF(Recibos!$D$4:$D$3010,Cobranza!$B300,Recibos!O$4:O$3010)</f>
        <v>400</v>
      </c>
      <c r="BD300" s="317">
        <f>SUMIF(Recibos!$D$4:$D$3010,Cobranza!$B300,Recibos!P$4:P$3010)</f>
        <v>400</v>
      </c>
      <c r="BE300" s="317">
        <f>SUMIF(Recibos!$D$4:$D$3010,Cobranza!$B300,Recibos!Q$4:Q$3010)</f>
        <v>0</v>
      </c>
      <c r="BF300" s="317">
        <f>SUMIF(Recibos!$D$4:$D$3010,Cobranza!$B300,Recibos!R$4:R$3010)</f>
        <v>0</v>
      </c>
      <c r="BG300" s="317">
        <f>SUMIF(Recibos!$D$4:$D$3010,Cobranza!$B300,Recibos!S$4:S$3010)</f>
        <v>0</v>
      </c>
      <c r="BH300" s="317">
        <f>SUMIF(Recibos!$D$4:$D$3010,Cobranza!$B300,Recibos!T$4:T$3010)</f>
        <v>0</v>
      </c>
      <c r="BI300" s="317">
        <f>SUMIF(Recibos!$D$4:$D$3010,Cobranza!$B300,Recibos!U$4:U$3010)</f>
        <v>0</v>
      </c>
      <c r="BJ300" s="317">
        <f>SUMIF(Recibos!$D$4:$D$3010,Cobranza!$B300,Recibos!V$4:V$3010)</f>
        <v>0</v>
      </c>
      <c r="BK300" s="318">
        <f t="shared" si="33"/>
        <v>2400</v>
      </c>
      <c r="BL300" s="317">
        <f>SUMIF(Recibos!$D$4:$D$3010,Cobranza!$B300,Recibos!X$4:X$3010)</f>
        <v>0</v>
      </c>
      <c r="BM300" s="317">
        <f>SUMIF(Recibos!$D$4:$D$3010,Cobranza!$B300,Recibos!Y$4:Y$3010)</f>
        <v>0</v>
      </c>
      <c r="BN300" s="317">
        <f>SUMIF(Recibos!$D$4:$D$3010,Cobranza!$B300,Recibos!Z$4:Z$3010)</f>
        <v>0</v>
      </c>
      <c r="BO300" s="317">
        <f>SUMIF(Recibos!$D$4:$D$3010,Cobranza!$B300,Recibos!AA$4:AA$3010)</f>
        <v>0</v>
      </c>
      <c r="BP300" s="317">
        <f>SUMIF(Recibos!$D$4:$D$3010,Cobranza!$B300,Recibos!AB$4:AB$3010)</f>
        <v>0</v>
      </c>
      <c r="BQ300" s="317">
        <f>SUMIF(Recibos!$D$4:$D$3010,Cobranza!$B300,Recibos!AC$4:AC$3010)</f>
        <v>0</v>
      </c>
      <c r="BR300" s="317">
        <f>SUMIF(Recibos!$D$4:$D$3010,Cobranza!$B300,Recibos!AD$4:AD$3010)</f>
        <v>0</v>
      </c>
      <c r="BS300" s="317">
        <f>SUMIF(Recibos!$D$4:$D$3010,Cobranza!$B300,Recibos!AE$4:AE$3010)</f>
        <v>0</v>
      </c>
      <c r="BT300" s="317">
        <f>SUMIF(Recibos!$D$4:$D$3010,Cobranza!$B300,Recibos!AF$4:AF$3010)</f>
        <v>0</v>
      </c>
      <c r="BU300" s="317">
        <f>SUMIF(Recibos!$D$4:$D$3010,Cobranza!$B300,Recibos!AG$4:AG$3010)</f>
        <v>0</v>
      </c>
      <c r="BV300" s="317">
        <f>SUMIF(Recibos!$D$4:$D$3010,Cobranza!$B300,Recibos!AH$4:AH$3010)</f>
        <v>0</v>
      </c>
      <c r="BW300" s="317">
        <f>SUMIF(Recibos!$D$4:$D$3010,Cobranza!$B300,Recibos!AI$4:AI$3010)</f>
        <v>0</v>
      </c>
      <c r="BX300" s="318">
        <f t="shared" si="34"/>
        <v>0</v>
      </c>
    </row>
    <row r="301" spans="2:76" x14ac:dyDescent="0.2">
      <c r="B301" s="45" t="s">
        <v>298</v>
      </c>
      <c r="C301" s="45" t="s">
        <v>299</v>
      </c>
      <c r="D301" s="45" t="s">
        <v>300</v>
      </c>
      <c r="E301" s="46">
        <v>0</v>
      </c>
      <c r="F301" s="46">
        <v>0</v>
      </c>
      <c r="G301" s="46">
        <v>0</v>
      </c>
      <c r="H301" s="46">
        <v>0</v>
      </c>
      <c r="I301" s="46">
        <v>0</v>
      </c>
      <c r="J301" s="46">
        <v>0</v>
      </c>
      <c r="K301" s="47">
        <f t="shared" si="29"/>
        <v>0</v>
      </c>
      <c r="L301" s="46">
        <v>150</v>
      </c>
      <c r="M301" s="46">
        <v>150</v>
      </c>
      <c r="N301" s="46">
        <v>0</v>
      </c>
      <c r="O301" s="46">
        <v>0</v>
      </c>
      <c r="P301" s="46">
        <v>0</v>
      </c>
      <c r="Q301" s="46">
        <v>150</v>
      </c>
      <c r="R301" s="46">
        <v>150</v>
      </c>
      <c r="S301" s="46">
        <v>150</v>
      </c>
      <c r="T301" s="46">
        <v>150</v>
      </c>
      <c r="U301" s="46">
        <v>150</v>
      </c>
      <c r="V301" s="46">
        <v>150</v>
      </c>
      <c r="W301" s="46">
        <v>150</v>
      </c>
      <c r="X301" s="47">
        <f t="shared" si="30"/>
        <v>1350</v>
      </c>
      <c r="Y301" s="46">
        <v>150</v>
      </c>
      <c r="Z301" s="46">
        <v>150</v>
      </c>
      <c r="AA301" s="46">
        <v>150</v>
      </c>
      <c r="AB301" s="46">
        <v>150</v>
      </c>
      <c r="AC301" s="46">
        <v>150</v>
      </c>
      <c r="AD301" s="46">
        <v>150</v>
      </c>
      <c r="AE301" s="46">
        <v>150</v>
      </c>
      <c r="AF301" s="46">
        <v>150</v>
      </c>
      <c r="AG301" s="46">
        <v>150</v>
      </c>
      <c r="AH301" s="46">
        <v>0</v>
      </c>
      <c r="AI301" s="46">
        <v>0</v>
      </c>
      <c r="AJ301" s="46">
        <v>0</v>
      </c>
      <c r="AK301" s="47">
        <f t="shared" si="31"/>
        <v>1350</v>
      </c>
      <c r="AL301" s="46">
        <v>150</v>
      </c>
      <c r="AM301" s="46">
        <v>150</v>
      </c>
      <c r="AN301" s="46">
        <v>150</v>
      </c>
      <c r="AO301" s="46">
        <v>150</v>
      </c>
      <c r="AP301" s="46">
        <v>0</v>
      </c>
      <c r="AQ301" s="46">
        <v>0</v>
      </c>
      <c r="AR301" s="46">
        <v>0</v>
      </c>
      <c r="AS301" s="46">
        <v>0</v>
      </c>
      <c r="AT301" s="46">
        <v>0</v>
      </c>
      <c r="AU301" s="46">
        <v>150</v>
      </c>
      <c r="AV301" s="46">
        <v>150</v>
      </c>
      <c r="AW301" s="46">
        <v>150</v>
      </c>
      <c r="AX301" s="47">
        <f t="shared" si="32"/>
        <v>1050</v>
      </c>
      <c r="AY301" s="319">
        <f>SUMIF(Recibos!$D$4:$D$3010,Cobranza!$B301,Recibos!K$4:K$3010)</f>
        <v>150</v>
      </c>
      <c r="AZ301" s="319">
        <f>SUMIF(Recibos!$D$4:$D$3010,Cobranza!$B301,Recibos!L$4:L$3010)</f>
        <v>150</v>
      </c>
      <c r="BA301" s="319">
        <f>SUMIF(Recibos!$D$4:$D$3010,Cobranza!$B301,Recibos!M$4:M$3010)</f>
        <v>150</v>
      </c>
      <c r="BB301" s="319">
        <f>SUMIF(Recibos!$D$4:$D$3010,Cobranza!$B301,Recibos!N$4:N$3010)</f>
        <v>150</v>
      </c>
      <c r="BC301" s="319">
        <f>SUMIF(Recibos!$D$4:$D$3010,Cobranza!$B301,Recibos!O$4:O$3010)</f>
        <v>150</v>
      </c>
      <c r="BD301" s="319">
        <f>SUMIF(Recibos!$D$4:$D$3010,Cobranza!$B301,Recibos!P$4:P$3010)</f>
        <v>150</v>
      </c>
      <c r="BE301" s="319">
        <f>SUMIF(Recibos!$D$4:$D$3010,Cobranza!$B301,Recibos!Q$4:Q$3010)</f>
        <v>150</v>
      </c>
      <c r="BF301" s="319">
        <f>SUMIF(Recibos!$D$4:$D$3010,Cobranza!$B301,Recibos!R$4:R$3010)</f>
        <v>150</v>
      </c>
      <c r="BG301" s="319">
        <f>SUMIF(Recibos!$D$4:$D$3010,Cobranza!$B301,Recibos!S$4:S$3010)</f>
        <v>150</v>
      </c>
      <c r="BH301" s="319">
        <f>SUMIF(Recibos!$D$4:$D$3010,Cobranza!$B301,Recibos!T$4:T$3010)</f>
        <v>0</v>
      </c>
      <c r="BI301" s="319">
        <f>SUMIF(Recibos!$D$4:$D$3010,Cobranza!$B301,Recibos!U$4:U$3010)</f>
        <v>0</v>
      </c>
      <c r="BJ301" s="319">
        <f>SUMIF(Recibos!$D$4:$D$3010,Cobranza!$B301,Recibos!V$4:V$3010)</f>
        <v>0</v>
      </c>
      <c r="BK301" s="320">
        <f t="shared" si="33"/>
        <v>1350</v>
      </c>
      <c r="BL301" s="319">
        <f>SUMIF(Recibos!$D$4:$D$3010,Cobranza!$B301,Recibos!X$4:X$3010)</f>
        <v>0</v>
      </c>
      <c r="BM301" s="319">
        <f>SUMIF(Recibos!$D$4:$D$3010,Cobranza!$B301,Recibos!Y$4:Y$3010)</f>
        <v>0</v>
      </c>
      <c r="BN301" s="319">
        <f>SUMIF(Recibos!$D$4:$D$3010,Cobranza!$B301,Recibos!Z$4:Z$3010)</f>
        <v>0</v>
      </c>
      <c r="BO301" s="319">
        <f>SUMIF(Recibos!$D$4:$D$3010,Cobranza!$B301,Recibos!AA$4:AA$3010)</f>
        <v>0</v>
      </c>
      <c r="BP301" s="319">
        <f>SUMIF(Recibos!$D$4:$D$3010,Cobranza!$B301,Recibos!AB$4:AB$3010)</f>
        <v>0</v>
      </c>
      <c r="BQ301" s="319">
        <f>SUMIF(Recibos!$D$4:$D$3010,Cobranza!$B301,Recibos!AC$4:AC$3010)</f>
        <v>0</v>
      </c>
      <c r="BR301" s="319">
        <f>SUMIF(Recibos!$D$4:$D$3010,Cobranza!$B301,Recibos!AD$4:AD$3010)</f>
        <v>0</v>
      </c>
      <c r="BS301" s="319">
        <f>SUMIF(Recibos!$D$4:$D$3010,Cobranza!$B301,Recibos!AE$4:AE$3010)</f>
        <v>0</v>
      </c>
      <c r="BT301" s="319">
        <f>SUMIF(Recibos!$D$4:$D$3010,Cobranza!$B301,Recibos!AF$4:AF$3010)</f>
        <v>0</v>
      </c>
      <c r="BU301" s="319">
        <f>SUMIF(Recibos!$D$4:$D$3010,Cobranza!$B301,Recibos!AG$4:AG$3010)</f>
        <v>0</v>
      </c>
      <c r="BV301" s="319">
        <f>SUMIF(Recibos!$D$4:$D$3010,Cobranza!$B301,Recibos!AH$4:AH$3010)</f>
        <v>0</v>
      </c>
      <c r="BW301" s="319">
        <f>SUMIF(Recibos!$D$4:$D$3010,Cobranza!$B301,Recibos!AI$4:AI$3010)</f>
        <v>0</v>
      </c>
      <c r="BX301" s="320">
        <f t="shared" si="34"/>
        <v>0</v>
      </c>
    </row>
    <row r="302" spans="2:76" x14ac:dyDescent="0.2">
      <c r="B302" s="42" t="s">
        <v>568</v>
      </c>
      <c r="C302" s="42" t="s">
        <v>569</v>
      </c>
      <c r="D302" s="42" t="s">
        <v>570</v>
      </c>
      <c r="E302" s="43">
        <v>0</v>
      </c>
      <c r="F302" s="43">
        <v>0</v>
      </c>
      <c r="G302" s="43">
        <v>0</v>
      </c>
      <c r="H302" s="43">
        <v>300</v>
      </c>
      <c r="I302" s="43">
        <v>300</v>
      </c>
      <c r="J302" s="43">
        <v>300</v>
      </c>
      <c r="K302" s="44">
        <f t="shared" si="29"/>
        <v>900</v>
      </c>
      <c r="L302" s="43">
        <v>0</v>
      </c>
      <c r="M302" s="43">
        <v>0</v>
      </c>
      <c r="N302" s="43">
        <v>0</v>
      </c>
      <c r="O302" s="43">
        <v>0</v>
      </c>
      <c r="P302" s="43">
        <v>0</v>
      </c>
      <c r="Q302" s="43">
        <v>0</v>
      </c>
      <c r="R302" s="43">
        <v>0</v>
      </c>
      <c r="S302" s="43">
        <v>0</v>
      </c>
      <c r="T302" s="43">
        <v>0</v>
      </c>
      <c r="U302" s="43">
        <v>0</v>
      </c>
      <c r="V302" s="43">
        <v>0</v>
      </c>
      <c r="W302" s="43">
        <v>0</v>
      </c>
      <c r="X302" s="44">
        <f t="shared" si="30"/>
        <v>0</v>
      </c>
      <c r="Y302" s="43">
        <v>0</v>
      </c>
      <c r="Z302" s="43">
        <v>0</v>
      </c>
      <c r="AA302" s="43">
        <v>0</v>
      </c>
      <c r="AB302" s="43">
        <v>0</v>
      </c>
      <c r="AC302" s="43">
        <v>0</v>
      </c>
      <c r="AD302" s="43">
        <v>0</v>
      </c>
      <c r="AE302" s="43">
        <v>0</v>
      </c>
      <c r="AF302" s="43">
        <v>0</v>
      </c>
      <c r="AG302" s="43">
        <v>0</v>
      </c>
      <c r="AH302" s="43">
        <v>0</v>
      </c>
      <c r="AI302" s="43">
        <v>0</v>
      </c>
      <c r="AJ302" s="43">
        <v>0</v>
      </c>
      <c r="AK302" s="44">
        <f t="shared" si="31"/>
        <v>0</v>
      </c>
      <c r="AL302" s="43">
        <v>0</v>
      </c>
      <c r="AM302" s="43">
        <v>0</v>
      </c>
      <c r="AN302" s="43">
        <v>0</v>
      </c>
      <c r="AO302" s="43">
        <v>0</v>
      </c>
      <c r="AP302" s="43">
        <v>300</v>
      </c>
      <c r="AQ302" s="43">
        <v>400</v>
      </c>
      <c r="AR302" s="43">
        <v>400</v>
      </c>
      <c r="AS302" s="43">
        <v>400</v>
      </c>
      <c r="AT302" s="43">
        <v>400</v>
      </c>
      <c r="AU302" s="43">
        <v>400</v>
      </c>
      <c r="AV302" s="43">
        <v>400</v>
      </c>
      <c r="AW302" s="43">
        <v>400</v>
      </c>
      <c r="AX302" s="44">
        <f t="shared" si="32"/>
        <v>3100</v>
      </c>
      <c r="AY302" s="317">
        <f>SUMIF(Recibos!$D$4:$D$3010,Cobranza!$B302,Recibos!K$4:K$3010)</f>
        <v>400</v>
      </c>
      <c r="AZ302" s="317">
        <f>SUMIF(Recibos!$D$4:$D$3010,Cobranza!$B302,Recibos!L$4:L$3010)</f>
        <v>400</v>
      </c>
      <c r="BA302" s="317">
        <f>SUMIF(Recibos!$D$4:$D$3010,Cobranza!$B302,Recibos!M$4:M$3010)</f>
        <v>400</v>
      </c>
      <c r="BB302" s="317">
        <f>SUMIF(Recibos!$D$4:$D$3010,Cobranza!$B302,Recibos!N$4:N$3010)</f>
        <v>400</v>
      </c>
      <c r="BC302" s="317">
        <f>SUMIF(Recibos!$D$4:$D$3010,Cobranza!$B302,Recibos!O$4:O$3010)</f>
        <v>400</v>
      </c>
      <c r="BD302" s="317">
        <f>SUMIF(Recibos!$D$4:$D$3010,Cobranza!$B302,Recibos!P$4:P$3010)</f>
        <v>400</v>
      </c>
      <c r="BE302" s="317">
        <f>SUMIF(Recibos!$D$4:$D$3010,Cobranza!$B302,Recibos!Q$4:Q$3010)</f>
        <v>400</v>
      </c>
      <c r="BF302" s="317">
        <f>SUMIF(Recibos!$D$4:$D$3010,Cobranza!$B302,Recibos!R$4:R$3010)</f>
        <v>400</v>
      </c>
      <c r="BG302" s="317">
        <f>SUMIF(Recibos!$D$4:$D$3010,Cobranza!$B302,Recibos!S$4:S$3010)</f>
        <v>400</v>
      </c>
      <c r="BH302" s="317">
        <f>SUMIF(Recibos!$D$4:$D$3010,Cobranza!$B302,Recibos!T$4:T$3010)</f>
        <v>400</v>
      </c>
      <c r="BI302" s="317">
        <f>SUMIF(Recibos!$D$4:$D$3010,Cobranza!$B302,Recibos!U$4:U$3010)</f>
        <v>400</v>
      </c>
      <c r="BJ302" s="317">
        <f>SUMIF(Recibos!$D$4:$D$3010,Cobranza!$B302,Recibos!V$4:V$3010)</f>
        <v>400</v>
      </c>
      <c r="BK302" s="318">
        <f t="shared" si="33"/>
        <v>4800</v>
      </c>
      <c r="BL302" s="317">
        <f>SUMIF(Recibos!$D$4:$D$3010,Cobranza!$B302,Recibos!X$4:X$3010)</f>
        <v>0</v>
      </c>
      <c r="BM302" s="317">
        <f>SUMIF(Recibos!$D$4:$D$3010,Cobranza!$B302,Recibos!Y$4:Y$3010)</f>
        <v>0</v>
      </c>
      <c r="BN302" s="317">
        <f>SUMIF(Recibos!$D$4:$D$3010,Cobranza!$B302,Recibos!Z$4:Z$3010)</f>
        <v>0</v>
      </c>
      <c r="BO302" s="317">
        <f>SUMIF(Recibos!$D$4:$D$3010,Cobranza!$B302,Recibos!AA$4:AA$3010)</f>
        <v>0</v>
      </c>
      <c r="BP302" s="317">
        <f>SUMIF(Recibos!$D$4:$D$3010,Cobranza!$B302,Recibos!AB$4:AB$3010)</f>
        <v>0</v>
      </c>
      <c r="BQ302" s="317">
        <f>SUMIF(Recibos!$D$4:$D$3010,Cobranza!$B302,Recibos!AC$4:AC$3010)</f>
        <v>0</v>
      </c>
      <c r="BR302" s="317">
        <f>SUMIF(Recibos!$D$4:$D$3010,Cobranza!$B302,Recibos!AD$4:AD$3010)</f>
        <v>0</v>
      </c>
      <c r="BS302" s="317">
        <f>SUMIF(Recibos!$D$4:$D$3010,Cobranza!$B302,Recibos!AE$4:AE$3010)</f>
        <v>0</v>
      </c>
      <c r="BT302" s="317">
        <f>SUMIF(Recibos!$D$4:$D$3010,Cobranza!$B302,Recibos!AF$4:AF$3010)</f>
        <v>0</v>
      </c>
      <c r="BU302" s="317">
        <f>SUMIF(Recibos!$D$4:$D$3010,Cobranza!$B302,Recibos!AG$4:AG$3010)</f>
        <v>0</v>
      </c>
      <c r="BV302" s="317">
        <f>SUMIF(Recibos!$D$4:$D$3010,Cobranza!$B302,Recibos!AH$4:AH$3010)</f>
        <v>0</v>
      </c>
      <c r="BW302" s="317">
        <f>SUMIF(Recibos!$D$4:$D$3010,Cobranza!$B302,Recibos!AI$4:AI$3010)</f>
        <v>0</v>
      </c>
      <c r="BX302" s="318">
        <f t="shared" si="34"/>
        <v>0</v>
      </c>
    </row>
    <row r="303" spans="2:76" x14ac:dyDescent="0.2">
      <c r="B303" s="45" t="s">
        <v>749</v>
      </c>
      <c r="C303" s="45" t="s">
        <v>750</v>
      </c>
      <c r="D303" s="45" t="s">
        <v>751</v>
      </c>
      <c r="E303" s="46">
        <v>0</v>
      </c>
      <c r="F303" s="46">
        <v>0</v>
      </c>
      <c r="G303" s="46">
        <v>0</v>
      </c>
      <c r="H303" s="46">
        <v>0</v>
      </c>
      <c r="I303" s="46">
        <v>0</v>
      </c>
      <c r="J303" s="46">
        <v>300</v>
      </c>
      <c r="K303" s="47">
        <f t="shared" si="29"/>
        <v>300</v>
      </c>
      <c r="L303" s="46">
        <v>300</v>
      </c>
      <c r="M303" s="46">
        <v>300</v>
      </c>
      <c r="N303" s="46">
        <v>300</v>
      </c>
      <c r="O303" s="46">
        <v>300</v>
      </c>
      <c r="P303" s="46">
        <v>300</v>
      </c>
      <c r="Q303" s="46">
        <v>300</v>
      </c>
      <c r="R303" s="46">
        <v>300</v>
      </c>
      <c r="S303" s="46">
        <v>300</v>
      </c>
      <c r="T303" s="46">
        <v>300</v>
      </c>
      <c r="U303" s="46">
        <v>400</v>
      </c>
      <c r="V303" s="46">
        <v>400</v>
      </c>
      <c r="W303" s="46">
        <v>400</v>
      </c>
      <c r="X303" s="47">
        <f t="shared" si="30"/>
        <v>3900</v>
      </c>
      <c r="Y303" s="46">
        <v>400</v>
      </c>
      <c r="Z303" s="46">
        <v>400</v>
      </c>
      <c r="AA303" s="46">
        <v>400</v>
      </c>
      <c r="AB303" s="46">
        <v>400</v>
      </c>
      <c r="AC303" s="46">
        <v>400</v>
      </c>
      <c r="AD303" s="46">
        <v>400</v>
      </c>
      <c r="AE303" s="46">
        <v>400</v>
      </c>
      <c r="AF303" s="46">
        <v>560</v>
      </c>
      <c r="AG303" s="46">
        <v>400</v>
      </c>
      <c r="AH303" s="46">
        <v>550</v>
      </c>
      <c r="AI303" s="46">
        <v>550</v>
      </c>
      <c r="AJ303" s="46">
        <v>0</v>
      </c>
      <c r="AK303" s="47">
        <f t="shared" si="31"/>
        <v>4860</v>
      </c>
      <c r="AL303" s="46">
        <v>400</v>
      </c>
      <c r="AM303" s="46">
        <v>400</v>
      </c>
      <c r="AN303" s="46">
        <v>400</v>
      </c>
      <c r="AO303" s="46">
        <v>400</v>
      </c>
      <c r="AP303" s="46">
        <v>400</v>
      </c>
      <c r="AQ303" s="46">
        <v>400</v>
      </c>
      <c r="AR303" s="46">
        <v>400</v>
      </c>
      <c r="AS303" s="46">
        <v>400</v>
      </c>
      <c r="AT303" s="46">
        <v>400</v>
      </c>
      <c r="AU303" s="46">
        <v>400</v>
      </c>
      <c r="AV303" s="46">
        <v>400</v>
      </c>
      <c r="AW303" s="46">
        <v>400</v>
      </c>
      <c r="AX303" s="47">
        <f t="shared" si="32"/>
        <v>4800</v>
      </c>
      <c r="AY303" s="319">
        <f>SUMIF(Recibos!$D$4:$D$3010,Cobranza!$B303,Recibos!K$4:K$3010)</f>
        <v>400</v>
      </c>
      <c r="AZ303" s="319">
        <f>SUMIF(Recibos!$D$4:$D$3010,Cobranza!$B303,Recibos!L$4:L$3010)</f>
        <v>400</v>
      </c>
      <c r="BA303" s="319">
        <f>SUMIF(Recibos!$D$4:$D$3010,Cobranza!$B303,Recibos!M$4:M$3010)</f>
        <v>400</v>
      </c>
      <c r="BB303" s="319">
        <f>SUMIF(Recibos!$D$4:$D$3010,Cobranza!$B303,Recibos!N$4:N$3010)</f>
        <v>400</v>
      </c>
      <c r="BC303" s="319">
        <f>SUMIF(Recibos!$D$4:$D$3010,Cobranza!$B303,Recibos!O$4:O$3010)</f>
        <v>400</v>
      </c>
      <c r="BD303" s="319">
        <f>SUMIF(Recibos!$D$4:$D$3010,Cobranza!$B303,Recibos!P$4:P$3010)</f>
        <v>400</v>
      </c>
      <c r="BE303" s="319">
        <f>SUMIF(Recibos!$D$4:$D$3010,Cobranza!$B303,Recibos!Q$4:Q$3010)</f>
        <v>400</v>
      </c>
      <c r="BF303" s="319">
        <f>SUMIF(Recibos!$D$4:$D$3010,Cobranza!$B303,Recibos!R$4:R$3010)</f>
        <v>400</v>
      </c>
      <c r="BG303" s="319">
        <f>SUMIF(Recibos!$D$4:$D$3010,Cobranza!$B303,Recibos!S$4:S$3010)</f>
        <v>400</v>
      </c>
      <c r="BH303" s="319">
        <f>SUMIF(Recibos!$D$4:$D$3010,Cobranza!$B303,Recibos!T$4:T$3010)</f>
        <v>400</v>
      </c>
      <c r="BI303" s="319">
        <f>SUMIF(Recibos!$D$4:$D$3010,Cobranza!$B303,Recibos!U$4:U$3010)</f>
        <v>400</v>
      </c>
      <c r="BJ303" s="319">
        <f>SUMIF(Recibos!$D$4:$D$3010,Cobranza!$B303,Recibos!V$4:V$3010)</f>
        <v>400</v>
      </c>
      <c r="BK303" s="320">
        <f t="shared" si="33"/>
        <v>4800</v>
      </c>
      <c r="BL303" s="319">
        <f>SUMIF(Recibos!$D$4:$D$3010,Cobranza!$B303,Recibos!X$4:X$3010)</f>
        <v>0</v>
      </c>
      <c r="BM303" s="319">
        <f>SUMIF(Recibos!$D$4:$D$3010,Cobranza!$B303,Recibos!Y$4:Y$3010)</f>
        <v>0</v>
      </c>
      <c r="BN303" s="319">
        <f>SUMIF(Recibos!$D$4:$D$3010,Cobranza!$B303,Recibos!Z$4:Z$3010)</f>
        <v>0</v>
      </c>
      <c r="BO303" s="319">
        <f>SUMIF(Recibos!$D$4:$D$3010,Cobranza!$B303,Recibos!AA$4:AA$3010)</f>
        <v>0</v>
      </c>
      <c r="BP303" s="319">
        <f>SUMIF(Recibos!$D$4:$D$3010,Cobranza!$B303,Recibos!AB$4:AB$3010)</f>
        <v>0</v>
      </c>
      <c r="BQ303" s="319">
        <f>SUMIF(Recibos!$D$4:$D$3010,Cobranza!$B303,Recibos!AC$4:AC$3010)</f>
        <v>0</v>
      </c>
      <c r="BR303" s="319">
        <f>SUMIF(Recibos!$D$4:$D$3010,Cobranza!$B303,Recibos!AD$4:AD$3010)</f>
        <v>0</v>
      </c>
      <c r="BS303" s="319">
        <f>SUMIF(Recibos!$D$4:$D$3010,Cobranza!$B303,Recibos!AE$4:AE$3010)</f>
        <v>0</v>
      </c>
      <c r="BT303" s="319">
        <f>SUMIF(Recibos!$D$4:$D$3010,Cobranza!$B303,Recibos!AF$4:AF$3010)</f>
        <v>0</v>
      </c>
      <c r="BU303" s="319">
        <f>SUMIF(Recibos!$D$4:$D$3010,Cobranza!$B303,Recibos!AG$4:AG$3010)</f>
        <v>0</v>
      </c>
      <c r="BV303" s="319">
        <f>SUMIF(Recibos!$D$4:$D$3010,Cobranza!$B303,Recibos!AH$4:AH$3010)</f>
        <v>0</v>
      </c>
      <c r="BW303" s="319">
        <f>SUMIF(Recibos!$D$4:$D$3010,Cobranza!$B303,Recibos!AI$4:AI$3010)</f>
        <v>0</v>
      </c>
      <c r="BX303" s="320">
        <f t="shared" si="34"/>
        <v>0</v>
      </c>
    </row>
    <row r="304" spans="2:76" x14ac:dyDescent="0.2">
      <c r="B304" s="42" t="s">
        <v>295</v>
      </c>
      <c r="C304" s="42" t="s">
        <v>296</v>
      </c>
      <c r="D304" s="42" t="s">
        <v>297</v>
      </c>
      <c r="E304" s="43">
        <v>0</v>
      </c>
      <c r="F304" s="43">
        <v>0</v>
      </c>
      <c r="G304" s="43">
        <v>0</v>
      </c>
      <c r="H304" s="43">
        <v>0</v>
      </c>
      <c r="I304" s="43">
        <v>0</v>
      </c>
      <c r="J304" s="43">
        <v>300</v>
      </c>
      <c r="K304" s="44">
        <f t="shared" si="29"/>
        <v>300</v>
      </c>
      <c r="L304" s="43">
        <v>300</v>
      </c>
      <c r="M304" s="43">
        <v>300</v>
      </c>
      <c r="N304" s="43">
        <v>300</v>
      </c>
      <c r="O304" s="43">
        <v>300</v>
      </c>
      <c r="P304" s="43">
        <v>300</v>
      </c>
      <c r="Q304" s="43">
        <v>300</v>
      </c>
      <c r="R304" s="43">
        <v>0</v>
      </c>
      <c r="S304" s="43">
        <v>300</v>
      </c>
      <c r="T304" s="43">
        <v>300</v>
      </c>
      <c r="U304" s="43">
        <v>300</v>
      </c>
      <c r="V304" s="43">
        <v>300</v>
      </c>
      <c r="W304" s="43">
        <v>0</v>
      </c>
      <c r="X304" s="44">
        <f t="shared" si="30"/>
        <v>3000</v>
      </c>
      <c r="Y304" s="43">
        <v>300</v>
      </c>
      <c r="Z304" s="43">
        <v>300</v>
      </c>
      <c r="AA304" s="43">
        <v>300</v>
      </c>
      <c r="AB304" s="43">
        <v>300</v>
      </c>
      <c r="AC304" s="43">
        <v>300</v>
      </c>
      <c r="AD304" s="43">
        <v>300</v>
      </c>
      <c r="AE304" s="43">
        <v>300</v>
      </c>
      <c r="AF304" s="43">
        <v>300</v>
      </c>
      <c r="AG304" s="43">
        <v>300</v>
      </c>
      <c r="AH304" s="43">
        <v>300</v>
      </c>
      <c r="AI304" s="43">
        <v>300</v>
      </c>
      <c r="AJ304" s="43">
        <v>0</v>
      </c>
      <c r="AK304" s="44">
        <f t="shared" si="31"/>
        <v>3300</v>
      </c>
      <c r="AL304" s="43">
        <v>300</v>
      </c>
      <c r="AM304" s="43">
        <v>300</v>
      </c>
      <c r="AN304" s="43">
        <v>300</v>
      </c>
      <c r="AO304" s="43">
        <v>300</v>
      </c>
      <c r="AP304" s="43">
        <v>300</v>
      </c>
      <c r="AQ304" s="43">
        <v>300</v>
      </c>
      <c r="AR304" s="43">
        <v>300</v>
      </c>
      <c r="AS304" s="43">
        <v>0</v>
      </c>
      <c r="AT304" s="43">
        <v>100</v>
      </c>
      <c r="AU304" s="43">
        <v>300</v>
      </c>
      <c r="AV304" s="43">
        <v>300</v>
      </c>
      <c r="AW304" s="43">
        <v>300</v>
      </c>
      <c r="AX304" s="44">
        <f t="shared" si="32"/>
        <v>3100</v>
      </c>
      <c r="AY304" s="317">
        <f>SUMIF(Recibos!$D$4:$D$3010,Cobranza!$B304,Recibos!K$4:K$3010)</f>
        <v>300</v>
      </c>
      <c r="AZ304" s="317">
        <f>SUMIF(Recibos!$D$4:$D$3010,Cobranza!$B304,Recibos!L$4:L$3010)</f>
        <v>300</v>
      </c>
      <c r="BA304" s="317">
        <f>SUMIF(Recibos!$D$4:$D$3010,Cobranza!$B304,Recibos!M$4:M$3010)</f>
        <v>300</v>
      </c>
      <c r="BB304" s="317">
        <f>SUMIF(Recibos!$D$4:$D$3010,Cobranza!$B304,Recibos!N$4:N$3010)</f>
        <v>300</v>
      </c>
      <c r="BC304" s="317">
        <f>SUMIF(Recibos!$D$4:$D$3010,Cobranza!$B304,Recibos!O$4:O$3010)</f>
        <v>300</v>
      </c>
      <c r="BD304" s="317">
        <f>SUMIF(Recibos!$D$4:$D$3010,Cobranza!$B304,Recibos!P$4:P$3010)</f>
        <v>300</v>
      </c>
      <c r="BE304" s="317">
        <f>SUMIF(Recibos!$D$4:$D$3010,Cobranza!$B304,Recibos!Q$4:Q$3010)</f>
        <v>300</v>
      </c>
      <c r="BF304" s="317">
        <f>SUMIF(Recibos!$D$4:$D$3010,Cobranza!$B304,Recibos!R$4:R$3010)</f>
        <v>300</v>
      </c>
      <c r="BG304" s="317">
        <f>SUMIF(Recibos!$D$4:$D$3010,Cobranza!$B304,Recibos!S$4:S$3010)</f>
        <v>300</v>
      </c>
      <c r="BH304" s="317">
        <f>SUMIF(Recibos!$D$4:$D$3010,Cobranza!$B304,Recibos!T$4:T$3010)</f>
        <v>300</v>
      </c>
      <c r="BI304" s="317">
        <f>SUMIF(Recibos!$D$4:$D$3010,Cobranza!$B304,Recibos!U$4:U$3010)</f>
        <v>300</v>
      </c>
      <c r="BJ304" s="317">
        <f>SUMIF(Recibos!$D$4:$D$3010,Cobranza!$B304,Recibos!V$4:V$3010)</f>
        <v>0</v>
      </c>
      <c r="BK304" s="318">
        <f t="shared" si="33"/>
        <v>3300</v>
      </c>
      <c r="BL304" s="317">
        <f>SUMIF(Recibos!$D$4:$D$3010,Cobranza!$B304,Recibos!X$4:X$3010)</f>
        <v>0</v>
      </c>
      <c r="BM304" s="317">
        <f>SUMIF(Recibos!$D$4:$D$3010,Cobranza!$B304,Recibos!Y$4:Y$3010)</f>
        <v>0</v>
      </c>
      <c r="BN304" s="317">
        <f>SUMIF(Recibos!$D$4:$D$3010,Cobranza!$B304,Recibos!Z$4:Z$3010)</f>
        <v>0</v>
      </c>
      <c r="BO304" s="317">
        <f>SUMIF(Recibos!$D$4:$D$3010,Cobranza!$B304,Recibos!AA$4:AA$3010)</f>
        <v>0</v>
      </c>
      <c r="BP304" s="317">
        <f>SUMIF(Recibos!$D$4:$D$3010,Cobranza!$B304,Recibos!AB$4:AB$3010)</f>
        <v>0</v>
      </c>
      <c r="BQ304" s="317">
        <f>SUMIF(Recibos!$D$4:$D$3010,Cobranza!$B304,Recibos!AC$4:AC$3010)</f>
        <v>0</v>
      </c>
      <c r="BR304" s="317">
        <f>SUMIF(Recibos!$D$4:$D$3010,Cobranza!$B304,Recibos!AD$4:AD$3010)</f>
        <v>0</v>
      </c>
      <c r="BS304" s="317">
        <f>SUMIF(Recibos!$D$4:$D$3010,Cobranza!$B304,Recibos!AE$4:AE$3010)</f>
        <v>0</v>
      </c>
      <c r="BT304" s="317">
        <f>SUMIF(Recibos!$D$4:$D$3010,Cobranza!$B304,Recibos!AF$4:AF$3010)</f>
        <v>0</v>
      </c>
      <c r="BU304" s="317">
        <f>SUMIF(Recibos!$D$4:$D$3010,Cobranza!$B304,Recibos!AG$4:AG$3010)</f>
        <v>0</v>
      </c>
      <c r="BV304" s="317">
        <f>SUMIF(Recibos!$D$4:$D$3010,Cobranza!$B304,Recibos!AH$4:AH$3010)</f>
        <v>0</v>
      </c>
      <c r="BW304" s="317">
        <f>SUMIF(Recibos!$D$4:$D$3010,Cobranza!$B304,Recibos!AI$4:AI$3010)</f>
        <v>0</v>
      </c>
      <c r="BX304" s="318">
        <f t="shared" si="34"/>
        <v>0</v>
      </c>
    </row>
    <row r="305" spans="2:76" x14ac:dyDescent="0.2">
      <c r="B305" s="45" t="s">
        <v>553</v>
      </c>
      <c r="C305" s="45" t="s">
        <v>554</v>
      </c>
      <c r="D305" s="45" t="s">
        <v>555</v>
      </c>
      <c r="E305" s="46">
        <v>0</v>
      </c>
      <c r="F305" s="46">
        <v>0</v>
      </c>
      <c r="G305" s="46">
        <v>0</v>
      </c>
      <c r="H305" s="46">
        <v>0</v>
      </c>
      <c r="I305" s="46">
        <v>0</v>
      </c>
      <c r="J305" s="46">
        <v>300</v>
      </c>
      <c r="K305" s="47">
        <f t="shared" si="29"/>
        <v>300</v>
      </c>
      <c r="L305" s="46">
        <v>300</v>
      </c>
      <c r="M305" s="46">
        <v>300</v>
      </c>
      <c r="N305" s="46">
        <v>0</v>
      </c>
      <c r="O305" s="46">
        <v>0</v>
      </c>
      <c r="P305" s="46">
        <v>0</v>
      </c>
      <c r="Q305" s="46">
        <v>0</v>
      </c>
      <c r="R305" s="46">
        <v>0</v>
      </c>
      <c r="S305" s="46">
        <v>0</v>
      </c>
      <c r="T305" s="46">
        <v>0</v>
      </c>
      <c r="U305" s="46">
        <v>0</v>
      </c>
      <c r="V305" s="46">
        <v>0</v>
      </c>
      <c r="W305" s="46">
        <v>0</v>
      </c>
      <c r="X305" s="47">
        <f t="shared" si="30"/>
        <v>600</v>
      </c>
      <c r="Y305" s="46">
        <v>0</v>
      </c>
      <c r="Z305" s="46">
        <v>0</v>
      </c>
      <c r="AA305" s="46">
        <v>0</v>
      </c>
      <c r="AB305" s="46">
        <v>0</v>
      </c>
      <c r="AC305" s="46">
        <v>0</v>
      </c>
      <c r="AD305" s="46">
        <v>0</v>
      </c>
      <c r="AE305" s="46">
        <v>0</v>
      </c>
      <c r="AF305" s="46">
        <v>0</v>
      </c>
      <c r="AG305" s="46">
        <v>0</v>
      </c>
      <c r="AH305" s="46">
        <v>0</v>
      </c>
      <c r="AI305" s="46">
        <v>0</v>
      </c>
      <c r="AJ305" s="46">
        <v>0</v>
      </c>
      <c r="AK305" s="47">
        <f t="shared" si="31"/>
        <v>0</v>
      </c>
      <c r="AL305" s="46">
        <v>0</v>
      </c>
      <c r="AM305" s="46">
        <v>0</v>
      </c>
      <c r="AN305" s="46">
        <v>0</v>
      </c>
      <c r="AO305" s="46">
        <v>400</v>
      </c>
      <c r="AP305" s="46">
        <v>400</v>
      </c>
      <c r="AQ305" s="46">
        <v>400</v>
      </c>
      <c r="AR305" s="46">
        <v>400</v>
      </c>
      <c r="AS305" s="46">
        <v>400</v>
      </c>
      <c r="AT305" s="46">
        <v>400</v>
      </c>
      <c r="AU305" s="46">
        <v>400</v>
      </c>
      <c r="AV305" s="46">
        <v>400</v>
      </c>
      <c r="AW305" s="46">
        <v>400</v>
      </c>
      <c r="AX305" s="47">
        <f t="shared" si="32"/>
        <v>3600</v>
      </c>
      <c r="AY305" s="319">
        <f>SUMIF(Recibos!$D$4:$D$3010,Cobranza!$B305,Recibos!K$4:K$3010)</f>
        <v>400</v>
      </c>
      <c r="AZ305" s="319">
        <f>SUMIF(Recibos!$D$4:$D$3010,Cobranza!$B305,Recibos!L$4:L$3010)</f>
        <v>400</v>
      </c>
      <c r="BA305" s="319">
        <f>SUMIF(Recibos!$D$4:$D$3010,Cobranza!$B305,Recibos!M$4:M$3010)</f>
        <v>400</v>
      </c>
      <c r="BB305" s="319">
        <f>SUMIF(Recibos!$D$4:$D$3010,Cobranza!$B305,Recibos!N$4:N$3010)</f>
        <v>400</v>
      </c>
      <c r="BC305" s="319">
        <f>SUMIF(Recibos!$D$4:$D$3010,Cobranza!$B305,Recibos!O$4:O$3010)</f>
        <v>400</v>
      </c>
      <c r="BD305" s="319">
        <f>SUMIF(Recibos!$D$4:$D$3010,Cobranza!$B305,Recibos!P$4:P$3010)</f>
        <v>400</v>
      </c>
      <c r="BE305" s="319">
        <f>SUMIF(Recibos!$D$4:$D$3010,Cobranza!$B305,Recibos!Q$4:Q$3010)</f>
        <v>400</v>
      </c>
      <c r="BF305" s="319">
        <f>SUMIF(Recibos!$D$4:$D$3010,Cobranza!$B305,Recibos!R$4:R$3010)</f>
        <v>400</v>
      </c>
      <c r="BG305" s="319">
        <f>SUMIF(Recibos!$D$4:$D$3010,Cobranza!$B305,Recibos!S$4:S$3010)</f>
        <v>400</v>
      </c>
      <c r="BH305" s="319">
        <f>SUMIF(Recibos!$D$4:$D$3010,Cobranza!$B305,Recibos!T$4:T$3010)</f>
        <v>400</v>
      </c>
      <c r="BI305" s="319">
        <f>SUMIF(Recibos!$D$4:$D$3010,Cobranza!$B305,Recibos!U$4:U$3010)</f>
        <v>0</v>
      </c>
      <c r="BJ305" s="319">
        <f>SUMIF(Recibos!$D$4:$D$3010,Cobranza!$B305,Recibos!V$4:V$3010)</f>
        <v>0</v>
      </c>
      <c r="BK305" s="320">
        <f t="shared" si="33"/>
        <v>4000</v>
      </c>
      <c r="BL305" s="319">
        <f>SUMIF(Recibos!$D$4:$D$3010,Cobranza!$B305,Recibos!X$4:X$3010)</f>
        <v>0</v>
      </c>
      <c r="BM305" s="319">
        <f>SUMIF(Recibos!$D$4:$D$3010,Cobranza!$B305,Recibos!Y$4:Y$3010)</f>
        <v>0</v>
      </c>
      <c r="BN305" s="319">
        <f>SUMIF(Recibos!$D$4:$D$3010,Cobranza!$B305,Recibos!Z$4:Z$3010)</f>
        <v>0</v>
      </c>
      <c r="BO305" s="319">
        <f>SUMIF(Recibos!$D$4:$D$3010,Cobranza!$B305,Recibos!AA$4:AA$3010)</f>
        <v>0</v>
      </c>
      <c r="BP305" s="319">
        <f>SUMIF(Recibos!$D$4:$D$3010,Cobranza!$B305,Recibos!AB$4:AB$3010)</f>
        <v>0</v>
      </c>
      <c r="BQ305" s="319">
        <f>SUMIF(Recibos!$D$4:$D$3010,Cobranza!$B305,Recibos!AC$4:AC$3010)</f>
        <v>0</v>
      </c>
      <c r="BR305" s="319">
        <f>SUMIF(Recibos!$D$4:$D$3010,Cobranza!$B305,Recibos!AD$4:AD$3010)</f>
        <v>0</v>
      </c>
      <c r="BS305" s="319">
        <f>SUMIF(Recibos!$D$4:$D$3010,Cobranza!$B305,Recibos!AE$4:AE$3010)</f>
        <v>0</v>
      </c>
      <c r="BT305" s="319">
        <f>SUMIF(Recibos!$D$4:$D$3010,Cobranza!$B305,Recibos!AF$4:AF$3010)</f>
        <v>0</v>
      </c>
      <c r="BU305" s="319">
        <f>SUMIF(Recibos!$D$4:$D$3010,Cobranza!$B305,Recibos!AG$4:AG$3010)</f>
        <v>0</v>
      </c>
      <c r="BV305" s="319">
        <f>SUMIF(Recibos!$D$4:$D$3010,Cobranza!$B305,Recibos!AH$4:AH$3010)</f>
        <v>0</v>
      </c>
      <c r="BW305" s="319">
        <f>SUMIF(Recibos!$D$4:$D$3010,Cobranza!$B305,Recibos!AI$4:AI$3010)</f>
        <v>0</v>
      </c>
      <c r="BX305" s="320">
        <f t="shared" si="34"/>
        <v>0</v>
      </c>
    </row>
    <row r="306" spans="2:76" x14ac:dyDescent="0.2">
      <c r="B306" s="42" t="s">
        <v>661</v>
      </c>
      <c r="C306" s="42" t="s">
        <v>662</v>
      </c>
      <c r="D306" s="42" t="s">
        <v>624</v>
      </c>
      <c r="E306" s="43">
        <v>0</v>
      </c>
      <c r="F306" s="43">
        <v>0</v>
      </c>
      <c r="G306" s="43">
        <v>0</v>
      </c>
      <c r="H306" s="43">
        <v>0</v>
      </c>
      <c r="I306" s="43">
        <v>0</v>
      </c>
      <c r="J306" s="43">
        <v>0</v>
      </c>
      <c r="K306" s="44">
        <f t="shared" si="29"/>
        <v>0</v>
      </c>
      <c r="L306" s="43">
        <v>300</v>
      </c>
      <c r="M306" s="43">
        <v>300</v>
      </c>
      <c r="N306" s="43">
        <v>300</v>
      </c>
      <c r="O306" s="43">
        <v>300</v>
      </c>
      <c r="P306" s="43">
        <v>300</v>
      </c>
      <c r="Q306" s="43">
        <v>300</v>
      </c>
      <c r="R306" s="43">
        <v>300</v>
      </c>
      <c r="S306" s="43">
        <v>300</v>
      </c>
      <c r="T306" s="43">
        <v>300</v>
      </c>
      <c r="U306" s="43">
        <v>400</v>
      </c>
      <c r="V306" s="43">
        <v>400</v>
      </c>
      <c r="W306" s="43">
        <v>400</v>
      </c>
      <c r="X306" s="44">
        <f t="shared" si="30"/>
        <v>3900</v>
      </c>
      <c r="Y306" s="43">
        <v>400</v>
      </c>
      <c r="Z306" s="43">
        <v>400</v>
      </c>
      <c r="AA306" s="43">
        <v>400</v>
      </c>
      <c r="AB306" s="43">
        <v>400</v>
      </c>
      <c r="AC306" s="43">
        <v>400</v>
      </c>
      <c r="AD306" s="43">
        <v>400</v>
      </c>
      <c r="AE306" s="43">
        <v>400</v>
      </c>
      <c r="AF306" s="43">
        <v>400</v>
      </c>
      <c r="AG306" s="43">
        <v>400</v>
      </c>
      <c r="AH306" s="43">
        <v>400</v>
      </c>
      <c r="AI306" s="43">
        <v>400</v>
      </c>
      <c r="AJ306" s="43">
        <v>400</v>
      </c>
      <c r="AK306" s="44">
        <f t="shared" si="31"/>
        <v>4800</v>
      </c>
      <c r="AL306" s="43">
        <v>400</v>
      </c>
      <c r="AM306" s="43">
        <v>400</v>
      </c>
      <c r="AN306" s="43">
        <v>400</v>
      </c>
      <c r="AO306" s="43">
        <v>400</v>
      </c>
      <c r="AP306" s="43">
        <v>400</v>
      </c>
      <c r="AQ306" s="43">
        <v>400</v>
      </c>
      <c r="AR306" s="43">
        <v>400</v>
      </c>
      <c r="AS306" s="43">
        <v>400</v>
      </c>
      <c r="AT306" s="43">
        <v>400</v>
      </c>
      <c r="AU306" s="43">
        <v>400</v>
      </c>
      <c r="AV306" s="43">
        <v>400</v>
      </c>
      <c r="AW306" s="43">
        <v>400</v>
      </c>
      <c r="AX306" s="44">
        <f t="shared" si="32"/>
        <v>4800</v>
      </c>
      <c r="AY306" s="317">
        <f>SUMIF(Recibos!$D$4:$D$3010,Cobranza!$B306,Recibos!K$4:K$3010)</f>
        <v>400</v>
      </c>
      <c r="AZ306" s="317">
        <f>SUMIF(Recibos!$D$4:$D$3010,Cobranza!$B306,Recibos!L$4:L$3010)</f>
        <v>400</v>
      </c>
      <c r="BA306" s="317">
        <f>SUMIF(Recibos!$D$4:$D$3010,Cobranza!$B306,Recibos!M$4:M$3010)</f>
        <v>400</v>
      </c>
      <c r="BB306" s="317">
        <f>SUMIF(Recibos!$D$4:$D$3010,Cobranza!$B306,Recibos!N$4:N$3010)</f>
        <v>400</v>
      </c>
      <c r="BC306" s="317">
        <f>SUMIF(Recibos!$D$4:$D$3010,Cobranza!$B306,Recibos!O$4:O$3010)</f>
        <v>400</v>
      </c>
      <c r="BD306" s="317">
        <f>SUMIF(Recibos!$D$4:$D$3010,Cobranza!$B306,Recibos!P$4:P$3010)</f>
        <v>400</v>
      </c>
      <c r="BE306" s="317">
        <f>SUMIF(Recibos!$D$4:$D$3010,Cobranza!$B306,Recibos!Q$4:Q$3010)</f>
        <v>400</v>
      </c>
      <c r="BF306" s="317">
        <f>SUMIF(Recibos!$D$4:$D$3010,Cobranza!$B306,Recibos!R$4:R$3010)</f>
        <v>400</v>
      </c>
      <c r="BG306" s="317">
        <f>SUMIF(Recibos!$D$4:$D$3010,Cobranza!$B306,Recibos!S$4:S$3010)</f>
        <v>400</v>
      </c>
      <c r="BH306" s="317">
        <f>SUMIF(Recibos!$D$4:$D$3010,Cobranza!$B306,Recibos!T$4:T$3010)</f>
        <v>400</v>
      </c>
      <c r="BI306" s="317">
        <f>SUMIF(Recibos!$D$4:$D$3010,Cobranza!$B306,Recibos!U$4:U$3010)</f>
        <v>400</v>
      </c>
      <c r="BJ306" s="317">
        <f>SUMIF(Recibos!$D$4:$D$3010,Cobranza!$B306,Recibos!V$4:V$3010)</f>
        <v>0</v>
      </c>
      <c r="BK306" s="318">
        <f t="shared" si="33"/>
        <v>4400</v>
      </c>
      <c r="BL306" s="317">
        <f>SUMIF(Recibos!$D$4:$D$3010,Cobranza!$B306,Recibos!X$4:X$3010)</f>
        <v>0</v>
      </c>
      <c r="BM306" s="317">
        <f>SUMIF(Recibos!$D$4:$D$3010,Cobranza!$B306,Recibos!Y$4:Y$3010)</f>
        <v>0</v>
      </c>
      <c r="BN306" s="317">
        <f>SUMIF(Recibos!$D$4:$D$3010,Cobranza!$B306,Recibos!Z$4:Z$3010)</f>
        <v>0</v>
      </c>
      <c r="BO306" s="317">
        <f>SUMIF(Recibos!$D$4:$D$3010,Cobranza!$B306,Recibos!AA$4:AA$3010)</f>
        <v>0</v>
      </c>
      <c r="BP306" s="317">
        <f>SUMIF(Recibos!$D$4:$D$3010,Cobranza!$B306,Recibos!AB$4:AB$3010)</f>
        <v>0</v>
      </c>
      <c r="BQ306" s="317">
        <f>SUMIF(Recibos!$D$4:$D$3010,Cobranza!$B306,Recibos!AC$4:AC$3010)</f>
        <v>0</v>
      </c>
      <c r="BR306" s="317">
        <f>SUMIF(Recibos!$D$4:$D$3010,Cobranza!$B306,Recibos!AD$4:AD$3010)</f>
        <v>0</v>
      </c>
      <c r="BS306" s="317">
        <f>SUMIF(Recibos!$D$4:$D$3010,Cobranza!$B306,Recibos!AE$4:AE$3010)</f>
        <v>0</v>
      </c>
      <c r="BT306" s="317">
        <f>SUMIF(Recibos!$D$4:$D$3010,Cobranza!$B306,Recibos!AF$4:AF$3010)</f>
        <v>0</v>
      </c>
      <c r="BU306" s="317">
        <f>SUMIF(Recibos!$D$4:$D$3010,Cobranza!$B306,Recibos!AG$4:AG$3010)</f>
        <v>0</v>
      </c>
      <c r="BV306" s="317">
        <f>SUMIF(Recibos!$D$4:$D$3010,Cobranza!$B306,Recibos!AH$4:AH$3010)</f>
        <v>0</v>
      </c>
      <c r="BW306" s="317">
        <f>SUMIF(Recibos!$D$4:$D$3010,Cobranza!$B306,Recibos!AI$4:AI$3010)</f>
        <v>0</v>
      </c>
      <c r="BX306" s="318">
        <f t="shared" si="34"/>
        <v>0</v>
      </c>
    </row>
    <row r="307" spans="2:76" x14ac:dyDescent="0.2">
      <c r="B307" s="45" t="s">
        <v>737</v>
      </c>
      <c r="C307" s="45" t="s">
        <v>738</v>
      </c>
      <c r="D307" s="45" t="s">
        <v>739</v>
      </c>
      <c r="E307" s="46">
        <v>0</v>
      </c>
      <c r="F307" s="46">
        <v>0</v>
      </c>
      <c r="G307" s="46">
        <v>0</v>
      </c>
      <c r="H307" s="46">
        <v>0</v>
      </c>
      <c r="I307" s="46">
        <v>300</v>
      </c>
      <c r="J307" s="46">
        <v>300</v>
      </c>
      <c r="K307" s="47">
        <f t="shared" si="29"/>
        <v>600</v>
      </c>
      <c r="L307" s="46">
        <v>300</v>
      </c>
      <c r="M307" s="46">
        <v>300</v>
      </c>
      <c r="N307" s="46">
        <v>300</v>
      </c>
      <c r="O307" s="46">
        <v>300</v>
      </c>
      <c r="P307" s="46">
        <v>300</v>
      </c>
      <c r="Q307" s="46">
        <v>300</v>
      </c>
      <c r="R307" s="46">
        <v>300</v>
      </c>
      <c r="S307" s="46">
        <v>300</v>
      </c>
      <c r="T307" s="46">
        <v>300</v>
      </c>
      <c r="U307" s="46">
        <v>400</v>
      </c>
      <c r="V307" s="46">
        <v>400</v>
      </c>
      <c r="W307" s="46">
        <v>400</v>
      </c>
      <c r="X307" s="47">
        <f t="shared" si="30"/>
        <v>3900</v>
      </c>
      <c r="Y307" s="46">
        <v>400</v>
      </c>
      <c r="Z307" s="46">
        <v>400</v>
      </c>
      <c r="AA307" s="46">
        <v>400</v>
      </c>
      <c r="AB307" s="46">
        <v>400</v>
      </c>
      <c r="AC307" s="46">
        <v>400</v>
      </c>
      <c r="AD307" s="46">
        <v>400</v>
      </c>
      <c r="AE307" s="46">
        <v>800</v>
      </c>
      <c r="AF307" s="46">
        <v>400</v>
      </c>
      <c r="AG307" s="46">
        <v>400</v>
      </c>
      <c r="AH307" s="46">
        <v>400</v>
      </c>
      <c r="AI307" s="46">
        <v>0</v>
      </c>
      <c r="AJ307" s="46">
        <v>400</v>
      </c>
      <c r="AK307" s="47">
        <f t="shared" si="31"/>
        <v>4800</v>
      </c>
      <c r="AL307" s="46">
        <v>400</v>
      </c>
      <c r="AM307" s="46">
        <v>400</v>
      </c>
      <c r="AN307" s="46">
        <v>400</v>
      </c>
      <c r="AO307" s="46">
        <v>400</v>
      </c>
      <c r="AP307" s="46">
        <v>400</v>
      </c>
      <c r="AQ307" s="46">
        <v>400</v>
      </c>
      <c r="AR307" s="46">
        <v>400</v>
      </c>
      <c r="AS307" s="46">
        <v>400</v>
      </c>
      <c r="AT307" s="46">
        <v>400</v>
      </c>
      <c r="AU307" s="46">
        <v>400</v>
      </c>
      <c r="AV307" s="46">
        <v>400</v>
      </c>
      <c r="AW307" s="46">
        <v>400</v>
      </c>
      <c r="AX307" s="47">
        <f t="shared" si="32"/>
        <v>4800</v>
      </c>
      <c r="AY307" s="319">
        <f>SUMIF(Recibos!$D$4:$D$3010,Cobranza!$B307,Recibos!K$4:K$3010)</f>
        <v>400</v>
      </c>
      <c r="AZ307" s="319">
        <f>SUMIF(Recibos!$D$4:$D$3010,Cobranza!$B307,Recibos!L$4:L$3010)</f>
        <v>400</v>
      </c>
      <c r="BA307" s="319">
        <f>SUMIF(Recibos!$D$4:$D$3010,Cobranza!$B307,Recibos!M$4:M$3010)</f>
        <v>400</v>
      </c>
      <c r="BB307" s="319">
        <f>SUMIF(Recibos!$D$4:$D$3010,Cobranza!$B307,Recibos!N$4:N$3010)</f>
        <v>400</v>
      </c>
      <c r="BC307" s="319">
        <f>SUMIF(Recibos!$D$4:$D$3010,Cobranza!$B307,Recibos!O$4:O$3010)</f>
        <v>400</v>
      </c>
      <c r="BD307" s="319">
        <f>SUMIF(Recibos!$D$4:$D$3010,Cobranza!$B307,Recibos!P$4:P$3010)</f>
        <v>400</v>
      </c>
      <c r="BE307" s="319">
        <f>SUMIF(Recibos!$D$4:$D$3010,Cobranza!$B307,Recibos!Q$4:Q$3010)</f>
        <v>400</v>
      </c>
      <c r="BF307" s="319">
        <f>SUMIF(Recibos!$D$4:$D$3010,Cobranza!$B307,Recibos!R$4:R$3010)</f>
        <v>400</v>
      </c>
      <c r="BG307" s="319">
        <f>SUMIF(Recibos!$D$4:$D$3010,Cobranza!$B307,Recibos!S$4:S$3010)</f>
        <v>400</v>
      </c>
      <c r="BH307" s="319">
        <f>SUMIF(Recibos!$D$4:$D$3010,Cobranza!$B307,Recibos!T$4:T$3010)</f>
        <v>400</v>
      </c>
      <c r="BI307" s="319">
        <f>SUMIF(Recibos!$D$4:$D$3010,Cobranza!$B307,Recibos!U$4:U$3010)</f>
        <v>400</v>
      </c>
      <c r="BJ307" s="319">
        <f>SUMIF(Recibos!$D$4:$D$3010,Cobranza!$B307,Recibos!V$4:V$3010)</f>
        <v>0</v>
      </c>
      <c r="BK307" s="320">
        <f t="shared" si="33"/>
        <v>4400</v>
      </c>
      <c r="BL307" s="319">
        <f>SUMIF(Recibos!$D$4:$D$3010,Cobranza!$B307,Recibos!X$4:X$3010)</f>
        <v>0</v>
      </c>
      <c r="BM307" s="319">
        <f>SUMIF(Recibos!$D$4:$D$3010,Cobranza!$B307,Recibos!Y$4:Y$3010)</f>
        <v>0</v>
      </c>
      <c r="BN307" s="319">
        <f>SUMIF(Recibos!$D$4:$D$3010,Cobranza!$B307,Recibos!Z$4:Z$3010)</f>
        <v>0</v>
      </c>
      <c r="BO307" s="319">
        <f>SUMIF(Recibos!$D$4:$D$3010,Cobranza!$B307,Recibos!AA$4:AA$3010)</f>
        <v>0</v>
      </c>
      <c r="BP307" s="319">
        <f>SUMIF(Recibos!$D$4:$D$3010,Cobranza!$B307,Recibos!AB$4:AB$3010)</f>
        <v>0</v>
      </c>
      <c r="BQ307" s="319">
        <f>SUMIF(Recibos!$D$4:$D$3010,Cobranza!$B307,Recibos!AC$4:AC$3010)</f>
        <v>0</v>
      </c>
      <c r="BR307" s="319">
        <f>SUMIF(Recibos!$D$4:$D$3010,Cobranza!$B307,Recibos!AD$4:AD$3010)</f>
        <v>0</v>
      </c>
      <c r="BS307" s="319">
        <f>SUMIF(Recibos!$D$4:$D$3010,Cobranza!$B307,Recibos!AE$4:AE$3010)</f>
        <v>0</v>
      </c>
      <c r="BT307" s="319">
        <f>SUMIF(Recibos!$D$4:$D$3010,Cobranza!$B307,Recibos!AF$4:AF$3010)</f>
        <v>0</v>
      </c>
      <c r="BU307" s="319">
        <f>SUMIF(Recibos!$D$4:$D$3010,Cobranza!$B307,Recibos!AG$4:AG$3010)</f>
        <v>0</v>
      </c>
      <c r="BV307" s="319">
        <f>SUMIF(Recibos!$D$4:$D$3010,Cobranza!$B307,Recibos!AH$4:AH$3010)</f>
        <v>0</v>
      </c>
      <c r="BW307" s="319">
        <f>SUMIF(Recibos!$D$4:$D$3010,Cobranza!$B307,Recibos!AI$4:AI$3010)</f>
        <v>0</v>
      </c>
      <c r="BX307" s="320">
        <f t="shared" si="34"/>
        <v>0</v>
      </c>
    </row>
    <row r="308" spans="2:76" x14ac:dyDescent="0.2">
      <c r="B308" s="42" t="s">
        <v>693</v>
      </c>
      <c r="C308" s="42" t="s">
        <v>694</v>
      </c>
      <c r="D308" s="42" t="s">
        <v>695</v>
      </c>
      <c r="E308" s="43">
        <v>0</v>
      </c>
      <c r="F308" s="43">
        <v>0</v>
      </c>
      <c r="G308" s="43">
        <v>0</v>
      </c>
      <c r="H308" s="43">
        <v>0</v>
      </c>
      <c r="I308" s="43">
        <v>0</v>
      </c>
      <c r="J308" s="43">
        <v>100</v>
      </c>
      <c r="K308" s="44">
        <f t="shared" si="29"/>
        <v>100</v>
      </c>
      <c r="L308" s="43">
        <v>100</v>
      </c>
      <c r="M308" s="43">
        <v>100</v>
      </c>
      <c r="N308" s="43">
        <v>100</v>
      </c>
      <c r="O308" s="43">
        <v>0</v>
      </c>
      <c r="P308" s="43">
        <v>0</v>
      </c>
      <c r="Q308" s="43">
        <v>100</v>
      </c>
      <c r="R308" s="43">
        <v>100</v>
      </c>
      <c r="S308" s="43">
        <v>100</v>
      </c>
      <c r="T308" s="43">
        <v>100</v>
      </c>
      <c r="U308" s="43">
        <v>100</v>
      </c>
      <c r="V308" s="43">
        <v>100</v>
      </c>
      <c r="W308" s="43">
        <v>100</v>
      </c>
      <c r="X308" s="44">
        <f t="shared" si="30"/>
        <v>1000</v>
      </c>
      <c r="Y308" s="43">
        <v>100</v>
      </c>
      <c r="Z308" s="43">
        <v>100</v>
      </c>
      <c r="AA308" s="43">
        <v>100</v>
      </c>
      <c r="AB308" s="43">
        <v>100</v>
      </c>
      <c r="AC308" s="43">
        <v>100</v>
      </c>
      <c r="AD308" s="43">
        <v>100</v>
      </c>
      <c r="AE308" s="43">
        <v>100</v>
      </c>
      <c r="AF308" s="43">
        <v>100</v>
      </c>
      <c r="AG308" s="43">
        <v>100</v>
      </c>
      <c r="AH308" s="43">
        <v>100</v>
      </c>
      <c r="AI308" s="43">
        <v>100</v>
      </c>
      <c r="AJ308" s="43">
        <v>100</v>
      </c>
      <c r="AK308" s="44">
        <f t="shared" si="31"/>
        <v>1200</v>
      </c>
      <c r="AL308" s="43">
        <v>100</v>
      </c>
      <c r="AM308" s="43">
        <v>100</v>
      </c>
      <c r="AN308" s="43">
        <v>100</v>
      </c>
      <c r="AO308" s="43">
        <v>100</v>
      </c>
      <c r="AP308" s="43">
        <v>100</v>
      </c>
      <c r="AQ308" s="43">
        <v>100</v>
      </c>
      <c r="AR308" s="43">
        <v>100</v>
      </c>
      <c r="AS308" s="43">
        <v>100</v>
      </c>
      <c r="AT308" s="43">
        <v>100</v>
      </c>
      <c r="AU308" s="43">
        <v>100</v>
      </c>
      <c r="AV308" s="43">
        <v>100</v>
      </c>
      <c r="AW308" s="43">
        <v>100</v>
      </c>
      <c r="AX308" s="44">
        <f t="shared" si="32"/>
        <v>1200</v>
      </c>
      <c r="AY308" s="317">
        <f>SUMIF(Recibos!$D$4:$D$3010,Cobranza!$B308,Recibos!K$4:K$3010)</f>
        <v>150</v>
      </c>
      <c r="AZ308" s="317">
        <f>SUMIF(Recibos!$D$4:$D$3010,Cobranza!$B308,Recibos!L$4:L$3010)</f>
        <v>150</v>
      </c>
      <c r="BA308" s="317">
        <f>SUMIF(Recibos!$D$4:$D$3010,Cobranza!$B308,Recibos!M$4:M$3010)</f>
        <v>150</v>
      </c>
      <c r="BB308" s="317">
        <f>SUMIF(Recibos!$D$4:$D$3010,Cobranza!$B308,Recibos!N$4:N$3010)</f>
        <v>150</v>
      </c>
      <c r="BC308" s="317">
        <f>SUMIF(Recibos!$D$4:$D$3010,Cobranza!$B308,Recibos!O$4:O$3010)</f>
        <v>150</v>
      </c>
      <c r="BD308" s="317">
        <f>SUMIF(Recibos!$D$4:$D$3010,Cobranza!$B308,Recibos!P$4:P$3010)</f>
        <v>150</v>
      </c>
      <c r="BE308" s="317">
        <f>SUMIF(Recibos!$D$4:$D$3010,Cobranza!$B308,Recibos!Q$4:Q$3010)</f>
        <v>150</v>
      </c>
      <c r="BF308" s="317">
        <f>SUMIF(Recibos!$D$4:$D$3010,Cobranza!$B308,Recibos!R$4:R$3010)</f>
        <v>150</v>
      </c>
      <c r="BG308" s="317">
        <f>SUMIF(Recibos!$D$4:$D$3010,Cobranza!$B308,Recibos!S$4:S$3010)</f>
        <v>150</v>
      </c>
      <c r="BH308" s="317">
        <f>SUMIF(Recibos!$D$4:$D$3010,Cobranza!$B308,Recibos!T$4:T$3010)</f>
        <v>150</v>
      </c>
      <c r="BI308" s="317">
        <f>SUMIF(Recibos!$D$4:$D$3010,Cobranza!$B308,Recibos!U$4:U$3010)</f>
        <v>150</v>
      </c>
      <c r="BJ308" s="317">
        <f>SUMIF(Recibos!$D$4:$D$3010,Cobranza!$B308,Recibos!V$4:V$3010)</f>
        <v>150</v>
      </c>
      <c r="BK308" s="318">
        <f t="shared" si="33"/>
        <v>1800</v>
      </c>
      <c r="BL308" s="317">
        <f>SUMIF(Recibos!$D$4:$D$3010,Cobranza!$B308,Recibos!X$4:X$3010)</f>
        <v>0</v>
      </c>
      <c r="BM308" s="317">
        <f>SUMIF(Recibos!$D$4:$D$3010,Cobranza!$B308,Recibos!Y$4:Y$3010)</f>
        <v>0</v>
      </c>
      <c r="BN308" s="317">
        <f>SUMIF(Recibos!$D$4:$D$3010,Cobranza!$B308,Recibos!Z$4:Z$3010)</f>
        <v>0</v>
      </c>
      <c r="BO308" s="317">
        <f>SUMIF(Recibos!$D$4:$D$3010,Cobranza!$B308,Recibos!AA$4:AA$3010)</f>
        <v>0</v>
      </c>
      <c r="BP308" s="317">
        <f>SUMIF(Recibos!$D$4:$D$3010,Cobranza!$B308,Recibos!AB$4:AB$3010)</f>
        <v>0</v>
      </c>
      <c r="BQ308" s="317">
        <f>SUMIF(Recibos!$D$4:$D$3010,Cobranza!$B308,Recibos!AC$4:AC$3010)</f>
        <v>0</v>
      </c>
      <c r="BR308" s="317">
        <f>SUMIF(Recibos!$D$4:$D$3010,Cobranza!$B308,Recibos!AD$4:AD$3010)</f>
        <v>0</v>
      </c>
      <c r="BS308" s="317">
        <f>SUMIF(Recibos!$D$4:$D$3010,Cobranza!$B308,Recibos!AE$4:AE$3010)</f>
        <v>0</v>
      </c>
      <c r="BT308" s="317">
        <f>SUMIF(Recibos!$D$4:$D$3010,Cobranza!$B308,Recibos!AF$4:AF$3010)</f>
        <v>0</v>
      </c>
      <c r="BU308" s="317">
        <f>SUMIF(Recibos!$D$4:$D$3010,Cobranza!$B308,Recibos!AG$4:AG$3010)</f>
        <v>0</v>
      </c>
      <c r="BV308" s="317">
        <f>SUMIF(Recibos!$D$4:$D$3010,Cobranza!$B308,Recibos!AH$4:AH$3010)</f>
        <v>0</v>
      </c>
      <c r="BW308" s="317">
        <f>SUMIF(Recibos!$D$4:$D$3010,Cobranza!$B308,Recibos!AI$4:AI$3010)</f>
        <v>0</v>
      </c>
      <c r="BX308" s="318">
        <f t="shared" si="34"/>
        <v>0</v>
      </c>
    </row>
    <row r="309" spans="2:76" x14ac:dyDescent="0.2">
      <c r="B309" s="45" t="s">
        <v>62</v>
      </c>
      <c r="C309" s="45" t="s">
        <v>63</v>
      </c>
      <c r="D309" s="45" t="s">
        <v>64</v>
      </c>
      <c r="E309" s="46">
        <v>0</v>
      </c>
      <c r="F309" s="46">
        <v>0</v>
      </c>
      <c r="G309" s="46">
        <v>0</v>
      </c>
      <c r="H309" s="46">
        <v>0</v>
      </c>
      <c r="I309" s="46">
        <v>0</v>
      </c>
      <c r="J309" s="46">
        <v>0</v>
      </c>
      <c r="K309" s="47">
        <f t="shared" si="29"/>
        <v>0</v>
      </c>
      <c r="L309" s="46">
        <v>150</v>
      </c>
      <c r="M309" s="46">
        <v>150</v>
      </c>
      <c r="N309" s="46">
        <v>150</v>
      </c>
      <c r="O309" s="46">
        <v>150</v>
      </c>
      <c r="P309" s="46">
        <v>150</v>
      </c>
      <c r="Q309" s="46">
        <v>150</v>
      </c>
      <c r="R309" s="46">
        <v>150</v>
      </c>
      <c r="S309" s="46">
        <v>150</v>
      </c>
      <c r="T309" s="46">
        <v>150</v>
      </c>
      <c r="U309" s="46">
        <v>200</v>
      </c>
      <c r="V309" s="46">
        <v>200</v>
      </c>
      <c r="W309" s="46">
        <v>200</v>
      </c>
      <c r="X309" s="47">
        <f t="shared" si="30"/>
        <v>1950</v>
      </c>
      <c r="Y309" s="46">
        <v>200</v>
      </c>
      <c r="Z309" s="46">
        <v>200</v>
      </c>
      <c r="AA309" s="46">
        <v>200</v>
      </c>
      <c r="AB309" s="46">
        <v>200</v>
      </c>
      <c r="AC309" s="46">
        <v>200</v>
      </c>
      <c r="AD309" s="46">
        <v>200</v>
      </c>
      <c r="AE309" s="46">
        <v>200</v>
      </c>
      <c r="AF309" s="46">
        <v>200</v>
      </c>
      <c r="AG309" s="46">
        <v>400</v>
      </c>
      <c r="AH309" s="46">
        <v>0</v>
      </c>
      <c r="AI309" s="46">
        <v>200</v>
      </c>
      <c r="AJ309" s="46">
        <v>200</v>
      </c>
      <c r="AK309" s="47">
        <f t="shared" si="31"/>
        <v>2400</v>
      </c>
      <c r="AL309" s="46">
        <v>200</v>
      </c>
      <c r="AM309" s="46">
        <v>200</v>
      </c>
      <c r="AN309" s="46">
        <v>200</v>
      </c>
      <c r="AO309" s="46">
        <v>200</v>
      </c>
      <c r="AP309" s="46">
        <v>200</v>
      </c>
      <c r="AQ309" s="46">
        <v>200</v>
      </c>
      <c r="AR309" s="46">
        <v>200</v>
      </c>
      <c r="AS309" s="46">
        <v>200</v>
      </c>
      <c r="AT309" s="46">
        <v>200</v>
      </c>
      <c r="AU309" s="46">
        <v>200</v>
      </c>
      <c r="AV309" s="46">
        <v>200</v>
      </c>
      <c r="AW309" s="46">
        <v>200</v>
      </c>
      <c r="AX309" s="47">
        <f t="shared" si="32"/>
        <v>2400</v>
      </c>
      <c r="AY309" s="319">
        <f>SUMIF(Recibos!$D$4:$D$3010,Cobranza!$B309,Recibos!K$4:K$3010)</f>
        <v>200</v>
      </c>
      <c r="AZ309" s="319">
        <f>SUMIF(Recibos!$D$4:$D$3010,Cobranza!$B309,Recibos!L$4:L$3010)</f>
        <v>200</v>
      </c>
      <c r="BA309" s="319">
        <f>SUMIF(Recibos!$D$4:$D$3010,Cobranza!$B309,Recibos!M$4:M$3010)</f>
        <v>200</v>
      </c>
      <c r="BB309" s="319">
        <f>SUMIF(Recibos!$D$4:$D$3010,Cobranza!$B309,Recibos!N$4:N$3010)</f>
        <v>200</v>
      </c>
      <c r="BC309" s="319">
        <f>SUMIF(Recibos!$D$4:$D$3010,Cobranza!$B309,Recibos!O$4:O$3010)</f>
        <v>200</v>
      </c>
      <c r="BD309" s="319">
        <f>SUMIF(Recibos!$D$4:$D$3010,Cobranza!$B309,Recibos!P$4:P$3010)</f>
        <v>200</v>
      </c>
      <c r="BE309" s="319">
        <f>SUMIF(Recibos!$D$4:$D$3010,Cobranza!$B309,Recibos!Q$4:Q$3010)</f>
        <v>200</v>
      </c>
      <c r="BF309" s="319">
        <f>SUMIF(Recibos!$D$4:$D$3010,Cobranza!$B309,Recibos!R$4:R$3010)</f>
        <v>200</v>
      </c>
      <c r="BG309" s="319">
        <f>SUMIF(Recibos!$D$4:$D$3010,Cobranza!$B309,Recibos!S$4:S$3010)</f>
        <v>200</v>
      </c>
      <c r="BH309" s="319">
        <f>SUMIF(Recibos!$D$4:$D$3010,Cobranza!$B309,Recibos!T$4:T$3010)</f>
        <v>200</v>
      </c>
      <c r="BI309" s="319">
        <f>SUMIF(Recibos!$D$4:$D$3010,Cobranza!$B309,Recibos!U$4:U$3010)</f>
        <v>200</v>
      </c>
      <c r="BJ309" s="319">
        <f>SUMIF(Recibos!$D$4:$D$3010,Cobranza!$B309,Recibos!V$4:V$3010)</f>
        <v>200</v>
      </c>
      <c r="BK309" s="320">
        <f t="shared" si="33"/>
        <v>2400</v>
      </c>
      <c r="BL309" s="319">
        <f>SUMIF(Recibos!$D$4:$D$3010,Cobranza!$B309,Recibos!X$4:X$3010)</f>
        <v>200</v>
      </c>
      <c r="BM309" s="319">
        <f>SUMIF(Recibos!$D$4:$D$3010,Cobranza!$B309,Recibos!Y$4:Y$3010)</f>
        <v>200</v>
      </c>
      <c r="BN309" s="319">
        <f>SUMIF(Recibos!$D$4:$D$3010,Cobranza!$B309,Recibos!Z$4:Z$3010)</f>
        <v>0</v>
      </c>
      <c r="BO309" s="319">
        <f>SUMIF(Recibos!$D$4:$D$3010,Cobranza!$B309,Recibos!AA$4:AA$3010)</f>
        <v>0</v>
      </c>
      <c r="BP309" s="319">
        <f>SUMIF(Recibos!$D$4:$D$3010,Cobranza!$B309,Recibos!AB$4:AB$3010)</f>
        <v>0</v>
      </c>
      <c r="BQ309" s="319">
        <f>SUMIF(Recibos!$D$4:$D$3010,Cobranza!$B309,Recibos!AC$4:AC$3010)</f>
        <v>0</v>
      </c>
      <c r="BR309" s="319">
        <f>SUMIF(Recibos!$D$4:$D$3010,Cobranza!$B309,Recibos!AD$4:AD$3010)</f>
        <v>0</v>
      </c>
      <c r="BS309" s="319">
        <f>SUMIF(Recibos!$D$4:$D$3010,Cobranza!$B309,Recibos!AE$4:AE$3010)</f>
        <v>0</v>
      </c>
      <c r="BT309" s="319">
        <f>SUMIF(Recibos!$D$4:$D$3010,Cobranza!$B309,Recibos!AF$4:AF$3010)</f>
        <v>0</v>
      </c>
      <c r="BU309" s="319">
        <f>SUMIF(Recibos!$D$4:$D$3010,Cobranza!$B309,Recibos!AG$4:AG$3010)</f>
        <v>0</v>
      </c>
      <c r="BV309" s="319">
        <f>SUMIF(Recibos!$D$4:$D$3010,Cobranza!$B309,Recibos!AH$4:AH$3010)</f>
        <v>0</v>
      </c>
      <c r="BW309" s="319">
        <f>SUMIF(Recibos!$D$4:$D$3010,Cobranza!$B309,Recibos!AI$4:AI$3010)</f>
        <v>0</v>
      </c>
      <c r="BX309" s="320">
        <f t="shared" si="34"/>
        <v>400</v>
      </c>
    </row>
    <row r="310" spans="2:76" x14ac:dyDescent="0.2">
      <c r="B310" s="42" t="s">
        <v>631</v>
      </c>
      <c r="C310" s="42" t="s">
        <v>632</v>
      </c>
      <c r="D310" s="42" t="s">
        <v>633</v>
      </c>
      <c r="E310" s="43">
        <v>0</v>
      </c>
      <c r="F310" s="43">
        <v>0</v>
      </c>
      <c r="G310" s="43">
        <v>0</v>
      </c>
      <c r="H310" s="43">
        <v>0</v>
      </c>
      <c r="I310" s="43">
        <v>0</v>
      </c>
      <c r="J310" s="43">
        <v>300</v>
      </c>
      <c r="K310" s="44">
        <f t="shared" si="29"/>
        <v>300</v>
      </c>
      <c r="L310" s="43">
        <v>300</v>
      </c>
      <c r="M310" s="43">
        <v>300</v>
      </c>
      <c r="N310" s="43">
        <v>300</v>
      </c>
      <c r="O310" s="43">
        <v>300</v>
      </c>
      <c r="P310" s="43">
        <v>300</v>
      </c>
      <c r="Q310" s="43">
        <v>300</v>
      </c>
      <c r="R310" s="43">
        <v>300</v>
      </c>
      <c r="S310" s="43">
        <v>300</v>
      </c>
      <c r="T310" s="43">
        <v>300</v>
      </c>
      <c r="U310" s="43">
        <v>0</v>
      </c>
      <c r="V310" s="43">
        <v>800</v>
      </c>
      <c r="W310" s="43">
        <v>400</v>
      </c>
      <c r="X310" s="44">
        <f t="shared" si="30"/>
        <v>3900</v>
      </c>
      <c r="Y310" s="43">
        <v>400</v>
      </c>
      <c r="Z310" s="43">
        <v>400</v>
      </c>
      <c r="AA310" s="43">
        <v>400</v>
      </c>
      <c r="AB310" s="43">
        <v>300</v>
      </c>
      <c r="AC310" s="43">
        <v>300</v>
      </c>
      <c r="AD310" s="43">
        <v>300</v>
      </c>
      <c r="AE310" s="43">
        <v>300</v>
      </c>
      <c r="AF310" s="43">
        <v>300</v>
      </c>
      <c r="AG310" s="43">
        <v>300</v>
      </c>
      <c r="AH310" s="43">
        <v>300</v>
      </c>
      <c r="AI310" s="43">
        <v>300</v>
      </c>
      <c r="AJ310" s="43">
        <v>300</v>
      </c>
      <c r="AK310" s="44">
        <f t="shared" si="31"/>
        <v>3900</v>
      </c>
      <c r="AL310" s="43">
        <v>300</v>
      </c>
      <c r="AM310" s="43">
        <v>300</v>
      </c>
      <c r="AN310" s="43">
        <v>300</v>
      </c>
      <c r="AO310" s="43">
        <v>300</v>
      </c>
      <c r="AP310" s="43">
        <v>300</v>
      </c>
      <c r="AQ310" s="43">
        <v>300</v>
      </c>
      <c r="AR310" s="43">
        <v>300</v>
      </c>
      <c r="AS310" s="43">
        <v>300</v>
      </c>
      <c r="AT310" s="43">
        <v>300</v>
      </c>
      <c r="AU310" s="43">
        <v>300</v>
      </c>
      <c r="AV310" s="43">
        <v>300</v>
      </c>
      <c r="AW310" s="43">
        <v>300</v>
      </c>
      <c r="AX310" s="44">
        <f t="shared" si="32"/>
        <v>3600</v>
      </c>
      <c r="AY310" s="317">
        <f>SUMIF(Recibos!$D$4:$D$3010,Cobranza!$B310,Recibos!K$4:K$3010)</f>
        <v>300</v>
      </c>
      <c r="AZ310" s="317">
        <f>SUMIF(Recibos!$D$4:$D$3010,Cobranza!$B310,Recibos!L$4:L$3010)</f>
        <v>300</v>
      </c>
      <c r="BA310" s="317">
        <f>SUMIF(Recibos!$D$4:$D$3010,Cobranza!$B310,Recibos!M$4:M$3010)</f>
        <v>300</v>
      </c>
      <c r="BB310" s="317">
        <f>SUMIF(Recibos!$D$4:$D$3010,Cobranza!$B310,Recibos!N$4:N$3010)</f>
        <v>300</v>
      </c>
      <c r="BC310" s="317">
        <f>SUMIF(Recibos!$D$4:$D$3010,Cobranza!$B310,Recibos!O$4:O$3010)</f>
        <v>300</v>
      </c>
      <c r="BD310" s="317">
        <f>SUMIF(Recibos!$D$4:$D$3010,Cobranza!$B310,Recibos!P$4:P$3010)</f>
        <v>300</v>
      </c>
      <c r="BE310" s="317">
        <f>SUMIF(Recibos!$D$4:$D$3010,Cobranza!$B310,Recibos!Q$4:Q$3010)</f>
        <v>300</v>
      </c>
      <c r="BF310" s="317">
        <f>SUMIF(Recibos!$D$4:$D$3010,Cobranza!$B310,Recibos!R$4:R$3010)</f>
        <v>300</v>
      </c>
      <c r="BG310" s="317">
        <f>SUMIF(Recibos!$D$4:$D$3010,Cobranza!$B310,Recibos!S$4:S$3010)</f>
        <v>300</v>
      </c>
      <c r="BH310" s="317">
        <f>SUMIF(Recibos!$D$4:$D$3010,Cobranza!$B310,Recibos!T$4:T$3010)</f>
        <v>300</v>
      </c>
      <c r="BI310" s="317">
        <f>SUMIF(Recibos!$D$4:$D$3010,Cobranza!$B310,Recibos!U$4:U$3010)</f>
        <v>0</v>
      </c>
      <c r="BJ310" s="317">
        <f>SUMIF(Recibos!$D$4:$D$3010,Cobranza!$B310,Recibos!V$4:V$3010)</f>
        <v>0</v>
      </c>
      <c r="BK310" s="318">
        <f t="shared" si="33"/>
        <v>3000</v>
      </c>
      <c r="BL310" s="317">
        <f>SUMIF(Recibos!$D$4:$D$3010,Cobranza!$B310,Recibos!X$4:X$3010)</f>
        <v>0</v>
      </c>
      <c r="BM310" s="317">
        <f>SUMIF(Recibos!$D$4:$D$3010,Cobranza!$B310,Recibos!Y$4:Y$3010)</f>
        <v>0</v>
      </c>
      <c r="BN310" s="317">
        <f>SUMIF(Recibos!$D$4:$D$3010,Cobranza!$B310,Recibos!Z$4:Z$3010)</f>
        <v>0</v>
      </c>
      <c r="BO310" s="317">
        <f>SUMIF(Recibos!$D$4:$D$3010,Cobranza!$B310,Recibos!AA$4:AA$3010)</f>
        <v>0</v>
      </c>
      <c r="BP310" s="317">
        <f>SUMIF(Recibos!$D$4:$D$3010,Cobranza!$B310,Recibos!AB$4:AB$3010)</f>
        <v>0</v>
      </c>
      <c r="BQ310" s="317">
        <f>SUMIF(Recibos!$D$4:$D$3010,Cobranza!$B310,Recibos!AC$4:AC$3010)</f>
        <v>0</v>
      </c>
      <c r="BR310" s="317">
        <f>SUMIF(Recibos!$D$4:$D$3010,Cobranza!$B310,Recibos!AD$4:AD$3010)</f>
        <v>0</v>
      </c>
      <c r="BS310" s="317">
        <f>SUMIF(Recibos!$D$4:$D$3010,Cobranza!$B310,Recibos!AE$4:AE$3010)</f>
        <v>0</v>
      </c>
      <c r="BT310" s="317">
        <f>SUMIF(Recibos!$D$4:$D$3010,Cobranza!$B310,Recibos!AF$4:AF$3010)</f>
        <v>0</v>
      </c>
      <c r="BU310" s="317">
        <f>SUMIF(Recibos!$D$4:$D$3010,Cobranza!$B310,Recibos!AG$4:AG$3010)</f>
        <v>0</v>
      </c>
      <c r="BV310" s="317">
        <f>SUMIF(Recibos!$D$4:$D$3010,Cobranza!$B310,Recibos!AH$4:AH$3010)</f>
        <v>0</v>
      </c>
      <c r="BW310" s="317">
        <f>SUMIF(Recibos!$D$4:$D$3010,Cobranza!$B310,Recibos!AI$4:AI$3010)</f>
        <v>0</v>
      </c>
      <c r="BX310" s="318">
        <f t="shared" si="34"/>
        <v>0</v>
      </c>
    </row>
    <row r="311" spans="2:76" x14ac:dyDescent="0.2">
      <c r="B311" s="45" t="s">
        <v>340</v>
      </c>
      <c r="C311" s="45" t="s">
        <v>341</v>
      </c>
      <c r="D311" s="45" t="s">
        <v>342</v>
      </c>
      <c r="E311" s="46">
        <v>0</v>
      </c>
      <c r="F311" s="46">
        <v>0</v>
      </c>
      <c r="G311" s="46">
        <v>0</v>
      </c>
      <c r="H311" s="46">
        <v>300</v>
      </c>
      <c r="I311" s="46">
        <v>300</v>
      </c>
      <c r="J311" s="46">
        <v>300</v>
      </c>
      <c r="K311" s="47">
        <f t="shared" si="29"/>
        <v>900</v>
      </c>
      <c r="L311" s="46">
        <v>300</v>
      </c>
      <c r="M311" s="46">
        <v>300</v>
      </c>
      <c r="N311" s="46">
        <v>0</v>
      </c>
      <c r="O311" s="46">
        <v>300</v>
      </c>
      <c r="P311" s="46">
        <v>300</v>
      </c>
      <c r="Q311" s="46">
        <v>300</v>
      </c>
      <c r="R311" s="46">
        <v>300</v>
      </c>
      <c r="S311" s="46">
        <v>300</v>
      </c>
      <c r="T311" s="46">
        <v>300</v>
      </c>
      <c r="U311" s="46">
        <v>400</v>
      </c>
      <c r="V311" s="46">
        <v>400</v>
      </c>
      <c r="W311" s="46">
        <v>400</v>
      </c>
      <c r="X311" s="47">
        <f t="shared" si="30"/>
        <v>3600</v>
      </c>
      <c r="Y311" s="46">
        <v>400</v>
      </c>
      <c r="Z311" s="46">
        <v>0</v>
      </c>
      <c r="AA311" s="46">
        <v>400</v>
      </c>
      <c r="AB311" s="46">
        <v>400</v>
      </c>
      <c r="AC311" s="46">
        <v>400</v>
      </c>
      <c r="AD311" s="46">
        <v>400</v>
      </c>
      <c r="AE311" s="46">
        <v>400</v>
      </c>
      <c r="AF311" s="46">
        <v>400</v>
      </c>
      <c r="AG311" s="46">
        <v>0</v>
      </c>
      <c r="AH311" s="46">
        <v>400</v>
      </c>
      <c r="AI311" s="46">
        <v>400</v>
      </c>
      <c r="AJ311" s="46">
        <v>400</v>
      </c>
      <c r="AK311" s="47">
        <f t="shared" si="31"/>
        <v>4000</v>
      </c>
      <c r="AL311" s="46">
        <v>400</v>
      </c>
      <c r="AM311" s="46">
        <v>400</v>
      </c>
      <c r="AN311" s="46">
        <v>400</v>
      </c>
      <c r="AO311" s="46">
        <v>400</v>
      </c>
      <c r="AP311" s="46">
        <v>400</v>
      </c>
      <c r="AQ311" s="46">
        <v>400</v>
      </c>
      <c r="AR311" s="46">
        <v>400</v>
      </c>
      <c r="AS311" s="46">
        <v>400</v>
      </c>
      <c r="AT311" s="46">
        <v>400</v>
      </c>
      <c r="AU311" s="46">
        <v>400</v>
      </c>
      <c r="AV311" s="46">
        <v>400</v>
      </c>
      <c r="AW311" s="46">
        <v>400</v>
      </c>
      <c r="AX311" s="47">
        <f t="shared" si="32"/>
        <v>4800</v>
      </c>
      <c r="AY311" s="319">
        <f>SUMIF(Recibos!$D$4:$D$3010,Cobranza!$B311,Recibos!K$4:K$3010)</f>
        <v>400</v>
      </c>
      <c r="AZ311" s="319">
        <f>SUMIF(Recibos!$D$4:$D$3010,Cobranza!$B311,Recibos!L$4:L$3010)</f>
        <v>400</v>
      </c>
      <c r="BA311" s="319">
        <f>SUMIF(Recibos!$D$4:$D$3010,Cobranza!$B311,Recibos!M$4:M$3010)</f>
        <v>400</v>
      </c>
      <c r="BB311" s="319">
        <f>SUMIF(Recibos!$D$4:$D$3010,Cobranza!$B311,Recibos!N$4:N$3010)</f>
        <v>400</v>
      </c>
      <c r="BC311" s="319">
        <f>SUMIF(Recibos!$D$4:$D$3010,Cobranza!$B311,Recibos!O$4:O$3010)</f>
        <v>400</v>
      </c>
      <c r="BD311" s="319">
        <f>SUMIF(Recibos!$D$4:$D$3010,Cobranza!$B311,Recibos!P$4:P$3010)</f>
        <v>400</v>
      </c>
      <c r="BE311" s="319">
        <f>SUMIF(Recibos!$D$4:$D$3010,Cobranza!$B311,Recibos!Q$4:Q$3010)</f>
        <v>400</v>
      </c>
      <c r="BF311" s="319">
        <f>SUMIF(Recibos!$D$4:$D$3010,Cobranza!$B311,Recibos!R$4:R$3010)</f>
        <v>400</v>
      </c>
      <c r="BG311" s="319">
        <f>SUMIF(Recibos!$D$4:$D$3010,Cobranza!$B311,Recibos!S$4:S$3010)</f>
        <v>400</v>
      </c>
      <c r="BH311" s="319">
        <f>SUMIF(Recibos!$D$4:$D$3010,Cobranza!$B311,Recibos!T$4:T$3010)</f>
        <v>400</v>
      </c>
      <c r="BI311" s="319">
        <f>SUMIF(Recibos!$D$4:$D$3010,Cobranza!$B311,Recibos!U$4:U$3010)</f>
        <v>0</v>
      </c>
      <c r="BJ311" s="319">
        <f>SUMIF(Recibos!$D$4:$D$3010,Cobranza!$B311,Recibos!V$4:V$3010)</f>
        <v>0</v>
      </c>
      <c r="BK311" s="320">
        <f t="shared" si="33"/>
        <v>4000</v>
      </c>
      <c r="BL311" s="319">
        <f>SUMIF(Recibos!$D$4:$D$3010,Cobranza!$B311,Recibos!X$4:X$3010)</f>
        <v>0</v>
      </c>
      <c r="BM311" s="319">
        <f>SUMIF(Recibos!$D$4:$D$3010,Cobranza!$B311,Recibos!Y$4:Y$3010)</f>
        <v>0</v>
      </c>
      <c r="BN311" s="319">
        <f>SUMIF(Recibos!$D$4:$D$3010,Cobranza!$B311,Recibos!Z$4:Z$3010)</f>
        <v>0</v>
      </c>
      <c r="BO311" s="319">
        <f>SUMIF(Recibos!$D$4:$D$3010,Cobranza!$B311,Recibos!AA$4:AA$3010)</f>
        <v>0</v>
      </c>
      <c r="BP311" s="319">
        <f>SUMIF(Recibos!$D$4:$D$3010,Cobranza!$B311,Recibos!AB$4:AB$3010)</f>
        <v>0</v>
      </c>
      <c r="BQ311" s="319">
        <f>SUMIF(Recibos!$D$4:$D$3010,Cobranza!$B311,Recibos!AC$4:AC$3010)</f>
        <v>0</v>
      </c>
      <c r="BR311" s="319">
        <f>SUMIF(Recibos!$D$4:$D$3010,Cobranza!$B311,Recibos!AD$4:AD$3010)</f>
        <v>0</v>
      </c>
      <c r="BS311" s="319">
        <f>SUMIF(Recibos!$D$4:$D$3010,Cobranza!$B311,Recibos!AE$4:AE$3010)</f>
        <v>0</v>
      </c>
      <c r="BT311" s="319">
        <f>SUMIF(Recibos!$D$4:$D$3010,Cobranza!$B311,Recibos!AF$4:AF$3010)</f>
        <v>0</v>
      </c>
      <c r="BU311" s="319">
        <f>SUMIF(Recibos!$D$4:$D$3010,Cobranza!$B311,Recibos!AG$4:AG$3010)</f>
        <v>0</v>
      </c>
      <c r="BV311" s="319">
        <f>SUMIF(Recibos!$D$4:$D$3010,Cobranza!$B311,Recibos!AH$4:AH$3010)</f>
        <v>0</v>
      </c>
      <c r="BW311" s="319">
        <f>SUMIF(Recibos!$D$4:$D$3010,Cobranza!$B311,Recibos!AI$4:AI$3010)</f>
        <v>0</v>
      </c>
      <c r="BX311" s="320">
        <f t="shared" si="34"/>
        <v>0</v>
      </c>
    </row>
    <row r="312" spans="2:76" x14ac:dyDescent="0.2">
      <c r="B312" s="42" t="s">
        <v>1400</v>
      </c>
      <c r="C312" s="42" t="s">
        <v>1401</v>
      </c>
      <c r="D312" s="42" t="s">
        <v>1001</v>
      </c>
      <c r="E312" s="43">
        <v>0</v>
      </c>
      <c r="F312" s="43">
        <v>0</v>
      </c>
      <c r="G312" s="43">
        <v>0</v>
      </c>
      <c r="H312" s="43">
        <v>0</v>
      </c>
      <c r="I312" s="43">
        <v>0</v>
      </c>
      <c r="J312" s="43">
        <v>0</v>
      </c>
      <c r="K312" s="44">
        <f t="shared" si="29"/>
        <v>0</v>
      </c>
      <c r="L312" s="43">
        <v>0</v>
      </c>
      <c r="M312" s="43">
        <v>0</v>
      </c>
      <c r="N312" s="43">
        <v>0</v>
      </c>
      <c r="O312" s="43">
        <v>0</v>
      </c>
      <c r="P312" s="43">
        <v>0</v>
      </c>
      <c r="Q312" s="43">
        <v>0</v>
      </c>
      <c r="R312" s="43">
        <v>0</v>
      </c>
      <c r="S312" s="43">
        <v>0</v>
      </c>
      <c r="T312" s="43">
        <v>0</v>
      </c>
      <c r="U312" s="43">
        <v>0</v>
      </c>
      <c r="V312" s="43">
        <v>0</v>
      </c>
      <c r="W312" s="43">
        <v>0</v>
      </c>
      <c r="X312" s="44">
        <f t="shared" si="30"/>
        <v>0</v>
      </c>
      <c r="Y312" s="43">
        <v>0</v>
      </c>
      <c r="Z312" s="43">
        <v>0</v>
      </c>
      <c r="AA312" s="43">
        <v>0</v>
      </c>
      <c r="AB312" s="43">
        <v>0</v>
      </c>
      <c r="AC312" s="43">
        <v>0</v>
      </c>
      <c r="AD312" s="43">
        <v>0</v>
      </c>
      <c r="AE312" s="43">
        <v>0</v>
      </c>
      <c r="AF312" s="43">
        <v>0</v>
      </c>
      <c r="AG312" s="43">
        <v>0</v>
      </c>
      <c r="AH312" s="43">
        <v>0</v>
      </c>
      <c r="AI312" s="43">
        <v>0</v>
      </c>
      <c r="AJ312" s="43">
        <v>0</v>
      </c>
      <c r="AK312" s="44">
        <f t="shared" si="31"/>
        <v>0</v>
      </c>
      <c r="AL312" s="43">
        <v>0</v>
      </c>
      <c r="AM312" s="43">
        <v>0</v>
      </c>
      <c r="AN312" s="43">
        <v>0</v>
      </c>
      <c r="AO312" s="43">
        <v>0</v>
      </c>
      <c r="AP312" s="43">
        <v>0</v>
      </c>
      <c r="AQ312" s="43">
        <v>0</v>
      </c>
      <c r="AR312" s="43">
        <v>0</v>
      </c>
      <c r="AS312" s="43">
        <v>0</v>
      </c>
      <c r="AT312" s="43">
        <v>0</v>
      </c>
      <c r="AU312" s="43">
        <v>0</v>
      </c>
      <c r="AV312" s="43">
        <v>0</v>
      </c>
      <c r="AW312" s="43">
        <v>0</v>
      </c>
      <c r="AX312" s="44">
        <f t="shared" si="32"/>
        <v>0</v>
      </c>
      <c r="AY312" s="317">
        <f>SUMIF(Recibos!$D$4:$D$3010,Cobranza!$B312,Recibos!K$4:K$3010)</f>
        <v>0</v>
      </c>
      <c r="AZ312" s="317">
        <f>SUMIF(Recibos!$D$4:$D$3010,Cobranza!$B312,Recibos!L$4:L$3010)</f>
        <v>0</v>
      </c>
      <c r="BA312" s="317">
        <f>SUMIF(Recibos!$D$4:$D$3010,Cobranza!$B312,Recibos!M$4:M$3010)</f>
        <v>0</v>
      </c>
      <c r="BB312" s="317">
        <f>SUMIF(Recibos!$D$4:$D$3010,Cobranza!$B312,Recibos!N$4:N$3010)</f>
        <v>0</v>
      </c>
      <c r="BC312" s="317">
        <f>SUMIF(Recibos!$D$4:$D$3010,Cobranza!$B312,Recibos!O$4:O$3010)</f>
        <v>0</v>
      </c>
      <c r="BD312" s="317">
        <f>SUMIF(Recibos!$D$4:$D$3010,Cobranza!$B312,Recibos!P$4:P$3010)</f>
        <v>0</v>
      </c>
      <c r="BE312" s="317">
        <f>SUMIF(Recibos!$D$4:$D$3010,Cobranza!$B312,Recibos!Q$4:Q$3010)</f>
        <v>0</v>
      </c>
      <c r="BF312" s="317">
        <f>SUMIF(Recibos!$D$4:$D$3010,Cobranza!$B312,Recibos!R$4:R$3010)</f>
        <v>0</v>
      </c>
      <c r="BG312" s="317">
        <f>SUMIF(Recibos!$D$4:$D$3010,Cobranza!$B312,Recibos!S$4:S$3010)</f>
        <v>0</v>
      </c>
      <c r="BH312" s="317">
        <f>SUMIF(Recibos!$D$4:$D$3010,Cobranza!$B312,Recibos!T$4:T$3010)</f>
        <v>0</v>
      </c>
      <c r="BI312" s="317">
        <f>SUMIF(Recibos!$D$4:$D$3010,Cobranza!$B312,Recibos!U$4:U$3010)</f>
        <v>0</v>
      </c>
      <c r="BJ312" s="317">
        <f>SUMIF(Recibos!$D$4:$D$3010,Cobranza!$B312,Recibos!V$4:V$3010)</f>
        <v>0</v>
      </c>
      <c r="BK312" s="318">
        <f t="shared" si="33"/>
        <v>0</v>
      </c>
      <c r="BL312" s="317">
        <f>SUMIF(Recibos!$D$4:$D$3010,Cobranza!$B312,Recibos!X$4:X$3010)</f>
        <v>0</v>
      </c>
      <c r="BM312" s="317">
        <f>SUMIF(Recibos!$D$4:$D$3010,Cobranza!$B312,Recibos!Y$4:Y$3010)</f>
        <v>0</v>
      </c>
      <c r="BN312" s="317">
        <f>SUMIF(Recibos!$D$4:$D$3010,Cobranza!$B312,Recibos!Z$4:Z$3010)</f>
        <v>0</v>
      </c>
      <c r="BO312" s="317">
        <f>SUMIF(Recibos!$D$4:$D$3010,Cobranza!$B312,Recibos!AA$4:AA$3010)</f>
        <v>0</v>
      </c>
      <c r="BP312" s="317">
        <f>SUMIF(Recibos!$D$4:$D$3010,Cobranza!$B312,Recibos!AB$4:AB$3010)</f>
        <v>0</v>
      </c>
      <c r="BQ312" s="317">
        <f>SUMIF(Recibos!$D$4:$D$3010,Cobranza!$B312,Recibos!AC$4:AC$3010)</f>
        <v>0</v>
      </c>
      <c r="BR312" s="317">
        <f>SUMIF(Recibos!$D$4:$D$3010,Cobranza!$B312,Recibos!AD$4:AD$3010)</f>
        <v>0</v>
      </c>
      <c r="BS312" s="317">
        <f>SUMIF(Recibos!$D$4:$D$3010,Cobranza!$B312,Recibos!AE$4:AE$3010)</f>
        <v>0</v>
      </c>
      <c r="BT312" s="317">
        <f>SUMIF(Recibos!$D$4:$D$3010,Cobranza!$B312,Recibos!AF$4:AF$3010)</f>
        <v>0</v>
      </c>
      <c r="BU312" s="317">
        <f>SUMIF(Recibos!$D$4:$D$3010,Cobranza!$B312,Recibos!AG$4:AG$3010)</f>
        <v>0</v>
      </c>
      <c r="BV312" s="317">
        <f>SUMIF(Recibos!$D$4:$D$3010,Cobranza!$B312,Recibos!AH$4:AH$3010)</f>
        <v>0</v>
      </c>
      <c r="BW312" s="317">
        <f>SUMIF(Recibos!$D$4:$D$3010,Cobranza!$B312,Recibos!AI$4:AI$3010)</f>
        <v>0</v>
      </c>
      <c r="BX312" s="318">
        <f t="shared" si="34"/>
        <v>0</v>
      </c>
    </row>
    <row r="313" spans="2:76" x14ac:dyDescent="0.2">
      <c r="B313" s="45" t="s">
        <v>663</v>
      </c>
      <c r="C313" s="45" t="s">
        <v>664</v>
      </c>
      <c r="D313" s="45" t="s">
        <v>665</v>
      </c>
      <c r="E313" s="46">
        <v>0</v>
      </c>
      <c r="F313" s="46">
        <v>0</v>
      </c>
      <c r="G313" s="46">
        <v>0</v>
      </c>
      <c r="H313" s="46">
        <v>0</v>
      </c>
      <c r="I313" s="46">
        <v>0</v>
      </c>
      <c r="J313" s="46">
        <v>0</v>
      </c>
      <c r="K313" s="47">
        <f t="shared" si="29"/>
        <v>0</v>
      </c>
      <c r="L313" s="46">
        <v>0</v>
      </c>
      <c r="M313" s="46">
        <v>0</v>
      </c>
      <c r="N313" s="46">
        <v>0</v>
      </c>
      <c r="O313" s="46">
        <v>0</v>
      </c>
      <c r="P313" s="46">
        <v>0</v>
      </c>
      <c r="Q313" s="46">
        <v>0</v>
      </c>
      <c r="R313" s="46">
        <v>0</v>
      </c>
      <c r="S313" s="46">
        <v>0</v>
      </c>
      <c r="T313" s="46">
        <v>0</v>
      </c>
      <c r="U313" s="46">
        <v>0</v>
      </c>
      <c r="V313" s="46">
        <v>0</v>
      </c>
      <c r="W313" s="46">
        <v>0</v>
      </c>
      <c r="X313" s="47">
        <f t="shared" si="30"/>
        <v>0</v>
      </c>
      <c r="Y313" s="46">
        <v>0</v>
      </c>
      <c r="Z313" s="46">
        <v>0</v>
      </c>
      <c r="AA313" s="46">
        <v>0</v>
      </c>
      <c r="AB313" s="46">
        <v>0</v>
      </c>
      <c r="AC313" s="46">
        <v>0</v>
      </c>
      <c r="AD313" s="46">
        <v>0</v>
      </c>
      <c r="AE313" s="46">
        <v>0</v>
      </c>
      <c r="AF313" s="46">
        <v>0</v>
      </c>
      <c r="AG313" s="46">
        <v>0</v>
      </c>
      <c r="AH313" s="46">
        <v>0</v>
      </c>
      <c r="AI313" s="46">
        <v>0</v>
      </c>
      <c r="AJ313" s="46">
        <v>0</v>
      </c>
      <c r="AK313" s="47">
        <f t="shared" si="31"/>
        <v>0</v>
      </c>
      <c r="AL313" s="46">
        <v>0</v>
      </c>
      <c r="AM313" s="46">
        <v>0</v>
      </c>
      <c r="AN313" s="46">
        <v>0</v>
      </c>
      <c r="AO313" s="46">
        <v>0</v>
      </c>
      <c r="AP313" s="46">
        <v>0</v>
      </c>
      <c r="AQ313" s="46">
        <v>0</v>
      </c>
      <c r="AR313" s="46">
        <v>0</v>
      </c>
      <c r="AS313" s="46">
        <v>400</v>
      </c>
      <c r="AT313" s="46">
        <v>400</v>
      </c>
      <c r="AU313" s="46">
        <v>400</v>
      </c>
      <c r="AV313" s="46">
        <v>400</v>
      </c>
      <c r="AW313" s="46">
        <v>400</v>
      </c>
      <c r="AX313" s="47">
        <f t="shared" si="32"/>
        <v>2000</v>
      </c>
      <c r="AY313" s="319">
        <f>SUMIF(Recibos!$D$4:$D$3010,Cobranza!$B313,Recibos!K$4:K$3010)</f>
        <v>400</v>
      </c>
      <c r="AZ313" s="319">
        <f>SUMIF(Recibos!$D$4:$D$3010,Cobranza!$B313,Recibos!L$4:L$3010)</f>
        <v>400</v>
      </c>
      <c r="BA313" s="319">
        <f>SUMIF(Recibos!$D$4:$D$3010,Cobranza!$B313,Recibos!M$4:M$3010)</f>
        <v>400</v>
      </c>
      <c r="BB313" s="319">
        <f>SUMIF(Recibos!$D$4:$D$3010,Cobranza!$B313,Recibos!N$4:N$3010)</f>
        <v>400</v>
      </c>
      <c r="BC313" s="319">
        <f>SUMIF(Recibos!$D$4:$D$3010,Cobranza!$B313,Recibos!O$4:O$3010)</f>
        <v>400</v>
      </c>
      <c r="BD313" s="319">
        <f>SUMIF(Recibos!$D$4:$D$3010,Cobranza!$B313,Recibos!P$4:P$3010)</f>
        <v>400</v>
      </c>
      <c r="BE313" s="319">
        <f>SUMIF(Recibos!$D$4:$D$3010,Cobranza!$B313,Recibos!Q$4:Q$3010)</f>
        <v>400</v>
      </c>
      <c r="BF313" s="319">
        <f>SUMIF(Recibos!$D$4:$D$3010,Cobranza!$B313,Recibos!R$4:R$3010)</f>
        <v>400</v>
      </c>
      <c r="BG313" s="319">
        <f>SUMIF(Recibos!$D$4:$D$3010,Cobranza!$B313,Recibos!S$4:S$3010)</f>
        <v>400</v>
      </c>
      <c r="BH313" s="319">
        <f>SUMIF(Recibos!$D$4:$D$3010,Cobranza!$B313,Recibos!T$4:T$3010)</f>
        <v>400</v>
      </c>
      <c r="BI313" s="319">
        <f>SUMIF(Recibos!$D$4:$D$3010,Cobranza!$B313,Recibos!U$4:U$3010)</f>
        <v>0</v>
      </c>
      <c r="BJ313" s="319">
        <f>SUMIF(Recibos!$D$4:$D$3010,Cobranza!$B313,Recibos!V$4:V$3010)</f>
        <v>0</v>
      </c>
      <c r="BK313" s="320">
        <f t="shared" si="33"/>
        <v>4000</v>
      </c>
      <c r="BL313" s="319">
        <f>SUMIF(Recibos!$D$4:$D$3010,Cobranza!$B313,Recibos!X$4:X$3010)</f>
        <v>0</v>
      </c>
      <c r="BM313" s="319">
        <f>SUMIF(Recibos!$D$4:$D$3010,Cobranza!$B313,Recibos!Y$4:Y$3010)</f>
        <v>0</v>
      </c>
      <c r="BN313" s="319">
        <f>SUMIF(Recibos!$D$4:$D$3010,Cobranza!$B313,Recibos!Z$4:Z$3010)</f>
        <v>0</v>
      </c>
      <c r="BO313" s="319">
        <f>SUMIF(Recibos!$D$4:$D$3010,Cobranza!$B313,Recibos!AA$4:AA$3010)</f>
        <v>0</v>
      </c>
      <c r="BP313" s="319">
        <f>SUMIF(Recibos!$D$4:$D$3010,Cobranza!$B313,Recibos!AB$4:AB$3010)</f>
        <v>0</v>
      </c>
      <c r="BQ313" s="319">
        <f>SUMIF(Recibos!$D$4:$D$3010,Cobranza!$B313,Recibos!AC$4:AC$3010)</f>
        <v>0</v>
      </c>
      <c r="BR313" s="319">
        <f>SUMIF(Recibos!$D$4:$D$3010,Cobranza!$B313,Recibos!AD$4:AD$3010)</f>
        <v>0</v>
      </c>
      <c r="BS313" s="319">
        <f>SUMIF(Recibos!$D$4:$D$3010,Cobranza!$B313,Recibos!AE$4:AE$3010)</f>
        <v>0</v>
      </c>
      <c r="BT313" s="319">
        <f>SUMIF(Recibos!$D$4:$D$3010,Cobranza!$B313,Recibos!AF$4:AF$3010)</f>
        <v>0</v>
      </c>
      <c r="BU313" s="319">
        <f>SUMIF(Recibos!$D$4:$D$3010,Cobranza!$B313,Recibos!AG$4:AG$3010)</f>
        <v>0</v>
      </c>
      <c r="BV313" s="319">
        <f>SUMIF(Recibos!$D$4:$D$3010,Cobranza!$B313,Recibos!AH$4:AH$3010)</f>
        <v>0</v>
      </c>
      <c r="BW313" s="319">
        <f>SUMIF(Recibos!$D$4:$D$3010,Cobranza!$B313,Recibos!AI$4:AI$3010)</f>
        <v>0</v>
      </c>
      <c r="BX313" s="320">
        <f t="shared" si="34"/>
        <v>0</v>
      </c>
    </row>
    <row r="314" spans="2:76" x14ac:dyDescent="0.2">
      <c r="B314" s="42" t="s">
        <v>214</v>
      </c>
      <c r="C314" s="42" t="s">
        <v>215</v>
      </c>
      <c r="D314" s="42" t="s">
        <v>216</v>
      </c>
      <c r="E314" s="43">
        <v>0</v>
      </c>
      <c r="F314" s="43">
        <v>0</v>
      </c>
      <c r="G314" s="43">
        <v>0</v>
      </c>
      <c r="H314" s="43">
        <v>0</v>
      </c>
      <c r="I314" s="43">
        <v>0</v>
      </c>
      <c r="J314" s="43">
        <v>200</v>
      </c>
      <c r="K314" s="44">
        <f t="shared" si="29"/>
        <v>200</v>
      </c>
      <c r="L314" s="43">
        <v>200</v>
      </c>
      <c r="M314" s="43">
        <v>200</v>
      </c>
      <c r="N314" s="43">
        <v>200</v>
      </c>
      <c r="O314" s="43">
        <v>200</v>
      </c>
      <c r="P314" s="43">
        <v>200</v>
      </c>
      <c r="Q314" s="43">
        <v>200</v>
      </c>
      <c r="R314" s="43">
        <v>200</v>
      </c>
      <c r="S314" s="43">
        <v>200</v>
      </c>
      <c r="T314" s="43">
        <v>200</v>
      </c>
      <c r="U314" s="43">
        <v>200</v>
      </c>
      <c r="V314" s="43">
        <v>200</v>
      </c>
      <c r="W314" s="43">
        <v>200</v>
      </c>
      <c r="X314" s="44">
        <f t="shared" si="30"/>
        <v>2400</v>
      </c>
      <c r="Y314" s="43">
        <v>200</v>
      </c>
      <c r="Z314" s="43">
        <v>200</v>
      </c>
      <c r="AA314" s="43">
        <v>200</v>
      </c>
      <c r="AB314" s="43">
        <v>200</v>
      </c>
      <c r="AC314" s="43">
        <v>200</v>
      </c>
      <c r="AD314" s="43">
        <v>200</v>
      </c>
      <c r="AE314" s="43">
        <v>200</v>
      </c>
      <c r="AF314" s="43">
        <v>200</v>
      </c>
      <c r="AG314" s="43">
        <v>200</v>
      </c>
      <c r="AH314" s="43">
        <v>200</v>
      </c>
      <c r="AI314" s="43">
        <v>200</v>
      </c>
      <c r="AJ314" s="43">
        <v>200</v>
      </c>
      <c r="AK314" s="44">
        <f t="shared" si="31"/>
        <v>2400</v>
      </c>
      <c r="AL314" s="43">
        <v>200</v>
      </c>
      <c r="AM314" s="43">
        <v>200</v>
      </c>
      <c r="AN314" s="43">
        <v>200</v>
      </c>
      <c r="AO314" s="43">
        <v>200</v>
      </c>
      <c r="AP314" s="43">
        <v>200</v>
      </c>
      <c r="AQ314" s="43">
        <v>200</v>
      </c>
      <c r="AR314" s="43">
        <v>200</v>
      </c>
      <c r="AS314" s="43">
        <v>200</v>
      </c>
      <c r="AT314" s="43">
        <v>0</v>
      </c>
      <c r="AU314" s="43">
        <v>0</v>
      </c>
      <c r="AV314" s="43">
        <v>200</v>
      </c>
      <c r="AW314" s="43">
        <v>200</v>
      </c>
      <c r="AX314" s="44">
        <f t="shared" si="32"/>
        <v>2000</v>
      </c>
      <c r="AY314" s="317">
        <f>SUMIF(Recibos!$D$4:$D$3010,Cobranza!$B314,Recibos!K$4:K$3010)</f>
        <v>200</v>
      </c>
      <c r="AZ314" s="317">
        <f>SUMIF(Recibos!$D$4:$D$3010,Cobranza!$B314,Recibos!L$4:L$3010)</f>
        <v>200</v>
      </c>
      <c r="BA314" s="317">
        <f>SUMIF(Recibos!$D$4:$D$3010,Cobranza!$B314,Recibos!M$4:M$3010)</f>
        <v>0</v>
      </c>
      <c r="BB314" s="317">
        <f>SUMIF(Recibos!$D$4:$D$3010,Cobranza!$B314,Recibos!N$4:N$3010)</f>
        <v>0</v>
      </c>
      <c r="BC314" s="317">
        <f>SUMIF(Recibos!$D$4:$D$3010,Cobranza!$B314,Recibos!O$4:O$3010)</f>
        <v>400</v>
      </c>
      <c r="BD314" s="317">
        <f>SUMIF(Recibos!$D$4:$D$3010,Cobranza!$B314,Recibos!P$4:P$3010)</f>
        <v>400</v>
      </c>
      <c r="BE314" s="317">
        <f>SUMIF(Recibos!$D$4:$D$3010,Cobranza!$B314,Recibos!Q$4:Q$3010)</f>
        <v>200</v>
      </c>
      <c r="BF314" s="317">
        <f>SUMIF(Recibos!$D$4:$D$3010,Cobranza!$B314,Recibos!R$4:R$3010)</f>
        <v>200</v>
      </c>
      <c r="BG314" s="317">
        <f>SUMIF(Recibos!$D$4:$D$3010,Cobranza!$B314,Recibos!S$4:S$3010)</f>
        <v>200</v>
      </c>
      <c r="BH314" s="317">
        <f>SUMIF(Recibos!$D$4:$D$3010,Cobranza!$B314,Recibos!T$4:T$3010)</f>
        <v>200</v>
      </c>
      <c r="BI314" s="317">
        <f>SUMIF(Recibos!$D$4:$D$3010,Cobranza!$B314,Recibos!U$4:U$3010)</f>
        <v>200</v>
      </c>
      <c r="BJ314" s="317">
        <f>SUMIF(Recibos!$D$4:$D$3010,Cobranza!$B314,Recibos!V$4:V$3010)</f>
        <v>0</v>
      </c>
      <c r="BK314" s="318">
        <f t="shared" si="33"/>
        <v>2200</v>
      </c>
      <c r="BL314" s="317">
        <f>SUMIF(Recibos!$D$4:$D$3010,Cobranza!$B314,Recibos!X$4:X$3010)</f>
        <v>0</v>
      </c>
      <c r="BM314" s="317">
        <f>SUMIF(Recibos!$D$4:$D$3010,Cobranza!$B314,Recibos!Y$4:Y$3010)</f>
        <v>0</v>
      </c>
      <c r="BN314" s="317">
        <f>SUMIF(Recibos!$D$4:$D$3010,Cobranza!$B314,Recibos!Z$4:Z$3010)</f>
        <v>0</v>
      </c>
      <c r="BO314" s="317">
        <f>SUMIF(Recibos!$D$4:$D$3010,Cobranza!$B314,Recibos!AA$4:AA$3010)</f>
        <v>0</v>
      </c>
      <c r="BP314" s="317">
        <f>SUMIF(Recibos!$D$4:$D$3010,Cobranza!$B314,Recibos!AB$4:AB$3010)</f>
        <v>0</v>
      </c>
      <c r="BQ314" s="317">
        <f>SUMIF(Recibos!$D$4:$D$3010,Cobranza!$B314,Recibos!AC$4:AC$3010)</f>
        <v>0</v>
      </c>
      <c r="BR314" s="317">
        <f>SUMIF(Recibos!$D$4:$D$3010,Cobranza!$B314,Recibos!AD$4:AD$3010)</f>
        <v>0</v>
      </c>
      <c r="BS314" s="317">
        <f>SUMIF(Recibos!$D$4:$D$3010,Cobranza!$B314,Recibos!AE$4:AE$3010)</f>
        <v>0</v>
      </c>
      <c r="BT314" s="317">
        <f>SUMIF(Recibos!$D$4:$D$3010,Cobranza!$B314,Recibos!AF$4:AF$3010)</f>
        <v>0</v>
      </c>
      <c r="BU314" s="317">
        <f>SUMIF(Recibos!$D$4:$D$3010,Cobranza!$B314,Recibos!AG$4:AG$3010)</f>
        <v>0</v>
      </c>
      <c r="BV314" s="317">
        <f>SUMIF(Recibos!$D$4:$D$3010,Cobranza!$B314,Recibos!AH$4:AH$3010)</f>
        <v>0</v>
      </c>
      <c r="BW314" s="317">
        <f>SUMIF(Recibos!$D$4:$D$3010,Cobranza!$B314,Recibos!AI$4:AI$3010)</f>
        <v>0</v>
      </c>
      <c r="BX314" s="318">
        <f t="shared" si="34"/>
        <v>0</v>
      </c>
    </row>
    <row r="315" spans="2:76" x14ac:dyDescent="0.2">
      <c r="B315" s="45" t="s">
        <v>902</v>
      </c>
      <c r="C315" s="45" t="s">
        <v>903</v>
      </c>
      <c r="D315" s="45" t="s">
        <v>904</v>
      </c>
      <c r="E315" s="46">
        <v>0</v>
      </c>
      <c r="F315" s="46">
        <v>0</v>
      </c>
      <c r="G315" s="46">
        <v>0</v>
      </c>
      <c r="H315" s="46">
        <v>0</v>
      </c>
      <c r="I315" s="46">
        <v>300</v>
      </c>
      <c r="J315" s="46">
        <v>300</v>
      </c>
      <c r="K315" s="47">
        <f t="shared" si="29"/>
        <v>600</v>
      </c>
      <c r="L315" s="46">
        <v>300</v>
      </c>
      <c r="M315" s="46">
        <v>300</v>
      </c>
      <c r="N315" s="46">
        <v>300</v>
      </c>
      <c r="O315" s="46">
        <v>300</v>
      </c>
      <c r="P315" s="46">
        <v>300</v>
      </c>
      <c r="Q315" s="46">
        <v>300</v>
      </c>
      <c r="R315" s="46">
        <v>300</v>
      </c>
      <c r="S315" s="46">
        <v>300</v>
      </c>
      <c r="T315" s="46">
        <v>300</v>
      </c>
      <c r="U315" s="46">
        <v>400</v>
      </c>
      <c r="V315" s="46">
        <v>400</v>
      </c>
      <c r="W315" s="46">
        <v>400</v>
      </c>
      <c r="X315" s="47">
        <f t="shared" si="30"/>
        <v>3900</v>
      </c>
      <c r="Y315" s="46">
        <v>0</v>
      </c>
      <c r="Z315" s="46">
        <v>400</v>
      </c>
      <c r="AA315" s="46">
        <v>400</v>
      </c>
      <c r="AB315" s="46">
        <v>400</v>
      </c>
      <c r="AC315" s="46">
        <v>400</v>
      </c>
      <c r="AD315" s="46">
        <v>400</v>
      </c>
      <c r="AE315" s="46">
        <v>400</v>
      </c>
      <c r="AF315" s="46">
        <v>400</v>
      </c>
      <c r="AG315" s="46">
        <v>400</v>
      </c>
      <c r="AH315" s="46">
        <v>400</v>
      </c>
      <c r="AI315" s="46">
        <v>400</v>
      </c>
      <c r="AJ315" s="46">
        <v>400</v>
      </c>
      <c r="AK315" s="47">
        <f t="shared" si="31"/>
        <v>4400</v>
      </c>
      <c r="AL315" s="46">
        <v>400</v>
      </c>
      <c r="AM315" s="46">
        <v>400</v>
      </c>
      <c r="AN315" s="46">
        <v>400</v>
      </c>
      <c r="AO315" s="46">
        <v>400</v>
      </c>
      <c r="AP315" s="46">
        <v>400</v>
      </c>
      <c r="AQ315" s="46">
        <v>400</v>
      </c>
      <c r="AR315" s="46">
        <v>400</v>
      </c>
      <c r="AS315" s="46">
        <v>400</v>
      </c>
      <c r="AT315" s="46">
        <v>400</v>
      </c>
      <c r="AU315" s="46">
        <v>400</v>
      </c>
      <c r="AV315" s="46">
        <v>400</v>
      </c>
      <c r="AW315" s="46">
        <v>0</v>
      </c>
      <c r="AX315" s="47">
        <f t="shared" si="32"/>
        <v>4400</v>
      </c>
      <c r="AY315" s="319">
        <f>SUMIF(Recibos!$D$4:$D$3010,Cobranza!$B315,Recibos!K$4:K$3010)</f>
        <v>400</v>
      </c>
      <c r="AZ315" s="319">
        <f>SUMIF(Recibos!$D$4:$D$3010,Cobranza!$B315,Recibos!L$4:L$3010)</f>
        <v>400</v>
      </c>
      <c r="BA315" s="319">
        <f>SUMIF(Recibos!$D$4:$D$3010,Cobranza!$B315,Recibos!M$4:M$3010)</f>
        <v>400</v>
      </c>
      <c r="BB315" s="319">
        <f>SUMIF(Recibos!$D$4:$D$3010,Cobranza!$B315,Recibos!N$4:N$3010)</f>
        <v>400</v>
      </c>
      <c r="BC315" s="319">
        <f>SUMIF(Recibos!$D$4:$D$3010,Cobranza!$B315,Recibos!O$4:O$3010)</f>
        <v>400</v>
      </c>
      <c r="BD315" s="319">
        <f>SUMIF(Recibos!$D$4:$D$3010,Cobranza!$B315,Recibos!P$4:P$3010)</f>
        <v>400</v>
      </c>
      <c r="BE315" s="319">
        <f>SUMIF(Recibos!$D$4:$D$3010,Cobranza!$B315,Recibos!Q$4:Q$3010)</f>
        <v>400</v>
      </c>
      <c r="BF315" s="319">
        <f>SUMIF(Recibos!$D$4:$D$3010,Cobranza!$B315,Recibos!R$4:R$3010)</f>
        <v>400</v>
      </c>
      <c r="BG315" s="319">
        <f>SUMIF(Recibos!$D$4:$D$3010,Cobranza!$B315,Recibos!S$4:S$3010)</f>
        <v>400</v>
      </c>
      <c r="BH315" s="319">
        <f>SUMIF(Recibos!$D$4:$D$3010,Cobranza!$B315,Recibos!T$4:T$3010)</f>
        <v>400</v>
      </c>
      <c r="BI315" s="319">
        <f>SUMIF(Recibos!$D$4:$D$3010,Cobranza!$B315,Recibos!U$4:U$3010)</f>
        <v>400</v>
      </c>
      <c r="BJ315" s="319">
        <f>SUMIF(Recibos!$D$4:$D$3010,Cobranza!$B315,Recibos!V$4:V$3010)</f>
        <v>0</v>
      </c>
      <c r="BK315" s="320">
        <f t="shared" si="33"/>
        <v>4400</v>
      </c>
      <c r="BL315" s="319">
        <f>SUMIF(Recibos!$D$4:$D$3010,Cobranza!$B315,Recibos!X$4:X$3010)</f>
        <v>0</v>
      </c>
      <c r="BM315" s="319">
        <f>SUMIF(Recibos!$D$4:$D$3010,Cobranza!$B315,Recibos!Y$4:Y$3010)</f>
        <v>0</v>
      </c>
      <c r="BN315" s="319">
        <f>SUMIF(Recibos!$D$4:$D$3010,Cobranza!$B315,Recibos!Z$4:Z$3010)</f>
        <v>0</v>
      </c>
      <c r="BO315" s="319">
        <f>SUMIF(Recibos!$D$4:$D$3010,Cobranza!$B315,Recibos!AA$4:AA$3010)</f>
        <v>0</v>
      </c>
      <c r="BP315" s="319">
        <f>SUMIF(Recibos!$D$4:$D$3010,Cobranza!$B315,Recibos!AB$4:AB$3010)</f>
        <v>0</v>
      </c>
      <c r="BQ315" s="319">
        <f>SUMIF(Recibos!$D$4:$D$3010,Cobranza!$B315,Recibos!AC$4:AC$3010)</f>
        <v>0</v>
      </c>
      <c r="BR315" s="319">
        <f>SUMIF(Recibos!$D$4:$D$3010,Cobranza!$B315,Recibos!AD$4:AD$3010)</f>
        <v>0</v>
      </c>
      <c r="BS315" s="319">
        <f>SUMIF(Recibos!$D$4:$D$3010,Cobranza!$B315,Recibos!AE$4:AE$3010)</f>
        <v>0</v>
      </c>
      <c r="BT315" s="319">
        <f>SUMIF(Recibos!$D$4:$D$3010,Cobranza!$B315,Recibos!AF$4:AF$3010)</f>
        <v>0</v>
      </c>
      <c r="BU315" s="319">
        <f>SUMIF(Recibos!$D$4:$D$3010,Cobranza!$B315,Recibos!AG$4:AG$3010)</f>
        <v>0</v>
      </c>
      <c r="BV315" s="319">
        <f>SUMIF(Recibos!$D$4:$D$3010,Cobranza!$B315,Recibos!AH$4:AH$3010)</f>
        <v>0</v>
      </c>
      <c r="BW315" s="319">
        <f>SUMIF(Recibos!$D$4:$D$3010,Cobranza!$B315,Recibos!AI$4:AI$3010)</f>
        <v>0</v>
      </c>
      <c r="BX315" s="320">
        <f t="shared" si="34"/>
        <v>0</v>
      </c>
    </row>
    <row r="316" spans="2:76" x14ac:dyDescent="0.2">
      <c r="B316" s="42" t="s">
        <v>1402</v>
      </c>
      <c r="C316" s="42" t="s">
        <v>1403</v>
      </c>
      <c r="D316" s="42"/>
      <c r="E316" s="43">
        <v>0</v>
      </c>
      <c r="F316" s="43">
        <v>0</v>
      </c>
      <c r="G316" s="43">
        <v>0</v>
      </c>
      <c r="H316" s="43">
        <v>0</v>
      </c>
      <c r="I316" s="43">
        <v>0</v>
      </c>
      <c r="J316" s="43">
        <v>0</v>
      </c>
      <c r="K316" s="44">
        <f t="shared" si="29"/>
        <v>0</v>
      </c>
      <c r="L316" s="43">
        <v>0</v>
      </c>
      <c r="M316" s="43">
        <v>0</v>
      </c>
      <c r="N316" s="43">
        <v>0</v>
      </c>
      <c r="O316" s="43">
        <v>0</v>
      </c>
      <c r="P316" s="43">
        <v>0</v>
      </c>
      <c r="Q316" s="43">
        <v>0</v>
      </c>
      <c r="R316" s="43">
        <v>0</v>
      </c>
      <c r="S316" s="43">
        <v>0</v>
      </c>
      <c r="T316" s="43">
        <v>0</v>
      </c>
      <c r="U316" s="43">
        <v>0</v>
      </c>
      <c r="V316" s="43">
        <v>0</v>
      </c>
      <c r="W316" s="43">
        <v>0</v>
      </c>
      <c r="X316" s="44">
        <f t="shared" si="30"/>
        <v>0</v>
      </c>
      <c r="Y316" s="43">
        <v>0</v>
      </c>
      <c r="Z316" s="43">
        <v>0</v>
      </c>
      <c r="AA316" s="43">
        <v>0</v>
      </c>
      <c r="AB316" s="43">
        <v>0</v>
      </c>
      <c r="AC316" s="43">
        <v>0</v>
      </c>
      <c r="AD316" s="43">
        <v>0</v>
      </c>
      <c r="AE316" s="43">
        <v>0</v>
      </c>
      <c r="AF316" s="43">
        <v>0</v>
      </c>
      <c r="AG316" s="43">
        <v>0</v>
      </c>
      <c r="AH316" s="43">
        <v>0</v>
      </c>
      <c r="AI316" s="43">
        <v>0</v>
      </c>
      <c r="AJ316" s="43">
        <v>0</v>
      </c>
      <c r="AK316" s="44">
        <f t="shared" si="31"/>
        <v>0</v>
      </c>
      <c r="AL316" s="43">
        <v>0</v>
      </c>
      <c r="AM316" s="43">
        <v>0</v>
      </c>
      <c r="AN316" s="43">
        <v>0</v>
      </c>
      <c r="AO316" s="43">
        <v>0</v>
      </c>
      <c r="AP316" s="43">
        <v>0</v>
      </c>
      <c r="AQ316" s="43">
        <v>0</v>
      </c>
      <c r="AR316" s="43">
        <v>0</v>
      </c>
      <c r="AS316" s="43">
        <v>0</v>
      </c>
      <c r="AT316" s="43">
        <v>0</v>
      </c>
      <c r="AU316" s="43">
        <v>0</v>
      </c>
      <c r="AV316" s="43">
        <v>0</v>
      </c>
      <c r="AW316" s="43">
        <v>0</v>
      </c>
      <c r="AX316" s="44">
        <f t="shared" si="32"/>
        <v>0</v>
      </c>
      <c r="AY316" s="317">
        <f>SUMIF(Recibos!$D$4:$D$3010,Cobranza!$B316,Recibos!K$4:K$3010)</f>
        <v>0</v>
      </c>
      <c r="AZ316" s="317">
        <f>SUMIF(Recibos!$D$4:$D$3010,Cobranza!$B316,Recibos!L$4:L$3010)</f>
        <v>0</v>
      </c>
      <c r="BA316" s="317">
        <f>SUMIF(Recibos!$D$4:$D$3010,Cobranza!$B316,Recibos!M$4:M$3010)</f>
        <v>0</v>
      </c>
      <c r="BB316" s="317">
        <f>SUMIF(Recibos!$D$4:$D$3010,Cobranza!$B316,Recibos!N$4:N$3010)</f>
        <v>0</v>
      </c>
      <c r="BC316" s="317">
        <f>SUMIF(Recibos!$D$4:$D$3010,Cobranza!$B316,Recibos!O$4:O$3010)</f>
        <v>0</v>
      </c>
      <c r="BD316" s="317">
        <f>SUMIF(Recibos!$D$4:$D$3010,Cobranza!$B316,Recibos!P$4:P$3010)</f>
        <v>0</v>
      </c>
      <c r="BE316" s="317">
        <f>SUMIF(Recibos!$D$4:$D$3010,Cobranza!$B316,Recibos!Q$4:Q$3010)</f>
        <v>0</v>
      </c>
      <c r="BF316" s="317">
        <f>SUMIF(Recibos!$D$4:$D$3010,Cobranza!$B316,Recibos!R$4:R$3010)</f>
        <v>0</v>
      </c>
      <c r="BG316" s="317">
        <f>SUMIF(Recibos!$D$4:$D$3010,Cobranza!$B316,Recibos!S$4:S$3010)</f>
        <v>0</v>
      </c>
      <c r="BH316" s="317">
        <f>SUMIF(Recibos!$D$4:$D$3010,Cobranza!$B316,Recibos!T$4:T$3010)</f>
        <v>0</v>
      </c>
      <c r="BI316" s="317">
        <f>SUMIF(Recibos!$D$4:$D$3010,Cobranza!$B316,Recibos!U$4:U$3010)</f>
        <v>0</v>
      </c>
      <c r="BJ316" s="317">
        <f>SUMIF(Recibos!$D$4:$D$3010,Cobranza!$B316,Recibos!V$4:V$3010)</f>
        <v>0</v>
      </c>
      <c r="BK316" s="318">
        <f t="shared" si="33"/>
        <v>0</v>
      </c>
      <c r="BL316" s="317">
        <f>SUMIF(Recibos!$D$4:$D$3010,Cobranza!$B316,Recibos!X$4:X$3010)</f>
        <v>0</v>
      </c>
      <c r="BM316" s="317">
        <f>SUMIF(Recibos!$D$4:$D$3010,Cobranza!$B316,Recibos!Y$4:Y$3010)</f>
        <v>0</v>
      </c>
      <c r="BN316" s="317">
        <f>SUMIF(Recibos!$D$4:$D$3010,Cobranza!$B316,Recibos!Z$4:Z$3010)</f>
        <v>0</v>
      </c>
      <c r="BO316" s="317">
        <f>SUMIF(Recibos!$D$4:$D$3010,Cobranza!$B316,Recibos!AA$4:AA$3010)</f>
        <v>0</v>
      </c>
      <c r="BP316" s="317">
        <f>SUMIF(Recibos!$D$4:$D$3010,Cobranza!$B316,Recibos!AB$4:AB$3010)</f>
        <v>0</v>
      </c>
      <c r="BQ316" s="317">
        <f>SUMIF(Recibos!$D$4:$D$3010,Cobranza!$B316,Recibos!AC$4:AC$3010)</f>
        <v>0</v>
      </c>
      <c r="BR316" s="317">
        <f>SUMIF(Recibos!$D$4:$D$3010,Cobranza!$B316,Recibos!AD$4:AD$3010)</f>
        <v>0</v>
      </c>
      <c r="BS316" s="317">
        <f>SUMIF(Recibos!$D$4:$D$3010,Cobranza!$B316,Recibos!AE$4:AE$3010)</f>
        <v>0</v>
      </c>
      <c r="BT316" s="317">
        <f>SUMIF(Recibos!$D$4:$D$3010,Cobranza!$B316,Recibos!AF$4:AF$3010)</f>
        <v>0</v>
      </c>
      <c r="BU316" s="317">
        <f>SUMIF(Recibos!$D$4:$D$3010,Cobranza!$B316,Recibos!AG$4:AG$3010)</f>
        <v>0</v>
      </c>
      <c r="BV316" s="317">
        <f>SUMIF(Recibos!$D$4:$D$3010,Cobranza!$B316,Recibos!AH$4:AH$3010)</f>
        <v>0</v>
      </c>
      <c r="BW316" s="317">
        <f>SUMIF(Recibos!$D$4:$D$3010,Cobranza!$B316,Recibos!AI$4:AI$3010)</f>
        <v>0</v>
      </c>
      <c r="BX316" s="318">
        <f t="shared" si="34"/>
        <v>0</v>
      </c>
    </row>
    <row r="317" spans="2:76" x14ac:dyDescent="0.2">
      <c r="B317" s="45" t="s">
        <v>262</v>
      </c>
      <c r="C317" s="45" t="s">
        <v>263</v>
      </c>
      <c r="D317" s="45" t="s">
        <v>264</v>
      </c>
      <c r="E317" s="46">
        <v>0</v>
      </c>
      <c r="F317" s="46">
        <v>0</v>
      </c>
      <c r="G317" s="46">
        <v>0</v>
      </c>
      <c r="H317" s="46">
        <v>0</v>
      </c>
      <c r="I317" s="46">
        <v>0</v>
      </c>
      <c r="J317" s="46">
        <v>300</v>
      </c>
      <c r="K317" s="47">
        <f t="shared" si="29"/>
        <v>300</v>
      </c>
      <c r="L317" s="46">
        <v>300</v>
      </c>
      <c r="M317" s="46">
        <v>300</v>
      </c>
      <c r="N317" s="46">
        <v>300</v>
      </c>
      <c r="O317" s="46">
        <v>300</v>
      </c>
      <c r="P317" s="46">
        <v>300</v>
      </c>
      <c r="Q317" s="46">
        <v>300</v>
      </c>
      <c r="R317" s="46">
        <v>300</v>
      </c>
      <c r="S317" s="46">
        <v>300</v>
      </c>
      <c r="T317" s="46">
        <v>300</v>
      </c>
      <c r="U317" s="46">
        <v>700</v>
      </c>
      <c r="V317" s="46">
        <v>0</v>
      </c>
      <c r="W317" s="46">
        <v>0</v>
      </c>
      <c r="X317" s="47">
        <f t="shared" si="30"/>
        <v>3400</v>
      </c>
      <c r="Y317" s="46">
        <v>0</v>
      </c>
      <c r="Z317" s="46">
        <v>0</v>
      </c>
      <c r="AA317" s="46">
        <v>0</v>
      </c>
      <c r="AB317" s="46">
        <v>0</v>
      </c>
      <c r="AC317" s="46">
        <v>0</v>
      </c>
      <c r="AD317" s="46">
        <v>0</v>
      </c>
      <c r="AE317" s="46">
        <v>0</v>
      </c>
      <c r="AF317" s="46">
        <v>300</v>
      </c>
      <c r="AG317" s="46">
        <v>300</v>
      </c>
      <c r="AH317" s="46">
        <v>400</v>
      </c>
      <c r="AI317" s="46">
        <v>300</v>
      </c>
      <c r="AJ317" s="46">
        <v>300</v>
      </c>
      <c r="AK317" s="47">
        <f t="shared" si="31"/>
        <v>1600</v>
      </c>
      <c r="AL317" s="46">
        <v>300</v>
      </c>
      <c r="AM317" s="46">
        <v>300</v>
      </c>
      <c r="AN317" s="46">
        <v>300</v>
      </c>
      <c r="AO317" s="46">
        <v>300</v>
      </c>
      <c r="AP317" s="46">
        <v>300</v>
      </c>
      <c r="AQ317" s="46">
        <v>300</v>
      </c>
      <c r="AR317" s="46">
        <v>300</v>
      </c>
      <c r="AS317" s="46">
        <v>300</v>
      </c>
      <c r="AT317" s="46">
        <v>300</v>
      </c>
      <c r="AU317" s="46">
        <v>300</v>
      </c>
      <c r="AV317" s="46">
        <v>300</v>
      </c>
      <c r="AW317" s="46">
        <v>300</v>
      </c>
      <c r="AX317" s="47">
        <f t="shared" si="32"/>
        <v>3600</v>
      </c>
      <c r="AY317" s="319">
        <f>SUMIF(Recibos!$D$4:$D$3010,Cobranza!$B317,Recibos!K$4:K$3010)</f>
        <v>300</v>
      </c>
      <c r="AZ317" s="319">
        <f>SUMIF(Recibos!$D$4:$D$3010,Cobranza!$B317,Recibos!L$4:L$3010)</f>
        <v>300</v>
      </c>
      <c r="BA317" s="319">
        <f>SUMIF(Recibos!$D$4:$D$3010,Cobranza!$B317,Recibos!M$4:M$3010)</f>
        <v>300</v>
      </c>
      <c r="BB317" s="319">
        <f>SUMIF(Recibos!$D$4:$D$3010,Cobranza!$B317,Recibos!N$4:N$3010)</f>
        <v>300</v>
      </c>
      <c r="BC317" s="319">
        <f>SUMIF(Recibos!$D$4:$D$3010,Cobranza!$B317,Recibos!O$4:O$3010)</f>
        <v>300</v>
      </c>
      <c r="BD317" s="319">
        <f>SUMIF(Recibos!$D$4:$D$3010,Cobranza!$B317,Recibos!P$4:P$3010)</f>
        <v>300</v>
      </c>
      <c r="BE317" s="319">
        <f>SUMIF(Recibos!$D$4:$D$3010,Cobranza!$B317,Recibos!Q$4:Q$3010)</f>
        <v>300</v>
      </c>
      <c r="BF317" s="319">
        <f>SUMIF(Recibos!$D$4:$D$3010,Cobranza!$B317,Recibos!R$4:R$3010)</f>
        <v>300</v>
      </c>
      <c r="BG317" s="319">
        <f>SUMIF(Recibos!$D$4:$D$3010,Cobranza!$B317,Recibos!S$4:S$3010)</f>
        <v>300</v>
      </c>
      <c r="BH317" s="319">
        <f>SUMIF(Recibos!$D$4:$D$3010,Cobranza!$B317,Recibos!T$4:T$3010)</f>
        <v>300</v>
      </c>
      <c r="BI317" s="319">
        <f>SUMIF(Recibos!$D$4:$D$3010,Cobranza!$B317,Recibos!U$4:U$3010)</f>
        <v>300</v>
      </c>
      <c r="BJ317" s="319">
        <f>SUMIF(Recibos!$D$4:$D$3010,Cobranza!$B317,Recibos!V$4:V$3010)</f>
        <v>300</v>
      </c>
      <c r="BK317" s="320">
        <f t="shared" si="33"/>
        <v>3600</v>
      </c>
      <c r="BL317" s="319">
        <f>SUMIF(Recibos!$D$4:$D$3010,Cobranza!$B317,Recibos!X$4:X$3010)</f>
        <v>300</v>
      </c>
      <c r="BM317" s="319">
        <f>SUMIF(Recibos!$D$4:$D$3010,Cobranza!$B317,Recibos!Y$4:Y$3010)</f>
        <v>0</v>
      </c>
      <c r="BN317" s="319">
        <f>SUMIF(Recibos!$D$4:$D$3010,Cobranza!$B317,Recibos!Z$4:Z$3010)</f>
        <v>0</v>
      </c>
      <c r="BO317" s="319">
        <f>SUMIF(Recibos!$D$4:$D$3010,Cobranza!$B317,Recibos!AA$4:AA$3010)</f>
        <v>0</v>
      </c>
      <c r="BP317" s="319">
        <f>SUMIF(Recibos!$D$4:$D$3010,Cobranza!$B317,Recibos!AB$4:AB$3010)</f>
        <v>0</v>
      </c>
      <c r="BQ317" s="319">
        <f>SUMIF(Recibos!$D$4:$D$3010,Cobranza!$B317,Recibos!AC$4:AC$3010)</f>
        <v>0</v>
      </c>
      <c r="BR317" s="319">
        <f>SUMIF(Recibos!$D$4:$D$3010,Cobranza!$B317,Recibos!AD$4:AD$3010)</f>
        <v>0</v>
      </c>
      <c r="BS317" s="319">
        <f>SUMIF(Recibos!$D$4:$D$3010,Cobranza!$B317,Recibos!AE$4:AE$3010)</f>
        <v>0</v>
      </c>
      <c r="BT317" s="319">
        <f>SUMIF(Recibos!$D$4:$D$3010,Cobranza!$B317,Recibos!AF$4:AF$3010)</f>
        <v>0</v>
      </c>
      <c r="BU317" s="319">
        <f>SUMIF(Recibos!$D$4:$D$3010,Cobranza!$B317,Recibos!AG$4:AG$3010)</f>
        <v>0</v>
      </c>
      <c r="BV317" s="319">
        <f>SUMIF(Recibos!$D$4:$D$3010,Cobranza!$B317,Recibos!AH$4:AH$3010)</f>
        <v>0</v>
      </c>
      <c r="BW317" s="319">
        <f>SUMIF(Recibos!$D$4:$D$3010,Cobranza!$B317,Recibos!AI$4:AI$3010)</f>
        <v>0</v>
      </c>
      <c r="BX317" s="320">
        <f t="shared" si="34"/>
        <v>300</v>
      </c>
    </row>
    <row r="318" spans="2:76" x14ac:dyDescent="0.2">
      <c r="B318" s="42" t="s">
        <v>1404</v>
      </c>
      <c r="C318" s="42" t="s">
        <v>1405</v>
      </c>
      <c r="D318" s="42" t="s">
        <v>360</v>
      </c>
      <c r="E318" s="43">
        <v>0</v>
      </c>
      <c r="F318" s="43">
        <v>0</v>
      </c>
      <c r="G318" s="43">
        <v>0</v>
      </c>
      <c r="H318" s="43">
        <v>0</v>
      </c>
      <c r="I318" s="43">
        <v>0</v>
      </c>
      <c r="J318" s="43">
        <v>0</v>
      </c>
      <c r="K318" s="44">
        <f t="shared" si="29"/>
        <v>0</v>
      </c>
      <c r="L318" s="43">
        <v>0</v>
      </c>
      <c r="M318" s="43">
        <v>0</v>
      </c>
      <c r="N318" s="43">
        <v>0</v>
      </c>
      <c r="O318" s="43">
        <v>0</v>
      </c>
      <c r="P318" s="43">
        <v>0</v>
      </c>
      <c r="Q318" s="43">
        <v>0</v>
      </c>
      <c r="R318" s="43">
        <v>0</v>
      </c>
      <c r="S318" s="43">
        <v>0</v>
      </c>
      <c r="T318" s="43">
        <v>0</v>
      </c>
      <c r="U318" s="43">
        <v>0</v>
      </c>
      <c r="V318" s="43">
        <v>400</v>
      </c>
      <c r="W318" s="43">
        <v>400</v>
      </c>
      <c r="X318" s="44">
        <f t="shared" si="30"/>
        <v>800</v>
      </c>
      <c r="Y318" s="43">
        <v>400</v>
      </c>
      <c r="Z318" s="43">
        <v>0</v>
      </c>
      <c r="AA318" s="43">
        <v>0</v>
      </c>
      <c r="AB318" s="43">
        <v>0</v>
      </c>
      <c r="AC318" s="43">
        <v>0</v>
      </c>
      <c r="AD318" s="43">
        <v>0</v>
      </c>
      <c r="AE318" s="43">
        <v>0</v>
      </c>
      <c r="AF318" s="43">
        <v>0</v>
      </c>
      <c r="AG318" s="43">
        <v>0</v>
      </c>
      <c r="AH318" s="43">
        <v>0</v>
      </c>
      <c r="AI318" s="43">
        <v>0</v>
      </c>
      <c r="AJ318" s="43">
        <v>0</v>
      </c>
      <c r="AK318" s="44">
        <f t="shared" si="31"/>
        <v>400</v>
      </c>
      <c r="AL318" s="43">
        <v>0</v>
      </c>
      <c r="AM318" s="43">
        <v>0</v>
      </c>
      <c r="AN318" s="43">
        <v>0</v>
      </c>
      <c r="AO318" s="43">
        <v>0</v>
      </c>
      <c r="AP318" s="43">
        <v>0</v>
      </c>
      <c r="AQ318" s="43">
        <v>0</v>
      </c>
      <c r="AR318" s="43">
        <v>0</v>
      </c>
      <c r="AS318" s="43">
        <v>0</v>
      </c>
      <c r="AT318" s="43">
        <v>0</v>
      </c>
      <c r="AU318" s="43">
        <v>0</v>
      </c>
      <c r="AV318" s="43">
        <v>0</v>
      </c>
      <c r="AW318" s="43">
        <v>0</v>
      </c>
      <c r="AX318" s="44">
        <f t="shared" si="32"/>
        <v>0</v>
      </c>
      <c r="AY318" s="317">
        <f>SUMIF(Recibos!$D$4:$D$3010,Cobranza!$B318,Recibos!K$4:K$3010)</f>
        <v>0</v>
      </c>
      <c r="AZ318" s="317">
        <f>SUMIF(Recibos!$D$4:$D$3010,Cobranza!$B318,Recibos!L$4:L$3010)</f>
        <v>0</v>
      </c>
      <c r="BA318" s="317">
        <f>SUMIF(Recibos!$D$4:$D$3010,Cobranza!$B318,Recibos!M$4:M$3010)</f>
        <v>0</v>
      </c>
      <c r="BB318" s="317">
        <f>SUMIF(Recibos!$D$4:$D$3010,Cobranza!$B318,Recibos!N$4:N$3010)</f>
        <v>0</v>
      </c>
      <c r="BC318" s="317">
        <f>SUMIF(Recibos!$D$4:$D$3010,Cobranza!$B318,Recibos!O$4:O$3010)</f>
        <v>0</v>
      </c>
      <c r="BD318" s="317">
        <f>SUMIF(Recibos!$D$4:$D$3010,Cobranza!$B318,Recibos!P$4:P$3010)</f>
        <v>0</v>
      </c>
      <c r="BE318" s="317">
        <f>SUMIF(Recibos!$D$4:$D$3010,Cobranza!$B318,Recibos!Q$4:Q$3010)</f>
        <v>0</v>
      </c>
      <c r="BF318" s="317">
        <f>SUMIF(Recibos!$D$4:$D$3010,Cobranza!$B318,Recibos!R$4:R$3010)</f>
        <v>0</v>
      </c>
      <c r="BG318" s="317">
        <f>SUMIF(Recibos!$D$4:$D$3010,Cobranza!$B318,Recibos!S$4:S$3010)</f>
        <v>0</v>
      </c>
      <c r="BH318" s="317">
        <f>SUMIF(Recibos!$D$4:$D$3010,Cobranza!$B318,Recibos!T$4:T$3010)</f>
        <v>0</v>
      </c>
      <c r="BI318" s="317">
        <f>SUMIF(Recibos!$D$4:$D$3010,Cobranza!$B318,Recibos!U$4:U$3010)</f>
        <v>0</v>
      </c>
      <c r="BJ318" s="317">
        <f>SUMIF(Recibos!$D$4:$D$3010,Cobranza!$B318,Recibos!V$4:V$3010)</f>
        <v>0</v>
      </c>
      <c r="BK318" s="318">
        <f t="shared" si="33"/>
        <v>0</v>
      </c>
      <c r="BL318" s="317">
        <f>SUMIF(Recibos!$D$4:$D$3010,Cobranza!$B318,Recibos!X$4:X$3010)</f>
        <v>0</v>
      </c>
      <c r="BM318" s="317">
        <f>SUMIF(Recibos!$D$4:$D$3010,Cobranza!$B318,Recibos!Y$4:Y$3010)</f>
        <v>0</v>
      </c>
      <c r="BN318" s="317">
        <f>SUMIF(Recibos!$D$4:$D$3010,Cobranza!$B318,Recibos!Z$4:Z$3010)</f>
        <v>0</v>
      </c>
      <c r="BO318" s="317">
        <f>SUMIF(Recibos!$D$4:$D$3010,Cobranza!$B318,Recibos!AA$4:AA$3010)</f>
        <v>0</v>
      </c>
      <c r="BP318" s="317">
        <f>SUMIF(Recibos!$D$4:$D$3010,Cobranza!$B318,Recibos!AB$4:AB$3010)</f>
        <v>0</v>
      </c>
      <c r="BQ318" s="317">
        <f>SUMIF(Recibos!$D$4:$D$3010,Cobranza!$B318,Recibos!AC$4:AC$3010)</f>
        <v>0</v>
      </c>
      <c r="BR318" s="317">
        <f>SUMIF(Recibos!$D$4:$D$3010,Cobranza!$B318,Recibos!AD$4:AD$3010)</f>
        <v>0</v>
      </c>
      <c r="BS318" s="317">
        <f>SUMIF(Recibos!$D$4:$D$3010,Cobranza!$B318,Recibos!AE$4:AE$3010)</f>
        <v>0</v>
      </c>
      <c r="BT318" s="317">
        <f>SUMIF(Recibos!$D$4:$D$3010,Cobranza!$B318,Recibos!AF$4:AF$3010)</f>
        <v>0</v>
      </c>
      <c r="BU318" s="317">
        <f>SUMIF(Recibos!$D$4:$D$3010,Cobranza!$B318,Recibos!AG$4:AG$3010)</f>
        <v>0</v>
      </c>
      <c r="BV318" s="317">
        <f>SUMIF(Recibos!$D$4:$D$3010,Cobranza!$B318,Recibos!AH$4:AH$3010)</f>
        <v>0</v>
      </c>
      <c r="BW318" s="317">
        <f>SUMIF(Recibos!$D$4:$D$3010,Cobranza!$B318,Recibos!AI$4:AI$3010)</f>
        <v>0</v>
      </c>
      <c r="BX318" s="318">
        <f t="shared" si="34"/>
        <v>0</v>
      </c>
    </row>
    <row r="319" spans="2:76" x14ac:dyDescent="0.2">
      <c r="B319" s="45" t="s">
        <v>220</v>
      </c>
      <c r="C319" s="45" t="s">
        <v>221</v>
      </c>
      <c r="D319" s="45" t="s">
        <v>1406</v>
      </c>
      <c r="E319" s="46">
        <v>0</v>
      </c>
      <c r="F319" s="46">
        <v>0</v>
      </c>
      <c r="G319" s="46">
        <v>0</v>
      </c>
      <c r="H319" s="46">
        <v>0</v>
      </c>
      <c r="I319" s="46">
        <v>0</v>
      </c>
      <c r="J319" s="46">
        <v>300</v>
      </c>
      <c r="K319" s="47">
        <f t="shared" si="29"/>
        <v>300</v>
      </c>
      <c r="L319" s="46">
        <v>300</v>
      </c>
      <c r="M319" s="46">
        <v>300</v>
      </c>
      <c r="N319" s="46">
        <v>300</v>
      </c>
      <c r="O319" s="46">
        <v>300</v>
      </c>
      <c r="P319" s="46">
        <v>300</v>
      </c>
      <c r="Q319" s="46">
        <v>300</v>
      </c>
      <c r="R319" s="46">
        <v>300</v>
      </c>
      <c r="S319" s="46">
        <v>300</v>
      </c>
      <c r="T319" s="46">
        <v>300</v>
      </c>
      <c r="U319" s="46">
        <v>300</v>
      </c>
      <c r="V319" s="46">
        <v>300</v>
      </c>
      <c r="W319" s="46">
        <v>300</v>
      </c>
      <c r="X319" s="47">
        <f t="shared" si="30"/>
        <v>3600</v>
      </c>
      <c r="Y319" s="46">
        <v>300</v>
      </c>
      <c r="Z319" s="46">
        <v>300</v>
      </c>
      <c r="AA319" s="46">
        <v>300</v>
      </c>
      <c r="AB319" s="46">
        <v>300</v>
      </c>
      <c r="AC319" s="46">
        <v>300</v>
      </c>
      <c r="AD319" s="46">
        <v>300</v>
      </c>
      <c r="AE319" s="46">
        <v>300</v>
      </c>
      <c r="AF319" s="46">
        <v>300</v>
      </c>
      <c r="AG319" s="46">
        <v>300</v>
      </c>
      <c r="AH319" s="46">
        <v>300</v>
      </c>
      <c r="AI319" s="46">
        <v>300</v>
      </c>
      <c r="AJ319" s="46">
        <v>300</v>
      </c>
      <c r="AK319" s="47">
        <f t="shared" si="31"/>
        <v>3600</v>
      </c>
      <c r="AL319" s="46">
        <v>300</v>
      </c>
      <c r="AM319" s="46">
        <v>300</v>
      </c>
      <c r="AN319" s="46">
        <v>300</v>
      </c>
      <c r="AO319" s="46">
        <v>300</v>
      </c>
      <c r="AP319" s="46">
        <v>0</v>
      </c>
      <c r="AQ319" s="46">
        <v>0</v>
      </c>
      <c r="AR319" s="46">
        <v>300</v>
      </c>
      <c r="AS319" s="46">
        <v>300</v>
      </c>
      <c r="AT319" s="46">
        <v>300</v>
      </c>
      <c r="AU319" s="46">
        <v>300</v>
      </c>
      <c r="AV319" s="46">
        <v>300</v>
      </c>
      <c r="AW319" s="46">
        <v>300</v>
      </c>
      <c r="AX319" s="47">
        <f t="shared" si="32"/>
        <v>3000</v>
      </c>
      <c r="AY319" s="319">
        <f>SUMIF(Recibos!$D$4:$D$3010,Cobranza!$B319,Recibos!K$4:K$3010)</f>
        <v>300</v>
      </c>
      <c r="AZ319" s="319">
        <f>SUMIF(Recibos!$D$4:$D$3010,Cobranza!$B319,Recibos!L$4:L$3010)</f>
        <v>300</v>
      </c>
      <c r="BA319" s="319">
        <f>SUMIF(Recibos!$D$4:$D$3010,Cobranza!$B319,Recibos!M$4:M$3010)</f>
        <v>300</v>
      </c>
      <c r="BB319" s="319">
        <f>SUMIF(Recibos!$D$4:$D$3010,Cobranza!$B319,Recibos!N$4:N$3010)</f>
        <v>300</v>
      </c>
      <c r="BC319" s="319">
        <f>SUMIF(Recibos!$D$4:$D$3010,Cobranza!$B319,Recibos!O$4:O$3010)</f>
        <v>300</v>
      </c>
      <c r="BD319" s="319">
        <f>SUMIF(Recibos!$D$4:$D$3010,Cobranza!$B319,Recibos!P$4:P$3010)</f>
        <v>300</v>
      </c>
      <c r="BE319" s="319">
        <f>SUMIF(Recibos!$D$4:$D$3010,Cobranza!$B319,Recibos!Q$4:Q$3010)</f>
        <v>300</v>
      </c>
      <c r="BF319" s="319">
        <f>SUMIF(Recibos!$D$4:$D$3010,Cobranza!$B319,Recibos!R$4:R$3010)</f>
        <v>300</v>
      </c>
      <c r="BG319" s="319">
        <f>SUMIF(Recibos!$D$4:$D$3010,Cobranza!$B319,Recibos!S$4:S$3010)</f>
        <v>300</v>
      </c>
      <c r="BH319" s="319">
        <f>SUMIF(Recibos!$D$4:$D$3010,Cobranza!$B319,Recibos!T$4:T$3010)</f>
        <v>300</v>
      </c>
      <c r="BI319" s="319">
        <f>SUMIF(Recibos!$D$4:$D$3010,Cobranza!$B319,Recibos!U$4:U$3010)</f>
        <v>300</v>
      </c>
      <c r="BJ319" s="319">
        <f>SUMIF(Recibos!$D$4:$D$3010,Cobranza!$B319,Recibos!V$4:V$3010)</f>
        <v>0</v>
      </c>
      <c r="BK319" s="320">
        <f t="shared" si="33"/>
        <v>3300</v>
      </c>
      <c r="BL319" s="319">
        <f>SUMIF(Recibos!$D$4:$D$3010,Cobranza!$B319,Recibos!X$4:X$3010)</f>
        <v>0</v>
      </c>
      <c r="BM319" s="319">
        <f>SUMIF(Recibos!$D$4:$D$3010,Cobranza!$B319,Recibos!Y$4:Y$3010)</f>
        <v>0</v>
      </c>
      <c r="BN319" s="319">
        <f>SUMIF(Recibos!$D$4:$D$3010,Cobranza!$B319,Recibos!Z$4:Z$3010)</f>
        <v>0</v>
      </c>
      <c r="BO319" s="319">
        <f>SUMIF(Recibos!$D$4:$D$3010,Cobranza!$B319,Recibos!AA$4:AA$3010)</f>
        <v>0</v>
      </c>
      <c r="BP319" s="319">
        <f>SUMIF(Recibos!$D$4:$D$3010,Cobranza!$B319,Recibos!AB$4:AB$3010)</f>
        <v>0</v>
      </c>
      <c r="BQ319" s="319">
        <f>SUMIF(Recibos!$D$4:$D$3010,Cobranza!$B319,Recibos!AC$4:AC$3010)</f>
        <v>0</v>
      </c>
      <c r="BR319" s="319">
        <f>SUMIF(Recibos!$D$4:$D$3010,Cobranza!$B319,Recibos!AD$4:AD$3010)</f>
        <v>0</v>
      </c>
      <c r="BS319" s="319">
        <f>SUMIF(Recibos!$D$4:$D$3010,Cobranza!$B319,Recibos!AE$4:AE$3010)</f>
        <v>0</v>
      </c>
      <c r="BT319" s="319">
        <f>SUMIF(Recibos!$D$4:$D$3010,Cobranza!$B319,Recibos!AF$4:AF$3010)</f>
        <v>0</v>
      </c>
      <c r="BU319" s="319">
        <f>SUMIF(Recibos!$D$4:$D$3010,Cobranza!$B319,Recibos!AG$4:AG$3010)</f>
        <v>0</v>
      </c>
      <c r="BV319" s="319">
        <f>SUMIF(Recibos!$D$4:$D$3010,Cobranza!$B319,Recibos!AH$4:AH$3010)</f>
        <v>0</v>
      </c>
      <c r="BW319" s="319">
        <f>SUMIF(Recibos!$D$4:$D$3010,Cobranza!$B319,Recibos!AI$4:AI$3010)</f>
        <v>0</v>
      </c>
      <c r="BX319" s="320">
        <f t="shared" si="34"/>
        <v>0</v>
      </c>
    </row>
    <row r="320" spans="2:76" x14ac:dyDescent="0.2">
      <c r="B320" s="42" t="s">
        <v>217</v>
      </c>
      <c r="C320" s="42" t="s">
        <v>218</v>
      </c>
      <c r="D320" s="42" t="s">
        <v>219</v>
      </c>
      <c r="E320" s="43">
        <v>0</v>
      </c>
      <c r="F320" s="43">
        <v>0</v>
      </c>
      <c r="G320" s="43">
        <v>0</v>
      </c>
      <c r="H320" s="43">
        <v>0</v>
      </c>
      <c r="I320" s="43">
        <v>0</v>
      </c>
      <c r="J320" s="43">
        <v>300</v>
      </c>
      <c r="K320" s="44">
        <f t="shared" si="29"/>
        <v>300</v>
      </c>
      <c r="L320" s="43">
        <v>300</v>
      </c>
      <c r="M320" s="43">
        <v>300</v>
      </c>
      <c r="N320" s="43">
        <v>300</v>
      </c>
      <c r="O320" s="43">
        <v>300</v>
      </c>
      <c r="P320" s="43">
        <v>300</v>
      </c>
      <c r="Q320" s="43">
        <v>300</v>
      </c>
      <c r="R320" s="43">
        <v>300</v>
      </c>
      <c r="S320" s="43">
        <v>300</v>
      </c>
      <c r="T320" s="43">
        <v>300</v>
      </c>
      <c r="U320" s="43">
        <v>300</v>
      </c>
      <c r="V320" s="43">
        <v>300</v>
      </c>
      <c r="W320" s="43">
        <v>300</v>
      </c>
      <c r="X320" s="44">
        <f t="shared" si="30"/>
        <v>3600</v>
      </c>
      <c r="Y320" s="43">
        <v>300</v>
      </c>
      <c r="Z320" s="43">
        <v>300</v>
      </c>
      <c r="AA320" s="43">
        <v>300</v>
      </c>
      <c r="AB320" s="43">
        <v>300</v>
      </c>
      <c r="AC320" s="43">
        <v>300</v>
      </c>
      <c r="AD320" s="43">
        <v>300</v>
      </c>
      <c r="AE320" s="43">
        <v>300</v>
      </c>
      <c r="AF320" s="43">
        <v>300</v>
      </c>
      <c r="AG320" s="43">
        <v>300</v>
      </c>
      <c r="AH320" s="43">
        <v>300</v>
      </c>
      <c r="AI320" s="43">
        <v>300</v>
      </c>
      <c r="AJ320" s="43">
        <v>300</v>
      </c>
      <c r="AK320" s="44">
        <f t="shared" si="31"/>
        <v>3600</v>
      </c>
      <c r="AL320" s="43">
        <v>300</v>
      </c>
      <c r="AM320" s="43">
        <v>300</v>
      </c>
      <c r="AN320" s="43">
        <v>300</v>
      </c>
      <c r="AO320" s="43">
        <v>300</v>
      </c>
      <c r="AP320" s="43">
        <v>300</v>
      </c>
      <c r="AQ320" s="43">
        <v>300</v>
      </c>
      <c r="AR320" s="43">
        <v>300</v>
      </c>
      <c r="AS320" s="43">
        <v>300</v>
      </c>
      <c r="AT320" s="43">
        <v>300</v>
      </c>
      <c r="AU320" s="43">
        <v>300</v>
      </c>
      <c r="AV320" s="43">
        <v>300</v>
      </c>
      <c r="AW320" s="43">
        <v>300</v>
      </c>
      <c r="AX320" s="44">
        <f t="shared" si="32"/>
        <v>3600</v>
      </c>
      <c r="AY320" s="317">
        <f>SUMIF(Recibos!$D$4:$D$3010,Cobranza!$B320,Recibos!K$4:K$3010)</f>
        <v>300</v>
      </c>
      <c r="AZ320" s="317">
        <f>SUMIF(Recibos!$D$4:$D$3010,Cobranza!$B320,Recibos!L$4:L$3010)</f>
        <v>300</v>
      </c>
      <c r="BA320" s="317">
        <f>SUMIF(Recibos!$D$4:$D$3010,Cobranza!$B320,Recibos!M$4:M$3010)</f>
        <v>300</v>
      </c>
      <c r="BB320" s="317">
        <f>SUMIF(Recibos!$D$4:$D$3010,Cobranza!$B320,Recibos!N$4:N$3010)</f>
        <v>300</v>
      </c>
      <c r="BC320" s="317">
        <f>SUMIF(Recibos!$D$4:$D$3010,Cobranza!$B320,Recibos!O$4:O$3010)</f>
        <v>300</v>
      </c>
      <c r="BD320" s="317">
        <f>SUMIF(Recibos!$D$4:$D$3010,Cobranza!$B320,Recibos!P$4:P$3010)</f>
        <v>300</v>
      </c>
      <c r="BE320" s="317">
        <f>SUMIF(Recibos!$D$4:$D$3010,Cobranza!$B320,Recibos!Q$4:Q$3010)</f>
        <v>300</v>
      </c>
      <c r="BF320" s="317">
        <f>SUMIF(Recibos!$D$4:$D$3010,Cobranza!$B320,Recibos!R$4:R$3010)</f>
        <v>300</v>
      </c>
      <c r="BG320" s="317">
        <f>SUMIF(Recibos!$D$4:$D$3010,Cobranza!$B320,Recibos!S$4:S$3010)</f>
        <v>300</v>
      </c>
      <c r="BH320" s="317">
        <f>SUMIF(Recibos!$D$4:$D$3010,Cobranza!$B320,Recibos!T$4:T$3010)</f>
        <v>300</v>
      </c>
      <c r="BI320" s="317">
        <f>SUMIF(Recibos!$D$4:$D$3010,Cobranza!$B320,Recibos!U$4:U$3010)</f>
        <v>300</v>
      </c>
      <c r="BJ320" s="317">
        <f>SUMIF(Recibos!$D$4:$D$3010,Cobranza!$B320,Recibos!V$4:V$3010)</f>
        <v>300</v>
      </c>
      <c r="BK320" s="318">
        <f t="shared" si="33"/>
        <v>3600</v>
      </c>
      <c r="BL320" s="317">
        <f>SUMIF(Recibos!$D$4:$D$3010,Cobranza!$B320,Recibos!X$4:X$3010)</f>
        <v>300</v>
      </c>
      <c r="BM320" s="317">
        <f>SUMIF(Recibos!$D$4:$D$3010,Cobranza!$B320,Recibos!Y$4:Y$3010)</f>
        <v>0</v>
      </c>
      <c r="BN320" s="317">
        <f>SUMIF(Recibos!$D$4:$D$3010,Cobranza!$B320,Recibos!Z$4:Z$3010)</f>
        <v>0</v>
      </c>
      <c r="BO320" s="317">
        <f>SUMIF(Recibos!$D$4:$D$3010,Cobranza!$B320,Recibos!AA$4:AA$3010)</f>
        <v>0</v>
      </c>
      <c r="BP320" s="317">
        <f>SUMIF(Recibos!$D$4:$D$3010,Cobranza!$B320,Recibos!AB$4:AB$3010)</f>
        <v>0</v>
      </c>
      <c r="BQ320" s="317">
        <f>SUMIF(Recibos!$D$4:$D$3010,Cobranza!$B320,Recibos!AC$4:AC$3010)</f>
        <v>0</v>
      </c>
      <c r="BR320" s="317">
        <f>SUMIF(Recibos!$D$4:$D$3010,Cobranza!$B320,Recibos!AD$4:AD$3010)</f>
        <v>0</v>
      </c>
      <c r="BS320" s="317">
        <f>SUMIF(Recibos!$D$4:$D$3010,Cobranza!$B320,Recibos!AE$4:AE$3010)</f>
        <v>0</v>
      </c>
      <c r="BT320" s="317">
        <f>SUMIF(Recibos!$D$4:$D$3010,Cobranza!$B320,Recibos!AF$4:AF$3010)</f>
        <v>0</v>
      </c>
      <c r="BU320" s="317">
        <f>SUMIF(Recibos!$D$4:$D$3010,Cobranza!$B320,Recibos!AG$4:AG$3010)</f>
        <v>0</v>
      </c>
      <c r="BV320" s="317">
        <f>SUMIF(Recibos!$D$4:$D$3010,Cobranza!$B320,Recibos!AH$4:AH$3010)</f>
        <v>0</v>
      </c>
      <c r="BW320" s="317">
        <f>SUMIF(Recibos!$D$4:$D$3010,Cobranza!$B320,Recibos!AI$4:AI$3010)</f>
        <v>0</v>
      </c>
      <c r="BX320" s="318">
        <f t="shared" si="34"/>
        <v>300</v>
      </c>
    </row>
    <row r="321" spans="2:76" x14ac:dyDescent="0.2">
      <c r="B321" s="45" t="s">
        <v>788</v>
      </c>
      <c r="C321" s="45" t="s">
        <v>789</v>
      </c>
      <c r="D321" s="45" t="s">
        <v>790</v>
      </c>
      <c r="E321" s="46">
        <v>0</v>
      </c>
      <c r="F321" s="46">
        <v>0</v>
      </c>
      <c r="G321" s="46">
        <v>0</v>
      </c>
      <c r="H321" s="46">
        <v>0</v>
      </c>
      <c r="I321" s="46">
        <v>300</v>
      </c>
      <c r="J321" s="46">
        <v>300</v>
      </c>
      <c r="K321" s="47">
        <f t="shared" si="29"/>
        <v>600</v>
      </c>
      <c r="L321" s="46">
        <v>300</v>
      </c>
      <c r="M321" s="46">
        <v>300</v>
      </c>
      <c r="N321" s="46">
        <v>300</v>
      </c>
      <c r="O321" s="46">
        <v>300</v>
      </c>
      <c r="P321" s="46">
        <v>300</v>
      </c>
      <c r="Q321" s="46">
        <v>300</v>
      </c>
      <c r="R321" s="46">
        <v>300</v>
      </c>
      <c r="S321" s="46">
        <v>300</v>
      </c>
      <c r="T321" s="46">
        <v>300</v>
      </c>
      <c r="U321" s="46">
        <v>400</v>
      </c>
      <c r="V321" s="46">
        <v>400</v>
      </c>
      <c r="W321" s="46">
        <v>400</v>
      </c>
      <c r="X321" s="47">
        <f t="shared" si="30"/>
        <v>3900</v>
      </c>
      <c r="Y321" s="46">
        <v>400</v>
      </c>
      <c r="Z321" s="46">
        <v>400</v>
      </c>
      <c r="AA321" s="46">
        <v>400</v>
      </c>
      <c r="AB321" s="46">
        <v>400</v>
      </c>
      <c r="AC321" s="46">
        <v>400</v>
      </c>
      <c r="AD321" s="46">
        <v>400</v>
      </c>
      <c r="AE321" s="46">
        <v>400</v>
      </c>
      <c r="AF321" s="46">
        <v>400</v>
      </c>
      <c r="AG321" s="46">
        <v>400</v>
      </c>
      <c r="AH321" s="46">
        <v>400</v>
      </c>
      <c r="AI321" s="46">
        <v>400</v>
      </c>
      <c r="AJ321" s="46">
        <v>400</v>
      </c>
      <c r="AK321" s="47">
        <f t="shared" si="31"/>
        <v>4800</v>
      </c>
      <c r="AL321" s="46">
        <v>400</v>
      </c>
      <c r="AM321" s="46">
        <v>400</v>
      </c>
      <c r="AN321" s="46">
        <v>0</v>
      </c>
      <c r="AO321" s="46">
        <v>400</v>
      </c>
      <c r="AP321" s="46">
        <v>400</v>
      </c>
      <c r="AQ321" s="46">
        <v>400</v>
      </c>
      <c r="AR321" s="46">
        <v>400</v>
      </c>
      <c r="AS321" s="46">
        <v>400</v>
      </c>
      <c r="AT321" s="46">
        <v>400</v>
      </c>
      <c r="AU321" s="46">
        <v>400</v>
      </c>
      <c r="AV321" s="46">
        <v>400</v>
      </c>
      <c r="AW321" s="46">
        <v>400</v>
      </c>
      <c r="AX321" s="47">
        <f t="shared" si="32"/>
        <v>4400</v>
      </c>
      <c r="AY321" s="319">
        <f>SUMIF(Recibos!$D$4:$D$3010,Cobranza!$B321,Recibos!K$4:K$3010)</f>
        <v>400</v>
      </c>
      <c r="AZ321" s="319">
        <f>SUMIF(Recibos!$D$4:$D$3010,Cobranza!$B321,Recibos!L$4:L$3010)</f>
        <v>400</v>
      </c>
      <c r="BA321" s="319">
        <f>SUMIF(Recibos!$D$4:$D$3010,Cobranza!$B321,Recibos!M$4:M$3010)</f>
        <v>400</v>
      </c>
      <c r="BB321" s="319">
        <f>SUMIF(Recibos!$D$4:$D$3010,Cobranza!$B321,Recibos!N$4:N$3010)</f>
        <v>400</v>
      </c>
      <c r="BC321" s="319">
        <f>SUMIF(Recibos!$D$4:$D$3010,Cobranza!$B321,Recibos!O$4:O$3010)</f>
        <v>400</v>
      </c>
      <c r="BD321" s="319">
        <f>SUMIF(Recibos!$D$4:$D$3010,Cobranza!$B321,Recibos!P$4:P$3010)</f>
        <v>400</v>
      </c>
      <c r="BE321" s="319">
        <f>SUMIF(Recibos!$D$4:$D$3010,Cobranza!$B321,Recibos!Q$4:Q$3010)</f>
        <v>400</v>
      </c>
      <c r="BF321" s="319">
        <f>SUMIF(Recibos!$D$4:$D$3010,Cobranza!$B321,Recibos!R$4:R$3010)</f>
        <v>400</v>
      </c>
      <c r="BG321" s="319">
        <f>SUMIF(Recibos!$D$4:$D$3010,Cobranza!$B321,Recibos!S$4:S$3010)</f>
        <v>400</v>
      </c>
      <c r="BH321" s="319">
        <f>SUMIF(Recibos!$D$4:$D$3010,Cobranza!$B321,Recibos!T$4:T$3010)</f>
        <v>400</v>
      </c>
      <c r="BI321" s="319">
        <f>SUMIF(Recibos!$D$4:$D$3010,Cobranza!$B321,Recibos!U$4:U$3010)</f>
        <v>400</v>
      </c>
      <c r="BJ321" s="319">
        <f>SUMIF(Recibos!$D$4:$D$3010,Cobranza!$B321,Recibos!V$4:V$3010)</f>
        <v>0</v>
      </c>
      <c r="BK321" s="320">
        <f t="shared" si="33"/>
        <v>4400</v>
      </c>
      <c r="BL321" s="319">
        <f>SUMIF(Recibos!$D$4:$D$3010,Cobranza!$B321,Recibos!X$4:X$3010)</f>
        <v>0</v>
      </c>
      <c r="BM321" s="319">
        <f>SUMIF(Recibos!$D$4:$D$3010,Cobranza!$B321,Recibos!Y$4:Y$3010)</f>
        <v>0</v>
      </c>
      <c r="BN321" s="319">
        <f>SUMIF(Recibos!$D$4:$D$3010,Cobranza!$B321,Recibos!Z$4:Z$3010)</f>
        <v>0</v>
      </c>
      <c r="BO321" s="319">
        <f>SUMIF(Recibos!$D$4:$D$3010,Cobranza!$B321,Recibos!AA$4:AA$3010)</f>
        <v>0</v>
      </c>
      <c r="BP321" s="319">
        <f>SUMIF(Recibos!$D$4:$D$3010,Cobranza!$B321,Recibos!AB$4:AB$3010)</f>
        <v>0</v>
      </c>
      <c r="BQ321" s="319">
        <f>SUMIF(Recibos!$D$4:$D$3010,Cobranza!$B321,Recibos!AC$4:AC$3010)</f>
        <v>0</v>
      </c>
      <c r="BR321" s="319">
        <f>SUMIF(Recibos!$D$4:$D$3010,Cobranza!$B321,Recibos!AD$4:AD$3010)</f>
        <v>0</v>
      </c>
      <c r="BS321" s="319">
        <f>SUMIF(Recibos!$D$4:$D$3010,Cobranza!$B321,Recibos!AE$4:AE$3010)</f>
        <v>0</v>
      </c>
      <c r="BT321" s="319">
        <f>SUMIF(Recibos!$D$4:$D$3010,Cobranza!$B321,Recibos!AF$4:AF$3010)</f>
        <v>0</v>
      </c>
      <c r="BU321" s="319">
        <f>SUMIF(Recibos!$D$4:$D$3010,Cobranza!$B321,Recibos!AG$4:AG$3010)</f>
        <v>0</v>
      </c>
      <c r="BV321" s="319">
        <f>SUMIF(Recibos!$D$4:$D$3010,Cobranza!$B321,Recibos!AH$4:AH$3010)</f>
        <v>0</v>
      </c>
      <c r="BW321" s="319">
        <f>SUMIF(Recibos!$D$4:$D$3010,Cobranza!$B321,Recibos!AI$4:AI$3010)</f>
        <v>0</v>
      </c>
      <c r="BX321" s="320">
        <f t="shared" si="34"/>
        <v>0</v>
      </c>
    </row>
    <row r="322" spans="2:76" x14ac:dyDescent="0.2">
      <c r="B322" s="42" t="s">
        <v>123</v>
      </c>
      <c r="C322" s="42" t="s">
        <v>124</v>
      </c>
      <c r="D322" s="42" t="s">
        <v>125</v>
      </c>
      <c r="E322" s="43">
        <v>0</v>
      </c>
      <c r="F322" s="43">
        <v>0</v>
      </c>
      <c r="G322" s="43">
        <v>0</v>
      </c>
      <c r="H322" s="43">
        <v>0</v>
      </c>
      <c r="I322" s="43">
        <v>0</v>
      </c>
      <c r="J322" s="43">
        <v>150</v>
      </c>
      <c r="K322" s="44">
        <f t="shared" si="29"/>
        <v>150</v>
      </c>
      <c r="L322" s="43">
        <v>150</v>
      </c>
      <c r="M322" s="43">
        <v>150</v>
      </c>
      <c r="N322" s="43">
        <v>150</v>
      </c>
      <c r="O322" s="43">
        <v>150</v>
      </c>
      <c r="P322" s="43">
        <v>150</v>
      </c>
      <c r="Q322" s="43">
        <v>150</v>
      </c>
      <c r="R322" s="43">
        <v>150</v>
      </c>
      <c r="S322" s="43">
        <v>150</v>
      </c>
      <c r="T322" s="43">
        <v>200</v>
      </c>
      <c r="U322" s="43">
        <v>200</v>
      </c>
      <c r="V322" s="43">
        <v>200</v>
      </c>
      <c r="W322" s="43">
        <v>200</v>
      </c>
      <c r="X322" s="44">
        <f t="shared" si="30"/>
        <v>2000</v>
      </c>
      <c r="Y322" s="43">
        <v>200</v>
      </c>
      <c r="Z322" s="43">
        <v>200</v>
      </c>
      <c r="AA322" s="43">
        <v>400</v>
      </c>
      <c r="AB322" s="43">
        <v>0</v>
      </c>
      <c r="AC322" s="43">
        <v>200</v>
      </c>
      <c r="AD322" s="43">
        <v>200</v>
      </c>
      <c r="AE322" s="43">
        <v>200</v>
      </c>
      <c r="AF322" s="43">
        <v>200</v>
      </c>
      <c r="AG322" s="43">
        <v>200</v>
      </c>
      <c r="AH322" s="43">
        <v>200</v>
      </c>
      <c r="AI322" s="43">
        <v>200</v>
      </c>
      <c r="AJ322" s="43">
        <v>200</v>
      </c>
      <c r="AK322" s="44">
        <f t="shared" si="31"/>
        <v>2400</v>
      </c>
      <c r="AL322" s="43">
        <v>200</v>
      </c>
      <c r="AM322" s="43">
        <v>200</v>
      </c>
      <c r="AN322" s="43">
        <v>200</v>
      </c>
      <c r="AO322" s="43">
        <v>200</v>
      </c>
      <c r="AP322" s="43">
        <v>200</v>
      </c>
      <c r="AQ322" s="43">
        <v>200</v>
      </c>
      <c r="AR322" s="43">
        <v>200</v>
      </c>
      <c r="AS322" s="43">
        <v>200</v>
      </c>
      <c r="AT322" s="43">
        <v>200</v>
      </c>
      <c r="AU322" s="43">
        <v>200</v>
      </c>
      <c r="AV322" s="43">
        <v>200</v>
      </c>
      <c r="AW322" s="43">
        <v>200</v>
      </c>
      <c r="AX322" s="44">
        <f t="shared" si="32"/>
        <v>2400</v>
      </c>
      <c r="AY322" s="317">
        <f>SUMIF(Recibos!$D$4:$D$3010,Cobranza!$B322,Recibos!K$4:K$3010)</f>
        <v>200</v>
      </c>
      <c r="AZ322" s="317">
        <f>SUMIF(Recibos!$D$4:$D$3010,Cobranza!$B322,Recibos!L$4:L$3010)</f>
        <v>200</v>
      </c>
      <c r="BA322" s="317">
        <f>SUMIF(Recibos!$D$4:$D$3010,Cobranza!$B322,Recibos!M$4:M$3010)</f>
        <v>250</v>
      </c>
      <c r="BB322" s="317">
        <f>SUMIF(Recibos!$D$4:$D$3010,Cobranza!$B322,Recibos!N$4:N$3010)</f>
        <v>250</v>
      </c>
      <c r="BC322" s="317">
        <f>SUMIF(Recibos!$D$4:$D$3010,Cobranza!$B322,Recibos!O$4:O$3010)</f>
        <v>250</v>
      </c>
      <c r="BD322" s="317">
        <f>SUMIF(Recibos!$D$4:$D$3010,Cobranza!$B322,Recibos!P$4:P$3010)</f>
        <v>250</v>
      </c>
      <c r="BE322" s="317">
        <f>SUMIF(Recibos!$D$4:$D$3010,Cobranza!$B322,Recibos!Q$4:Q$3010)</f>
        <v>250</v>
      </c>
      <c r="BF322" s="317">
        <f>SUMIF(Recibos!$D$4:$D$3010,Cobranza!$B322,Recibos!R$4:R$3010)</f>
        <v>250</v>
      </c>
      <c r="BG322" s="317">
        <f>SUMIF(Recibos!$D$4:$D$3010,Cobranza!$B322,Recibos!S$4:S$3010)</f>
        <v>250</v>
      </c>
      <c r="BH322" s="317">
        <f>SUMIF(Recibos!$D$4:$D$3010,Cobranza!$B322,Recibos!T$4:T$3010)</f>
        <v>250</v>
      </c>
      <c r="BI322" s="317">
        <f>SUMIF(Recibos!$D$4:$D$3010,Cobranza!$B322,Recibos!U$4:U$3010)</f>
        <v>250</v>
      </c>
      <c r="BJ322" s="317">
        <f>SUMIF(Recibos!$D$4:$D$3010,Cobranza!$B322,Recibos!V$4:V$3010)</f>
        <v>250</v>
      </c>
      <c r="BK322" s="318">
        <f t="shared" si="33"/>
        <v>2900</v>
      </c>
      <c r="BL322" s="317">
        <f>SUMIF(Recibos!$D$4:$D$3010,Cobranza!$B322,Recibos!X$4:X$3010)</f>
        <v>0</v>
      </c>
      <c r="BM322" s="317">
        <f>SUMIF(Recibos!$D$4:$D$3010,Cobranza!$B322,Recibos!Y$4:Y$3010)</f>
        <v>0</v>
      </c>
      <c r="BN322" s="317">
        <f>SUMIF(Recibos!$D$4:$D$3010,Cobranza!$B322,Recibos!Z$4:Z$3010)</f>
        <v>0</v>
      </c>
      <c r="BO322" s="317">
        <f>SUMIF(Recibos!$D$4:$D$3010,Cobranza!$B322,Recibos!AA$4:AA$3010)</f>
        <v>0</v>
      </c>
      <c r="BP322" s="317">
        <f>SUMIF(Recibos!$D$4:$D$3010,Cobranza!$B322,Recibos!AB$4:AB$3010)</f>
        <v>0</v>
      </c>
      <c r="BQ322" s="317">
        <f>SUMIF(Recibos!$D$4:$D$3010,Cobranza!$B322,Recibos!AC$4:AC$3010)</f>
        <v>0</v>
      </c>
      <c r="BR322" s="317">
        <f>SUMIF(Recibos!$D$4:$D$3010,Cobranza!$B322,Recibos!AD$4:AD$3010)</f>
        <v>0</v>
      </c>
      <c r="BS322" s="317">
        <f>SUMIF(Recibos!$D$4:$D$3010,Cobranza!$B322,Recibos!AE$4:AE$3010)</f>
        <v>0</v>
      </c>
      <c r="BT322" s="317">
        <f>SUMIF(Recibos!$D$4:$D$3010,Cobranza!$B322,Recibos!AF$4:AF$3010)</f>
        <v>0</v>
      </c>
      <c r="BU322" s="317">
        <f>SUMIF(Recibos!$D$4:$D$3010,Cobranza!$B322,Recibos!AG$4:AG$3010)</f>
        <v>0</v>
      </c>
      <c r="BV322" s="317">
        <f>SUMIF(Recibos!$D$4:$D$3010,Cobranza!$B322,Recibos!AH$4:AH$3010)</f>
        <v>0</v>
      </c>
      <c r="BW322" s="317">
        <f>SUMIF(Recibos!$D$4:$D$3010,Cobranza!$B322,Recibos!AI$4:AI$3010)</f>
        <v>0</v>
      </c>
      <c r="BX322" s="318">
        <f t="shared" si="34"/>
        <v>0</v>
      </c>
    </row>
    <row r="323" spans="2:76" x14ac:dyDescent="0.2">
      <c r="B323" s="45" t="s">
        <v>622</v>
      </c>
      <c r="C323" s="45" t="s">
        <v>623</v>
      </c>
      <c r="D323" s="45" t="s">
        <v>624</v>
      </c>
      <c r="E323" s="46">
        <v>0</v>
      </c>
      <c r="F323" s="46">
        <v>0</v>
      </c>
      <c r="G323" s="46">
        <v>0</v>
      </c>
      <c r="H323" s="46">
        <v>0</v>
      </c>
      <c r="I323" s="46">
        <v>0</v>
      </c>
      <c r="J323" s="46">
        <v>300</v>
      </c>
      <c r="K323" s="47">
        <f t="shared" si="29"/>
        <v>300</v>
      </c>
      <c r="L323" s="46">
        <v>300</v>
      </c>
      <c r="M323" s="46">
        <v>300</v>
      </c>
      <c r="N323" s="46">
        <v>300</v>
      </c>
      <c r="O323" s="46">
        <v>300</v>
      </c>
      <c r="P323" s="46">
        <v>300</v>
      </c>
      <c r="Q323" s="46">
        <v>300</v>
      </c>
      <c r="R323" s="46">
        <v>300</v>
      </c>
      <c r="S323" s="46">
        <v>300</v>
      </c>
      <c r="T323" s="46">
        <v>300</v>
      </c>
      <c r="U323" s="46">
        <v>300</v>
      </c>
      <c r="V323" s="46">
        <v>300</v>
      </c>
      <c r="W323" s="46">
        <v>300</v>
      </c>
      <c r="X323" s="47">
        <f t="shared" si="30"/>
        <v>3600</v>
      </c>
      <c r="Y323" s="46">
        <v>400</v>
      </c>
      <c r="Z323" s="46">
        <v>400</v>
      </c>
      <c r="AA323" s="46">
        <v>400</v>
      </c>
      <c r="AB323" s="46">
        <v>400</v>
      </c>
      <c r="AC323" s="46">
        <v>400</v>
      </c>
      <c r="AD323" s="46">
        <v>400</v>
      </c>
      <c r="AE323" s="46">
        <v>400</v>
      </c>
      <c r="AF323" s="46">
        <v>400</v>
      </c>
      <c r="AG323" s="46">
        <v>400</v>
      </c>
      <c r="AH323" s="46">
        <v>400</v>
      </c>
      <c r="AI323" s="46">
        <v>400</v>
      </c>
      <c r="AJ323" s="46">
        <v>400</v>
      </c>
      <c r="AK323" s="47">
        <f t="shared" si="31"/>
        <v>4800</v>
      </c>
      <c r="AL323" s="46">
        <v>400</v>
      </c>
      <c r="AM323" s="46">
        <v>400</v>
      </c>
      <c r="AN323" s="46">
        <v>400</v>
      </c>
      <c r="AO323" s="46">
        <v>400</v>
      </c>
      <c r="AP323" s="46">
        <v>400</v>
      </c>
      <c r="AQ323" s="46">
        <v>400</v>
      </c>
      <c r="AR323" s="46">
        <v>400</v>
      </c>
      <c r="AS323" s="46">
        <v>400</v>
      </c>
      <c r="AT323" s="46">
        <v>400</v>
      </c>
      <c r="AU323" s="46">
        <v>400</v>
      </c>
      <c r="AV323" s="46">
        <v>400</v>
      </c>
      <c r="AW323" s="46">
        <v>400</v>
      </c>
      <c r="AX323" s="47">
        <f t="shared" si="32"/>
        <v>4800</v>
      </c>
      <c r="AY323" s="319">
        <f>SUMIF(Recibos!$D$4:$D$3010,Cobranza!$B323,Recibos!K$4:K$3010)</f>
        <v>400</v>
      </c>
      <c r="AZ323" s="319">
        <f>SUMIF(Recibos!$D$4:$D$3010,Cobranza!$B323,Recibos!L$4:L$3010)</f>
        <v>400</v>
      </c>
      <c r="BA323" s="319">
        <f>SUMIF(Recibos!$D$4:$D$3010,Cobranza!$B323,Recibos!M$4:M$3010)</f>
        <v>400</v>
      </c>
      <c r="BB323" s="319">
        <f>SUMIF(Recibos!$D$4:$D$3010,Cobranza!$B323,Recibos!N$4:N$3010)</f>
        <v>400</v>
      </c>
      <c r="BC323" s="319">
        <f>SUMIF(Recibos!$D$4:$D$3010,Cobranza!$B323,Recibos!O$4:O$3010)</f>
        <v>400</v>
      </c>
      <c r="BD323" s="319">
        <f>SUMIF(Recibos!$D$4:$D$3010,Cobranza!$B323,Recibos!P$4:P$3010)</f>
        <v>400</v>
      </c>
      <c r="BE323" s="319">
        <f>SUMIF(Recibos!$D$4:$D$3010,Cobranza!$B323,Recibos!Q$4:Q$3010)</f>
        <v>400</v>
      </c>
      <c r="BF323" s="319">
        <f>SUMIF(Recibos!$D$4:$D$3010,Cobranza!$B323,Recibos!R$4:R$3010)</f>
        <v>400</v>
      </c>
      <c r="BG323" s="319">
        <f>SUMIF(Recibos!$D$4:$D$3010,Cobranza!$B323,Recibos!S$4:S$3010)</f>
        <v>400</v>
      </c>
      <c r="BH323" s="319">
        <f>SUMIF(Recibos!$D$4:$D$3010,Cobranza!$B323,Recibos!T$4:T$3010)</f>
        <v>400</v>
      </c>
      <c r="BI323" s="319">
        <f>SUMIF(Recibos!$D$4:$D$3010,Cobranza!$B323,Recibos!U$4:U$3010)</f>
        <v>0</v>
      </c>
      <c r="BJ323" s="319">
        <f>SUMIF(Recibos!$D$4:$D$3010,Cobranza!$B323,Recibos!V$4:V$3010)</f>
        <v>0</v>
      </c>
      <c r="BK323" s="320">
        <f t="shared" si="33"/>
        <v>4000</v>
      </c>
      <c r="BL323" s="319">
        <f>SUMIF(Recibos!$D$4:$D$3010,Cobranza!$B323,Recibos!X$4:X$3010)</f>
        <v>0</v>
      </c>
      <c r="BM323" s="319">
        <f>SUMIF(Recibos!$D$4:$D$3010,Cobranza!$B323,Recibos!Y$4:Y$3010)</f>
        <v>0</v>
      </c>
      <c r="BN323" s="319">
        <f>SUMIF(Recibos!$D$4:$D$3010,Cobranza!$B323,Recibos!Z$4:Z$3010)</f>
        <v>0</v>
      </c>
      <c r="BO323" s="319">
        <f>SUMIF(Recibos!$D$4:$D$3010,Cobranza!$B323,Recibos!AA$4:AA$3010)</f>
        <v>0</v>
      </c>
      <c r="BP323" s="319">
        <f>SUMIF(Recibos!$D$4:$D$3010,Cobranza!$B323,Recibos!AB$4:AB$3010)</f>
        <v>0</v>
      </c>
      <c r="BQ323" s="319">
        <f>SUMIF(Recibos!$D$4:$D$3010,Cobranza!$B323,Recibos!AC$4:AC$3010)</f>
        <v>0</v>
      </c>
      <c r="BR323" s="319">
        <f>SUMIF(Recibos!$D$4:$D$3010,Cobranza!$B323,Recibos!AD$4:AD$3010)</f>
        <v>0</v>
      </c>
      <c r="BS323" s="319">
        <f>SUMIF(Recibos!$D$4:$D$3010,Cobranza!$B323,Recibos!AE$4:AE$3010)</f>
        <v>0</v>
      </c>
      <c r="BT323" s="319">
        <f>SUMIF(Recibos!$D$4:$D$3010,Cobranza!$B323,Recibos!AF$4:AF$3010)</f>
        <v>0</v>
      </c>
      <c r="BU323" s="319">
        <f>SUMIF(Recibos!$D$4:$D$3010,Cobranza!$B323,Recibos!AG$4:AG$3010)</f>
        <v>0</v>
      </c>
      <c r="BV323" s="319">
        <f>SUMIF(Recibos!$D$4:$D$3010,Cobranza!$B323,Recibos!AH$4:AH$3010)</f>
        <v>0</v>
      </c>
      <c r="BW323" s="319">
        <f>SUMIF(Recibos!$D$4:$D$3010,Cobranza!$B323,Recibos!AI$4:AI$3010)</f>
        <v>0</v>
      </c>
      <c r="BX323" s="320">
        <f t="shared" si="34"/>
        <v>0</v>
      </c>
    </row>
    <row r="324" spans="2:76" x14ac:dyDescent="0.2">
      <c r="B324" s="42" t="s">
        <v>256</v>
      </c>
      <c r="C324" s="42" t="s">
        <v>257</v>
      </c>
      <c r="D324" s="42" t="s">
        <v>258</v>
      </c>
      <c r="E324" s="43">
        <v>0</v>
      </c>
      <c r="F324" s="43">
        <v>0</v>
      </c>
      <c r="G324" s="43">
        <v>0</v>
      </c>
      <c r="H324" s="43">
        <v>0</v>
      </c>
      <c r="I324" s="43">
        <v>0</v>
      </c>
      <c r="J324" s="43">
        <v>300</v>
      </c>
      <c r="K324" s="44">
        <f t="shared" si="29"/>
        <v>300</v>
      </c>
      <c r="L324" s="43">
        <v>300</v>
      </c>
      <c r="M324" s="43">
        <v>300</v>
      </c>
      <c r="N324" s="43">
        <v>300</v>
      </c>
      <c r="O324" s="43">
        <v>300</v>
      </c>
      <c r="P324" s="43">
        <v>300</v>
      </c>
      <c r="Q324" s="43">
        <v>300</v>
      </c>
      <c r="R324" s="43">
        <v>300</v>
      </c>
      <c r="S324" s="43">
        <v>300</v>
      </c>
      <c r="T324" s="43">
        <v>300</v>
      </c>
      <c r="U324" s="43">
        <v>400</v>
      </c>
      <c r="V324" s="43">
        <v>400</v>
      </c>
      <c r="W324" s="43">
        <v>400</v>
      </c>
      <c r="X324" s="44">
        <f t="shared" si="30"/>
        <v>3900</v>
      </c>
      <c r="Y324" s="43">
        <v>400</v>
      </c>
      <c r="Z324" s="43">
        <v>400</v>
      </c>
      <c r="AA324" s="43">
        <v>400</v>
      </c>
      <c r="AB324" s="43">
        <v>400</v>
      </c>
      <c r="AC324" s="43">
        <v>400</v>
      </c>
      <c r="AD324" s="43">
        <v>400</v>
      </c>
      <c r="AE324" s="43">
        <v>400</v>
      </c>
      <c r="AF324" s="43">
        <v>400</v>
      </c>
      <c r="AG324" s="43">
        <v>400</v>
      </c>
      <c r="AH324" s="43">
        <v>400</v>
      </c>
      <c r="AI324" s="43">
        <v>400</v>
      </c>
      <c r="AJ324" s="43">
        <v>400</v>
      </c>
      <c r="AK324" s="44">
        <f t="shared" si="31"/>
        <v>4800</v>
      </c>
      <c r="AL324" s="43">
        <v>400</v>
      </c>
      <c r="AM324" s="43">
        <v>300</v>
      </c>
      <c r="AN324" s="43">
        <v>300</v>
      </c>
      <c r="AO324" s="43">
        <v>300</v>
      </c>
      <c r="AP324" s="43">
        <v>300</v>
      </c>
      <c r="AQ324" s="43">
        <v>300</v>
      </c>
      <c r="AR324" s="43">
        <v>300</v>
      </c>
      <c r="AS324" s="43">
        <v>300</v>
      </c>
      <c r="AT324" s="43">
        <v>300</v>
      </c>
      <c r="AU324" s="43">
        <v>300</v>
      </c>
      <c r="AV324" s="43">
        <v>300</v>
      </c>
      <c r="AW324" s="43">
        <v>300</v>
      </c>
      <c r="AX324" s="44">
        <f t="shared" si="32"/>
        <v>3700</v>
      </c>
      <c r="AY324" s="317">
        <f>SUMIF(Recibos!$D$4:$D$3010,Cobranza!$B324,Recibos!K$4:K$3010)</f>
        <v>300</v>
      </c>
      <c r="AZ324" s="317">
        <f>SUMIF(Recibos!$D$4:$D$3010,Cobranza!$B324,Recibos!L$4:L$3010)</f>
        <v>300</v>
      </c>
      <c r="BA324" s="317">
        <f>SUMIF(Recibos!$D$4:$D$3010,Cobranza!$B324,Recibos!M$4:M$3010)</f>
        <v>300</v>
      </c>
      <c r="BB324" s="317">
        <f>SUMIF(Recibos!$D$4:$D$3010,Cobranza!$B324,Recibos!N$4:N$3010)</f>
        <v>300</v>
      </c>
      <c r="BC324" s="317">
        <f>SUMIF(Recibos!$D$4:$D$3010,Cobranza!$B324,Recibos!O$4:O$3010)</f>
        <v>300</v>
      </c>
      <c r="BD324" s="317">
        <f>SUMIF(Recibos!$D$4:$D$3010,Cobranza!$B324,Recibos!P$4:P$3010)</f>
        <v>300</v>
      </c>
      <c r="BE324" s="317">
        <f>SUMIF(Recibos!$D$4:$D$3010,Cobranza!$B324,Recibos!Q$4:Q$3010)</f>
        <v>300</v>
      </c>
      <c r="BF324" s="317">
        <f>SUMIF(Recibos!$D$4:$D$3010,Cobranza!$B324,Recibos!R$4:R$3010)</f>
        <v>300</v>
      </c>
      <c r="BG324" s="317">
        <f>SUMIF(Recibos!$D$4:$D$3010,Cobranza!$B324,Recibos!S$4:S$3010)</f>
        <v>300</v>
      </c>
      <c r="BH324" s="317">
        <f>SUMIF(Recibos!$D$4:$D$3010,Cobranza!$B324,Recibos!T$4:T$3010)</f>
        <v>300</v>
      </c>
      <c r="BI324" s="317">
        <f>SUMIF(Recibos!$D$4:$D$3010,Cobranza!$B324,Recibos!U$4:U$3010)</f>
        <v>300</v>
      </c>
      <c r="BJ324" s="317">
        <f>SUMIF(Recibos!$D$4:$D$3010,Cobranza!$B324,Recibos!V$4:V$3010)</f>
        <v>300</v>
      </c>
      <c r="BK324" s="318">
        <f t="shared" si="33"/>
        <v>3600</v>
      </c>
      <c r="BL324" s="317">
        <f>SUMIF(Recibos!$D$4:$D$3010,Cobranza!$B324,Recibos!X$4:X$3010)</f>
        <v>0</v>
      </c>
      <c r="BM324" s="317">
        <f>SUMIF(Recibos!$D$4:$D$3010,Cobranza!$B324,Recibos!Y$4:Y$3010)</f>
        <v>0</v>
      </c>
      <c r="BN324" s="317">
        <f>SUMIF(Recibos!$D$4:$D$3010,Cobranza!$B324,Recibos!Z$4:Z$3010)</f>
        <v>0</v>
      </c>
      <c r="BO324" s="317">
        <f>SUMIF(Recibos!$D$4:$D$3010,Cobranza!$B324,Recibos!AA$4:AA$3010)</f>
        <v>0</v>
      </c>
      <c r="BP324" s="317">
        <f>SUMIF(Recibos!$D$4:$D$3010,Cobranza!$B324,Recibos!AB$4:AB$3010)</f>
        <v>0</v>
      </c>
      <c r="BQ324" s="317">
        <f>SUMIF(Recibos!$D$4:$D$3010,Cobranza!$B324,Recibos!AC$4:AC$3010)</f>
        <v>0</v>
      </c>
      <c r="BR324" s="317">
        <f>SUMIF(Recibos!$D$4:$D$3010,Cobranza!$B324,Recibos!AD$4:AD$3010)</f>
        <v>0</v>
      </c>
      <c r="BS324" s="317">
        <f>SUMIF(Recibos!$D$4:$D$3010,Cobranza!$B324,Recibos!AE$4:AE$3010)</f>
        <v>0</v>
      </c>
      <c r="BT324" s="317">
        <f>SUMIF(Recibos!$D$4:$D$3010,Cobranza!$B324,Recibos!AF$4:AF$3010)</f>
        <v>0</v>
      </c>
      <c r="BU324" s="317">
        <f>SUMIF(Recibos!$D$4:$D$3010,Cobranza!$B324,Recibos!AG$4:AG$3010)</f>
        <v>0</v>
      </c>
      <c r="BV324" s="317">
        <f>SUMIF(Recibos!$D$4:$D$3010,Cobranza!$B324,Recibos!AH$4:AH$3010)</f>
        <v>0</v>
      </c>
      <c r="BW324" s="317">
        <f>SUMIF(Recibos!$D$4:$D$3010,Cobranza!$B324,Recibos!AI$4:AI$3010)</f>
        <v>0</v>
      </c>
      <c r="BX324" s="318">
        <f t="shared" si="34"/>
        <v>0</v>
      </c>
    </row>
    <row r="325" spans="2:76" x14ac:dyDescent="0.2">
      <c r="B325" s="45" t="s">
        <v>310</v>
      </c>
      <c r="C325" s="45" t="s">
        <v>311</v>
      </c>
      <c r="D325" s="45" t="s">
        <v>312</v>
      </c>
      <c r="E325" s="46">
        <v>0</v>
      </c>
      <c r="F325" s="46">
        <v>0</v>
      </c>
      <c r="G325" s="46">
        <v>0</v>
      </c>
      <c r="H325" s="46">
        <v>0</v>
      </c>
      <c r="I325" s="46">
        <v>0</v>
      </c>
      <c r="J325" s="46">
        <v>0</v>
      </c>
      <c r="K325" s="47">
        <f t="shared" si="29"/>
        <v>0</v>
      </c>
      <c r="L325" s="46">
        <v>0</v>
      </c>
      <c r="M325" s="46">
        <v>0</v>
      </c>
      <c r="N325" s="46">
        <v>0</v>
      </c>
      <c r="O325" s="46">
        <v>0</v>
      </c>
      <c r="P325" s="46">
        <v>0</v>
      </c>
      <c r="Q325" s="46">
        <v>0</v>
      </c>
      <c r="R325" s="46">
        <v>300</v>
      </c>
      <c r="S325" s="46">
        <v>300</v>
      </c>
      <c r="T325" s="46">
        <v>300</v>
      </c>
      <c r="U325" s="46">
        <v>400</v>
      </c>
      <c r="V325" s="46">
        <v>400</v>
      </c>
      <c r="W325" s="46">
        <v>0</v>
      </c>
      <c r="X325" s="47">
        <f t="shared" si="30"/>
        <v>1700</v>
      </c>
      <c r="Y325" s="46">
        <v>400</v>
      </c>
      <c r="Z325" s="46">
        <v>400</v>
      </c>
      <c r="AA325" s="46">
        <v>400</v>
      </c>
      <c r="AB325" s="46">
        <v>400</v>
      </c>
      <c r="AC325" s="46">
        <v>400</v>
      </c>
      <c r="AD325" s="46">
        <v>400</v>
      </c>
      <c r="AE325" s="46">
        <v>400</v>
      </c>
      <c r="AF325" s="46">
        <v>400</v>
      </c>
      <c r="AG325" s="46">
        <v>400</v>
      </c>
      <c r="AH325" s="46">
        <v>400</v>
      </c>
      <c r="AI325" s="46">
        <v>400</v>
      </c>
      <c r="AJ325" s="46">
        <v>400</v>
      </c>
      <c r="AK325" s="47">
        <f t="shared" si="31"/>
        <v>4800</v>
      </c>
      <c r="AL325" s="46">
        <v>400</v>
      </c>
      <c r="AM325" s="46">
        <v>400</v>
      </c>
      <c r="AN325" s="46">
        <v>400</v>
      </c>
      <c r="AO325" s="46">
        <v>400</v>
      </c>
      <c r="AP325" s="46">
        <v>400</v>
      </c>
      <c r="AQ325" s="46">
        <v>400</v>
      </c>
      <c r="AR325" s="46">
        <v>400</v>
      </c>
      <c r="AS325" s="46">
        <v>400</v>
      </c>
      <c r="AT325" s="46">
        <v>400</v>
      </c>
      <c r="AU325" s="46">
        <v>400</v>
      </c>
      <c r="AV325" s="46">
        <v>400</v>
      </c>
      <c r="AW325" s="46">
        <v>400</v>
      </c>
      <c r="AX325" s="47">
        <f t="shared" si="32"/>
        <v>4800</v>
      </c>
      <c r="AY325" s="319">
        <f>SUMIF(Recibos!$D$4:$D$3010,Cobranza!$B325,Recibos!K$4:K$3010)</f>
        <v>400</v>
      </c>
      <c r="AZ325" s="319">
        <f>SUMIF(Recibos!$D$4:$D$3010,Cobranza!$B325,Recibos!L$4:L$3010)</f>
        <v>400</v>
      </c>
      <c r="BA325" s="319">
        <f>SUMIF(Recibos!$D$4:$D$3010,Cobranza!$B325,Recibos!M$4:M$3010)</f>
        <v>400</v>
      </c>
      <c r="BB325" s="319">
        <f>SUMIF(Recibos!$D$4:$D$3010,Cobranza!$B325,Recibos!N$4:N$3010)</f>
        <v>400</v>
      </c>
      <c r="BC325" s="319">
        <f>SUMIF(Recibos!$D$4:$D$3010,Cobranza!$B325,Recibos!O$4:O$3010)</f>
        <v>400</v>
      </c>
      <c r="BD325" s="319">
        <f>SUMIF(Recibos!$D$4:$D$3010,Cobranza!$B325,Recibos!P$4:P$3010)</f>
        <v>400</v>
      </c>
      <c r="BE325" s="319">
        <f>SUMIF(Recibos!$D$4:$D$3010,Cobranza!$B325,Recibos!Q$4:Q$3010)</f>
        <v>400</v>
      </c>
      <c r="BF325" s="319">
        <f>SUMIF(Recibos!$D$4:$D$3010,Cobranza!$B325,Recibos!R$4:R$3010)</f>
        <v>400</v>
      </c>
      <c r="BG325" s="319">
        <f>SUMIF(Recibos!$D$4:$D$3010,Cobranza!$B325,Recibos!S$4:S$3010)</f>
        <v>400</v>
      </c>
      <c r="BH325" s="319">
        <f>SUMIF(Recibos!$D$4:$D$3010,Cobranza!$B325,Recibos!T$4:T$3010)</f>
        <v>400</v>
      </c>
      <c r="BI325" s="319">
        <f>SUMIF(Recibos!$D$4:$D$3010,Cobranza!$B325,Recibos!U$4:U$3010)</f>
        <v>400</v>
      </c>
      <c r="BJ325" s="319">
        <f>SUMIF(Recibos!$D$4:$D$3010,Cobranza!$B325,Recibos!V$4:V$3010)</f>
        <v>400</v>
      </c>
      <c r="BK325" s="320">
        <f t="shared" si="33"/>
        <v>4800</v>
      </c>
      <c r="BL325" s="319">
        <f>SUMIF(Recibos!$D$4:$D$3010,Cobranza!$B325,Recibos!X$4:X$3010)</f>
        <v>0</v>
      </c>
      <c r="BM325" s="319">
        <f>SUMIF(Recibos!$D$4:$D$3010,Cobranza!$B325,Recibos!Y$4:Y$3010)</f>
        <v>0</v>
      </c>
      <c r="BN325" s="319">
        <f>SUMIF(Recibos!$D$4:$D$3010,Cobranza!$B325,Recibos!Z$4:Z$3010)</f>
        <v>0</v>
      </c>
      <c r="BO325" s="319">
        <f>SUMIF(Recibos!$D$4:$D$3010,Cobranza!$B325,Recibos!AA$4:AA$3010)</f>
        <v>0</v>
      </c>
      <c r="BP325" s="319">
        <f>SUMIF(Recibos!$D$4:$D$3010,Cobranza!$B325,Recibos!AB$4:AB$3010)</f>
        <v>0</v>
      </c>
      <c r="BQ325" s="319">
        <f>SUMIF(Recibos!$D$4:$D$3010,Cobranza!$B325,Recibos!AC$4:AC$3010)</f>
        <v>0</v>
      </c>
      <c r="BR325" s="319">
        <f>SUMIF(Recibos!$D$4:$D$3010,Cobranza!$B325,Recibos!AD$4:AD$3010)</f>
        <v>0</v>
      </c>
      <c r="BS325" s="319">
        <f>SUMIF(Recibos!$D$4:$D$3010,Cobranza!$B325,Recibos!AE$4:AE$3010)</f>
        <v>0</v>
      </c>
      <c r="BT325" s="319">
        <f>SUMIF(Recibos!$D$4:$D$3010,Cobranza!$B325,Recibos!AF$4:AF$3010)</f>
        <v>0</v>
      </c>
      <c r="BU325" s="319">
        <f>SUMIF(Recibos!$D$4:$D$3010,Cobranza!$B325,Recibos!AG$4:AG$3010)</f>
        <v>0</v>
      </c>
      <c r="BV325" s="319">
        <f>SUMIF(Recibos!$D$4:$D$3010,Cobranza!$B325,Recibos!AH$4:AH$3010)</f>
        <v>0</v>
      </c>
      <c r="BW325" s="319">
        <f>SUMIF(Recibos!$D$4:$D$3010,Cobranza!$B325,Recibos!AI$4:AI$3010)</f>
        <v>0</v>
      </c>
      <c r="BX325" s="320">
        <f t="shared" si="34"/>
        <v>0</v>
      </c>
    </row>
    <row r="326" spans="2:76" x14ac:dyDescent="0.2">
      <c r="B326" s="42" t="s">
        <v>422</v>
      </c>
      <c r="C326" s="42" t="s">
        <v>423</v>
      </c>
      <c r="D326" s="42" t="s">
        <v>424</v>
      </c>
      <c r="E326" s="43">
        <v>0</v>
      </c>
      <c r="F326" s="43">
        <v>0</v>
      </c>
      <c r="G326" s="43">
        <v>0</v>
      </c>
      <c r="H326" s="43">
        <v>0</v>
      </c>
      <c r="I326" s="43">
        <v>0</v>
      </c>
      <c r="J326" s="43">
        <v>0</v>
      </c>
      <c r="K326" s="44">
        <f t="shared" si="29"/>
        <v>0</v>
      </c>
      <c r="L326" s="43">
        <v>300</v>
      </c>
      <c r="M326" s="43">
        <v>300</v>
      </c>
      <c r="N326" s="43">
        <v>300</v>
      </c>
      <c r="O326" s="43">
        <v>300</v>
      </c>
      <c r="P326" s="43">
        <v>300</v>
      </c>
      <c r="Q326" s="43">
        <v>300</v>
      </c>
      <c r="R326" s="43">
        <v>300</v>
      </c>
      <c r="S326" s="43">
        <v>300</v>
      </c>
      <c r="T326" s="43">
        <v>300</v>
      </c>
      <c r="U326" s="43">
        <v>400</v>
      </c>
      <c r="V326" s="43">
        <v>400</v>
      </c>
      <c r="W326" s="43">
        <v>100</v>
      </c>
      <c r="X326" s="44">
        <f t="shared" si="30"/>
        <v>3600</v>
      </c>
      <c r="Y326" s="43">
        <v>400</v>
      </c>
      <c r="Z326" s="43">
        <v>400</v>
      </c>
      <c r="AA326" s="43">
        <v>400</v>
      </c>
      <c r="AB326" s="43">
        <v>400</v>
      </c>
      <c r="AC326" s="43">
        <v>400</v>
      </c>
      <c r="AD326" s="43">
        <v>400</v>
      </c>
      <c r="AE326" s="43">
        <v>400</v>
      </c>
      <c r="AF326" s="43">
        <v>400</v>
      </c>
      <c r="AG326" s="43">
        <v>400</v>
      </c>
      <c r="AH326" s="43">
        <v>400</v>
      </c>
      <c r="AI326" s="43">
        <v>400</v>
      </c>
      <c r="AJ326" s="43">
        <v>0</v>
      </c>
      <c r="AK326" s="44">
        <f t="shared" si="31"/>
        <v>4400</v>
      </c>
      <c r="AL326" s="43">
        <v>400</v>
      </c>
      <c r="AM326" s="43">
        <v>400</v>
      </c>
      <c r="AN326" s="43">
        <v>400</v>
      </c>
      <c r="AO326" s="43">
        <v>400</v>
      </c>
      <c r="AP326" s="43">
        <v>400</v>
      </c>
      <c r="AQ326" s="43">
        <v>400</v>
      </c>
      <c r="AR326" s="43">
        <v>400</v>
      </c>
      <c r="AS326" s="43">
        <v>400</v>
      </c>
      <c r="AT326" s="43">
        <v>400</v>
      </c>
      <c r="AU326" s="43">
        <v>400</v>
      </c>
      <c r="AV326" s="43">
        <v>400</v>
      </c>
      <c r="AW326" s="43">
        <v>0</v>
      </c>
      <c r="AX326" s="44">
        <f t="shared" si="32"/>
        <v>4400</v>
      </c>
      <c r="AY326" s="317">
        <f>SUMIF(Recibos!$D$4:$D$3010,Cobranza!$B326,Recibos!K$4:K$3010)</f>
        <v>400</v>
      </c>
      <c r="AZ326" s="317">
        <f>SUMIF(Recibos!$D$4:$D$3010,Cobranza!$B326,Recibos!L$4:L$3010)</f>
        <v>400</v>
      </c>
      <c r="BA326" s="317">
        <f>SUMIF(Recibos!$D$4:$D$3010,Cobranza!$B326,Recibos!M$4:M$3010)</f>
        <v>400</v>
      </c>
      <c r="BB326" s="317">
        <f>SUMIF(Recibos!$D$4:$D$3010,Cobranza!$B326,Recibos!N$4:N$3010)</f>
        <v>400</v>
      </c>
      <c r="BC326" s="317">
        <f>SUMIF(Recibos!$D$4:$D$3010,Cobranza!$B326,Recibos!O$4:O$3010)</f>
        <v>400</v>
      </c>
      <c r="BD326" s="317">
        <f>SUMIF(Recibos!$D$4:$D$3010,Cobranza!$B326,Recibos!P$4:P$3010)</f>
        <v>400</v>
      </c>
      <c r="BE326" s="317">
        <f>SUMIF(Recibos!$D$4:$D$3010,Cobranza!$B326,Recibos!Q$4:Q$3010)</f>
        <v>400</v>
      </c>
      <c r="BF326" s="317">
        <f>SUMIF(Recibos!$D$4:$D$3010,Cobranza!$B326,Recibos!R$4:R$3010)</f>
        <v>400</v>
      </c>
      <c r="BG326" s="317">
        <f>SUMIF(Recibos!$D$4:$D$3010,Cobranza!$B326,Recibos!S$4:S$3010)</f>
        <v>400</v>
      </c>
      <c r="BH326" s="317">
        <f>SUMIF(Recibos!$D$4:$D$3010,Cobranza!$B326,Recibos!T$4:T$3010)</f>
        <v>400</v>
      </c>
      <c r="BI326" s="317">
        <f>SUMIF(Recibos!$D$4:$D$3010,Cobranza!$B326,Recibos!U$4:U$3010)</f>
        <v>400</v>
      </c>
      <c r="BJ326" s="317">
        <f>SUMIF(Recibos!$D$4:$D$3010,Cobranza!$B326,Recibos!V$4:V$3010)</f>
        <v>400</v>
      </c>
      <c r="BK326" s="318">
        <f t="shared" si="33"/>
        <v>4800</v>
      </c>
      <c r="BL326" s="317">
        <f>SUMIF(Recibos!$D$4:$D$3010,Cobranza!$B326,Recibos!X$4:X$3010)</f>
        <v>0</v>
      </c>
      <c r="BM326" s="317">
        <f>SUMIF(Recibos!$D$4:$D$3010,Cobranza!$B326,Recibos!Y$4:Y$3010)</f>
        <v>0</v>
      </c>
      <c r="BN326" s="317">
        <f>SUMIF(Recibos!$D$4:$D$3010,Cobranza!$B326,Recibos!Z$4:Z$3010)</f>
        <v>0</v>
      </c>
      <c r="BO326" s="317">
        <f>SUMIF(Recibos!$D$4:$D$3010,Cobranza!$B326,Recibos!AA$4:AA$3010)</f>
        <v>0</v>
      </c>
      <c r="BP326" s="317">
        <f>SUMIF(Recibos!$D$4:$D$3010,Cobranza!$B326,Recibos!AB$4:AB$3010)</f>
        <v>0</v>
      </c>
      <c r="BQ326" s="317">
        <f>SUMIF(Recibos!$D$4:$D$3010,Cobranza!$B326,Recibos!AC$4:AC$3010)</f>
        <v>0</v>
      </c>
      <c r="BR326" s="317">
        <f>SUMIF(Recibos!$D$4:$D$3010,Cobranza!$B326,Recibos!AD$4:AD$3010)</f>
        <v>0</v>
      </c>
      <c r="BS326" s="317">
        <f>SUMIF(Recibos!$D$4:$D$3010,Cobranza!$B326,Recibos!AE$4:AE$3010)</f>
        <v>0</v>
      </c>
      <c r="BT326" s="317">
        <f>SUMIF(Recibos!$D$4:$D$3010,Cobranza!$B326,Recibos!AF$4:AF$3010)</f>
        <v>0</v>
      </c>
      <c r="BU326" s="317">
        <f>SUMIF(Recibos!$D$4:$D$3010,Cobranza!$B326,Recibos!AG$4:AG$3010)</f>
        <v>0</v>
      </c>
      <c r="BV326" s="317">
        <f>SUMIF(Recibos!$D$4:$D$3010,Cobranza!$B326,Recibos!AH$4:AH$3010)</f>
        <v>0</v>
      </c>
      <c r="BW326" s="317">
        <f>SUMIF(Recibos!$D$4:$D$3010,Cobranza!$B326,Recibos!AI$4:AI$3010)</f>
        <v>0</v>
      </c>
      <c r="BX326" s="318">
        <f t="shared" si="34"/>
        <v>0</v>
      </c>
    </row>
    <row r="327" spans="2:76" x14ac:dyDescent="0.2">
      <c r="B327" s="45" t="s">
        <v>761</v>
      </c>
      <c r="C327" s="45" t="s">
        <v>762</v>
      </c>
      <c r="D327" s="45" t="s">
        <v>403</v>
      </c>
      <c r="E327" s="46">
        <v>0</v>
      </c>
      <c r="F327" s="46">
        <v>0</v>
      </c>
      <c r="G327" s="46">
        <v>0</v>
      </c>
      <c r="H327" s="46">
        <v>0</v>
      </c>
      <c r="I327" s="46">
        <v>0</v>
      </c>
      <c r="J327" s="46">
        <v>0</v>
      </c>
      <c r="K327" s="47">
        <f t="shared" si="29"/>
        <v>0</v>
      </c>
      <c r="L327" s="46">
        <v>300</v>
      </c>
      <c r="M327" s="46">
        <v>300</v>
      </c>
      <c r="N327" s="46">
        <v>300</v>
      </c>
      <c r="O327" s="46">
        <v>300</v>
      </c>
      <c r="P327" s="46">
        <v>300</v>
      </c>
      <c r="Q327" s="46">
        <v>300</v>
      </c>
      <c r="R327" s="46">
        <v>300</v>
      </c>
      <c r="S327" s="46">
        <v>300</v>
      </c>
      <c r="T327" s="46">
        <v>300</v>
      </c>
      <c r="U327" s="46">
        <v>300</v>
      </c>
      <c r="V327" s="46">
        <v>300</v>
      </c>
      <c r="W327" s="46">
        <v>300</v>
      </c>
      <c r="X327" s="47">
        <f t="shared" si="30"/>
        <v>3600</v>
      </c>
      <c r="Y327" s="46">
        <v>400</v>
      </c>
      <c r="Z327" s="46">
        <v>400</v>
      </c>
      <c r="AA327" s="46">
        <v>400</v>
      </c>
      <c r="AB327" s="46">
        <v>400</v>
      </c>
      <c r="AC327" s="46">
        <v>400</v>
      </c>
      <c r="AD327" s="46">
        <v>400</v>
      </c>
      <c r="AE327" s="46">
        <v>0</v>
      </c>
      <c r="AF327" s="46">
        <v>0</v>
      </c>
      <c r="AG327" s="46">
        <v>400</v>
      </c>
      <c r="AH327" s="46">
        <v>400</v>
      </c>
      <c r="AI327" s="46">
        <v>400</v>
      </c>
      <c r="AJ327" s="46">
        <v>400</v>
      </c>
      <c r="AK327" s="47">
        <f t="shared" si="31"/>
        <v>4000</v>
      </c>
      <c r="AL327" s="46">
        <v>400</v>
      </c>
      <c r="AM327" s="46">
        <v>400</v>
      </c>
      <c r="AN327" s="46">
        <v>400</v>
      </c>
      <c r="AO327" s="46">
        <v>400</v>
      </c>
      <c r="AP327" s="46">
        <v>400</v>
      </c>
      <c r="AQ327" s="46">
        <v>400</v>
      </c>
      <c r="AR327" s="46">
        <v>400</v>
      </c>
      <c r="AS327" s="46">
        <v>400</v>
      </c>
      <c r="AT327" s="46">
        <v>400</v>
      </c>
      <c r="AU327" s="46">
        <v>400</v>
      </c>
      <c r="AV327" s="46">
        <v>400</v>
      </c>
      <c r="AW327" s="46">
        <v>400</v>
      </c>
      <c r="AX327" s="47">
        <f t="shared" si="32"/>
        <v>4800</v>
      </c>
      <c r="AY327" s="319">
        <f>SUMIF(Recibos!$D$4:$D$3010,Cobranza!$B327,Recibos!K$4:K$3010)</f>
        <v>400</v>
      </c>
      <c r="AZ327" s="319">
        <f>SUMIF(Recibos!$D$4:$D$3010,Cobranza!$B327,Recibos!L$4:L$3010)</f>
        <v>400</v>
      </c>
      <c r="BA327" s="319">
        <f>SUMIF(Recibos!$D$4:$D$3010,Cobranza!$B327,Recibos!M$4:M$3010)</f>
        <v>400</v>
      </c>
      <c r="BB327" s="319">
        <f>SUMIF(Recibos!$D$4:$D$3010,Cobranza!$B327,Recibos!N$4:N$3010)</f>
        <v>400</v>
      </c>
      <c r="BC327" s="319">
        <f>SUMIF(Recibos!$D$4:$D$3010,Cobranza!$B327,Recibos!O$4:O$3010)</f>
        <v>400</v>
      </c>
      <c r="BD327" s="319">
        <f>SUMIF(Recibos!$D$4:$D$3010,Cobranza!$B327,Recibos!P$4:P$3010)</f>
        <v>400</v>
      </c>
      <c r="BE327" s="319">
        <f>SUMIF(Recibos!$D$4:$D$3010,Cobranza!$B327,Recibos!Q$4:Q$3010)</f>
        <v>400</v>
      </c>
      <c r="BF327" s="319">
        <f>SUMIF(Recibos!$D$4:$D$3010,Cobranza!$B327,Recibos!R$4:R$3010)</f>
        <v>400</v>
      </c>
      <c r="BG327" s="319">
        <f>SUMIF(Recibos!$D$4:$D$3010,Cobranza!$B327,Recibos!S$4:S$3010)</f>
        <v>400</v>
      </c>
      <c r="BH327" s="319">
        <f>SUMIF(Recibos!$D$4:$D$3010,Cobranza!$B327,Recibos!T$4:T$3010)</f>
        <v>400</v>
      </c>
      <c r="BI327" s="319">
        <f>SUMIF(Recibos!$D$4:$D$3010,Cobranza!$B327,Recibos!U$4:U$3010)</f>
        <v>400</v>
      </c>
      <c r="BJ327" s="319">
        <f>SUMIF(Recibos!$D$4:$D$3010,Cobranza!$B327,Recibos!V$4:V$3010)</f>
        <v>0</v>
      </c>
      <c r="BK327" s="320">
        <f t="shared" si="33"/>
        <v>4400</v>
      </c>
      <c r="BL327" s="319">
        <f>SUMIF(Recibos!$D$4:$D$3010,Cobranza!$B327,Recibos!X$4:X$3010)</f>
        <v>0</v>
      </c>
      <c r="BM327" s="319">
        <f>SUMIF(Recibos!$D$4:$D$3010,Cobranza!$B327,Recibos!Y$4:Y$3010)</f>
        <v>0</v>
      </c>
      <c r="BN327" s="319">
        <f>SUMIF(Recibos!$D$4:$D$3010,Cobranza!$B327,Recibos!Z$4:Z$3010)</f>
        <v>0</v>
      </c>
      <c r="BO327" s="319">
        <f>SUMIF(Recibos!$D$4:$D$3010,Cobranza!$B327,Recibos!AA$4:AA$3010)</f>
        <v>0</v>
      </c>
      <c r="BP327" s="319">
        <f>SUMIF(Recibos!$D$4:$D$3010,Cobranza!$B327,Recibos!AB$4:AB$3010)</f>
        <v>0</v>
      </c>
      <c r="BQ327" s="319">
        <f>SUMIF(Recibos!$D$4:$D$3010,Cobranza!$B327,Recibos!AC$4:AC$3010)</f>
        <v>0</v>
      </c>
      <c r="BR327" s="319">
        <f>SUMIF(Recibos!$D$4:$D$3010,Cobranza!$B327,Recibos!AD$4:AD$3010)</f>
        <v>0</v>
      </c>
      <c r="BS327" s="319">
        <f>SUMIF(Recibos!$D$4:$D$3010,Cobranza!$B327,Recibos!AE$4:AE$3010)</f>
        <v>0</v>
      </c>
      <c r="BT327" s="319">
        <f>SUMIF(Recibos!$D$4:$D$3010,Cobranza!$B327,Recibos!AF$4:AF$3010)</f>
        <v>0</v>
      </c>
      <c r="BU327" s="319">
        <f>SUMIF(Recibos!$D$4:$D$3010,Cobranza!$B327,Recibos!AG$4:AG$3010)</f>
        <v>0</v>
      </c>
      <c r="BV327" s="319">
        <f>SUMIF(Recibos!$D$4:$D$3010,Cobranza!$B327,Recibos!AH$4:AH$3010)</f>
        <v>0</v>
      </c>
      <c r="BW327" s="319">
        <f>SUMIF(Recibos!$D$4:$D$3010,Cobranza!$B327,Recibos!AI$4:AI$3010)</f>
        <v>0</v>
      </c>
      <c r="BX327" s="320">
        <f t="shared" si="34"/>
        <v>0</v>
      </c>
    </row>
    <row r="328" spans="2:76" x14ac:dyDescent="0.2">
      <c r="B328" s="42" t="s">
        <v>1195</v>
      </c>
      <c r="C328" s="42" t="s">
        <v>1196</v>
      </c>
      <c r="D328" s="42" t="s">
        <v>1197</v>
      </c>
      <c r="E328" s="43">
        <v>0</v>
      </c>
      <c r="F328" s="43">
        <v>0</v>
      </c>
      <c r="G328" s="43">
        <v>0</v>
      </c>
      <c r="H328" s="43">
        <v>0</v>
      </c>
      <c r="I328" s="43">
        <v>0</v>
      </c>
      <c r="J328" s="43">
        <v>0</v>
      </c>
      <c r="K328" s="44">
        <f t="shared" si="29"/>
        <v>0</v>
      </c>
      <c r="L328" s="43">
        <v>0</v>
      </c>
      <c r="M328" s="43">
        <v>0</v>
      </c>
      <c r="N328" s="43">
        <v>0</v>
      </c>
      <c r="O328" s="43">
        <v>0</v>
      </c>
      <c r="P328" s="43">
        <v>0</v>
      </c>
      <c r="Q328" s="43">
        <v>0</v>
      </c>
      <c r="R328" s="43">
        <v>0</v>
      </c>
      <c r="S328" s="43">
        <v>0</v>
      </c>
      <c r="T328" s="43">
        <v>0</v>
      </c>
      <c r="U328" s="43">
        <v>0</v>
      </c>
      <c r="V328" s="43">
        <v>0</v>
      </c>
      <c r="W328" s="43">
        <v>0</v>
      </c>
      <c r="X328" s="44">
        <f t="shared" si="30"/>
        <v>0</v>
      </c>
      <c r="Y328" s="43">
        <v>0</v>
      </c>
      <c r="Z328" s="43">
        <v>0</v>
      </c>
      <c r="AA328" s="43">
        <v>0</v>
      </c>
      <c r="AB328" s="43">
        <v>0</v>
      </c>
      <c r="AC328" s="43">
        <v>0</v>
      </c>
      <c r="AD328" s="43">
        <v>0</v>
      </c>
      <c r="AE328" s="43">
        <v>0</v>
      </c>
      <c r="AF328" s="43">
        <v>0</v>
      </c>
      <c r="AG328" s="43">
        <v>400</v>
      </c>
      <c r="AH328" s="43">
        <v>0</v>
      </c>
      <c r="AI328" s="43">
        <v>0</v>
      </c>
      <c r="AJ328" s="43">
        <v>0</v>
      </c>
      <c r="AK328" s="44">
        <f t="shared" si="31"/>
        <v>400</v>
      </c>
      <c r="AL328" s="43">
        <v>0</v>
      </c>
      <c r="AM328" s="43">
        <v>0</v>
      </c>
      <c r="AN328" s="43">
        <v>0</v>
      </c>
      <c r="AO328" s="43">
        <v>0</v>
      </c>
      <c r="AP328" s="43">
        <v>0</v>
      </c>
      <c r="AQ328" s="43">
        <v>0</v>
      </c>
      <c r="AR328" s="43">
        <v>0</v>
      </c>
      <c r="AS328" s="43">
        <v>0</v>
      </c>
      <c r="AT328" s="43">
        <v>0</v>
      </c>
      <c r="AU328" s="43">
        <v>0</v>
      </c>
      <c r="AV328" s="43">
        <v>0</v>
      </c>
      <c r="AW328" s="43">
        <v>0</v>
      </c>
      <c r="AX328" s="44">
        <f t="shared" si="32"/>
        <v>0</v>
      </c>
      <c r="AY328" s="317">
        <f>SUMIF(Recibos!$D$4:$D$3010,Cobranza!$B328,Recibos!K$4:K$3010)</f>
        <v>0</v>
      </c>
      <c r="AZ328" s="317">
        <f>SUMIF(Recibos!$D$4:$D$3010,Cobranza!$B328,Recibos!L$4:L$3010)</f>
        <v>0</v>
      </c>
      <c r="BA328" s="317">
        <f>SUMIF(Recibos!$D$4:$D$3010,Cobranza!$B328,Recibos!M$4:M$3010)</f>
        <v>0</v>
      </c>
      <c r="BB328" s="317">
        <f>SUMIF(Recibos!$D$4:$D$3010,Cobranza!$B328,Recibos!N$4:N$3010)</f>
        <v>0</v>
      </c>
      <c r="BC328" s="317">
        <f>SUMIF(Recibos!$D$4:$D$3010,Cobranza!$B328,Recibos!O$4:O$3010)</f>
        <v>0</v>
      </c>
      <c r="BD328" s="317">
        <f>SUMIF(Recibos!$D$4:$D$3010,Cobranza!$B328,Recibos!P$4:P$3010)</f>
        <v>0</v>
      </c>
      <c r="BE328" s="317">
        <f>SUMIF(Recibos!$D$4:$D$3010,Cobranza!$B328,Recibos!Q$4:Q$3010)</f>
        <v>0</v>
      </c>
      <c r="BF328" s="317">
        <f>SUMIF(Recibos!$D$4:$D$3010,Cobranza!$B328,Recibos!R$4:R$3010)</f>
        <v>0</v>
      </c>
      <c r="BG328" s="317">
        <f>SUMIF(Recibos!$D$4:$D$3010,Cobranza!$B328,Recibos!S$4:S$3010)</f>
        <v>400</v>
      </c>
      <c r="BH328" s="317">
        <f>SUMIF(Recibos!$D$4:$D$3010,Cobranza!$B328,Recibos!T$4:T$3010)</f>
        <v>0</v>
      </c>
      <c r="BI328" s="317">
        <f>SUMIF(Recibos!$D$4:$D$3010,Cobranza!$B328,Recibos!U$4:U$3010)</f>
        <v>0</v>
      </c>
      <c r="BJ328" s="317">
        <f>SUMIF(Recibos!$D$4:$D$3010,Cobranza!$B328,Recibos!V$4:V$3010)</f>
        <v>0</v>
      </c>
      <c r="BK328" s="318">
        <f t="shared" si="33"/>
        <v>400</v>
      </c>
      <c r="BL328" s="317">
        <f>SUMIF(Recibos!$D$4:$D$3010,Cobranza!$B328,Recibos!X$4:X$3010)</f>
        <v>0</v>
      </c>
      <c r="BM328" s="317">
        <f>SUMIF(Recibos!$D$4:$D$3010,Cobranza!$B328,Recibos!Y$4:Y$3010)</f>
        <v>0</v>
      </c>
      <c r="BN328" s="317">
        <f>SUMIF(Recibos!$D$4:$D$3010,Cobranza!$B328,Recibos!Z$4:Z$3010)</f>
        <v>0</v>
      </c>
      <c r="BO328" s="317">
        <f>SUMIF(Recibos!$D$4:$D$3010,Cobranza!$B328,Recibos!AA$4:AA$3010)</f>
        <v>0</v>
      </c>
      <c r="BP328" s="317">
        <f>SUMIF(Recibos!$D$4:$D$3010,Cobranza!$B328,Recibos!AB$4:AB$3010)</f>
        <v>0</v>
      </c>
      <c r="BQ328" s="317">
        <f>SUMIF(Recibos!$D$4:$D$3010,Cobranza!$B328,Recibos!AC$4:AC$3010)</f>
        <v>0</v>
      </c>
      <c r="BR328" s="317">
        <f>SUMIF(Recibos!$D$4:$D$3010,Cobranza!$B328,Recibos!AD$4:AD$3010)</f>
        <v>0</v>
      </c>
      <c r="BS328" s="317">
        <f>SUMIF(Recibos!$D$4:$D$3010,Cobranza!$B328,Recibos!AE$4:AE$3010)</f>
        <v>0</v>
      </c>
      <c r="BT328" s="317">
        <f>SUMIF(Recibos!$D$4:$D$3010,Cobranza!$B328,Recibos!AF$4:AF$3010)</f>
        <v>0</v>
      </c>
      <c r="BU328" s="317">
        <f>SUMIF(Recibos!$D$4:$D$3010,Cobranza!$B328,Recibos!AG$4:AG$3010)</f>
        <v>0</v>
      </c>
      <c r="BV328" s="317">
        <f>SUMIF(Recibos!$D$4:$D$3010,Cobranza!$B328,Recibos!AH$4:AH$3010)</f>
        <v>0</v>
      </c>
      <c r="BW328" s="317">
        <f>SUMIF(Recibos!$D$4:$D$3010,Cobranza!$B328,Recibos!AI$4:AI$3010)</f>
        <v>0</v>
      </c>
      <c r="BX328" s="318">
        <f t="shared" si="34"/>
        <v>0</v>
      </c>
    </row>
    <row r="329" spans="2:76" x14ac:dyDescent="0.2">
      <c r="B329" s="45" t="s">
        <v>637</v>
      </c>
      <c r="C329" s="45" t="s">
        <v>638</v>
      </c>
      <c r="D329" s="45" t="s">
        <v>639</v>
      </c>
      <c r="E329" s="46">
        <v>0</v>
      </c>
      <c r="F329" s="46">
        <v>0</v>
      </c>
      <c r="G329" s="46">
        <v>0</v>
      </c>
      <c r="H329" s="46">
        <v>0</v>
      </c>
      <c r="I329" s="46">
        <v>0</v>
      </c>
      <c r="J329" s="46">
        <v>0</v>
      </c>
      <c r="K329" s="47">
        <f t="shared" si="29"/>
        <v>0</v>
      </c>
      <c r="L329" s="46">
        <v>0</v>
      </c>
      <c r="M329" s="46">
        <v>0</v>
      </c>
      <c r="N329" s="46">
        <v>300</v>
      </c>
      <c r="O329" s="46">
        <v>300</v>
      </c>
      <c r="P329" s="46">
        <v>300</v>
      </c>
      <c r="Q329" s="46">
        <v>300</v>
      </c>
      <c r="R329" s="46">
        <v>300</v>
      </c>
      <c r="S329" s="46">
        <v>300</v>
      </c>
      <c r="T329" s="46">
        <v>300</v>
      </c>
      <c r="U329" s="46">
        <v>400</v>
      </c>
      <c r="V329" s="46">
        <v>300</v>
      </c>
      <c r="W329" s="46">
        <v>300</v>
      </c>
      <c r="X329" s="47">
        <f t="shared" si="30"/>
        <v>3100</v>
      </c>
      <c r="Y329" s="46">
        <v>300</v>
      </c>
      <c r="Z329" s="46">
        <v>300</v>
      </c>
      <c r="AA329" s="46">
        <v>300</v>
      </c>
      <c r="AB329" s="46">
        <v>300</v>
      </c>
      <c r="AC329" s="46">
        <v>300</v>
      </c>
      <c r="AD329" s="46">
        <v>300</v>
      </c>
      <c r="AE329" s="46">
        <v>300</v>
      </c>
      <c r="AF329" s="46">
        <v>300</v>
      </c>
      <c r="AG329" s="46">
        <v>400</v>
      </c>
      <c r="AH329" s="46">
        <v>400</v>
      </c>
      <c r="AI329" s="46">
        <v>400</v>
      </c>
      <c r="AJ329" s="46">
        <v>400</v>
      </c>
      <c r="AK329" s="47">
        <f t="shared" si="31"/>
        <v>4000</v>
      </c>
      <c r="AL329" s="46">
        <v>400</v>
      </c>
      <c r="AM329" s="46">
        <v>400</v>
      </c>
      <c r="AN329" s="46">
        <v>400</v>
      </c>
      <c r="AO329" s="46">
        <v>400</v>
      </c>
      <c r="AP329" s="46">
        <v>400</v>
      </c>
      <c r="AQ329" s="46">
        <v>400</v>
      </c>
      <c r="AR329" s="46">
        <v>400</v>
      </c>
      <c r="AS329" s="46">
        <v>400</v>
      </c>
      <c r="AT329" s="46">
        <v>400</v>
      </c>
      <c r="AU329" s="46">
        <v>400</v>
      </c>
      <c r="AV329" s="46">
        <v>400</v>
      </c>
      <c r="AW329" s="46">
        <v>400</v>
      </c>
      <c r="AX329" s="47">
        <f t="shared" si="32"/>
        <v>4800</v>
      </c>
      <c r="AY329" s="319">
        <f>SUMIF(Recibos!$D$4:$D$3010,Cobranza!$B329,Recibos!K$4:K$3010)</f>
        <v>400</v>
      </c>
      <c r="AZ329" s="319">
        <f>SUMIF(Recibos!$D$4:$D$3010,Cobranza!$B329,Recibos!L$4:L$3010)</f>
        <v>400</v>
      </c>
      <c r="BA329" s="319">
        <f>SUMIF(Recibos!$D$4:$D$3010,Cobranza!$B329,Recibos!M$4:M$3010)</f>
        <v>400</v>
      </c>
      <c r="BB329" s="319">
        <f>SUMIF(Recibos!$D$4:$D$3010,Cobranza!$B329,Recibos!N$4:N$3010)</f>
        <v>400</v>
      </c>
      <c r="BC329" s="319">
        <f>SUMIF(Recibos!$D$4:$D$3010,Cobranza!$B329,Recibos!O$4:O$3010)</f>
        <v>400</v>
      </c>
      <c r="BD329" s="319">
        <f>SUMIF(Recibos!$D$4:$D$3010,Cobranza!$B329,Recibos!P$4:P$3010)</f>
        <v>400</v>
      </c>
      <c r="BE329" s="319">
        <f>SUMIF(Recibos!$D$4:$D$3010,Cobranza!$B329,Recibos!Q$4:Q$3010)</f>
        <v>400</v>
      </c>
      <c r="BF329" s="319">
        <f>SUMIF(Recibos!$D$4:$D$3010,Cobranza!$B329,Recibos!R$4:R$3010)</f>
        <v>400</v>
      </c>
      <c r="BG329" s="319">
        <f>SUMIF(Recibos!$D$4:$D$3010,Cobranza!$B329,Recibos!S$4:S$3010)</f>
        <v>400</v>
      </c>
      <c r="BH329" s="319">
        <f>SUMIF(Recibos!$D$4:$D$3010,Cobranza!$B329,Recibos!T$4:T$3010)</f>
        <v>400</v>
      </c>
      <c r="BI329" s="319">
        <f>SUMIF(Recibos!$D$4:$D$3010,Cobranza!$B329,Recibos!U$4:U$3010)</f>
        <v>400</v>
      </c>
      <c r="BJ329" s="319">
        <f>SUMIF(Recibos!$D$4:$D$3010,Cobranza!$B329,Recibos!V$4:V$3010)</f>
        <v>0</v>
      </c>
      <c r="BK329" s="320">
        <f t="shared" si="33"/>
        <v>4400</v>
      </c>
      <c r="BL329" s="319">
        <f>SUMIF(Recibos!$D$4:$D$3010,Cobranza!$B329,Recibos!X$4:X$3010)</f>
        <v>0</v>
      </c>
      <c r="BM329" s="319">
        <f>SUMIF(Recibos!$D$4:$D$3010,Cobranza!$B329,Recibos!Y$4:Y$3010)</f>
        <v>0</v>
      </c>
      <c r="BN329" s="319">
        <f>SUMIF(Recibos!$D$4:$D$3010,Cobranza!$B329,Recibos!Z$4:Z$3010)</f>
        <v>0</v>
      </c>
      <c r="BO329" s="319">
        <f>SUMIF(Recibos!$D$4:$D$3010,Cobranza!$B329,Recibos!AA$4:AA$3010)</f>
        <v>0</v>
      </c>
      <c r="BP329" s="319">
        <f>SUMIF(Recibos!$D$4:$D$3010,Cobranza!$B329,Recibos!AB$4:AB$3010)</f>
        <v>0</v>
      </c>
      <c r="BQ329" s="319">
        <f>SUMIF(Recibos!$D$4:$D$3010,Cobranza!$B329,Recibos!AC$4:AC$3010)</f>
        <v>0</v>
      </c>
      <c r="BR329" s="319">
        <f>SUMIF(Recibos!$D$4:$D$3010,Cobranza!$B329,Recibos!AD$4:AD$3010)</f>
        <v>0</v>
      </c>
      <c r="BS329" s="319">
        <f>SUMIF(Recibos!$D$4:$D$3010,Cobranza!$B329,Recibos!AE$4:AE$3010)</f>
        <v>0</v>
      </c>
      <c r="BT329" s="319">
        <f>SUMIF(Recibos!$D$4:$D$3010,Cobranza!$B329,Recibos!AF$4:AF$3010)</f>
        <v>0</v>
      </c>
      <c r="BU329" s="319">
        <f>SUMIF(Recibos!$D$4:$D$3010,Cobranza!$B329,Recibos!AG$4:AG$3010)</f>
        <v>0</v>
      </c>
      <c r="BV329" s="319">
        <f>SUMIF(Recibos!$D$4:$D$3010,Cobranza!$B329,Recibos!AH$4:AH$3010)</f>
        <v>0</v>
      </c>
      <c r="BW329" s="319">
        <f>SUMIF(Recibos!$D$4:$D$3010,Cobranza!$B329,Recibos!AI$4:AI$3010)</f>
        <v>0</v>
      </c>
      <c r="BX329" s="320">
        <f t="shared" si="34"/>
        <v>0</v>
      </c>
    </row>
    <row r="330" spans="2:76" x14ac:dyDescent="0.2">
      <c r="B330" s="42" t="s">
        <v>797</v>
      </c>
      <c r="C330" s="42" t="s">
        <v>798</v>
      </c>
      <c r="D330" s="42" t="s">
        <v>799</v>
      </c>
      <c r="E330" s="43">
        <v>0</v>
      </c>
      <c r="F330" s="43">
        <v>0</v>
      </c>
      <c r="G330" s="43">
        <v>0</v>
      </c>
      <c r="H330" s="43">
        <v>0</v>
      </c>
      <c r="I330" s="43">
        <v>300</v>
      </c>
      <c r="J330" s="43">
        <v>300</v>
      </c>
      <c r="K330" s="44">
        <f t="shared" si="29"/>
        <v>600</v>
      </c>
      <c r="L330" s="43">
        <v>300</v>
      </c>
      <c r="M330" s="43">
        <v>300</v>
      </c>
      <c r="N330" s="43">
        <v>300</v>
      </c>
      <c r="O330" s="43">
        <v>300</v>
      </c>
      <c r="P330" s="43">
        <v>300</v>
      </c>
      <c r="Q330" s="43">
        <v>300</v>
      </c>
      <c r="R330" s="43">
        <v>300</v>
      </c>
      <c r="S330" s="43">
        <v>300</v>
      </c>
      <c r="T330" s="43">
        <v>300</v>
      </c>
      <c r="U330" s="43">
        <v>400</v>
      </c>
      <c r="V330" s="43">
        <v>400</v>
      </c>
      <c r="W330" s="43">
        <v>400</v>
      </c>
      <c r="X330" s="44">
        <f t="shared" si="30"/>
        <v>3900</v>
      </c>
      <c r="Y330" s="43">
        <v>400</v>
      </c>
      <c r="Z330" s="43">
        <v>400</v>
      </c>
      <c r="AA330" s="43">
        <v>400</v>
      </c>
      <c r="AB330" s="43">
        <v>0</v>
      </c>
      <c r="AC330" s="43">
        <v>0</v>
      </c>
      <c r="AD330" s="43">
        <v>400</v>
      </c>
      <c r="AE330" s="43">
        <v>0</v>
      </c>
      <c r="AF330" s="43">
        <v>0</v>
      </c>
      <c r="AG330" s="43">
        <v>0</v>
      </c>
      <c r="AH330" s="43">
        <v>400</v>
      </c>
      <c r="AI330" s="43">
        <v>400</v>
      </c>
      <c r="AJ330" s="43">
        <v>400</v>
      </c>
      <c r="AK330" s="44">
        <f t="shared" si="31"/>
        <v>2800</v>
      </c>
      <c r="AL330" s="43">
        <v>400</v>
      </c>
      <c r="AM330" s="43">
        <v>400</v>
      </c>
      <c r="AN330" s="43">
        <v>400</v>
      </c>
      <c r="AO330" s="43">
        <v>400</v>
      </c>
      <c r="AP330" s="43">
        <v>400</v>
      </c>
      <c r="AQ330" s="43">
        <v>400</v>
      </c>
      <c r="AR330" s="43">
        <v>400</v>
      </c>
      <c r="AS330" s="43">
        <v>400</v>
      </c>
      <c r="AT330" s="43">
        <v>400</v>
      </c>
      <c r="AU330" s="43">
        <v>400</v>
      </c>
      <c r="AV330" s="43">
        <v>400</v>
      </c>
      <c r="AW330" s="43">
        <v>400</v>
      </c>
      <c r="AX330" s="44">
        <f t="shared" si="32"/>
        <v>4800</v>
      </c>
      <c r="AY330" s="317">
        <f>SUMIF(Recibos!$D$4:$D$3010,Cobranza!$B330,Recibos!K$4:K$3010)</f>
        <v>400</v>
      </c>
      <c r="AZ330" s="317">
        <f>SUMIF(Recibos!$D$4:$D$3010,Cobranza!$B330,Recibos!L$4:L$3010)</f>
        <v>400</v>
      </c>
      <c r="BA330" s="317">
        <f>SUMIF(Recibos!$D$4:$D$3010,Cobranza!$B330,Recibos!M$4:M$3010)</f>
        <v>400</v>
      </c>
      <c r="BB330" s="317">
        <f>SUMIF(Recibos!$D$4:$D$3010,Cobranza!$B330,Recibos!N$4:N$3010)</f>
        <v>400</v>
      </c>
      <c r="BC330" s="317">
        <f>SUMIF(Recibos!$D$4:$D$3010,Cobranza!$B330,Recibos!O$4:O$3010)</f>
        <v>400</v>
      </c>
      <c r="BD330" s="317">
        <f>SUMIF(Recibos!$D$4:$D$3010,Cobranza!$B330,Recibos!P$4:P$3010)</f>
        <v>400</v>
      </c>
      <c r="BE330" s="317">
        <f>SUMIF(Recibos!$D$4:$D$3010,Cobranza!$B330,Recibos!Q$4:Q$3010)</f>
        <v>400</v>
      </c>
      <c r="BF330" s="317">
        <f>SUMIF(Recibos!$D$4:$D$3010,Cobranza!$B330,Recibos!R$4:R$3010)</f>
        <v>400</v>
      </c>
      <c r="BG330" s="317">
        <f>SUMIF(Recibos!$D$4:$D$3010,Cobranza!$B330,Recibos!S$4:S$3010)</f>
        <v>400</v>
      </c>
      <c r="BH330" s="317">
        <f>SUMIF(Recibos!$D$4:$D$3010,Cobranza!$B330,Recibos!T$4:T$3010)</f>
        <v>400</v>
      </c>
      <c r="BI330" s="317">
        <f>SUMIF(Recibos!$D$4:$D$3010,Cobranza!$B330,Recibos!U$4:U$3010)</f>
        <v>400</v>
      </c>
      <c r="BJ330" s="317">
        <f>SUMIF(Recibos!$D$4:$D$3010,Cobranza!$B330,Recibos!V$4:V$3010)</f>
        <v>400</v>
      </c>
      <c r="BK330" s="318">
        <f t="shared" si="33"/>
        <v>4800</v>
      </c>
      <c r="BL330" s="317">
        <f>SUMIF(Recibos!$D$4:$D$3010,Cobranza!$B330,Recibos!X$4:X$3010)</f>
        <v>0</v>
      </c>
      <c r="BM330" s="317">
        <f>SUMIF(Recibos!$D$4:$D$3010,Cobranza!$B330,Recibos!Y$4:Y$3010)</f>
        <v>0</v>
      </c>
      <c r="BN330" s="317">
        <f>SUMIF(Recibos!$D$4:$D$3010,Cobranza!$B330,Recibos!Z$4:Z$3010)</f>
        <v>0</v>
      </c>
      <c r="BO330" s="317">
        <f>SUMIF(Recibos!$D$4:$D$3010,Cobranza!$B330,Recibos!AA$4:AA$3010)</f>
        <v>0</v>
      </c>
      <c r="BP330" s="317">
        <f>SUMIF(Recibos!$D$4:$D$3010,Cobranza!$B330,Recibos!AB$4:AB$3010)</f>
        <v>0</v>
      </c>
      <c r="BQ330" s="317">
        <f>SUMIF(Recibos!$D$4:$D$3010,Cobranza!$B330,Recibos!AC$4:AC$3010)</f>
        <v>0</v>
      </c>
      <c r="BR330" s="317">
        <f>SUMIF(Recibos!$D$4:$D$3010,Cobranza!$B330,Recibos!AD$4:AD$3010)</f>
        <v>0</v>
      </c>
      <c r="BS330" s="317">
        <f>SUMIF(Recibos!$D$4:$D$3010,Cobranza!$B330,Recibos!AE$4:AE$3010)</f>
        <v>0</v>
      </c>
      <c r="BT330" s="317">
        <f>SUMIF(Recibos!$D$4:$D$3010,Cobranza!$B330,Recibos!AF$4:AF$3010)</f>
        <v>0</v>
      </c>
      <c r="BU330" s="317">
        <f>SUMIF(Recibos!$D$4:$D$3010,Cobranza!$B330,Recibos!AG$4:AG$3010)</f>
        <v>0</v>
      </c>
      <c r="BV330" s="317">
        <f>SUMIF(Recibos!$D$4:$D$3010,Cobranza!$B330,Recibos!AH$4:AH$3010)</f>
        <v>0</v>
      </c>
      <c r="BW330" s="317">
        <f>SUMIF(Recibos!$D$4:$D$3010,Cobranza!$B330,Recibos!AI$4:AI$3010)</f>
        <v>0</v>
      </c>
      <c r="BX330" s="318">
        <f t="shared" si="34"/>
        <v>0</v>
      </c>
    </row>
    <row r="331" spans="2:76" x14ac:dyDescent="0.2">
      <c r="B331" s="45" t="s">
        <v>331</v>
      </c>
      <c r="C331" s="45" t="s">
        <v>332</v>
      </c>
      <c r="D331" s="45" t="s">
        <v>333</v>
      </c>
      <c r="E331" s="46">
        <v>0</v>
      </c>
      <c r="F331" s="46">
        <v>0</v>
      </c>
      <c r="G331" s="46">
        <v>0</v>
      </c>
      <c r="H331" s="46">
        <v>0</v>
      </c>
      <c r="I331" s="46">
        <v>0</v>
      </c>
      <c r="J331" s="46">
        <v>300</v>
      </c>
      <c r="K331" s="47">
        <f t="shared" ref="K331:K394" si="35">SUM(E331:J331)</f>
        <v>300</v>
      </c>
      <c r="L331" s="46">
        <v>0</v>
      </c>
      <c r="M331" s="46">
        <v>300</v>
      </c>
      <c r="N331" s="46">
        <v>600</v>
      </c>
      <c r="O331" s="46">
        <v>300</v>
      </c>
      <c r="P331" s="46">
        <v>300</v>
      </c>
      <c r="Q331" s="46">
        <v>600</v>
      </c>
      <c r="R331" s="46">
        <v>0</v>
      </c>
      <c r="S331" s="46">
        <v>300</v>
      </c>
      <c r="T331" s="46">
        <v>300</v>
      </c>
      <c r="U331" s="46">
        <v>400</v>
      </c>
      <c r="V331" s="46">
        <v>400</v>
      </c>
      <c r="W331" s="46">
        <v>400</v>
      </c>
      <c r="X331" s="47">
        <f t="shared" ref="X331:X394" si="36">SUM(L331:W331)</f>
        <v>3900</v>
      </c>
      <c r="Y331" s="46">
        <v>400</v>
      </c>
      <c r="Z331" s="46">
        <v>400</v>
      </c>
      <c r="AA331" s="46">
        <v>400</v>
      </c>
      <c r="AB331" s="46">
        <v>400</v>
      </c>
      <c r="AC331" s="46">
        <v>400</v>
      </c>
      <c r="AD331" s="46">
        <v>400</v>
      </c>
      <c r="AE331" s="46">
        <v>400</v>
      </c>
      <c r="AF331" s="46">
        <v>400</v>
      </c>
      <c r="AG331" s="46">
        <v>400</v>
      </c>
      <c r="AH331" s="46">
        <v>400</v>
      </c>
      <c r="AI331" s="46">
        <v>400</v>
      </c>
      <c r="AJ331" s="46">
        <v>400</v>
      </c>
      <c r="AK331" s="47">
        <f t="shared" ref="AK331:AK394" si="37">SUM(Y331:AJ331)</f>
        <v>4800</v>
      </c>
      <c r="AL331" s="46">
        <v>400</v>
      </c>
      <c r="AM331" s="46">
        <v>400</v>
      </c>
      <c r="AN331" s="46">
        <v>400</v>
      </c>
      <c r="AO331" s="46">
        <v>400</v>
      </c>
      <c r="AP331" s="46">
        <v>400</v>
      </c>
      <c r="AQ331" s="46">
        <v>400</v>
      </c>
      <c r="AR331" s="46">
        <v>400</v>
      </c>
      <c r="AS331" s="46">
        <v>400</v>
      </c>
      <c r="AT331" s="46">
        <v>400</v>
      </c>
      <c r="AU331" s="46">
        <v>400</v>
      </c>
      <c r="AV331" s="46">
        <v>400</v>
      </c>
      <c r="AW331" s="46">
        <v>400</v>
      </c>
      <c r="AX331" s="47">
        <f t="shared" ref="AX331:AX394" si="38">SUM(AL331:AW331)</f>
        <v>4800</v>
      </c>
      <c r="AY331" s="319">
        <f>SUMIF(Recibos!$D$4:$D$3010,Cobranza!$B331,Recibos!K$4:K$3010)</f>
        <v>400</v>
      </c>
      <c r="AZ331" s="319">
        <f>SUMIF(Recibos!$D$4:$D$3010,Cobranza!$B331,Recibos!L$4:L$3010)</f>
        <v>400</v>
      </c>
      <c r="BA331" s="319">
        <f>SUMIF(Recibos!$D$4:$D$3010,Cobranza!$B331,Recibos!M$4:M$3010)</f>
        <v>400</v>
      </c>
      <c r="BB331" s="319">
        <f>SUMIF(Recibos!$D$4:$D$3010,Cobranza!$B331,Recibos!N$4:N$3010)</f>
        <v>400</v>
      </c>
      <c r="BC331" s="319">
        <f>SUMIF(Recibos!$D$4:$D$3010,Cobranza!$B331,Recibos!O$4:O$3010)</f>
        <v>400</v>
      </c>
      <c r="BD331" s="319">
        <f>SUMIF(Recibos!$D$4:$D$3010,Cobranza!$B331,Recibos!P$4:P$3010)</f>
        <v>400</v>
      </c>
      <c r="BE331" s="319">
        <f>SUMIF(Recibos!$D$4:$D$3010,Cobranza!$B331,Recibos!Q$4:Q$3010)</f>
        <v>400</v>
      </c>
      <c r="BF331" s="319">
        <f>SUMIF(Recibos!$D$4:$D$3010,Cobranza!$B331,Recibos!R$4:R$3010)</f>
        <v>400</v>
      </c>
      <c r="BG331" s="319">
        <f>SUMIF(Recibos!$D$4:$D$3010,Cobranza!$B331,Recibos!S$4:S$3010)</f>
        <v>400</v>
      </c>
      <c r="BH331" s="319">
        <f>SUMIF(Recibos!$D$4:$D$3010,Cobranza!$B331,Recibos!T$4:T$3010)</f>
        <v>400</v>
      </c>
      <c r="BI331" s="319">
        <f>SUMIF(Recibos!$D$4:$D$3010,Cobranza!$B331,Recibos!U$4:U$3010)</f>
        <v>400</v>
      </c>
      <c r="BJ331" s="319">
        <f>SUMIF(Recibos!$D$4:$D$3010,Cobranza!$B331,Recibos!V$4:V$3010)</f>
        <v>400</v>
      </c>
      <c r="BK331" s="320">
        <f t="shared" si="33"/>
        <v>4800</v>
      </c>
      <c r="BL331" s="319">
        <f>SUMIF(Recibos!$D$4:$D$3010,Cobranza!$B331,Recibos!X$4:X$3010)</f>
        <v>0</v>
      </c>
      <c r="BM331" s="319">
        <f>SUMIF(Recibos!$D$4:$D$3010,Cobranza!$B331,Recibos!Y$4:Y$3010)</f>
        <v>0</v>
      </c>
      <c r="BN331" s="319">
        <f>SUMIF(Recibos!$D$4:$D$3010,Cobranza!$B331,Recibos!Z$4:Z$3010)</f>
        <v>0</v>
      </c>
      <c r="BO331" s="319">
        <f>SUMIF(Recibos!$D$4:$D$3010,Cobranza!$B331,Recibos!AA$4:AA$3010)</f>
        <v>0</v>
      </c>
      <c r="BP331" s="319">
        <f>SUMIF(Recibos!$D$4:$D$3010,Cobranza!$B331,Recibos!AB$4:AB$3010)</f>
        <v>0</v>
      </c>
      <c r="BQ331" s="319">
        <f>SUMIF(Recibos!$D$4:$D$3010,Cobranza!$B331,Recibos!AC$4:AC$3010)</f>
        <v>0</v>
      </c>
      <c r="BR331" s="319">
        <f>SUMIF(Recibos!$D$4:$D$3010,Cobranza!$B331,Recibos!AD$4:AD$3010)</f>
        <v>0</v>
      </c>
      <c r="BS331" s="319">
        <f>SUMIF(Recibos!$D$4:$D$3010,Cobranza!$B331,Recibos!AE$4:AE$3010)</f>
        <v>0</v>
      </c>
      <c r="BT331" s="319">
        <f>SUMIF(Recibos!$D$4:$D$3010,Cobranza!$B331,Recibos!AF$4:AF$3010)</f>
        <v>0</v>
      </c>
      <c r="BU331" s="319">
        <f>SUMIF(Recibos!$D$4:$D$3010,Cobranza!$B331,Recibos!AG$4:AG$3010)</f>
        <v>0</v>
      </c>
      <c r="BV331" s="319">
        <f>SUMIF(Recibos!$D$4:$D$3010,Cobranza!$B331,Recibos!AH$4:AH$3010)</f>
        <v>0</v>
      </c>
      <c r="BW331" s="319">
        <f>SUMIF(Recibos!$D$4:$D$3010,Cobranza!$B331,Recibos!AI$4:AI$3010)</f>
        <v>0</v>
      </c>
      <c r="BX331" s="320">
        <f t="shared" si="34"/>
        <v>0</v>
      </c>
    </row>
    <row r="332" spans="2:76" x14ac:dyDescent="0.2">
      <c r="B332" s="42" t="s">
        <v>334</v>
      </c>
      <c r="C332" s="42" t="s">
        <v>335</v>
      </c>
      <c r="D332" s="42" t="s">
        <v>336</v>
      </c>
      <c r="E332" s="43">
        <v>0</v>
      </c>
      <c r="F332" s="43">
        <v>0</v>
      </c>
      <c r="G332" s="43">
        <v>0</v>
      </c>
      <c r="H332" s="43">
        <v>0</v>
      </c>
      <c r="I332" s="43">
        <v>0</v>
      </c>
      <c r="J332" s="43">
        <v>0</v>
      </c>
      <c r="K332" s="44">
        <f t="shared" si="35"/>
        <v>0</v>
      </c>
      <c r="L332" s="43">
        <v>0</v>
      </c>
      <c r="M332" s="43">
        <v>0</v>
      </c>
      <c r="N332" s="43">
        <v>0</v>
      </c>
      <c r="O332" s="43">
        <v>0</v>
      </c>
      <c r="P332" s="43">
        <v>0</v>
      </c>
      <c r="Q332" s="43">
        <v>0</v>
      </c>
      <c r="R332" s="43">
        <v>0</v>
      </c>
      <c r="S332" s="43">
        <v>0</v>
      </c>
      <c r="T332" s="43">
        <v>0</v>
      </c>
      <c r="U332" s="43">
        <v>0</v>
      </c>
      <c r="V332" s="43">
        <v>0</v>
      </c>
      <c r="W332" s="43">
        <v>0</v>
      </c>
      <c r="X332" s="44">
        <f t="shared" si="36"/>
        <v>0</v>
      </c>
      <c r="Y332" s="43">
        <v>0</v>
      </c>
      <c r="Z332" s="43">
        <v>0</v>
      </c>
      <c r="AA332" s="43">
        <v>0</v>
      </c>
      <c r="AB332" s="43">
        <v>0</v>
      </c>
      <c r="AC332" s="43">
        <v>0</v>
      </c>
      <c r="AD332" s="43">
        <v>0</v>
      </c>
      <c r="AE332" s="43">
        <v>400</v>
      </c>
      <c r="AF332" s="43">
        <v>400</v>
      </c>
      <c r="AG332" s="43">
        <v>400</v>
      </c>
      <c r="AH332" s="43">
        <v>400</v>
      </c>
      <c r="AI332" s="43">
        <v>400</v>
      </c>
      <c r="AJ332" s="43">
        <v>0</v>
      </c>
      <c r="AK332" s="44">
        <f t="shared" si="37"/>
        <v>2000</v>
      </c>
      <c r="AL332" s="43">
        <v>400</v>
      </c>
      <c r="AM332" s="43">
        <v>400</v>
      </c>
      <c r="AN332" s="43">
        <v>400</v>
      </c>
      <c r="AO332" s="43">
        <v>400</v>
      </c>
      <c r="AP332" s="43">
        <v>400</v>
      </c>
      <c r="AQ332" s="43">
        <v>400</v>
      </c>
      <c r="AR332" s="43">
        <v>400</v>
      </c>
      <c r="AS332" s="43">
        <v>400</v>
      </c>
      <c r="AT332" s="43">
        <v>0</v>
      </c>
      <c r="AU332" s="43">
        <v>0</v>
      </c>
      <c r="AV332" s="43">
        <v>0</v>
      </c>
      <c r="AW332" s="43">
        <v>400</v>
      </c>
      <c r="AX332" s="44">
        <f t="shared" si="38"/>
        <v>3600</v>
      </c>
      <c r="AY332" s="317">
        <f>SUMIF(Recibos!$D$4:$D$3010,Cobranza!$B332,Recibos!K$4:K$3010)</f>
        <v>400</v>
      </c>
      <c r="AZ332" s="317">
        <f>SUMIF(Recibos!$D$4:$D$3010,Cobranza!$B332,Recibos!L$4:L$3010)</f>
        <v>400</v>
      </c>
      <c r="BA332" s="317">
        <f>SUMIF(Recibos!$D$4:$D$3010,Cobranza!$B332,Recibos!M$4:M$3010)</f>
        <v>400</v>
      </c>
      <c r="BB332" s="317">
        <f>SUMIF(Recibos!$D$4:$D$3010,Cobranza!$B332,Recibos!N$4:N$3010)</f>
        <v>400</v>
      </c>
      <c r="BC332" s="317">
        <f>SUMIF(Recibos!$D$4:$D$3010,Cobranza!$B332,Recibos!O$4:O$3010)</f>
        <v>400</v>
      </c>
      <c r="BD332" s="317">
        <f>SUMIF(Recibos!$D$4:$D$3010,Cobranza!$B332,Recibos!P$4:P$3010)</f>
        <v>400</v>
      </c>
      <c r="BE332" s="317">
        <f>SUMIF(Recibos!$D$4:$D$3010,Cobranza!$B332,Recibos!Q$4:Q$3010)</f>
        <v>0</v>
      </c>
      <c r="BF332" s="317">
        <f>SUMIF(Recibos!$D$4:$D$3010,Cobranza!$B332,Recibos!R$4:R$3010)</f>
        <v>0</v>
      </c>
      <c r="BG332" s="317">
        <f>SUMIF(Recibos!$D$4:$D$3010,Cobranza!$B332,Recibos!S$4:S$3010)</f>
        <v>0</v>
      </c>
      <c r="BH332" s="317">
        <f>SUMIF(Recibos!$D$4:$D$3010,Cobranza!$B332,Recibos!T$4:T$3010)</f>
        <v>0</v>
      </c>
      <c r="BI332" s="317">
        <f>SUMIF(Recibos!$D$4:$D$3010,Cobranza!$B332,Recibos!U$4:U$3010)</f>
        <v>0</v>
      </c>
      <c r="BJ332" s="317">
        <f>SUMIF(Recibos!$D$4:$D$3010,Cobranza!$B332,Recibos!V$4:V$3010)</f>
        <v>0</v>
      </c>
      <c r="BK332" s="318">
        <f t="shared" si="33"/>
        <v>2400</v>
      </c>
      <c r="BL332" s="317">
        <f>SUMIF(Recibos!$D$4:$D$3010,Cobranza!$B332,Recibos!X$4:X$3010)</f>
        <v>0</v>
      </c>
      <c r="BM332" s="317">
        <f>SUMIF(Recibos!$D$4:$D$3010,Cobranza!$B332,Recibos!Y$4:Y$3010)</f>
        <v>0</v>
      </c>
      <c r="BN332" s="317">
        <f>SUMIF(Recibos!$D$4:$D$3010,Cobranza!$B332,Recibos!Z$4:Z$3010)</f>
        <v>0</v>
      </c>
      <c r="BO332" s="317">
        <f>SUMIF(Recibos!$D$4:$D$3010,Cobranza!$B332,Recibos!AA$4:AA$3010)</f>
        <v>0</v>
      </c>
      <c r="BP332" s="317">
        <f>SUMIF(Recibos!$D$4:$D$3010,Cobranza!$B332,Recibos!AB$4:AB$3010)</f>
        <v>0</v>
      </c>
      <c r="BQ332" s="317">
        <f>SUMIF(Recibos!$D$4:$D$3010,Cobranza!$B332,Recibos!AC$4:AC$3010)</f>
        <v>0</v>
      </c>
      <c r="BR332" s="317">
        <f>SUMIF(Recibos!$D$4:$D$3010,Cobranza!$B332,Recibos!AD$4:AD$3010)</f>
        <v>0</v>
      </c>
      <c r="BS332" s="317">
        <f>SUMIF(Recibos!$D$4:$D$3010,Cobranza!$B332,Recibos!AE$4:AE$3010)</f>
        <v>0</v>
      </c>
      <c r="BT332" s="317">
        <f>SUMIF(Recibos!$D$4:$D$3010,Cobranza!$B332,Recibos!AF$4:AF$3010)</f>
        <v>0</v>
      </c>
      <c r="BU332" s="317">
        <f>SUMIF(Recibos!$D$4:$D$3010,Cobranza!$B332,Recibos!AG$4:AG$3010)</f>
        <v>0</v>
      </c>
      <c r="BV332" s="317">
        <f>SUMIF(Recibos!$D$4:$D$3010,Cobranza!$B332,Recibos!AH$4:AH$3010)</f>
        <v>0</v>
      </c>
      <c r="BW332" s="317">
        <f>SUMIF(Recibos!$D$4:$D$3010,Cobranza!$B332,Recibos!AI$4:AI$3010)</f>
        <v>0</v>
      </c>
      <c r="BX332" s="318">
        <f t="shared" si="34"/>
        <v>0</v>
      </c>
    </row>
    <row r="333" spans="2:76" x14ac:dyDescent="0.2">
      <c r="B333" s="45" t="s">
        <v>410</v>
      </c>
      <c r="C333" s="45" t="s">
        <v>411</v>
      </c>
      <c r="D333" s="45" t="s">
        <v>412</v>
      </c>
      <c r="E333" s="46">
        <v>0</v>
      </c>
      <c r="F333" s="46">
        <v>0</v>
      </c>
      <c r="G333" s="46">
        <v>0</v>
      </c>
      <c r="H333" s="46">
        <v>0</v>
      </c>
      <c r="I333" s="46">
        <v>0</v>
      </c>
      <c r="J333" s="46">
        <v>0</v>
      </c>
      <c r="K333" s="47">
        <f t="shared" si="35"/>
        <v>0</v>
      </c>
      <c r="L333" s="46">
        <v>300</v>
      </c>
      <c r="M333" s="46">
        <v>300</v>
      </c>
      <c r="N333" s="46">
        <v>300</v>
      </c>
      <c r="O333" s="46">
        <v>300</v>
      </c>
      <c r="P333" s="46">
        <v>300</v>
      </c>
      <c r="Q333" s="46">
        <v>300</v>
      </c>
      <c r="R333" s="46">
        <v>300</v>
      </c>
      <c r="S333" s="46">
        <v>300</v>
      </c>
      <c r="T333" s="46">
        <v>300</v>
      </c>
      <c r="U333" s="46">
        <v>300</v>
      </c>
      <c r="V333" s="46">
        <v>300</v>
      </c>
      <c r="W333" s="46">
        <v>0</v>
      </c>
      <c r="X333" s="47">
        <f t="shared" si="36"/>
        <v>3300</v>
      </c>
      <c r="Y333" s="46">
        <v>300</v>
      </c>
      <c r="Z333" s="46">
        <v>300</v>
      </c>
      <c r="AA333" s="46">
        <v>300</v>
      </c>
      <c r="AB333" s="46">
        <v>300</v>
      </c>
      <c r="AC333" s="46">
        <v>300</v>
      </c>
      <c r="AD333" s="46">
        <v>300</v>
      </c>
      <c r="AE333" s="46">
        <v>300</v>
      </c>
      <c r="AF333" s="46">
        <v>300</v>
      </c>
      <c r="AG333" s="46">
        <v>300</v>
      </c>
      <c r="AH333" s="46">
        <v>300</v>
      </c>
      <c r="AI333" s="46">
        <v>300</v>
      </c>
      <c r="AJ333" s="46">
        <v>0</v>
      </c>
      <c r="AK333" s="47">
        <f t="shared" si="37"/>
        <v>3300</v>
      </c>
      <c r="AL333" s="46">
        <v>300</v>
      </c>
      <c r="AM333" s="46">
        <v>300</v>
      </c>
      <c r="AN333" s="46">
        <v>300</v>
      </c>
      <c r="AO333" s="46">
        <v>300</v>
      </c>
      <c r="AP333" s="46">
        <v>300</v>
      </c>
      <c r="AQ333" s="46">
        <v>300</v>
      </c>
      <c r="AR333" s="46">
        <v>300</v>
      </c>
      <c r="AS333" s="46">
        <v>300</v>
      </c>
      <c r="AT333" s="46">
        <v>300</v>
      </c>
      <c r="AU333" s="46">
        <v>300</v>
      </c>
      <c r="AV333" s="46">
        <v>300</v>
      </c>
      <c r="AW333" s="46">
        <v>0</v>
      </c>
      <c r="AX333" s="47">
        <f t="shared" si="38"/>
        <v>3300</v>
      </c>
      <c r="AY333" s="319">
        <f>SUMIF(Recibos!$D$4:$D$3010,Cobranza!$B333,Recibos!K$4:K$3010)</f>
        <v>300</v>
      </c>
      <c r="AZ333" s="319">
        <f>SUMIF(Recibos!$D$4:$D$3010,Cobranza!$B333,Recibos!L$4:L$3010)</f>
        <v>300</v>
      </c>
      <c r="BA333" s="319">
        <f>SUMIF(Recibos!$D$4:$D$3010,Cobranza!$B333,Recibos!M$4:M$3010)</f>
        <v>300</v>
      </c>
      <c r="BB333" s="319">
        <f>SUMIF(Recibos!$D$4:$D$3010,Cobranza!$B333,Recibos!N$4:N$3010)</f>
        <v>300</v>
      </c>
      <c r="BC333" s="319">
        <f>SUMIF(Recibos!$D$4:$D$3010,Cobranza!$B333,Recibos!O$4:O$3010)</f>
        <v>300</v>
      </c>
      <c r="BD333" s="319">
        <f>SUMIF(Recibos!$D$4:$D$3010,Cobranza!$B333,Recibos!P$4:P$3010)</f>
        <v>300</v>
      </c>
      <c r="BE333" s="319">
        <f>SUMIF(Recibos!$D$4:$D$3010,Cobranza!$B333,Recibos!Q$4:Q$3010)</f>
        <v>300</v>
      </c>
      <c r="BF333" s="319">
        <f>SUMIF(Recibos!$D$4:$D$3010,Cobranza!$B333,Recibos!R$4:R$3010)</f>
        <v>300</v>
      </c>
      <c r="BG333" s="319">
        <f>SUMIF(Recibos!$D$4:$D$3010,Cobranza!$B333,Recibos!S$4:S$3010)</f>
        <v>300</v>
      </c>
      <c r="BH333" s="319">
        <f>SUMIF(Recibos!$D$4:$D$3010,Cobranza!$B333,Recibos!T$4:T$3010)</f>
        <v>300</v>
      </c>
      <c r="BI333" s="319">
        <f>SUMIF(Recibos!$D$4:$D$3010,Cobranza!$B333,Recibos!U$4:U$3010)</f>
        <v>300</v>
      </c>
      <c r="BJ333" s="319">
        <f>SUMIF(Recibos!$D$4:$D$3010,Cobranza!$B333,Recibos!V$4:V$3010)</f>
        <v>0</v>
      </c>
      <c r="BK333" s="320">
        <f t="shared" si="33"/>
        <v>3300</v>
      </c>
      <c r="BL333" s="319">
        <f>SUMIF(Recibos!$D$4:$D$3010,Cobranza!$B333,Recibos!X$4:X$3010)</f>
        <v>0</v>
      </c>
      <c r="BM333" s="319">
        <f>SUMIF(Recibos!$D$4:$D$3010,Cobranza!$B333,Recibos!Y$4:Y$3010)</f>
        <v>0</v>
      </c>
      <c r="BN333" s="319">
        <f>SUMIF(Recibos!$D$4:$D$3010,Cobranza!$B333,Recibos!Z$4:Z$3010)</f>
        <v>0</v>
      </c>
      <c r="BO333" s="319">
        <f>SUMIF(Recibos!$D$4:$D$3010,Cobranza!$B333,Recibos!AA$4:AA$3010)</f>
        <v>0</v>
      </c>
      <c r="BP333" s="319">
        <f>SUMIF(Recibos!$D$4:$D$3010,Cobranza!$B333,Recibos!AB$4:AB$3010)</f>
        <v>0</v>
      </c>
      <c r="BQ333" s="319">
        <f>SUMIF(Recibos!$D$4:$D$3010,Cobranza!$B333,Recibos!AC$4:AC$3010)</f>
        <v>0</v>
      </c>
      <c r="BR333" s="319">
        <f>SUMIF(Recibos!$D$4:$D$3010,Cobranza!$B333,Recibos!AD$4:AD$3010)</f>
        <v>0</v>
      </c>
      <c r="BS333" s="319">
        <f>SUMIF(Recibos!$D$4:$D$3010,Cobranza!$B333,Recibos!AE$4:AE$3010)</f>
        <v>0</v>
      </c>
      <c r="BT333" s="319">
        <f>SUMIF(Recibos!$D$4:$D$3010,Cobranza!$B333,Recibos!AF$4:AF$3010)</f>
        <v>0</v>
      </c>
      <c r="BU333" s="319">
        <f>SUMIF(Recibos!$D$4:$D$3010,Cobranza!$B333,Recibos!AG$4:AG$3010)</f>
        <v>0</v>
      </c>
      <c r="BV333" s="319">
        <f>SUMIF(Recibos!$D$4:$D$3010,Cobranza!$B333,Recibos!AH$4:AH$3010)</f>
        <v>0</v>
      </c>
      <c r="BW333" s="319">
        <f>SUMIF(Recibos!$D$4:$D$3010,Cobranza!$B333,Recibos!AI$4:AI$3010)</f>
        <v>0</v>
      </c>
      <c r="BX333" s="320">
        <f t="shared" si="34"/>
        <v>0</v>
      </c>
    </row>
    <row r="334" spans="2:76" x14ac:dyDescent="0.2">
      <c r="B334" s="42" t="s">
        <v>304</v>
      </c>
      <c r="C334" s="42" t="s">
        <v>305</v>
      </c>
      <c r="D334" s="42" t="s">
        <v>306</v>
      </c>
      <c r="E334" s="43">
        <v>0</v>
      </c>
      <c r="F334" s="43">
        <v>0</v>
      </c>
      <c r="G334" s="43">
        <v>0</v>
      </c>
      <c r="H334" s="43">
        <v>0</v>
      </c>
      <c r="I334" s="43">
        <v>0</v>
      </c>
      <c r="J334" s="43">
        <v>0</v>
      </c>
      <c r="K334" s="44">
        <f t="shared" si="35"/>
        <v>0</v>
      </c>
      <c r="L334" s="43">
        <v>250</v>
      </c>
      <c r="M334" s="43">
        <v>250</v>
      </c>
      <c r="N334" s="43">
        <v>250</v>
      </c>
      <c r="O334" s="43">
        <v>250</v>
      </c>
      <c r="P334" s="43">
        <v>250</v>
      </c>
      <c r="Q334" s="43">
        <v>250</v>
      </c>
      <c r="R334" s="43">
        <v>250</v>
      </c>
      <c r="S334" s="43">
        <v>250</v>
      </c>
      <c r="T334" s="43">
        <v>250</v>
      </c>
      <c r="U334" s="43">
        <v>250</v>
      </c>
      <c r="V334" s="43">
        <v>250</v>
      </c>
      <c r="W334" s="43">
        <v>0</v>
      </c>
      <c r="X334" s="44">
        <f t="shared" si="36"/>
        <v>2750</v>
      </c>
      <c r="Y334" s="43">
        <v>250</v>
      </c>
      <c r="Z334" s="43">
        <v>250</v>
      </c>
      <c r="AA334" s="43">
        <v>250</v>
      </c>
      <c r="AB334" s="43">
        <v>250</v>
      </c>
      <c r="AC334" s="43">
        <v>250</v>
      </c>
      <c r="AD334" s="43">
        <v>250</v>
      </c>
      <c r="AE334" s="43">
        <v>250</v>
      </c>
      <c r="AF334" s="43">
        <v>250</v>
      </c>
      <c r="AG334" s="43">
        <v>250</v>
      </c>
      <c r="AH334" s="43">
        <v>250</v>
      </c>
      <c r="AI334" s="43">
        <v>250</v>
      </c>
      <c r="AJ334" s="43">
        <v>250</v>
      </c>
      <c r="AK334" s="44">
        <f t="shared" si="37"/>
        <v>3000</v>
      </c>
      <c r="AL334" s="43">
        <v>400</v>
      </c>
      <c r="AM334" s="43">
        <v>400</v>
      </c>
      <c r="AN334" s="43">
        <v>400</v>
      </c>
      <c r="AO334" s="43">
        <v>400</v>
      </c>
      <c r="AP334" s="43">
        <v>400</v>
      </c>
      <c r="AQ334" s="43">
        <v>400</v>
      </c>
      <c r="AR334" s="43">
        <v>400</v>
      </c>
      <c r="AS334" s="43">
        <v>400</v>
      </c>
      <c r="AT334" s="43">
        <v>400</v>
      </c>
      <c r="AU334" s="43">
        <v>400</v>
      </c>
      <c r="AV334" s="43">
        <v>400</v>
      </c>
      <c r="AW334" s="43">
        <v>0</v>
      </c>
      <c r="AX334" s="44">
        <f t="shared" si="38"/>
        <v>4400</v>
      </c>
      <c r="AY334" s="317">
        <f>SUMIF(Recibos!$D$4:$D$3010,Cobranza!$B334,Recibos!K$4:K$3010)</f>
        <v>400</v>
      </c>
      <c r="AZ334" s="317">
        <f>SUMIF(Recibos!$D$4:$D$3010,Cobranza!$B334,Recibos!L$4:L$3010)</f>
        <v>400</v>
      </c>
      <c r="BA334" s="317">
        <f>SUMIF(Recibos!$D$4:$D$3010,Cobranza!$B334,Recibos!M$4:M$3010)</f>
        <v>400</v>
      </c>
      <c r="BB334" s="317">
        <f>SUMIF(Recibos!$D$4:$D$3010,Cobranza!$B334,Recibos!N$4:N$3010)</f>
        <v>400</v>
      </c>
      <c r="BC334" s="317">
        <f>SUMIF(Recibos!$D$4:$D$3010,Cobranza!$B334,Recibos!O$4:O$3010)</f>
        <v>400</v>
      </c>
      <c r="BD334" s="317">
        <f>SUMIF(Recibos!$D$4:$D$3010,Cobranza!$B334,Recibos!P$4:P$3010)</f>
        <v>400</v>
      </c>
      <c r="BE334" s="317">
        <f>SUMIF(Recibos!$D$4:$D$3010,Cobranza!$B334,Recibos!Q$4:Q$3010)</f>
        <v>400</v>
      </c>
      <c r="BF334" s="317">
        <f>SUMIF(Recibos!$D$4:$D$3010,Cobranza!$B334,Recibos!R$4:R$3010)</f>
        <v>400</v>
      </c>
      <c r="BG334" s="317">
        <f>SUMIF(Recibos!$D$4:$D$3010,Cobranza!$B334,Recibos!S$4:S$3010)</f>
        <v>400</v>
      </c>
      <c r="BH334" s="317">
        <f>SUMIF(Recibos!$D$4:$D$3010,Cobranza!$B334,Recibos!T$4:T$3010)</f>
        <v>400</v>
      </c>
      <c r="BI334" s="317">
        <f>SUMIF(Recibos!$D$4:$D$3010,Cobranza!$B334,Recibos!U$4:U$3010)</f>
        <v>400</v>
      </c>
      <c r="BJ334" s="317">
        <f>SUMIF(Recibos!$D$4:$D$3010,Cobranza!$B334,Recibos!V$4:V$3010)</f>
        <v>0</v>
      </c>
      <c r="BK334" s="318">
        <f t="shared" si="33"/>
        <v>4400</v>
      </c>
      <c r="BL334" s="317">
        <f>SUMIF(Recibos!$D$4:$D$3010,Cobranza!$B334,Recibos!X$4:X$3010)</f>
        <v>0</v>
      </c>
      <c r="BM334" s="317">
        <f>SUMIF(Recibos!$D$4:$D$3010,Cobranza!$B334,Recibos!Y$4:Y$3010)</f>
        <v>0</v>
      </c>
      <c r="BN334" s="317">
        <f>SUMIF(Recibos!$D$4:$D$3010,Cobranza!$B334,Recibos!Z$4:Z$3010)</f>
        <v>0</v>
      </c>
      <c r="BO334" s="317">
        <f>SUMIF(Recibos!$D$4:$D$3010,Cobranza!$B334,Recibos!AA$4:AA$3010)</f>
        <v>0</v>
      </c>
      <c r="BP334" s="317">
        <f>SUMIF(Recibos!$D$4:$D$3010,Cobranza!$B334,Recibos!AB$4:AB$3010)</f>
        <v>0</v>
      </c>
      <c r="BQ334" s="317">
        <f>SUMIF(Recibos!$D$4:$D$3010,Cobranza!$B334,Recibos!AC$4:AC$3010)</f>
        <v>0</v>
      </c>
      <c r="BR334" s="317">
        <f>SUMIF(Recibos!$D$4:$D$3010,Cobranza!$B334,Recibos!AD$4:AD$3010)</f>
        <v>0</v>
      </c>
      <c r="BS334" s="317">
        <f>SUMIF(Recibos!$D$4:$D$3010,Cobranza!$B334,Recibos!AE$4:AE$3010)</f>
        <v>0</v>
      </c>
      <c r="BT334" s="317">
        <f>SUMIF(Recibos!$D$4:$D$3010,Cobranza!$B334,Recibos!AF$4:AF$3010)</f>
        <v>0</v>
      </c>
      <c r="BU334" s="317">
        <f>SUMIF(Recibos!$D$4:$D$3010,Cobranza!$B334,Recibos!AG$4:AG$3010)</f>
        <v>0</v>
      </c>
      <c r="BV334" s="317">
        <f>SUMIF(Recibos!$D$4:$D$3010,Cobranza!$B334,Recibos!AH$4:AH$3010)</f>
        <v>0</v>
      </c>
      <c r="BW334" s="317">
        <f>SUMIF(Recibos!$D$4:$D$3010,Cobranza!$B334,Recibos!AI$4:AI$3010)</f>
        <v>0</v>
      </c>
      <c r="BX334" s="318">
        <f t="shared" si="34"/>
        <v>0</v>
      </c>
    </row>
    <row r="335" spans="2:76" x14ac:dyDescent="0.2">
      <c r="B335" s="45" t="s">
        <v>1407</v>
      </c>
      <c r="C335" s="45" t="s">
        <v>1408</v>
      </c>
      <c r="D335" s="45" t="s">
        <v>1409</v>
      </c>
      <c r="E335" s="46">
        <v>0</v>
      </c>
      <c r="F335" s="46">
        <v>0</v>
      </c>
      <c r="G335" s="46">
        <v>0</v>
      </c>
      <c r="H335" s="46">
        <v>0</v>
      </c>
      <c r="I335" s="46">
        <v>0</v>
      </c>
      <c r="J335" s="46">
        <v>0</v>
      </c>
      <c r="K335" s="47">
        <f t="shared" si="35"/>
        <v>0</v>
      </c>
      <c r="L335" s="46">
        <v>0</v>
      </c>
      <c r="M335" s="46">
        <v>0</v>
      </c>
      <c r="N335" s="46">
        <v>0</v>
      </c>
      <c r="O335" s="46">
        <v>0</v>
      </c>
      <c r="P335" s="46">
        <v>0</v>
      </c>
      <c r="Q335" s="46">
        <v>0</v>
      </c>
      <c r="R335" s="46">
        <v>0</v>
      </c>
      <c r="S335" s="46">
        <v>0</v>
      </c>
      <c r="T335" s="46">
        <v>0</v>
      </c>
      <c r="U335" s="46">
        <v>0</v>
      </c>
      <c r="V335" s="46">
        <v>0</v>
      </c>
      <c r="W335" s="46">
        <v>0</v>
      </c>
      <c r="X335" s="47">
        <f t="shared" si="36"/>
        <v>0</v>
      </c>
      <c r="Y335" s="46">
        <v>0</v>
      </c>
      <c r="Z335" s="46">
        <v>0</v>
      </c>
      <c r="AA335" s="46">
        <v>0</v>
      </c>
      <c r="AB335" s="46">
        <v>0</v>
      </c>
      <c r="AC335" s="46">
        <v>0</v>
      </c>
      <c r="AD335" s="46">
        <v>0</v>
      </c>
      <c r="AE335" s="46">
        <v>0</v>
      </c>
      <c r="AF335" s="46">
        <v>0</v>
      </c>
      <c r="AG335" s="46">
        <v>0</v>
      </c>
      <c r="AH335" s="46">
        <v>0</v>
      </c>
      <c r="AI335" s="46">
        <v>0</v>
      </c>
      <c r="AJ335" s="46">
        <v>0</v>
      </c>
      <c r="AK335" s="47">
        <f t="shared" si="37"/>
        <v>0</v>
      </c>
      <c r="AL335" s="46">
        <v>0</v>
      </c>
      <c r="AM335" s="46">
        <v>0</v>
      </c>
      <c r="AN335" s="46">
        <v>0</v>
      </c>
      <c r="AO335" s="46">
        <v>0</v>
      </c>
      <c r="AP335" s="46">
        <v>0</v>
      </c>
      <c r="AQ335" s="46">
        <v>0</v>
      </c>
      <c r="AR335" s="46">
        <v>0</v>
      </c>
      <c r="AS335" s="46">
        <v>0</v>
      </c>
      <c r="AT335" s="46">
        <v>0</v>
      </c>
      <c r="AU335" s="46">
        <v>0</v>
      </c>
      <c r="AV335" s="46">
        <v>0</v>
      </c>
      <c r="AW335" s="46">
        <v>0</v>
      </c>
      <c r="AX335" s="47">
        <f t="shared" si="38"/>
        <v>0</v>
      </c>
      <c r="AY335" s="319">
        <f>SUMIF(Recibos!$D$4:$D$3010,Cobranza!$B335,Recibos!K$4:K$3010)</f>
        <v>0</v>
      </c>
      <c r="AZ335" s="319">
        <f>SUMIF(Recibos!$D$4:$D$3010,Cobranza!$B335,Recibos!L$4:L$3010)</f>
        <v>0</v>
      </c>
      <c r="BA335" s="319">
        <f>SUMIF(Recibos!$D$4:$D$3010,Cobranza!$B335,Recibos!M$4:M$3010)</f>
        <v>0</v>
      </c>
      <c r="BB335" s="319">
        <f>SUMIF(Recibos!$D$4:$D$3010,Cobranza!$B335,Recibos!N$4:N$3010)</f>
        <v>0</v>
      </c>
      <c r="BC335" s="319">
        <f>SUMIF(Recibos!$D$4:$D$3010,Cobranza!$B335,Recibos!O$4:O$3010)</f>
        <v>0</v>
      </c>
      <c r="BD335" s="319">
        <f>SUMIF(Recibos!$D$4:$D$3010,Cobranza!$B335,Recibos!P$4:P$3010)</f>
        <v>0</v>
      </c>
      <c r="BE335" s="319">
        <f>SUMIF(Recibos!$D$4:$D$3010,Cobranza!$B335,Recibos!Q$4:Q$3010)</f>
        <v>0</v>
      </c>
      <c r="BF335" s="319">
        <f>SUMIF(Recibos!$D$4:$D$3010,Cobranza!$B335,Recibos!R$4:R$3010)</f>
        <v>0</v>
      </c>
      <c r="BG335" s="319">
        <f>SUMIF(Recibos!$D$4:$D$3010,Cobranza!$B335,Recibos!S$4:S$3010)</f>
        <v>0</v>
      </c>
      <c r="BH335" s="319">
        <f>SUMIF(Recibos!$D$4:$D$3010,Cobranza!$B335,Recibos!T$4:T$3010)</f>
        <v>0</v>
      </c>
      <c r="BI335" s="319">
        <f>SUMIF(Recibos!$D$4:$D$3010,Cobranza!$B335,Recibos!U$4:U$3010)</f>
        <v>0</v>
      </c>
      <c r="BJ335" s="319">
        <f>SUMIF(Recibos!$D$4:$D$3010,Cobranza!$B335,Recibos!V$4:V$3010)</f>
        <v>0</v>
      </c>
      <c r="BK335" s="320">
        <f t="shared" si="33"/>
        <v>0</v>
      </c>
      <c r="BL335" s="319">
        <f>SUMIF(Recibos!$D$4:$D$3010,Cobranza!$B335,Recibos!X$4:X$3010)</f>
        <v>0</v>
      </c>
      <c r="BM335" s="319">
        <f>SUMIF(Recibos!$D$4:$D$3010,Cobranza!$B335,Recibos!Y$4:Y$3010)</f>
        <v>0</v>
      </c>
      <c r="BN335" s="319">
        <f>SUMIF(Recibos!$D$4:$D$3010,Cobranza!$B335,Recibos!Z$4:Z$3010)</f>
        <v>0</v>
      </c>
      <c r="BO335" s="319">
        <f>SUMIF(Recibos!$D$4:$D$3010,Cobranza!$B335,Recibos!AA$4:AA$3010)</f>
        <v>0</v>
      </c>
      <c r="BP335" s="319">
        <f>SUMIF(Recibos!$D$4:$D$3010,Cobranza!$B335,Recibos!AB$4:AB$3010)</f>
        <v>0</v>
      </c>
      <c r="BQ335" s="319">
        <f>SUMIF(Recibos!$D$4:$D$3010,Cobranza!$B335,Recibos!AC$4:AC$3010)</f>
        <v>0</v>
      </c>
      <c r="BR335" s="319">
        <f>SUMIF(Recibos!$D$4:$D$3010,Cobranza!$B335,Recibos!AD$4:AD$3010)</f>
        <v>0</v>
      </c>
      <c r="BS335" s="319">
        <f>SUMIF(Recibos!$D$4:$D$3010,Cobranza!$B335,Recibos!AE$4:AE$3010)</f>
        <v>0</v>
      </c>
      <c r="BT335" s="319">
        <f>SUMIF(Recibos!$D$4:$D$3010,Cobranza!$B335,Recibos!AF$4:AF$3010)</f>
        <v>0</v>
      </c>
      <c r="BU335" s="319">
        <f>SUMIF(Recibos!$D$4:$D$3010,Cobranza!$B335,Recibos!AG$4:AG$3010)</f>
        <v>0</v>
      </c>
      <c r="BV335" s="319">
        <f>SUMIF(Recibos!$D$4:$D$3010,Cobranza!$B335,Recibos!AH$4:AH$3010)</f>
        <v>0</v>
      </c>
      <c r="BW335" s="319">
        <f>SUMIF(Recibos!$D$4:$D$3010,Cobranza!$B335,Recibos!AI$4:AI$3010)</f>
        <v>0</v>
      </c>
      <c r="BX335" s="320">
        <f t="shared" si="34"/>
        <v>0</v>
      </c>
    </row>
    <row r="336" spans="2:76" x14ac:dyDescent="0.2">
      <c r="B336" s="42" t="s">
        <v>1089</v>
      </c>
      <c r="C336" s="42" t="s">
        <v>1090</v>
      </c>
      <c r="D336" s="42" t="s">
        <v>1091</v>
      </c>
      <c r="E336" s="43">
        <v>0</v>
      </c>
      <c r="F336" s="43">
        <v>0</v>
      </c>
      <c r="G336" s="43">
        <v>0</v>
      </c>
      <c r="H336" s="43">
        <v>0</v>
      </c>
      <c r="I336" s="43">
        <v>0</v>
      </c>
      <c r="J336" s="43">
        <v>300</v>
      </c>
      <c r="K336" s="44">
        <f t="shared" si="35"/>
        <v>300</v>
      </c>
      <c r="L336" s="43">
        <v>300</v>
      </c>
      <c r="M336" s="43">
        <v>300</v>
      </c>
      <c r="N336" s="43">
        <v>300</v>
      </c>
      <c r="O336" s="43">
        <v>100</v>
      </c>
      <c r="P336" s="43">
        <v>100</v>
      </c>
      <c r="Q336" s="43">
        <v>100</v>
      </c>
      <c r="R336" s="43">
        <v>100</v>
      </c>
      <c r="S336" s="43">
        <v>100</v>
      </c>
      <c r="T336" s="43">
        <v>200</v>
      </c>
      <c r="U336" s="43">
        <v>400</v>
      </c>
      <c r="V336" s="43">
        <v>0</v>
      </c>
      <c r="W336" s="43">
        <v>0</v>
      </c>
      <c r="X336" s="44">
        <f t="shared" si="36"/>
        <v>2000</v>
      </c>
      <c r="Y336" s="43">
        <v>0</v>
      </c>
      <c r="Z336" s="43">
        <v>0</v>
      </c>
      <c r="AA336" s="43">
        <v>0</v>
      </c>
      <c r="AB336" s="43">
        <v>0</v>
      </c>
      <c r="AC336" s="43">
        <v>0</v>
      </c>
      <c r="AD336" s="43">
        <v>0</v>
      </c>
      <c r="AE336" s="43">
        <v>0</v>
      </c>
      <c r="AF336" s="43">
        <v>0</v>
      </c>
      <c r="AG336" s="43">
        <v>0</v>
      </c>
      <c r="AH336" s="43">
        <v>0</v>
      </c>
      <c r="AI336" s="43">
        <v>0</v>
      </c>
      <c r="AJ336" s="43">
        <v>0</v>
      </c>
      <c r="AK336" s="44">
        <f t="shared" si="37"/>
        <v>0</v>
      </c>
      <c r="AL336" s="43">
        <v>0</v>
      </c>
      <c r="AM336" s="43">
        <v>0</v>
      </c>
      <c r="AN336" s="43">
        <v>0</v>
      </c>
      <c r="AO336" s="43">
        <v>0</v>
      </c>
      <c r="AP336" s="43">
        <v>0</v>
      </c>
      <c r="AQ336" s="43">
        <v>0</v>
      </c>
      <c r="AR336" s="43">
        <v>0</v>
      </c>
      <c r="AS336" s="43">
        <v>0</v>
      </c>
      <c r="AT336" s="43">
        <v>0</v>
      </c>
      <c r="AU336" s="43">
        <v>0</v>
      </c>
      <c r="AV336" s="43">
        <v>0</v>
      </c>
      <c r="AW336" s="43">
        <v>0</v>
      </c>
      <c r="AX336" s="44">
        <f t="shared" si="38"/>
        <v>0</v>
      </c>
      <c r="AY336" s="317">
        <f>SUMIF(Recibos!$D$4:$D$3010,Cobranza!$B336,Recibos!K$4:K$3010)</f>
        <v>0</v>
      </c>
      <c r="AZ336" s="317">
        <f>SUMIF(Recibos!$D$4:$D$3010,Cobranza!$B336,Recibos!L$4:L$3010)</f>
        <v>0</v>
      </c>
      <c r="BA336" s="317">
        <f>SUMIF(Recibos!$D$4:$D$3010,Cobranza!$B336,Recibos!M$4:M$3010)</f>
        <v>0</v>
      </c>
      <c r="BB336" s="317">
        <f>SUMIF(Recibos!$D$4:$D$3010,Cobranza!$B336,Recibos!N$4:N$3010)</f>
        <v>0</v>
      </c>
      <c r="BC336" s="317">
        <f>SUMIF(Recibos!$D$4:$D$3010,Cobranza!$B336,Recibos!O$4:O$3010)</f>
        <v>0</v>
      </c>
      <c r="BD336" s="317">
        <f>SUMIF(Recibos!$D$4:$D$3010,Cobranza!$B336,Recibos!P$4:P$3010)</f>
        <v>0</v>
      </c>
      <c r="BE336" s="317">
        <f>SUMIF(Recibos!$D$4:$D$3010,Cobranza!$B336,Recibos!Q$4:Q$3010)</f>
        <v>250</v>
      </c>
      <c r="BF336" s="317">
        <f>SUMIF(Recibos!$D$4:$D$3010,Cobranza!$B336,Recibos!R$4:R$3010)</f>
        <v>250</v>
      </c>
      <c r="BG336" s="317">
        <f>SUMIF(Recibos!$D$4:$D$3010,Cobranza!$B336,Recibos!S$4:S$3010)</f>
        <v>250</v>
      </c>
      <c r="BH336" s="317">
        <f>SUMIF(Recibos!$D$4:$D$3010,Cobranza!$B336,Recibos!T$4:T$3010)</f>
        <v>0</v>
      </c>
      <c r="BI336" s="317">
        <f>SUMIF(Recibos!$D$4:$D$3010,Cobranza!$B336,Recibos!U$4:U$3010)</f>
        <v>0</v>
      </c>
      <c r="BJ336" s="317">
        <f>SUMIF(Recibos!$D$4:$D$3010,Cobranza!$B336,Recibos!V$4:V$3010)</f>
        <v>0</v>
      </c>
      <c r="BK336" s="318">
        <f t="shared" si="33"/>
        <v>750</v>
      </c>
      <c r="BL336" s="317">
        <f>SUMIF(Recibos!$D$4:$D$3010,Cobranza!$B336,Recibos!X$4:X$3010)</f>
        <v>0</v>
      </c>
      <c r="BM336" s="317">
        <f>SUMIF(Recibos!$D$4:$D$3010,Cobranza!$B336,Recibos!Y$4:Y$3010)</f>
        <v>0</v>
      </c>
      <c r="BN336" s="317">
        <f>SUMIF(Recibos!$D$4:$D$3010,Cobranza!$B336,Recibos!Z$4:Z$3010)</f>
        <v>0</v>
      </c>
      <c r="BO336" s="317">
        <f>SUMIF(Recibos!$D$4:$D$3010,Cobranza!$B336,Recibos!AA$4:AA$3010)</f>
        <v>0</v>
      </c>
      <c r="BP336" s="317">
        <f>SUMIF(Recibos!$D$4:$D$3010,Cobranza!$B336,Recibos!AB$4:AB$3010)</f>
        <v>0</v>
      </c>
      <c r="BQ336" s="317">
        <f>SUMIF(Recibos!$D$4:$D$3010,Cobranza!$B336,Recibos!AC$4:AC$3010)</f>
        <v>0</v>
      </c>
      <c r="BR336" s="317">
        <f>SUMIF(Recibos!$D$4:$D$3010,Cobranza!$B336,Recibos!AD$4:AD$3010)</f>
        <v>0</v>
      </c>
      <c r="BS336" s="317">
        <f>SUMIF(Recibos!$D$4:$D$3010,Cobranza!$B336,Recibos!AE$4:AE$3010)</f>
        <v>0</v>
      </c>
      <c r="BT336" s="317">
        <f>SUMIF(Recibos!$D$4:$D$3010,Cobranza!$B336,Recibos!AF$4:AF$3010)</f>
        <v>0</v>
      </c>
      <c r="BU336" s="317">
        <f>SUMIF(Recibos!$D$4:$D$3010,Cobranza!$B336,Recibos!AG$4:AG$3010)</f>
        <v>0</v>
      </c>
      <c r="BV336" s="317">
        <f>SUMIF(Recibos!$D$4:$D$3010,Cobranza!$B336,Recibos!AH$4:AH$3010)</f>
        <v>0</v>
      </c>
      <c r="BW336" s="317">
        <f>SUMIF(Recibos!$D$4:$D$3010,Cobranza!$B336,Recibos!AI$4:AI$3010)</f>
        <v>0</v>
      </c>
      <c r="BX336" s="318">
        <f t="shared" si="34"/>
        <v>0</v>
      </c>
    </row>
    <row r="337" spans="2:76" x14ac:dyDescent="0.2">
      <c r="B337" s="45" t="s">
        <v>1097</v>
      </c>
      <c r="C337" s="45" t="s">
        <v>1098</v>
      </c>
      <c r="D337" s="45" t="s">
        <v>1099</v>
      </c>
      <c r="E337" s="46">
        <v>0</v>
      </c>
      <c r="F337" s="46">
        <v>0</v>
      </c>
      <c r="G337" s="46">
        <v>0</v>
      </c>
      <c r="H337" s="46">
        <v>0</v>
      </c>
      <c r="I337" s="46">
        <v>0</v>
      </c>
      <c r="J337" s="46">
        <v>0</v>
      </c>
      <c r="K337" s="47">
        <f t="shared" si="35"/>
        <v>0</v>
      </c>
      <c r="L337" s="46">
        <v>0</v>
      </c>
      <c r="M337" s="46">
        <v>0</v>
      </c>
      <c r="N337" s="46">
        <v>0</v>
      </c>
      <c r="O337" s="46">
        <v>0</v>
      </c>
      <c r="P337" s="46">
        <v>0</v>
      </c>
      <c r="Q337" s="46">
        <v>0</v>
      </c>
      <c r="R337" s="46">
        <v>0</v>
      </c>
      <c r="S337" s="46">
        <v>0</v>
      </c>
      <c r="T337" s="46">
        <v>0</v>
      </c>
      <c r="U337" s="46">
        <v>0</v>
      </c>
      <c r="V337" s="46">
        <v>0</v>
      </c>
      <c r="W337" s="46">
        <v>0</v>
      </c>
      <c r="X337" s="47">
        <f t="shared" si="36"/>
        <v>0</v>
      </c>
      <c r="Y337" s="46">
        <v>0</v>
      </c>
      <c r="Z337" s="46">
        <v>0</v>
      </c>
      <c r="AA337" s="46">
        <v>0</v>
      </c>
      <c r="AB337" s="46">
        <v>0</v>
      </c>
      <c r="AC337" s="46">
        <v>0</v>
      </c>
      <c r="AD337" s="46">
        <v>0</v>
      </c>
      <c r="AE337" s="46">
        <v>0</v>
      </c>
      <c r="AF337" s="46">
        <v>0</v>
      </c>
      <c r="AG337" s="46">
        <v>0</v>
      </c>
      <c r="AH337" s="46">
        <v>0</v>
      </c>
      <c r="AI337" s="46">
        <v>0</v>
      </c>
      <c r="AJ337" s="46">
        <v>0</v>
      </c>
      <c r="AK337" s="47">
        <f t="shared" si="37"/>
        <v>0</v>
      </c>
      <c r="AL337" s="46">
        <v>0</v>
      </c>
      <c r="AM337" s="46">
        <v>0</v>
      </c>
      <c r="AN337" s="46">
        <v>0</v>
      </c>
      <c r="AO337" s="46">
        <v>0</v>
      </c>
      <c r="AP337" s="46">
        <v>0</v>
      </c>
      <c r="AQ337" s="46">
        <v>0</v>
      </c>
      <c r="AR337" s="46">
        <v>0</v>
      </c>
      <c r="AS337" s="46">
        <v>0</v>
      </c>
      <c r="AT337" s="46">
        <v>0</v>
      </c>
      <c r="AU337" s="46">
        <v>0</v>
      </c>
      <c r="AV337" s="46">
        <v>0</v>
      </c>
      <c r="AW337" s="46">
        <v>0</v>
      </c>
      <c r="AX337" s="47">
        <f t="shared" si="38"/>
        <v>0</v>
      </c>
      <c r="AY337" s="319">
        <f>SUMIF(Recibos!$D$4:$D$3010,Cobranza!$B337,Recibos!K$4:K$3010)</f>
        <v>0</v>
      </c>
      <c r="AZ337" s="319">
        <f>SUMIF(Recibos!$D$4:$D$3010,Cobranza!$B337,Recibos!L$4:L$3010)</f>
        <v>0</v>
      </c>
      <c r="BA337" s="319">
        <f>SUMIF(Recibos!$D$4:$D$3010,Cobranza!$B337,Recibos!M$4:M$3010)</f>
        <v>0</v>
      </c>
      <c r="BB337" s="319">
        <f>SUMIF(Recibos!$D$4:$D$3010,Cobranza!$B337,Recibos!N$4:N$3010)</f>
        <v>0</v>
      </c>
      <c r="BC337" s="319">
        <f>SUMIF(Recibos!$D$4:$D$3010,Cobranza!$B337,Recibos!O$4:O$3010)</f>
        <v>0</v>
      </c>
      <c r="BD337" s="319">
        <f>SUMIF(Recibos!$D$4:$D$3010,Cobranza!$B337,Recibos!P$4:P$3010)</f>
        <v>0</v>
      </c>
      <c r="BE337" s="319">
        <f>SUMIF(Recibos!$D$4:$D$3010,Cobranza!$B337,Recibos!Q$4:Q$3010)</f>
        <v>0</v>
      </c>
      <c r="BF337" s="319">
        <f>SUMIF(Recibos!$D$4:$D$3010,Cobranza!$B337,Recibos!R$4:R$3010)</f>
        <v>200</v>
      </c>
      <c r="BG337" s="319">
        <f>SUMIF(Recibos!$D$4:$D$3010,Cobranza!$B337,Recibos!S$4:S$3010)</f>
        <v>0</v>
      </c>
      <c r="BH337" s="319">
        <f>SUMIF(Recibos!$D$4:$D$3010,Cobranza!$B337,Recibos!T$4:T$3010)</f>
        <v>0</v>
      </c>
      <c r="BI337" s="319">
        <f>SUMIF(Recibos!$D$4:$D$3010,Cobranza!$B337,Recibos!U$4:U$3010)</f>
        <v>0</v>
      </c>
      <c r="BJ337" s="319">
        <f>SUMIF(Recibos!$D$4:$D$3010,Cobranza!$B337,Recibos!V$4:V$3010)</f>
        <v>0</v>
      </c>
      <c r="BK337" s="320">
        <f t="shared" si="33"/>
        <v>200</v>
      </c>
      <c r="BL337" s="319">
        <f>SUMIF(Recibos!$D$4:$D$3010,Cobranza!$B337,Recibos!X$4:X$3010)</f>
        <v>0</v>
      </c>
      <c r="BM337" s="319">
        <f>SUMIF(Recibos!$D$4:$D$3010,Cobranza!$B337,Recibos!Y$4:Y$3010)</f>
        <v>0</v>
      </c>
      <c r="BN337" s="319">
        <f>SUMIF(Recibos!$D$4:$D$3010,Cobranza!$B337,Recibos!Z$4:Z$3010)</f>
        <v>0</v>
      </c>
      <c r="BO337" s="319">
        <f>SUMIF(Recibos!$D$4:$D$3010,Cobranza!$B337,Recibos!AA$4:AA$3010)</f>
        <v>0</v>
      </c>
      <c r="BP337" s="319">
        <f>SUMIF(Recibos!$D$4:$D$3010,Cobranza!$B337,Recibos!AB$4:AB$3010)</f>
        <v>0</v>
      </c>
      <c r="BQ337" s="319">
        <f>SUMIF(Recibos!$D$4:$D$3010,Cobranza!$B337,Recibos!AC$4:AC$3010)</f>
        <v>0</v>
      </c>
      <c r="BR337" s="319">
        <f>SUMIF(Recibos!$D$4:$D$3010,Cobranza!$B337,Recibos!AD$4:AD$3010)</f>
        <v>0</v>
      </c>
      <c r="BS337" s="319">
        <f>SUMIF(Recibos!$D$4:$D$3010,Cobranza!$B337,Recibos!AE$4:AE$3010)</f>
        <v>0</v>
      </c>
      <c r="BT337" s="319">
        <f>SUMIF(Recibos!$D$4:$D$3010,Cobranza!$B337,Recibos!AF$4:AF$3010)</f>
        <v>0</v>
      </c>
      <c r="BU337" s="319">
        <f>SUMIF(Recibos!$D$4:$D$3010,Cobranza!$B337,Recibos!AG$4:AG$3010)</f>
        <v>0</v>
      </c>
      <c r="BV337" s="319">
        <f>SUMIF(Recibos!$D$4:$D$3010,Cobranza!$B337,Recibos!AH$4:AH$3010)</f>
        <v>0</v>
      </c>
      <c r="BW337" s="319">
        <f>SUMIF(Recibos!$D$4:$D$3010,Cobranza!$B337,Recibos!AI$4:AI$3010)</f>
        <v>0</v>
      </c>
      <c r="BX337" s="320">
        <f t="shared" si="34"/>
        <v>0</v>
      </c>
    </row>
    <row r="338" spans="2:76" x14ac:dyDescent="0.2">
      <c r="B338" s="42" t="s">
        <v>868</v>
      </c>
      <c r="C338" s="42" t="s">
        <v>869</v>
      </c>
      <c r="D338" s="42" t="s">
        <v>870</v>
      </c>
      <c r="E338" s="43">
        <v>0</v>
      </c>
      <c r="F338" s="43">
        <v>0</v>
      </c>
      <c r="G338" s="43">
        <v>0</v>
      </c>
      <c r="H338" s="43">
        <v>0</v>
      </c>
      <c r="I338" s="43">
        <v>0</v>
      </c>
      <c r="J338" s="43">
        <v>0</v>
      </c>
      <c r="K338" s="44">
        <f t="shared" si="35"/>
        <v>0</v>
      </c>
      <c r="L338" s="43">
        <v>300</v>
      </c>
      <c r="M338" s="43">
        <v>300</v>
      </c>
      <c r="N338" s="43">
        <v>300</v>
      </c>
      <c r="O338" s="43">
        <v>300</v>
      </c>
      <c r="P338" s="43">
        <v>300</v>
      </c>
      <c r="Q338" s="43">
        <v>300</v>
      </c>
      <c r="R338" s="43">
        <v>300</v>
      </c>
      <c r="S338" s="43">
        <v>300</v>
      </c>
      <c r="T338" s="43">
        <v>300</v>
      </c>
      <c r="U338" s="43">
        <v>300</v>
      </c>
      <c r="V338" s="43">
        <v>300</v>
      </c>
      <c r="W338" s="43">
        <v>0</v>
      </c>
      <c r="X338" s="44">
        <f t="shared" si="36"/>
        <v>3300</v>
      </c>
      <c r="Y338" s="43">
        <v>400</v>
      </c>
      <c r="Z338" s="43">
        <v>400</v>
      </c>
      <c r="AA338" s="43">
        <v>400</v>
      </c>
      <c r="AB338" s="43">
        <v>400</v>
      </c>
      <c r="AC338" s="43">
        <v>400</v>
      </c>
      <c r="AD338" s="43">
        <v>400</v>
      </c>
      <c r="AE338" s="43">
        <v>400</v>
      </c>
      <c r="AF338" s="43">
        <v>400</v>
      </c>
      <c r="AG338" s="43">
        <v>400</v>
      </c>
      <c r="AH338" s="43">
        <v>400</v>
      </c>
      <c r="AI338" s="43">
        <v>400</v>
      </c>
      <c r="AJ338" s="43">
        <v>400</v>
      </c>
      <c r="AK338" s="44">
        <f t="shared" si="37"/>
        <v>4800</v>
      </c>
      <c r="AL338" s="43">
        <v>400</v>
      </c>
      <c r="AM338" s="43">
        <v>400</v>
      </c>
      <c r="AN338" s="43">
        <v>400</v>
      </c>
      <c r="AO338" s="43">
        <v>400</v>
      </c>
      <c r="AP338" s="43">
        <v>400</v>
      </c>
      <c r="AQ338" s="43">
        <v>400</v>
      </c>
      <c r="AR338" s="43">
        <v>400</v>
      </c>
      <c r="AS338" s="43">
        <v>400</v>
      </c>
      <c r="AT338" s="43">
        <v>400</v>
      </c>
      <c r="AU338" s="43">
        <v>400</v>
      </c>
      <c r="AV338" s="43">
        <v>400</v>
      </c>
      <c r="AW338" s="43">
        <v>400</v>
      </c>
      <c r="AX338" s="44">
        <f t="shared" si="38"/>
        <v>4800</v>
      </c>
      <c r="AY338" s="317">
        <f>SUMIF(Recibos!$D$4:$D$3010,Cobranza!$B338,Recibos!K$4:K$3010)</f>
        <v>400</v>
      </c>
      <c r="AZ338" s="317">
        <f>SUMIF(Recibos!$D$4:$D$3010,Cobranza!$B338,Recibos!L$4:L$3010)</f>
        <v>400</v>
      </c>
      <c r="BA338" s="317">
        <f>SUMIF(Recibos!$D$4:$D$3010,Cobranza!$B338,Recibos!M$4:M$3010)</f>
        <v>400</v>
      </c>
      <c r="BB338" s="317">
        <f>SUMIF(Recibos!$D$4:$D$3010,Cobranza!$B338,Recibos!N$4:N$3010)</f>
        <v>400</v>
      </c>
      <c r="BC338" s="317">
        <f>SUMIF(Recibos!$D$4:$D$3010,Cobranza!$B338,Recibos!O$4:O$3010)</f>
        <v>400</v>
      </c>
      <c r="BD338" s="317">
        <f>SUMIF(Recibos!$D$4:$D$3010,Cobranza!$B338,Recibos!P$4:P$3010)</f>
        <v>400</v>
      </c>
      <c r="BE338" s="317">
        <f>SUMIF(Recibos!$D$4:$D$3010,Cobranza!$B338,Recibos!Q$4:Q$3010)</f>
        <v>0</v>
      </c>
      <c r="BF338" s="317">
        <f>SUMIF(Recibos!$D$4:$D$3010,Cobranza!$B338,Recibos!R$4:R$3010)</f>
        <v>0</v>
      </c>
      <c r="BG338" s="317">
        <f>SUMIF(Recibos!$D$4:$D$3010,Cobranza!$B338,Recibos!S$4:S$3010)</f>
        <v>0</v>
      </c>
      <c r="BH338" s="317">
        <f>SUMIF(Recibos!$D$4:$D$3010,Cobranza!$B338,Recibos!T$4:T$3010)</f>
        <v>0</v>
      </c>
      <c r="BI338" s="317">
        <f>SUMIF(Recibos!$D$4:$D$3010,Cobranza!$B338,Recibos!U$4:U$3010)</f>
        <v>0</v>
      </c>
      <c r="BJ338" s="317">
        <f>SUMIF(Recibos!$D$4:$D$3010,Cobranza!$B338,Recibos!V$4:V$3010)</f>
        <v>0</v>
      </c>
      <c r="BK338" s="318">
        <f t="shared" ref="BK338:BK401" si="39">SUM(AY338:BJ338)</f>
        <v>2400</v>
      </c>
      <c r="BL338" s="317">
        <f>SUMIF(Recibos!$D$4:$D$3010,Cobranza!$B338,Recibos!X$4:X$3010)</f>
        <v>0</v>
      </c>
      <c r="BM338" s="317">
        <f>SUMIF(Recibos!$D$4:$D$3010,Cobranza!$B338,Recibos!Y$4:Y$3010)</f>
        <v>0</v>
      </c>
      <c r="BN338" s="317">
        <f>SUMIF(Recibos!$D$4:$D$3010,Cobranza!$B338,Recibos!Z$4:Z$3010)</f>
        <v>0</v>
      </c>
      <c r="BO338" s="317">
        <f>SUMIF(Recibos!$D$4:$D$3010,Cobranza!$B338,Recibos!AA$4:AA$3010)</f>
        <v>0</v>
      </c>
      <c r="BP338" s="317">
        <f>SUMIF(Recibos!$D$4:$D$3010,Cobranza!$B338,Recibos!AB$4:AB$3010)</f>
        <v>0</v>
      </c>
      <c r="BQ338" s="317">
        <f>SUMIF(Recibos!$D$4:$D$3010,Cobranza!$B338,Recibos!AC$4:AC$3010)</f>
        <v>0</v>
      </c>
      <c r="BR338" s="317">
        <f>SUMIF(Recibos!$D$4:$D$3010,Cobranza!$B338,Recibos!AD$4:AD$3010)</f>
        <v>0</v>
      </c>
      <c r="BS338" s="317">
        <f>SUMIF(Recibos!$D$4:$D$3010,Cobranza!$B338,Recibos!AE$4:AE$3010)</f>
        <v>0</v>
      </c>
      <c r="BT338" s="317">
        <f>SUMIF(Recibos!$D$4:$D$3010,Cobranza!$B338,Recibos!AF$4:AF$3010)</f>
        <v>0</v>
      </c>
      <c r="BU338" s="317">
        <f>SUMIF(Recibos!$D$4:$D$3010,Cobranza!$B338,Recibos!AG$4:AG$3010)</f>
        <v>0</v>
      </c>
      <c r="BV338" s="317">
        <f>SUMIF(Recibos!$D$4:$D$3010,Cobranza!$B338,Recibos!AH$4:AH$3010)</f>
        <v>0</v>
      </c>
      <c r="BW338" s="317">
        <f>SUMIF(Recibos!$D$4:$D$3010,Cobranza!$B338,Recibos!AI$4:AI$3010)</f>
        <v>0</v>
      </c>
      <c r="BX338" s="318">
        <f t="shared" ref="BX338:BX401" si="40">SUM(BL338:BW338)</f>
        <v>0</v>
      </c>
    </row>
    <row r="339" spans="2:76" x14ac:dyDescent="0.2">
      <c r="B339" s="45" t="s">
        <v>800</v>
      </c>
      <c r="C339" s="45" t="s">
        <v>801</v>
      </c>
      <c r="D339" s="45" t="s">
        <v>802</v>
      </c>
      <c r="E339" s="46">
        <v>0</v>
      </c>
      <c r="F339" s="46">
        <v>0</v>
      </c>
      <c r="G339" s="46">
        <v>0</v>
      </c>
      <c r="H339" s="46">
        <v>0</v>
      </c>
      <c r="I339" s="46">
        <v>300</v>
      </c>
      <c r="J339" s="46">
        <v>300</v>
      </c>
      <c r="K339" s="47">
        <f t="shared" si="35"/>
        <v>600</v>
      </c>
      <c r="L339" s="46">
        <v>300</v>
      </c>
      <c r="M339" s="46">
        <v>300</v>
      </c>
      <c r="N339" s="46">
        <v>300</v>
      </c>
      <c r="O339" s="46">
        <v>300</v>
      </c>
      <c r="P339" s="46">
        <v>300</v>
      </c>
      <c r="Q339" s="46">
        <v>300</v>
      </c>
      <c r="R339" s="46">
        <v>300</v>
      </c>
      <c r="S339" s="46">
        <v>300</v>
      </c>
      <c r="T339" s="46">
        <v>300</v>
      </c>
      <c r="U339" s="46">
        <v>300</v>
      </c>
      <c r="V339" s="46">
        <v>300</v>
      </c>
      <c r="W339" s="46">
        <v>300</v>
      </c>
      <c r="X339" s="47">
        <f t="shared" si="36"/>
        <v>3600</v>
      </c>
      <c r="Y339" s="46">
        <v>400</v>
      </c>
      <c r="Z339" s="46">
        <v>400</v>
      </c>
      <c r="AA339" s="46">
        <v>0</v>
      </c>
      <c r="AB339" s="46">
        <v>400</v>
      </c>
      <c r="AC339" s="46">
        <v>400</v>
      </c>
      <c r="AD339" s="46">
        <v>400</v>
      </c>
      <c r="AE339" s="46">
        <v>400</v>
      </c>
      <c r="AF339" s="46">
        <v>400</v>
      </c>
      <c r="AG339" s="46">
        <v>400</v>
      </c>
      <c r="AH339" s="46">
        <v>400</v>
      </c>
      <c r="AI339" s="46">
        <v>400</v>
      </c>
      <c r="AJ339" s="46">
        <v>400</v>
      </c>
      <c r="AK339" s="47">
        <f t="shared" si="37"/>
        <v>4400</v>
      </c>
      <c r="AL339" s="46">
        <v>0</v>
      </c>
      <c r="AM339" s="46">
        <v>400</v>
      </c>
      <c r="AN339" s="46">
        <v>400</v>
      </c>
      <c r="AO339" s="46">
        <v>400</v>
      </c>
      <c r="AP339" s="46">
        <v>400</v>
      </c>
      <c r="AQ339" s="46">
        <v>400</v>
      </c>
      <c r="AR339" s="46">
        <v>400</v>
      </c>
      <c r="AS339" s="46">
        <v>400</v>
      </c>
      <c r="AT339" s="46">
        <v>400</v>
      </c>
      <c r="AU339" s="46">
        <v>400</v>
      </c>
      <c r="AV339" s="46">
        <v>400</v>
      </c>
      <c r="AW339" s="46">
        <v>400</v>
      </c>
      <c r="AX339" s="47">
        <f t="shared" si="38"/>
        <v>4400</v>
      </c>
      <c r="AY339" s="319">
        <f>SUMIF(Recibos!$D$4:$D$3010,Cobranza!$B339,Recibos!K$4:K$3010)</f>
        <v>400</v>
      </c>
      <c r="AZ339" s="319">
        <f>SUMIF(Recibos!$D$4:$D$3010,Cobranza!$B339,Recibos!L$4:L$3010)</f>
        <v>400</v>
      </c>
      <c r="BA339" s="319">
        <f>SUMIF(Recibos!$D$4:$D$3010,Cobranza!$B339,Recibos!M$4:M$3010)</f>
        <v>400</v>
      </c>
      <c r="BB339" s="319">
        <f>SUMIF(Recibos!$D$4:$D$3010,Cobranza!$B339,Recibos!N$4:N$3010)</f>
        <v>400</v>
      </c>
      <c r="BC339" s="319">
        <f>SUMIF(Recibos!$D$4:$D$3010,Cobranza!$B339,Recibos!O$4:O$3010)</f>
        <v>400</v>
      </c>
      <c r="BD339" s="319">
        <f>SUMIF(Recibos!$D$4:$D$3010,Cobranza!$B339,Recibos!P$4:P$3010)</f>
        <v>400</v>
      </c>
      <c r="BE339" s="319">
        <f>SUMIF(Recibos!$D$4:$D$3010,Cobranza!$B339,Recibos!Q$4:Q$3010)</f>
        <v>400</v>
      </c>
      <c r="BF339" s="319">
        <f>SUMIF(Recibos!$D$4:$D$3010,Cobranza!$B339,Recibos!R$4:R$3010)</f>
        <v>400</v>
      </c>
      <c r="BG339" s="319">
        <f>SUMIF(Recibos!$D$4:$D$3010,Cobranza!$B339,Recibos!S$4:S$3010)</f>
        <v>400</v>
      </c>
      <c r="BH339" s="319">
        <f>SUMIF(Recibos!$D$4:$D$3010,Cobranza!$B339,Recibos!T$4:T$3010)</f>
        <v>400</v>
      </c>
      <c r="BI339" s="319">
        <f>SUMIF(Recibos!$D$4:$D$3010,Cobranza!$B339,Recibos!U$4:U$3010)</f>
        <v>400</v>
      </c>
      <c r="BJ339" s="319">
        <f>SUMIF(Recibos!$D$4:$D$3010,Cobranza!$B339,Recibos!V$4:V$3010)</f>
        <v>0</v>
      </c>
      <c r="BK339" s="320">
        <f t="shared" si="39"/>
        <v>4400</v>
      </c>
      <c r="BL339" s="319">
        <f>SUMIF(Recibos!$D$4:$D$3010,Cobranza!$B339,Recibos!X$4:X$3010)</f>
        <v>0</v>
      </c>
      <c r="BM339" s="319">
        <f>SUMIF(Recibos!$D$4:$D$3010,Cobranza!$B339,Recibos!Y$4:Y$3010)</f>
        <v>0</v>
      </c>
      <c r="BN339" s="319">
        <f>SUMIF(Recibos!$D$4:$D$3010,Cobranza!$B339,Recibos!Z$4:Z$3010)</f>
        <v>0</v>
      </c>
      <c r="BO339" s="319">
        <f>SUMIF(Recibos!$D$4:$D$3010,Cobranza!$B339,Recibos!AA$4:AA$3010)</f>
        <v>0</v>
      </c>
      <c r="BP339" s="319">
        <f>SUMIF(Recibos!$D$4:$D$3010,Cobranza!$B339,Recibos!AB$4:AB$3010)</f>
        <v>0</v>
      </c>
      <c r="BQ339" s="319">
        <f>SUMIF(Recibos!$D$4:$D$3010,Cobranza!$B339,Recibos!AC$4:AC$3010)</f>
        <v>0</v>
      </c>
      <c r="BR339" s="319">
        <f>SUMIF(Recibos!$D$4:$D$3010,Cobranza!$B339,Recibos!AD$4:AD$3010)</f>
        <v>0</v>
      </c>
      <c r="BS339" s="319">
        <f>SUMIF(Recibos!$D$4:$D$3010,Cobranza!$B339,Recibos!AE$4:AE$3010)</f>
        <v>0</v>
      </c>
      <c r="BT339" s="319">
        <f>SUMIF(Recibos!$D$4:$D$3010,Cobranza!$B339,Recibos!AF$4:AF$3010)</f>
        <v>0</v>
      </c>
      <c r="BU339" s="319">
        <f>SUMIF(Recibos!$D$4:$D$3010,Cobranza!$B339,Recibos!AG$4:AG$3010)</f>
        <v>0</v>
      </c>
      <c r="BV339" s="319">
        <f>SUMIF(Recibos!$D$4:$D$3010,Cobranza!$B339,Recibos!AH$4:AH$3010)</f>
        <v>0</v>
      </c>
      <c r="BW339" s="319">
        <f>SUMIF(Recibos!$D$4:$D$3010,Cobranza!$B339,Recibos!AI$4:AI$3010)</f>
        <v>0</v>
      </c>
      <c r="BX339" s="320">
        <f t="shared" si="40"/>
        <v>0</v>
      </c>
    </row>
    <row r="340" spans="2:76" x14ac:dyDescent="0.2">
      <c r="B340" s="42" t="s">
        <v>996</v>
      </c>
      <c r="C340" s="42" t="s">
        <v>997</v>
      </c>
      <c r="D340" s="42" t="s">
        <v>998</v>
      </c>
      <c r="E340" s="43">
        <v>0</v>
      </c>
      <c r="F340" s="43">
        <v>0</v>
      </c>
      <c r="G340" s="43">
        <v>0</v>
      </c>
      <c r="H340" s="43">
        <v>0</v>
      </c>
      <c r="I340" s="43">
        <v>0</v>
      </c>
      <c r="J340" s="43">
        <v>0</v>
      </c>
      <c r="K340" s="44">
        <f t="shared" si="35"/>
        <v>0</v>
      </c>
      <c r="L340" s="43">
        <v>0</v>
      </c>
      <c r="M340" s="43">
        <v>0</v>
      </c>
      <c r="N340" s="43">
        <v>0</v>
      </c>
      <c r="O340" s="43">
        <v>0</v>
      </c>
      <c r="P340" s="43">
        <v>0</v>
      </c>
      <c r="Q340" s="43">
        <v>0</v>
      </c>
      <c r="R340" s="43">
        <v>0</v>
      </c>
      <c r="S340" s="43">
        <v>0</v>
      </c>
      <c r="T340" s="43">
        <v>0</v>
      </c>
      <c r="U340" s="43">
        <v>0</v>
      </c>
      <c r="V340" s="43">
        <v>0</v>
      </c>
      <c r="W340" s="43">
        <v>0</v>
      </c>
      <c r="X340" s="44">
        <f t="shared" si="36"/>
        <v>0</v>
      </c>
      <c r="Y340" s="43">
        <v>0</v>
      </c>
      <c r="Z340" s="43">
        <v>0</v>
      </c>
      <c r="AA340" s="43">
        <v>0</v>
      </c>
      <c r="AB340" s="43">
        <v>0</v>
      </c>
      <c r="AC340" s="43">
        <v>0</v>
      </c>
      <c r="AD340" s="43">
        <v>0</v>
      </c>
      <c r="AE340" s="43">
        <v>0</v>
      </c>
      <c r="AF340" s="43">
        <v>0</v>
      </c>
      <c r="AG340" s="43">
        <v>0</v>
      </c>
      <c r="AH340" s="43">
        <v>0</v>
      </c>
      <c r="AI340" s="43">
        <v>0</v>
      </c>
      <c r="AJ340" s="43">
        <v>0</v>
      </c>
      <c r="AK340" s="44">
        <f t="shared" si="37"/>
        <v>0</v>
      </c>
      <c r="AL340" s="43">
        <v>0</v>
      </c>
      <c r="AM340" s="43">
        <v>0</v>
      </c>
      <c r="AN340" s="43">
        <v>0</v>
      </c>
      <c r="AO340" s="43">
        <v>0</v>
      </c>
      <c r="AP340" s="43">
        <v>0</v>
      </c>
      <c r="AQ340" s="43">
        <v>0</v>
      </c>
      <c r="AR340" s="43">
        <v>0</v>
      </c>
      <c r="AS340" s="43">
        <v>0</v>
      </c>
      <c r="AT340" s="43">
        <v>0</v>
      </c>
      <c r="AU340" s="43">
        <v>0</v>
      </c>
      <c r="AV340" s="43">
        <v>0</v>
      </c>
      <c r="AW340" s="43">
        <v>0</v>
      </c>
      <c r="AX340" s="44">
        <f t="shared" si="38"/>
        <v>0</v>
      </c>
      <c r="AY340" s="317">
        <f>SUMIF(Recibos!$D$4:$D$3010,Cobranza!$B340,Recibos!K$4:K$3010)</f>
        <v>0</v>
      </c>
      <c r="AZ340" s="317">
        <f>SUMIF(Recibos!$D$4:$D$3010,Cobranza!$B340,Recibos!L$4:L$3010)</f>
        <v>0</v>
      </c>
      <c r="BA340" s="317">
        <f>SUMIF(Recibos!$D$4:$D$3010,Cobranza!$B340,Recibos!M$4:M$3010)</f>
        <v>0</v>
      </c>
      <c r="BB340" s="317">
        <f>SUMIF(Recibos!$D$4:$D$3010,Cobranza!$B340,Recibos!N$4:N$3010)</f>
        <v>0</v>
      </c>
      <c r="BC340" s="317">
        <f>SUMIF(Recibos!$D$4:$D$3010,Cobranza!$B340,Recibos!O$4:O$3010)</f>
        <v>0</v>
      </c>
      <c r="BD340" s="317">
        <f>SUMIF(Recibos!$D$4:$D$3010,Cobranza!$B340,Recibos!P$4:P$3010)</f>
        <v>0</v>
      </c>
      <c r="BE340" s="317">
        <f>SUMIF(Recibos!$D$4:$D$3010,Cobranza!$B340,Recibos!Q$4:Q$3010)</f>
        <v>0</v>
      </c>
      <c r="BF340" s="317">
        <f>SUMIF(Recibos!$D$4:$D$3010,Cobranza!$B340,Recibos!R$4:R$3010)</f>
        <v>0</v>
      </c>
      <c r="BG340" s="317">
        <f>SUMIF(Recibos!$D$4:$D$3010,Cobranza!$B340,Recibos!S$4:S$3010)</f>
        <v>0</v>
      </c>
      <c r="BH340" s="317">
        <f>SUMIF(Recibos!$D$4:$D$3010,Cobranza!$B340,Recibos!T$4:T$3010)</f>
        <v>0</v>
      </c>
      <c r="BI340" s="317">
        <f>SUMIF(Recibos!$D$4:$D$3010,Cobranza!$B340,Recibos!U$4:U$3010)</f>
        <v>0</v>
      </c>
      <c r="BJ340" s="317">
        <f>SUMIF(Recibos!$D$4:$D$3010,Cobranza!$B340,Recibos!V$4:V$3010)</f>
        <v>0</v>
      </c>
      <c r="BK340" s="318">
        <f t="shared" si="39"/>
        <v>0</v>
      </c>
      <c r="BL340" s="317">
        <f>SUMIF(Recibos!$D$4:$D$3010,Cobranza!$B340,Recibos!X$4:X$3010)</f>
        <v>0</v>
      </c>
      <c r="BM340" s="317">
        <f>SUMIF(Recibos!$D$4:$D$3010,Cobranza!$B340,Recibos!Y$4:Y$3010)</f>
        <v>0</v>
      </c>
      <c r="BN340" s="317">
        <f>SUMIF(Recibos!$D$4:$D$3010,Cobranza!$B340,Recibos!Z$4:Z$3010)</f>
        <v>0</v>
      </c>
      <c r="BO340" s="317">
        <f>SUMIF(Recibos!$D$4:$D$3010,Cobranza!$B340,Recibos!AA$4:AA$3010)</f>
        <v>0</v>
      </c>
      <c r="BP340" s="317">
        <f>SUMIF(Recibos!$D$4:$D$3010,Cobranza!$B340,Recibos!AB$4:AB$3010)</f>
        <v>0</v>
      </c>
      <c r="BQ340" s="317">
        <f>SUMIF(Recibos!$D$4:$D$3010,Cobranza!$B340,Recibos!AC$4:AC$3010)</f>
        <v>0</v>
      </c>
      <c r="BR340" s="317">
        <f>SUMIF(Recibos!$D$4:$D$3010,Cobranza!$B340,Recibos!AD$4:AD$3010)</f>
        <v>0</v>
      </c>
      <c r="BS340" s="317">
        <f>SUMIF(Recibos!$D$4:$D$3010,Cobranza!$B340,Recibos!AE$4:AE$3010)</f>
        <v>0</v>
      </c>
      <c r="BT340" s="317">
        <f>SUMIF(Recibos!$D$4:$D$3010,Cobranza!$B340,Recibos!AF$4:AF$3010)</f>
        <v>0</v>
      </c>
      <c r="BU340" s="317">
        <f>SUMIF(Recibos!$D$4:$D$3010,Cobranza!$B340,Recibos!AG$4:AG$3010)</f>
        <v>0</v>
      </c>
      <c r="BV340" s="317">
        <f>SUMIF(Recibos!$D$4:$D$3010,Cobranza!$B340,Recibos!AH$4:AH$3010)</f>
        <v>0</v>
      </c>
      <c r="BW340" s="317">
        <f>SUMIF(Recibos!$D$4:$D$3010,Cobranza!$B340,Recibos!AI$4:AI$3010)</f>
        <v>0</v>
      </c>
      <c r="BX340" s="318">
        <f t="shared" si="40"/>
        <v>0</v>
      </c>
    </row>
    <row r="341" spans="2:76" x14ac:dyDescent="0.2">
      <c r="B341" s="45" t="s">
        <v>1410</v>
      </c>
      <c r="C341" s="45" t="s">
        <v>1411</v>
      </c>
      <c r="D341" s="45" t="s">
        <v>784</v>
      </c>
      <c r="E341" s="46">
        <v>0</v>
      </c>
      <c r="F341" s="46">
        <v>0</v>
      </c>
      <c r="G341" s="46">
        <v>0</v>
      </c>
      <c r="H341" s="46">
        <v>0</v>
      </c>
      <c r="I341" s="46">
        <v>0</v>
      </c>
      <c r="J341" s="46">
        <v>0</v>
      </c>
      <c r="K341" s="47">
        <f t="shared" si="35"/>
        <v>0</v>
      </c>
      <c r="L341" s="46">
        <v>0</v>
      </c>
      <c r="M341" s="46">
        <v>0</v>
      </c>
      <c r="N341" s="46">
        <v>0</v>
      </c>
      <c r="O341" s="46">
        <v>0</v>
      </c>
      <c r="P341" s="46">
        <v>0</v>
      </c>
      <c r="Q341" s="46">
        <v>0</v>
      </c>
      <c r="R341" s="46">
        <v>0</v>
      </c>
      <c r="S341" s="46">
        <v>0</v>
      </c>
      <c r="T341" s="46">
        <v>0</v>
      </c>
      <c r="U341" s="46">
        <v>0</v>
      </c>
      <c r="V341" s="46">
        <v>0</v>
      </c>
      <c r="W341" s="46">
        <v>0</v>
      </c>
      <c r="X341" s="47">
        <f t="shared" si="36"/>
        <v>0</v>
      </c>
      <c r="Y341" s="46">
        <v>0</v>
      </c>
      <c r="Z341" s="46">
        <v>0</v>
      </c>
      <c r="AA341" s="46">
        <v>0</v>
      </c>
      <c r="AB341" s="46">
        <v>0</v>
      </c>
      <c r="AC341" s="46">
        <v>0</v>
      </c>
      <c r="AD341" s="46">
        <v>0</v>
      </c>
      <c r="AE341" s="46">
        <v>0</v>
      </c>
      <c r="AF341" s="46">
        <v>0</v>
      </c>
      <c r="AG341" s="46">
        <v>0</v>
      </c>
      <c r="AH341" s="46">
        <v>0</v>
      </c>
      <c r="AI341" s="46">
        <v>0</v>
      </c>
      <c r="AJ341" s="46">
        <v>0</v>
      </c>
      <c r="AK341" s="47">
        <f t="shared" si="37"/>
        <v>0</v>
      </c>
      <c r="AL341" s="46">
        <v>0</v>
      </c>
      <c r="AM341" s="46">
        <v>0</v>
      </c>
      <c r="AN341" s="46">
        <v>0</v>
      </c>
      <c r="AO341" s="46">
        <v>0</v>
      </c>
      <c r="AP341" s="46">
        <v>0</v>
      </c>
      <c r="AQ341" s="46">
        <v>0</v>
      </c>
      <c r="AR341" s="46">
        <v>0</v>
      </c>
      <c r="AS341" s="46">
        <v>0</v>
      </c>
      <c r="AT341" s="46">
        <v>0</v>
      </c>
      <c r="AU341" s="46">
        <v>0</v>
      </c>
      <c r="AV341" s="46">
        <v>0</v>
      </c>
      <c r="AW341" s="46">
        <v>0</v>
      </c>
      <c r="AX341" s="47">
        <f t="shared" si="38"/>
        <v>0</v>
      </c>
      <c r="AY341" s="319">
        <f>SUMIF(Recibos!$D$4:$D$3010,Cobranza!$B341,Recibos!K$4:K$3010)</f>
        <v>0</v>
      </c>
      <c r="AZ341" s="319">
        <f>SUMIF(Recibos!$D$4:$D$3010,Cobranza!$B341,Recibos!L$4:L$3010)</f>
        <v>0</v>
      </c>
      <c r="BA341" s="319">
        <f>SUMIF(Recibos!$D$4:$D$3010,Cobranza!$B341,Recibos!M$4:M$3010)</f>
        <v>0</v>
      </c>
      <c r="BB341" s="319">
        <f>SUMIF(Recibos!$D$4:$D$3010,Cobranza!$B341,Recibos!N$4:N$3010)</f>
        <v>0</v>
      </c>
      <c r="BC341" s="319">
        <f>SUMIF(Recibos!$D$4:$D$3010,Cobranza!$B341,Recibos!O$4:O$3010)</f>
        <v>0</v>
      </c>
      <c r="BD341" s="319">
        <f>SUMIF(Recibos!$D$4:$D$3010,Cobranza!$B341,Recibos!P$4:P$3010)</f>
        <v>0</v>
      </c>
      <c r="BE341" s="319">
        <f>SUMIF(Recibos!$D$4:$D$3010,Cobranza!$B341,Recibos!Q$4:Q$3010)</f>
        <v>0</v>
      </c>
      <c r="BF341" s="319">
        <f>SUMIF(Recibos!$D$4:$D$3010,Cobranza!$B341,Recibos!R$4:R$3010)</f>
        <v>0</v>
      </c>
      <c r="BG341" s="319">
        <f>SUMIF(Recibos!$D$4:$D$3010,Cobranza!$B341,Recibos!S$4:S$3010)</f>
        <v>0</v>
      </c>
      <c r="BH341" s="319">
        <f>SUMIF(Recibos!$D$4:$D$3010,Cobranza!$B341,Recibos!T$4:T$3010)</f>
        <v>0</v>
      </c>
      <c r="BI341" s="319">
        <f>SUMIF(Recibos!$D$4:$D$3010,Cobranza!$B341,Recibos!U$4:U$3010)</f>
        <v>0</v>
      </c>
      <c r="BJ341" s="319">
        <f>SUMIF(Recibos!$D$4:$D$3010,Cobranza!$B341,Recibos!V$4:V$3010)</f>
        <v>0</v>
      </c>
      <c r="BK341" s="320">
        <f t="shared" si="39"/>
        <v>0</v>
      </c>
      <c r="BL341" s="319">
        <f>SUMIF(Recibos!$D$4:$D$3010,Cobranza!$B341,Recibos!X$4:X$3010)</f>
        <v>0</v>
      </c>
      <c r="BM341" s="319">
        <f>SUMIF(Recibos!$D$4:$D$3010,Cobranza!$B341,Recibos!Y$4:Y$3010)</f>
        <v>0</v>
      </c>
      <c r="BN341" s="319">
        <f>SUMIF(Recibos!$D$4:$D$3010,Cobranza!$B341,Recibos!Z$4:Z$3010)</f>
        <v>0</v>
      </c>
      <c r="BO341" s="319">
        <f>SUMIF(Recibos!$D$4:$D$3010,Cobranza!$B341,Recibos!AA$4:AA$3010)</f>
        <v>0</v>
      </c>
      <c r="BP341" s="319">
        <f>SUMIF(Recibos!$D$4:$D$3010,Cobranza!$B341,Recibos!AB$4:AB$3010)</f>
        <v>0</v>
      </c>
      <c r="BQ341" s="319">
        <f>SUMIF(Recibos!$D$4:$D$3010,Cobranza!$B341,Recibos!AC$4:AC$3010)</f>
        <v>0</v>
      </c>
      <c r="BR341" s="319">
        <f>SUMIF(Recibos!$D$4:$D$3010,Cobranza!$B341,Recibos!AD$4:AD$3010)</f>
        <v>0</v>
      </c>
      <c r="BS341" s="319">
        <f>SUMIF(Recibos!$D$4:$D$3010,Cobranza!$B341,Recibos!AE$4:AE$3010)</f>
        <v>0</v>
      </c>
      <c r="BT341" s="319">
        <f>SUMIF(Recibos!$D$4:$D$3010,Cobranza!$B341,Recibos!AF$4:AF$3010)</f>
        <v>0</v>
      </c>
      <c r="BU341" s="319">
        <f>SUMIF(Recibos!$D$4:$D$3010,Cobranza!$B341,Recibos!AG$4:AG$3010)</f>
        <v>0</v>
      </c>
      <c r="BV341" s="319">
        <f>SUMIF(Recibos!$D$4:$D$3010,Cobranza!$B341,Recibos!AH$4:AH$3010)</f>
        <v>0</v>
      </c>
      <c r="BW341" s="319">
        <f>SUMIF(Recibos!$D$4:$D$3010,Cobranza!$B341,Recibos!AI$4:AI$3010)</f>
        <v>0</v>
      </c>
      <c r="BX341" s="320">
        <f t="shared" si="40"/>
        <v>0</v>
      </c>
    </row>
    <row r="342" spans="2:76" x14ac:dyDescent="0.2">
      <c r="B342" s="42" t="s">
        <v>174</v>
      </c>
      <c r="C342" s="42" t="s">
        <v>175</v>
      </c>
      <c r="D342" s="42" t="s">
        <v>176</v>
      </c>
      <c r="E342" s="43">
        <v>0</v>
      </c>
      <c r="F342" s="43">
        <v>0</v>
      </c>
      <c r="G342" s="43">
        <v>0</v>
      </c>
      <c r="H342" s="43">
        <v>0</v>
      </c>
      <c r="I342" s="43">
        <v>0</v>
      </c>
      <c r="J342" s="43">
        <v>300</v>
      </c>
      <c r="K342" s="44">
        <f t="shared" si="35"/>
        <v>300</v>
      </c>
      <c r="L342" s="43">
        <v>300</v>
      </c>
      <c r="M342" s="43">
        <v>300</v>
      </c>
      <c r="N342" s="43">
        <v>300</v>
      </c>
      <c r="O342" s="43">
        <v>300</v>
      </c>
      <c r="P342" s="43">
        <v>300</v>
      </c>
      <c r="Q342" s="43">
        <v>300</v>
      </c>
      <c r="R342" s="43">
        <v>300</v>
      </c>
      <c r="S342" s="43">
        <v>300</v>
      </c>
      <c r="T342" s="43">
        <v>300</v>
      </c>
      <c r="U342" s="43">
        <v>300</v>
      </c>
      <c r="V342" s="43">
        <v>300</v>
      </c>
      <c r="W342" s="43">
        <v>300</v>
      </c>
      <c r="X342" s="44">
        <f t="shared" si="36"/>
        <v>3600</v>
      </c>
      <c r="Y342" s="43">
        <v>300</v>
      </c>
      <c r="Z342" s="43">
        <v>300</v>
      </c>
      <c r="AA342" s="43">
        <v>300</v>
      </c>
      <c r="AB342" s="43">
        <v>300</v>
      </c>
      <c r="AC342" s="43">
        <v>300</v>
      </c>
      <c r="AD342" s="43">
        <v>300</v>
      </c>
      <c r="AE342" s="43">
        <v>300</v>
      </c>
      <c r="AF342" s="43">
        <v>300</v>
      </c>
      <c r="AG342" s="43">
        <v>300</v>
      </c>
      <c r="AH342" s="43">
        <v>300</v>
      </c>
      <c r="AI342" s="43">
        <v>300</v>
      </c>
      <c r="AJ342" s="43">
        <v>300</v>
      </c>
      <c r="AK342" s="44">
        <f t="shared" si="37"/>
        <v>3600</v>
      </c>
      <c r="AL342" s="43">
        <v>300</v>
      </c>
      <c r="AM342" s="43">
        <v>300</v>
      </c>
      <c r="AN342" s="43">
        <v>400</v>
      </c>
      <c r="AO342" s="43">
        <v>300</v>
      </c>
      <c r="AP342" s="43">
        <v>300</v>
      </c>
      <c r="AQ342" s="43">
        <v>300</v>
      </c>
      <c r="AR342" s="43">
        <v>300</v>
      </c>
      <c r="AS342" s="43">
        <v>300</v>
      </c>
      <c r="AT342" s="43">
        <v>300</v>
      </c>
      <c r="AU342" s="43">
        <v>300</v>
      </c>
      <c r="AV342" s="43">
        <v>300</v>
      </c>
      <c r="AW342" s="43">
        <v>300</v>
      </c>
      <c r="AX342" s="44">
        <f t="shared" si="38"/>
        <v>3700</v>
      </c>
      <c r="AY342" s="317">
        <f>SUMIF(Recibos!$D$4:$D$3010,Cobranza!$B342,Recibos!K$4:K$3010)</f>
        <v>300</v>
      </c>
      <c r="AZ342" s="317">
        <f>SUMIF(Recibos!$D$4:$D$3010,Cobranza!$B342,Recibos!L$4:L$3010)</f>
        <v>300</v>
      </c>
      <c r="BA342" s="317">
        <f>SUMIF(Recibos!$D$4:$D$3010,Cobranza!$B342,Recibos!M$4:M$3010)</f>
        <v>300</v>
      </c>
      <c r="BB342" s="317">
        <f>SUMIF(Recibos!$D$4:$D$3010,Cobranza!$B342,Recibos!N$4:N$3010)</f>
        <v>300</v>
      </c>
      <c r="BC342" s="317">
        <f>SUMIF(Recibos!$D$4:$D$3010,Cobranza!$B342,Recibos!O$4:O$3010)</f>
        <v>300</v>
      </c>
      <c r="BD342" s="317">
        <f>SUMIF(Recibos!$D$4:$D$3010,Cobranza!$B342,Recibos!P$4:P$3010)</f>
        <v>300</v>
      </c>
      <c r="BE342" s="317">
        <f>SUMIF(Recibos!$D$4:$D$3010,Cobranza!$B342,Recibos!Q$4:Q$3010)</f>
        <v>300</v>
      </c>
      <c r="BF342" s="317">
        <f>SUMIF(Recibos!$D$4:$D$3010,Cobranza!$B342,Recibos!R$4:R$3010)</f>
        <v>300</v>
      </c>
      <c r="BG342" s="317">
        <f>SUMIF(Recibos!$D$4:$D$3010,Cobranza!$B342,Recibos!S$4:S$3010)</f>
        <v>300</v>
      </c>
      <c r="BH342" s="317">
        <f>SUMIF(Recibos!$D$4:$D$3010,Cobranza!$B342,Recibos!T$4:T$3010)</f>
        <v>300</v>
      </c>
      <c r="BI342" s="317">
        <f>SUMIF(Recibos!$D$4:$D$3010,Cobranza!$B342,Recibos!U$4:U$3010)</f>
        <v>300</v>
      </c>
      <c r="BJ342" s="317">
        <f>SUMIF(Recibos!$D$4:$D$3010,Cobranza!$B342,Recibos!V$4:V$3010)</f>
        <v>300</v>
      </c>
      <c r="BK342" s="318">
        <f t="shared" si="39"/>
        <v>3600</v>
      </c>
      <c r="BL342" s="317">
        <f>SUMIF(Recibos!$D$4:$D$3010,Cobranza!$B342,Recibos!X$4:X$3010)</f>
        <v>0</v>
      </c>
      <c r="BM342" s="317">
        <f>SUMIF(Recibos!$D$4:$D$3010,Cobranza!$B342,Recibos!Y$4:Y$3010)</f>
        <v>0</v>
      </c>
      <c r="BN342" s="317">
        <f>SUMIF(Recibos!$D$4:$D$3010,Cobranza!$B342,Recibos!Z$4:Z$3010)</f>
        <v>0</v>
      </c>
      <c r="BO342" s="317">
        <f>SUMIF(Recibos!$D$4:$D$3010,Cobranza!$B342,Recibos!AA$4:AA$3010)</f>
        <v>0</v>
      </c>
      <c r="BP342" s="317">
        <f>SUMIF(Recibos!$D$4:$D$3010,Cobranza!$B342,Recibos!AB$4:AB$3010)</f>
        <v>0</v>
      </c>
      <c r="BQ342" s="317">
        <f>SUMIF(Recibos!$D$4:$D$3010,Cobranza!$B342,Recibos!AC$4:AC$3010)</f>
        <v>0</v>
      </c>
      <c r="BR342" s="317">
        <f>SUMIF(Recibos!$D$4:$D$3010,Cobranza!$B342,Recibos!AD$4:AD$3010)</f>
        <v>0</v>
      </c>
      <c r="BS342" s="317">
        <f>SUMIF(Recibos!$D$4:$D$3010,Cobranza!$B342,Recibos!AE$4:AE$3010)</f>
        <v>0</v>
      </c>
      <c r="BT342" s="317">
        <f>SUMIF(Recibos!$D$4:$D$3010,Cobranza!$B342,Recibos!AF$4:AF$3010)</f>
        <v>0</v>
      </c>
      <c r="BU342" s="317">
        <f>SUMIF(Recibos!$D$4:$D$3010,Cobranza!$B342,Recibos!AG$4:AG$3010)</f>
        <v>0</v>
      </c>
      <c r="BV342" s="317">
        <f>SUMIF(Recibos!$D$4:$D$3010,Cobranza!$B342,Recibos!AH$4:AH$3010)</f>
        <v>0</v>
      </c>
      <c r="BW342" s="317">
        <f>SUMIF(Recibos!$D$4:$D$3010,Cobranza!$B342,Recibos!AI$4:AI$3010)</f>
        <v>0</v>
      </c>
      <c r="BX342" s="318">
        <f t="shared" si="40"/>
        <v>0</v>
      </c>
    </row>
    <row r="343" spans="2:76" x14ac:dyDescent="0.2">
      <c r="B343" s="45" t="s">
        <v>634</v>
      </c>
      <c r="C343" s="45" t="s">
        <v>635</v>
      </c>
      <c r="D343" s="45" t="s">
        <v>636</v>
      </c>
      <c r="E343" s="46">
        <v>0</v>
      </c>
      <c r="F343" s="46">
        <v>0</v>
      </c>
      <c r="G343" s="46">
        <v>0</v>
      </c>
      <c r="H343" s="46">
        <v>0</v>
      </c>
      <c r="I343" s="46">
        <v>0</v>
      </c>
      <c r="J343" s="46">
        <v>200</v>
      </c>
      <c r="K343" s="47">
        <f t="shared" si="35"/>
        <v>200</v>
      </c>
      <c r="L343" s="46">
        <v>200</v>
      </c>
      <c r="M343" s="46">
        <v>200</v>
      </c>
      <c r="N343" s="46">
        <v>200</v>
      </c>
      <c r="O343" s="46">
        <v>200</v>
      </c>
      <c r="P343" s="46">
        <v>200</v>
      </c>
      <c r="Q343" s="46">
        <v>200</v>
      </c>
      <c r="R343" s="46">
        <v>200</v>
      </c>
      <c r="S343" s="46">
        <v>400</v>
      </c>
      <c r="T343" s="46">
        <v>200</v>
      </c>
      <c r="U343" s="46">
        <v>300</v>
      </c>
      <c r="V343" s="46">
        <v>300</v>
      </c>
      <c r="W343" s="46">
        <v>300</v>
      </c>
      <c r="X343" s="47">
        <f t="shared" si="36"/>
        <v>2900</v>
      </c>
      <c r="Y343" s="46">
        <v>300</v>
      </c>
      <c r="Z343" s="46">
        <v>300</v>
      </c>
      <c r="AA343" s="46">
        <v>300</v>
      </c>
      <c r="AB343" s="46">
        <v>0</v>
      </c>
      <c r="AC343" s="46">
        <v>300</v>
      </c>
      <c r="AD343" s="46">
        <v>300</v>
      </c>
      <c r="AE343" s="46">
        <v>300</v>
      </c>
      <c r="AF343" s="46">
        <v>300</v>
      </c>
      <c r="AG343" s="46">
        <v>300</v>
      </c>
      <c r="AH343" s="46">
        <v>300</v>
      </c>
      <c r="AI343" s="46">
        <v>0</v>
      </c>
      <c r="AJ343" s="46">
        <v>300</v>
      </c>
      <c r="AK343" s="47">
        <f t="shared" si="37"/>
        <v>3000</v>
      </c>
      <c r="AL343" s="46">
        <v>300</v>
      </c>
      <c r="AM343" s="46">
        <v>300</v>
      </c>
      <c r="AN343" s="46">
        <v>300</v>
      </c>
      <c r="AO343" s="46">
        <v>300</v>
      </c>
      <c r="AP343" s="46">
        <v>300</v>
      </c>
      <c r="AQ343" s="46">
        <v>300</v>
      </c>
      <c r="AR343" s="46">
        <v>300</v>
      </c>
      <c r="AS343" s="46">
        <v>300</v>
      </c>
      <c r="AT343" s="46">
        <v>300</v>
      </c>
      <c r="AU343" s="46">
        <v>300</v>
      </c>
      <c r="AV343" s="46">
        <v>300</v>
      </c>
      <c r="AW343" s="46">
        <v>300</v>
      </c>
      <c r="AX343" s="47">
        <f t="shared" si="38"/>
        <v>3600</v>
      </c>
      <c r="AY343" s="319">
        <f>SUMIF(Recibos!$D$4:$D$3010,Cobranza!$B343,Recibos!K$4:K$3010)</f>
        <v>300</v>
      </c>
      <c r="AZ343" s="319">
        <f>SUMIF(Recibos!$D$4:$D$3010,Cobranza!$B343,Recibos!L$4:L$3010)</f>
        <v>300</v>
      </c>
      <c r="BA343" s="319">
        <f>SUMIF(Recibos!$D$4:$D$3010,Cobranza!$B343,Recibos!M$4:M$3010)</f>
        <v>300</v>
      </c>
      <c r="BB343" s="319">
        <f>SUMIF(Recibos!$D$4:$D$3010,Cobranza!$B343,Recibos!N$4:N$3010)</f>
        <v>300</v>
      </c>
      <c r="BC343" s="319">
        <f>SUMIF(Recibos!$D$4:$D$3010,Cobranza!$B343,Recibos!O$4:O$3010)</f>
        <v>300</v>
      </c>
      <c r="BD343" s="319">
        <f>SUMIF(Recibos!$D$4:$D$3010,Cobranza!$B343,Recibos!P$4:P$3010)</f>
        <v>300</v>
      </c>
      <c r="BE343" s="319">
        <f>SUMIF(Recibos!$D$4:$D$3010,Cobranza!$B343,Recibos!Q$4:Q$3010)</f>
        <v>300</v>
      </c>
      <c r="BF343" s="319">
        <f>SUMIF(Recibos!$D$4:$D$3010,Cobranza!$B343,Recibos!R$4:R$3010)</f>
        <v>300</v>
      </c>
      <c r="BG343" s="319">
        <f>SUMIF(Recibos!$D$4:$D$3010,Cobranza!$B343,Recibos!S$4:S$3010)</f>
        <v>300</v>
      </c>
      <c r="BH343" s="319">
        <f>SUMIF(Recibos!$D$4:$D$3010,Cobranza!$B343,Recibos!T$4:T$3010)</f>
        <v>300</v>
      </c>
      <c r="BI343" s="319">
        <f>SUMIF(Recibos!$D$4:$D$3010,Cobranza!$B343,Recibos!U$4:U$3010)</f>
        <v>300</v>
      </c>
      <c r="BJ343" s="319">
        <f>SUMIF(Recibos!$D$4:$D$3010,Cobranza!$B343,Recibos!V$4:V$3010)</f>
        <v>300</v>
      </c>
      <c r="BK343" s="320">
        <f t="shared" si="39"/>
        <v>3600</v>
      </c>
      <c r="BL343" s="319">
        <f>SUMIF(Recibos!$D$4:$D$3010,Cobranza!$B343,Recibos!X$4:X$3010)</f>
        <v>0</v>
      </c>
      <c r="BM343" s="319">
        <f>SUMIF(Recibos!$D$4:$D$3010,Cobranza!$B343,Recibos!Y$4:Y$3010)</f>
        <v>0</v>
      </c>
      <c r="BN343" s="319">
        <f>SUMIF(Recibos!$D$4:$D$3010,Cobranza!$B343,Recibos!Z$4:Z$3010)</f>
        <v>0</v>
      </c>
      <c r="BO343" s="319">
        <f>SUMIF(Recibos!$D$4:$D$3010,Cobranza!$B343,Recibos!AA$4:AA$3010)</f>
        <v>0</v>
      </c>
      <c r="BP343" s="319">
        <f>SUMIF(Recibos!$D$4:$D$3010,Cobranza!$B343,Recibos!AB$4:AB$3010)</f>
        <v>0</v>
      </c>
      <c r="BQ343" s="319">
        <f>SUMIF(Recibos!$D$4:$D$3010,Cobranza!$B343,Recibos!AC$4:AC$3010)</f>
        <v>0</v>
      </c>
      <c r="BR343" s="319">
        <f>SUMIF(Recibos!$D$4:$D$3010,Cobranza!$B343,Recibos!AD$4:AD$3010)</f>
        <v>0</v>
      </c>
      <c r="BS343" s="319">
        <f>SUMIF(Recibos!$D$4:$D$3010,Cobranza!$B343,Recibos!AE$4:AE$3010)</f>
        <v>0</v>
      </c>
      <c r="BT343" s="319">
        <f>SUMIF(Recibos!$D$4:$D$3010,Cobranza!$B343,Recibos!AF$4:AF$3010)</f>
        <v>0</v>
      </c>
      <c r="BU343" s="319">
        <f>SUMIF(Recibos!$D$4:$D$3010,Cobranza!$B343,Recibos!AG$4:AG$3010)</f>
        <v>0</v>
      </c>
      <c r="BV343" s="319">
        <f>SUMIF(Recibos!$D$4:$D$3010,Cobranza!$B343,Recibos!AH$4:AH$3010)</f>
        <v>0</v>
      </c>
      <c r="BW343" s="319">
        <f>SUMIF(Recibos!$D$4:$D$3010,Cobranza!$B343,Recibos!AI$4:AI$3010)</f>
        <v>0</v>
      </c>
      <c r="BX343" s="320">
        <f t="shared" si="40"/>
        <v>0</v>
      </c>
    </row>
    <row r="344" spans="2:76" x14ac:dyDescent="0.2">
      <c r="B344" s="42" t="s">
        <v>1412</v>
      </c>
      <c r="C344" s="42" t="s">
        <v>1413</v>
      </c>
      <c r="D344" s="42" t="s">
        <v>1414</v>
      </c>
      <c r="E344" s="43">
        <v>0</v>
      </c>
      <c r="F344" s="43">
        <v>0</v>
      </c>
      <c r="G344" s="43">
        <v>0</v>
      </c>
      <c r="H344" s="43">
        <v>0</v>
      </c>
      <c r="I344" s="43">
        <v>150</v>
      </c>
      <c r="J344" s="43">
        <v>150</v>
      </c>
      <c r="K344" s="44">
        <f t="shared" si="35"/>
        <v>300</v>
      </c>
      <c r="L344" s="43">
        <v>150</v>
      </c>
      <c r="M344" s="43">
        <v>0</v>
      </c>
      <c r="N344" s="43">
        <v>0</v>
      </c>
      <c r="O344" s="43">
        <v>0</v>
      </c>
      <c r="P344" s="43">
        <v>0</v>
      </c>
      <c r="Q344" s="43">
        <v>0</v>
      </c>
      <c r="R344" s="43">
        <v>0</v>
      </c>
      <c r="S344" s="43">
        <v>0</v>
      </c>
      <c r="T344" s="43">
        <v>0</v>
      </c>
      <c r="U344" s="43">
        <v>0</v>
      </c>
      <c r="V344" s="43">
        <v>0</v>
      </c>
      <c r="W344" s="43">
        <v>0</v>
      </c>
      <c r="X344" s="44">
        <f t="shared" si="36"/>
        <v>150</v>
      </c>
      <c r="Y344" s="43">
        <v>0</v>
      </c>
      <c r="Z344" s="43">
        <v>0</v>
      </c>
      <c r="AA344" s="43">
        <v>0</v>
      </c>
      <c r="AB344" s="43">
        <v>0</v>
      </c>
      <c r="AC344" s="43">
        <v>0</v>
      </c>
      <c r="AD344" s="43">
        <v>0</v>
      </c>
      <c r="AE344" s="43">
        <v>0</v>
      </c>
      <c r="AF344" s="43">
        <v>0</v>
      </c>
      <c r="AG344" s="43">
        <v>0</v>
      </c>
      <c r="AH344" s="43">
        <v>0</v>
      </c>
      <c r="AI344" s="43">
        <v>0</v>
      </c>
      <c r="AJ344" s="43">
        <v>0</v>
      </c>
      <c r="AK344" s="44">
        <f t="shared" si="37"/>
        <v>0</v>
      </c>
      <c r="AL344" s="43">
        <v>0</v>
      </c>
      <c r="AM344" s="43">
        <v>0</v>
      </c>
      <c r="AN344" s="43">
        <v>0</v>
      </c>
      <c r="AO344" s="43">
        <v>0</v>
      </c>
      <c r="AP344" s="43">
        <v>0</v>
      </c>
      <c r="AQ344" s="43">
        <v>0</v>
      </c>
      <c r="AR344" s="43">
        <v>0</v>
      </c>
      <c r="AS344" s="43">
        <v>0</v>
      </c>
      <c r="AT344" s="43">
        <v>0</v>
      </c>
      <c r="AU344" s="43">
        <v>0</v>
      </c>
      <c r="AV344" s="43">
        <v>0</v>
      </c>
      <c r="AW344" s="43">
        <v>0</v>
      </c>
      <c r="AX344" s="44">
        <f t="shared" si="38"/>
        <v>0</v>
      </c>
      <c r="AY344" s="317">
        <f>SUMIF(Recibos!$D$4:$D$3010,Cobranza!$B344,Recibos!K$4:K$3010)</f>
        <v>0</v>
      </c>
      <c r="AZ344" s="317">
        <f>SUMIF(Recibos!$D$4:$D$3010,Cobranza!$B344,Recibos!L$4:L$3010)</f>
        <v>0</v>
      </c>
      <c r="BA344" s="317">
        <f>SUMIF(Recibos!$D$4:$D$3010,Cobranza!$B344,Recibos!M$4:M$3010)</f>
        <v>0</v>
      </c>
      <c r="BB344" s="317">
        <f>SUMIF(Recibos!$D$4:$D$3010,Cobranza!$B344,Recibos!N$4:N$3010)</f>
        <v>0</v>
      </c>
      <c r="BC344" s="317">
        <f>SUMIF(Recibos!$D$4:$D$3010,Cobranza!$B344,Recibos!O$4:O$3010)</f>
        <v>0</v>
      </c>
      <c r="BD344" s="317">
        <f>SUMIF(Recibos!$D$4:$D$3010,Cobranza!$B344,Recibos!P$4:P$3010)</f>
        <v>0</v>
      </c>
      <c r="BE344" s="317">
        <f>SUMIF(Recibos!$D$4:$D$3010,Cobranza!$B344,Recibos!Q$4:Q$3010)</f>
        <v>0</v>
      </c>
      <c r="BF344" s="317">
        <f>SUMIF(Recibos!$D$4:$D$3010,Cobranza!$B344,Recibos!R$4:R$3010)</f>
        <v>0</v>
      </c>
      <c r="BG344" s="317">
        <f>SUMIF(Recibos!$D$4:$D$3010,Cobranza!$B344,Recibos!S$4:S$3010)</f>
        <v>0</v>
      </c>
      <c r="BH344" s="317">
        <f>SUMIF(Recibos!$D$4:$D$3010,Cobranza!$B344,Recibos!T$4:T$3010)</f>
        <v>0</v>
      </c>
      <c r="BI344" s="317">
        <f>SUMIF(Recibos!$D$4:$D$3010,Cobranza!$B344,Recibos!U$4:U$3010)</f>
        <v>0</v>
      </c>
      <c r="BJ344" s="317">
        <f>SUMIF(Recibos!$D$4:$D$3010,Cobranza!$B344,Recibos!V$4:V$3010)</f>
        <v>0</v>
      </c>
      <c r="BK344" s="318">
        <f t="shared" si="39"/>
        <v>0</v>
      </c>
      <c r="BL344" s="317">
        <f>SUMIF(Recibos!$D$4:$D$3010,Cobranza!$B344,Recibos!X$4:X$3010)</f>
        <v>0</v>
      </c>
      <c r="BM344" s="317">
        <f>SUMIF(Recibos!$D$4:$D$3010,Cobranza!$B344,Recibos!Y$4:Y$3010)</f>
        <v>0</v>
      </c>
      <c r="BN344" s="317">
        <f>SUMIF(Recibos!$D$4:$D$3010,Cobranza!$B344,Recibos!Z$4:Z$3010)</f>
        <v>0</v>
      </c>
      <c r="BO344" s="317">
        <f>SUMIF(Recibos!$D$4:$D$3010,Cobranza!$B344,Recibos!AA$4:AA$3010)</f>
        <v>0</v>
      </c>
      <c r="BP344" s="317">
        <f>SUMIF(Recibos!$D$4:$D$3010,Cobranza!$B344,Recibos!AB$4:AB$3010)</f>
        <v>0</v>
      </c>
      <c r="BQ344" s="317">
        <f>SUMIF(Recibos!$D$4:$D$3010,Cobranza!$B344,Recibos!AC$4:AC$3010)</f>
        <v>0</v>
      </c>
      <c r="BR344" s="317">
        <f>SUMIF(Recibos!$D$4:$D$3010,Cobranza!$B344,Recibos!AD$4:AD$3010)</f>
        <v>0</v>
      </c>
      <c r="BS344" s="317">
        <f>SUMIF(Recibos!$D$4:$D$3010,Cobranza!$B344,Recibos!AE$4:AE$3010)</f>
        <v>0</v>
      </c>
      <c r="BT344" s="317">
        <f>SUMIF(Recibos!$D$4:$D$3010,Cobranza!$B344,Recibos!AF$4:AF$3010)</f>
        <v>0</v>
      </c>
      <c r="BU344" s="317">
        <f>SUMIF(Recibos!$D$4:$D$3010,Cobranza!$B344,Recibos!AG$4:AG$3010)</f>
        <v>0</v>
      </c>
      <c r="BV344" s="317">
        <f>SUMIF(Recibos!$D$4:$D$3010,Cobranza!$B344,Recibos!AH$4:AH$3010)</f>
        <v>0</v>
      </c>
      <c r="BW344" s="317">
        <f>SUMIF(Recibos!$D$4:$D$3010,Cobranza!$B344,Recibos!AI$4:AI$3010)</f>
        <v>0</v>
      </c>
      <c r="BX344" s="318">
        <f t="shared" si="40"/>
        <v>0</v>
      </c>
    </row>
    <row r="345" spans="2:76" x14ac:dyDescent="0.2">
      <c r="B345" s="45" t="s">
        <v>687</v>
      </c>
      <c r="C345" s="45" t="s">
        <v>688</v>
      </c>
      <c r="D345" s="45" t="s">
        <v>689</v>
      </c>
      <c r="E345" s="46">
        <v>0</v>
      </c>
      <c r="F345" s="46">
        <v>0</v>
      </c>
      <c r="G345" s="46">
        <v>0</v>
      </c>
      <c r="H345" s="46">
        <v>0</v>
      </c>
      <c r="I345" s="46">
        <v>0</v>
      </c>
      <c r="J345" s="46">
        <v>150</v>
      </c>
      <c r="K345" s="47">
        <f t="shared" si="35"/>
        <v>150</v>
      </c>
      <c r="L345" s="46">
        <v>150</v>
      </c>
      <c r="M345" s="46">
        <v>150</v>
      </c>
      <c r="N345" s="46">
        <v>150</v>
      </c>
      <c r="O345" s="46">
        <v>150</v>
      </c>
      <c r="P345" s="46">
        <v>150</v>
      </c>
      <c r="Q345" s="46">
        <v>150</v>
      </c>
      <c r="R345" s="46">
        <v>150</v>
      </c>
      <c r="S345" s="46">
        <v>150</v>
      </c>
      <c r="T345" s="46">
        <v>150</v>
      </c>
      <c r="U345" s="46">
        <v>200</v>
      </c>
      <c r="V345" s="46">
        <v>200</v>
      </c>
      <c r="W345" s="46">
        <v>200</v>
      </c>
      <c r="X345" s="47">
        <f t="shared" si="36"/>
        <v>1950</v>
      </c>
      <c r="Y345" s="46">
        <v>200</v>
      </c>
      <c r="Z345" s="46">
        <v>200</v>
      </c>
      <c r="AA345" s="46">
        <v>200</v>
      </c>
      <c r="AB345" s="46">
        <v>200</v>
      </c>
      <c r="AC345" s="46">
        <v>200</v>
      </c>
      <c r="AD345" s="46">
        <v>0</v>
      </c>
      <c r="AE345" s="46">
        <v>200</v>
      </c>
      <c r="AF345" s="46">
        <v>200</v>
      </c>
      <c r="AG345" s="46">
        <v>200</v>
      </c>
      <c r="AH345" s="46">
        <v>200</v>
      </c>
      <c r="AI345" s="46">
        <v>200</v>
      </c>
      <c r="AJ345" s="46">
        <v>200</v>
      </c>
      <c r="AK345" s="47">
        <f t="shared" si="37"/>
        <v>2200</v>
      </c>
      <c r="AL345" s="46">
        <v>200</v>
      </c>
      <c r="AM345" s="46">
        <v>200</v>
      </c>
      <c r="AN345" s="46">
        <v>200</v>
      </c>
      <c r="AO345" s="46">
        <v>200</v>
      </c>
      <c r="AP345" s="46">
        <v>200</v>
      </c>
      <c r="AQ345" s="46">
        <v>200</v>
      </c>
      <c r="AR345" s="46">
        <v>200</v>
      </c>
      <c r="AS345" s="46">
        <v>200</v>
      </c>
      <c r="AT345" s="46">
        <v>200</v>
      </c>
      <c r="AU345" s="46">
        <v>200</v>
      </c>
      <c r="AV345" s="46">
        <v>200</v>
      </c>
      <c r="AW345" s="46">
        <v>200</v>
      </c>
      <c r="AX345" s="47">
        <f t="shared" si="38"/>
        <v>2400</v>
      </c>
      <c r="AY345" s="319">
        <f>SUMIF(Recibos!$D$4:$D$3010,Cobranza!$B345,Recibos!K$4:K$3010)</f>
        <v>200</v>
      </c>
      <c r="AZ345" s="319">
        <f>SUMIF(Recibos!$D$4:$D$3010,Cobranza!$B345,Recibos!L$4:L$3010)</f>
        <v>200</v>
      </c>
      <c r="BA345" s="319">
        <f>SUMIF(Recibos!$D$4:$D$3010,Cobranza!$B345,Recibos!M$4:M$3010)</f>
        <v>200</v>
      </c>
      <c r="BB345" s="319">
        <f>SUMIF(Recibos!$D$4:$D$3010,Cobranza!$B345,Recibos!N$4:N$3010)</f>
        <v>200</v>
      </c>
      <c r="BC345" s="319">
        <f>SUMIF(Recibos!$D$4:$D$3010,Cobranza!$B345,Recibos!O$4:O$3010)</f>
        <v>200</v>
      </c>
      <c r="BD345" s="319">
        <f>SUMIF(Recibos!$D$4:$D$3010,Cobranza!$B345,Recibos!P$4:P$3010)</f>
        <v>200</v>
      </c>
      <c r="BE345" s="319">
        <f>SUMIF(Recibos!$D$4:$D$3010,Cobranza!$B345,Recibos!Q$4:Q$3010)</f>
        <v>200</v>
      </c>
      <c r="BF345" s="319">
        <f>SUMIF(Recibos!$D$4:$D$3010,Cobranza!$B345,Recibos!R$4:R$3010)</f>
        <v>200</v>
      </c>
      <c r="BG345" s="319">
        <f>SUMIF(Recibos!$D$4:$D$3010,Cobranza!$B345,Recibos!S$4:S$3010)</f>
        <v>200</v>
      </c>
      <c r="BH345" s="319">
        <f>SUMIF(Recibos!$D$4:$D$3010,Cobranza!$B345,Recibos!T$4:T$3010)</f>
        <v>200</v>
      </c>
      <c r="BI345" s="319">
        <f>SUMIF(Recibos!$D$4:$D$3010,Cobranza!$B345,Recibos!U$4:U$3010)</f>
        <v>400</v>
      </c>
      <c r="BJ345" s="319">
        <f>SUMIF(Recibos!$D$4:$D$3010,Cobranza!$B345,Recibos!V$4:V$3010)</f>
        <v>0</v>
      </c>
      <c r="BK345" s="320">
        <f t="shared" si="39"/>
        <v>2400</v>
      </c>
      <c r="BL345" s="319">
        <f>SUMIF(Recibos!$D$4:$D$3010,Cobranza!$B345,Recibos!X$4:X$3010)</f>
        <v>0</v>
      </c>
      <c r="BM345" s="319">
        <f>SUMIF(Recibos!$D$4:$D$3010,Cobranza!$B345,Recibos!Y$4:Y$3010)</f>
        <v>0</v>
      </c>
      <c r="BN345" s="319">
        <f>SUMIF(Recibos!$D$4:$D$3010,Cobranza!$B345,Recibos!Z$4:Z$3010)</f>
        <v>0</v>
      </c>
      <c r="BO345" s="319">
        <f>SUMIF(Recibos!$D$4:$D$3010,Cobranza!$B345,Recibos!AA$4:AA$3010)</f>
        <v>0</v>
      </c>
      <c r="BP345" s="319">
        <f>SUMIF(Recibos!$D$4:$D$3010,Cobranza!$B345,Recibos!AB$4:AB$3010)</f>
        <v>0</v>
      </c>
      <c r="BQ345" s="319">
        <f>SUMIF(Recibos!$D$4:$D$3010,Cobranza!$B345,Recibos!AC$4:AC$3010)</f>
        <v>0</v>
      </c>
      <c r="BR345" s="319">
        <f>SUMIF(Recibos!$D$4:$D$3010,Cobranza!$B345,Recibos!AD$4:AD$3010)</f>
        <v>0</v>
      </c>
      <c r="BS345" s="319">
        <f>SUMIF(Recibos!$D$4:$D$3010,Cobranza!$B345,Recibos!AE$4:AE$3010)</f>
        <v>0</v>
      </c>
      <c r="BT345" s="319">
        <f>SUMIF(Recibos!$D$4:$D$3010,Cobranza!$B345,Recibos!AF$4:AF$3010)</f>
        <v>0</v>
      </c>
      <c r="BU345" s="319">
        <f>SUMIF(Recibos!$D$4:$D$3010,Cobranza!$B345,Recibos!AG$4:AG$3010)</f>
        <v>0</v>
      </c>
      <c r="BV345" s="319">
        <f>SUMIF(Recibos!$D$4:$D$3010,Cobranza!$B345,Recibos!AH$4:AH$3010)</f>
        <v>0</v>
      </c>
      <c r="BW345" s="319">
        <f>SUMIF(Recibos!$D$4:$D$3010,Cobranza!$B345,Recibos!AI$4:AI$3010)</f>
        <v>0</v>
      </c>
      <c r="BX345" s="320">
        <f t="shared" si="40"/>
        <v>0</v>
      </c>
    </row>
    <row r="346" spans="2:76" x14ac:dyDescent="0.2">
      <c r="B346" s="42" t="s">
        <v>165</v>
      </c>
      <c r="C346" s="42" t="s">
        <v>166</v>
      </c>
      <c r="D346" s="42" t="s">
        <v>167</v>
      </c>
      <c r="E346" s="43">
        <v>0</v>
      </c>
      <c r="F346" s="43">
        <v>0</v>
      </c>
      <c r="G346" s="43">
        <v>0</v>
      </c>
      <c r="H346" s="43">
        <v>0</v>
      </c>
      <c r="I346" s="43">
        <v>0</v>
      </c>
      <c r="J346" s="43">
        <v>0</v>
      </c>
      <c r="K346" s="44">
        <f t="shared" si="35"/>
        <v>0</v>
      </c>
      <c r="L346" s="43">
        <v>300</v>
      </c>
      <c r="M346" s="43">
        <v>300</v>
      </c>
      <c r="N346" s="43">
        <v>300</v>
      </c>
      <c r="O346" s="43">
        <v>300</v>
      </c>
      <c r="P346" s="43">
        <v>300</v>
      </c>
      <c r="Q346" s="43">
        <v>300</v>
      </c>
      <c r="R346" s="43">
        <v>300</v>
      </c>
      <c r="S346" s="43">
        <v>300</v>
      </c>
      <c r="T346" s="43">
        <v>300</v>
      </c>
      <c r="U346" s="43">
        <v>350</v>
      </c>
      <c r="V346" s="43">
        <v>350</v>
      </c>
      <c r="W346" s="43">
        <v>350</v>
      </c>
      <c r="X346" s="44">
        <f t="shared" si="36"/>
        <v>3750</v>
      </c>
      <c r="Y346" s="43">
        <v>350</v>
      </c>
      <c r="Z346" s="43">
        <v>350</v>
      </c>
      <c r="AA346" s="43">
        <v>350</v>
      </c>
      <c r="AB346" s="43">
        <v>350</v>
      </c>
      <c r="AC346" s="43">
        <v>350</v>
      </c>
      <c r="AD346" s="43">
        <v>350</v>
      </c>
      <c r="AE346" s="43">
        <v>350</v>
      </c>
      <c r="AF346" s="43">
        <v>350</v>
      </c>
      <c r="AG346" s="43">
        <v>350</v>
      </c>
      <c r="AH346" s="43">
        <v>350</v>
      </c>
      <c r="AI346" s="43">
        <v>350</v>
      </c>
      <c r="AJ346" s="43">
        <v>350</v>
      </c>
      <c r="AK346" s="44">
        <f t="shared" si="37"/>
        <v>4200</v>
      </c>
      <c r="AL346" s="43">
        <v>350</v>
      </c>
      <c r="AM346" s="43">
        <v>350</v>
      </c>
      <c r="AN346" s="43">
        <v>350</v>
      </c>
      <c r="AO346" s="43">
        <v>350</v>
      </c>
      <c r="AP346" s="43">
        <v>350</v>
      </c>
      <c r="AQ346" s="43">
        <v>350</v>
      </c>
      <c r="AR346" s="43">
        <v>350</v>
      </c>
      <c r="AS346" s="43">
        <v>350</v>
      </c>
      <c r="AT346" s="43">
        <v>350</v>
      </c>
      <c r="AU346" s="43">
        <v>350</v>
      </c>
      <c r="AV346" s="43">
        <v>350</v>
      </c>
      <c r="AW346" s="43">
        <v>350</v>
      </c>
      <c r="AX346" s="44">
        <f t="shared" si="38"/>
        <v>4200</v>
      </c>
      <c r="AY346" s="317">
        <f>SUMIF(Recibos!$D$4:$D$3010,Cobranza!$B346,Recibos!K$4:K$3010)</f>
        <v>350</v>
      </c>
      <c r="AZ346" s="317">
        <f>SUMIF(Recibos!$D$4:$D$3010,Cobranza!$B346,Recibos!L$4:L$3010)</f>
        <v>350</v>
      </c>
      <c r="BA346" s="317">
        <f>SUMIF(Recibos!$D$4:$D$3010,Cobranza!$B346,Recibos!M$4:M$3010)</f>
        <v>350</v>
      </c>
      <c r="BB346" s="317">
        <f>SUMIF(Recibos!$D$4:$D$3010,Cobranza!$B346,Recibos!N$4:N$3010)</f>
        <v>350</v>
      </c>
      <c r="BC346" s="317">
        <f>SUMIF(Recibos!$D$4:$D$3010,Cobranza!$B346,Recibos!O$4:O$3010)</f>
        <v>350</v>
      </c>
      <c r="BD346" s="317">
        <f>SUMIF(Recibos!$D$4:$D$3010,Cobranza!$B346,Recibos!P$4:P$3010)</f>
        <v>350</v>
      </c>
      <c r="BE346" s="317">
        <f>SUMIF(Recibos!$D$4:$D$3010,Cobranza!$B346,Recibos!Q$4:Q$3010)</f>
        <v>350</v>
      </c>
      <c r="BF346" s="317">
        <f>SUMIF(Recibos!$D$4:$D$3010,Cobranza!$B346,Recibos!R$4:R$3010)</f>
        <v>350</v>
      </c>
      <c r="BG346" s="317">
        <f>SUMIF(Recibos!$D$4:$D$3010,Cobranza!$B346,Recibos!S$4:S$3010)</f>
        <v>350</v>
      </c>
      <c r="BH346" s="317">
        <f>SUMIF(Recibos!$D$4:$D$3010,Cobranza!$B346,Recibos!T$4:T$3010)</f>
        <v>350</v>
      </c>
      <c r="BI346" s="317">
        <f>SUMIF(Recibos!$D$4:$D$3010,Cobranza!$B346,Recibos!U$4:U$3010)</f>
        <v>350</v>
      </c>
      <c r="BJ346" s="317">
        <f>SUMIF(Recibos!$D$4:$D$3010,Cobranza!$B346,Recibos!V$4:V$3010)</f>
        <v>350</v>
      </c>
      <c r="BK346" s="318">
        <f t="shared" si="39"/>
        <v>4200</v>
      </c>
      <c r="BL346" s="317">
        <f>SUMIF(Recibos!$D$4:$D$3010,Cobranza!$B346,Recibos!X$4:X$3010)</f>
        <v>0</v>
      </c>
      <c r="BM346" s="317">
        <f>SUMIF(Recibos!$D$4:$D$3010,Cobranza!$B346,Recibos!Y$4:Y$3010)</f>
        <v>0</v>
      </c>
      <c r="BN346" s="317">
        <f>SUMIF(Recibos!$D$4:$D$3010,Cobranza!$B346,Recibos!Z$4:Z$3010)</f>
        <v>0</v>
      </c>
      <c r="BO346" s="317">
        <f>SUMIF(Recibos!$D$4:$D$3010,Cobranza!$B346,Recibos!AA$4:AA$3010)</f>
        <v>0</v>
      </c>
      <c r="BP346" s="317">
        <f>SUMIF(Recibos!$D$4:$D$3010,Cobranza!$B346,Recibos!AB$4:AB$3010)</f>
        <v>0</v>
      </c>
      <c r="BQ346" s="317">
        <f>SUMIF(Recibos!$D$4:$D$3010,Cobranza!$B346,Recibos!AC$4:AC$3010)</f>
        <v>0</v>
      </c>
      <c r="BR346" s="317">
        <f>SUMIF(Recibos!$D$4:$D$3010,Cobranza!$B346,Recibos!AD$4:AD$3010)</f>
        <v>0</v>
      </c>
      <c r="BS346" s="317">
        <f>SUMIF(Recibos!$D$4:$D$3010,Cobranza!$B346,Recibos!AE$4:AE$3010)</f>
        <v>0</v>
      </c>
      <c r="BT346" s="317">
        <f>SUMIF(Recibos!$D$4:$D$3010,Cobranza!$B346,Recibos!AF$4:AF$3010)</f>
        <v>0</v>
      </c>
      <c r="BU346" s="317">
        <f>SUMIF(Recibos!$D$4:$D$3010,Cobranza!$B346,Recibos!AG$4:AG$3010)</f>
        <v>0</v>
      </c>
      <c r="BV346" s="317">
        <f>SUMIF(Recibos!$D$4:$D$3010,Cobranza!$B346,Recibos!AH$4:AH$3010)</f>
        <v>0</v>
      </c>
      <c r="BW346" s="317">
        <f>SUMIF(Recibos!$D$4:$D$3010,Cobranza!$B346,Recibos!AI$4:AI$3010)</f>
        <v>0</v>
      </c>
      <c r="BX346" s="318">
        <f t="shared" si="40"/>
        <v>0</v>
      </c>
    </row>
    <row r="347" spans="2:76" x14ac:dyDescent="0.2">
      <c r="B347" s="45" t="s">
        <v>1415</v>
      </c>
      <c r="C347" s="45" t="s">
        <v>1416</v>
      </c>
      <c r="D347" s="45" t="s">
        <v>1417</v>
      </c>
      <c r="E347" s="46">
        <v>300</v>
      </c>
      <c r="F347" s="46">
        <v>300</v>
      </c>
      <c r="G347" s="46">
        <v>300</v>
      </c>
      <c r="H347" s="46">
        <v>300</v>
      </c>
      <c r="I347" s="46">
        <v>300</v>
      </c>
      <c r="J347" s="46">
        <v>300</v>
      </c>
      <c r="K347" s="47">
        <f t="shared" si="35"/>
        <v>1800</v>
      </c>
      <c r="L347" s="46">
        <v>300</v>
      </c>
      <c r="M347" s="46">
        <v>300</v>
      </c>
      <c r="N347" s="46">
        <v>300</v>
      </c>
      <c r="O347" s="46">
        <v>300</v>
      </c>
      <c r="P347" s="46">
        <v>300</v>
      </c>
      <c r="Q347" s="46">
        <v>300</v>
      </c>
      <c r="R347" s="46">
        <v>0</v>
      </c>
      <c r="S347" s="46">
        <v>0</v>
      </c>
      <c r="T347" s="46">
        <v>0</v>
      </c>
      <c r="U347" s="46">
        <v>0</v>
      </c>
      <c r="V347" s="46">
        <v>0</v>
      </c>
      <c r="W347" s="46">
        <v>0</v>
      </c>
      <c r="X347" s="47">
        <f t="shared" si="36"/>
        <v>1800</v>
      </c>
      <c r="Y347" s="46">
        <v>0</v>
      </c>
      <c r="Z347" s="46">
        <v>0</v>
      </c>
      <c r="AA347" s="46">
        <v>0</v>
      </c>
      <c r="AB347" s="46">
        <v>0</v>
      </c>
      <c r="AC347" s="46">
        <v>0</v>
      </c>
      <c r="AD347" s="46">
        <v>0</v>
      </c>
      <c r="AE347" s="46">
        <v>0</v>
      </c>
      <c r="AF347" s="46">
        <v>0</v>
      </c>
      <c r="AG347" s="46">
        <v>0</v>
      </c>
      <c r="AH347" s="46">
        <v>0</v>
      </c>
      <c r="AI347" s="46">
        <v>0</v>
      </c>
      <c r="AJ347" s="46">
        <v>0</v>
      </c>
      <c r="AK347" s="47">
        <f t="shared" si="37"/>
        <v>0</v>
      </c>
      <c r="AL347" s="46">
        <v>0</v>
      </c>
      <c r="AM347" s="46">
        <v>0</v>
      </c>
      <c r="AN347" s="46">
        <v>0</v>
      </c>
      <c r="AO347" s="46">
        <v>0</v>
      </c>
      <c r="AP347" s="46">
        <v>0</v>
      </c>
      <c r="AQ347" s="46">
        <v>0</v>
      </c>
      <c r="AR347" s="46">
        <v>0</v>
      </c>
      <c r="AS347" s="46">
        <v>0</v>
      </c>
      <c r="AT347" s="46">
        <v>0</v>
      </c>
      <c r="AU347" s="46">
        <v>0</v>
      </c>
      <c r="AV347" s="46">
        <v>0</v>
      </c>
      <c r="AW347" s="46">
        <v>0</v>
      </c>
      <c r="AX347" s="47">
        <f t="shared" si="38"/>
        <v>0</v>
      </c>
      <c r="AY347" s="319">
        <f>SUMIF(Recibos!$D$4:$D$3010,Cobranza!$B347,Recibos!K$4:K$3010)</f>
        <v>0</v>
      </c>
      <c r="AZ347" s="319">
        <f>SUMIF(Recibos!$D$4:$D$3010,Cobranza!$B347,Recibos!L$4:L$3010)</f>
        <v>0</v>
      </c>
      <c r="BA347" s="319">
        <f>SUMIF(Recibos!$D$4:$D$3010,Cobranza!$B347,Recibos!M$4:M$3010)</f>
        <v>0</v>
      </c>
      <c r="BB347" s="319">
        <f>SUMIF(Recibos!$D$4:$D$3010,Cobranza!$B347,Recibos!N$4:N$3010)</f>
        <v>0</v>
      </c>
      <c r="BC347" s="319">
        <f>SUMIF(Recibos!$D$4:$D$3010,Cobranza!$B347,Recibos!O$4:O$3010)</f>
        <v>0</v>
      </c>
      <c r="BD347" s="319">
        <f>SUMIF(Recibos!$D$4:$D$3010,Cobranza!$B347,Recibos!P$4:P$3010)</f>
        <v>0</v>
      </c>
      <c r="BE347" s="319">
        <f>SUMIF(Recibos!$D$4:$D$3010,Cobranza!$B347,Recibos!Q$4:Q$3010)</f>
        <v>0</v>
      </c>
      <c r="BF347" s="319">
        <f>SUMIF(Recibos!$D$4:$D$3010,Cobranza!$B347,Recibos!R$4:R$3010)</f>
        <v>0</v>
      </c>
      <c r="BG347" s="319">
        <f>SUMIF(Recibos!$D$4:$D$3010,Cobranza!$B347,Recibos!S$4:S$3010)</f>
        <v>0</v>
      </c>
      <c r="BH347" s="319">
        <f>SUMIF(Recibos!$D$4:$D$3010,Cobranza!$B347,Recibos!T$4:T$3010)</f>
        <v>0</v>
      </c>
      <c r="BI347" s="319">
        <f>SUMIF(Recibos!$D$4:$D$3010,Cobranza!$B347,Recibos!U$4:U$3010)</f>
        <v>0</v>
      </c>
      <c r="BJ347" s="319">
        <f>SUMIF(Recibos!$D$4:$D$3010,Cobranza!$B347,Recibos!V$4:V$3010)</f>
        <v>0</v>
      </c>
      <c r="BK347" s="320">
        <f t="shared" si="39"/>
        <v>0</v>
      </c>
      <c r="BL347" s="319">
        <f>SUMIF(Recibos!$D$4:$D$3010,Cobranza!$B347,Recibos!X$4:X$3010)</f>
        <v>0</v>
      </c>
      <c r="BM347" s="319">
        <f>SUMIF(Recibos!$D$4:$D$3010,Cobranza!$B347,Recibos!Y$4:Y$3010)</f>
        <v>0</v>
      </c>
      <c r="BN347" s="319">
        <f>SUMIF(Recibos!$D$4:$D$3010,Cobranza!$B347,Recibos!Z$4:Z$3010)</f>
        <v>0</v>
      </c>
      <c r="BO347" s="319">
        <f>SUMIF(Recibos!$D$4:$D$3010,Cobranza!$B347,Recibos!AA$4:AA$3010)</f>
        <v>0</v>
      </c>
      <c r="BP347" s="319">
        <f>SUMIF(Recibos!$D$4:$D$3010,Cobranza!$B347,Recibos!AB$4:AB$3010)</f>
        <v>0</v>
      </c>
      <c r="BQ347" s="319">
        <f>SUMIF(Recibos!$D$4:$D$3010,Cobranza!$B347,Recibos!AC$4:AC$3010)</f>
        <v>0</v>
      </c>
      <c r="BR347" s="319">
        <f>SUMIF(Recibos!$D$4:$D$3010,Cobranza!$B347,Recibos!AD$4:AD$3010)</f>
        <v>0</v>
      </c>
      <c r="BS347" s="319">
        <f>SUMIF(Recibos!$D$4:$D$3010,Cobranza!$B347,Recibos!AE$4:AE$3010)</f>
        <v>0</v>
      </c>
      <c r="BT347" s="319">
        <f>SUMIF(Recibos!$D$4:$D$3010,Cobranza!$B347,Recibos!AF$4:AF$3010)</f>
        <v>0</v>
      </c>
      <c r="BU347" s="319">
        <f>SUMIF(Recibos!$D$4:$D$3010,Cobranza!$B347,Recibos!AG$4:AG$3010)</f>
        <v>0</v>
      </c>
      <c r="BV347" s="319">
        <f>SUMIF(Recibos!$D$4:$D$3010,Cobranza!$B347,Recibos!AH$4:AH$3010)</f>
        <v>0</v>
      </c>
      <c r="BW347" s="319">
        <f>SUMIF(Recibos!$D$4:$D$3010,Cobranza!$B347,Recibos!AI$4:AI$3010)</f>
        <v>0</v>
      </c>
      <c r="BX347" s="320">
        <f t="shared" si="40"/>
        <v>0</v>
      </c>
    </row>
    <row r="348" spans="2:76" x14ac:dyDescent="0.2">
      <c r="B348" s="42" t="s">
        <v>1128</v>
      </c>
      <c r="C348" s="42" t="s">
        <v>1129</v>
      </c>
      <c r="D348" s="42" t="s">
        <v>1130</v>
      </c>
      <c r="E348" s="43">
        <v>0</v>
      </c>
      <c r="F348" s="43">
        <v>0</v>
      </c>
      <c r="G348" s="43">
        <v>0</v>
      </c>
      <c r="H348" s="43">
        <v>0</v>
      </c>
      <c r="I348" s="43">
        <v>0</v>
      </c>
      <c r="J348" s="43">
        <v>300</v>
      </c>
      <c r="K348" s="44">
        <f t="shared" si="35"/>
        <v>300</v>
      </c>
      <c r="L348" s="43">
        <v>300</v>
      </c>
      <c r="M348" s="43">
        <v>300</v>
      </c>
      <c r="N348" s="43">
        <v>300</v>
      </c>
      <c r="O348" s="43">
        <v>300</v>
      </c>
      <c r="P348" s="43">
        <v>300</v>
      </c>
      <c r="Q348" s="43">
        <v>300</v>
      </c>
      <c r="R348" s="43">
        <v>300</v>
      </c>
      <c r="S348" s="43">
        <v>0</v>
      </c>
      <c r="T348" s="43">
        <v>0</v>
      </c>
      <c r="U348" s="43">
        <v>0</v>
      </c>
      <c r="V348" s="43">
        <v>0</v>
      </c>
      <c r="W348" s="43">
        <v>0</v>
      </c>
      <c r="X348" s="44">
        <f t="shared" si="36"/>
        <v>2100</v>
      </c>
      <c r="Y348" s="43">
        <v>0</v>
      </c>
      <c r="Z348" s="43">
        <v>0</v>
      </c>
      <c r="AA348" s="43">
        <v>0</v>
      </c>
      <c r="AB348" s="43">
        <v>0</v>
      </c>
      <c r="AC348" s="43">
        <v>0</v>
      </c>
      <c r="AD348" s="43">
        <v>0</v>
      </c>
      <c r="AE348" s="43">
        <v>0</v>
      </c>
      <c r="AF348" s="43">
        <v>0</v>
      </c>
      <c r="AG348" s="43">
        <v>0</v>
      </c>
      <c r="AH348" s="43">
        <v>0</v>
      </c>
      <c r="AI348" s="43">
        <v>0</v>
      </c>
      <c r="AJ348" s="43">
        <v>0</v>
      </c>
      <c r="AK348" s="44">
        <f t="shared" si="37"/>
        <v>0</v>
      </c>
      <c r="AL348" s="43">
        <v>0</v>
      </c>
      <c r="AM348" s="43">
        <v>0</v>
      </c>
      <c r="AN348" s="43">
        <v>0</v>
      </c>
      <c r="AO348" s="43">
        <v>0</v>
      </c>
      <c r="AP348" s="43">
        <v>0</v>
      </c>
      <c r="AQ348" s="43">
        <v>0</v>
      </c>
      <c r="AR348" s="43">
        <v>0</v>
      </c>
      <c r="AS348" s="43">
        <v>0</v>
      </c>
      <c r="AT348" s="43">
        <v>0</v>
      </c>
      <c r="AU348" s="43">
        <v>0</v>
      </c>
      <c r="AV348" s="43">
        <v>0</v>
      </c>
      <c r="AW348" s="43">
        <v>0</v>
      </c>
      <c r="AX348" s="44">
        <f t="shared" si="38"/>
        <v>0</v>
      </c>
      <c r="AY348" s="317">
        <f>SUMIF(Recibos!$D$4:$D$3010,Cobranza!$B348,Recibos!K$4:K$3010)</f>
        <v>0</v>
      </c>
      <c r="AZ348" s="317">
        <f>SUMIF(Recibos!$D$4:$D$3010,Cobranza!$B348,Recibos!L$4:L$3010)</f>
        <v>0</v>
      </c>
      <c r="BA348" s="317">
        <f>SUMIF(Recibos!$D$4:$D$3010,Cobranza!$B348,Recibos!M$4:M$3010)</f>
        <v>0</v>
      </c>
      <c r="BB348" s="317">
        <f>SUMIF(Recibos!$D$4:$D$3010,Cobranza!$B348,Recibos!N$4:N$3010)</f>
        <v>0</v>
      </c>
      <c r="BC348" s="317">
        <f>SUMIF(Recibos!$D$4:$D$3010,Cobranza!$B348,Recibos!O$4:O$3010)</f>
        <v>0</v>
      </c>
      <c r="BD348" s="317">
        <f>SUMIF(Recibos!$D$4:$D$3010,Cobranza!$B348,Recibos!P$4:P$3010)</f>
        <v>0</v>
      </c>
      <c r="BE348" s="317">
        <f>SUMIF(Recibos!$D$4:$D$3010,Cobranza!$B348,Recibos!Q$4:Q$3010)</f>
        <v>0</v>
      </c>
      <c r="BF348" s="317">
        <f>SUMIF(Recibos!$D$4:$D$3010,Cobranza!$B348,Recibos!R$4:R$3010)</f>
        <v>0</v>
      </c>
      <c r="BG348" s="317">
        <f>SUMIF(Recibos!$D$4:$D$3010,Cobranza!$B348,Recibos!S$4:S$3010)</f>
        <v>0</v>
      </c>
      <c r="BH348" s="317">
        <f>SUMIF(Recibos!$D$4:$D$3010,Cobranza!$B348,Recibos!T$4:T$3010)</f>
        <v>0</v>
      </c>
      <c r="BI348" s="317">
        <f>SUMIF(Recibos!$D$4:$D$3010,Cobranza!$B348,Recibos!U$4:U$3010)</f>
        <v>0</v>
      </c>
      <c r="BJ348" s="317">
        <f>SUMIF(Recibos!$D$4:$D$3010,Cobranza!$B348,Recibos!V$4:V$3010)</f>
        <v>0</v>
      </c>
      <c r="BK348" s="318">
        <f t="shared" si="39"/>
        <v>0</v>
      </c>
      <c r="BL348" s="317">
        <f>SUMIF(Recibos!$D$4:$D$3010,Cobranza!$B348,Recibos!X$4:X$3010)</f>
        <v>0</v>
      </c>
      <c r="BM348" s="317">
        <f>SUMIF(Recibos!$D$4:$D$3010,Cobranza!$B348,Recibos!Y$4:Y$3010)</f>
        <v>0</v>
      </c>
      <c r="BN348" s="317">
        <f>SUMIF(Recibos!$D$4:$D$3010,Cobranza!$B348,Recibos!Z$4:Z$3010)</f>
        <v>0</v>
      </c>
      <c r="BO348" s="317">
        <f>SUMIF(Recibos!$D$4:$D$3010,Cobranza!$B348,Recibos!AA$4:AA$3010)</f>
        <v>0</v>
      </c>
      <c r="BP348" s="317">
        <f>SUMIF(Recibos!$D$4:$D$3010,Cobranza!$B348,Recibos!AB$4:AB$3010)</f>
        <v>0</v>
      </c>
      <c r="BQ348" s="317">
        <f>SUMIF(Recibos!$D$4:$D$3010,Cobranza!$B348,Recibos!AC$4:AC$3010)</f>
        <v>0</v>
      </c>
      <c r="BR348" s="317">
        <f>SUMIF(Recibos!$D$4:$D$3010,Cobranza!$B348,Recibos!AD$4:AD$3010)</f>
        <v>0</v>
      </c>
      <c r="BS348" s="317">
        <f>SUMIF(Recibos!$D$4:$D$3010,Cobranza!$B348,Recibos!AE$4:AE$3010)</f>
        <v>0</v>
      </c>
      <c r="BT348" s="317">
        <f>SUMIF(Recibos!$D$4:$D$3010,Cobranza!$B348,Recibos!AF$4:AF$3010)</f>
        <v>0</v>
      </c>
      <c r="BU348" s="317">
        <f>SUMIF(Recibos!$D$4:$D$3010,Cobranza!$B348,Recibos!AG$4:AG$3010)</f>
        <v>0</v>
      </c>
      <c r="BV348" s="317">
        <f>SUMIF(Recibos!$D$4:$D$3010,Cobranza!$B348,Recibos!AH$4:AH$3010)</f>
        <v>0</v>
      </c>
      <c r="BW348" s="317">
        <f>SUMIF(Recibos!$D$4:$D$3010,Cobranza!$B348,Recibos!AI$4:AI$3010)</f>
        <v>0</v>
      </c>
      <c r="BX348" s="318">
        <f t="shared" si="40"/>
        <v>0</v>
      </c>
    </row>
    <row r="349" spans="2:76" x14ac:dyDescent="0.2">
      <c r="B349" s="45" t="s">
        <v>602</v>
      </c>
      <c r="C349" s="45" t="s">
        <v>603</v>
      </c>
      <c r="D349" s="45" t="s">
        <v>604</v>
      </c>
      <c r="E349" s="46">
        <v>0</v>
      </c>
      <c r="F349" s="46">
        <v>0</v>
      </c>
      <c r="G349" s="46">
        <v>0</v>
      </c>
      <c r="H349" s="46">
        <v>0</v>
      </c>
      <c r="I349" s="46">
        <v>0</v>
      </c>
      <c r="J349" s="46">
        <v>300</v>
      </c>
      <c r="K349" s="47">
        <f t="shared" si="35"/>
        <v>300</v>
      </c>
      <c r="L349" s="46">
        <v>300</v>
      </c>
      <c r="M349" s="46">
        <v>300</v>
      </c>
      <c r="N349" s="46">
        <v>300</v>
      </c>
      <c r="O349" s="46">
        <v>0</v>
      </c>
      <c r="P349" s="46">
        <v>0</v>
      </c>
      <c r="Q349" s="46">
        <v>0</v>
      </c>
      <c r="R349" s="46">
        <v>0</v>
      </c>
      <c r="S349" s="46">
        <v>0</v>
      </c>
      <c r="T349" s="46">
        <v>0</v>
      </c>
      <c r="U349" s="46">
        <v>0</v>
      </c>
      <c r="V349" s="46">
        <v>0</v>
      </c>
      <c r="W349" s="46">
        <v>0</v>
      </c>
      <c r="X349" s="47">
        <f t="shared" si="36"/>
        <v>900</v>
      </c>
      <c r="Y349" s="46">
        <v>0</v>
      </c>
      <c r="Z349" s="46">
        <v>0</v>
      </c>
      <c r="AA349" s="46">
        <v>0</v>
      </c>
      <c r="AB349" s="46">
        <v>0</v>
      </c>
      <c r="AC349" s="46">
        <v>0</v>
      </c>
      <c r="AD349" s="46">
        <v>0</v>
      </c>
      <c r="AE349" s="46">
        <v>0</v>
      </c>
      <c r="AF349" s="46">
        <v>0</v>
      </c>
      <c r="AG349" s="46">
        <v>0</v>
      </c>
      <c r="AH349" s="46">
        <v>0</v>
      </c>
      <c r="AI349" s="46">
        <v>0</v>
      </c>
      <c r="AJ349" s="46">
        <v>0</v>
      </c>
      <c r="AK349" s="47">
        <f t="shared" si="37"/>
        <v>0</v>
      </c>
      <c r="AL349" s="46">
        <v>0</v>
      </c>
      <c r="AM349" s="46">
        <v>0</v>
      </c>
      <c r="AN349" s="46">
        <v>200</v>
      </c>
      <c r="AO349" s="46">
        <v>200</v>
      </c>
      <c r="AP349" s="46">
        <v>200</v>
      </c>
      <c r="AQ349" s="46">
        <v>200</v>
      </c>
      <c r="AR349" s="46">
        <v>200</v>
      </c>
      <c r="AS349" s="46">
        <v>200</v>
      </c>
      <c r="AT349" s="46">
        <v>200</v>
      </c>
      <c r="AU349" s="46">
        <v>200</v>
      </c>
      <c r="AV349" s="46">
        <v>200</v>
      </c>
      <c r="AW349" s="46">
        <v>200</v>
      </c>
      <c r="AX349" s="47">
        <f t="shared" si="38"/>
        <v>2000</v>
      </c>
      <c r="AY349" s="319">
        <f>SUMIF(Recibos!$D$4:$D$3010,Cobranza!$B349,Recibos!K$4:K$3010)</f>
        <v>200</v>
      </c>
      <c r="AZ349" s="319">
        <f>SUMIF(Recibos!$D$4:$D$3010,Cobranza!$B349,Recibos!L$4:L$3010)</f>
        <v>200</v>
      </c>
      <c r="BA349" s="319">
        <f>SUMIF(Recibos!$D$4:$D$3010,Cobranza!$B349,Recibos!M$4:M$3010)</f>
        <v>200</v>
      </c>
      <c r="BB349" s="319">
        <f>SUMIF(Recibos!$D$4:$D$3010,Cobranza!$B349,Recibos!N$4:N$3010)</f>
        <v>200</v>
      </c>
      <c r="BC349" s="319">
        <f>SUMIF(Recibos!$D$4:$D$3010,Cobranza!$B349,Recibos!O$4:O$3010)</f>
        <v>200</v>
      </c>
      <c r="BD349" s="319">
        <f>SUMIF(Recibos!$D$4:$D$3010,Cobranza!$B349,Recibos!P$4:P$3010)</f>
        <v>200</v>
      </c>
      <c r="BE349" s="319">
        <f>SUMIF(Recibos!$D$4:$D$3010,Cobranza!$B349,Recibos!Q$4:Q$3010)</f>
        <v>200</v>
      </c>
      <c r="BF349" s="319">
        <f>SUMIF(Recibos!$D$4:$D$3010,Cobranza!$B349,Recibos!R$4:R$3010)</f>
        <v>200</v>
      </c>
      <c r="BG349" s="319">
        <f>SUMIF(Recibos!$D$4:$D$3010,Cobranza!$B349,Recibos!S$4:S$3010)</f>
        <v>200</v>
      </c>
      <c r="BH349" s="319">
        <f>SUMIF(Recibos!$D$4:$D$3010,Cobranza!$B349,Recibos!T$4:T$3010)</f>
        <v>200</v>
      </c>
      <c r="BI349" s="319">
        <f>SUMIF(Recibos!$D$4:$D$3010,Cobranza!$B349,Recibos!U$4:U$3010)</f>
        <v>200</v>
      </c>
      <c r="BJ349" s="319">
        <f>SUMIF(Recibos!$D$4:$D$3010,Cobranza!$B349,Recibos!V$4:V$3010)</f>
        <v>200</v>
      </c>
      <c r="BK349" s="320">
        <f t="shared" si="39"/>
        <v>2400</v>
      </c>
      <c r="BL349" s="319">
        <f>SUMIF(Recibos!$D$4:$D$3010,Cobranza!$B349,Recibos!X$4:X$3010)</f>
        <v>0</v>
      </c>
      <c r="BM349" s="319">
        <f>SUMIF(Recibos!$D$4:$D$3010,Cobranza!$B349,Recibos!Y$4:Y$3010)</f>
        <v>0</v>
      </c>
      <c r="BN349" s="319">
        <f>SUMIF(Recibos!$D$4:$D$3010,Cobranza!$B349,Recibos!Z$4:Z$3010)</f>
        <v>0</v>
      </c>
      <c r="BO349" s="319">
        <f>SUMIF(Recibos!$D$4:$D$3010,Cobranza!$B349,Recibos!AA$4:AA$3010)</f>
        <v>0</v>
      </c>
      <c r="BP349" s="319">
        <f>SUMIF(Recibos!$D$4:$D$3010,Cobranza!$B349,Recibos!AB$4:AB$3010)</f>
        <v>0</v>
      </c>
      <c r="BQ349" s="319">
        <f>SUMIF(Recibos!$D$4:$D$3010,Cobranza!$B349,Recibos!AC$4:AC$3010)</f>
        <v>0</v>
      </c>
      <c r="BR349" s="319">
        <f>SUMIF(Recibos!$D$4:$D$3010,Cobranza!$B349,Recibos!AD$4:AD$3010)</f>
        <v>0</v>
      </c>
      <c r="BS349" s="319">
        <f>SUMIF(Recibos!$D$4:$D$3010,Cobranza!$B349,Recibos!AE$4:AE$3010)</f>
        <v>0</v>
      </c>
      <c r="BT349" s="319">
        <f>SUMIF(Recibos!$D$4:$D$3010,Cobranza!$B349,Recibos!AF$4:AF$3010)</f>
        <v>0</v>
      </c>
      <c r="BU349" s="319">
        <f>SUMIF(Recibos!$D$4:$D$3010,Cobranza!$B349,Recibos!AG$4:AG$3010)</f>
        <v>0</v>
      </c>
      <c r="BV349" s="319">
        <f>SUMIF(Recibos!$D$4:$D$3010,Cobranza!$B349,Recibos!AH$4:AH$3010)</f>
        <v>0</v>
      </c>
      <c r="BW349" s="319">
        <f>SUMIF(Recibos!$D$4:$D$3010,Cobranza!$B349,Recibos!AI$4:AI$3010)</f>
        <v>0</v>
      </c>
      <c r="BX349" s="320">
        <f t="shared" si="40"/>
        <v>0</v>
      </c>
    </row>
    <row r="350" spans="2:76" x14ac:dyDescent="0.2">
      <c r="B350" s="42" t="s">
        <v>1181</v>
      </c>
      <c r="C350" s="42" t="s">
        <v>1182</v>
      </c>
      <c r="D350" s="42" t="s">
        <v>1183</v>
      </c>
      <c r="E350" s="43">
        <v>0</v>
      </c>
      <c r="F350" s="43">
        <v>0</v>
      </c>
      <c r="G350" s="43">
        <v>0</v>
      </c>
      <c r="H350" s="43">
        <v>0</v>
      </c>
      <c r="I350" s="43">
        <v>0</v>
      </c>
      <c r="J350" s="43">
        <v>0</v>
      </c>
      <c r="K350" s="44">
        <f t="shared" si="35"/>
        <v>0</v>
      </c>
      <c r="L350" s="43">
        <v>0</v>
      </c>
      <c r="M350" s="43">
        <v>0</v>
      </c>
      <c r="N350" s="43">
        <v>0</v>
      </c>
      <c r="O350" s="43">
        <v>0</v>
      </c>
      <c r="P350" s="43">
        <v>0</v>
      </c>
      <c r="Q350" s="43">
        <v>0</v>
      </c>
      <c r="R350" s="43">
        <v>0</v>
      </c>
      <c r="S350" s="43">
        <v>0</v>
      </c>
      <c r="T350" s="43">
        <v>0</v>
      </c>
      <c r="U350" s="43">
        <v>0</v>
      </c>
      <c r="V350" s="43">
        <v>0</v>
      </c>
      <c r="W350" s="43">
        <v>0</v>
      </c>
      <c r="X350" s="44">
        <f t="shared" si="36"/>
        <v>0</v>
      </c>
      <c r="Y350" s="43">
        <v>300</v>
      </c>
      <c r="Z350" s="43">
        <v>300</v>
      </c>
      <c r="AA350" s="43">
        <v>300</v>
      </c>
      <c r="AB350" s="43">
        <v>300</v>
      </c>
      <c r="AC350" s="43">
        <v>300</v>
      </c>
      <c r="AD350" s="43">
        <v>300</v>
      </c>
      <c r="AE350" s="43">
        <v>0</v>
      </c>
      <c r="AF350" s="43">
        <v>0</v>
      </c>
      <c r="AG350" s="43">
        <v>0</v>
      </c>
      <c r="AH350" s="43">
        <v>0</v>
      </c>
      <c r="AI350" s="43">
        <v>0</v>
      </c>
      <c r="AJ350" s="43">
        <v>0</v>
      </c>
      <c r="AK350" s="44">
        <f t="shared" si="37"/>
        <v>1800</v>
      </c>
      <c r="AL350" s="43">
        <v>0</v>
      </c>
      <c r="AM350" s="43">
        <v>0</v>
      </c>
      <c r="AN350" s="43">
        <v>0</v>
      </c>
      <c r="AO350" s="43">
        <v>0</v>
      </c>
      <c r="AP350" s="43">
        <v>0</v>
      </c>
      <c r="AQ350" s="43">
        <v>0</v>
      </c>
      <c r="AR350" s="43">
        <v>0</v>
      </c>
      <c r="AS350" s="43">
        <v>0</v>
      </c>
      <c r="AT350" s="43">
        <v>0</v>
      </c>
      <c r="AU350" s="43">
        <v>0</v>
      </c>
      <c r="AV350" s="43">
        <v>0</v>
      </c>
      <c r="AW350" s="43">
        <v>0</v>
      </c>
      <c r="AX350" s="44">
        <f t="shared" si="38"/>
        <v>0</v>
      </c>
      <c r="AY350" s="317">
        <f>SUMIF(Recibos!$D$4:$D$3010,Cobranza!$B350,Recibos!K$4:K$3010)</f>
        <v>200</v>
      </c>
      <c r="AZ350" s="317">
        <f>SUMIF(Recibos!$D$4:$D$3010,Cobranza!$B350,Recibos!L$4:L$3010)</f>
        <v>200</v>
      </c>
      <c r="BA350" s="317">
        <f>SUMIF(Recibos!$D$4:$D$3010,Cobranza!$B350,Recibos!M$4:M$3010)</f>
        <v>200</v>
      </c>
      <c r="BB350" s="317">
        <f>SUMIF(Recibos!$D$4:$D$3010,Cobranza!$B350,Recibos!N$4:N$3010)</f>
        <v>200</v>
      </c>
      <c r="BC350" s="317">
        <f>SUMIF(Recibos!$D$4:$D$3010,Cobranza!$B350,Recibos!O$4:O$3010)</f>
        <v>200</v>
      </c>
      <c r="BD350" s="317">
        <f>SUMIF(Recibos!$D$4:$D$3010,Cobranza!$B350,Recibos!P$4:P$3010)</f>
        <v>200</v>
      </c>
      <c r="BE350" s="317">
        <f>SUMIF(Recibos!$D$4:$D$3010,Cobranza!$B350,Recibos!Q$4:Q$3010)</f>
        <v>200</v>
      </c>
      <c r="BF350" s="317">
        <f>SUMIF(Recibos!$D$4:$D$3010,Cobranza!$B350,Recibos!R$4:R$3010)</f>
        <v>200</v>
      </c>
      <c r="BG350" s="317">
        <f>SUMIF(Recibos!$D$4:$D$3010,Cobranza!$B350,Recibos!S$4:S$3010)</f>
        <v>200</v>
      </c>
      <c r="BH350" s="317">
        <f>SUMIF(Recibos!$D$4:$D$3010,Cobranza!$B350,Recibos!T$4:T$3010)</f>
        <v>200</v>
      </c>
      <c r="BI350" s="317">
        <f>SUMIF(Recibos!$D$4:$D$3010,Cobranza!$B350,Recibos!U$4:U$3010)</f>
        <v>200</v>
      </c>
      <c r="BJ350" s="317">
        <f>SUMIF(Recibos!$D$4:$D$3010,Cobranza!$B350,Recibos!V$4:V$3010)</f>
        <v>200</v>
      </c>
      <c r="BK350" s="318">
        <f t="shared" si="39"/>
        <v>2400</v>
      </c>
      <c r="BL350" s="317">
        <f>SUMIF(Recibos!$D$4:$D$3010,Cobranza!$B350,Recibos!X$4:X$3010)</f>
        <v>0</v>
      </c>
      <c r="BM350" s="317">
        <f>SUMIF(Recibos!$D$4:$D$3010,Cobranza!$B350,Recibos!Y$4:Y$3010)</f>
        <v>0</v>
      </c>
      <c r="BN350" s="317">
        <f>SUMIF(Recibos!$D$4:$D$3010,Cobranza!$B350,Recibos!Z$4:Z$3010)</f>
        <v>0</v>
      </c>
      <c r="BO350" s="317">
        <f>SUMIF(Recibos!$D$4:$D$3010,Cobranza!$B350,Recibos!AA$4:AA$3010)</f>
        <v>0</v>
      </c>
      <c r="BP350" s="317">
        <f>SUMIF(Recibos!$D$4:$D$3010,Cobranza!$B350,Recibos!AB$4:AB$3010)</f>
        <v>0</v>
      </c>
      <c r="BQ350" s="317">
        <f>SUMIF(Recibos!$D$4:$D$3010,Cobranza!$B350,Recibos!AC$4:AC$3010)</f>
        <v>0</v>
      </c>
      <c r="BR350" s="317">
        <f>SUMIF(Recibos!$D$4:$D$3010,Cobranza!$B350,Recibos!AD$4:AD$3010)</f>
        <v>0</v>
      </c>
      <c r="BS350" s="317">
        <f>SUMIF(Recibos!$D$4:$D$3010,Cobranza!$B350,Recibos!AE$4:AE$3010)</f>
        <v>0</v>
      </c>
      <c r="BT350" s="317">
        <f>SUMIF(Recibos!$D$4:$D$3010,Cobranza!$B350,Recibos!AF$4:AF$3010)</f>
        <v>0</v>
      </c>
      <c r="BU350" s="317">
        <f>SUMIF(Recibos!$D$4:$D$3010,Cobranza!$B350,Recibos!AG$4:AG$3010)</f>
        <v>0</v>
      </c>
      <c r="BV350" s="317">
        <f>SUMIF(Recibos!$D$4:$D$3010,Cobranza!$B350,Recibos!AH$4:AH$3010)</f>
        <v>0</v>
      </c>
      <c r="BW350" s="317">
        <f>SUMIF(Recibos!$D$4:$D$3010,Cobranza!$B350,Recibos!AI$4:AI$3010)</f>
        <v>0</v>
      </c>
      <c r="BX350" s="318">
        <f t="shared" si="40"/>
        <v>0</v>
      </c>
    </row>
    <row r="351" spans="2:76" x14ac:dyDescent="0.2">
      <c r="B351" s="45" t="s">
        <v>100</v>
      </c>
      <c r="C351" s="45" t="s">
        <v>101</v>
      </c>
      <c r="D351" s="45" t="s">
        <v>102</v>
      </c>
      <c r="E351" s="46">
        <v>0</v>
      </c>
      <c r="F351" s="46">
        <v>0</v>
      </c>
      <c r="G351" s="46">
        <v>0</v>
      </c>
      <c r="H351" s="46">
        <v>0</v>
      </c>
      <c r="I351" s="46">
        <v>0</v>
      </c>
      <c r="J351" s="46">
        <v>300</v>
      </c>
      <c r="K351" s="47">
        <f t="shared" si="35"/>
        <v>300</v>
      </c>
      <c r="L351" s="46">
        <v>300</v>
      </c>
      <c r="M351" s="46">
        <v>300</v>
      </c>
      <c r="N351" s="46">
        <v>300</v>
      </c>
      <c r="O351" s="46">
        <v>300</v>
      </c>
      <c r="P351" s="46">
        <v>300</v>
      </c>
      <c r="Q351" s="46">
        <v>300</v>
      </c>
      <c r="R351" s="46">
        <v>300</v>
      </c>
      <c r="S351" s="46">
        <v>300</v>
      </c>
      <c r="T351" s="46">
        <v>300</v>
      </c>
      <c r="U351" s="46">
        <v>400</v>
      </c>
      <c r="V351" s="46">
        <v>400</v>
      </c>
      <c r="W351" s="46">
        <v>400</v>
      </c>
      <c r="X351" s="47">
        <f t="shared" si="36"/>
        <v>3900</v>
      </c>
      <c r="Y351" s="46">
        <v>400</v>
      </c>
      <c r="Z351" s="46">
        <v>400</v>
      </c>
      <c r="AA351" s="46">
        <v>400</v>
      </c>
      <c r="AB351" s="46">
        <v>400</v>
      </c>
      <c r="AC351" s="46">
        <v>400</v>
      </c>
      <c r="AD351" s="46">
        <v>400</v>
      </c>
      <c r="AE351" s="46">
        <v>400</v>
      </c>
      <c r="AF351" s="46">
        <v>400</v>
      </c>
      <c r="AG351" s="46">
        <v>400</v>
      </c>
      <c r="AH351" s="46">
        <v>800</v>
      </c>
      <c r="AI351" s="46">
        <v>0</v>
      </c>
      <c r="AJ351" s="46">
        <v>400</v>
      </c>
      <c r="AK351" s="47">
        <f t="shared" si="37"/>
        <v>4800</v>
      </c>
      <c r="AL351" s="46">
        <v>400</v>
      </c>
      <c r="AM351" s="46">
        <v>400</v>
      </c>
      <c r="AN351" s="46">
        <v>400</v>
      </c>
      <c r="AO351" s="46">
        <v>400</v>
      </c>
      <c r="AP351" s="46">
        <v>400</v>
      </c>
      <c r="AQ351" s="46">
        <v>400</v>
      </c>
      <c r="AR351" s="46">
        <v>400</v>
      </c>
      <c r="AS351" s="46">
        <v>400</v>
      </c>
      <c r="AT351" s="46">
        <v>400</v>
      </c>
      <c r="AU351" s="46">
        <v>400</v>
      </c>
      <c r="AV351" s="46">
        <v>400</v>
      </c>
      <c r="AW351" s="46">
        <v>400</v>
      </c>
      <c r="AX351" s="47">
        <f t="shared" si="38"/>
        <v>4800</v>
      </c>
      <c r="AY351" s="319">
        <f>SUMIF(Recibos!$D$4:$D$3010,Cobranza!$B351,Recibos!K$4:K$3010)</f>
        <v>400</v>
      </c>
      <c r="AZ351" s="319">
        <f>SUMIF(Recibos!$D$4:$D$3010,Cobranza!$B351,Recibos!L$4:L$3010)</f>
        <v>400</v>
      </c>
      <c r="BA351" s="319">
        <f>SUMIF(Recibos!$D$4:$D$3010,Cobranza!$B351,Recibos!M$4:M$3010)</f>
        <v>400</v>
      </c>
      <c r="BB351" s="319">
        <f>SUMIF(Recibos!$D$4:$D$3010,Cobranza!$B351,Recibos!N$4:N$3010)</f>
        <v>400</v>
      </c>
      <c r="BC351" s="319">
        <f>SUMIF(Recibos!$D$4:$D$3010,Cobranza!$B351,Recibos!O$4:O$3010)</f>
        <v>400</v>
      </c>
      <c r="BD351" s="319">
        <f>SUMIF(Recibos!$D$4:$D$3010,Cobranza!$B351,Recibos!P$4:P$3010)</f>
        <v>400</v>
      </c>
      <c r="BE351" s="319">
        <f>SUMIF(Recibos!$D$4:$D$3010,Cobranza!$B351,Recibos!Q$4:Q$3010)</f>
        <v>400</v>
      </c>
      <c r="BF351" s="319">
        <f>SUMIF(Recibos!$D$4:$D$3010,Cobranza!$B351,Recibos!R$4:R$3010)</f>
        <v>400</v>
      </c>
      <c r="BG351" s="319">
        <f>SUMIF(Recibos!$D$4:$D$3010,Cobranza!$B351,Recibos!S$4:S$3010)</f>
        <v>400</v>
      </c>
      <c r="BH351" s="319">
        <f>SUMIF(Recibos!$D$4:$D$3010,Cobranza!$B351,Recibos!T$4:T$3010)</f>
        <v>400</v>
      </c>
      <c r="BI351" s="319">
        <f>SUMIF(Recibos!$D$4:$D$3010,Cobranza!$B351,Recibos!U$4:U$3010)</f>
        <v>400</v>
      </c>
      <c r="BJ351" s="319">
        <f>SUMIF(Recibos!$D$4:$D$3010,Cobranza!$B351,Recibos!V$4:V$3010)</f>
        <v>400</v>
      </c>
      <c r="BK351" s="320">
        <f t="shared" si="39"/>
        <v>4800</v>
      </c>
      <c r="BL351" s="319">
        <f>SUMIF(Recibos!$D$4:$D$3010,Cobranza!$B351,Recibos!X$4:X$3010)</f>
        <v>0</v>
      </c>
      <c r="BM351" s="319">
        <f>SUMIF(Recibos!$D$4:$D$3010,Cobranza!$B351,Recibos!Y$4:Y$3010)</f>
        <v>0</v>
      </c>
      <c r="BN351" s="319">
        <f>SUMIF(Recibos!$D$4:$D$3010,Cobranza!$B351,Recibos!Z$4:Z$3010)</f>
        <v>0</v>
      </c>
      <c r="BO351" s="319">
        <f>SUMIF(Recibos!$D$4:$D$3010,Cobranza!$B351,Recibos!AA$4:AA$3010)</f>
        <v>0</v>
      </c>
      <c r="BP351" s="319">
        <f>SUMIF(Recibos!$D$4:$D$3010,Cobranza!$B351,Recibos!AB$4:AB$3010)</f>
        <v>0</v>
      </c>
      <c r="BQ351" s="319">
        <f>SUMIF(Recibos!$D$4:$D$3010,Cobranza!$B351,Recibos!AC$4:AC$3010)</f>
        <v>0</v>
      </c>
      <c r="BR351" s="319">
        <f>SUMIF(Recibos!$D$4:$D$3010,Cobranza!$B351,Recibos!AD$4:AD$3010)</f>
        <v>0</v>
      </c>
      <c r="BS351" s="319">
        <f>SUMIF(Recibos!$D$4:$D$3010,Cobranza!$B351,Recibos!AE$4:AE$3010)</f>
        <v>0</v>
      </c>
      <c r="BT351" s="319">
        <f>SUMIF(Recibos!$D$4:$D$3010,Cobranza!$B351,Recibos!AF$4:AF$3010)</f>
        <v>0</v>
      </c>
      <c r="BU351" s="319">
        <f>SUMIF(Recibos!$D$4:$D$3010,Cobranza!$B351,Recibos!AG$4:AG$3010)</f>
        <v>0</v>
      </c>
      <c r="BV351" s="319">
        <f>SUMIF(Recibos!$D$4:$D$3010,Cobranza!$B351,Recibos!AH$4:AH$3010)</f>
        <v>0</v>
      </c>
      <c r="BW351" s="319">
        <f>SUMIF(Recibos!$D$4:$D$3010,Cobranza!$B351,Recibos!AI$4:AI$3010)</f>
        <v>0</v>
      </c>
      <c r="BX351" s="320">
        <f t="shared" si="40"/>
        <v>0</v>
      </c>
    </row>
    <row r="352" spans="2:76" x14ac:dyDescent="0.2">
      <c r="B352" s="42" t="s">
        <v>476</v>
      </c>
      <c r="C352" s="42" t="s">
        <v>477</v>
      </c>
      <c r="D352" s="42" t="s">
        <v>478</v>
      </c>
      <c r="E352" s="43">
        <v>0</v>
      </c>
      <c r="F352" s="43">
        <v>0</v>
      </c>
      <c r="G352" s="43">
        <v>0</v>
      </c>
      <c r="H352" s="43">
        <v>0</v>
      </c>
      <c r="I352" s="43">
        <v>0</v>
      </c>
      <c r="J352" s="43">
        <v>300</v>
      </c>
      <c r="K352" s="44">
        <f t="shared" si="35"/>
        <v>300</v>
      </c>
      <c r="L352" s="43">
        <v>300</v>
      </c>
      <c r="M352" s="43">
        <v>300</v>
      </c>
      <c r="N352" s="43">
        <v>300</v>
      </c>
      <c r="O352" s="43">
        <v>300</v>
      </c>
      <c r="P352" s="43">
        <v>300</v>
      </c>
      <c r="Q352" s="43">
        <v>300</v>
      </c>
      <c r="R352" s="43">
        <v>300</v>
      </c>
      <c r="S352" s="43">
        <v>300</v>
      </c>
      <c r="T352" s="43">
        <v>300</v>
      </c>
      <c r="U352" s="43">
        <v>300</v>
      </c>
      <c r="V352" s="43">
        <v>400</v>
      </c>
      <c r="W352" s="43">
        <v>400</v>
      </c>
      <c r="X352" s="44">
        <f t="shared" si="36"/>
        <v>3800</v>
      </c>
      <c r="Y352" s="43">
        <v>400</v>
      </c>
      <c r="Z352" s="43">
        <v>400</v>
      </c>
      <c r="AA352" s="43">
        <v>400</v>
      </c>
      <c r="AB352" s="43">
        <v>0</v>
      </c>
      <c r="AC352" s="43">
        <v>400</v>
      </c>
      <c r="AD352" s="43">
        <v>400</v>
      </c>
      <c r="AE352" s="43">
        <v>400</v>
      </c>
      <c r="AF352" s="43">
        <v>400</v>
      </c>
      <c r="AG352" s="43">
        <v>400</v>
      </c>
      <c r="AH352" s="43">
        <v>400</v>
      </c>
      <c r="AI352" s="43">
        <v>400</v>
      </c>
      <c r="AJ352" s="43">
        <v>400</v>
      </c>
      <c r="AK352" s="44">
        <f t="shared" si="37"/>
        <v>4400</v>
      </c>
      <c r="AL352" s="43">
        <v>400</v>
      </c>
      <c r="AM352" s="43">
        <v>400</v>
      </c>
      <c r="AN352" s="43">
        <v>400</v>
      </c>
      <c r="AO352" s="43">
        <v>400</v>
      </c>
      <c r="AP352" s="43">
        <v>400</v>
      </c>
      <c r="AQ352" s="43">
        <v>400</v>
      </c>
      <c r="AR352" s="43">
        <v>400</v>
      </c>
      <c r="AS352" s="43">
        <v>400</v>
      </c>
      <c r="AT352" s="43">
        <v>400</v>
      </c>
      <c r="AU352" s="43">
        <v>400</v>
      </c>
      <c r="AV352" s="43">
        <v>400</v>
      </c>
      <c r="AW352" s="43">
        <v>400</v>
      </c>
      <c r="AX352" s="44">
        <f t="shared" si="38"/>
        <v>4800</v>
      </c>
      <c r="AY352" s="317">
        <f>SUMIF(Recibos!$D$4:$D$3010,Cobranza!$B352,Recibos!K$4:K$3010)</f>
        <v>400</v>
      </c>
      <c r="AZ352" s="317">
        <f>SUMIF(Recibos!$D$4:$D$3010,Cobranza!$B352,Recibos!L$4:L$3010)</f>
        <v>400</v>
      </c>
      <c r="BA352" s="317">
        <f>SUMIF(Recibos!$D$4:$D$3010,Cobranza!$B352,Recibos!M$4:M$3010)</f>
        <v>400</v>
      </c>
      <c r="BB352" s="317">
        <f>SUMIF(Recibos!$D$4:$D$3010,Cobranza!$B352,Recibos!N$4:N$3010)</f>
        <v>400</v>
      </c>
      <c r="BC352" s="317">
        <f>SUMIF(Recibos!$D$4:$D$3010,Cobranza!$B352,Recibos!O$4:O$3010)</f>
        <v>400</v>
      </c>
      <c r="BD352" s="317">
        <f>SUMIF(Recibos!$D$4:$D$3010,Cobranza!$B352,Recibos!P$4:P$3010)</f>
        <v>400</v>
      </c>
      <c r="BE352" s="317">
        <f>SUMIF(Recibos!$D$4:$D$3010,Cobranza!$B352,Recibos!Q$4:Q$3010)</f>
        <v>400</v>
      </c>
      <c r="BF352" s="317">
        <f>SUMIF(Recibos!$D$4:$D$3010,Cobranza!$B352,Recibos!R$4:R$3010)</f>
        <v>400</v>
      </c>
      <c r="BG352" s="317">
        <f>SUMIF(Recibos!$D$4:$D$3010,Cobranza!$B352,Recibos!S$4:S$3010)</f>
        <v>400</v>
      </c>
      <c r="BH352" s="317">
        <f>SUMIF(Recibos!$D$4:$D$3010,Cobranza!$B352,Recibos!T$4:T$3010)</f>
        <v>400</v>
      </c>
      <c r="BI352" s="317">
        <f>SUMIF(Recibos!$D$4:$D$3010,Cobranza!$B352,Recibos!U$4:U$3010)</f>
        <v>400</v>
      </c>
      <c r="BJ352" s="317">
        <f>SUMIF(Recibos!$D$4:$D$3010,Cobranza!$B352,Recibos!V$4:V$3010)</f>
        <v>400</v>
      </c>
      <c r="BK352" s="318">
        <f t="shared" si="39"/>
        <v>4800</v>
      </c>
      <c r="BL352" s="317">
        <f>SUMIF(Recibos!$D$4:$D$3010,Cobranza!$B352,Recibos!X$4:X$3010)</f>
        <v>0</v>
      </c>
      <c r="BM352" s="317">
        <f>SUMIF(Recibos!$D$4:$D$3010,Cobranza!$B352,Recibos!Y$4:Y$3010)</f>
        <v>0</v>
      </c>
      <c r="BN352" s="317">
        <f>SUMIF(Recibos!$D$4:$D$3010,Cobranza!$B352,Recibos!Z$4:Z$3010)</f>
        <v>0</v>
      </c>
      <c r="BO352" s="317">
        <f>SUMIF(Recibos!$D$4:$D$3010,Cobranza!$B352,Recibos!AA$4:AA$3010)</f>
        <v>0</v>
      </c>
      <c r="BP352" s="317">
        <f>SUMIF(Recibos!$D$4:$D$3010,Cobranza!$B352,Recibos!AB$4:AB$3010)</f>
        <v>0</v>
      </c>
      <c r="BQ352" s="317">
        <f>SUMIF(Recibos!$D$4:$D$3010,Cobranza!$B352,Recibos!AC$4:AC$3010)</f>
        <v>0</v>
      </c>
      <c r="BR352" s="317">
        <f>SUMIF(Recibos!$D$4:$D$3010,Cobranza!$B352,Recibos!AD$4:AD$3010)</f>
        <v>0</v>
      </c>
      <c r="BS352" s="317">
        <f>SUMIF(Recibos!$D$4:$D$3010,Cobranza!$B352,Recibos!AE$4:AE$3010)</f>
        <v>0</v>
      </c>
      <c r="BT352" s="317">
        <f>SUMIF(Recibos!$D$4:$D$3010,Cobranza!$B352,Recibos!AF$4:AF$3010)</f>
        <v>0</v>
      </c>
      <c r="BU352" s="317">
        <f>SUMIF(Recibos!$D$4:$D$3010,Cobranza!$B352,Recibos!AG$4:AG$3010)</f>
        <v>0</v>
      </c>
      <c r="BV352" s="317">
        <f>SUMIF(Recibos!$D$4:$D$3010,Cobranza!$B352,Recibos!AH$4:AH$3010)</f>
        <v>0</v>
      </c>
      <c r="BW352" s="317">
        <f>SUMIF(Recibos!$D$4:$D$3010,Cobranza!$B352,Recibos!AI$4:AI$3010)</f>
        <v>0</v>
      </c>
      <c r="BX352" s="318">
        <f t="shared" si="40"/>
        <v>0</v>
      </c>
    </row>
    <row r="353" spans="2:76" x14ac:dyDescent="0.2">
      <c r="B353" s="45" t="s">
        <v>1418</v>
      </c>
      <c r="C353" s="45" t="s">
        <v>1419</v>
      </c>
      <c r="D353" s="45" t="s">
        <v>1420</v>
      </c>
      <c r="E353" s="46">
        <v>0</v>
      </c>
      <c r="F353" s="46">
        <v>0</v>
      </c>
      <c r="G353" s="46">
        <v>0</v>
      </c>
      <c r="H353" s="46">
        <v>0</v>
      </c>
      <c r="I353" s="46">
        <v>0</v>
      </c>
      <c r="J353" s="46">
        <v>300</v>
      </c>
      <c r="K353" s="47">
        <f t="shared" si="35"/>
        <v>300</v>
      </c>
      <c r="L353" s="46">
        <v>300</v>
      </c>
      <c r="M353" s="46">
        <v>300</v>
      </c>
      <c r="N353" s="46">
        <v>300</v>
      </c>
      <c r="O353" s="46">
        <v>0</v>
      </c>
      <c r="P353" s="46">
        <v>300</v>
      </c>
      <c r="Q353" s="46">
        <v>300</v>
      </c>
      <c r="R353" s="46">
        <v>300</v>
      </c>
      <c r="S353" s="46">
        <v>300</v>
      </c>
      <c r="T353" s="46">
        <v>300</v>
      </c>
      <c r="U353" s="46">
        <v>300</v>
      </c>
      <c r="V353" s="46">
        <v>300</v>
      </c>
      <c r="W353" s="46">
        <v>300</v>
      </c>
      <c r="X353" s="47">
        <f t="shared" si="36"/>
        <v>3300</v>
      </c>
      <c r="Y353" s="46">
        <v>300</v>
      </c>
      <c r="Z353" s="46">
        <v>300</v>
      </c>
      <c r="AA353" s="46">
        <v>300</v>
      </c>
      <c r="AB353" s="46">
        <v>300</v>
      </c>
      <c r="AC353" s="46">
        <v>300</v>
      </c>
      <c r="AD353" s="46">
        <v>300</v>
      </c>
      <c r="AE353" s="46">
        <v>300</v>
      </c>
      <c r="AF353" s="46">
        <v>300</v>
      </c>
      <c r="AG353" s="46">
        <v>300</v>
      </c>
      <c r="AH353" s="46">
        <v>300</v>
      </c>
      <c r="AI353" s="46">
        <v>0</v>
      </c>
      <c r="AJ353" s="46">
        <v>0</v>
      </c>
      <c r="AK353" s="47">
        <f t="shared" si="37"/>
        <v>3000</v>
      </c>
      <c r="AL353" s="46">
        <v>0</v>
      </c>
      <c r="AM353" s="46">
        <v>0</v>
      </c>
      <c r="AN353" s="46">
        <v>0</v>
      </c>
      <c r="AO353" s="46">
        <v>0</v>
      </c>
      <c r="AP353" s="46">
        <v>0</v>
      </c>
      <c r="AQ353" s="46">
        <v>0</v>
      </c>
      <c r="AR353" s="46">
        <v>0</v>
      </c>
      <c r="AS353" s="46">
        <v>0</v>
      </c>
      <c r="AT353" s="46">
        <v>0</v>
      </c>
      <c r="AU353" s="46">
        <v>0</v>
      </c>
      <c r="AV353" s="46">
        <v>0</v>
      </c>
      <c r="AW353" s="46">
        <v>0</v>
      </c>
      <c r="AX353" s="47">
        <f t="shared" si="38"/>
        <v>0</v>
      </c>
      <c r="AY353" s="319">
        <f>SUMIF(Recibos!$D$4:$D$3010,Cobranza!$B353,Recibos!K$4:K$3010)</f>
        <v>0</v>
      </c>
      <c r="AZ353" s="319">
        <f>SUMIF(Recibos!$D$4:$D$3010,Cobranza!$B353,Recibos!L$4:L$3010)</f>
        <v>0</v>
      </c>
      <c r="BA353" s="319">
        <f>SUMIF(Recibos!$D$4:$D$3010,Cobranza!$B353,Recibos!M$4:M$3010)</f>
        <v>0</v>
      </c>
      <c r="BB353" s="319">
        <f>SUMIF(Recibos!$D$4:$D$3010,Cobranza!$B353,Recibos!N$4:N$3010)</f>
        <v>0</v>
      </c>
      <c r="BC353" s="319">
        <f>SUMIF(Recibos!$D$4:$D$3010,Cobranza!$B353,Recibos!O$4:O$3010)</f>
        <v>0</v>
      </c>
      <c r="BD353" s="319">
        <f>SUMIF(Recibos!$D$4:$D$3010,Cobranza!$B353,Recibos!P$4:P$3010)</f>
        <v>0</v>
      </c>
      <c r="BE353" s="319">
        <f>SUMIF(Recibos!$D$4:$D$3010,Cobranza!$B353,Recibos!Q$4:Q$3010)</f>
        <v>0</v>
      </c>
      <c r="BF353" s="319">
        <f>SUMIF(Recibos!$D$4:$D$3010,Cobranza!$B353,Recibos!R$4:R$3010)</f>
        <v>0</v>
      </c>
      <c r="BG353" s="319">
        <f>SUMIF(Recibos!$D$4:$D$3010,Cobranza!$B353,Recibos!S$4:S$3010)</f>
        <v>0</v>
      </c>
      <c r="BH353" s="319">
        <f>SUMIF(Recibos!$D$4:$D$3010,Cobranza!$B353,Recibos!T$4:T$3010)</f>
        <v>0</v>
      </c>
      <c r="BI353" s="319">
        <f>SUMIF(Recibos!$D$4:$D$3010,Cobranza!$B353,Recibos!U$4:U$3010)</f>
        <v>300</v>
      </c>
      <c r="BJ353" s="319">
        <f>SUMIF(Recibos!$D$4:$D$3010,Cobranza!$B353,Recibos!V$4:V$3010)</f>
        <v>0</v>
      </c>
      <c r="BK353" s="320">
        <f t="shared" si="39"/>
        <v>300</v>
      </c>
      <c r="BL353" s="319">
        <f>SUMIF(Recibos!$D$4:$D$3010,Cobranza!$B353,Recibos!X$4:X$3010)</f>
        <v>0</v>
      </c>
      <c r="BM353" s="319">
        <f>SUMIF(Recibos!$D$4:$D$3010,Cobranza!$B353,Recibos!Y$4:Y$3010)</f>
        <v>0</v>
      </c>
      <c r="BN353" s="319">
        <f>SUMIF(Recibos!$D$4:$D$3010,Cobranza!$B353,Recibos!Z$4:Z$3010)</f>
        <v>0</v>
      </c>
      <c r="BO353" s="319">
        <f>SUMIF(Recibos!$D$4:$D$3010,Cobranza!$B353,Recibos!AA$4:AA$3010)</f>
        <v>0</v>
      </c>
      <c r="BP353" s="319">
        <f>SUMIF(Recibos!$D$4:$D$3010,Cobranza!$B353,Recibos!AB$4:AB$3010)</f>
        <v>0</v>
      </c>
      <c r="BQ353" s="319">
        <f>SUMIF(Recibos!$D$4:$D$3010,Cobranza!$B353,Recibos!AC$4:AC$3010)</f>
        <v>0</v>
      </c>
      <c r="BR353" s="319">
        <f>SUMIF(Recibos!$D$4:$D$3010,Cobranza!$B353,Recibos!AD$4:AD$3010)</f>
        <v>0</v>
      </c>
      <c r="BS353" s="319">
        <f>SUMIF(Recibos!$D$4:$D$3010,Cobranza!$B353,Recibos!AE$4:AE$3010)</f>
        <v>0</v>
      </c>
      <c r="BT353" s="319">
        <f>SUMIF(Recibos!$D$4:$D$3010,Cobranza!$B353,Recibos!AF$4:AF$3010)</f>
        <v>0</v>
      </c>
      <c r="BU353" s="319">
        <f>SUMIF(Recibos!$D$4:$D$3010,Cobranza!$B353,Recibos!AG$4:AG$3010)</f>
        <v>0</v>
      </c>
      <c r="BV353" s="319">
        <f>SUMIF(Recibos!$D$4:$D$3010,Cobranza!$B353,Recibos!AH$4:AH$3010)</f>
        <v>0</v>
      </c>
      <c r="BW353" s="319">
        <f>SUMIF(Recibos!$D$4:$D$3010,Cobranza!$B353,Recibos!AI$4:AI$3010)</f>
        <v>0</v>
      </c>
      <c r="BX353" s="320">
        <f t="shared" si="40"/>
        <v>0</v>
      </c>
    </row>
    <row r="354" spans="2:76" x14ac:dyDescent="0.2">
      <c r="B354" s="42" t="s">
        <v>1421</v>
      </c>
      <c r="C354" s="42" t="s">
        <v>1422</v>
      </c>
      <c r="D354" s="42" t="s">
        <v>99</v>
      </c>
      <c r="E354" s="43">
        <v>0</v>
      </c>
      <c r="F354" s="43">
        <v>0</v>
      </c>
      <c r="G354" s="43">
        <v>0</v>
      </c>
      <c r="H354" s="43">
        <v>0</v>
      </c>
      <c r="I354" s="43">
        <v>0</v>
      </c>
      <c r="J354" s="43">
        <v>0</v>
      </c>
      <c r="K354" s="44">
        <f t="shared" si="35"/>
        <v>0</v>
      </c>
      <c r="L354" s="43">
        <v>0</v>
      </c>
      <c r="M354" s="43">
        <v>0</v>
      </c>
      <c r="N354" s="43">
        <v>0</v>
      </c>
      <c r="O354" s="43">
        <v>0</v>
      </c>
      <c r="P354" s="43">
        <v>0</v>
      </c>
      <c r="Q354" s="43">
        <v>0</v>
      </c>
      <c r="R354" s="43">
        <v>0</v>
      </c>
      <c r="S354" s="43">
        <v>0</v>
      </c>
      <c r="T354" s="43">
        <v>0</v>
      </c>
      <c r="U354" s="43">
        <v>0</v>
      </c>
      <c r="V354" s="43">
        <v>0</v>
      </c>
      <c r="W354" s="43">
        <v>0</v>
      </c>
      <c r="X354" s="44">
        <f t="shared" si="36"/>
        <v>0</v>
      </c>
      <c r="Y354" s="43">
        <v>0</v>
      </c>
      <c r="Z354" s="43">
        <v>0</v>
      </c>
      <c r="AA354" s="43">
        <v>0</v>
      </c>
      <c r="AB354" s="43">
        <v>0</v>
      </c>
      <c r="AC354" s="43">
        <v>0</v>
      </c>
      <c r="AD354" s="43">
        <v>0</v>
      </c>
      <c r="AE354" s="43">
        <v>0</v>
      </c>
      <c r="AF354" s="43">
        <v>200</v>
      </c>
      <c r="AG354" s="43">
        <v>0</v>
      </c>
      <c r="AH354" s="43">
        <v>0</v>
      </c>
      <c r="AI354" s="43">
        <v>0</v>
      </c>
      <c r="AJ354" s="43">
        <v>0</v>
      </c>
      <c r="AK354" s="44">
        <f t="shared" si="37"/>
        <v>200</v>
      </c>
      <c r="AL354" s="43">
        <v>0</v>
      </c>
      <c r="AM354" s="43">
        <v>0</v>
      </c>
      <c r="AN354" s="43">
        <v>200</v>
      </c>
      <c r="AO354" s="43">
        <v>200</v>
      </c>
      <c r="AP354" s="43">
        <v>200</v>
      </c>
      <c r="AQ354" s="43">
        <v>0</v>
      </c>
      <c r="AR354" s="43">
        <v>0</v>
      </c>
      <c r="AS354" s="43">
        <v>0</v>
      </c>
      <c r="AT354" s="43">
        <v>0</v>
      </c>
      <c r="AU354" s="43">
        <v>0</v>
      </c>
      <c r="AV354" s="43">
        <v>0</v>
      </c>
      <c r="AW354" s="43">
        <v>0</v>
      </c>
      <c r="AX354" s="44">
        <f t="shared" si="38"/>
        <v>600</v>
      </c>
      <c r="AY354" s="317">
        <f>SUMIF(Recibos!$D$4:$D$3010,Cobranza!$B354,Recibos!K$4:K$3010)</f>
        <v>0</v>
      </c>
      <c r="AZ354" s="317">
        <f>SUMIF(Recibos!$D$4:$D$3010,Cobranza!$B354,Recibos!L$4:L$3010)</f>
        <v>0</v>
      </c>
      <c r="BA354" s="317">
        <f>SUMIF(Recibos!$D$4:$D$3010,Cobranza!$B354,Recibos!M$4:M$3010)</f>
        <v>0</v>
      </c>
      <c r="BB354" s="317">
        <f>SUMIF(Recibos!$D$4:$D$3010,Cobranza!$B354,Recibos!N$4:N$3010)</f>
        <v>0</v>
      </c>
      <c r="BC354" s="317">
        <f>SUMIF(Recibos!$D$4:$D$3010,Cobranza!$B354,Recibos!O$4:O$3010)</f>
        <v>0</v>
      </c>
      <c r="BD354" s="317">
        <f>SUMIF(Recibos!$D$4:$D$3010,Cobranza!$B354,Recibos!P$4:P$3010)</f>
        <v>0</v>
      </c>
      <c r="BE354" s="317">
        <f>SUMIF(Recibos!$D$4:$D$3010,Cobranza!$B354,Recibos!Q$4:Q$3010)</f>
        <v>0</v>
      </c>
      <c r="BF354" s="317">
        <f>SUMIF(Recibos!$D$4:$D$3010,Cobranza!$B354,Recibos!R$4:R$3010)</f>
        <v>0</v>
      </c>
      <c r="BG354" s="317">
        <f>SUMIF(Recibos!$D$4:$D$3010,Cobranza!$B354,Recibos!S$4:S$3010)</f>
        <v>0</v>
      </c>
      <c r="BH354" s="317">
        <f>SUMIF(Recibos!$D$4:$D$3010,Cobranza!$B354,Recibos!T$4:T$3010)</f>
        <v>0</v>
      </c>
      <c r="BI354" s="317">
        <f>SUMIF(Recibos!$D$4:$D$3010,Cobranza!$B354,Recibos!U$4:U$3010)</f>
        <v>0</v>
      </c>
      <c r="BJ354" s="317">
        <f>SUMIF(Recibos!$D$4:$D$3010,Cobranza!$B354,Recibos!V$4:V$3010)</f>
        <v>0</v>
      </c>
      <c r="BK354" s="318">
        <f t="shared" si="39"/>
        <v>0</v>
      </c>
      <c r="BL354" s="317">
        <f>SUMIF(Recibos!$D$4:$D$3010,Cobranza!$B354,Recibos!X$4:X$3010)</f>
        <v>0</v>
      </c>
      <c r="BM354" s="317">
        <f>SUMIF(Recibos!$D$4:$D$3010,Cobranza!$B354,Recibos!Y$4:Y$3010)</f>
        <v>0</v>
      </c>
      <c r="BN354" s="317">
        <f>SUMIF(Recibos!$D$4:$D$3010,Cobranza!$B354,Recibos!Z$4:Z$3010)</f>
        <v>0</v>
      </c>
      <c r="BO354" s="317">
        <f>SUMIF(Recibos!$D$4:$D$3010,Cobranza!$B354,Recibos!AA$4:AA$3010)</f>
        <v>0</v>
      </c>
      <c r="BP354" s="317">
        <f>SUMIF(Recibos!$D$4:$D$3010,Cobranza!$B354,Recibos!AB$4:AB$3010)</f>
        <v>0</v>
      </c>
      <c r="BQ354" s="317">
        <f>SUMIF(Recibos!$D$4:$D$3010,Cobranza!$B354,Recibos!AC$4:AC$3010)</f>
        <v>0</v>
      </c>
      <c r="BR354" s="317">
        <f>SUMIF(Recibos!$D$4:$D$3010,Cobranza!$B354,Recibos!AD$4:AD$3010)</f>
        <v>0</v>
      </c>
      <c r="BS354" s="317">
        <f>SUMIF(Recibos!$D$4:$D$3010,Cobranza!$B354,Recibos!AE$4:AE$3010)</f>
        <v>0</v>
      </c>
      <c r="BT354" s="317">
        <f>SUMIF(Recibos!$D$4:$D$3010,Cobranza!$B354,Recibos!AF$4:AF$3010)</f>
        <v>0</v>
      </c>
      <c r="BU354" s="317">
        <f>SUMIF(Recibos!$D$4:$D$3010,Cobranza!$B354,Recibos!AG$4:AG$3010)</f>
        <v>0</v>
      </c>
      <c r="BV354" s="317">
        <f>SUMIF(Recibos!$D$4:$D$3010,Cobranza!$B354,Recibos!AH$4:AH$3010)</f>
        <v>0</v>
      </c>
      <c r="BW354" s="317">
        <f>SUMIF(Recibos!$D$4:$D$3010,Cobranza!$B354,Recibos!AI$4:AI$3010)</f>
        <v>0</v>
      </c>
      <c r="BX354" s="318">
        <f t="shared" si="40"/>
        <v>0</v>
      </c>
    </row>
    <row r="355" spans="2:76" x14ac:dyDescent="0.2">
      <c r="B355" s="45" t="s">
        <v>1082</v>
      </c>
      <c r="C355" s="45" t="s">
        <v>1083</v>
      </c>
      <c r="D355" s="45" t="s">
        <v>1084</v>
      </c>
      <c r="E355" s="46">
        <v>0</v>
      </c>
      <c r="F355" s="46">
        <v>0</v>
      </c>
      <c r="G355" s="46">
        <v>0</v>
      </c>
      <c r="H355" s="46">
        <v>0</v>
      </c>
      <c r="I355" s="46">
        <v>0</v>
      </c>
      <c r="J355" s="46">
        <v>0</v>
      </c>
      <c r="K355" s="47">
        <f t="shared" si="35"/>
        <v>0</v>
      </c>
      <c r="L355" s="46">
        <v>0</v>
      </c>
      <c r="M355" s="46">
        <v>0</v>
      </c>
      <c r="N355" s="46">
        <v>0</v>
      </c>
      <c r="O355" s="46">
        <v>0</v>
      </c>
      <c r="P355" s="46">
        <v>0</v>
      </c>
      <c r="Q355" s="46">
        <v>0</v>
      </c>
      <c r="R355" s="46">
        <v>0</v>
      </c>
      <c r="S355" s="46">
        <v>0</v>
      </c>
      <c r="T355" s="46">
        <v>0</v>
      </c>
      <c r="U355" s="46">
        <v>0</v>
      </c>
      <c r="V355" s="46">
        <v>0</v>
      </c>
      <c r="W355" s="46">
        <v>0</v>
      </c>
      <c r="X355" s="47">
        <f t="shared" si="36"/>
        <v>0</v>
      </c>
      <c r="Y355" s="46">
        <v>0</v>
      </c>
      <c r="Z355" s="46">
        <v>0</v>
      </c>
      <c r="AA355" s="46">
        <v>0</v>
      </c>
      <c r="AB355" s="46">
        <v>0</v>
      </c>
      <c r="AC355" s="46">
        <v>0</v>
      </c>
      <c r="AD355" s="46">
        <v>0</v>
      </c>
      <c r="AE355" s="46">
        <v>0</v>
      </c>
      <c r="AF355" s="46">
        <v>0</v>
      </c>
      <c r="AG355" s="46">
        <v>0</v>
      </c>
      <c r="AH355" s="46">
        <v>0</v>
      </c>
      <c r="AI355" s="46">
        <v>0</v>
      </c>
      <c r="AJ355" s="46">
        <v>0</v>
      </c>
      <c r="AK355" s="47">
        <f t="shared" si="37"/>
        <v>0</v>
      </c>
      <c r="AL355" s="46">
        <v>0</v>
      </c>
      <c r="AM355" s="46">
        <v>0</v>
      </c>
      <c r="AN355" s="46">
        <v>0</v>
      </c>
      <c r="AO355" s="46">
        <v>0</v>
      </c>
      <c r="AP355" s="46">
        <v>0</v>
      </c>
      <c r="AQ355" s="46">
        <v>0</v>
      </c>
      <c r="AR355" s="46">
        <v>0</v>
      </c>
      <c r="AS355" s="46">
        <v>0</v>
      </c>
      <c r="AT355" s="46">
        <v>0</v>
      </c>
      <c r="AU355" s="46">
        <v>0</v>
      </c>
      <c r="AV355" s="46">
        <v>0</v>
      </c>
      <c r="AW355" s="46">
        <v>0</v>
      </c>
      <c r="AX355" s="47">
        <f t="shared" si="38"/>
        <v>0</v>
      </c>
      <c r="AY355" s="319">
        <f>SUMIF(Recibos!$D$4:$D$3010,Cobranza!$B355,Recibos!K$4:K$3010)</f>
        <v>0</v>
      </c>
      <c r="AZ355" s="319">
        <f>SUMIF(Recibos!$D$4:$D$3010,Cobranza!$B355,Recibos!L$4:L$3010)</f>
        <v>0</v>
      </c>
      <c r="BA355" s="319">
        <f>SUMIF(Recibos!$D$4:$D$3010,Cobranza!$B355,Recibos!M$4:M$3010)</f>
        <v>0</v>
      </c>
      <c r="BB355" s="319">
        <f>SUMIF(Recibos!$D$4:$D$3010,Cobranza!$B355,Recibos!N$4:N$3010)</f>
        <v>0</v>
      </c>
      <c r="BC355" s="319">
        <f>SUMIF(Recibos!$D$4:$D$3010,Cobranza!$B355,Recibos!O$4:O$3010)</f>
        <v>0</v>
      </c>
      <c r="BD355" s="319">
        <f>SUMIF(Recibos!$D$4:$D$3010,Cobranza!$B355,Recibos!P$4:P$3010)</f>
        <v>0</v>
      </c>
      <c r="BE355" s="319">
        <f>SUMIF(Recibos!$D$4:$D$3010,Cobranza!$B355,Recibos!Q$4:Q$3010)</f>
        <v>0</v>
      </c>
      <c r="BF355" s="319">
        <f>SUMIF(Recibos!$D$4:$D$3010,Cobranza!$B355,Recibos!R$4:R$3010)</f>
        <v>0</v>
      </c>
      <c r="BG355" s="319">
        <f>SUMIF(Recibos!$D$4:$D$3010,Cobranza!$B355,Recibos!S$4:S$3010)</f>
        <v>0</v>
      </c>
      <c r="BH355" s="319">
        <f>SUMIF(Recibos!$D$4:$D$3010,Cobranza!$B355,Recibos!T$4:T$3010)</f>
        <v>0</v>
      </c>
      <c r="BI355" s="319">
        <f>SUMIF(Recibos!$D$4:$D$3010,Cobranza!$B355,Recibos!U$4:U$3010)</f>
        <v>0</v>
      </c>
      <c r="BJ355" s="319">
        <f>SUMIF(Recibos!$D$4:$D$3010,Cobranza!$B355,Recibos!V$4:V$3010)</f>
        <v>0</v>
      </c>
      <c r="BK355" s="320">
        <f t="shared" si="39"/>
        <v>0</v>
      </c>
      <c r="BL355" s="319">
        <f>SUMIF(Recibos!$D$4:$D$3010,Cobranza!$B355,Recibos!X$4:X$3010)</f>
        <v>0</v>
      </c>
      <c r="BM355" s="319">
        <f>SUMIF(Recibos!$D$4:$D$3010,Cobranza!$B355,Recibos!Y$4:Y$3010)</f>
        <v>0</v>
      </c>
      <c r="BN355" s="319">
        <f>SUMIF(Recibos!$D$4:$D$3010,Cobranza!$B355,Recibos!Z$4:Z$3010)</f>
        <v>0</v>
      </c>
      <c r="BO355" s="319">
        <f>SUMIF(Recibos!$D$4:$D$3010,Cobranza!$B355,Recibos!AA$4:AA$3010)</f>
        <v>0</v>
      </c>
      <c r="BP355" s="319">
        <f>SUMIF(Recibos!$D$4:$D$3010,Cobranza!$B355,Recibos!AB$4:AB$3010)</f>
        <v>0</v>
      </c>
      <c r="BQ355" s="319">
        <f>SUMIF(Recibos!$D$4:$D$3010,Cobranza!$B355,Recibos!AC$4:AC$3010)</f>
        <v>0</v>
      </c>
      <c r="BR355" s="319">
        <f>SUMIF(Recibos!$D$4:$D$3010,Cobranza!$B355,Recibos!AD$4:AD$3010)</f>
        <v>0</v>
      </c>
      <c r="BS355" s="319">
        <f>SUMIF(Recibos!$D$4:$D$3010,Cobranza!$B355,Recibos!AE$4:AE$3010)</f>
        <v>0</v>
      </c>
      <c r="BT355" s="319">
        <f>SUMIF(Recibos!$D$4:$D$3010,Cobranza!$B355,Recibos!AF$4:AF$3010)</f>
        <v>0</v>
      </c>
      <c r="BU355" s="319">
        <f>SUMIF(Recibos!$D$4:$D$3010,Cobranza!$B355,Recibos!AG$4:AG$3010)</f>
        <v>0</v>
      </c>
      <c r="BV355" s="319">
        <f>SUMIF(Recibos!$D$4:$D$3010,Cobranza!$B355,Recibos!AH$4:AH$3010)</f>
        <v>0</v>
      </c>
      <c r="BW355" s="319">
        <f>SUMIF(Recibos!$D$4:$D$3010,Cobranza!$B355,Recibos!AI$4:AI$3010)</f>
        <v>0</v>
      </c>
      <c r="BX355" s="320">
        <f t="shared" si="40"/>
        <v>0</v>
      </c>
    </row>
    <row r="356" spans="2:76" x14ac:dyDescent="0.2">
      <c r="B356" s="42" t="s">
        <v>147</v>
      </c>
      <c r="C356" s="42" t="s">
        <v>148</v>
      </c>
      <c r="D356" s="42" t="s">
        <v>149</v>
      </c>
      <c r="E356" s="43">
        <v>0</v>
      </c>
      <c r="F356" s="43">
        <v>0</v>
      </c>
      <c r="G356" s="43">
        <v>0</v>
      </c>
      <c r="H356" s="43">
        <v>0</v>
      </c>
      <c r="I356" s="43">
        <v>300</v>
      </c>
      <c r="J356" s="43">
        <v>300</v>
      </c>
      <c r="K356" s="44">
        <f t="shared" si="35"/>
        <v>600</v>
      </c>
      <c r="L356" s="43">
        <v>300</v>
      </c>
      <c r="M356" s="43">
        <v>300</v>
      </c>
      <c r="N356" s="43">
        <v>300</v>
      </c>
      <c r="O356" s="43">
        <v>300</v>
      </c>
      <c r="P356" s="43">
        <v>300</v>
      </c>
      <c r="Q356" s="43">
        <v>300</v>
      </c>
      <c r="R356" s="43">
        <v>300</v>
      </c>
      <c r="S356" s="43">
        <v>300</v>
      </c>
      <c r="T356" s="43">
        <v>300</v>
      </c>
      <c r="U356" s="43">
        <v>400</v>
      </c>
      <c r="V356" s="43">
        <v>400</v>
      </c>
      <c r="W356" s="43">
        <v>400</v>
      </c>
      <c r="X356" s="44">
        <f t="shared" si="36"/>
        <v>3900</v>
      </c>
      <c r="Y356" s="43">
        <v>400</v>
      </c>
      <c r="Z356" s="43">
        <v>400</v>
      </c>
      <c r="AA356" s="43">
        <v>400</v>
      </c>
      <c r="AB356" s="43">
        <v>400</v>
      </c>
      <c r="AC356" s="43">
        <v>800</v>
      </c>
      <c r="AD356" s="43">
        <v>0</v>
      </c>
      <c r="AE356" s="43">
        <v>400</v>
      </c>
      <c r="AF356" s="43">
        <v>400</v>
      </c>
      <c r="AG356" s="43">
        <v>400</v>
      </c>
      <c r="AH356" s="43">
        <v>400</v>
      </c>
      <c r="AI356" s="43">
        <v>400</v>
      </c>
      <c r="AJ356" s="43">
        <v>400</v>
      </c>
      <c r="AK356" s="44">
        <f t="shared" si="37"/>
        <v>4800</v>
      </c>
      <c r="AL356" s="43">
        <v>400</v>
      </c>
      <c r="AM356" s="43">
        <v>400</v>
      </c>
      <c r="AN356" s="43">
        <v>400</v>
      </c>
      <c r="AO356" s="43">
        <v>400</v>
      </c>
      <c r="AP356" s="43">
        <v>400</v>
      </c>
      <c r="AQ356" s="43">
        <v>400</v>
      </c>
      <c r="AR356" s="43">
        <v>400</v>
      </c>
      <c r="AS356" s="43">
        <v>400</v>
      </c>
      <c r="AT356" s="43">
        <v>400</v>
      </c>
      <c r="AU356" s="43">
        <v>400</v>
      </c>
      <c r="AV356" s="43">
        <v>0</v>
      </c>
      <c r="AW356" s="43">
        <v>0</v>
      </c>
      <c r="AX356" s="44">
        <f t="shared" si="38"/>
        <v>4000</v>
      </c>
      <c r="AY356" s="317">
        <f>SUMIF(Recibos!$D$4:$D$3010,Cobranza!$B356,Recibos!K$4:K$3010)</f>
        <v>400</v>
      </c>
      <c r="AZ356" s="317">
        <f>SUMIF(Recibos!$D$4:$D$3010,Cobranza!$B356,Recibos!L$4:L$3010)</f>
        <v>400</v>
      </c>
      <c r="BA356" s="317">
        <f>SUMIF(Recibos!$D$4:$D$3010,Cobranza!$B356,Recibos!M$4:M$3010)</f>
        <v>400</v>
      </c>
      <c r="BB356" s="317">
        <f>SUMIF(Recibos!$D$4:$D$3010,Cobranza!$B356,Recibos!N$4:N$3010)</f>
        <v>400</v>
      </c>
      <c r="BC356" s="317">
        <f>SUMIF(Recibos!$D$4:$D$3010,Cobranza!$B356,Recibos!O$4:O$3010)</f>
        <v>400</v>
      </c>
      <c r="BD356" s="317">
        <f>SUMIF(Recibos!$D$4:$D$3010,Cobranza!$B356,Recibos!P$4:P$3010)</f>
        <v>400</v>
      </c>
      <c r="BE356" s="317">
        <f>SUMIF(Recibos!$D$4:$D$3010,Cobranza!$B356,Recibos!Q$4:Q$3010)</f>
        <v>400</v>
      </c>
      <c r="BF356" s="317">
        <f>SUMIF(Recibos!$D$4:$D$3010,Cobranza!$B356,Recibos!R$4:R$3010)</f>
        <v>400</v>
      </c>
      <c r="BG356" s="317">
        <f>SUMIF(Recibos!$D$4:$D$3010,Cobranza!$B356,Recibos!S$4:S$3010)</f>
        <v>400</v>
      </c>
      <c r="BH356" s="317">
        <f>SUMIF(Recibos!$D$4:$D$3010,Cobranza!$B356,Recibos!T$4:T$3010)</f>
        <v>400</v>
      </c>
      <c r="BI356" s="317">
        <f>SUMIF(Recibos!$D$4:$D$3010,Cobranza!$B356,Recibos!U$4:U$3010)</f>
        <v>400</v>
      </c>
      <c r="BJ356" s="317">
        <f>SUMIF(Recibos!$D$4:$D$3010,Cobranza!$B356,Recibos!V$4:V$3010)</f>
        <v>0</v>
      </c>
      <c r="BK356" s="318">
        <f t="shared" si="39"/>
        <v>4400</v>
      </c>
      <c r="BL356" s="317">
        <f>SUMIF(Recibos!$D$4:$D$3010,Cobranza!$B356,Recibos!X$4:X$3010)</f>
        <v>0</v>
      </c>
      <c r="BM356" s="317">
        <f>SUMIF(Recibos!$D$4:$D$3010,Cobranza!$B356,Recibos!Y$4:Y$3010)</f>
        <v>0</v>
      </c>
      <c r="BN356" s="317">
        <f>SUMIF(Recibos!$D$4:$D$3010,Cobranza!$B356,Recibos!Z$4:Z$3010)</f>
        <v>0</v>
      </c>
      <c r="BO356" s="317">
        <f>SUMIF(Recibos!$D$4:$D$3010,Cobranza!$B356,Recibos!AA$4:AA$3010)</f>
        <v>0</v>
      </c>
      <c r="BP356" s="317">
        <f>SUMIF(Recibos!$D$4:$D$3010,Cobranza!$B356,Recibos!AB$4:AB$3010)</f>
        <v>0</v>
      </c>
      <c r="BQ356" s="317">
        <f>SUMIF(Recibos!$D$4:$D$3010,Cobranza!$B356,Recibos!AC$4:AC$3010)</f>
        <v>0</v>
      </c>
      <c r="BR356" s="317">
        <f>SUMIF(Recibos!$D$4:$D$3010,Cobranza!$B356,Recibos!AD$4:AD$3010)</f>
        <v>0</v>
      </c>
      <c r="BS356" s="317">
        <f>SUMIF(Recibos!$D$4:$D$3010,Cobranza!$B356,Recibos!AE$4:AE$3010)</f>
        <v>0</v>
      </c>
      <c r="BT356" s="317">
        <f>SUMIF(Recibos!$D$4:$D$3010,Cobranza!$B356,Recibos!AF$4:AF$3010)</f>
        <v>0</v>
      </c>
      <c r="BU356" s="317">
        <f>SUMIF(Recibos!$D$4:$D$3010,Cobranza!$B356,Recibos!AG$4:AG$3010)</f>
        <v>0</v>
      </c>
      <c r="BV356" s="317">
        <f>SUMIF(Recibos!$D$4:$D$3010,Cobranza!$B356,Recibos!AH$4:AH$3010)</f>
        <v>0</v>
      </c>
      <c r="BW356" s="317">
        <f>SUMIF(Recibos!$D$4:$D$3010,Cobranza!$B356,Recibos!AI$4:AI$3010)</f>
        <v>0</v>
      </c>
      <c r="BX356" s="318">
        <f t="shared" si="40"/>
        <v>0</v>
      </c>
    </row>
    <row r="357" spans="2:76" x14ac:dyDescent="0.2">
      <c r="B357" s="45" t="s">
        <v>1002</v>
      </c>
      <c r="C357" s="45" t="s">
        <v>1003</v>
      </c>
      <c r="D357" s="45" t="s">
        <v>931</v>
      </c>
      <c r="E357" s="46">
        <v>0</v>
      </c>
      <c r="F357" s="46">
        <v>0</v>
      </c>
      <c r="G357" s="46">
        <v>0</v>
      </c>
      <c r="H357" s="46">
        <v>0</v>
      </c>
      <c r="I357" s="46">
        <v>0</v>
      </c>
      <c r="J357" s="46">
        <v>0</v>
      </c>
      <c r="K357" s="47">
        <f t="shared" si="35"/>
        <v>0</v>
      </c>
      <c r="L357" s="46">
        <v>0</v>
      </c>
      <c r="M357" s="46">
        <v>0</v>
      </c>
      <c r="N357" s="46">
        <v>0</v>
      </c>
      <c r="O357" s="46">
        <v>0</v>
      </c>
      <c r="P357" s="46">
        <v>0</v>
      </c>
      <c r="Q357" s="46">
        <v>0</v>
      </c>
      <c r="R357" s="46">
        <v>0</v>
      </c>
      <c r="S357" s="46">
        <v>0</v>
      </c>
      <c r="T357" s="46">
        <v>0</v>
      </c>
      <c r="U357" s="46">
        <v>0</v>
      </c>
      <c r="V357" s="46">
        <v>0</v>
      </c>
      <c r="W357" s="46">
        <v>0</v>
      </c>
      <c r="X357" s="47">
        <f t="shared" si="36"/>
        <v>0</v>
      </c>
      <c r="Y357" s="46">
        <v>0</v>
      </c>
      <c r="Z357" s="46">
        <v>0</v>
      </c>
      <c r="AA357" s="46">
        <v>0</v>
      </c>
      <c r="AB357" s="46">
        <v>0</v>
      </c>
      <c r="AC357" s="46">
        <v>0</v>
      </c>
      <c r="AD357" s="46">
        <v>0</v>
      </c>
      <c r="AE357" s="46">
        <v>0</v>
      </c>
      <c r="AF357" s="46">
        <v>0</v>
      </c>
      <c r="AG357" s="46">
        <v>0</v>
      </c>
      <c r="AH357" s="46">
        <v>0</v>
      </c>
      <c r="AI357" s="46">
        <v>0</v>
      </c>
      <c r="AJ357" s="46">
        <v>0</v>
      </c>
      <c r="AK357" s="47">
        <f t="shared" si="37"/>
        <v>0</v>
      </c>
      <c r="AL357" s="46">
        <v>0</v>
      </c>
      <c r="AM357" s="46">
        <v>0</v>
      </c>
      <c r="AN357" s="46">
        <v>0</v>
      </c>
      <c r="AO357" s="46">
        <v>0</v>
      </c>
      <c r="AP357" s="46">
        <v>0</v>
      </c>
      <c r="AQ357" s="46">
        <v>0</v>
      </c>
      <c r="AR357" s="46">
        <v>0</v>
      </c>
      <c r="AS357" s="46">
        <v>0</v>
      </c>
      <c r="AT357" s="46">
        <v>0</v>
      </c>
      <c r="AU357" s="46">
        <v>0</v>
      </c>
      <c r="AV357" s="46">
        <v>0</v>
      </c>
      <c r="AW357" s="46">
        <v>0</v>
      </c>
      <c r="AX357" s="47">
        <f t="shared" si="38"/>
        <v>0</v>
      </c>
      <c r="AY357" s="319">
        <f>SUMIF(Recibos!$D$4:$D$3010,Cobranza!$B357,Recibos!K$4:K$3010)</f>
        <v>0</v>
      </c>
      <c r="AZ357" s="319">
        <f>SUMIF(Recibos!$D$4:$D$3010,Cobranza!$B357,Recibos!L$4:L$3010)</f>
        <v>0</v>
      </c>
      <c r="BA357" s="319">
        <f>SUMIF(Recibos!$D$4:$D$3010,Cobranza!$B357,Recibos!M$4:M$3010)</f>
        <v>0</v>
      </c>
      <c r="BB357" s="319">
        <f>SUMIF(Recibos!$D$4:$D$3010,Cobranza!$B357,Recibos!N$4:N$3010)</f>
        <v>0</v>
      </c>
      <c r="BC357" s="319">
        <f>SUMIF(Recibos!$D$4:$D$3010,Cobranza!$B357,Recibos!O$4:O$3010)</f>
        <v>0</v>
      </c>
      <c r="BD357" s="319">
        <f>SUMIF(Recibos!$D$4:$D$3010,Cobranza!$B357,Recibos!P$4:P$3010)</f>
        <v>0</v>
      </c>
      <c r="BE357" s="319">
        <f>SUMIF(Recibos!$D$4:$D$3010,Cobranza!$B357,Recibos!Q$4:Q$3010)</f>
        <v>0</v>
      </c>
      <c r="BF357" s="319">
        <f>SUMIF(Recibos!$D$4:$D$3010,Cobranza!$B357,Recibos!R$4:R$3010)</f>
        <v>0</v>
      </c>
      <c r="BG357" s="319">
        <f>SUMIF(Recibos!$D$4:$D$3010,Cobranza!$B357,Recibos!S$4:S$3010)</f>
        <v>0</v>
      </c>
      <c r="BH357" s="319">
        <f>SUMIF(Recibos!$D$4:$D$3010,Cobranza!$B357,Recibos!T$4:T$3010)</f>
        <v>0</v>
      </c>
      <c r="BI357" s="319">
        <f>SUMIF(Recibos!$D$4:$D$3010,Cobranza!$B357,Recibos!U$4:U$3010)</f>
        <v>0</v>
      </c>
      <c r="BJ357" s="319">
        <f>SUMIF(Recibos!$D$4:$D$3010,Cobranza!$B357,Recibos!V$4:V$3010)</f>
        <v>0</v>
      </c>
      <c r="BK357" s="320">
        <f t="shared" si="39"/>
        <v>0</v>
      </c>
      <c r="BL357" s="319">
        <f>SUMIF(Recibos!$D$4:$D$3010,Cobranza!$B357,Recibos!X$4:X$3010)</f>
        <v>0</v>
      </c>
      <c r="BM357" s="319">
        <f>SUMIF(Recibos!$D$4:$D$3010,Cobranza!$B357,Recibos!Y$4:Y$3010)</f>
        <v>0</v>
      </c>
      <c r="BN357" s="319">
        <f>SUMIF(Recibos!$D$4:$D$3010,Cobranza!$B357,Recibos!Z$4:Z$3010)</f>
        <v>0</v>
      </c>
      <c r="BO357" s="319">
        <f>SUMIF(Recibos!$D$4:$D$3010,Cobranza!$B357,Recibos!AA$4:AA$3010)</f>
        <v>0</v>
      </c>
      <c r="BP357" s="319">
        <f>SUMIF(Recibos!$D$4:$D$3010,Cobranza!$B357,Recibos!AB$4:AB$3010)</f>
        <v>0</v>
      </c>
      <c r="BQ357" s="319">
        <f>SUMIF(Recibos!$D$4:$D$3010,Cobranza!$B357,Recibos!AC$4:AC$3010)</f>
        <v>0</v>
      </c>
      <c r="BR357" s="319">
        <f>SUMIF(Recibos!$D$4:$D$3010,Cobranza!$B357,Recibos!AD$4:AD$3010)</f>
        <v>0</v>
      </c>
      <c r="BS357" s="319">
        <f>SUMIF(Recibos!$D$4:$D$3010,Cobranza!$B357,Recibos!AE$4:AE$3010)</f>
        <v>0</v>
      </c>
      <c r="BT357" s="319">
        <f>SUMIF(Recibos!$D$4:$D$3010,Cobranza!$B357,Recibos!AF$4:AF$3010)</f>
        <v>0</v>
      </c>
      <c r="BU357" s="319">
        <f>SUMIF(Recibos!$D$4:$D$3010,Cobranza!$B357,Recibos!AG$4:AG$3010)</f>
        <v>0</v>
      </c>
      <c r="BV357" s="319">
        <f>SUMIF(Recibos!$D$4:$D$3010,Cobranza!$B357,Recibos!AH$4:AH$3010)</f>
        <v>0</v>
      </c>
      <c r="BW357" s="319">
        <f>SUMIF(Recibos!$D$4:$D$3010,Cobranza!$B357,Recibos!AI$4:AI$3010)</f>
        <v>0</v>
      </c>
      <c r="BX357" s="320">
        <f t="shared" si="40"/>
        <v>0</v>
      </c>
    </row>
    <row r="358" spans="2:76" x14ac:dyDescent="0.2">
      <c r="B358" s="42" t="s">
        <v>864</v>
      </c>
      <c r="C358" s="42" t="s">
        <v>865</v>
      </c>
      <c r="D358" s="42" t="s">
        <v>866</v>
      </c>
      <c r="E358" s="43">
        <v>0</v>
      </c>
      <c r="F358" s="43">
        <v>0</v>
      </c>
      <c r="G358" s="43">
        <v>0</v>
      </c>
      <c r="H358" s="43">
        <v>0</v>
      </c>
      <c r="I358" s="43">
        <v>0</v>
      </c>
      <c r="J358" s="43">
        <v>0</v>
      </c>
      <c r="K358" s="44">
        <f t="shared" si="35"/>
        <v>0</v>
      </c>
      <c r="L358" s="43">
        <v>300</v>
      </c>
      <c r="M358" s="43">
        <v>300</v>
      </c>
      <c r="N358" s="43">
        <v>0</v>
      </c>
      <c r="O358" s="43">
        <v>300</v>
      </c>
      <c r="P358" s="43">
        <v>300</v>
      </c>
      <c r="Q358" s="43">
        <v>300</v>
      </c>
      <c r="R358" s="43">
        <v>300</v>
      </c>
      <c r="S358" s="43">
        <v>300</v>
      </c>
      <c r="T358" s="43">
        <v>300</v>
      </c>
      <c r="U358" s="43">
        <v>300</v>
      </c>
      <c r="V358" s="43">
        <v>0</v>
      </c>
      <c r="W358" s="43">
        <v>0</v>
      </c>
      <c r="X358" s="44">
        <f t="shared" si="36"/>
        <v>2700</v>
      </c>
      <c r="Y358" s="43">
        <v>300</v>
      </c>
      <c r="Z358" s="43">
        <v>300</v>
      </c>
      <c r="AA358" s="43">
        <v>300</v>
      </c>
      <c r="AB358" s="43">
        <v>300</v>
      </c>
      <c r="AC358" s="43">
        <v>300</v>
      </c>
      <c r="AD358" s="43">
        <v>300</v>
      </c>
      <c r="AE358" s="43">
        <v>300</v>
      </c>
      <c r="AF358" s="43">
        <v>300</v>
      </c>
      <c r="AG358" s="43">
        <v>300</v>
      </c>
      <c r="AH358" s="43">
        <v>300</v>
      </c>
      <c r="AI358" s="43">
        <v>300</v>
      </c>
      <c r="AJ358" s="43">
        <v>300</v>
      </c>
      <c r="AK358" s="44">
        <f t="shared" si="37"/>
        <v>3600</v>
      </c>
      <c r="AL358" s="43">
        <v>300</v>
      </c>
      <c r="AM358" s="43">
        <v>300</v>
      </c>
      <c r="AN358" s="43">
        <v>300</v>
      </c>
      <c r="AO358" s="43">
        <v>300</v>
      </c>
      <c r="AP358" s="43">
        <v>300</v>
      </c>
      <c r="AQ358" s="43">
        <v>300</v>
      </c>
      <c r="AR358" s="43">
        <v>300</v>
      </c>
      <c r="AS358" s="43">
        <v>300</v>
      </c>
      <c r="AT358" s="43">
        <v>300</v>
      </c>
      <c r="AU358" s="43">
        <v>300</v>
      </c>
      <c r="AV358" s="43">
        <v>0</v>
      </c>
      <c r="AW358" s="43">
        <v>0</v>
      </c>
      <c r="AX358" s="44">
        <f t="shared" si="38"/>
        <v>3000</v>
      </c>
      <c r="AY358" s="317">
        <f>SUMIF(Recibos!$D$4:$D$3010,Cobranza!$B358,Recibos!K$4:K$3010)</f>
        <v>300</v>
      </c>
      <c r="AZ358" s="317">
        <f>SUMIF(Recibos!$D$4:$D$3010,Cobranza!$B358,Recibos!L$4:L$3010)</f>
        <v>300</v>
      </c>
      <c r="BA358" s="317">
        <f>SUMIF(Recibos!$D$4:$D$3010,Cobranza!$B358,Recibos!M$4:M$3010)</f>
        <v>300</v>
      </c>
      <c r="BB358" s="317">
        <f>SUMIF(Recibos!$D$4:$D$3010,Cobranza!$B358,Recibos!N$4:N$3010)</f>
        <v>300</v>
      </c>
      <c r="BC358" s="317">
        <f>SUMIF(Recibos!$D$4:$D$3010,Cobranza!$B358,Recibos!O$4:O$3010)</f>
        <v>300</v>
      </c>
      <c r="BD358" s="317">
        <f>SUMIF(Recibos!$D$4:$D$3010,Cobranza!$B358,Recibos!P$4:P$3010)</f>
        <v>300</v>
      </c>
      <c r="BE358" s="317">
        <f>SUMIF(Recibos!$D$4:$D$3010,Cobranza!$B358,Recibos!Q$4:Q$3010)</f>
        <v>300</v>
      </c>
      <c r="BF358" s="317">
        <f>SUMIF(Recibos!$D$4:$D$3010,Cobranza!$B358,Recibos!R$4:R$3010)</f>
        <v>300</v>
      </c>
      <c r="BG358" s="317">
        <f>SUMIF(Recibos!$D$4:$D$3010,Cobranza!$B358,Recibos!S$4:S$3010)</f>
        <v>300</v>
      </c>
      <c r="BH358" s="317">
        <f>SUMIF(Recibos!$D$4:$D$3010,Cobranza!$B358,Recibos!T$4:T$3010)</f>
        <v>0</v>
      </c>
      <c r="BI358" s="317">
        <f>SUMIF(Recibos!$D$4:$D$3010,Cobranza!$B358,Recibos!U$4:U$3010)</f>
        <v>0</v>
      </c>
      <c r="BJ358" s="317">
        <f>SUMIF(Recibos!$D$4:$D$3010,Cobranza!$B358,Recibos!V$4:V$3010)</f>
        <v>0</v>
      </c>
      <c r="BK358" s="318">
        <f t="shared" si="39"/>
        <v>2700</v>
      </c>
      <c r="BL358" s="317">
        <f>SUMIF(Recibos!$D$4:$D$3010,Cobranza!$B358,Recibos!X$4:X$3010)</f>
        <v>0</v>
      </c>
      <c r="BM358" s="317">
        <f>SUMIF(Recibos!$D$4:$D$3010,Cobranza!$B358,Recibos!Y$4:Y$3010)</f>
        <v>0</v>
      </c>
      <c r="BN358" s="317">
        <f>SUMIF(Recibos!$D$4:$D$3010,Cobranza!$B358,Recibos!Z$4:Z$3010)</f>
        <v>0</v>
      </c>
      <c r="BO358" s="317">
        <f>SUMIF(Recibos!$D$4:$D$3010,Cobranza!$B358,Recibos!AA$4:AA$3010)</f>
        <v>0</v>
      </c>
      <c r="BP358" s="317">
        <f>SUMIF(Recibos!$D$4:$D$3010,Cobranza!$B358,Recibos!AB$4:AB$3010)</f>
        <v>0</v>
      </c>
      <c r="BQ358" s="317">
        <f>SUMIF(Recibos!$D$4:$D$3010,Cobranza!$B358,Recibos!AC$4:AC$3010)</f>
        <v>0</v>
      </c>
      <c r="BR358" s="317">
        <f>SUMIF(Recibos!$D$4:$D$3010,Cobranza!$B358,Recibos!AD$4:AD$3010)</f>
        <v>0</v>
      </c>
      <c r="BS358" s="317">
        <f>SUMIF(Recibos!$D$4:$D$3010,Cobranza!$B358,Recibos!AE$4:AE$3010)</f>
        <v>0</v>
      </c>
      <c r="BT358" s="317">
        <f>SUMIF(Recibos!$D$4:$D$3010,Cobranza!$B358,Recibos!AF$4:AF$3010)</f>
        <v>0</v>
      </c>
      <c r="BU358" s="317">
        <f>SUMIF(Recibos!$D$4:$D$3010,Cobranza!$B358,Recibos!AG$4:AG$3010)</f>
        <v>0</v>
      </c>
      <c r="BV358" s="317">
        <f>SUMIF(Recibos!$D$4:$D$3010,Cobranza!$B358,Recibos!AH$4:AH$3010)</f>
        <v>0</v>
      </c>
      <c r="BW358" s="317">
        <f>SUMIF(Recibos!$D$4:$D$3010,Cobranza!$B358,Recibos!AI$4:AI$3010)</f>
        <v>0</v>
      </c>
      <c r="BX358" s="318">
        <f t="shared" si="40"/>
        <v>0</v>
      </c>
    </row>
    <row r="359" spans="2:76" x14ac:dyDescent="0.2">
      <c r="B359" s="45" t="s">
        <v>1049</v>
      </c>
      <c r="C359" s="45" t="s">
        <v>1050</v>
      </c>
      <c r="D359" s="45" t="s">
        <v>1051</v>
      </c>
      <c r="E359" s="46">
        <v>0</v>
      </c>
      <c r="F359" s="46">
        <v>0</v>
      </c>
      <c r="G359" s="46">
        <v>0</v>
      </c>
      <c r="H359" s="46">
        <v>0</v>
      </c>
      <c r="I359" s="46">
        <v>0</v>
      </c>
      <c r="J359" s="46">
        <v>300</v>
      </c>
      <c r="K359" s="47">
        <f t="shared" si="35"/>
        <v>300</v>
      </c>
      <c r="L359" s="46">
        <v>300</v>
      </c>
      <c r="M359" s="46">
        <v>300</v>
      </c>
      <c r="N359" s="46">
        <v>300</v>
      </c>
      <c r="O359" s="46">
        <v>300</v>
      </c>
      <c r="P359" s="46">
        <v>300</v>
      </c>
      <c r="Q359" s="46">
        <v>300</v>
      </c>
      <c r="R359" s="46">
        <v>300</v>
      </c>
      <c r="S359" s="46">
        <v>300</v>
      </c>
      <c r="T359" s="46">
        <v>300</v>
      </c>
      <c r="U359" s="46">
        <v>400</v>
      </c>
      <c r="V359" s="46">
        <v>0</v>
      </c>
      <c r="W359" s="46">
        <v>0</v>
      </c>
      <c r="X359" s="47">
        <f t="shared" si="36"/>
        <v>3100</v>
      </c>
      <c r="Y359" s="46">
        <v>400</v>
      </c>
      <c r="Z359" s="46">
        <v>400</v>
      </c>
      <c r="AA359" s="46">
        <v>400</v>
      </c>
      <c r="AB359" s="46">
        <v>400</v>
      </c>
      <c r="AC359" s="46">
        <v>400</v>
      </c>
      <c r="AD359" s="46">
        <v>400</v>
      </c>
      <c r="AE359" s="46">
        <v>0</v>
      </c>
      <c r="AF359" s="46">
        <v>0</v>
      </c>
      <c r="AG359" s="46">
        <v>0</v>
      </c>
      <c r="AH359" s="46">
        <v>0</v>
      </c>
      <c r="AI359" s="46">
        <v>0</v>
      </c>
      <c r="AJ359" s="46">
        <v>0</v>
      </c>
      <c r="AK359" s="47">
        <f t="shared" si="37"/>
        <v>2400</v>
      </c>
      <c r="AL359" s="46">
        <v>400</v>
      </c>
      <c r="AM359" s="46">
        <v>400</v>
      </c>
      <c r="AN359" s="46">
        <v>0</v>
      </c>
      <c r="AO359" s="46">
        <v>0</v>
      </c>
      <c r="AP359" s="46">
        <v>0</v>
      </c>
      <c r="AQ359" s="46">
        <v>0</v>
      </c>
      <c r="AR359" s="46">
        <v>0</v>
      </c>
      <c r="AS359" s="46">
        <v>0</v>
      </c>
      <c r="AT359" s="46">
        <v>0</v>
      </c>
      <c r="AU359" s="46">
        <v>0</v>
      </c>
      <c r="AV359" s="46">
        <v>0</v>
      </c>
      <c r="AW359" s="46">
        <v>0</v>
      </c>
      <c r="AX359" s="47">
        <f t="shared" si="38"/>
        <v>800</v>
      </c>
      <c r="AY359" s="319">
        <f>SUMIF(Recibos!$D$4:$D$3010,Cobranza!$B359,Recibos!K$4:K$3010)</f>
        <v>0</v>
      </c>
      <c r="AZ359" s="319">
        <f>SUMIF(Recibos!$D$4:$D$3010,Cobranza!$B359,Recibos!L$4:L$3010)</f>
        <v>0</v>
      </c>
      <c r="BA359" s="319">
        <f>SUMIF(Recibos!$D$4:$D$3010,Cobranza!$B359,Recibos!M$4:M$3010)</f>
        <v>0</v>
      </c>
      <c r="BB359" s="319">
        <f>SUMIF(Recibos!$D$4:$D$3010,Cobranza!$B359,Recibos!N$4:N$3010)</f>
        <v>0</v>
      </c>
      <c r="BC359" s="319">
        <f>SUMIF(Recibos!$D$4:$D$3010,Cobranza!$B359,Recibos!O$4:O$3010)</f>
        <v>0</v>
      </c>
      <c r="BD359" s="319">
        <f>SUMIF(Recibos!$D$4:$D$3010,Cobranza!$B359,Recibos!P$4:P$3010)</f>
        <v>0</v>
      </c>
      <c r="BE359" s="319">
        <f>SUMIF(Recibos!$D$4:$D$3010,Cobranza!$B359,Recibos!Q$4:Q$3010)</f>
        <v>400</v>
      </c>
      <c r="BF359" s="319">
        <f>SUMIF(Recibos!$D$4:$D$3010,Cobranza!$B359,Recibos!R$4:R$3010)</f>
        <v>400</v>
      </c>
      <c r="BG359" s="319">
        <f>SUMIF(Recibos!$D$4:$D$3010,Cobranza!$B359,Recibos!S$4:S$3010)</f>
        <v>0</v>
      </c>
      <c r="BH359" s="319">
        <f>SUMIF(Recibos!$D$4:$D$3010,Cobranza!$B359,Recibos!T$4:T$3010)</f>
        <v>0</v>
      </c>
      <c r="BI359" s="319">
        <f>SUMIF(Recibos!$D$4:$D$3010,Cobranza!$B359,Recibos!U$4:U$3010)</f>
        <v>0</v>
      </c>
      <c r="BJ359" s="319">
        <f>SUMIF(Recibos!$D$4:$D$3010,Cobranza!$B359,Recibos!V$4:V$3010)</f>
        <v>0</v>
      </c>
      <c r="BK359" s="320">
        <f t="shared" si="39"/>
        <v>800</v>
      </c>
      <c r="BL359" s="319">
        <f>SUMIF(Recibos!$D$4:$D$3010,Cobranza!$B359,Recibos!X$4:X$3010)</f>
        <v>0</v>
      </c>
      <c r="BM359" s="319">
        <f>SUMIF(Recibos!$D$4:$D$3010,Cobranza!$B359,Recibos!Y$4:Y$3010)</f>
        <v>0</v>
      </c>
      <c r="BN359" s="319">
        <f>SUMIF(Recibos!$D$4:$D$3010,Cobranza!$B359,Recibos!Z$4:Z$3010)</f>
        <v>0</v>
      </c>
      <c r="BO359" s="319">
        <f>SUMIF(Recibos!$D$4:$D$3010,Cobranza!$B359,Recibos!AA$4:AA$3010)</f>
        <v>0</v>
      </c>
      <c r="BP359" s="319">
        <f>SUMIF(Recibos!$D$4:$D$3010,Cobranza!$B359,Recibos!AB$4:AB$3010)</f>
        <v>0</v>
      </c>
      <c r="BQ359" s="319">
        <f>SUMIF(Recibos!$D$4:$D$3010,Cobranza!$B359,Recibos!AC$4:AC$3010)</f>
        <v>0</v>
      </c>
      <c r="BR359" s="319">
        <f>SUMIF(Recibos!$D$4:$D$3010,Cobranza!$B359,Recibos!AD$4:AD$3010)</f>
        <v>0</v>
      </c>
      <c r="BS359" s="319">
        <f>SUMIF(Recibos!$D$4:$D$3010,Cobranza!$B359,Recibos!AE$4:AE$3010)</f>
        <v>0</v>
      </c>
      <c r="BT359" s="319">
        <f>SUMIF(Recibos!$D$4:$D$3010,Cobranza!$B359,Recibos!AF$4:AF$3010)</f>
        <v>0</v>
      </c>
      <c r="BU359" s="319">
        <f>SUMIF(Recibos!$D$4:$D$3010,Cobranza!$B359,Recibos!AG$4:AG$3010)</f>
        <v>0</v>
      </c>
      <c r="BV359" s="319">
        <f>SUMIF(Recibos!$D$4:$D$3010,Cobranza!$B359,Recibos!AH$4:AH$3010)</f>
        <v>0</v>
      </c>
      <c r="BW359" s="319">
        <f>SUMIF(Recibos!$D$4:$D$3010,Cobranza!$B359,Recibos!AI$4:AI$3010)</f>
        <v>0</v>
      </c>
      <c r="BX359" s="320">
        <f t="shared" si="40"/>
        <v>0</v>
      </c>
    </row>
    <row r="360" spans="2:76" x14ac:dyDescent="0.2">
      <c r="B360" s="42" t="s">
        <v>1157</v>
      </c>
      <c r="C360" s="42" t="s">
        <v>1158</v>
      </c>
      <c r="D360" s="42" t="s">
        <v>1159</v>
      </c>
      <c r="E360" s="43">
        <v>0</v>
      </c>
      <c r="F360" s="43">
        <v>0</v>
      </c>
      <c r="G360" s="43">
        <v>0</v>
      </c>
      <c r="H360" s="43">
        <v>0</v>
      </c>
      <c r="I360" s="43">
        <v>0</v>
      </c>
      <c r="J360" s="43">
        <v>0</v>
      </c>
      <c r="K360" s="44">
        <f t="shared" si="35"/>
        <v>0</v>
      </c>
      <c r="L360" s="43">
        <v>0</v>
      </c>
      <c r="M360" s="43">
        <v>0</v>
      </c>
      <c r="N360" s="43">
        <v>0</v>
      </c>
      <c r="O360" s="43">
        <v>0</v>
      </c>
      <c r="P360" s="43">
        <v>0</v>
      </c>
      <c r="Q360" s="43">
        <v>0</v>
      </c>
      <c r="R360" s="43">
        <v>0</v>
      </c>
      <c r="S360" s="43">
        <v>0</v>
      </c>
      <c r="T360" s="43">
        <v>0</v>
      </c>
      <c r="U360" s="43">
        <v>0</v>
      </c>
      <c r="V360" s="43">
        <v>0</v>
      </c>
      <c r="W360" s="43">
        <v>0</v>
      </c>
      <c r="X360" s="44">
        <f t="shared" si="36"/>
        <v>0</v>
      </c>
      <c r="Y360" s="43">
        <v>0</v>
      </c>
      <c r="Z360" s="43">
        <v>0</v>
      </c>
      <c r="AA360" s="43">
        <v>0</v>
      </c>
      <c r="AB360" s="43">
        <v>0</v>
      </c>
      <c r="AC360" s="43">
        <v>0</v>
      </c>
      <c r="AD360" s="43">
        <v>0</v>
      </c>
      <c r="AE360" s="43">
        <v>0</v>
      </c>
      <c r="AF360" s="43">
        <v>0</v>
      </c>
      <c r="AG360" s="43">
        <v>0</v>
      </c>
      <c r="AH360" s="43">
        <v>0</v>
      </c>
      <c r="AI360" s="43">
        <v>0</v>
      </c>
      <c r="AJ360" s="43">
        <v>0</v>
      </c>
      <c r="AK360" s="44">
        <f t="shared" si="37"/>
        <v>0</v>
      </c>
      <c r="AL360" s="43">
        <v>0</v>
      </c>
      <c r="AM360" s="43">
        <v>0</v>
      </c>
      <c r="AN360" s="43">
        <v>0</v>
      </c>
      <c r="AO360" s="43">
        <v>0</v>
      </c>
      <c r="AP360" s="43">
        <v>0</v>
      </c>
      <c r="AQ360" s="43">
        <v>0</v>
      </c>
      <c r="AR360" s="43">
        <v>0</v>
      </c>
      <c r="AS360" s="43">
        <v>0</v>
      </c>
      <c r="AT360" s="43">
        <v>0</v>
      </c>
      <c r="AU360" s="43">
        <v>0</v>
      </c>
      <c r="AV360" s="43">
        <v>0</v>
      </c>
      <c r="AW360" s="43">
        <v>0</v>
      </c>
      <c r="AX360" s="44">
        <f t="shared" si="38"/>
        <v>0</v>
      </c>
      <c r="AY360" s="317">
        <f>SUMIF(Recibos!$D$4:$D$3010,Cobranza!$B360,Recibos!K$4:K$3010)</f>
        <v>0</v>
      </c>
      <c r="AZ360" s="317">
        <f>SUMIF(Recibos!$D$4:$D$3010,Cobranza!$B360,Recibos!L$4:L$3010)</f>
        <v>0</v>
      </c>
      <c r="BA360" s="317">
        <f>SUMIF(Recibos!$D$4:$D$3010,Cobranza!$B360,Recibos!M$4:M$3010)</f>
        <v>0</v>
      </c>
      <c r="BB360" s="317">
        <f>SUMIF(Recibos!$D$4:$D$3010,Cobranza!$B360,Recibos!N$4:N$3010)</f>
        <v>0</v>
      </c>
      <c r="BC360" s="317">
        <f>SUMIF(Recibos!$D$4:$D$3010,Cobranza!$B360,Recibos!O$4:O$3010)</f>
        <v>0</v>
      </c>
      <c r="BD360" s="317">
        <f>SUMIF(Recibos!$D$4:$D$3010,Cobranza!$B360,Recibos!P$4:P$3010)</f>
        <v>0</v>
      </c>
      <c r="BE360" s="317">
        <f>SUMIF(Recibos!$D$4:$D$3010,Cobranza!$B360,Recibos!Q$4:Q$3010)</f>
        <v>0</v>
      </c>
      <c r="BF360" s="317">
        <f>SUMIF(Recibos!$D$4:$D$3010,Cobranza!$B360,Recibos!R$4:R$3010)</f>
        <v>200</v>
      </c>
      <c r="BG360" s="317">
        <f>SUMIF(Recibos!$D$4:$D$3010,Cobranza!$B360,Recibos!S$4:S$3010)</f>
        <v>200</v>
      </c>
      <c r="BH360" s="317">
        <f>SUMIF(Recibos!$D$4:$D$3010,Cobranza!$B360,Recibos!T$4:T$3010)</f>
        <v>200</v>
      </c>
      <c r="BI360" s="317">
        <f>SUMIF(Recibos!$D$4:$D$3010,Cobranza!$B360,Recibos!U$4:U$3010)</f>
        <v>200</v>
      </c>
      <c r="BJ360" s="317">
        <f>SUMIF(Recibos!$D$4:$D$3010,Cobranza!$B360,Recibos!V$4:V$3010)</f>
        <v>0</v>
      </c>
      <c r="BK360" s="318">
        <f t="shared" si="39"/>
        <v>800</v>
      </c>
      <c r="BL360" s="317">
        <f>SUMIF(Recibos!$D$4:$D$3010,Cobranza!$B360,Recibos!X$4:X$3010)</f>
        <v>0</v>
      </c>
      <c r="BM360" s="317">
        <f>SUMIF(Recibos!$D$4:$D$3010,Cobranza!$B360,Recibos!Y$4:Y$3010)</f>
        <v>0</v>
      </c>
      <c r="BN360" s="317">
        <f>SUMIF(Recibos!$D$4:$D$3010,Cobranza!$B360,Recibos!Z$4:Z$3010)</f>
        <v>0</v>
      </c>
      <c r="BO360" s="317">
        <f>SUMIF(Recibos!$D$4:$D$3010,Cobranza!$B360,Recibos!AA$4:AA$3010)</f>
        <v>0</v>
      </c>
      <c r="BP360" s="317">
        <f>SUMIF(Recibos!$D$4:$D$3010,Cobranza!$B360,Recibos!AB$4:AB$3010)</f>
        <v>0</v>
      </c>
      <c r="BQ360" s="317">
        <f>SUMIF(Recibos!$D$4:$D$3010,Cobranza!$B360,Recibos!AC$4:AC$3010)</f>
        <v>0</v>
      </c>
      <c r="BR360" s="317">
        <f>SUMIF(Recibos!$D$4:$D$3010,Cobranza!$B360,Recibos!AD$4:AD$3010)</f>
        <v>0</v>
      </c>
      <c r="BS360" s="317">
        <f>SUMIF(Recibos!$D$4:$D$3010,Cobranza!$B360,Recibos!AE$4:AE$3010)</f>
        <v>0</v>
      </c>
      <c r="BT360" s="317">
        <f>SUMIF(Recibos!$D$4:$D$3010,Cobranza!$B360,Recibos!AF$4:AF$3010)</f>
        <v>0</v>
      </c>
      <c r="BU360" s="317">
        <f>SUMIF(Recibos!$D$4:$D$3010,Cobranza!$B360,Recibos!AG$4:AG$3010)</f>
        <v>0</v>
      </c>
      <c r="BV360" s="317">
        <f>SUMIF(Recibos!$D$4:$D$3010,Cobranza!$B360,Recibos!AH$4:AH$3010)</f>
        <v>0</v>
      </c>
      <c r="BW360" s="317">
        <f>SUMIF(Recibos!$D$4:$D$3010,Cobranza!$B360,Recibos!AI$4:AI$3010)</f>
        <v>0</v>
      </c>
      <c r="BX360" s="318">
        <f t="shared" si="40"/>
        <v>0</v>
      </c>
    </row>
    <row r="361" spans="2:76" x14ac:dyDescent="0.2">
      <c r="B361" s="45" t="s">
        <v>1106</v>
      </c>
      <c r="C361" s="45" t="s">
        <v>1107</v>
      </c>
      <c r="D361" s="45" t="s">
        <v>1108</v>
      </c>
      <c r="E361" s="46">
        <v>0</v>
      </c>
      <c r="F361" s="46">
        <v>0</v>
      </c>
      <c r="G361" s="46">
        <v>0</v>
      </c>
      <c r="H361" s="46">
        <v>0</v>
      </c>
      <c r="I361" s="46">
        <v>0</v>
      </c>
      <c r="J361" s="46">
        <v>0</v>
      </c>
      <c r="K361" s="47">
        <f t="shared" si="35"/>
        <v>0</v>
      </c>
      <c r="L361" s="46">
        <v>0</v>
      </c>
      <c r="M361" s="46">
        <v>0</v>
      </c>
      <c r="N361" s="46">
        <v>0</v>
      </c>
      <c r="O361" s="46">
        <v>0</v>
      </c>
      <c r="P361" s="46">
        <v>0</v>
      </c>
      <c r="Q361" s="46">
        <v>0</v>
      </c>
      <c r="R361" s="46">
        <v>0</v>
      </c>
      <c r="S361" s="46">
        <v>0</v>
      </c>
      <c r="T361" s="46">
        <v>0</v>
      </c>
      <c r="U361" s="46">
        <v>0</v>
      </c>
      <c r="V361" s="46">
        <v>0</v>
      </c>
      <c r="W361" s="46">
        <v>0</v>
      </c>
      <c r="X361" s="47">
        <f t="shared" si="36"/>
        <v>0</v>
      </c>
      <c r="Y361" s="46">
        <v>0</v>
      </c>
      <c r="Z361" s="46">
        <v>0</v>
      </c>
      <c r="AA361" s="46">
        <v>0</v>
      </c>
      <c r="AB361" s="46">
        <v>200</v>
      </c>
      <c r="AC361" s="46">
        <v>200</v>
      </c>
      <c r="AD361" s="46">
        <v>200</v>
      </c>
      <c r="AE361" s="46">
        <v>0</v>
      </c>
      <c r="AF361" s="46">
        <v>0</v>
      </c>
      <c r="AG361" s="46">
        <v>0</v>
      </c>
      <c r="AH361" s="46">
        <v>0</v>
      </c>
      <c r="AI361" s="46">
        <v>0</v>
      </c>
      <c r="AJ361" s="46">
        <v>0</v>
      </c>
      <c r="AK361" s="47">
        <f t="shared" si="37"/>
        <v>600</v>
      </c>
      <c r="AL361" s="46">
        <v>0</v>
      </c>
      <c r="AM361" s="46">
        <v>0</v>
      </c>
      <c r="AN361" s="46">
        <v>0</v>
      </c>
      <c r="AO361" s="46">
        <v>0</v>
      </c>
      <c r="AP361" s="46">
        <v>0</v>
      </c>
      <c r="AQ361" s="46">
        <v>0</v>
      </c>
      <c r="AR361" s="46">
        <v>0</v>
      </c>
      <c r="AS361" s="46">
        <v>0</v>
      </c>
      <c r="AT361" s="46">
        <v>0</v>
      </c>
      <c r="AU361" s="46">
        <v>0</v>
      </c>
      <c r="AV361" s="46">
        <v>0</v>
      </c>
      <c r="AW361" s="46">
        <v>0</v>
      </c>
      <c r="AX361" s="47">
        <f t="shared" si="38"/>
        <v>0</v>
      </c>
      <c r="AY361" s="319">
        <f>SUMIF(Recibos!$D$4:$D$3010,Cobranza!$B361,Recibos!K$4:K$3010)</f>
        <v>0</v>
      </c>
      <c r="AZ361" s="319">
        <f>SUMIF(Recibos!$D$4:$D$3010,Cobranza!$B361,Recibos!L$4:L$3010)</f>
        <v>0</v>
      </c>
      <c r="BA361" s="319">
        <f>SUMIF(Recibos!$D$4:$D$3010,Cobranza!$B361,Recibos!M$4:M$3010)</f>
        <v>0</v>
      </c>
      <c r="BB361" s="319">
        <f>SUMIF(Recibos!$D$4:$D$3010,Cobranza!$B361,Recibos!N$4:N$3010)</f>
        <v>0</v>
      </c>
      <c r="BC361" s="319">
        <f>SUMIF(Recibos!$D$4:$D$3010,Cobranza!$B361,Recibos!O$4:O$3010)</f>
        <v>0</v>
      </c>
      <c r="BD361" s="319">
        <f>SUMIF(Recibos!$D$4:$D$3010,Cobranza!$B361,Recibos!P$4:P$3010)</f>
        <v>0</v>
      </c>
      <c r="BE361" s="319">
        <f>SUMIF(Recibos!$D$4:$D$3010,Cobranza!$B361,Recibos!Q$4:Q$3010)</f>
        <v>0</v>
      </c>
      <c r="BF361" s="319">
        <f>SUMIF(Recibos!$D$4:$D$3010,Cobranza!$B361,Recibos!R$4:R$3010)</f>
        <v>0</v>
      </c>
      <c r="BG361" s="319">
        <f>SUMIF(Recibos!$D$4:$D$3010,Cobranza!$B361,Recibos!S$4:S$3010)</f>
        <v>0</v>
      </c>
      <c r="BH361" s="319">
        <f>SUMIF(Recibos!$D$4:$D$3010,Cobranza!$B361,Recibos!T$4:T$3010)</f>
        <v>0</v>
      </c>
      <c r="BI361" s="319">
        <f>SUMIF(Recibos!$D$4:$D$3010,Cobranza!$B361,Recibos!U$4:U$3010)</f>
        <v>0</v>
      </c>
      <c r="BJ361" s="319">
        <f>SUMIF(Recibos!$D$4:$D$3010,Cobranza!$B361,Recibos!V$4:V$3010)</f>
        <v>0</v>
      </c>
      <c r="BK361" s="320">
        <f t="shared" si="39"/>
        <v>0</v>
      </c>
      <c r="BL361" s="319">
        <f>SUMIF(Recibos!$D$4:$D$3010,Cobranza!$B361,Recibos!X$4:X$3010)</f>
        <v>0</v>
      </c>
      <c r="BM361" s="319">
        <f>SUMIF(Recibos!$D$4:$D$3010,Cobranza!$B361,Recibos!Y$4:Y$3010)</f>
        <v>0</v>
      </c>
      <c r="BN361" s="319">
        <f>SUMIF(Recibos!$D$4:$D$3010,Cobranza!$B361,Recibos!Z$4:Z$3010)</f>
        <v>0</v>
      </c>
      <c r="BO361" s="319">
        <f>SUMIF(Recibos!$D$4:$D$3010,Cobranza!$B361,Recibos!AA$4:AA$3010)</f>
        <v>0</v>
      </c>
      <c r="BP361" s="319">
        <f>SUMIF(Recibos!$D$4:$D$3010,Cobranza!$B361,Recibos!AB$4:AB$3010)</f>
        <v>0</v>
      </c>
      <c r="BQ361" s="319">
        <f>SUMIF(Recibos!$D$4:$D$3010,Cobranza!$B361,Recibos!AC$4:AC$3010)</f>
        <v>0</v>
      </c>
      <c r="BR361" s="319">
        <f>SUMIF(Recibos!$D$4:$D$3010,Cobranza!$B361,Recibos!AD$4:AD$3010)</f>
        <v>0</v>
      </c>
      <c r="BS361" s="319">
        <f>SUMIF(Recibos!$D$4:$D$3010,Cobranza!$B361,Recibos!AE$4:AE$3010)</f>
        <v>0</v>
      </c>
      <c r="BT361" s="319">
        <f>SUMIF(Recibos!$D$4:$D$3010,Cobranza!$B361,Recibos!AF$4:AF$3010)</f>
        <v>0</v>
      </c>
      <c r="BU361" s="319">
        <f>SUMIF(Recibos!$D$4:$D$3010,Cobranza!$B361,Recibos!AG$4:AG$3010)</f>
        <v>0</v>
      </c>
      <c r="BV361" s="319">
        <f>SUMIF(Recibos!$D$4:$D$3010,Cobranza!$B361,Recibos!AH$4:AH$3010)</f>
        <v>0</v>
      </c>
      <c r="BW361" s="319">
        <f>SUMIF(Recibos!$D$4:$D$3010,Cobranza!$B361,Recibos!AI$4:AI$3010)</f>
        <v>0</v>
      </c>
      <c r="BX361" s="320">
        <f t="shared" si="40"/>
        <v>0</v>
      </c>
    </row>
    <row r="362" spans="2:76" x14ac:dyDescent="0.2">
      <c r="B362" s="42" t="s">
        <v>1100</v>
      </c>
      <c r="C362" s="42" t="s">
        <v>1101</v>
      </c>
      <c r="D362" s="42" t="s">
        <v>1102</v>
      </c>
      <c r="E362" s="43">
        <v>0</v>
      </c>
      <c r="F362" s="43">
        <v>0</v>
      </c>
      <c r="G362" s="43">
        <v>0</v>
      </c>
      <c r="H362" s="43">
        <v>0</v>
      </c>
      <c r="I362" s="43">
        <v>0</v>
      </c>
      <c r="J362" s="43">
        <v>0</v>
      </c>
      <c r="K362" s="44">
        <f t="shared" si="35"/>
        <v>0</v>
      </c>
      <c r="L362" s="43">
        <v>100</v>
      </c>
      <c r="M362" s="43">
        <v>100</v>
      </c>
      <c r="N362" s="43">
        <v>100</v>
      </c>
      <c r="O362" s="43">
        <v>100</v>
      </c>
      <c r="P362" s="43">
        <v>100</v>
      </c>
      <c r="Q362" s="43">
        <v>100</v>
      </c>
      <c r="R362" s="43">
        <v>100</v>
      </c>
      <c r="S362" s="43">
        <v>100</v>
      </c>
      <c r="T362" s="43">
        <v>100</v>
      </c>
      <c r="U362" s="43">
        <v>100</v>
      </c>
      <c r="V362" s="43">
        <v>100</v>
      </c>
      <c r="W362" s="43">
        <v>100</v>
      </c>
      <c r="X362" s="44">
        <f t="shared" si="36"/>
        <v>1200</v>
      </c>
      <c r="Y362" s="43">
        <v>0</v>
      </c>
      <c r="Z362" s="43">
        <v>0</v>
      </c>
      <c r="AA362" s="43">
        <v>0</v>
      </c>
      <c r="AB362" s="43">
        <v>0</v>
      </c>
      <c r="AC362" s="43">
        <v>0</v>
      </c>
      <c r="AD362" s="43">
        <v>0</v>
      </c>
      <c r="AE362" s="43">
        <v>0</v>
      </c>
      <c r="AF362" s="43">
        <v>0</v>
      </c>
      <c r="AG362" s="43">
        <v>0</v>
      </c>
      <c r="AH362" s="43">
        <v>0</v>
      </c>
      <c r="AI362" s="43">
        <v>0</v>
      </c>
      <c r="AJ362" s="43">
        <v>0</v>
      </c>
      <c r="AK362" s="44">
        <f t="shared" si="37"/>
        <v>0</v>
      </c>
      <c r="AL362" s="43">
        <v>0</v>
      </c>
      <c r="AM362" s="43">
        <v>0</v>
      </c>
      <c r="AN362" s="43">
        <v>0</v>
      </c>
      <c r="AO362" s="43">
        <v>0</v>
      </c>
      <c r="AP362" s="43">
        <v>0</v>
      </c>
      <c r="AQ362" s="43">
        <v>0</v>
      </c>
      <c r="AR362" s="43">
        <v>0</v>
      </c>
      <c r="AS362" s="43">
        <v>0</v>
      </c>
      <c r="AT362" s="43">
        <v>0</v>
      </c>
      <c r="AU362" s="43">
        <v>200</v>
      </c>
      <c r="AV362" s="43">
        <v>0</v>
      </c>
      <c r="AW362" s="43">
        <v>0</v>
      </c>
      <c r="AX362" s="44">
        <f t="shared" si="38"/>
        <v>200</v>
      </c>
      <c r="AY362" s="317">
        <f>SUMIF(Recibos!$D$4:$D$3010,Cobranza!$B362,Recibos!K$4:K$3010)</f>
        <v>0</v>
      </c>
      <c r="AZ362" s="317">
        <f>SUMIF(Recibos!$D$4:$D$3010,Cobranza!$B362,Recibos!L$4:L$3010)</f>
        <v>0</v>
      </c>
      <c r="BA362" s="317">
        <f>SUMIF(Recibos!$D$4:$D$3010,Cobranza!$B362,Recibos!M$4:M$3010)</f>
        <v>100</v>
      </c>
      <c r="BB362" s="317">
        <f>SUMIF(Recibos!$D$4:$D$3010,Cobranza!$B362,Recibos!N$4:N$3010)</f>
        <v>100</v>
      </c>
      <c r="BC362" s="317">
        <f>SUMIF(Recibos!$D$4:$D$3010,Cobranza!$B362,Recibos!O$4:O$3010)</f>
        <v>100</v>
      </c>
      <c r="BD362" s="317">
        <f>SUMIF(Recibos!$D$4:$D$3010,Cobranza!$B362,Recibos!P$4:P$3010)</f>
        <v>100</v>
      </c>
      <c r="BE362" s="317">
        <f>SUMIF(Recibos!$D$4:$D$3010,Cobranza!$B362,Recibos!Q$4:Q$3010)</f>
        <v>100</v>
      </c>
      <c r="BF362" s="317">
        <f>SUMIF(Recibos!$D$4:$D$3010,Cobranza!$B362,Recibos!R$4:R$3010)</f>
        <v>0</v>
      </c>
      <c r="BG362" s="317">
        <f>SUMIF(Recibos!$D$4:$D$3010,Cobranza!$B362,Recibos!S$4:S$3010)</f>
        <v>0</v>
      </c>
      <c r="BH362" s="317">
        <f>SUMIF(Recibos!$D$4:$D$3010,Cobranza!$B362,Recibos!T$4:T$3010)</f>
        <v>0</v>
      </c>
      <c r="BI362" s="317">
        <f>SUMIF(Recibos!$D$4:$D$3010,Cobranza!$B362,Recibos!U$4:U$3010)</f>
        <v>0</v>
      </c>
      <c r="BJ362" s="317">
        <f>SUMIF(Recibos!$D$4:$D$3010,Cobranza!$B362,Recibos!V$4:V$3010)</f>
        <v>0</v>
      </c>
      <c r="BK362" s="318">
        <f t="shared" si="39"/>
        <v>500</v>
      </c>
      <c r="BL362" s="317">
        <f>SUMIF(Recibos!$D$4:$D$3010,Cobranza!$B362,Recibos!X$4:X$3010)</f>
        <v>0</v>
      </c>
      <c r="BM362" s="317">
        <f>SUMIF(Recibos!$D$4:$D$3010,Cobranza!$B362,Recibos!Y$4:Y$3010)</f>
        <v>0</v>
      </c>
      <c r="BN362" s="317">
        <f>SUMIF(Recibos!$D$4:$D$3010,Cobranza!$B362,Recibos!Z$4:Z$3010)</f>
        <v>0</v>
      </c>
      <c r="BO362" s="317">
        <f>SUMIF(Recibos!$D$4:$D$3010,Cobranza!$B362,Recibos!AA$4:AA$3010)</f>
        <v>0</v>
      </c>
      <c r="BP362" s="317">
        <f>SUMIF(Recibos!$D$4:$D$3010,Cobranza!$B362,Recibos!AB$4:AB$3010)</f>
        <v>0</v>
      </c>
      <c r="BQ362" s="317">
        <f>SUMIF(Recibos!$D$4:$D$3010,Cobranza!$B362,Recibos!AC$4:AC$3010)</f>
        <v>0</v>
      </c>
      <c r="BR362" s="317">
        <f>SUMIF(Recibos!$D$4:$D$3010,Cobranza!$B362,Recibos!AD$4:AD$3010)</f>
        <v>0</v>
      </c>
      <c r="BS362" s="317">
        <f>SUMIF(Recibos!$D$4:$D$3010,Cobranza!$B362,Recibos!AE$4:AE$3010)</f>
        <v>0</v>
      </c>
      <c r="BT362" s="317">
        <f>SUMIF(Recibos!$D$4:$D$3010,Cobranza!$B362,Recibos!AF$4:AF$3010)</f>
        <v>0</v>
      </c>
      <c r="BU362" s="317">
        <f>SUMIF(Recibos!$D$4:$D$3010,Cobranza!$B362,Recibos!AG$4:AG$3010)</f>
        <v>0</v>
      </c>
      <c r="BV362" s="317">
        <f>SUMIF(Recibos!$D$4:$D$3010,Cobranza!$B362,Recibos!AH$4:AH$3010)</f>
        <v>0</v>
      </c>
      <c r="BW362" s="317">
        <f>SUMIF(Recibos!$D$4:$D$3010,Cobranza!$B362,Recibos!AI$4:AI$3010)</f>
        <v>0</v>
      </c>
      <c r="BX362" s="318">
        <f t="shared" si="40"/>
        <v>0</v>
      </c>
    </row>
    <row r="363" spans="2:76" x14ac:dyDescent="0.2">
      <c r="B363" s="45" t="s">
        <v>211</v>
      </c>
      <c r="C363" s="45" t="s">
        <v>212</v>
      </c>
      <c r="D363" s="45" t="s">
        <v>213</v>
      </c>
      <c r="E363" s="46">
        <v>0</v>
      </c>
      <c r="F363" s="46">
        <v>0</v>
      </c>
      <c r="G363" s="46">
        <v>0</v>
      </c>
      <c r="H363" s="46">
        <v>0</v>
      </c>
      <c r="I363" s="46">
        <v>0</v>
      </c>
      <c r="J363" s="46">
        <v>0</v>
      </c>
      <c r="K363" s="47">
        <f t="shared" si="35"/>
        <v>0</v>
      </c>
      <c r="L363" s="46">
        <v>300</v>
      </c>
      <c r="M363" s="46">
        <v>300</v>
      </c>
      <c r="N363" s="46">
        <v>300</v>
      </c>
      <c r="O363" s="46">
        <v>300</v>
      </c>
      <c r="P363" s="46">
        <v>300</v>
      </c>
      <c r="Q363" s="46">
        <v>300</v>
      </c>
      <c r="R363" s="46">
        <v>300</v>
      </c>
      <c r="S363" s="46">
        <v>300</v>
      </c>
      <c r="T363" s="46">
        <v>300</v>
      </c>
      <c r="U363" s="46">
        <v>300</v>
      </c>
      <c r="V363" s="46">
        <v>300</v>
      </c>
      <c r="W363" s="46">
        <v>300</v>
      </c>
      <c r="X363" s="47">
        <f t="shared" si="36"/>
        <v>3600</v>
      </c>
      <c r="Y363" s="46">
        <v>300</v>
      </c>
      <c r="Z363" s="46">
        <v>300</v>
      </c>
      <c r="AA363" s="46">
        <v>300</v>
      </c>
      <c r="AB363" s="46">
        <v>300</v>
      </c>
      <c r="AC363" s="46">
        <v>300</v>
      </c>
      <c r="AD363" s="46">
        <v>300</v>
      </c>
      <c r="AE363" s="46">
        <v>300</v>
      </c>
      <c r="AF363" s="46">
        <v>300</v>
      </c>
      <c r="AG363" s="46">
        <v>300</v>
      </c>
      <c r="AH363" s="46">
        <v>300</v>
      </c>
      <c r="AI363" s="46">
        <v>300</v>
      </c>
      <c r="AJ363" s="46">
        <v>300</v>
      </c>
      <c r="AK363" s="47">
        <f t="shared" si="37"/>
        <v>3600</v>
      </c>
      <c r="AL363" s="46">
        <v>300</v>
      </c>
      <c r="AM363" s="46">
        <v>300</v>
      </c>
      <c r="AN363" s="46">
        <v>300</v>
      </c>
      <c r="AO363" s="46">
        <v>300</v>
      </c>
      <c r="AP363" s="46">
        <v>300</v>
      </c>
      <c r="AQ363" s="46">
        <v>300</v>
      </c>
      <c r="AR363" s="46">
        <v>300</v>
      </c>
      <c r="AS363" s="46">
        <v>300</v>
      </c>
      <c r="AT363" s="46">
        <v>300</v>
      </c>
      <c r="AU363" s="46">
        <v>300</v>
      </c>
      <c r="AV363" s="46">
        <v>300</v>
      </c>
      <c r="AW363" s="46">
        <v>600</v>
      </c>
      <c r="AX363" s="47">
        <f t="shared" si="38"/>
        <v>3900</v>
      </c>
      <c r="AY363" s="319">
        <f>SUMIF(Recibos!$D$4:$D$3010,Cobranza!$B363,Recibos!K$4:K$3010)</f>
        <v>0</v>
      </c>
      <c r="AZ363" s="319">
        <f>SUMIF(Recibos!$D$4:$D$3010,Cobranza!$B363,Recibos!L$4:L$3010)</f>
        <v>300</v>
      </c>
      <c r="BA363" s="319">
        <f>SUMIF(Recibos!$D$4:$D$3010,Cobranza!$B363,Recibos!M$4:M$3010)</f>
        <v>300</v>
      </c>
      <c r="BB363" s="319">
        <f>SUMIF(Recibos!$D$4:$D$3010,Cobranza!$B363,Recibos!N$4:N$3010)</f>
        <v>300</v>
      </c>
      <c r="BC363" s="319">
        <f>SUMIF(Recibos!$D$4:$D$3010,Cobranza!$B363,Recibos!O$4:O$3010)</f>
        <v>300</v>
      </c>
      <c r="BD363" s="319">
        <f>SUMIF(Recibos!$D$4:$D$3010,Cobranza!$B363,Recibos!P$4:P$3010)</f>
        <v>300</v>
      </c>
      <c r="BE363" s="319">
        <f>SUMIF(Recibos!$D$4:$D$3010,Cobranza!$B363,Recibos!Q$4:Q$3010)</f>
        <v>300</v>
      </c>
      <c r="BF363" s="319">
        <f>SUMIF(Recibos!$D$4:$D$3010,Cobranza!$B363,Recibos!R$4:R$3010)</f>
        <v>300</v>
      </c>
      <c r="BG363" s="319">
        <f>SUMIF(Recibos!$D$4:$D$3010,Cobranza!$B363,Recibos!S$4:S$3010)</f>
        <v>300</v>
      </c>
      <c r="BH363" s="319">
        <f>SUMIF(Recibos!$D$4:$D$3010,Cobranza!$B363,Recibos!T$4:T$3010)</f>
        <v>300</v>
      </c>
      <c r="BI363" s="319">
        <f>SUMIF(Recibos!$D$4:$D$3010,Cobranza!$B363,Recibos!U$4:U$3010)</f>
        <v>300</v>
      </c>
      <c r="BJ363" s="319">
        <f>SUMIF(Recibos!$D$4:$D$3010,Cobranza!$B363,Recibos!V$4:V$3010)</f>
        <v>300</v>
      </c>
      <c r="BK363" s="320">
        <f t="shared" si="39"/>
        <v>3300</v>
      </c>
      <c r="BL363" s="319">
        <f>SUMIF(Recibos!$D$4:$D$3010,Cobranza!$B363,Recibos!X$4:X$3010)</f>
        <v>0</v>
      </c>
      <c r="BM363" s="319">
        <f>SUMIF(Recibos!$D$4:$D$3010,Cobranza!$B363,Recibos!Y$4:Y$3010)</f>
        <v>0</v>
      </c>
      <c r="BN363" s="319">
        <f>SUMIF(Recibos!$D$4:$D$3010,Cobranza!$B363,Recibos!Z$4:Z$3010)</f>
        <v>0</v>
      </c>
      <c r="BO363" s="319">
        <f>SUMIF(Recibos!$D$4:$D$3010,Cobranza!$B363,Recibos!AA$4:AA$3010)</f>
        <v>0</v>
      </c>
      <c r="BP363" s="319">
        <f>SUMIF(Recibos!$D$4:$D$3010,Cobranza!$B363,Recibos!AB$4:AB$3010)</f>
        <v>0</v>
      </c>
      <c r="BQ363" s="319">
        <f>SUMIF(Recibos!$D$4:$D$3010,Cobranza!$B363,Recibos!AC$4:AC$3010)</f>
        <v>0</v>
      </c>
      <c r="BR363" s="319">
        <f>SUMIF(Recibos!$D$4:$D$3010,Cobranza!$B363,Recibos!AD$4:AD$3010)</f>
        <v>0</v>
      </c>
      <c r="BS363" s="319">
        <f>SUMIF(Recibos!$D$4:$D$3010,Cobranza!$B363,Recibos!AE$4:AE$3010)</f>
        <v>0</v>
      </c>
      <c r="BT363" s="319">
        <f>SUMIF(Recibos!$D$4:$D$3010,Cobranza!$B363,Recibos!AF$4:AF$3010)</f>
        <v>0</v>
      </c>
      <c r="BU363" s="319">
        <f>SUMIF(Recibos!$D$4:$D$3010,Cobranza!$B363,Recibos!AG$4:AG$3010)</f>
        <v>0</v>
      </c>
      <c r="BV363" s="319">
        <f>SUMIF(Recibos!$D$4:$D$3010,Cobranza!$B363,Recibos!AH$4:AH$3010)</f>
        <v>0</v>
      </c>
      <c r="BW363" s="319">
        <f>SUMIF(Recibos!$D$4:$D$3010,Cobranza!$B363,Recibos!AI$4:AI$3010)</f>
        <v>0</v>
      </c>
      <c r="BX363" s="320">
        <f t="shared" si="40"/>
        <v>0</v>
      </c>
    </row>
    <row r="364" spans="2:76" x14ac:dyDescent="0.2">
      <c r="B364" s="42" t="s">
        <v>437</v>
      </c>
      <c r="C364" s="42" t="s">
        <v>438</v>
      </c>
      <c r="D364" s="42" t="s">
        <v>439</v>
      </c>
      <c r="E364" s="43">
        <v>0</v>
      </c>
      <c r="F364" s="43">
        <v>0</v>
      </c>
      <c r="G364" s="43">
        <v>0</v>
      </c>
      <c r="H364" s="43">
        <v>0</v>
      </c>
      <c r="I364" s="43">
        <v>300</v>
      </c>
      <c r="J364" s="43">
        <v>300</v>
      </c>
      <c r="K364" s="44">
        <f t="shared" si="35"/>
        <v>600</v>
      </c>
      <c r="L364" s="43">
        <v>300</v>
      </c>
      <c r="M364" s="43">
        <v>300</v>
      </c>
      <c r="N364" s="43">
        <v>300</v>
      </c>
      <c r="O364" s="43">
        <v>300</v>
      </c>
      <c r="P364" s="43">
        <v>300</v>
      </c>
      <c r="Q364" s="43">
        <v>300</v>
      </c>
      <c r="R364" s="43">
        <v>300</v>
      </c>
      <c r="S364" s="43">
        <v>300</v>
      </c>
      <c r="T364" s="43">
        <v>300</v>
      </c>
      <c r="U364" s="43">
        <v>400</v>
      </c>
      <c r="V364" s="43">
        <v>400</v>
      </c>
      <c r="W364" s="43">
        <v>400</v>
      </c>
      <c r="X364" s="44">
        <f t="shared" si="36"/>
        <v>3900</v>
      </c>
      <c r="Y364" s="43">
        <v>400</v>
      </c>
      <c r="Z364" s="43">
        <v>400</v>
      </c>
      <c r="AA364" s="43">
        <v>400</v>
      </c>
      <c r="AB364" s="43">
        <v>0</v>
      </c>
      <c r="AC364" s="43">
        <v>400</v>
      </c>
      <c r="AD364" s="43">
        <v>400</v>
      </c>
      <c r="AE364" s="43">
        <v>400</v>
      </c>
      <c r="AF364" s="43">
        <v>400</v>
      </c>
      <c r="AG364" s="43">
        <v>400</v>
      </c>
      <c r="AH364" s="43">
        <v>400</v>
      </c>
      <c r="AI364" s="43">
        <v>400</v>
      </c>
      <c r="AJ364" s="43">
        <v>400</v>
      </c>
      <c r="AK364" s="44">
        <f t="shared" si="37"/>
        <v>4400</v>
      </c>
      <c r="AL364" s="43">
        <v>400</v>
      </c>
      <c r="AM364" s="43">
        <v>400</v>
      </c>
      <c r="AN364" s="43">
        <v>400</v>
      </c>
      <c r="AO364" s="43">
        <v>400</v>
      </c>
      <c r="AP364" s="43">
        <v>400</v>
      </c>
      <c r="AQ364" s="43">
        <v>400</v>
      </c>
      <c r="AR364" s="43">
        <v>400</v>
      </c>
      <c r="AS364" s="43">
        <v>400</v>
      </c>
      <c r="AT364" s="43">
        <v>400</v>
      </c>
      <c r="AU364" s="43">
        <v>400</v>
      </c>
      <c r="AV364" s="43">
        <v>400</v>
      </c>
      <c r="AW364" s="43">
        <v>400</v>
      </c>
      <c r="AX364" s="44">
        <f t="shared" si="38"/>
        <v>4800</v>
      </c>
      <c r="AY364" s="317">
        <f>SUMIF(Recibos!$D$4:$D$3010,Cobranza!$B364,Recibos!K$4:K$3010)</f>
        <v>400</v>
      </c>
      <c r="AZ364" s="317">
        <f>SUMIF(Recibos!$D$4:$D$3010,Cobranza!$B364,Recibos!L$4:L$3010)</f>
        <v>400</v>
      </c>
      <c r="BA364" s="317">
        <f>SUMIF(Recibos!$D$4:$D$3010,Cobranza!$B364,Recibos!M$4:M$3010)</f>
        <v>400</v>
      </c>
      <c r="BB364" s="317">
        <f>SUMIF(Recibos!$D$4:$D$3010,Cobranza!$B364,Recibos!N$4:N$3010)</f>
        <v>400</v>
      </c>
      <c r="BC364" s="317">
        <f>SUMIF(Recibos!$D$4:$D$3010,Cobranza!$B364,Recibos!O$4:O$3010)</f>
        <v>400</v>
      </c>
      <c r="BD364" s="317">
        <f>SUMIF(Recibos!$D$4:$D$3010,Cobranza!$B364,Recibos!P$4:P$3010)</f>
        <v>400</v>
      </c>
      <c r="BE364" s="317">
        <f>SUMIF(Recibos!$D$4:$D$3010,Cobranza!$B364,Recibos!Q$4:Q$3010)</f>
        <v>400</v>
      </c>
      <c r="BF364" s="317">
        <f>SUMIF(Recibos!$D$4:$D$3010,Cobranza!$B364,Recibos!R$4:R$3010)</f>
        <v>400</v>
      </c>
      <c r="BG364" s="317">
        <f>SUMIF(Recibos!$D$4:$D$3010,Cobranza!$B364,Recibos!S$4:S$3010)</f>
        <v>400</v>
      </c>
      <c r="BH364" s="317">
        <f>SUMIF(Recibos!$D$4:$D$3010,Cobranza!$B364,Recibos!T$4:T$3010)</f>
        <v>400</v>
      </c>
      <c r="BI364" s="317">
        <f>SUMIF(Recibos!$D$4:$D$3010,Cobranza!$B364,Recibos!U$4:U$3010)</f>
        <v>400</v>
      </c>
      <c r="BJ364" s="317">
        <f>SUMIF(Recibos!$D$4:$D$3010,Cobranza!$B364,Recibos!V$4:V$3010)</f>
        <v>400</v>
      </c>
      <c r="BK364" s="318">
        <f t="shared" si="39"/>
        <v>4800</v>
      </c>
      <c r="BL364" s="317">
        <f>SUMIF(Recibos!$D$4:$D$3010,Cobranza!$B364,Recibos!X$4:X$3010)</f>
        <v>0</v>
      </c>
      <c r="BM364" s="317">
        <f>SUMIF(Recibos!$D$4:$D$3010,Cobranza!$B364,Recibos!Y$4:Y$3010)</f>
        <v>0</v>
      </c>
      <c r="BN364" s="317">
        <f>SUMIF(Recibos!$D$4:$D$3010,Cobranza!$B364,Recibos!Z$4:Z$3010)</f>
        <v>0</v>
      </c>
      <c r="BO364" s="317">
        <f>SUMIF(Recibos!$D$4:$D$3010,Cobranza!$B364,Recibos!AA$4:AA$3010)</f>
        <v>0</v>
      </c>
      <c r="BP364" s="317">
        <f>SUMIF(Recibos!$D$4:$D$3010,Cobranza!$B364,Recibos!AB$4:AB$3010)</f>
        <v>0</v>
      </c>
      <c r="BQ364" s="317">
        <f>SUMIF(Recibos!$D$4:$D$3010,Cobranza!$B364,Recibos!AC$4:AC$3010)</f>
        <v>0</v>
      </c>
      <c r="BR364" s="317">
        <f>SUMIF(Recibos!$D$4:$D$3010,Cobranza!$B364,Recibos!AD$4:AD$3010)</f>
        <v>0</v>
      </c>
      <c r="BS364" s="317">
        <f>SUMIF(Recibos!$D$4:$D$3010,Cobranza!$B364,Recibos!AE$4:AE$3010)</f>
        <v>0</v>
      </c>
      <c r="BT364" s="317">
        <f>SUMIF(Recibos!$D$4:$D$3010,Cobranza!$B364,Recibos!AF$4:AF$3010)</f>
        <v>0</v>
      </c>
      <c r="BU364" s="317">
        <f>SUMIF(Recibos!$D$4:$D$3010,Cobranza!$B364,Recibos!AG$4:AG$3010)</f>
        <v>0</v>
      </c>
      <c r="BV364" s="317">
        <f>SUMIF(Recibos!$D$4:$D$3010,Cobranza!$B364,Recibos!AH$4:AH$3010)</f>
        <v>0</v>
      </c>
      <c r="BW364" s="317">
        <f>SUMIF(Recibos!$D$4:$D$3010,Cobranza!$B364,Recibos!AI$4:AI$3010)</f>
        <v>0</v>
      </c>
      <c r="BX364" s="318">
        <f t="shared" si="40"/>
        <v>0</v>
      </c>
    </row>
    <row r="365" spans="2:76" x14ac:dyDescent="0.2">
      <c r="B365" s="45" t="s">
        <v>1423</v>
      </c>
      <c r="C365" s="45" t="s">
        <v>1424</v>
      </c>
      <c r="D365" s="45" t="s">
        <v>1425</v>
      </c>
      <c r="E365" s="46">
        <v>0</v>
      </c>
      <c r="F365" s="46">
        <v>0</v>
      </c>
      <c r="G365" s="46">
        <v>0</v>
      </c>
      <c r="H365" s="46">
        <v>0</v>
      </c>
      <c r="I365" s="46">
        <v>0</v>
      </c>
      <c r="J365" s="46">
        <v>200</v>
      </c>
      <c r="K365" s="47">
        <f t="shared" si="35"/>
        <v>200</v>
      </c>
      <c r="L365" s="46">
        <v>200</v>
      </c>
      <c r="M365" s="46">
        <v>200</v>
      </c>
      <c r="N365" s="46">
        <v>200</v>
      </c>
      <c r="O365" s="46">
        <v>200</v>
      </c>
      <c r="P365" s="46">
        <v>200</v>
      </c>
      <c r="Q365" s="46">
        <v>200</v>
      </c>
      <c r="R365" s="46">
        <v>200</v>
      </c>
      <c r="S365" s="46">
        <v>200</v>
      </c>
      <c r="T365" s="46">
        <v>200</v>
      </c>
      <c r="U365" s="46">
        <v>200</v>
      </c>
      <c r="V365" s="46">
        <v>200</v>
      </c>
      <c r="W365" s="46">
        <v>0</v>
      </c>
      <c r="X365" s="47">
        <f t="shared" si="36"/>
        <v>2200</v>
      </c>
      <c r="Y365" s="46">
        <v>200</v>
      </c>
      <c r="Z365" s="46">
        <v>200</v>
      </c>
      <c r="AA365" s="46">
        <v>200</v>
      </c>
      <c r="AB365" s="46">
        <v>200</v>
      </c>
      <c r="AC365" s="46">
        <v>200</v>
      </c>
      <c r="AD365" s="46">
        <v>200</v>
      </c>
      <c r="AE365" s="46">
        <v>0</v>
      </c>
      <c r="AF365" s="46">
        <v>0</v>
      </c>
      <c r="AG365" s="46">
        <v>0</v>
      </c>
      <c r="AH365" s="46">
        <v>0</v>
      </c>
      <c r="AI365" s="46">
        <v>0</v>
      </c>
      <c r="AJ365" s="46">
        <v>0</v>
      </c>
      <c r="AK365" s="47">
        <f t="shared" si="37"/>
        <v>1200</v>
      </c>
      <c r="AL365" s="46">
        <v>200</v>
      </c>
      <c r="AM365" s="46">
        <v>0</v>
      </c>
      <c r="AN365" s="46">
        <v>0</v>
      </c>
      <c r="AO365" s="46">
        <v>0</v>
      </c>
      <c r="AP365" s="46">
        <v>0</v>
      </c>
      <c r="AQ365" s="46">
        <v>0</v>
      </c>
      <c r="AR365" s="46">
        <v>0</v>
      </c>
      <c r="AS365" s="46">
        <v>0</v>
      </c>
      <c r="AT365" s="46">
        <v>0</v>
      </c>
      <c r="AU365" s="46">
        <v>0</v>
      </c>
      <c r="AV365" s="46">
        <v>0</v>
      </c>
      <c r="AW365" s="46">
        <v>0</v>
      </c>
      <c r="AX365" s="47">
        <f t="shared" si="38"/>
        <v>200</v>
      </c>
      <c r="AY365" s="319">
        <f>SUMIF(Recibos!$D$4:$D$3010,Cobranza!$B365,Recibos!K$4:K$3010)</f>
        <v>0</v>
      </c>
      <c r="AZ365" s="319">
        <f>SUMIF(Recibos!$D$4:$D$3010,Cobranza!$B365,Recibos!L$4:L$3010)</f>
        <v>0</v>
      </c>
      <c r="BA365" s="319">
        <f>SUMIF(Recibos!$D$4:$D$3010,Cobranza!$B365,Recibos!M$4:M$3010)</f>
        <v>0</v>
      </c>
      <c r="BB365" s="319">
        <f>SUMIF(Recibos!$D$4:$D$3010,Cobranza!$B365,Recibos!N$4:N$3010)</f>
        <v>0</v>
      </c>
      <c r="BC365" s="319">
        <f>SUMIF(Recibos!$D$4:$D$3010,Cobranza!$B365,Recibos!O$4:O$3010)</f>
        <v>0</v>
      </c>
      <c r="BD365" s="319">
        <f>SUMIF(Recibos!$D$4:$D$3010,Cobranza!$B365,Recibos!P$4:P$3010)</f>
        <v>0</v>
      </c>
      <c r="BE365" s="319">
        <f>SUMIF(Recibos!$D$4:$D$3010,Cobranza!$B365,Recibos!Q$4:Q$3010)</f>
        <v>0</v>
      </c>
      <c r="BF365" s="319">
        <f>SUMIF(Recibos!$D$4:$D$3010,Cobranza!$B365,Recibos!R$4:R$3010)</f>
        <v>0</v>
      </c>
      <c r="BG365" s="319">
        <f>SUMIF(Recibos!$D$4:$D$3010,Cobranza!$B365,Recibos!S$4:S$3010)</f>
        <v>0</v>
      </c>
      <c r="BH365" s="319">
        <f>SUMIF(Recibos!$D$4:$D$3010,Cobranza!$B365,Recibos!T$4:T$3010)</f>
        <v>0</v>
      </c>
      <c r="BI365" s="319">
        <f>SUMIF(Recibos!$D$4:$D$3010,Cobranza!$B365,Recibos!U$4:U$3010)</f>
        <v>0</v>
      </c>
      <c r="BJ365" s="319">
        <f>SUMIF(Recibos!$D$4:$D$3010,Cobranza!$B365,Recibos!V$4:V$3010)</f>
        <v>0</v>
      </c>
      <c r="BK365" s="320">
        <f t="shared" si="39"/>
        <v>0</v>
      </c>
      <c r="BL365" s="319">
        <f>SUMIF(Recibos!$D$4:$D$3010,Cobranza!$B365,Recibos!X$4:X$3010)</f>
        <v>0</v>
      </c>
      <c r="BM365" s="319">
        <f>SUMIF(Recibos!$D$4:$D$3010,Cobranza!$B365,Recibos!Y$4:Y$3010)</f>
        <v>0</v>
      </c>
      <c r="BN365" s="319">
        <f>SUMIF(Recibos!$D$4:$D$3010,Cobranza!$B365,Recibos!Z$4:Z$3010)</f>
        <v>0</v>
      </c>
      <c r="BO365" s="319">
        <f>SUMIF(Recibos!$D$4:$D$3010,Cobranza!$B365,Recibos!AA$4:AA$3010)</f>
        <v>0</v>
      </c>
      <c r="BP365" s="319">
        <f>SUMIF(Recibos!$D$4:$D$3010,Cobranza!$B365,Recibos!AB$4:AB$3010)</f>
        <v>0</v>
      </c>
      <c r="BQ365" s="319">
        <f>SUMIF(Recibos!$D$4:$D$3010,Cobranza!$B365,Recibos!AC$4:AC$3010)</f>
        <v>0</v>
      </c>
      <c r="BR365" s="319">
        <f>SUMIF(Recibos!$D$4:$D$3010,Cobranza!$B365,Recibos!AD$4:AD$3010)</f>
        <v>0</v>
      </c>
      <c r="BS365" s="319">
        <f>SUMIF(Recibos!$D$4:$D$3010,Cobranza!$B365,Recibos!AE$4:AE$3010)</f>
        <v>0</v>
      </c>
      <c r="BT365" s="319">
        <f>SUMIF(Recibos!$D$4:$D$3010,Cobranza!$B365,Recibos!AF$4:AF$3010)</f>
        <v>0</v>
      </c>
      <c r="BU365" s="319">
        <f>SUMIF(Recibos!$D$4:$D$3010,Cobranza!$B365,Recibos!AG$4:AG$3010)</f>
        <v>0</v>
      </c>
      <c r="BV365" s="319">
        <f>SUMIF(Recibos!$D$4:$D$3010,Cobranza!$B365,Recibos!AH$4:AH$3010)</f>
        <v>0</v>
      </c>
      <c r="BW365" s="319">
        <f>SUMIF(Recibos!$D$4:$D$3010,Cobranza!$B365,Recibos!AI$4:AI$3010)</f>
        <v>0</v>
      </c>
      <c r="BX365" s="320">
        <f t="shared" si="40"/>
        <v>0</v>
      </c>
    </row>
    <row r="366" spans="2:76" x14ac:dyDescent="0.2">
      <c r="B366" s="42" t="s">
        <v>1067</v>
      </c>
      <c r="C366" s="42" t="s">
        <v>1068</v>
      </c>
      <c r="D366" s="42" t="s">
        <v>1069</v>
      </c>
      <c r="E366" s="43">
        <v>0</v>
      </c>
      <c r="F366" s="43">
        <v>0</v>
      </c>
      <c r="G366" s="43">
        <v>0</v>
      </c>
      <c r="H366" s="43">
        <v>0</v>
      </c>
      <c r="I366" s="43">
        <v>0</v>
      </c>
      <c r="J366" s="43">
        <v>0</v>
      </c>
      <c r="K366" s="44">
        <f t="shared" si="35"/>
        <v>0</v>
      </c>
      <c r="L366" s="43">
        <v>200</v>
      </c>
      <c r="M366" s="43">
        <v>200</v>
      </c>
      <c r="N366" s="43">
        <v>200</v>
      </c>
      <c r="O366" s="43">
        <v>200</v>
      </c>
      <c r="P366" s="43">
        <v>200</v>
      </c>
      <c r="Q366" s="43">
        <v>0</v>
      </c>
      <c r="R366" s="43">
        <v>0</v>
      </c>
      <c r="S366" s="43">
        <v>0</v>
      </c>
      <c r="T366" s="43">
        <v>0</v>
      </c>
      <c r="U366" s="43">
        <v>0</v>
      </c>
      <c r="V366" s="43">
        <v>400</v>
      </c>
      <c r="W366" s="43">
        <v>400</v>
      </c>
      <c r="X366" s="44">
        <f t="shared" si="36"/>
        <v>1800</v>
      </c>
      <c r="Y366" s="43">
        <v>400</v>
      </c>
      <c r="Z366" s="43">
        <v>400</v>
      </c>
      <c r="AA366" s="43">
        <v>400</v>
      </c>
      <c r="AB366" s="43">
        <v>400</v>
      </c>
      <c r="AC366" s="43">
        <v>400</v>
      </c>
      <c r="AD366" s="43">
        <v>400</v>
      </c>
      <c r="AE366" s="43">
        <v>0</v>
      </c>
      <c r="AF366" s="43">
        <v>0</v>
      </c>
      <c r="AG366" s="43">
        <v>0</v>
      </c>
      <c r="AH366" s="43">
        <v>0</v>
      </c>
      <c r="AI366" s="43">
        <v>0</v>
      </c>
      <c r="AJ366" s="43">
        <v>0</v>
      </c>
      <c r="AK366" s="44">
        <f t="shared" si="37"/>
        <v>2400</v>
      </c>
      <c r="AL366" s="43">
        <v>0</v>
      </c>
      <c r="AM366" s="43">
        <v>0</v>
      </c>
      <c r="AN366" s="43">
        <v>0</v>
      </c>
      <c r="AO366" s="43">
        <v>0</v>
      </c>
      <c r="AP366" s="43">
        <v>0</v>
      </c>
      <c r="AQ366" s="43">
        <v>0</v>
      </c>
      <c r="AR366" s="43">
        <v>0</v>
      </c>
      <c r="AS366" s="43">
        <v>0</v>
      </c>
      <c r="AT366" s="43">
        <v>0</v>
      </c>
      <c r="AU366" s="43">
        <v>0</v>
      </c>
      <c r="AV366" s="43">
        <v>0</v>
      </c>
      <c r="AW366" s="43">
        <v>0</v>
      </c>
      <c r="AX366" s="44">
        <f t="shared" si="38"/>
        <v>0</v>
      </c>
      <c r="AY366" s="317">
        <f>SUMIF(Recibos!$D$4:$D$3010,Cobranza!$B366,Recibos!K$4:K$3010)</f>
        <v>0</v>
      </c>
      <c r="AZ366" s="317">
        <f>SUMIF(Recibos!$D$4:$D$3010,Cobranza!$B366,Recibos!L$4:L$3010)</f>
        <v>0</v>
      </c>
      <c r="BA366" s="317">
        <f>SUMIF(Recibos!$D$4:$D$3010,Cobranza!$B366,Recibos!M$4:M$3010)</f>
        <v>0</v>
      </c>
      <c r="BB366" s="317">
        <f>SUMIF(Recibos!$D$4:$D$3010,Cobranza!$B366,Recibos!N$4:N$3010)</f>
        <v>0</v>
      </c>
      <c r="BC366" s="317">
        <f>SUMIF(Recibos!$D$4:$D$3010,Cobranza!$B366,Recibos!O$4:O$3010)</f>
        <v>0</v>
      </c>
      <c r="BD366" s="317">
        <f>SUMIF(Recibos!$D$4:$D$3010,Cobranza!$B366,Recibos!P$4:P$3010)</f>
        <v>0</v>
      </c>
      <c r="BE366" s="317">
        <f>SUMIF(Recibos!$D$4:$D$3010,Cobranza!$B366,Recibos!Q$4:Q$3010)</f>
        <v>200</v>
      </c>
      <c r="BF366" s="317">
        <f>SUMIF(Recibos!$D$4:$D$3010,Cobranza!$B366,Recibos!R$4:R$3010)</f>
        <v>0</v>
      </c>
      <c r="BG366" s="317">
        <f>SUMIF(Recibos!$D$4:$D$3010,Cobranza!$B366,Recibos!S$4:S$3010)</f>
        <v>0</v>
      </c>
      <c r="BH366" s="317">
        <f>SUMIF(Recibos!$D$4:$D$3010,Cobranza!$B366,Recibos!T$4:T$3010)</f>
        <v>0</v>
      </c>
      <c r="BI366" s="317">
        <f>SUMIF(Recibos!$D$4:$D$3010,Cobranza!$B366,Recibos!U$4:U$3010)</f>
        <v>0</v>
      </c>
      <c r="BJ366" s="317">
        <f>SUMIF(Recibos!$D$4:$D$3010,Cobranza!$B366,Recibos!V$4:V$3010)</f>
        <v>0</v>
      </c>
      <c r="BK366" s="318">
        <f t="shared" si="39"/>
        <v>200</v>
      </c>
      <c r="BL366" s="317">
        <f>SUMIF(Recibos!$D$4:$D$3010,Cobranza!$B366,Recibos!X$4:X$3010)</f>
        <v>0</v>
      </c>
      <c r="BM366" s="317">
        <f>SUMIF(Recibos!$D$4:$D$3010,Cobranza!$B366,Recibos!Y$4:Y$3010)</f>
        <v>0</v>
      </c>
      <c r="BN366" s="317">
        <f>SUMIF(Recibos!$D$4:$D$3010,Cobranza!$B366,Recibos!Z$4:Z$3010)</f>
        <v>0</v>
      </c>
      <c r="BO366" s="317">
        <f>SUMIF(Recibos!$D$4:$D$3010,Cobranza!$B366,Recibos!AA$4:AA$3010)</f>
        <v>0</v>
      </c>
      <c r="BP366" s="317">
        <f>SUMIF(Recibos!$D$4:$D$3010,Cobranza!$B366,Recibos!AB$4:AB$3010)</f>
        <v>0</v>
      </c>
      <c r="BQ366" s="317">
        <f>SUMIF(Recibos!$D$4:$D$3010,Cobranza!$B366,Recibos!AC$4:AC$3010)</f>
        <v>0</v>
      </c>
      <c r="BR366" s="317">
        <f>SUMIF(Recibos!$D$4:$D$3010,Cobranza!$B366,Recibos!AD$4:AD$3010)</f>
        <v>0</v>
      </c>
      <c r="BS366" s="317">
        <f>SUMIF(Recibos!$D$4:$D$3010,Cobranza!$B366,Recibos!AE$4:AE$3010)</f>
        <v>0</v>
      </c>
      <c r="BT366" s="317">
        <f>SUMIF(Recibos!$D$4:$D$3010,Cobranza!$B366,Recibos!AF$4:AF$3010)</f>
        <v>0</v>
      </c>
      <c r="BU366" s="317">
        <f>SUMIF(Recibos!$D$4:$D$3010,Cobranza!$B366,Recibos!AG$4:AG$3010)</f>
        <v>0</v>
      </c>
      <c r="BV366" s="317">
        <f>SUMIF(Recibos!$D$4:$D$3010,Cobranza!$B366,Recibos!AH$4:AH$3010)</f>
        <v>0</v>
      </c>
      <c r="BW366" s="317">
        <f>SUMIF(Recibos!$D$4:$D$3010,Cobranza!$B366,Recibos!AI$4:AI$3010)</f>
        <v>0</v>
      </c>
      <c r="BX366" s="318">
        <f t="shared" si="40"/>
        <v>0</v>
      </c>
    </row>
    <row r="367" spans="2:76" x14ac:dyDescent="0.2">
      <c r="B367" s="45" t="s">
        <v>605</v>
      </c>
      <c r="C367" s="45" t="s">
        <v>606</v>
      </c>
      <c r="D367" s="45" t="s">
        <v>607</v>
      </c>
      <c r="E367" s="46">
        <v>0</v>
      </c>
      <c r="F367" s="46">
        <v>0</v>
      </c>
      <c r="G367" s="46">
        <v>0</v>
      </c>
      <c r="H367" s="46">
        <v>0</v>
      </c>
      <c r="I367" s="46">
        <v>0</v>
      </c>
      <c r="J367" s="46">
        <v>0</v>
      </c>
      <c r="K367" s="47">
        <f t="shared" si="35"/>
        <v>0</v>
      </c>
      <c r="L367" s="46">
        <v>0</v>
      </c>
      <c r="M367" s="46">
        <v>0</v>
      </c>
      <c r="N367" s="46">
        <v>0</v>
      </c>
      <c r="O367" s="46">
        <v>0</v>
      </c>
      <c r="P367" s="46">
        <v>0</v>
      </c>
      <c r="Q367" s="46">
        <v>0</v>
      </c>
      <c r="R367" s="46">
        <v>0</v>
      </c>
      <c r="S367" s="46">
        <v>0</v>
      </c>
      <c r="T367" s="46">
        <v>0</v>
      </c>
      <c r="U367" s="46">
        <v>0</v>
      </c>
      <c r="V367" s="46">
        <v>0</v>
      </c>
      <c r="W367" s="46">
        <v>0</v>
      </c>
      <c r="X367" s="47">
        <f t="shared" si="36"/>
        <v>0</v>
      </c>
      <c r="Y367" s="46">
        <v>0</v>
      </c>
      <c r="Z367" s="46">
        <v>0</v>
      </c>
      <c r="AA367" s="46">
        <v>0</v>
      </c>
      <c r="AB367" s="46">
        <v>0</v>
      </c>
      <c r="AC367" s="46">
        <v>0</v>
      </c>
      <c r="AD367" s="46">
        <v>0</v>
      </c>
      <c r="AE367" s="46">
        <v>0</v>
      </c>
      <c r="AF367" s="46">
        <v>0</v>
      </c>
      <c r="AG367" s="46">
        <v>0</v>
      </c>
      <c r="AH367" s="46">
        <v>0</v>
      </c>
      <c r="AI367" s="46">
        <v>0</v>
      </c>
      <c r="AJ367" s="46">
        <v>0</v>
      </c>
      <c r="AK367" s="47">
        <f t="shared" si="37"/>
        <v>0</v>
      </c>
      <c r="AL367" s="46">
        <v>0</v>
      </c>
      <c r="AM367" s="46">
        <v>0</v>
      </c>
      <c r="AN367" s="46">
        <v>0</v>
      </c>
      <c r="AO367" s="46">
        <v>0</v>
      </c>
      <c r="AP367" s="46">
        <v>0</v>
      </c>
      <c r="AQ367" s="46">
        <v>0</v>
      </c>
      <c r="AR367" s="46">
        <v>0</v>
      </c>
      <c r="AS367" s="46">
        <v>0</v>
      </c>
      <c r="AT367" s="46">
        <v>400</v>
      </c>
      <c r="AU367" s="46">
        <v>400</v>
      </c>
      <c r="AV367" s="46">
        <v>400</v>
      </c>
      <c r="AW367" s="46">
        <v>400</v>
      </c>
      <c r="AX367" s="47">
        <f t="shared" si="38"/>
        <v>1600</v>
      </c>
      <c r="AY367" s="319">
        <f>SUMIF(Recibos!$D$4:$D$3010,Cobranza!$B367,Recibos!K$4:K$3010)</f>
        <v>400</v>
      </c>
      <c r="AZ367" s="319">
        <f>SUMIF(Recibos!$D$4:$D$3010,Cobranza!$B367,Recibos!L$4:L$3010)</f>
        <v>400</v>
      </c>
      <c r="BA367" s="319">
        <f>SUMIF(Recibos!$D$4:$D$3010,Cobranza!$B367,Recibos!M$4:M$3010)</f>
        <v>0</v>
      </c>
      <c r="BB367" s="319">
        <f>SUMIF(Recibos!$D$4:$D$3010,Cobranza!$B367,Recibos!N$4:N$3010)</f>
        <v>0</v>
      </c>
      <c r="BC367" s="319">
        <f>SUMIF(Recibos!$D$4:$D$3010,Cobranza!$B367,Recibos!O$4:O$3010)</f>
        <v>0</v>
      </c>
      <c r="BD367" s="319">
        <f>SUMIF(Recibos!$D$4:$D$3010,Cobranza!$B367,Recibos!P$4:P$3010)</f>
        <v>0</v>
      </c>
      <c r="BE367" s="319">
        <f>SUMIF(Recibos!$D$4:$D$3010,Cobranza!$B367,Recibos!Q$4:Q$3010)</f>
        <v>0</v>
      </c>
      <c r="BF367" s="319">
        <f>SUMIF(Recibos!$D$4:$D$3010,Cobranza!$B367,Recibos!R$4:R$3010)</f>
        <v>0</v>
      </c>
      <c r="BG367" s="319">
        <f>SUMIF(Recibos!$D$4:$D$3010,Cobranza!$B367,Recibos!S$4:S$3010)</f>
        <v>0</v>
      </c>
      <c r="BH367" s="319">
        <f>SUMIF(Recibos!$D$4:$D$3010,Cobranza!$B367,Recibos!T$4:T$3010)</f>
        <v>0</v>
      </c>
      <c r="BI367" s="319">
        <f>SUMIF(Recibos!$D$4:$D$3010,Cobranza!$B367,Recibos!U$4:U$3010)</f>
        <v>0</v>
      </c>
      <c r="BJ367" s="319">
        <f>SUMIF(Recibos!$D$4:$D$3010,Cobranza!$B367,Recibos!V$4:V$3010)</f>
        <v>0</v>
      </c>
      <c r="BK367" s="320">
        <f t="shared" si="39"/>
        <v>800</v>
      </c>
      <c r="BL367" s="319">
        <f>SUMIF(Recibos!$D$4:$D$3010,Cobranza!$B367,Recibos!X$4:X$3010)</f>
        <v>0</v>
      </c>
      <c r="BM367" s="319">
        <f>SUMIF(Recibos!$D$4:$D$3010,Cobranza!$B367,Recibos!Y$4:Y$3010)</f>
        <v>0</v>
      </c>
      <c r="BN367" s="319">
        <f>SUMIF(Recibos!$D$4:$D$3010,Cobranza!$B367,Recibos!Z$4:Z$3010)</f>
        <v>0</v>
      </c>
      <c r="BO367" s="319">
        <f>SUMIF(Recibos!$D$4:$D$3010,Cobranza!$B367,Recibos!AA$4:AA$3010)</f>
        <v>0</v>
      </c>
      <c r="BP367" s="319">
        <f>SUMIF(Recibos!$D$4:$D$3010,Cobranza!$B367,Recibos!AB$4:AB$3010)</f>
        <v>0</v>
      </c>
      <c r="BQ367" s="319">
        <f>SUMIF(Recibos!$D$4:$D$3010,Cobranza!$B367,Recibos!AC$4:AC$3010)</f>
        <v>0</v>
      </c>
      <c r="BR367" s="319">
        <f>SUMIF(Recibos!$D$4:$D$3010,Cobranza!$B367,Recibos!AD$4:AD$3010)</f>
        <v>0</v>
      </c>
      <c r="BS367" s="319">
        <f>SUMIF(Recibos!$D$4:$D$3010,Cobranza!$B367,Recibos!AE$4:AE$3010)</f>
        <v>0</v>
      </c>
      <c r="BT367" s="319">
        <f>SUMIF(Recibos!$D$4:$D$3010,Cobranza!$B367,Recibos!AF$4:AF$3010)</f>
        <v>0</v>
      </c>
      <c r="BU367" s="319">
        <f>SUMIF(Recibos!$D$4:$D$3010,Cobranza!$B367,Recibos!AG$4:AG$3010)</f>
        <v>0</v>
      </c>
      <c r="BV367" s="319">
        <f>SUMIF(Recibos!$D$4:$D$3010,Cobranza!$B367,Recibos!AH$4:AH$3010)</f>
        <v>0</v>
      </c>
      <c r="BW367" s="319">
        <f>SUMIF(Recibos!$D$4:$D$3010,Cobranza!$B367,Recibos!AI$4:AI$3010)</f>
        <v>0</v>
      </c>
      <c r="BX367" s="320">
        <f t="shared" si="40"/>
        <v>0</v>
      </c>
    </row>
    <row r="368" spans="2:76" x14ac:dyDescent="0.2">
      <c r="B368" s="42" t="s">
        <v>1122</v>
      </c>
      <c r="C368" s="42" t="s">
        <v>1123</v>
      </c>
      <c r="D368" s="42" t="s">
        <v>1124</v>
      </c>
      <c r="E368" s="43">
        <v>0</v>
      </c>
      <c r="F368" s="43">
        <v>0</v>
      </c>
      <c r="G368" s="43">
        <v>0</v>
      </c>
      <c r="H368" s="43">
        <v>0</v>
      </c>
      <c r="I368" s="43">
        <v>0</v>
      </c>
      <c r="J368" s="43">
        <v>0</v>
      </c>
      <c r="K368" s="44">
        <f t="shared" si="35"/>
        <v>0</v>
      </c>
      <c r="L368" s="43">
        <v>0</v>
      </c>
      <c r="M368" s="43">
        <v>0</v>
      </c>
      <c r="N368" s="43">
        <v>0</v>
      </c>
      <c r="O368" s="43">
        <v>0</v>
      </c>
      <c r="P368" s="43">
        <v>0</v>
      </c>
      <c r="Q368" s="43">
        <v>0</v>
      </c>
      <c r="R368" s="43">
        <v>0</v>
      </c>
      <c r="S368" s="43">
        <v>0</v>
      </c>
      <c r="T368" s="43">
        <v>0</v>
      </c>
      <c r="U368" s="43">
        <v>0</v>
      </c>
      <c r="V368" s="43">
        <v>0</v>
      </c>
      <c r="W368" s="43">
        <v>0</v>
      </c>
      <c r="X368" s="44">
        <f t="shared" si="36"/>
        <v>0</v>
      </c>
      <c r="Y368" s="43">
        <v>0</v>
      </c>
      <c r="Z368" s="43">
        <v>0</v>
      </c>
      <c r="AA368" s="43">
        <v>0</v>
      </c>
      <c r="AB368" s="43">
        <v>0</v>
      </c>
      <c r="AC368" s="43">
        <v>0</v>
      </c>
      <c r="AD368" s="43">
        <v>0</v>
      </c>
      <c r="AE368" s="43">
        <v>0</v>
      </c>
      <c r="AF368" s="43">
        <v>0</v>
      </c>
      <c r="AG368" s="43">
        <v>0</v>
      </c>
      <c r="AH368" s="43">
        <v>0</v>
      </c>
      <c r="AI368" s="43">
        <v>0</v>
      </c>
      <c r="AJ368" s="43">
        <v>0</v>
      </c>
      <c r="AK368" s="44">
        <f t="shared" si="37"/>
        <v>0</v>
      </c>
      <c r="AL368" s="43">
        <v>0</v>
      </c>
      <c r="AM368" s="43">
        <v>0</v>
      </c>
      <c r="AN368" s="43">
        <v>0</v>
      </c>
      <c r="AO368" s="43">
        <v>0</v>
      </c>
      <c r="AP368" s="43">
        <v>0</v>
      </c>
      <c r="AQ368" s="43">
        <v>0</v>
      </c>
      <c r="AR368" s="43">
        <v>0</v>
      </c>
      <c r="AS368" s="43">
        <v>0</v>
      </c>
      <c r="AT368" s="43">
        <v>0</v>
      </c>
      <c r="AU368" s="43">
        <v>0</v>
      </c>
      <c r="AV368" s="43">
        <v>0</v>
      </c>
      <c r="AW368" s="43">
        <v>0</v>
      </c>
      <c r="AX368" s="44">
        <f t="shared" si="38"/>
        <v>0</v>
      </c>
      <c r="AY368" s="317">
        <f>SUMIF(Recibos!$D$4:$D$3010,Cobranza!$B368,Recibos!K$4:K$3010)</f>
        <v>0</v>
      </c>
      <c r="AZ368" s="317">
        <f>SUMIF(Recibos!$D$4:$D$3010,Cobranza!$B368,Recibos!L$4:L$3010)</f>
        <v>0</v>
      </c>
      <c r="BA368" s="317">
        <f>SUMIF(Recibos!$D$4:$D$3010,Cobranza!$B368,Recibos!M$4:M$3010)</f>
        <v>0</v>
      </c>
      <c r="BB368" s="317">
        <f>SUMIF(Recibos!$D$4:$D$3010,Cobranza!$B368,Recibos!N$4:N$3010)</f>
        <v>0</v>
      </c>
      <c r="BC368" s="317">
        <f>SUMIF(Recibos!$D$4:$D$3010,Cobranza!$B368,Recibos!O$4:O$3010)</f>
        <v>0</v>
      </c>
      <c r="BD368" s="317">
        <f>SUMIF(Recibos!$D$4:$D$3010,Cobranza!$B368,Recibos!P$4:P$3010)</f>
        <v>0</v>
      </c>
      <c r="BE368" s="317">
        <f>SUMIF(Recibos!$D$4:$D$3010,Cobranza!$B368,Recibos!Q$4:Q$3010)</f>
        <v>0</v>
      </c>
      <c r="BF368" s="317">
        <f>SUMIF(Recibos!$D$4:$D$3010,Cobranza!$B368,Recibos!R$4:R$3010)</f>
        <v>100</v>
      </c>
      <c r="BG368" s="317">
        <f>SUMIF(Recibos!$D$4:$D$3010,Cobranza!$B368,Recibos!S$4:S$3010)</f>
        <v>100</v>
      </c>
      <c r="BH368" s="317">
        <f>SUMIF(Recibos!$D$4:$D$3010,Cobranza!$B368,Recibos!T$4:T$3010)</f>
        <v>0</v>
      </c>
      <c r="BI368" s="317">
        <f>SUMIF(Recibos!$D$4:$D$3010,Cobranza!$B368,Recibos!U$4:U$3010)</f>
        <v>0</v>
      </c>
      <c r="BJ368" s="317">
        <f>SUMIF(Recibos!$D$4:$D$3010,Cobranza!$B368,Recibos!V$4:V$3010)</f>
        <v>0</v>
      </c>
      <c r="BK368" s="318">
        <f t="shared" si="39"/>
        <v>200</v>
      </c>
      <c r="BL368" s="317">
        <f>SUMIF(Recibos!$D$4:$D$3010,Cobranza!$B368,Recibos!X$4:X$3010)</f>
        <v>0</v>
      </c>
      <c r="BM368" s="317">
        <f>SUMIF(Recibos!$D$4:$D$3010,Cobranza!$B368,Recibos!Y$4:Y$3010)</f>
        <v>0</v>
      </c>
      <c r="BN368" s="317">
        <f>SUMIF(Recibos!$D$4:$D$3010,Cobranza!$B368,Recibos!Z$4:Z$3010)</f>
        <v>0</v>
      </c>
      <c r="BO368" s="317">
        <f>SUMIF(Recibos!$D$4:$D$3010,Cobranza!$B368,Recibos!AA$4:AA$3010)</f>
        <v>0</v>
      </c>
      <c r="BP368" s="317">
        <f>SUMIF(Recibos!$D$4:$D$3010,Cobranza!$B368,Recibos!AB$4:AB$3010)</f>
        <v>0</v>
      </c>
      <c r="BQ368" s="317">
        <f>SUMIF(Recibos!$D$4:$D$3010,Cobranza!$B368,Recibos!AC$4:AC$3010)</f>
        <v>0</v>
      </c>
      <c r="BR368" s="317">
        <f>SUMIF(Recibos!$D$4:$D$3010,Cobranza!$B368,Recibos!AD$4:AD$3010)</f>
        <v>0</v>
      </c>
      <c r="BS368" s="317">
        <f>SUMIF(Recibos!$D$4:$D$3010,Cobranza!$B368,Recibos!AE$4:AE$3010)</f>
        <v>0</v>
      </c>
      <c r="BT368" s="317">
        <f>SUMIF(Recibos!$D$4:$D$3010,Cobranza!$B368,Recibos!AF$4:AF$3010)</f>
        <v>0</v>
      </c>
      <c r="BU368" s="317">
        <f>SUMIF(Recibos!$D$4:$D$3010,Cobranza!$B368,Recibos!AG$4:AG$3010)</f>
        <v>0</v>
      </c>
      <c r="BV368" s="317">
        <f>SUMIF(Recibos!$D$4:$D$3010,Cobranza!$B368,Recibos!AH$4:AH$3010)</f>
        <v>0</v>
      </c>
      <c r="BW368" s="317">
        <f>SUMIF(Recibos!$D$4:$D$3010,Cobranza!$B368,Recibos!AI$4:AI$3010)</f>
        <v>0</v>
      </c>
      <c r="BX368" s="318">
        <f t="shared" si="40"/>
        <v>0</v>
      </c>
    </row>
    <row r="369" spans="2:76" x14ac:dyDescent="0.2">
      <c r="B369" s="45" t="s">
        <v>301</v>
      </c>
      <c r="C369" s="45" t="s">
        <v>302</v>
      </c>
      <c r="D369" s="45" t="s">
        <v>303</v>
      </c>
      <c r="E369" s="46">
        <v>0</v>
      </c>
      <c r="F369" s="46">
        <v>0</v>
      </c>
      <c r="G369" s="46">
        <v>0</v>
      </c>
      <c r="H369" s="46">
        <v>0</v>
      </c>
      <c r="I369" s="46">
        <v>0</v>
      </c>
      <c r="J369" s="46">
        <v>300</v>
      </c>
      <c r="K369" s="47">
        <f t="shared" si="35"/>
        <v>300</v>
      </c>
      <c r="L369" s="46">
        <v>300</v>
      </c>
      <c r="M369" s="46">
        <v>0</v>
      </c>
      <c r="N369" s="46">
        <v>0</v>
      </c>
      <c r="O369" s="46">
        <v>0</v>
      </c>
      <c r="P369" s="46">
        <v>0</v>
      </c>
      <c r="Q369" s="46">
        <v>0</v>
      </c>
      <c r="R369" s="46">
        <v>0</v>
      </c>
      <c r="S369" s="46">
        <v>0</v>
      </c>
      <c r="T369" s="46">
        <v>0</v>
      </c>
      <c r="U369" s="46">
        <v>0</v>
      </c>
      <c r="V369" s="46">
        <v>0</v>
      </c>
      <c r="W369" s="46">
        <v>0</v>
      </c>
      <c r="X369" s="47">
        <f t="shared" si="36"/>
        <v>300</v>
      </c>
      <c r="Y369" s="46">
        <v>0</v>
      </c>
      <c r="Z369" s="46">
        <v>0</v>
      </c>
      <c r="AA369" s="46">
        <v>0</v>
      </c>
      <c r="AB369" s="46">
        <v>0</v>
      </c>
      <c r="AC369" s="46">
        <v>0</v>
      </c>
      <c r="AD369" s="46">
        <v>0</v>
      </c>
      <c r="AE369" s="46">
        <v>0</v>
      </c>
      <c r="AF369" s="46">
        <v>0</v>
      </c>
      <c r="AG369" s="46">
        <v>0</v>
      </c>
      <c r="AH369" s="46">
        <v>0</v>
      </c>
      <c r="AI369" s="46">
        <v>0</v>
      </c>
      <c r="AJ369" s="46">
        <v>0</v>
      </c>
      <c r="AK369" s="47">
        <f t="shared" si="37"/>
        <v>0</v>
      </c>
      <c r="AL369" s="46">
        <v>0</v>
      </c>
      <c r="AM369" s="46">
        <v>200</v>
      </c>
      <c r="AN369" s="46">
        <v>200</v>
      </c>
      <c r="AO369" s="46">
        <v>200</v>
      </c>
      <c r="AP369" s="46">
        <v>200</v>
      </c>
      <c r="AQ369" s="46">
        <v>200</v>
      </c>
      <c r="AR369" s="46">
        <v>200</v>
      </c>
      <c r="AS369" s="46">
        <v>200</v>
      </c>
      <c r="AT369" s="46">
        <v>200</v>
      </c>
      <c r="AU369" s="46">
        <v>200</v>
      </c>
      <c r="AV369" s="46">
        <v>200</v>
      </c>
      <c r="AW369" s="46">
        <v>200</v>
      </c>
      <c r="AX369" s="47">
        <f t="shared" si="38"/>
        <v>2200</v>
      </c>
      <c r="AY369" s="319">
        <f>SUMIF(Recibos!$D$4:$D$3010,Cobranza!$B369,Recibos!K$4:K$3010)</f>
        <v>200</v>
      </c>
      <c r="AZ369" s="319">
        <f>SUMIF(Recibos!$D$4:$D$3010,Cobranza!$B369,Recibos!L$4:L$3010)</f>
        <v>200</v>
      </c>
      <c r="BA369" s="319">
        <f>SUMIF(Recibos!$D$4:$D$3010,Cobranza!$B369,Recibos!M$4:M$3010)</f>
        <v>200</v>
      </c>
      <c r="BB369" s="319">
        <f>SUMIF(Recibos!$D$4:$D$3010,Cobranza!$B369,Recibos!N$4:N$3010)</f>
        <v>200</v>
      </c>
      <c r="BC369" s="319">
        <f>SUMIF(Recibos!$D$4:$D$3010,Cobranza!$B369,Recibos!O$4:O$3010)</f>
        <v>200</v>
      </c>
      <c r="BD369" s="319">
        <f>SUMIF(Recibos!$D$4:$D$3010,Cobranza!$B369,Recibos!P$4:P$3010)</f>
        <v>200</v>
      </c>
      <c r="BE369" s="319">
        <f>SUMIF(Recibos!$D$4:$D$3010,Cobranza!$B369,Recibos!Q$4:Q$3010)</f>
        <v>200</v>
      </c>
      <c r="BF369" s="319">
        <f>SUMIF(Recibos!$D$4:$D$3010,Cobranza!$B369,Recibos!R$4:R$3010)</f>
        <v>200</v>
      </c>
      <c r="BG369" s="319">
        <f>SUMIF(Recibos!$D$4:$D$3010,Cobranza!$B369,Recibos!S$4:S$3010)</f>
        <v>200</v>
      </c>
      <c r="BH369" s="319">
        <f>SUMIF(Recibos!$D$4:$D$3010,Cobranza!$B369,Recibos!T$4:T$3010)</f>
        <v>200</v>
      </c>
      <c r="BI369" s="319">
        <f>SUMIF(Recibos!$D$4:$D$3010,Cobranza!$B369,Recibos!U$4:U$3010)</f>
        <v>200</v>
      </c>
      <c r="BJ369" s="319">
        <f>SUMIF(Recibos!$D$4:$D$3010,Cobranza!$B369,Recibos!V$4:V$3010)</f>
        <v>200</v>
      </c>
      <c r="BK369" s="320">
        <f t="shared" si="39"/>
        <v>2400</v>
      </c>
      <c r="BL369" s="319">
        <f>SUMIF(Recibos!$D$4:$D$3010,Cobranza!$B369,Recibos!X$4:X$3010)</f>
        <v>0</v>
      </c>
      <c r="BM369" s="319">
        <f>SUMIF(Recibos!$D$4:$D$3010,Cobranza!$B369,Recibos!Y$4:Y$3010)</f>
        <v>0</v>
      </c>
      <c r="BN369" s="319">
        <f>SUMIF(Recibos!$D$4:$D$3010,Cobranza!$B369,Recibos!Z$4:Z$3010)</f>
        <v>0</v>
      </c>
      <c r="BO369" s="319">
        <f>SUMIF(Recibos!$D$4:$D$3010,Cobranza!$B369,Recibos!AA$4:AA$3010)</f>
        <v>0</v>
      </c>
      <c r="BP369" s="319">
        <f>SUMIF(Recibos!$D$4:$D$3010,Cobranza!$B369,Recibos!AB$4:AB$3010)</f>
        <v>0</v>
      </c>
      <c r="BQ369" s="319">
        <f>SUMIF(Recibos!$D$4:$D$3010,Cobranza!$B369,Recibos!AC$4:AC$3010)</f>
        <v>0</v>
      </c>
      <c r="BR369" s="319">
        <f>SUMIF(Recibos!$D$4:$D$3010,Cobranza!$B369,Recibos!AD$4:AD$3010)</f>
        <v>0</v>
      </c>
      <c r="BS369" s="319">
        <f>SUMIF(Recibos!$D$4:$D$3010,Cobranza!$B369,Recibos!AE$4:AE$3010)</f>
        <v>0</v>
      </c>
      <c r="BT369" s="319">
        <f>SUMIF(Recibos!$D$4:$D$3010,Cobranza!$B369,Recibos!AF$4:AF$3010)</f>
        <v>0</v>
      </c>
      <c r="BU369" s="319">
        <f>SUMIF(Recibos!$D$4:$D$3010,Cobranza!$B369,Recibos!AG$4:AG$3010)</f>
        <v>0</v>
      </c>
      <c r="BV369" s="319">
        <f>SUMIF(Recibos!$D$4:$D$3010,Cobranza!$B369,Recibos!AH$4:AH$3010)</f>
        <v>0</v>
      </c>
      <c r="BW369" s="319">
        <f>SUMIF(Recibos!$D$4:$D$3010,Cobranza!$B369,Recibos!AI$4:AI$3010)</f>
        <v>0</v>
      </c>
      <c r="BX369" s="320">
        <f t="shared" si="40"/>
        <v>0</v>
      </c>
    </row>
    <row r="370" spans="2:76" x14ac:dyDescent="0.2">
      <c r="B370" s="42" t="s">
        <v>758</v>
      </c>
      <c r="C370" s="42" t="s">
        <v>759</v>
      </c>
      <c r="D370" s="42" t="s">
        <v>760</v>
      </c>
      <c r="E370" s="43">
        <v>0</v>
      </c>
      <c r="F370" s="43">
        <v>0</v>
      </c>
      <c r="G370" s="43">
        <v>0</v>
      </c>
      <c r="H370" s="43">
        <v>0</v>
      </c>
      <c r="I370" s="43">
        <v>0</v>
      </c>
      <c r="J370" s="43">
        <v>0</v>
      </c>
      <c r="K370" s="44">
        <f t="shared" si="35"/>
        <v>0</v>
      </c>
      <c r="L370" s="43">
        <v>0</v>
      </c>
      <c r="M370" s="43">
        <v>0</v>
      </c>
      <c r="N370" s="43">
        <v>0</v>
      </c>
      <c r="O370" s="43">
        <v>0</v>
      </c>
      <c r="P370" s="43">
        <v>0</v>
      </c>
      <c r="Q370" s="43">
        <v>0</v>
      </c>
      <c r="R370" s="43">
        <v>0</v>
      </c>
      <c r="S370" s="43">
        <v>0</v>
      </c>
      <c r="T370" s="43">
        <v>0</v>
      </c>
      <c r="U370" s="43">
        <v>0</v>
      </c>
      <c r="V370" s="43">
        <v>0</v>
      </c>
      <c r="W370" s="43">
        <v>0</v>
      </c>
      <c r="X370" s="44">
        <f t="shared" si="36"/>
        <v>0</v>
      </c>
      <c r="Y370" s="43">
        <v>350</v>
      </c>
      <c r="Z370" s="43">
        <v>350</v>
      </c>
      <c r="AA370" s="43">
        <v>350</v>
      </c>
      <c r="AB370" s="43">
        <v>150</v>
      </c>
      <c r="AC370" s="43">
        <v>150</v>
      </c>
      <c r="AD370" s="43">
        <v>150</v>
      </c>
      <c r="AE370" s="43">
        <v>150</v>
      </c>
      <c r="AF370" s="43">
        <v>150</v>
      </c>
      <c r="AG370" s="43">
        <v>150</v>
      </c>
      <c r="AH370" s="43">
        <v>150</v>
      </c>
      <c r="AI370" s="43">
        <v>150</v>
      </c>
      <c r="AJ370" s="43">
        <v>150</v>
      </c>
      <c r="AK370" s="44">
        <f t="shared" si="37"/>
        <v>2400</v>
      </c>
      <c r="AL370" s="43">
        <v>150</v>
      </c>
      <c r="AM370" s="43">
        <v>0</v>
      </c>
      <c r="AN370" s="43">
        <v>0</v>
      </c>
      <c r="AO370" s="43">
        <v>0</v>
      </c>
      <c r="AP370" s="43">
        <v>0</v>
      </c>
      <c r="AQ370" s="43">
        <v>0</v>
      </c>
      <c r="AR370" s="43">
        <v>0</v>
      </c>
      <c r="AS370" s="43">
        <v>0</v>
      </c>
      <c r="AT370" s="43">
        <v>0</v>
      </c>
      <c r="AU370" s="43">
        <v>0</v>
      </c>
      <c r="AV370" s="43">
        <v>0</v>
      </c>
      <c r="AW370" s="43">
        <v>0</v>
      </c>
      <c r="AX370" s="44">
        <f t="shared" si="38"/>
        <v>150</v>
      </c>
      <c r="AY370" s="317">
        <f>SUMIF(Recibos!$D$4:$D$3010,Cobranza!$B370,Recibos!K$4:K$3010)</f>
        <v>150</v>
      </c>
      <c r="AZ370" s="317">
        <f>SUMIF(Recibos!$D$4:$D$3010,Cobranza!$B370,Recibos!L$4:L$3010)</f>
        <v>150</v>
      </c>
      <c r="BA370" s="317">
        <f>SUMIF(Recibos!$D$4:$D$3010,Cobranza!$B370,Recibos!M$4:M$3010)</f>
        <v>150</v>
      </c>
      <c r="BB370" s="317">
        <f>SUMIF(Recibos!$D$4:$D$3010,Cobranza!$B370,Recibos!N$4:N$3010)</f>
        <v>150</v>
      </c>
      <c r="BC370" s="317">
        <f>SUMIF(Recibos!$D$4:$D$3010,Cobranza!$B370,Recibos!O$4:O$3010)</f>
        <v>150</v>
      </c>
      <c r="BD370" s="317">
        <f>SUMIF(Recibos!$D$4:$D$3010,Cobranza!$B370,Recibos!P$4:P$3010)</f>
        <v>150</v>
      </c>
      <c r="BE370" s="317">
        <f>SUMIF(Recibos!$D$4:$D$3010,Cobranza!$B370,Recibos!Q$4:Q$3010)</f>
        <v>150</v>
      </c>
      <c r="BF370" s="317">
        <f>SUMIF(Recibos!$D$4:$D$3010,Cobranza!$B370,Recibos!R$4:R$3010)</f>
        <v>150</v>
      </c>
      <c r="BG370" s="317">
        <f>SUMIF(Recibos!$D$4:$D$3010,Cobranza!$B370,Recibos!S$4:S$3010)</f>
        <v>150</v>
      </c>
      <c r="BH370" s="317">
        <f>SUMIF(Recibos!$D$4:$D$3010,Cobranza!$B370,Recibos!T$4:T$3010)</f>
        <v>150</v>
      </c>
      <c r="BI370" s="317">
        <f>SUMIF(Recibos!$D$4:$D$3010,Cobranza!$B370,Recibos!U$4:U$3010)</f>
        <v>0</v>
      </c>
      <c r="BJ370" s="317">
        <f>SUMIF(Recibos!$D$4:$D$3010,Cobranza!$B370,Recibos!V$4:V$3010)</f>
        <v>0</v>
      </c>
      <c r="BK370" s="318">
        <f t="shared" si="39"/>
        <v>1500</v>
      </c>
      <c r="BL370" s="317">
        <f>SUMIF(Recibos!$D$4:$D$3010,Cobranza!$B370,Recibos!X$4:X$3010)</f>
        <v>0</v>
      </c>
      <c r="BM370" s="317">
        <f>SUMIF(Recibos!$D$4:$D$3010,Cobranza!$B370,Recibos!Y$4:Y$3010)</f>
        <v>0</v>
      </c>
      <c r="BN370" s="317">
        <f>SUMIF(Recibos!$D$4:$D$3010,Cobranza!$B370,Recibos!Z$4:Z$3010)</f>
        <v>0</v>
      </c>
      <c r="BO370" s="317">
        <f>SUMIF(Recibos!$D$4:$D$3010,Cobranza!$B370,Recibos!AA$4:AA$3010)</f>
        <v>0</v>
      </c>
      <c r="BP370" s="317">
        <f>SUMIF(Recibos!$D$4:$D$3010,Cobranza!$B370,Recibos!AB$4:AB$3010)</f>
        <v>0</v>
      </c>
      <c r="BQ370" s="317">
        <f>SUMIF(Recibos!$D$4:$D$3010,Cobranza!$B370,Recibos!AC$4:AC$3010)</f>
        <v>0</v>
      </c>
      <c r="BR370" s="317">
        <f>SUMIF(Recibos!$D$4:$D$3010,Cobranza!$B370,Recibos!AD$4:AD$3010)</f>
        <v>0</v>
      </c>
      <c r="BS370" s="317">
        <f>SUMIF(Recibos!$D$4:$D$3010,Cobranza!$B370,Recibos!AE$4:AE$3010)</f>
        <v>0</v>
      </c>
      <c r="BT370" s="317">
        <f>SUMIF(Recibos!$D$4:$D$3010,Cobranza!$B370,Recibos!AF$4:AF$3010)</f>
        <v>0</v>
      </c>
      <c r="BU370" s="317">
        <f>SUMIF(Recibos!$D$4:$D$3010,Cobranza!$B370,Recibos!AG$4:AG$3010)</f>
        <v>0</v>
      </c>
      <c r="BV370" s="317">
        <f>SUMIF(Recibos!$D$4:$D$3010,Cobranza!$B370,Recibos!AH$4:AH$3010)</f>
        <v>0</v>
      </c>
      <c r="BW370" s="317">
        <f>SUMIF(Recibos!$D$4:$D$3010,Cobranza!$B370,Recibos!AI$4:AI$3010)</f>
        <v>0</v>
      </c>
      <c r="BX370" s="318">
        <f t="shared" si="40"/>
        <v>0</v>
      </c>
    </row>
    <row r="371" spans="2:76" x14ac:dyDescent="0.2">
      <c r="B371" s="45" t="s">
        <v>882</v>
      </c>
      <c r="C371" s="45" t="s">
        <v>883</v>
      </c>
      <c r="D371" s="45" t="s">
        <v>884</v>
      </c>
      <c r="E371" s="46">
        <v>0</v>
      </c>
      <c r="F371" s="46">
        <v>0</v>
      </c>
      <c r="G371" s="46">
        <v>0</v>
      </c>
      <c r="H371" s="46">
        <v>0</v>
      </c>
      <c r="I371" s="46">
        <v>0</v>
      </c>
      <c r="J371" s="46">
        <v>200</v>
      </c>
      <c r="K371" s="47">
        <f t="shared" si="35"/>
        <v>200</v>
      </c>
      <c r="L371" s="46">
        <v>200</v>
      </c>
      <c r="M371" s="46">
        <v>200</v>
      </c>
      <c r="N371" s="46">
        <v>200</v>
      </c>
      <c r="O371" s="46">
        <v>200</v>
      </c>
      <c r="P371" s="46">
        <v>200</v>
      </c>
      <c r="Q371" s="46">
        <v>200</v>
      </c>
      <c r="R371" s="46">
        <v>200</v>
      </c>
      <c r="S371" s="46">
        <v>200</v>
      </c>
      <c r="T371" s="46">
        <v>200</v>
      </c>
      <c r="U371" s="46">
        <v>200</v>
      </c>
      <c r="V371" s="46">
        <v>200</v>
      </c>
      <c r="W371" s="46">
        <v>200</v>
      </c>
      <c r="X371" s="47">
        <f t="shared" si="36"/>
        <v>2400</v>
      </c>
      <c r="Y371" s="46">
        <v>200</v>
      </c>
      <c r="Z371" s="46">
        <v>200</v>
      </c>
      <c r="AA371" s="46">
        <v>200</v>
      </c>
      <c r="AB371" s="46">
        <v>200</v>
      </c>
      <c r="AC371" s="46">
        <v>200</v>
      </c>
      <c r="AD371" s="46">
        <v>200</v>
      </c>
      <c r="AE371" s="46">
        <v>200</v>
      </c>
      <c r="AF371" s="46">
        <v>200</v>
      </c>
      <c r="AG371" s="46">
        <v>200</v>
      </c>
      <c r="AH371" s="46">
        <v>200</v>
      </c>
      <c r="AI371" s="46">
        <v>200</v>
      </c>
      <c r="AJ371" s="46">
        <v>200</v>
      </c>
      <c r="AK371" s="47">
        <f t="shared" si="37"/>
        <v>2400</v>
      </c>
      <c r="AL371" s="46">
        <v>200</v>
      </c>
      <c r="AM371" s="46">
        <v>200</v>
      </c>
      <c r="AN371" s="46">
        <v>200</v>
      </c>
      <c r="AO371" s="46">
        <v>200</v>
      </c>
      <c r="AP371" s="46">
        <v>200</v>
      </c>
      <c r="AQ371" s="46">
        <v>200</v>
      </c>
      <c r="AR371" s="46">
        <v>200</v>
      </c>
      <c r="AS371" s="46">
        <v>200</v>
      </c>
      <c r="AT371" s="46">
        <v>200</v>
      </c>
      <c r="AU371" s="46">
        <v>200</v>
      </c>
      <c r="AV371" s="46">
        <v>200</v>
      </c>
      <c r="AW371" s="46">
        <v>200</v>
      </c>
      <c r="AX371" s="47">
        <f t="shared" si="38"/>
        <v>2400</v>
      </c>
      <c r="AY371" s="319">
        <f>SUMIF(Recibos!$D$4:$D$3010,Cobranza!$B371,Recibos!K$4:K$3010)</f>
        <v>200</v>
      </c>
      <c r="AZ371" s="319">
        <f>SUMIF(Recibos!$D$4:$D$3010,Cobranza!$B371,Recibos!L$4:L$3010)</f>
        <v>200</v>
      </c>
      <c r="BA371" s="319">
        <f>SUMIF(Recibos!$D$4:$D$3010,Cobranza!$B371,Recibos!M$4:M$3010)</f>
        <v>200</v>
      </c>
      <c r="BB371" s="319">
        <f>SUMIF(Recibos!$D$4:$D$3010,Cobranza!$B371,Recibos!N$4:N$3010)</f>
        <v>200</v>
      </c>
      <c r="BC371" s="319">
        <f>SUMIF(Recibos!$D$4:$D$3010,Cobranza!$B371,Recibos!O$4:O$3010)</f>
        <v>200</v>
      </c>
      <c r="BD371" s="319">
        <f>SUMIF(Recibos!$D$4:$D$3010,Cobranza!$B371,Recibos!P$4:P$3010)</f>
        <v>200</v>
      </c>
      <c r="BE371" s="319">
        <f>SUMIF(Recibos!$D$4:$D$3010,Cobranza!$B371,Recibos!Q$4:Q$3010)</f>
        <v>200</v>
      </c>
      <c r="BF371" s="319">
        <f>SUMIF(Recibos!$D$4:$D$3010,Cobranza!$B371,Recibos!R$4:R$3010)</f>
        <v>200</v>
      </c>
      <c r="BG371" s="319">
        <f>SUMIF(Recibos!$D$4:$D$3010,Cobranza!$B371,Recibos!S$4:S$3010)</f>
        <v>200</v>
      </c>
      <c r="BH371" s="319">
        <f>SUMIF(Recibos!$D$4:$D$3010,Cobranza!$B371,Recibos!T$4:T$3010)</f>
        <v>200</v>
      </c>
      <c r="BI371" s="319">
        <f>SUMIF(Recibos!$D$4:$D$3010,Cobranza!$B371,Recibos!U$4:U$3010)</f>
        <v>200</v>
      </c>
      <c r="BJ371" s="319">
        <f>SUMIF(Recibos!$D$4:$D$3010,Cobranza!$B371,Recibos!V$4:V$3010)</f>
        <v>200</v>
      </c>
      <c r="BK371" s="320">
        <f t="shared" si="39"/>
        <v>2400</v>
      </c>
      <c r="BL371" s="319">
        <f>SUMIF(Recibos!$D$4:$D$3010,Cobranza!$B371,Recibos!X$4:X$3010)</f>
        <v>0</v>
      </c>
      <c r="BM371" s="319">
        <f>SUMIF(Recibos!$D$4:$D$3010,Cobranza!$B371,Recibos!Y$4:Y$3010)</f>
        <v>0</v>
      </c>
      <c r="BN371" s="319">
        <f>SUMIF(Recibos!$D$4:$D$3010,Cobranza!$B371,Recibos!Z$4:Z$3010)</f>
        <v>0</v>
      </c>
      <c r="BO371" s="319">
        <f>SUMIF(Recibos!$D$4:$D$3010,Cobranza!$B371,Recibos!AA$4:AA$3010)</f>
        <v>0</v>
      </c>
      <c r="BP371" s="319">
        <f>SUMIF(Recibos!$D$4:$D$3010,Cobranza!$B371,Recibos!AB$4:AB$3010)</f>
        <v>0</v>
      </c>
      <c r="BQ371" s="319">
        <f>SUMIF(Recibos!$D$4:$D$3010,Cobranza!$B371,Recibos!AC$4:AC$3010)</f>
        <v>0</v>
      </c>
      <c r="BR371" s="319">
        <f>SUMIF(Recibos!$D$4:$D$3010,Cobranza!$B371,Recibos!AD$4:AD$3010)</f>
        <v>0</v>
      </c>
      <c r="BS371" s="319">
        <f>SUMIF(Recibos!$D$4:$D$3010,Cobranza!$B371,Recibos!AE$4:AE$3010)</f>
        <v>0</v>
      </c>
      <c r="BT371" s="319">
        <f>SUMIF(Recibos!$D$4:$D$3010,Cobranza!$B371,Recibos!AF$4:AF$3010)</f>
        <v>0</v>
      </c>
      <c r="BU371" s="319">
        <f>SUMIF(Recibos!$D$4:$D$3010,Cobranza!$B371,Recibos!AG$4:AG$3010)</f>
        <v>0</v>
      </c>
      <c r="BV371" s="319">
        <f>SUMIF(Recibos!$D$4:$D$3010,Cobranza!$B371,Recibos!AH$4:AH$3010)</f>
        <v>0</v>
      </c>
      <c r="BW371" s="319">
        <f>SUMIF(Recibos!$D$4:$D$3010,Cobranza!$B371,Recibos!AI$4:AI$3010)</f>
        <v>0</v>
      </c>
      <c r="BX371" s="320">
        <f t="shared" si="40"/>
        <v>0</v>
      </c>
    </row>
    <row r="372" spans="2:76" x14ac:dyDescent="0.2">
      <c r="B372" s="42" t="s">
        <v>1426</v>
      </c>
      <c r="C372" s="42" t="s">
        <v>1427</v>
      </c>
      <c r="D372" s="42" t="s">
        <v>1428</v>
      </c>
      <c r="E372" s="43">
        <v>0</v>
      </c>
      <c r="F372" s="43">
        <v>0</v>
      </c>
      <c r="G372" s="43">
        <v>0</v>
      </c>
      <c r="H372" s="43">
        <v>0</v>
      </c>
      <c r="I372" s="43">
        <v>0</v>
      </c>
      <c r="J372" s="43">
        <v>0</v>
      </c>
      <c r="K372" s="44">
        <f t="shared" si="35"/>
        <v>0</v>
      </c>
      <c r="L372" s="43">
        <v>0</v>
      </c>
      <c r="M372" s="43">
        <v>0</v>
      </c>
      <c r="N372" s="43">
        <v>0</v>
      </c>
      <c r="O372" s="43">
        <v>0</v>
      </c>
      <c r="P372" s="43">
        <v>0</v>
      </c>
      <c r="Q372" s="43">
        <v>0</v>
      </c>
      <c r="R372" s="43">
        <v>0</v>
      </c>
      <c r="S372" s="43">
        <v>0</v>
      </c>
      <c r="T372" s="43">
        <v>0</v>
      </c>
      <c r="U372" s="43">
        <v>0</v>
      </c>
      <c r="V372" s="43">
        <v>0</v>
      </c>
      <c r="W372" s="43">
        <v>0</v>
      </c>
      <c r="X372" s="44">
        <f t="shared" si="36"/>
        <v>0</v>
      </c>
      <c r="Y372" s="43">
        <v>0</v>
      </c>
      <c r="Z372" s="43">
        <v>0</v>
      </c>
      <c r="AA372" s="43">
        <v>0</v>
      </c>
      <c r="AB372" s="43">
        <v>0</v>
      </c>
      <c r="AC372" s="43">
        <v>0</v>
      </c>
      <c r="AD372" s="43">
        <v>0</v>
      </c>
      <c r="AE372" s="43">
        <v>0</v>
      </c>
      <c r="AF372" s="43">
        <v>0</v>
      </c>
      <c r="AG372" s="43">
        <v>0</v>
      </c>
      <c r="AH372" s="43">
        <v>0</v>
      </c>
      <c r="AI372" s="43">
        <v>0</v>
      </c>
      <c r="AJ372" s="43">
        <v>0</v>
      </c>
      <c r="AK372" s="44">
        <f t="shared" si="37"/>
        <v>0</v>
      </c>
      <c r="AL372" s="43">
        <v>0</v>
      </c>
      <c r="AM372" s="43">
        <v>0</v>
      </c>
      <c r="AN372" s="43">
        <v>0</v>
      </c>
      <c r="AO372" s="43">
        <v>0</v>
      </c>
      <c r="AP372" s="43">
        <v>0</v>
      </c>
      <c r="AQ372" s="43">
        <v>0</v>
      </c>
      <c r="AR372" s="43">
        <v>0</v>
      </c>
      <c r="AS372" s="43">
        <v>0</v>
      </c>
      <c r="AT372" s="43">
        <v>0</v>
      </c>
      <c r="AU372" s="43">
        <v>0</v>
      </c>
      <c r="AV372" s="43">
        <v>0</v>
      </c>
      <c r="AW372" s="43">
        <v>0</v>
      </c>
      <c r="AX372" s="44">
        <f t="shared" si="38"/>
        <v>0</v>
      </c>
      <c r="AY372" s="317">
        <f>SUMIF(Recibos!$D$4:$D$3010,Cobranza!$B372,Recibos!K$4:K$3010)</f>
        <v>0</v>
      </c>
      <c r="AZ372" s="317">
        <f>SUMIF(Recibos!$D$4:$D$3010,Cobranza!$B372,Recibos!L$4:L$3010)</f>
        <v>0</v>
      </c>
      <c r="BA372" s="317">
        <f>SUMIF(Recibos!$D$4:$D$3010,Cobranza!$B372,Recibos!M$4:M$3010)</f>
        <v>0</v>
      </c>
      <c r="BB372" s="317">
        <f>SUMIF(Recibos!$D$4:$D$3010,Cobranza!$B372,Recibos!N$4:N$3010)</f>
        <v>0</v>
      </c>
      <c r="BC372" s="317">
        <f>SUMIF(Recibos!$D$4:$D$3010,Cobranza!$B372,Recibos!O$4:O$3010)</f>
        <v>0</v>
      </c>
      <c r="BD372" s="317">
        <f>SUMIF(Recibos!$D$4:$D$3010,Cobranza!$B372,Recibos!P$4:P$3010)</f>
        <v>0</v>
      </c>
      <c r="BE372" s="317">
        <f>SUMIF(Recibos!$D$4:$D$3010,Cobranza!$B372,Recibos!Q$4:Q$3010)</f>
        <v>0</v>
      </c>
      <c r="BF372" s="317">
        <f>SUMIF(Recibos!$D$4:$D$3010,Cobranza!$B372,Recibos!R$4:R$3010)</f>
        <v>0</v>
      </c>
      <c r="BG372" s="317">
        <f>SUMIF(Recibos!$D$4:$D$3010,Cobranza!$B372,Recibos!S$4:S$3010)</f>
        <v>0</v>
      </c>
      <c r="BH372" s="317">
        <f>SUMIF(Recibos!$D$4:$D$3010,Cobranza!$B372,Recibos!T$4:T$3010)</f>
        <v>0</v>
      </c>
      <c r="BI372" s="317">
        <f>SUMIF(Recibos!$D$4:$D$3010,Cobranza!$B372,Recibos!U$4:U$3010)</f>
        <v>0</v>
      </c>
      <c r="BJ372" s="317">
        <f>SUMIF(Recibos!$D$4:$D$3010,Cobranza!$B372,Recibos!V$4:V$3010)</f>
        <v>0</v>
      </c>
      <c r="BK372" s="318">
        <f t="shared" si="39"/>
        <v>0</v>
      </c>
      <c r="BL372" s="317">
        <f>SUMIF(Recibos!$D$4:$D$3010,Cobranza!$B372,Recibos!X$4:X$3010)</f>
        <v>0</v>
      </c>
      <c r="BM372" s="317">
        <f>SUMIF(Recibos!$D$4:$D$3010,Cobranza!$B372,Recibos!Y$4:Y$3010)</f>
        <v>0</v>
      </c>
      <c r="BN372" s="317">
        <f>SUMIF(Recibos!$D$4:$D$3010,Cobranza!$B372,Recibos!Z$4:Z$3010)</f>
        <v>0</v>
      </c>
      <c r="BO372" s="317">
        <f>SUMIF(Recibos!$D$4:$D$3010,Cobranza!$B372,Recibos!AA$4:AA$3010)</f>
        <v>0</v>
      </c>
      <c r="BP372" s="317">
        <f>SUMIF(Recibos!$D$4:$D$3010,Cobranza!$B372,Recibos!AB$4:AB$3010)</f>
        <v>0</v>
      </c>
      <c r="BQ372" s="317">
        <f>SUMIF(Recibos!$D$4:$D$3010,Cobranza!$B372,Recibos!AC$4:AC$3010)</f>
        <v>0</v>
      </c>
      <c r="BR372" s="317">
        <f>SUMIF(Recibos!$D$4:$D$3010,Cobranza!$B372,Recibos!AD$4:AD$3010)</f>
        <v>0</v>
      </c>
      <c r="BS372" s="317">
        <f>SUMIF(Recibos!$D$4:$D$3010,Cobranza!$B372,Recibos!AE$4:AE$3010)</f>
        <v>0</v>
      </c>
      <c r="BT372" s="317">
        <f>SUMIF(Recibos!$D$4:$D$3010,Cobranza!$B372,Recibos!AF$4:AF$3010)</f>
        <v>0</v>
      </c>
      <c r="BU372" s="317">
        <f>SUMIF(Recibos!$D$4:$D$3010,Cobranza!$B372,Recibos!AG$4:AG$3010)</f>
        <v>0</v>
      </c>
      <c r="BV372" s="317">
        <f>SUMIF(Recibos!$D$4:$D$3010,Cobranza!$B372,Recibos!AH$4:AH$3010)</f>
        <v>0</v>
      </c>
      <c r="BW372" s="317">
        <f>SUMIF(Recibos!$D$4:$D$3010,Cobranza!$B372,Recibos!AI$4:AI$3010)</f>
        <v>0</v>
      </c>
      <c r="BX372" s="318">
        <f t="shared" si="40"/>
        <v>0</v>
      </c>
    </row>
    <row r="373" spans="2:76" x14ac:dyDescent="0.2">
      <c r="B373" s="45" t="s">
        <v>1429</v>
      </c>
      <c r="C373" s="45" t="s">
        <v>1430</v>
      </c>
      <c r="D373" s="45"/>
      <c r="E373" s="46">
        <v>0</v>
      </c>
      <c r="F373" s="46">
        <v>0</v>
      </c>
      <c r="G373" s="46">
        <v>0</v>
      </c>
      <c r="H373" s="46">
        <v>0</v>
      </c>
      <c r="I373" s="46">
        <v>0</v>
      </c>
      <c r="J373" s="46">
        <v>0</v>
      </c>
      <c r="K373" s="47">
        <f t="shared" si="35"/>
        <v>0</v>
      </c>
      <c r="L373" s="46">
        <v>0</v>
      </c>
      <c r="M373" s="46">
        <v>0</v>
      </c>
      <c r="N373" s="46">
        <v>0</v>
      </c>
      <c r="O373" s="46">
        <v>0</v>
      </c>
      <c r="P373" s="46">
        <v>0</v>
      </c>
      <c r="Q373" s="46">
        <v>0</v>
      </c>
      <c r="R373" s="46">
        <v>0</v>
      </c>
      <c r="S373" s="46">
        <v>0</v>
      </c>
      <c r="T373" s="46">
        <v>0</v>
      </c>
      <c r="U373" s="46">
        <v>0</v>
      </c>
      <c r="V373" s="46">
        <v>0</v>
      </c>
      <c r="W373" s="46">
        <v>0</v>
      </c>
      <c r="X373" s="47">
        <f t="shared" si="36"/>
        <v>0</v>
      </c>
      <c r="Y373" s="46">
        <v>0</v>
      </c>
      <c r="Z373" s="46">
        <v>0</v>
      </c>
      <c r="AA373" s="46">
        <v>0</v>
      </c>
      <c r="AB373" s="46">
        <v>0</v>
      </c>
      <c r="AC373" s="46">
        <v>0</v>
      </c>
      <c r="AD373" s="46">
        <v>0</v>
      </c>
      <c r="AE373" s="46">
        <v>0</v>
      </c>
      <c r="AF373" s="46">
        <v>0</v>
      </c>
      <c r="AG373" s="46">
        <v>0</v>
      </c>
      <c r="AH373" s="46">
        <v>0</v>
      </c>
      <c r="AI373" s="46">
        <v>0</v>
      </c>
      <c r="AJ373" s="46">
        <v>0</v>
      </c>
      <c r="AK373" s="47">
        <f t="shared" si="37"/>
        <v>0</v>
      </c>
      <c r="AL373" s="46">
        <v>0</v>
      </c>
      <c r="AM373" s="46">
        <v>0</v>
      </c>
      <c r="AN373" s="46">
        <v>0</v>
      </c>
      <c r="AO373" s="46">
        <v>0</v>
      </c>
      <c r="AP373" s="46">
        <v>0</v>
      </c>
      <c r="AQ373" s="46">
        <v>0</v>
      </c>
      <c r="AR373" s="46">
        <v>0</v>
      </c>
      <c r="AS373" s="46">
        <v>0</v>
      </c>
      <c r="AT373" s="46">
        <v>0</v>
      </c>
      <c r="AU373" s="46">
        <v>0</v>
      </c>
      <c r="AV373" s="46">
        <v>0</v>
      </c>
      <c r="AW373" s="46">
        <v>0</v>
      </c>
      <c r="AX373" s="47">
        <f t="shared" si="38"/>
        <v>0</v>
      </c>
      <c r="AY373" s="319">
        <f>SUMIF(Recibos!$D$4:$D$3010,Cobranza!$B373,Recibos!K$4:K$3010)</f>
        <v>0</v>
      </c>
      <c r="AZ373" s="319">
        <f>SUMIF(Recibos!$D$4:$D$3010,Cobranza!$B373,Recibos!L$4:L$3010)</f>
        <v>0</v>
      </c>
      <c r="BA373" s="319">
        <f>SUMIF(Recibos!$D$4:$D$3010,Cobranza!$B373,Recibos!M$4:M$3010)</f>
        <v>0</v>
      </c>
      <c r="BB373" s="319">
        <f>SUMIF(Recibos!$D$4:$D$3010,Cobranza!$B373,Recibos!N$4:N$3010)</f>
        <v>0</v>
      </c>
      <c r="BC373" s="319">
        <f>SUMIF(Recibos!$D$4:$D$3010,Cobranza!$B373,Recibos!O$4:O$3010)</f>
        <v>0</v>
      </c>
      <c r="BD373" s="319">
        <f>SUMIF(Recibos!$D$4:$D$3010,Cobranza!$B373,Recibos!P$4:P$3010)</f>
        <v>0</v>
      </c>
      <c r="BE373" s="319">
        <f>SUMIF(Recibos!$D$4:$D$3010,Cobranza!$B373,Recibos!Q$4:Q$3010)</f>
        <v>0</v>
      </c>
      <c r="BF373" s="319">
        <f>SUMIF(Recibos!$D$4:$D$3010,Cobranza!$B373,Recibos!R$4:R$3010)</f>
        <v>0</v>
      </c>
      <c r="BG373" s="319">
        <f>SUMIF(Recibos!$D$4:$D$3010,Cobranza!$B373,Recibos!S$4:S$3010)</f>
        <v>0</v>
      </c>
      <c r="BH373" s="319">
        <f>SUMIF(Recibos!$D$4:$D$3010,Cobranza!$B373,Recibos!T$4:T$3010)</f>
        <v>0</v>
      </c>
      <c r="BI373" s="319">
        <f>SUMIF(Recibos!$D$4:$D$3010,Cobranza!$B373,Recibos!U$4:U$3010)</f>
        <v>0</v>
      </c>
      <c r="BJ373" s="319">
        <f>SUMIF(Recibos!$D$4:$D$3010,Cobranza!$B373,Recibos!V$4:V$3010)</f>
        <v>0</v>
      </c>
      <c r="BK373" s="320">
        <f t="shared" si="39"/>
        <v>0</v>
      </c>
      <c r="BL373" s="319">
        <f>SUMIF(Recibos!$D$4:$D$3010,Cobranza!$B373,Recibos!X$4:X$3010)</f>
        <v>0</v>
      </c>
      <c r="BM373" s="319">
        <f>SUMIF(Recibos!$D$4:$D$3010,Cobranza!$B373,Recibos!Y$4:Y$3010)</f>
        <v>0</v>
      </c>
      <c r="BN373" s="319">
        <f>SUMIF(Recibos!$D$4:$D$3010,Cobranza!$B373,Recibos!Z$4:Z$3010)</f>
        <v>0</v>
      </c>
      <c r="BO373" s="319">
        <f>SUMIF(Recibos!$D$4:$D$3010,Cobranza!$B373,Recibos!AA$4:AA$3010)</f>
        <v>0</v>
      </c>
      <c r="BP373" s="319">
        <f>SUMIF(Recibos!$D$4:$D$3010,Cobranza!$B373,Recibos!AB$4:AB$3010)</f>
        <v>0</v>
      </c>
      <c r="BQ373" s="319">
        <f>SUMIF(Recibos!$D$4:$D$3010,Cobranza!$B373,Recibos!AC$4:AC$3010)</f>
        <v>0</v>
      </c>
      <c r="BR373" s="319">
        <f>SUMIF(Recibos!$D$4:$D$3010,Cobranza!$B373,Recibos!AD$4:AD$3010)</f>
        <v>0</v>
      </c>
      <c r="BS373" s="319">
        <f>SUMIF(Recibos!$D$4:$D$3010,Cobranza!$B373,Recibos!AE$4:AE$3010)</f>
        <v>0</v>
      </c>
      <c r="BT373" s="319">
        <f>SUMIF(Recibos!$D$4:$D$3010,Cobranza!$B373,Recibos!AF$4:AF$3010)</f>
        <v>0</v>
      </c>
      <c r="BU373" s="319">
        <f>SUMIF(Recibos!$D$4:$D$3010,Cobranza!$B373,Recibos!AG$4:AG$3010)</f>
        <v>0</v>
      </c>
      <c r="BV373" s="319">
        <f>SUMIF(Recibos!$D$4:$D$3010,Cobranza!$B373,Recibos!AH$4:AH$3010)</f>
        <v>0</v>
      </c>
      <c r="BW373" s="319">
        <f>SUMIF(Recibos!$D$4:$D$3010,Cobranza!$B373,Recibos!AI$4:AI$3010)</f>
        <v>0</v>
      </c>
      <c r="BX373" s="320">
        <f t="shared" si="40"/>
        <v>0</v>
      </c>
    </row>
    <row r="374" spans="2:76" x14ac:dyDescent="0.2">
      <c r="B374" s="42" t="s">
        <v>1431</v>
      </c>
      <c r="C374" s="42" t="s">
        <v>1432</v>
      </c>
      <c r="D374" s="42"/>
      <c r="E374" s="43">
        <v>0</v>
      </c>
      <c r="F374" s="43">
        <v>0</v>
      </c>
      <c r="G374" s="43">
        <v>0</v>
      </c>
      <c r="H374" s="43">
        <v>0</v>
      </c>
      <c r="I374" s="43">
        <v>0</v>
      </c>
      <c r="J374" s="43">
        <v>0</v>
      </c>
      <c r="K374" s="44">
        <f t="shared" si="35"/>
        <v>0</v>
      </c>
      <c r="L374" s="43">
        <v>0</v>
      </c>
      <c r="M374" s="43">
        <v>0</v>
      </c>
      <c r="N374" s="43">
        <v>0</v>
      </c>
      <c r="O374" s="43">
        <v>0</v>
      </c>
      <c r="P374" s="43">
        <v>0</v>
      </c>
      <c r="Q374" s="43">
        <v>0</v>
      </c>
      <c r="R374" s="43">
        <v>0</v>
      </c>
      <c r="S374" s="43">
        <v>0</v>
      </c>
      <c r="T374" s="43">
        <v>0</v>
      </c>
      <c r="U374" s="43">
        <v>0</v>
      </c>
      <c r="V374" s="43">
        <v>0</v>
      </c>
      <c r="W374" s="43">
        <v>0</v>
      </c>
      <c r="X374" s="44">
        <f t="shared" si="36"/>
        <v>0</v>
      </c>
      <c r="Y374" s="43">
        <v>0</v>
      </c>
      <c r="Z374" s="43">
        <v>0</v>
      </c>
      <c r="AA374" s="43">
        <v>0</v>
      </c>
      <c r="AB374" s="43">
        <v>0</v>
      </c>
      <c r="AC374" s="43">
        <v>0</v>
      </c>
      <c r="AD374" s="43">
        <v>0</v>
      </c>
      <c r="AE374" s="43">
        <v>0</v>
      </c>
      <c r="AF374" s="43">
        <v>0</v>
      </c>
      <c r="AG374" s="43">
        <v>0</v>
      </c>
      <c r="AH374" s="43">
        <v>0</v>
      </c>
      <c r="AI374" s="43">
        <v>0</v>
      </c>
      <c r="AJ374" s="43">
        <v>0</v>
      </c>
      <c r="AK374" s="44">
        <f t="shared" si="37"/>
        <v>0</v>
      </c>
      <c r="AL374" s="43">
        <v>0</v>
      </c>
      <c r="AM374" s="43">
        <v>0</v>
      </c>
      <c r="AN374" s="43">
        <v>0</v>
      </c>
      <c r="AO374" s="43">
        <v>0</v>
      </c>
      <c r="AP374" s="43">
        <v>0</v>
      </c>
      <c r="AQ374" s="43">
        <v>0</v>
      </c>
      <c r="AR374" s="43">
        <v>0</v>
      </c>
      <c r="AS374" s="43">
        <v>0</v>
      </c>
      <c r="AT374" s="43">
        <v>0</v>
      </c>
      <c r="AU374" s="43">
        <v>0</v>
      </c>
      <c r="AV374" s="43">
        <v>0</v>
      </c>
      <c r="AW374" s="43">
        <v>0</v>
      </c>
      <c r="AX374" s="44">
        <f t="shared" si="38"/>
        <v>0</v>
      </c>
      <c r="AY374" s="317">
        <f>SUMIF(Recibos!$D$4:$D$3010,Cobranza!$B374,Recibos!K$4:K$3010)</f>
        <v>0</v>
      </c>
      <c r="AZ374" s="317">
        <f>SUMIF(Recibos!$D$4:$D$3010,Cobranza!$B374,Recibos!L$4:L$3010)</f>
        <v>0</v>
      </c>
      <c r="BA374" s="317">
        <f>SUMIF(Recibos!$D$4:$D$3010,Cobranza!$B374,Recibos!M$4:M$3010)</f>
        <v>0</v>
      </c>
      <c r="BB374" s="317">
        <f>SUMIF(Recibos!$D$4:$D$3010,Cobranza!$B374,Recibos!N$4:N$3010)</f>
        <v>0</v>
      </c>
      <c r="BC374" s="317">
        <f>SUMIF(Recibos!$D$4:$D$3010,Cobranza!$B374,Recibos!O$4:O$3010)</f>
        <v>0</v>
      </c>
      <c r="BD374" s="317">
        <f>SUMIF(Recibos!$D$4:$D$3010,Cobranza!$B374,Recibos!P$4:P$3010)</f>
        <v>0</v>
      </c>
      <c r="BE374" s="317">
        <f>SUMIF(Recibos!$D$4:$D$3010,Cobranza!$B374,Recibos!Q$4:Q$3010)</f>
        <v>0</v>
      </c>
      <c r="BF374" s="317">
        <f>SUMIF(Recibos!$D$4:$D$3010,Cobranza!$B374,Recibos!R$4:R$3010)</f>
        <v>0</v>
      </c>
      <c r="BG374" s="317">
        <f>SUMIF(Recibos!$D$4:$D$3010,Cobranza!$B374,Recibos!S$4:S$3010)</f>
        <v>0</v>
      </c>
      <c r="BH374" s="317">
        <f>SUMIF(Recibos!$D$4:$D$3010,Cobranza!$B374,Recibos!T$4:T$3010)</f>
        <v>0</v>
      </c>
      <c r="BI374" s="317">
        <f>SUMIF(Recibos!$D$4:$D$3010,Cobranza!$B374,Recibos!U$4:U$3010)</f>
        <v>0</v>
      </c>
      <c r="BJ374" s="317">
        <f>SUMIF(Recibos!$D$4:$D$3010,Cobranza!$B374,Recibos!V$4:V$3010)</f>
        <v>0</v>
      </c>
      <c r="BK374" s="318">
        <f t="shared" si="39"/>
        <v>0</v>
      </c>
      <c r="BL374" s="317">
        <f>SUMIF(Recibos!$D$4:$D$3010,Cobranza!$B374,Recibos!X$4:X$3010)</f>
        <v>0</v>
      </c>
      <c r="BM374" s="317">
        <f>SUMIF(Recibos!$D$4:$D$3010,Cobranza!$B374,Recibos!Y$4:Y$3010)</f>
        <v>0</v>
      </c>
      <c r="BN374" s="317">
        <f>SUMIF(Recibos!$D$4:$D$3010,Cobranza!$B374,Recibos!Z$4:Z$3010)</f>
        <v>0</v>
      </c>
      <c r="BO374" s="317">
        <f>SUMIF(Recibos!$D$4:$D$3010,Cobranza!$B374,Recibos!AA$4:AA$3010)</f>
        <v>0</v>
      </c>
      <c r="BP374" s="317">
        <f>SUMIF(Recibos!$D$4:$D$3010,Cobranza!$B374,Recibos!AB$4:AB$3010)</f>
        <v>0</v>
      </c>
      <c r="BQ374" s="317">
        <f>SUMIF(Recibos!$D$4:$D$3010,Cobranza!$B374,Recibos!AC$4:AC$3010)</f>
        <v>0</v>
      </c>
      <c r="BR374" s="317">
        <f>SUMIF(Recibos!$D$4:$D$3010,Cobranza!$B374,Recibos!AD$4:AD$3010)</f>
        <v>0</v>
      </c>
      <c r="BS374" s="317">
        <f>SUMIF(Recibos!$D$4:$D$3010,Cobranza!$B374,Recibos!AE$4:AE$3010)</f>
        <v>0</v>
      </c>
      <c r="BT374" s="317">
        <f>SUMIF(Recibos!$D$4:$D$3010,Cobranza!$B374,Recibos!AF$4:AF$3010)</f>
        <v>0</v>
      </c>
      <c r="BU374" s="317">
        <f>SUMIF(Recibos!$D$4:$D$3010,Cobranza!$B374,Recibos!AG$4:AG$3010)</f>
        <v>0</v>
      </c>
      <c r="BV374" s="317">
        <f>SUMIF(Recibos!$D$4:$D$3010,Cobranza!$B374,Recibos!AH$4:AH$3010)</f>
        <v>0</v>
      </c>
      <c r="BW374" s="317">
        <f>SUMIF(Recibos!$D$4:$D$3010,Cobranza!$B374,Recibos!AI$4:AI$3010)</f>
        <v>0</v>
      </c>
      <c r="BX374" s="318">
        <f t="shared" si="40"/>
        <v>0</v>
      </c>
    </row>
    <row r="375" spans="2:76" x14ac:dyDescent="0.2">
      <c r="B375" s="45" t="s">
        <v>625</v>
      </c>
      <c r="C375" s="45" t="s">
        <v>626</v>
      </c>
      <c r="D375" s="45" t="s">
        <v>627</v>
      </c>
      <c r="E375" s="46">
        <v>0</v>
      </c>
      <c r="F375" s="46">
        <v>0</v>
      </c>
      <c r="G375" s="46">
        <v>0</v>
      </c>
      <c r="H375" s="46">
        <v>0</v>
      </c>
      <c r="I375" s="46">
        <v>0</v>
      </c>
      <c r="J375" s="46">
        <v>300</v>
      </c>
      <c r="K375" s="47">
        <f t="shared" si="35"/>
        <v>300</v>
      </c>
      <c r="L375" s="46">
        <v>300</v>
      </c>
      <c r="M375" s="46">
        <v>300</v>
      </c>
      <c r="N375" s="46">
        <v>300</v>
      </c>
      <c r="O375" s="46">
        <v>300</v>
      </c>
      <c r="P375" s="46">
        <v>300</v>
      </c>
      <c r="Q375" s="46">
        <v>300</v>
      </c>
      <c r="R375" s="46">
        <v>300</v>
      </c>
      <c r="S375" s="46">
        <v>300</v>
      </c>
      <c r="T375" s="46">
        <v>300</v>
      </c>
      <c r="U375" s="46">
        <v>400</v>
      </c>
      <c r="V375" s="46">
        <v>400</v>
      </c>
      <c r="W375" s="46">
        <v>400</v>
      </c>
      <c r="X375" s="47">
        <f t="shared" si="36"/>
        <v>3900</v>
      </c>
      <c r="Y375" s="46">
        <v>400</v>
      </c>
      <c r="Z375" s="46">
        <v>400</v>
      </c>
      <c r="AA375" s="46">
        <v>400</v>
      </c>
      <c r="AB375" s="46">
        <v>400</v>
      </c>
      <c r="AC375" s="46">
        <v>400</v>
      </c>
      <c r="AD375" s="46">
        <v>400</v>
      </c>
      <c r="AE375" s="46">
        <v>400</v>
      </c>
      <c r="AF375" s="46">
        <v>400</v>
      </c>
      <c r="AG375" s="46">
        <v>400</v>
      </c>
      <c r="AH375" s="46">
        <v>400</v>
      </c>
      <c r="AI375" s="46">
        <v>400</v>
      </c>
      <c r="AJ375" s="46">
        <v>400</v>
      </c>
      <c r="AK375" s="47">
        <f t="shared" si="37"/>
        <v>4800</v>
      </c>
      <c r="AL375" s="46">
        <v>400</v>
      </c>
      <c r="AM375" s="46">
        <v>400</v>
      </c>
      <c r="AN375" s="46">
        <v>400</v>
      </c>
      <c r="AO375" s="46">
        <v>400</v>
      </c>
      <c r="AP375" s="46">
        <v>400</v>
      </c>
      <c r="AQ375" s="46">
        <v>400</v>
      </c>
      <c r="AR375" s="46">
        <v>400</v>
      </c>
      <c r="AS375" s="46">
        <v>400</v>
      </c>
      <c r="AT375" s="46">
        <v>400</v>
      </c>
      <c r="AU375" s="46">
        <v>400</v>
      </c>
      <c r="AV375" s="46">
        <v>400</v>
      </c>
      <c r="AW375" s="46">
        <v>400</v>
      </c>
      <c r="AX375" s="47">
        <f t="shared" si="38"/>
        <v>4800</v>
      </c>
      <c r="AY375" s="319">
        <f>SUMIF(Recibos!$D$4:$D$3010,Cobranza!$B375,Recibos!K$4:K$3010)</f>
        <v>400</v>
      </c>
      <c r="AZ375" s="319">
        <f>SUMIF(Recibos!$D$4:$D$3010,Cobranza!$B375,Recibos!L$4:L$3010)</f>
        <v>400</v>
      </c>
      <c r="BA375" s="319">
        <f>SUMIF(Recibos!$D$4:$D$3010,Cobranza!$B375,Recibos!M$4:M$3010)</f>
        <v>400</v>
      </c>
      <c r="BB375" s="319">
        <f>SUMIF(Recibos!$D$4:$D$3010,Cobranza!$B375,Recibos!N$4:N$3010)</f>
        <v>400</v>
      </c>
      <c r="BC375" s="319">
        <f>SUMIF(Recibos!$D$4:$D$3010,Cobranza!$B375,Recibos!O$4:O$3010)</f>
        <v>400</v>
      </c>
      <c r="BD375" s="319">
        <f>SUMIF(Recibos!$D$4:$D$3010,Cobranza!$B375,Recibos!P$4:P$3010)</f>
        <v>400</v>
      </c>
      <c r="BE375" s="319">
        <f>SUMIF(Recibos!$D$4:$D$3010,Cobranza!$B375,Recibos!Q$4:Q$3010)</f>
        <v>400</v>
      </c>
      <c r="BF375" s="319">
        <f>SUMIF(Recibos!$D$4:$D$3010,Cobranza!$B375,Recibos!R$4:R$3010)</f>
        <v>400</v>
      </c>
      <c r="BG375" s="319">
        <f>SUMIF(Recibos!$D$4:$D$3010,Cobranza!$B375,Recibos!S$4:S$3010)</f>
        <v>400</v>
      </c>
      <c r="BH375" s="319">
        <f>SUMIF(Recibos!$D$4:$D$3010,Cobranza!$B375,Recibos!T$4:T$3010)</f>
        <v>400</v>
      </c>
      <c r="BI375" s="319">
        <f>SUMIF(Recibos!$D$4:$D$3010,Cobranza!$B375,Recibos!U$4:U$3010)</f>
        <v>0</v>
      </c>
      <c r="BJ375" s="319">
        <f>SUMIF(Recibos!$D$4:$D$3010,Cobranza!$B375,Recibos!V$4:V$3010)</f>
        <v>0</v>
      </c>
      <c r="BK375" s="320">
        <f t="shared" si="39"/>
        <v>4000</v>
      </c>
      <c r="BL375" s="319">
        <f>SUMIF(Recibos!$D$4:$D$3010,Cobranza!$B375,Recibos!X$4:X$3010)</f>
        <v>0</v>
      </c>
      <c r="BM375" s="319">
        <f>SUMIF(Recibos!$D$4:$D$3010,Cobranza!$B375,Recibos!Y$4:Y$3010)</f>
        <v>0</v>
      </c>
      <c r="BN375" s="319">
        <f>SUMIF(Recibos!$D$4:$D$3010,Cobranza!$B375,Recibos!Z$4:Z$3010)</f>
        <v>0</v>
      </c>
      <c r="BO375" s="319">
        <f>SUMIF(Recibos!$D$4:$D$3010,Cobranza!$B375,Recibos!AA$4:AA$3010)</f>
        <v>0</v>
      </c>
      <c r="BP375" s="319">
        <f>SUMIF(Recibos!$D$4:$D$3010,Cobranza!$B375,Recibos!AB$4:AB$3010)</f>
        <v>0</v>
      </c>
      <c r="BQ375" s="319">
        <f>SUMIF(Recibos!$D$4:$D$3010,Cobranza!$B375,Recibos!AC$4:AC$3010)</f>
        <v>0</v>
      </c>
      <c r="BR375" s="319">
        <f>SUMIF(Recibos!$D$4:$D$3010,Cobranza!$B375,Recibos!AD$4:AD$3010)</f>
        <v>0</v>
      </c>
      <c r="BS375" s="319">
        <f>SUMIF(Recibos!$D$4:$D$3010,Cobranza!$B375,Recibos!AE$4:AE$3010)</f>
        <v>0</v>
      </c>
      <c r="BT375" s="319">
        <f>SUMIF(Recibos!$D$4:$D$3010,Cobranza!$B375,Recibos!AF$4:AF$3010)</f>
        <v>0</v>
      </c>
      <c r="BU375" s="319">
        <f>SUMIF(Recibos!$D$4:$D$3010,Cobranza!$B375,Recibos!AG$4:AG$3010)</f>
        <v>0</v>
      </c>
      <c r="BV375" s="319">
        <f>SUMIF(Recibos!$D$4:$D$3010,Cobranza!$B375,Recibos!AH$4:AH$3010)</f>
        <v>0</v>
      </c>
      <c r="BW375" s="319">
        <f>SUMIF(Recibos!$D$4:$D$3010,Cobranza!$B375,Recibos!AI$4:AI$3010)</f>
        <v>0</v>
      </c>
      <c r="BX375" s="320">
        <f t="shared" si="40"/>
        <v>0</v>
      </c>
    </row>
    <row r="376" spans="2:76" x14ac:dyDescent="0.2">
      <c r="B376" s="42" t="s">
        <v>1174</v>
      </c>
      <c r="C376" s="42" t="s">
        <v>1175</v>
      </c>
      <c r="D376" s="42" t="s">
        <v>1176</v>
      </c>
      <c r="E376" s="43">
        <v>0</v>
      </c>
      <c r="F376" s="43">
        <v>0</v>
      </c>
      <c r="G376" s="43">
        <v>0</v>
      </c>
      <c r="H376" s="43">
        <v>0</v>
      </c>
      <c r="I376" s="43">
        <v>0</v>
      </c>
      <c r="J376" s="43">
        <v>0</v>
      </c>
      <c r="K376" s="44">
        <f t="shared" si="35"/>
        <v>0</v>
      </c>
      <c r="L376" s="43">
        <v>300</v>
      </c>
      <c r="M376" s="43">
        <v>300</v>
      </c>
      <c r="N376" s="43">
        <v>300</v>
      </c>
      <c r="O376" s="43">
        <v>300</v>
      </c>
      <c r="P376" s="43">
        <v>300</v>
      </c>
      <c r="Q376" s="43">
        <v>300</v>
      </c>
      <c r="R376" s="43">
        <v>300</v>
      </c>
      <c r="S376" s="43">
        <v>300</v>
      </c>
      <c r="T376" s="43">
        <v>300</v>
      </c>
      <c r="U376" s="43">
        <v>300</v>
      </c>
      <c r="V376" s="43">
        <v>300</v>
      </c>
      <c r="W376" s="43">
        <v>0</v>
      </c>
      <c r="X376" s="44">
        <f t="shared" si="36"/>
        <v>3300</v>
      </c>
      <c r="Y376" s="43">
        <v>0</v>
      </c>
      <c r="Z376" s="43">
        <v>0</v>
      </c>
      <c r="AA376" s="43">
        <v>0</v>
      </c>
      <c r="AB376" s="43">
        <v>0</v>
      </c>
      <c r="AC376" s="43">
        <v>0</v>
      </c>
      <c r="AD376" s="43">
        <v>0</v>
      </c>
      <c r="AE376" s="43">
        <v>0</v>
      </c>
      <c r="AF376" s="43">
        <v>0</v>
      </c>
      <c r="AG376" s="43">
        <v>0</v>
      </c>
      <c r="AH376" s="43">
        <v>0</v>
      </c>
      <c r="AI376" s="43">
        <v>0</v>
      </c>
      <c r="AJ376" s="43">
        <v>0</v>
      </c>
      <c r="AK376" s="44">
        <f t="shared" si="37"/>
        <v>0</v>
      </c>
      <c r="AL376" s="43">
        <v>400</v>
      </c>
      <c r="AM376" s="43">
        <v>400</v>
      </c>
      <c r="AN376" s="43">
        <v>400</v>
      </c>
      <c r="AO376" s="43">
        <v>400</v>
      </c>
      <c r="AP376" s="43">
        <v>400</v>
      </c>
      <c r="AQ376" s="43">
        <v>400</v>
      </c>
      <c r="AR376" s="43">
        <v>400</v>
      </c>
      <c r="AS376" s="43">
        <v>400</v>
      </c>
      <c r="AT376" s="43">
        <v>400</v>
      </c>
      <c r="AU376" s="43">
        <v>400</v>
      </c>
      <c r="AV376" s="43">
        <v>400</v>
      </c>
      <c r="AW376" s="43">
        <v>0</v>
      </c>
      <c r="AX376" s="44">
        <f t="shared" si="38"/>
        <v>4400</v>
      </c>
      <c r="AY376" s="317">
        <f>SUMIF(Recibos!$D$4:$D$3010,Cobranza!$B376,Recibos!K$4:K$3010)</f>
        <v>0</v>
      </c>
      <c r="AZ376" s="317">
        <f>SUMIF(Recibos!$D$4:$D$3010,Cobranza!$B376,Recibos!L$4:L$3010)</f>
        <v>0</v>
      </c>
      <c r="BA376" s="317">
        <f>SUMIF(Recibos!$D$4:$D$3010,Cobranza!$B376,Recibos!M$4:M$3010)</f>
        <v>0</v>
      </c>
      <c r="BB376" s="317">
        <f>SUMIF(Recibos!$D$4:$D$3010,Cobranza!$B376,Recibos!N$4:N$3010)</f>
        <v>0</v>
      </c>
      <c r="BC376" s="317">
        <f>SUMIF(Recibos!$D$4:$D$3010,Cobranza!$B376,Recibos!O$4:O$3010)</f>
        <v>0</v>
      </c>
      <c r="BD376" s="317">
        <f>SUMIF(Recibos!$D$4:$D$3010,Cobranza!$B376,Recibos!P$4:P$3010)</f>
        <v>0</v>
      </c>
      <c r="BE376" s="317">
        <f>SUMIF(Recibos!$D$4:$D$3010,Cobranza!$B376,Recibos!Q$4:Q$3010)</f>
        <v>0</v>
      </c>
      <c r="BF376" s="317">
        <f>SUMIF(Recibos!$D$4:$D$3010,Cobranza!$B376,Recibos!R$4:R$3010)</f>
        <v>0</v>
      </c>
      <c r="BG376" s="317">
        <f>SUMIF(Recibos!$D$4:$D$3010,Cobranza!$B376,Recibos!S$4:S$3010)</f>
        <v>300</v>
      </c>
      <c r="BH376" s="317">
        <f>SUMIF(Recibos!$D$4:$D$3010,Cobranza!$B376,Recibos!T$4:T$3010)</f>
        <v>300</v>
      </c>
      <c r="BI376" s="317">
        <f>SUMIF(Recibos!$D$4:$D$3010,Cobranza!$B376,Recibos!U$4:U$3010)</f>
        <v>0</v>
      </c>
      <c r="BJ376" s="317">
        <f>SUMIF(Recibos!$D$4:$D$3010,Cobranza!$B376,Recibos!V$4:V$3010)</f>
        <v>0</v>
      </c>
      <c r="BK376" s="318">
        <f t="shared" si="39"/>
        <v>600</v>
      </c>
      <c r="BL376" s="317">
        <f>SUMIF(Recibos!$D$4:$D$3010,Cobranza!$B376,Recibos!X$4:X$3010)</f>
        <v>0</v>
      </c>
      <c r="BM376" s="317">
        <f>SUMIF(Recibos!$D$4:$D$3010,Cobranza!$B376,Recibos!Y$4:Y$3010)</f>
        <v>0</v>
      </c>
      <c r="BN376" s="317">
        <f>SUMIF(Recibos!$D$4:$D$3010,Cobranza!$B376,Recibos!Z$4:Z$3010)</f>
        <v>0</v>
      </c>
      <c r="BO376" s="317">
        <f>SUMIF(Recibos!$D$4:$D$3010,Cobranza!$B376,Recibos!AA$4:AA$3010)</f>
        <v>0</v>
      </c>
      <c r="BP376" s="317">
        <f>SUMIF(Recibos!$D$4:$D$3010,Cobranza!$B376,Recibos!AB$4:AB$3010)</f>
        <v>0</v>
      </c>
      <c r="BQ376" s="317">
        <f>SUMIF(Recibos!$D$4:$D$3010,Cobranza!$B376,Recibos!AC$4:AC$3010)</f>
        <v>0</v>
      </c>
      <c r="BR376" s="317">
        <f>SUMIF(Recibos!$D$4:$D$3010,Cobranza!$B376,Recibos!AD$4:AD$3010)</f>
        <v>0</v>
      </c>
      <c r="BS376" s="317">
        <f>SUMIF(Recibos!$D$4:$D$3010,Cobranza!$B376,Recibos!AE$4:AE$3010)</f>
        <v>0</v>
      </c>
      <c r="BT376" s="317">
        <f>SUMIF(Recibos!$D$4:$D$3010,Cobranza!$B376,Recibos!AF$4:AF$3010)</f>
        <v>0</v>
      </c>
      <c r="BU376" s="317">
        <f>SUMIF(Recibos!$D$4:$D$3010,Cobranza!$B376,Recibos!AG$4:AG$3010)</f>
        <v>0</v>
      </c>
      <c r="BV376" s="317">
        <f>SUMIF(Recibos!$D$4:$D$3010,Cobranza!$B376,Recibos!AH$4:AH$3010)</f>
        <v>0</v>
      </c>
      <c r="BW376" s="317">
        <f>SUMIF(Recibos!$D$4:$D$3010,Cobranza!$B376,Recibos!AI$4:AI$3010)</f>
        <v>0</v>
      </c>
      <c r="BX376" s="318">
        <f t="shared" si="40"/>
        <v>0</v>
      </c>
    </row>
    <row r="377" spans="2:76" x14ac:dyDescent="0.2">
      <c r="B377" s="45" t="s">
        <v>595</v>
      </c>
      <c r="C377" s="45" t="s">
        <v>596</v>
      </c>
      <c r="D377" s="45" t="s">
        <v>597</v>
      </c>
      <c r="E377" s="46">
        <v>0</v>
      </c>
      <c r="F377" s="46">
        <v>0</v>
      </c>
      <c r="G377" s="46">
        <v>0</v>
      </c>
      <c r="H377" s="46">
        <v>0</v>
      </c>
      <c r="I377" s="46">
        <v>0</v>
      </c>
      <c r="J377" s="46">
        <v>0</v>
      </c>
      <c r="K377" s="47">
        <f t="shared" si="35"/>
        <v>0</v>
      </c>
      <c r="L377" s="46">
        <v>300</v>
      </c>
      <c r="M377" s="46">
        <v>300</v>
      </c>
      <c r="N377" s="46">
        <v>300</v>
      </c>
      <c r="O377" s="46">
        <v>300</v>
      </c>
      <c r="P377" s="46">
        <v>300</v>
      </c>
      <c r="Q377" s="46">
        <v>300</v>
      </c>
      <c r="R377" s="46">
        <v>0</v>
      </c>
      <c r="S377" s="46">
        <v>0</v>
      </c>
      <c r="T377" s="46">
        <v>0</v>
      </c>
      <c r="U377" s="46">
        <v>0</v>
      </c>
      <c r="V377" s="46">
        <v>0</v>
      </c>
      <c r="W377" s="46">
        <v>0</v>
      </c>
      <c r="X377" s="47">
        <f t="shared" si="36"/>
        <v>1800</v>
      </c>
      <c r="Y377" s="46">
        <v>400</v>
      </c>
      <c r="Z377" s="46">
        <v>400</v>
      </c>
      <c r="AA377" s="46">
        <v>400</v>
      </c>
      <c r="AB377" s="46">
        <v>400</v>
      </c>
      <c r="AC377" s="46">
        <v>400</v>
      </c>
      <c r="AD377" s="46">
        <v>400</v>
      </c>
      <c r="AE377" s="46">
        <v>400</v>
      </c>
      <c r="AF377" s="46">
        <v>400</v>
      </c>
      <c r="AG377" s="46">
        <v>400</v>
      </c>
      <c r="AH377" s="46">
        <v>400</v>
      </c>
      <c r="AI377" s="46">
        <v>400</v>
      </c>
      <c r="AJ377" s="46">
        <v>400</v>
      </c>
      <c r="AK377" s="47">
        <f t="shared" si="37"/>
        <v>4800</v>
      </c>
      <c r="AL377" s="46">
        <v>400</v>
      </c>
      <c r="AM377" s="46">
        <v>400</v>
      </c>
      <c r="AN377" s="46">
        <v>400</v>
      </c>
      <c r="AO377" s="46">
        <v>400</v>
      </c>
      <c r="AP377" s="46">
        <v>400</v>
      </c>
      <c r="AQ377" s="46">
        <v>400</v>
      </c>
      <c r="AR377" s="46">
        <v>400</v>
      </c>
      <c r="AS377" s="46">
        <v>400</v>
      </c>
      <c r="AT377" s="46">
        <v>400</v>
      </c>
      <c r="AU377" s="46">
        <v>400</v>
      </c>
      <c r="AV377" s="46">
        <v>400</v>
      </c>
      <c r="AW377" s="46">
        <v>0</v>
      </c>
      <c r="AX377" s="47">
        <f t="shared" si="38"/>
        <v>4400</v>
      </c>
      <c r="AY377" s="319">
        <f>SUMIF(Recibos!$D$4:$D$3010,Cobranza!$B377,Recibos!K$4:K$3010)</f>
        <v>0</v>
      </c>
      <c r="AZ377" s="319">
        <f>SUMIF(Recibos!$D$4:$D$3010,Cobranza!$B377,Recibos!L$4:L$3010)</f>
        <v>0</v>
      </c>
      <c r="BA377" s="319">
        <f>SUMIF(Recibos!$D$4:$D$3010,Cobranza!$B377,Recibos!M$4:M$3010)</f>
        <v>0</v>
      </c>
      <c r="BB377" s="319">
        <f>SUMIF(Recibos!$D$4:$D$3010,Cobranza!$B377,Recibos!N$4:N$3010)</f>
        <v>0</v>
      </c>
      <c r="BC377" s="319">
        <f>SUMIF(Recibos!$D$4:$D$3010,Cobranza!$B377,Recibos!O$4:O$3010)</f>
        <v>0</v>
      </c>
      <c r="BD377" s="319">
        <f>SUMIF(Recibos!$D$4:$D$3010,Cobranza!$B377,Recibos!P$4:P$3010)</f>
        <v>0</v>
      </c>
      <c r="BE377" s="319">
        <f>SUMIF(Recibos!$D$4:$D$3010,Cobranza!$B377,Recibos!Q$4:Q$3010)</f>
        <v>0</v>
      </c>
      <c r="BF377" s="319">
        <f>SUMIF(Recibos!$D$4:$D$3010,Cobranza!$B377,Recibos!R$4:R$3010)</f>
        <v>0</v>
      </c>
      <c r="BG377" s="319">
        <f>SUMIF(Recibos!$D$4:$D$3010,Cobranza!$B377,Recibos!S$4:S$3010)</f>
        <v>0</v>
      </c>
      <c r="BH377" s="319">
        <f>SUMIF(Recibos!$D$4:$D$3010,Cobranza!$B377,Recibos!T$4:T$3010)</f>
        <v>0</v>
      </c>
      <c r="BI377" s="319">
        <f>SUMIF(Recibos!$D$4:$D$3010,Cobranza!$B377,Recibos!U$4:U$3010)</f>
        <v>0</v>
      </c>
      <c r="BJ377" s="319">
        <f>SUMIF(Recibos!$D$4:$D$3010,Cobranza!$B377,Recibos!V$4:V$3010)</f>
        <v>0</v>
      </c>
      <c r="BK377" s="320">
        <f t="shared" si="39"/>
        <v>0</v>
      </c>
      <c r="BL377" s="319">
        <f>SUMIF(Recibos!$D$4:$D$3010,Cobranza!$B377,Recibos!X$4:X$3010)</f>
        <v>0</v>
      </c>
      <c r="BM377" s="319">
        <f>SUMIF(Recibos!$D$4:$D$3010,Cobranza!$B377,Recibos!Y$4:Y$3010)</f>
        <v>0</v>
      </c>
      <c r="BN377" s="319">
        <f>SUMIF(Recibos!$D$4:$D$3010,Cobranza!$B377,Recibos!Z$4:Z$3010)</f>
        <v>0</v>
      </c>
      <c r="BO377" s="319">
        <f>SUMIF(Recibos!$D$4:$D$3010,Cobranza!$B377,Recibos!AA$4:AA$3010)</f>
        <v>0</v>
      </c>
      <c r="BP377" s="319">
        <f>SUMIF(Recibos!$D$4:$D$3010,Cobranza!$B377,Recibos!AB$4:AB$3010)</f>
        <v>0</v>
      </c>
      <c r="BQ377" s="319">
        <f>SUMIF(Recibos!$D$4:$D$3010,Cobranza!$B377,Recibos!AC$4:AC$3010)</f>
        <v>0</v>
      </c>
      <c r="BR377" s="319">
        <f>SUMIF(Recibos!$D$4:$D$3010,Cobranza!$B377,Recibos!AD$4:AD$3010)</f>
        <v>0</v>
      </c>
      <c r="BS377" s="319">
        <f>SUMIF(Recibos!$D$4:$D$3010,Cobranza!$B377,Recibos!AE$4:AE$3010)</f>
        <v>0</v>
      </c>
      <c r="BT377" s="319">
        <f>SUMIF(Recibos!$D$4:$D$3010,Cobranza!$B377,Recibos!AF$4:AF$3010)</f>
        <v>0</v>
      </c>
      <c r="BU377" s="319">
        <f>SUMIF(Recibos!$D$4:$D$3010,Cobranza!$B377,Recibos!AG$4:AG$3010)</f>
        <v>0</v>
      </c>
      <c r="BV377" s="319">
        <f>SUMIF(Recibos!$D$4:$D$3010,Cobranza!$B377,Recibos!AH$4:AH$3010)</f>
        <v>0</v>
      </c>
      <c r="BW377" s="319">
        <f>SUMIF(Recibos!$D$4:$D$3010,Cobranza!$B377,Recibos!AI$4:AI$3010)</f>
        <v>0</v>
      </c>
      <c r="BX377" s="320">
        <f t="shared" si="40"/>
        <v>0</v>
      </c>
    </row>
    <row r="378" spans="2:76" x14ac:dyDescent="0.2">
      <c r="B378" s="42" t="s">
        <v>70</v>
      </c>
      <c r="C378" s="42" t="s">
        <v>71</v>
      </c>
      <c r="D378" s="42" t="s">
        <v>72</v>
      </c>
      <c r="E378" s="43">
        <v>0</v>
      </c>
      <c r="F378" s="43">
        <v>0</v>
      </c>
      <c r="G378" s="43">
        <v>0</v>
      </c>
      <c r="H378" s="43">
        <v>0</v>
      </c>
      <c r="I378" s="43">
        <v>0</v>
      </c>
      <c r="J378" s="43">
        <v>0</v>
      </c>
      <c r="K378" s="44">
        <f t="shared" si="35"/>
        <v>0</v>
      </c>
      <c r="L378" s="43">
        <v>300</v>
      </c>
      <c r="M378" s="43">
        <v>300</v>
      </c>
      <c r="N378" s="43">
        <v>300</v>
      </c>
      <c r="O378" s="43">
        <v>300</v>
      </c>
      <c r="P378" s="43">
        <v>300</v>
      </c>
      <c r="Q378" s="43">
        <v>300</v>
      </c>
      <c r="R378" s="43">
        <v>300</v>
      </c>
      <c r="S378" s="43">
        <v>300</v>
      </c>
      <c r="T378" s="43">
        <v>300</v>
      </c>
      <c r="U378" s="43">
        <v>300</v>
      </c>
      <c r="V378" s="43">
        <v>400</v>
      </c>
      <c r="W378" s="43">
        <v>400</v>
      </c>
      <c r="X378" s="44">
        <f t="shared" si="36"/>
        <v>3800</v>
      </c>
      <c r="Y378" s="43">
        <v>400</v>
      </c>
      <c r="Z378" s="43">
        <v>400</v>
      </c>
      <c r="AA378" s="43">
        <v>400</v>
      </c>
      <c r="AB378" s="43">
        <v>400</v>
      </c>
      <c r="AC378" s="43">
        <v>400</v>
      </c>
      <c r="AD378" s="43">
        <v>400</v>
      </c>
      <c r="AE378" s="43">
        <v>400</v>
      </c>
      <c r="AF378" s="43">
        <v>400</v>
      </c>
      <c r="AG378" s="43">
        <v>400</v>
      </c>
      <c r="AH378" s="43">
        <v>400</v>
      </c>
      <c r="AI378" s="43">
        <v>400</v>
      </c>
      <c r="AJ378" s="43">
        <v>400</v>
      </c>
      <c r="AK378" s="44">
        <f t="shared" si="37"/>
        <v>4800</v>
      </c>
      <c r="AL378" s="43">
        <v>400</v>
      </c>
      <c r="AM378" s="43">
        <v>400</v>
      </c>
      <c r="AN378" s="43">
        <v>400</v>
      </c>
      <c r="AO378" s="43">
        <v>400</v>
      </c>
      <c r="AP378" s="43">
        <v>400</v>
      </c>
      <c r="AQ378" s="43">
        <v>400</v>
      </c>
      <c r="AR378" s="43">
        <v>400</v>
      </c>
      <c r="AS378" s="43">
        <v>400</v>
      </c>
      <c r="AT378" s="43">
        <v>400</v>
      </c>
      <c r="AU378" s="43">
        <v>400</v>
      </c>
      <c r="AV378" s="43">
        <v>400</v>
      </c>
      <c r="AW378" s="43">
        <v>400</v>
      </c>
      <c r="AX378" s="44">
        <f t="shared" si="38"/>
        <v>4800</v>
      </c>
      <c r="AY378" s="317">
        <f>SUMIF(Recibos!$D$4:$D$3010,Cobranza!$B378,Recibos!K$4:K$3010)</f>
        <v>400</v>
      </c>
      <c r="AZ378" s="317">
        <f>SUMIF(Recibos!$D$4:$D$3010,Cobranza!$B378,Recibos!L$4:L$3010)</f>
        <v>400</v>
      </c>
      <c r="BA378" s="317">
        <f>SUMIF(Recibos!$D$4:$D$3010,Cobranza!$B378,Recibos!M$4:M$3010)</f>
        <v>400</v>
      </c>
      <c r="BB378" s="317">
        <f>SUMIF(Recibos!$D$4:$D$3010,Cobranza!$B378,Recibos!N$4:N$3010)</f>
        <v>400</v>
      </c>
      <c r="BC378" s="317">
        <f>SUMIF(Recibos!$D$4:$D$3010,Cobranza!$B378,Recibos!O$4:O$3010)</f>
        <v>400</v>
      </c>
      <c r="BD378" s="317">
        <f>SUMIF(Recibos!$D$4:$D$3010,Cobranza!$B378,Recibos!P$4:P$3010)</f>
        <v>400</v>
      </c>
      <c r="BE378" s="317">
        <f>SUMIF(Recibos!$D$4:$D$3010,Cobranza!$B378,Recibos!Q$4:Q$3010)</f>
        <v>400</v>
      </c>
      <c r="BF378" s="317">
        <f>SUMIF(Recibos!$D$4:$D$3010,Cobranza!$B378,Recibos!R$4:R$3010)</f>
        <v>400</v>
      </c>
      <c r="BG378" s="317">
        <f>SUMIF(Recibos!$D$4:$D$3010,Cobranza!$B378,Recibos!S$4:S$3010)</f>
        <v>400</v>
      </c>
      <c r="BH378" s="317">
        <f>SUMIF(Recibos!$D$4:$D$3010,Cobranza!$B378,Recibos!T$4:T$3010)</f>
        <v>400</v>
      </c>
      <c r="BI378" s="317">
        <f>SUMIF(Recibos!$D$4:$D$3010,Cobranza!$B378,Recibos!U$4:U$3010)</f>
        <v>400</v>
      </c>
      <c r="BJ378" s="317">
        <f>SUMIF(Recibos!$D$4:$D$3010,Cobranza!$B378,Recibos!V$4:V$3010)</f>
        <v>0</v>
      </c>
      <c r="BK378" s="318">
        <f t="shared" si="39"/>
        <v>4400</v>
      </c>
      <c r="BL378" s="317">
        <f>SUMIF(Recibos!$D$4:$D$3010,Cobranza!$B378,Recibos!X$4:X$3010)</f>
        <v>400</v>
      </c>
      <c r="BM378" s="317">
        <f>SUMIF(Recibos!$D$4:$D$3010,Cobranza!$B378,Recibos!Y$4:Y$3010)</f>
        <v>400</v>
      </c>
      <c r="BN378" s="317">
        <f>SUMIF(Recibos!$D$4:$D$3010,Cobranza!$B378,Recibos!Z$4:Z$3010)</f>
        <v>400</v>
      </c>
      <c r="BO378" s="317">
        <f>SUMIF(Recibos!$D$4:$D$3010,Cobranza!$B378,Recibos!AA$4:AA$3010)</f>
        <v>400</v>
      </c>
      <c r="BP378" s="317">
        <f>SUMIF(Recibos!$D$4:$D$3010,Cobranza!$B378,Recibos!AB$4:AB$3010)</f>
        <v>400</v>
      </c>
      <c r="BQ378" s="317">
        <f>SUMIF(Recibos!$D$4:$D$3010,Cobranza!$B378,Recibos!AC$4:AC$3010)</f>
        <v>400</v>
      </c>
      <c r="BR378" s="317">
        <f>SUMIF(Recibos!$D$4:$D$3010,Cobranza!$B378,Recibos!AD$4:AD$3010)</f>
        <v>400</v>
      </c>
      <c r="BS378" s="317">
        <f>SUMIF(Recibos!$D$4:$D$3010,Cobranza!$B378,Recibos!AE$4:AE$3010)</f>
        <v>400</v>
      </c>
      <c r="BT378" s="317">
        <f>SUMIF(Recibos!$D$4:$D$3010,Cobranza!$B378,Recibos!AF$4:AF$3010)</f>
        <v>400</v>
      </c>
      <c r="BU378" s="317">
        <f>SUMIF(Recibos!$D$4:$D$3010,Cobranza!$B378,Recibos!AG$4:AG$3010)</f>
        <v>400</v>
      </c>
      <c r="BV378" s="317">
        <f>SUMIF(Recibos!$D$4:$D$3010,Cobranza!$B378,Recibos!AH$4:AH$3010)</f>
        <v>400</v>
      </c>
      <c r="BW378" s="317">
        <f>SUMIF(Recibos!$D$4:$D$3010,Cobranza!$B378,Recibos!AI$4:AI$3010)</f>
        <v>0</v>
      </c>
      <c r="BX378" s="318">
        <f t="shared" si="40"/>
        <v>4400</v>
      </c>
    </row>
    <row r="379" spans="2:76" x14ac:dyDescent="0.2">
      <c r="B379" s="45" t="s">
        <v>696</v>
      </c>
      <c r="C379" s="45" t="s">
        <v>697</v>
      </c>
      <c r="D379" s="45" t="s">
        <v>698</v>
      </c>
      <c r="E379" s="46">
        <v>0</v>
      </c>
      <c r="F379" s="46">
        <v>0</v>
      </c>
      <c r="G379" s="46">
        <v>0</v>
      </c>
      <c r="H379" s="46">
        <v>0</v>
      </c>
      <c r="I379" s="46">
        <v>0</v>
      </c>
      <c r="J379" s="46">
        <v>300</v>
      </c>
      <c r="K379" s="47">
        <f t="shared" si="35"/>
        <v>300</v>
      </c>
      <c r="L379" s="46">
        <v>300</v>
      </c>
      <c r="M379" s="46">
        <v>300</v>
      </c>
      <c r="N379" s="46">
        <v>0</v>
      </c>
      <c r="O379" s="46">
        <v>300</v>
      </c>
      <c r="P379" s="46">
        <v>300</v>
      </c>
      <c r="Q379" s="46">
        <v>300</v>
      </c>
      <c r="R379" s="46">
        <v>0</v>
      </c>
      <c r="S379" s="46">
        <v>300</v>
      </c>
      <c r="T379" s="46">
        <v>300</v>
      </c>
      <c r="U379" s="46">
        <v>300</v>
      </c>
      <c r="V379" s="46">
        <v>300</v>
      </c>
      <c r="W379" s="46">
        <v>300</v>
      </c>
      <c r="X379" s="47">
        <f t="shared" si="36"/>
        <v>3000</v>
      </c>
      <c r="Y379" s="46">
        <v>300</v>
      </c>
      <c r="Z379" s="46">
        <v>300</v>
      </c>
      <c r="AA379" s="46">
        <v>300</v>
      </c>
      <c r="AB379" s="46">
        <v>300</v>
      </c>
      <c r="AC379" s="46">
        <v>300</v>
      </c>
      <c r="AD379" s="46">
        <v>300</v>
      </c>
      <c r="AE379" s="46">
        <v>300</v>
      </c>
      <c r="AF379" s="46">
        <v>300</v>
      </c>
      <c r="AG379" s="46">
        <v>300</v>
      </c>
      <c r="AH379" s="46">
        <v>300</v>
      </c>
      <c r="AI379" s="46">
        <v>300</v>
      </c>
      <c r="AJ379" s="46">
        <v>300</v>
      </c>
      <c r="AK379" s="47">
        <f t="shared" si="37"/>
        <v>3600</v>
      </c>
      <c r="AL379" s="46">
        <v>300</v>
      </c>
      <c r="AM379" s="46">
        <v>300</v>
      </c>
      <c r="AN379" s="46">
        <v>300</v>
      </c>
      <c r="AO379" s="46">
        <v>300</v>
      </c>
      <c r="AP379" s="46">
        <v>300</v>
      </c>
      <c r="AQ379" s="46">
        <v>300</v>
      </c>
      <c r="AR379" s="46">
        <v>300</v>
      </c>
      <c r="AS379" s="46">
        <v>300</v>
      </c>
      <c r="AT379" s="46">
        <v>300</v>
      </c>
      <c r="AU379" s="46">
        <v>300</v>
      </c>
      <c r="AV379" s="46">
        <v>300</v>
      </c>
      <c r="AW379" s="46">
        <v>300</v>
      </c>
      <c r="AX379" s="47">
        <f t="shared" si="38"/>
        <v>3600</v>
      </c>
      <c r="AY379" s="319">
        <f>SUMIF(Recibos!$D$4:$D$3010,Cobranza!$B379,Recibos!K$4:K$3010)</f>
        <v>300</v>
      </c>
      <c r="AZ379" s="319">
        <f>SUMIF(Recibos!$D$4:$D$3010,Cobranza!$B379,Recibos!L$4:L$3010)</f>
        <v>300</v>
      </c>
      <c r="BA379" s="319">
        <f>SUMIF(Recibos!$D$4:$D$3010,Cobranza!$B379,Recibos!M$4:M$3010)</f>
        <v>300</v>
      </c>
      <c r="BB379" s="319">
        <f>SUMIF(Recibos!$D$4:$D$3010,Cobranza!$B379,Recibos!N$4:N$3010)</f>
        <v>300</v>
      </c>
      <c r="BC379" s="319">
        <f>SUMIF(Recibos!$D$4:$D$3010,Cobranza!$B379,Recibos!O$4:O$3010)</f>
        <v>300</v>
      </c>
      <c r="BD379" s="319">
        <f>SUMIF(Recibos!$D$4:$D$3010,Cobranza!$B379,Recibos!P$4:P$3010)</f>
        <v>300</v>
      </c>
      <c r="BE379" s="319">
        <f>SUMIF(Recibos!$D$4:$D$3010,Cobranza!$B379,Recibos!Q$4:Q$3010)</f>
        <v>300</v>
      </c>
      <c r="BF379" s="319">
        <f>SUMIF(Recibos!$D$4:$D$3010,Cobranza!$B379,Recibos!R$4:R$3010)</f>
        <v>300</v>
      </c>
      <c r="BG379" s="319">
        <f>SUMIF(Recibos!$D$4:$D$3010,Cobranza!$B379,Recibos!S$4:S$3010)</f>
        <v>300</v>
      </c>
      <c r="BH379" s="319">
        <f>SUMIF(Recibos!$D$4:$D$3010,Cobranza!$B379,Recibos!T$4:T$3010)</f>
        <v>300</v>
      </c>
      <c r="BI379" s="319">
        <f>SUMIF(Recibos!$D$4:$D$3010,Cobranza!$B379,Recibos!U$4:U$3010)</f>
        <v>300</v>
      </c>
      <c r="BJ379" s="319">
        <f>SUMIF(Recibos!$D$4:$D$3010,Cobranza!$B379,Recibos!V$4:V$3010)</f>
        <v>300</v>
      </c>
      <c r="BK379" s="320">
        <f t="shared" si="39"/>
        <v>3600</v>
      </c>
      <c r="BL379" s="319">
        <f>SUMIF(Recibos!$D$4:$D$3010,Cobranza!$B379,Recibos!X$4:X$3010)</f>
        <v>0</v>
      </c>
      <c r="BM379" s="319">
        <f>SUMIF(Recibos!$D$4:$D$3010,Cobranza!$B379,Recibos!Y$4:Y$3010)</f>
        <v>0</v>
      </c>
      <c r="BN379" s="319">
        <f>SUMIF(Recibos!$D$4:$D$3010,Cobranza!$B379,Recibos!Z$4:Z$3010)</f>
        <v>0</v>
      </c>
      <c r="BO379" s="319">
        <f>SUMIF(Recibos!$D$4:$D$3010,Cobranza!$B379,Recibos!AA$4:AA$3010)</f>
        <v>0</v>
      </c>
      <c r="BP379" s="319">
        <f>SUMIF(Recibos!$D$4:$D$3010,Cobranza!$B379,Recibos!AB$4:AB$3010)</f>
        <v>0</v>
      </c>
      <c r="BQ379" s="319">
        <f>SUMIF(Recibos!$D$4:$D$3010,Cobranza!$B379,Recibos!AC$4:AC$3010)</f>
        <v>0</v>
      </c>
      <c r="BR379" s="319">
        <f>SUMIF(Recibos!$D$4:$D$3010,Cobranza!$B379,Recibos!AD$4:AD$3010)</f>
        <v>0</v>
      </c>
      <c r="BS379" s="319">
        <f>SUMIF(Recibos!$D$4:$D$3010,Cobranza!$B379,Recibos!AE$4:AE$3010)</f>
        <v>0</v>
      </c>
      <c r="BT379" s="319">
        <f>SUMIF(Recibos!$D$4:$D$3010,Cobranza!$B379,Recibos!AF$4:AF$3010)</f>
        <v>0</v>
      </c>
      <c r="BU379" s="319">
        <f>SUMIF(Recibos!$D$4:$D$3010,Cobranza!$B379,Recibos!AG$4:AG$3010)</f>
        <v>0</v>
      </c>
      <c r="BV379" s="319">
        <f>SUMIF(Recibos!$D$4:$D$3010,Cobranza!$B379,Recibos!AH$4:AH$3010)</f>
        <v>0</v>
      </c>
      <c r="BW379" s="319">
        <f>SUMIF(Recibos!$D$4:$D$3010,Cobranza!$B379,Recibos!AI$4:AI$3010)</f>
        <v>0</v>
      </c>
      <c r="BX379" s="320">
        <f t="shared" si="40"/>
        <v>0</v>
      </c>
    </row>
    <row r="380" spans="2:76" x14ac:dyDescent="0.2">
      <c r="B380" s="42" t="s">
        <v>740</v>
      </c>
      <c r="C380" s="42" t="s">
        <v>741</v>
      </c>
      <c r="D380" s="42" t="s">
        <v>742</v>
      </c>
      <c r="E380" s="43">
        <v>0</v>
      </c>
      <c r="F380" s="43">
        <v>0</v>
      </c>
      <c r="G380" s="43">
        <v>0</v>
      </c>
      <c r="H380" s="43">
        <v>0</v>
      </c>
      <c r="I380" s="43">
        <v>0</v>
      </c>
      <c r="J380" s="43">
        <v>300</v>
      </c>
      <c r="K380" s="44">
        <f t="shared" si="35"/>
        <v>300</v>
      </c>
      <c r="L380" s="43">
        <v>300</v>
      </c>
      <c r="M380" s="43">
        <v>300</v>
      </c>
      <c r="N380" s="43">
        <v>300</v>
      </c>
      <c r="O380" s="43">
        <v>300</v>
      </c>
      <c r="P380" s="43">
        <v>300</v>
      </c>
      <c r="Q380" s="43">
        <v>300</v>
      </c>
      <c r="R380" s="43">
        <v>300</v>
      </c>
      <c r="S380" s="43">
        <v>300</v>
      </c>
      <c r="T380" s="43">
        <v>300</v>
      </c>
      <c r="U380" s="43">
        <v>300</v>
      </c>
      <c r="V380" s="43">
        <v>300</v>
      </c>
      <c r="W380" s="43">
        <v>0</v>
      </c>
      <c r="X380" s="44">
        <f t="shared" si="36"/>
        <v>3300</v>
      </c>
      <c r="Y380" s="43">
        <v>300</v>
      </c>
      <c r="Z380" s="43">
        <v>300</v>
      </c>
      <c r="AA380" s="43">
        <v>300</v>
      </c>
      <c r="AB380" s="43">
        <v>300</v>
      </c>
      <c r="AC380" s="43">
        <v>300</v>
      </c>
      <c r="AD380" s="43">
        <v>300</v>
      </c>
      <c r="AE380" s="43">
        <v>300</v>
      </c>
      <c r="AF380" s="43">
        <v>300</v>
      </c>
      <c r="AG380" s="43">
        <v>300</v>
      </c>
      <c r="AH380" s="43">
        <v>300</v>
      </c>
      <c r="AI380" s="43">
        <v>300</v>
      </c>
      <c r="AJ380" s="43">
        <v>400</v>
      </c>
      <c r="AK380" s="44">
        <f t="shared" si="37"/>
        <v>3700</v>
      </c>
      <c r="AL380" s="43">
        <v>400</v>
      </c>
      <c r="AM380" s="43">
        <v>400</v>
      </c>
      <c r="AN380" s="43">
        <v>400</v>
      </c>
      <c r="AO380" s="43">
        <v>400</v>
      </c>
      <c r="AP380" s="43">
        <v>400</v>
      </c>
      <c r="AQ380" s="43">
        <v>400</v>
      </c>
      <c r="AR380" s="43">
        <v>400</v>
      </c>
      <c r="AS380" s="43">
        <v>400</v>
      </c>
      <c r="AT380" s="43">
        <v>400</v>
      </c>
      <c r="AU380" s="43">
        <v>400</v>
      </c>
      <c r="AV380" s="43">
        <v>400</v>
      </c>
      <c r="AW380" s="43">
        <v>400</v>
      </c>
      <c r="AX380" s="44">
        <f t="shared" si="38"/>
        <v>4800</v>
      </c>
      <c r="AY380" s="317">
        <f>SUMIF(Recibos!$D$4:$D$3010,Cobranza!$B380,Recibos!K$4:K$3010)</f>
        <v>400</v>
      </c>
      <c r="AZ380" s="317">
        <f>SUMIF(Recibos!$D$4:$D$3010,Cobranza!$B380,Recibos!L$4:L$3010)</f>
        <v>400</v>
      </c>
      <c r="BA380" s="317">
        <f>SUMIF(Recibos!$D$4:$D$3010,Cobranza!$B380,Recibos!M$4:M$3010)</f>
        <v>400</v>
      </c>
      <c r="BB380" s="317">
        <f>SUMIF(Recibos!$D$4:$D$3010,Cobranza!$B380,Recibos!N$4:N$3010)</f>
        <v>400</v>
      </c>
      <c r="BC380" s="317">
        <f>SUMIF(Recibos!$D$4:$D$3010,Cobranza!$B380,Recibos!O$4:O$3010)</f>
        <v>400</v>
      </c>
      <c r="BD380" s="317">
        <f>SUMIF(Recibos!$D$4:$D$3010,Cobranza!$B380,Recibos!P$4:P$3010)</f>
        <v>400</v>
      </c>
      <c r="BE380" s="317">
        <f>SUMIF(Recibos!$D$4:$D$3010,Cobranza!$B380,Recibos!Q$4:Q$3010)</f>
        <v>400</v>
      </c>
      <c r="BF380" s="317">
        <f>SUMIF(Recibos!$D$4:$D$3010,Cobranza!$B380,Recibos!R$4:R$3010)</f>
        <v>400</v>
      </c>
      <c r="BG380" s="317">
        <f>SUMIF(Recibos!$D$4:$D$3010,Cobranza!$B380,Recibos!S$4:S$3010)</f>
        <v>400</v>
      </c>
      <c r="BH380" s="317">
        <f>SUMIF(Recibos!$D$4:$D$3010,Cobranza!$B380,Recibos!T$4:T$3010)</f>
        <v>400</v>
      </c>
      <c r="BI380" s="317">
        <f>SUMIF(Recibos!$D$4:$D$3010,Cobranza!$B380,Recibos!U$4:U$3010)</f>
        <v>400</v>
      </c>
      <c r="BJ380" s="317">
        <f>SUMIF(Recibos!$D$4:$D$3010,Cobranza!$B380,Recibos!V$4:V$3010)</f>
        <v>400</v>
      </c>
      <c r="BK380" s="318">
        <f t="shared" si="39"/>
        <v>4800</v>
      </c>
      <c r="BL380" s="317">
        <f>SUMIF(Recibos!$D$4:$D$3010,Cobranza!$B380,Recibos!X$4:X$3010)</f>
        <v>0</v>
      </c>
      <c r="BM380" s="317">
        <f>SUMIF(Recibos!$D$4:$D$3010,Cobranza!$B380,Recibos!Y$4:Y$3010)</f>
        <v>0</v>
      </c>
      <c r="BN380" s="317">
        <f>SUMIF(Recibos!$D$4:$D$3010,Cobranza!$B380,Recibos!Z$4:Z$3010)</f>
        <v>0</v>
      </c>
      <c r="BO380" s="317">
        <f>SUMIF(Recibos!$D$4:$D$3010,Cobranza!$B380,Recibos!AA$4:AA$3010)</f>
        <v>0</v>
      </c>
      <c r="BP380" s="317">
        <f>SUMIF(Recibos!$D$4:$D$3010,Cobranza!$B380,Recibos!AB$4:AB$3010)</f>
        <v>0</v>
      </c>
      <c r="BQ380" s="317">
        <f>SUMIF(Recibos!$D$4:$D$3010,Cobranza!$B380,Recibos!AC$4:AC$3010)</f>
        <v>0</v>
      </c>
      <c r="BR380" s="317">
        <f>SUMIF(Recibos!$D$4:$D$3010,Cobranza!$B380,Recibos!AD$4:AD$3010)</f>
        <v>0</v>
      </c>
      <c r="BS380" s="317">
        <f>SUMIF(Recibos!$D$4:$D$3010,Cobranza!$B380,Recibos!AE$4:AE$3010)</f>
        <v>0</v>
      </c>
      <c r="BT380" s="317">
        <f>SUMIF(Recibos!$D$4:$D$3010,Cobranza!$B380,Recibos!AF$4:AF$3010)</f>
        <v>0</v>
      </c>
      <c r="BU380" s="317">
        <f>SUMIF(Recibos!$D$4:$D$3010,Cobranza!$B380,Recibos!AG$4:AG$3010)</f>
        <v>0</v>
      </c>
      <c r="BV380" s="317">
        <f>SUMIF(Recibos!$D$4:$D$3010,Cobranza!$B380,Recibos!AH$4:AH$3010)</f>
        <v>0</v>
      </c>
      <c r="BW380" s="317">
        <f>SUMIF(Recibos!$D$4:$D$3010,Cobranza!$B380,Recibos!AI$4:AI$3010)</f>
        <v>0</v>
      </c>
      <c r="BX380" s="318">
        <f t="shared" si="40"/>
        <v>0</v>
      </c>
    </row>
    <row r="381" spans="2:76" x14ac:dyDescent="0.2">
      <c r="B381" s="45" t="s">
        <v>871</v>
      </c>
      <c r="C381" s="45" t="s">
        <v>872</v>
      </c>
      <c r="D381" s="45" t="s">
        <v>873</v>
      </c>
      <c r="E381" s="46">
        <v>0</v>
      </c>
      <c r="F381" s="46">
        <v>0</v>
      </c>
      <c r="G381" s="46">
        <v>0</v>
      </c>
      <c r="H381" s="46">
        <v>0</v>
      </c>
      <c r="I381" s="46">
        <v>0</v>
      </c>
      <c r="J381" s="46">
        <v>300</v>
      </c>
      <c r="K381" s="47">
        <f t="shared" si="35"/>
        <v>300</v>
      </c>
      <c r="L381" s="46">
        <v>300</v>
      </c>
      <c r="M381" s="46">
        <v>300</v>
      </c>
      <c r="N381" s="46">
        <v>300</v>
      </c>
      <c r="O381" s="46">
        <v>300</v>
      </c>
      <c r="P381" s="46">
        <v>300</v>
      </c>
      <c r="Q381" s="46">
        <v>300</v>
      </c>
      <c r="R381" s="46">
        <v>300</v>
      </c>
      <c r="S381" s="46">
        <v>300</v>
      </c>
      <c r="T381" s="46">
        <v>0</v>
      </c>
      <c r="U381" s="46">
        <v>0</v>
      </c>
      <c r="V381" s="46">
        <v>0</v>
      </c>
      <c r="W381" s="46">
        <v>0</v>
      </c>
      <c r="X381" s="47">
        <f t="shared" si="36"/>
        <v>2400</v>
      </c>
      <c r="Y381" s="46">
        <v>0</v>
      </c>
      <c r="Z381" s="46">
        <v>0</v>
      </c>
      <c r="AA381" s="46">
        <v>0</v>
      </c>
      <c r="AB381" s="46">
        <v>0</v>
      </c>
      <c r="AC381" s="46">
        <v>0</v>
      </c>
      <c r="AD381" s="46">
        <v>0</v>
      </c>
      <c r="AE381" s="46">
        <v>0</v>
      </c>
      <c r="AF381" s="46">
        <v>200</v>
      </c>
      <c r="AG381" s="46">
        <v>200</v>
      </c>
      <c r="AH381" s="46">
        <v>200</v>
      </c>
      <c r="AI381" s="46">
        <v>200</v>
      </c>
      <c r="AJ381" s="46">
        <v>200</v>
      </c>
      <c r="AK381" s="47">
        <f t="shared" si="37"/>
        <v>1000</v>
      </c>
      <c r="AL381" s="46">
        <v>200</v>
      </c>
      <c r="AM381" s="46">
        <v>200</v>
      </c>
      <c r="AN381" s="46">
        <v>200</v>
      </c>
      <c r="AO381" s="46">
        <v>200</v>
      </c>
      <c r="AP381" s="46">
        <v>0</v>
      </c>
      <c r="AQ381" s="46">
        <v>200</v>
      </c>
      <c r="AR381" s="46">
        <v>0</v>
      </c>
      <c r="AS381" s="46">
        <v>0</v>
      </c>
      <c r="AT381" s="46">
        <v>0</v>
      </c>
      <c r="AU381" s="46">
        <v>0</v>
      </c>
      <c r="AV381" s="46">
        <v>0</v>
      </c>
      <c r="AW381" s="46">
        <v>0</v>
      </c>
      <c r="AX381" s="47">
        <f t="shared" si="38"/>
        <v>1000</v>
      </c>
      <c r="AY381" s="319">
        <f>SUMIF(Recibos!$D$4:$D$3010,Cobranza!$B381,Recibos!K$4:K$3010)</f>
        <v>200</v>
      </c>
      <c r="AZ381" s="319">
        <f>SUMIF(Recibos!$D$4:$D$3010,Cobranza!$B381,Recibos!L$4:L$3010)</f>
        <v>200</v>
      </c>
      <c r="BA381" s="319">
        <f>SUMIF(Recibos!$D$4:$D$3010,Cobranza!$B381,Recibos!M$4:M$3010)</f>
        <v>200</v>
      </c>
      <c r="BB381" s="319">
        <f>SUMIF(Recibos!$D$4:$D$3010,Cobranza!$B381,Recibos!N$4:N$3010)</f>
        <v>200</v>
      </c>
      <c r="BC381" s="319">
        <f>SUMIF(Recibos!$D$4:$D$3010,Cobranza!$B381,Recibos!O$4:O$3010)</f>
        <v>300</v>
      </c>
      <c r="BD381" s="319">
        <f>SUMIF(Recibos!$D$4:$D$3010,Cobranza!$B381,Recibos!P$4:P$3010)</f>
        <v>200</v>
      </c>
      <c r="BE381" s="319">
        <f>SUMIF(Recibos!$D$4:$D$3010,Cobranza!$B381,Recibos!Q$4:Q$3010)</f>
        <v>200</v>
      </c>
      <c r="BF381" s="319">
        <f>SUMIF(Recibos!$D$4:$D$3010,Cobranza!$B381,Recibos!R$4:R$3010)</f>
        <v>200</v>
      </c>
      <c r="BG381" s="319">
        <f>SUMIF(Recibos!$D$4:$D$3010,Cobranza!$B381,Recibos!S$4:S$3010)</f>
        <v>0</v>
      </c>
      <c r="BH381" s="319">
        <f>SUMIF(Recibos!$D$4:$D$3010,Cobranza!$B381,Recibos!T$4:T$3010)</f>
        <v>0</v>
      </c>
      <c r="BI381" s="319">
        <f>SUMIF(Recibos!$D$4:$D$3010,Cobranza!$B381,Recibos!U$4:U$3010)</f>
        <v>0</v>
      </c>
      <c r="BJ381" s="319">
        <f>SUMIF(Recibos!$D$4:$D$3010,Cobranza!$B381,Recibos!V$4:V$3010)</f>
        <v>0</v>
      </c>
      <c r="BK381" s="320">
        <f t="shared" si="39"/>
        <v>1700</v>
      </c>
      <c r="BL381" s="319">
        <f>SUMIF(Recibos!$D$4:$D$3010,Cobranza!$B381,Recibos!X$4:X$3010)</f>
        <v>0</v>
      </c>
      <c r="BM381" s="319">
        <f>SUMIF(Recibos!$D$4:$D$3010,Cobranza!$B381,Recibos!Y$4:Y$3010)</f>
        <v>0</v>
      </c>
      <c r="BN381" s="319">
        <f>SUMIF(Recibos!$D$4:$D$3010,Cobranza!$B381,Recibos!Z$4:Z$3010)</f>
        <v>0</v>
      </c>
      <c r="BO381" s="319">
        <f>SUMIF(Recibos!$D$4:$D$3010,Cobranza!$B381,Recibos!AA$4:AA$3010)</f>
        <v>0</v>
      </c>
      <c r="BP381" s="319">
        <f>SUMIF(Recibos!$D$4:$D$3010,Cobranza!$B381,Recibos!AB$4:AB$3010)</f>
        <v>0</v>
      </c>
      <c r="BQ381" s="319">
        <f>SUMIF(Recibos!$D$4:$D$3010,Cobranza!$B381,Recibos!AC$4:AC$3010)</f>
        <v>0</v>
      </c>
      <c r="BR381" s="319">
        <f>SUMIF(Recibos!$D$4:$D$3010,Cobranza!$B381,Recibos!AD$4:AD$3010)</f>
        <v>0</v>
      </c>
      <c r="BS381" s="319">
        <f>SUMIF(Recibos!$D$4:$D$3010,Cobranza!$B381,Recibos!AE$4:AE$3010)</f>
        <v>0</v>
      </c>
      <c r="BT381" s="319">
        <f>SUMIF(Recibos!$D$4:$D$3010,Cobranza!$B381,Recibos!AF$4:AF$3010)</f>
        <v>0</v>
      </c>
      <c r="BU381" s="319">
        <f>SUMIF(Recibos!$D$4:$D$3010,Cobranza!$B381,Recibos!AG$4:AG$3010)</f>
        <v>0</v>
      </c>
      <c r="BV381" s="319">
        <f>SUMIF(Recibos!$D$4:$D$3010,Cobranza!$B381,Recibos!AH$4:AH$3010)</f>
        <v>0</v>
      </c>
      <c r="BW381" s="319">
        <f>SUMIF(Recibos!$D$4:$D$3010,Cobranza!$B381,Recibos!AI$4:AI$3010)</f>
        <v>0</v>
      </c>
      <c r="BX381" s="320">
        <f t="shared" si="40"/>
        <v>0</v>
      </c>
    </row>
    <row r="382" spans="2:76" x14ac:dyDescent="0.2">
      <c r="B382" s="42" t="s">
        <v>387</v>
      </c>
      <c r="C382" s="42" t="s">
        <v>388</v>
      </c>
      <c r="D382" s="42" t="s">
        <v>389</v>
      </c>
      <c r="E382" s="43">
        <v>0</v>
      </c>
      <c r="F382" s="43">
        <v>0</v>
      </c>
      <c r="G382" s="43">
        <v>0</v>
      </c>
      <c r="H382" s="43">
        <v>0</v>
      </c>
      <c r="I382" s="43">
        <v>0</v>
      </c>
      <c r="J382" s="43">
        <v>0</v>
      </c>
      <c r="K382" s="44">
        <f t="shared" si="35"/>
        <v>0</v>
      </c>
      <c r="L382" s="43">
        <v>300</v>
      </c>
      <c r="M382" s="43">
        <v>300</v>
      </c>
      <c r="N382" s="43">
        <v>300</v>
      </c>
      <c r="O382" s="43">
        <v>300</v>
      </c>
      <c r="P382" s="43">
        <v>600</v>
      </c>
      <c r="Q382" s="43">
        <v>0</v>
      </c>
      <c r="R382" s="43">
        <v>300</v>
      </c>
      <c r="S382" s="43">
        <v>300</v>
      </c>
      <c r="T382" s="43">
        <v>300</v>
      </c>
      <c r="U382" s="43">
        <v>400</v>
      </c>
      <c r="V382" s="43">
        <v>400</v>
      </c>
      <c r="W382" s="43">
        <v>400</v>
      </c>
      <c r="X382" s="44">
        <f t="shared" si="36"/>
        <v>3900</v>
      </c>
      <c r="Y382" s="43">
        <v>400</v>
      </c>
      <c r="Z382" s="43">
        <v>0</v>
      </c>
      <c r="AA382" s="43">
        <v>400</v>
      </c>
      <c r="AB382" s="43">
        <v>800</v>
      </c>
      <c r="AC382" s="43">
        <v>400</v>
      </c>
      <c r="AD382" s="43">
        <v>400</v>
      </c>
      <c r="AE382" s="43">
        <v>400</v>
      </c>
      <c r="AF382" s="43">
        <v>400</v>
      </c>
      <c r="AG382" s="43">
        <v>400</v>
      </c>
      <c r="AH382" s="43">
        <v>400</v>
      </c>
      <c r="AI382" s="43">
        <v>400</v>
      </c>
      <c r="AJ382" s="43">
        <v>400</v>
      </c>
      <c r="AK382" s="44">
        <f t="shared" si="37"/>
        <v>4800</v>
      </c>
      <c r="AL382" s="43">
        <v>0</v>
      </c>
      <c r="AM382" s="43">
        <v>400</v>
      </c>
      <c r="AN382" s="43">
        <v>400</v>
      </c>
      <c r="AO382" s="43">
        <v>400</v>
      </c>
      <c r="AP382" s="43">
        <v>400</v>
      </c>
      <c r="AQ382" s="43">
        <v>400</v>
      </c>
      <c r="AR382" s="43">
        <v>400</v>
      </c>
      <c r="AS382" s="43">
        <v>400</v>
      </c>
      <c r="AT382" s="43">
        <v>400</v>
      </c>
      <c r="AU382" s="43">
        <v>400</v>
      </c>
      <c r="AV382" s="43">
        <v>400</v>
      </c>
      <c r="AW382" s="43">
        <v>400</v>
      </c>
      <c r="AX382" s="44">
        <f t="shared" si="38"/>
        <v>4400</v>
      </c>
      <c r="AY382" s="317">
        <f>SUMIF(Recibos!$D$4:$D$3010,Cobranza!$B382,Recibos!K$4:K$3010)</f>
        <v>400</v>
      </c>
      <c r="AZ382" s="317">
        <f>SUMIF(Recibos!$D$4:$D$3010,Cobranza!$B382,Recibos!L$4:L$3010)</f>
        <v>400</v>
      </c>
      <c r="BA382" s="317">
        <f>SUMIF(Recibos!$D$4:$D$3010,Cobranza!$B382,Recibos!M$4:M$3010)</f>
        <v>400</v>
      </c>
      <c r="BB382" s="317">
        <f>SUMIF(Recibos!$D$4:$D$3010,Cobranza!$B382,Recibos!N$4:N$3010)</f>
        <v>400</v>
      </c>
      <c r="BC382" s="317">
        <f>SUMIF(Recibos!$D$4:$D$3010,Cobranza!$B382,Recibos!O$4:O$3010)</f>
        <v>400</v>
      </c>
      <c r="BD382" s="317">
        <f>SUMIF(Recibos!$D$4:$D$3010,Cobranza!$B382,Recibos!P$4:P$3010)</f>
        <v>400</v>
      </c>
      <c r="BE382" s="317">
        <f>SUMIF(Recibos!$D$4:$D$3010,Cobranza!$B382,Recibos!Q$4:Q$3010)</f>
        <v>400</v>
      </c>
      <c r="BF382" s="317">
        <f>SUMIF(Recibos!$D$4:$D$3010,Cobranza!$B382,Recibos!R$4:R$3010)</f>
        <v>400</v>
      </c>
      <c r="BG382" s="317">
        <f>SUMIF(Recibos!$D$4:$D$3010,Cobranza!$B382,Recibos!S$4:S$3010)</f>
        <v>400</v>
      </c>
      <c r="BH382" s="317">
        <f>SUMIF(Recibos!$D$4:$D$3010,Cobranza!$B382,Recibos!T$4:T$3010)</f>
        <v>400</v>
      </c>
      <c r="BI382" s="317">
        <f>SUMIF(Recibos!$D$4:$D$3010,Cobranza!$B382,Recibos!U$4:U$3010)</f>
        <v>400</v>
      </c>
      <c r="BJ382" s="317">
        <f>SUMIF(Recibos!$D$4:$D$3010,Cobranza!$B382,Recibos!V$4:V$3010)</f>
        <v>400</v>
      </c>
      <c r="BK382" s="318">
        <f t="shared" si="39"/>
        <v>4800</v>
      </c>
      <c r="BL382" s="317">
        <f>SUMIF(Recibos!$D$4:$D$3010,Cobranza!$B382,Recibos!X$4:X$3010)</f>
        <v>0</v>
      </c>
      <c r="BM382" s="317">
        <f>SUMIF(Recibos!$D$4:$D$3010,Cobranza!$B382,Recibos!Y$4:Y$3010)</f>
        <v>0</v>
      </c>
      <c r="BN382" s="317">
        <f>SUMIF(Recibos!$D$4:$D$3010,Cobranza!$B382,Recibos!Z$4:Z$3010)</f>
        <v>0</v>
      </c>
      <c r="BO382" s="317">
        <f>SUMIF(Recibos!$D$4:$D$3010,Cobranza!$B382,Recibos!AA$4:AA$3010)</f>
        <v>0</v>
      </c>
      <c r="BP382" s="317">
        <f>SUMIF(Recibos!$D$4:$D$3010,Cobranza!$B382,Recibos!AB$4:AB$3010)</f>
        <v>0</v>
      </c>
      <c r="BQ382" s="317">
        <f>SUMIF(Recibos!$D$4:$D$3010,Cobranza!$B382,Recibos!AC$4:AC$3010)</f>
        <v>0</v>
      </c>
      <c r="BR382" s="317">
        <f>SUMIF(Recibos!$D$4:$D$3010,Cobranza!$B382,Recibos!AD$4:AD$3010)</f>
        <v>0</v>
      </c>
      <c r="BS382" s="317">
        <f>SUMIF(Recibos!$D$4:$D$3010,Cobranza!$B382,Recibos!AE$4:AE$3010)</f>
        <v>0</v>
      </c>
      <c r="BT382" s="317">
        <f>SUMIF(Recibos!$D$4:$D$3010,Cobranza!$B382,Recibos!AF$4:AF$3010)</f>
        <v>0</v>
      </c>
      <c r="BU382" s="317">
        <f>SUMIF(Recibos!$D$4:$D$3010,Cobranza!$B382,Recibos!AG$4:AG$3010)</f>
        <v>0</v>
      </c>
      <c r="BV382" s="317">
        <f>SUMIF(Recibos!$D$4:$D$3010,Cobranza!$B382,Recibos!AH$4:AH$3010)</f>
        <v>0</v>
      </c>
      <c r="BW382" s="317">
        <f>SUMIF(Recibos!$D$4:$D$3010,Cobranza!$B382,Recibos!AI$4:AI$3010)</f>
        <v>0</v>
      </c>
      <c r="BX382" s="318">
        <f t="shared" si="40"/>
        <v>0</v>
      </c>
    </row>
    <row r="383" spans="2:76" x14ac:dyDescent="0.2">
      <c r="B383" s="45" t="s">
        <v>135</v>
      </c>
      <c r="C383" s="45" t="s">
        <v>136</v>
      </c>
      <c r="D383" s="45" t="s">
        <v>137</v>
      </c>
      <c r="E383" s="46">
        <v>0</v>
      </c>
      <c r="F383" s="46">
        <v>0</v>
      </c>
      <c r="G383" s="46">
        <v>0</v>
      </c>
      <c r="H383" s="46">
        <v>0</v>
      </c>
      <c r="I383" s="46">
        <v>0</v>
      </c>
      <c r="J383" s="46">
        <v>0</v>
      </c>
      <c r="K383" s="47">
        <f t="shared" si="35"/>
        <v>0</v>
      </c>
      <c r="L383" s="46">
        <v>300</v>
      </c>
      <c r="M383" s="46">
        <v>0</v>
      </c>
      <c r="N383" s="46">
        <v>300</v>
      </c>
      <c r="O383" s="46">
        <v>300</v>
      </c>
      <c r="P383" s="46">
        <v>300</v>
      </c>
      <c r="Q383" s="46">
        <v>300</v>
      </c>
      <c r="R383" s="46">
        <v>300</v>
      </c>
      <c r="S383" s="46">
        <v>300</v>
      </c>
      <c r="T383" s="46">
        <v>300</v>
      </c>
      <c r="U383" s="46">
        <v>300</v>
      </c>
      <c r="V383" s="46">
        <v>600</v>
      </c>
      <c r="W383" s="46">
        <v>0</v>
      </c>
      <c r="X383" s="47">
        <f t="shared" si="36"/>
        <v>3300</v>
      </c>
      <c r="Y383" s="46">
        <v>300</v>
      </c>
      <c r="Z383" s="46">
        <v>300</v>
      </c>
      <c r="AA383" s="46">
        <v>300</v>
      </c>
      <c r="AB383" s="46">
        <v>300</v>
      </c>
      <c r="AC383" s="46">
        <v>300</v>
      </c>
      <c r="AD383" s="46">
        <v>300</v>
      </c>
      <c r="AE383" s="46">
        <v>300</v>
      </c>
      <c r="AF383" s="46">
        <v>600</v>
      </c>
      <c r="AG383" s="46">
        <v>0</v>
      </c>
      <c r="AH383" s="46">
        <v>300</v>
      </c>
      <c r="AI383" s="46">
        <v>300</v>
      </c>
      <c r="AJ383" s="46">
        <v>300</v>
      </c>
      <c r="AK383" s="47">
        <f t="shared" si="37"/>
        <v>3600</v>
      </c>
      <c r="AL383" s="46">
        <v>300</v>
      </c>
      <c r="AM383" s="46">
        <v>300</v>
      </c>
      <c r="AN383" s="46">
        <v>300</v>
      </c>
      <c r="AO383" s="46">
        <v>300</v>
      </c>
      <c r="AP383" s="46">
        <v>300</v>
      </c>
      <c r="AQ383" s="46">
        <v>300</v>
      </c>
      <c r="AR383" s="46">
        <v>300</v>
      </c>
      <c r="AS383" s="46">
        <v>300</v>
      </c>
      <c r="AT383" s="46">
        <v>300</v>
      </c>
      <c r="AU383" s="46">
        <v>300</v>
      </c>
      <c r="AV383" s="46">
        <v>300</v>
      </c>
      <c r="AW383" s="46">
        <v>300</v>
      </c>
      <c r="AX383" s="47">
        <f t="shared" si="38"/>
        <v>3600</v>
      </c>
      <c r="AY383" s="319">
        <f>SUMIF(Recibos!$D$4:$D$3010,Cobranza!$B383,Recibos!K$4:K$3010)</f>
        <v>300</v>
      </c>
      <c r="AZ383" s="319">
        <f>SUMIF(Recibos!$D$4:$D$3010,Cobranza!$B383,Recibos!L$4:L$3010)</f>
        <v>300</v>
      </c>
      <c r="BA383" s="319">
        <f>SUMIF(Recibos!$D$4:$D$3010,Cobranza!$B383,Recibos!M$4:M$3010)</f>
        <v>300</v>
      </c>
      <c r="BB383" s="319">
        <f>SUMIF(Recibos!$D$4:$D$3010,Cobranza!$B383,Recibos!N$4:N$3010)</f>
        <v>300</v>
      </c>
      <c r="BC383" s="319">
        <f>SUMIF(Recibos!$D$4:$D$3010,Cobranza!$B383,Recibos!O$4:O$3010)</f>
        <v>300</v>
      </c>
      <c r="BD383" s="319">
        <f>SUMIF(Recibos!$D$4:$D$3010,Cobranza!$B383,Recibos!P$4:P$3010)</f>
        <v>300</v>
      </c>
      <c r="BE383" s="319">
        <f>SUMIF(Recibos!$D$4:$D$3010,Cobranza!$B383,Recibos!Q$4:Q$3010)</f>
        <v>300</v>
      </c>
      <c r="BF383" s="319">
        <f>SUMIF(Recibos!$D$4:$D$3010,Cobranza!$B383,Recibos!R$4:R$3010)</f>
        <v>300</v>
      </c>
      <c r="BG383" s="319">
        <f>SUMIF(Recibos!$D$4:$D$3010,Cobranza!$B383,Recibos!S$4:S$3010)</f>
        <v>300</v>
      </c>
      <c r="BH383" s="319">
        <f>SUMIF(Recibos!$D$4:$D$3010,Cobranza!$B383,Recibos!T$4:T$3010)</f>
        <v>300</v>
      </c>
      <c r="BI383" s="319">
        <f>SUMIF(Recibos!$D$4:$D$3010,Cobranza!$B383,Recibos!U$4:U$3010)</f>
        <v>300</v>
      </c>
      <c r="BJ383" s="319">
        <f>SUMIF(Recibos!$D$4:$D$3010,Cobranza!$B383,Recibos!V$4:V$3010)</f>
        <v>300</v>
      </c>
      <c r="BK383" s="320">
        <f t="shared" si="39"/>
        <v>3600</v>
      </c>
      <c r="BL383" s="319">
        <f>SUMIF(Recibos!$D$4:$D$3010,Cobranza!$B383,Recibos!X$4:X$3010)</f>
        <v>0</v>
      </c>
      <c r="BM383" s="319">
        <f>SUMIF(Recibos!$D$4:$D$3010,Cobranza!$B383,Recibos!Y$4:Y$3010)</f>
        <v>0</v>
      </c>
      <c r="BN383" s="319">
        <f>SUMIF(Recibos!$D$4:$D$3010,Cobranza!$B383,Recibos!Z$4:Z$3010)</f>
        <v>0</v>
      </c>
      <c r="BO383" s="319">
        <f>SUMIF(Recibos!$D$4:$D$3010,Cobranza!$B383,Recibos!AA$4:AA$3010)</f>
        <v>0</v>
      </c>
      <c r="BP383" s="319">
        <f>SUMIF(Recibos!$D$4:$D$3010,Cobranza!$B383,Recibos!AB$4:AB$3010)</f>
        <v>0</v>
      </c>
      <c r="BQ383" s="319">
        <f>SUMIF(Recibos!$D$4:$D$3010,Cobranza!$B383,Recibos!AC$4:AC$3010)</f>
        <v>0</v>
      </c>
      <c r="BR383" s="319">
        <f>SUMIF(Recibos!$D$4:$D$3010,Cobranza!$B383,Recibos!AD$4:AD$3010)</f>
        <v>0</v>
      </c>
      <c r="BS383" s="319">
        <f>SUMIF(Recibos!$D$4:$D$3010,Cobranza!$B383,Recibos!AE$4:AE$3010)</f>
        <v>0</v>
      </c>
      <c r="BT383" s="319">
        <f>SUMIF(Recibos!$D$4:$D$3010,Cobranza!$B383,Recibos!AF$4:AF$3010)</f>
        <v>0</v>
      </c>
      <c r="BU383" s="319">
        <f>SUMIF(Recibos!$D$4:$D$3010,Cobranza!$B383,Recibos!AG$4:AG$3010)</f>
        <v>0</v>
      </c>
      <c r="BV383" s="319">
        <f>SUMIF(Recibos!$D$4:$D$3010,Cobranza!$B383,Recibos!AH$4:AH$3010)</f>
        <v>0</v>
      </c>
      <c r="BW383" s="319">
        <f>SUMIF(Recibos!$D$4:$D$3010,Cobranza!$B383,Recibos!AI$4:AI$3010)</f>
        <v>0</v>
      </c>
      <c r="BX383" s="320">
        <f t="shared" si="40"/>
        <v>0</v>
      </c>
    </row>
    <row r="384" spans="2:76" x14ac:dyDescent="0.2">
      <c r="B384" s="42" t="s">
        <v>1433</v>
      </c>
      <c r="C384" s="42" t="s">
        <v>1434</v>
      </c>
      <c r="D384" s="42" t="s">
        <v>1435</v>
      </c>
      <c r="E384" s="43">
        <v>0</v>
      </c>
      <c r="F384" s="43">
        <v>0</v>
      </c>
      <c r="G384" s="43">
        <v>0</v>
      </c>
      <c r="H384" s="43">
        <v>0</v>
      </c>
      <c r="I384" s="43">
        <v>0</v>
      </c>
      <c r="J384" s="43">
        <v>300</v>
      </c>
      <c r="K384" s="44">
        <f t="shared" si="35"/>
        <v>300</v>
      </c>
      <c r="L384" s="43">
        <v>0</v>
      </c>
      <c r="M384" s="43">
        <v>300</v>
      </c>
      <c r="N384" s="43">
        <v>300</v>
      </c>
      <c r="O384" s="43">
        <v>300</v>
      </c>
      <c r="P384" s="43">
        <v>600</v>
      </c>
      <c r="Q384" s="43">
        <v>0</v>
      </c>
      <c r="R384" s="43">
        <v>300</v>
      </c>
      <c r="S384" s="43">
        <v>300</v>
      </c>
      <c r="T384" s="43">
        <v>300</v>
      </c>
      <c r="U384" s="43">
        <v>400</v>
      </c>
      <c r="V384" s="43">
        <v>400</v>
      </c>
      <c r="W384" s="43">
        <v>400</v>
      </c>
      <c r="X384" s="44">
        <f t="shared" si="36"/>
        <v>3600</v>
      </c>
      <c r="Y384" s="43">
        <v>400</v>
      </c>
      <c r="Z384" s="43">
        <v>400</v>
      </c>
      <c r="AA384" s="43">
        <v>400</v>
      </c>
      <c r="AB384" s="43">
        <v>400</v>
      </c>
      <c r="AC384" s="43">
        <v>400</v>
      </c>
      <c r="AD384" s="43">
        <v>400</v>
      </c>
      <c r="AE384" s="43">
        <v>400</v>
      </c>
      <c r="AF384" s="43">
        <v>400</v>
      </c>
      <c r="AG384" s="43">
        <v>400</v>
      </c>
      <c r="AH384" s="43">
        <v>400</v>
      </c>
      <c r="AI384" s="43">
        <v>400</v>
      </c>
      <c r="AJ384" s="43">
        <v>400</v>
      </c>
      <c r="AK384" s="44">
        <f t="shared" si="37"/>
        <v>4800</v>
      </c>
      <c r="AL384" s="43">
        <v>400</v>
      </c>
      <c r="AM384" s="43">
        <v>400</v>
      </c>
      <c r="AN384" s="43">
        <v>400</v>
      </c>
      <c r="AO384" s="43">
        <v>400</v>
      </c>
      <c r="AP384" s="43">
        <v>400</v>
      </c>
      <c r="AQ384" s="43">
        <v>400</v>
      </c>
      <c r="AR384" s="43">
        <v>0</v>
      </c>
      <c r="AS384" s="43">
        <v>0</v>
      </c>
      <c r="AT384" s="43">
        <v>0</v>
      </c>
      <c r="AU384" s="43">
        <v>0</v>
      </c>
      <c r="AV384" s="43">
        <v>0</v>
      </c>
      <c r="AW384" s="43">
        <v>0</v>
      </c>
      <c r="AX384" s="44">
        <f t="shared" si="38"/>
        <v>2400</v>
      </c>
      <c r="AY384" s="317">
        <f>SUMIF(Recibos!$D$4:$D$3010,Cobranza!$B384,Recibos!K$4:K$3010)</f>
        <v>0</v>
      </c>
      <c r="AZ384" s="317">
        <f>SUMIF(Recibos!$D$4:$D$3010,Cobranza!$B384,Recibos!L$4:L$3010)</f>
        <v>0</v>
      </c>
      <c r="BA384" s="317">
        <f>SUMIF(Recibos!$D$4:$D$3010,Cobranza!$B384,Recibos!M$4:M$3010)</f>
        <v>0</v>
      </c>
      <c r="BB384" s="317">
        <f>SUMIF(Recibos!$D$4:$D$3010,Cobranza!$B384,Recibos!N$4:N$3010)</f>
        <v>0</v>
      </c>
      <c r="BC384" s="317">
        <f>SUMIF(Recibos!$D$4:$D$3010,Cobranza!$B384,Recibos!O$4:O$3010)</f>
        <v>0</v>
      </c>
      <c r="BD384" s="317">
        <f>SUMIF(Recibos!$D$4:$D$3010,Cobranza!$B384,Recibos!P$4:P$3010)</f>
        <v>0</v>
      </c>
      <c r="BE384" s="317">
        <f>SUMIF(Recibos!$D$4:$D$3010,Cobranza!$B384,Recibos!Q$4:Q$3010)</f>
        <v>0</v>
      </c>
      <c r="BF384" s="317">
        <f>SUMIF(Recibos!$D$4:$D$3010,Cobranza!$B384,Recibos!R$4:R$3010)</f>
        <v>0</v>
      </c>
      <c r="BG384" s="317">
        <f>SUMIF(Recibos!$D$4:$D$3010,Cobranza!$B384,Recibos!S$4:S$3010)</f>
        <v>0</v>
      </c>
      <c r="BH384" s="317">
        <f>SUMIF(Recibos!$D$4:$D$3010,Cobranza!$B384,Recibos!T$4:T$3010)</f>
        <v>0</v>
      </c>
      <c r="BI384" s="317">
        <f>SUMIF(Recibos!$D$4:$D$3010,Cobranza!$B384,Recibos!U$4:U$3010)</f>
        <v>0</v>
      </c>
      <c r="BJ384" s="317">
        <f>SUMIF(Recibos!$D$4:$D$3010,Cobranza!$B384,Recibos!V$4:V$3010)</f>
        <v>0</v>
      </c>
      <c r="BK384" s="318">
        <f t="shared" si="39"/>
        <v>0</v>
      </c>
      <c r="BL384" s="317">
        <f>SUMIF(Recibos!$D$4:$D$3010,Cobranza!$B384,Recibos!X$4:X$3010)</f>
        <v>0</v>
      </c>
      <c r="BM384" s="317">
        <f>SUMIF(Recibos!$D$4:$D$3010,Cobranza!$B384,Recibos!Y$4:Y$3010)</f>
        <v>0</v>
      </c>
      <c r="BN384" s="317">
        <f>SUMIF(Recibos!$D$4:$D$3010,Cobranza!$B384,Recibos!Z$4:Z$3010)</f>
        <v>0</v>
      </c>
      <c r="BO384" s="317">
        <f>SUMIF(Recibos!$D$4:$D$3010,Cobranza!$B384,Recibos!AA$4:AA$3010)</f>
        <v>0</v>
      </c>
      <c r="BP384" s="317">
        <f>SUMIF(Recibos!$D$4:$D$3010,Cobranza!$B384,Recibos!AB$4:AB$3010)</f>
        <v>0</v>
      </c>
      <c r="BQ384" s="317">
        <f>SUMIF(Recibos!$D$4:$D$3010,Cobranza!$B384,Recibos!AC$4:AC$3010)</f>
        <v>0</v>
      </c>
      <c r="BR384" s="317">
        <f>SUMIF(Recibos!$D$4:$D$3010,Cobranza!$B384,Recibos!AD$4:AD$3010)</f>
        <v>0</v>
      </c>
      <c r="BS384" s="317">
        <f>SUMIF(Recibos!$D$4:$D$3010,Cobranza!$B384,Recibos!AE$4:AE$3010)</f>
        <v>0</v>
      </c>
      <c r="BT384" s="317">
        <f>SUMIF(Recibos!$D$4:$D$3010,Cobranza!$B384,Recibos!AF$4:AF$3010)</f>
        <v>0</v>
      </c>
      <c r="BU384" s="317">
        <f>SUMIF(Recibos!$D$4:$D$3010,Cobranza!$B384,Recibos!AG$4:AG$3010)</f>
        <v>0</v>
      </c>
      <c r="BV384" s="317">
        <f>SUMIF(Recibos!$D$4:$D$3010,Cobranza!$B384,Recibos!AH$4:AH$3010)</f>
        <v>0</v>
      </c>
      <c r="BW384" s="317">
        <f>SUMIF(Recibos!$D$4:$D$3010,Cobranza!$B384,Recibos!AI$4:AI$3010)</f>
        <v>0</v>
      </c>
      <c r="BX384" s="318">
        <f t="shared" si="40"/>
        <v>0</v>
      </c>
    </row>
    <row r="385" spans="2:76" x14ac:dyDescent="0.2">
      <c r="B385" s="45" t="s">
        <v>1436</v>
      </c>
      <c r="C385" s="45" t="s">
        <v>1437</v>
      </c>
      <c r="D385" s="45" t="s">
        <v>1438</v>
      </c>
      <c r="E385" s="46">
        <v>0</v>
      </c>
      <c r="F385" s="46">
        <v>0</v>
      </c>
      <c r="G385" s="46">
        <v>0</v>
      </c>
      <c r="H385" s="46">
        <v>0</v>
      </c>
      <c r="I385" s="46">
        <v>0</v>
      </c>
      <c r="J385" s="46">
        <v>0</v>
      </c>
      <c r="K385" s="47">
        <f t="shared" si="35"/>
        <v>0</v>
      </c>
      <c r="L385" s="46">
        <v>0</v>
      </c>
      <c r="M385" s="46">
        <v>0</v>
      </c>
      <c r="N385" s="46">
        <v>0</v>
      </c>
      <c r="O385" s="46">
        <v>0</v>
      </c>
      <c r="P385" s="46">
        <v>0</v>
      </c>
      <c r="Q385" s="46">
        <v>0</v>
      </c>
      <c r="R385" s="46">
        <v>0</v>
      </c>
      <c r="S385" s="46">
        <v>0</v>
      </c>
      <c r="T385" s="46">
        <v>0</v>
      </c>
      <c r="U385" s="46">
        <v>0</v>
      </c>
      <c r="V385" s="46">
        <v>0</v>
      </c>
      <c r="W385" s="46">
        <v>0</v>
      </c>
      <c r="X385" s="47">
        <f t="shared" si="36"/>
        <v>0</v>
      </c>
      <c r="Y385" s="46">
        <v>0</v>
      </c>
      <c r="Z385" s="46">
        <v>0</v>
      </c>
      <c r="AA385" s="46">
        <v>0</v>
      </c>
      <c r="AB385" s="46">
        <v>0</v>
      </c>
      <c r="AC385" s="46">
        <v>0</v>
      </c>
      <c r="AD385" s="46">
        <v>0</v>
      </c>
      <c r="AE385" s="46">
        <v>0</v>
      </c>
      <c r="AF385" s="46">
        <v>0</v>
      </c>
      <c r="AG385" s="46">
        <v>0</v>
      </c>
      <c r="AH385" s="46">
        <v>400</v>
      </c>
      <c r="AI385" s="46">
        <v>0</v>
      </c>
      <c r="AJ385" s="46">
        <v>0</v>
      </c>
      <c r="AK385" s="47">
        <f t="shared" si="37"/>
        <v>400</v>
      </c>
      <c r="AL385" s="46">
        <v>0</v>
      </c>
      <c r="AM385" s="46">
        <v>0</v>
      </c>
      <c r="AN385" s="46">
        <v>0</v>
      </c>
      <c r="AO385" s="46">
        <v>0</v>
      </c>
      <c r="AP385" s="46">
        <v>0</v>
      </c>
      <c r="AQ385" s="46">
        <v>0</v>
      </c>
      <c r="AR385" s="46">
        <v>0</v>
      </c>
      <c r="AS385" s="46">
        <v>0</v>
      </c>
      <c r="AT385" s="46">
        <v>0</v>
      </c>
      <c r="AU385" s="46">
        <v>0</v>
      </c>
      <c r="AV385" s="46">
        <v>0</v>
      </c>
      <c r="AW385" s="46">
        <v>0</v>
      </c>
      <c r="AX385" s="47">
        <f t="shared" si="38"/>
        <v>0</v>
      </c>
      <c r="AY385" s="319">
        <f>SUMIF(Recibos!$D$4:$D$3010,Cobranza!$B385,Recibos!K$4:K$3010)</f>
        <v>0</v>
      </c>
      <c r="AZ385" s="319">
        <f>SUMIF(Recibos!$D$4:$D$3010,Cobranza!$B385,Recibos!L$4:L$3010)</f>
        <v>0</v>
      </c>
      <c r="BA385" s="319">
        <f>SUMIF(Recibos!$D$4:$D$3010,Cobranza!$B385,Recibos!M$4:M$3010)</f>
        <v>0</v>
      </c>
      <c r="BB385" s="319">
        <f>SUMIF(Recibos!$D$4:$D$3010,Cobranza!$B385,Recibos!N$4:N$3010)</f>
        <v>0</v>
      </c>
      <c r="BC385" s="319">
        <f>SUMIF(Recibos!$D$4:$D$3010,Cobranza!$B385,Recibos!O$4:O$3010)</f>
        <v>0</v>
      </c>
      <c r="BD385" s="319">
        <f>SUMIF(Recibos!$D$4:$D$3010,Cobranza!$B385,Recibos!P$4:P$3010)</f>
        <v>0</v>
      </c>
      <c r="BE385" s="319">
        <f>SUMIF(Recibos!$D$4:$D$3010,Cobranza!$B385,Recibos!Q$4:Q$3010)</f>
        <v>0</v>
      </c>
      <c r="BF385" s="319">
        <f>SUMIF(Recibos!$D$4:$D$3010,Cobranza!$B385,Recibos!R$4:R$3010)</f>
        <v>0</v>
      </c>
      <c r="BG385" s="319">
        <f>SUMIF(Recibos!$D$4:$D$3010,Cobranza!$B385,Recibos!S$4:S$3010)</f>
        <v>0</v>
      </c>
      <c r="BH385" s="319">
        <f>SUMIF(Recibos!$D$4:$D$3010,Cobranza!$B385,Recibos!T$4:T$3010)</f>
        <v>0</v>
      </c>
      <c r="BI385" s="319">
        <f>SUMIF(Recibos!$D$4:$D$3010,Cobranza!$B385,Recibos!U$4:U$3010)</f>
        <v>0</v>
      </c>
      <c r="BJ385" s="319">
        <f>SUMIF(Recibos!$D$4:$D$3010,Cobranza!$B385,Recibos!V$4:V$3010)</f>
        <v>0</v>
      </c>
      <c r="BK385" s="320">
        <f t="shared" si="39"/>
        <v>0</v>
      </c>
      <c r="BL385" s="319">
        <f>SUMIF(Recibos!$D$4:$D$3010,Cobranza!$B385,Recibos!X$4:X$3010)</f>
        <v>0</v>
      </c>
      <c r="BM385" s="319">
        <f>SUMIF(Recibos!$D$4:$D$3010,Cobranza!$B385,Recibos!Y$4:Y$3010)</f>
        <v>0</v>
      </c>
      <c r="BN385" s="319">
        <f>SUMIF(Recibos!$D$4:$D$3010,Cobranza!$B385,Recibos!Z$4:Z$3010)</f>
        <v>0</v>
      </c>
      <c r="BO385" s="319">
        <f>SUMIF(Recibos!$D$4:$D$3010,Cobranza!$B385,Recibos!AA$4:AA$3010)</f>
        <v>0</v>
      </c>
      <c r="BP385" s="319">
        <f>SUMIF(Recibos!$D$4:$D$3010,Cobranza!$B385,Recibos!AB$4:AB$3010)</f>
        <v>0</v>
      </c>
      <c r="BQ385" s="319">
        <f>SUMIF(Recibos!$D$4:$D$3010,Cobranza!$B385,Recibos!AC$4:AC$3010)</f>
        <v>0</v>
      </c>
      <c r="BR385" s="319">
        <f>SUMIF(Recibos!$D$4:$D$3010,Cobranza!$B385,Recibos!AD$4:AD$3010)</f>
        <v>0</v>
      </c>
      <c r="BS385" s="319">
        <f>SUMIF(Recibos!$D$4:$D$3010,Cobranza!$B385,Recibos!AE$4:AE$3010)</f>
        <v>0</v>
      </c>
      <c r="BT385" s="319">
        <f>SUMIF(Recibos!$D$4:$D$3010,Cobranza!$B385,Recibos!AF$4:AF$3010)</f>
        <v>0</v>
      </c>
      <c r="BU385" s="319">
        <f>SUMIF(Recibos!$D$4:$D$3010,Cobranza!$B385,Recibos!AG$4:AG$3010)</f>
        <v>0</v>
      </c>
      <c r="BV385" s="319">
        <f>SUMIF(Recibos!$D$4:$D$3010,Cobranza!$B385,Recibos!AH$4:AH$3010)</f>
        <v>0</v>
      </c>
      <c r="BW385" s="319">
        <f>SUMIF(Recibos!$D$4:$D$3010,Cobranza!$B385,Recibos!AI$4:AI$3010)</f>
        <v>0</v>
      </c>
      <c r="BX385" s="320">
        <f t="shared" si="40"/>
        <v>0</v>
      </c>
    </row>
    <row r="386" spans="2:76" x14ac:dyDescent="0.2">
      <c r="B386" s="42" t="s">
        <v>168</v>
      </c>
      <c r="C386" s="42" t="s">
        <v>169</v>
      </c>
      <c r="D386" s="42" t="s">
        <v>170</v>
      </c>
      <c r="E386" s="43">
        <v>0</v>
      </c>
      <c r="F386" s="43">
        <v>0</v>
      </c>
      <c r="G386" s="43">
        <v>0</v>
      </c>
      <c r="H386" s="43">
        <v>0</v>
      </c>
      <c r="I386" s="43">
        <v>0</v>
      </c>
      <c r="J386" s="43">
        <v>150</v>
      </c>
      <c r="K386" s="44">
        <f t="shared" si="35"/>
        <v>150</v>
      </c>
      <c r="L386" s="43">
        <v>150</v>
      </c>
      <c r="M386" s="43">
        <v>150</v>
      </c>
      <c r="N386" s="43">
        <v>150</v>
      </c>
      <c r="O386" s="43">
        <v>0</v>
      </c>
      <c r="P386" s="43">
        <v>150</v>
      </c>
      <c r="Q386" s="43">
        <v>0</v>
      </c>
      <c r="R386" s="43">
        <v>150</v>
      </c>
      <c r="S386" s="43">
        <v>150</v>
      </c>
      <c r="T386" s="43">
        <v>150</v>
      </c>
      <c r="U386" s="43">
        <v>150</v>
      </c>
      <c r="V386" s="43">
        <v>150</v>
      </c>
      <c r="W386" s="43">
        <v>150</v>
      </c>
      <c r="X386" s="44">
        <f t="shared" si="36"/>
        <v>1500</v>
      </c>
      <c r="Y386" s="43">
        <v>200</v>
      </c>
      <c r="Z386" s="43">
        <v>200</v>
      </c>
      <c r="AA386" s="43">
        <v>200</v>
      </c>
      <c r="AB386" s="43">
        <v>200</v>
      </c>
      <c r="AC386" s="43">
        <v>200</v>
      </c>
      <c r="AD386" s="43">
        <v>200</v>
      </c>
      <c r="AE386" s="43">
        <v>200</v>
      </c>
      <c r="AF386" s="43">
        <v>200</v>
      </c>
      <c r="AG386" s="43">
        <v>200</v>
      </c>
      <c r="AH386" s="43">
        <v>200</v>
      </c>
      <c r="AI386" s="43">
        <v>200</v>
      </c>
      <c r="AJ386" s="43">
        <v>200</v>
      </c>
      <c r="AK386" s="44">
        <f t="shared" si="37"/>
        <v>2400</v>
      </c>
      <c r="AL386" s="43">
        <v>200</v>
      </c>
      <c r="AM386" s="43">
        <v>200</v>
      </c>
      <c r="AN386" s="43">
        <v>200</v>
      </c>
      <c r="AO386" s="43">
        <v>200</v>
      </c>
      <c r="AP386" s="43">
        <v>0</v>
      </c>
      <c r="AQ386" s="43">
        <v>200</v>
      </c>
      <c r="AR386" s="43">
        <v>200</v>
      </c>
      <c r="AS386" s="43">
        <v>200</v>
      </c>
      <c r="AT386" s="43">
        <v>200</v>
      </c>
      <c r="AU386" s="43">
        <v>200</v>
      </c>
      <c r="AV386" s="43">
        <v>200</v>
      </c>
      <c r="AW386" s="43">
        <v>200</v>
      </c>
      <c r="AX386" s="44">
        <f t="shared" si="38"/>
        <v>2200</v>
      </c>
      <c r="AY386" s="317">
        <f>SUMIF(Recibos!$D$4:$D$3010,Cobranza!$B386,Recibos!K$4:K$3010)</f>
        <v>200</v>
      </c>
      <c r="AZ386" s="317">
        <f>SUMIF(Recibos!$D$4:$D$3010,Cobranza!$B386,Recibos!L$4:L$3010)</f>
        <v>200</v>
      </c>
      <c r="BA386" s="317">
        <f>SUMIF(Recibos!$D$4:$D$3010,Cobranza!$B386,Recibos!M$4:M$3010)</f>
        <v>200</v>
      </c>
      <c r="BB386" s="317">
        <f>SUMIF(Recibos!$D$4:$D$3010,Cobranza!$B386,Recibos!N$4:N$3010)</f>
        <v>200</v>
      </c>
      <c r="BC386" s="317">
        <f>SUMIF(Recibos!$D$4:$D$3010,Cobranza!$B386,Recibos!O$4:O$3010)</f>
        <v>0</v>
      </c>
      <c r="BD386" s="317">
        <f>SUMIF(Recibos!$D$4:$D$3010,Cobranza!$B386,Recibos!P$4:P$3010)</f>
        <v>200</v>
      </c>
      <c r="BE386" s="317">
        <f>SUMIF(Recibos!$D$4:$D$3010,Cobranza!$B386,Recibos!Q$4:Q$3010)</f>
        <v>200</v>
      </c>
      <c r="BF386" s="317">
        <f>SUMIF(Recibos!$D$4:$D$3010,Cobranza!$B386,Recibos!R$4:R$3010)</f>
        <v>200</v>
      </c>
      <c r="BG386" s="317">
        <f>SUMIF(Recibos!$D$4:$D$3010,Cobranza!$B386,Recibos!S$4:S$3010)</f>
        <v>200</v>
      </c>
      <c r="BH386" s="317">
        <f>SUMIF(Recibos!$D$4:$D$3010,Cobranza!$B386,Recibos!T$4:T$3010)</f>
        <v>200</v>
      </c>
      <c r="BI386" s="317">
        <f>SUMIF(Recibos!$D$4:$D$3010,Cobranza!$B386,Recibos!U$4:U$3010)</f>
        <v>200</v>
      </c>
      <c r="BJ386" s="317">
        <f>SUMIF(Recibos!$D$4:$D$3010,Cobranza!$B386,Recibos!V$4:V$3010)</f>
        <v>0</v>
      </c>
      <c r="BK386" s="318">
        <f t="shared" si="39"/>
        <v>2000</v>
      </c>
      <c r="BL386" s="317">
        <f>SUMIF(Recibos!$D$4:$D$3010,Cobranza!$B386,Recibos!X$4:X$3010)</f>
        <v>0</v>
      </c>
      <c r="BM386" s="317">
        <f>SUMIF(Recibos!$D$4:$D$3010,Cobranza!$B386,Recibos!Y$4:Y$3010)</f>
        <v>0</v>
      </c>
      <c r="BN386" s="317">
        <f>SUMIF(Recibos!$D$4:$D$3010,Cobranza!$B386,Recibos!Z$4:Z$3010)</f>
        <v>0</v>
      </c>
      <c r="BO386" s="317">
        <f>SUMIF(Recibos!$D$4:$D$3010,Cobranza!$B386,Recibos!AA$4:AA$3010)</f>
        <v>0</v>
      </c>
      <c r="BP386" s="317">
        <f>SUMIF(Recibos!$D$4:$D$3010,Cobranza!$B386,Recibos!AB$4:AB$3010)</f>
        <v>0</v>
      </c>
      <c r="BQ386" s="317">
        <f>SUMIF(Recibos!$D$4:$D$3010,Cobranza!$B386,Recibos!AC$4:AC$3010)</f>
        <v>0</v>
      </c>
      <c r="BR386" s="317">
        <f>SUMIF(Recibos!$D$4:$D$3010,Cobranza!$B386,Recibos!AD$4:AD$3010)</f>
        <v>0</v>
      </c>
      <c r="BS386" s="317">
        <f>SUMIF(Recibos!$D$4:$D$3010,Cobranza!$B386,Recibos!AE$4:AE$3010)</f>
        <v>0</v>
      </c>
      <c r="BT386" s="317">
        <f>SUMIF(Recibos!$D$4:$D$3010,Cobranza!$B386,Recibos!AF$4:AF$3010)</f>
        <v>0</v>
      </c>
      <c r="BU386" s="317">
        <f>SUMIF(Recibos!$D$4:$D$3010,Cobranza!$B386,Recibos!AG$4:AG$3010)</f>
        <v>0</v>
      </c>
      <c r="BV386" s="317">
        <f>SUMIF(Recibos!$D$4:$D$3010,Cobranza!$B386,Recibos!AH$4:AH$3010)</f>
        <v>0</v>
      </c>
      <c r="BW386" s="317">
        <f>SUMIF(Recibos!$D$4:$D$3010,Cobranza!$B386,Recibos!AI$4:AI$3010)</f>
        <v>0</v>
      </c>
      <c r="BX386" s="318">
        <f t="shared" si="40"/>
        <v>0</v>
      </c>
    </row>
    <row r="387" spans="2:76" x14ac:dyDescent="0.2">
      <c r="B387" s="45" t="s">
        <v>915</v>
      </c>
      <c r="C387" s="45" t="s">
        <v>916</v>
      </c>
      <c r="D387" s="45" t="s">
        <v>917</v>
      </c>
      <c r="E387" s="46">
        <v>0</v>
      </c>
      <c r="F387" s="46">
        <v>0</v>
      </c>
      <c r="G387" s="46">
        <v>200</v>
      </c>
      <c r="H387" s="46">
        <v>200</v>
      </c>
      <c r="I387" s="46">
        <v>200</v>
      </c>
      <c r="J387" s="46">
        <v>200</v>
      </c>
      <c r="K387" s="47">
        <f t="shared" si="35"/>
        <v>800</v>
      </c>
      <c r="L387" s="46">
        <v>200</v>
      </c>
      <c r="M387" s="46">
        <v>200</v>
      </c>
      <c r="N387" s="46">
        <v>200</v>
      </c>
      <c r="O387" s="46">
        <v>200</v>
      </c>
      <c r="P387" s="46">
        <v>200</v>
      </c>
      <c r="Q387" s="46">
        <v>200</v>
      </c>
      <c r="R387" s="46">
        <v>200</v>
      </c>
      <c r="S387" s="46">
        <v>200</v>
      </c>
      <c r="T387" s="46">
        <v>200</v>
      </c>
      <c r="U387" s="46">
        <v>200</v>
      </c>
      <c r="V387" s="46">
        <v>200</v>
      </c>
      <c r="W387" s="46">
        <v>200</v>
      </c>
      <c r="X387" s="47">
        <f t="shared" si="36"/>
        <v>2400</v>
      </c>
      <c r="Y387" s="46">
        <v>200</v>
      </c>
      <c r="Z387" s="46">
        <v>0</v>
      </c>
      <c r="AA387" s="46">
        <v>0</v>
      </c>
      <c r="AB387" s="46">
        <v>0</v>
      </c>
      <c r="AC387" s="46">
        <v>0</v>
      </c>
      <c r="AD387" s="46">
        <v>0</v>
      </c>
      <c r="AE387" s="46">
        <v>0</v>
      </c>
      <c r="AF387" s="46">
        <v>0</v>
      </c>
      <c r="AG387" s="46">
        <v>0</v>
      </c>
      <c r="AH387" s="46">
        <v>0</v>
      </c>
      <c r="AI387" s="46">
        <v>0</v>
      </c>
      <c r="AJ387" s="46">
        <v>0</v>
      </c>
      <c r="AK387" s="47">
        <f t="shared" si="37"/>
        <v>200</v>
      </c>
      <c r="AL387" s="46">
        <v>200</v>
      </c>
      <c r="AM387" s="46">
        <v>200</v>
      </c>
      <c r="AN387" s="46">
        <v>200</v>
      </c>
      <c r="AO387" s="46">
        <v>200</v>
      </c>
      <c r="AP387" s="46">
        <v>200</v>
      </c>
      <c r="AQ387" s="46">
        <v>200</v>
      </c>
      <c r="AR387" s="46">
        <v>200</v>
      </c>
      <c r="AS387" s="46">
        <v>200</v>
      </c>
      <c r="AT387" s="46">
        <v>200</v>
      </c>
      <c r="AU387" s="46">
        <v>200</v>
      </c>
      <c r="AV387" s="46">
        <v>200</v>
      </c>
      <c r="AW387" s="46">
        <v>0</v>
      </c>
      <c r="AX387" s="47">
        <f t="shared" si="38"/>
        <v>2200</v>
      </c>
      <c r="AY387" s="319">
        <f>SUMIF(Recibos!$D$4:$D$3010,Cobranza!$B387,Recibos!K$4:K$3010)</f>
        <v>200</v>
      </c>
      <c r="AZ387" s="319">
        <f>SUMIF(Recibos!$D$4:$D$3010,Cobranza!$B387,Recibos!L$4:L$3010)</f>
        <v>200</v>
      </c>
      <c r="BA387" s="319">
        <f>SUMIF(Recibos!$D$4:$D$3010,Cobranza!$B387,Recibos!M$4:M$3010)</f>
        <v>200</v>
      </c>
      <c r="BB387" s="319">
        <f>SUMIF(Recibos!$D$4:$D$3010,Cobranza!$B387,Recibos!N$4:N$3010)</f>
        <v>200</v>
      </c>
      <c r="BC387" s="319">
        <f>SUMIF(Recibos!$D$4:$D$3010,Cobranza!$B387,Recibos!O$4:O$3010)</f>
        <v>200</v>
      </c>
      <c r="BD387" s="319">
        <f>SUMIF(Recibos!$D$4:$D$3010,Cobranza!$B387,Recibos!P$4:P$3010)</f>
        <v>200</v>
      </c>
      <c r="BE387" s="319">
        <f>SUMIF(Recibos!$D$4:$D$3010,Cobranza!$B387,Recibos!Q$4:Q$3010)</f>
        <v>200</v>
      </c>
      <c r="BF387" s="319">
        <f>SUMIF(Recibos!$D$4:$D$3010,Cobranza!$B387,Recibos!R$4:R$3010)</f>
        <v>200</v>
      </c>
      <c r="BG387" s="319">
        <f>SUMIF(Recibos!$D$4:$D$3010,Cobranza!$B387,Recibos!S$4:S$3010)</f>
        <v>200</v>
      </c>
      <c r="BH387" s="319">
        <f>SUMIF(Recibos!$D$4:$D$3010,Cobranza!$B387,Recibos!T$4:T$3010)</f>
        <v>200</v>
      </c>
      <c r="BI387" s="319">
        <f>SUMIF(Recibos!$D$4:$D$3010,Cobranza!$B387,Recibos!U$4:U$3010)</f>
        <v>200</v>
      </c>
      <c r="BJ387" s="319">
        <f>SUMIF(Recibos!$D$4:$D$3010,Cobranza!$B387,Recibos!V$4:V$3010)</f>
        <v>200</v>
      </c>
      <c r="BK387" s="320">
        <f t="shared" si="39"/>
        <v>2400</v>
      </c>
      <c r="BL387" s="319">
        <f>SUMIF(Recibos!$D$4:$D$3010,Cobranza!$B387,Recibos!X$4:X$3010)</f>
        <v>0</v>
      </c>
      <c r="BM387" s="319">
        <f>SUMIF(Recibos!$D$4:$D$3010,Cobranza!$B387,Recibos!Y$4:Y$3010)</f>
        <v>0</v>
      </c>
      <c r="BN387" s="319">
        <f>SUMIF(Recibos!$D$4:$D$3010,Cobranza!$B387,Recibos!Z$4:Z$3010)</f>
        <v>0</v>
      </c>
      <c r="BO387" s="319">
        <f>SUMIF(Recibos!$D$4:$D$3010,Cobranza!$B387,Recibos!AA$4:AA$3010)</f>
        <v>0</v>
      </c>
      <c r="BP387" s="319">
        <f>SUMIF(Recibos!$D$4:$D$3010,Cobranza!$B387,Recibos!AB$4:AB$3010)</f>
        <v>0</v>
      </c>
      <c r="BQ387" s="319">
        <f>SUMIF(Recibos!$D$4:$D$3010,Cobranza!$B387,Recibos!AC$4:AC$3010)</f>
        <v>0</v>
      </c>
      <c r="BR387" s="319">
        <f>SUMIF(Recibos!$D$4:$D$3010,Cobranza!$B387,Recibos!AD$4:AD$3010)</f>
        <v>0</v>
      </c>
      <c r="BS387" s="319">
        <f>SUMIF(Recibos!$D$4:$D$3010,Cobranza!$B387,Recibos!AE$4:AE$3010)</f>
        <v>0</v>
      </c>
      <c r="BT387" s="319">
        <f>SUMIF(Recibos!$D$4:$D$3010,Cobranza!$B387,Recibos!AF$4:AF$3010)</f>
        <v>0</v>
      </c>
      <c r="BU387" s="319">
        <f>SUMIF(Recibos!$D$4:$D$3010,Cobranza!$B387,Recibos!AG$4:AG$3010)</f>
        <v>0</v>
      </c>
      <c r="BV387" s="319">
        <f>SUMIF(Recibos!$D$4:$D$3010,Cobranza!$B387,Recibos!AH$4:AH$3010)</f>
        <v>0</v>
      </c>
      <c r="BW387" s="319">
        <f>SUMIF(Recibos!$D$4:$D$3010,Cobranza!$B387,Recibos!AI$4:AI$3010)</f>
        <v>0</v>
      </c>
      <c r="BX387" s="320">
        <f t="shared" si="40"/>
        <v>0</v>
      </c>
    </row>
    <row r="388" spans="2:76" x14ac:dyDescent="0.2">
      <c r="B388" s="42" t="s">
        <v>890</v>
      </c>
      <c r="C388" s="42" t="s">
        <v>891</v>
      </c>
      <c r="D388" s="42" t="s">
        <v>892</v>
      </c>
      <c r="E388" s="43">
        <v>0</v>
      </c>
      <c r="F388" s="43">
        <v>0</v>
      </c>
      <c r="G388" s="43">
        <v>0</v>
      </c>
      <c r="H388" s="43">
        <v>0</v>
      </c>
      <c r="I388" s="43">
        <v>0</v>
      </c>
      <c r="J388" s="43">
        <v>0</v>
      </c>
      <c r="K388" s="44">
        <f t="shared" si="35"/>
        <v>0</v>
      </c>
      <c r="L388" s="43">
        <v>0</v>
      </c>
      <c r="M388" s="43">
        <v>0</v>
      </c>
      <c r="N388" s="43">
        <v>0</v>
      </c>
      <c r="O388" s="43">
        <v>0</v>
      </c>
      <c r="P388" s="43">
        <v>0</v>
      </c>
      <c r="Q388" s="43">
        <v>0</v>
      </c>
      <c r="R388" s="43">
        <v>0</v>
      </c>
      <c r="S388" s="43">
        <v>0</v>
      </c>
      <c r="T388" s="43">
        <v>0</v>
      </c>
      <c r="U388" s="43">
        <v>0</v>
      </c>
      <c r="V388" s="43">
        <v>0</v>
      </c>
      <c r="W388" s="43">
        <v>0</v>
      </c>
      <c r="X388" s="44">
        <f t="shared" si="36"/>
        <v>0</v>
      </c>
      <c r="Y388" s="43">
        <v>0</v>
      </c>
      <c r="Z388" s="43">
        <v>0</v>
      </c>
      <c r="AA388" s="43">
        <v>0</v>
      </c>
      <c r="AB388" s="43">
        <v>0</v>
      </c>
      <c r="AC388" s="43">
        <v>0</v>
      </c>
      <c r="AD388" s="43">
        <v>0</v>
      </c>
      <c r="AE388" s="43">
        <v>0</v>
      </c>
      <c r="AF388" s="43">
        <v>0</v>
      </c>
      <c r="AG388" s="43">
        <v>0</v>
      </c>
      <c r="AH388" s="43">
        <v>0</v>
      </c>
      <c r="AI388" s="43">
        <v>400</v>
      </c>
      <c r="AJ388" s="43">
        <v>400</v>
      </c>
      <c r="AK388" s="44">
        <f t="shared" si="37"/>
        <v>800</v>
      </c>
      <c r="AL388" s="43">
        <v>400</v>
      </c>
      <c r="AM388" s="43">
        <v>400</v>
      </c>
      <c r="AN388" s="43">
        <v>400</v>
      </c>
      <c r="AO388" s="43">
        <v>400</v>
      </c>
      <c r="AP388" s="43">
        <v>400</v>
      </c>
      <c r="AQ388" s="43">
        <v>400</v>
      </c>
      <c r="AR388" s="43">
        <v>400</v>
      </c>
      <c r="AS388" s="43">
        <v>400</v>
      </c>
      <c r="AT388" s="43">
        <v>400</v>
      </c>
      <c r="AU388" s="43">
        <v>400</v>
      </c>
      <c r="AV388" s="43">
        <v>400</v>
      </c>
      <c r="AW388" s="43">
        <v>400</v>
      </c>
      <c r="AX388" s="44">
        <f t="shared" si="38"/>
        <v>4800</v>
      </c>
      <c r="AY388" s="317">
        <f>SUMIF(Recibos!$D$4:$D$3010,Cobranza!$B388,Recibos!K$4:K$3010)</f>
        <v>400</v>
      </c>
      <c r="AZ388" s="317">
        <f>SUMIF(Recibos!$D$4:$D$3010,Cobranza!$B388,Recibos!L$4:L$3010)</f>
        <v>400</v>
      </c>
      <c r="BA388" s="317">
        <f>SUMIF(Recibos!$D$4:$D$3010,Cobranza!$B388,Recibos!M$4:M$3010)</f>
        <v>400</v>
      </c>
      <c r="BB388" s="317">
        <f>SUMIF(Recibos!$D$4:$D$3010,Cobranza!$B388,Recibos!N$4:N$3010)</f>
        <v>400</v>
      </c>
      <c r="BC388" s="317">
        <f>SUMIF(Recibos!$D$4:$D$3010,Cobranza!$B388,Recibos!O$4:O$3010)</f>
        <v>400</v>
      </c>
      <c r="BD388" s="317">
        <f>SUMIF(Recibos!$D$4:$D$3010,Cobranza!$B388,Recibos!P$4:P$3010)</f>
        <v>400</v>
      </c>
      <c r="BE388" s="317">
        <f>SUMIF(Recibos!$D$4:$D$3010,Cobranza!$B388,Recibos!Q$4:Q$3010)</f>
        <v>400</v>
      </c>
      <c r="BF388" s="317">
        <f>SUMIF(Recibos!$D$4:$D$3010,Cobranza!$B388,Recibos!R$4:R$3010)</f>
        <v>400</v>
      </c>
      <c r="BG388" s="317">
        <f>SUMIF(Recibos!$D$4:$D$3010,Cobranza!$B388,Recibos!S$4:S$3010)</f>
        <v>400</v>
      </c>
      <c r="BH388" s="317">
        <f>SUMIF(Recibos!$D$4:$D$3010,Cobranza!$B388,Recibos!T$4:T$3010)</f>
        <v>0</v>
      </c>
      <c r="BI388" s="317">
        <f>SUMIF(Recibos!$D$4:$D$3010,Cobranza!$B388,Recibos!U$4:U$3010)</f>
        <v>0</v>
      </c>
      <c r="BJ388" s="317">
        <f>SUMIF(Recibos!$D$4:$D$3010,Cobranza!$B388,Recibos!V$4:V$3010)</f>
        <v>0</v>
      </c>
      <c r="BK388" s="318">
        <f t="shared" si="39"/>
        <v>3600</v>
      </c>
      <c r="BL388" s="317">
        <f>SUMIF(Recibos!$D$4:$D$3010,Cobranza!$B388,Recibos!X$4:X$3010)</f>
        <v>0</v>
      </c>
      <c r="BM388" s="317">
        <f>SUMIF(Recibos!$D$4:$D$3010,Cobranza!$B388,Recibos!Y$4:Y$3010)</f>
        <v>0</v>
      </c>
      <c r="BN388" s="317">
        <f>SUMIF(Recibos!$D$4:$D$3010,Cobranza!$B388,Recibos!Z$4:Z$3010)</f>
        <v>0</v>
      </c>
      <c r="BO388" s="317">
        <f>SUMIF(Recibos!$D$4:$D$3010,Cobranza!$B388,Recibos!AA$4:AA$3010)</f>
        <v>0</v>
      </c>
      <c r="BP388" s="317">
        <f>SUMIF(Recibos!$D$4:$D$3010,Cobranza!$B388,Recibos!AB$4:AB$3010)</f>
        <v>0</v>
      </c>
      <c r="BQ388" s="317">
        <f>SUMIF(Recibos!$D$4:$D$3010,Cobranza!$B388,Recibos!AC$4:AC$3010)</f>
        <v>0</v>
      </c>
      <c r="BR388" s="317">
        <f>SUMIF(Recibos!$D$4:$D$3010,Cobranza!$B388,Recibos!AD$4:AD$3010)</f>
        <v>0</v>
      </c>
      <c r="BS388" s="317">
        <f>SUMIF(Recibos!$D$4:$D$3010,Cobranza!$B388,Recibos!AE$4:AE$3010)</f>
        <v>0</v>
      </c>
      <c r="BT388" s="317">
        <f>SUMIF(Recibos!$D$4:$D$3010,Cobranza!$B388,Recibos!AF$4:AF$3010)</f>
        <v>0</v>
      </c>
      <c r="BU388" s="317">
        <f>SUMIF(Recibos!$D$4:$D$3010,Cobranza!$B388,Recibos!AG$4:AG$3010)</f>
        <v>0</v>
      </c>
      <c r="BV388" s="317">
        <f>SUMIF(Recibos!$D$4:$D$3010,Cobranza!$B388,Recibos!AH$4:AH$3010)</f>
        <v>0</v>
      </c>
      <c r="BW388" s="317">
        <f>SUMIF(Recibos!$D$4:$D$3010,Cobranza!$B388,Recibos!AI$4:AI$3010)</f>
        <v>0</v>
      </c>
      <c r="BX388" s="318">
        <f t="shared" si="40"/>
        <v>0</v>
      </c>
    </row>
    <row r="389" spans="2:76" x14ac:dyDescent="0.2">
      <c r="B389" s="45" t="s">
        <v>253</v>
      </c>
      <c r="C389" s="45" t="s">
        <v>254</v>
      </c>
      <c r="D389" s="45" t="s">
        <v>255</v>
      </c>
      <c r="E389" s="46">
        <v>0</v>
      </c>
      <c r="F389" s="46">
        <v>0</v>
      </c>
      <c r="G389" s="46">
        <v>0</v>
      </c>
      <c r="H389" s="46">
        <v>0</v>
      </c>
      <c r="I389" s="46">
        <v>300</v>
      </c>
      <c r="J389" s="46">
        <v>300</v>
      </c>
      <c r="K389" s="47">
        <f t="shared" si="35"/>
        <v>600</v>
      </c>
      <c r="L389" s="46">
        <v>300</v>
      </c>
      <c r="M389" s="46">
        <v>300</v>
      </c>
      <c r="N389" s="46">
        <v>300</v>
      </c>
      <c r="O389" s="46">
        <v>300</v>
      </c>
      <c r="P389" s="46">
        <v>300</v>
      </c>
      <c r="Q389" s="46">
        <v>300</v>
      </c>
      <c r="R389" s="46">
        <v>550</v>
      </c>
      <c r="S389" s="46">
        <v>550</v>
      </c>
      <c r="T389" s="46">
        <v>550</v>
      </c>
      <c r="U389" s="46">
        <v>550</v>
      </c>
      <c r="V389" s="46">
        <v>550</v>
      </c>
      <c r="W389" s="46">
        <v>550</v>
      </c>
      <c r="X389" s="47">
        <f t="shared" si="36"/>
        <v>5100</v>
      </c>
      <c r="Y389" s="46">
        <v>300</v>
      </c>
      <c r="Z389" s="46">
        <v>300</v>
      </c>
      <c r="AA389" s="46">
        <v>300</v>
      </c>
      <c r="AB389" s="46">
        <v>300</v>
      </c>
      <c r="AC389" s="46">
        <v>300</v>
      </c>
      <c r="AD389" s="46">
        <v>300</v>
      </c>
      <c r="AE389" s="46">
        <v>0</v>
      </c>
      <c r="AF389" s="46">
        <v>0</v>
      </c>
      <c r="AG389" s="46">
        <v>0</v>
      </c>
      <c r="AH389" s="46">
        <v>0</v>
      </c>
      <c r="AI389" s="46">
        <v>0</v>
      </c>
      <c r="AJ389" s="46">
        <v>0</v>
      </c>
      <c r="AK389" s="47">
        <f t="shared" si="37"/>
        <v>1800</v>
      </c>
      <c r="AL389" s="46">
        <v>300</v>
      </c>
      <c r="AM389" s="46">
        <v>300</v>
      </c>
      <c r="AN389" s="46">
        <v>300</v>
      </c>
      <c r="AO389" s="46">
        <v>300</v>
      </c>
      <c r="AP389" s="46">
        <v>300</v>
      </c>
      <c r="AQ389" s="46">
        <v>300</v>
      </c>
      <c r="AR389" s="46">
        <v>300</v>
      </c>
      <c r="AS389" s="46">
        <v>300</v>
      </c>
      <c r="AT389" s="46">
        <v>300</v>
      </c>
      <c r="AU389" s="46">
        <v>300</v>
      </c>
      <c r="AV389" s="46">
        <v>300</v>
      </c>
      <c r="AW389" s="46">
        <v>0</v>
      </c>
      <c r="AX389" s="47">
        <f t="shared" si="38"/>
        <v>3300</v>
      </c>
      <c r="AY389" s="319">
        <f>SUMIF(Recibos!$D$4:$D$3010,Cobranza!$B389,Recibos!K$4:K$3010)</f>
        <v>300</v>
      </c>
      <c r="AZ389" s="319">
        <f>SUMIF(Recibos!$D$4:$D$3010,Cobranza!$B389,Recibos!L$4:L$3010)</f>
        <v>300</v>
      </c>
      <c r="BA389" s="319">
        <f>SUMIF(Recibos!$D$4:$D$3010,Cobranza!$B389,Recibos!M$4:M$3010)</f>
        <v>300</v>
      </c>
      <c r="BB389" s="319">
        <f>SUMIF(Recibos!$D$4:$D$3010,Cobranza!$B389,Recibos!N$4:N$3010)</f>
        <v>300</v>
      </c>
      <c r="BC389" s="319">
        <f>SUMIF(Recibos!$D$4:$D$3010,Cobranza!$B389,Recibos!O$4:O$3010)</f>
        <v>300</v>
      </c>
      <c r="BD389" s="319">
        <f>SUMIF(Recibos!$D$4:$D$3010,Cobranza!$B389,Recibos!P$4:P$3010)</f>
        <v>300</v>
      </c>
      <c r="BE389" s="319">
        <f>SUMIF(Recibos!$D$4:$D$3010,Cobranza!$B389,Recibos!Q$4:Q$3010)</f>
        <v>300</v>
      </c>
      <c r="BF389" s="319">
        <f>SUMIF(Recibos!$D$4:$D$3010,Cobranza!$B389,Recibos!R$4:R$3010)</f>
        <v>300</v>
      </c>
      <c r="BG389" s="319">
        <f>SUMIF(Recibos!$D$4:$D$3010,Cobranza!$B389,Recibos!S$4:S$3010)</f>
        <v>300</v>
      </c>
      <c r="BH389" s="319">
        <f>SUMIF(Recibos!$D$4:$D$3010,Cobranza!$B389,Recibos!T$4:T$3010)</f>
        <v>300</v>
      </c>
      <c r="BI389" s="319">
        <f>SUMIF(Recibos!$D$4:$D$3010,Cobranza!$B389,Recibos!U$4:U$3010)</f>
        <v>300</v>
      </c>
      <c r="BJ389" s="319">
        <f>SUMIF(Recibos!$D$4:$D$3010,Cobranza!$B389,Recibos!V$4:V$3010)</f>
        <v>0</v>
      </c>
      <c r="BK389" s="320">
        <f t="shared" si="39"/>
        <v>3300</v>
      </c>
      <c r="BL389" s="319">
        <f>SUMIF(Recibos!$D$4:$D$3010,Cobranza!$B389,Recibos!X$4:X$3010)</f>
        <v>0</v>
      </c>
      <c r="BM389" s="319">
        <f>SUMIF(Recibos!$D$4:$D$3010,Cobranza!$B389,Recibos!Y$4:Y$3010)</f>
        <v>0</v>
      </c>
      <c r="BN389" s="319">
        <f>SUMIF(Recibos!$D$4:$D$3010,Cobranza!$B389,Recibos!Z$4:Z$3010)</f>
        <v>0</v>
      </c>
      <c r="BO389" s="319">
        <f>SUMIF(Recibos!$D$4:$D$3010,Cobranza!$B389,Recibos!AA$4:AA$3010)</f>
        <v>0</v>
      </c>
      <c r="BP389" s="319">
        <f>SUMIF(Recibos!$D$4:$D$3010,Cobranza!$B389,Recibos!AB$4:AB$3010)</f>
        <v>0</v>
      </c>
      <c r="BQ389" s="319">
        <f>SUMIF(Recibos!$D$4:$D$3010,Cobranza!$B389,Recibos!AC$4:AC$3010)</f>
        <v>0</v>
      </c>
      <c r="BR389" s="319">
        <f>SUMIF(Recibos!$D$4:$D$3010,Cobranza!$B389,Recibos!AD$4:AD$3010)</f>
        <v>0</v>
      </c>
      <c r="BS389" s="319">
        <f>SUMIF(Recibos!$D$4:$D$3010,Cobranza!$B389,Recibos!AE$4:AE$3010)</f>
        <v>0</v>
      </c>
      <c r="BT389" s="319">
        <f>SUMIF(Recibos!$D$4:$D$3010,Cobranza!$B389,Recibos!AF$4:AF$3010)</f>
        <v>0</v>
      </c>
      <c r="BU389" s="319">
        <f>SUMIF(Recibos!$D$4:$D$3010,Cobranza!$B389,Recibos!AG$4:AG$3010)</f>
        <v>0</v>
      </c>
      <c r="BV389" s="319">
        <f>SUMIF(Recibos!$D$4:$D$3010,Cobranza!$B389,Recibos!AH$4:AH$3010)</f>
        <v>0</v>
      </c>
      <c r="BW389" s="319">
        <f>SUMIF(Recibos!$D$4:$D$3010,Cobranza!$B389,Recibos!AI$4:AI$3010)</f>
        <v>0</v>
      </c>
      <c r="BX389" s="320">
        <f t="shared" si="40"/>
        <v>0</v>
      </c>
    </row>
    <row r="390" spans="2:76" x14ac:dyDescent="0.2">
      <c r="B390" s="42" t="s">
        <v>678</v>
      </c>
      <c r="C390" s="42" t="s">
        <v>679</v>
      </c>
      <c r="D390" s="42" t="s">
        <v>680</v>
      </c>
      <c r="E390" s="43">
        <v>0</v>
      </c>
      <c r="F390" s="43">
        <v>0</v>
      </c>
      <c r="G390" s="43">
        <v>0</v>
      </c>
      <c r="H390" s="43">
        <v>0</v>
      </c>
      <c r="I390" s="43">
        <v>0</v>
      </c>
      <c r="J390" s="43">
        <v>300</v>
      </c>
      <c r="K390" s="44">
        <f t="shared" si="35"/>
        <v>300</v>
      </c>
      <c r="L390" s="43">
        <v>300</v>
      </c>
      <c r="M390" s="43">
        <v>300</v>
      </c>
      <c r="N390" s="43">
        <v>300</v>
      </c>
      <c r="O390" s="43">
        <v>300</v>
      </c>
      <c r="P390" s="43">
        <v>300</v>
      </c>
      <c r="Q390" s="43">
        <v>300</v>
      </c>
      <c r="R390" s="43">
        <v>300</v>
      </c>
      <c r="S390" s="43">
        <v>300</v>
      </c>
      <c r="T390" s="43">
        <v>300</v>
      </c>
      <c r="U390" s="43">
        <v>400</v>
      </c>
      <c r="V390" s="43">
        <v>400</v>
      </c>
      <c r="W390" s="43">
        <v>400</v>
      </c>
      <c r="X390" s="44">
        <f t="shared" si="36"/>
        <v>3900</v>
      </c>
      <c r="Y390" s="43">
        <v>400</v>
      </c>
      <c r="Z390" s="43">
        <v>400</v>
      </c>
      <c r="AA390" s="43">
        <v>400</v>
      </c>
      <c r="AB390" s="43">
        <v>400</v>
      </c>
      <c r="AC390" s="43">
        <v>400</v>
      </c>
      <c r="AD390" s="43">
        <v>400</v>
      </c>
      <c r="AE390" s="43">
        <v>400</v>
      </c>
      <c r="AF390" s="43">
        <v>400</v>
      </c>
      <c r="AG390" s="43">
        <v>400</v>
      </c>
      <c r="AH390" s="43">
        <v>400</v>
      </c>
      <c r="AI390" s="43">
        <v>400</v>
      </c>
      <c r="AJ390" s="43">
        <v>400</v>
      </c>
      <c r="AK390" s="44">
        <f t="shared" si="37"/>
        <v>4800</v>
      </c>
      <c r="AL390" s="43">
        <v>400</v>
      </c>
      <c r="AM390" s="43">
        <v>400</v>
      </c>
      <c r="AN390" s="43">
        <v>400</v>
      </c>
      <c r="AO390" s="43">
        <v>400</v>
      </c>
      <c r="AP390" s="43">
        <v>400</v>
      </c>
      <c r="AQ390" s="43">
        <v>400</v>
      </c>
      <c r="AR390" s="43">
        <v>400</v>
      </c>
      <c r="AS390" s="43">
        <v>400</v>
      </c>
      <c r="AT390" s="43">
        <v>400</v>
      </c>
      <c r="AU390" s="43">
        <v>400</v>
      </c>
      <c r="AV390" s="43">
        <v>400</v>
      </c>
      <c r="AW390" s="43">
        <v>400</v>
      </c>
      <c r="AX390" s="44">
        <f t="shared" si="38"/>
        <v>4800</v>
      </c>
      <c r="AY390" s="317">
        <f>SUMIF(Recibos!$D$4:$D$3010,Cobranza!$B390,Recibos!K$4:K$3010)</f>
        <v>400</v>
      </c>
      <c r="AZ390" s="317">
        <f>SUMIF(Recibos!$D$4:$D$3010,Cobranza!$B390,Recibos!L$4:L$3010)</f>
        <v>400</v>
      </c>
      <c r="BA390" s="317">
        <f>SUMIF(Recibos!$D$4:$D$3010,Cobranza!$B390,Recibos!M$4:M$3010)</f>
        <v>400</v>
      </c>
      <c r="BB390" s="317">
        <f>SUMIF(Recibos!$D$4:$D$3010,Cobranza!$B390,Recibos!N$4:N$3010)</f>
        <v>400</v>
      </c>
      <c r="BC390" s="317">
        <f>SUMIF(Recibos!$D$4:$D$3010,Cobranza!$B390,Recibos!O$4:O$3010)</f>
        <v>400</v>
      </c>
      <c r="BD390" s="317">
        <f>SUMIF(Recibos!$D$4:$D$3010,Cobranza!$B390,Recibos!P$4:P$3010)</f>
        <v>400</v>
      </c>
      <c r="BE390" s="317">
        <f>SUMIF(Recibos!$D$4:$D$3010,Cobranza!$B390,Recibos!Q$4:Q$3010)</f>
        <v>400</v>
      </c>
      <c r="BF390" s="317">
        <f>SUMIF(Recibos!$D$4:$D$3010,Cobranza!$B390,Recibos!R$4:R$3010)</f>
        <v>400</v>
      </c>
      <c r="BG390" s="317">
        <f>SUMIF(Recibos!$D$4:$D$3010,Cobranza!$B390,Recibos!S$4:S$3010)</f>
        <v>400</v>
      </c>
      <c r="BH390" s="317">
        <f>SUMIF(Recibos!$D$4:$D$3010,Cobranza!$B390,Recibos!T$4:T$3010)</f>
        <v>400</v>
      </c>
      <c r="BI390" s="317">
        <f>SUMIF(Recibos!$D$4:$D$3010,Cobranza!$B390,Recibos!U$4:U$3010)</f>
        <v>400</v>
      </c>
      <c r="BJ390" s="317">
        <f>SUMIF(Recibos!$D$4:$D$3010,Cobranza!$B390,Recibos!V$4:V$3010)</f>
        <v>400</v>
      </c>
      <c r="BK390" s="318">
        <f t="shared" si="39"/>
        <v>4800</v>
      </c>
      <c r="BL390" s="317">
        <f>SUMIF(Recibos!$D$4:$D$3010,Cobranza!$B390,Recibos!X$4:X$3010)</f>
        <v>400</v>
      </c>
      <c r="BM390" s="317">
        <f>SUMIF(Recibos!$D$4:$D$3010,Cobranza!$B390,Recibos!Y$4:Y$3010)</f>
        <v>0</v>
      </c>
      <c r="BN390" s="317">
        <f>SUMIF(Recibos!$D$4:$D$3010,Cobranza!$B390,Recibos!Z$4:Z$3010)</f>
        <v>0</v>
      </c>
      <c r="BO390" s="317">
        <f>SUMIF(Recibos!$D$4:$D$3010,Cobranza!$B390,Recibos!AA$4:AA$3010)</f>
        <v>0</v>
      </c>
      <c r="BP390" s="317">
        <f>SUMIF(Recibos!$D$4:$D$3010,Cobranza!$B390,Recibos!AB$4:AB$3010)</f>
        <v>0</v>
      </c>
      <c r="BQ390" s="317">
        <f>SUMIF(Recibos!$D$4:$D$3010,Cobranza!$B390,Recibos!AC$4:AC$3010)</f>
        <v>0</v>
      </c>
      <c r="BR390" s="317">
        <f>SUMIF(Recibos!$D$4:$D$3010,Cobranza!$B390,Recibos!AD$4:AD$3010)</f>
        <v>0</v>
      </c>
      <c r="BS390" s="317">
        <f>SUMIF(Recibos!$D$4:$D$3010,Cobranza!$B390,Recibos!AE$4:AE$3010)</f>
        <v>0</v>
      </c>
      <c r="BT390" s="317">
        <f>SUMIF(Recibos!$D$4:$D$3010,Cobranza!$B390,Recibos!AF$4:AF$3010)</f>
        <v>0</v>
      </c>
      <c r="BU390" s="317">
        <f>SUMIF(Recibos!$D$4:$D$3010,Cobranza!$B390,Recibos!AG$4:AG$3010)</f>
        <v>0</v>
      </c>
      <c r="BV390" s="317">
        <f>SUMIF(Recibos!$D$4:$D$3010,Cobranza!$B390,Recibos!AH$4:AH$3010)</f>
        <v>0</v>
      </c>
      <c r="BW390" s="317">
        <f>SUMIF(Recibos!$D$4:$D$3010,Cobranza!$B390,Recibos!AI$4:AI$3010)</f>
        <v>0</v>
      </c>
      <c r="BX390" s="318">
        <f t="shared" si="40"/>
        <v>400</v>
      </c>
    </row>
    <row r="391" spans="2:76" x14ac:dyDescent="0.2">
      <c r="B391" s="45" t="s">
        <v>1039</v>
      </c>
      <c r="C391" s="45" t="s">
        <v>1040</v>
      </c>
      <c r="D391" s="45" t="s">
        <v>1041</v>
      </c>
      <c r="E391" s="46">
        <v>0</v>
      </c>
      <c r="F391" s="46">
        <v>0</v>
      </c>
      <c r="G391" s="46">
        <v>0</v>
      </c>
      <c r="H391" s="46">
        <v>0</v>
      </c>
      <c r="I391" s="46">
        <v>0</v>
      </c>
      <c r="J391" s="46">
        <v>0</v>
      </c>
      <c r="K391" s="47">
        <f t="shared" si="35"/>
        <v>0</v>
      </c>
      <c r="L391" s="46">
        <v>0</v>
      </c>
      <c r="M391" s="46">
        <v>0</v>
      </c>
      <c r="N391" s="46">
        <v>0</v>
      </c>
      <c r="O391" s="46">
        <v>0</v>
      </c>
      <c r="P391" s="46">
        <v>0</v>
      </c>
      <c r="Q391" s="46">
        <v>0</v>
      </c>
      <c r="R391" s="46">
        <v>0</v>
      </c>
      <c r="S391" s="46">
        <v>0</v>
      </c>
      <c r="T391" s="46">
        <v>0</v>
      </c>
      <c r="U391" s="46">
        <v>0</v>
      </c>
      <c r="V391" s="46">
        <v>0</v>
      </c>
      <c r="W391" s="46">
        <v>0</v>
      </c>
      <c r="X391" s="47">
        <f t="shared" si="36"/>
        <v>0</v>
      </c>
      <c r="Y391" s="46">
        <v>0</v>
      </c>
      <c r="Z391" s="46">
        <v>0</v>
      </c>
      <c r="AA391" s="46">
        <v>0</v>
      </c>
      <c r="AB391" s="46">
        <v>0</v>
      </c>
      <c r="AC391" s="46">
        <v>0</v>
      </c>
      <c r="AD391" s="46">
        <v>0</v>
      </c>
      <c r="AE391" s="46">
        <v>0</v>
      </c>
      <c r="AF391" s="46">
        <v>0</v>
      </c>
      <c r="AG391" s="46">
        <v>0</v>
      </c>
      <c r="AH391" s="46">
        <v>0</v>
      </c>
      <c r="AI391" s="46">
        <v>0</v>
      </c>
      <c r="AJ391" s="46">
        <v>0</v>
      </c>
      <c r="AK391" s="47">
        <f t="shared" si="37"/>
        <v>0</v>
      </c>
      <c r="AL391" s="46">
        <v>0</v>
      </c>
      <c r="AM391" s="46">
        <v>0</v>
      </c>
      <c r="AN391" s="46">
        <v>0</v>
      </c>
      <c r="AO391" s="46">
        <v>0</v>
      </c>
      <c r="AP391" s="46">
        <v>0</v>
      </c>
      <c r="AQ391" s="46">
        <v>0</v>
      </c>
      <c r="AR391" s="46">
        <v>0</v>
      </c>
      <c r="AS391" s="46">
        <v>0</v>
      </c>
      <c r="AT391" s="46">
        <v>0</v>
      </c>
      <c r="AU391" s="46">
        <v>0</v>
      </c>
      <c r="AV391" s="46">
        <v>0</v>
      </c>
      <c r="AW391" s="46">
        <v>0</v>
      </c>
      <c r="AX391" s="47">
        <f t="shared" si="38"/>
        <v>0</v>
      </c>
      <c r="AY391" s="319">
        <f>SUMIF(Recibos!$D$4:$D$3010,Cobranza!$B391,Recibos!K$4:K$3010)</f>
        <v>0</v>
      </c>
      <c r="AZ391" s="319">
        <f>SUMIF(Recibos!$D$4:$D$3010,Cobranza!$B391,Recibos!L$4:L$3010)</f>
        <v>0</v>
      </c>
      <c r="BA391" s="319">
        <f>SUMIF(Recibos!$D$4:$D$3010,Cobranza!$B391,Recibos!M$4:M$3010)</f>
        <v>0</v>
      </c>
      <c r="BB391" s="319">
        <f>SUMIF(Recibos!$D$4:$D$3010,Cobranza!$B391,Recibos!N$4:N$3010)</f>
        <v>0</v>
      </c>
      <c r="BC391" s="319">
        <f>SUMIF(Recibos!$D$4:$D$3010,Cobranza!$B391,Recibos!O$4:O$3010)</f>
        <v>0</v>
      </c>
      <c r="BD391" s="319">
        <f>SUMIF(Recibos!$D$4:$D$3010,Cobranza!$B391,Recibos!P$4:P$3010)</f>
        <v>0</v>
      </c>
      <c r="BE391" s="319">
        <f>SUMIF(Recibos!$D$4:$D$3010,Cobranza!$B391,Recibos!Q$4:Q$3010)</f>
        <v>400</v>
      </c>
      <c r="BF391" s="319">
        <f>SUMIF(Recibos!$D$4:$D$3010,Cobranza!$B391,Recibos!R$4:R$3010)</f>
        <v>400</v>
      </c>
      <c r="BG391" s="319">
        <f>SUMIF(Recibos!$D$4:$D$3010,Cobranza!$B391,Recibos!S$4:S$3010)</f>
        <v>400</v>
      </c>
      <c r="BH391" s="319">
        <f>SUMIF(Recibos!$D$4:$D$3010,Cobranza!$B391,Recibos!T$4:T$3010)</f>
        <v>400</v>
      </c>
      <c r="BI391" s="319">
        <f>SUMIF(Recibos!$D$4:$D$3010,Cobranza!$B391,Recibos!U$4:U$3010)</f>
        <v>0</v>
      </c>
      <c r="BJ391" s="319">
        <f>SUMIF(Recibos!$D$4:$D$3010,Cobranza!$B391,Recibos!V$4:V$3010)</f>
        <v>400</v>
      </c>
      <c r="BK391" s="320">
        <f t="shared" si="39"/>
        <v>2000</v>
      </c>
      <c r="BL391" s="319">
        <f>SUMIF(Recibos!$D$4:$D$3010,Cobranza!$B391,Recibos!X$4:X$3010)</f>
        <v>0</v>
      </c>
      <c r="BM391" s="319">
        <f>SUMIF(Recibos!$D$4:$D$3010,Cobranza!$B391,Recibos!Y$4:Y$3010)</f>
        <v>0</v>
      </c>
      <c r="BN391" s="319">
        <f>SUMIF(Recibos!$D$4:$D$3010,Cobranza!$B391,Recibos!Z$4:Z$3010)</f>
        <v>0</v>
      </c>
      <c r="BO391" s="319">
        <f>SUMIF(Recibos!$D$4:$D$3010,Cobranza!$B391,Recibos!AA$4:AA$3010)</f>
        <v>0</v>
      </c>
      <c r="BP391" s="319">
        <f>SUMIF(Recibos!$D$4:$D$3010,Cobranza!$B391,Recibos!AB$4:AB$3010)</f>
        <v>0</v>
      </c>
      <c r="BQ391" s="319">
        <f>SUMIF(Recibos!$D$4:$D$3010,Cobranza!$B391,Recibos!AC$4:AC$3010)</f>
        <v>0</v>
      </c>
      <c r="BR391" s="319">
        <f>SUMIF(Recibos!$D$4:$D$3010,Cobranza!$B391,Recibos!AD$4:AD$3010)</f>
        <v>0</v>
      </c>
      <c r="BS391" s="319">
        <f>SUMIF(Recibos!$D$4:$D$3010,Cobranza!$B391,Recibos!AE$4:AE$3010)</f>
        <v>0</v>
      </c>
      <c r="BT391" s="319">
        <f>SUMIF(Recibos!$D$4:$D$3010,Cobranza!$B391,Recibos!AF$4:AF$3010)</f>
        <v>0</v>
      </c>
      <c r="BU391" s="319">
        <f>SUMIF(Recibos!$D$4:$D$3010,Cobranza!$B391,Recibos!AG$4:AG$3010)</f>
        <v>0</v>
      </c>
      <c r="BV391" s="319">
        <f>SUMIF(Recibos!$D$4:$D$3010,Cobranza!$B391,Recibos!AH$4:AH$3010)</f>
        <v>0</v>
      </c>
      <c r="BW391" s="319">
        <f>SUMIF(Recibos!$D$4:$D$3010,Cobranza!$B391,Recibos!AI$4:AI$3010)</f>
        <v>0</v>
      </c>
      <c r="BX391" s="320">
        <f t="shared" si="40"/>
        <v>0</v>
      </c>
    </row>
    <row r="392" spans="2:76" x14ac:dyDescent="0.2">
      <c r="B392" s="42" t="s">
        <v>452</v>
      </c>
      <c r="C392" s="42" t="s">
        <v>453</v>
      </c>
      <c r="D392" s="42" t="s">
        <v>454</v>
      </c>
      <c r="E392" s="43">
        <v>0</v>
      </c>
      <c r="F392" s="43">
        <v>0</v>
      </c>
      <c r="G392" s="43">
        <v>0</v>
      </c>
      <c r="H392" s="43">
        <v>0</v>
      </c>
      <c r="I392" s="43">
        <v>0</v>
      </c>
      <c r="J392" s="43">
        <v>0</v>
      </c>
      <c r="K392" s="44">
        <f t="shared" si="35"/>
        <v>0</v>
      </c>
      <c r="L392" s="43">
        <v>300</v>
      </c>
      <c r="M392" s="43">
        <v>300</v>
      </c>
      <c r="N392" s="43">
        <v>300</v>
      </c>
      <c r="O392" s="43">
        <v>300</v>
      </c>
      <c r="P392" s="43">
        <v>300</v>
      </c>
      <c r="Q392" s="43">
        <v>300</v>
      </c>
      <c r="R392" s="43">
        <v>300</v>
      </c>
      <c r="S392" s="43">
        <v>300</v>
      </c>
      <c r="T392" s="43">
        <v>300</v>
      </c>
      <c r="U392" s="43">
        <v>400</v>
      </c>
      <c r="V392" s="43">
        <v>400</v>
      </c>
      <c r="W392" s="43">
        <v>100</v>
      </c>
      <c r="X392" s="44">
        <f t="shared" si="36"/>
        <v>3600</v>
      </c>
      <c r="Y392" s="43">
        <v>400</v>
      </c>
      <c r="Z392" s="43">
        <v>400</v>
      </c>
      <c r="AA392" s="43">
        <v>400</v>
      </c>
      <c r="AB392" s="43">
        <v>400</v>
      </c>
      <c r="AC392" s="43">
        <v>400</v>
      </c>
      <c r="AD392" s="43">
        <v>400</v>
      </c>
      <c r="AE392" s="43">
        <v>400</v>
      </c>
      <c r="AF392" s="43">
        <v>400</v>
      </c>
      <c r="AG392" s="43">
        <v>400</v>
      </c>
      <c r="AH392" s="43">
        <v>400</v>
      </c>
      <c r="AI392" s="43">
        <v>0</v>
      </c>
      <c r="AJ392" s="43">
        <v>0</v>
      </c>
      <c r="AK392" s="44">
        <f t="shared" si="37"/>
        <v>4000</v>
      </c>
      <c r="AL392" s="43">
        <v>400</v>
      </c>
      <c r="AM392" s="43">
        <v>400</v>
      </c>
      <c r="AN392" s="43">
        <v>400</v>
      </c>
      <c r="AO392" s="43">
        <v>400</v>
      </c>
      <c r="AP392" s="43">
        <v>400</v>
      </c>
      <c r="AQ392" s="43">
        <v>400</v>
      </c>
      <c r="AR392" s="43">
        <v>400</v>
      </c>
      <c r="AS392" s="43">
        <v>400</v>
      </c>
      <c r="AT392" s="43">
        <v>400</v>
      </c>
      <c r="AU392" s="43">
        <v>400</v>
      </c>
      <c r="AV392" s="43">
        <v>400</v>
      </c>
      <c r="AW392" s="43">
        <v>400</v>
      </c>
      <c r="AX392" s="44">
        <f t="shared" si="38"/>
        <v>4800</v>
      </c>
      <c r="AY392" s="317">
        <f>SUMIF(Recibos!$D$4:$D$3010,Cobranza!$B392,Recibos!K$4:K$3010)</f>
        <v>400</v>
      </c>
      <c r="AZ392" s="317">
        <f>SUMIF(Recibos!$D$4:$D$3010,Cobranza!$B392,Recibos!L$4:L$3010)</f>
        <v>400</v>
      </c>
      <c r="BA392" s="317">
        <f>SUMIF(Recibos!$D$4:$D$3010,Cobranza!$B392,Recibos!M$4:M$3010)</f>
        <v>400</v>
      </c>
      <c r="BB392" s="317">
        <f>SUMIF(Recibos!$D$4:$D$3010,Cobranza!$B392,Recibos!N$4:N$3010)</f>
        <v>400</v>
      </c>
      <c r="BC392" s="317">
        <f>SUMIF(Recibos!$D$4:$D$3010,Cobranza!$B392,Recibos!O$4:O$3010)</f>
        <v>400</v>
      </c>
      <c r="BD392" s="317">
        <f>SUMIF(Recibos!$D$4:$D$3010,Cobranza!$B392,Recibos!P$4:P$3010)</f>
        <v>400</v>
      </c>
      <c r="BE392" s="317">
        <f>SUMIF(Recibos!$D$4:$D$3010,Cobranza!$B392,Recibos!Q$4:Q$3010)</f>
        <v>400</v>
      </c>
      <c r="BF392" s="317">
        <f>SUMIF(Recibos!$D$4:$D$3010,Cobranza!$B392,Recibos!R$4:R$3010)</f>
        <v>400</v>
      </c>
      <c r="BG392" s="317">
        <f>SUMIF(Recibos!$D$4:$D$3010,Cobranza!$B392,Recibos!S$4:S$3010)</f>
        <v>400</v>
      </c>
      <c r="BH392" s="317">
        <f>SUMIF(Recibos!$D$4:$D$3010,Cobranza!$B392,Recibos!T$4:T$3010)</f>
        <v>400</v>
      </c>
      <c r="BI392" s="317">
        <f>SUMIF(Recibos!$D$4:$D$3010,Cobranza!$B392,Recibos!U$4:U$3010)</f>
        <v>400</v>
      </c>
      <c r="BJ392" s="317">
        <f>SUMIF(Recibos!$D$4:$D$3010,Cobranza!$B392,Recibos!V$4:V$3010)</f>
        <v>0</v>
      </c>
      <c r="BK392" s="318">
        <f t="shared" si="39"/>
        <v>4400</v>
      </c>
      <c r="BL392" s="317">
        <f>SUMIF(Recibos!$D$4:$D$3010,Cobranza!$B392,Recibos!X$4:X$3010)</f>
        <v>0</v>
      </c>
      <c r="BM392" s="317">
        <f>SUMIF(Recibos!$D$4:$D$3010,Cobranza!$B392,Recibos!Y$4:Y$3010)</f>
        <v>0</v>
      </c>
      <c r="BN392" s="317">
        <f>SUMIF(Recibos!$D$4:$D$3010,Cobranza!$B392,Recibos!Z$4:Z$3010)</f>
        <v>0</v>
      </c>
      <c r="BO392" s="317">
        <f>SUMIF(Recibos!$D$4:$D$3010,Cobranza!$B392,Recibos!AA$4:AA$3010)</f>
        <v>0</v>
      </c>
      <c r="BP392" s="317">
        <f>SUMIF(Recibos!$D$4:$D$3010,Cobranza!$B392,Recibos!AB$4:AB$3010)</f>
        <v>0</v>
      </c>
      <c r="BQ392" s="317">
        <f>SUMIF(Recibos!$D$4:$D$3010,Cobranza!$B392,Recibos!AC$4:AC$3010)</f>
        <v>0</v>
      </c>
      <c r="BR392" s="317">
        <f>SUMIF(Recibos!$D$4:$D$3010,Cobranza!$B392,Recibos!AD$4:AD$3010)</f>
        <v>0</v>
      </c>
      <c r="BS392" s="317">
        <f>SUMIF(Recibos!$D$4:$D$3010,Cobranza!$B392,Recibos!AE$4:AE$3010)</f>
        <v>0</v>
      </c>
      <c r="BT392" s="317">
        <f>SUMIF(Recibos!$D$4:$D$3010,Cobranza!$B392,Recibos!AF$4:AF$3010)</f>
        <v>0</v>
      </c>
      <c r="BU392" s="317">
        <f>SUMIF(Recibos!$D$4:$D$3010,Cobranza!$B392,Recibos!AG$4:AG$3010)</f>
        <v>0</v>
      </c>
      <c r="BV392" s="317">
        <f>SUMIF(Recibos!$D$4:$D$3010,Cobranza!$B392,Recibos!AH$4:AH$3010)</f>
        <v>0</v>
      </c>
      <c r="BW392" s="317">
        <f>SUMIF(Recibos!$D$4:$D$3010,Cobranza!$B392,Recibos!AI$4:AI$3010)</f>
        <v>0</v>
      </c>
      <c r="BX392" s="318">
        <f t="shared" si="40"/>
        <v>0</v>
      </c>
    </row>
    <row r="393" spans="2:76" x14ac:dyDescent="0.2">
      <c r="B393" s="45" t="s">
        <v>413</v>
      </c>
      <c r="C393" s="45" t="s">
        <v>414</v>
      </c>
      <c r="D393" s="45" t="s">
        <v>415</v>
      </c>
      <c r="E393" s="46">
        <v>0</v>
      </c>
      <c r="F393" s="46">
        <v>0</v>
      </c>
      <c r="G393" s="46">
        <v>0</v>
      </c>
      <c r="H393" s="46">
        <v>0</v>
      </c>
      <c r="I393" s="46">
        <v>0</v>
      </c>
      <c r="J393" s="46">
        <v>300</v>
      </c>
      <c r="K393" s="47">
        <f t="shared" si="35"/>
        <v>300</v>
      </c>
      <c r="L393" s="46">
        <v>300</v>
      </c>
      <c r="M393" s="46">
        <v>300</v>
      </c>
      <c r="N393" s="46">
        <v>300</v>
      </c>
      <c r="O393" s="46">
        <v>300</v>
      </c>
      <c r="P393" s="46">
        <v>300</v>
      </c>
      <c r="Q393" s="46">
        <v>300</v>
      </c>
      <c r="R393" s="46">
        <v>300</v>
      </c>
      <c r="S393" s="46">
        <v>300</v>
      </c>
      <c r="T393" s="46">
        <v>300</v>
      </c>
      <c r="U393" s="46">
        <v>300</v>
      </c>
      <c r="V393" s="46">
        <v>300</v>
      </c>
      <c r="W393" s="46">
        <v>300</v>
      </c>
      <c r="X393" s="47">
        <f t="shared" si="36"/>
        <v>3600</v>
      </c>
      <c r="Y393" s="46">
        <v>300</v>
      </c>
      <c r="Z393" s="46">
        <v>400</v>
      </c>
      <c r="AA393" s="46">
        <v>400</v>
      </c>
      <c r="AB393" s="46">
        <v>400</v>
      </c>
      <c r="AC393" s="46">
        <v>400</v>
      </c>
      <c r="AD393" s="46">
        <v>400</v>
      </c>
      <c r="AE393" s="46">
        <v>400</v>
      </c>
      <c r="AF393" s="46">
        <v>400</v>
      </c>
      <c r="AG393" s="46">
        <v>400</v>
      </c>
      <c r="AH393" s="46">
        <v>400</v>
      </c>
      <c r="AI393" s="46">
        <v>400</v>
      </c>
      <c r="AJ393" s="46">
        <v>400</v>
      </c>
      <c r="AK393" s="47">
        <f t="shared" si="37"/>
        <v>4700</v>
      </c>
      <c r="AL393" s="46">
        <v>400</v>
      </c>
      <c r="AM393" s="46">
        <v>400</v>
      </c>
      <c r="AN393" s="46">
        <v>400</v>
      </c>
      <c r="AO393" s="46">
        <v>400</v>
      </c>
      <c r="AP393" s="46">
        <v>400</v>
      </c>
      <c r="AQ393" s="46">
        <v>400</v>
      </c>
      <c r="AR393" s="46">
        <v>400</v>
      </c>
      <c r="AS393" s="46">
        <v>400</v>
      </c>
      <c r="AT393" s="46">
        <v>400</v>
      </c>
      <c r="AU393" s="46">
        <v>400</v>
      </c>
      <c r="AV393" s="46">
        <v>400</v>
      </c>
      <c r="AW393" s="46">
        <v>400</v>
      </c>
      <c r="AX393" s="47">
        <f t="shared" si="38"/>
        <v>4800</v>
      </c>
      <c r="AY393" s="319">
        <f>SUMIF(Recibos!$D$4:$D$3010,Cobranza!$B393,Recibos!K$4:K$3010)</f>
        <v>400</v>
      </c>
      <c r="AZ393" s="319">
        <f>SUMIF(Recibos!$D$4:$D$3010,Cobranza!$B393,Recibos!L$4:L$3010)</f>
        <v>400</v>
      </c>
      <c r="BA393" s="319">
        <f>SUMIF(Recibos!$D$4:$D$3010,Cobranza!$B393,Recibos!M$4:M$3010)</f>
        <v>400</v>
      </c>
      <c r="BB393" s="319">
        <f>SUMIF(Recibos!$D$4:$D$3010,Cobranza!$B393,Recibos!N$4:N$3010)</f>
        <v>400</v>
      </c>
      <c r="BC393" s="319">
        <f>SUMIF(Recibos!$D$4:$D$3010,Cobranza!$B393,Recibos!O$4:O$3010)</f>
        <v>400</v>
      </c>
      <c r="BD393" s="319">
        <f>SUMIF(Recibos!$D$4:$D$3010,Cobranza!$B393,Recibos!P$4:P$3010)</f>
        <v>400</v>
      </c>
      <c r="BE393" s="319">
        <f>SUMIF(Recibos!$D$4:$D$3010,Cobranza!$B393,Recibos!Q$4:Q$3010)</f>
        <v>400</v>
      </c>
      <c r="BF393" s="319">
        <f>SUMIF(Recibos!$D$4:$D$3010,Cobranza!$B393,Recibos!R$4:R$3010)</f>
        <v>400</v>
      </c>
      <c r="BG393" s="319">
        <f>SUMIF(Recibos!$D$4:$D$3010,Cobranza!$B393,Recibos!S$4:S$3010)</f>
        <v>400</v>
      </c>
      <c r="BH393" s="319">
        <f>SUMIF(Recibos!$D$4:$D$3010,Cobranza!$B393,Recibos!T$4:T$3010)</f>
        <v>400</v>
      </c>
      <c r="BI393" s="319">
        <f>SUMIF(Recibos!$D$4:$D$3010,Cobranza!$B393,Recibos!U$4:U$3010)</f>
        <v>400</v>
      </c>
      <c r="BJ393" s="319">
        <f>SUMIF(Recibos!$D$4:$D$3010,Cobranza!$B393,Recibos!V$4:V$3010)</f>
        <v>400</v>
      </c>
      <c r="BK393" s="320">
        <f t="shared" si="39"/>
        <v>4800</v>
      </c>
      <c r="BL393" s="319">
        <f>SUMIF(Recibos!$D$4:$D$3010,Cobranza!$B393,Recibos!X$4:X$3010)</f>
        <v>0</v>
      </c>
      <c r="BM393" s="319">
        <f>SUMIF(Recibos!$D$4:$D$3010,Cobranza!$B393,Recibos!Y$4:Y$3010)</f>
        <v>0</v>
      </c>
      <c r="BN393" s="319">
        <f>SUMIF(Recibos!$D$4:$D$3010,Cobranza!$B393,Recibos!Z$4:Z$3010)</f>
        <v>0</v>
      </c>
      <c r="BO393" s="319">
        <f>SUMIF(Recibos!$D$4:$D$3010,Cobranza!$B393,Recibos!AA$4:AA$3010)</f>
        <v>0</v>
      </c>
      <c r="BP393" s="319">
        <f>SUMIF(Recibos!$D$4:$D$3010,Cobranza!$B393,Recibos!AB$4:AB$3010)</f>
        <v>0</v>
      </c>
      <c r="BQ393" s="319">
        <f>SUMIF(Recibos!$D$4:$D$3010,Cobranza!$B393,Recibos!AC$4:AC$3010)</f>
        <v>0</v>
      </c>
      <c r="BR393" s="319">
        <f>SUMIF(Recibos!$D$4:$D$3010,Cobranza!$B393,Recibos!AD$4:AD$3010)</f>
        <v>0</v>
      </c>
      <c r="BS393" s="319">
        <f>SUMIF(Recibos!$D$4:$D$3010,Cobranza!$B393,Recibos!AE$4:AE$3010)</f>
        <v>0</v>
      </c>
      <c r="BT393" s="319">
        <f>SUMIF(Recibos!$D$4:$D$3010,Cobranza!$B393,Recibos!AF$4:AF$3010)</f>
        <v>0</v>
      </c>
      <c r="BU393" s="319">
        <f>SUMIF(Recibos!$D$4:$D$3010,Cobranza!$B393,Recibos!AG$4:AG$3010)</f>
        <v>0</v>
      </c>
      <c r="BV393" s="319">
        <f>SUMIF(Recibos!$D$4:$D$3010,Cobranza!$B393,Recibos!AH$4:AH$3010)</f>
        <v>0</v>
      </c>
      <c r="BW393" s="319">
        <f>SUMIF(Recibos!$D$4:$D$3010,Cobranza!$B393,Recibos!AI$4:AI$3010)</f>
        <v>0</v>
      </c>
      <c r="BX393" s="320">
        <f t="shared" si="40"/>
        <v>0</v>
      </c>
    </row>
    <row r="394" spans="2:76" x14ac:dyDescent="0.2">
      <c r="B394" s="42" t="s">
        <v>831</v>
      </c>
      <c r="C394" s="42" t="s">
        <v>832</v>
      </c>
      <c r="D394" s="42" t="s">
        <v>833</v>
      </c>
      <c r="E394" s="43">
        <v>0</v>
      </c>
      <c r="F394" s="43">
        <v>0</v>
      </c>
      <c r="G394" s="43">
        <v>0</v>
      </c>
      <c r="H394" s="43">
        <v>0</v>
      </c>
      <c r="I394" s="43">
        <v>0</v>
      </c>
      <c r="J394" s="43">
        <v>300</v>
      </c>
      <c r="K394" s="44">
        <f t="shared" si="35"/>
        <v>300</v>
      </c>
      <c r="L394" s="43">
        <v>300</v>
      </c>
      <c r="M394" s="43">
        <v>300</v>
      </c>
      <c r="N394" s="43">
        <v>300</v>
      </c>
      <c r="O394" s="43">
        <v>300</v>
      </c>
      <c r="P394" s="43">
        <v>300</v>
      </c>
      <c r="Q394" s="43">
        <v>300</v>
      </c>
      <c r="R394" s="43">
        <v>300</v>
      </c>
      <c r="S394" s="43">
        <v>300</v>
      </c>
      <c r="T394" s="43">
        <v>300</v>
      </c>
      <c r="U394" s="43">
        <v>300</v>
      </c>
      <c r="V394" s="43">
        <v>400</v>
      </c>
      <c r="W394" s="43">
        <v>400</v>
      </c>
      <c r="X394" s="44">
        <f t="shared" si="36"/>
        <v>3800</v>
      </c>
      <c r="Y394" s="43">
        <v>400</v>
      </c>
      <c r="Z394" s="43">
        <v>400</v>
      </c>
      <c r="AA394" s="43">
        <v>400</v>
      </c>
      <c r="AB394" s="43">
        <v>400</v>
      </c>
      <c r="AC394" s="43">
        <v>800</v>
      </c>
      <c r="AD394" s="43">
        <v>400</v>
      </c>
      <c r="AE394" s="43">
        <v>0</v>
      </c>
      <c r="AF394" s="43">
        <v>400</v>
      </c>
      <c r="AG394" s="43">
        <v>400</v>
      </c>
      <c r="AH394" s="43">
        <v>0</v>
      </c>
      <c r="AI394" s="43">
        <v>400</v>
      </c>
      <c r="AJ394" s="43">
        <v>400</v>
      </c>
      <c r="AK394" s="44">
        <f t="shared" si="37"/>
        <v>4400</v>
      </c>
      <c r="AL394" s="43">
        <v>400</v>
      </c>
      <c r="AM394" s="43">
        <v>400</v>
      </c>
      <c r="AN394" s="43">
        <v>400</v>
      </c>
      <c r="AO394" s="43">
        <v>400</v>
      </c>
      <c r="AP394" s="43">
        <v>400</v>
      </c>
      <c r="AQ394" s="43">
        <v>400</v>
      </c>
      <c r="AR394" s="43">
        <v>400</v>
      </c>
      <c r="AS394" s="43">
        <v>400</v>
      </c>
      <c r="AT394" s="43">
        <v>400</v>
      </c>
      <c r="AU394" s="43">
        <v>400</v>
      </c>
      <c r="AV394" s="43">
        <v>400</v>
      </c>
      <c r="AW394" s="43">
        <v>400</v>
      </c>
      <c r="AX394" s="44">
        <f t="shared" si="38"/>
        <v>4800</v>
      </c>
      <c r="AY394" s="317">
        <f>SUMIF(Recibos!$D$4:$D$3010,Cobranza!$B394,Recibos!K$4:K$3010)</f>
        <v>400</v>
      </c>
      <c r="AZ394" s="317">
        <f>SUMIF(Recibos!$D$4:$D$3010,Cobranza!$B394,Recibos!L$4:L$3010)</f>
        <v>400</v>
      </c>
      <c r="BA394" s="317">
        <f>SUMIF(Recibos!$D$4:$D$3010,Cobranza!$B394,Recibos!M$4:M$3010)</f>
        <v>400</v>
      </c>
      <c r="BB394" s="317">
        <f>SUMIF(Recibos!$D$4:$D$3010,Cobranza!$B394,Recibos!N$4:N$3010)</f>
        <v>400</v>
      </c>
      <c r="BC394" s="317">
        <f>SUMIF(Recibos!$D$4:$D$3010,Cobranza!$B394,Recibos!O$4:O$3010)</f>
        <v>400</v>
      </c>
      <c r="BD394" s="317">
        <f>SUMIF(Recibos!$D$4:$D$3010,Cobranza!$B394,Recibos!P$4:P$3010)</f>
        <v>400</v>
      </c>
      <c r="BE394" s="317">
        <f>SUMIF(Recibos!$D$4:$D$3010,Cobranza!$B394,Recibos!Q$4:Q$3010)</f>
        <v>400</v>
      </c>
      <c r="BF394" s="317">
        <f>SUMIF(Recibos!$D$4:$D$3010,Cobranza!$B394,Recibos!R$4:R$3010)</f>
        <v>400</v>
      </c>
      <c r="BG394" s="317">
        <f>SUMIF(Recibos!$D$4:$D$3010,Cobranza!$B394,Recibos!S$4:S$3010)</f>
        <v>400</v>
      </c>
      <c r="BH394" s="317">
        <f>SUMIF(Recibos!$D$4:$D$3010,Cobranza!$B394,Recibos!T$4:T$3010)</f>
        <v>400</v>
      </c>
      <c r="BI394" s="317">
        <f>SUMIF(Recibos!$D$4:$D$3010,Cobranza!$B394,Recibos!U$4:U$3010)</f>
        <v>400</v>
      </c>
      <c r="BJ394" s="317">
        <f>SUMIF(Recibos!$D$4:$D$3010,Cobranza!$B394,Recibos!V$4:V$3010)</f>
        <v>400</v>
      </c>
      <c r="BK394" s="318">
        <f t="shared" si="39"/>
        <v>4800</v>
      </c>
      <c r="BL394" s="317">
        <f>SUMIF(Recibos!$D$4:$D$3010,Cobranza!$B394,Recibos!X$4:X$3010)</f>
        <v>0</v>
      </c>
      <c r="BM394" s="317">
        <f>SUMIF(Recibos!$D$4:$D$3010,Cobranza!$B394,Recibos!Y$4:Y$3010)</f>
        <v>0</v>
      </c>
      <c r="BN394" s="317">
        <f>SUMIF(Recibos!$D$4:$D$3010,Cobranza!$B394,Recibos!Z$4:Z$3010)</f>
        <v>0</v>
      </c>
      <c r="BO394" s="317">
        <f>SUMIF(Recibos!$D$4:$D$3010,Cobranza!$B394,Recibos!AA$4:AA$3010)</f>
        <v>0</v>
      </c>
      <c r="BP394" s="317">
        <f>SUMIF(Recibos!$D$4:$D$3010,Cobranza!$B394,Recibos!AB$4:AB$3010)</f>
        <v>0</v>
      </c>
      <c r="BQ394" s="317">
        <f>SUMIF(Recibos!$D$4:$D$3010,Cobranza!$B394,Recibos!AC$4:AC$3010)</f>
        <v>0</v>
      </c>
      <c r="BR394" s="317">
        <f>SUMIF(Recibos!$D$4:$D$3010,Cobranza!$B394,Recibos!AD$4:AD$3010)</f>
        <v>0</v>
      </c>
      <c r="BS394" s="317">
        <f>SUMIF(Recibos!$D$4:$D$3010,Cobranza!$B394,Recibos!AE$4:AE$3010)</f>
        <v>0</v>
      </c>
      <c r="BT394" s="317">
        <f>SUMIF(Recibos!$D$4:$D$3010,Cobranza!$B394,Recibos!AF$4:AF$3010)</f>
        <v>0</v>
      </c>
      <c r="BU394" s="317">
        <f>SUMIF(Recibos!$D$4:$D$3010,Cobranza!$B394,Recibos!AG$4:AG$3010)</f>
        <v>0</v>
      </c>
      <c r="BV394" s="317">
        <f>SUMIF(Recibos!$D$4:$D$3010,Cobranza!$B394,Recibos!AH$4:AH$3010)</f>
        <v>0</v>
      </c>
      <c r="BW394" s="317">
        <f>SUMIF(Recibos!$D$4:$D$3010,Cobranza!$B394,Recibos!AI$4:AI$3010)</f>
        <v>0</v>
      </c>
      <c r="BX394" s="318">
        <f t="shared" si="40"/>
        <v>0</v>
      </c>
    </row>
    <row r="395" spans="2:76" x14ac:dyDescent="0.2">
      <c r="B395" s="45" t="s">
        <v>265</v>
      </c>
      <c r="C395" s="45" t="s">
        <v>266</v>
      </c>
      <c r="D395" s="45" t="s">
        <v>267</v>
      </c>
      <c r="E395" s="46">
        <v>0</v>
      </c>
      <c r="F395" s="46">
        <v>0</v>
      </c>
      <c r="G395" s="46">
        <v>0</v>
      </c>
      <c r="H395" s="46">
        <v>0</v>
      </c>
      <c r="I395" s="46">
        <v>0</v>
      </c>
      <c r="J395" s="46">
        <v>300</v>
      </c>
      <c r="K395" s="47">
        <f t="shared" ref="K395:K458" si="41">SUM(E395:J395)</f>
        <v>300</v>
      </c>
      <c r="L395" s="46">
        <v>0</v>
      </c>
      <c r="M395" s="46">
        <v>300</v>
      </c>
      <c r="N395" s="46">
        <v>300</v>
      </c>
      <c r="O395" s="46">
        <v>300</v>
      </c>
      <c r="P395" s="46">
        <v>300</v>
      </c>
      <c r="Q395" s="46">
        <v>300</v>
      </c>
      <c r="R395" s="46">
        <v>300</v>
      </c>
      <c r="S395" s="46">
        <v>300</v>
      </c>
      <c r="T395" s="46">
        <v>300</v>
      </c>
      <c r="U395" s="46">
        <v>400</v>
      </c>
      <c r="V395" s="46">
        <v>400</v>
      </c>
      <c r="W395" s="46">
        <v>400</v>
      </c>
      <c r="X395" s="47">
        <f t="shared" ref="X395:X458" si="42">SUM(L395:W395)</f>
        <v>3600</v>
      </c>
      <c r="Y395" s="46">
        <v>400</v>
      </c>
      <c r="Z395" s="46">
        <v>400</v>
      </c>
      <c r="AA395" s="46">
        <v>400</v>
      </c>
      <c r="AB395" s="46">
        <v>400</v>
      </c>
      <c r="AC395" s="46">
        <v>400</v>
      </c>
      <c r="AD395" s="46">
        <v>400</v>
      </c>
      <c r="AE395" s="46">
        <v>400</v>
      </c>
      <c r="AF395" s="46">
        <v>400</v>
      </c>
      <c r="AG395" s="46">
        <v>400</v>
      </c>
      <c r="AH395" s="46">
        <v>400</v>
      </c>
      <c r="AI395" s="46">
        <v>400</v>
      </c>
      <c r="AJ395" s="46">
        <v>400</v>
      </c>
      <c r="AK395" s="47">
        <f t="shared" ref="AK395:AK458" si="43">SUM(Y395:AJ395)</f>
        <v>4800</v>
      </c>
      <c r="AL395" s="46">
        <v>400</v>
      </c>
      <c r="AM395" s="46">
        <v>400</v>
      </c>
      <c r="AN395" s="46">
        <v>400</v>
      </c>
      <c r="AO395" s="46">
        <v>400</v>
      </c>
      <c r="AP395" s="46">
        <v>400</v>
      </c>
      <c r="AQ395" s="46">
        <v>400</v>
      </c>
      <c r="AR395" s="46">
        <v>400</v>
      </c>
      <c r="AS395" s="46">
        <v>400</v>
      </c>
      <c r="AT395" s="46">
        <v>400</v>
      </c>
      <c r="AU395" s="46">
        <v>400</v>
      </c>
      <c r="AV395" s="46">
        <v>400</v>
      </c>
      <c r="AW395" s="46">
        <v>400</v>
      </c>
      <c r="AX395" s="47">
        <f t="shared" ref="AX395:AX458" si="44">SUM(AL395:AW395)</f>
        <v>4800</v>
      </c>
      <c r="AY395" s="319">
        <f>SUMIF(Recibos!$D$4:$D$3010,Cobranza!$B395,Recibos!K$4:K$3010)</f>
        <v>400</v>
      </c>
      <c r="AZ395" s="319">
        <f>SUMIF(Recibos!$D$4:$D$3010,Cobranza!$B395,Recibos!L$4:L$3010)</f>
        <v>400</v>
      </c>
      <c r="BA395" s="319">
        <f>SUMIF(Recibos!$D$4:$D$3010,Cobranza!$B395,Recibos!M$4:M$3010)</f>
        <v>400</v>
      </c>
      <c r="BB395" s="319">
        <f>SUMIF(Recibos!$D$4:$D$3010,Cobranza!$B395,Recibos!N$4:N$3010)</f>
        <v>400</v>
      </c>
      <c r="BC395" s="319">
        <f>SUMIF(Recibos!$D$4:$D$3010,Cobranza!$B395,Recibos!O$4:O$3010)</f>
        <v>400</v>
      </c>
      <c r="BD395" s="319">
        <f>SUMIF(Recibos!$D$4:$D$3010,Cobranza!$B395,Recibos!P$4:P$3010)</f>
        <v>400</v>
      </c>
      <c r="BE395" s="319">
        <f>SUMIF(Recibos!$D$4:$D$3010,Cobranza!$B395,Recibos!Q$4:Q$3010)</f>
        <v>400</v>
      </c>
      <c r="BF395" s="319">
        <f>SUMIF(Recibos!$D$4:$D$3010,Cobranza!$B395,Recibos!R$4:R$3010)</f>
        <v>400</v>
      </c>
      <c r="BG395" s="319">
        <f>SUMIF(Recibos!$D$4:$D$3010,Cobranza!$B395,Recibos!S$4:S$3010)</f>
        <v>400</v>
      </c>
      <c r="BH395" s="319">
        <f>SUMIF(Recibos!$D$4:$D$3010,Cobranza!$B395,Recibos!T$4:T$3010)</f>
        <v>400</v>
      </c>
      <c r="BI395" s="319">
        <f>SUMIF(Recibos!$D$4:$D$3010,Cobranza!$B395,Recibos!U$4:U$3010)</f>
        <v>400</v>
      </c>
      <c r="BJ395" s="319">
        <f>SUMIF(Recibos!$D$4:$D$3010,Cobranza!$B395,Recibos!V$4:V$3010)</f>
        <v>400</v>
      </c>
      <c r="BK395" s="320">
        <f t="shared" si="39"/>
        <v>4800</v>
      </c>
      <c r="BL395" s="319">
        <f>SUMIF(Recibos!$D$4:$D$3010,Cobranza!$B395,Recibos!X$4:X$3010)</f>
        <v>0</v>
      </c>
      <c r="BM395" s="319">
        <f>SUMIF(Recibos!$D$4:$D$3010,Cobranza!$B395,Recibos!Y$4:Y$3010)</f>
        <v>0</v>
      </c>
      <c r="BN395" s="319">
        <f>SUMIF(Recibos!$D$4:$D$3010,Cobranza!$B395,Recibos!Z$4:Z$3010)</f>
        <v>0</v>
      </c>
      <c r="BO395" s="319">
        <f>SUMIF(Recibos!$D$4:$D$3010,Cobranza!$B395,Recibos!AA$4:AA$3010)</f>
        <v>0</v>
      </c>
      <c r="BP395" s="319">
        <f>SUMIF(Recibos!$D$4:$D$3010,Cobranza!$B395,Recibos!AB$4:AB$3010)</f>
        <v>0</v>
      </c>
      <c r="BQ395" s="319">
        <f>SUMIF(Recibos!$D$4:$D$3010,Cobranza!$B395,Recibos!AC$4:AC$3010)</f>
        <v>0</v>
      </c>
      <c r="BR395" s="319">
        <f>SUMIF(Recibos!$D$4:$D$3010,Cobranza!$B395,Recibos!AD$4:AD$3010)</f>
        <v>0</v>
      </c>
      <c r="BS395" s="319">
        <f>SUMIF(Recibos!$D$4:$D$3010,Cobranza!$B395,Recibos!AE$4:AE$3010)</f>
        <v>0</v>
      </c>
      <c r="BT395" s="319">
        <f>SUMIF(Recibos!$D$4:$D$3010,Cobranza!$B395,Recibos!AF$4:AF$3010)</f>
        <v>0</v>
      </c>
      <c r="BU395" s="319">
        <f>SUMIF(Recibos!$D$4:$D$3010,Cobranza!$B395,Recibos!AG$4:AG$3010)</f>
        <v>0</v>
      </c>
      <c r="BV395" s="319">
        <f>SUMIF(Recibos!$D$4:$D$3010,Cobranza!$B395,Recibos!AH$4:AH$3010)</f>
        <v>0</v>
      </c>
      <c r="BW395" s="319">
        <f>SUMIF(Recibos!$D$4:$D$3010,Cobranza!$B395,Recibos!AI$4:AI$3010)</f>
        <v>0</v>
      </c>
      <c r="BX395" s="320">
        <f t="shared" si="40"/>
        <v>0</v>
      </c>
    </row>
    <row r="396" spans="2:76" x14ac:dyDescent="0.2">
      <c r="B396" s="42" t="s">
        <v>428</v>
      </c>
      <c r="C396" s="42" t="s">
        <v>429</v>
      </c>
      <c r="D396" s="42" t="s">
        <v>430</v>
      </c>
      <c r="E396" s="43">
        <v>0</v>
      </c>
      <c r="F396" s="43">
        <v>0</v>
      </c>
      <c r="G396" s="43">
        <v>0</v>
      </c>
      <c r="H396" s="43">
        <v>0</v>
      </c>
      <c r="I396" s="43">
        <v>0</v>
      </c>
      <c r="J396" s="43">
        <v>0</v>
      </c>
      <c r="K396" s="44">
        <f t="shared" si="41"/>
        <v>0</v>
      </c>
      <c r="L396" s="43">
        <v>300</v>
      </c>
      <c r="M396" s="43">
        <v>300</v>
      </c>
      <c r="N396" s="43">
        <v>300</v>
      </c>
      <c r="O396" s="43">
        <v>300</v>
      </c>
      <c r="P396" s="43">
        <v>300</v>
      </c>
      <c r="Q396" s="43">
        <v>300</v>
      </c>
      <c r="R396" s="43">
        <v>300</v>
      </c>
      <c r="S396" s="43">
        <v>300</v>
      </c>
      <c r="T396" s="43">
        <v>300</v>
      </c>
      <c r="U396" s="43">
        <v>400</v>
      </c>
      <c r="V396" s="43">
        <v>400</v>
      </c>
      <c r="W396" s="43">
        <v>400</v>
      </c>
      <c r="X396" s="44">
        <f t="shared" si="42"/>
        <v>3900</v>
      </c>
      <c r="Y396" s="43">
        <v>400</v>
      </c>
      <c r="Z396" s="43">
        <v>400</v>
      </c>
      <c r="AA396" s="43">
        <v>400</v>
      </c>
      <c r="AB396" s="43">
        <v>400</v>
      </c>
      <c r="AC396" s="43">
        <v>400</v>
      </c>
      <c r="AD396" s="43">
        <v>400</v>
      </c>
      <c r="AE396" s="43">
        <v>400</v>
      </c>
      <c r="AF396" s="43">
        <v>400</v>
      </c>
      <c r="AG396" s="43">
        <v>400</v>
      </c>
      <c r="AH396" s="43">
        <v>400</v>
      </c>
      <c r="AI396" s="43">
        <v>400</v>
      </c>
      <c r="AJ396" s="43">
        <v>0</v>
      </c>
      <c r="AK396" s="44">
        <f t="shared" si="43"/>
        <v>4400</v>
      </c>
      <c r="AL396" s="43">
        <v>400</v>
      </c>
      <c r="AM396" s="43">
        <v>400</v>
      </c>
      <c r="AN396" s="43">
        <v>400</v>
      </c>
      <c r="AO396" s="43">
        <v>400</v>
      </c>
      <c r="AP396" s="43">
        <v>400</v>
      </c>
      <c r="AQ396" s="43">
        <v>400</v>
      </c>
      <c r="AR396" s="43">
        <v>400</v>
      </c>
      <c r="AS396" s="43">
        <v>400</v>
      </c>
      <c r="AT396" s="43">
        <v>400</v>
      </c>
      <c r="AU396" s="43">
        <v>400</v>
      </c>
      <c r="AV396" s="43">
        <v>400</v>
      </c>
      <c r="AW396" s="43">
        <v>0</v>
      </c>
      <c r="AX396" s="44">
        <f t="shared" si="44"/>
        <v>4400</v>
      </c>
      <c r="AY396" s="317">
        <f>SUMIF(Recibos!$D$4:$D$3010,Cobranza!$B396,Recibos!K$4:K$3010)</f>
        <v>400</v>
      </c>
      <c r="AZ396" s="317">
        <f>SUMIF(Recibos!$D$4:$D$3010,Cobranza!$B396,Recibos!L$4:L$3010)</f>
        <v>400</v>
      </c>
      <c r="BA396" s="317">
        <f>SUMIF(Recibos!$D$4:$D$3010,Cobranza!$B396,Recibos!M$4:M$3010)</f>
        <v>400</v>
      </c>
      <c r="BB396" s="317">
        <f>SUMIF(Recibos!$D$4:$D$3010,Cobranza!$B396,Recibos!N$4:N$3010)</f>
        <v>400</v>
      </c>
      <c r="BC396" s="317">
        <f>SUMIF(Recibos!$D$4:$D$3010,Cobranza!$B396,Recibos!O$4:O$3010)</f>
        <v>400</v>
      </c>
      <c r="BD396" s="317">
        <f>SUMIF(Recibos!$D$4:$D$3010,Cobranza!$B396,Recibos!P$4:P$3010)</f>
        <v>400</v>
      </c>
      <c r="BE396" s="317">
        <f>SUMIF(Recibos!$D$4:$D$3010,Cobranza!$B396,Recibos!Q$4:Q$3010)</f>
        <v>400</v>
      </c>
      <c r="BF396" s="317">
        <f>SUMIF(Recibos!$D$4:$D$3010,Cobranza!$B396,Recibos!R$4:R$3010)</f>
        <v>400</v>
      </c>
      <c r="BG396" s="317">
        <f>SUMIF(Recibos!$D$4:$D$3010,Cobranza!$B396,Recibos!S$4:S$3010)</f>
        <v>400</v>
      </c>
      <c r="BH396" s="317">
        <f>SUMIF(Recibos!$D$4:$D$3010,Cobranza!$B396,Recibos!T$4:T$3010)</f>
        <v>400</v>
      </c>
      <c r="BI396" s="317">
        <f>SUMIF(Recibos!$D$4:$D$3010,Cobranza!$B396,Recibos!U$4:U$3010)</f>
        <v>400</v>
      </c>
      <c r="BJ396" s="317">
        <f>SUMIF(Recibos!$D$4:$D$3010,Cobranza!$B396,Recibos!V$4:V$3010)</f>
        <v>0</v>
      </c>
      <c r="BK396" s="318">
        <f t="shared" si="39"/>
        <v>4400</v>
      </c>
      <c r="BL396" s="317">
        <f>SUMIF(Recibos!$D$4:$D$3010,Cobranza!$B396,Recibos!X$4:X$3010)</f>
        <v>0</v>
      </c>
      <c r="BM396" s="317">
        <f>SUMIF(Recibos!$D$4:$D$3010,Cobranza!$B396,Recibos!Y$4:Y$3010)</f>
        <v>0</v>
      </c>
      <c r="BN396" s="317">
        <f>SUMIF(Recibos!$D$4:$D$3010,Cobranza!$B396,Recibos!Z$4:Z$3010)</f>
        <v>0</v>
      </c>
      <c r="BO396" s="317">
        <f>SUMIF(Recibos!$D$4:$D$3010,Cobranza!$B396,Recibos!AA$4:AA$3010)</f>
        <v>0</v>
      </c>
      <c r="BP396" s="317">
        <f>SUMIF(Recibos!$D$4:$D$3010,Cobranza!$B396,Recibos!AB$4:AB$3010)</f>
        <v>0</v>
      </c>
      <c r="BQ396" s="317">
        <f>SUMIF(Recibos!$D$4:$D$3010,Cobranza!$B396,Recibos!AC$4:AC$3010)</f>
        <v>0</v>
      </c>
      <c r="BR396" s="317">
        <f>SUMIF(Recibos!$D$4:$D$3010,Cobranza!$B396,Recibos!AD$4:AD$3010)</f>
        <v>0</v>
      </c>
      <c r="BS396" s="317">
        <f>SUMIF(Recibos!$D$4:$D$3010,Cobranza!$B396,Recibos!AE$4:AE$3010)</f>
        <v>0</v>
      </c>
      <c r="BT396" s="317">
        <f>SUMIF(Recibos!$D$4:$D$3010,Cobranza!$B396,Recibos!AF$4:AF$3010)</f>
        <v>0</v>
      </c>
      <c r="BU396" s="317">
        <f>SUMIF(Recibos!$D$4:$D$3010,Cobranza!$B396,Recibos!AG$4:AG$3010)</f>
        <v>0</v>
      </c>
      <c r="BV396" s="317">
        <f>SUMIF(Recibos!$D$4:$D$3010,Cobranza!$B396,Recibos!AH$4:AH$3010)</f>
        <v>0</v>
      </c>
      <c r="BW396" s="317">
        <f>SUMIF(Recibos!$D$4:$D$3010,Cobranza!$B396,Recibos!AI$4:AI$3010)</f>
        <v>0</v>
      </c>
      <c r="BX396" s="318">
        <f t="shared" si="40"/>
        <v>0</v>
      </c>
    </row>
    <row r="397" spans="2:76" x14ac:dyDescent="0.2">
      <c r="B397" s="45" t="s">
        <v>562</v>
      </c>
      <c r="C397" s="45" t="s">
        <v>563</v>
      </c>
      <c r="D397" s="45" t="s">
        <v>564</v>
      </c>
      <c r="E397" s="46">
        <v>0</v>
      </c>
      <c r="F397" s="46">
        <v>0</v>
      </c>
      <c r="G397" s="46">
        <v>0</v>
      </c>
      <c r="H397" s="46">
        <v>0</v>
      </c>
      <c r="I397" s="46">
        <v>0</v>
      </c>
      <c r="J397" s="46">
        <v>300</v>
      </c>
      <c r="K397" s="47">
        <f t="shared" si="41"/>
        <v>300</v>
      </c>
      <c r="L397" s="46">
        <v>300</v>
      </c>
      <c r="M397" s="46">
        <v>300</v>
      </c>
      <c r="N397" s="46">
        <v>300</v>
      </c>
      <c r="O397" s="46">
        <v>300</v>
      </c>
      <c r="P397" s="46">
        <v>300</v>
      </c>
      <c r="Q397" s="46">
        <v>300</v>
      </c>
      <c r="R397" s="46">
        <v>300</v>
      </c>
      <c r="S397" s="46">
        <v>300</v>
      </c>
      <c r="T397" s="46">
        <v>300</v>
      </c>
      <c r="U397" s="46">
        <v>400</v>
      </c>
      <c r="V397" s="46">
        <v>400</v>
      </c>
      <c r="W397" s="46">
        <v>400</v>
      </c>
      <c r="X397" s="47">
        <f t="shared" si="42"/>
        <v>3900</v>
      </c>
      <c r="Y397" s="46">
        <v>400</v>
      </c>
      <c r="Z397" s="46">
        <v>400</v>
      </c>
      <c r="AA397" s="46">
        <v>400</v>
      </c>
      <c r="AB397" s="46">
        <v>400</v>
      </c>
      <c r="AC397" s="46">
        <v>400</v>
      </c>
      <c r="AD397" s="46">
        <v>400</v>
      </c>
      <c r="AE397" s="46">
        <v>0</v>
      </c>
      <c r="AF397" s="46">
        <v>400</v>
      </c>
      <c r="AG397" s="46">
        <v>400</v>
      </c>
      <c r="AH397" s="46">
        <v>400</v>
      </c>
      <c r="AI397" s="46">
        <v>400</v>
      </c>
      <c r="AJ397" s="46">
        <v>400</v>
      </c>
      <c r="AK397" s="47">
        <f t="shared" si="43"/>
        <v>4400</v>
      </c>
      <c r="AL397" s="46">
        <v>400</v>
      </c>
      <c r="AM397" s="46">
        <v>400</v>
      </c>
      <c r="AN397" s="46">
        <v>400</v>
      </c>
      <c r="AO397" s="46">
        <v>400</v>
      </c>
      <c r="AP397" s="46">
        <v>400</v>
      </c>
      <c r="AQ397" s="46">
        <v>400</v>
      </c>
      <c r="AR397" s="46">
        <v>400</v>
      </c>
      <c r="AS397" s="46">
        <v>400</v>
      </c>
      <c r="AT397" s="46">
        <v>400</v>
      </c>
      <c r="AU397" s="46">
        <v>400</v>
      </c>
      <c r="AV397" s="46">
        <v>0</v>
      </c>
      <c r="AW397" s="46">
        <v>0</v>
      </c>
      <c r="AX397" s="47">
        <f t="shared" si="44"/>
        <v>4000</v>
      </c>
      <c r="AY397" s="319">
        <f>SUMIF(Recibos!$D$4:$D$3010,Cobranza!$B397,Recibos!K$4:K$3010)</f>
        <v>400</v>
      </c>
      <c r="AZ397" s="319">
        <f>SUMIF(Recibos!$D$4:$D$3010,Cobranza!$B397,Recibos!L$4:L$3010)</f>
        <v>400</v>
      </c>
      <c r="BA397" s="319">
        <f>SUMIF(Recibos!$D$4:$D$3010,Cobranza!$B397,Recibos!M$4:M$3010)</f>
        <v>400</v>
      </c>
      <c r="BB397" s="319">
        <f>SUMIF(Recibos!$D$4:$D$3010,Cobranza!$B397,Recibos!N$4:N$3010)</f>
        <v>400</v>
      </c>
      <c r="BC397" s="319">
        <f>SUMIF(Recibos!$D$4:$D$3010,Cobranza!$B397,Recibos!O$4:O$3010)</f>
        <v>400</v>
      </c>
      <c r="BD397" s="319">
        <f>SUMIF(Recibos!$D$4:$D$3010,Cobranza!$B397,Recibos!P$4:P$3010)</f>
        <v>400</v>
      </c>
      <c r="BE397" s="319">
        <f>SUMIF(Recibos!$D$4:$D$3010,Cobranza!$B397,Recibos!Q$4:Q$3010)</f>
        <v>400</v>
      </c>
      <c r="BF397" s="319">
        <f>SUMIF(Recibos!$D$4:$D$3010,Cobranza!$B397,Recibos!R$4:R$3010)</f>
        <v>400</v>
      </c>
      <c r="BG397" s="319">
        <f>SUMIF(Recibos!$D$4:$D$3010,Cobranza!$B397,Recibos!S$4:S$3010)</f>
        <v>400</v>
      </c>
      <c r="BH397" s="319">
        <f>SUMIF(Recibos!$D$4:$D$3010,Cobranza!$B397,Recibos!T$4:T$3010)</f>
        <v>400</v>
      </c>
      <c r="BI397" s="319">
        <f>SUMIF(Recibos!$D$4:$D$3010,Cobranza!$B397,Recibos!U$4:U$3010)</f>
        <v>400</v>
      </c>
      <c r="BJ397" s="319">
        <f>SUMIF(Recibos!$D$4:$D$3010,Cobranza!$B397,Recibos!V$4:V$3010)</f>
        <v>400</v>
      </c>
      <c r="BK397" s="320">
        <f t="shared" si="39"/>
        <v>4800</v>
      </c>
      <c r="BL397" s="319">
        <f>SUMIF(Recibos!$D$4:$D$3010,Cobranza!$B397,Recibos!X$4:X$3010)</f>
        <v>0</v>
      </c>
      <c r="BM397" s="319">
        <f>SUMIF(Recibos!$D$4:$D$3010,Cobranza!$B397,Recibos!Y$4:Y$3010)</f>
        <v>0</v>
      </c>
      <c r="BN397" s="319">
        <f>SUMIF(Recibos!$D$4:$D$3010,Cobranza!$B397,Recibos!Z$4:Z$3010)</f>
        <v>0</v>
      </c>
      <c r="BO397" s="319">
        <f>SUMIF(Recibos!$D$4:$D$3010,Cobranza!$B397,Recibos!AA$4:AA$3010)</f>
        <v>0</v>
      </c>
      <c r="BP397" s="319">
        <f>SUMIF(Recibos!$D$4:$D$3010,Cobranza!$B397,Recibos!AB$4:AB$3010)</f>
        <v>0</v>
      </c>
      <c r="BQ397" s="319">
        <f>SUMIF(Recibos!$D$4:$D$3010,Cobranza!$B397,Recibos!AC$4:AC$3010)</f>
        <v>0</v>
      </c>
      <c r="BR397" s="319">
        <f>SUMIF(Recibos!$D$4:$D$3010,Cobranza!$B397,Recibos!AD$4:AD$3010)</f>
        <v>0</v>
      </c>
      <c r="BS397" s="319">
        <f>SUMIF(Recibos!$D$4:$D$3010,Cobranza!$B397,Recibos!AE$4:AE$3010)</f>
        <v>0</v>
      </c>
      <c r="BT397" s="319">
        <f>SUMIF(Recibos!$D$4:$D$3010,Cobranza!$B397,Recibos!AF$4:AF$3010)</f>
        <v>0</v>
      </c>
      <c r="BU397" s="319">
        <f>SUMIF(Recibos!$D$4:$D$3010,Cobranza!$B397,Recibos!AG$4:AG$3010)</f>
        <v>0</v>
      </c>
      <c r="BV397" s="319">
        <f>SUMIF(Recibos!$D$4:$D$3010,Cobranza!$B397,Recibos!AH$4:AH$3010)</f>
        <v>0</v>
      </c>
      <c r="BW397" s="319">
        <f>SUMIF(Recibos!$D$4:$D$3010,Cobranza!$B397,Recibos!AI$4:AI$3010)</f>
        <v>0</v>
      </c>
      <c r="BX397" s="320">
        <f t="shared" si="40"/>
        <v>0</v>
      </c>
    </row>
    <row r="398" spans="2:76" x14ac:dyDescent="0.2">
      <c r="B398" s="42" t="s">
        <v>343</v>
      </c>
      <c r="C398" s="42" t="s">
        <v>344</v>
      </c>
      <c r="D398" s="42" t="s">
        <v>345</v>
      </c>
      <c r="E398" s="43">
        <v>0</v>
      </c>
      <c r="F398" s="43">
        <v>0</v>
      </c>
      <c r="G398" s="43">
        <v>0</v>
      </c>
      <c r="H398" s="43">
        <v>0</v>
      </c>
      <c r="I398" s="43">
        <v>0</v>
      </c>
      <c r="J398" s="43">
        <v>300</v>
      </c>
      <c r="K398" s="44">
        <f t="shared" si="41"/>
        <v>300</v>
      </c>
      <c r="L398" s="43">
        <v>300</v>
      </c>
      <c r="M398" s="43">
        <v>300</v>
      </c>
      <c r="N398" s="43">
        <v>300</v>
      </c>
      <c r="O398" s="43">
        <v>300</v>
      </c>
      <c r="P398" s="43">
        <v>300</v>
      </c>
      <c r="Q398" s="43">
        <v>300</v>
      </c>
      <c r="R398" s="43">
        <v>300</v>
      </c>
      <c r="S398" s="43">
        <v>300</v>
      </c>
      <c r="T398" s="43">
        <v>0</v>
      </c>
      <c r="U398" s="43">
        <v>300</v>
      </c>
      <c r="V398" s="43">
        <v>400</v>
      </c>
      <c r="W398" s="43">
        <v>400</v>
      </c>
      <c r="X398" s="44">
        <f t="shared" si="42"/>
        <v>3500</v>
      </c>
      <c r="Y398" s="43">
        <v>400</v>
      </c>
      <c r="Z398" s="43">
        <v>400</v>
      </c>
      <c r="AA398" s="43">
        <v>400</v>
      </c>
      <c r="AB398" s="43">
        <v>400</v>
      </c>
      <c r="AC398" s="43">
        <v>400</v>
      </c>
      <c r="AD398" s="43">
        <v>400</v>
      </c>
      <c r="AE398" s="43">
        <v>400</v>
      </c>
      <c r="AF398" s="43">
        <v>400</v>
      </c>
      <c r="AG398" s="43">
        <v>400</v>
      </c>
      <c r="AH398" s="43">
        <v>400</v>
      </c>
      <c r="AI398" s="43">
        <v>400</v>
      </c>
      <c r="AJ398" s="43">
        <v>400</v>
      </c>
      <c r="AK398" s="44">
        <f t="shared" si="43"/>
        <v>4800</v>
      </c>
      <c r="AL398" s="43">
        <v>400</v>
      </c>
      <c r="AM398" s="43">
        <v>400</v>
      </c>
      <c r="AN398" s="43">
        <v>400</v>
      </c>
      <c r="AO398" s="43">
        <v>400</v>
      </c>
      <c r="AP398" s="43">
        <v>400</v>
      </c>
      <c r="AQ398" s="43">
        <v>400</v>
      </c>
      <c r="AR398" s="43">
        <v>400</v>
      </c>
      <c r="AS398" s="43">
        <v>400</v>
      </c>
      <c r="AT398" s="43">
        <v>400</v>
      </c>
      <c r="AU398" s="43">
        <v>400</v>
      </c>
      <c r="AV398" s="43">
        <v>400</v>
      </c>
      <c r="AW398" s="43">
        <v>400</v>
      </c>
      <c r="AX398" s="44">
        <f t="shared" si="44"/>
        <v>4800</v>
      </c>
      <c r="AY398" s="317">
        <f>SUMIF(Recibos!$D$4:$D$3010,Cobranza!$B398,Recibos!K$4:K$3010)</f>
        <v>400</v>
      </c>
      <c r="AZ398" s="317">
        <f>SUMIF(Recibos!$D$4:$D$3010,Cobranza!$B398,Recibos!L$4:L$3010)</f>
        <v>400</v>
      </c>
      <c r="BA398" s="317">
        <f>SUMIF(Recibos!$D$4:$D$3010,Cobranza!$B398,Recibos!M$4:M$3010)</f>
        <v>400</v>
      </c>
      <c r="BB398" s="317">
        <f>SUMIF(Recibos!$D$4:$D$3010,Cobranza!$B398,Recibos!N$4:N$3010)</f>
        <v>400</v>
      </c>
      <c r="BC398" s="317">
        <f>SUMIF(Recibos!$D$4:$D$3010,Cobranza!$B398,Recibos!O$4:O$3010)</f>
        <v>400</v>
      </c>
      <c r="BD398" s="317">
        <f>SUMIF(Recibos!$D$4:$D$3010,Cobranza!$B398,Recibos!P$4:P$3010)</f>
        <v>400</v>
      </c>
      <c r="BE398" s="317">
        <f>SUMIF(Recibos!$D$4:$D$3010,Cobranza!$B398,Recibos!Q$4:Q$3010)</f>
        <v>400</v>
      </c>
      <c r="BF398" s="317">
        <f>SUMIF(Recibos!$D$4:$D$3010,Cobranza!$B398,Recibos!R$4:R$3010)</f>
        <v>400</v>
      </c>
      <c r="BG398" s="317">
        <f>SUMIF(Recibos!$D$4:$D$3010,Cobranza!$B398,Recibos!S$4:S$3010)</f>
        <v>400</v>
      </c>
      <c r="BH398" s="317">
        <f>SUMIF(Recibos!$D$4:$D$3010,Cobranza!$B398,Recibos!T$4:T$3010)</f>
        <v>400</v>
      </c>
      <c r="BI398" s="317">
        <f>SUMIF(Recibos!$D$4:$D$3010,Cobranza!$B398,Recibos!U$4:U$3010)</f>
        <v>400</v>
      </c>
      <c r="BJ398" s="317">
        <f>SUMIF(Recibos!$D$4:$D$3010,Cobranza!$B398,Recibos!V$4:V$3010)</f>
        <v>400</v>
      </c>
      <c r="BK398" s="318">
        <f t="shared" si="39"/>
        <v>4800</v>
      </c>
      <c r="BL398" s="317">
        <f>SUMIF(Recibos!$D$4:$D$3010,Cobranza!$B398,Recibos!X$4:X$3010)</f>
        <v>0</v>
      </c>
      <c r="BM398" s="317">
        <f>SUMIF(Recibos!$D$4:$D$3010,Cobranza!$B398,Recibos!Y$4:Y$3010)</f>
        <v>0</v>
      </c>
      <c r="BN398" s="317">
        <f>SUMIF(Recibos!$D$4:$D$3010,Cobranza!$B398,Recibos!Z$4:Z$3010)</f>
        <v>0</v>
      </c>
      <c r="BO398" s="317">
        <f>SUMIF(Recibos!$D$4:$D$3010,Cobranza!$B398,Recibos!AA$4:AA$3010)</f>
        <v>0</v>
      </c>
      <c r="BP398" s="317">
        <f>SUMIF(Recibos!$D$4:$D$3010,Cobranza!$B398,Recibos!AB$4:AB$3010)</f>
        <v>0</v>
      </c>
      <c r="BQ398" s="317">
        <f>SUMIF(Recibos!$D$4:$D$3010,Cobranza!$B398,Recibos!AC$4:AC$3010)</f>
        <v>0</v>
      </c>
      <c r="BR398" s="317">
        <f>SUMIF(Recibos!$D$4:$D$3010,Cobranza!$B398,Recibos!AD$4:AD$3010)</f>
        <v>0</v>
      </c>
      <c r="BS398" s="317">
        <f>SUMIF(Recibos!$D$4:$D$3010,Cobranza!$B398,Recibos!AE$4:AE$3010)</f>
        <v>0</v>
      </c>
      <c r="BT398" s="317">
        <f>SUMIF(Recibos!$D$4:$D$3010,Cobranza!$B398,Recibos!AF$4:AF$3010)</f>
        <v>0</v>
      </c>
      <c r="BU398" s="317">
        <f>SUMIF(Recibos!$D$4:$D$3010,Cobranza!$B398,Recibos!AG$4:AG$3010)</f>
        <v>0</v>
      </c>
      <c r="BV398" s="317">
        <f>SUMIF(Recibos!$D$4:$D$3010,Cobranza!$B398,Recibos!AH$4:AH$3010)</f>
        <v>0</v>
      </c>
      <c r="BW398" s="317">
        <f>SUMIF(Recibos!$D$4:$D$3010,Cobranza!$B398,Recibos!AI$4:AI$3010)</f>
        <v>0</v>
      </c>
      <c r="BX398" s="318">
        <f t="shared" si="40"/>
        <v>0</v>
      </c>
    </row>
    <row r="399" spans="2:76" x14ac:dyDescent="0.2">
      <c r="B399" s="45" t="s">
        <v>1172</v>
      </c>
      <c r="C399" s="45" t="s">
        <v>1173</v>
      </c>
      <c r="D399" s="45" t="s">
        <v>1147</v>
      </c>
      <c r="E399" s="46">
        <v>0</v>
      </c>
      <c r="F399" s="46">
        <v>0</v>
      </c>
      <c r="G399" s="46">
        <v>0</v>
      </c>
      <c r="H399" s="46">
        <v>0</v>
      </c>
      <c r="I399" s="46">
        <v>0</v>
      </c>
      <c r="J399" s="46">
        <v>0</v>
      </c>
      <c r="K399" s="47">
        <f t="shared" si="41"/>
        <v>0</v>
      </c>
      <c r="L399" s="46">
        <v>0</v>
      </c>
      <c r="M399" s="46">
        <v>0</v>
      </c>
      <c r="N399" s="46">
        <v>0</v>
      </c>
      <c r="O399" s="46">
        <v>0</v>
      </c>
      <c r="P399" s="46">
        <v>0</v>
      </c>
      <c r="Q399" s="46">
        <v>0</v>
      </c>
      <c r="R399" s="46">
        <v>0</v>
      </c>
      <c r="S399" s="46">
        <v>0</v>
      </c>
      <c r="T399" s="46">
        <v>0</v>
      </c>
      <c r="U399" s="46">
        <v>0</v>
      </c>
      <c r="V399" s="46">
        <v>0</v>
      </c>
      <c r="W399" s="46">
        <v>0</v>
      </c>
      <c r="X399" s="47">
        <f t="shared" si="42"/>
        <v>0</v>
      </c>
      <c r="Y399" s="46">
        <v>0</v>
      </c>
      <c r="Z399" s="46">
        <v>0</v>
      </c>
      <c r="AA399" s="46">
        <v>0</v>
      </c>
      <c r="AB399" s="46">
        <v>0</v>
      </c>
      <c r="AC399" s="46">
        <v>0</v>
      </c>
      <c r="AD399" s="46">
        <v>0</v>
      </c>
      <c r="AE399" s="46">
        <v>0</v>
      </c>
      <c r="AF399" s="46">
        <v>0</v>
      </c>
      <c r="AG399" s="46">
        <v>0</v>
      </c>
      <c r="AH399" s="46">
        <v>0</v>
      </c>
      <c r="AI399" s="46">
        <v>0</v>
      </c>
      <c r="AJ399" s="46">
        <v>0</v>
      </c>
      <c r="AK399" s="47">
        <f t="shared" si="43"/>
        <v>0</v>
      </c>
      <c r="AL399" s="46">
        <v>0</v>
      </c>
      <c r="AM399" s="46">
        <v>0</v>
      </c>
      <c r="AN399" s="46">
        <v>0</v>
      </c>
      <c r="AO399" s="46">
        <v>0</v>
      </c>
      <c r="AP399" s="46">
        <v>0</v>
      </c>
      <c r="AQ399" s="46">
        <v>0</v>
      </c>
      <c r="AR399" s="46">
        <v>0</v>
      </c>
      <c r="AS399" s="46">
        <v>0</v>
      </c>
      <c r="AT399" s="46">
        <v>0</v>
      </c>
      <c r="AU399" s="46">
        <v>0</v>
      </c>
      <c r="AV399" s="46">
        <v>0</v>
      </c>
      <c r="AW399" s="46">
        <v>0</v>
      </c>
      <c r="AX399" s="47">
        <f t="shared" si="44"/>
        <v>0</v>
      </c>
      <c r="AY399" s="319">
        <f>SUMIF(Recibos!$D$4:$D$3010,Cobranza!$B399,Recibos!K$4:K$3010)</f>
        <v>0</v>
      </c>
      <c r="AZ399" s="319">
        <f>SUMIF(Recibos!$D$4:$D$3010,Cobranza!$B399,Recibos!L$4:L$3010)</f>
        <v>0</v>
      </c>
      <c r="BA399" s="319">
        <f>SUMIF(Recibos!$D$4:$D$3010,Cobranza!$B399,Recibos!M$4:M$3010)</f>
        <v>0</v>
      </c>
      <c r="BB399" s="319">
        <f>SUMIF(Recibos!$D$4:$D$3010,Cobranza!$B399,Recibos!N$4:N$3010)</f>
        <v>0</v>
      </c>
      <c r="BC399" s="319">
        <f>SUMIF(Recibos!$D$4:$D$3010,Cobranza!$B399,Recibos!O$4:O$3010)</f>
        <v>0</v>
      </c>
      <c r="BD399" s="319">
        <f>SUMIF(Recibos!$D$4:$D$3010,Cobranza!$B399,Recibos!P$4:P$3010)</f>
        <v>0</v>
      </c>
      <c r="BE399" s="319">
        <f>SUMIF(Recibos!$D$4:$D$3010,Cobranza!$B399,Recibos!Q$4:Q$3010)</f>
        <v>0</v>
      </c>
      <c r="BF399" s="319">
        <f>SUMIF(Recibos!$D$4:$D$3010,Cobranza!$B399,Recibos!R$4:R$3010)</f>
        <v>0</v>
      </c>
      <c r="BG399" s="319">
        <f>SUMIF(Recibos!$D$4:$D$3010,Cobranza!$B399,Recibos!S$4:S$3010)</f>
        <v>0</v>
      </c>
      <c r="BH399" s="319">
        <f>SUMIF(Recibos!$D$4:$D$3010,Cobranza!$B399,Recibos!T$4:T$3010)</f>
        <v>0</v>
      </c>
      <c r="BI399" s="319">
        <f>SUMIF(Recibos!$D$4:$D$3010,Cobranza!$B399,Recibos!U$4:U$3010)</f>
        <v>0</v>
      </c>
      <c r="BJ399" s="319">
        <f>SUMIF(Recibos!$D$4:$D$3010,Cobranza!$B399,Recibos!V$4:V$3010)</f>
        <v>0</v>
      </c>
      <c r="BK399" s="320">
        <f t="shared" si="39"/>
        <v>0</v>
      </c>
      <c r="BL399" s="319">
        <f>SUMIF(Recibos!$D$4:$D$3010,Cobranza!$B399,Recibos!X$4:X$3010)</f>
        <v>0</v>
      </c>
      <c r="BM399" s="319">
        <f>SUMIF(Recibos!$D$4:$D$3010,Cobranza!$B399,Recibos!Y$4:Y$3010)</f>
        <v>0</v>
      </c>
      <c r="BN399" s="319">
        <f>SUMIF(Recibos!$D$4:$D$3010,Cobranza!$B399,Recibos!Z$4:Z$3010)</f>
        <v>0</v>
      </c>
      <c r="BO399" s="319">
        <f>SUMIF(Recibos!$D$4:$D$3010,Cobranza!$B399,Recibos!AA$4:AA$3010)</f>
        <v>0</v>
      </c>
      <c r="BP399" s="319">
        <f>SUMIF(Recibos!$D$4:$D$3010,Cobranza!$B399,Recibos!AB$4:AB$3010)</f>
        <v>0</v>
      </c>
      <c r="BQ399" s="319">
        <f>SUMIF(Recibos!$D$4:$D$3010,Cobranza!$B399,Recibos!AC$4:AC$3010)</f>
        <v>0</v>
      </c>
      <c r="BR399" s="319">
        <f>SUMIF(Recibos!$D$4:$D$3010,Cobranza!$B399,Recibos!AD$4:AD$3010)</f>
        <v>0</v>
      </c>
      <c r="BS399" s="319">
        <f>SUMIF(Recibos!$D$4:$D$3010,Cobranza!$B399,Recibos!AE$4:AE$3010)</f>
        <v>0</v>
      </c>
      <c r="BT399" s="319">
        <f>SUMIF(Recibos!$D$4:$D$3010,Cobranza!$B399,Recibos!AF$4:AF$3010)</f>
        <v>0</v>
      </c>
      <c r="BU399" s="319">
        <f>SUMIF(Recibos!$D$4:$D$3010,Cobranza!$B399,Recibos!AG$4:AG$3010)</f>
        <v>0</v>
      </c>
      <c r="BV399" s="319">
        <f>SUMIF(Recibos!$D$4:$D$3010,Cobranza!$B399,Recibos!AH$4:AH$3010)</f>
        <v>0</v>
      </c>
      <c r="BW399" s="319">
        <f>SUMIF(Recibos!$D$4:$D$3010,Cobranza!$B399,Recibos!AI$4:AI$3010)</f>
        <v>0</v>
      </c>
      <c r="BX399" s="320">
        <f t="shared" si="40"/>
        <v>0</v>
      </c>
    </row>
    <row r="400" spans="2:76" x14ac:dyDescent="0.2">
      <c r="B400" s="42" t="s">
        <v>643</v>
      </c>
      <c r="C400" s="42" t="s">
        <v>644</v>
      </c>
      <c r="D400" s="42" t="s">
        <v>645</v>
      </c>
      <c r="E400" s="43">
        <v>0</v>
      </c>
      <c r="F400" s="43">
        <v>0</v>
      </c>
      <c r="G400" s="43">
        <v>0</v>
      </c>
      <c r="H400" s="43">
        <v>0</v>
      </c>
      <c r="I400" s="43">
        <v>0</v>
      </c>
      <c r="J400" s="43">
        <v>0</v>
      </c>
      <c r="K400" s="44">
        <f t="shared" si="41"/>
        <v>0</v>
      </c>
      <c r="L400" s="43">
        <v>150</v>
      </c>
      <c r="M400" s="43">
        <v>150</v>
      </c>
      <c r="N400" s="43">
        <v>150</v>
      </c>
      <c r="O400" s="43">
        <v>150</v>
      </c>
      <c r="P400" s="43">
        <v>150</v>
      </c>
      <c r="Q400" s="43">
        <v>150</v>
      </c>
      <c r="R400" s="43">
        <v>150</v>
      </c>
      <c r="S400" s="43">
        <v>150</v>
      </c>
      <c r="T400" s="43">
        <v>150</v>
      </c>
      <c r="U400" s="43">
        <v>150</v>
      </c>
      <c r="V400" s="43">
        <v>200</v>
      </c>
      <c r="W400" s="43">
        <v>200</v>
      </c>
      <c r="X400" s="44">
        <f t="shared" si="42"/>
        <v>1900</v>
      </c>
      <c r="Y400" s="43">
        <v>200</v>
      </c>
      <c r="Z400" s="43">
        <v>200</v>
      </c>
      <c r="AA400" s="43">
        <v>200</v>
      </c>
      <c r="AB400" s="43">
        <v>200</v>
      </c>
      <c r="AC400" s="43">
        <v>200</v>
      </c>
      <c r="AD400" s="43">
        <v>200</v>
      </c>
      <c r="AE400" s="43">
        <v>200</v>
      </c>
      <c r="AF400" s="43">
        <v>200</v>
      </c>
      <c r="AG400" s="43">
        <v>200</v>
      </c>
      <c r="AH400" s="43">
        <v>200</v>
      </c>
      <c r="AI400" s="43">
        <v>200</v>
      </c>
      <c r="AJ400" s="43">
        <v>200</v>
      </c>
      <c r="AK400" s="44">
        <f t="shared" si="43"/>
        <v>2400</v>
      </c>
      <c r="AL400" s="43">
        <v>200</v>
      </c>
      <c r="AM400" s="43">
        <v>200</v>
      </c>
      <c r="AN400" s="43">
        <v>200</v>
      </c>
      <c r="AO400" s="43">
        <v>200</v>
      </c>
      <c r="AP400" s="43">
        <v>200</v>
      </c>
      <c r="AQ400" s="43">
        <v>200</v>
      </c>
      <c r="AR400" s="43">
        <v>200</v>
      </c>
      <c r="AS400" s="43">
        <v>200</v>
      </c>
      <c r="AT400" s="43">
        <v>200</v>
      </c>
      <c r="AU400" s="43">
        <v>200</v>
      </c>
      <c r="AV400" s="43">
        <v>200</v>
      </c>
      <c r="AW400" s="43">
        <v>200</v>
      </c>
      <c r="AX400" s="44">
        <f t="shared" si="44"/>
        <v>2400</v>
      </c>
      <c r="AY400" s="317">
        <f>SUMIF(Recibos!$D$4:$D$3010,Cobranza!$B400,Recibos!K$4:K$3010)</f>
        <v>200</v>
      </c>
      <c r="AZ400" s="317">
        <f>SUMIF(Recibos!$D$4:$D$3010,Cobranza!$B400,Recibos!L$4:L$3010)</f>
        <v>200</v>
      </c>
      <c r="BA400" s="317">
        <f>SUMIF(Recibos!$D$4:$D$3010,Cobranza!$B400,Recibos!M$4:M$3010)</f>
        <v>200</v>
      </c>
      <c r="BB400" s="317">
        <f>SUMIF(Recibos!$D$4:$D$3010,Cobranza!$B400,Recibos!N$4:N$3010)</f>
        <v>200</v>
      </c>
      <c r="BC400" s="317">
        <f>SUMIF(Recibos!$D$4:$D$3010,Cobranza!$B400,Recibos!O$4:O$3010)</f>
        <v>200</v>
      </c>
      <c r="BD400" s="317">
        <f>SUMIF(Recibos!$D$4:$D$3010,Cobranza!$B400,Recibos!P$4:P$3010)</f>
        <v>200</v>
      </c>
      <c r="BE400" s="317">
        <f>SUMIF(Recibos!$D$4:$D$3010,Cobranza!$B400,Recibos!Q$4:Q$3010)</f>
        <v>200</v>
      </c>
      <c r="BF400" s="317">
        <f>SUMIF(Recibos!$D$4:$D$3010,Cobranza!$B400,Recibos!R$4:R$3010)</f>
        <v>200</v>
      </c>
      <c r="BG400" s="317">
        <f>SUMIF(Recibos!$D$4:$D$3010,Cobranza!$B400,Recibos!S$4:S$3010)</f>
        <v>200</v>
      </c>
      <c r="BH400" s="317">
        <f>SUMIF(Recibos!$D$4:$D$3010,Cobranza!$B400,Recibos!T$4:T$3010)</f>
        <v>200</v>
      </c>
      <c r="BI400" s="317">
        <f>SUMIF(Recibos!$D$4:$D$3010,Cobranza!$B400,Recibos!U$4:U$3010)</f>
        <v>0</v>
      </c>
      <c r="BJ400" s="317">
        <f>SUMIF(Recibos!$D$4:$D$3010,Cobranza!$B400,Recibos!V$4:V$3010)</f>
        <v>0</v>
      </c>
      <c r="BK400" s="318">
        <f t="shared" si="39"/>
        <v>2000</v>
      </c>
      <c r="BL400" s="317">
        <f>SUMIF(Recibos!$D$4:$D$3010,Cobranza!$B400,Recibos!X$4:X$3010)</f>
        <v>0</v>
      </c>
      <c r="BM400" s="317">
        <f>SUMIF(Recibos!$D$4:$D$3010,Cobranza!$B400,Recibos!Y$4:Y$3010)</f>
        <v>0</v>
      </c>
      <c r="BN400" s="317">
        <f>SUMIF(Recibos!$D$4:$D$3010,Cobranza!$B400,Recibos!Z$4:Z$3010)</f>
        <v>0</v>
      </c>
      <c r="BO400" s="317">
        <f>SUMIF(Recibos!$D$4:$D$3010,Cobranza!$B400,Recibos!AA$4:AA$3010)</f>
        <v>0</v>
      </c>
      <c r="BP400" s="317">
        <f>SUMIF(Recibos!$D$4:$D$3010,Cobranza!$B400,Recibos!AB$4:AB$3010)</f>
        <v>0</v>
      </c>
      <c r="BQ400" s="317">
        <f>SUMIF(Recibos!$D$4:$D$3010,Cobranza!$B400,Recibos!AC$4:AC$3010)</f>
        <v>0</v>
      </c>
      <c r="BR400" s="317">
        <f>SUMIF(Recibos!$D$4:$D$3010,Cobranza!$B400,Recibos!AD$4:AD$3010)</f>
        <v>0</v>
      </c>
      <c r="BS400" s="317">
        <f>SUMIF(Recibos!$D$4:$D$3010,Cobranza!$B400,Recibos!AE$4:AE$3010)</f>
        <v>0</v>
      </c>
      <c r="BT400" s="317">
        <f>SUMIF(Recibos!$D$4:$D$3010,Cobranza!$B400,Recibos!AF$4:AF$3010)</f>
        <v>0</v>
      </c>
      <c r="BU400" s="317">
        <f>SUMIF(Recibos!$D$4:$D$3010,Cobranza!$B400,Recibos!AG$4:AG$3010)</f>
        <v>0</v>
      </c>
      <c r="BV400" s="317">
        <f>SUMIF(Recibos!$D$4:$D$3010,Cobranza!$B400,Recibos!AH$4:AH$3010)</f>
        <v>0</v>
      </c>
      <c r="BW400" s="317">
        <f>SUMIF(Recibos!$D$4:$D$3010,Cobranza!$B400,Recibos!AI$4:AI$3010)</f>
        <v>0</v>
      </c>
      <c r="BX400" s="318">
        <f t="shared" si="40"/>
        <v>0</v>
      </c>
    </row>
    <row r="401" spans="2:76" x14ac:dyDescent="0.2">
      <c r="B401" s="45" t="s">
        <v>1439</v>
      </c>
      <c r="C401" s="45" t="s">
        <v>1440</v>
      </c>
      <c r="D401" s="45" t="s">
        <v>1441</v>
      </c>
      <c r="E401" s="46">
        <v>0</v>
      </c>
      <c r="F401" s="46">
        <v>0</v>
      </c>
      <c r="G401" s="46">
        <v>0</v>
      </c>
      <c r="H401" s="46">
        <v>0</v>
      </c>
      <c r="I401" s="46">
        <v>0</v>
      </c>
      <c r="J401" s="46">
        <v>0</v>
      </c>
      <c r="K401" s="47">
        <f t="shared" si="41"/>
        <v>0</v>
      </c>
      <c r="L401" s="46">
        <v>0</v>
      </c>
      <c r="M401" s="46">
        <v>0</v>
      </c>
      <c r="N401" s="46">
        <v>0</v>
      </c>
      <c r="O401" s="46">
        <v>0</v>
      </c>
      <c r="P401" s="46">
        <v>0</v>
      </c>
      <c r="Q401" s="46">
        <v>0</v>
      </c>
      <c r="R401" s="46">
        <v>0</v>
      </c>
      <c r="S401" s="46">
        <v>0</v>
      </c>
      <c r="T401" s="46">
        <v>0</v>
      </c>
      <c r="U401" s="46">
        <v>0</v>
      </c>
      <c r="V401" s="46">
        <v>0</v>
      </c>
      <c r="W401" s="46">
        <v>0</v>
      </c>
      <c r="X401" s="47">
        <f t="shared" si="42"/>
        <v>0</v>
      </c>
      <c r="Y401" s="46">
        <v>400</v>
      </c>
      <c r="Z401" s="46">
        <v>400</v>
      </c>
      <c r="AA401" s="46">
        <v>0</v>
      </c>
      <c r="AB401" s="46">
        <v>0</v>
      </c>
      <c r="AC401" s="46">
        <v>0</v>
      </c>
      <c r="AD401" s="46">
        <v>0</v>
      </c>
      <c r="AE401" s="46">
        <v>0</v>
      </c>
      <c r="AF401" s="46">
        <v>0</v>
      </c>
      <c r="AG401" s="46">
        <v>0</v>
      </c>
      <c r="AH401" s="46">
        <v>0</v>
      </c>
      <c r="AI401" s="46">
        <v>0</v>
      </c>
      <c r="AJ401" s="46">
        <v>0</v>
      </c>
      <c r="AK401" s="47">
        <f t="shared" si="43"/>
        <v>800</v>
      </c>
      <c r="AL401" s="46">
        <v>0</v>
      </c>
      <c r="AM401" s="46">
        <v>0</v>
      </c>
      <c r="AN401" s="46">
        <v>0</v>
      </c>
      <c r="AO401" s="46">
        <v>0</v>
      </c>
      <c r="AP401" s="46">
        <v>0</v>
      </c>
      <c r="AQ401" s="46">
        <v>0</v>
      </c>
      <c r="AR401" s="46">
        <v>0</v>
      </c>
      <c r="AS401" s="46">
        <v>400</v>
      </c>
      <c r="AT401" s="46">
        <v>400</v>
      </c>
      <c r="AU401" s="46">
        <v>400</v>
      </c>
      <c r="AV401" s="46">
        <v>400</v>
      </c>
      <c r="AW401" s="46">
        <v>0</v>
      </c>
      <c r="AX401" s="47">
        <f t="shared" si="44"/>
        <v>1600</v>
      </c>
      <c r="AY401" s="319">
        <f>SUMIF(Recibos!$D$4:$D$3010,Cobranza!$B401,Recibos!K$4:K$3010)</f>
        <v>0</v>
      </c>
      <c r="AZ401" s="319">
        <f>SUMIF(Recibos!$D$4:$D$3010,Cobranza!$B401,Recibos!L$4:L$3010)</f>
        <v>0</v>
      </c>
      <c r="BA401" s="319">
        <f>SUMIF(Recibos!$D$4:$D$3010,Cobranza!$B401,Recibos!M$4:M$3010)</f>
        <v>0</v>
      </c>
      <c r="BB401" s="319">
        <f>SUMIF(Recibos!$D$4:$D$3010,Cobranza!$B401,Recibos!N$4:N$3010)</f>
        <v>0</v>
      </c>
      <c r="BC401" s="319">
        <f>SUMIF(Recibos!$D$4:$D$3010,Cobranza!$B401,Recibos!O$4:O$3010)</f>
        <v>0</v>
      </c>
      <c r="BD401" s="319">
        <f>SUMIF(Recibos!$D$4:$D$3010,Cobranza!$B401,Recibos!P$4:P$3010)</f>
        <v>0</v>
      </c>
      <c r="BE401" s="319">
        <f>SUMIF(Recibos!$D$4:$D$3010,Cobranza!$B401,Recibos!Q$4:Q$3010)</f>
        <v>0</v>
      </c>
      <c r="BF401" s="319">
        <f>SUMIF(Recibos!$D$4:$D$3010,Cobranza!$B401,Recibos!R$4:R$3010)</f>
        <v>0</v>
      </c>
      <c r="BG401" s="319">
        <f>SUMIF(Recibos!$D$4:$D$3010,Cobranza!$B401,Recibos!S$4:S$3010)</f>
        <v>0</v>
      </c>
      <c r="BH401" s="319">
        <f>SUMIF(Recibos!$D$4:$D$3010,Cobranza!$B401,Recibos!T$4:T$3010)</f>
        <v>0</v>
      </c>
      <c r="BI401" s="319">
        <f>SUMIF(Recibos!$D$4:$D$3010,Cobranza!$B401,Recibos!U$4:U$3010)</f>
        <v>0</v>
      </c>
      <c r="BJ401" s="319">
        <f>SUMIF(Recibos!$D$4:$D$3010,Cobranza!$B401,Recibos!V$4:V$3010)</f>
        <v>0</v>
      </c>
      <c r="BK401" s="320">
        <f t="shared" si="39"/>
        <v>0</v>
      </c>
      <c r="BL401" s="319">
        <f>SUMIF(Recibos!$D$4:$D$3010,Cobranza!$B401,Recibos!X$4:X$3010)</f>
        <v>0</v>
      </c>
      <c r="BM401" s="319">
        <f>SUMIF(Recibos!$D$4:$D$3010,Cobranza!$B401,Recibos!Y$4:Y$3010)</f>
        <v>0</v>
      </c>
      <c r="BN401" s="319">
        <f>SUMIF(Recibos!$D$4:$D$3010,Cobranza!$B401,Recibos!Z$4:Z$3010)</f>
        <v>0</v>
      </c>
      <c r="BO401" s="319">
        <f>SUMIF(Recibos!$D$4:$D$3010,Cobranza!$B401,Recibos!AA$4:AA$3010)</f>
        <v>0</v>
      </c>
      <c r="BP401" s="319">
        <f>SUMIF(Recibos!$D$4:$D$3010,Cobranza!$B401,Recibos!AB$4:AB$3010)</f>
        <v>0</v>
      </c>
      <c r="BQ401" s="319">
        <f>SUMIF(Recibos!$D$4:$D$3010,Cobranza!$B401,Recibos!AC$4:AC$3010)</f>
        <v>0</v>
      </c>
      <c r="BR401" s="319">
        <f>SUMIF(Recibos!$D$4:$D$3010,Cobranza!$B401,Recibos!AD$4:AD$3010)</f>
        <v>0</v>
      </c>
      <c r="BS401" s="319">
        <f>SUMIF(Recibos!$D$4:$D$3010,Cobranza!$B401,Recibos!AE$4:AE$3010)</f>
        <v>0</v>
      </c>
      <c r="BT401" s="319">
        <f>SUMIF(Recibos!$D$4:$D$3010,Cobranza!$B401,Recibos!AF$4:AF$3010)</f>
        <v>0</v>
      </c>
      <c r="BU401" s="319">
        <f>SUMIF(Recibos!$D$4:$D$3010,Cobranza!$B401,Recibos!AG$4:AG$3010)</f>
        <v>0</v>
      </c>
      <c r="BV401" s="319">
        <f>SUMIF(Recibos!$D$4:$D$3010,Cobranza!$B401,Recibos!AH$4:AH$3010)</f>
        <v>0</v>
      </c>
      <c r="BW401" s="319">
        <f>SUMIF(Recibos!$D$4:$D$3010,Cobranza!$B401,Recibos!AI$4:AI$3010)</f>
        <v>0</v>
      </c>
      <c r="BX401" s="320">
        <f t="shared" si="40"/>
        <v>0</v>
      </c>
    </row>
    <row r="402" spans="2:76" x14ac:dyDescent="0.2">
      <c r="B402" s="42" t="s">
        <v>1442</v>
      </c>
      <c r="C402" s="42" t="s">
        <v>1443</v>
      </c>
      <c r="D402" s="42" t="s">
        <v>1444</v>
      </c>
      <c r="E402" s="43">
        <v>0</v>
      </c>
      <c r="F402" s="43">
        <v>0</v>
      </c>
      <c r="G402" s="43">
        <v>0</v>
      </c>
      <c r="H402" s="43">
        <v>0</v>
      </c>
      <c r="I402" s="43">
        <v>0</v>
      </c>
      <c r="J402" s="43">
        <v>0</v>
      </c>
      <c r="K402" s="44">
        <f t="shared" si="41"/>
        <v>0</v>
      </c>
      <c r="L402" s="43">
        <v>0</v>
      </c>
      <c r="M402" s="43">
        <v>0</v>
      </c>
      <c r="N402" s="43">
        <v>0</v>
      </c>
      <c r="O402" s="43">
        <v>0</v>
      </c>
      <c r="P402" s="43">
        <v>0</v>
      </c>
      <c r="Q402" s="43">
        <v>0</v>
      </c>
      <c r="R402" s="43">
        <v>0</v>
      </c>
      <c r="S402" s="43">
        <v>0</v>
      </c>
      <c r="T402" s="43">
        <v>0</v>
      </c>
      <c r="U402" s="43">
        <v>0</v>
      </c>
      <c r="V402" s="43">
        <v>0</v>
      </c>
      <c r="W402" s="43">
        <v>0</v>
      </c>
      <c r="X402" s="44">
        <f t="shared" si="42"/>
        <v>0</v>
      </c>
      <c r="Y402" s="43">
        <v>0</v>
      </c>
      <c r="Z402" s="43">
        <v>0</v>
      </c>
      <c r="AA402" s="43">
        <v>0</v>
      </c>
      <c r="AB402" s="43">
        <v>0</v>
      </c>
      <c r="AC402" s="43">
        <v>0</v>
      </c>
      <c r="AD402" s="43">
        <v>0</v>
      </c>
      <c r="AE402" s="43">
        <v>0</v>
      </c>
      <c r="AF402" s="43">
        <v>0</v>
      </c>
      <c r="AG402" s="43">
        <v>0</v>
      </c>
      <c r="AH402" s="43">
        <v>0</v>
      </c>
      <c r="AI402" s="43">
        <v>0</v>
      </c>
      <c r="AJ402" s="43">
        <v>0</v>
      </c>
      <c r="AK402" s="44">
        <f t="shared" si="43"/>
        <v>0</v>
      </c>
      <c r="AL402" s="43">
        <v>0</v>
      </c>
      <c r="AM402" s="43">
        <v>0</v>
      </c>
      <c r="AN402" s="43">
        <v>0</v>
      </c>
      <c r="AO402" s="43">
        <v>0</v>
      </c>
      <c r="AP402" s="43">
        <v>0</v>
      </c>
      <c r="AQ402" s="43">
        <v>400</v>
      </c>
      <c r="AR402" s="43">
        <v>400</v>
      </c>
      <c r="AS402" s="43">
        <v>400</v>
      </c>
      <c r="AT402" s="43">
        <v>400</v>
      </c>
      <c r="AU402" s="43">
        <v>400</v>
      </c>
      <c r="AV402" s="43">
        <v>400</v>
      </c>
      <c r="AW402" s="43">
        <v>400</v>
      </c>
      <c r="AX402" s="44">
        <f t="shared" si="44"/>
        <v>2800</v>
      </c>
      <c r="AY402" s="317">
        <f>SUMIF(Recibos!$D$4:$D$3010,Cobranza!$B402,Recibos!K$4:K$3010)</f>
        <v>0</v>
      </c>
      <c r="AZ402" s="317">
        <f>SUMIF(Recibos!$D$4:$D$3010,Cobranza!$B402,Recibos!L$4:L$3010)</f>
        <v>0</v>
      </c>
      <c r="BA402" s="317">
        <f>SUMIF(Recibos!$D$4:$D$3010,Cobranza!$B402,Recibos!M$4:M$3010)</f>
        <v>0</v>
      </c>
      <c r="BB402" s="317">
        <f>SUMIF(Recibos!$D$4:$D$3010,Cobranza!$B402,Recibos!N$4:N$3010)</f>
        <v>0</v>
      </c>
      <c r="BC402" s="317">
        <f>SUMIF(Recibos!$D$4:$D$3010,Cobranza!$B402,Recibos!O$4:O$3010)</f>
        <v>0</v>
      </c>
      <c r="BD402" s="317">
        <f>SUMIF(Recibos!$D$4:$D$3010,Cobranza!$B402,Recibos!P$4:P$3010)</f>
        <v>0</v>
      </c>
      <c r="BE402" s="317">
        <f>SUMIF(Recibos!$D$4:$D$3010,Cobranza!$B402,Recibos!Q$4:Q$3010)</f>
        <v>0</v>
      </c>
      <c r="BF402" s="317">
        <f>SUMIF(Recibos!$D$4:$D$3010,Cobranza!$B402,Recibos!R$4:R$3010)</f>
        <v>0</v>
      </c>
      <c r="BG402" s="317">
        <f>SUMIF(Recibos!$D$4:$D$3010,Cobranza!$B402,Recibos!S$4:S$3010)</f>
        <v>0</v>
      </c>
      <c r="BH402" s="317">
        <f>SUMIF(Recibos!$D$4:$D$3010,Cobranza!$B402,Recibos!T$4:T$3010)</f>
        <v>0</v>
      </c>
      <c r="BI402" s="317">
        <f>SUMIF(Recibos!$D$4:$D$3010,Cobranza!$B402,Recibos!U$4:U$3010)</f>
        <v>400</v>
      </c>
      <c r="BJ402" s="317">
        <f>SUMIF(Recibos!$D$4:$D$3010,Cobranza!$B402,Recibos!V$4:V$3010)</f>
        <v>400</v>
      </c>
      <c r="BK402" s="318">
        <f t="shared" ref="BK402:BK465" si="45">SUM(AY402:BJ402)</f>
        <v>800</v>
      </c>
      <c r="BL402" s="317">
        <f>SUMIF(Recibos!$D$4:$D$3010,Cobranza!$B402,Recibos!X$4:X$3010)</f>
        <v>0</v>
      </c>
      <c r="BM402" s="317">
        <f>SUMIF(Recibos!$D$4:$D$3010,Cobranza!$B402,Recibos!Y$4:Y$3010)</f>
        <v>0</v>
      </c>
      <c r="BN402" s="317">
        <f>SUMIF(Recibos!$D$4:$D$3010,Cobranza!$B402,Recibos!Z$4:Z$3010)</f>
        <v>0</v>
      </c>
      <c r="BO402" s="317">
        <f>SUMIF(Recibos!$D$4:$D$3010,Cobranza!$B402,Recibos!AA$4:AA$3010)</f>
        <v>0</v>
      </c>
      <c r="BP402" s="317">
        <f>SUMIF(Recibos!$D$4:$D$3010,Cobranza!$B402,Recibos!AB$4:AB$3010)</f>
        <v>0</v>
      </c>
      <c r="BQ402" s="317">
        <f>SUMIF(Recibos!$D$4:$D$3010,Cobranza!$B402,Recibos!AC$4:AC$3010)</f>
        <v>0</v>
      </c>
      <c r="BR402" s="317">
        <f>SUMIF(Recibos!$D$4:$D$3010,Cobranza!$B402,Recibos!AD$4:AD$3010)</f>
        <v>0</v>
      </c>
      <c r="BS402" s="317">
        <f>SUMIF(Recibos!$D$4:$D$3010,Cobranza!$B402,Recibos!AE$4:AE$3010)</f>
        <v>0</v>
      </c>
      <c r="BT402" s="317">
        <f>SUMIF(Recibos!$D$4:$D$3010,Cobranza!$B402,Recibos!AF$4:AF$3010)</f>
        <v>0</v>
      </c>
      <c r="BU402" s="317">
        <f>SUMIF(Recibos!$D$4:$D$3010,Cobranza!$B402,Recibos!AG$4:AG$3010)</f>
        <v>0</v>
      </c>
      <c r="BV402" s="317">
        <f>SUMIF(Recibos!$D$4:$D$3010,Cobranza!$B402,Recibos!AH$4:AH$3010)</f>
        <v>0</v>
      </c>
      <c r="BW402" s="317">
        <f>SUMIF(Recibos!$D$4:$D$3010,Cobranza!$B402,Recibos!AI$4:AI$3010)</f>
        <v>0</v>
      </c>
      <c r="BX402" s="318">
        <f t="shared" ref="BX402:BX465" si="46">SUM(BL402:BW402)</f>
        <v>0</v>
      </c>
    </row>
    <row r="403" spans="2:76" x14ac:dyDescent="0.2">
      <c r="B403" s="45" t="s">
        <v>461</v>
      </c>
      <c r="C403" s="45" t="s">
        <v>462</v>
      </c>
      <c r="D403" s="45" t="s">
        <v>463</v>
      </c>
      <c r="E403" s="46">
        <v>0</v>
      </c>
      <c r="F403" s="46">
        <v>0</v>
      </c>
      <c r="G403" s="46">
        <v>0</v>
      </c>
      <c r="H403" s="46">
        <v>0</v>
      </c>
      <c r="I403" s="46">
        <v>0</v>
      </c>
      <c r="J403" s="46">
        <v>300</v>
      </c>
      <c r="K403" s="47">
        <f t="shared" si="41"/>
        <v>300</v>
      </c>
      <c r="L403" s="46">
        <v>300</v>
      </c>
      <c r="M403" s="46">
        <v>300</v>
      </c>
      <c r="N403" s="46">
        <v>300</v>
      </c>
      <c r="O403" s="46">
        <v>300</v>
      </c>
      <c r="P403" s="46">
        <v>300</v>
      </c>
      <c r="Q403" s="46">
        <v>300</v>
      </c>
      <c r="R403" s="46">
        <v>300</v>
      </c>
      <c r="S403" s="46">
        <v>300</v>
      </c>
      <c r="T403" s="46">
        <v>300</v>
      </c>
      <c r="U403" s="46">
        <v>400</v>
      </c>
      <c r="V403" s="46">
        <v>400</v>
      </c>
      <c r="W403" s="46">
        <v>400</v>
      </c>
      <c r="X403" s="47">
        <f t="shared" si="42"/>
        <v>3900</v>
      </c>
      <c r="Y403" s="46">
        <v>800</v>
      </c>
      <c r="Z403" s="46">
        <v>400</v>
      </c>
      <c r="AA403" s="46">
        <v>400</v>
      </c>
      <c r="AB403" s="46">
        <v>400</v>
      </c>
      <c r="AC403" s="46">
        <v>400</v>
      </c>
      <c r="AD403" s="46">
        <v>0</v>
      </c>
      <c r="AE403" s="46">
        <v>400</v>
      </c>
      <c r="AF403" s="46">
        <v>400</v>
      </c>
      <c r="AG403" s="46">
        <v>400</v>
      </c>
      <c r="AH403" s="46">
        <v>0</v>
      </c>
      <c r="AI403" s="46">
        <v>400</v>
      </c>
      <c r="AJ403" s="46">
        <v>0</v>
      </c>
      <c r="AK403" s="47">
        <f t="shared" si="43"/>
        <v>4000</v>
      </c>
      <c r="AL403" s="46">
        <v>0</v>
      </c>
      <c r="AM403" s="46">
        <v>0</v>
      </c>
      <c r="AN403" s="46">
        <v>0</v>
      </c>
      <c r="AO403" s="46">
        <v>0</v>
      </c>
      <c r="AP403" s="46">
        <v>0</v>
      </c>
      <c r="AQ403" s="46">
        <v>400</v>
      </c>
      <c r="AR403" s="46">
        <v>400</v>
      </c>
      <c r="AS403" s="46">
        <v>400</v>
      </c>
      <c r="AT403" s="46">
        <v>400</v>
      </c>
      <c r="AU403" s="46">
        <v>400</v>
      </c>
      <c r="AV403" s="46">
        <v>400</v>
      </c>
      <c r="AW403" s="46">
        <v>400</v>
      </c>
      <c r="AX403" s="47">
        <f t="shared" si="44"/>
        <v>2800</v>
      </c>
      <c r="AY403" s="319">
        <f>SUMIF(Recibos!$D$4:$D$3010,Cobranza!$B403,Recibos!K$4:K$3010)</f>
        <v>400</v>
      </c>
      <c r="AZ403" s="319">
        <f>SUMIF(Recibos!$D$4:$D$3010,Cobranza!$B403,Recibos!L$4:L$3010)</f>
        <v>400</v>
      </c>
      <c r="BA403" s="319">
        <f>SUMIF(Recibos!$D$4:$D$3010,Cobranza!$B403,Recibos!M$4:M$3010)</f>
        <v>400</v>
      </c>
      <c r="BB403" s="319">
        <f>SUMIF(Recibos!$D$4:$D$3010,Cobranza!$B403,Recibos!N$4:N$3010)</f>
        <v>400</v>
      </c>
      <c r="BC403" s="319">
        <f>SUMIF(Recibos!$D$4:$D$3010,Cobranza!$B403,Recibos!O$4:O$3010)</f>
        <v>400</v>
      </c>
      <c r="BD403" s="319">
        <f>SUMIF(Recibos!$D$4:$D$3010,Cobranza!$B403,Recibos!P$4:P$3010)</f>
        <v>400</v>
      </c>
      <c r="BE403" s="319">
        <f>SUMIF(Recibos!$D$4:$D$3010,Cobranza!$B403,Recibos!Q$4:Q$3010)</f>
        <v>400</v>
      </c>
      <c r="BF403" s="319">
        <f>SUMIF(Recibos!$D$4:$D$3010,Cobranza!$B403,Recibos!R$4:R$3010)</f>
        <v>400</v>
      </c>
      <c r="BG403" s="319">
        <f>SUMIF(Recibos!$D$4:$D$3010,Cobranza!$B403,Recibos!S$4:S$3010)</f>
        <v>400</v>
      </c>
      <c r="BH403" s="319">
        <f>SUMIF(Recibos!$D$4:$D$3010,Cobranza!$B403,Recibos!T$4:T$3010)</f>
        <v>0</v>
      </c>
      <c r="BI403" s="319">
        <f>SUMIF(Recibos!$D$4:$D$3010,Cobranza!$B403,Recibos!U$4:U$3010)</f>
        <v>0</v>
      </c>
      <c r="BJ403" s="319">
        <f>SUMIF(Recibos!$D$4:$D$3010,Cobranza!$B403,Recibos!V$4:V$3010)</f>
        <v>0</v>
      </c>
      <c r="BK403" s="320">
        <f t="shared" si="45"/>
        <v>3600</v>
      </c>
      <c r="BL403" s="319">
        <f>SUMIF(Recibos!$D$4:$D$3010,Cobranza!$B403,Recibos!X$4:X$3010)</f>
        <v>0</v>
      </c>
      <c r="BM403" s="319">
        <f>SUMIF(Recibos!$D$4:$D$3010,Cobranza!$B403,Recibos!Y$4:Y$3010)</f>
        <v>0</v>
      </c>
      <c r="BN403" s="319">
        <f>SUMIF(Recibos!$D$4:$D$3010,Cobranza!$B403,Recibos!Z$4:Z$3010)</f>
        <v>0</v>
      </c>
      <c r="BO403" s="319">
        <f>SUMIF(Recibos!$D$4:$D$3010,Cobranza!$B403,Recibos!AA$4:AA$3010)</f>
        <v>0</v>
      </c>
      <c r="BP403" s="319">
        <f>SUMIF(Recibos!$D$4:$D$3010,Cobranza!$B403,Recibos!AB$4:AB$3010)</f>
        <v>0</v>
      </c>
      <c r="BQ403" s="319">
        <f>SUMIF(Recibos!$D$4:$D$3010,Cobranza!$B403,Recibos!AC$4:AC$3010)</f>
        <v>0</v>
      </c>
      <c r="BR403" s="319">
        <f>SUMIF(Recibos!$D$4:$D$3010,Cobranza!$B403,Recibos!AD$4:AD$3010)</f>
        <v>0</v>
      </c>
      <c r="BS403" s="319">
        <f>SUMIF(Recibos!$D$4:$D$3010,Cobranza!$B403,Recibos!AE$4:AE$3010)</f>
        <v>0</v>
      </c>
      <c r="BT403" s="319">
        <f>SUMIF(Recibos!$D$4:$D$3010,Cobranza!$B403,Recibos!AF$4:AF$3010)</f>
        <v>0</v>
      </c>
      <c r="BU403" s="319">
        <f>SUMIF(Recibos!$D$4:$D$3010,Cobranza!$B403,Recibos!AG$4:AG$3010)</f>
        <v>0</v>
      </c>
      <c r="BV403" s="319">
        <f>SUMIF(Recibos!$D$4:$D$3010,Cobranza!$B403,Recibos!AH$4:AH$3010)</f>
        <v>0</v>
      </c>
      <c r="BW403" s="319">
        <f>SUMIF(Recibos!$D$4:$D$3010,Cobranza!$B403,Recibos!AI$4:AI$3010)</f>
        <v>0</v>
      </c>
      <c r="BX403" s="320">
        <f t="shared" si="46"/>
        <v>0</v>
      </c>
    </row>
    <row r="404" spans="2:76" x14ac:dyDescent="0.2">
      <c r="B404" s="42" t="s">
        <v>574</v>
      </c>
      <c r="C404" s="42" t="s">
        <v>575</v>
      </c>
      <c r="D404" s="42" t="s">
        <v>576</v>
      </c>
      <c r="E404" s="43">
        <v>0</v>
      </c>
      <c r="F404" s="43">
        <v>0</v>
      </c>
      <c r="G404" s="43">
        <v>0</v>
      </c>
      <c r="H404" s="43">
        <v>0</v>
      </c>
      <c r="I404" s="43">
        <v>300</v>
      </c>
      <c r="J404" s="43">
        <v>0</v>
      </c>
      <c r="K404" s="44">
        <f t="shared" si="41"/>
        <v>300</v>
      </c>
      <c r="L404" s="43">
        <v>300</v>
      </c>
      <c r="M404" s="43">
        <v>0</v>
      </c>
      <c r="N404" s="43">
        <v>0</v>
      </c>
      <c r="O404" s="43">
        <v>0</v>
      </c>
      <c r="P404" s="43">
        <v>0</v>
      </c>
      <c r="Q404" s="43">
        <v>0</v>
      </c>
      <c r="R404" s="43">
        <v>0</v>
      </c>
      <c r="S404" s="43">
        <v>0</v>
      </c>
      <c r="T404" s="43">
        <v>0</v>
      </c>
      <c r="U404" s="43">
        <v>300</v>
      </c>
      <c r="V404" s="43">
        <v>300</v>
      </c>
      <c r="W404" s="43">
        <v>300</v>
      </c>
      <c r="X404" s="44">
        <f t="shared" si="42"/>
        <v>1200</v>
      </c>
      <c r="Y404" s="43">
        <v>400</v>
      </c>
      <c r="Z404" s="43">
        <v>400</v>
      </c>
      <c r="AA404" s="43">
        <v>400</v>
      </c>
      <c r="AB404" s="43">
        <v>400</v>
      </c>
      <c r="AC404" s="43">
        <v>400</v>
      </c>
      <c r="AD404" s="43">
        <v>400</v>
      </c>
      <c r="AE404" s="43">
        <v>400</v>
      </c>
      <c r="AF404" s="43">
        <v>400</v>
      </c>
      <c r="AG404" s="43">
        <v>0</v>
      </c>
      <c r="AH404" s="43">
        <v>0</v>
      </c>
      <c r="AI404" s="43">
        <v>0</v>
      </c>
      <c r="AJ404" s="43">
        <v>0</v>
      </c>
      <c r="AK404" s="44">
        <f t="shared" si="43"/>
        <v>3200</v>
      </c>
      <c r="AL404" s="43">
        <v>0</v>
      </c>
      <c r="AM404" s="43">
        <v>0</v>
      </c>
      <c r="AN404" s="43">
        <v>0</v>
      </c>
      <c r="AO404" s="43">
        <v>0</v>
      </c>
      <c r="AP404" s="43">
        <v>0</v>
      </c>
      <c r="AQ404" s="43">
        <v>400</v>
      </c>
      <c r="AR404" s="43">
        <v>400</v>
      </c>
      <c r="AS404" s="43">
        <v>400</v>
      </c>
      <c r="AT404" s="43">
        <v>400</v>
      </c>
      <c r="AU404" s="43">
        <v>400</v>
      </c>
      <c r="AV404" s="43">
        <v>0</v>
      </c>
      <c r="AW404" s="43">
        <v>0</v>
      </c>
      <c r="AX404" s="44">
        <f t="shared" si="44"/>
        <v>2000</v>
      </c>
      <c r="AY404" s="317">
        <f>SUMIF(Recibos!$D$4:$D$3010,Cobranza!$B404,Recibos!K$4:K$3010)</f>
        <v>400</v>
      </c>
      <c r="AZ404" s="317">
        <f>SUMIF(Recibos!$D$4:$D$3010,Cobranza!$B404,Recibos!L$4:L$3010)</f>
        <v>400</v>
      </c>
      <c r="BA404" s="317">
        <f>SUMIF(Recibos!$D$4:$D$3010,Cobranza!$B404,Recibos!M$4:M$3010)</f>
        <v>400</v>
      </c>
      <c r="BB404" s="317">
        <f>SUMIF(Recibos!$D$4:$D$3010,Cobranza!$B404,Recibos!N$4:N$3010)</f>
        <v>400</v>
      </c>
      <c r="BC404" s="317">
        <f>SUMIF(Recibos!$D$4:$D$3010,Cobranza!$B404,Recibos!O$4:O$3010)</f>
        <v>400</v>
      </c>
      <c r="BD404" s="317">
        <f>SUMIF(Recibos!$D$4:$D$3010,Cobranza!$B404,Recibos!P$4:P$3010)</f>
        <v>400</v>
      </c>
      <c r="BE404" s="317">
        <f>SUMIF(Recibos!$D$4:$D$3010,Cobranza!$B404,Recibos!Q$4:Q$3010)</f>
        <v>400</v>
      </c>
      <c r="BF404" s="317">
        <f>SUMIF(Recibos!$D$4:$D$3010,Cobranza!$B404,Recibos!R$4:R$3010)</f>
        <v>400</v>
      </c>
      <c r="BG404" s="317">
        <f>SUMIF(Recibos!$D$4:$D$3010,Cobranza!$B404,Recibos!S$4:S$3010)</f>
        <v>400</v>
      </c>
      <c r="BH404" s="317">
        <f>SUMIF(Recibos!$D$4:$D$3010,Cobranza!$B404,Recibos!T$4:T$3010)</f>
        <v>0</v>
      </c>
      <c r="BI404" s="317">
        <f>SUMIF(Recibos!$D$4:$D$3010,Cobranza!$B404,Recibos!U$4:U$3010)</f>
        <v>0</v>
      </c>
      <c r="BJ404" s="317">
        <f>SUMIF(Recibos!$D$4:$D$3010,Cobranza!$B404,Recibos!V$4:V$3010)</f>
        <v>0</v>
      </c>
      <c r="BK404" s="318">
        <f t="shared" si="45"/>
        <v>3600</v>
      </c>
      <c r="BL404" s="317">
        <f>SUMIF(Recibos!$D$4:$D$3010,Cobranza!$B404,Recibos!X$4:X$3010)</f>
        <v>0</v>
      </c>
      <c r="BM404" s="317">
        <f>SUMIF(Recibos!$D$4:$D$3010,Cobranza!$B404,Recibos!Y$4:Y$3010)</f>
        <v>0</v>
      </c>
      <c r="BN404" s="317">
        <f>SUMIF(Recibos!$D$4:$D$3010,Cobranza!$B404,Recibos!Z$4:Z$3010)</f>
        <v>0</v>
      </c>
      <c r="BO404" s="317">
        <f>SUMIF(Recibos!$D$4:$D$3010,Cobranza!$B404,Recibos!AA$4:AA$3010)</f>
        <v>0</v>
      </c>
      <c r="BP404" s="317">
        <f>SUMIF(Recibos!$D$4:$D$3010,Cobranza!$B404,Recibos!AB$4:AB$3010)</f>
        <v>0</v>
      </c>
      <c r="BQ404" s="317">
        <f>SUMIF(Recibos!$D$4:$D$3010,Cobranza!$B404,Recibos!AC$4:AC$3010)</f>
        <v>0</v>
      </c>
      <c r="BR404" s="317">
        <f>SUMIF(Recibos!$D$4:$D$3010,Cobranza!$B404,Recibos!AD$4:AD$3010)</f>
        <v>0</v>
      </c>
      <c r="BS404" s="317">
        <f>SUMIF(Recibos!$D$4:$D$3010,Cobranza!$B404,Recibos!AE$4:AE$3010)</f>
        <v>0</v>
      </c>
      <c r="BT404" s="317">
        <f>SUMIF(Recibos!$D$4:$D$3010,Cobranza!$B404,Recibos!AF$4:AF$3010)</f>
        <v>0</v>
      </c>
      <c r="BU404" s="317">
        <f>SUMIF(Recibos!$D$4:$D$3010,Cobranza!$B404,Recibos!AG$4:AG$3010)</f>
        <v>0</v>
      </c>
      <c r="BV404" s="317">
        <f>SUMIF(Recibos!$D$4:$D$3010,Cobranza!$B404,Recibos!AH$4:AH$3010)</f>
        <v>0</v>
      </c>
      <c r="BW404" s="317">
        <f>SUMIF(Recibos!$D$4:$D$3010,Cobranza!$B404,Recibos!AI$4:AI$3010)</f>
        <v>0</v>
      </c>
      <c r="BX404" s="318">
        <f t="shared" si="46"/>
        <v>0</v>
      </c>
    </row>
    <row r="405" spans="2:76" x14ac:dyDescent="0.2">
      <c r="B405" s="45" t="s">
        <v>1198</v>
      </c>
      <c r="C405" s="45" t="s">
        <v>1199</v>
      </c>
      <c r="D405" s="45" t="s">
        <v>892</v>
      </c>
      <c r="E405" s="46">
        <v>0</v>
      </c>
      <c r="F405" s="46">
        <v>0</v>
      </c>
      <c r="G405" s="46">
        <v>0</v>
      </c>
      <c r="H405" s="46">
        <v>0</v>
      </c>
      <c r="I405" s="46">
        <v>0</v>
      </c>
      <c r="J405" s="46">
        <v>0</v>
      </c>
      <c r="K405" s="47">
        <f t="shared" si="41"/>
        <v>0</v>
      </c>
      <c r="L405" s="46">
        <v>0</v>
      </c>
      <c r="M405" s="46">
        <v>0</v>
      </c>
      <c r="N405" s="46">
        <v>0</v>
      </c>
      <c r="O405" s="46">
        <v>0</v>
      </c>
      <c r="P405" s="46">
        <v>0</v>
      </c>
      <c r="Q405" s="46">
        <v>0</v>
      </c>
      <c r="R405" s="46">
        <v>0</v>
      </c>
      <c r="S405" s="46">
        <v>0</v>
      </c>
      <c r="T405" s="46">
        <v>300</v>
      </c>
      <c r="U405" s="46">
        <v>400</v>
      </c>
      <c r="V405" s="46">
        <v>400</v>
      </c>
      <c r="W405" s="46">
        <v>400</v>
      </c>
      <c r="X405" s="47">
        <f t="shared" si="42"/>
        <v>1500</v>
      </c>
      <c r="Y405" s="46">
        <v>400</v>
      </c>
      <c r="Z405" s="46">
        <v>400</v>
      </c>
      <c r="AA405" s="46">
        <v>400</v>
      </c>
      <c r="AB405" s="46">
        <v>400</v>
      </c>
      <c r="AC405" s="46">
        <v>400</v>
      </c>
      <c r="AD405" s="46">
        <v>400</v>
      </c>
      <c r="AE405" s="46">
        <v>400</v>
      </c>
      <c r="AF405" s="46">
        <v>400</v>
      </c>
      <c r="AG405" s="46">
        <v>400</v>
      </c>
      <c r="AH405" s="46">
        <v>400</v>
      </c>
      <c r="AI405" s="46">
        <v>0</v>
      </c>
      <c r="AJ405" s="46">
        <v>0</v>
      </c>
      <c r="AK405" s="47">
        <f t="shared" si="43"/>
        <v>4000</v>
      </c>
      <c r="AL405" s="46">
        <v>0</v>
      </c>
      <c r="AM405" s="46">
        <v>0</v>
      </c>
      <c r="AN405" s="46">
        <v>0</v>
      </c>
      <c r="AO405" s="46">
        <v>0</v>
      </c>
      <c r="AP405" s="46">
        <v>0</v>
      </c>
      <c r="AQ405" s="46">
        <v>0</v>
      </c>
      <c r="AR405" s="46">
        <v>0</v>
      </c>
      <c r="AS405" s="46">
        <v>0</v>
      </c>
      <c r="AT405" s="46">
        <v>0</v>
      </c>
      <c r="AU405" s="46">
        <v>0</v>
      </c>
      <c r="AV405" s="46">
        <v>0</v>
      </c>
      <c r="AW405" s="46">
        <v>0</v>
      </c>
      <c r="AX405" s="47">
        <f t="shared" si="44"/>
        <v>0</v>
      </c>
      <c r="AY405" s="319">
        <f>SUMIF(Recibos!$D$4:$D$3010,Cobranza!$B405,Recibos!K$4:K$3010)</f>
        <v>0</v>
      </c>
      <c r="AZ405" s="319">
        <f>SUMIF(Recibos!$D$4:$D$3010,Cobranza!$B405,Recibos!L$4:L$3010)</f>
        <v>0</v>
      </c>
      <c r="BA405" s="319">
        <f>SUMIF(Recibos!$D$4:$D$3010,Cobranza!$B405,Recibos!M$4:M$3010)</f>
        <v>0</v>
      </c>
      <c r="BB405" s="319">
        <f>SUMIF(Recibos!$D$4:$D$3010,Cobranza!$B405,Recibos!N$4:N$3010)</f>
        <v>0</v>
      </c>
      <c r="BC405" s="319">
        <f>SUMIF(Recibos!$D$4:$D$3010,Cobranza!$B405,Recibos!O$4:O$3010)</f>
        <v>400</v>
      </c>
      <c r="BD405" s="319">
        <f>SUMIF(Recibos!$D$4:$D$3010,Cobranza!$B405,Recibos!P$4:P$3010)</f>
        <v>400</v>
      </c>
      <c r="BE405" s="319">
        <f>SUMIF(Recibos!$D$4:$D$3010,Cobranza!$B405,Recibos!Q$4:Q$3010)</f>
        <v>400</v>
      </c>
      <c r="BF405" s="319">
        <f>SUMIF(Recibos!$D$4:$D$3010,Cobranza!$B405,Recibos!R$4:R$3010)</f>
        <v>400</v>
      </c>
      <c r="BG405" s="319">
        <f>SUMIF(Recibos!$D$4:$D$3010,Cobranza!$B405,Recibos!S$4:S$3010)</f>
        <v>400</v>
      </c>
      <c r="BH405" s="319">
        <f>SUMIF(Recibos!$D$4:$D$3010,Cobranza!$B405,Recibos!T$4:T$3010)</f>
        <v>0</v>
      </c>
      <c r="BI405" s="319">
        <f>SUMIF(Recibos!$D$4:$D$3010,Cobranza!$B405,Recibos!U$4:U$3010)</f>
        <v>0</v>
      </c>
      <c r="BJ405" s="319">
        <f>SUMIF(Recibos!$D$4:$D$3010,Cobranza!$B405,Recibos!V$4:V$3010)</f>
        <v>0</v>
      </c>
      <c r="BK405" s="320">
        <f t="shared" si="45"/>
        <v>2000</v>
      </c>
      <c r="BL405" s="319">
        <f>SUMIF(Recibos!$D$4:$D$3010,Cobranza!$B405,Recibos!X$4:X$3010)</f>
        <v>0</v>
      </c>
      <c r="BM405" s="319">
        <f>SUMIF(Recibos!$D$4:$D$3010,Cobranza!$B405,Recibos!Y$4:Y$3010)</f>
        <v>0</v>
      </c>
      <c r="BN405" s="319">
        <f>SUMIF(Recibos!$D$4:$D$3010,Cobranza!$B405,Recibos!Z$4:Z$3010)</f>
        <v>0</v>
      </c>
      <c r="BO405" s="319">
        <f>SUMIF(Recibos!$D$4:$D$3010,Cobranza!$B405,Recibos!AA$4:AA$3010)</f>
        <v>0</v>
      </c>
      <c r="BP405" s="319">
        <f>SUMIF(Recibos!$D$4:$D$3010,Cobranza!$B405,Recibos!AB$4:AB$3010)</f>
        <v>0</v>
      </c>
      <c r="BQ405" s="319">
        <f>SUMIF(Recibos!$D$4:$D$3010,Cobranza!$B405,Recibos!AC$4:AC$3010)</f>
        <v>0</v>
      </c>
      <c r="BR405" s="319">
        <f>SUMIF(Recibos!$D$4:$D$3010,Cobranza!$B405,Recibos!AD$4:AD$3010)</f>
        <v>0</v>
      </c>
      <c r="BS405" s="319">
        <f>SUMIF(Recibos!$D$4:$D$3010,Cobranza!$B405,Recibos!AE$4:AE$3010)</f>
        <v>0</v>
      </c>
      <c r="BT405" s="319">
        <f>SUMIF(Recibos!$D$4:$D$3010,Cobranza!$B405,Recibos!AF$4:AF$3010)</f>
        <v>0</v>
      </c>
      <c r="BU405" s="319">
        <f>SUMIF(Recibos!$D$4:$D$3010,Cobranza!$B405,Recibos!AG$4:AG$3010)</f>
        <v>0</v>
      </c>
      <c r="BV405" s="319">
        <f>SUMIF(Recibos!$D$4:$D$3010,Cobranza!$B405,Recibos!AH$4:AH$3010)</f>
        <v>0</v>
      </c>
      <c r="BW405" s="319">
        <f>SUMIF(Recibos!$D$4:$D$3010,Cobranza!$B405,Recibos!AI$4:AI$3010)</f>
        <v>0</v>
      </c>
      <c r="BX405" s="320">
        <f t="shared" si="46"/>
        <v>0</v>
      </c>
    </row>
    <row r="406" spans="2:76" x14ac:dyDescent="0.2">
      <c r="B406" s="42" t="s">
        <v>1073</v>
      </c>
      <c r="C406" s="42" t="s">
        <v>1074</v>
      </c>
      <c r="D406" s="42" t="s">
        <v>1075</v>
      </c>
      <c r="E406" s="43">
        <v>0</v>
      </c>
      <c r="F406" s="43">
        <v>0</v>
      </c>
      <c r="G406" s="43">
        <v>300</v>
      </c>
      <c r="H406" s="43">
        <v>300</v>
      </c>
      <c r="I406" s="43">
        <v>300</v>
      </c>
      <c r="J406" s="43">
        <v>300</v>
      </c>
      <c r="K406" s="44">
        <f t="shared" si="41"/>
        <v>1200</v>
      </c>
      <c r="L406" s="43">
        <v>300</v>
      </c>
      <c r="M406" s="43">
        <v>300</v>
      </c>
      <c r="N406" s="43">
        <v>300</v>
      </c>
      <c r="O406" s="43">
        <v>300</v>
      </c>
      <c r="P406" s="43">
        <v>300</v>
      </c>
      <c r="Q406" s="43">
        <v>300</v>
      </c>
      <c r="R406" s="43">
        <v>300</v>
      </c>
      <c r="S406" s="43">
        <v>300</v>
      </c>
      <c r="T406" s="43">
        <v>300</v>
      </c>
      <c r="U406" s="43">
        <v>0</v>
      </c>
      <c r="V406" s="43">
        <v>400</v>
      </c>
      <c r="W406" s="43">
        <v>400</v>
      </c>
      <c r="X406" s="44">
        <f t="shared" si="42"/>
        <v>3500</v>
      </c>
      <c r="Y406" s="43">
        <v>400</v>
      </c>
      <c r="Z406" s="43">
        <v>400</v>
      </c>
      <c r="AA406" s="43">
        <v>400</v>
      </c>
      <c r="AB406" s="43">
        <v>400</v>
      </c>
      <c r="AC406" s="43">
        <v>400</v>
      </c>
      <c r="AD406" s="43">
        <v>400</v>
      </c>
      <c r="AE406" s="43">
        <v>400</v>
      </c>
      <c r="AF406" s="43">
        <v>400</v>
      </c>
      <c r="AG406" s="43">
        <v>400</v>
      </c>
      <c r="AH406" s="43">
        <v>400</v>
      </c>
      <c r="AI406" s="43">
        <v>400</v>
      </c>
      <c r="AJ406" s="43">
        <v>400</v>
      </c>
      <c r="AK406" s="44">
        <f t="shared" si="43"/>
        <v>4800</v>
      </c>
      <c r="AL406" s="43">
        <v>400</v>
      </c>
      <c r="AM406" s="43">
        <v>400</v>
      </c>
      <c r="AN406" s="43">
        <v>400</v>
      </c>
      <c r="AO406" s="43">
        <v>400</v>
      </c>
      <c r="AP406" s="43">
        <v>400</v>
      </c>
      <c r="AQ406" s="43">
        <v>400</v>
      </c>
      <c r="AR406" s="43">
        <v>400</v>
      </c>
      <c r="AS406" s="43">
        <v>400</v>
      </c>
      <c r="AT406" s="43">
        <v>400</v>
      </c>
      <c r="AU406" s="43">
        <v>400</v>
      </c>
      <c r="AV406" s="43">
        <v>400</v>
      </c>
      <c r="AW406" s="43">
        <v>400</v>
      </c>
      <c r="AX406" s="44">
        <f t="shared" si="44"/>
        <v>4800</v>
      </c>
      <c r="AY406" s="317">
        <f>SUMIF(Recibos!$D$4:$D$3010,Cobranza!$B406,Recibos!K$4:K$3010)</f>
        <v>400</v>
      </c>
      <c r="AZ406" s="317">
        <f>SUMIF(Recibos!$D$4:$D$3010,Cobranza!$B406,Recibos!L$4:L$3010)</f>
        <v>400</v>
      </c>
      <c r="BA406" s="317">
        <f>SUMIF(Recibos!$D$4:$D$3010,Cobranza!$B406,Recibos!M$4:M$3010)</f>
        <v>400</v>
      </c>
      <c r="BB406" s="317">
        <f>SUMIF(Recibos!$D$4:$D$3010,Cobranza!$B406,Recibos!N$4:N$3010)</f>
        <v>400</v>
      </c>
      <c r="BC406" s="317">
        <f>SUMIF(Recibos!$D$4:$D$3010,Cobranza!$B406,Recibos!O$4:O$3010)</f>
        <v>400</v>
      </c>
      <c r="BD406" s="317">
        <f>SUMIF(Recibos!$D$4:$D$3010,Cobranza!$B406,Recibos!P$4:P$3010)</f>
        <v>400</v>
      </c>
      <c r="BE406" s="317">
        <f>SUMIF(Recibos!$D$4:$D$3010,Cobranza!$B406,Recibos!Q$4:Q$3010)</f>
        <v>400</v>
      </c>
      <c r="BF406" s="317">
        <f>SUMIF(Recibos!$D$4:$D$3010,Cobranza!$B406,Recibos!R$4:R$3010)</f>
        <v>400</v>
      </c>
      <c r="BG406" s="317">
        <f>SUMIF(Recibos!$D$4:$D$3010,Cobranza!$B406,Recibos!S$4:S$3010)</f>
        <v>400</v>
      </c>
      <c r="BH406" s="317">
        <f>SUMIF(Recibos!$D$4:$D$3010,Cobranza!$B406,Recibos!T$4:T$3010)</f>
        <v>400</v>
      </c>
      <c r="BI406" s="317">
        <f>SUMIF(Recibos!$D$4:$D$3010,Cobranza!$B406,Recibos!U$4:U$3010)</f>
        <v>0</v>
      </c>
      <c r="BJ406" s="317">
        <f>SUMIF(Recibos!$D$4:$D$3010,Cobranza!$B406,Recibos!V$4:V$3010)</f>
        <v>0</v>
      </c>
      <c r="BK406" s="318">
        <f t="shared" si="45"/>
        <v>4000</v>
      </c>
      <c r="BL406" s="317">
        <f>SUMIF(Recibos!$D$4:$D$3010,Cobranza!$B406,Recibos!X$4:X$3010)</f>
        <v>0</v>
      </c>
      <c r="BM406" s="317">
        <f>SUMIF(Recibos!$D$4:$D$3010,Cobranza!$B406,Recibos!Y$4:Y$3010)</f>
        <v>0</v>
      </c>
      <c r="BN406" s="317">
        <f>SUMIF(Recibos!$D$4:$D$3010,Cobranza!$B406,Recibos!Z$4:Z$3010)</f>
        <v>0</v>
      </c>
      <c r="BO406" s="317">
        <f>SUMIF(Recibos!$D$4:$D$3010,Cobranza!$B406,Recibos!AA$4:AA$3010)</f>
        <v>0</v>
      </c>
      <c r="BP406" s="317">
        <f>SUMIF(Recibos!$D$4:$D$3010,Cobranza!$B406,Recibos!AB$4:AB$3010)</f>
        <v>0</v>
      </c>
      <c r="BQ406" s="317">
        <f>SUMIF(Recibos!$D$4:$D$3010,Cobranza!$B406,Recibos!AC$4:AC$3010)</f>
        <v>0</v>
      </c>
      <c r="BR406" s="317">
        <f>SUMIF(Recibos!$D$4:$D$3010,Cobranza!$B406,Recibos!AD$4:AD$3010)</f>
        <v>0</v>
      </c>
      <c r="BS406" s="317">
        <f>SUMIF(Recibos!$D$4:$D$3010,Cobranza!$B406,Recibos!AE$4:AE$3010)</f>
        <v>0</v>
      </c>
      <c r="BT406" s="317">
        <f>SUMIF(Recibos!$D$4:$D$3010,Cobranza!$B406,Recibos!AF$4:AF$3010)</f>
        <v>0</v>
      </c>
      <c r="BU406" s="317">
        <f>SUMIF(Recibos!$D$4:$D$3010,Cobranza!$B406,Recibos!AG$4:AG$3010)</f>
        <v>0</v>
      </c>
      <c r="BV406" s="317">
        <f>SUMIF(Recibos!$D$4:$D$3010,Cobranza!$B406,Recibos!AH$4:AH$3010)</f>
        <v>0</v>
      </c>
      <c r="BW406" s="317">
        <f>SUMIF(Recibos!$D$4:$D$3010,Cobranza!$B406,Recibos!AI$4:AI$3010)</f>
        <v>0</v>
      </c>
      <c r="BX406" s="318">
        <f t="shared" si="46"/>
        <v>0</v>
      </c>
    </row>
    <row r="407" spans="2:76" x14ac:dyDescent="0.2">
      <c r="B407" s="45" t="s">
        <v>855</v>
      </c>
      <c r="C407" s="45" t="s">
        <v>856</v>
      </c>
      <c r="D407" s="45" t="s">
        <v>857</v>
      </c>
      <c r="E407" s="46">
        <v>0</v>
      </c>
      <c r="F407" s="46">
        <v>0</v>
      </c>
      <c r="G407" s="46">
        <v>0</v>
      </c>
      <c r="H407" s="46">
        <v>0</v>
      </c>
      <c r="I407" s="46">
        <v>0</v>
      </c>
      <c r="J407" s="46">
        <v>0</v>
      </c>
      <c r="K407" s="47">
        <f t="shared" si="41"/>
        <v>0</v>
      </c>
      <c r="L407" s="46">
        <v>300</v>
      </c>
      <c r="M407" s="46">
        <v>300</v>
      </c>
      <c r="N407" s="46">
        <v>300</v>
      </c>
      <c r="O407" s="46">
        <v>0</v>
      </c>
      <c r="P407" s="46">
        <v>300</v>
      </c>
      <c r="Q407" s="46">
        <v>0</v>
      </c>
      <c r="R407" s="46">
        <v>0</v>
      </c>
      <c r="S407" s="46">
        <v>0</v>
      </c>
      <c r="T407" s="46">
        <v>300</v>
      </c>
      <c r="U407" s="46">
        <v>400</v>
      </c>
      <c r="V407" s="46">
        <v>300</v>
      </c>
      <c r="W407" s="46">
        <v>300</v>
      </c>
      <c r="X407" s="47">
        <f t="shared" si="42"/>
        <v>2500</v>
      </c>
      <c r="Y407" s="46">
        <v>400</v>
      </c>
      <c r="Z407" s="46">
        <v>400</v>
      </c>
      <c r="AA407" s="46">
        <v>400</v>
      </c>
      <c r="AB407" s="46">
        <v>200</v>
      </c>
      <c r="AC407" s="46">
        <v>200</v>
      </c>
      <c r="AD407" s="46">
        <v>200</v>
      </c>
      <c r="AE407" s="46">
        <v>200</v>
      </c>
      <c r="AF407" s="46">
        <v>200</v>
      </c>
      <c r="AG407" s="46">
        <v>200</v>
      </c>
      <c r="AH407" s="46">
        <v>200</v>
      </c>
      <c r="AI407" s="46">
        <v>200</v>
      </c>
      <c r="AJ407" s="46">
        <v>200</v>
      </c>
      <c r="AK407" s="47">
        <f t="shared" si="43"/>
        <v>3000</v>
      </c>
      <c r="AL407" s="46">
        <v>200</v>
      </c>
      <c r="AM407" s="46">
        <v>200</v>
      </c>
      <c r="AN407" s="46">
        <v>200</v>
      </c>
      <c r="AO407" s="46">
        <v>200</v>
      </c>
      <c r="AP407" s="46">
        <v>200</v>
      </c>
      <c r="AQ407" s="46">
        <v>200</v>
      </c>
      <c r="AR407" s="46">
        <v>200</v>
      </c>
      <c r="AS407" s="46">
        <v>200</v>
      </c>
      <c r="AT407" s="46">
        <v>200</v>
      </c>
      <c r="AU407" s="46">
        <v>200</v>
      </c>
      <c r="AV407" s="46">
        <v>200</v>
      </c>
      <c r="AW407" s="46">
        <v>200</v>
      </c>
      <c r="AX407" s="47">
        <f t="shared" si="44"/>
        <v>2400</v>
      </c>
      <c r="AY407" s="319">
        <f>SUMIF(Recibos!$D$4:$D$3010,Cobranza!$B407,Recibos!K$4:K$3010)</f>
        <v>200</v>
      </c>
      <c r="AZ407" s="319">
        <f>SUMIF(Recibos!$D$4:$D$3010,Cobranza!$B407,Recibos!L$4:L$3010)</f>
        <v>200</v>
      </c>
      <c r="BA407" s="319">
        <f>SUMIF(Recibos!$D$4:$D$3010,Cobranza!$B407,Recibos!M$4:M$3010)</f>
        <v>200</v>
      </c>
      <c r="BB407" s="319">
        <f>SUMIF(Recibos!$D$4:$D$3010,Cobranza!$B407,Recibos!N$4:N$3010)</f>
        <v>200</v>
      </c>
      <c r="BC407" s="319">
        <f>SUMIF(Recibos!$D$4:$D$3010,Cobranza!$B407,Recibos!O$4:O$3010)</f>
        <v>200</v>
      </c>
      <c r="BD407" s="319">
        <f>SUMIF(Recibos!$D$4:$D$3010,Cobranza!$B407,Recibos!P$4:P$3010)</f>
        <v>200</v>
      </c>
      <c r="BE407" s="319">
        <f>SUMIF(Recibos!$D$4:$D$3010,Cobranza!$B407,Recibos!Q$4:Q$3010)</f>
        <v>200</v>
      </c>
      <c r="BF407" s="319">
        <f>SUMIF(Recibos!$D$4:$D$3010,Cobranza!$B407,Recibos!R$4:R$3010)</f>
        <v>200</v>
      </c>
      <c r="BG407" s="319">
        <f>SUMIF(Recibos!$D$4:$D$3010,Cobranza!$B407,Recibos!S$4:S$3010)</f>
        <v>200</v>
      </c>
      <c r="BH407" s="319">
        <f>SUMIF(Recibos!$D$4:$D$3010,Cobranza!$B407,Recibos!T$4:T$3010)</f>
        <v>200</v>
      </c>
      <c r="BI407" s="319">
        <f>SUMIF(Recibos!$D$4:$D$3010,Cobranza!$B407,Recibos!U$4:U$3010)</f>
        <v>200</v>
      </c>
      <c r="BJ407" s="319">
        <f>SUMIF(Recibos!$D$4:$D$3010,Cobranza!$B407,Recibos!V$4:V$3010)</f>
        <v>200</v>
      </c>
      <c r="BK407" s="320">
        <f t="shared" si="45"/>
        <v>2400</v>
      </c>
      <c r="BL407" s="319">
        <f>SUMIF(Recibos!$D$4:$D$3010,Cobranza!$B407,Recibos!X$4:X$3010)</f>
        <v>0</v>
      </c>
      <c r="BM407" s="319">
        <f>SUMIF(Recibos!$D$4:$D$3010,Cobranza!$B407,Recibos!Y$4:Y$3010)</f>
        <v>0</v>
      </c>
      <c r="BN407" s="319">
        <f>SUMIF(Recibos!$D$4:$D$3010,Cobranza!$B407,Recibos!Z$4:Z$3010)</f>
        <v>0</v>
      </c>
      <c r="BO407" s="319">
        <f>SUMIF(Recibos!$D$4:$D$3010,Cobranza!$B407,Recibos!AA$4:AA$3010)</f>
        <v>0</v>
      </c>
      <c r="BP407" s="319">
        <f>SUMIF(Recibos!$D$4:$D$3010,Cobranza!$B407,Recibos!AB$4:AB$3010)</f>
        <v>0</v>
      </c>
      <c r="BQ407" s="319">
        <f>SUMIF(Recibos!$D$4:$D$3010,Cobranza!$B407,Recibos!AC$4:AC$3010)</f>
        <v>0</v>
      </c>
      <c r="BR407" s="319">
        <f>SUMIF(Recibos!$D$4:$D$3010,Cobranza!$B407,Recibos!AD$4:AD$3010)</f>
        <v>0</v>
      </c>
      <c r="BS407" s="319">
        <f>SUMIF(Recibos!$D$4:$D$3010,Cobranza!$B407,Recibos!AE$4:AE$3010)</f>
        <v>0</v>
      </c>
      <c r="BT407" s="319">
        <f>SUMIF(Recibos!$D$4:$D$3010,Cobranza!$B407,Recibos!AF$4:AF$3010)</f>
        <v>0</v>
      </c>
      <c r="BU407" s="319">
        <f>SUMIF(Recibos!$D$4:$D$3010,Cobranza!$B407,Recibos!AG$4:AG$3010)</f>
        <v>0</v>
      </c>
      <c r="BV407" s="319">
        <f>SUMIF(Recibos!$D$4:$D$3010,Cobranza!$B407,Recibos!AH$4:AH$3010)</f>
        <v>0</v>
      </c>
      <c r="BW407" s="319">
        <f>SUMIF(Recibos!$D$4:$D$3010,Cobranza!$B407,Recibos!AI$4:AI$3010)</f>
        <v>0</v>
      </c>
      <c r="BX407" s="320">
        <f t="shared" si="46"/>
        <v>0</v>
      </c>
    </row>
    <row r="408" spans="2:76" x14ac:dyDescent="0.2">
      <c r="B408" s="42" t="s">
        <v>186</v>
      </c>
      <c r="C408" s="42" t="s">
        <v>187</v>
      </c>
      <c r="D408" s="42" t="s">
        <v>188</v>
      </c>
      <c r="E408" s="43">
        <v>0</v>
      </c>
      <c r="F408" s="43">
        <v>0</v>
      </c>
      <c r="G408" s="43">
        <v>0</v>
      </c>
      <c r="H408" s="43">
        <v>0</v>
      </c>
      <c r="I408" s="43">
        <v>0</v>
      </c>
      <c r="J408" s="43">
        <v>0</v>
      </c>
      <c r="K408" s="44">
        <f t="shared" si="41"/>
        <v>0</v>
      </c>
      <c r="L408" s="43">
        <v>300</v>
      </c>
      <c r="M408" s="43">
        <v>300</v>
      </c>
      <c r="N408" s="43">
        <v>300</v>
      </c>
      <c r="O408" s="43">
        <v>300</v>
      </c>
      <c r="P408" s="43">
        <v>300</v>
      </c>
      <c r="Q408" s="43">
        <v>300</v>
      </c>
      <c r="R408" s="43">
        <v>300</v>
      </c>
      <c r="S408" s="43">
        <v>300</v>
      </c>
      <c r="T408" s="43">
        <v>300</v>
      </c>
      <c r="U408" s="43">
        <v>400</v>
      </c>
      <c r="V408" s="43">
        <v>400</v>
      </c>
      <c r="W408" s="43">
        <v>400</v>
      </c>
      <c r="X408" s="44">
        <f t="shared" si="42"/>
        <v>3900</v>
      </c>
      <c r="Y408" s="43">
        <v>400</v>
      </c>
      <c r="Z408" s="43">
        <v>400</v>
      </c>
      <c r="AA408" s="43">
        <v>400</v>
      </c>
      <c r="AB408" s="43">
        <v>400</v>
      </c>
      <c r="AC408" s="43">
        <v>400</v>
      </c>
      <c r="AD408" s="43">
        <v>400</v>
      </c>
      <c r="AE408" s="43">
        <v>400</v>
      </c>
      <c r="AF408" s="43">
        <v>400</v>
      </c>
      <c r="AG408" s="43">
        <v>400</v>
      </c>
      <c r="AH408" s="43">
        <v>400</v>
      </c>
      <c r="AI408" s="43">
        <v>400</v>
      </c>
      <c r="AJ408" s="43">
        <v>400</v>
      </c>
      <c r="AK408" s="44">
        <f t="shared" si="43"/>
        <v>4800</v>
      </c>
      <c r="AL408" s="43">
        <v>400</v>
      </c>
      <c r="AM408" s="43">
        <v>400</v>
      </c>
      <c r="AN408" s="43">
        <v>400</v>
      </c>
      <c r="AO408" s="43">
        <v>400</v>
      </c>
      <c r="AP408" s="43">
        <v>400</v>
      </c>
      <c r="AQ408" s="43">
        <v>400</v>
      </c>
      <c r="AR408" s="43">
        <v>400</v>
      </c>
      <c r="AS408" s="43">
        <v>400</v>
      </c>
      <c r="AT408" s="43">
        <v>400</v>
      </c>
      <c r="AU408" s="43">
        <v>400</v>
      </c>
      <c r="AV408" s="43">
        <v>400</v>
      </c>
      <c r="AW408" s="43">
        <v>400</v>
      </c>
      <c r="AX408" s="44">
        <f t="shared" si="44"/>
        <v>4800</v>
      </c>
      <c r="AY408" s="317">
        <f>SUMIF(Recibos!$D$4:$D$3010,Cobranza!$B408,Recibos!K$4:K$3010)</f>
        <v>400</v>
      </c>
      <c r="AZ408" s="317">
        <f>SUMIF(Recibos!$D$4:$D$3010,Cobranza!$B408,Recibos!L$4:L$3010)</f>
        <v>400</v>
      </c>
      <c r="BA408" s="317">
        <f>SUMIF(Recibos!$D$4:$D$3010,Cobranza!$B408,Recibos!M$4:M$3010)</f>
        <v>400</v>
      </c>
      <c r="BB408" s="317">
        <f>SUMIF(Recibos!$D$4:$D$3010,Cobranza!$B408,Recibos!N$4:N$3010)</f>
        <v>400</v>
      </c>
      <c r="BC408" s="317">
        <f>SUMIF(Recibos!$D$4:$D$3010,Cobranza!$B408,Recibos!O$4:O$3010)</f>
        <v>400</v>
      </c>
      <c r="BD408" s="317">
        <f>SUMIF(Recibos!$D$4:$D$3010,Cobranza!$B408,Recibos!P$4:P$3010)</f>
        <v>400</v>
      </c>
      <c r="BE408" s="317">
        <f>SUMIF(Recibos!$D$4:$D$3010,Cobranza!$B408,Recibos!Q$4:Q$3010)</f>
        <v>400</v>
      </c>
      <c r="BF408" s="317">
        <f>SUMIF(Recibos!$D$4:$D$3010,Cobranza!$B408,Recibos!R$4:R$3010)</f>
        <v>400</v>
      </c>
      <c r="BG408" s="317">
        <f>SUMIF(Recibos!$D$4:$D$3010,Cobranza!$B408,Recibos!S$4:S$3010)</f>
        <v>400</v>
      </c>
      <c r="BH408" s="317">
        <f>SUMIF(Recibos!$D$4:$D$3010,Cobranza!$B408,Recibos!T$4:T$3010)</f>
        <v>400</v>
      </c>
      <c r="BI408" s="317">
        <f>SUMIF(Recibos!$D$4:$D$3010,Cobranza!$B408,Recibos!U$4:U$3010)</f>
        <v>400</v>
      </c>
      <c r="BJ408" s="317">
        <f>SUMIF(Recibos!$D$4:$D$3010,Cobranza!$B408,Recibos!V$4:V$3010)</f>
        <v>400</v>
      </c>
      <c r="BK408" s="318">
        <f t="shared" si="45"/>
        <v>4800</v>
      </c>
      <c r="BL408" s="317">
        <f>SUMIF(Recibos!$D$4:$D$3010,Cobranza!$B408,Recibos!X$4:X$3010)</f>
        <v>0</v>
      </c>
      <c r="BM408" s="317">
        <f>SUMIF(Recibos!$D$4:$D$3010,Cobranza!$B408,Recibos!Y$4:Y$3010)</f>
        <v>0</v>
      </c>
      <c r="BN408" s="317">
        <f>SUMIF(Recibos!$D$4:$D$3010,Cobranza!$B408,Recibos!Z$4:Z$3010)</f>
        <v>0</v>
      </c>
      <c r="BO408" s="317">
        <f>SUMIF(Recibos!$D$4:$D$3010,Cobranza!$B408,Recibos!AA$4:AA$3010)</f>
        <v>0</v>
      </c>
      <c r="BP408" s="317">
        <f>SUMIF(Recibos!$D$4:$D$3010,Cobranza!$B408,Recibos!AB$4:AB$3010)</f>
        <v>0</v>
      </c>
      <c r="BQ408" s="317">
        <f>SUMIF(Recibos!$D$4:$D$3010,Cobranza!$B408,Recibos!AC$4:AC$3010)</f>
        <v>0</v>
      </c>
      <c r="BR408" s="317">
        <f>SUMIF(Recibos!$D$4:$D$3010,Cobranza!$B408,Recibos!AD$4:AD$3010)</f>
        <v>0</v>
      </c>
      <c r="BS408" s="317">
        <f>SUMIF(Recibos!$D$4:$D$3010,Cobranza!$B408,Recibos!AE$4:AE$3010)</f>
        <v>0</v>
      </c>
      <c r="BT408" s="317">
        <f>SUMIF(Recibos!$D$4:$D$3010,Cobranza!$B408,Recibos!AF$4:AF$3010)</f>
        <v>0</v>
      </c>
      <c r="BU408" s="317">
        <f>SUMIF(Recibos!$D$4:$D$3010,Cobranza!$B408,Recibos!AG$4:AG$3010)</f>
        <v>0</v>
      </c>
      <c r="BV408" s="317">
        <f>SUMIF(Recibos!$D$4:$D$3010,Cobranza!$B408,Recibos!AH$4:AH$3010)</f>
        <v>0</v>
      </c>
      <c r="BW408" s="317">
        <f>SUMIF(Recibos!$D$4:$D$3010,Cobranza!$B408,Recibos!AI$4:AI$3010)</f>
        <v>0</v>
      </c>
      <c r="BX408" s="318">
        <f t="shared" si="46"/>
        <v>0</v>
      </c>
    </row>
    <row r="409" spans="2:76" x14ac:dyDescent="0.2">
      <c r="B409" s="45" t="s">
        <v>361</v>
      </c>
      <c r="C409" s="45" t="s">
        <v>362</v>
      </c>
      <c r="D409" s="45" t="s">
        <v>363</v>
      </c>
      <c r="E409" s="46">
        <v>0</v>
      </c>
      <c r="F409" s="46">
        <v>0</v>
      </c>
      <c r="G409" s="46">
        <v>0</v>
      </c>
      <c r="H409" s="46">
        <v>0</v>
      </c>
      <c r="I409" s="46">
        <v>0</v>
      </c>
      <c r="J409" s="46">
        <v>0</v>
      </c>
      <c r="K409" s="47">
        <f t="shared" si="41"/>
        <v>0</v>
      </c>
      <c r="L409" s="46">
        <v>300</v>
      </c>
      <c r="M409" s="46">
        <v>300</v>
      </c>
      <c r="N409" s="46">
        <v>300</v>
      </c>
      <c r="O409" s="46">
        <v>300</v>
      </c>
      <c r="P409" s="46">
        <v>300</v>
      </c>
      <c r="Q409" s="46">
        <v>300</v>
      </c>
      <c r="R409" s="46">
        <v>300</v>
      </c>
      <c r="S409" s="46">
        <v>300</v>
      </c>
      <c r="T409" s="46">
        <v>300</v>
      </c>
      <c r="U409" s="46">
        <v>300</v>
      </c>
      <c r="V409" s="46">
        <v>400</v>
      </c>
      <c r="W409" s="46">
        <v>400</v>
      </c>
      <c r="X409" s="47">
        <f t="shared" si="42"/>
        <v>3800</v>
      </c>
      <c r="Y409" s="46">
        <v>400</v>
      </c>
      <c r="Z409" s="46">
        <v>400</v>
      </c>
      <c r="AA409" s="46">
        <v>400</v>
      </c>
      <c r="AB409" s="46">
        <v>400</v>
      </c>
      <c r="AC409" s="46">
        <v>400</v>
      </c>
      <c r="AD409" s="46">
        <v>400</v>
      </c>
      <c r="AE409" s="46">
        <v>400</v>
      </c>
      <c r="AF409" s="46">
        <v>400</v>
      </c>
      <c r="AG409" s="46">
        <v>400</v>
      </c>
      <c r="AH409" s="46">
        <v>400</v>
      </c>
      <c r="AI409" s="46">
        <v>400</v>
      </c>
      <c r="AJ409" s="46">
        <v>400</v>
      </c>
      <c r="AK409" s="47">
        <f t="shared" si="43"/>
        <v>4800</v>
      </c>
      <c r="AL409" s="46">
        <v>400</v>
      </c>
      <c r="AM409" s="46">
        <v>400</v>
      </c>
      <c r="AN409" s="46">
        <v>400</v>
      </c>
      <c r="AO409" s="46">
        <v>400</v>
      </c>
      <c r="AP409" s="46">
        <v>400</v>
      </c>
      <c r="AQ409" s="46">
        <v>400</v>
      </c>
      <c r="AR409" s="46">
        <v>400</v>
      </c>
      <c r="AS409" s="46">
        <v>400</v>
      </c>
      <c r="AT409" s="46">
        <v>400</v>
      </c>
      <c r="AU409" s="46">
        <v>400</v>
      </c>
      <c r="AV409" s="46">
        <v>400</v>
      </c>
      <c r="AW409" s="46">
        <v>400</v>
      </c>
      <c r="AX409" s="47">
        <f t="shared" si="44"/>
        <v>4800</v>
      </c>
      <c r="AY409" s="319">
        <f>SUMIF(Recibos!$D$4:$D$3010,Cobranza!$B409,Recibos!K$4:K$3010)</f>
        <v>400</v>
      </c>
      <c r="AZ409" s="319">
        <f>SUMIF(Recibos!$D$4:$D$3010,Cobranza!$B409,Recibos!L$4:L$3010)</f>
        <v>400</v>
      </c>
      <c r="BA409" s="319">
        <f>SUMIF(Recibos!$D$4:$D$3010,Cobranza!$B409,Recibos!M$4:M$3010)</f>
        <v>400</v>
      </c>
      <c r="BB409" s="319">
        <f>SUMIF(Recibos!$D$4:$D$3010,Cobranza!$B409,Recibos!N$4:N$3010)</f>
        <v>400</v>
      </c>
      <c r="BC409" s="319">
        <f>SUMIF(Recibos!$D$4:$D$3010,Cobranza!$B409,Recibos!O$4:O$3010)</f>
        <v>400</v>
      </c>
      <c r="BD409" s="319">
        <f>SUMIF(Recibos!$D$4:$D$3010,Cobranza!$B409,Recibos!P$4:P$3010)</f>
        <v>400</v>
      </c>
      <c r="BE409" s="319">
        <f>SUMIF(Recibos!$D$4:$D$3010,Cobranza!$B409,Recibos!Q$4:Q$3010)</f>
        <v>400</v>
      </c>
      <c r="BF409" s="319">
        <f>SUMIF(Recibos!$D$4:$D$3010,Cobranza!$B409,Recibos!R$4:R$3010)</f>
        <v>400</v>
      </c>
      <c r="BG409" s="319">
        <f>SUMIF(Recibos!$D$4:$D$3010,Cobranza!$B409,Recibos!S$4:S$3010)</f>
        <v>400</v>
      </c>
      <c r="BH409" s="319">
        <f>SUMIF(Recibos!$D$4:$D$3010,Cobranza!$B409,Recibos!T$4:T$3010)</f>
        <v>400</v>
      </c>
      <c r="BI409" s="319">
        <f>SUMIF(Recibos!$D$4:$D$3010,Cobranza!$B409,Recibos!U$4:U$3010)</f>
        <v>400</v>
      </c>
      <c r="BJ409" s="319">
        <f>SUMIF(Recibos!$D$4:$D$3010,Cobranza!$B409,Recibos!V$4:V$3010)</f>
        <v>0</v>
      </c>
      <c r="BK409" s="320">
        <f t="shared" si="45"/>
        <v>4400</v>
      </c>
      <c r="BL409" s="319">
        <f>SUMIF(Recibos!$D$4:$D$3010,Cobranza!$B409,Recibos!X$4:X$3010)</f>
        <v>0</v>
      </c>
      <c r="BM409" s="319">
        <f>SUMIF(Recibos!$D$4:$D$3010,Cobranza!$B409,Recibos!Y$4:Y$3010)</f>
        <v>0</v>
      </c>
      <c r="BN409" s="319">
        <f>SUMIF(Recibos!$D$4:$D$3010,Cobranza!$B409,Recibos!Z$4:Z$3010)</f>
        <v>0</v>
      </c>
      <c r="BO409" s="319">
        <f>SUMIF(Recibos!$D$4:$D$3010,Cobranza!$B409,Recibos!AA$4:AA$3010)</f>
        <v>0</v>
      </c>
      <c r="BP409" s="319">
        <f>SUMIF(Recibos!$D$4:$D$3010,Cobranza!$B409,Recibos!AB$4:AB$3010)</f>
        <v>0</v>
      </c>
      <c r="BQ409" s="319">
        <f>SUMIF(Recibos!$D$4:$D$3010,Cobranza!$B409,Recibos!AC$4:AC$3010)</f>
        <v>0</v>
      </c>
      <c r="BR409" s="319">
        <f>SUMIF(Recibos!$D$4:$D$3010,Cobranza!$B409,Recibos!AD$4:AD$3010)</f>
        <v>0</v>
      </c>
      <c r="BS409" s="319">
        <f>SUMIF(Recibos!$D$4:$D$3010,Cobranza!$B409,Recibos!AE$4:AE$3010)</f>
        <v>0</v>
      </c>
      <c r="BT409" s="319">
        <f>SUMIF(Recibos!$D$4:$D$3010,Cobranza!$B409,Recibos!AF$4:AF$3010)</f>
        <v>0</v>
      </c>
      <c r="BU409" s="319">
        <f>SUMIF(Recibos!$D$4:$D$3010,Cobranza!$B409,Recibos!AG$4:AG$3010)</f>
        <v>0</v>
      </c>
      <c r="BV409" s="319">
        <f>SUMIF(Recibos!$D$4:$D$3010,Cobranza!$B409,Recibos!AH$4:AH$3010)</f>
        <v>0</v>
      </c>
      <c r="BW409" s="319">
        <f>SUMIF(Recibos!$D$4:$D$3010,Cobranza!$B409,Recibos!AI$4:AI$3010)</f>
        <v>0</v>
      </c>
      <c r="BX409" s="320">
        <f t="shared" si="46"/>
        <v>0</v>
      </c>
    </row>
    <row r="410" spans="2:76" x14ac:dyDescent="0.2">
      <c r="B410" s="42" t="s">
        <v>1445</v>
      </c>
      <c r="C410" s="42" t="s">
        <v>1446</v>
      </c>
      <c r="D410" s="42"/>
      <c r="E410" s="43">
        <v>0</v>
      </c>
      <c r="F410" s="43">
        <v>0</v>
      </c>
      <c r="G410" s="43">
        <v>0</v>
      </c>
      <c r="H410" s="43">
        <v>0</v>
      </c>
      <c r="I410" s="43">
        <v>0</v>
      </c>
      <c r="J410" s="43">
        <v>0</v>
      </c>
      <c r="K410" s="44">
        <f t="shared" si="41"/>
        <v>0</v>
      </c>
      <c r="L410" s="43">
        <v>0</v>
      </c>
      <c r="M410" s="43">
        <v>0</v>
      </c>
      <c r="N410" s="43">
        <v>0</v>
      </c>
      <c r="O410" s="43">
        <v>0</v>
      </c>
      <c r="P410" s="43">
        <v>0</v>
      </c>
      <c r="Q410" s="43">
        <v>0</v>
      </c>
      <c r="R410" s="43">
        <v>0</v>
      </c>
      <c r="S410" s="43">
        <v>0</v>
      </c>
      <c r="T410" s="43">
        <v>0</v>
      </c>
      <c r="U410" s="43">
        <v>0</v>
      </c>
      <c r="V410" s="43">
        <v>0</v>
      </c>
      <c r="W410" s="43">
        <v>0</v>
      </c>
      <c r="X410" s="44">
        <f t="shared" si="42"/>
        <v>0</v>
      </c>
      <c r="Y410" s="43">
        <v>0</v>
      </c>
      <c r="Z410" s="43">
        <v>0</v>
      </c>
      <c r="AA410" s="43">
        <v>0</v>
      </c>
      <c r="AB410" s="43">
        <v>0</v>
      </c>
      <c r="AC410" s="43">
        <v>0</v>
      </c>
      <c r="AD410" s="43">
        <v>0</v>
      </c>
      <c r="AE410" s="43">
        <v>0</v>
      </c>
      <c r="AF410" s="43">
        <v>0</v>
      </c>
      <c r="AG410" s="43">
        <v>0</v>
      </c>
      <c r="AH410" s="43">
        <v>0</v>
      </c>
      <c r="AI410" s="43">
        <v>0</v>
      </c>
      <c r="AJ410" s="43">
        <v>0</v>
      </c>
      <c r="AK410" s="44">
        <f t="shared" si="43"/>
        <v>0</v>
      </c>
      <c r="AL410" s="43">
        <v>0</v>
      </c>
      <c r="AM410" s="43">
        <v>0</v>
      </c>
      <c r="AN410" s="43">
        <v>0</v>
      </c>
      <c r="AO410" s="43">
        <v>0</v>
      </c>
      <c r="AP410" s="43">
        <v>0</v>
      </c>
      <c r="AQ410" s="43">
        <v>0</v>
      </c>
      <c r="AR410" s="43">
        <v>0</v>
      </c>
      <c r="AS410" s="43">
        <v>0</v>
      </c>
      <c r="AT410" s="43">
        <v>0</v>
      </c>
      <c r="AU410" s="43">
        <v>0</v>
      </c>
      <c r="AV410" s="43">
        <v>0</v>
      </c>
      <c r="AW410" s="43">
        <v>0</v>
      </c>
      <c r="AX410" s="44">
        <f t="shared" si="44"/>
        <v>0</v>
      </c>
      <c r="AY410" s="317">
        <f>SUMIF(Recibos!$D$4:$D$3010,Cobranza!$B410,Recibos!K$4:K$3010)</f>
        <v>0</v>
      </c>
      <c r="AZ410" s="317">
        <f>SUMIF(Recibos!$D$4:$D$3010,Cobranza!$B410,Recibos!L$4:L$3010)</f>
        <v>0</v>
      </c>
      <c r="BA410" s="317">
        <f>SUMIF(Recibos!$D$4:$D$3010,Cobranza!$B410,Recibos!M$4:M$3010)</f>
        <v>0</v>
      </c>
      <c r="BB410" s="317">
        <f>SUMIF(Recibos!$D$4:$D$3010,Cobranza!$B410,Recibos!N$4:N$3010)</f>
        <v>0</v>
      </c>
      <c r="BC410" s="317">
        <f>SUMIF(Recibos!$D$4:$D$3010,Cobranza!$B410,Recibos!O$4:O$3010)</f>
        <v>0</v>
      </c>
      <c r="BD410" s="317">
        <f>SUMIF(Recibos!$D$4:$D$3010,Cobranza!$B410,Recibos!P$4:P$3010)</f>
        <v>0</v>
      </c>
      <c r="BE410" s="317">
        <f>SUMIF(Recibos!$D$4:$D$3010,Cobranza!$B410,Recibos!Q$4:Q$3010)</f>
        <v>0</v>
      </c>
      <c r="BF410" s="317">
        <f>SUMIF(Recibos!$D$4:$D$3010,Cobranza!$B410,Recibos!R$4:R$3010)</f>
        <v>0</v>
      </c>
      <c r="BG410" s="317">
        <f>SUMIF(Recibos!$D$4:$D$3010,Cobranza!$B410,Recibos!S$4:S$3010)</f>
        <v>0</v>
      </c>
      <c r="BH410" s="317">
        <f>SUMIF(Recibos!$D$4:$D$3010,Cobranza!$B410,Recibos!T$4:T$3010)</f>
        <v>0</v>
      </c>
      <c r="BI410" s="317">
        <f>SUMIF(Recibos!$D$4:$D$3010,Cobranza!$B410,Recibos!U$4:U$3010)</f>
        <v>0</v>
      </c>
      <c r="BJ410" s="317">
        <f>SUMIF(Recibos!$D$4:$D$3010,Cobranza!$B410,Recibos!V$4:V$3010)</f>
        <v>0</v>
      </c>
      <c r="BK410" s="318">
        <f t="shared" si="45"/>
        <v>0</v>
      </c>
      <c r="BL410" s="317">
        <f>SUMIF(Recibos!$D$4:$D$3010,Cobranza!$B410,Recibos!X$4:X$3010)</f>
        <v>0</v>
      </c>
      <c r="BM410" s="317">
        <f>SUMIF(Recibos!$D$4:$D$3010,Cobranza!$B410,Recibos!Y$4:Y$3010)</f>
        <v>0</v>
      </c>
      <c r="BN410" s="317">
        <f>SUMIF(Recibos!$D$4:$D$3010,Cobranza!$B410,Recibos!Z$4:Z$3010)</f>
        <v>0</v>
      </c>
      <c r="BO410" s="317">
        <f>SUMIF(Recibos!$D$4:$D$3010,Cobranza!$B410,Recibos!AA$4:AA$3010)</f>
        <v>0</v>
      </c>
      <c r="BP410" s="317">
        <f>SUMIF(Recibos!$D$4:$D$3010,Cobranza!$B410,Recibos!AB$4:AB$3010)</f>
        <v>0</v>
      </c>
      <c r="BQ410" s="317">
        <f>SUMIF(Recibos!$D$4:$D$3010,Cobranza!$B410,Recibos!AC$4:AC$3010)</f>
        <v>0</v>
      </c>
      <c r="BR410" s="317">
        <f>SUMIF(Recibos!$D$4:$D$3010,Cobranza!$B410,Recibos!AD$4:AD$3010)</f>
        <v>0</v>
      </c>
      <c r="BS410" s="317">
        <f>SUMIF(Recibos!$D$4:$D$3010,Cobranza!$B410,Recibos!AE$4:AE$3010)</f>
        <v>0</v>
      </c>
      <c r="BT410" s="317">
        <f>SUMIF(Recibos!$D$4:$D$3010,Cobranza!$B410,Recibos!AF$4:AF$3010)</f>
        <v>0</v>
      </c>
      <c r="BU410" s="317">
        <f>SUMIF(Recibos!$D$4:$D$3010,Cobranza!$B410,Recibos!AG$4:AG$3010)</f>
        <v>0</v>
      </c>
      <c r="BV410" s="317">
        <f>SUMIF(Recibos!$D$4:$D$3010,Cobranza!$B410,Recibos!AH$4:AH$3010)</f>
        <v>0</v>
      </c>
      <c r="BW410" s="317">
        <f>SUMIF(Recibos!$D$4:$D$3010,Cobranza!$B410,Recibos!AI$4:AI$3010)</f>
        <v>0</v>
      </c>
      <c r="BX410" s="318">
        <f t="shared" si="46"/>
        <v>0</v>
      </c>
    </row>
    <row r="411" spans="2:76" x14ac:dyDescent="0.2">
      <c r="B411" s="45" t="s">
        <v>1110</v>
      </c>
      <c r="C411" s="45" t="s">
        <v>1111</v>
      </c>
      <c r="D411" s="45" t="s">
        <v>657</v>
      </c>
      <c r="E411" s="46">
        <v>0</v>
      </c>
      <c r="F411" s="46">
        <v>0</v>
      </c>
      <c r="G411" s="46">
        <v>0</v>
      </c>
      <c r="H411" s="46">
        <v>0</v>
      </c>
      <c r="I411" s="46">
        <v>0</v>
      </c>
      <c r="J411" s="46">
        <v>0</v>
      </c>
      <c r="K411" s="47">
        <f t="shared" si="41"/>
        <v>0</v>
      </c>
      <c r="L411" s="46">
        <v>300</v>
      </c>
      <c r="M411" s="46">
        <v>300</v>
      </c>
      <c r="N411" s="46">
        <v>300</v>
      </c>
      <c r="O411" s="46">
        <v>300</v>
      </c>
      <c r="P411" s="46">
        <v>300</v>
      </c>
      <c r="Q411" s="46">
        <v>300</v>
      </c>
      <c r="R411" s="46">
        <v>300</v>
      </c>
      <c r="S411" s="46">
        <v>300</v>
      </c>
      <c r="T411" s="46">
        <v>300</v>
      </c>
      <c r="U411" s="46">
        <v>300</v>
      </c>
      <c r="V411" s="46">
        <v>300</v>
      </c>
      <c r="W411" s="46">
        <v>0</v>
      </c>
      <c r="X411" s="47">
        <f t="shared" si="42"/>
        <v>3300</v>
      </c>
      <c r="Y411" s="46">
        <v>0</v>
      </c>
      <c r="Z411" s="46">
        <v>0</v>
      </c>
      <c r="AA411" s="46">
        <v>0</v>
      </c>
      <c r="AB411" s="46">
        <v>0</v>
      </c>
      <c r="AC411" s="46">
        <v>0</v>
      </c>
      <c r="AD411" s="46">
        <v>0</v>
      </c>
      <c r="AE411" s="46">
        <v>0</v>
      </c>
      <c r="AF411" s="46">
        <v>0</v>
      </c>
      <c r="AG411" s="46">
        <v>0</v>
      </c>
      <c r="AH411" s="46">
        <v>0</v>
      </c>
      <c r="AI411" s="46">
        <v>0</v>
      </c>
      <c r="AJ411" s="46">
        <v>0</v>
      </c>
      <c r="AK411" s="47">
        <f t="shared" si="43"/>
        <v>0</v>
      </c>
      <c r="AL411" s="46">
        <v>0</v>
      </c>
      <c r="AM411" s="46">
        <v>0</v>
      </c>
      <c r="AN411" s="46">
        <v>0</v>
      </c>
      <c r="AO411" s="46">
        <v>0</v>
      </c>
      <c r="AP411" s="46">
        <v>0</v>
      </c>
      <c r="AQ411" s="46">
        <v>0</v>
      </c>
      <c r="AR411" s="46">
        <v>0</v>
      </c>
      <c r="AS411" s="46">
        <v>0</v>
      </c>
      <c r="AT411" s="46">
        <v>0</v>
      </c>
      <c r="AU411" s="46">
        <v>0</v>
      </c>
      <c r="AV411" s="46">
        <v>0</v>
      </c>
      <c r="AW411" s="46">
        <v>0</v>
      </c>
      <c r="AX411" s="47">
        <f t="shared" si="44"/>
        <v>0</v>
      </c>
      <c r="AY411" s="319">
        <f>SUMIF(Recibos!$D$4:$D$3010,Cobranza!$B411,Recibos!K$4:K$3010)</f>
        <v>0</v>
      </c>
      <c r="AZ411" s="319">
        <f>SUMIF(Recibos!$D$4:$D$3010,Cobranza!$B411,Recibos!L$4:L$3010)</f>
        <v>0</v>
      </c>
      <c r="BA411" s="319">
        <f>SUMIF(Recibos!$D$4:$D$3010,Cobranza!$B411,Recibos!M$4:M$3010)</f>
        <v>0</v>
      </c>
      <c r="BB411" s="319">
        <f>SUMIF(Recibos!$D$4:$D$3010,Cobranza!$B411,Recibos!N$4:N$3010)</f>
        <v>0</v>
      </c>
      <c r="BC411" s="319">
        <f>SUMIF(Recibos!$D$4:$D$3010,Cobranza!$B411,Recibos!O$4:O$3010)</f>
        <v>0</v>
      </c>
      <c r="BD411" s="319">
        <f>SUMIF(Recibos!$D$4:$D$3010,Cobranza!$B411,Recibos!P$4:P$3010)</f>
        <v>0</v>
      </c>
      <c r="BE411" s="319">
        <f>SUMIF(Recibos!$D$4:$D$3010,Cobranza!$B411,Recibos!Q$4:Q$3010)</f>
        <v>400</v>
      </c>
      <c r="BF411" s="319">
        <f>SUMIF(Recibos!$D$4:$D$3010,Cobranza!$B411,Recibos!R$4:R$3010)</f>
        <v>400</v>
      </c>
      <c r="BG411" s="319">
        <f>SUMIF(Recibos!$D$4:$D$3010,Cobranza!$B411,Recibos!S$4:S$3010)</f>
        <v>0</v>
      </c>
      <c r="BH411" s="319">
        <f>SUMIF(Recibos!$D$4:$D$3010,Cobranza!$B411,Recibos!T$4:T$3010)</f>
        <v>0</v>
      </c>
      <c r="BI411" s="319">
        <f>SUMIF(Recibos!$D$4:$D$3010,Cobranza!$B411,Recibos!U$4:U$3010)</f>
        <v>0</v>
      </c>
      <c r="BJ411" s="319">
        <f>SUMIF(Recibos!$D$4:$D$3010,Cobranza!$B411,Recibos!V$4:V$3010)</f>
        <v>0</v>
      </c>
      <c r="BK411" s="320">
        <f t="shared" si="45"/>
        <v>800</v>
      </c>
      <c r="BL411" s="319">
        <f>SUMIF(Recibos!$D$4:$D$3010,Cobranza!$B411,Recibos!X$4:X$3010)</f>
        <v>0</v>
      </c>
      <c r="BM411" s="319">
        <f>SUMIF(Recibos!$D$4:$D$3010,Cobranza!$B411,Recibos!Y$4:Y$3010)</f>
        <v>0</v>
      </c>
      <c r="BN411" s="319">
        <f>SUMIF(Recibos!$D$4:$D$3010,Cobranza!$B411,Recibos!Z$4:Z$3010)</f>
        <v>0</v>
      </c>
      <c r="BO411" s="319">
        <f>SUMIF(Recibos!$D$4:$D$3010,Cobranza!$B411,Recibos!AA$4:AA$3010)</f>
        <v>0</v>
      </c>
      <c r="BP411" s="319">
        <f>SUMIF(Recibos!$D$4:$D$3010,Cobranza!$B411,Recibos!AB$4:AB$3010)</f>
        <v>0</v>
      </c>
      <c r="BQ411" s="319">
        <f>SUMIF(Recibos!$D$4:$D$3010,Cobranza!$B411,Recibos!AC$4:AC$3010)</f>
        <v>0</v>
      </c>
      <c r="BR411" s="319">
        <f>SUMIF(Recibos!$D$4:$D$3010,Cobranza!$B411,Recibos!AD$4:AD$3010)</f>
        <v>0</v>
      </c>
      <c r="BS411" s="319">
        <f>SUMIF(Recibos!$D$4:$D$3010,Cobranza!$B411,Recibos!AE$4:AE$3010)</f>
        <v>0</v>
      </c>
      <c r="BT411" s="319">
        <f>SUMIF(Recibos!$D$4:$D$3010,Cobranza!$B411,Recibos!AF$4:AF$3010)</f>
        <v>0</v>
      </c>
      <c r="BU411" s="319">
        <f>SUMIF(Recibos!$D$4:$D$3010,Cobranza!$B411,Recibos!AG$4:AG$3010)</f>
        <v>0</v>
      </c>
      <c r="BV411" s="319">
        <f>SUMIF(Recibos!$D$4:$D$3010,Cobranza!$B411,Recibos!AH$4:AH$3010)</f>
        <v>0</v>
      </c>
      <c r="BW411" s="319">
        <f>SUMIF(Recibos!$D$4:$D$3010,Cobranza!$B411,Recibos!AI$4:AI$3010)</f>
        <v>0</v>
      </c>
      <c r="BX411" s="320">
        <f t="shared" si="46"/>
        <v>0</v>
      </c>
    </row>
    <row r="412" spans="2:76" x14ac:dyDescent="0.2">
      <c r="B412" s="42" t="s">
        <v>944</v>
      </c>
      <c r="C412" s="42" t="s">
        <v>945</v>
      </c>
      <c r="D412" s="42" t="s">
        <v>946</v>
      </c>
      <c r="E412" s="43">
        <v>0</v>
      </c>
      <c r="F412" s="43">
        <v>0</v>
      </c>
      <c r="G412" s="43">
        <v>0</v>
      </c>
      <c r="H412" s="43">
        <v>0</v>
      </c>
      <c r="I412" s="43">
        <v>0</v>
      </c>
      <c r="J412" s="43">
        <v>300</v>
      </c>
      <c r="K412" s="44">
        <f t="shared" si="41"/>
        <v>300</v>
      </c>
      <c r="L412" s="43">
        <v>300</v>
      </c>
      <c r="M412" s="43">
        <v>300</v>
      </c>
      <c r="N412" s="43">
        <v>300</v>
      </c>
      <c r="O412" s="43">
        <v>300</v>
      </c>
      <c r="P412" s="43">
        <v>300</v>
      </c>
      <c r="Q412" s="43">
        <v>300</v>
      </c>
      <c r="R412" s="43">
        <v>300</v>
      </c>
      <c r="S412" s="43">
        <v>300</v>
      </c>
      <c r="T412" s="43">
        <v>300</v>
      </c>
      <c r="U412" s="43">
        <v>400</v>
      </c>
      <c r="V412" s="43">
        <v>400</v>
      </c>
      <c r="W412" s="43">
        <v>400</v>
      </c>
      <c r="X412" s="44">
        <f t="shared" si="42"/>
        <v>3900</v>
      </c>
      <c r="Y412" s="43">
        <v>400</v>
      </c>
      <c r="Z412" s="43">
        <v>400</v>
      </c>
      <c r="AA412" s="43">
        <v>400</v>
      </c>
      <c r="AB412" s="43">
        <v>100</v>
      </c>
      <c r="AC412" s="43">
        <v>100</v>
      </c>
      <c r="AD412" s="43">
        <v>100</v>
      </c>
      <c r="AE412" s="43">
        <v>100</v>
      </c>
      <c r="AF412" s="43">
        <v>100</v>
      </c>
      <c r="AG412" s="43">
        <v>100</v>
      </c>
      <c r="AH412" s="43">
        <v>100</v>
      </c>
      <c r="AI412" s="43">
        <v>100</v>
      </c>
      <c r="AJ412" s="43">
        <v>100</v>
      </c>
      <c r="AK412" s="44">
        <f t="shared" si="43"/>
        <v>2100</v>
      </c>
      <c r="AL412" s="43">
        <v>100</v>
      </c>
      <c r="AM412" s="43">
        <v>100</v>
      </c>
      <c r="AN412" s="43">
        <v>100</v>
      </c>
      <c r="AO412" s="43">
        <v>100</v>
      </c>
      <c r="AP412" s="43">
        <v>100</v>
      </c>
      <c r="AQ412" s="43">
        <v>0</v>
      </c>
      <c r="AR412" s="43">
        <v>0</v>
      </c>
      <c r="AS412" s="43">
        <v>0</v>
      </c>
      <c r="AT412" s="43">
        <v>400</v>
      </c>
      <c r="AU412" s="43">
        <v>400</v>
      </c>
      <c r="AV412" s="43">
        <v>0</v>
      </c>
      <c r="AW412" s="43">
        <v>0</v>
      </c>
      <c r="AX412" s="44">
        <f t="shared" si="44"/>
        <v>1300</v>
      </c>
      <c r="AY412" s="317">
        <f>SUMIF(Recibos!$D$4:$D$3010,Cobranza!$B412,Recibos!K$4:K$3010)</f>
        <v>0</v>
      </c>
      <c r="AZ412" s="317">
        <f>SUMIF(Recibos!$D$4:$D$3010,Cobranza!$B412,Recibos!L$4:L$3010)</f>
        <v>0</v>
      </c>
      <c r="BA412" s="317">
        <f>SUMIF(Recibos!$D$4:$D$3010,Cobranza!$B412,Recibos!M$4:M$3010)</f>
        <v>0</v>
      </c>
      <c r="BB412" s="317">
        <f>SUMIF(Recibos!$D$4:$D$3010,Cobranza!$B412,Recibos!N$4:N$3010)</f>
        <v>0</v>
      </c>
      <c r="BC412" s="317">
        <f>SUMIF(Recibos!$D$4:$D$3010,Cobranza!$B412,Recibos!O$4:O$3010)</f>
        <v>0</v>
      </c>
      <c r="BD412" s="317">
        <f>SUMIF(Recibos!$D$4:$D$3010,Cobranza!$B412,Recibos!P$4:P$3010)</f>
        <v>0</v>
      </c>
      <c r="BE412" s="317">
        <f>SUMIF(Recibos!$D$4:$D$3010,Cobranza!$B412,Recibos!Q$4:Q$3010)</f>
        <v>0</v>
      </c>
      <c r="BF412" s="317">
        <f>SUMIF(Recibos!$D$4:$D$3010,Cobranza!$B412,Recibos!R$4:R$3010)</f>
        <v>100</v>
      </c>
      <c r="BG412" s="317">
        <f>SUMIF(Recibos!$D$4:$D$3010,Cobranza!$B412,Recibos!S$4:S$3010)</f>
        <v>100</v>
      </c>
      <c r="BH412" s="317">
        <f>SUMIF(Recibos!$D$4:$D$3010,Cobranza!$B412,Recibos!T$4:T$3010)</f>
        <v>100</v>
      </c>
      <c r="BI412" s="317">
        <f>SUMIF(Recibos!$D$4:$D$3010,Cobranza!$B412,Recibos!U$4:U$3010)</f>
        <v>100</v>
      </c>
      <c r="BJ412" s="317">
        <f>SUMIF(Recibos!$D$4:$D$3010,Cobranza!$B412,Recibos!V$4:V$3010)</f>
        <v>100</v>
      </c>
      <c r="BK412" s="318">
        <f t="shared" si="45"/>
        <v>500</v>
      </c>
      <c r="BL412" s="317">
        <f>SUMIF(Recibos!$D$4:$D$3010,Cobranza!$B412,Recibos!X$4:X$3010)</f>
        <v>0</v>
      </c>
      <c r="BM412" s="317">
        <f>SUMIF(Recibos!$D$4:$D$3010,Cobranza!$B412,Recibos!Y$4:Y$3010)</f>
        <v>0</v>
      </c>
      <c r="BN412" s="317">
        <f>SUMIF(Recibos!$D$4:$D$3010,Cobranza!$B412,Recibos!Z$4:Z$3010)</f>
        <v>0</v>
      </c>
      <c r="BO412" s="317">
        <f>SUMIF(Recibos!$D$4:$D$3010,Cobranza!$B412,Recibos!AA$4:AA$3010)</f>
        <v>0</v>
      </c>
      <c r="BP412" s="317">
        <f>SUMIF(Recibos!$D$4:$D$3010,Cobranza!$B412,Recibos!AB$4:AB$3010)</f>
        <v>0</v>
      </c>
      <c r="BQ412" s="317">
        <f>SUMIF(Recibos!$D$4:$D$3010,Cobranza!$B412,Recibos!AC$4:AC$3010)</f>
        <v>0</v>
      </c>
      <c r="BR412" s="317">
        <f>SUMIF(Recibos!$D$4:$D$3010,Cobranza!$B412,Recibos!AD$4:AD$3010)</f>
        <v>0</v>
      </c>
      <c r="BS412" s="317">
        <f>SUMIF(Recibos!$D$4:$D$3010,Cobranza!$B412,Recibos!AE$4:AE$3010)</f>
        <v>0</v>
      </c>
      <c r="BT412" s="317">
        <f>SUMIF(Recibos!$D$4:$D$3010,Cobranza!$B412,Recibos!AF$4:AF$3010)</f>
        <v>0</v>
      </c>
      <c r="BU412" s="317">
        <f>SUMIF(Recibos!$D$4:$D$3010,Cobranza!$B412,Recibos!AG$4:AG$3010)</f>
        <v>0</v>
      </c>
      <c r="BV412" s="317">
        <f>SUMIF(Recibos!$D$4:$D$3010,Cobranza!$B412,Recibos!AH$4:AH$3010)</f>
        <v>0</v>
      </c>
      <c r="BW412" s="317">
        <f>SUMIF(Recibos!$D$4:$D$3010,Cobranza!$B412,Recibos!AI$4:AI$3010)</f>
        <v>0</v>
      </c>
      <c r="BX412" s="318">
        <f t="shared" si="46"/>
        <v>0</v>
      </c>
    </row>
    <row r="413" spans="2:76" x14ac:dyDescent="0.2">
      <c r="B413" s="45" t="s">
        <v>743</v>
      </c>
      <c r="C413" s="45" t="s">
        <v>744</v>
      </c>
      <c r="D413" s="45" t="s">
        <v>745</v>
      </c>
      <c r="E413" s="46">
        <v>0</v>
      </c>
      <c r="F413" s="46">
        <v>0</v>
      </c>
      <c r="G413" s="46">
        <v>0</v>
      </c>
      <c r="H413" s="46">
        <v>300</v>
      </c>
      <c r="I413" s="46">
        <v>300</v>
      </c>
      <c r="J413" s="46">
        <v>300</v>
      </c>
      <c r="K413" s="47">
        <f t="shared" si="41"/>
        <v>900</v>
      </c>
      <c r="L413" s="46">
        <v>300</v>
      </c>
      <c r="M413" s="46">
        <v>300</v>
      </c>
      <c r="N413" s="46">
        <v>300</v>
      </c>
      <c r="O413" s="46">
        <v>300</v>
      </c>
      <c r="P413" s="46">
        <v>300</v>
      </c>
      <c r="Q413" s="46">
        <v>300</v>
      </c>
      <c r="R413" s="46">
        <v>300</v>
      </c>
      <c r="S413" s="46">
        <v>300</v>
      </c>
      <c r="T413" s="46">
        <v>300</v>
      </c>
      <c r="U413" s="46">
        <v>400</v>
      </c>
      <c r="V413" s="46">
        <v>400</v>
      </c>
      <c r="W413" s="46">
        <v>400</v>
      </c>
      <c r="X413" s="47">
        <f t="shared" si="42"/>
        <v>3900</v>
      </c>
      <c r="Y413" s="46">
        <v>400</v>
      </c>
      <c r="Z413" s="46">
        <v>400</v>
      </c>
      <c r="AA413" s="46">
        <v>400</v>
      </c>
      <c r="AB413" s="46">
        <v>400</v>
      </c>
      <c r="AC413" s="46">
        <v>400</v>
      </c>
      <c r="AD413" s="46">
        <v>400</v>
      </c>
      <c r="AE413" s="46">
        <v>400</v>
      </c>
      <c r="AF413" s="46">
        <v>400</v>
      </c>
      <c r="AG413" s="46">
        <v>400</v>
      </c>
      <c r="AH413" s="46">
        <v>400</v>
      </c>
      <c r="AI413" s="46">
        <v>400</v>
      </c>
      <c r="AJ413" s="46">
        <v>400</v>
      </c>
      <c r="AK413" s="47">
        <f t="shared" si="43"/>
        <v>4800</v>
      </c>
      <c r="AL413" s="46">
        <v>400</v>
      </c>
      <c r="AM413" s="46">
        <v>400</v>
      </c>
      <c r="AN413" s="46">
        <v>400</v>
      </c>
      <c r="AO413" s="46">
        <v>400</v>
      </c>
      <c r="AP413" s="46">
        <v>400</v>
      </c>
      <c r="AQ413" s="46">
        <v>400</v>
      </c>
      <c r="AR413" s="46">
        <v>400</v>
      </c>
      <c r="AS413" s="46">
        <v>400</v>
      </c>
      <c r="AT413" s="46">
        <v>400</v>
      </c>
      <c r="AU413" s="46">
        <v>400</v>
      </c>
      <c r="AV413" s="46">
        <v>400</v>
      </c>
      <c r="AW413" s="46">
        <v>400</v>
      </c>
      <c r="AX413" s="47">
        <f t="shared" si="44"/>
        <v>4800</v>
      </c>
      <c r="AY413" s="319">
        <f>SUMIF(Recibos!$D$4:$D$3010,Cobranza!$B413,Recibos!K$4:K$3010)</f>
        <v>400</v>
      </c>
      <c r="AZ413" s="319">
        <f>SUMIF(Recibos!$D$4:$D$3010,Cobranza!$B413,Recibos!L$4:L$3010)</f>
        <v>400</v>
      </c>
      <c r="BA413" s="319">
        <f>SUMIF(Recibos!$D$4:$D$3010,Cobranza!$B413,Recibos!M$4:M$3010)</f>
        <v>400</v>
      </c>
      <c r="BB413" s="319">
        <f>SUMIF(Recibos!$D$4:$D$3010,Cobranza!$B413,Recibos!N$4:N$3010)</f>
        <v>400</v>
      </c>
      <c r="BC413" s="319">
        <f>SUMIF(Recibos!$D$4:$D$3010,Cobranza!$B413,Recibos!O$4:O$3010)</f>
        <v>400</v>
      </c>
      <c r="BD413" s="319">
        <f>SUMIF(Recibos!$D$4:$D$3010,Cobranza!$B413,Recibos!P$4:P$3010)</f>
        <v>400</v>
      </c>
      <c r="BE413" s="319">
        <f>SUMIF(Recibos!$D$4:$D$3010,Cobranza!$B413,Recibos!Q$4:Q$3010)</f>
        <v>400</v>
      </c>
      <c r="BF413" s="319">
        <f>SUMIF(Recibos!$D$4:$D$3010,Cobranza!$B413,Recibos!R$4:R$3010)</f>
        <v>0</v>
      </c>
      <c r="BG413" s="319">
        <f>SUMIF(Recibos!$D$4:$D$3010,Cobranza!$B413,Recibos!S$4:S$3010)</f>
        <v>0</v>
      </c>
      <c r="BH413" s="319">
        <f>SUMIF(Recibos!$D$4:$D$3010,Cobranza!$B413,Recibos!T$4:T$3010)</f>
        <v>0</v>
      </c>
      <c r="BI413" s="319">
        <f>SUMIF(Recibos!$D$4:$D$3010,Cobranza!$B413,Recibos!U$4:U$3010)</f>
        <v>0</v>
      </c>
      <c r="BJ413" s="319">
        <f>SUMIF(Recibos!$D$4:$D$3010,Cobranza!$B413,Recibos!V$4:V$3010)</f>
        <v>0</v>
      </c>
      <c r="BK413" s="320">
        <f t="shared" si="45"/>
        <v>2800</v>
      </c>
      <c r="BL413" s="319">
        <f>SUMIF(Recibos!$D$4:$D$3010,Cobranza!$B413,Recibos!X$4:X$3010)</f>
        <v>0</v>
      </c>
      <c r="BM413" s="319">
        <f>SUMIF(Recibos!$D$4:$D$3010,Cobranza!$B413,Recibos!Y$4:Y$3010)</f>
        <v>0</v>
      </c>
      <c r="BN413" s="319">
        <f>SUMIF(Recibos!$D$4:$D$3010,Cobranza!$B413,Recibos!Z$4:Z$3010)</f>
        <v>0</v>
      </c>
      <c r="BO413" s="319">
        <f>SUMIF(Recibos!$D$4:$D$3010,Cobranza!$B413,Recibos!AA$4:AA$3010)</f>
        <v>0</v>
      </c>
      <c r="BP413" s="319">
        <f>SUMIF(Recibos!$D$4:$D$3010,Cobranza!$B413,Recibos!AB$4:AB$3010)</f>
        <v>0</v>
      </c>
      <c r="BQ413" s="319">
        <f>SUMIF(Recibos!$D$4:$D$3010,Cobranza!$B413,Recibos!AC$4:AC$3010)</f>
        <v>0</v>
      </c>
      <c r="BR413" s="319">
        <f>SUMIF(Recibos!$D$4:$D$3010,Cobranza!$B413,Recibos!AD$4:AD$3010)</f>
        <v>0</v>
      </c>
      <c r="BS413" s="319">
        <f>SUMIF(Recibos!$D$4:$D$3010,Cobranza!$B413,Recibos!AE$4:AE$3010)</f>
        <v>0</v>
      </c>
      <c r="BT413" s="319">
        <f>SUMIF(Recibos!$D$4:$D$3010,Cobranza!$B413,Recibos!AF$4:AF$3010)</f>
        <v>0</v>
      </c>
      <c r="BU413" s="319">
        <f>SUMIF(Recibos!$D$4:$D$3010,Cobranza!$B413,Recibos!AG$4:AG$3010)</f>
        <v>0</v>
      </c>
      <c r="BV413" s="319">
        <f>SUMIF(Recibos!$D$4:$D$3010,Cobranza!$B413,Recibos!AH$4:AH$3010)</f>
        <v>0</v>
      </c>
      <c r="BW413" s="319">
        <f>SUMIF(Recibos!$D$4:$D$3010,Cobranza!$B413,Recibos!AI$4:AI$3010)</f>
        <v>0</v>
      </c>
      <c r="BX413" s="320">
        <f t="shared" si="46"/>
        <v>0</v>
      </c>
    </row>
    <row r="414" spans="2:76" x14ac:dyDescent="0.2">
      <c r="B414" s="42" t="s">
        <v>346</v>
      </c>
      <c r="C414" s="42" t="s">
        <v>347</v>
      </c>
      <c r="D414" s="42" t="s">
        <v>348</v>
      </c>
      <c r="E414" s="43">
        <v>0</v>
      </c>
      <c r="F414" s="43">
        <v>0</v>
      </c>
      <c r="G414" s="43">
        <v>0</v>
      </c>
      <c r="H414" s="43">
        <v>0</v>
      </c>
      <c r="I414" s="43">
        <v>300</v>
      </c>
      <c r="J414" s="43">
        <v>300</v>
      </c>
      <c r="K414" s="44">
        <f t="shared" si="41"/>
        <v>600</v>
      </c>
      <c r="L414" s="43">
        <v>300</v>
      </c>
      <c r="M414" s="43">
        <v>300</v>
      </c>
      <c r="N414" s="43">
        <v>300</v>
      </c>
      <c r="O414" s="43">
        <v>300</v>
      </c>
      <c r="P414" s="43">
        <v>300</v>
      </c>
      <c r="Q414" s="43">
        <v>300</v>
      </c>
      <c r="R414" s="43">
        <v>300</v>
      </c>
      <c r="S414" s="43">
        <v>300</v>
      </c>
      <c r="T414" s="43">
        <v>300</v>
      </c>
      <c r="U414" s="43">
        <v>0</v>
      </c>
      <c r="V414" s="43">
        <v>400</v>
      </c>
      <c r="W414" s="43">
        <v>300</v>
      </c>
      <c r="X414" s="44">
        <f t="shared" si="42"/>
        <v>3400</v>
      </c>
      <c r="Y414" s="43">
        <v>300</v>
      </c>
      <c r="Z414" s="43">
        <v>300</v>
      </c>
      <c r="AA414" s="43">
        <v>300</v>
      </c>
      <c r="AB414" s="43">
        <v>0</v>
      </c>
      <c r="AC414" s="43">
        <v>300</v>
      </c>
      <c r="AD414" s="43">
        <v>300</v>
      </c>
      <c r="AE414" s="43">
        <v>300</v>
      </c>
      <c r="AF414" s="43">
        <v>300</v>
      </c>
      <c r="AG414" s="43">
        <v>300</v>
      </c>
      <c r="AH414" s="43">
        <v>300</v>
      </c>
      <c r="AI414" s="43">
        <v>300</v>
      </c>
      <c r="AJ414" s="43">
        <v>300</v>
      </c>
      <c r="AK414" s="44">
        <f t="shared" si="43"/>
        <v>3300</v>
      </c>
      <c r="AL414" s="43">
        <v>300</v>
      </c>
      <c r="AM414" s="43">
        <v>300</v>
      </c>
      <c r="AN414" s="43">
        <v>300</v>
      </c>
      <c r="AO414" s="43">
        <v>300</v>
      </c>
      <c r="AP414" s="43">
        <v>300</v>
      </c>
      <c r="AQ414" s="43">
        <v>300</v>
      </c>
      <c r="AR414" s="43">
        <v>300</v>
      </c>
      <c r="AS414" s="43">
        <v>300</v>
      </c>
      <c r="AT414" s="43">
        <v>300</v>
      </c>
      <c r="AU414" s="43">
        <v>300</v>
      </c>
      <c r="AV414" s="43">
        <v>300</v>
      </c>
      <c r="AW414" s="43">
        <v>300</v>
      </c>
      <c r="AX414" s="44">
        <f t="shared" si="44"/>
        <v>3600</v>
      </c>
      <c r="AY414" s="317">
        <f>SUMIF(Recibos!$D$4:$D$3010,Cobranza!$B414,Recibos!K$4:K$3010)</f>
        <v>300</v>
      </c>
      <c r="AZ414" s="317">
        <f>SUMIF(Recibos!$D$4:$D$3010,Cobranza!$B414,Recibos!L$4:L$3010)</f>
        <v>300</v>
      </c>
      <c r="BA414" s="317">
        <f>SUMIF(Recibos!$D$4:$D$3010,Cobranza!$B414,Recibos!M$4:M$3010)</f>
        <v>300</v>
      </c>
      <c r="BB414" s="317">
        <f>SUMIF(Recibos!$D$4:$D$3010,Cobranza!$B414,Recibos!N$4:N$3010)</f>
        <v>300</v>
      </c>
      <c r="BC414" s="317">
        <f>SUMIF(Recibos!$D$4:$D$3010,Cobranza!$B414,Recibos!O$4:O$3010)</f>
        <v>300</v>
      </c>
      <c r="BD414" s="317">
        <f>SUMIF(Recibos!$D$4:$D$3010,Cobranza!$B414,Recibos!P$4:P$3010)</f>
        <v>300</v>
      </c>
      <c r="BE414" s="317">
        <f>SUMIF(Recibos!$D$4:$D$3010,Cobranza!$B414,Recibos!Q$4:Q$3010)</f>
        <v>300</v>
      </c>
      <c r="BF414" s="317">
        <f>SUMIF(Recibos!$D$4:$D$3010,Cobranza!$B414,Recibos!R$4:R$3010)</f>
        <v>300</v>
      </c>
      <c r="BG414" s="317">
        <f>SUMIF(Recibos!$D$4:$D$3010,Cobranza!$B414,Recibos!S$4:S$3010)</f>
        <v>300</v>
      </c>
      <c r="BH414" s="317">
        <f>SUMIF(Recibos!$D$4:$D$3010,Cobranza!$B414,Recibos!T$4:T$3010)</f>
        <v>300</v>
      </c>
      <c r="BI414" s="317">
        <f>SUMIF(Recibos!$D$4:$D$3010,Cobranza!$B414,Recibos!U$4:U$3010)</f>
        <v>300</v>
      </c>
      <c r="BJ414" s="317">
        <f>SUMIF(Recibos!$D$4:$D$3010,Cobranza!$B414,Recibos!V$4:V$3010)</f>
        <v>300</v>
      </c>
      <c r="BK414" s="318">
        <f t="shared" si="45"/>
        <v>3600</v>
      </c>
      <c r="BL414" s="317">
        <f>SUMIF(Recibos!$D$4:$D$3010,Cobranza!$B414,Recibos!X$4:X$3010)</f>
        <v>0</v>
      </c>
      <c r="BM414" s="317">
        <f>SUMIF(Recibos!$D$4:$D$3010,Cobranza!$B414,Recibos!Y$4:Y$3010)</f>
        <v>0</v>
      </c>
      <c r="BN414" s="317">
        <f>SUMIF(Recibos!$D$4:$D$3010,Cobranza!$B414,Recibos!Z$4:Z$3010)</f>
        <v>0</v>
      </c>
      <c r="BO414" s="317">
        <f>SUMIF(Recibos!$D$4:$D$3010,Cobranza!$B414,Recibos!AA$4:AA$3010)</f>
        <v>0</v>
      </c>
      <c r="BP414" s="317">
        <f>SUMIF(Recibos!$D$4:$D$3010,Cobranza!$B414,Recibos!AB$4:AB$3010)</f>
        <v>0</v>
      </c>
      <c r="BQ414" s="317">
        <f>SUMIF(Recibos!$D$4:$D$3010,Cobranza!$B414,Recibos!AC$4:AC$3010)</f>
        <v>0</v>
      </c>
      <c r="BR414" s="317">
        <f>SUMIF(Recibos!$D$4:$D$3010,Cobranza!$B414,Recibos!AD$4:AD$3010)</f>
        <v>0</v>
      </c>
      <c r="BS414" s="317">
        <f>SUMIF(Recibos!$D$4:$D$3010,Cobranza!$B414,Recibos!AE$4:AE$3010)</f>
        <v>0</v>
      </c>
      <c r="BT414" s="317">
        <f>SUMIF(Recibos!$D$4:$D$3010,Cobranza!$B414,Recibos!AF$4:AF$3010)</f>
        <v>0</v>
      </c>
      <c r="BU414" s="317">
        <f>SUMIF(Recibos!$D$4:$D$3010,Cobranza!$B414,Recibos!AG$4:AG$3010)</f>
        <v>0</v>
      </c>
      <c r="BV414" s="317">
        <f>SUMIF(Recibos!$D$4:$D$3010,Cobranza!$B414,Recibos!AH$4:AH$3010)</f>
        <v>0</v>
      </c>
      <c r="BW414" s="317">
        <f>SUMIF(Recibos!$D$4:$D$3010,Cobranza!$B414,Recibos!AI$4:AI$3010)</f>
        <v>0</v>
      </c>
      <c r="BX414" s="318">
        <f t="shared" si="46"/>
        <v>0</v>
      </c>
    </row>
    <row r="415" spans="2:76" x14ac:dyDescent="0.2">
      <c r="B415" s="45" t="s">
        <v>834</v>
      </c>
      <c r="C415" s="45" t="s">
        <v>835</v>
      </c>
      <c r="D415" s="45" t="s">
        <v>836</v>
      </c>
      <c r="E415" s="46">
        <v>0</v>
      </c>
      <c r="F415" s="46">
        <v>0</v>
      </c>
      <c r="G415" s="46">
        <v>0</v>
      </c>
      <c r="H415" s="46">
        <v>0</v>
      </c>
      <c r="I415" s="46">
        <v>0</v>
      </c>
      <c r="J415" s="46">
        <v>300</v>
      </c>
      <c r="K415" s="47">
        <f t="shared" si="41"/>
        <v>300</v>
      </c>
      <c r="L415" s="46">
        <v>300</v>
      </c>
      <c r="M415" s="46">
        <v>300</v>
      </c>
      <c r="N415" s="46">
        <v>300</v>
      </c>
      <c r="O415" s="46">
        <v>300</v>
      </c>
      <c r="P415" s="46">
        <v>300</v>
      </c>
      <c r="Q415" s="46">
        <v>300</v>
      </c>
      <c r="R415" s="46">
        <v>300</v>
      </c>
      <c r="S415" s="46">
        <v>300</v>
      </c>
      <c r="T415" s="46">
        <v>300</v>
      </c>
      <c r="U415" s="46">
        <v>300</v>
      </c>
      <c r="V415" s="46">
        <v>300</v>
      </c>
      <c r="W415" s="46">
        <v>0</v>
      </c>
      <c r="X415" s="47">
        <f t="shared" si="42"/>
        <v>3300</v>
      </c>
      <c r="Y415" s="46">
        <v>300</v>
      </c>
      <c r="Z415" s="46">
        <v>300</v>
      </c>
      <c r="AA415" s="46">
        <v>300</v>
      </c>
      <c r="AB415" s="46">
        <v>300</v>
      </c>
      <c r="AC415" s="46">
        <v>300</v>
      </c>
      <c r="AD415" s="46">
        <v>300</v>
      </c>
      <c r="AE415" s="46">
        <v>300</v>
      </c>
      <c r="AF415" s="46">
        <v>300</v>
      </c>
      <c r="AG415" s="46">
        <v>300</v>
      </c>
      <c r="AH415" s="46">
        <v>300</v>
      </c>
      <c r="AI415" s="46">
        <v>300</v>
      </c>
      <c r="AJ415" s="46">
        <v>300</v>
      </c>
      <c r="AK415" s="47">
        <f t="shared" si="43"/>
        <v>3600</v>
      </c>
      <c r="AL415" s="46">
        <v>300</v>
      </c>
      <c r="AM415" s="46">
        <v>300</v>
      </c>
      <c r="AN415" s="46">
        <v>300</v>
      </c>
      <c r="AO415" s="46">
        <v>300</v>
      </c>
      <c r="AP415" s="46">
        <v>300</v>
      </c>
      <c r="AQ415" s="46">
        <v>300</v>
      </c>
      <c r="AR415" s="46">
        <v>300</v>
      </c>
      <c r="AS415" s="46">
        <v>300</v>
      </c>
      <c r="AT415" s="46">
        <v>300</v>
      </c>
      <c r="AU415" s="46">
        <v>300</v>
      </c>
      <c r="AV415" s="46">
        <v>300</v>
      </c>
      <c r="AW415" s="46">
        <v>300</v>
      </c>
      <c r="AX415" s="47">
        <f t="shared" si="44"/>
        <v>3600</v>
      </c>
      <c r="AY415" s="319">
        <f>SUMIF(Recibos!$D$4:$D$3010,Cobranza!$B415,Recibos!K$4:K$3010)</f>
        <v>300</v>
      </c>
      <c r="AZ415" s="319">
        <f>SUMIF(Recibos!$D$4:$D$3010,Cobranza!$B415,Recibos!L$4:L$3010)</f>
        <v>300</v>
      </c>
      <c r="BA415" s="319">
        <f>SUMIF(Recibos!$D$4:$D$3010,Cobranza!$B415,Recibos!M$4:M$3010)</f>
        <v>300</v>
      </c>
      <c r="BB415" s="319">
        <f>SUMIF(Recibos!$D$4:$D$3010,Cobranza!$B415,Recibos!N$4:N$3010)</f>
        <v>300</v>
      </c>
      <c r="BC415" s="319">
        <f>SUMIF(Recibos!$D$4:$D$3010,Cobranza!$B415,Recibos!O$4:O$3010)</f>
        <v>300</v>
      </c>
      <c r="BD415" s="319">
        <f>SUMIF(Recibos!$D$4:$D$3010,Cobranza!$B415,Recibos!P$4:P$3010)</f>
        <v>300</v>
      </c>
      <c r="BE415" s="319">
        <f>SUMIF(Recibos!$D$4:$D$3010,Cobranza!$B415,Recibos!Q$4:Q$3010)</f>
        <v>300</v>
      </c>
      <c r="BF415" s="319">
        <f>SUMIF(Recibos!$D$4:$D$3010,Cobranza!$B415,Recibos!R$4:R$3010)</f>
        <v>300</v>
      </c>
      <c r="BG415" s="319">
        <f>SUMIF(Recibos!$D$4:$D$3010,Cobranza!$B415,Recibos!S$4:S$3010)</f>
        <v>300</v>
      </c>
      <c r="BH415" s="319">
        <f>SUMIF(Recibos!$D$4:$D$3010,Cobranza!$B415,Recibos!T$4:T$3010)</f>
        <v>0</v>
      </c>
      <c r="BI415" s="319">
        <f>SUMIF(Recibos!$D$4:$D$3010,Cobranza!$B415,Recibos!U$4:U$3010)</f>
        <v>0</v>
      </c>
      <c r="BJ415" s="319">
        <f>SUMIF(Recibos!$D$4:$D$3010,Cobranza!$B415,Recibos!V$4:V$3010)</f>
        <v>0</v>
      </c>
      <c r="BK415" s="320">
        <f t="shared" si="45"/>
        <v>2700</v>
      </c>
      <c r="BL415" s="319">
        <f>SUMIF(Recibos!$D$4:$D$3010,Cobranza!$B415,Recibos!X$4:X$3010)</f>
        <v>0</v>
      </c>
      <c r="BM415" s="319">
        <f>SUMIF(Recibos!$D$4:$D$3010,Cobranza!$B415,Recibos!Y$4:Y$3010)</f>
        <v>0</v>
      </c>
      <c r="BN415" s="319">
        <f>SUMIF(Recibos!$D$4:$D$3010,Cobranza!$B415,Recibos!Z$4:Z$3010)</f>
        <v>0</v>
      </c>
      <c r="BO415" s="319">
        <f>SUMIF(Recibos!$D$4:$D$3010,Cobranza!$B415,Recibos!AA$4:AA$3010)</f>
        <v>0</v>
      </c>
      <c r="BP415" s="319">
        <f>SUMIF(Recibos!$D$4:$D$3010,Cobranza!$B415,Recibos!AB$4:AB$3010)</f>
        <v>0</v>
      </c>
      <c r="BQ415" s="319">
        <f>SUMIF(Recibos!$D$4:$D$3010,Cobranza!$B415,Recibos!AC$4:AC$3010)</f>
        <v>0</v>
      </c>
      <c r="BR415" s="319">
        <f>SUMIF(Recibos!$D$4:$D$3010,Cobranza!$B415,Recibos!AD$4:AD$3010)</f>
        <v>0</v>
      </c>
      <c r="BS415" s="319">
        <f>SUMIF(Recibos!$D$4:$D$3010,Cobranza!$B415,Recibos!AE$4:AE$3010)</f>
        <v>0</v>
      </c>
      <c r="BT415" s="319">
        <f>SUMIF(Recibos!$D$4:$D$3010,Cobranza!$B415,Recibos!AF$4:AF$3010)</f>
        <v>0</v>
      </c>
      <c r="BU415" s="319">
        <f>SUMIF(Recibos!$D$4:$D$3010,Cobranza!$B415,Recibos!AG$4:AG$3010)</f>
        <v>0</v>
      </c>
      <c r="BV415" s="319">
        <f>SUMIF(Recibos!$D$4:$D$3010,Cobranza!$B415,Recibos!AH$4:AH$3010)</f>
        <v>0</v>
      </c>
      <c r="BW415" s="319">
        <f>SUMIF(Recibos!$D$4:$D$3010,Cobranza!$B415,Recibos!AI$4:AI$3010)</f>
        <v>0</v>
      </c>
      <c r="BX415" s="320">
        <f t="shared" si="46"/>
        <v>0</v>
      </c>
    </row>
    <row r="416" spans="2:76" x14ac:dyDescent="0.2">
      <c r="B416" s="42" t="s">
        <v>514</v>
      </c>
      <c r="C416" s="42" t="s">
        <v>515</v>
      </c>
      <c r="D416" s="42" t="s">
        <v>516</v>
      </c>
      <c r="E416" s="43">
        <v>0</v>
      </c>
      <c r="F416" s="43">
        <v>0</v>
      </c>
      <c r="G416" s="43">
        <v>0</v>
      </c>
      <c r="H416" s="43">
        <v>0</v>
      </c>
      <c r="I416" s="43">
        <v>0</v>
      </c>
      <c r="J416" s="43">
        <v>300</v>
      </c>
      <c r="K416" s="44">
        <f t="shared" si="41"/>
        <v>300</v>
      </c>
      <c r="L416" s="43">
        <v>300</v>
      </c>
      <c r="M416" s="43">
        <v>300</v>
      </c>
      <c r="N416" s="43">
        <v>300</v>
      </c>
      <c r="O416" s="43">
        <v>300</v>
      </c>
      <c r="P416" s="43">
        <v>300</v>
      </c>
      <c r="Q416" s="43">
        <v>300</v>
      </c>
      <c r="R416" s="43">
        <v>300</v>
      </c>
      <c r="S416" s="43">
        <v>300</v>
      </c>
      <c r="T416" s="43">
        <v>300</v>
      </c>
      <c r="U416" s="43">
        <v>400</v>
      </c>
      <c r="V416" s="43">
        <v>400</v>
      </c>
      <c r="W416" s="43">
        <v>400</v>
      </c>
      <c r="X416" s="44">
        <f t="shared" si="42"/>
        <v>3900</v>
      </c>
      <c r="Y416" s="43">
        <v>400</v>
      </c>
      <c r="Z416" s="43">
        <v>400</v>
      </c>
      <c r="AA416" s="43">
        <v>400</v>
      </c>
      <c r="AB416" s="43">
        <v>400</v>
      </c>
      <c r="AC416" s="43">
        <v>400</v>
      </c>
      <c r="AD416" s="43">
        <v>400</v>
      </c>
      <c r="AE416" s="43">
        <v>400</v>
      </c>
      <c r="AF416" s="43">
        <v>400</v>
      </c>
      <c r="AG416" s="43">
        <v>400</v>
      </c>
      <c r="AH416" s="43">
        <v>400</v>
      </c>
      <c r="AI416" s="43">
        <v>400</v>
      </c>
      <c r="AJ416" s="43">
        <v>400</v>
      </c>
      <c r="AK416" s="44">
        <f t="shared" si="43"/>
        <v>4800</v>
      </c>
      <c r="AL416" s="43">
        <v>400</v>
      </c>
      <c r="AM416" s="43">
        <v>400</v>
      </c>
      <c r="AN416" s="43">
        <v>400</v>
      </c>
      <c r="AO416" s="43">
        <v>400</v>
      </c>
      <c r="AP416" s="43">
        <v>400</v>
      </c>
      <c r="AQ416" s="43">
        <v>400</v>
      </c>
      <c r="AR416" s="43">
        <v>400</v>
      </c>
      <c r="AS416" s="43">
        <v>400</v>
      </c>
      <c r="AT416" s="43">
        <v>400</v>
      </c>
      <c r="AU416" s="43">
        <v>400</v>
      </c>
      <c r="AV416" s="43">
        <v>400</v>
      </c>
      <c r="AW416" s="43">
        <v>400</v>
      </c>
      <c r="AX416" s="44">
        <f t="shared" si="44"/>
        <v>4800</v>
      </c>
      <c r="AY416" s="317">
        <f>SUMIF(Recibos!$D$4:$D$3010,Cobranza!$B416,Recibos!K$4:K$3010)</f>
        <v>400</v>
      </c>
      <c r="AZ416" s="317">
        <f>SUMIF(Recibos!$D$4:$D$3010,Cobranza!$B416,Recibos!L$4:L$3010)</f>
        <v>400</v>
      </c>
      <c r="BA416" s="317">
        <f>SUMIF(Recibos!$D$4:$D$3010,Cobranza!$B416,Recibos!M$4:M$3010)</f>
        <v>400</v>
      </c>
      <c r="BB416" s="317">
        <f>SUMIF(Recibos!$D$4:$D$3010,Cobranza!$B416,Recibos!N$4:N$3010)</f>
        <v>400</v>
      </c>
      <c r="BC416" s="317">
        <f>SUMIF(Recibos!$D$4:$D$3010,Cobranza!$B416,Recibos!O$4:O$3010)</f>
        <v>300</v>
      </c>
      <c r="BD416" s="317">
        <f>SUMIF(Recibos!$D$4:$D$3010,Cobranza!$B416,Recibos!P$4:P$3010)</f>
        <v>400</v>
      </c>
      <c r="BE416" s="317">
        <f>SUMIF(Recibos!$D$4:$D$3010,Cobranza!$B416,Recibos!Q$4:Q$3010)</f>
        <v>400</v>
      </c>
      <c r="BF416" s="317">
        <f>SUMIF(Recibos!$D$4:$D$3010,Cobranza!$B416,Recibos!R$4:R$3010)</f>
        <v>400</v>
      </c>
      <c r="BG416" s="317">
        <f>SUMIF(Recibos!$D$4:$D$3010,Cobranza!$B416,Recibos!S$4:S$3010)</f>
        <v>400</v>
      </c>
      <c r="BH416" s="317">
        <f>SUMIF(Recibos!$D$4:$D$3010,Cobranza!$B416,Recibos!T$4:T$3010)</f>
        <v>400</v>
      </c>
      <c r="BI416" s="317">
        <f>SUMIF(Recibos!$D$4:$D$3010,Cobranza!$B416,Recibos!U$4:U$3010)</f>
        <v>400</v>
      </c>
      <c r="BJ416" s="317">
        <f>SUMIF(Recibos!$D$4:$D$3010,Cobranza!$B416,Recibos!V$4:V$3010)</f>
        <v>400</v>
      </c>
      <c r="BK416" s="318">
        <f t="shared" si="45"/>
        <v>4700</v>
      </c>
      <c r="BL416" s="317">
        <f>SUMIF(Recibos!$D$4:$D$3010,Cobranza!$B416,Recibos!X$4:X$3010)</f>
        <v>0</v>
      </c>
      <c r="BM416" s="317">
        <f>SUMIF(Recibos!$D$4:$D$3010,Cobranza!$B416,Recibos!Y$4:Y$3010)</f>
        <v>0</v>
      </c>
      <c r="BN416" s="317">
        <f>SUMIF(Recibos!$D$4:$D$3010,Cobranza!$B416,Recibos!Z$4:Z$3010)</f>
        <v>0</v>
      </c>
      <c r="BO416" s="317">
        <f>SUMIF(Recibos!$D$4:$D$3010,Cobranza!$B416,Recibos!AA$4:AA$3010)</f>
        <v>0</v>
      </c>
      <c r="BP416" s="317">
        <f>SUMIF(Recibos!$D$4:$D$3010,Cobranza!$B416,Recibos!AB$4:AB$3010)</f>
        <v>0</v>
      </c>
      <c r="BQ416" s="317">
        <f>SUMIF(Recibos!$D$4:$D$3010,Cobranza!$B416,Recibos!AC$4:AC$3010)</f>
        <v>0</v>
      </c>
      <c r="BR416" s="317">
        <f>SUMIF(Recibos!$D$4:$D$3010,Cobranza!$B416,Recibos!AD$4:AD$3010)</f>
        <v>0</v>
      </c>
      <c r="BS416" s="317">
        <f>SUMIF(Recibos!$D$4:$D$3010,Cobranza!$B416,Recibos!AE$4:AE$3010)</f>
        <v>0</v>
      </c>
      <c r="BT416" s="317">
        <f>SUMIF(Recibos!$D$4:$D$3010,Cobranza!$B416,Recibos!AF$4:AF$3010)</f>
        <v>0</v>
      </c>
      <c r="BU416" s="317">
        <f>SUMIF(Recibos!$D$4:$D$3010,Cobranza!$B416,Recibos!AG$4:AG$3010)</f>
        <v>0</v>
      </c>
      <c r="BV416" s="317">
        <f>SUMIF(Recibos!$D$4:$D$3010,Cobranza!$B416,Recibos!AH$4:AH$3010)</f>
        <v>0</v>
      </c>
      <c r="BW416" s="317">
        <f>SUMIF(Recibos!$D$4:$D$3010,Cobranza!$B416,Recibos!AI$4:AI$3010)</f>
        <v>0</v>
      </c>
      <c r="BX416" s="318">
        <f t="shared" si="46"/>
        <v>0</v>
      </c>
    </row>
    <row r="417" spans="2:76" x14ac:dyDescent="0.2">
      <c r="B417" s="45" t="s">
        <v>791</v>
      </c>
      <c r="C417" s="45" t="s">
        <v>792</v>
      </c>
      <c r="D417" s="45" t="s">
        <v>793</v>
      </c>
      <c r="E417" s="46">
        <v>0</v>
      </c>
      <c r="F417" s="46">
        <v>0</v>
      </c>
      <c r="G417" s="46">
        <v>0</v>
      </c>
      <c r="H417" s="46">
        <v>0</v>
      </c>
      <c r="I417" s="46">
        <v>0</v>
      </c>
      <c r="J417" s="46">
        <v>300</v>
      </c>
      <c r="K417" s="47">
        <f t="shared" si="41"/>
        <v>300</v>
      </c>
      <c r="L417" s="46">
        <v>300</v>
      </c>
      <c r="M417" s="46">
        <v>300</v>
      </c>
      <c r="N417" s="46">
        <v>300</v>
      </c>
      <c r="O417" s="46">
        <v>300</v>
      </c>
      <c r="P417" s="46">
        <v>300</v>
      </c>
      <c r="Q417" s="46">
        <v>300</v>
      </c>
      <c r="R417" s="46">
        <v>300</v>
      </c>
      <c r="S417" s="46">
        <v>300</v>
      </c>
      <c r="T417" s="46">
        <v>300</v>
      </c>
      <c r="U417" s="46">
        <v>400</v>
      </c>
      <c r="V417" s="46">
        <v>400</v>
      </c>
      <c r="W417" s="46">
        <v>400</v>
      </c>
      <c r="X417" s="47">
        <f t="shared" si="42"/>
        <v>3900</v>
      </c>
      <c r="Y417" s="46">
        <v>400</v>
      </c>
      <c r="Z417" s="46">
        <v>400</v>
      </c>
      <c r="AA417" s="46">
        <v>400</v>
      </c>
      <c r="AB417" s="46">
        <v>400</v>
      </c>
      <c r="AC417" s="46">
        <v>400</v>
      </c>
      <c r="AD417" s="46">
        <v>400</v>
      </c>
      <c r="AE417" s="46">
        <v>400</v>
      </c>
      <c r="AF417" s="46">
        <v>400</v>
      </c>
      <c r="AG417" s="46">
        <v>400</v>
      </c>
      <c r="AH417" s="46">
        <v>400</v>
      </c>
      <c r="AI417" s="46">
        <v>400</v>
      </c>
      <c r="AJ417" s="46">
        <v>400</v>
      </c>
      <c r="AK417" s="47">
        <f t="shared" si="43"/>
        <v>4800</v>
      </c>
      <c r="AL417" s="46">
        <v>800</v>
      </c>
      <c r="AM417" s="46">
        <v>800</v>
      </c>
      <c r="AN417" s="46">
        <v>400</v>
      </c>
      <c r="AO417" s="46">
        <v>400</v>
      </c>
      <c r="AP417" s="46">
        <v>400</v>
      </c>
      <c r="AQ417" s="46">
        <v>400</v>
      </c>
      <c r="AR417" s="46">
        <v>400</v>
      </c>
      <c r="AS417" s="46">
        <v>400</v>
      </c>
      <c r="AT417" s="46">
        <v>400</v>
      </c>
      <c r="AU417" s="46">
        <v>400</v>
      </c>
      <c r="AV417" s="46">
        <v>400</v>
      </c>
      <c r="AW417" s="46">
        <v>0</v>
      </c>
      <c r="AX417" s="47">
        <f t="shared" si="44"/>
        <v>5200</v>
      </c>
      <c r="AY417" s="319">
        <f>SUMIF(Recibos!$D$4:$D$3010,Cobranza!$B417,Recibos!K$4:K$3010)</f>
        <v>400</v>
      </c>
      <c r="AZ417" s="319">
        <f>SUMIF(Recibos!$D$4:$D$3010,Cobranza!$B417,Recibos!L$4:L$3010)</f>
        <v>400</v>
      </c>
      <c r="BA417" s="319">
        <f>SUMIF(Recibos!$D$4:$D$3010,Cobranza!$B417,Recibos!M$4:M$3010)</f>
        <v>400</v>
      </c>
      <c r="BB417" s="319">
        <f>SUMIF(Recibos!$D$4:$D$3010,Cobranza!$B417,Recibos!N$4:N$3010)</f>
        <v>400</v>
      </c>
      <c r="BC417" s="319">
        <f>SUMIF(Recibos!$D$4:$D$3010,Cobranza!$B417,Recibos!O$4:O$3010)</f>
        <v>400</v>
      </c>
      <c r="BD417" s="319">
        <f>SUMIF(Recibos!$D$4:$D$3010,Cobranza!$B417,Recibos!P$4:P$3010)</f>
        <v>0</v>
      </c>
      <c r="BE417" s="319">
        <f>SUMIF(Recibos!$D$4:$D$3010,Cobranza!$B417,Recibos!Q$4:Q$3010)</f>
        <v>0</v>
      </c>
      <c r="BF417" s="319">
        <f>SUMIF(Recibos!$D$4:$D$3010,Cobranza!$B417,Recibos!R$4:R$3010)</f>
        <v>0</v>
      </c>
      <c r="BG417" s="319">
        <f>SUMIF(Recibos!$D$4:$D$3010,Cobranza!$B417,Recibos!S$4:S$3010)</f>
        <v>0</v>
      </c>
      <c r="BH417" s="319">
        <f>SUMIF(Recibos!$D$4:$D$3010,Cobranza!$B417,Recibos!T$4:T$3010)</f>
        <v>0</v>
      </c>
      <c r="BI417" s="319">
        <f>SUMIF(Recibos!$D$4:$D$3010,Cobranza!$B417,Recibos!U$4:U$3010)</f>
        <v>0</v>
      </c>
      <c r="BJ417" s="319">
        <f>SUMIF(Recibos!$D$4:$D$3010,Cobranza!$B417,Recibos!V$4:V$3010)</f>
        <v>0</v>
      </c>
      <c r="BK417" s="320">
        <f t="shared" si="45"/>
        <v>2000</v>
      </c>
      <c r="BL417" s="319">
        <f>SUMIF(Recibos!$D$4:$D$3010,Cobranza!$B417,Recibos!X$4:X$3010)</f>
        <v>0</v>
      </c>
      <c r="BM417" s="319">
        <f>SUMIF(Recibos!$D$4:$D$3010,Cobranza!$B417,Recibos!Y$4:Y$3010)</f>
        <v>0</v>
      </c>
      <c r="BN417" s="319">
        <f>SUMIF(Recibos!$D$4:$D$3010,Cobranza!$B417,Recibos!Z$4:Z$3010)</f>
        <v>0</v>
      </c>
      <c r="BO417" s="319">
        <f>SUMIF(Recibos!$D$4:$D$3010,Cobranza!$B417,Recibos!AA$4:AA$3010)</f>
        <v>0</v>
      </c>
      <c r="BP417" s="319">
        <f>SUMIF(Recibos!$D$4:$D$3010,Cobranza!$B417,Recibos!AB$4:AB$3010)</f>
        <v>0</v>
      </c>
      <c r="BQ417" s="319">
        <f>SUMIF(Recibos!$D$4:$D$3010,Cobranza!$B417,Recibos!AC$4:AC$3010)</f>
        <v>0</v>
      </c>
      <c r="BR417" s="319">
        <f>SUMIF(Recibos!$D$4:$D$3010,Cobranza!$B417,Recibos!AD$4:AD$3010)</f>
        <v>0</v>
      </c>
      <c r="BS417" s="319">
        <f>SUMIF(Recibos!$D$4:$D$3010,Cobranza!$B417,Recibos!AE$4:AE$3010)</f>
        <v>0</v>
      </c>
      <c r="BT417" s="319">
        <f>SUMIF(Recibos!$D$4:$D$3010,Cobranza!$B417,Recibos!AF$4:AF$3010)</f>
        <v>0</v>
      </c>
      <c r="BU417" s="319">
        <f>SUMIF(Recibos!$D$4:$D$3010,Cobranza!$B417,Recibos!AG$4:AG$3010)</f>
        <v>0</v>
      </c>
      <c r="BV417" s="319">
        <f>SUMIF(Recibos!$D$4:$D$3010,Cobranza!$B417,Recibos!AH$4:AH$3010)</f>
        <v>0</v>
      </c>
      <c r="BW417" s="319">
        <f>SUMIF(Recibos!$D$4:$D$3010,Cobranza!$B417,Recibos!AI$4:AI$3010)</f>
        <v>0</v>
      </c>
      <c r="BX417" s="320">
        <f t="shared" si="46"/>
        <v>0</v>
      </c>
    </row>
    <row r="418" spans="2:76" x14ac:dyDescent="0.2">
      <c r="B418" s="42" t="s">
        <v>373</v>
      </c>
      <c r="C418" s="42" t="s">
        <v>374</v>
      </c>
      <c r="D418" s="42" t="s">
        <v>375</v>
      </c>
      <c r="E418" s="43">
        <v>0</v>
      </c>
      <c r="F418" s="43">
        <v>0</v>
      </c>
      <c r="G418" s="43">
        <v>0</v>
      </c>
      <c r="H418" s="43">
        <v>0</v>
      </c>
      <c r="I418" s="43">
        <v>300</v>
      </c>
      <c r="J418" s="43">
        <v>300</v>
      </c>
      <c r="K418" s="44">
        <f t="shared" si="41"/>
        <v>600</v>
      </c>
      <c r="L418" s="43">
        <v>300</v>
      </c>
      <c r="M418" s="43">
        <v>300</v>
      </c>
      <c r="N418" s="43">
        <v>300</v>
      </c>
      <c r="O418" s="43">
        <v>300</v>
      </c>
      <c r="P418" s="43">
        <v>300</v>
      </c>
      <c r="Q418" s="43">
        <v>300</v>
      </c>
      <c r="R418" s="43">
        <v>300</v>
      </c>
      <c r="S418" s="43">
        <v>0</v>
      </c>
      <c r="T418" s="43">
        <v>600</v>
      </c>
      <c r="U418" s="43">
        <v>400</v>
      </c>
      <c r="V418" s="43">
        <v>400</v>
      </c>
      <c r="W418" s="43">
        <v>400</v>
      </c>
      <c r="X418" s="44">
        <f t="shared" si="42"/>
        <v>3900</v>
      </c>
      <c r="Y418" s="43">
        <v>0</v>
      </c>
      <c r="Z418" s="43">
        <v>400</v>
      </c>
      <c r="AA418" s="43">
        <v>400</v>
      </c>
      <c r="AB418" s="43">
        <v>400</v>
      </c>
      <c r="AC418" s="43">
        <v>400</v>
      </c>
      <c r="AD418" s="43">
        <v>400</v>
      </c>
      <c r="AE418" s="43">
        <v>400</v>
      </c>
      <c r="AF418" s="43">
        <v>400</v>
      </c>
      <c r="AG418" s="43">
        <v>400</v>
      </c>
      <c r="AH418" s="43">
        <v>400</v>
      </c>
      <c r="AI418" s="43">
        <v>400</v>
      </c>
      <c r="AJ418" s="43">
        <v>400</v>
      </c>
      <c r="AK418" s="44">
        <f t="shared" si="43"/>
        <v>4400</v>
      </c>
      <c r="AL418" s="43">
        <v>400</v>
      </c>
      <c r="AM418" s="43">
        <v>400</v>
      </c>
      <c r="AN418" s="43">
        <v>400</v>
      </c>
      <c r="AO418" s="43">
        <v>400</v>
      </c>
      <c r="AP418" s="43">
        <v>400</v>
      </c>
      <c r="AQ418" s="43">
        <v>400</v>
      </c>
      <c r="AR418" s="43">
        <v>400</v>
      </c>
      <c r="AS418" s="43">
        <v>400</v>
      </c>
      <c r="AT418" s="43">
        <v>400</v>
      </c>
      <c r="AU418" s="43">
        <v>400</v>
      </c>
      <c r="AV418" s="43">
        <v>400</v>
      </c>
      <c r="AW418" s="43">
        <v>400</v>
      </c>
      <c r="AX418" s="44">
        <f t="shared" si="44"/>
        <v>4800</v>
      </c>
      <c r="AY418" s="317">
        <f>SUMIF(Recibos!$D$4:$D$3010,Cobranza!$B418,Recibos!K$4:K$3010)</f>
        <v>400</v>
      </c>
      <c r="AZ418" s="317">
        <f>SUMIF(Recibos!$D$4:$D$3010,Cobranza!$B418,Recibos!L$4:L$3010)</f>
        <v>400</v>
      </c>
      <c r="BA418" s="317">
        <f>SUMIF(Recibos!$D$4:$D$3010,Cobranza!$B418,Recibos!M$4:M$3010)</f>
        <v>400</v>
      </c>
      <c r="BB418" s="317">
        <f>SUMIF(Recibos!$D$4:$D$3010,Cobranza!$B418,Recibos!N$4:N$3010)</f>
        <v>400</v>
      </c>
      <c r="BC418" s="317">
        <f>SUMIF(Recibos!$D$4:$D$3010,Cobranza!$B418,Recibos!O$4:O$3010)</f>
        <v>400</v>
      </c>
      <c r="BD418" s="317">
        <f>SUMIF(Recibos!$D$4:$D$3010,Cobranza!$B418,Recibos!P$4:P$3010)</f>
        <v>400</v>
      </c>
      <c r="BE418" s="317">
        <f>SUMIF(Recibos!$D$4:$D$3010,Cobranza!$B418,Recibos!Q$4:Q$3010)</f>
        <v>400</v>
      </c>
      <c r="BF418" s="317">
        <f>SUMIF(Recibos!$D$4:$D$3010,Cobranza!$B418,Recibos!R$4:R$3010)</f>
        <v>400</v>
      </c>
      <c r="BG418" s="317">
        <f>SUMIF(Recibos!$D$4:$D$3010,Cobranza!$B418,Recibos!S$4:S$3010)</f>
        <v>400</v>
      </c>
      <c r="BH418" s="317">
        <f>SUMIF(Recibos!$D$4:$D$3010,Cobranza!$B418,Recibos!T$4:T$3010)</f>
        <v>400</v>
      </c>
      <c r="BI418" s="317">
        <f>SUMIF(Recibos!$D$4:$D$3010,Cobranza!$B418,Recibos!U$4:U$3010)</f>
        <v>400</v>
      </c>
      <c r="BJ418" s="317">
        <f>SUMIF(Recibos!$D$4:$D$3010,Cobranza!$B418,Recibos!V$4:V$3010)</f>
        <v>0</v>
      </c>
      <c r="BK418" s="318">
        <f t="shared" si="45"/>
        <v>4400</v>
      </c>
      <c r="BL418" s="317">
        <f>SUMIF(Recibos!$D$4:$D$3010,Cobranza!$B418,Recibos!X$4:X$3010)</f>
        <v>0</v>
      </c>
      <c r="BM418" s="317">
        <f>SUMIF(Recibos!$D$4:$D$3010,Cobranza!$B418,Recibos!Y$4:Y$3010)</f>
        <v>0</v>
      </c>
      <c r="BN418" s="317">
        <f>SUMIF(Recibos!$D$4:$D$3010,Cobranza!$B418,Recibos!Z$4:Z$3010)</f>
        <v>0</v>
      </c>
      <c r="BO418" s="317">
        <f>SUMIF(Recibos!$D$4:$D$3010,Cobranza!$B418,Recibos!AA$4:AA$3010)</f>
        <v>0</v>
      </c>
      <c r="BP418" s="317">
        <f>SUMIF(Recibos!$D$4:$D$3010,Cobranza!$B418,Recibos!AB$4:AB$3010)</f>
        <v>0</v>
      </c>
      <c r="BQ418" s="317">
        <f>SUMIF(Recibos!$D$4:$D$3010,Cobranza!$B418,Recibos!AC$4:AC$3010)</f>
        <v>0</v>
      </c>
      <c r="BR418" s="317">
        <f>SUMIF(Recibos!$D$4:$D$3010,Cobranza!$B418,Recibos!AD$4:AD$3010)</f>
        <v>0</v>
      </c>
      <c r="BS418" s="317">
        <f>SUMIF(Recibos!$D$4:$D$3010,Cobranza!$B418,Recibos!AE$4:AE$3010)</f>
        <v>0</v>
      </c>
      <c r="BT418" s="317">
        <f>SUMIF(Recibos!$D$4:$D$3010,Cobranza!$B418,Recibos!AF$4:AF$3010)</f>
        <v>0</v>
      </c>
      <c r="BU418" s="317">
        <f>SUMIF(Recibos!$D$4:$D$3010,Cobranza!$B418,Recibos!AG$4:AG$3010)</f>
        <v>0</v>
      </c>
      <c r="BV418" s="317">
        <f>SUMIF(Recibos!$D$4:$D$3010,Cobranza!$B418,Recibos!AH$4:AH$3010)</f>
        <v>0</v>
      </c>
      <c r="BW418" s="317">
        <f>SUMIF(Recibos!$D$4:$D$3010,Cobranza!$B418,Recibos!AI$4:AI$3010)</f>
        <v>0</v>
      </c>
      <c r="BX418" s="318">
        <f t="shared" si="46"/>
        <v>0</v>
      </c>
    </row>
    <row r="419" spans="2:76" x14ac:dyDescent="0.2">
      <c r="B419" s="45" t="s">
        <v>325</v>
      </c>
      <c r="C419" s="45" t="s">
        <v>326</v>
      </c>
      <c r="D419" s="45" t="s">
        <v>327</v>
      </c>
      <c r="E419" s="46">
        <v>0</v>
      </c>
      <c r="F419" s="46">
        <v>0</v>
      </c>
      <c r="G419" s="46">
        <v>0</v>
      </c>
      <c r="H419" s="46">
        <v>0</v>
      </c>
      <c r="I419" s="46">
        <v>0</v>
      </c>
      <c r="J419" s="46">
        <v>300</v>
      </c>
      <c r="K419" s="47">
        <f t="shared" si="41"/>
        <v>300</v>
      </c>
      <c r="L419" s="46">
        <v>300</v>
      </c>
      <c r="M419" s="46">
        <v>300</v>
      </c>
      <c r="N419" s="46">
        <v>300</v>
      </c>
      <c r="O419" s="46">
        <v>300</v>
      </c>
      <c r="P419" s="46">
        <v>300</v>
      </c>
      <c r="Q419" s="46">
        <v>300</v>
      </c>
      <c r="R419" s="46">
        <v>300</v>
      </c>
      <c r="S419" s="46">
        <v>300</v>
      </c>
      <c r="T419" s="46">
        <v>300</v>
      </c>
      <c r="U419" s="46">
        <v>400</v>
      </c>
      <c r="V419" s="46">
        <v>400</v>
      </c>
      <c r="W419" s="46">
        <v>400</v>
      </c>
      <c r="X419" s="47">
        <f t="shared" si="42"/>
        <v>3900</v>
      </c>
      <c r="Y419" s="46">
        <v>400</v>
      </c>
      <c r="Z419" s="46">
        <v>400</v>
      </c>
      <c r="AA419" s="46">
        <v>400</v>
      </c>
      <c r="AB419" s="46">
        <v>400</v>
      </c>
      <c r="AC419" s="46">
        <v>400</v>
      </c>
      <c r="AD419" s="46">
        <v>400</v>
      </c>
      <c r="AE419" s="46">
        <v>400</v>
      </c>
      <c r="AF419" s="46">
        <v>400</v>
      </c>
      <c r="AG419" s="46">
        <v>400</v>
      </c>
      <c r="AH419" s="46">
        <v>400</v>
      </c>
      <c r="AI419" s="46">
        <v>400</v>
      </c>
      <c r="AJ419" s="46">
        <v>400</v>
      </c>
      <c r="AK419" s="47">
        <f t="shared" si="43"/>
        <v>4800</v>
      </c>
      <c r="AL419" s="46">
        <v>400</v>
      </c>
      <c r="AM419" s="46">
        <v>400</v>
      </c>
      <c r="AN419" s="46">
        <v>400</v>
      </c>
      <c r="AO419" s="46">
        <v>400</v>
      </c>
      <c r="AP419" s="46">
        <v>400</v>
      </c>
      <c r="AQ419" s="46">
        <v>400</v>
      </c>
      <c r="AR419" s="46">
        <v>400</v>
      </c>
      <c r="AS419" s="46">
        <v>400</v>
      </c>
      <c r="AT419" s="46">
        <v>400</v>
      </c>
      <c r="AU419" s="46">
        <v>400</v>
      </c>
      <c r="AV419" s="46">
        <v>400</v>
      </c>
      <c r="AW419" s="46">
        <v>400</v>
      </c>
      <c r="AX419" s="47">
        <f t="shared" si="44"/>
        <v>4800</v>
      </c>
      <c r="AY419" s="319">
        <f>SUMIF(Recibos!$D$4:$D$3010,Cobranza!$B419,Recibos!K$4:K$3010)</f>
        <v>400</v>
      </c>
      <c r="AZ419" s="319">
        <f>SUMIF(Recibos!$D$4:$D$3010,Cobranza!$B419,Recibos!L$4:L$3010)</f>
        <v>400</v>
      </c>
      <c r="BA419" s="319">
        <f>SUMIF(Recibos!$D$4:$D$3010,Cobranza!$B419,Recibos!M$4:M$3010)</f>
        <v>400</v>
      </c>
      <c r="BB419" s="319">
        <f>SUMIF(Recibos!$D$4:$D$3010,Cobranza!$B419,Recibos!N$4:N$3010)</f>
        <v>400</v>
      </c>
      <c r="BC419" s="319">
        <f>SUMIF(Recibos!$D$4:$D$3010,Cobranza!$B419,Recibos!O$4:O$3010)</f>
        <v>400</v>
      </c>
      <c r="BD419" s="319">
        <f>SUMIF(Recibos!$D$4:$D$3010,Cobranza!$B419,Recibos!P$4:P$3010)</f>
        <v>400</v>
      </c>
      <c r="BE419" s="319">
        <f>SUMIF(Recibos!$D$4:$D$3010,Cobranza!$B419,Recibos!Q$4:Q$3010)</f>
        <v>400</v>
      </c>
      <c r="BF419" s="319">
        <f>SUMIF(Recibos!$D$4:$D$3010,Cobranza!$B419,Recibos!R$4:R$3010)</f>
        <v>400</v>
      </c>
      <c r="BG419" s="319">
        <f>SUMIF(Recibos!$D$4:$D$3010,Cobranza!$B419,Recibos!S$4:S$3010)</f>
        <v>400</v>
      </c>
      <c r="BH419" s="319">
        <f>SUMIF(Recibos!$D$4:$D$3010,Cobranza!$B419,Recibos!T$4:T$3010)</f>
        <v>400</v>
      </c>
      <c r="BI419" s="319">
        <f>SUMIF(Recibos!$D$4:$D$3010,Cobranza!$B419,Recibos!U$4:U$3010)</f>
        <v>400</v>
      </c>
      <c r="BJ419" s="319">
        <f>SUMIF(Recibos!$D$4:$D$3010,Cobranza!$B419,Recibos!V$4:V$3010)</f>
        <v>400</v>
      </c>
      <c r="BK419" s="320">
        <f t="shared" si="45"/>
        <v>4800</v>
      </c>
      <c r="BL419" s="319">
        <f>SUMIF(Recibos!$D$4:$D$3010,Cobranza!$B419,Recibos!X$4:X$3010)</f>
        <v>0</v>
      </c>
      <c r="BM419" s="319">
        <f>SUMIF(Recibos!$D$4:$D$3010,Cobranza!$B419,Recibos!Y$4:Y$3010)</f>
        <v>0</v>
      </c>
      <c r="BN419" s="319">
        <f>SUMIF(Recibos!$D$4:$D$3010,Cobranza!$B419,Recibos!Z$4:Z$3010)</f>
        <v>0</v>
      </c>
      <c r="BO419" s="319">
        <f>SUMIF(Recibos!$D$4:$D$3010,Cobranza!$B419,Recibos!AA$4:AA$3010)</f>
        <v>0</v>
      </c>
      <c r="BP419" s="319">
        <f>SUMIF(Recibos!$D$4:$D$3010,Cobranza!$B419,Recibos!AB$4:AB$3010)</f>
        <v>0</v>
      </c>
      <c r="BQ419" s="319">
        <f>SUMIF(Recibos!$D$4:$D$3010,Cobranza!$B419,Recibos!AC$4:AC$3010)</f>
        <v>0</v>
      </c>
      <c r="BR419" s="319">
        <f>SUMIF(Recibos!$D$4:$D$3010,Cobranza!$B419,Recibos!AD$4:AD$3010)</f>
        <v>0</v>
      </c>
      <c r="BS419" s="319">
        <f>SUMIF(Recibos!$D$4:$D$3010,Cobranza!$B419,Recibos!AE$4:AE$3010)</f>
        <v>0</v>
      </c>
      <c r="BT419" s="319">
        <f>SUMIF(Recibos!$D$4:$D$3010,Cobranza!$B419,Recibos!AF$4:AF$3010)</f>
        <v>0</v>
      </c>
      <c r="BU419" s="319">
        <f>SUMIF(Recibos!$D$4:$D$3010,Cobranza!$B419,Recibos!AG$4:AG$3010)</f>
        <v>0</v>
      </c>
      <c r="BV419" s="319">
        <f>SUMIF(Recibos!$D$4:$D$3010,Cobranza!$B419,Recibos!AH$4:AH$3010)</f>
        <v>0</v>
      </c>
      <c r="BW419" s="319">
        <f>SUMIF(Recibos!$D$4:$D$3010,Cobranza!$B419,Recibos!AI$4:AI$3010)</f>
        <v>0</v>
      </c>
      <c r="BX419" s="320">
        <f t="shared" si="46"/>
        <v>0</v>
      </c>
    </row>
    <row r="420" spans="2:76" x14ac:dyDescent="0.2">
      <c r="B420" s="42" t="s">
        <v>1447</v>
      </c>
      <c r="C420" s="42" t="s">
        <v>1448</v>
      </c>
      <c r="D420" s="42"/>
      <c r="E420" s="43">
        <v>0</v>
      </c>
      <c r="F420" s="43">
        <v>0</v>
      </c>
      <c r="G420" s="43">
        <v>0</v>
      </c>
      <c r="H420" s="43">
        <v>0</v>
      </c>
      <c r="I420" s="43">
        <v>0</v>
      </c>
      <c r="J420" s="43">
        <v>0</v>
      </c>
      <c r="K420" s="44">
        <f t="shared" si="41"/>
        <v>0</v>
      </c>
      <c r="L420" s="43">
        <v>0</v>
      </c>
      <c r="M420" s="43">
        <v>0</v>
      </c>
      <c r="N420" s="43">
        <v>0</v>
      </c>
      <c r="O420" s="43">
        <v>0</v>
      </c>
      <c r="P420" s="43">
        <v>0</v>
      </c>
      <c r="Q420" s="43">
        <v>0</v>
      </c>
      <c r="R420" s="43">
        <v>0</v>
      </c>
      <c r="S420" s="43">
        <v>0</v>
      </c>
      <c r="T420" s="43">
        <v>0</v>
      </c>
      <c r="U420" s="43">
        <v>0</v>
      </c>
      <c r="V420" s="43">
        <v>0</v>
      </c>
      <c r="W420" s="43">
        <v>0</v>
      </c>
      <c r="X420" s="44">
        <f t="shared" si="42"/>
        <v>0</v>
      </c>
      <c r="Y420" s="43">
        <v>0</v>
      </c>
      <c r="Z420" s="43">
        <v>0</v>
      </c>
      <c r="AA420" s="43">
        <v>0</v>
      </c>
      <c r="AB420" s="43">
        <v>0</v>
      </c>
      <c r="AC420" s="43">
        <v>0</v>
      </c>
      <c r="AD420" s="43">
        <v>0</v>
      </c>
      <c r="AE420" s="43">
        <v>0</v>
      </c>
      <c r="AF420" s="43">
        <v>0</v>
      </c>
      <c r="AG420" s="43">
        <v>0</v>
      </c>
      <c r="AH420" s="43">
        <v>0</v>
      </c>
      <c r="AI420" s="43">
        <v>0</v>
      </c>
      <c r="AJ420" s="43">
        <v>0</v>
      </c>
      <c r="AK420" s="44">
        <f t="shared" si="43"/>
        <v>0</v>
      </c>
      <c r="AL420" s="43">
        <v>0</v>
      </c>
      <c r="AM420" s="43">
        <v>0</v>
      </c>
      <c r="AN420" s="43">
        <v>0</v>
      </c>
      <c r="AO420" s="43">
        <v>0</v>
      </c>
      <c r="AP420" s="43">
        <v>0</v>
      </c>
      <c r="AQ420" s="43">
        <v>0</v>
      </c>
      <c r="AR420" s="43">
        <v>0</v>
      </c>
      <c r="AS420" s="43">
        <v>0</v>
      </c>
      <c r="AT420" s="43">
        <v>0</v>
      </c>
      <c r="AU420" s="43">
        <v>0</v>
      </c>
      <c r="AV420" s="43">
        <v>0</v>
      </c>
      <c r="AW420" s="43">
        <v>0</v>
      </c>
      <c r="AX420" s="44">
        <f t="shared" si="44"/>
        <v>0</v>
      </c>
      <c r="AY420" s="317">
        <f>SUMIF(Recibos!$D$4:$D$3010,Cobranza!$B420,Recibos!K$4:K$3010)</f>
        <v>0</v>
      </c>
      <c r="AZ420" s="317">
        <f>SUMIF(Recibos!$D$4:$D$3010,Cobranza!$B420,Recibos!L$4:L$3010)</f>
        <v>0</v>
      </c>
      <c r="BA420" s="317">
        <f>SUMIF(Recibos!$D$4:$D$3010,Cobranza!$B420,Recibos!M$4:M$3010)</f>
        <v>0</v>
      </c>
      <c r="BB420" s="317">
        <f>SUMIF(Recibos!$D$4:$D$3010,Cobranza!$B420,Recibos!N$4:N$3010)</f>
        <v>0</v>
      </c>
      <c r="BC420" s="317">
        <f>SUMIF(Recibos!$D$4:$D$3010,Cobranza!$B420,Recibos!O$4:O$3010)</f>
        <v>0</v>
      </c>
      <c r="BD420" s="317">
        <f>SUMIF(Recibos!$D$4:$D$3010,Cobranza!$B420,Recibos!P$4:P$3010)</f>
        <v>0</v>
      </c>
      <c r="BE420" s="317">
        <f>SUMIF(Recibos!$D$4:$D$3010,Cobranza!$B420,Recibos!Q$4:Q$3010)</f>
        <v>0</v>
      </c>
      <c r="BF420" s="317">
        <f>SUMIF(Recibos!$D$4:$D$3010,Cobranza!$B420,Recibos!R$4:R$3010)</f>
        <v>0</v>
      </c>
      <c r="BG420" s="317">
        <f>SUMIF(Recibos!$D$4:$D$3010,Cobranza!$B420,Recibos!S$4:S$3010)</f>
        <v>0</v>
      </c>
      <c r="BH420" s="317">
        <f>SUMIF(Recibos!$D$4:$D$3010,Cobranza!$B420,Recibos!T$4:T$3010)</f>
        <v>0</v>
      </c>
      <c r="BI420" s="317">
        <f>SUMIF(Recibos!$D$4:$D$3010,Cobranza!$B420,Recibos!U$4:U$3010)</f>
        <v>0</v>
      </c>
      <c r="BJ420" s="317">
        <f>SUMIF(Recibos!$D$4:$D$3010,Cobranza!$B420,Recibos!V$4:V$3010)</f>
        <v>0</v>
      </c>
      <c r="BK420" s="318">
        <f t="shared" si="45"/>
        <v>0</v>
      </c>
      <c r="BL420" s="317">
        <f>SUMIF(Recibos!$D$4:$D$3010,Cobranza!$B420,Recibos!X$4:X$3010)</f>
        <v>0</v>
      </c>
      <c r="BM420" s="317">
        <f>SUMIF(Recibos!$D$4:$D$3010,Cobranza!$B420,Recibos!Y$4:Y$3010)</f>
        <v>0</v>
      </c>
      <c r="BN420" s="317">
        <f>SUMIF(Recibos!$D$4:$D$3010,Cobranza!$B420,Recibos!Z$4:Z$3010)</f>
        <v>0</v>
      </c>
      <c r="BO420" s="317">
        <f>SUMIF(Recibos!$D$4:$D$3010,Cobranza!$B420,Recibos!AA$4:AA$3010)</f>
        <v>0</v>
      </c>
      <c r="BP420" s="317">
        <f>SUMIF(Recibos!$D$4:$D$3010,Cobranza!$B420,Recibos!AB$4:AB$3010)</f>
        <v>0</v>
      </c>
      <c r="BQ420" s="317">
        <f>SUMIF(Recibos!$D$4:$D$3010,Cobranza!$B420,Recibos!AC$4:AC$3010)</f>
        <v>0</v>
      </c>
      <c r="BR420" s="317">
        <f>SUMIF(Recibos!$D$4:$D$3010,Cobranza!$B420,Recibos!AD$4:AD$3010)</f>
        <v>0</v>
      </c>
      <c r="BS420" s="317">
        <f>SUMIF(Recibos!$D$4:$D$3010,Cobranza!$B420,Recibos!AE$4:AE$3010)</f>
        <v>0</v>
      </c>
      <c r="BT420" s="317">
        <f>SUMIF(Recibos!$D$4:$D$3010,Cobranza!$B420,Recibos!AF$4:AF$3010)</f>
        <v>0</v>
      </c>
      <c r="BU420" s="317">
        <f>SUMIF(Recibos!$D$4:$D$3010,Cobranza!$B420,Recibos!AG$4:AG$3010)</f>
        <v>0</v>
      </c>
      <c r="BV420" s="317">
        <f>SUMIF(Recibos!$D$4:$D$3010,Cobranza!$B420,Recibos!AH$4:AH$3010)</f>
        <v>0</v>
      </c>
      <c r="BW420" s="317">
        <f>SUMIF(Recibos!$D$4:$D$3010,Cobranza!$B420,Recibos!AI$4:AI$3010)</f>
        <v>0</v>
      </c>
      <c r="BX420" s="318">
        <f t="shared" si="46"/>
        <v>0</v>
      </c>
    </row>
    <row r="421" spans="2:76" x14ac:dyDescent="0.2">
      <c r="B421" s="45" t="s">
        <v>370</v>
      </c>
      <c r="C421" s="45" t="s">
        <v>371</v>
      </c>
      <c r="D421" s="45" t="s">
        <v>372</v>
      </c>
      <c r="E421" s="46">
        <v>0</v>
      </c>
      <c r="F421" s="46">
        <v>0</v>
      </c>
      <c r="G421" s="46">
        <v>0</v>
      </c>
      <c r="H421" s="46">
        <v>0</v>
      </c>
      <c r="I421" s="46">
        <v>0</v>
      </c>
      <c r="J421" s="46">
        <v>0</v>
      </c>
      <c r="K421" s="47">
        <f t="shared" si="41"/>
        <v>0</v>
      </c>
      <c r="L421" s="46">
        <v>300</v>
      </c>
      <c r="M421" s="46">
        <v>300</v>
      </c>
      <c r="N421" s="46">
        <v>300</v>
      </c>
      <c r="O421" s="46">
        <v>300</v>
      </c>
      <c r="P421" s="46">
        <v>300</v>
      </c>
      <c r="Q421" s="46">
        <v>300</v>
      </c>
      <c r="R421" s="46">
        <v>300</v>
      </c>
      <c r="S421" s="46">
        <v>300</v>
      </c>
      <c r="T421" s="46">
        <v>0</v>
      </c>
      <c r="U421" s="46">
        <v>0</v>
      </c>
      <c r="V421" s="46">
        <v>0</v>
      </c>
      <c r="W421" s="46">
        <v>0</v>
      </c>
      <c r="X421" s="47">
        <f t="shared" si="42"/>
        <v>2400</v>
      </c>
      <c r="Y421" s="46">
        <v>0</v>
      </c>
      <c r="Z421" s="46">
        <v>0</v>
      </c>
      <c r="AA421" s="46">
        <v>0</v>
      </c>
      <c r="AB421" s="46">
        <v>0</v>
      </c>
      <c r="AC421" s="46">
        <v>0</v>
      </c>
      <c r="AD421" s="46">
        <v>0</v>
      </c>
      <c r="AE421" s="46">
        <v>0</v>
      </c>
      <c r="AF421" s="46">
        <v>0</v>
      </c>
      <c r="AG421" s="46">
        <v>0</v>
      </c>
      <c r="AH421" s="46">
        <v>0</v>
      </c>
      <c r="AI421" s="46">
        <v>0</v>
      </c>
      <c r="AJ421" s="46">
        <v>0</v>
      </c>
      <c r="AK421" s="47">
        <f t="shared" si="43"/>
        <v>0</v>
      </c>
      <c r="AL421" s="46">
        <v>0</v>
      </c>
      <c r="AM421" s="46">
        <v>0</v>
      </c>
      <c r="AN421" s="46">
        <v>0</v>
      </c>
      <c r="AO421" s="46">
        <v>0</v>
      </c>
      <c r="AP421" s="46">
        <v>0</v>
      </c>
      <c r="AQ421" s="46">
        <v>0</v>
      </c>
      <c r="AR421" s="46">
        <v>0</v>
      </c>
      <c r="AS421" s="46">
        <v>0</v>
      </c>
      <c r="AT421" s="46">
        <v>0</v>
      </c>
      <c r="AU421" s="46">
        <v>150</v>
      </c>
      <c r="AV421" s="46">
        <v>150</v>
      </c>
      <c r="AW421" s="46">
        <v>150</v>
      </c>
      <c r="AX421" s="47">
        <f t="shared" si="44"/>
        <v>450</v>
      </c>
      <c r="AY421" s="319">
        <f>SUMIF(Recibos!$D$4:$D$3010,Cobranza!$B421,Recibos!K$4:K$3010)</f>
        <v>150</v>
      </c>
      <c r="AZ421" s="319">
        <f>SUMIF(Recibos!$D$4:$D$3010,Cobranza!$B421,Recibos!L$4:L$3010)</f>
        <v>150</v>
      </c>
      <c r="BA421" s="319">
        <f>SUMIF(Recibos!$D$4:$D$3010,Cobranza!$B421,Recibos!M$4:M$3010)</f>
        <v>150</v>
      </c>
      <c r="BB421" s="319">
        <f>SUMIF(Recibos!$D$4:$D$3010,Cobranza!$B421,Recibos!N$4:N$3010)</f>
        <v>150</v>
      </c>
      <c r="BC421" s="319">
        <f>SUMIF(Recibos!$D$4:$D$3010,Cobranza!$B421,Recibos!O$4:O$3010)</f>
        <v>150</v>
      </c>
      <c r="BD421" s="319">
        <f>SUMIF(Recibos!$D$4:$D$3010,Cobranza!$B421,Recibos!P$4:P$3010)</f>
        <v>150</v>
      </c>
      <c r="BE421" s="319">
        <f>SUMIF(Recibos!$D$4:$D$3010,Cobranza!$B421,Recibos!Q$4:Q$3010)</f>
        <v>150</v>
      </c>
      <c r="BF421" s="319">
        <f>SUMIF(Recibos!$D$4:$D$3010,Cobranza!$B421,Recibos!R$4:R$3010)</f>
        <v>150</v>
      </c>
      <c r="BG421" s="319">
        <f>SUMIF(Recibos!$D$4:$D$3010,Cobranza!$B421,Recibos!S$4:S$3010)</f>
        <v>150</v>
      </c>
      <c r="BH421" s="319">
        <f>SUMIF(Recibos!$D$4:$D$3010,Cobranza!$B421,Recibos!T$4:T$3010)</f>
        <v>150</v>
      </c>
      <c r="BI421" s="319">
        <f>SUMIF(Recibos!$D$4:$D$3010,Cobranza!$B421,Recibos!U$4:U$3010)</f>
        <v>150</v>
      </c>
      <c r="BJ421" s="319">
        <f>SUMIF(Recibos!$D$4:$D$3010,Cobranza!$B421,Recibos!V$4:V$3010)</f>
        <v>150</v>
      </c>
      <c r="BK421" s="320">
        <f t="shared" si="45"/>
        <v>1800</v>
      </c>
      <c r="BL421" s="319">
        <f>SUMIF(Recibos!$D$4:$D$3010,Cobranza!$B421,Recibos!X$4:X$3010)</f>
        <v>0</v>
      </c>
      <c r="BM421" s="319">
        <f>SUMIF(Recibos!$D$4:$D$3010,Cobranza!$B421,Recibos!Y$4:Y$3010)</f>
        <v>0</v>
      </c>
      <c r="BN421" s="319">
        <f>SUMIF(Recibos!$D$4:$D$3010,Cobranza!$B421,Recibos!Z$4:Z$3010)</f>
        <v>0</v>
      </c>
      <c r="BO421" s="319">
        <f>SUMIF(Recibos!$D$4:$D$3010,Cobranza!$B421,Recibos!AA$4:AA$3010)</f>
        <v>0</v>
      </c>
      <c r="BP421" s="319">
        <f>SUMIF(Recibos!$D$4:$D$3010,Cobranza!$B421,Recibos!AB$4:AB$3010)</f>
        <v>0</v>
      </c>
      <c r="BQ421" s="319">
        <f>SUMIF(Recibos!$D$4:$D$3010,Cobranza!$B421,Recibos!AC$4:AC$3010)</f>
        <v>0</v>
      </c>
      <c r="BR421" s="319">
        <f>SUMIF(Recibos!$D$4:$D$3010,Cobranza!$B421,Recibos!AD$4:AD$3010)</f>
        <v>0</v>
      </c>
      <c r="BS421" s="319">
        <f>SUMIF(Recibos!$D$4:$D$3010,Cobranza!$B421,Recibos!AE$4:AE$3010)</f>
        <v>0</v>
      </c>
      <c r="BT421" s="319">
        <f>SUMIF(Recibos!$D$4:$D$3010,Cobranza!$B421,Recibos!AF$4:AF$3010)</f>
        <v>0</v>
      </c>
      <c r="BU421" s="319">
        <f>SUMIF(Recibos!$D$4:$D$3010,Cobranza!$B421,Recibos!AG$4:AG$3010)</f>
        <v>0</v>
      </c>
      <c r="BV421" s="319">
        <f>SUMIF(Recibos!$D$4:$D$3010,Cobranza!$B421,Recibos!AH$4:AH$3010)</f>
        <v>0</v>
      </c>
      <c r="BW421" s="319">
        <f>SUMIF(Recibos!$D$4:$D$3010,Cobranza!$B421,Recibos!AI$4:AI$3010)</f>
        <v>0</v>
      </c>
      <c r="BX421" s="320">
        <f t="shared" si="46"/>
        <v>0</v>
      </c>
    </row>
    <row r="422" spans="2:76" x14ac:dyDescent="0.2">
      <c r="B422" s="42" t="s">
        <v>1178</v>
      </c>
      <c r="C422" s="42" t="s">
        <v>1179</v>
      </c>
      <c r="D422" s="42" t="s">
        <v>1180</v>
      </c>
      <c r="E422" s="43">
        <v>0</v>
      </c>
      <c r="F422" s="43">
        <v>0</v>
      </c>
      <c r="G422" s="43">
        <v>0</v>
      </c>
      <c r="H422" s="43">
        <v>0</v>
      </c>
      <c r="I422" s="43">
        <v>0</v>
      </c>
      <c r="J422" s="43">
        <v>0</v>
      </c>
      <c r="K422" s="44">
        <f t="shared" si="41"/>
        <v>0</v>
      </c>
      <c r="L422" s="43">
        <v>0</v>
      </c>
      <c r="M422" s="43">
        <v>0</v>
      </c>
      <c r="N422" s="43">
        <v>0</v>
      </c>
      <c r="O422" s="43">
        <v>0</v>
      </c>
      <c r="P422" s="43">
        <v>0</v>
      </c>
      <c r="Q422" s="43">
        <v>0</v>
      </c>
      <c r="R422" s="43">
        <v>0</v>
      </c>
      <c r="S422" s="43">
        <v>0</v>
      </c>
      <c r="T422" s="43">
        <v>0</v>
      </c>
      <c r="U422" s="43">
        <v>0</v>
      </c>
      <c r="V422" s="43">
        <v>0</v>
      </c>
      <c r="W422" s="43">
        <v>0</v>
      </c>
      <c r="X422" s="44">
        <f t="shared" si="42"/>
        <v>0</v>
      </c>
      <c r="Y422" s="43">
        <v>0</v>
      </c>
      <c r="Z422" s="43">
        <v>0</v>
      </c>
      <c r="AA422" s="43">
        <v>0</v>
      </c>
      <c r="AB422" s="43">
        <v>0</v>
      </c>
      <c r="AC422" s="43">
        <v>0</v>
      </c>
      <c r="AD422" s="43">
        <v>0</v>
      </c>
      <c r="AE422" s="43">
        <v>0</v>
      </c>
      <c r="AF422" s="43">
        <v>0</v>
      </c>
      <c r="AG422" s="43">
        <v>0</v>
      </c>
      <c r="AH422" s="43">
        <v>0</v>
      </c>
      <c r="AI422" s="43">
        <v>0</v>
      </c>
      <c r="AJ422" s="43">
        <v>0</v>
      </c>
      <c r="AK422" s="44">
        <f t="shared" si="43"/>
        <v>0</v>
      </c>
      <c r="AL422" s="43">
        <v>0</v>
      </c>
      <c r="AM422" s="43">
        <v>0</v>
      </c>
      <c r="AN422" s="43">
        <v>0</v>
      </c>
      <c r="AO422" s="43">
        <v>0</v>
      </c>
      <c r="AP422" s="43">
        <v>0</v>
      </c>
      <c r="AQ422" s="43">
        <v>0</v>
      </c>
      <c r="AR422" s="43">
        <v>0</v>
      </c>
      <c r="AS422" s="43">
        <v>0</v>
      </c>
      <c r="AT422" s="43">
        <v>200</v>
      </c>
      <c r="AU422" s="43">
        <v>0</v>
      </c>
      <c r="AV422" s="43">
        <v>0</v>
      </c>
      <c r="AW422" s="43">
        <v>0</v>
      </c>
      <c r="AX422" s="44">
        <f t="shared" si="44"/>
        <v>200</v>
      </c>
      <c r="AY422" s="317">
        <f>SUMIF(Recibos!$D$4:$D$3010,Cobranza!$B422,Recibos!K$4:K$3010)</f>
        <v>0</v>
      </c>
      <c r="AZ422" s="317">
        <f>SUMIF(Recibos!$D$4:$D$3010,Cobranza!$B422,Recibos!L$4:L$3010)</f>
        <v>0</v>
      </c>
      <c r="BA422" s="317">
        <f>SUMIF(Recibos!$D$4:$D$3010,Cobranza!$B422,Recibos!M$4:M$3010)</f>
        <v>0</v>
      </c>
      <c r="BB422" s="317">
        <f>SUMIF(Recibos!$D$4:$D$3010,Cobranza!$B422,Recibos!N$4:N$3010)</f>
        <v>200</v>
      </c>
      <c r="BC422" s="317">
        <f>SUMIF(Recibos!$D$4:$D$3010,Cobranza!$B422,Recibos!O$4:O$3010)</f>
        <v>200</v>
      </c>
      <c r="BD422" s="317">
        <f>SUMIF(Recibos!$D$4:$D$3010,Cobranza!$B422,Recibos!P$4:P$3010)</f>
        <v>200</v>
      </c>
      <c r="BE422" s="317">
        <f>SUMIF(Recibos!$D$4:$D$3010,Cobranza!$B422,Recibos!Q$4:Q$3010)</f>
        <v>200</v>
      </c>
      <c r="BF422" s="317">
        <f>SUMIF(Recibos!$D$4:$D$3010,Cobranza!$B422,Recibos!R$4:R$3010)</f>
        <v>200</v>
      </c>
      <c r="BG422" s="317">
        <f>SUMIF(Recibos!$D$4:$D$3010,Cobranza!$B422,Recibos!S$4:S$3010)</f>
        <v>200</v>
      </c>
      <c r="BH422" s="317">
        <f>SUMIF(Recibos!$D$4:$D$3010,Cobranza!$B422,Recibos!T$4:T$3010)</f>
        <v>200</v>
      </c>
      <c r="BI422" s="317">
        <f>SUMIF(Recibos!$D$4:$D$3010,Cobranza!$B422,Recibos!U$4:U$3010)</f>
        <v>200</v>
      </c>
      <c r="BJ422" s="317">
        <f>SUMIF(Recibos!$D$4:$D$3010,Cobranza!$B422,Recibos!V$4:V$3010)</f>
        <v>0</v>
      </c>
      <c r="BK422" s="318">
        <f t="shared" si="45"/>
        <v>1600</v>
      </c>
      <c r="BL422" s="317">
        <f>SUMIF(Recibos!$D$4:$D$3010,Cobranza!$B422,Recibos!X$4:X$3010)</f>
        <v>0</v>
      </c>
      <c r="BM422" s="317">
        <f>SUMIF(Recibos!$D$4:$D$3010,Cobranza!$B422,Recibos!Y$4:Y$3010)</f>
        <v>0</v>
      </c>
      <c r="BN422" s="317">
        <f>SUMIF(Recibos!$D$4:$D$3010,Cobranza!$B422,Recibos!Z$4:Z$3010)</f>
        <v>0</v>
      </c>
      <c r="BO422" s="317">
        <f>SUMIF(Recibos!$D$4:$D$3010,Cobranza!$B422,Recibos!AA$4:AA$3010)</f>
        <v>0</v>
      </c>
      <c r="BP422" s="317">
        <f>SUMIF(Recibos!$D$4:$D$3010,Cobranza!$B422,Recibos!AB$4:AB$3010)</f>
        <v>0</v>
      </c>
      <c r="BQ422" s="317">
        <f>SUMIF(Recibos!$D$4:$D$3010,Cobranza!$B422,Recibos!AC$4:AC$3010)</f>
        <v>0</v>
      </c>
      <c r="BR422" s="317">
        <f>SUMIF(Recibos!$D$4:$D$3010,Cobranza!$B422,Recibos!AD$4:AD$3010)</f>
        <v>0</v>
      </c>
      <c r="BS422" s="317">
        <f>SUMIF(Recibos!$D$4:$D$3010,Cobranza!$B422,Recibos!AE$4:AE$3010)</f>
        <v>0</v>
      </c>
      <c r="BT422" s="317">
        <f>SUMIF(Recibos!$D$4:$D$3010,Cobranza!$B422,Recibos!AF$4:AF$3010)</f>
        <v>0</v>
      </c>
      <c r="BU422" s="317">
        <f>SUMIF(Recibos!$D$4:$D$3010,Cobranza!$B422,Recibos!AG$4:AG$3010)</f>
        <v>0</v>
      </c>
      <c r="BV422" s="317">
        <f>SUMIF(Recibos!$D$4:$D$3010,Cobranza!$B422,Recibos!AH$4:AH$3010)</f>
        <v>0</v>
      </c>
      <c r="BW422" s="317">
        <f>SUMIF(Recibos!$D$4:$D$3010,Cobranza!$B422,Recibos!AI$4:AI$3010)</f>
        <v>0</v>
      </c>
      <c r="BX422" s="318">
        <f t="shared" si="46"/>
        <v>0</v>
      </c>
    </row>
    <row r="423" spans="2:76" x14ac:dyDescent="0.2">
      <c r="B423" s="45" t="s">
        <v>828</v>
      </c>
      <c r="C423" s="45" t="s">
        <v>829</v>
      </c>
      <c r="D423" s="45" t="s">
        <v>830</v>
      </c>
      <c r="E423" s="46">
        <v>0</v>
      </c>
      <c r="F423" s="46">
        <v>0</v>
      </c>
      <c r="G423" s="46">
        <v>0</v>
      </c>
      <c r="H423" s="46">
        <v>0</v>
      </c>
      <c r="I423" s="46">
        <v>0</v>
      </c>
      <c r="J423" s="46">
        <v>0</v>
      </c>
      <c r="K423" s="47">
        <f t="shared" si="41"/>
        <v>0</v>
      </c>
      <c r="L423" s="46">
        <v>150</v>
      </c>
      <c r="M423" s="46">
        <v>150</v>
      </c>
      <c r="N423" s="46">
        <v>150</v>
      </c>
      <c r="O423" s="46">
        <v>150</v>
      </c>
      <c r="P423" s="46">
        <v>150</v>
      </c>
      <c r="Q423" s="46">
        <v>150</v>
      </c>
      <c r="R423" s="46">
        <v>150</v>
      </c>
      <c r="S423" s="46">
        <v>150</v>
      </c>
      <c r="T423" s="46">
        <v>150</v>
      </c>
      <c r="U423" s="46">
        <v>200</v>
      </c>
      <c r="V423" s="46">
        <v>200</v>
      </c>
      <c r="W423" s="46">
        <v>200</v>
      </c>
      <c r="X423" s="47">
        <f t="shared" si="42"/>
        <v>1950</v>
      </c>
      <c r="Y423" s="46">
        <v>0</v>
      </c>
      <c r="Z423" s="46">
        <v>200</v>
      </c>
      <c r="AA423" s="46">
        <v>200</v>
      </c>
      <c r="AB423" s="46">
        <v>200</v>
      </c>
      <c r="AC423" s="46">
        <v>200</v>
      </c>
      <c r="AD423" s="46">
        <v>200</v>
      </c>
      <c r="AE423" s="46">
        <v>200</v>
      </c>
      <c r="AF423" s="46">
        <v>200</v>
      </c>
      <c r="AG423" s="46">
        <v>200</v>
      </c>
      <c r="AH423" s="46">
        <v>200</v>
      </c>
      <c r="AI423" s="46">
        <v>200</v>
      </c>
      <c r="AJ423" s="46">
        <v>200</v>
      </c>
      <c r="AK423" s="47">
        <f t="shared" si="43"/>
        <v>2200</v>
      </c>
      <c r="AL423" s="46">
        <v>200</v>
      </c>
      <c r="AM423" s="46">
        <v>200</v>
      </c>
      <c r="AN423" s="46">
        <v>200</v>
      </c>
      <c r="AO423" s="46">
        <v>200</v>
      </c>
      <c r="AP423" s="46">
        <v>200</v>
      </c>
      <c r="AQ423" s="46">
        <v>200</v>
      </c>
      <c r="AR423" s="46">
        <v>200</v>
      </c>
      <c r="AS423" s="46">
        <v>200</v>
      </c>
      <c r="AT423" s="46">
        <v>200</v>
      </c>
      <c r="AU423" s="46">
        <v>200</v>
      </c>
      <c r="AV423" s="46">
        <v>200</v>
      </c>
      <c r="AW423" s="46">
        <v>200</v>
      </c>
      <c r="AX423" s="47">
        <f t="shared" si="44"/>
        <v>2400</v>
      </c>
      <c r="AY423" s="319">
        <f>SUMIF(Recibos!$D$4:$D$3010,Cobranza!$B423,Recibos!K$4:K$3010)</f>
        <v>200</v>
      </c>
      <c r="AZ423" s="319">
        <f>SUMIF(Recibos!$D$4:$D$3010,Cobranza!$B423,Recibos!L$4:L$3010)</f>
        <v>200</v>
      </c>
      <c r="BA423" s="319">
        <f>SUMIF(Recibos!$D$4:$D$3010,Cobranza!$B423,Recibos!M$4:M$3010)</f>
        <v>200</v>
      </c>
      <c r="BB423" s="319">
        <f>SUMIF(Recibos!$D$4:$D$3010,Cobranza!$B423,Recibos!N$4:N$3010)</f>
        <v>200</v>
      </c>
      <c r="BC423" s="319">
        <f>SUMIF(Recibos!$D$4:$D$3010,Cobranza!$B423,Recibos!O$4:O$3010)</f>
        <v>200</v>
      </c>
      <c r="BD423" s="319">
        <f>SUMIF(Recibos!$D$4:$D$3010,Cobranza!$B423,Recibos!P$4:P$3010)</f>
        <v>200</v>
      </c>
      <c r="BE423" s="319">
        <f>SUMIF(Recibos!$D$4:$D$3010,Cobranza!$B423,Recibos!Q$4:Q$3010)</f>
        <v>200</v>
      </c>
      <c r="BF423" s="319">
        <f>SUMIF(Recibos!$D$4:$D$3010,Cobranza!$B423,Recibos!R$4:R$3010)</f>
        <v>200</v>
      </c>
      <c r="BG423" s="319">
        <f>SUMIF(Recibos!$D$4:$D$3010,Cobranza!$B423,Recibos!S$4:S$3010)</f>
        <v>0</v>
      </c>
      <c r="BH423" s="319">
        <f>SUMIF(Recibos!$D$4:$D$3010,Cobranza!$B423,Recibos!T$4:T$3010)</f>
        <v>0</v>
      </c>
      <c r="BI423" s="319">
        <f>SUMIF(Recibos!$D$4:$D$3010,Cobranza!$B423,Recibos!U$4:U$3010)</f>
        <v>0</v>
      </c>
      <c r="BJ423" s="319">
        <f>SUMIF(Recibos!$D$4:$D$3010,Cobranza!$B423,Recibos!V$4:V$3010)</f>
        <v>0</v>
      </c>
      <c r="BK423" s="320">
        <f t="shared" si="45"/>
        <v>1600</v>
      </c>
      <c r="BL423" s="319">
        <f>SUMIF(Recibos!$D$4:$D$3010,Cobranza!$B423,Recibos!X$4:X$3010)</f>
        <v>0</v>
      </c>
      <c r="BM423" s="319">
        <f>SUMIF(Recibos!$D$4:$D$3010,Cobranza!$B423,Recibos!Y$4:Y$3010)</f>
        <v>0</v>
      </c>
      <c r="BN423" s="319">
        <f>SUMIF(Recibos!$D$4:$D$3010,Cobranza!$B423,Recibos!Z$4:Z$3010)</f>
        <v>0</v>
      </c>
      <c r="BO423" s="319">
        <f>SUMIF(Recibos!$D$4:$D$3010,Cobranza!$B423,Recibos!AA$4:AA$3010)</f>
        <v>0</v>
      </c>
      <c r="BP423" s="319">
        <f>SUMIF(Recibos!$D$4:$D$3010,Cobranza!$B423,Recibos!AB$4:AB$3010)</f>
        <v>0</v>
      </c>
      <c r="BQ423" s="319">
        <f>SUMIF(Recibos!$D$4:$D$3010,Cobranza!$B423,Recibos!AC$4:AC$3010)</f>
        <v>0</v>
      </c>
      <c r="BR423" s="319">
        <f>SUMIF(Recibos!$D$4:$D$3010,Cobranza!$B423,Recibos!AD$4:AD$3010)</f>
        <v>0</v>
      </c>
      <c r="BS423" s="319">
        <f>SUMIF(Recibos!$D$4:$D$3010,Cobranza!$B423,Recibos!AE$4:AE$3010)</f>
        <v>0</v>
      </c>
      <c r="BT423" s="319">
        <f>SUMIF(Recibos!$D$4:$D$3010,Cobranza!$B423,Recibos!AF$4:AF$3010)</f>
        <v>0</v>
      </c>
      <c r="BU423" s="319">
        <f>SUMIF(Recibos!$D$4:$D$3010,Cobranza!$B423,Recibos!AG$4:AG$3010)</f>
        <v>0</v>
      </c>
      <c r="BV423" s="319">
        <f>SUMIF(Recibos!$D$4:$D$3010,Cobranza!$B423,Recibos!AH$4:AH$3010)</f>
        <v>0</v>
      </c>
      <c r="BW423" s="319">
        <f>SUMIF(Recibos!$D$4:$D$3010,Cobranza!$B423,Recibos!AI$4:AI$3010)</f>
        <v>0</v>
      </c>
      <c r="BX423" s="320">
        <f t="shared" si="46"/>
        <v>0</v>
      </c>
    </row>
    <row r="424" spans="2:76" x14ac:dyDescent="0.2">
      <c r="B424" s="42" t="s">
        <v>506</v>
      </c>
      <c r="C424" s="42" t="s">
        <v>507</v>
      </c>
      <c r="D424" s="42" t="s">
        <v>508</v>
      </c>
      <c r="E424" s="43">
        <v>0</v>
      </c>
      <c r="F424" s="43">
        <v>0</v>
      </c>
      <c r="G424" s="43">
        <v>0</v>
      </c>
      <c r="H424" s="43">
        <v>0</v>
      </c>
      <c r="I424" s="43">
        <v>0</v>
      </c>
      <c r="J424" s="43">
        <v>0</v>
      </c>
      <c r="K424" s="44">
        <f t="shared" si="41"/>
        <v>0</v>
      </c>
      <c r="L424" s="43">
        <v>300</v>
      </c>
      <c r="M424" s="43">
        <v>300</v>
      </c>
      <c r="N424" s="43">
        <v>300</v>
      </c>
      <c r="O424" s="43">
        <v>300</v>
      </c>
      <c r="P424" s="43">
        <v>300</v>
      </c>
      <c r="Q424" s="43">
        <v>300</v>
      </c>
      <c r="R424" s="43">
        <v>300</v>
      </c>
      <c r="S424" s="43">
        <v>300</v>
      </c>
      <c r="T424" s="43">
        <v>300</v>
      </c>
      <c r="U424" s="43">
        <v>300</v>
      </c>
      <c r="V424" s="43">
        <v>300</v>
      </c>
      <c r="W424" s="43">
        <v>0</v>
      </c>
      <c r="X424" s="44">
        <f t="shared" si="42"/>
        <v>3300</v>
      </c>
      <c r="Y424" s="43">
        <v>400</v>
      </c>
      <c r="Z424" s="43">
        <v>400</v>
      </c>
      <c r="AA424" s="43">
        <v>400</v>
      </c>
      <c r="AB424" s="43">
        <v>400</v>
      </c>
      <c r="AC424" s="43">
        <v>400</v>
      </c>
      <c r="AD424" s="43">
        <v>400</v>
      </c>
      <c r="AE424" s="43">
        <v>400</v>
      </c>
      <c r="AF424" s="43">
        <v>400</v>
      </c>
      <c r="AG424" s="43">
        <v>400</v>
      </c>
      <c r="AH424" s="43">
        <v>400</v>
      </c>
      <c r="AI424" s="43">
        <v>400</v>
      </c>
      <c r="AJ424" s="43">
        <v>0</v>
      </c>
      <c r="AK424" s="44">
        <f t="shared" si="43"/>
        <v>4400</v>
      </c>
      <c r="AL424" s="43">
        <v>400</v>
      </c>
      <c r="AM424" s="43">
        <v>400</v>
      </c>
      <c r="AN424" s="43">
        <v>400</v>
      </c>
      <c r="AO424" s="43">
        <v>400</v>
      </c>
      <c r="AP424" s="43">
        <v>400</v>
      </c>
      <c r="AQ424" s="43">
        <v>400</v>
      </c>
      <c r="AR424" s="43">
        <v>400</v>
      </c>
      <c r="AS424" s="43">
        <v>400</v>
      </c>
      <c r="AT424" s="43">
        <v>400</v>
      </c>
      <c r="AU424" s="43">
        <v>400</v>
      </c>
      <c r="AV424" s="43">
        <v>400</v>
      </c>
      <c r="AW424" s="43">
        <v>0</v>
      </c>
      <c r="AX424" s="44">
        <f t="shared" si="44"/>
        <v>4400</v>
      </c>
      <c r="AY424" s="317">
        <f>SUMIF(Recibos!$D$4:$D$3010,Cobranza!$B424,Recibos!K$4:K$3010)</f>
        <v>400</v>
      </c>
      <c r="AZ424" s="317">
        <f>SUMIF(Recibos!$D$4:$D$3010,Cobranza!$B424,Recibos!L$4:L$3010)</f>
        <v>400</v>
      </c>
      <c r="BA424" s="317">
        <f>SUMIF(Recibos!$D$4:$D$3010,Cobranza!$B424,Recibos!M$4:M$3010)</f>
        <v>400</v>
      </c>
      <c r="BB424" s="317">
        <f>SUMIF(Recibos!$D$4:$D$3010,Cobranza!$B424,Recibos!N$4:N$3010)</f>
        <v>400</v>
      </c>
      <c r="BC424" s="317">
        <f>SUMIF(Recibos!$D$4:$D$3010,Cobranza!$B424,Recibos!O$4:O$3010)</f>
        <v>400</v>
      </c>
      <c r="BD424" s="317">
        <f>SUMIF(Recibos!$D$4:$D$3010,Cobranza!$B424,Recibos!P$4:P$3010)</f>
        <v>400</v>
      </c>
      <c r="BE424" s="317">
        <f>SUMIF(Recibos!$D$4:$D$3010,Cobranza!$B424,Recibos!Q$4:Q$3010)</f>
        <v>400</v>
      </c>
      <c r="BF424" s="317">
        <f>SUMIF(Recibos!$D$4:$D$3010,Cobranza!$B424,Recibos!R$4:R$3010)</f>
        <v>400</v>
      </c>
      <c r="BG424" s="317">
        <f>SUMIF(Recibos!$D$4:$D$3010,Cobranza!$B424,Recibos!S$4:S$3010)</f>
        <v>400</v>
      </c>
      <c r="BH424" s="317">
        <f>SUMIF(Recibos!$D$4:$D$3010,Cobranza!$B424,Recibos!T$4:T$3010)</f>
        <v>400</v>
      </c>
      <c r="BI424" s="317">
        <f>SUMIF(Recibos!$D$4:$D$3010,Cobranza!$B424,Recibos!U$4:U$3010)</f>
        <v>400</v>
      </c>
      <c r="BJ424" s="317">
        <f>SUMIF(Recibos!$D$4:$D$3010,Cobranza!$B424,Recibos!V$4:V$3010)</f>
        <v>0</v>
      </c>
      <c r="BK424" s="318">
        <f t="shared" si="45"/>
        <v>4400</v>
      </c>
      <c r="BL424" s="317">
        <f>SUMIF(Recibos!$D$4:$D$3010,Cobranza!$B424,Recibos!X$4:X$3010)</f>
        <v>0</v>
      </c>
      <c r="BM424" s="317">
        <f>SUMIF(Recibos!$D$4:$D$3010,Cobranza!$B424,Recibos!Y$4:Y$3010)</f>
        <v>0</v>
      </c>
      <c r="BN424" s="317">
        <f>SUMIF(Recibos!$D$4:$D$3010,Cobranza!$B424,Recibos!Z$4:Z$3010)</f>
        <v>0</v>
      </c>
      <c r="BO424" s="317">
        <f>SUMIF(Recibos!$D$4:$D$3010,Cobranza!$B424,Recibos!AA$4:AA$3010)</f>
        <v>0</v>
      </c>
      <c r="BP424" s="317">
        <f>SUMIF(Recibos!$D$4:$D$3010,Cobranza!$B424,Recibos!AB$4:AB$3010)</f>
        <v>0</v>
      </c>
      <c r="BQ424" s="317">
        <f>SUMIF(Recibos!$D$4:$D$3010,Cobranza!$B424,Recibos!AC$4:AC$3010)</f>
        <v>0</v>
      </c>
      <c r="BR424" s="317">
        <f>SUMIF(Recibos!$D$4:$D$3010,Cobranza!$B424,Recibos!AD$4:AD$3010)</f>
        <v>0</v>
      </c>
      <c r="BS424" s="317">
        <f>SUMIF(Recibos!$D$4:$D$3010,Cobranza!$B424,Recibos!AE$4:AE$3010)</f>
        <v>0</v>
      </c>
      <c r="BT424" s="317">
        <f>SUMIF(Recibos!$D$4:$D$3010,Cobranza!$B424,Recibos!AF$4:AF$3010)</f>
        <v>0</v>
      </c>
      <c r="BU424" s="317">
        <f>SUMIF(Recibos!$D$4:$D$3010,Cobranza!$B424,Recibos!AG$4:AG$3010)</f>
        <v>0</v>
      </c>
      <c r="BV424" s="317">
        <f>SUMIF(Recibos!$D$4:$D$3010,Cobranza!$B424,Recibos!AH$4:AH$3010)</f>
        <v>0</v>
      </c>
      <c r="BW424" s="317">
        <f>SUMIF(Recibos!$D$4:$D$3010,Cobranza!$B424,Recibos!AI$4:AI$3010)</f>
        <v>0</v>
      </c>
      <c r="BX424" s="318">
        <f t="shared" si="46"/>
        <v>0</v>
      </c>
    </row>
    <row r="425" spans="2:76" x14ac:dyDescent="0.2">
      <c r="B425" s="45" t="s">
        <v>714</v>
      </c>
      <c r="C425" s="45" t="s">
        <v>715</v>
      </c>
      <c r="D425" s="45" t="s">
        <v>487</v>
      </c>
      <c r="E425" s="46">
        <v>0</v>
      </c>
      <c r="F425" s="46">
        <v>0</v>
      </c>
      <c r="G425" s="46">
        <v>0</v>
      </c>
      <c r="H425" s="46">
        <v>300</v>
      </c>
      <c r="I425" s="46">
        <v>300</v>
      </c>
      <c r="J425" s="46">
        <v>300</v>
      </c>
      <c r="K425" s="47">
        <f t="shared" si="41"/>
        <v>900</v>
      </c>
      <c r="L425" s="46">
        <v>300</v>
      </c>
      <c r="M425" s="46">
        <v>300</v>
      </c>
      <c r="N425" s="46">
        <v>300</v>
      </c>
      <c r="O425" s="46">
        <v>300</v>
      </c>
      <c r="P425" s="46">
        <v>300</v>
      </c>
      <c r="Q425" s="46">
        <v>300</v>
      </c>
      <c r="R425" s="46">
        <v>300</v>
      </c>
      <c r="S425" s="46">
        <v>300</v>
      </c>
      <c r="T425" s="46">
        <v>300</v>
      </c>
      <c r="U425" s="46">
        <v>400</v>
      </c>
      <c r="V425" s="46">
        <v>400</v>
      </c>
      <c r="W425" s="46">
        <v>400</v>
      </c>
      <c r="X425" s="47">
        <f t="shared" si="42"/>
        <v>3900</v>
      </c>
      <c r="Y425" s="46">
        <v>400</v>
      </c>
      <c r="Z425" s="46">
        <v>400</v>
      </c>
      <c r="AA425" s="46">
        <v>400</v>
      </c>
      <c r="AB425" s="46">
        <v>400</v>
      </c>
      <c r="AC425" s="46">
        <v>400</v>
      </c>
      <c r="AD425" s="46">
        <v>400</v>
      </c>
      <c r="AE425" s="46">
        <v>400</v>
      </c>
      <c r="AF425" s="46">
        <v>400</v>
      </c>
      <c r="AG425" s="46">
        <v>400</v>
      </c>
      <c r="AH425" s="46">
        <v>400</v>
      </c>
      <c r="AI425" s="46">
        <v>400</v>
      </c>
      <c r="AJ425" s="46">
        <v>400</v>
      </c>
      <c r="AK425" s="47">
        <f t="shared" si="43"/>
        <v>4800</v>
      </c>
      <c r="AL425" s="46">
        <v>400</v>
      </c>
      <c r="AM425" s="46">
        <v>400</v>
      </c>
      <c r="AN425" s="46">
        <v>400</v>
      </c>
      <c r="AO425" s="46">
        <v>400</v>
      </c>
      <c r="AP425" s="46">
        <v>400</v>
      </c>
      <c r="AQ425" s="46">
        <v>400</v>
      </c>
      <c r="AR425" s="46">
        <v>400</v>
      </c>
      <c r="AS425" s="46">
        <v>400</v>
      </c>
      <c r="AT425" s="46">
        <v>400</v>
      </c>
      <c r="AU425" s="46">
        <v>400</v>
      </c>
      <c r="AV425" s="46">
        <v>400</v>
      </c>
      <c r="AW425" s="46">
        <v>400</v>
      </c>
      <c r="AX425" s="47">
        <f t="shared" si="44"/>
        <v>4800</v>
      </c>
      <c r="AY425" s="319">
        <f>SUMIF(Recibos!$D$4:$D$3010,Cobranza!$B425,Recibos!K$4:K$3010)</f>
        <v>400</v>
      </c>
      <c r="AZ425" s="319">
        <f>SUMIF(Recibos!$D$4:$D$3010,Cobranza!$B425,Recibos!L$4:L$3010)</f>
        <v>400</v>
      </c>
      <c r="BA425" s="319">
        <f>SUMIF(Recibos!$D$4:$D$3010,Cobranza!$B425,Recibos!M$4:M$3010)</f>
        <v>400</v>
      </c>
      <c r="BB425" s="319">
        <f>SUMIF(Recibos!$D$4:$D$3010,Cobranza!$B425,Recibos!N$4:N$3010)</f>
        <v>400</v>
      </c>
      <c r="BC425" s="319">
        <f>SUMIF(Recibos!$D$4:$D$3010,Cobranza!$B425,Recibos!O$4:O$3010)</f>
        <v>400</v>
      </c>
      <c r="BD425" s="319">
        <f>SUMIF(Recibos!$D$4:$D$3010,Cobranza!$B425,Recibos!P$4:P$3010)</f>
        <v>400</v>
      </c>
      <c r="BE425" s="319">
        <f>SUMIF(Recibos!$D$4:$D$3010,Cobranza!$B425,Recibos!Q$4:Q$3010)</f>
        <v>400</v>
      </c>
      <c r="BF425" s="319">
        <f>SUMIF(Recibos!$D$4:$D$3010,Cobranza!$B425,Recibos!R$4:R$3010)</f>
        <v>400</v>
      </c>
      <c r="BG425" s="319">
        <f>SUMIF(Recibos!$D$4:$D$3010,Cobranza!$B425,Recibos!S$4:S$3010)</f>
        <v>400</v>
      </c>
      <c r="BH425" s="319">
        <f>SUMIF(Recibos!$D$4:$D$3010,Cobranza!$B425,Recibos!T$4:T$3010)</f>
        <v>400</v>
      </c>
      <c r="BI425" s="319">
        <f>SUMIF(Recibos!$D$4:$D$3010,Cobranza!$B425,Recibos!U$4:U$3010)</f>
        <v>400</v>
      </c>
      <c r="BJ425" s="319">
        <f>SUMIF(Recibos!$D$4:$D$3010,Cobranza!$B425,Recibos!V$4:V$3010)</f>
        <v>400</v>
      </c>
      <c r="BK425" s="320">
        <f t="shared" si="45"/>
        <v>4800</v>
      </c>
      <c r="BL425" s="319">
        <f>SUMIF(Recibos!$D$4:$D$3010,Cobranza!$B425,Recibos!X$4:X$3010)</f>
        <v>0</v>
      </c>
      <c r="BM425" s="319">
        <f>SUMIF(Recibos!$D$4:$D$3010,Cobranza!$B425,Recibos!Y$4:Y$3010)</f>
        <v>0</v>
      </c>
      <c r="BN425" s="319">
        <f>SUMIF(Recibos!$D$4:$D$3010,Cobranza!$B425,Recibos!Z$4:Z$3010)</f>
        <v>0</v>
      </c>
      <c r="BO425" s="319">
        <f>SUMIF(Recibos!$D$4:$D$3010,Cobranza!$B425,Recibos!AA$4:AA$3010)</f>
        <v>0</v>
      </c>
      <c r="BP425" s="319">
        <f>SUMIF(Recibos!$D$4:$D$3010,Cobranza!$B425,Recibos!AB$4:AB$3010)</f>
        <v>0</v>
      </c>
      <c r="BQ425" s="319">
        <f>SUMIF(Recibos!$D$4:$D$3010,Cobranza!$B425,Recibos!AC$4:AC$3010)</f>
        <v>0</v>
      </c>
      <c r="BR425" s="319">
        <f>SUMIF(Recibos!$D$4:$D$3010,Cobranza!$B425,Recibos!AD$4:AD$3010)</f>
        <v>0</v>
      </c>
      <c r="BS425" s="319">
        <f>SUMIF(Recibos!$D$4:$D$3010,Cobranza!$B425,Recibos!AE$4:AE$3010)</f>
        <v>0</v>
      </c>
      <c r="BT425" s="319">
        <f>SUMIF(Recibos!$D$4:$D$3010,Cobranza!$B425,Recibos!AF$4:AF$3010)</f>
        <v>0</v>
      </c>
      <c r="BU425" s="319">
        <f>SUMIF(Recibos!$D$4:$D$3010,Cobranza!$B425,Recibos!AG$4:AG$3010)</f>
        <v>0</v>
      </c>
      <c r="BV425" s="319">
        <f>SUMIF(Recibos!$D$4:$D$3010,Cobranza!$B425,Recibos!AH$4:AH$3010)</f>
        <v>0</v>
      </c>
      <c r="BW425" s="319">
        <f>SUMIF(Recibos!$D$4:$D$3010,Cobranza!$B425,Recibos!AI$4:AI$3010)</f>
        <v>0</v>
      </c>
      <c r="BX425" s="320">
        <f t="shared" si="46"/>
        <v>0</v>
      </c>
    </row>
    <row r="426" spans="2:76" x14ac:dyDescent="0.2">
      <c r="B426" s="42" t="s">
        <v>893</v>
      </c>
      <c r="C426" s="42" t="s">
        <v>894</v>
      </c>
      <c r="D426" s="42" t="s">
        <v>895</v>
      </c>
      <c r="E426" s="43">
        <v>0</v>
      </c>
      <c r="F426" s="43">
        <v>0</v>
      </c>
      <c r="G426" s="43">
        <v>0</v>
      </c>
      <c r="H426" s="43">
        <v>0</v>
      </c>
      <c r="I426" s="43">
        <v>0</v>
      </c>
      <c r="J426" s="43">
        <v>300</v>
      </c>
      <c r="K426" s="44">
        <f t="shared" si="41"/>
        <v>300</v>
      </c>
      <c r="L426" s="43">
        <v>300</v>
      </c>
      <c r="M426" s="43">
        <v>300</v>
      </c>
      <c r="N426" s="43">
        <v>300</v>
      </c>
      <c r="O426" s="43">
        <v>300</v>
      </c>
      <c r="P426" s="43">
        <v>300</v>
      </c>
      <c r="Q426" s="43">
        <v>300</v>
      </c>
      <c r="R426" s="43">
        <v>300</v>
      </c>
      <c r="S426" s="43">
        <v>300</v>
      </c>
      <c r="T426" s="43">
        <v>300</v>
      </c>
      <c r="U426" s="43">
        <v>400</v>
      </c>
      <c r="V426" s="43">
        <v>400</v>
      </c>
      <c r="W426" s="43">
        <v>400</v>
      </c>
      <c r="X426" s="44">
        <f t="shared" si="42"/>
        <v>3900</v>
      </c>
      <c r="Y426" s="43">
        <v>400</v>
      </c>
      <c r="Z426" s="43">
        <v>400</v>
      </c>
      <c r="AA426" s="43">
        <v>400</v>
      </c>
      <c r="AB426" s="43">
        <v>400</v>
      </c>
      <c r="AC426" s="43">
        <v>400</v>
      </c>
      <c r="AD426" s="43">
        <v>0</v>
      </c>
      <c r="AE426" s="43">
        <v>400</v>
      </c>
      <c r="AF426" s="43">
        <v>800</v>
      </c>
      <c r="AG426" s="43">
        <v>400</v>
      </c>
      <c r="AH426" s="43">
        <v>400</v>
      </c>
      <c r="AI426" s="43">
        <v>400</v>
      </c>
      <c r="AJ426" s="43">
        <v>400</v>
      </c>
      <c r="AK426" s="44">
        <f t="shared" si="43"/>
        <v>4800</v>
      </c>
      <c r="AL426" s="43">
        <v>400</v>
      </c>
      <c r="AM426" s="43">
        <v>400</v>
      </c>
      <c r="AN426" s="43">
        <v>400</v>
      </c>
      <c r="AO426" s="43">
        <v>400</v>
      </c>
      <c r="AP426" s="43">
        <v>400</v>
      </c>
      <c r="AQ426" s="43">
        <v>400</v>
      </c>
      <c r="AR426" s="43">
        <v>400</v>
      </c>
      <c r="AS426" s="43">
        <v>400</v>
      </c>
      <c r="AT426" s="43">
        <v>400</v>
      </c>
      <c r="AU426" s="43">
        <v>400</v>
      </c>
      <c r="AV426" s="43">
        <v>0</v>
      </c>
      <c r="AW426" s="43">
        <v>0</v>
      </c>
      <c r="AX426" s="44">
        <f t="shared" si="44"/>
        <v>4000</v>
      </c>
      <c r="AY426" s="317">
        <f>SUMIF(Recibos!$D$4:$D$3010,Cobranza!$B426,Recibos!K$4:K$3010)</f>
        <v>400</v>
      </c>
      <c r="AZ426" s="317">
        <f>SUMIF(Recibos!$D$4:$D$3010,Cobranza!$B426,Recibos!L$4:L$3010)</f>
        <v>400</v>
      </c>
      <c r="BA426" s="317">
        <f>SUMIF(Recibos!$D$4:$D$3010,Cobranza!$B426,Recibos!M$4:M$3010)</f>
        <v>400</v>
      </c>
      <c r="BB426" s="317">
        <f>SUMIF(Recibos!$D$4:$D$3010,Cobranza!$B426,Recibos!N$4:N$3010)</f>
        <v>400</v>
      </c>
      <c r="BC426" s="317">
        <f>SUMIF(Recibos!$D$4:$D$3010,Cobranza!$B426,Recibos!O$4:O$3010)</f>
        <v>400</v>
      </c>
      <c r="BD426" s="317">
        <f>SUMIF(Recibos!$D$4:$D$3010,Cobranza!$B426,Recibos!P$4:P$3010)</f>
        <v>400</v>
      </c>
      <c r="BE426" s="317">
        <f>SUMIF(Recibos!$D$4:$D$3010,Cobranza!$B426,Recibos!Q$4:Q$3010)</f>
        <v>400</v>
      </c>
      <c r="BF426" s="317">
        <f>SUMIF(Recibos!$D$4:$D$3010,Cobranza!$B426,Recibos!R$4:R$3010)</f>
        <v>400</v>
      </c>
      <c r="BG426" s="317">
        <f>SUMIF(Recibos!$D$4:$D$3010,Cobranza!$B426,Recibos!S$4:S$3010)</f>
        <v>400</v>
      </c>
      <c r="BH426" s="317">
        <f>SUMIF(Recibos!$D$4:$D$3010,Cobranza!$B426,Recibos!T$4:T$3010)</f>
        <v>400</v>
      </c>
      <c r="BI426" s="317">
        <f>SUMIF(Recibos!$D$4:$D$3010,Cobranza!$B426,Recibos!U$4:U$3010)</f>
        <v>0</v>
      </c>
      <c r="BJ426" s="317">
        <f>SUMIF(Recibos!$D$4:$D$3010,Cobranza!$B426,Recibos!V$4:V$3010)</f>
        <v>0</v>
      </c>
      <c r="BK426" s="318">
        <f t="shared" si="45"/>
        <v>4000</v>
      </c>
      <c r="BL426" s="317">
        <f>SUMIF(Recibos!$D$4:$D$3010,Cobranza!$B426,Recibos!X$4:X$3010)</f>
        <v>0</v>
      </c>
      <c r="BM426" s="317">
        <f>SUMIF(Recibos!$D$4:$D$3010,Cobranza!$B426,Recibos!Y$4:Y$3010)</f>
        <v>0</v>
      </c>
      <c r="BN426" s="317">
        <f>SUMIF(Recibos!$D$4:$D$3010,Cobranza!$B426,Recibos!Z$4:Z$3010)</f>
        <v>0</v>
      </c>
      <c r="BO426" s="317">
        <f>SUMIF(Recibos!$D$4:$D$3010,Cobranza!$B426,Recibos!AA$4:AA$3010)</f>
        <v>0</v>
      </c>
      <c r="BP426" s="317">
        <f>SUMIF(Recibos!$D$4:$D$3010,Cobranza!$B426,Recibos!AB$4:AB$3010)</f>
        <v>0</v>
      </c>
      <c r="BQ426" s="317">
        <f>SUMIF(Recibos!$D$4:$D$3010,Cobranza!$B426,Recibos!AC$4:AC$3010)</f>
        <v>0</v>
      </c>
      <c r="BR426" s="317">
        <f>SUMIF(Recibos!$D$4:$D$3010,Cobranza!$B426,Recibos!AD$4:AD$3010)</f>
        <v>0</v>
      </c>
      <c r="BS426" s="317">
        <f>SUMIF(Recibos!$D$4:$D$3010,Cobranza!$B426,Recibos!AE$4:AE$3010)</f>
        <v>0</v>
      </c>
      <c r="BT426" s="317">
        <f>SUMIF(Recibos!$D$4:$D$3010,Cobranza!$B426,Recibos!AF$4:AF$3010)</f>
        <v>0</v>
      </c>
      <c r="BU426" s="317">
        <f>SUMIF(Recibos!$D$4:$D$3010,Cobranza!$B426,Recibos!AG$4:AG$3010)</f>
        <v>0</v>
      </c>
      <c r="BV426" s="317">
        <f>SUMIF(Recibos!$D$4:$D$3010,Cobranza!$B426,Recibos!AH$4:AH$3010)</f>
        <v>0</v>
      </c>
      <c r="BW426" s="317">
        <f>SUMIF(Recibos!$D$4:$D$3010,Cobranza!$B426,Recibos!AI$4:AI$3010)</f>
        <v>0</v>
      </c>
      <c r="BX426" s="318">
        <f t="shared" si="46"/>
        <v>0</v>
      </c>
    </row>
    <row r="427" spans="2:76" x14ac:dyDescent="0.2">
      <c r="B427" s="45" t="s">
        <v>467</v>
      </c>
      <c r="C427" s="45" t="s">
        <v>468</v>
      </c>
      <c r="D427" s="45" t="s">
        <v>469</v>
      </c>
      <c r="E427" s="46">
        <v>0</v>
      </c>
      <c r="F427" s="46">
        <v>0</v>
      </c>
      <c r="G427" s="46">
        <v>0</v>
      </c>
      <c r="H427" s="46">
        <v>0</v>
      </c>
      <c r="I427" s="46">
        <v>0</v>
      </c>
      <c r="J427" s="46">
        <v>0</v>
      </c>
      <c r="K427" s="47">
        <f t="shared" si="41"/>
        <v>0</v>
      </c>
      <c r="L427" s="46">
        <v>300</v>
      </c>
      <c r="M427" s="46">
        <v>300</v>
      </c>
      <c r="N427" s="46">
        <v>300</v>
      </c>
      <c r="O427" s="46">
        <v>300</v>
      </c>
      <c r="P427" s="46">
        <v>300</v>
      </c>
      <c r="Q427" s="46">
        <v>300</v>
      </c>
      <c r="R427" s="46">
        <v>300</v>
      </c>
      <c r="S427" s="46">
        <v>300</v>
      </c>
      <c r="T427" s="46">
        <v>300</v>
      </c>
      <c r="U427" s="46">
        <v>400</v>
      </c>
      <c r="V427" s="46">
        <v>400</v>
      </c>
      <c r="W427" s="46">
        <v>400</v>
      </c>
      <c r="X427" s="47">
        <f t="shared" si="42"/>
        <v>3900</v>
      </c>
      <c r="Y427" s="46">
        <v>0</v>
      </c>
      <c r="Z427" s="46">
        <v>400</v>
      </c>
      <c r="AA427" s="46">
        <v>400</v>
      </c>
      <c r="AB427" s="46">
        <v>400</v>
      </c>
      <c r="AC427" s="46">
        <v>400</v>
      </c>
      <c r="AD427" s="46">
        <v>400</v>
      </c>
      <c r="AE427" s="46">
        <v>400</v>
      </c>
      <c r="AF427" s="46">
        <v>400</v>
      </c>
      <c r="AG427" s="46">
        <v>400</v>
      </c>
      <c r="AH427" s="46">
        <v>400</v>
      </c>
      <c r="AI427" s="46">
        <v>0</v>
      </c>
      <c r="AJ427" s="46">
        <v>0</v>
      </c>
      <c r="AK427" s="47">
        <f t="shared" si="43"/>
        <v>3600</v>
      </c>
      <c r="AL427" s="46">
        <v>400</v>
      </c>
      <c r="AM427" s="46">
        <v>400</v>
      </c>
      <c r="AN427" s="46">
        <v>400</v>
      </c>
      <c r="AO427" s="46">
        <v>400</v>
      </c>
      <c r="AP427" s="46">
        <v>400</v>
      </c>
      <c r="AQ427" s="46">
        <v>400</v>
      </c>
      <c r="AR427" s="46">
        <v>400</v>
      </c>
      <c r="AS427" s="46">
        <v>400</v>
      </c>
      <c r="AT427" s="46">
        <v>400</v>
      </c>
      <c r="AU427" s="46">
        <v>400</v>
      </c>
      <c r="AV427" s="46">
        <v>400</v>
      </c>
      <c r="AW427" s="46">
        <v>400</v>
      </c>
      <c r="AX427" s="47">
        <f t="shared" si="44"/>
        <v>4800</v>
      </c>
      <c r="AY427" s="319">
        <f>SUMIF(Recibos!$D$4:$D$3010,Cobranza!$B427,Recibos!K$4:K$3010)</f>
        <v>400</v>
      </c>
      <c r="AZ427" s="319">
        <f>SUMIF(Recibos!$D$4:$D$3010,Cobranza!$B427,Recibos!L$4:L$3010)</f>
        <v>400</v>
      </c>
      <c r="BA427" s="319">
        <f>SUMIF(Recibos!$D$4:$D$3010,Cobranza!$B427,Recibos!M$4:M$3010)</f>
        <v>400</v>
      </c>
      <c r="BB427" s="319">
        <f>SUMIF(Recibos!$D$4:$D$3010,Cobranza!$B427,Recibos!N$4:N$3010)</f>
        <v>400</v>
      </c>
      <c r="BC427" s="319">
        <f>SUMIF(Recibos!$D$4:$D$3010,Cobranza!$B427,Recibos!O$4:O$3010)</f>
        <v>400</v>
      </c>
      <c r="BD427" s="319">
        <f>SUMIF(Recibos!$D$4:$D$3010,Cobranza!$B427,Recibos!P$4:P$3010)</f>
        <v>400</v>
      </c>
      <c r="BE427" s="319">
        <f>SUMIF(Recibos!$D$4:$D$3010,Cobranza!$B427,Recibos!Q$4:Q$3010)</f>
        <v>400</v>
      </c>
      <c r="BF427" s="319">
        <f>SUMIF(Recibos!$D$4:$D$3010,Cobranza!$B427,Recibos!R$4:R$3010)</f>
        <v>400</v>
      </c>
      <c r="BG427" s="319">
        <f>SUMIF(Recibos!$D$4:$D$3010,Cobranza!$B427,Recibos!S$4:S$3010)</f>
        <v>400</v>
      </c>
      <c r="BH427" s="319">
        <f>SUMIF(Recibos!$D$4:$D$3010,Cobranza!$B427,Recibos!T$4:T$3010)</f>
        <v>400</v>
      </c>
      <c r="BI427" s="319">
        <f>SUMIF(Recibos!$D$4:$D$3010,Cobranza!$B427,Recibos!U$4:U$3010)</f>
        <v>400</v>
      </c>
      <c r="BJ427" s="319">
        <f>SUMIF(Recibos!$D$4:$D$3010,Cobranza!$B427,Recibos!V$4:V$3010)</f>
        <v>400</v>
      </c>
      <c r="BK427" s="320">
        <f t="shared" si="45"/>
        <v>4800</v>
      </c>
      <c r="BL427" s="319">
        <f>SUMIF(Recibos!$D$4:$D$3010,Cobranza!$B427,Recibos!X$4:X$3010)</f>
        <v>0</v>
      </c>
      <c r="BM427" s="319">
        <f>SUMIF(Recibos!$D$4:$D$3010,Cobranza!$B427,Recibos!Y$4:Y$3010)</f>
        <v>0</v>
      </c>
      <c r="BN427" s="319">
        <f>SUMIF(Recibos!$D$4:$D$3010,Cobranza!$B427,Recibos!Z$4:Z$3010)</f>
        <v>0</v>
      </c>
      <c r="BO427" s="319">
        <f>SUMIF(Recibos!$D$4:$D$3010,Cobranza!$B427,Recibos!AA$4:AA$3010)</f>
        <v>0</v>
      </c>
      <c r="BP427" s="319">
        <f>SUMIF(Recibos!$D$4:$D$3010,Cobranza!$B427,Recibos!AB$4:AB$3010)</f>
        <v>0</v>
      </c>
      <c r="BQ427" s="319">
        <f>SUMIF(Recibos!$D$4:$D$3010,Cobranza!$B427,Recibos!AC$4:AC$3010)</f>
        <v>0</v>
      </c>
      <c r="BR427" s="319">
        <f>SUMIF(Recibos!$D$4:$D$3010,Cobranza!$B427,Recibos!AD$4:AD$3010)</f>
        <v>0</v>
      </c>
      <c r="BS427" s="319">
        <f>SUMIF(Recibos!$D$4:$D$3010,Cobranza!$B427,Recibos!AE$4:AE$3010)</f>
        <v>0</v>
      </c>
      <c r="BT427" s="319">
        <f>SUMIF(Recibos!$D$4:$D$3010,Cobranza!$B427,Recibos!AF$4:AF$3010)</f>
        <v>0</v>
      </c>
      <c r="BU427" s="319">
        <f>SUMIF(Recibos!$D$4:$D$3010,Cobranza!$B427,Recibos!AG$4:AG$3010)</f>
        <v>0</v>
      </c>
      <c r="BV427" s="319">
        <f>SUMIF(Recibos!$D$4:$D$3010,Cobranza!$B427,Recibos!AH$4:AH$3010)</f>
        <v>0</v>
      </c>
      <c r="BW427" s="319">
        <f>SUMIF(Recibos!$D$4:$D$3010,Cobranza!$B427,Recibos!AI$4:AI$3010)</f>
        <v>0</v>
      </c>
      <c r="BX427" s="320">
        <f t="shared" si="46"/>
        <v>0</v>
      </c>
    </row>
    <row r="428" spans="2:76" x14ac:dyDescent="0.2">
      <c r="B428" s="42" t="s">
        <v>292</v>
      </c>
      <c r="C428" s="42" t="s">
        <v>293</v>
      </c>
      <c r="D428" s="42" t="s">
        <v>294</v>
      </c>
      <c r="E428" s="43">
        <v>0</v>
      </c>
      <c r="F428" s="43">
        <v>0</v>
      </c>
      <c r="G428" s="43">
        <v>0</v>
      </c>
      <c r="H428" s="43">
        <v>0</v>
      </c>
      <c r="I428" s="43">
        <v>0</v>
      </c>
      <c r="J428" s="43">
        <v>300</v>
      </c>
      <c r="K428" s="44">
        <f t="shared" si="41"/>
        <v>300</v>
      </c>
      <c r="L428" s="43">
        <v>300</v>
      </c>
      <c r="M428" s="43">
        <v>300</v>
      </c>
      <c r="N428" s="43">
        <v>300</v>
      </c>
      <c r="O428" s="43">
        <v>300</v>
      </c>
      <c r="P428" s="43">
        <v>300</v>
      </c>
      <c r="Q428" s="43">
        <v>300</v>
      </c>
      <c r="R428" s="43">
        <v>300</v>
      </c>
      <c r="S428" s="43">
        <v>300</v>
      </c>
      <c r="T428" s="43">
        <v>300</v>
      </c>
      <c r="U428" s="43">
        <v>400</v>
      </c>
      <c r="V428" s="43">
        <v>400</v>
      </c>
      <c r="W428" s="43">
        <v>400</v>
      </c>
      <c r="X428" s="44">
        <f t="shared" si="42"/>
        <v>3900</v>
      </c>
      <c r="Y428" s="43">
        <v>400</v>
      </c>
      <c r="Z428" s="43">
        <v>400</v>
      </c>
      <c r="AA428" s="43">
        <v>400</v>
      </c>
      <c r="AB428" s="43">
        <v>400</v>
      </c>
      <c r="AC428" s="43">
        <v>400</v>
      </c>
      <c r="AD428" s="43">
        <v>400</v>
      </c>
      <c r="AE428" s="43">
        <v>400</v>
      </c>
      <c r="AF428" s="43">
        <v>400</v>
      </c>
      <c r="AG428" s="43">
        <v>400</v>
      </c>
      <c r="AH428" s="43">
        <v>400</v>
      </c>
      <c r="AI428" s="43">
        <v>400</v>
      </c>
      <c r="AJ428" s="43">
        <v>400</v>
      </c>
      <c r="AK428" s="44">
        <f t="shared" si="43"/>
        <v>4800</v>
      </c>
      <c r="AL428" s="43">
        <v>400</v>
      </c>
      <c r="AM428" s="43">
        <v>400</v>
      </c>
      <c r="AN428" s="43">
        <v>400</v>
      </c>
      <c r="AO428" s="43">
        <v>400</v>
      </c>
      <c r="AP428" s="43">
        <v>400</v>
      </c>
      <c r="AQ428" s="43">
        <v>400</v>
      </c>
      <c r="AR428" s="43">
        <v>400</v>
      </c>
      <c r="AS428" s="43">
        <v>400</v>
      </c>
      <c r="AT428" s="43">
        <v>400</v>
      </c>
      <c r="AU428" s="43">
        <v>400</v>
      </c>
      <c r="AV428" s="43">
        <v>400</v>
      </c>
      <c r="AW428" s="43">
        <v>400</v>
      </c>
      <c r="AX428" s="44">
        <f t="shared" si="44"/>
        <v>4800</v>
      </c>
      <c r="AY428" s="317">
        <f>SUMIF(Recibos!$D$4:$D$3010,Cobranza!$B428,Recibos!K$4:K$3010)</f>
        <v>400</v>
      </c>
      <c r="AZ428" s="317">
        <f>SUMIF(Recibos!$D$4:$D$3010,Cobranza!$B428,Recibos!L$4:L$3010)</f>
        <v>400</v>
      </c>
      <c r="BA428" s="317">
        <f>SUMIF(Recibos!$D$4:$D$3010,Cobranza!$B428,Recibos!M$4:M$3010)</f>
        <v>400</v>
      </c>
      <c r="BB428" s="317">
        <f>SUMIF(Recibos!$D$4:$D$3010,Cobranza!$B428,Recibos!N$4:N$3010)</f>
        <v>400</v>
      </c>
      <c r="BC428" s="317">
        <f>SUMIF(Recibos!$D$4:$D$3010,Cobranza!$B428,Recibos!O$4:O$3010)</f>
        <v>400</v>
      </c>
      <c r="BD428" s="317">
        <f>SUMIF(Recibos!$D$4:$D$3010,Cobranza!$B428,Recibos!P$4:P$3010)</f>
        <v>400</v>
      </c>
      <c r="BE428" s="317">
        <f>SUMIF(Recibos!$D$4:$D$3010,Cobranza!$B428,Recibos!Q$4:Q$3010)</f>
        <v>400</v>
      </c>
      <c r="BF428" s="317">
        <f>SUMIF(Recibos!$D$4:$D$3010,Cobranza!$B428,Recibos!R$4:R$3010)</f>
        <v>400</v>
      </c>
      <c r="BG428" s="317">
        <f>SUMIF(Recibos!$D$4:$D$3010,Cobranza!$B428,Recibos!S$4:S$3010)</f>
        <v>400</v>
      </c>
      <c r="BH428" s="317">
        <f>SUMIF(Recibos!$D$4:$D$3010,Cobranza!$B428,Recibos!T$4:T$3010)</f>
        <v>400</v>
      </c>
      <c r="BI428" s="317">
        <f>SUMIF(Recibos!$D$4:$D$3010,Cobranza!$B428,Recibos!U$4:U$3010)</f>
        <v>400</v>
      </c>
      <c r="BJ428" s="317">
        <f>SUMIF(Recibos!$D$4:$D$3010,Cobranza!$B428,Recibos!V$4:V$3010)</f>
        <v>400</v>
      </c>
      <c r="BK428" s="318">
        <f t="shared" si="45"/>
        <v>4800</v>
      </c>
      <c r="BL428" s="317">
        <f>SUMIF(Recibos!$D$4:$D$3010,Cobranza!$B428,Recibos!X$4:X$3010)</f>
        <v>0</v>
      </c>
      <c r="BM428" s="317">
        <f>SUMIF(Recibos!$D$4:$D$3010,Cobranza!$B428,Recibos!Y$4:Y$3010)</f>
        <v>0</v>
      </c>
      <c r="BN428" s="317">
        <f>SUMIF(Recibos!$D$4:$D$3010,Cobranza!$B428,Recibos!Z$4:Z$3010)</f>
        <v>0</v>
      </c>
      <c r="BO428" s="317">
        <f>SUMIF(Recibos!$D$4:$D$3010,Cobranza!$B428,Recibos!AA$4:AA$3010)</f>
        <v>0</v>
      </c>
      <c r="BP428" s="317">
        <f>SUMIF(Recibos!$D$4:$D$3010,Cobranza!$B428,Recibos!AB$4:AB$3010)</f>
        <v>0</v>
      </c>
      <c r="BQ428" s="317">
        <f>SUMIF(Recibos!$D$4:$D$3010,Cobranza!$B428,Recibos!AC$4:AC$3010)</f>
        <v>0</v>
      </c>
      <c r="BR428" s="317">
        <f>SUMIF(Recibos!$D$4:$D$3010,Cobranza!$B428,Recibos!AD$4:AD$3010)</f>
        <v>0</v>
      </c>
      <c r="BS428" s="317">
        <f>SUMIF(Recibos!$D$4:$D$3010,Cobranza!$B428,Recibos!AE$4:AE$3010)</f>
        <v>0</v>
      </c>
      <c r="BT428" s="317">
        <f>SUMIF(Recibos!$D$4:$D$3010,Cobranza!$B428,Recibos!AF$4:AF$3010)</f>
        <v>0</v>
      </c>
      <c r="BU428" s="317">
        <f>SUMIF(Recibos!$D$4:$D$3010,Cobranza!$B428,Recibos!AG$4:AG$3010)</f>
        <v>0</v>
      </c>
      <c r="BV428" s="317">
        <f>SUMIF(Recibos!$D$4:$D$3010,Cobranza!$B428,Recibos!AH$4:AH$3010)</f>
        <v>0</v>
      </c>
      <c r="BW428" s="317">
        <f>SUMIF(Recibos!$D$4:$D$3010,Cobranza!$B428,Recibos!AI$4:AI$3010)</f>
        <v>0</v>
      </c>
      <c r="BX428" s="318">
        <f t="shared" si="46"/>
        <v>0</v>
      </c>
    </row>
    <row r="429" spans="2:76" x14ac:dyDescent="0.2">
      <c r="B429" s="45" t="s">
        <v>535</v>
      </c>
      <c r="C429" s="45" t="s">
        <v>536</v>
      </c>
      <c r="D429" s="45" t="s">
        <v>537</v>
      </c>
      <c r="E429" s="46">
        <v>0</v>
      </c>
      <c r="F429" s="46">
        <v>0</v>
      </c>
      <c r="G429" s="46">
        <v>0</v>
      </c>
      <c r="H429" s="46">
        <v>0</v>
      </c>
      <c r="I429" s="46">
        <v>0</v>
      </c>
      <c r="J429" s="46">
        <v>300</v>
      </c>
      <c r="K429" s="47">
        <f t="shared" si="41"/>
        <v>300</v>
      </c>
      <c r="L429" s="46">
        <v>300</v>
      </c>
      <c r="M429" s="46">
        <v>300</v>
      </c>
      <c r="N429" s="46">
        <v>300</v>
      </c>
      <c r="O429" s="46">
        <v>300</v>
      </c>
      <c r="P429" s="46">
        <v>300</v>
      </c>
      <c r="Q429" s="46">
        <v>300</v>
      </c>
      <c r="R429" s="46">
        <v>300</v>
      </c>
      <c r="S429" s="46">
        <v>300</v>
      </c>
      <c r="T429" s="46">
        <v>300</v>
      </c>
      <c r="U429" s="46">
        <v>300</v>
      </c>
      <c r="V429" s="46">
        <v>300</v>
      </c>
      <c r="W429" s="46">
        <v>300</v>
      </c>
      <c r="X429" s="47">
        <f t="shared" si="42"/>
        <v>3600</v>
      </c>
      <c r="Y429" s="46">
        <v>400</v>
      </c>
      <c r="Z429" s="46">
        <v>400</v>
      </c>
      <c r="AA429" s="46">
        <v>400</v>
      </c>
      <c r="AB429" s="46">
        <v>400</v>
      </c>
      <c r="AC429" s="46">
        <v>400</v>
      </c>
      <c r="AD429" s="46">
        <v>400</v>
      </c>
      <c r="AE429" s="46">
        <v>400</v>
      </c>
      <c r="AF429" s="46">
        <v>400</v>
      </c>
      <c r="AG429" s="46">
        <v>400</v>
      </c>
      <c r="AH429" s="46">
        <v>400</v>
      </c>
      <c r="AI429" s="46">
        <v>400</v>
      </c>
      <c r="AJ429" s="46">
        <v>400</v>
      </c>
      <c r="AK429" s="47">
        <f t="shared" si="43"/>
        <v>4800</v>
      </c>
      <c r="AL429" s="46">
        <v>400</v>
      </c>
      <c r="AM429" s="46">
        <v>400</v>
      </c>
      <c r="AN429" s="46">
        <v>400</v>
      </c>
      <c r="AO429" s="46">
        <v>400</v>
      </c>
      <c r="AP429" s="46">
        <v>400</v>
      </c>
      <c r="AQ429" s="46">
        <v>400</v>
      </c>
      <c r="AR429" s="46">
        <v>400</v>
      </c>
      <c r="AS429" s="46">
        <v>400</v>
      </c>
      <c r="AT429" s="46">
        <v>400</v>
      </c>
      <c r="AU429" s="46">
        <v>400</v>
      </c>
      <c r="AV429" s="46">
        <v>400</v>
      </c>
      <c r="AW429" s="46">
        <v>400</v>
      </c>
      <c r="AX429" s="47">
        <f t="shared" si="44"/>
        <v>4800</v>
      </c>
      <c r="AY429" s="319">
        <f>SUMIF(Recibos!$D$4:$D$3010,Cobranza!$B429,Recibos!K$4:K$3010)</f>
        <v>400</v>
      </c>
      <c r="AZ429" s="319">
        <f>SUMIF(Recibos!$D$4:$D$3010,Cobranza!$B429,Recibos!L$4:L$3010)</f>
        <v>400</v>
      </c>
      <c r="BA429" s="319">
        <f>SUMIF(Recibos!$D$4:$D$3010,Cobranza!$B429,Recibos!M$4:M$3010)</f>
        <v>400</v>
      </c>
      <c r="BB429" s="319">
        <f>SUMIF(Recibos!$D$4:$D$3010,Cobranza!$B429,Recibos!N$4:N$3010)</f>
        <v>400</v>
      </c>
      <c r="BC429" s="319">
        <f>SUMIF(Recibos!$D$4:$D$3010,Cobranza!$B429,Recibos!O$4:O$3010)</f>
        <v>400</v>
      </c>
      <c r="BD429" s="319">
        <f>SUMIF(Recibos!$D$4:$D$3010,Cobranza!$B429,Recibos!P$4:P$3010)</f>
        <v>400</v>
      </c>
      <c r="BE429" s="319">
        <f>SUMIF(Recibos!$D$4:$D$3010,Cobranza!$B429,Recibos!Q$4:Q$3010)</f>
        <v>400</v>
      </c>
      <c r="BF429" s="319">
        <f>SUMIF(Recibos!$D$4:$D$3010,Cobranza!$B429,Recibos!R$4:R$3010)</f>
        <v>400</v>
      </c>
      <c r="BG429" s="319">
        <f>SUMIF(Recibos!$D$4:$D$3010,Cobranza!$B429,Recibos!S$4:S$3010)</f>
        <v>400</v>
      </c>
      <c r="BH429" s="319">
        <f>SUMIF(Recibos!$D$4:$D$3010,Cobranza!$B429,Recibos!T$4:T$3010)</f>
        <v>400</v>
      </c>
      <c r="BI429" s="319">
        <f>SUMIF(Recibos!$D$4:$D$3010,Cobranza!$B429,Recibos!U$4:U$3010)</f>
        <v>400</v>
      </c>
      <c r="BJ429" s="319">
        <f>SUMIF(Recibos!$D$4:$D$3010,Cobranza!$B429,Recibos!V$4:V$3010)</f>
        <v>0</v>
      </c>
      <c r="BK429" s="320">
        <f t="shared" si="45"/>
        <v>4400</v>
      </c>
      <c r="BL429" s="319">
        <f>SUMIF(Recibos!$D$4:$D$3010,Cobranza!$B429,Recibos!X$4:X$3010)</f>
        <v>0</v>
      </c>
      <c r="BM429" s="319">
        <f>SUMIF(Recibos!$D$4:$D$3010,Cobranza!$B429,Recibos!Y$4:Y$3010)</f>
        <v>0</v>
      </c>
      <c r="BN429" s="319">
        <f>SUMIF(Recibos!$D$4:$D$3010,Cobranza!$B429,Recibos!Z$4:Z$3010)</f>
        <v>0</v>
      </c>
      <c r="BO429" s="319">
        <f>SUMIF(Recibos!$D$4:$D$3010,Cobranza!$B429,Recibos!AA$4:AA$3010)</f>
        <v>0</v>
      </c>
      <c r="BP429" s="319">
        <f>SUMIF(Recibos!$D$4:$D$3010,Cobranza!$B429,Recibos!AB$4:AB$3010)</f>
        <v>0</v>
      </c>
      <c r="BQ429" s="319">
        <f>SUMIF(Recibos!$D$4:$D$3010,Cobranza!$B429,Recibos!AC$4:AC$3010)</f>
        <v>0</v>
      </c>
      <c r="BR429" s="319">
        <f>SUMIF(Recibos!$D$4:$D$3010,Cobranza!$B429,Recibos!AD$4:AD$3010)</f>
        <v>0</v>
      </c>
      <c r="BS429" s="319">
        <f>SUMIF(Recibos!$D$4:$D$3010,Cobranza!$B429,Recibos!AE$4:AE$3010)</f>
        <v>0</v>
      </c>
      <c r="BT429" s="319">
        <f>SUMIF(Recibos!$D$4:$D$3010,Cobranza!$B429,Recibos!AF$4:AF$3010)</f>
        <v>0</v>
      </c>
      <c r="BU429" s="319">
        <f>SUMIF(Recibos!$D$4:$D$3010,Cobranza!$B429,Recibos!AG$4:AG$3010)</f>
        <v>0</v>
      </c>
      <c r="BV429" s="319">
        <f>SUMIF(Recibos!$D$4:$D$3010,Cobranza!$B429,Recibos!AH$4:AH$3010)</f>
        <v>0</v>
      </c>
      <c r="BW429" s="319">
        <f>SUMIF(Recibos!$D$4:$D$3010,Cobranza!$B429,Recibos!AI$4:AI$3010)</f>
        <v>0</v>
      </c>
      <c r="BX429" s="320">
        <f t="shared" si="46"/>
        <v>0</v>
      </c>
    </row>
    <row r="430" spans="2:76" x14ac:dyDescent="0.2">
      <c r="B430" s="42" t="s">
        <v>1449</v>
      </c>
      <c r="C430" s="42" t="s">
        <v>1450</v>
      </c>
      <c r="D430" s="42"/>
      <c r="E430" s="43">
        <v>0</v>
      </c>
      <c r="F430" s="43">
        <v>0</v>
      </c>
      <c r="G430" s="43">
        <v>0</v>
      </c>
      <c r="H430" s="43">
        <v>0</v>
      </c>
      <c r="I430" s="43">
        <v>0</v>
      </c>
      <c r="J430" s="43">
        <v>0</v>
      </c>
      <c r="K430" s="44">
        <f t="shared" si="41"/>
        <v>0</v>
      </c>
      <c r="L430" s="43">
        <v>0</v>
      </c>
      <c r="M430" s="43">
        <v>0</v>
      </c>
      <c r="N430" s="43">
        <v>0</v>
      </c>
      <c r="O430" s="43">
        <v>0</v>
      </c>
      <c r="P430" s="43">
        <v>0</v>
      </c>
      <c r="Q430" s="43">
        <v>0</v>
      </c>
      <c r="R430" s="43">
        <v>0</v>
      </c>
      <c r="S430" s="43">
        <v>0</v>
      </c>
      <c r="T430" s="43">
        <v>0</v>
      </c>
      <c r="U430" s="43">
        <v>0</v>
      </c>
      <c r="V430" s="43">
        <v>0</v>
      </c>
      <c r="W430" s="43">
        <v>0</v>
      </c>
      <c r="X430" s="44">
        <f t="shared" si="42"/>
        <v>0</v>
      </c>
      <c r="Y430" s="43">
        <v>0</v>
      </c>
      <c r="Z430" s="43">
        <v>0</v>
      </c>
      <c r="AA430" s="43">
        <v>0</v>
      </c>
      <c r="AB430" s="43">
        <v>0</v>
      </c>
      <c r="AC430" s="43">
        <v>0</v>
      </c>
      <c r="AD430" s="43">
        <v>0</v>
      </c>
      <c r="AE430" s="43">
        <v>0</v>
      </c>
      <c r="AF430" s="43">
        <v>0</v>
      </c>
      <c r="AG430" s="43">
        <v>0</v>
      </c>
      <c r="AH430" s="43">
        <v>0</v>
      </c>
      <c r="AI430" s="43">
        <v>0</v>
      </c>
      <c r="AJ430" s="43">
        <v>0</v>
      </c>
      <c r="AK430" s="44">
        <f t="shared" si="43"/>
        <v>0</v>
      </c>
      <c r="AL430" s="43">
        <v>0</v>
      </c>
      <c r="AM430" s="43">
        <v>0</v>
      </c>
      <c r="AN430" s="43">
        <v>0</v>
      </c>
      <c r="AO430" s="43">
        <v>0</v>
      </c>
      <c r="AP430" s="43">
        <v>0</v>
      </c>
      <c r="AQ430" s="43">
        <v>0</v>
      </c>
      <c r="AR430" s="43">
        <v>0</v>
      </c>
      <c r="AS430" s="43">
        <v>0</v>
      </c>
      <c r="AT430" s="43">
        <v>0</v>
      </c>
      <c r="AU430" s="43">
        <v>0</v>
      </c>
      <c r="AV430" s="43">
        <v>0</v>
      </c>
      <c r="AW430" s="43">
        <v>0</v>
      </c>
      <c r="AX430" s="44">
        <f t="shared" si="44"/>
        <v>0</v>
      </c>
      <c r="AY430" s="317">
        <f>SUMIF(Recibos!$D$4:$D$3010,Cobranza!$B430,Recibos!K$4:K$3010)</f>
        <v>0</v>
      </c>
      <c r="AZ430" s="317">
        <f>SUMIF(Recibos!$D$4:$D$3010,Cobranza!$B430,Recibos!L$4:L$3010)</f>
        <v>0</v>
      </c>
      <c r="BA430" s="317">
        <f>SUMIF(Recibos!$D$4:$D$3010,Cobranza!$B430,Recibos!M$4:M$3010)</f>
        <v>0</v>
      </c>
      <c r="BB430" s="317">
        <f>SUMIF(Recibos!$D$4:$D$3010,Cobranza!$B430,Recibos!N$4:N$3010)</f>
        <v>0</v>
      </c>
      <c r="BC430" s="317">
        <f>SUMIF(Recibos!$D$4:$D$3010,Cobranza!$B430,Recibos!O$4:O$3010)</f>
        <v>0</v>
      </c>
      <c r="BD430" s="317">
        <f>SUMIF(Recibos!$D$4:$D$3010,Cobranza!$B430,Recibos!P$4:P$3010)</f>
        <v>0</v>
      </c>
      <c r="BE430" s="317">
        <f>SUMIF(Recibos!$D$4:$D$3010,Cobranza!$B430,Recibos!Q$4:Q$3010)</f>
        <v>0</v>
      </c>
      <c r="BF430" s="317">
        <f>SUMIF(Recibos!$D$4:$D$3010,Cobranza!$B430,Recibos!R$4:R$3010)</f>
        <v>0</v>
      </c>
      <c r="BG430" s="317">
        <f>SUMIF(Recibos!$D$4:$D$3010,Cobranza!$B430,Recibos!S$4:S$3010)</f>
        <v>0</v>
      </c>
      <c r="BH430" s="317">
        <f>SUMIF(Recibos!$D$4:$D$3010,Cobranza!$B430,Recibos!T$4:T$3010)</f>
        <v>0</v>
      </c>
      <c r="BI430" s="317">
        <f>SUMIF(Recibos!$D$4:$D$3010,Cobranza!$B430,Recibos!U$4:U$3010)</f>
        <v>0</v>
      </c>
      <c r="BJ430" s="317">
        <f>SUMIF(Recibos!$D$4:$D$3010,Cobranza!$B430,Recibos!V$4:V$3010)</f>
        <v>0</v>
      </c>
      <c r="BK430" s="318">
        <f t="shared" si="45"/>
        <v>0</v>
      </c>
      <c r="BL430" s="317">
        <f>SUMIF(Recibos!$D$4:$D$3010,Cobranza!$B430,Recibos!X$4:X$3010)</f>
        <v>0</v>
      </c>
      <c r="BM430" s="317">
        <f>SUMIF(Recibos!$D$4:$D$3010,Cobranza!$B430,Recibos!Y$4:Y$3010)</f>
        <v>0</v>
      </c>
      <c r="BN430" s="317">
        <f>SUMIF(Recibos!$D$4:$D$3010,Cobranza!$B430,Recibos!Z$4:Z$3010)</f>
        <v>0</v>
      </c>
      <c r="BO430" s="317">
        <f>SUMIF(Recibos!$D$4:$D$3010,Cobranza!$B430,Recibos!AA$4:AA$3010)</f>
        <v>0</v>
      </c>
      <c r="BP430" s="317">
        <f>SUMIF(Recibos!$D$4:$D$3010,Cobranza!$B430,Recibos!AB$4:AB$3010)</f>
        <v>0</v>
      </c>
      <c r="BQ430" s="317">
        <f>SUMIF(Recibos!$D$4:$D$3010,Cobranza!$B430,Recibos!AC$4:AC$3010)</f>
        <v>0</v>
      </c>
      <c r="BR430" s="317">
        <f>SUMIF(Recibos!$D$4:$D$3010,Cobranza!$B430,Recibos!AD$4:AD$3010)</f>
        <v>0</v>
      </c>
      <c r="BS430" s="317">
        <f>SUMIF(Recibos!$D$4:$D$3010,Cobranza!$B430,Recibos!AE$4:AE$3010)</f>
        <v>0</v>
      </c>
      <c r="BT430" s="317">
        <f>SUMIF(Recibos!$D$4:$D$3010,Cobranza!$B430,Recibos!AF$4:AF$3010)</f>
        <v>0</v>
      </c>
      <c r="BU430" s="317">
        <f>SUMIF(Recibos!$D$4:$D$3010,Cobranza!$B430,Recibos!AG$4:AG$3010)</f>
        <v>0</v>
      </c>
      <c r="BV430" s="317">
        <f>SUMIF(Recibos!$D$4:$D$3010,Cobranza!$B430,Recibos!AH$4:AH$3010)</f>
        <v>0</v>
      </c>
      <c r="BW430" s="317">
        <f>SUMIF(Recibos!$D$4:$D$3010,Cobranza!$B430,Recibos!AI$4:AI$3010)</f>
        <v>0</v>
      </c>
      <c r="BX430" s="318">
        <f t="shared" si="46"/>
        <v>0</v>
      </c>
    </row>
    <row r="431" spans="2:76" x14ac:dyDescent="0.2">
      <c r="B431" s="45" t="s">
        <v>608</v>
      </c>
      <c r="C431" s="45" t="s">
        <v>609</v>
      </c>
      <c r="D431" s="45" t="s">
        <v>610</v>
      </c>
      <c r="E431" s="46">
        <v>0</v>
      </c>
      <c r="F431" s="46">
        <v>0</v>
      </c>
      <c r="G431" s="46">
        <v>0</v>
      </c>
      <c r="H431" s="46">
        <v>0</v>
      </c>
      <c r="I431" s="46">
        <v>0</v>
      </c>
      <c r="J431" s="46">
        <v>300</v>
      </c>
      <c r="K431" s="47">
        <f t="shared" si="41"/>
        <v>300</v>
      </c>
      <c r="L431" s="46">
        <v>300</v>
      </c>
      <c r="M431" s="46">
        <v>300</v>
      </c>
      <c r="N431" s="46">
        <v>300</v>
      </c>
      <c r="O431" s="46">
        <v>300</v>
      </c>
      <c r="P431" s="46">
        <v>300</v>
      </c>
      <c r="Q431" s="46">
        <v>300</v>
      </c>
      <c r="R431" s="46">
        <v>300</v>
      </c>
      <c r="S431" s="46">
        <v>300</v>
      </c>
      <c r="T431" s="46">
        <v>300</v>
      </c>
      <c r="U431" s="46">
        <v>400</v>
      </c>
      <c r="V431" s="46">
        <v>400</v>
      </c>
      <c r="W431" s="46">
        <v>400</v>
      </c>
      <c r="X431" s="47">
        <f t="shared" si="42"/>
        <v>3900</v>
      </c>
      <c r="Y431" s="46">
        <v>400</v>
      </c>
      <c r="Z431" s="46">
        <v>400</v>
      </c>
      <c r="AA431" s="46">
        <v>400</v>
      </c>
      <c r="AB431" s="46">
        <v>400</v>
      </c>
      <c r="AC431" s="46">
        <v>400</v>
      </c>
      <c r="AD431" s="46">
        <v>400</v>
      </c>
      <c r="AE431" s="46">
        <v>400</v>
      </c>
      <c r="AF431" s="46">
        <v>400</v>
      </c>
      <c r="AG431" s="46">
        <v>400</v>
      </c>
      <c r="AH431" s="46">
        <v>400</v>
      </c>
      <c r="AI431" s="46">
        <v>400</v>
      </c>
      <c r="AJ431" s="46">
        <v>400</v>
      </c>
      <c r="AK431" s="47">
        <f t="shared" si="43"/>
        <v>4800</v>
      </c>
      <c r="AL431" s="46">
        <v>400</v>
      </c>
      <c r="AM431" s="46">
        <v>400</v>
      </c>
      <c r="AN431" s="46">
        <v>400</v>
      </c>
      <c r="AO431" s="46">
        <v>400</v>
      </c>
      <c r="AP431" s="46">
        <v>400</v>
      </c>
      <c r="AQ431" s="46">
        <v>400</v>
      </c>
      <c r="AR431" s="46">
        <v>400</v>
      </c>
      <c r="AS431" s="46">
        <v>400</v>
      </c>
      <c r="AT431" s="46">
        <v>0</v>
      </c>
      <c r="AU431" s="46">
        <v>400</v>
      </c>
      <c r="AV431" s="46">
        <v>400</v>
      </c>
      <c r="AW431" s="46">
        <v>400</v>
      </c>
      <c r="AX431" s="47">
        <f t="shared" si="44"/>
        <v>4400</v>
      </c>
      <c r="AY431" s="319">
        <f>SUMIF(Recibos!$D$4:$D$3010,Cobranza!$B431,Recibos!K$4:K$3010)</f>
        <v>400</v>
      </c>
      <c r="AZ431" s="319">
        <f>SUMIF(Recibos!$D$4:$D$3010,Cobranza!$B431,Recibos!L$4:L$3010)</f>
        <v>400</v>
      </c>
      <c r="BA431" s="319">
        <f>SUMIF(Recibos!$D$4:$D$3010,Cobranza!$B431,Recibos!M$4:M$3010)</f>
        <v>400</v>
      </c>
      <c r="BB431" s="319">
        <f>SUMIF(Recibos!$D$4:$D$3010,Cobranza!$B431,Recibos!N$4:N$3010)</f>
        <v>400</v>
      </c>
      <c r="BC431" s="319">
        <f>SUMIF(Recibos!$D$4:$D$3010,Cobranza!$B431,Recibos!O$4:O$3010)</f>
        <v>400</v>
      </c>
      <c r="BD431" s="319">
        <f>SUMIF(Recibos!$D$4:$D$3010,Cobranza!$B431,Recibos!P$4:P$3010)</f>
        <v>400</v>
      </c>
      <c r="BE431" s="319">
        <f>SUMIF(Recibos!$D$4:$D$3010,Cobranza!$B431,Recibos!Q$4:Q$3010)</f>
        <v>400</v>
      </c>
      <c r="BF431" s="319">
        <f>SUMIF(Recibos!$D$4:$D$3010,Cobranza!$B431,Recibos!R$4:R$3010)</f>
        <v>400</v>
      </c>
      <c r="BG431" s="319">
        <f>SUMIF(Recibos!$D$4:$D$3010,Cobranza!$B431,Recibos!S$4:S$3010)</f>
        <v>400</v>
      </c>
      <c r="BH431" s="319">
        <f>SUMIF(Recibos!$D$4:$D$3010,Cobranza!$B431,Recibos!T$4:T$3010)</f>
        <v>400</v>
      </c>
      <c r="BI431" s="319">
        <f>SUMIF(Recibos!$D$4:$D$3010,Cobranza!$B431,Recibos!U$4:U$3010)</f>
        <v>0</v>
      </c>
      <c r="BJ431" s="319">
        <f>SUMIF(Recibos!$D$4:$D$3010,Cobranza!$B431,Recibos!V$4:V$3010)</f>
        <v>0</v>
      </c>
      <c r="BK431" s="320">
        <f t="shared" si="45"/>
        <v>4000</v>
      </c>
      <c r="BL431" s="319">
        <f>SUMIF(Recibos!$D$4:$D$3010,Cobranza!$B431,Recibos!X$4:X$3010)</f>
        <v>0</v>
      </c>
      <c r="BM431" s="319">
        <f>SUMIF(Recibos!$D$4:$D$3010,Cobranza!$B431,Recibos!Y$4:Y$3010)</f>
        <v>0</v>
      </c>
      <c r="BN431" s="319">
        <f>SUMIF(Recibos!$D$4:$D$3010,Cobranza!$B431,Recibos!Z$4:Z$3010)</f>
        <v>0</v>
      </c>
      <c r="BO431" s="319">
        <f>SUMIF(Recibos!$D$4:$D$3010,Cobranza!$B431,Recibos!AA$4:AA$3010)</f>
        <v>0</v>
      </c>
      <c r="BP431" s="319">
        <f>SUMIF(Recibos!$D$4:$D$3010,Cobranza!$B431,Recibos!AB$4:AB$3010)</f>
        <v>0</v>
      </c>
      <c r="BQ431" s="319">
        <f>SUMIF(Recibos!$D$4:$D$3010,Cobranza!$B431,Recibos!AC$4:AC$3010)</f>
        <v>0</v>
      </c>
      <c r="BR431" s="319">
        <f>SUMIF(Recibos!$D$4:$D$3010,Cobranza!$B431,Recibos!AD$4:AD$3010)</f>
        <v>0</v>
      </c>
      <c r="BS431" s="319">
        <f>SUMIF(Recibos!$D$4:$D$3010,Cobranza!$B431,Recibos!AE$4:AE$3010)</f>
        <v>0</v>
      </c>
      <c r="BT431" s="319">
        <f>SUMIF(Recibos!$D$4:$D$3010,Cobranza!$B431,Recibos!AF$4:AF$3010)</f>
        <v>0</v>
      </c>
      <c r="BU431" s="319">
        <f>SUMIF(Recibos!$D$4:$D$3010,Cobranza!$B431,Recibos!AG$4:AG$3010)</f>
        <v>0</v>
      </c>
      <c r="BV431" s="319">
        <f>SUMIF(Recibos!$D$4:$D$3010,Cobranza!$B431,Recibos!AH$4:AH$3010)</f>
        <v>0</v>
      </c>
      <c r="BW431" s="319">
        <f>SUMIF(Recibos!$D$4:$D$3010,Cobranza!$B431,Recibos!AI$4:AI$3010)</f>
        <v>0</v>
      </c>
      <c r="BX431" s="320">
        <f t="shared" si="46"/>
        <v>0</v>
      </c>
    </row>
    <row r="432" spans="2:76" x14ac:dyDescent="0.2">
      <c r="B432" s="42" t="s">
        <v>1451</v>
      </c>
      <c r="C432" s="42" t="s">
        <v>1452</v>
      </c>
      <c r="D432" s="42"/>
      <c r="E432" s="43">
        <v>0</v>
      </c>
      <c r="F432" s="43">
        <v>0</v>
      </c>
      <c r="G432" s="43">
        <v>0</v>
      </c>
      <c r="H432" s="43">
        <v>0</v>
      </c>
      <c r="I432" s="43">
        <v>0</v>
      </c>
      <c r="J432" s="43">
        <v>0</v>
      </c>
      <c r="K432" s="44">
        <f t="shared" si="41"/>
        <v>0</v>
      </c>
      <c r="L432" s="43">
        <v>0</v>
      </c>
      <c r="M432" s="43">
        <v>0</v>
      </c>
      <c r="N432" s="43">
        <v>0</v>
      </c>
      <c r="O432" s="43">
        <v>0</v>
      </c>
      <c r="P432" s="43">
        <v>0</v>
      </c>
      <c r="Q432" s="43">
        <v>0</v>
      </c>
      <c r="R432" s="43">
        <v>0</v>
      </c>
      <c r="S432" s="43">
        <v>0</v>
      </c>
      <c r="T432" s="43">
        <v>0</v>
      </c>
      <c r="U432" s="43">
        <v>0</v>
      </c>
      <c r="V432" s="43">
        <v>0</v>
      </c>
      <c r="W432" s="43">
        <v>0</v>
      </c>
      <c r="X432" s="44">
        <f t="shared" si="42"/>
        <v>0</v>
      </c>
      <c r="Y432" s="43">
        <v>0</v>
      </c>
      <c r="Z432" s="43">
        <v>0</v>
      </c>
      <c r="AA432" s="43">
        <v>0</v>
      </c>
      <c r="AB432" s="43">
        <v>0</v>
      </c>
      <c r="AC432" s="43">
        <v>0</v>
      </c>
      <c r="AD432" s="43">
        <v>0</v>
      </c>
      <c r="AE432" s="43">
        <v>0</v>
      </c>
      <c r="AF432" s="43">
        <v>0</v>
      </c>
      <c r="AG432" s="43">
        <v>0</v>
      </c>
      <c r="AH432" s="43">
        <v>0</v>
      </c>
      <c r="AI432" s="43">
        <v>0</v>
      </c>
      <c r="AJ432" s="43">
        <v>0</v>
      </c>
      <c r="AK432" s="44">
        <f t="shared" si="43"/>
        <v>0</v>
      </c>
      <c r="AL432" s="43">
        <v>0</v>
      </c>
      <c r="AM432" s="43">
        <v>0</v>
      </c>
      <c r="AN432" s="43">
        <v>0</v>
      </c>
      <c r="AO432" s="43">
        <v>0</v>
      </c>
      <c r="AP432" s="43">
        <v>0</v>
      </c>
      <c r="AQ432" s="43">
        <v>0</v>
      </c>
      <c r="AR432" s="43">
        <v>0</v>
      </c>
      <c r="AS432" s="43">
        <v>0</v>
      </c>
      <c r="AT432" s="43">
        <v>0</v>
      </c>
      <c r="AU432" s="43">
        <v>0</v>
      </c>
      <c r="AV432" s="43">
        <v>0</v>
      </c>
      <c r="AW432" s="43">
        <v>0</v>
      </c>
      <c r="AX432" s="44">
        <f t="shared" si="44"/>
        <v>0</v>
      </c>
      <c r="AY432" s="317">
        <f>SUMIF(Recibos!$D$4:$D$3010,Cobranza!$B432,Recibos!K$4:K$3010)</f>
        <v>0</v>
      </c>
      <c r="AZ432" s="317">
        <f>SUMIF(Recibos!$D$4:$D$3010,Cobranza!$B432,Recibos!L$4:L$3010)</f>
        <v>0</v>
      </c>
      <c r="BA432" s="317">
        <f>SUMIF(Recibos!$D$4:$D$3010,Cobranza!$B432,Recibos!M$4:M$3010)</f>
        <v>0</v>
      </c>
      <c r="BB432" s="317">
        <f>SUMIF(Recibos!$D$4:$D$3010,Cobranza!$B432,Recibos!N$4:N$3010)</f>
        <v>0</v>
      </c>
      <c r="BC432" s="317">
        <f>SUMIF(Recibos!$D$4:$D$3010,Cobranza!$B432,Recibos!O$4:O$3010)</f>
        <v>0</v>
      </c>
      <c r="BD432" s="317">
        <f>SUMIF(Recibos!$D$4:$D$3010,Cobranza!$B432,Recibos!P$4:P$3010)</f>
        <v>0</v>
      </c>
      <c r="BE432" s="317">
        <f>SUMIF(Recibos!$D$4:$D$3010,Cobranza!$B432,Recibos!Q$4:Q$3010)</f>
        <v>0</v>
      </c>
      <c r="BF432" s="317">
        <f>SUMIF(Recibos!$D$4:$D$3010,Cobranza!$B432,Recibos!R$4:R$3010)</f>
        <v>0</v>
      </c>
      <c r="BG432" s="317">
        <f>SUMIF(Recibos!$D$4:$D$3010,Cobranza!$B432,Recibos!S$4:S$3010)</f>
        <v>0</v>
      </c>
      <c r="BH432" s="317">
        <f>SUMIF(Recibos!$D$4:$D$3010,Cobranza!$B432,Recibos!T$4:T$3010)</f>
        <v>0</v>
      </c>
      <c r="BI432" s="317">
        <f>SUMIF(Recibos!$D$4:$D$3010,Cobranza!$B432,Recibos!U$4:U$3010)</f>
        <v>0</v>
      </c>
      <c r="BJ432" s="317">
        <f>SUMIF(Recibos!$D$4:$D$3010,Cobranza!$B432,Recibos!V$4:V$3010)</f>
        <v>0</v>
      </c>
      <c r="BK432" s="318">
        <f t="shared" si="45"/>
        <v>0</v>
      </c>
      <c r="BL432" s="317">
        <f>SUMIF(Recibos!$D$4:$D$3010,Cobranza!$B432,Recibos!X$4:X$3010)</f>
        <v>0</v>
      </c>
      <c r="BM432" s="317">
        <f>SUMIF(Recibos!$D$4:$D$3010,Cobranza!$B432,Recibos!Y$4:Y$3010)</f>
        <v>0</v>
      </c>
      <c r="BN432" s="317">
        <f>SUMIF(Recibos!$D$4:$D$3010,Cobranza!$B432,Recibos!Z$4:Z$3010)</f>
        <v>0</v>
      </c>
      <c r="BO432" s="317">
        <f>SUMIF(Recibos!$D$4:$D$3010,Cobranza!$B432,Recibos!AA$4:AA$3010)</f>
        <v>0</v>
      </c>
      <c r="BP432" s="317">
        <f>SUMIF(Recibos!$D$4:$D$3010,Cobranza!$B432,Recibos!AB$4:AB$3010)</f>
        <v>0</v>
      </c>
      <c r="BQ432" s="317">
        <f>SUMIF(Recibos!$D$4:$D$3010,Cobranza!$B432,Recibos!AC$4:AC$3010)</f>
        <v>0</v>
      </c>
      <c r="BR432" s="317">
        <f>SUMIF(Recibos!$D$4:$D$3010,Cobranza!$B432,Recibos!AD$4:AD$3010)</f>
        <v>0</v>
      </c>
      <c r="BS432" s="317">
        <f>SUMIF(Recibos!$D$4:$D$3010,Cobranza!$B432,Recibos!AE$4:AE$3010)</f>
        <v>0</v>
      </c>
      <c r="BT432" s="317">
        <f>SUMIF(Recibos!$D$4:$D$3010,Cobranza!$B432,Recibos!AF$4:AF$3010)</f>
        <v>0</v>
      </c>
      <c r="BU432" s="317">
        <f>SUMIF(Recibos!$D$4:$D$3010,Cobranza!$B432,Recibos!AG$4:AG$3010)</f>
        <v>0</v>
      </c>
      <c r="BV432" s="317">
        <f>SUMIF(Recibos!$D$4:$D$3010,Cobranza!$B432,Recibos!AH$4:AH$3010)</f>
        <v>0</v>
      </c>
      <c r="BW432" s="317">
        <f>SUMIF(Recibos!$D$4:$D$3010,Cobranza!$B432,Recibos!AI$4:AI$3010)</f>
        <v>0</v>
      </c>
      <c r="BX432" s="318">
        <f t="shared" si="46"/>
        <v>0</v>
      </c>
    </row>
    <row r="433" spans="2:76" x14ac:dyDescent="0.2">
      <c r="B433" s="45" t="s">
        <v>419</v>
      </c>
      <c r="C433" s="45" t="s">
        <v>420</v>
      </c>
      <c r="D433" s="45" t="s">
        <v>421</v>
      </c>
      <c r="E433" s="46">
        <v>0</v>
      </c>
      <c r="F433" s="46">
        <v>0</v>
      </c>
      <c r="G433" s="46">
        <v>0</v>
      </c>
      <c r="H433" s="46">
        <v>0</v>
      </c>
      <c r="I433" s="46">
        <v>0</v>
      </c>
      <c r="J433" s="46">
        <v>0</v>
      </c>
      <c r="K433" s="47">
        <f t="shared" si="41"/>
        <v>0</v>
      </c>
      <c r="L433" s="46">
        <v>300</v>
      </c>
      <c r="M433" s="46">
        <v>300</v>
      </c>
      <c r="N433" s="46">
        <v>300</v>
      </c>
      <c r="O433" s="46">
        <v>300</v>
      </c>
      <c r="P433" s="46">
        <v>300</v>
      </c>
      <c r="Q433" s="46">
        <v>300</v>
      </c>
      <c r="R433" s="46">
        <v>300</v>
      </c>
      <c r="S433" s="46">
        <v>300</v>
      </c>
      <c r="T433" s="46">
        <v>300</v>
      </c>
      <c r="U433" s="46">
        <v>300</v>
      </c>
      <c r="V433" s="46">
        <v>300</v>
      </c>
      <c r="W433" s="46">
        <v>300</v>
      </c>
      <c r="X433" s="47">
        <f t="shared" si="42"/>
        <v>3600</v>
      </c>
      <c r="Y433" s="46">
        <v>400</v>
      </c>
      <c r="Z433" s="46">
        <v>400</v>
      </c>
      <c r="AA433" s="46">
        <v>400</v>
      </c>
      <c r="AB433" s="46">
        <v>400</v>
      </c>
      <c r="AC433" s="46">
        <v>400</v>
      </c>
      <c r="AD433" s="46">
        <v>400</v>
      </c>
      <c r="AE433" s="46">
        <v>400</v>
      </c>
      <c r="AF433" s="46">
        <v>400</v>
      </c>
      <c r="AG433" s="46">
        <v>400</v>
      </c>
      <c r="AH433" s="46">
        <v>400</v>
      </c>
      <c r="AI433" s="46">
        <v>400</v>
      </c>
      <c r="AJ433" s="46">
        <v>400</v>
      </c>
      <c r="AK433" s="47">
        <f t="shared" si="43"/>
        <v>4800</v>
      </c>
      <c r="AL433" s="46">
        <v>400</v>
      </c>
      <c r="AM433" s="46">
        <v>400</v>
      </c>
      <c r="AN433" s="46">
        <v>400</v>
      </c>
      <c r="AO433" s="46">
        <v>400</v>
      </c>
      <c r="AP433" s="46">
        <v>400</v>
      </c>
      <c r="AQ433" s="46">
        <v>400</v>
      </c>
      <c r="AR433" s="46">
        <v>400</v>
      </c>
      <c r="AS433" s="46">
        <v>400</v>
      </c>
      <c r="AT433" s="46">
        <v>400</v>
      </c>
      <c r="AU433" s="46">
        <v>400</v>
      </c>
      <c r="AV433" s="46">
        <v>400</v>
      </c>
      <c r="AW433" s="46">
        <v>400</v>
      </c>
      <c r="AX433" s="47">
        <f t="shared" si="44"/>
        <v>4800</v>
      </c>
      <c r="AY433" s="319">
        <f>SUMIF(Recibos!$D$4:$D$3010,Cobranza!$B433,Recibos!K$4:K$3010)</f>
        <v>400</v>
      </c>
      <c r="AZ433" s="319">
        <f>SUMIF(Recibos!$D$4:$D$3010,Cobranza!$B433,Recibos!L$4:L$3010)</f>
        <v>400</v>
      </c>
      <c r="BA433" s="319">
        <f>SUMIF(Recibos!$D$4:$D$3010,Cobranza!$B433,Recibos!M$4:M$3010)</f>
        <v>400</v>
      </c>
      <c r="BB433" s="319">
        <f>SUMIF(Recibos!$D$4:$D$3010,Cobranza!$B433,Recibos!N$4:N$3010)</f>
        <v>400</v>
      </c>
      <c r="BC433" s="319">
        <f>SUMIF(Recibos!$D$4:$D$3010,Cobranza!$B433,Recibos!O$4:O$3010)</f>
        <v>400</v>
      </c>
      <c r="BD433" s="319">
        <f>SUMIF(Recibos!$D$4:$D$3010,Cobranza!$B433,Recibos!P$4:P$3010)</f>
        <v>400</v>
      </c>
      <c r="BE433" s="319">
        <f>SUMIF(Recibos!$D$4:$D$3010,Cobranza!$B433,Recibos!Q$4:Q$3010)</f>
        <v>400</v>
      </c>
      <c r="BF433" s="319">
        <f>SUMIF(Recibos!$D$4:$D$3010,Cobranza!$B433,Recibos!R$4:R$3010)</f>
        <v>400</v>
      </c>
      <c r="BG433" s="319">
        <f>SUMIF(Recibos!$D$4:$D$3010,Cobranza!$B433,Recibos!S$4:S$3010)</f>
        <v>400</v>
      </c>
      <c r="BH433" s="319">
        <f>SUMIF(Recibos!$D$4:$D$3010,Cobranza!$B433,Recibos!T$4:T$3010)</f>
        <v>400</v>
      </c>
      <c r="BI433" s="319">
        <f>SUMIF(Recibos!$D$4:$D$3010,Cobranza!$B433,Recibos!U$4:U$3010)</f>
        <v>400</v>
      </c>
      <c r="BJ433" s="319">
        <f>SUMIF(Recibos!$D$4:$D$3010,Cobranza!$B433,Recibos!V$4:V$3010)</f>
        <v>0</v>
      </c>
      <c r="BK433" s="320">
        <f t="shared" si="45"/>
        <v>4400</v>
      </c>
      <c r="BL433" s="319">
        <f>SUMIF(Recibos!$D$4:$D$3010,Cobranza!$B433,Recibos!X$4:X$3010)</f>
        <v>0</v>
      </c>
      <c r="BM433" s="319">
        <f>SUMIF(Recibos!$D$4:$D$3010,Cobranza!$B433,Recibos!Y$4:Y$3010)</f>
        <v>0</v>
      </c>
      <c r="BN433" s="319">
        <f>SUMIF(Recibos!$D$4:$D$3010,Cobranza!$B433,Recibos!Z$4:Z$3010)</f>
        <v>0</v>
      </c>
      <c r="BO433" s="319">
        <f>SUMIF(Recibos!$D$4:$D$3010,Cobranza!$B433,Recibos!AA$4:AA$3010)</f>
        <v>0</v>
      </c>
      <c r="BP433" s="319">
        <f>SUMIF(Recibos!$D$4:$D$3010,Cobranza!$B433,Recibos!AB$4:AB$3010)</f>
        <v>0</v>
      </c>
      <c r="BQ433" s="319">
        <f>SUMIF(Recibos!$D$4:$D$3010,Cobranza!$B433,Recibos!AC$4:AC$3010)</f>
        <v>0</v>
      </c>
      <c r="BR433" s="319">
        <f>SUMIF(Recibos!$D$4:$D$3010,Cobranza!$B433,Recibos!AD$4:AD$3010)</f>
        <v>0</v>
      </c>
      <c r="BS433" s="319">
        <f>SUMIF(Recibos!$D$4:$D$3010,Cobranza!$B433,Recibos!AE$4:AE$3010)</f>
        <v>0</v>
      </c>
      <c r="BT433" s="319">
        <f>SUMIF(Recibos!$D$4:$D$3010,Cobranza!$B433,Recibos!AF$4:AF$3010)</f>
        <v>0</v>
      </c>
      <c r="BU433" s="319">
        <f>SUMIF(Recibos!$D$4:$D$3010,Cobranza!$B433,Recibos!AG$4:AG$3010)</f>
        <v>0</v>
      </c>
      <c r="BV433" s="319">
        <f>SUMIF(Recibos!$D$4:$D$3010,Cobranza!$B433,Recibos!AH$4:AH$3010)</f>
        <v>0</v>
      </c>
      <c r="BW433" s="319">
        <f>SUMIF(Recibos!$D$4:$D$3010,Cobranza!$B433,Recibos!AI$4:AI$3010)</f>
        <v>0</v>
      </c>
      <c r="BX433" s="320">
        <f t="shared" si="46"/>
        <v>0</v>
      </c>
    </row>
    <row r="434" spans="2:76" x14ac:dyDescent="0.2">
      <c r="B434" s="42" t="s">
        <v>322</v>
      </c>
      <c r="C434" s="42" t="s">
        <v>323</v>
      </c>
      <c r="D434" s="42" t="s">
        <v>324</v>
      </c>
      <c r="E434" s="43">
        <v>0</v>
      </c>
      <c r="F434" s="43">
        <v>0</v>
      </c>
      <c r="G434" s="43">
        <v>0</v>
      </c>
      <c r="H434" s="43">
        <v>0</v>
      </c>
      <c r="I434" s="43">
        <v>0</v>
      </c>
      <c r="J434" s="43">
        <v>300</v>
      </c>
      <c r="K434" s="44">
        <f t="shared" si="41"/>
        <v>300</v>
      </c>
      <c r="L434" s="43">
        <v>300</v>
      </c>
      <c r="M434" s="43">
        <v>300</v>
      </c>
      <c r="N434" s="43">
        <v>300</v>
      </c>
      <c r="O434" s="43">
        <v>300</v>
      </c>
      <c r="P434" s="43">
        <v>300</v>
      </c>
      <c r="Q434" s="43">
        <v>300</v>
      </c>
      <c r="R434" s="43">
        <v>300</v>
      </c>
      <c r="S434" s="43">
        <v>300</v>
      </c>
      <c r="T434" s="43">
        <v>300</v>
      </c>
      <c r="U434" s="43">
        <v>400</v>
      </c>
      <c r="V434" s="43">
        <v>400</v>
      </c>
      <c r="W434" s="43">
        <v>400</v>
      </c>
      <c r="X434" s="44">
        <f t="shared" si="42"/>
        <v>3900</v>
      </c>
      <c r="Y434" s="43">
        <v>400</v>
      </c>
      <c r="Z434" s="43">
        <v>400</v>
      </c>
      <c r="AA434" s="43">
        <v>400</v>
      </c>
      <c r="AB434" s="43">
        <v>400</v>
      </c>
      <c r="AC434" s="43">
        <v>400</v>
      </c>
      <c r="AD434" s="43">
        <v>400</v>
      </c>
      <c r="AE434" s="43">
        <v>400</v>
      </c>
      <c r="AF434" s="43">
        <v>400</v>
      </c>
      <c r="AG434" s="43">
        <v>400</v>
      </c>
      <c r="AH434" s="43">
        <v>400</v>
      </c>
      <c r="AI434" s="43">
        <v>400</v>
      </c>
      <c r="AJ434" s="43">
        <v>400</v>
      </c>
      <c r="AK434" s="44">
        <f t="shared" si="43"/>
        <v>4800</v>
      </c>
      <c r="AL434" s="43">
        <v>400</v>
      </c>
      <c r="AM434" s="43">
        <v>400</v>
      </c>
      <c r="AN434" s="43">
        <v>400</v>
      </c>
      <c r="AO434" s="43">
        <v>400</v>
      </c>
      <c r="AP434" s="43">
        <v>400</v>
      </c>
      <c r="AQ434" s="43">
        <v>400</v>
      </c>
      <c r="AR434" s="43">
        <v>400</v>
      </c>
      <c r="AS434" s="43">
        <v>400</v>
      </c>
      <c r="AT434" s="43">
        <v>400</v>
      </c>
      <c r="AU434" s="43">
        <v>400</v>
      </c>
      <c r="AV434" s="43">
        <v>400</v>
      </c>
      <c r="AW434" s="43">
        <v>400</v>
      </c>
      <c r="AX434" s="44">
        <f t="shared" si="44"/>
        <v>4800</v>
      </c>
      <c r="AY434" s="317">
        <f>SUMIF(Recibos!$D$4:$D$3010,Cobranza!$B434,Recibos!K$4:K$3010)</f>
        <v>400</v>
      </c>
      <c r="AZ434" s="317">
        <f>SUMIF(Recibos!$D$4:$D$3010,Cobranza!$B434,Recibos!L$4:L$3010)</f>
        <v>400</v>
      </c>
      <c r="BA434" s="317">
        <f>SUMIF(Recibos!$D$4:$D$3010,Cobranza!$B434,Recibos!M$4:M$3010)</f>
        <v>400</v>
      </c>
      <c r="BB434" s="317">
        <f>SUMIF(Recibos!$D$4:$D$3010,Cobranza!$B434,Recibos!N$4:N$3010)</f>
        <v>400</v>
      </c>
      <c r="BC434" s="317">
        <f>SUMIF(Recibos!$D$4:$D$3010,Cobranza!$B434,Recibos!O$4:O$3010)</f>
        <v>400</v>
      </c>
      <c r="BD434" s="317">
        <f>SUMIF(Recibos!$D$4:$D$3010,Cobranza!$B434,Recibos!P$4:P$3010)</f>
        <v>400</v>
      </c>
      <c r="BE434" s="317">
        <f>SUMIF(Recibos!$D$4:$D$3010,Cobranza!$B434,Recibos!Q$4:Q$3010)</f>
        <v>400</v>
      </c>
      <c r="BF434" s="317">
        <f>SUMIF(Recibos!$D$4:$D$3010,Cobranza!$B434,Recibos!R$4:R$3010)</f>
        <v>400</v>
      </c>
      <c r="BG434" s="317">
        <f>SUMIF(Recibos!$D$4:$D$3010,Cobranza!$B434,Recibos!S$4:S$3010)</f>
        <v>400</v>
      </c>
      <c r="BH434" s="317">
        <f>SUMIF(Recibos!$D$4:$D$3010,Cobranza!$B434,Recibos!T$4:T$3010)</f>
        <v>400</v>
      </c>
      <c r="BI434" s="317">
        <f>SUMIF(Recibos!$D$4:$D$3010,Cobranza!$B434,Recibos!U$4:U$3010)</f>
        <v>0</v>
      </c>
      <c r="BJ434" s="317">
        <f>SUMIF(Recibos!$D$4:$D$3010,Cobranza!$B434,Recibos!V$4:V$3010)</f>
        <v>0</v>
      </c>
      <c r="BK434" s="318">
        <f t="shared" si="45"/>
        <v>4000</v>
      </c>
      <c r="BL434" s="317">
        <f>SUMIF(Recibos!$D$4:$D$3010,Cobranza!$B434,Recibos!X$4:X$3010)</f>
        <v>0</v>
      </c>
      <c r="BM434" s="317">
        <f>SUMIF(Recibos!$D$4:$D$3010,Cobranza!$B434,Recibos!Y$4:Y$3010)</f>
        <v>0</v>
      </c>
      <c r="BN434" s="317">
        <f>SUMIF(Recibos!$D$4:$D$3010,Cobranza!$B434,Recibos!Z$4:Z$3010)</f>
        <v>0</v>
      </c>
      <c r="BO434" s="317">
        <f>SUMIF(Recibos!$D$4:$D$3010,Cobranza!$B434,Recibos!AA$4:AA$3010)</f>
        <v>0</v>
      </c>
      <c r="BP434" s="317">
        <f>SUMIF(Recibos!$D$4:$D$3010,Cobranza!$B434,Recibos!AB$4:AB$3010)</f>
        <v>0</v>
      </c>
      <c r="BQ434" s="317">
        <f>SUMIF(Recibos!$D$4:$D$3010,Cobranza!$B434,Recibos!AC$4:AC$3010)</f>
        <v>0</v>
      </c>
      <c r="BR434" s="317">
        <f>SUMIF(Recibos!$D$4:$D$3010,Cobranza!$B434,Recibos!AD$4:AD$3010)</f>
        <v>0</v>
      </c>
      <c r="BS434" s="317">
        <f>SUMIF(Recibos!$D$4:$D$3010,Cobranza!$B434,Recibos!AE$4:AE$3010)</f>
        <v>0</v>
      </c>
      <c r="BT434" s="317">
        <f>SUMIF(Recibos!$D$4:$D$3010,Cobranza!$B434,Recibos!AF$4:AF$3010)</f>
        <v>0</v>
      </c>
      <c r="BU434" s="317">
        <f>SUMIF(Recibos!$D$4:$D$3010,Cobranza!$B434,Recibos!AG$4:AG$3010)</f>
        <v>0</v>
      </c>
      <c r="BV434" s="317">
        <f>SUMIF(Recibos!$D$4:$D$3010,Cobranza!$B434,Recibos!AH$4:AH$3010)</f>
        <v>400</v>
      </c>
      <c r="BW434" s="317">
        <f>SUMIF(Recibos!$D$4:$D$3010,Cobranza!$B434,Recibos!AI$4:AI$3010)</f>
        <v>0</v>
      </c>
      <c r="BX434" s="318">
        <f t="shared" si="46"/>
        <v>400</v>
      </c>
    </row>
    <row r="435" spans="2:76" x14ac:dyDescent="0.2">
      <c r="B435" s="45" t="s">
        <v>380</v>
      </c>
      <c r="C435" s="45" t="s">
        <v>381</v>
      </c>
      <c r="D435" s="45" t="s">
        <v>382</v>
      </c>
      <c r="E435" s="46">
        <v>0</v>
      </c>
      <c r="F435" s="46">
        <v>0</v>
      </c>
      <c r="G435" s="46">
        <v>0</v>
      </c>
      <c r="H435" s="46">
        <v>0</v>
      </c>
      <c r="I435" s="46">
        <v>0</v>
      </c>
      <c r="J435" s="46">
        <v>0</v>
      </c>
      <c r="K435" s="47">
        <f t="shared" si="41"/>
        <v>0</v>
      </c>
      <c r="L435" s="46">
        <v>0</v>
      </c>
      <c r="M435" s="46">
        <v>300</v>
      </c>
      <c r="N435" s="46">
        <v>300</v>
      </c>
      <c r="O435" s="46">
        <v>300</v>
      </c>
      <c r="P435" s="46">
        <v>300</v>
      </c>
      <c r="Q435" s="46">
        <v>300</v>
      </c>
      <c r="R435" s="46">
        <v>300</v>
      </c>
      <c r="S435" s="46">
        <v>300</v>
      </c>
      <c r="T435" s="46">
        <v>300</v>
      </c>
      <c r="U435" s="46">
        <v>400</v>
      </c>
      <c r="V435" s="46">
        <v>400</v>
      </c>
      <c r="W435" s="46">
        <v>400</v>
      </c>
      <c r="X435" s="47">
        <f t="shared" si="42"/>
        <v>3600</v>
      </c>
      <c r="Y435" s="46">
        <v>400</v>
      </c>
      <c r="Z435" s="46">
        <v>400</v>
      </c>
      <c r="AA435" s="46">
        <v>400</v>
      </c>
      <c r="AB435" s="46">
        <v>400</v>
      </c>
      <c r="AC435" s="46">
        <v>400</v>
      </c>
      <c r="AD435" s="46">
        <v>400</v>
      </c>
      <c r="AE435" s="46">
        <v>400</v>
      </c>
      <c r="AF435" s="46">
        <v>400</v>
      </c>
      <c r="AG435" s="46">
        <v>400</v>
      </c>
      <c r="AH435" s="46">
        <v>400</v>
      </c>
      <c r="AI435" s="46">
        <v>400</v>
      </c>
      <c r="AJ435" s="46">
        <v>400</v>
      </c>
      <c r="AK435" s="47">
        <f t="shared" si="43"/>
        <v>4800</v>
      </c>
      <c r="AL435" s="46">
        <v>400</v>
      </c>
      <c r="AM435" s="46">
        <v>400</v>
      </c>
      <c r="AN435" s="46">
        <v>400</v>
      </c>
      <c r="AO435" s="46">
        <v>400</v>
      </c>
      <c r="AP435" s="46">
        <v>400</v>
      </c>
      <c r="AQ435" s="46">
        <v>400</v>
      </c>
      <c r="AR435" s="46">
        <v>400</v>
      </c>
      <c r="AS435" s="46">
        <v>400</v>
      </c>
      <c r="AT435" s="46">
        <v>400</v>
      </c>
      <c r="AU435" s="46">
        <v>400</v>
      </c>
      <c r="AV435" s="46">
        <v>300</v>
      </c>
      <c r="AW435" s="46">
        <v>300</v>
      </c>
      <c r="AX435" s="47">
        <f t="shared" si="44"/>
        <v>4600</v>
      </c>
      <c r="AY435" s="319">
        <f>SUMIF(Recibos!$D$4:$D$3010,Cobranza!$B435,Recibos!K$4:K$3010)</f>
        <v>300</v>
      </c>
      <c r="AZ435" s="319">
        <f>SUMIF(Recibos!$D$4:$D$3010,Cobranza!$B435,Recibos!L$4:L$3010)</f>
        <v>300</v>
      </c>
      <c r="BA435" s="319">
        <f>SUMIF(Recibos!$D$4:$D$3010,Cobranza!$B435,Recibos!M$4:M$3010)</f>
        <v>300</v>
      </c>
      <c r="BB435" s="319">
        <f>SUMIF(Recibos!$D$4:$D$3010,Cobranza!$B435,Recibos!N$4:N$3010)</f>
        <v>300</v>
      </c>
      <c r="BC435" s="319">
        <f>SUMIF(Recibos!$D$4:$D$3010,Cobranza!$B435,Recibos!O$4:O$3010)</f>
        <v>300</v>
      </c>
      <c r="BD435" s="319">
        <f>SUMIF(Recibos!$D$4:$D$3010,Cobranza!$B435,Recibos!P$4:P$3010)</f>
        <v>300</v>
      </c>
      <c r="BE435" s="319">
        <f>SUMIF(Recibos!$D$4:$D$3010,Cobranza!$B435,Recibos!Q$4:Q$3010)</f>
        <v>300</v>
      </c>
      <c r="BF435" s="319">
        <f>SUMIF(Recibos!$D$4:$D$3010,Cobranza!$B435,Recibos!R$4:R$3010)</f>
        <v>300</v>
      </c>
      <c r="BG435" s="319">
        <f>SUMIF(Recibos!$D$4:$D$3010,Cobranza!$B435,Recibos!S$4:S$3010)</f>
        <v>300</v>
      </c>
      <c r="BH435" s="319">
        <f>SUMIF(Recibos!$D$4:$D$3010,Cobranza!$B435,Recibos!T$4:T$3010)</f>
        <v>300</v>
      </c>
      <c r="BI435" s="319">
        <f>SUMIF(Recibos!$D$4:$D$3010,Cobranza!$B435,Recibos!U$4:U$3010)</f>
        <v>300</v>
      </c>
      <c r="BJ435" s="319">
        <f>SUMIF(Recibos!$D$4:$D$3010,Cobranza!$B435,Recibos!V$4:V$3010)</f>
        <v>300</v>
      </c>
      <c r="BK435" s="320">
        <f t="shared" si="45"/>
        <v>3600</v>
      </c>
      <c r="BL435" s="319">
        <f>SUMIF(Recibos!$D$4:$D$3010,Cobranza!$B435,Recibos!X$4:X$3010)</f>
        <v>0</v>
      </c>
      <c r="BM435" s="319">
        <f>SUMIF(Recibos!$D$4:$D$3010,Cobranza!$B435,Recibos!Y$4:Y$3010)</f>
        <v>0</v>
      </c>
      <c r="BN435" s="319">
        <f>SUMIF(Recibos!$D$4:$D$3010,Cobranza!$B435,Recibos!Z$4:Z$3010)</f>
        <v>0</v>
      </c>
      <c r="BO435" s="319">
        <f>SUMIF(Recibos!$D$4:$D$3010,Cobranza!$B435,Recibos!AA$4:AA$3010)</f>
        <v>0</v>
      </c>
      <c r="BP435" s="319">
        <f>SUMIF(Recibos!$D$4:$D$3010,Cobranza!$B435,Recibos!AB$4:AB$3010)</f>
        <v>0</v>
      </c>
      <c r="BQ435" s="319">
        <f>SUMIF(Recibos!$D$4:$D$3010,Cobranza!$B435,Recibos!AC$4:AC$3010)</f>
        <v>0</v>
      </c>
      <c r="BR435" s="319">
        <f>SUMIF(Recibos!$D$4:$D$3010,Cobranza!$B435,Recibos!AD$4:AD$3010)</f>
        <v>0</v>
      </c>
      <c r="BS435" s="319">
        <f>SUMIF(Recibos!$D$4:$D$3010,Cobranza!$B435,Recibos!AE$4:AE$3010)</f>
        <v>0</v>
      </c>
      <c r="BT435" s="319">
        <f>SUMIF(Recibos!$D$4:$D$3010,Cobranza!$B435,Recibos!AF$4:AF$3010)</f>
        <v>0</v>
      </c>
      <c r="BU435" s="319">
        <f>SUMIF(Recibos!$D$4:$D$3010,Cobranza!$B435,Recibos!AG$4:AG$3010)</f>
        <v>0</v>
      </c>
      <c r="BV435" s="319">
        <f>SUMIF(Recibos!$D$4:$D$3010,Cobranza!$B435,Recibos!AH$4:AH$3010)</f>
        <v>0</v>
      </c>
      <c r="BW435" s="319">
        <f>SUMIF(Recibos!$D$4:$D$3010,Cobranza!$B435,Recibos!AI$4:AI$3010)</f>
        <v>0</v>
      </c>
      <c r="BX435" s="320">
        <f t="shared" si="46"/>
        <v>0</v>
      </c>
    </row>
    <row r="436" spans="2:76" x14ac:dyDescent="0.2">
      <c r="B436" s="42" t="s">
        <v>78</v>
      </c>
      <c r="C436" s="42" t="s">
        <v>79</v>
      </c>
      <c r="D436" s="42" t="s">
        <v>80</v>
      </c>
      <c r="E436" s="43">
        <v>0</v>
      </c>
      <c r="F436" s="43">
        <v>0</v>
      </c>
      <c r="G436" s="43">
        <v>0</v>
      </c>
      <c r="H436" s="43">
        <v>0</v>
      </c>
      <c r="I436" s="43">
        <v>0</v>
      </c>
      <c r="J436" s="43">
        <v>400</v>
      </c>
      <c r="K436" s="44">
        <f t="shared" si="41"/>
        <v>400</v>
      </c>
      <c r="L436" s="43">
        <v>400</v>
      </c>
      <c r="M436" s="43">
        <v>400</v>
      </c>
      <c r="N436" s="43">
        <v>400</v>
      </c>
      <c r="O436" s="43">
        <v>400</v>
      </c>
      <c r="P436" s="43">
        <v>400</v>
      </c>
      <c r="Q436" s="43">
        <v>400</v>
      </c>
      <c r="R436" s="43">
        <v>400</v>
      </c>
      <c r="S436" s="43">
        <v>400</v>
      </c>
      <c r="T436" s="43">
        <v>400</v>
      </c>
      <c r="U436" s="43">
        <v>400</v>
      </c>
      <c r="V436" s="43">
        <v>400</v>
      </c>
      <c r="W436" s="43">
        <v>400</v>
      </c>
      <c r="X436" s="44">
        <f t="shared" si="42"/>
        <v>4800</v>
      </c>
      <c r="Y436" s="43">
        <v>400</v>
      </c>
      <c r="Z436" s="43">
        <v>400</v>
      </c>
      <c r="AA436" s="43">
        <v>400</v>
      </c>
      <c r="AB436" s="43">
        <v>400</v>
      </c>
      <c r="AC436" s="43">
        <v>400</v>
      </c>
      <c r="AD436" s="43">
        <v>400</v>
      </c>
      <c r="AE436" s="43">
        <v>0</v>
      </c>
      <c r="AF436" s="43">
        <v>400</v>
      </c>
      <c r="AG436" s="43">
        <v>400</v>
      </c>
      <c r="AH436" s="43">
        <v>400</v>
      </c>
      <c r="AI436" s="43">
        <v>400</v>
      </c>
      <c r="AJ436" s="43">
        <v>400</v>
      </c>
      <c r="AK436" s="44">
        <f t="shared" si="43"/>
        <v>4400</v>
      </c>
      <c r="AL436" s="43">
        <v>400</v>
      </c>
      <c r="AM436" s="43">
        <v>400</v>
      </c>
      <c r="AN436" s="43">
        <v>400</v>
      </c>
      <c r="AO436" s="43">
        <v>400</v>
      </c>
      <c r="AP436" s="43">
        <v>400</v>
      </c>
      <c r="AQ436" s="43">
        <v>400</v>
      </c>
      <c r="AR436" s="43">
        <v>400</v>
      </c>
      <c r="AS436" s="43">
        <v>400</v>
      </c>
      <c r="AT436" s="43">
        <v>400</v>
      </c>
      <c r="AU436" s="43">
        <v>400</v>
      </c>
      <c r="AV436" s="43">
        <v>400</v>
      </c>
      <c r="AW436" s="43">
        <v>400</v>
      </c>
      <c r="AX436" s="44">
        <f t="shared" si="44"/>
        <v>4800</v>
      </c>
      <c r="AY436" s="317">
        <f>SUMIF(Recibos!$D$4:$D$3010,Cobranza!$B436,Recibos!K$4:K$3010)</f>
        <v>400</v>
      </c>
      <c r="AZ436" s="317">
        <f>SUMIF(Recibos!$D$4:$D$3010,Cobranza!$B436,Recibos!L$4:L$3010)</f>
        <v>400</v>
      </c>
      <c r="BA436" s="317">
        <f>SUMIF(Recibos!$D$4:$D$3010,Cobranza!$B436,Recibos!M$4:M$3010)</f>
        <v>400</v>
      </c>
      <c r="BB436" s="317">
        <f>SUMIF(Recibos!$D$4:$D$3010,Cobranza!$B436,Recibos!N$4:N$3010)</f>
        <v>400</v>
      </c>
      <c r="BC436" s="317">
        <f>SUMIF(Recibos!$D$4:$D$3010,Cobranza!$B436,Recibos!O$4:O$3010)</f>
        <v>400</v>
      </c>
      <c r="BD436" s="317">
        <f>SUMIF(Recibos!$D$4:$D$3010,Cobranza!$B436,Recibos!P$4:P$3010)</f>
        <v>400</v>
      </c>
      <c r="BE436" s="317">
        <f>SUMIF(Recibos!$D$4:$D$3010,Cobranza!$B436,Recibos!Q$4:Q$3010)</f>
        <v>400</v>
      </c>
      <c r="BF436" s="317">
        <f>SUMIF(Recibos!$D$4:$D$3010,Cobranza!$B436,Recibos!R$4:R$3010)</f>
        <v>400</v>
      </c>
      <c r="BG436" s="317">
        <f>SUMIF(Recibos!$D$4:$D$3010,Cobranza!$B436,Recibos!S$4:S$3010)</f>
        <v>400</v>
      </c>
      <c r="BH436" s="317">
        <f>SUMIF(Recibos!$D$4:$D$3010,Cobranza!$B436,Recibos!T$4:T$3010)</f>
        <v>400</v>
      </c>
      <c r="BI436" s="317">
        <f>SUMIF(Recibos!$D$4:$D$3010,Cobranza!$B436,Recibos!U$4:U$3010)</f>
        <v>400</v>
      </c>
      <c r="BJ436" s="317">
        <f>SUMIF(Recibos!$D$4:$D$3010,Cobranza!$B436,Recibos!V$4:V$3010)</f>
        <v>0</v>
      </c>
      <c r="BK436" s="318">
        <f t="shared" si="45"/>
        <v>4400</v>
      </c>
      <c r="BL436" s="317">
        <f>SUMIF(Recibos!$D$4:$D$3010,Cobranza!$B436,Recibos!X$4:X$3010)</f>
        <v>400</v>
      </c>
      <c r="BM436" s="317">
        <f>SUMIF(Recibos!$D$4:$D$3010,Cobranza!$B436,Recibos!Y$4:Y$3010)</f>
        <v>400</v>
      </c>
      <c r="BN436" s="317">
        <f>SUMIF(Recibos!$D$4:$D$3010,Cobranza!$B436,Recibos!Z$4:Z$3010)</f>
        <v>400</v>
      </c>
      <c r="BO436" s="317">
        <f>SUMIF(Recibos!$D$4:$D$3010,Cobranza!$B436,Recibos!AA$4:AA$3010)</f>
        <v>400</v>
      </c>
      <c r="BP436" s="317">
        <f>SUMIF(Recibos!$D$4:$D$3010,Cobranza!$B436,Recibos!AB$4:AB$3010)</f>
        <v>400</v>
      </c>
      <c r="BQ436" s="317">
        <f>SUMIF(Recibos!$D$4:$D$3010,Cobranza!$B436,Recibos!AC$4:AC$3010)</f>
        <v>400</v>
      </c>
      <c r="BR436" s="317">
        <f>SUMIF(Recibos!$D$4:$D$3010,Cobranza!$B436,Recibos!AD$4:AD$3010)</f>
        <v>400</v>
      </c>
      <c r="BS436" s="317">
        <f>SUMIF(Recibos!$D$4:$D$3010,Cobranza!$B436,Recibos!AE$4:AE$3010)</f>
        <v>400</v>
      </c>
      <c r="BT436" s="317">
        <f>SUMIF(Recibos!$D$4:$D$3010,Cobranza!$B436,Recibos!AF$4:AF$3010)</f>
        <v>400</v>
      </c>
      <c r="BU436" s="317">
        <f>SUMIF(Recibos!$D$4:$D$3010,Cobranza!$B436,Recibos!AG$4:AG$3010)</f>
        <v>400</v>
      </c>
      <c r="BV436" s="317">
        <f>SUMIF(Recibos!$D$4:$D$3010,Cobranza!$B436,Recibos!AH$4:AH$3010)</f>
        <v>400</v>
      </c>
      <c r="BW436" s="317">
        <f>SUMIF(Recibos!$D$4:$D$3010,Cobranza!$B436,Recibos!AI$4:AI$3010)</f>
        <v>0</v>
      </c>
      <c r="BX436" s="318">
        <f t="shared" si="46"/>
        <v>4400</v>
      </c>
    </row>
    <row r="437" spans="2:76" x14ac:dyDescent="0.2">
      <c r="B437" s="45" t="s">
        <v>473</v>
      </c>
      <c r="C437" s="45" t="s">
        <v>474</v>
      </c>
      <c r="D437" s="45" t="s">
        <v>475</v>
      </c>
      <c r="E437" s="46">
        <v>0</v>
      </c>
      <c r="F437" s="46">
        <v>0</v>
      </c>
      <c r="G437" s="46">
        <v>0</v>
      </c>
      <c r="H437" s="46">
        <v>0</v>
      </c>
      <c r="I437" s="46">
        <v>0</v>
      </c>
      <c r="J437" s="46">
        <v>300</v>
      </c>
      <c r="K437" s="47">
        <f t="shared" si="41"/>
        <v>300</v>
      </c>
      <c r="L437" s="46">
        <v>300</v>
      </c>
      <c r="M437" s="46">
        <v>300</v>
      </c>
      <c r="N437" s="46">
        <v>300</v>
      </c>
      <c r="O437" s="46">
        <v>300</v>
      </c>
      <c r="P437" s="46">
        <v>300</v>
      </c>
      <c r="Q437" s="46">
        <v>300</v>
      </c>
      <c r="R437" s="46">
        <v>300</v>
      </c>
      <c r="S437" s="46">
        <v>300</v>
      </c>
      <c r="T437" s="46">
        <v>300</v>
      </c>
      <c r="U437" s="46">
        <v>0</v>
      </c>
      <c r="V437" s="46">
        <v>400</v>
      </c>
      <c r="W437" s="46">
        <v>400</v>
      </c>
      <c r="X437" s="47">
        <f t="shared" si="42"/>
        <v>3500</v>
      </c>
      <c r="Y437" s="46">
        <v>400</v>
      </c>
      <c r="Z437" s="46">
        <v>400</v>
      </c>
      <c r="AA437" s="46">
        <v>400</v>
      </c>
      <c r="AB437" s="46">
        <v>400</v>
      </c>
      <c r="AC437" s="46">
        <v>400</v>
      </c>
      <c r="AD437" s="46">
        <v>400</v>
      </c>
      <c r="AE437" s="46">
        <v>400</v>
      </c>
      <c r="AF437" s="46">
        <v>400</v>
      </c>
      <c r="AG437" s="46">
        <v>400</v>
      </c>
      <c r="AH437" s="46">
        <v>400</v>
      </c>
      <c r="AI437" s="46">
        <v>400</v>
      </c>
      <c r="AJ437" s="46">
        <v>400</v>
      </c>
      <c r="AK437" s="47">
        <f t="shared" si="43"/>
        <v>4800</v>
      </c>
      <c r="AL437" s="46">
        <v>400</v>
      </c>
      <c r="AM437" s="46">
        <v>0</v>
      </c>
      <c r="AN437" s="46">
        <v>400</v>
      </c>
      <c r="AO437" s="46">
        <v>400</v>
      </c>
      <c r="AP437" s="46">
        <v>400</v>
      </c>
      <c r="AQ437" s="46">
        <v>400</v>
      </c>
      <c r="AR437" s="46">
        <v>400</v>
      </c>
      <c r="AS437" s="46">
        <v>400</v>
      </c>
      <c r="AT437" s="46">
        <v>400</v>
      </c>
      <c r="AU437" s="46">
        <v>400</v>
      </c>
      <c r="AV437" s="46">
        <v>400</v>
      </c>
      <c r="AW437" s="46">
        <v>400</v>
      </c>
      <c r="AX437" s="47">
        <f t="shared" si="44"/>
        <v>4400</v>
      </c>
      <c r="AY437" s="319">
        <f>SUMIF(Recibos!$D$4:$D$3010,Cobranza!$B437,Recibos!K$4:K$3010)</f>
        <v>400</v>
      </c>
      <c r="AZ437" s="319">
        <f>SUMIF(Recibos!$D$4:$D$3010,Cobranza!$B437,Recibos!L$4:L$3010)</f>
        <v>400</v>
      </c>
      <c r="BA437" s="319">
        <f>SUMIF(Recibos!$D$4:$D$3010,Cobranza!$B437,Recibos!M$4:M$3010)</f>
        <v>400</v>
      </c>
      <c r="BB437" s="319">
        <f>SUMIF(Recibos!$D$4:$D$3010,Cobranza!$B437,Recibos!N$4:N$3010)</f>
        <v>400</v>
      </c>
      <c r="BC437" s="319">
        <f>SUMIF(Recibos!$D$4:$D$3010,Cobranza!$B437,Recibos!O$4:O$3010)</f>
        <v>400</v>
      </c>
      <c r="BD437" s="319">
        <f>SUMIF(Recibos!$D$4:$D$3010,Cobranza!$B437,Recibos!P$4:P$3010)</f>
        <v>400</v>
      </c>
      <c r="BE437" s="319">
        <f>SUMIF(Recibos!$D$4:$D$3010,Cobranza!$B437,Recibos!Q$4:Q$3010)</f>
        <v>400</v>
      </c>
      <c r="BF437" s="319">
        <f>SUMIF(Recibos!$D$4:$D$3010,Cobranza!$B437,Recibos!R$4:R$3010)</f>
        <v>400</v>
      </c>
      <c r="BG437" s="319">
        <f>SUMIF(Recibos!$D$4:$D$3010,Cobranza!$B437,Recibos!S$4:S$3010)</f>
        <v>400</v>
      </c>
      <c r="BH437" s="319">
        <f>SUMIF(Recibos!$D$4:$D$3010,Cobranza!$B437,Recibos!T$4:T$3010)</f>
        <v>400</v>
      </c>
      <c r="BI437" s="319">
        <f>SUMIF(Recibos!$D$4:$D$3010,Cobranza!$B437,Recibos!U$4:U$3010)</f>
        <v>400</v>
      </c>
      <c r="BJ437" s="319">
        <f>SUMIF(Recibos!$D$4:$D$3010,Cobranza!$B437,Recibos!V$4:V$3010)</f>
        <v>0</v>
      </c>
      <c r="BK437" s="320">
        <f t="shared" si="45"/>
        <v>4400</v>
      </c>
      <c r="BL437" s="319">
        <f>SUMIF(Recibos!$D$4:$D$3010,Cobranza!$B437,Recibos!X$4:X$3010)</f>
        <v>0</v>
      </c>
      <c r="BM437" s="319">
        <f>SUMIF(Recibos!$D$4:$D$3010,Cobranza!$B437,Recibos!Y$4:Y$3010)</f>
        <v>0</v>
      </c>
      <c r="BN437" s="319">
        <f>SUMIF(Recibos!$D$4:$D$3010,Cobranza!$B437,Recibos!Z$4:Z$3010)</f>
        <v>0</v>
      </c>
      <c r="BO437" s="319">
        <f>SUMIF(Recibos!$D$4:$D$3010,Cobranza!$B437,Recibos!AA$4:AA$3010)</f>
        <v>0</v>
      </c>
      <c r="BP437" s="319">
        <f>SUMIF(Recibos!$D$4:$D$3010,Cobranza!$B437,Recibos!AB$4:AB$3010)</f>
        <v>0</v>
      </c>
      <c r="BQ437" s="319">
        <f>SUMIF(Recibos!$D$4:$D$3010,Cobranza!$B437,Recibos!AC$4:AC$3010)</f>
        <v>0</v>
      </c>
      <c r="BR437" s="319">
        <f>SUMIF(Recibos!$D$4:$D$3010,Cobranza!$B437,Recibos!AD$4:AD$3010)</f>
        <v>0</v>
      </c>
      <c r="BS437" s="319">
        <f>SUMIF(Recibos!$D$4:$D$3010,Cobranza!$B437,Recibos!AE$4:AE$3010)</f>
        <v>0</v>
      </c>
      <c r="BT437" s="319">
        <f>SUMIF(Recibos!$D$4:$D$3010,Cobranza!$B437,Recibos!AF$4:AF$3010)</f>
        <v>0</v>
      </c>
      <c r="BU437" s="319">
        <f>SUMIF(Recibos!$D$4:$D$3010,Cobranza!$B437,Recibos!AG$4:AG$3010)</f>
        <v>0</v>
      </c>
      <c r="BV437" s="319">
        <f>SUMIF(Recibos!$D$4:$D$3010,Cobranza!$B437,Recibos!AH$4:AH$3010)</f>
        <v>0</v>
      </c>
      <c r="BW437" s="319">
        <f>SUMIF(Recibos!$D$4:$D$3010,Cobranza!$B437,Recibos!AI$4:AI$3010)</f>
        <v>0</v>
      </c>
      <c r="BX437" s="320">
        <f t="shared" si="46"/>
        <v>0</v>
      </c>
    </row>
    <row r="438" spans="2:76" x14ac:dyDescent="0.2">
      <c r="B438" s="42" t="s">
        <v>1453</v>
      </c>
      <c r="C438" s="42" t="s">
        <v>1454</v>
      </c>
      <c r="D438" s="42" t="s">
        <v>1455</v>
      </c>
      <c r="E438" s="43">
        <v>0</v>
      </c>
      <c r="F438" s="43">
        <v>0</v>
      </c>
      <c r="G438" s="43">
        <v>0</v>
      </c>
      <c r="H438" s="43">
        <v>0</v>
      </c>
      <c r="I438" s="43">
        <v>0</v>
      </c>
      <c r="J438" s="43">
        <v>0</v>
      </c>
      <c r="K438" s="44">
        <f t="shared" si="41"/>
        <v>0</v>
      </c>
      <c r="L438" s="43">
        <v>300</v>
      </c>
      <c r="M438" s="43">
        <v>300</v>
      </c>
      <c r="N438" s="43">
        <v>300</v>
      </c>
      <c r="O438" s="43">
        <v>300</v>
      </c>
      <c r="P438" s="43">
        <v>300</v>
      </c>
      <c r="Q438" s="43">
        <v>200</v>
      </c>
      <c r="R438" s="43">
        <v>200</v>
      </c>
      <c r="S438" s="43">
        <v>200</v>
      </c>
      <c r="T438" s="43">
        <v>300</v>
      </c>
      <c r="U438" s="43">
        <v>0</v>
      </c>
      <c r="V438" s="43">
        <v>600</v>
      </c>
      <c r="W438" s="43">
        <v>200</v>
      </c>
      <c r="X438" s="44">
        <f t="shared" si="42"/>
        <v>3200</v>
      </c>
      <c r="Y438" s="43">
        <v>200</v>
      </c>
      <c r="Z438" s="43">
        <v>200</v>
      </c>
      <c r="AA438" s="43">
        <v>200</v>
      </c>
      <c r="AB438" s="43">
        <v>200</v>
      </c>
      <c r="AC438" s="43">
        <v>200</v>
      </c>
      <c r="AD438" s="43">
        <v>200</v>
      </c>
      <c r="AE438" s="43">
        <v>200</v>
      </c>
      <c r="AF438" s="43">
        <v>200</v>
      </c>
      <c r="AG438" s="43">
        <v>0</v>
      </c>
      <c r="AH438" s="43">
        <v>0</v>
      </c>
      <c r="AI438" s="43">
        <v>0</v>
      </c>
      <c r="AJ438" s="43">
        <v>0</v>
      </c>
      <c r="AK438" s="44">
        <f t="shared" si="43"/>
        <v>1600</v>
      </c>
      <c r="AL438" s="43">
        <v>0</v>
      </c>
      <c r="AM438" s="43">
        <v>0</v>
      </c>
      <c r="AN438" s="43">
        <v>0</v>
      </c>
      <c r="AO438" s="43">
        <v>0</v>
      </c>
      <c r="AP438" s="43">
        <v>0</v>
      </c>
      <c r="AQ438" s="43">
        <v>0</v>
      </c>
      <c r="AR438" s="43">
        <v>0</v>
      </c>
      <c r="AS438" s="43">
        <v>0</v>
      </c>
      <c r="AT438" s="43">
        <v>0</v>
      </c>
      <c r="AU438" s="43">
        <v>0</v>
      </c>
      <c r="AV438" s="43">
        <v>0</v>
      </c>
      <c r="AW438" s="43">
        <v>0</v>
      </c>
      <c r="AX438" s="44">
        <f t="shared" si="44"/>
        <v>0</v>
      </c>
      <c r="AY438" s="317">
        <f>SUMIF(Recibos!$D$4:$D$3010,Cobranza!$B438,Recibos!K$4:K$3010)</f>
        <v>0</v>
      </c>
      <c r="AZ438" s="317">
        <f>SUMIF(Recibos!$D$4:$D$3010,Cobranza!$B438,Recibos!L$4:L$3010)</f>
        <v>0</v>
      </c>
      <c r="BA438" s="317">
        <f>SUMIF(Recibos!$D$4:$D$3010,Cobranza!$B438,Recibos!M$4:M$3010)</f>
        <v>0</v>
      </c>
      <c r="BB438" s="317">
        <f>SUMIF(Recibos!$D$4:$D$3010,Cobranza!$B438,Recibos!N$4:N$3010)</f>
        <v>0</v>
      </c>
      <c r="BC438" s="317">
        <f>SUMIF(Recibos!$D$4:$D$3010,Cobranza!$B438,Recibos!O$4:O$3010)</f>
        <v>0</v>
      </c>
      <c r="BD438" s="317">
        <f>SUMIF(Recibos!$D$4:$D$3010,Cobranza!$B438,Recibos!P$4:P$3010)</f>
        <v>0</v>
      </c>
      <c r="BE438" s="317">
        <f>SUMIF(Recibos!$D$4:$D$3010,Cobranza!$B438,Recibos!Q$4:Q$3010)</f>
        <v>0</v>
      </c>
      <c r="BF438" s="317">
        <f>SUMIF(Recibos!$D$4:$D$3010,Cobranza!$B438,Recibos!R$4:R$3010)</f>
        <v>0</v>
      </c>
      <c r="BG438" s="317">
        <f>SUMIF(Recibos!$D$4:$D$3010,Cobranza!$B438,Recibos!S$4:S$3010)</f>
        <v>0</v>
      </c>
      <c r="BH438" s="317">
        <f>SUMIF(Recibos!$D$4:$D$3010,Cobranza!$B438,Recibos!T$4:T$3010)</f>
        <v>0</v>
      </c>
      <c r="BI438" s="317">
        <f>SUMIF(Recibos!$D$4:$D$3010,Cobranza!$B438,Recibos!U$4:U$3010)</f>
        <v>0</v>
      </c>
      <c r="BJ438" s="317">
        <f>SUMIF(Recibos!$D$4:$D$3010,Cobranza!$B438,Recibos!V$4:V$3010)</f>
        <v>0</v>
      </c>
      <c r="BK438" s="318">
        <f t="shared" si="45"/>
        <v>0</v>
      </c>
      <c r="BL438" s="317">
        <f>SUMIF(Recibos!$D$4:$D$3010,Cobranza!$B438,Recibos!X$4:X$3010)</f>
        <v>0</v>
      </c>
      <c r="BM438" s="317">
        <f>SUMIF(Recibos!$D$4:$D$3010,Cobranza!$B438,Recibos!Y$4:Y$3010)</f>
        <v>0</v>
      </c>
      <c r="BN438" s="317">
        <f>SUMIF(Recibos!$D$4:$D$3010,Cobranza!$B438,Recibos!Z$4:Z$3010)</f>
        <v>0</v>
      </c>
      <c r="BO438" s="317">
        <f>SUMIF(Recibos!$D$4:$D$3010,Cobranza!$B438,Recibos!AA$4:AA$3010)</f>
        <v>0</v>
      </c>
      <c r="BP438" s="317">
        <f>SUMIF(Recibos!$D$4:$D$3010,Cobranza!$B438,Recibos!AB$4:AB$3010)</f>
        <v>0</v>
      </c>
      <c r="BQ438" s="317">
        <f>SUMIF(Recibos!$D$4:$D$3010,Cobranza!$B438,Recibos!AC$4:AC$3010)</f>
        <v>0</v>
      </c>
      <c r="BR438" s="317">
        <f>SUMIF(Recibos!$D$4:$D$3010,Cobranza!$B438,Recibos!AD$4:AD$3010)</f>
        <v>0</v>
      </c>
      <c r="BS438" s="317">
        <f>SUMIF(Recibos!$D$4:$D$3010,Cobranza!$B438,Recibos!AE$4:AE$3010)</f>
        <v>0</v>
      </c>
      <c r="BT438" s="317">
        <f>SUMIF(Recibos!$D$4:$D$3010,Cobranza!$B438,Recibos!AF$4:AF$3010)</f>
        <v>0</v>
      </c>
      <c r="BU438" s="317">
        <f>SUMIF(Recibos!$D$4:$D$3010,Cobranza!$B438,Recibos!AG$4:AG$3010)</f>
        <v>0</v>
      </c>
      <c r="BV438" s="317">
        <f>SUMIF(Recibos!$D$4:$D$3010,Cobranza!$B438,Recibos!AH$4:AH$3010)</f>
        <v>0</v>
      </c>
      <c r="BW438" s="317">
        <f>SUMIF(Recibos!$D$4:$D$3010,Cobranza!$B438,Recibos!AI$4:AI$3010)</f>
        <v>0</v>
      </c>
      <c r="BX438" s="318">
        <f t="shared" si="46"/>
        <v>0</v>
      </c>
    </row>
    <row r="439" spans="2:76" x14ac:dyDescent="0.2">
      <c r="B439" s="45" t="s">
        <v>286</v>
      </c>
      <c r="C439" s="45" t="s">
        <v>287</v>
      </c>
      <c r="D439" s="45" t="s">
        <v>288</v>
      </c>
      <c r="E439" s="46">
        <v>0</v>
      </c>
      <c r="F439" s="46">
        <v>0</v>
      </c>
      <c r="G439" s="46">
        <v>0</v>
      </c>
      <c r="H439" s="46">
        <v>0</v>
      </c>
      <c r="I439" s="46">
        <v>0</v>
      </c>
      <c r="J439" s="46">
        <v>300</v>
      </c>
      <c r="K439" s="47">
        <f t="shared" si="41"/>
        <v>300</v>
      </c>
      <c r="L439" s="46">
        <v>300</v>
      </c>
      <c r="M439" s="46">
        <v>300</v>
      </c>
      <c r="N439" s="46">
        <v>300</v>
      </c>
      <c r="O439" s="46">
        <v>0</v>
      </c>
      <c r="P439" s="46">
        <v>300</v>
      </c>
      <c r="Q439" s="46">
        <v>300</v>
      </c>
      <c r="R439" s="46">
        <v>300</v>
      </c>
      <c r="S439" s="46">
        <v>300</v>
      </c>
      <c r="T439" s="46">
        <v>300</v>
      </c>
      <c r="U439" s="46">
        <v>400</v>
      </c>
      <c r="V439" s="46">
        <v>400</v>
      </c>
      <c r="W439" s="46">
        <v>400</v>
      </c>
      <c r="X439" s="47">
        <f t="shared" si="42"/>
        <v>3600</v>
      </c>
      <c r="Y439" s="46">
        <v>400</v>
      </c>
      <c r="Z439" s="46">
        <v>400</v>
      </c>
      <c r="AA439" s="46">
        <v>400</v>
      </c>
      <c r="AB439" s="46">
        <v>400</v>
      </c>
      <c r="AC439" s="46">
        <v>400</v>
      </c>
      <c r="AD439" s="46">
        <v>400</v>
      </c>
      <c r="AE439" s="46">
        <v>400</v>
      </c>
      <c r="AF439" s="46">
        <v>400</v>
      </c>
      <c r="AG439" s="46">
        <v>400</v>
      </c>
      <c r="AH439" s="46">
        <v>400</v>
      </c>
      <c r="AI439" s="46">
        <v>400</v>
      </c>
      <c r="AJ439" s="46">
        <v>400</v>
      </c>
      <c r="AK439" s="47">
        <f t="shared" si="43"/>
        <v>4800</v>
      </c>
      <c r="AL439" s="46">
        <v>400</v>
      </c>
      <c r="AM439" s="46">
        <v>400</v>
      </c>
      <c r="AN439" s="46">
        <v>400</v>
      </c>
      <c r="AO439" s="46">
        <v>400</v>
      </c>
      <c r="AP439" s="46">
        <v>400</v>
      </c>
      <c r="AQ439" s="46">
        <v>400</v>
      </c>
      <c r="AR439" s="46">
        <v>400</v>
      </c>
      <c r="AS439" s="46">
        <v>400</v>
      </c>
      <c r="AT439" s="46">
        <v>400</v>
      </c>
      <c r="AU439" s="46">
        <v>400</v>
      </c>
      <c r="AV439" s="46">
        <v>400</v>
      </c>
      <c r="AW439" s="46">
        <v>400</v>
      </c>
      <c r="AX439" s="47">
        <f t="shared" si="44"/>
        <v>4800</v>
      </c>
      <c r="AY439" s="319">
        <f>SUMIF(Recibos!$D$4:$D$3010,Cobranza!$B439,Recibos!K$4:K$3010)</f>
        <v>400</v>
      </c>
      <c r="AZ439" s="319">
        <f>SUMIF(Recibos!$D$4:$D$3010,Cobranza!$B439,Recibos!L$4:L$3010)</f>
        <v>400</v>
      </c>
      <c r="BA439" s="319">
        <f>SUMIF(Recibos!$D$4:$D$3010,Cobranza!$B439,Recibos!M$4:M$3010)</f>
        <v>400</v>
      </c>
      <c r="BB439" s="319">
        <f>SUMIF(Recibos!$D$4:$D$3010,Cobranza!$B439,Recibos!N$4:N$3010)</f>
        <v>400</v>
      </c>
      <c r="BC439" s="319">
        <f>SUMIF(Recibos!$D$4:$D$3010,Cobranza!$B439,Recibos!O$4:O$3010)</f>
        <v>400</v>
      </c>
      <c r="BD439" s="319">
        <f>SUMIF(Recibos!$D$4:$D$3010,Cobranza!$B439,Recibos!P$4:P$3010)</f>
        <v>400</v>
      </c>
      <c r="BE439" s="319">
        <f>SUMIF(Recibos!$D$4:$D$3010,Cobranza!$B439,Recibos!Q$4:Q$3010)</f>
        <v>400</v>
      </c>
      <c r="BF439" s="319">
        <f>SUMIF(Recibos!$D$4:$D$3010,Cobranza!$B439,Recibos!R$4:R$3010)</f>
        <v>400</v>
      </c>
      <c r="BG439" s="319">
        <f>SUMIF(Recibos!$D$4:$D$3010,Cobranza!$B439,Recibos!S$4:S$3010)</f>
        <v>400</v>
      </c>
      <c r="BH439" s="319">
        <f>SUMIF(Recibos!$D$4:$D$3010,Cobranza!$B439,Recibos!T$4:T$3010)</f>
        <v>400</v>
      </c>
      <c r="BI439" s="319">
        <f>SUMIF(Recibos!$D$4:$D$3010,Cobranza!$B439,Recibos!U$4:U$3010)</f>
        <v>400</v>
      </c>
      <c r="BJ439" s="319">
        <f>SUMIF(Recibos!$D$4:$D$3010,Cobranza!$B439,Recibos!V$4:V$3010)</f>
        <v>0</v>
      </c>
      <c r="BK439" s="320">
        <f t="shared" si="45"/>
        <v>4400</v>
      </c>
      <c r="BL439" s="319">
        <f>SUMIF(Recibos!$D$4:$D$3010,Cobranza!$B439,Recibos!X$4:X$3010)</f>
        <v>0</v>
      </c>
      <c r="BM439" s="319">
        <f>SUMIF(Recibos!$D$4:$D$3010,Cobranza!$B439,Recibos!Y$4:Y$3010)</f>
        <v>0</v>
      </c>
      <c r="BN439" s="319">
        <f>SUMIF(Recibos!$D$4:$D$3010,Cobranza!$B439,Recibos!Z$4:Z$3010)</f>
        <v>0</v>
      </c>
      <c r="BO439" s="319">
        <f>SUMIF(Recibos!$D$4:$D$3010,Cobranza!$B439,Recibos!AA$4:AA$3010)</f>
        <v>0</v>
      </c>
      <c r="BP439" s="319">
        <f>SUMIF(Recibos!$D$4:$D$3010,Cobranza!$B439,Recibos!AB$4:AB$3010)</f>
        <v>0</v>
      </c>
      <c r="BQ439" s="319">
        <f>SUMIF(Recibos!$D$4:$D$3010,Cobranza!$B439,Recibos!AC$4:AC$3010)</f>
        <v>0</v>
      </c>
      <c r="BR439" s="319">
        <f>SUMIF(Recibos!$D$4:$D$3010,Cobranza!$B439,Recibos!AD$4:AD$3010)</f>
        <v>0</v>
      </c>
      <c r="BS439" s="319">
        <f>SUMIF(Recibos!$D$4:$D$3010,Cobranza!$B439,Recibos!AE$4:AE$3010)</f>
        <v>0</v>
      </c>
      <c r="BT439" s="319">
        <f>SUMIF(Recibos!$D$4:$D$3010,Cobranza!$B439,Recibos!AF$4:AF$3010)</f>
        <v>0</v>
      </c>
      <c r="BU439" s="319">
        <f>SUMIF(Recibos!$D$4:$D$3010,Cobranza!$B439,Recibos!AG$4:AG$3010)</f>
        <v>0</v>
      </c>
      <c r="BV439" s="319">
        <f>SUMIF(Recibos!$D$4:$D$3010,Cobranza!$B439,Recibos!AH$4:AH$3010)</f>
        <v>0</v>
      </c>
      <c r="BW439" s="319">
        <f>SUMIF(Recibos!$D$4:$D$3010,Cobranza!$B439,Recibos!AI$4:AI$3010)</f>
        <v>0</v>
      </c>
      <c r="BX439" s="320">
        <f t="shared" si="46"/>
        <v>0</v>
      </c>
    </row>
    <row r="440" spans="2:76" x14ac:dyDescent="0.2">
      <c r="B440" s="42" t="s">
        <v>987</v>
      </c>
      <c r="C440" s="42" t="s">
        <v>988</v>
      </c>
      <c r="D440" s="42" t="s">
        <v>989</v>
      </c>
      <c r="E440" s="43">
        <v>0</v>
      </c>
      <c r="F440" s="43">
        <v>0</v>
      </c>
      <c r="G440" s="43">
        <v>0</v>
      </c>
      <c r="H440" s="43">
        <v>0</v>
      </c>
      <c r="I440" s="43">
        <v>0</v>
      </c>
      <c r="J440" s="43">
        <v>0</v>
      </c>
      <c r="K440" s="44">
        <f t="shared" si="41"/>
        <v>0</v>
      </c>
      <c r="L440" s="43">
        <v>0</v>
      </c>
      <c r="M440" s="43">
        <v>0</v>
      </c>
      <c r="N440" s="43">
        <v>0</v>
      </c>
      <c r="O440" s="43">
        <v>0</v>
      </c>
      <c r="P440" s="43">
        <v>0</v>
      </c>
      <c r="Q440" s="43">
        <v>0</v>
      </c>
      <c r="R440" s="43">
        <v>0</v>
      </c>
      <c r="S440" s="43">
        <v>0</v>
      </c>
      <c r="T440" s="43">
        <v>0</v>
      </c>
      <c r="U440" s="43">
        <v>0</v>
      </c>
      <c r="V440" s="43">
        <v>0</v>
      </c>
      <c r="W440" s="43">
        <v>0</v>
      </c>
      <c r="X440" s="44">
        <f t="shared" si="42"/>
        <v>0</v>
      </c>
      <c r="Y440" s="43">
        <v>0</v>
      </c>
      <c r="Z440" s="43">
        <v>0</v>
      </c>
      <c r="AA440" s="43">
        <v>0</v>
      </c>
      <c r="AB440" s="43">
        <v>0</v>
      </c>
      <c r="AC440" s="43">
        <v>0</v>
      </c>
      <c r="AD440" s="43">
        <v>0</v>
      </c>
      <c r="AE440" s="43">
        <v>0</v>
      </c>
      <c r="AF440" s="43">
        <v>0</v>
      </c>
      <c r="AG440" s="43">
        <v>0</v>
      </c>
      <c r="AH440" s="43">
        <v>0</v>
      </c>
      <c r="AI440" s="43">
        <v>0</v>
      </c>
      <c r="AJ440" s="43">
        <v>0</v>
      </c>
      <c r="AK440" s="44">
        <f t="shared" si="43"/>
        <v>0</v>
      </c>
      <c r="AL440" s="43">
        <v>0</v>
      </c>
      <c r="AM440" s="43">
        <v>0</v>
      </c>
      <c r="AN440" s="43">
        <v>0</v>
      </c>
      <c r="AO440" s="43">
        <v>0</v>
      </c>
      <c r="AP440" s="43">
        <v>0</v>
      </c>
      <c r="AQ440" s="43">
        <v>0</v>
      </c>
      <c r="AR440" s="43">
        <v>0</v>
      </c>
      <c r="AS440" s="43">
        <v>0</v>
      </c>
      <c r="AT440" s="43">
        <v>0</v>
      </c>
      <c r="AU440" s="43">
        <v>0</v>
      </c>
      <c r="AV440" s="43">
        <v>0</v>
      </c>
      <c r="AW440" s="43">
        <v>0</v>
      </c>
      <c r="AX440" s="44">
        <f t="shared" si="44"/>
        <v>0</v>
      </c>
      <c r="AY440" s="317">
        <f>SUMIF(Recibos!$D$4:$D$3010,Cobranza!$B440,Recibos!K$4:K$3010)</f>
        <v>200</v>
      </c>
      <c r="AZ440" s="317">
        <f>SUMIF(Recibos!$D$4:$D$3010,Cobranza!$B440,Recibos!L$4:L$3010)</f>
        <v>200</v>
      </c>
      <c r="BA440" s="317">
        <f>SUMIF(Recibos!$D$4:$D$3010,Cobranza!$B440,Recibos!M$4:M$3010)</f>
        <v>200</v>
      </c>
      <c r="BB440" s="317">
        <f>SUMIF(Recibos!$D$4:$D$3010,Cobranza!$B440,Recibos!N$4:N$3010)</f>
        <v>200</v>
      </c>
      <c r="BC440" s="317">
        <f>SUMIF(Recibos!$D$4:$D$3010,Cobranza!$B440,Recibos!O$4:O$3010)</f>
        <v>0</v>
      </c>
      <c r="BD440" s="317">
        <f>SUMIF(Recibos!$D$4:$D$3010,Cobranza!$B440,Recibos!P$4:P$3010)</f>
        <v>0</v>
      </c>
      <c r="BE440" s="317">
        <f>SUMIF(Recibos!$D$4:$D$3010,Cobranza!$B440,Recibos!Q$4:Q$3010)</f>
        <v>0</v>
      </c>
      <c r="BF440" s="317">
        <f>SUMIF(Recibos!$D$4:$D$3010,Cobranza!$B440,Recibos!R$4:R$3010)</f>
        <v>0</v>
      </c>
      <c r="BG440" s="317">
        <f>SUMIF(Recibos!$D$4:$D$3010,Cobranza!$B440,Recibos!S$4:S$3010)</f>
        <v>0</v>
      </c>
      <c r="BH440" s="317">
        <f>SUMIF(Recibos!$D$4:$D$3010,Cobranza!$B440,Recibos!T$4:T$3010)</f>
        <v>0</v>
      </c>
      <c r="BI440" s="317">
        <f>SUMIF(Recibos!$D$4:$D$3010,Cobranza!$B440,Recibos!U$4:U$3010)</f>
        <v>0</v>
      </c>
      <c r="BJ440" s="317">
        <f>SUMIF(Recibos!$D$4:$D$3010,Cobranza!$B440,Recibos!V$4:V$3010)</f>
        <v>0</v>
      </c>
      <c r="BK440" s="318">
        <f t="shared" si="45"/>
        <v>800</v>
      </c>
      <c r="BL440" s="317">
        <f>SUMIF(Recibos!$D$4:$D$3010,Cobranza!$B440,Recibos!X$4:X$3010)</f>
        <v>0</v>
      </c>
      <c r="BM440" s="317">
        <f>SUMIF(Recibos!$D$4:$D$3010,Cobranza!$B440,Recibos!Y$4:Y$3010)</f>
        <v>0</v>
      </c>
      <c r="BN440" s="317">
        <f>SUMIF(Recibos!$D$4:$D$3010,Cobranza!$B440,Recibos!Z$4:Z$3010)</f>
        <v>0</v>
      </c>
      <c r="BO440" s="317">
        <f>SUMIF(Recibos!$D$4:$D$3010,Cobranza!$B440,Recibos!AA$4:AA$3010)</f>
        <v>0</v>
      </c>
      <c r="BP440" s="317">
        <f>SUMIF(Recibos!$D$4:$D$3010,Cobranza!$B440,Recibos!AB$4:AB$3010)</f>
        <v>0</v>
      </c>
      <c r="BQ440" s="317">
        <f>SUMIF(Recibos!$D$4:$D$3010,Cobranza!$B440,Recibos!AC$4:AC$3010)</f>
        <v>0</v>
      </c>
      <c r="BR440" s="317">
        <f>SUMIF(Recibos!$D$4:$D$3010,Cobranza!$B440,Recibos!AD$4:AD$3010)</f>
        <v>0</v>
      </c>
      <c r="BS440" s="317">
        <f>SUMIF(Recibos!$D$4:$D$3010,Cobranza!$B440,Recibos!AE$4:AE$3010)</f>
        <v>0</v>
      </c>
      <c r="BT440" s="317">
        <f>SUMIF(Recibos!$D$4:$D$3010,Cobranza!$B440,Recibos!AF$4:AF$3010)</f>
        <v>0</v>
      </c>
      <c r="BU440" s="317">
        <f>SUMIF(Recibos!$D$4:$D$3010,Cobranza!$B440,Recibos!AG$4:AG$3010)</f>
        <v>0</v>
      </c>
      <c r="BV440" s="317">
        <f>SUMIF(Recibos!$D$4:$D$3010,Cobranza!$B440,Recibos!AH$4:AH$3010)</f>
        <v>0</v>
      </c>
      <c r="BW440" s="317">
        <f>SUMIF(Recibos!$D$4:$D$3010,Cobranza!$B440,Recibos!AI$4:AI$3010)</f>
        <v>0</v>
      </c>
      <c r="BX440" s="318">
        <f t="shared" si="46"/>
        <v>0</v>
      </c>
    </row>
    <row r="441" spans="2:76" x14ac:dyDescent="0.2">
      <c r="B441" s="45" t="s">
        <v>159</v>
      </c>
      <c r="C441" s="45" t="s">
        <v>160</v>
      </c>
      <c r="D441" s="45" t="s">
        <v>161</v>
      </c>
      <c r="E441" s="46">
        <v>0</v>
      </c>
      <c r="F441" s="46">
        <v>0</v>
      </c>
      <c r="G441" s="46">
        <v>0</v>
      </c>
      <c r="H441" s="46">
        <v>0</v>
      </c>
      <c r="I441" s="46">
        <v>0</v>
      </c>
      <c r="J441" s="46">
        <v>300</v>
      </c>
      <c r="K441" s="47">
        <f t="shared" si="41"/>
        <v>300</v>
      </c>
      <c r="L441" s="46">
        <v>300</v>
      </c>
      <c r="M441" s="46">
        <v>300</v>
      </c>
      <c r="N441" s="46">
        <v>300</v>
      </c>
      <c r="O441" s="46">
        <v>300</v>
      </c>
      <c r="P441" s="46">
        <v>300</v>
      </c>
      <c r="Q441" s="46">
        <v>300</v>
      </c>
      <c r="R441" s="46">
        <v>300</v>
      </c>
      <c r="S441" s="46">
        <v>300</v>
      </c>
      <c r="T441" s="46">
        <v>300</v>
      </c>
      <c r="U441" s="46">
        <v>300</v>
      </c>
      <c r="V441" s="46">
        <v>400</v>
      </c>
      <c r="W441" s="46">
        <v>400</v>
      </c>
      <c r="X441" s="47">
        <f t="shared" si="42"/>
        <v>3800</v>
      </c>
      <c r="Y441" s="46">
        <v>400</v>
      </c>
      <c r="Z441" s="46">
        <v>400</v>
      </c>
      <c r="AA441" s="46">
        <v>400</v>
      </c>
      <c r="AB441" s="46">
        <v>400</v>
      </c>
      <c r="AC441" s="46">
        <v>400</v>
      </c>
      <c r="AD441" s="46">
        <v>400</v>
      </c>
      <c r="AE441" s="46">
        <v>400</v>
      </c>
      <c r="AF441" s="46">
        <v>400</v>
      </c>
      <c r="AG441" s="46">
        <v>400</v>
      </c>
      <c r="AH441" s="46">
        <v>400</v>
      </c>
      <c r="AI441" s="46">
        <v>400</v>
      </c>
      <c r="AJ441" s="46">
        <v>400</v>
      </c>
      <c r="AK441" s="47">
        <f t="shared" si="43"/>
        <v>4800</v>
      </c>
      <c r="AL441" s="46">
        <v>400</v>
      </c>
      <c r="AM441" s="46">
        <v>400</v>
      </c>
      <c r="AN441" s="46">
        <v>400</v>
      </c>
      <c r="AO441" s="46">
        <v>400</v>
      </c>
      <c r="AP441" s="46">
        <v>400</v>
      </c>
      <c r="AQ441" s="46">
        <v>400</v>
      </c>
      <c r="AR441" s="46">
        <v>400</v>
      </c>
      <c r="AS441" s="46">
        <v>400</v>
      </c>
      <c r="AT441" s="46">
        <v>400</v>
      </c>
      <c r="AU441" s="46">
        <v>400</v>
      </c>
      <c r="AV441" s="46">
        <v>400</v>
      </c>
      <c r="AW441" s="46">
        <v>400</v>
      </c>
      <c r="AX441" s="47">
        <f t="shared" si="44"/>
        <v>4800</v>
      </c>
      <c r="AY441" s="319">
        <f>SUMIF(Recibos!$D$4:$D$3010,Cobranza!$B441,Recibos!K$4:K$3010)</f>
        <v>400</v>
      </c>
      <c r="AZ441" s="319">
        <f>SUMIF(Recibos!$D$4:$D$3010,Cobranza!$B441,Recibos!L$4:L$3010)</f>
        <v>400</v>
      </c>
      <c r="BA441" s="319">
        <f>SUMIF(Recibos!$D$4:$D$3010,Cobranza!$B441,Recibos!M$4:M$3010)</f>
        <v>400</v>
      </c>
      <c r="BB441" s="319">
        <f>SUMIF(Recibos!$D$4:$D$3010,Cobranza!$B441,Recibos!N$4:N$3010)</f>
        <v>400</v>
      </c>
      <c r="BC441" s="319">
        <f>SUMIF(Recibos!$D$4:$D$3010,Cobranza!$B441,Recibos!O$4:O$3010)</f>
        <v>400</v>
      </c>
      <c r="BD441" s="319">
        <f>SUMIF(Recibos!$D$4:$D$3010,Cobranza!$B441,Recibos!P$4:P$3010)</f>
        <v>400</v>
      </c>
      <c r="BE441" s="319">
        <f>SUMIF(Recibos!$D$4:$D$3010,Cobranza!$B441,Recibos!Q$4:Q$3010)</f>
        <v>400</v>
      </c>
      <c r="BF441" s="319">
        <f>SUMIF(Recibos!$D$4:$D$3010,Cobranza!$B441,Recibos!R$4:R$3010)</f>
        <v>400</v>
      </c>
      <c r="BG441" s="319">
        <f>SUMIF(Recibos!$D$4:$D$3010,Cobranza!$B441,Recibos!S$4:S$3010)</f>
        <v>400</v>
      </c>
      <c r="BH441" s="319">
        <f>SUMIF(Recibos!$D$4:$D$3010,Cobranza!$B441,Recibos!T$4:T$3010)</f>
        <v>400</v>
      </c>
      <c r="BI441" s="319">
        <f>SUMIF(Recibos!$D$4:$D$3010,Cobranza!$B441,Recibos!U$4:U$3010)</f>
        <v>400</v>
      </c>
      <c r="BJ441" s="319">
        <f>SUMIF(Recibos!$D$4:$D$3010,Cobranza!$B441,Recibos!V$4:V$3010)</f>
        <v>400</v>
      </c>
      <c r="BK441" s="320">
        <f t="shared" si="45"/>
        <v>4800</v>
      </c>
      <c r="BL441" s="319">
        <f>SUMIF(Recibos!$D$4:$D$3010,Cobranza!$B441,Recibos!X$4:X$3010)</f>
        <v>0</v>
      </c>
      <c r="BM441" s="319">
        <f>SUMIF(Recibos!$D$4:$D$3010,Cobranza!$B441,Recibos!Y$4:Y$3010)</f>
        <v>0</v>
      </c>
      <c r="BN441" s="319">
        <f>SUMIF(Recibos!$D$4:$D$3010,Cobranza!$B441,Recibos!Z$4:Z$3010)</f>
        <v>0</v>
      </c>
      <c r="BO441" s="319">
        <f>SUMIF(Recibos!$D$4:$D$3010,Cobranza!$B441,Recibos!AA$4:AA$3010)</f>
        <v>0</v>
      </c>
      <c r="BP441" s="319">
        <f>SUMIF(Recibos!$D$4:$D$3010,Cobranza!$B441,Recibos!AB$4:AB$3010)</f>
        <v>0</v>
      </c>
      <c r="BQ441" s="319">
        <f>SUMIF(Recibos!$D$4:$D$3010,Cobranza!$B441,Recibos!AC$4:AC$3010)</f>
        <v>0</v>
      </c>
      <c r="BR441" s="319">
        <f>SUMIF(Recibos!$D$4:$D$3010,Cobranza!$B441,Recibos!AD$4:AD$3010)</f>
        <v>0</v>
      </c>
      <c r="BS441" s="319">
        <f>SUMIF(Recibos!$D$4:$D$3010,Cobranza!$B441,Recibos!AE$4:AE$3010)</f>
        <v>0</v>
      </c>
      <c r="BT441" s="319">
        <f>SUMIF(Recibos!$D$4:$D$3010,Cobranza!$B441,Recibos!AF$4:AF$3010)</f>
        <v>0</v>
      </c>
      <c r="BU441" s="319">
        <f>SUMIF(Recibos!$D$4:$D$3010,Cobranza!$B441,Recibos!AG$4:AG$3010)</f>
        <v>0</v>
      </c>
      <c r="BV441" s="319">
        <f>SUMIF(Recibos!$D$4:$D$3010,Cobranza!$B441,Recibos!AH$4:AH$3010)</f>
        <v>0</v>
      </c>
      <c r="BW441" s="319">
        <f>SUMIF(Recibos!$D$4:$D$3010,Cobranza!$B441,Recibos!AI$4:AI$3010)</f>
        <v>0</v>
      </c>
      <c r="BX441" s="320">
        <f t="shared" si="46"/>
        <v>0</v>
      </c>
    </row>
    <row r="442" spans="2:76" x14ac:dyDescent="0.2">
      <c r="B442" s="42" t="s">
        <v>556</v>
      </c>
      <c r="C442" s="42" t="s">
        <v>557</v>
      </c>
      <c r="D442" s="42" t="s">
        <v>558</v>
      </c>
      <c r="E442" s="43">
        <v>0</v>
      </c>
      <c r="F442" s="43">
        <v>0</v>
      </c>
      <c r="G442" s="43">
        <v>0</v>
      </c>
      <c r="H442" s="43">
        <v>0</v>
      </c>
      <c r="I442" s="43">
        <v>0</v>
      </c>
      <c r="J442" s="43">
        <v>300</v>
      </c>
      <c r="K442" s="44">
        <f t="shared" si="41"/>
        <v>300</v>
      </c>
      <c r="L442" s="43">
        <v>300</v>
      </c>
      <c r="M442" s="43">
        <v>300</v>
      </c>
      <c r="N442" s="43">
        <v>300</v>
      </c>
      <c r="O442" s="43">
        <v>300</v>
      </c>
      <c r="P442" s="43">
        <v>300</v>
      </c>
      <c r="Q442" s="43">
        <v>300</v>
      </c>
      <c r="R442" s="43">
        <v>300</v>
      </c>
      <c r="S442" s="43">
        <v>300</v>
      </c>
      <c r="T442" s="43">
        <v>300</v>
      </c>
      <c r="U442" s="43">
        <v>300</v>
      </c>
      <c r="V442" s="43">
        <v>400</v>
      </c>
      <c r="W442" s="43">
        <v>0</v>
      </c>
      <c r="X442" s="44">
        <f t="shared" si="42"/>
        <v>3400</v>
      </c>
      <c r="Y442" s="43">
        <v>400</v>
      </c>
      <c r="Z442" s="43">
        <v>400</v>
      </c>
      <c r="AA442" s="43">
        <v>0</v>
      </c>
      <c r="AB442" s="43">
        <v>400</v>
      </c>
      <c r="AC442" s="43">
        <v>400</v>
      </c>
      <c r="AD442" s="43">
        <v>0</v>
      </c>
      <c r="AE442" s="43">
        <v>400</v>
      </c>
      <c r="AF442" s="43">
        <v>800</v>
      </c>
      <c r="AG442" s="43">
        <v>400</v>
      </c>
      <c r="AH442" s="43">
        <v>400</v>
      </c>
      <c r="AI442" s="43">
        <v>400</v>
      </c>
      <c r="AJ442" s="43">
        <v>400</v>
      </c>
      <c r="AK442" s="44">
        <f t="shared" si="43"/>
        <v>4400</v>
      </c>
      <c r="AL442" s="43">
        <v>400</v>
      </c>
      <c r="AM442" s="43">
        <v>400</v>
      </c>
      <c r="AN442" s="43">
        <v>400</v>
      </c>
      <c r="AO442" s="43">
        <v>400</v>
      </c>
      <c r="AP442" s="43">
        <v>400</v>
      </c>
      <c r="AQ442" s="43">
        <v>400</v>
      </c>
      <c r="AR442" s="43">
        <v>400</v>
      </c>
      <c r="AS442" s="43">
        <v>400</v>
      </c>
      <c r="AT442" s="43">
        <v>400</v>
      </c>
      <c r="AU442" s="43">
        <v>400</v>
      </c>
      <c r="AV442" s="43">
        <v>400</v>
      </c>
      <c r="AW442" s="43">
        <v>400</v>
      </c>
      <c r="AX442" s="44">
        <f t="shared" si="44"/>
        <v>4800</v>
      </c>
      <c r="AY442" s="317">
        <f>SUMIF(Recibos!$D$4:$D$3010,Cobranza!$B442,Recibos!K$4:K$3010)</f>
        <v>400</v>
      </c>
      <c r="AZ442" s="317">
        <f>SUMIF(Recibos!$D$4:$D$3010,Cobranza!$B442,Recibos!L$4:L$3010)</f>
        <v>400</v>
      </c>
      <c r="BA442" s="317">
        <f>SUMIF(Recibos!$D$4:$D$3010,Cobranza!$B442,Recibos!M$4:M$3010)</f>
        <v>400</v>
      </c>
      <c r="BB442" s="317">
        <f>SUMIF(Recibos!$D$4:$D$3010,Cobranza!$B442,Recibos!N$4:N$3010)</f>
        <v>400</v>
      </c>
      <c r="BC442" s="317">
        <f>SUMIF(Recibos!$D$4:$D$3010,Cobranza!$B442,Recibos!O$4:O$3010)</f>
        <v>400</v>
      </c>
      <c r="BD442" s="317">
        <f>SUMIF(Recibos!$D$4:$D$3010,Cobranza!$B442,Recibos!P$4:P$3010)</f>
        <v>400</v>
      </c>
      <c r="BE442" s="317">
        <f>SUMIF(Recibos!$D$4:$D$3010,Cobranza!$B442,Recibos!Q$4:Q$3010)</f>
        <v>400</v>
      </c>
      <c r="BF442" s="317">
        <f>SUMIF(Recibos!$D$4:$D$3010,Cobranza!$B442,Recibos!R$4:R$3010)</f>
        <v>400</v>
      </c>
      <c r="BG442" s="317">
        <f>SUMIF(Recibos!$D$4:$D$3010,Cobranza!$B442,Recibos!S$4:S$3010)</f>
        <v>400</v>
      </c>
      <c r="BH442" s="317">
        <f>SUMIF(Recibos!$D$4:$D$3010,Cobranza!$B442,Recibos!T$4:T$3010)</f>
        <v>400</v>
      </c>
      <c r="BI442" s="317">
        <f>SUMIF(Recibos!$D$4:$D$3010,Cobranza!$B442,Recibos!U$4:U$3010)</f>
        <v>0</v>
      </c>
      <c r="BJ442" s="317">
        <f>SUMIF(Recibos!$D$4:$D$3010,Cobranza!$B442,Recibos!V$4:V$3010)</f>
        <v>0</v>
      </c>
      <c r="BK442" s="318">
        <f t="shared" si="45"/>
        <v>4000</v>
      </c>
      <c r="BL442" s="317">
        <f>SUMIF(Recibos!$D$4:$D$3010,Cobranza!$B442,Recibos!X$4:X$3010)</f>
        <v>0</v>
      </c>
      <c r="BM442" s="317">
        <f>SUMIF(Recibos!$D$4:$D$3010,Cobranza!$B442,Recibos!Y$4:Y$3010)</f>
        <v>0</v>
      </c>
      <c r="BN442" s="317">
        <f>SUMIF(Recibos!$D$4:$D$3010,Cobranza!$B442,Recibos!Z$4:Z$3010)</f>
        <v>0</v>
      </c>
      <c r="BO442" s="317">
        <f>SUMIF(Recibos!$D$4:$D$3010,Cobranza!$B442,Recibos!AA$4:AA$3010)</f>
        <v>0</v>
      </c>
      <c r="BP442" s="317">
        <f>SUMIF(Recibos!$D$4:$D$3010,Cobranza!$B442,Recibos!AB$4:AB$3010)</f>
        <v>0</v>
      </c>
      <c r="BQ442" s="317">
        <f>SUMIF(Recibos!$D$4:$D$3010,Cobranza!$B442,Recibos!AC$4:AC$3010)</f>
        <v>0</v>
      </c>
      <c r="BR442" s="317">
        <f>SUMIF(Recibos!$D$4:$D$3010,Cobranza!$B442,Recibos!AD$4:AD$3010)</f>
        <v>0</v>
      </c>
      <c r="BS442" s="317">
        <f>SUMIF(Recibos!$D$4:$D$3010,Cobranza!$B442,Recibos!AE$4:AE$3010)</f>
        <v>0</v>
      </c>
      <c r="BT442" s="317">
        <f>SUMIF(Recibos!$D$4:$D$3010,Cobranza!$B442,Recibos!AF$4:AF$3010)</f>
        <v>0</v>
      </c>
      <c r="BU442" s="317">
        <f>SUMIF(Recibos!$D$4:$D$3010,Cobranza!$B442,Recibos!AG$4:AG$3010)</f>
        <v>0</v>
      </c>
      <c r="BV442" s="317">
        <f>SUMIF(Recibos!$D$4:$D$3010,Cobranza!$B442,Recibos!AH$4:AH$3010)</f>
        <v>0</v>
      </c>
      <c r="BW442" s="317">
        <f>SUMIF(Recibos!$D$4:$D$3010,Cobranza!$B442,Recibos!AI$4:AI$3010)</f>
        <v>0</v>
      </c>
      <c r="BX442" s="318">
        <f t="shared" si="46"/>
        <v>0</v>
      </c>
    </row>
    <row r="443" spans="2:76" x14ac:dyDescent="0.2">
      <c r="B443" s="45" t="s">
        <v>1456</v>
      </c>
      <c r="C443" s="45" t="s">
        <v>1457</v>
      </c>
      <c r="D443" s="45" t="s">
        <v>1458</v>
      </c>
      <c r="E443" s="46">
        <v>0</v>
      </c>
      <c r="F443" s="46">
        <v>0</v>
      </c>
      <c r="G443" s="46">
        <v>0</v>
      </c>
      <c r="H443" s="46">
        <v>0</v>
      </c>
      <c r="I443" s="46">
        <v>0</v>
      </c>
      <c r="J443" s="46">
        <v>0</v>
      </c>
      <c r="K443" s="47">
        <f t="shared" si="41"/>
        <v>0</v>
      </c>
      <c r="L443" s="46">
        <v>300</v>
      </c>
      <c r="M443" s="46">
        <v>300</v>
      </c>
      <c r="N443" s="46">
        <v>300</v>
      </c>
      <c r="O443" s="46">
        <v>300</v>
      </c>
      <c r="P443" s="46">
        <v>300</v>
      </c>
      <c r="Q443" s="46">
        <v>300</v>
      </c>
      <c r="R443" s="46">
        <v>300</v>
      </c>
      <c r="S443" s="46">
        <v>300</v>
      </c>
      <c r="T443" s="46">
        <v>300</v>
      </c>
      <c r="U443" s="46">
        <v>300</v>
      </c>
      <c r="V443" s="46">
        <v>400</v>
      </c>
      <c r="W443" s="46">
        <v>0</v>
      </c>
      <c r="X443" s="47">
        <f t="shared" si="42"/>
        <v>3400</v>
      </c>
      <c r="Y443" s="46">
        <v>400</v>
      </c>
      <c r="Z443" s="46">
        <v>0</v>
      </c>
      <c r="AA443" s="46">
        <v>0</v>
      </c>
      <c r="AB443" s="46">
        <v>0</v>
      </c>
      <c r="AC443" s="46">
        <v>400</v>
      </c>
      <c r="AD443" s="46">
        <v>400</v>
      </c>
      <c r="AE443" s="46">
        <v>400</v>
      </c>
      <c r="AF443" s="46">
        <v>400</v>
      </c>
      <c r="AG443" s="46">
        <v>400</v>
      </c>
      <c r="AH443" s="46">
        <v>400</v>
      </c>
      <c r="AI443" s="46">
        <v>400</v>
      </c>
      <c r="AJ443" s="46">
        <v>400</v>
      </c>
      <c r="AK443" s="47">
        <f t="shared" si="43"/>
        <v>3600</v>
      </c>
      <c r="AL443" s="46">
        <v>400</v>
      </c>
      <c r="AM443" s="46">
        <v>400</v>
      </c>
      <c r="AN443" s="46">
        <v>400</v>
      </c>
      <c r="AO443" s="46">
        <v>400</v>
      </c>
      <c r="AP443" s="46">
        <v>400</v>
      </c>
      <c r="AQ443" s="46">
        <v>400</v>
      </c>
      <c r="AR443" s="46">
        <v>400</v>
      </c>
      <c r="AS443" s="46">
        <v>400</v>
      </c>
      <c r="AT443" s="46">
        <v>400</v>
      </c>
      <c r="AU443" s="46">
        <v>400</v>
      </c>
      <c r="AV443" s="46">
        <v>400</v>
      </c>
      <c r="AW443" s="46">
        <v>0</v>
      </c>
      <c r="AX443" s="47">
        <f t="shared" si="44"/>
        <v>4400</v>
      </c>
      <c r="AY443" s="319">
        <f>SUMIF(Recibos!$D$4:$D$3010,Cobranza!$B443,Recibos!K$4:K$3010)</f>
        <v>0</v>
      </c>
      <c r="AZ443" s="319">
        <f>SUMIF(Recibos!$D$4:$D$3010,Cobranza!$B443,Recibos!L$4:L$3010)</f>
        <v>0</v>
      </c>
      <c r="BA443" s="319">
        <f>SUMIF(Recibos!$D$4:$D$3010,Cobranza!$B443,Recibos!M$4:M$3010)</f>
        <v>0</v>
      </c>
      <c r="BB443" s="319">
        <f>SUMIF(Recibos!$D$4:$D$3010,Cobranza!$B443,Recibos!N$4:N$3010)</f>
        <v>0</v>
      </c>
      <c r="BC443" s="319">
        <f>SUMIF(Recibos!$D$4:$D$3010,Cobranza!$B443,Recibos!O$4:O$3010)</f>
        <v>0</v>
      </c>
      <c r="BD443" s="319">
        <f>SUMIF(Recibos!$D$4:$D$3010,Cobranza!$B443,Recibos!P$4:P$3010)</f>
        <v>0</v>
      </c>
      <c r="BE443" s="319">
        <f>SUMIF(Recibos!$D$4:$D$3010,Cobranza!$B443,Recibos!Q$4:Q$3010)</f>
        <v>0</v>
      </c>
      <c r="BF443" s="319">
        <f>SUMIF(Recibos!$D$4:$D$3010,Cobranza!$B443,Recibos!R$4:R$3010)</f>
        <v>0</v>
      </c>
      <c r="BG443" s="319">
        <f>SUMIF(Recibos!$D$4:$D$3010,Cobranza!$B443,Recibos!S$4:S$3010)</f>
        <v>0</v>
      </c>
      <c r="BH443" s="319">
        <f>SUMIF(Recibos!$D$4:$D$3010,Cobranza!$B443,Recibos!T$4:T$3010)</f>
        <v>0</v>
      </c>
      <c r="BI443" s="319">
        <f>SUMIF(Recibos!$D$4:$D$3010,Cobranza!$B443,Recibos!U$4:U$3010)</f>
        <v>0</v>
      </c>
      <c r="BJ443" s="319">
        <f>SUMIF(Recibos!$D$4:$D$3010,Cobranza!$B443,Recibos!V$4:V$3010)</f>
        <v>0</v>
      </c>
      <c r="BK443" s="320">
        <f t="shared" si="45"/>
        <v>0</v>
      </c>
      <c r="BL443" s="319">
        <f>SUMIF(Recibos!$D$4:$D$3010,Cobranza!$B443,Recibos!X$4:X$3010)</f>
        <v>0</v>
      </c>
      <c r="BM443" s="319">
        <f>SUMIF(Recibos!$D$4:$D$3010,Cobranza!$B443,Recibos!Y$4:Y$3010)</f>
        <v>0</v>
      </c>
      <c r="BN443" s="319">
        <f>SUMIF(Recibos!$D$4:$D$3010,Cobranza!$B443,Recibos!Z$4:Z$3010)</f>
        <v>0</v>
      </c>
      <c r="BO443" s="319">
        <f>SUMIF(Recibos!$D$4:$D$3010,Cobranza!$B443,Recibos!AA$4:AA$3010)</f>
        <v>0</v>
      </c>
      <c r="BP443" s="319">
        <f>SUMIF(Recibos!$D$4:$D$3010,Cobranza!$B443,Recibos!AB$4:AB$3010)</f>
        <v>0</v>
      </c>
      <c r="BQ443" s="319">
        <f>SUMIF(Recibos!$D$4:$D$3010,Cobranza!$B443,Recibos!AC$4:AC$3010)</f>
        <v>0</v>
      </c>
      <c r="BR443" s="319">
        <f>SUMIF(Recibos!$D$4:$D$3010,Cobranza!$B443,Recibos!AD$4:AD$3010)</f>
        <v>0</v>
      </c>
      <c r="BS443" s="319">
        <f>SUMIF(Recibos!$D$4:$D$3010,Cobranza!$B443,Recibos!AE$4:AE$3010)</f>
        <v>0</v>
      </c>
      <c r="BT443" s="319">
        <f>SUMIF(Recibos!$D$4:$D$3010,Cobranza!$B443,Recibos!AF$4:AF$3010)</f>
        <v>0</v>
      </c>
      <c r="BU443" s="319">
        <f>SUMIF(Recibos!$D$4:$D$3010,Cobranza!$B443,Recibos!AG$4:AG$3010)</f>
        <v>0</v>
      </c>
      <c r="BV443" s="319">
        <f>SUMIF(Recibos!$D$4:$D$3010,Cobranza!$B443,Recibos!AH$4:AH$3010)</f>
        <v>0</v>
      </c>
      <c r="BW443" s="319">
        <f>SUMIF(Recibos!$D$4:$D$3010,Cobranza!$B443,Recibos!AI$4:AI$3010)</f>
        <v>0</v>
      </c>
      <c r="BX443" s="320">
        <f t="shared" si="46"/>
        <v>0</v>
      </c>
    </row>
    <row r="444" spans="2:76" x14ac:dyDescent="0.2">
      <c r="B444" s="42" t="s">
        <v>725</v>
      </c>
      <c r="C444" s="42" t="s">
        <v>726</v>
      </c>
      <c r="D444" s="42" t="s">
        <v>727</v>
      </c>
      <c r="E444" s="43">
        <v>0</v>
      </c>
      <c r="F444" s="43">
        <v>0</v>
      </c>
      <c r="G444" s="43">
        <v>0</v>
      </c>
      <c r="H444" s="43">
        <v>0</v>
      </c>
      <c r="I444" s="43">
        <v>0</v>
      </c>
      <c r="J444" s="43">
        <v>300</v>
      </c>
      <c r="K444" s="44">
        <f t="shared" si="41"/>
        <v>300</v>
      </c>
      <c r="L444" s="43">
        <v>300</v>
      </c>
      <c r="M444" s="43">
        <v>300</v>
      </c>
      <c r="N444" s="43">
        <v>300</v>
      </c>
      <c r="O444" s="43">
        <v>300</v>
      </c>
      <c r="P444" s="43">
        <v>300</v>
      </c>
      <c r="Q444" s="43">
        <v>300</v>
      </c>
      <c r="R444" s="43">
        <v>300</v>
      </c>
      <c r="S444" s="43">
        <v>300</v>
      </c>
      <c r="T444" s="43">
        <v>300</v>
      </c>
      <c r="U444" s="43">
        <v>400</v>
      </c>
      <c r="V444" s="43">
        <v>400</v>
      </c>
      <c r="W444" s="43">
        <v>400</v>
      </c>
      <c r="X444" s="44">
        <f t="shared" si="42"/>
        <v>3900</v>
      </c>
      <c r="Y444" s="43">
        <v>400</v>
      </c>
      <c r="Z444" s="43">
        <v>400</v>
      </c>
      <c r="AA444" s="43">
        <v>400</v>
      </c>
      <c r="AB444" s="43">
        <v>400</v>
      </c>
      <c r="AC444" s="43">
        <v>400</v>
      </c>
      <c r="AD444" s="43">
        <v>400</v>
      </c>
      <c r="AE444" s="43">
        <v>400</v>
      </c>
      <c r="AF444" s="43">
        <v>400</v>
      </c>
      <c r="AG444" s="43">
        <v>400</v>
      </c>
      <c r="AH444" s="43">
        <v>400</v>
      </c>
      <c r="AI444" s="43">
        <v>400</v>
      </c>
      <c r="AJ444" s="43">
        <v>400</v>
      </c>
      <c r="AK444" s="44">
        <f t="shared" si="43"/>
        <v>4800</v>
      </c>
      <c r="AL444" s="43">
        <v>400</v>
      </c>
      <c r="AM444" s="43">
        <v>400</v>
      </c>
      <c r="AN444" s="43">
        <v>400</v>
      </c>
      <c r="AO444" s="43">
        <v>400</v>
      </c>
      <c r="AP444" s="43">
        <v>400</v>
      </c>
      <c r="AQ444" s="43">
        <v>400</v>
      </c>
      <c r="AR444" s="43">
        <v>400</v>
      </c>
      <c r="AS444" s="43">
        <v>400</v>
      </c>
      <c r="AT444" s="43">
        <v>400</v>
      </c>
      <c r="AU444" s="43">
        <v>400</v>
      </c>
      <c r="AV444" s="43">
        <v>400</v>
      </c>
      <c r="AW444" s="43">
        <v>400</v>
      </c>
      <c r="AX444" s="44">
        <f t="shared" si="44"/>
        <v>4800</v>
      </c>
      <c r="AY444" s="317">
        <f>SUMIF(Recibos!$D$4:$D$3010,Cobranza!$B444,Recibos!K$4:K$3010)</f>
        <v>400</v>
      </c>
      <c r="AZ444" s="317">
        <f>SUMIF(Recibos!$D$4:$D$3010,Cobranza!$B444,Recibos!L$4:L$3010)</f>
        <v>400</v>
      </c>
      <c r="BA444" s="317">
        <f>SUMIF(Recibos!$D$4:$D$3010,Cobranza!$B444,Recibos!M$4:M$3010)</f>
        <v>400</v>
      </c>
      <c r="BB444" s="317">
        <f>SUMIF(Recibos!$D$4:$D$3010,Cobranza!$B444,Recibos!N$4:N$3010)</f>
        <v>400</v>
      </c>
      <c r="BC444" s="317">
        <f>SUMIF(Recibos!$D$4:$D$3010,Cobranza!$B444,Recibos!O$4:O$3010)</f>
        <v>400</v>
      </c>
      <c r="BD444" s="317">
        <f>SUMIF(Recibos!$D$4:$D$3010,Cobranza!$B444,Recibos!P$4:P$3010)</f>
        <v>400</v>
      </c>
      <c r="BE444" s="317">
        <f>SUMIF(Recibos!$D$4:$D$3010,Cobranza!$B444,Recibos!Q$4:Q$3010)</f>
        <v>400</v>
      </c>
      <c r="BF444" s="317">
        <f>SUMIF(Recibos!$D$4:$D$3010,Cobranza!$B444,Recibos!R$4:R$3010)</f>
        <v>400</v>
      </c>
      <c r="BG444" s="317">
        <f>SUMIF(Recibos!$D$4:$D$3010,Cobranza!$B444,Recibos!S$4:S$3010)</f>
        <v>400</v>
      </c>
      <c r="BH444" s="317">
        <f>SUMIF(Recibos!$D$4:$D$3010,Cobranza!$B444,Recibos!T$4:T$3010)</f>
        <v>400</v>
      </c>
      <c r="BI444" s="317">
        <f>SUMIF(Recibos!$D$4:$D$3010,Cobranza!$B444,Recibos!U$4:U$3010)</f>
        <v>400</v>
      </c>
      <c r="BJ444" s="317">
        <f>SUMIF(Recibos!$D$4:$D$3010,Cobranza!$B444,Recibos!V$4:V$3010)</f>
        <v>0</v>
      </c>
      <c r="BK444" s="318">
        <f t="shared" si="45"/>
        <v>4400</v>
      </c>
      <c r="BL444" s="317">
        <f>SUMIF(Recibos!$D$4:$D$3010,Cobranza!$B444,Recibos!X$4:X$3010)</f>
        <v>0</v>
      </c>
      <c r="BM444" s="317">
        <f>SUMIF(Recibos!$D$4:$D$3010,Cobranza!$B444,Recibos!Y$4:Y$3010)</f>
        <v>0</v>
      </c>
      <c r="BN444" s="317">
        <f>SUMIF(Recibos!$D$4:$D$3010,Cobranza!$B444,Recibos!Z$4:Z$3010)</f>
        <v>0</v>
      </c>
      <c r="BO444" s="317">
        <f>SUMIF(Recibos!$D$4:$D$3010,Cobranza!$B444,Recibos!AA$4:AA$3010)</f>
        <v>0</v>
      </c>
      <c r="BP444" s="317">
        <f>SUMIF(Recibos!$D$4:$D$3010,Cobranza!$B444,Recibos!AB$4:AB$3010)</f>
        <v>0</v>
      </c>
      <c r="BQ444" s="317">
        <f>SUMIF(Recibos!$D$4:$D$3010,Cobranza!$B444,Recibos!AC$4:AC$3010)</f>
        <v>0</v>
      </c>
      <c r="BR444" s="317">
        <f>SUMIF(Recibos!$D$4:$D$3010,Cobranza!$B444,Recibos!AD$4:AD$3010)</f>
        <v>0</v>
      </c>
      <c r="BS444" s="317">
        <f>SUMIF(Recibos!$D$4:$D$3010,Cobranza!$B444,Recibos!AE$4:AE$3010)</f>
        <v>0</v>
      </c>
      <c r="BT444" s="317">
        <f>SUMIF(Recibos!$D$4:$D$3010,Cobranza!$B444,Recibos!AF$4:AF$3010)</f>
        <v>0</v>
      </c>
      <c r="BU444" s="317">
        <f>SUMIF(Recibos!$D$4:$D$3010,Cobranza!$B444,Recibos!AG$4:AG$3010)</f>
        <v>0</v>
      </c>
      <c r="BV444" s="317">
        <f>SUMIF(Recibos!$D$4:$D$3010,Cobranza!$B444,Recibos!AH$4:AH$3010)</f>
        <v>0</v>
      </c>
      <c r="BW444" s="317">
        <f>SUMIF(Recibos!$D$4:$D$3010,Cobranza!$B444,Recibos!AI$4:AI$3010)</f>
        <v>0</v>
      </c>
      <c r="BX444" s="318">
        <f t="shared" si="46"/>
        <v>0</v>
      </c>
    </row>
    <row r="445" spans="2:76" x14ac:dyDescent="0.2">
      <c r="B445" s="45" t="s">
        <v>87</v>
      </c>
      <c r="C445" s="45" t="s">
        <v>88</v>
      </c>
      <c r="D445" s="45" t="s">
        <v>89</v>
      </c>
      <c r="E445" s="46">
        <v>0</v>
      </c>
      <c r="F445" s="46">
        <v>0</v>
      </c>
      <c r="G445" s="46">
        <v>0</v>
      </c>
      <c r="H445" s="46">
        <v>0</v>
      </c>
      <c r="I445" s="46">
        <v>0</v>
      </c>
      <c r="J445" s="46">
        <v>0</v>
      </c>
      <c r="K445" s="47">
        <f t="shared" si="41"/>
        <v>0</v>
      </c>
      <c r="L445" s="46">
        <v>300</v>
      </c>
      <c r="M445" s="46">
        <v>300</v>
      </c>
      <c r="N445" s="46">
        <v>300</v>
      </c>
      <c r="O445" s="46">
        <v>300</v>
      </c>
      <c r="P445" s="46">
        <v>300</v>
      </c>
      <c r="Q445" s="46">
        <v>300</v>
      </c>
      <c r="R445" s="46">
        <v>300</v>
      </c>
      <c r="S445" s="46">
        <v>300</v>
      </c>
      <c r="T445" s="46">
        <v>300</v>
      </c>
      <c r="U445" s="46">
        <v>300</v>
      </c>
      <c r="V445" s="46">
        <v>300</v>
      </c>
      <c r="W445" s="46">
        <v>300</v>
      </c>
      <c r="X445" s="47">
        <f t="shared" si="42"/>
        <v>3600</v>
      </c>
      <c r="Y445" s="46">
        <v>400</v>
      </c>
      <c r="Z445" s="46">
        <v>400</v>
      </c>
      <c r="AA445" s="46">
        <v>400</v>
      </c>
      <c r="AB445" s="46">
        <v>400</v>
      </c>
      <c r="AC445" s="46">
        <v>400</v>
      </c>
      <c r="AD445" s="46">
        <v>400</v>
      </c>
      <c r="AE445" s="46">
        <v>400</v>
      </c>
      <c r="AF445" s="46">
        <v>400</v>
      </c>
      <c r="AG445" s="46">
        <v>400</v>
      </c>
      <c r="AH445" s="46">
        <v>400</v>
      </c>
      <c r="AI445" s="46">
        <v>800</v>
      </c>
      <c r="AJ445" s="46">
        <v>0</v>
      </c>
      <c r="AK445" s="47">
        <f t="shared" si="43"/>
        <v>4800</v>
      </c>
      <c r="AL445" s="46">
        <v>400</v>
      </c>
      <c r="AM445" s="46">
        <v>400</v>
      </c>
      <c r="AN445" s="46">
        <v>400</v>
      </c>
      <c r="AO445" s="46">
        <v>400</v>
      </c>
      <c r="AP445" s="46">
        <v>400</v>
      </c>
      <c r="AQ445" s="46">
        <v>400</v>
      </c>
      <c r="AR445" s="46">
        <v>400</v>
      </c>
      <c r="AS445" s="46">
        <v>400</v>
      </c>
      <c r="AT445" s="46">
        <v>400</v>
      </c>
      <c r="AU445" s="46">
        <v>400</v>
      </c>
      <c r="AV445" s="46">
        <v>400</v>
      </c>
      <c r="AW445" s="46">
        <v>400</v>
      </c>
      <c r="AX445" s="47">
        <f t="shared" si="44"/>
        <v>4800</v>
      </c>
      <c r="AY445" s="319">
        <f>SUMIF(Recibos!$D$4:$D$3010,Cobranza!$B445,Recibos!K$4:K$3010)</f>
        <v>400</v>
      </c>
      <c r="AZ445" s="319">
        <f>SUMIF(Recibos!$D$4:$D$3010,Cobranza!$B445,Recibos!L$4:L$3010)</f>
        <v>400</v>
      </c>
      <c r="BA445" s="319">
        <f>SUMIF(Recibos!$D$4:$D$3010,Cobranza!$B445,Recibos!M$4:M$3010)</f>
        <v>400</v>
      </c>
      <c r="BB445" s="319">
        <f>SUMIF(Recibos!$D$4:$D$3010,Cobranza!$B445,Recibos!N$4:N$3010)</f>
        <v>400</v>
      </c>
      <c r="BC445" s="319">
        <f>SUMIF(Recibos!$D$4:$D$3010,Cobranza!$B445,Recibos!O$4:O$3010)</f>
        <v>400</v>
      </c>
      <c r="BD445" s="319">
        <f>SUMIF(Recibos!$D$4:$D$3010,Cobranza!$B445,Recibos!P$4:P$3010)</f>
        <v>400</v>
      </c>
      <c r="BE445" s="319">
        <f>SUMIF(Recibos!$D$4:$D$3010,Cobranza!$B445,Recibos!Q$4:Q$3010)</f>
        <v>400</v>
      </c>
      <c r="BF445" s="319">
        <f>SUMIF(Recibos!$D$4:$D$3010,Cobranza!$B445,Recibos!R$4:R$3010)</f>
        <v>400</v>
      </c>
      <c r="BG445" s="319">
        <f>SUMIF(Recibos!$D$4:$D$3010,Cobranza!$B445,Recibos!S$4:S$3010)</f>
        <v>400</v>
      </c>
      <c r="BH445" s="319">
        <f>SUMIF(Recibos!$D$4:$D$3010,Cobranza!$B445,Recibos!T$4:T$3010)</f>
        <v>0</v>
      </c>
      <c r="BI445" s="319">
        <f>SUMIF(Recibos!$D$4:$D$3010,Cobranza!$B445,Recibos!U$4:U$3010)</f>
        <v>0</v>
      </c>
      <c r="BJ445" s="319">
        <f>SUMIF(Recibos!$D$4:$D$3010,Cobranza!$B445,Recibos!V$4:V$3010)</f>
        <v>400</v>
      </c>
      <c r="BK445" s="320">
        <f t="shared" si="45"/>
        <v>4000</v>
      </c>
      <c r="BL445" s="319">
        <f>SUMIF(Recibos!$D$4:$D$3010,Cobranza!$B445,Recibos!X$4:X$3010)</f>
        <v>0</v>
      </c>
      <c r="BM445" s="319">
        <f>SUMIF(Recibos!$D$4:$D$3010,Cobranza!$B445,Recibos!Y$4:Y$3010)</f>
        <v>0</v>
      </c>
      <c r="BN445" s="319">
        <f>SUMIF(Recibos!$D$4:$D$3010,Cobranza!$B445,Recibos!Z$4:Z$3010)</f>
        <v>0</v>
      </c>
      <c r="BO445" s="319">
        <f>SUMIF(Recibos!$D$4:$D$3010,Cobranza!$B445,Recibos!AA$4:AA$3010)</f>
        <v>0</v>
      </c>
      <c r="BP445" s="319">
        <f>SUMIF(Recibos!$D$4:$D$3010,Cobranza!$B445,Recibos!AB$4:AB$3010)</f>
        <v>0</v>
      </c>
      <c r="BQ445" s="319">
        <f>SUMIF(Recibos!$D$4:$D$3010,Cobranza!$B445,Recibos!AC$4:AC$3010)</f>
        <v>0</v>
      </c>
      <c r="BR445" s="319">
        <f>SUMIF(Recibos!$D$4:$D$3010,Cobranza!$B445,Recibos!AD$4:AD$3010)</f>
        <v>0</v>
      </c>
      <c r="BS445" s="319">
        <f>SUMIF(Recibos!$D$4:$D$3010,Cobranza!$B445,Recibos!AE$4:AE$3010)</f>
        <v>0</v>
      </c>
      <c r="BT445" s="319">
        <f>SUMIF(Recibos!$D$4:$D$3010,Cobranza!$B445,Recibos!AF$4:AF$3010)</f>
        <v>0</v>
      </c>
      <c r="BU445" s="319">
        <f>SUMIF(Recibos!$D$4:$D$3010,Cobranza!$B445,Recibos!AG$4:AG$3010)</f>
        <v>400</v>
      </c>
      <c r="BV445" s="319">
        <f>SUMIF(Recibos!$D$4:$D$3010,Cobranza!$B445,Recibos!AH$4:AH$3010)</f>
        <v>400</v>
      </c>
      <c r="BW445" s="319">
        <f>SUMIF(Recibos!$D$4:$D$3010,Cobranza!$B445,Recibos!AI$4:AI$3010)</f>
        <v>0</v>
      </c>
      <c r="BX445" s="320">
        <f t="shared" si="46"/>
        <v>800</v>
      </c>
    </row>
    <row r="446" spans="2:76" x14ac:dyDescent="0.2">
      <c r="B446" s="42" t="s">
        <v>455</v>
      </c>
      <c r="C446" s="42" t="s">
        <v>456</v>
      </c>
      <c r="D446" s="42" t="s">
        <v>457</v>
      </c>
      <c r="E446" s="43">
        <v>0</v>
      </c>
      <c r="F446" s="43">
        <v>0</v>
      </c>
      <c r="G446" s="43">
        <v>0</v>
      </c>
      <c r="H446" s="43">
        <v>0</v>
      </c>
      <c r="I446" s="43">
        <v>0</v>
      </c>
      <c r="J446" s="43">
        <v>0</v>
      </c>
      <c r="K446" s="44">
        <f t="shared" si="41"/>
        <v>0</v>
      </c>
      <c r="L446" s="43">
        <v>300</v>
      </c>
      <c r="M446" s="43">
        <v>300</v>
      </c>
      <c r="N446" s="43">
        <v>300</v>
      </c>
      <c r="O446" s="43">
        <v>300</v>
      </c>
      <c r="P446" s="43">
        <v>300</v>
      </c>
      <c r="Q446" s="43">
        <v>300</v>
      </c>
      <c r="R446" s="43">
        <v>300</v>
      </c>
      <c r="S446" s="43">
        <v>300</v>
      </c>
      <c r="T446" s="43">
        <v>300</v>
      </c>
      <c r="U446" s="43">
        <v>400</v>
      </c>
      <c r="V446" s="43">
        <v>400</v>
      </c>
      <c r="W446" s="43">
        <v>400</v>
      </c>
      <c r="X446" s="44">
        <f t="shared" si="42"/>
        <v>3900</v>
      </c>
      <c r="Y446" s="43">
        <v>400</v>
      </c>
      <c r="Z446" s="43">
        <v>400</v>
      </c>
      <c r="AA446" s="43">
        <v>400</v>
      </c>
      <c r="AB446" s="43">
        <v>400</v>
      </c>
      <c r="AC446" s="43">
        <v>400</v>
      </c>
      <c r="AD446" s="43">
        <v>400</v>
      </c>
      <c r="AE446" s="43">
        <v>400</v>
      </c>
      <c r="AF446" s="43">
        <v>400</v>
      </c>
      <c r="AG446" s="43">
        <v>400</v>
      </c>
      <c r="AH446" s="43">
        <v>400</v>
      </c>
      <c r="AI446" s="43">
        <v>400</v>
      </c>
      <c r="AJ446" s="43">
        <v>0</v>
      </c>
      <c r="AK446" s="44">
        <f t="shared" si="43"/>
        <v>4400</v>
      </c>
      <c r="AL446" s="43">
        <v>400</v>
      </c>
      <c r="AM446" s="43">
        <v>400</v>
      </c>
      <c r="AN446" s="43">
        <v>400</v>
      </c>
      <c r="AO446" s="43">
        <v>400</v>
      </c>
      <c r="AP446" s="43">
        <v>400</v>
      </c>
      <c r="AQ446" s="43">
        <v>400</v>
      </c>
      <c r="AR446" s="43">
        <v>400</v>
      </c>
      <c r="AS446" s="43">
        <v>400</v>
      </c>
      <c r="AT446" s="43">
        <v>400</v>
      </c>
      <c r="AU446" s="43">
        <v>400</v>
      </c>
      <c r="AV446" s="43">
        <v>0</v>
      </c>
      <c r="AW446" s="43">
        <v>400</v>
      </c>
      <c r="AX446" s="44">
        <f t="shared" si="44"/>
        <v>4400</v>
      </c>
      <c r="AY446" s="317">
        <f>SUMIF(Recibos!$D$4:$D$3010,Cobranza!$B446,Recibos!K$4:K$3010)</f>
        <v>400</v>
      </c>
      <c r="AZ446" s="317">
        <f>SUMIF(Recibos!$D$4:$D$3010,Cobranza!$B446,Recibos!L$4:L$3010)</f>
        <v>400</v>
      </c>
      <c r="BA446" s="317">
        <f>SUMIF(Recibos!$D$4:$D$3010,Cobranza!$B446,Recibos!M$4:M$3010)</f>
        <v>400</v>
      </c>
      <c r="BB446" s="317">
        <f>SUMIF(Recibos!$D$4:$D$3010,Cobranza!$B446,Recibos!N$4:N$3010)</f>
        <v>400</v>
      </c>
      <c r="BC446" s="317">
        <f>SUMIF(Recibos!$D$4:$D$3010,Cobranza!$B446,Recibos!O$4:O$3010)</f>
        <v>400</v>
      </c>
      <c r="BD446" s="317">
        <f>SUMIF(Recibos!$D$4:$D$3010,Cobranza!$B446,Recibos!P$4:P$3010)</f>
        <v>400</v>
      </c>
      <c r="BE446" s="317">
        <f>SUMIF(Recibos!$D$4:$D$3010,Cobranza!$B446,Recibos!Q$4:Q$3010)</f>
        <v>400</v>
      </c>
      <c r="BF446" s="317">
        <f>SUMIF(Recibos!$D$4:$D$3010,Cobranza!$B446,Recibos!R$4:R$3010)</f>
        <v>400</v>
      </c>
      <c r="BG446" s="317">
        <f>SUMIF(Recibos!$D$4:$D$3010,Cobranza!$B446,Recibos!S$4:S$3010)</f>
        <v>400</v>
      </c>
      <c r="BH446" s="317">
        <f>SUMIF(Recibos!$D$4:$D$3010,Cobranza!$B446,Recibos!T$4:T$3010)</f>
        <v>400</v>
      </c>
      <c r="BI446" s="317">
        <f>SUMIF(Recibos!$D$4:$D$3010,Cobranza!$B446,Recibos!U$4:U$3010)</f>
        <v>400</v>
      </c>
      <c r="BJ446" s="317">
        <f>SUMIF(Recibos!$D$4:$D$3010,Cobranza!$B446,Recibos!V$4:V$3010)</f>
        <v>400</v>
      </c>
      <c r="BK446" s="318">
        <f t="shared" si="45"/>
        <v>4800</v>
      </c>
      <c r="BL446" s="317">
        <f>SUMIF(Recibos!$D$4:$D$3010,Cobranza!$B446,Recibos!X$4:X$3010)</f>
        <v>0</v>
      </c>
      <c r="BM446" s="317">
        <f>SUMIF(Recibos!$D$4:$D$3010,Cobranza!$B446,Recibos!Y$4:Y$3010)</f>
        <v>0</v>
      </c>
      <c r="BN446" s="317">
        <f>SUMIF(Recibos!$D$4:$D$3010,Cobranza!$B446,Recibos!Z$4:Z$3010)</f>
        <v>0</v>
      </c>
      <c r="BO446" s="317">
        <f>SUMIF(Recibos!$D$4:$D$3010,Cobranza!$B446,Recibos!AA$4:AA$3010)</f>
        <v>0</v>
      </c>
      <c r="BP446" s="317">
        <f>SUMIF(Recibos!$D$4:$D$3010,Cobranza!$B446,Recibos!AB$4:AB$3010)</f>
        <v>0</v>
      </c>
      <c r="BQ446" s="317">
        <f>SUMIF(Recibos!$D$4:$D$3010,Cobranza!$B446,Recibos!AC$4:AC$3010)</f>
        <v>0</v>
      </c>
      <c r="BR446" s="317">
        <f>SUMIF(Recibos!$D$4:$D$3010,Cobranza!$B446,Recibos!AD$4:AD$3010)</f>
        <v>0</v>
      </c>
      <c r="BS446" s="317">
        <f>SUMIF(Recibos!$D$4:$D$3010,Cobranza!$B446,Recibos!AE$4:AE$3010)</f>
        <v>0</v>
      </c>
      <c r="BT446" s="317">
        <f>SUMIF(Recibos!$D$4:$D$3010,Cobranza!$B446,Recibos!AF$4:AF$3010)</f>
        <v>0</v>
      </c>
      <c r="BU446" s="317">
        <f>SUMIF(Recibos!$D$4:$D$3010,Cobranza!$B446,Recibos!AG$4:AG$3010)</f>
        <v>0</v>
      </c>
      <c r="BV446" s="317">
        <f>SUMIF(Recibos!$D$4:$D$3010,Cobranza!$B446,Recibos!AH$4:AH$3010)</f>
        <v>0</v>
      </c>
      <c r="BW446" s="317">
        <f>SUMIF(Recibos!$D$4:$D$3010,Cobranza!$B446,Recibos!AI$4:AI$3010)</f>
        <v>0</v>
      </c>
      <c r="BX446" s="318">
        <f t="shared" si="46"/>
        <v>0</v>
      </c>
    </row>
    <row r="447" spans="2:76" x14ac:dyDescent="0.2">
      <c r="B447" s="45" t="s">
        <v>1046</v>
      </c>
      <c r="C447" s="45" t="s">
        <v>1047</v>
      </c>
      <c r="D447" s="45" t="s">
        <v>1048</v>
      </c>
      <c r="E447" s="46">
        <v>0</v>
      </c>
      <c r="F447" s="46">
        <v>0</v>
      </c>
      <c r="G447" s="46">
        <v>0</v>
      </c>
      <c r="H447" s="46">
        <v>0</v>
      </c>
      <c r="I447" s="46">
        <v>0</v>
      </c>
      <c r="J447" s="46">
        <v>0</v>
      </c>
      <c r="K447" s="47">
        <f t="shared" si="41"/>
        <v>0</v>
      </c>
      <c r="L447" s="46">
        <v>0</v>
      </c>
      <c r="M447" s="46">
        <v>0</v>
      </c>
      <c r="N447" s="46">
        <v>0</v>
      </c>
      <c r="O447" s="46">
        <v>0</v>
      </c>
      <c r="P447" s="46">
        <v>0</v>
      </c>
      <c r="Q447" s="46">
        <v>0</v>
      </c>
      <c r="R447" s="46">
        <v>0</v>
      </c>
      <c r="S447" s="46">
        <v>0</v>
      </c>
      <c r="T447" s="46">
        <v>0</v>
      </c>
      <c r="U447" s="46">
        <v>0</v>
      </c>
      <c r="V447" s="46">
        <v>0</v>
      </c>
      <c r="W447" s="46">
        <v>0</v>
      </c>
      <c r="X447" s="47">
        <f t="shared" si="42"/>
        <v>0</v>
      </c>
      <c r="Y447" s="46">
        <v>0</v>
      </c>
      <c r="Z447" s="46">
        <v>0</v>
      </c>
      <c r="AA447" s="46">
        <v>0</v>
      </c>
      <c r="AB447" s="46">
        <v>0</v>
      </c>
      <c r="AC447" s="46">
        <v>0</v>
      </c>
      <c r="AD447" s="46">
        <v>0</v>
      </c>
      <c r="AE447" s="46">
        <v>0</v>
      </c>
      <c r="AF447" s="46">
        <v>0</v>
      </c>
      <c r="AG447" s="46">
        <v>0</v>
      </c>
      <c r="AH447" s="46">
        <v>0</v>
      </c>
      <c r="AI447" s="46">
        <v>0</v>
      </c>
      <c r="AJ447" s="46">
        <v>0</v>
      </c>
      <c r="AK447" s="47">
        <f t="shared" si="43"/>
        <v>0</v>
      </c>
      <c r="AL447" s="46">
        <v>0</v>
      </c>
      <c r="AM447" s="46">
        <v>0</v>
      </c>
      <c r="AN447" s="46">
        <v>0</v>
      </c>
      <c r="AO447" s="46">
        <v>0</v>
      </c>
      <c r="AP447" s="46">
        <v>0</v>
      </c>
      <c r="AQ447" s="46">
        <v>0</v>
      </c>
      <c r="AR447" s="46">
        <v>0</v>
      </c>
      <c r="AS447" s="46">
        <v>200</v>
      </c>
      <c r="AT447" s="46">
        <v>200</v>
      </c>
      <c r="AU447" s="46">
        <v>0</v>
      </c>
      <c r="AV447" s="46">
        <v>0</v>
      </c>
      <c r="AW447" s="46">
        <v>0</v>
      </c>
      <c r="AX447" s="47">
        <f t="shared" si="44"/>
        <v>400</v>
      </c>
      <c r="AY447" s="319">
        <f>SUMIF(Recibos!$D$4:$D$3010,Cobranza!$B447,Recibos!K$4:K$3010)</f>
        <v>0</v>
      </c>
      <c r="AZ447" s="319">
        <f>SUMIF(Recibos!$D$4:$D$3010,Cobranza!$B447,Recibos!L$4:L$3010)</f>
        <v>0</v>
      </c>
      <c r="BA447" s="319">
        <f>SUMIF(Recibos!$D$4:$D$3010,Cobranza!$B447,Recibos!M$4:M$3010)</f>
        <v>0</v>
      </c>
      <c r="BB447" s="319">
        <f>SUMIF(Recibos!$D$4:$D$3010,Cobranza!$B447,Recibos!N$4:N$3010)</f>
        <v>0</v>
      </c>
      <c r="BC447" s="319">
        <f>SUMIF(Recibos!$D$4:$D$3010,Cobranza!$B447,Recibos!O$4:O$3010)</f>
        <v>0</v>
      </c>
      <c r="BD447" s="319">
        <f>SUMIF(Recibos!$D$4:$D$3010,Cobranza!$B447,Recibos!P$4:P$3010)</f>
        <v>0</v>
      </c>
      <c r="BE447" s="319">
        <f>SUMIF(Recibos!$D$4:$D$3010,Cobranza!$B447,Recibos!Q$4:Q$3010)</f>
        <v>100</v>
      </c>
      <c r="BF447" s="319">
        <f>SUMIF(Recibos!$D$4:$D$3010,Cobranza!$B447,Recibos!R$4:R$3010)</f>
        <v>0</v>
      </c>
      <c r="BG447" s="319">
        <f>SUMIF(Recibos!$D$4:$D$3010,Cobranza!$B447,Recibos!S$4:S$3010)</f>
        <v>0</v>
      </c>
      <c r="BH447" s="319">
        <f>SUMIF(Recibos!$D$4:$D$3010,Cobranza!$B447,Recibos!T$4:T$3010)</f>
        <v>0</v>
      </c>
      <c r="BI447" s="319">
        <f>SUMIF(Recibos!$D$4:$D$3010,Cobranza!$B447,Recibos!U$4:U$3010)</f>
        <v>0</v>
      </c>
      <c r="BJ447" s="319">
        <f>SUMIF(Recibos!$D$4:$D$3010,Cobranza!$B447,Recibos!V$4:V$3010)</f>
        <v>0</v>
      </c>
      <c r="BK447" s="320">
        <f t="shared" si="45"/>
        <v>100</v>
      </c>
      <c r="BL447" s="319">
        <f>SUMIF(Recibos!$D$4:$D$3010,Cobranza!$B447,Recibos!X$4:X$3010)</f>
        <v>0</v>
      </c>
      <c r="BM447" s="319">
        <f>SUMIF(Recibos!$D$4:$D$3010,Cobranza!$B447,Recibos!Y$4:Y$3010)</f>
        <v>0</v>
      </c>
      <c r="BN447" s="319">
        <f>SUMIF(Recibos!$D$4:$D$3010,Cobranza!$B447,Recibos!Z$4:Z$3010)</f>
        <v>0</v>
      </c>
      <c r="BO447" s="319">
        <f>SUMIF(Recibos!$D$4:$D$3010,Cobranza!$B447,Recibos!AA$4:AA$3010)</f>
        <v>0</v>
      </c>
      <c r="BP447" s="319">
        <f>SUMIF(Recibos!$D$4:$D$3010,Cobranza!$B447,Recibos!AB$4:AB$3010)</f>
        <v>0</v>
      </c>
      <c r="BQ447" s="319">
        <f>SUMIF(Recibos!$D$4:$D$3010,Cobranza!$B447,Recibos!AC$4:AC$3010)</f>
        <v>0</v>
      </c>
      <c r="BR447" s="319">
        <f>SUMIF(Recibos!$D$4:$D$3010,Cobranza!$B447,Recibos!AD$4:AD$3010)</f>
        <v>0</v>
      </c>
      <c r="BS447" s="319">
        <f>SUMIF(Recibos!$D$4:$D$3010,Cobranza!$B447,Recibos!AE$4:AE$3010)</f>
        <v>0</v>
      </c>
      <c r="BT447" s="319">
        <f>SUMIF(Recibos!$D$4:$D$3010,Cobranza!$B447,Recibos!AF$4:AF$3010)</f>
        <v>0</v>
      </c>
      <c r="BU447" s="319">
        <f>SUMIF(Recibos!$D$4:$D$3010,Cobranza!$B447,Recibos!AG$4:AG$3010)</f>
        <v>0</v>
      </c>
      <c r="BV447" s="319">
        <f>SUMIF(Recibos!$D$4:$D$3010,Cobranza!$B447,Recibos!AH$4:AH$3010)</f>
        <v>0</v>
      </c>
      <c r="BW447" s="319">
        <f>SUMIF(Recibos!$D$4:$D$3010,Cobranza!$B447,Recibos!AI$4:AI$3010)</f>
        <v>0</v>
      </c>
      <c r="BX447" s="320">
        <f t="shared" si="46"/>
        <v>0</v>
      </c>
    </row>
    <row r="448" spans="2:76" x14ac:dyDescent="0.2">
      <c r="B448" s="42" t="s">
        <v>470</v>
      </c>
      <c r="C448" s="42" t="s">
        <v>471</v>
      </c>
      <c r="D448" s="42" t="s">
        <v>472</v>
      </c>
      <c r="E448" s="43">
        <v>0</v>
      </c>
      <c r="F448" s="43">
        <v>0</v>
      </c>
      <c r="G448" s="43">
        <v>0</v>
      </c>
      <c r="H448" s="43">
        <v>0</v>
      </c>
      <c r="I448" s="43">
        <v>0</v>
      </c>
      <c r="J448" s="43">
        <v>250</v>
      </c>
      <c r="K448" s="44">
        <f t="shared" si="41"/>
        <v>250</v>
      </c>
      <c r="L448" s="43">
        <v>250</v>
      </c>
      <c r="M448" s="43">
        <v>250</v>
      </c>
      <c r="N448" s="43">
        <v>250</v>
      </c>
      <c r="O448" s="43">
        <v>250</v>
      </c>
      <c r="P448" s="43">
        <v>250</v>
      </c>
      <c r="Q448" s="43">
        <v>250</v>
      </c>
      <c r="R448" s="43">
        <v>250</v>
      </c>
      <c r="S448" s="43">
        <v>250</v>
      </c>
      <c r="T448" s="43">
        <v>250</v>
      </c>
      <c r="U448" s="43">
        <v>300</v>
      </c>
      <c r="V448" s="43">
        <v>300</v>
      </c>
      <c r="W448" s="43">
        <v>0</v>
      </c>
      <c r="X448" s="44">
        <f t="shared" si="42"/>
        <v>2850</v>
      </c>
      <c r="Y448" s="43">
        <v>300</v>
      </c>
      <c r="Z448" s="43">
        <v>300</v>
      </c>
      <c r="AA448" s="43">
        <v>300</v>
      </c>
      <c r="AB448" s="43">
        <v>300</v>
      </c>
      <c r="AC448" s="43">
        <v>300</v>
      </c>
      <c r="AD448" s="43">
        <v>300</v>
      </c>
      <c r="AE448" s="43">
        <v>300</v>
      </c>
      <c r="AF448" s="43">
        <v>300</v>
      </c>
      <c r="AG448" s="43">
        <v>300</v>
      </c>
      <c r="AH448" s="43">
        <v>300</v>
      </c>
      <c r="AI448" s="43">
        <v>300</v>
      </c>
      <c r="AJ448" s="43">
        <v>300</v>
      </c>
      <c r="AK448" s="44">
        <f t="shared" si="43"/>
        <v>3600</v>
      </c>
      <c r="AL448" s="43">
        <v>300</v>
      </c>
      <c r="AM448" s="43">
        <v>300</v>
      </c>
      <c r="AN448" s="43">
        <v>300</v>
      </c>
      <c r="AO448" s="43">
        <v>300</v>
      </c>
      <c r="AP448" s="43">
        <v>300</v>
      </c>
      <c r="AQ448" s="43">
        <v>300</v>
      </c>
      <c r="AR448" s="43">
        <v>300</v>
      </c>
      <c r="AS448" s="43">
        <v>300</v>
      </c>
      <c r="AT448" s="43">
        <v>300</v>
      </c>
      <c r="AU448" s="43">
        <v>300</v>
      </c>
      <c r="AV448" s="43">
        <v>300</v>
      </c>
      <c r="AW448" s="43">
        <v>300</v>
      </c>
      <c r="AX448" s="44">
        <f t="shared" si="44"/>
        <v>3600</v>
      </c>
      <c r="AY448" s="317">
        <f>SUMIF(Recibos!$D$4:$D$3010,Cobranza!$B448,Recibos!K$4:K$3010)</f>
        <v>300</v>
      </c>
      <c r="AZ448" s="317">
        <f>SUMIF(Recibos!$D$4:$D$3010,Cobranza!$B448,Recibos!L$4:L$3010)</f>
        <v>300</v>
      </c>
      <c r="BA448" s="317">
        <f>SUMIF(Recibos!$D$4:$D$3010,Cobranza!$B448,Recibos!M$4:M$3010)</f>
        <v>300</v>
      </c>
      <c r="BB448" s="317">
        <f>SUMIF(Recibos!$D$4:$D$3010,Cobranza!$B448,Recibos!N$4:N$3010)</f>
        <v>300</v>
      </c>
      <c r="BC448" s="317">
        <f>SUMIF(Recibos!$D$4:$D$3010,Cobranza!$B448,Recibos!O$4:O$3010)</f>
        <v>300</v>
      </c>
      <c r="BD448" s="317">
        <f>SUMIF(Recibos!$D$4:$D$3010,Cobranza!$B448,Recibos!P$4:P$3010)</f>
        <v>300</v>
      </c>
      <c r="BE448" s="317">
        <f>SUMIF(Recibos!$D$4:$D$3010,Cobranza!$B448,Recibos!Q$4:Q$3010)</f>
        <v>300</v>
      </c>
      <c r="BF448" s="317">
        <f>SUMIF(Recibos!$D$4:$D$3010,Cobranza!$B448,Recibos!R$4:R$3010)</f>
        <v>300</v>
      </c>
      <c r="BG448" s="317">
        <f>SUMIF(Recibos!$D$4:$D$3010,Cobranza!$B448,Recibos!S$4:S$3010)</f>
        <v>300</v>
      </c>
      <c r="BH448" s="317">
        <f>SUMIF(Recibos!$D$4:$D$3010,Cobranza!$B448,Recibos!T$4:T$3010)</f>
        <v>300</v>
      </c>
      <c r="BI448" s="317">
        <f>SUMIF(Recibos!$D$4:$D$3010,Cobranza!$B448,Recibos!U$4:U$3010)</f>
        <v>300</v>
      </c>
      <c r="BJ448" s="317">
        <f>SUMIF(Recibos!$D$4:$D$3010,Cobranza!$B448,Recibos!V$4:V$3010)</f>
        <v>300</v>
      </c>
      <c r="BK448" s="318">
        <f t="shared" si="45"/>
        <v>3600</v>
      </c>
      <c r="BL448" s="317">
        <f>SUMIF(Recibos!$D$4:$D$3010,Cobranza!$B448,Recibos!X$4:X$3010)</f>
        <v>0</v>
      </c>
      <c r="BM448" s="317">
        <f>SUMIF(Recibos!$D$4:$D$3010,Cobranza!$B448,Recibos!Y$4:Y$3010)</f>
        <v>0</v>
      </c>
      <c r="BN448" s="317">
        <f>SUMIF(Recibos!$D$4:$D$3010,Cobranza!$B448,Recibos!Z$4:Z$3010)</f>
        <v>0</v>
      </c>
      <c r="BO448" s="317">
        <f>SUMIF(Recibos!$D$4:$D$3010,Cobranza!$B448,Recibos!AA$4:AA$3010)</f>
        <v>0</v>
      </c>
      <c r="BP448" s="317">
        <f>SUMIF(Recibos!$D$4:$D$3010,Cobranza!$B448,Recibos!AB$4:AB$3010)</f>
        <v>0</v>
      </c>
      <c r="BQ448" s="317">
        <f>SUMIF(Recibos!$D$4:$D$3010,Cobranza!$B448,Recibos!AC$4:AC$3010)</f>
        <v>0</v>
      </c>
      <c r="BR448" s="317">
        <f>SUMIF(Recibos!$D$4:$D$3010,Cobranza!$B448,Recibos!AD$4:AD$3010)</f>
        <v>0</v>
      </c>
      <c r="BS448" s="317">
        <f>SUMIF(Recibos!$D$4:$D$3010,Cobranza!$B448,Recibos!AE$4:AE$3010)</f>
        <v>0</v>
      </c>
      <c r="BT448" s="317">
        <f>SUMIF(Recibos!$D$4:$D$3010,Cobranza!$B448,Recibos!AF$4:AF$3010)</f>
        <v>0</v>
      </c>
      <c r="BU448" s="317">
        <f>SUMIF(Recibos!$D$4:$D$3010,Cobranza!$B448,Recibos!AG$4:AG$3010)</f>
        <v>0</v>
      </c>
      <c r="BV448" s="317">
        <f>SUMIF(Recibos!$D$4:$D$3010,Cobranza!$B448,Recibos!AH$4:AH$3010)</f>
        <v>0</v>
      </c>
      <c r="BW448" s="317">
        <f>SUMIF(Recibos!$D$4:$D$3010,Cobranza!$B448,Recibos!AI$4:AI$3010)</f>
        <v>0</v>
      </c>
      <c r="BX448" s="318">
        <f t="shared" si="46"/>
        <v>0</v>
      </c>
    </row>
    <row r="449" spans="2:76" x14ac:dyDescent="0.2">
      <c r="B449" s="45" t="s">
        <v>129</v>
      </c>
      <c r="C449" s="45" t="s">
        <v>130</v>
      </c>
      <c r="D449" s="45" t="s">
        <v>131</v>
      </c>
      <c r="E449" s="46">
        <v>0</v>
      </c>
      <c r="F449" s="46">
        <v>0</v>
      </c>
      <c r="G449" s="46">
        <v>0</v>
      </c>
      <c r="H449" s="46">
        <v>0</v>
      </c>
      <c r="I449" s="46">
        <v>0</v>
      </c>
      <c r="J449" s="46">
        <v>300</v>
      </c>
      <c r="K449" s="47">
        <f t="shared" si="41"/>
        <v>300</v>
      </c>
      <c r="L449" s="46">
        <v>300</v>
      </c>
      <c r="M449" s="46">
        <v>300</v>
      </c>
      <c r="N449" s="46">
        <v>300</v>
      </c>
      <c r="O449" s="46">
        <v>300</v>
      </c>
      <c r="P449" s="46">
        <v>300</v>
      </c>
      <c r="Q449" s="46">
        <v>300</v>
      </c>
      <c r="R449" s="46">
        <v>0</v>
      </c>
      <c r="S449" s="46">
        <v>300</v>
      </c>
      <c r="T449" s="46">
        <v>300</v>
      </c>
      <c r="U449" s="46">
        <v>400</v>
      </c>
      <c r="V449" s="46">
        <v>400</v>
      </c>
      <c r="W449" s="46">
        <v>400</v>
      </c>
      <c r="X449" s="47">
        <f t="shared" si="42"/>
        <v>3600</v>
      </c>
      <c r="Y449" s="46">
        <v>400</v>
      </c>
      <c r="Z449" s="46">
        <v>400</v>
      </c>
      <c r="AA449" s="46">
        <v>400</v>
      </c>
      <c r="AB449" s="46">
        <v>400</v>
      </c>
      <c r="AC449" s="46">
        <v>400</v>
      </c>
      <c r="AD449" s="46">
        <v>400</v>
      </c>
      <c r="AE449" s="46">
        <v>400</v>
      </c>
      <c r="AF449" s="46">
        <v>400</v>
      </c>
      <c r="AG449" s="46">
        <v>400</v>
      </c>
      <c r="AH449" s="46">
        <v>400</v>
      </c>
      <c r="AI449" s="46">
        <v>400</v>
      </c>
      <c r="AJ449" s="46">
        <v>400</v>
      </c>
      <c r="AK449" s="47">
        <f t="shared" si="43"/>
        <v>4800</v>
      </c>
      <c r="AL449" s="46">
        <v>400</v>
      </c>
      <c r="AM449" s="46">
        <v>400</v>
      </c>
      <c r="AN449" s="46">
        <v>400</v>
      </c>
      <c r="AO449" s="46">
        <v>400</v>
      </c>
      <c r="AP449" s="46">
        <v>400</v>
      </c>
      <c r="AQ449" s="46">
        <v>400</v>
      </c>
      <c r="AR449" s="46">
        <v>400</v>
      </c>
      <c r="AS449" s="46">
        <v>400</v>
      </c>
      <c r="AT449" s="46">
        <v>400</v>
      </c>
      <c r="AU449" s="46">
        <v>400</v>
      </c>
      <c r="AV449" s="46">
        <v>400</v>
      </c>
      <c r="AW449" s="46">
        <v>400</v>
      </c>
      <c r="AX449" s="47">
        <f t="shared" si="44"/>
        <v>4800</v>
      </c>
      <c r="AY449" s="319">
        <f>SUMIF(Recibos!$D$4:$D$3010,Cobranza!$B449,Recibos!K$4:K$3010)</f>
        <v>400</v>
      </c>
      <c r="AZ449" s="319">
        <f>SUMIF(Recibos!$D$4:$D$3010,Cobranza!$B449,Recibos!L$4:L$3010)</f>
        <v>400</v>
      </c>
      <c r="BA449" s="319">
        <f>SUMIF(Recibos!$D$4:$D$3010,Cobranza!$B449,Recibos!M$4:M$3010)</f>
        <v>400</v>
      </c>
      <c r="BB449" s="319">
        <f>SUMIF(Recibos!$D$4:$D$3010,Cobranza!$B449,Recibos!N$4:N$3010)</f>
        <v>400</v>
      </c>
      <c r="BC449" s="319">
        <f>SUMIF(Recibos!$D$4:$D$3010,Cobranza!$B449,Recibos!O$4:O$3010)</f>
        <v>400</v>
      </c>
      <c r="BD449" s="319">
        <f>SUMIF(Recibos!$D$4:$D$3010,Cobranza!$B449,Recibos!P$4:P$3010)</f>
        <v>400</v>
      </c>
      <c r="BE449" s="319">
        <f>SUMIF(Recibos!$D$4:$D$3010,Cobranza!$B449,Recibos!Q$4:Q$3010)</f>
        <v>400</v>
      </c>
      <c r="BF449" s="319">
        <f>SUMIF(Recibos!$D$4:$D$3010,Cobranza!$B449,Recibos!R$4:R$3010)</f>
        <v>400</v>
      </c>
      <c r="BG449" s="319">
        <f>SUMIF(Recibos!$D$4:$D$3010,Cobranza!$B449,Recibos!S$4:S$3010)</f>
        <v>400</v>
      </c>
      <c r="BH449" s="319">
        <f>SUMIF(Recibos!$D$4:$D$3010,Cobranza!$B449,Recibos!T$4:T$3010)</f>
        <v>400</v>
      </c>
      <c r="BI449" s="319">
        <f>SUMIF(Recibos!$D$4:$D$3010,Cobranza!$B449,Recibos!U$4:U$3010)</f>
        <v>400</v>
      </c>
      <c r="BJ449" s="319">
        <f>SUMIF(Recibos!$D$4:$D$3010,Cobranza!$B449,Recibos!V$4:V$3010)</f>
        <v>400</v>
      </c>
      <c r="BK449" s="320">
        <f t="shared" si="45"/>
        <v>4800</v>
      </c>
      <c r="BL449" s="319">
        <f>SUMIF(Recibos!$D$4:$D$3010,Cobranza!$B449,Recibos!X$4:X$3010)</f>
        <v>400</v>
      </c>
      <c r="BM449" s="319">
        <f>SUMIF(Recibos!$D$4:$D$3010,Cobranza!$B449,Recibos!Y$4:Y$3010)</f>
        <v>0</v>
      </c>
      <c r="BN449" s="319">
        <f>SUMIF(Recibos!$D$4:$D$3010,Cobranza!$B449,Recibos!Z$4:Z$3010)</f>
        <v>0</v>
      </c>
      <c r="BO449" s="319">
        <f>SUMIF(Recibos!$D$4:$D$3010,Cobranza!$B449,Recibos!AA$4:AA$3010)</f>
        <v>0</v>
      </c>
      <c r="BP449" s="319">
        <f>SUMIF(Recibos!$D$4:$D$3010,Cobranza!$B449,Recibos!AB$4:AB$3010)</f>
        <v>0</v>
      </c>
      <c r="BQ449" s="319">
        <f>SUMIF(Recibos!$D$4:$D$3010,Cobranza!$B449,Recibos!AC$4:AC$3010)</f>
        <v>0</v>
      </c>
      <c r="BR449" s="319">
        <f>SUMIF(Recibos!$D$4:$D$3010,Cobranza!$B449,Recibos!AD$4:AD$3010)</f>
        <v>0</v>
      </c>
      <c r="BS449" s="319">
        <f>SUMIF(Recibos!$D$4:$D$3010,Cobranza!$B449,Recibos!AE$4:AE$3010)</f>
        <v>0</v>
      </c>
      <c r="BT449" s="319">
        <f>SUMIF(Recibos!$D$4:$D$3010,Cobranza!$B449,Recibos!AF$4:AF$3010)</f>
        <v>0</v>
      </c>
      <c r="BU449" s="319">
        <f>SUMIF(Recibos!$D$4:$D$3010,Cobranza!$B449,Recibos!AG$4:AG$3010)</f>
        <v>0</v>
      </c>
      <c r="BV449" s="319">
        <f>SUMIF(Recibos!$D$4:$D$3010,Cobranza!$B449,Recibos!AH$4:AH$3010)</f>
        <v>0</v>
      </c>
      <c r="BW449" s="319">
        <f>SUMIF(Recibos!$D$4:$D$3010,Cobranza!$B449,Recibos!AI$4:AI$3010)</f>
        <v>0</v>
      </c>
      <c r="BX449" s="320">
        <f t="shared" si="46"/>
        <v>400</v>
      </c>
    </row>
    <row r="450" spans="2:76" x14ac:dyDescent="0.2">
      <c r="B450" s="42" t="s">
        <v>874</v>
      </c>
      <c r="C450" s="42" t="s">
        <v>875</v>
      </c>
      <c r="D450" s="42" t="s">
        <v>493</v>
      </c>
      <c r="E450" s="43">
        <v>0</v>
      </c>
      <c r="F450" s="43">
        <v>0</v>
      </c>
      <c r="G450" s="43">
        <v>0</v>
      </c>
      <c r="H450" s="43">
        <v>0</v>
      </c>
      <c r="I450" s="43">
        <v>0</v>
      </c>
      <c r="J450" s="43">
        <v>0</v>
      </c>
      <c r="K450" s="44">
        <f t="shared" si="41"/>
        <v>0</v>
      </c>
      <c r="L450" s="43">
        <v>0</v>
      </c>
      <c r="M450" s="43">
        <v>0</v>
      </c>
      <c r="N450" s="43">
        <v>0</v>
      </c>
      <c r="O450" s="43">
        <v>0</v>
      </c>
      <c r="P450" s="43">
        <v>0</v>
      </c>
      <c r="Q450" s="43">
        <v>0</v>
      </c>
      <c r="R450" s="43">
        <v>0</v>
      </c>
      <c r="S450" s="43">
        <v>0</v>
      </c>
      <c r="T450" s="43">
        <v>0</v>
      </c>
      <c r="U450" s="43">
        <v>0</v>
      </c>
      <c r="V450" s="43">
        <v>0</v>
      </c>
      <c r="W450" s="43">
        <v>0</v>
      </c>
      <c r="X450" s="44">
        <f t="shared" si="42"/>
        <v>0</v>
      </c>
      <c r="Y450" s="43">
        <v>0</v>
      </c>
      <c r="Z450" s="43">
        <v>200</v>
      </c>
      <c r="AA450" s="43">
        <v>200</v>
      </c>
      <c r="AB450" s="43">
        <v>200</v>
      </c>
      <c r="AC450" s="43">
        <v>200</v>
      </c>
      <c r="AD450" s="43">
        <v>0</v>
      </c>
      <c r="AE450" s="43">
        <v>0</v>
      </c>
      <c r="AF450" s="43">
        <v>0</v>
      </c>
      <c r="AG450" s="43">
        <v>200</v>
      </c>
      <c r="AH450" s="43">
        <v>200</v>
      </c>
      <c r="AI450" s="43">
        <v>200</v>
      </c>
      <c r="AJ450" s="43">
        <v>200</v>
      </c>
      <c r="AK450" s="44">
        <f t="shared" si="43"/>
        <v>1600</v>
      </c>
      <c r="AL450" s="43">
        <v>200</v>
      </c>
      <c r="AM450" s="43">
        <v>200</v>
      </c>
      <c r="AN450" s="43">
        <v>200</v>
      </c>
      <c r="AO450" s="43">
        <v>200</v>
      </c>
      <c r="AP450" s="43">
        <v>200</v>
      </c>
      <c r="AQ450" s="43">
        <v>200</v>
      </c>
      <c r="AR450" s="43">
        <v>200</v>
      </c>
      <c r="AS450" s="43">
        <v>200</v>
      </c>
      <c r="AT450" s="43">
        <v>200</v>
      </c>
      <c r="AU450" s="43">
        <v>0</v>
      </c>
      <c r="AV450" s="43">
        <v>0</v>
      </c>
      <c r="AW450" s="43">
        <v>0</v>
      </c>
      <c r="AX450" s="44">
        <f t="shared" si="44"/>
        <v>1800</v>
      </c>
      <c r="AY450" s="317">
        <f>SUMIF(Recibos!$D$4:$D$3010,Cobranza!$B450,Recibos!K$4:K$3010)</f>
        <v>200</v>
      </c>
      <c r="AZ450" s="317">
        <f>SUMIF(Recibos!$D$4:$D$3010,Cobranza!$B450,Recibos!L$4:L$3010)</f>
        <v>200</v>
      </c>
      <c r="BA450" s="317">
        <f>SUMIF(Recibos!$D$4:$D$3010,Cobranza!$B450,Recibos!M$4:M$3010)</f>
        <v>200</v>
      </c>
      <c r="BB450" s="317">
        <f>SUMIF(Recibos!$D$4:$D$3010,Cobranza!$B450,Recibos!N$4:N$3010)</f>
        <v>200</v>
      </c>
      <c r="BC450" s="317">
        <f>SUMIF(Recibos!$D$4:$D$3010,Cobranza!$B450,Recibos!O$4:O$3010)</f>
        <v>200</v>
      </c>
      <c r="BD450" s="317">
        <f>SUMIF(Recibos!$D$4:$D$3010,Cobranza!$B450,Recibos!P$4:P$3010)</f>
        <v>200</v>
      </c>
      <c r="BE450" s="317">
        <f>SUMIF(Recibos!$D$4:$D$3010,Cobranza!$B450,Recibos!Q$4:Q$3010)</f>
        <v>200</v>
      </c>
      <c r="BF450" s="317">
        <f>SUMIF(Recibos!$D$4:$D$3010,Cobranza!$B450,Recibos!R$4:R$3010)</f>
        <v>200</v>
      </c>
      <c r="BG450" s="317">
        <f>SUMIF(Recibos!$D$4:$D$3010,Cobranza!$B450,Recibos!S$4:S$3010)</f>
        <v>200</v>
      </c>
      <c r="BH450" s="317">
        <f>SUMIF(Recibos!$D$4:$D$3010,Cobranza!$B450,Recibos!T$4:T$3010)</f>
        <v>200</v>
      </c>
      <c r="BI450" s="317">
        <f>SUMIF(Recibos!$D$4:$D$3010,Cobranza!$B450,Recibos!U$4:U$3010)</f>
        <v>200</v>
      </c>
      <c r="BJ450" s="317">
        <f>SUMIF(Recibos!$D$4:$D$3010,Cobranza!$B450,Recibos!V$4:V$3010)</f>
        <v>200</v>
      </c>
      <c r="BK450" s="318">
        <f t="shared" si="45"/>
        <v>2400</v>
      </c>
      <c r="BL450" s="317">
        <f>SUMIF(Recibos!$D$4:$D$3010,Cobranza!$B450,Recibos!X$4:X$3010)</f>
        <v>0</v>
      </c>
      <c r="BM450" s="317">
        <f>SUMIF(Recibos!$D$4:$D$3010,Cobranza!$B450,Recibos!Y$4:Y$3010)</f>
        <v>0</v>
      </c>
      <c r="BN450" s="317">
        <f>SUMIF(Recibos!$D$4:$D$3010,Cobranza!$B450,Recibos!Z$4:Z$3010)</f>
        <v>0</v>
      </c>
      <c r="BO450" s="317">
        <f>SUMIF(Recibos!$D$4:$D$3010,Cobranza!$B450,Recibos!AA$4:AA$3010)</f>
        <v>0</v>
      </c>
      <c r="BP450" s="317">
        <f>SUMIF(Recibos!$D$4:$D$3010,Cobranza!$B450,Recibos!AB$4:AB$3010)</f>
        <v>0</v>
      </c>
      <c r="BQ450" s="317">
        <f>SUMIF(Recibos!$D$4:$D$3010,Cobranza!$B450,Recibos!AC$4:AC$3010)</f>
        <v>0</v>
      </c>
      <c r="BR450" s="317">
        <f>SUMIF(Recibos!$D$4:$D$3010,Cobranza!$B450,Recibos!AD$4:AD$3010)</f>
        <v>0</v>
      </c>
      <c r="BS450" s="317">
        <f>SUMIF(Recibos!$D$4:$D$3010,Cobranza!$B450,Recibos!AE$4:AE$3010)</f>
        <v>0</v>
      </c>
      <c r="BT450" s="317">
        <f>SUMIF(Recibos!$D$4:$D$3010,Cobranza!$B450,Recibos!AF$4:AF$3010)</f>
        <v>0</v>
      </c>
      <c r="BU450" s="317">
        <f>SUMIF(Recibos!$D$4:$D$3010,Cobranza!$B450,Recibos!AG$4:AG$3010)</f>
        <v>0</v>
      </c>
      <c r="BV450" s="317">
        <f>SUMIF(Recibos!$D$4:$D$3010,Cobranza!$B450,Recibos!AH$4:AH$3010)</f>
        <v>0</v>
      </c>
      <c r="BW450" s="317">
        <f>SUMIF(Recibos!$D$4:$D$3010,Cobranza!$B450,Recibos!AI$4:AI$3010)</f>
        <v>0</v>
      </c>
      <c r="BX450" s="318">
        <f t="shared" si="46"/>
        <v>0</v>
      </c>
    </row>
    <row r="451" spans="2:76" x14ac:dyDescent="0.2">
      <c r="B451" s="45" t="s">
        <v>617</v>
      </c>
      <c r="C451" s="45" t="s">
        <v>618</v>
      </c>
      <c r="D451" s="45" t="s">
        <v>619</v>
      </c>
      <c r="E451" s="46">
        <v>0</v>
      </c>
      <c r="F451" s="46">
        <v>0</v>
      </c>
      <c r="G451" s="46">
        <v>0</v>
      </c>
      <c r="H451" s="46">
        <v>0</v>
      </c>
      <c r="I451" s="46">
        <v>0</v>
      </c>
      <c r="J451" s="46">
        <v>300</v>
      </c>
      <c r="K451" s="47">
        <f t="shared" si="41"/>
        <v>300</v>
      </c>
      <c r="L451" s="46">
        <v>300</v>
      </c>
      <c r="M451" s="46">
        <v>300</v>
      </c>
      <c r="N451" s="46">
        <v>300</v>
      </c>
      <c r="O451" s="46">
        <v>300</v>
      </c>
      <c r="P451" s="46">
        <v>300</v>
      </c>
      <c r="Q451" s="46">
        <v>300</v>
      </c>
      <c r="R451" s="46">
        <v>300</v>
      </c>
      <c r="S451" s="46">
        <v>300</v>
      </c>
      <c r="T451" s="46">
        <v>300</v>
      </c>
      <c r="U451" s="46">
        <v>400</v>
      </c>
      <c r="V451" s="46">
        <v>400</v>
      </c>
      <c r="W451" s="46">
        <v>400</v>
      </c>
      <c r="X451" s="47">
        <f t="shared" si="42"/>
        <v>3900</v>
      </c>
      <c r="Y451" s="46">
        <v>400</v>
      </c>
      <c r="Z451" s="46">
        <v>400</v>
      </c>
      <c r="AA451" s="46">
        <v>0</v>
      </c>
      <c r="AB451" s="46">
        <v>400</v>
      </c>
      <c r="AC451" s="46">
        <v>400</v>
      </c>
      <c r="AD451" s="46">
        <v>400</v>
      </c>
      <c r="AE451" s="46">
        <v>400</v>
      </c>
      <c r="AF451" s="46">
        <v>400</v>
      </c>
      <c r="AG451" s="46">
        <v>400</v>
      </c>
      <c r="AH451" s="46">
        <v>400</v>
      </c>
      <c r="AI451" s="46">
        <v>400</v>
      </c>
      <c r="AJ451" s="46">
        <v>400</v>
      </c>
      <c r="AK451" s="47">
        <f t="shared" si="43"/>
        <v>4400</v>
      </c>
      <c r="AL451" s="46">
        <v>400</v>
      </c>
      <c r="AM451" s="46">
        <v>400</v>
      </c>
      <c r="AN451" s="46">
        <v>400</v>
      </c>
      <c r="AO451" s="46">
        <v>400</v>
      </c>
      <c r="AP451" s="46">
        <v>400</v>
      </c>
      <c r="AQ451" s="46">
        <v>400</v>
      </c>
      <c r="AR451" s="46">
        <v>400</v>
      </c>
      <c r="AS451" s="46">
        <v>400</v>
      </c>
      <c r="AT451" s="46">
        <v>400</v>
      </c>
      <c r="AU451" s="46">
        <v>400</v>
      </c>
      <c r="AV451" s="46">
        <v>400</v>
      </c>
      <c r="AW451" s="46">
        <v>400</v>
      </c>
      <c r="AX451" s="47">
        <f t="shared" si="44"/>
        <v>4800</v>
      </c>
      <c r="AY451" s="319">
        <f>SUMIF(Recibos!$D$4:$D$3010,Cobranza!$B451,Recibos!K$4:K$3010)</f>
        <v>400</v>
      </c>
      <c r="AZ451" s="319">
        <f>SUMIF(Recibos!$D$4:$D$3010,Cobranza!$B451,Recibos!L$4:L$3010)</f>
        <v>400</v>
      </c>
      <c r="BA451" s="319">
        <f>SUMIF(Recibos!$D$4:$D$3010,Cobranza!$B451,Recibos!M$4:M$3010)</f>
        <v>400</v>
      </c>
      <c r="BB451" s="319">
        <f>SUMIF(Recibos!$D$4:$D$3010,Cobranza!$B451,Recibos!N$4:N$3010)</f>
        <v>400</v>
      </c>
      <c r="BC451" s="319">
        <f>SUMIF(Recibos!$D$4:$D$3010,Cobranza!$B451,Recibos!O$4:O$3010)</f>
        <v>0</v>
      </c>
      <c r="BD451" s="319">
        <f>SUMIF(Recibos!$D$4:$D$3010,Cobranza!$B451,Recibos!P$4:P$3010)</f>
        <v>800</v>
      </c>
      <c r="BE451" s="319">
        <f>SUMIF(Recibos!$D$4:$D$3010,Cobranza!$B451,Recibos!Q$4:Q$3010)</f>
        <v>400</v>
      </c>
      <c r="BF451" s="319">
        <f>SUMIF(Recibos!$D$4:$D$3010,Cobranza!$B451,Recibos!R$4:R$3010)</f>
        <v>400</v>
      </c>
      <c r="BG451" s="319">
        <f>SUMIF(Recibos!$D$4:$D$3010,Cobranza!$B451,Recibos!S$4:S$3010)</f>
        <v>400</v>
      </c>
      <c r="BH451" s="319">
        <f>SUMIF(Recibos!$D$4:$D$3010,Cobranza!$B451,Recibos!T$4:T$3010)</f>
        <v>400</v>
      </c>
      <c r="BI451" s="319">
        <f>SUMIF(Recibos!$D$4:$D$3010,Cobranza!$B451,Recibos!U$4:U$3010)</f>
        <v>400</v>
      </c>
      <c r="BJ451" s="319">
        <f>SUMIF(Recibos!$D$4:$D$3010,Cobranza!$B451,Recibos!V$4:V$3010)</f>
        <v>0</v>
      </c>
      <c r="BK451" s="320">
        <f t="shared" si="45"/>
        <v>4400</v>
      </c>
      <c r="BL451" s="319">
        <f>SUMIF(Recibos!$D$4:$D$3010,Cobranza!$B451,Recibos!X$4:X$3010)</f>
        <v>0</v>
      </c>
      <c r="BM451" s="319">
        <f>SUMIF(Recibos!$D$4:$D$3010,Cobranza!$B451,Recibos!Y$4:Y$3010)</f>
        <v>0</v>
      </c>
      <c r="BN451" s="319">
        <f>SUMIF(Recibos!$D$4:$D$3010,Cobranza!$B451,Recibos!Z$4:Z$3010)</f>
        <v>0</v>
      </c>
      <c r="BO451" s="319">
        <f>SUMIF(Recibos!$D$4:$D$3010,Cobranza!$B451,Recibos!AA$4:AA$3010)</f>
        <v>0</v>
      </c>
      <c r="BP451" s="319">
        <f>SUMIF(Recibos!$D$4:$D$3010,Cobranza!$B451,Recibos!AB$4:AB$3010)</f>
        <v>0</v>
      </c>
      <c r="BQ451" s="319">
        <f>SUMIF(Recibos!$D$4:$D$3010,Cobranza!$B451,Recibos!AC$4:AC$3010)</f>
        <v>0</v>
      </c>
      <c r="BR451" s="319">
        <f>SUMIF(Recibos!$D$4:$D$3010,Cobranza!$B451,Recibos!AD$4:AD$3010)</f>
        <v>0</v>
      </c>
      <c r="BS451" s="319">
        <f>SUMIF(Recibos!$D$4:$D$3010,Cobranza!$B451,Recibos!AE$4:AE$3010)</f>
        <v>0</v>
      </c>
      <c r="BT451" s="319">
        <f>SUMIF(Recibos!$D$4:$D$3010,Cobranza!$B451,Recibos!AF$4:AF$3010)</f>
        <v>0</v>
      </c>
      <c r="BU451" s="319">
        <f>SUMIF(Recibos!$D$4:$D$3010,Cobranza!$B451,Recibos!AG$4:AG$3010)</f>
        <v>0</v>
      </c>
      <c r="BV451" s="319">
        <f>SUMIF(Recibos!$D$4:$D$3010,Cobranza!$B451,Recibos!AH$4:AH$3010)</f>
        <v>0</v>
      </c>
      <c r="BW451" s="319">
        <f>SUMIF(Recibos!$D$4:$D$3010,Cobranza!$B451,Recibos!AI$4:AI$3010)</f>
        <v>0</v>
      </c>
      <c r="BX451" s="320">
        <f t="shared" si="46"/>
        <v>0</v>
      </c>
    </row>
    <row r="452" spans="2:76" x14ac:dyDescent="0.2">
      <c r="B452" s="42" t="s">
        <v>1459</v>
      </c>
      <c r="C452" s="42" t="s">
        <v>1460</v>
      </c>
      <c r="D452" s="42"/>
      <c r="E452" s="43">
        <v>0</v>
      </c>
      <c r="F452" s="43">
        <v>0</v>
      </c>
      <c r="G452" s="43">
        <v>0</v>
      </c>
      <c r="H452" s="43">
        <v>0</v>
      </c>
      <c r="I452" s="43">
        <v>0</v>
      </c>
      <c r="J452" s="43">
        <v>0</v>
      </c>
      <c r="K452" s="44">
        <f t="shared" si="41"/>
        <v>0</v>
      </c>
      <c r="L452" s="43">
        <v>0</v>
      </c>
      <c r="M452" s="43">
        <v>0</v>
      </c>
      <c r="N452" s="43">
        <v>0</v>
      </c>
      <c r="O452" s="43">
        <v>0</v>
      </c>
      <c r="P452" s="43">
        <v>0</v>
      </c>
      <c r="Q452" s="43">
        <v>0</v>
      </c>
      <c r="R452" s="43">
        <v>0</v>
      </c>
      <c r="S452" s="43">
        <v>0</v>
      </c>
      <c r="T452" s="43">
        <v>0</v>
      </c>
      <c r="U452" s="43">
        <v>0</v>
      </c>
      <c r="V452" s="43">
        <v>0</v>
      </c>
      <c r="W452" s="43">
        <v>0</v>
      </c>
      <c r="X452" s="44">
        <f t="shared" si="42"/>
        <v>0</v>
      </c>
      <c r="Y452" s="43">
        <v>0</v>
      </c>
      <c r="Z452" s="43">
        <v>0</v>
      </c>
      <c r="AA452" s="43">
        <v>0</v>
      </c>
      <c r="AB452" s="43">
        <v>0</v>
      </c>
      <c r="AC452" s="43">
        <v>0</v>
      </c>
      <c r="AD452" s="43">
        <v>0</v>
      </c>
      <c r="AE452" s="43">
        <v>0</v>
      </c>
      <c r="AF452" s="43">
        <v>0</v>
      </c>
      <c r="AG452" s="43">
        <v>0</v>
      </c>
      <c r="AH452" s="43">
        <v>0</v>
      </c>
      <c r="AI452" s="43">
        <v>0</v>
      </c>
      <c r="AJ452" s="43">
        <v>0</v>
      </c>
      <c r="AK452" s="44">
        <f t="shared" si="43"/>
        <v>0</v>
      </c>
      <c r="AL452" s="43">
        <v>0</v>
      </c>
      <c r="AM452" s="43">
        <v>0</v>
      </c>
      <c r="AN452" s="43">
        <v>0</v>
      </c>
      <c r="AO452" s="43">
        <v>0</v>
      </c>
      <c r="AP452" s="43">
        <v>0</v>
      </c>
      <c r="AQ452" s="43">
        <v>0</v>
      </c>
      <c r="AR452" s="43">
        <v>0</v>
      </c>
      <c r="AS452" s="43">
        <v>0</v>
      </c>
      <c r="AT452" s="43">
        <v>0</v>
      </c>
      <c r="AU452" s="43">
        <v>0</v>
      </c>
      <c r="AV452" s="43">
        <v>0</v>
      </c>
      <c r="AW452" s="43">
        <v>0</v>
      </c>
      <c r="AX452" s="44">
        <f t="shared" si="44"/>
        <v>0</v>
      </c>
      <c r="AY452" s="317">
        <f>SUMIF(Recibos!$D$4:$D$3010,Cobranza!$B452,Recibos!K$4:K$3010)</f>
        <v>0</v>
      </c>
      <c r="AZ452" s="317">
        <f>SUMIF(Recibos!$D$4:$D$3010,Cobranza!$B452,Recibos!L$4:L$3010)</f>
        <v>0</v>
      </c>
      <c r="BA452" s="317">
        <f>SUMIF(Recibos!$D$4:$D$3010,Cobranza!$B452,Recibos!M$4:M$3010)</f>
        <v>0</v>
      </c>
      <c r="BB452" s="317">
        <f>SUMIF(Recibos!$D$4:$D$3010,Cobranza!$B452,Recibos!N$4:N$3010)</f>
        <v>0</v>
      </c>
      <c r="BC452" s="317">
        <f>SUMIF(Recibos!$D$4:$D$3010,Cobranza!$B452,Recibos!O$4:O$3010)</f>
        <v>0</v>
      </c>
      <c r="BD452" s="317">
        <f>SUMIF(Recibos!$D$4:$D$3010,Cobranza!$B452,Recibos!P$4:P$3010)</f>
        <v>0</v>
      </c>
      <c r="BE452" s="317">
        <f>SUMIF(Recibos!$D$4:$D$3010,Cobranza!$B452,Recibos!Q$4:Q$3010)</f>
        <v>0</v>
      </c>
      <c r="BF452" s="317">
        <f>SUMIF(Recibos!$D$4:$D$3010,Cobranza!$B452,Recibos!R$4:R$3010)</f>
        <v>0</v>
      </c>
      <c r="BG452" s="317">
        <f>SUMIF(Recibos!$D$4:$D$3010,Cobranza!$B452,Recibos!S$4:S$3010)</f>
        <v>0</v>
      </c>
      <c r="BH452" s="317">
        <f>SUMIF(Recibos!$D$4:$D$3010,Cobranza!$B452,Recibos!T$4:T$3010)</f>
        <v>0</v>
      </c>
      <c r="BI452" s="317">
        <f>SUMIF(Recibos!$D$4:$D$3010,Cobranza!$B452,Recibos!U$4:U$3010)</f>
        <v>0</v>
      </c>
      <c r="BJ452" s="317">
        <f>SUMIF(Recibos!$D$4:$D$3010,Cobranza!$B452,Recibos!V$4:V$3010)</f>
        <v>0</v>
      </c>
      <c r="BK452" s="318">
        <f t="shared" si="45"/>
        <v>0</v>
      </c>
      <c r="BL452" s="317">
        <f>SUMIF(Recibos!$D$4:$D$3010,Cobranza!$B452,Recibos!X$4:X$3010)</f>
        <v>0</v>
      </c>
      <c r="BM452" s="317">
        <f>SUMIF(Recibos!$D$4:$D$3010,Cobranza!$B452,Recibos!Y$4:Y$3010)</f>
        <v>0</v>
      </c>
      <c r="BN452" s="317">
        <f>SUMIF(Recibos!$D$4:$D$3010,Cobranza!$B452,Recibos!Z$4:Z$3010)</f>
        <v>0</v>
      </c>
      <c r="BO452" s="317">
        <f>SUMIF(Recibos!$D$4:$D$3010,Cobranza!$B452,Recibos!AA$4:AA$3010)</f>
        <v>0</v>
      </c>
      <c r="BP452" s="317">
        <f>SUMIF(Recibos!$D$4:$D$3010,Cobranza!$B452,Recibos!AB$4:AB$3010)</f>
        <v>0</v>
      </c>
      <c r="BQ452" s="317">
        <f>SUMIF(Recibos!$D$4:$D$3010,Cobranza!$B452,Recibos!AC$4:AC$3010)</f>
        <v>0</v>
      </c>
      <c r="BR452" s="317">
        <f>SUMIF(Recibos!$D$4:$D$3010,Cobranza!$B452,Recibos!AD$4:AD$3010)</f>
        <v>0</v>
      </c>
      <c r="BS452" s="317">
        <f>SUMIF(Recibos!$D$4:$D$3010,Cobranza!$B452,Recibos!AE$4:AE$3010)</f>
        <v>0</v>
      </c>
      <c r="BT452" s="317">
        <f>SUMIF(Recibos!$D$4:$D$3010,Cobranza!$B452,Recibos!AF$4:AF$3010)</f>
        <v>0</v>
      </c>
      <c r="BU452" s="317">
        <f>SUMIF(Recibos!$D$4:$D$3010,Cobranza!$B452,Recibos!AG$4:AG$3010)</f>
        <v>0</v>
      </c>
      <c r="BV452" s="317">
        <f>SUMIF(Recibos!$D$4:$D$3010,Cobranza!$B452,Recibos!AH$4:AH$3010)</f>
        <v>0</v>
      </c>
      <c r="BW452" s="317">
        <f>SUMIF(Recibos!$D$4:$D$3010,Cobranza!$B452,Recibos!AI$4:AI$3010)</f>
        <v>0</v>
      </c>
      <c r="BX452" s="318">
        <f t="shared" si="46"/>
        <v>0</v>
      </c>
    </row>
    <row r="453" spans="2:76" x14ac:dyDescent="0.2">
      <c r="B453" s="45" t="s">
        <v>1461</v>
      </c>
      <c r="C453" s="45" t="s">
        <v>1462</v>
      </c>
      <c r="D453" s="45" t="s">
        <v>1463</v>
      </c>
      <c r="E453" s="46">
        <v>0</v>
      </c>
      <c r="F453" s="46">
        <v>0</v>
      </c>
      <c r="G453" s="46">
        <v>0</v>
      </c>
      <c r="H453" s="46">
        <v>0</v>
      </c>
      <c r="I453" s="46">
        <v>0</v>
      </c>
      <c r="J453" s="46">
        <v>250</v>
      </c>
      <c r="K453" s="47">
        <f t="shared" si="41"/>
        <v>250</v>
      </c>
      <c r="L453" s="46">
        <v>250</v>
      </c>
      <c r="M453" s="46">
        <v>250</v>
      </c>
      <c r="N453" s="46">
        <v>250</v>
      </c>
      <c r="O453" s="46">
        <v>250</v>
      </c>
      <c r="P453" s="46">
        <v>250</v>
      </c>
      <c r="Q453" s="46">
        <v>250</v>
      </c>
      <c r="R453" s="46">
        <v>250</v>
      </c>
      <c r="S453" s="46">
        <v>250</v>
      </c>
      <c r="T453" s="46">
        <v>250</v>
      </c>
      <c r="U453" s="46">
        <v>350</v>
      </c>
      <c r="V453" s="46">
        <v>350</v>
      </c>
      <c r="W453" s="46">
        <v>350</v>
      </c>
      <c r="X453" s="47">
        <f t="shared" si="42"/>
        <v>3300</v>
      </c>
      <c r="Y453" s="46">
        <v>350</v>
      </c>
      <c r="Z453" s="46">
        <v>350</v>
      </c>
      <c r="AA453" s="46">
        <v>350</v>
      </c>
      <c r="AB453" s="46">
        <v>350</v>
      </c>
      <c r="AC453" s="46">
        <v>350</v>
      </c>
      <c r="AD453" s="46">
        <v>350</v>
      </c>
      <c r="AE453" s="46">
        <v>350</v>
      </c>
      <c r="AF453" s="46">
        <v>510</v>
      </c>
      <c r="AG453" s="46">
        <v>350</v>
      </c>
      <c r="AH453" s="46">
        <v>350</v>
      </c>
      <c r="AI453" s="46">
        <v>0</v>
      </c>
      <c r="AJ453" s="46">
        <v>0</v>
      </c>
      <c r="AK453" s="47">
        <f t="shared" si="43"/>
        <v>3660</v>
      </c>
      <c r="AL453" s="46">
        <v>0</v>
      </c>
      <c r="AM453" s="46">
        <v>0</v>
      </c>
      <c r="AN453" s="46">
        <v>0</v>
      </c>
      <c r="AO453" s="46">
        <v>0</v>
      </c>
      <c r="AP453" s="46">
        <v>0</v>
      </c>
      <c r="AQ453" s="46">
        <v>0</v>
      </c>
      <c r="AR453" s="46">
        <v>0</v>
      </c>
      <c r="AS453" s="46">
        <v>0</v>
      </c>
      <c r="AT453" s="46">
        <v>0</v>
      </c>
      <c r="AU453" s="46">
        <v>0</v>
      </c>
      <c r="AV453" s="46">
        <v>0</v>
      </c>
      <c r="AW453" s="46">
        <v>0</v>
      </c>
      <c r="AX453" s="47">
        <f t="shared" si="44"/>
        <v>0</v>
      </c>
      <c r="AY453" s="319">
        <f>SUMIF(Recibos!$D$4:$D$3010,Cobranza!$B453,Recibos!K$4:K$3010)</f>
        <v>0</v>
      </c>
      <c r="AZ453" s="319">
        <f>SUMIF(Recibos!$D$4:$D$3010,Cobranza!$B453,Recibos!L$4:L$3010)</f>
        <v>0</v>
      </c>
      <c r="BA453" s="319">
        <f>SUMIF(Recibos!$D$4:$D$3010,Cobranza!$B453,Recibos!M$4:M$3010)</f>
        <v>0</v>
      </c>
      <c r="BB453" s="319">
        <f>SUMIF(Recibos!$D$4:$D$3010,Cobranza!$B453,Recibos!N$4:N$3010)</f>
        <v>0</v>
      </c>
      <c r="BC453" s="319">
        <f>SUMIF(Recibos!$D$4:$D$3010,Cobranza!$B453,Recibos!O$4:O$3010)</f>
        <v>0</v>
      </c>
      <c r="BD453" s="319">
        <f>SUMIF(Recibos!$D$4:$D$3010,Cobranza!$B453,Recibos!P$4:P$3010)</f>
        <v>0</v>
      </c>
      <c r="BE453" s="319">
        <f>SUMIF(Recibos!$D$4:$D$3010,Cobranza!$B453,Recibos!Q$4:Q$3010)</f>
        <v>0</v>
      </c>
      <c r="BF453" s="319">
        <f>SUMIF(Recibos!$D$4:$D$3010,Cobranza!$B453,Recibos!R$4:R$3010)</f>
        <v>0</v>
      </c>
      <c r="BG453" s="319">
        <f>SUMIF(Recibos!$D$4:$D$3010,Cobranza!$B453,Recibos!S$4:S$3010)</f>
        <v>0</v>
      </c>
      <c r="BH453" s="319">
        <f>SUMIF(Recibos!$D$4:$D$3010,Cobranza!$B453,Recibos!T$4:T$3010)</f>
        <v>0</v>
      </c>
      <c r="BI453" s="319">
        <f>SUMIF(Recibos!$D$4:$D$3010,Cobranza!$B453,Recibos!U$4:U$3010)</f>
        <v>0</v>
      </c>
      <c r="BJ453" s="319">
        <f>SUMIF(Recibos!$D$4:$D$3010,Cobranza!$B453,Recibos!V$4:V$3010)</f>
        <v>0</v>
      </c>
      <c r="BK453" s="320">
        <f t="shared" si="45"/>
        <v>0</v>
      </c>
      <c r="BL453" s="319">
        <f>SUMIF(Recibos!$D$4:$D$3010,Cobranza!$B453,Recibos!X$4:X$3010)</f>
        <v>0</v>
      </c>
      <c r="BM453" s="319">
        <f>SUMIF(Recibos!$D$4:$D$3010,Cobranza!$B453,Recibos!Y$4:Y$3010)</f>
        <v>0</v>
      </c>
      <c r="BN453" s="319">
        <f>SUMIF(Recibos!$D$4:$D$3010,Cobranza!$B453,Recibos!Z$4:Z$3010)</f>
        <v>0</v>
      </c>
      <c r="BO453" s="319">
        <f>SUMIF(Recibos!$D$4:$D$3010,Cobranza!$B453,Recibos!AA$4:AA$3010)</f>
        <v>0</v>
      </c>
      <c r="BP453" s="319">
        <f>SUMIF(Recibos!$D$4:$D$3010,Cobranza!$B453,Recibos!AB$4:AB$3010)</f>
        <v>0</v>
      </c>
      <c r="BQ453" s="319">
        <f>SUMIF(Recibos!$D$4:$D$3010,Cobranza!$B453,Recibos!AC$4:AC$3010)</f>
        <v>0</v>
      </c>
      <c r="BR453" s="319">
        <f>SUMIF(Recibos!$D$4:$D$3010,Cobranza!$B453,Recibos!AD$4:AD$3010)</f>
        <v>0</v>
      </c>
      <c r="BS453" s="319">
        <f>SUMIF(Recibos!$D$4:$D$3010,Cobranza!$B453,Recibos!AE$4:AE$3010)</f>
        <v>0</v>
      </c>
      <c r="BT453" s="319">
        <f>SUMIF(Recibos!$D$4:$D$3010,Cobranza!$B453,Recibos!AF$4:AF$3010)</f>
        <v>0</v>
      </c>
      <c r="BU453" s="319">
        <f>SUMIF(Recibos!$D$4:$D$3010,Cobranza!$B453,Recibos!AG$4:AG$3010)</f>
        <v>0</v>
      </c>
      <c r="BV453" s="319">
        <f>SUMIF(Recibos!$D$4:$D$3010,Cobranza!$B453,Recibos!AH$4:AH$3010)</f>
        <v>0</v>
      </c>
      <c r="BW453" s="319">
        <f>SUMIF(Recibos!$D$4:$D$3010,Cobranza!$B453,Recibos!AI$4:AI$3010)</f>
        <v>0</v>
      </c>
      <c r="BX453" s="320">
        <f t="shared" si="46"/>
        <v>0</v>
      </c>
    </row>
    <row r="454" spans="2:76" x14ac:dyDescent="0.2">
      <c r="B454" s="42" t="s">
        <v>1464</v>
      </c>
      <c r="C454" s="42" t="s">
        <v>1465</v>
      </c>
      <c r="D454" s="42" t="s">
        <v>1466</v>
      </c>
      <c r="E454" s="43">
        <v>0</v>
      </c>
      <c r="F454" s="43">
        <v>0</v>
      </c>
      <c r="G454" s="43">
        <v>0</v>
      </c>
      <c r="H454" s="43">
        <v>0</v>
      </c>
      <c r="I454" s="43">
        <v>0</v>
      </c>
      <c r="J454" s="43">
        <v>0</v>
      </c>
      <c r="K454" s="44">
        <f t="shared" si="41"/>
        <v>0</v>
      </c>
      <c r="L454" s="43">
        <v>0</v>
      </c>
      <c r="M454" s="43">
        <v>0</v>
      </c>
      <c r="N454" s="43">
        <v>0</v>
      </c>
      <c r="O454" s="43">
        <v>0</v>
      </c>
      <c r="P454" s="43">
        <v>0</v>
      </c>
      <c r="Q454" s="43">
        <v>0</v>
      </c>
      <c r="R454" s="43">
        <v>0</v>
      </c>
      <c r="S454" s="43">
        <v>0</v>
      </c>
      <c r="T454" s="43">
        <v>0</v>
      </c>
      <c r="U454" s="43">
        <v>0</v>
      </c>
      <c r="V454" s="43">
        <v>0</v>
      </c>
      <c r="W454" s="43">
        <v>0</v>
      </c>
      <c r="X454" s="44">
        <f t="shared" si="42"/>
        <v>0</v>
      </c>
      <c r="Y454" s="43">
        <v>0</v>
      </c>
      <c r="Z454" s="43">
        <v>0</v>
      </c>
      <c r="AA454" s="43">
        <v>0</v>
      </c>
      <c r="AB454" s="43">
        <v>0</v>
      </c>
      <c r="AC454" s="43">
        <v>0</v>
      </c>
      <c r="AD454" s="43">
        <v>0</v>
      </c>
      <c r="AE454" s="43">
        <v>0</v>
      </c>
      <c r="AF454" s="43">
        <v>0</v>
      </c>
      <c r="AG454" s="43">
        <v>0</v>
      </c>
      <c r="AH454" s="43">
        <v>0</v>
      </c>
      <c r="AI454" s="43">
        <v>0</v>
      </c>
      <c r="AJ454" s="43">
        <v>0</v>
      </c>
      <c r="AK454" s="44">
        <f t="shared" si="43"/>
        <v>0</v>
      </c>
      <c r="AL454" s="43">
        <v>0</v>
      </c>
      <c r="AM454" s="43">
        <v>0</v>
      </c>
      <c r="AN454" s="43">
        <v>0</v>
      </c>
      <c r="AO454" s="43">
        <v>0</v>
      </c>
      <c r="AP454" s="43">
        <v>0</v>
      </c>
      <c r="AQ454" s="43">
        <v>0</v>
      </c>
      <c r="AR454" s="43">
        <v>0</v>
      </c>
      <c r="AS454" s="43">
        <v>0</v>
      </c>
      <c r="AT454" s="43">
        <v>0</v>
      </c>
      <c r="AU454" s="43">
        <v>0</v>
      </c>
      <c r="AV454" s="43">
        <v>0</v>
      </c>
      <c r="AW454" s="43">
        <v>0</v>
      </c>
      <c r="AX454" s="44">
        <f t="shared" si="44"/>
        <v>0</v>
      </c>
      <c r="AY454" s="317">
        <f>SUMIF(Recibos!$D$4:$D$3010,Cobranza!$B454,Recibos!K$4:K$3010)</f>
        <v>0</v>
      </c>
      <c r="AZ454" s="317">
        <f>SUMIF(Recibos!$D$4:$D$3010,Cobranza!$B454,Recibos!L$4:L$3010)</f>
        <v>0</v>
      </c>
      <c r="BA454" s="317">
        <f>SUMIF(Recibos!$D$4:$D$3010,Cobranza!$B454,Recibos!M$4:M$3010)</f>
        <v>0</v>
      </c>
      <c r="BB454" s="317">
        <f>SUMIF(Recibos!$D$4:$D$3010,Cobranza!$B454,Recibos!N$4:N$3010)</f>
        <v>0</v>
      </c>
      <c r="BC454" s="317">
        <f>SUMIF(Recibos!$D$4:$D$3010,Cobranza!$B454,Recibos!O$4:O$3010)</f>
        <v>0</v>
      </c>
      <c r="BD454" s="317">
        <f>SUMIF(Recibos!$D$4:$D$3010,Cobranza!$B454,Recibos!P$4:P$3010)</f>
        <v>0</v>
      </c>
      <c r="BE454" s="317">
        <f>SUMIF(Recibos!$D$4:$D$3010,Cobranza!$B454,Recibos!Q$4:Q$3010)</f>
        <v>0</v>
      </c>
      <c r="BF454" s="317">
        <f>SUMIF(Recibos!$D$4:$D$3010,Cobranza!$B454,Recibos!R$4:R$3010)</f>
        <v>0</v>
      </c>
      <c r="BG454" s="317">
        <f>SUMIF(Recibos!$D$4:$D$3010,Cobranza!$B454,Recibos!S$4:S$3010)</f>
        <v>0</v>
      </c>
      <c r="BH454" s="317">
        <f>SUMIF(Recibos!$D$4:$D$3010,Cobranza!$B454,Recibos!T$4:T$3010)</f>
        <v>0</v>
      </c>
      <c r="BI454" s="317">
        <f>SUMIF(Recibos!$D$4:$D$3010,Cobranza!$B454,Recibos!U$4:U$3010)</f>
        <v>0</v>
      </c>
      <c r="BJ454" s="317">
        <f>SUMIF(Recibos!$D$4:$D$3010,Cobranza!$B454,Recibos!V$4:V$3010)</f>
        <v>0</v>
      </c>
      <c r="BK454" s="318">
        <f t="shared" si="45"/>
        <v>0</v>
      </c>
      <c r="BL454" s="317">
        <f>SUMIF(Recibos!$D$4:$D$3010,Cobranza!$B454,Recibos!X$4:X$3010)</f>
        <v>0</v>
      </c>
      <c r="BM454" s="317">
        <f>SUMIF(Recibos!$D$4:$D$3010,Cobranza!$B454,Recibos!Y$4:Y$3010)</f>
        <v>0</v>
      </c>
      <c r="BN454" s="317">
        <f>SUMIF(Recibos!$D$4:$D$3010,Cobranza!$B454,Recibos!Z$4:Z$3010)</f>
        <v>0</v>
      </c>
      <c r="BO454" s="317">
        <f>SUMIF(Recibos!$D$4:$D$3010,Cobranza!$B454,Recibos!AA$4:AA$3010)</f>
        <v>0</v>
      </c>
      <c r="BP454" s="317">
        <f>SUMIF(Recibos!$D$4:$D$3010,Cobranza!$B454,Recibos!AB$4:AB$3010)</f>
        <v>0</v>
      </c>
      <c r="BQ454" s="317">
        <f>SUMIF(Recibos!$D$4:$D$3010,Cobranza!$B454,Recibos!AC$4:AC$3010)</f>
        <v>0</v>
      </c>
      <c r="BR454" s="317">
        <f>SUMIF(Recibos!$D$4:$D$3010,Cobranza!$B454,Recibos!AD$4:AD$3010)</f>
        <v>0</v>
      </c>
      <c r="BS454" s="317">
        <f>SUMIF(Recibos!$D$4:$D$3010,Cobranza!$B454,Recibos!AE$4:AE$3010)</f>
        <v>0</v>
      </c>
      <c r="BT454" s="317">
        <f>SUMIF(Recibos!$D$4:$D$3010,Cobranza!$B454,Recibos!AF$4:AF$3010)</f>
        <v>0</v>
      </c>
      <c r="BU454" s="317">
        <f>SUMIF(Recibos!$D$4:$D$3010,Cobranza!$B454,Recibos!AG$4:AG$3010)</f>
        <v>0</v>
      </c>
      <c r="BV454" s="317">
        <f>SUMIF(Recibos!$D$4:$D$3010,Cobranza!$B454,Recibos!AH$4:AH$3010)</f>
        <v>0</v>
      </c>
      <c r="BW454" s="317">
        <f>SUMIF(Recibos!$D$4:$D$3010,Cobranza!$B454,Recibos!AI$4:AI$3010)</f>
        <v>0</v>
      </c>
      <c r="BX454" s="318">
        <f t="shared" si="46"/>
        <v>0</v>
      </c>
    </row>
    <row r="455" spans="2:76" x14ac:dyDescent="0.2">
      <c r="B455" s="45" t="s">
        <v>666</v>
      </c>
      <c r="C455" s="45" t="s">
        <v>667</v>
      </c>
      <c r="D455" s="45" t="s">
        <v>668</v>
      </c>
      <c r="E455" s="46">
        <v>0</v>
      </c>
      <c r="F455" s="46">
        <v>0</v>
      </c>
      <c r="G455" s="46">
        <v>0</v>
      </c>
      <c r="H455" s="46">
        <v>0</v>
      </c>
      <c r="I455" s="46">
        <v>0</v>
      </c>
      <c r="J455" s="46">
        <v>0</v>
      </c>
      <c r="K455" s="47">
        <f t="shared" si="41"/>
        <v>0</v>
      </c>
      <c r="L455" s="46">
        <v>0</v>
      </c>
      <c r="M455" s="46">
        <v>0</v>
      </c>
      <c r="N455" s="46">
        <v>0</v>
      </c>
      <c r="O455" s="46">
        <v>0</v>
      </c>
      <c r="P455" s="46">
        <v>0</v>
      </c>
      <c r="Q455" s="46">
        <v>0</v>
      </c>
      <c r="R455" s="46">
        <v>0</v>
      </c>
      <c r="S455" s="46">
        <v>0</v>
      </c>
      <c r="T455" s="46">
        <v>0</v>
      </c>
      <c r="U455" s="46">
        <v>0</v>
      </c>
      <c r="V455" s="46">
        <v>0</v>
      </c>
      <c r="W455" s="46">
        <v>0</v>
      </c>
      <c r="X455" s="47">
        <f t="shared" si="42"/>
        <v>0</v>
      </c>
      <c r="Y455" s="46">
        <v>0</v>
      </c>
      <c r="Z455" s="46">
        <v>0</v>
      </c>
      <c r="AA455" s="46">
        <v>0</v>
      </c>
      <c r="AB455" s="46">
        <v>0</v>
      </c>
      <c r="AC455" s="46">
        <v>0</v>
      </c>
      <c r="AD455" s="46">
        <v>0</v>
      </c>
      <c r="AE455" s="46">
        <v>0</v>
      </c>
      <c r="AF455" s="46">
        <v>0</v>
      </c>
      <c r="AG455" s="46">
        <v>0</v>
      </c>
      <c r="AH455" s="46">
        <v>0</v>
      </c>
      <c r="AI455" s="46">
        <v>0</v>
      </c>
      <c r="AJ455" s="46">
        <v>0</v>
      </c>
      <c r="AK455" s="47">
        <f t="shared" si="43"/>
        <v>0</v>
      </c>
      <c r="AL455" s="46">
        <v>0</v>
      </c>
      <c r="AM455" s="46">
        <v>0</v>
      </c>
      <c r="AN455" s="46">
        <v>0</v>
      </c>
      <c r="AO455" s="46">
        <v>0</v>
      </c>
      <c r="AP455" s="46">
        <v>0</v>
      </c>
      <c r="AQ455" s="46">
        <v>0</v>
      </c>
      <c r="AR455" s="46">
        <v>0</v>
      </c>
      <c r="AS455" s="46">
        <v>200</v>
      </c>
      <c r="AT455" s="46">
        <v>200</v>
      </c>
      <c r="AU455" s="46">
        <v>200</v>
      </c>
      <c r="AV455" s="46">
        <v>200</v>
      </c>
      <c r="AW455" s="46">
        <v>200</v>
      </c>
      <c r="AX455" s="47">
        <f t="shared" si="44"/>
        <v>1000</v>
      </c>
      <c r="AY455" s="319">
        <f>SUMIF(Recibos!$D$4:$D$3010,Cobranza!$B455,Recibos!K$4:K$3010)</f>
        <v>200</v>
      </c>
      <c r="AZ455" s="319">
        <f>SUMIF(Recibos!$D$4:$D$3010,Cobranza!$B455,Recibos!L$4:L$3010)</f>
        <v>200</v>
      </c>
      <c r="BA455" s="319">
        <f>SUMIF(Recibos!$D$4:$D$3010,Cobranza!$B455,Recibos!M$4:M$3010)</f>
        <v>200</v>
      </c>
      <c r="BB455" s="319">
        <f>SUMIF(Recibos!$D$4:$D$3010,Cobranza!$B455,Recibos!N$4:N$3010)</f>
        <v>200</v>
      </c>
      <c r="BC455" s="319">
        <f>SUMIF(Recibos!$D$4:$D$3010,Cobranza!$B455,Recibos!O$4:O$3010)</f>
        <v>0</v>
      </c>
      <c r="BD455" s="319">
        <f>SUMIF(Recibos!$D$4:$D$3010,Cobranza!$B455,Recibos!P$4:P$3010)</f>
        <v>0</v>
      </c>
      <c r="BE455" s="319">
        <f>SUMIF(Recibos!$D$4:$D$3010,Cobranza!$B455,Recibos!Q$4:Q$3010)</f>
        <v>200</v>
      </c>
      <c r="BF455" s="319">
        <f>SUMIF(Recibos!$D$4:$D$3010,Cobranza!$B455,Recibos!R$4:R$3010)</f>
        <v>200</v>
      </c>
      <c r="BG455" s="319">
        <f>SUMIF(Recibos!$D$4:$D$3010,Cobranza!$B455,Recibos!S$4:S$3010)</f>
        <v>200</v>
      </c>
      <c r="BH455" s="319">
        <f>SUMIF(Recibos!$D$4:$D$3010,Cobranza!$B455,Recibos!T$4:T$3010)</f>
        <v>0</v>
      </c>
      <c r="BI455" s="319">
        <f>SUMIF(Recibos!$D$4:$D$3010,Cobranza!$B455,Recibos!U$4:U$3010)</f>
        <v>0</v>
      </c>
      <c r="BJ455" s="319">
        <f>SUMIF(Recibos!$D$4:$D$3010,Cobranza!$B455,Recibos!V$4:V$3010)</f>
        <v>0</v>
      </c>
      <c r="BK455" s="320">
        <f t="shared" si="45"/>
        <v>1400</v>
      </c>
      <c r="BL455" s="319">
        <f>SUMIF(Recibos!$D$4:$D$3010,Cobranza!$B455,Recibos!X$4:X$3010)</f>
        <v>0</v>
      </c>
      <c r="BM455" s="319">
        <f>SUMIF(Recibos!$D$4:$D$3010,Cobranza!$B455,Recibos!Y$4:Y$3010)</f>
        <v>0</v>
      </c>
      <c r="BN455" s="319">
        <f>SUMIF(Recibos!$D$4:$D$3010,Cobranza!$B455,Recibos!Z$4:Z$3010)</f>
        <v>0</v>
      </c>
      <c r="BO455" s="319">
        <f>SUMIF(Recibos!$D$4:$D$3010,Cobranza!$B455,Recibos!AA$4:AA$3010)</f>
        <v>0</v>
      </c>
      <c r="BP455" s="319">
        <f>SUMIF(Recibos!$D$4:$D$3010,Cobranza!$B455,Recibos!AB$4:AB$3010)</f>
        <v>0</v>
      </c>
      <c r="BQ455" s="319">
        <f>SUMIF(Recibos!$D$4:$D$3010,Cobranza!$B455,Recibos!AC$4:AC$3010)</f>
        <v>0</v>
      </c>
      <c r="BR455" s="319">
        <f>SUMIF(Recibos!$D$4:$D$3010,Cobranza!$B455,Recibos!AD$4:AD$3010)</f>
        <v>0</v>
      </c>
      <c r="BS455" s="319">
        <f>SUMIF(Recibos!$D$4:$D$3010,Cobranza!$B455,Recibos!AE$4:AE$3010)</f>
        <v>0</v>
      </c>
      <c r="BT455" s="319">
        <f>SUMIF(Recibos!$D$4:$D$3010,Cobranza!$B455,Recibos!AF$4:AF$3010)</f>
        <v>0</v>
      </c>
      <c r="BU455" s="319">
        <f>SUMIF(Recibos!$D$4:$D$3010,Cobranza!$B455,Recibos!AG$4:AG$3010)</f>
        <v>0</v>
      </c>
      <c r="BV455" s="319">
        <f>SUMIF(Recibos!$D$4:$D$3010,Cobranza!$B455,Recibos!AH$4:AH$3010)</f>
        <v>0</v>
      </c>
      <c r="BW455" s="319">
        <f>SUMIF(Recibos!$D$4:$D$3010,Cobranza!$B455,Recibos!AI$4:AI$3010)</f>
        <v>0</v>
      </c>
      <c r="BX455" s="320">
        <f t="shared" si="46"/>
        <v>0</v>
      </c>
    </row>
    <row r="456" spans="2:76" x14ac:dyDescent="0.2">
      <c r="B456" s="42" t="s">
        <v>565</v>
      </c>
      <c r="C456" s="42" t="s">
        <v>566</v>
      </c>
      <c r="D456" s="42" t="s">
        <v>567</v>
      </c>
      <c r="E456" s="43">
        <v>0</v>
      </c>
      <c r="F456" s="43">
        <v>0</v>
      </c>
      <c r="G456" s="43">
        <v>0</v>
      </c>
      <c r="H456" s="43">
        <v>0</v>
      </c>
      <c r="I456" s="43">
        <v>0</v>
      </c>
      <c r="J456" s="43">
        <v>0</v>
      </c>
      <c r="K456" s="44">
        <f t="shared" si="41"/>
        <v>0</v>
      </c>
      <c r="L456" s="43">
        <v>250</v>
      </c>
      <c r="M456" s="43">
        <v>250</v>
      </c>
      <c r="N456" s="43">
        <v>250</v>
      </c>
      <c r="O456" s="43">
        <v>250</v>
      </c>
      <c r="P456" s="43">
        <v>250</v>
      </c>
      <c r="Q456" s="43">
        <v>250</v>
      </c>
      <c r="R456" s="43">
        <v>250</v>
      </c>
      <c r="S456" s="43">
        <v>250</v>
      </c>
      <c r="T456" s="43">
        <v>250</v>
      </c>
      <c r="U456" s="43">
        <v>250</v>
      </c>
      <c r="V456" s="43">
        <v>250</v>
      </c>
      <c r="W456" s="43">
        <v>250</v>
      </c>
      <c r="X456" s="44">
        <f t="shared" si="42"/>
        <v>3000</v>
      </c>
      <c r="Y456" s="43">
        <v>250</v>
      </c>
      <c r="Z456" s="43">
        <v>250</v>
      </c>
      <c r="AA456" s="43">
        <v>250</v>
      </c>
      <c r="AB456" s="43">
        <v>250</v>
      </c>
      <c r="AC456" s="43">
        <v>250</v>
      </c>
      <c r="AD456" s="43">
        <v>250</v>
      </c>
      <c r="AE456" s="43">
        <v>250</v>
      </c>
      <c r="AF456" s="43">
        <v>250</v>
      </c>
      <c r="AG456" s="43">
        <v>250</v>
      </c>
      <c r="AH456" s="43">
        <v>250</v>
      </c>
      <c r="AI456" s="43">
        <v>250</v>
      </c>
      <c r="AJ456" s="43">
        <v>250</v>
      </c>
      <c r="AK456" s="44">
        <f t="shared" si="43"/>
        <v>3000</v>
      </c>
      <c r="AL456" s="43">
        <v>250</v>
      </c>
      <c r="AM456" s="43">
        <v>250</v>
      </c>
      <c r="AN456" s="43">
        <v>250</v>
      </c>
      <c r="AO456" s="43">
        <v>250</v>
      </c>
      <c r="AP456" s="43">
        <v>250</v>
      </c>
      <c r="AQ456" s="43">
        <v>250</v>
      </c>
      <c r="AR456" s="43">
        <v>250</v>
      </c>
      <c r="AS456" s="43">
        <v>250</v>
      </c>
      <c r="AT456" s="43">
        <v>250</v>
      </c>
      <c r="AU456" s="43">
        <v>250</v>
      </c>
      <c r="AV456" s="43">
        <v>250</v>
      </c>
      <c r="AW456" s="43">
        <v>250</v>
      </c>
      <c r="AX456" s="44">
        <f t="shared" si="44"/>
        <v>3000</v>
      </c>
      <c r="AY456" s="317">
        <f>SUMIF(Recibos!$D$4:$D$3010,Cobranza!$B456,Recibos!K$4:K$3010)</f>
        <v>250</v>
      </c>
      <c r="AZ456" s="317">
        <f>SUMIF(Recibos!$D$4:$D$3010,Cobranza!$B456,Recibos!L$4:L$3010)</f>
        <v>250</v>
      </c>
      <c r="BA456" s="317">
        <f>SUMIF(Recibos!$D$4:$D$3010,Cobranza!$B456,Recibos!M$4:M$3010)</f>
        <v>250</v>
      </c>
      <c r="BB456" s="317">
        <f>SUMIF(Recibos!$D$4:$D$3010,Cobranza!$B456,Recibos!N$4:N$3010)</f>
        <v>250</v>
      </c>
      <c r="BC456" s="317">
        <f>SUMIF(Recibos!$D$4:$D$3010,Cobranza!$B456,Recibos!O$4:O$3010)</f>
        <v>250</v>
      </c>
      <c r="BD456" s="317">
        <f>SUMIF(Recibos!$D$4:$D$3010,Cobranza!$B456,Recibos!P$4:P$3010)</f>
        <v>250</v>
      </c>
      <c r="BE456" s="317">
        <f>SUMIF(Recibos!$D$4:$D$3010,Cobranza!$B456,Recibos!Q$4:Q$3010)</f>
        <v>250</v>
      </c>
      <c r="BF456" s="317">
        <f>SUMIF(Recibos!$D$4:$D$3010,Cobranza!$B456,Recibos!R$4:R$3010)</f>
        <v>250</v>
      </c>
      <c r="BG456" s="317">
        <f>SUMIF(Recibos!$D$4:$D$3010,Cobranza!$B456,Recibos!S$4:S$3010)</f>
        <v>250</v>
      </c>
      <c r="BH456" s="317">
        <f>SUMIF(Recibos!$D$4:$D$3010,Cobranza!$B456,Recibos!T$4:T$3010)</f>
        <v>250</v>
      </c>
      <c r="BI456" s="317">
        <f>SUMIF(Recibos!$D$4:$D$3010,Cobranza!$B456,Recibos!U$4:U$3010)</f>
        <v>250</v>
      </c>
      <c r="BJ456" s="317">
        <f>SUMIF(Recibos!$D$4:$D$3010,Cobranza!$B456,Recibos!V$4:V$3010)</f>
        <v>0</v>
      </c>
      <c r="BK456" s="318">
        <f t="shared" si="45"/>
        <v>2750</v>
      </c>
      <c r="BL456" s="317">
        <f>SUMIF(Recibos!$D$4:$D$3010,Cobranza!$B456,Recibos!X$4:X$3010)</f>
        <v>0</v>
      </c>
      <c r="BM456" s="317">
        <f>SUMIF(Recibos!$D$4:$D$3010,Cobranza!$B456,Recibos!Y$4:Y$3010)</f>
        <v>0</v>
      </c>
      <c r="BN456" s="317">
        <f>SUMIF(Recibos!$D$4:$D$3010,Cobranza!$B456,Recibos!Z$4:Z$3010)</f>
        <v>0</v>
      </c>
      <c r="BO456" s="317">
        <f>SUMIF(Recibos!$D$4:$D$3010,Cobranza!$B456,Recibos!AA$4:AA$3010)</f>
        <v>0</v>
      </c>
      <c r="BP456" s="317">
        <f>SUMIF(Recibos!$D$4:$D$3010,Cobranza!$B456,Recibos!AB$4:AB$3010)</f>
        <v>0</v>
      </c>
      <c r="BQ456" s="317">
        <f>SUMIF(Recibos!$D$4:$D$3010,Cobranza!$B456,Recibos!AC$4:AC$3010)</f>
        <v>0</v>
      </c>
      <c r="BR456" s="317">
        <f>SUMIF(Recibos!$D$4:$D$3010,Cobranza!$B456,Recibos!AD$4:AD$3010)</f>
        <v>0</v>
      </c>
      <c r="BS456" s="317">
        <f>SUMIF(Recibos!$D$4:$D$3010,Cobranza!$B456,Recibos!AE$4:AE$3010)</f>
        <v>0</v>
      </c>
      <c r="BT456" s="317">
        <f>SUMIF(Recibos!$D$4:$D$3010,Cobranza!$B456,Recibos!AF$4:AF$3010)</f>
        <v>0</v>
      </c>
      <c r="BU456" s="317">
        <f>SUMIF(Recibos!$D$4:$D$3010,Cobranza!$B456,Recibos!AG$4:AG$3010)</f>
        <v>0</v>
      </c>
      <c r="BV456" s="317">
        <f>SUMIF(Recibos!$D$4:$D$3010,Cobranza!$B456,Recibos!AH$4:AH$3010)</f>
        <v>0</v>
      </c>
      <c r="BW456" s="317">
        <f>SUMIF(Recibos!$D$4:$D$3010,Cobranza!$B456,Recibos!AI$4:AI$3010)</f>
        <v>0</v>
      </c>
      <c r="BX456" s="318">
        <f t="shared" si="46"/>
        <v>0</v>
      </c>
    </row>
    <row r="457" spans="2:76" x14ac:dyDescent="0.2">
      <c r="B457" s="45" t="s">
        <v>1184</v>
      </c>
      <c r="C457" s="45" t="s">
        <v>1185</v>
      </c>
      <c r="D457" s="45" t="s">
        <v>1186</v>
      </c>
      <c r="E457" s="46">
        <v>0</v>
      </c>
      <c r="F457" s="46">
        <v>0</v>
      </c>
      <c r="G457" s="46">
        <v>0</v>
      </c>
      <c r="H457" s="46">
        <v>0</v>
      </c>
      <c r="I457" s="46">
        <v>0</v>
      </c>
      <c r="J457" s="46">
        <v>0</v>
      </c>
      <c r="K457" s="47">
        <f t="shared" si="41"/>
        <v>0</v>
      </c>
      <c r="L457" s="46">
        <v>0</v>
      </c>
      <c r="M457" s="46">
        <v>0</v>
      </c>
      <c r="N457" s="46">
        <v>0</v>
      </c>
      <c r="O457" s="46">
        <v>0</v>
      </c>
      <c r="P457" s="46">
        <v>0</v>
      </c>
      <c r="Q457" s="46">
        <v>0</v>
      </c>
      <c r="R457" s="46">
        <v>0</v>
      </c>
      <c r="S457" s="46">
        <v>0</v>
      </c>
      <c r="T457" s="46">
        <v>0</v>
      </c>
      <c r="U457" s="46">
        <v>0</v>
      </c>
      <c r="V457" s="46">
        <v>0</v>
      </c>
      <c r="W457" s="46">
        <v>0</v>
      </c>
      <c r="X457" s="47">
        <f t="shared" si="42"/>
        <v>0</v>
      </c>
      <c r="Y457" s="46">
        <v>0</v>
      </c>
      <c r="Z457" s="46">
        <v>0</v>
      </c>
      <c r="AA457" s="46">
        <v>0</v>
      </c>
      <c r="AB457" s="46">
        <v>0</v>
      </c>
      <c r="AC457" s="46">
        <v>0</v>
      </c>
      <c r="AD457" s="46">
        <v>0</v>
      </c>
      <c r="AE457" s="46">
        <v>0</v>
      </c>
      <c r="AF457" s="46">
        <v>0</v>
      </c>
      <c r="AG457" s="46">
        <v>0</v>
      </c>
      <c r="AH457" s="46">
        <v>0</v>
      </c>
      <c r="AI457" s="46">
        <v>0</v>
      </c>
      <c r="AJ457" s="46">
        <v>0</v>
      </c>
      <c r="AK457" s="47">
        <f t="shared" si="43"/>
        <v>0</v>
      </c>
      <c r="AL457" s="46">
        <v>400</v>
      </c>
      <c r="AM457" s="46">
        <v>0</v>
      </c>
      <c r="AN457" s="46">
        <v>0</v>
      </c>
      <c r="AO457" s="46">
        <v>0</v>
      </c>
      <c r="AP457" s="46">
        <v>0</v>
      </c>
      <c r="AQ457" s="46">
        <v>0</v>
      </c>
      <c r="AR457" s="46">
        <v>0</v>
      </c>
      <c r="AS457" s="46">
        <v>0</v>
      </c>
      <c r="AT457" s="46">
        <v>0</v>
      </c>
      <c r="AU457" s="46">
        <v>0</v>
      </c>
      <c r="AV457" s="46">
        <v>0</v>
      </c>
      <c r="AW457" s="46">
        <v>0</v>
      </c>
      <c r="AX457" s="47">
        <f t="shared" si="44"/>
        <v>400</v>
      </c>
      <c r="AY457" s="319">
        <f>SUMIF(Recibos!$D$4:$D$3010,Cobranza!$B457,Recibos!K$4:K$3010)</f>
        <v>0</v>
      </c>
      <c r="AZ457" s="319">
        <f>SUMIF(Recibos!$D$4:$D$3010,Cobranza!$B457,Recibos!L$4:L$3010)</f>
        <v>0</v>
      </c>
      <c r="BA457" s="319">
        <f>SUMIF(Recibos!$D$4:$D$3010,Cobranza!$B457,Recibos!M$4:M$3010)</f>
        <v>0</v>
      </c>
      <c r="BB457" s="319">
        <f>SUMIF(Recibos!$D$4:$D$3010,Cobranza!$B457,Recibos!N$4:N$3010)</f>
        <v>0</v>
      </c>
      <c r="BC457" s="319">
        <f>SUMIF(Recibos!$D$4:$D$3010,Cobranza!$B457,Recibos!O$4:O$3010)</f>
        <v>0</v>
      </c>
      <c r="BD457" s="319">
        <f>SUMIF(Recibos!$D$4:$D$3010,Cobranza!$B457,Recibos!P$4:P$3010)</f>
        <v>0</v>
      </c>
      <c r="BE457" s="319">
        <f>SUMIF(Recibos!$D$4:$D$3010,Cobranza!$B457,Recibos!Q$4:Q$3010)</f>
        <v>0</v>
      </c>
      <c r="BF457" s="319">
        <f>SUMIF(Recibos!$D$4:$D$3010,Cobranza!$B457,Recibos!R$4:R$3010)</f>
        <v>0</v>
      </c>
      <c r="BG457" s="319">
        <f>SUMIF(Recibos!$D$4:$D$3010,Cobranza!$B457,Recibos!S$4:S$3010)</f>
        <v>400</v>
      </c>
      <c r="BH457" s="319">
        <f>SUMIF(Recibos!$D$4:$D$3010,Cobranza!$B457,Recibos!T$4:T$3010)</f>
        <v>400</v>
      </c>
      <c r="BI457" s="319">
        <f>SUMIF(Recibos!$D$4:$D$3010,Cobranza!$B457,Recibos!U$4:U$3010)</f>
        <v>0</v>
      </c>
      <c r="BJ457" s="319">
        <f>SUMIF(Recibos!$D$4:$D$3010,Cobranza!$B457,Recibos!V$4:V$3010)</f>
        <v>0</v>
      </c>
      <c r="BK457" s="320">
        <f t="shared" si="45"/>
        <v>800</v>
      </c>
      <c r="BL457" s="319">
        <f>SUMIF(Recibos!$D$4:$D$3010,Cobranza!$B457,Recibos!X$4:X$3010)</f>
        <v>0</v>
      </c>
      <c r="BM457" s="319">
        <f>SUMIF(Recibos!$D$4:$D$3010,Cobranza!$B457,Recibos!Y$4:Y$3010)</f>
        <v>0</v>
      </c>
      <c r="BN457" s="319">
        <f>SUMIF(Recibos!$D$4:$D$3010,Cobranza!$B457,Recibos!Z$4:Z$3010)</f>
        <v>0</v>
      </c>
      <c r="BO457" s="319">
        <f>SUMIF(Recibos!$D$4:$D$3010,Cobranza!$B457,Recibos!AA$4:AA$3010)</f>
        <v>0</v>
      </c>
      <c r="BP457" s="319">
        <f>SUMIF(Recibos!$D$4:$D$3010,Cobranza!$B457,Recibos!AB$4:AB$3010)</f>
        <v>0</v>
      </c>
      <c r="BQ457" s="319">
        <f>SUMIF(Recibos!$D$4:$D$3010,Cobranza!$B457,Recibos!AC$4:AC$3010)</f>
        <v>0</v>
      </c>
      <c r="BR457" s="319">
        <f>SUMIF(Recibos!$D$4:$D$3010,Cobranza!$B457,Recibos!AD$4:AD$3010)</f>
        <v>0</v>
      </c>
      <c r="BS457" s="319">
        <f>SUMIF(Recibos!$D$4:$D$3010,Cobranza!$B457,Recibos!AE$4:AE$3010)</f>
        <v>0</v>
      </c>
      <c r="BT457" s="319">
        <f>SUMIF(Recibos!$D$4:$D$3010,Cobranza!$B457,Recibos!AF$4:AF$3010)</f>
        <v>0</v>
      </c>
      <c r="BU457" s="319">
        <f>SUMIF(Recibos!$D$4:$D$3010,Cobranza!$B457,Recibos!AG$4:AG$3010)</f>
        <v>0</v>
      </c>
      <c r="BV457" s="319">
        <f>SUMIF(Recibos!$D$4:$D$3010,Cobranza!$B457,Recibos!AH$4:AH$3010)</f>
        <v>0</v>
      </c>
      <c r="BW457" s="319">
        <f>SUMIF(Recibos!$D$4:$D$3010,Cobranza!$B457,Recibos!AI$4:AI$3010)</f>
        <v>0</v>
      </c>
      <c r="BX457" s="320">
        <f t="shared" si="46"/>
        <v>0</v>
      </c>
    </row>
    <row r="458" spans="2:76" x14ac:dyDescent="0.2">
      <c r="B458" s="42" t="s">
        <v>479</v>
      </c>
      <c r="C458" s="42" t="s">
        <v>480</v>
      </c>
      <c r="D458" s="42" t="s">
        <v>481</v>
      </c>
      <c r="E458" s="43">
        <v>0</v>
      </c>
      <c r="F458" s="43">
        <v>0</v>
      </c>
      <c r="G458" s="43">
        <v>0</v>
      </c>
      <c r="H458" s="43">
        <v>0</v>
      </c>
      <c r="I458" s="43">
        <v>0</v>
      </c>
      <c r="J458" s="43">
        <v>300</v>
      </c>
      <c r="K458" s="44">
        <f t="shared" si="41"/>
        <v>300</v>
      </c>
      <c r="L458" s="43">
        <v>600</v>
      </c>
      <c r="M458" s="43">
        <v>0</v>
      </c>
      <c r="N458" s="43">
        <v>300</v>
      </c>
      <c r="O458" s="43">
        <v>300</v>
      </c>
      <c r="P458" s="43">
        <v>300</v>
      </c>
      <c r="Q458" s="43">
        <v>300</v>
      </c>
      <c r="R458" s="43">
        <v>300</v>
      </c>
      <c r="S458" s="43">
        <v>300</v>
      </c>
      <c r="T458" s="43">
        <v>300</v>
      </c>
      <c r="U458" s="43">
        <v>300</v>
      </c>
      <c r="V458" s="43">
        <v>400</v>
      </c>
      <c r="W458" s="43">
        <v>400</v>
      </c>
      <c r="X458" s="44">
        <f t="shared" si="42"/>
        <v>3800</v>
      </c>
      <c r="Y458" s="43">
        <v>400</v>
      </c>
      <c r="Z458" s="43">
        <v>300</v>
      </c>
      <c r="AA458" s="43">
        <v>300</v>
      </c>
      <c r="AB458" s="43">
        <v>300</v>
      </c>
      <c r="AC458" s="43">
        <v>300</v>
      </c>
      <c r="AD458" s="43">
        <v>300</v>
      </c>
      <c r="AE458" s="43">
        <v>300</v>
      </c>
      <c r="AF458" s="43">
        <v>300</v>
      </c>
      <c r="AG458" s="43">
        <v>300</v>
      </c>
      <c r="AH458" s="43">
        <v>300</v>
      </c>
      <c r="AI458" s="43">
        <v>300</v>
      </c>
      <c r="AJ458" s="43">
        <v>300</v>
      </c>
      <c r="AK458" s="44">
        <f t="shared" si="43"/>
        <v>3700</v>
      </c>
      <c r="AL458" s="43">
        <v>300</v>
      </c>
      <c r="AM458" s="43">
        <v>300</v>
      </c>
      <c r="AN458" s="43">
        <v>300</v>
      </c>
      <c r="AO458" s="43">
        <v>300</v>
      </c>
      <c r="AP458" s="43">
        <v>300</v>
      </c>
      <c r="AQ458" s="43">
        <v>300</v>
      </c>
      <c r="AR458" s="43">
        <v>300</v>
      </c>
      <c r="AS458" s="43">
        <v>300</v>
      </c>
      <c r="AT458" s="43">
        <v>300</v>
      </c>
      <c r="AU458" s="43">
        <v>300</v>
      </c>
      <c r="AV458" s="43">
        <v>300</v>
      </c>
      <c r="AW458" s="43">
        <v>300</v>
      </c>
      <c r="AX458" s="44">
        <f t="shared" si="44"/>
        <v>3600</v>
      </c>
      <c r="AY458" s="317">
        <f>SUMIF(Recibos!$D$4:$D$3010,Cobranza!$B458,Recibos!K$4:K$3010)</f>
        <v>300</v>
      </c>
      <c r="AZ458" s="317">
        <f>SUMIF(Recibos!$D$4:$D$3010,Cobranza!$B458,Recibos!L$4:L$3010)</f>
        <v>300</v>
      </c>
      <c r="BA458" s="317">
        <f>SUMIF(Recibos!$D$4:$D$3010,Cobranza!$B458,Recibos!M$4:M$3010)</f>
        <v>300</v>
      </c>
      <c r="BB458" s="317">
        <f>SUMIF(Recibos!$D$4:$D$3010,Cobranza!$B458,Recibos!N$4:N$3010)</f>
        <v>300</v>
      </c>
      <c r="BC458" s="317">
        <f>SUMIF(Recibos!$D$4:$D$3010,Cobranza!$B458,Recibos!O$4:O$3010)</f>
        <v>300</v>
      </c>
      <c r="BD458" s="317">
        <f>SUMIF(Recibos!$D$4:$D$3010,Cobranza!$B458,Recibos!P$4:P$3010)</f>
        <v>300</v>
      </c>
      <c r="BE458" s="317">
        <f>SUMIF(Recibos!$D$4:$D$3010,Cobranza!$B458,Recibos!Q$4:Q$3010)</f>
        <v>300</v>
      </c>
      <c r="BF458" s="317">
        <f>SUMIF(Recibos!$D$4:$D$3010,Cobranza!$B458,Recibos!R$4:R$3010)</f>
        <v>300</v>
      </c>
      <c r="BG458" s="317">
        <f>SUMIF(Recibos!$D$4:$D$3010,Cobranza!$B458,Recibos!S$4:S$3010)</f>
        <v>300</v>
      </c>
      <c r="BH458" s="317">
        <f>SUMIF(Recibos!$D$4:$D$3010,Cobranza!$B458,Recibos!T$4:T$3010)</f>
        <v>300</v>
      </c>
      <c r="BI458" s="317">
        <f>SUMIF(Recibos!$D$4:$D$3010,Cobranza!$B458,Recibos!U$4:U$3010)</f>
        <v>300</v>
      </c>
      <c r="BJ458" s="317">
        <f>SUMIF(Recibos!$D$4:$D$3010,Cobranza!$B458,Recibos!V$4:V$3010)</f>
        <v>300</v>
      </c>
      <c r="BK458" s="318">
        <f t="shared" si="45"/>
        <v>3600</v>
      </c>
      <c r="BL458" s="317">
        <f>SUMIF(Recibos!$D$4:$D$3010,Cobranza!$B458,Recibos!X$4:X$3010)</f>
        <v>0</v>
      </c>
      <c r="BM458" s="317">
        <f>SUMIF(Recibos!$D$4:$D$3010,Cobranza!$B458,Recibos!Y$4:Y$3010)</f>
        <v>0</v>
      </c>
      <c r="BN458" s="317">
        <f>SUMIF(Recibos!$D$4:$D$3010,Cobranza!$B458,Recibos!Z$4:Z$3010)</f>
        <v>0</v>
      </c>
      <c r="BO458" s="317">
        <f>SUMIF(Recibos!$D$4:$D$3010,Cobranza!$B458,Recibos!AA$4:AA$3010)</f>
        <v>0</v>
      </c>
      <c r="BP458" s="317">
        <f>SUMIF(Recibos!$D$4:$D$3010,Cobranza!$B458,Recibos!AB$4:AB$3010)</f>
        <v>0</v>
      </c>
      <c r="BQ458" s="317">
        <f>SUMIF(Recibos!$D$4:$D$3010,Cobranza!$B458,Recibos!AC$4:AC$3010)</f>
        <v>0</v>
      </c>
      <c r="BR458" s="317">
        <f>SUMIF(Recibos!$D$4:$D$3010,Cobranza!$B458,Recibos!AD$4:AD$3010)</f>
        <v>0</v>
      </c>
      <c r="BS458" s="317">
        <f>SUMIF(Recibos!$D$4:$D$3010,Cobranza!$B458,Recibos!AE$4:AE$3010)</f>
        <v>0</v>
      </c>
      <c r="BT458" s="317">
        <f>SUMIF(Recibos!$D$4:$D$3010,Cobranza!$B458,Recibos!AF$4:AF$3010)</f>
        <v>0</v>
      </c>
      <c r="BU458" s="317">
        <f>SUMIF(Recibos!$D$4:$D$3010,Cobranza!$B458,Recibos!AG$4:AG$3010)</f>
        <v>0</v>
      </c>
      <c r="BV458" s="317">
        <f>SUMIF(Recibos!$D$4:$D$3010,Cobranza!$B458,Recibos!AH$4:AH$3010)</f>
        <v>0</v>
      </c>
      <c r="BW458" s="317">
        <f>SUMIF(Recibos!$D$4:$D$3010,Cobranza!$B458,Recibos!AI$4:AI$3010)</f>
        <v>0</v>
      </c>
      <c r="BX458" s="318">
        <f t="shared" si="46"/>
        <v>0</v>
      </c>
    </row>
    <row r="459" spans="2:76" x14ac:dyDescent="0.2">
      <c r="B459" s="45" t="s">
        <v>547</v>
      </c>
      <c r="C459" s="45" t="s">
        <v>548</v>
      </c>
      <c r="D459" s="45" t="s">
        <v>549</v>
      </c>
      <c r="E459" s="46">
        <v>0</v>
      </c>
      <c r="F459" s="46">
        <v>0</v>
      </c>
      <c r="G459" s="46">
        <v>0</v>
      </c>
      <c r="H459" s="46">
        <v>0</v>
      </c>
      <c r="I459" s="46">
        <v>0</v>
      </c>
      <c r="J459" s="46">
        <v>0</v>
      </c>
      <c r="K459" s="47">
        <f t="shared" ref="K459:K465" si="47">SUM(E459:J459)</f>
        <v>0</v>
      </c>
      <c r="L459" s="46">
        <v>0</v>
      </c>
      <c r="M459" s="46">
        <v>0</v>
      </c>
      <c r="N459" s="46">
        <v>0</v>
      </c>
      <c r="O459" s="46">
        <v>0</v>
      </c>
      <c r="P459" s="46">
        <v>0</v>
      </c>
      <c r="Q459" s="46">
        <v>0</v>
      </c>
      <c r="R459" s="46">
        <v>0</v>
      </c>
      <c r="S459" s="46">
        <v>0</v>
      </c>
      <c r="T459" s="46">
        <v>0</v>
      </c>
      <c r="U459" s="46">
        <v>0</v>
      </c>
      <c r="V459" s="46">
        <v>0</v>
      </c>
      <c r="W459" s="46">
        <v>0</v>
      </c>
      <c r="X459" s="47">
        <f t="shared" ref="X459:X465" si="48">SUM(L459:W459)</f>
        <v>0</v>
      </c>
      <c r="Y459" s="46">
        <v>0</v>
      </c>
      <c r="Z459" s="46">
        <v>150</v>
      </c>
      <c r="AA459" s="46">
        <v>150</v>
      </c>
      <c r="AB459" s="46">
        <v>200</v>
      </c>
      <c r="AC459" s="46">
        <v>200</v>
      </c>
      <c r="AD459" s="46">
        <v>200</v>
      </c>
      <c r="AE459" s="46">
        <v>200</v>
      </c>
      <c r="AF459" s="46">
        <v>200</v>
      </c>
      <c r="AG459" s="46">
        <v>200</v>
      </c>
      <c r="AH459" s="46">
        <v>200</v>
      </c>
      <c r="AI459" s="46">
        <v>200</v>
      </c>
      <c r="AJ459" s="46">
        <v>200</v>
      </c>
      <c r="AK459" s="47">
        <f t="shared" ref="AK459:AK465" si="49">SUM(Y459:AJ459)</f>
        <v>2100</v>
      </c>
      <c r="AL459" s="46">
        <v>200</v>
      </c>
      <c r="AM459" s="46">
        <v>200</v>
      </c>
      <c r="AN459" s="46">
        <v>200</v>
      </c>
      <c r="AO459" s="46">
        <v>200</v>
      </c>
      <c r="AP459" s="46">
        <v>200</v>
      </c>
      <c r="AQ459" s="46">
        <v>200</v>
      </c>
      <c r="AR459" s="46">
        <v>200</v>
      </c>
      <c r="AS459" s="46">
        <v>200</v>
      </c>
      <c r="AT459" s="46">
        <v>200</v>
      </c>
      <c r="AU459" s="46">
        <v>200</v>
      </c>
      <c r="AV459" s="46">
        <v>200</v>
      </c>
      <c r="AW459" s="46">
        <v>0</v>
      </c>
      <c r="AX459" s="47">
        <f t="shared" ref="AX459:AX465" si="50">SUM(AL459:AW459)</f>
        <v>2200</v>
      </c>
      <c r="AY459" s="319">
        <f>SUMIF(Recibos!$D$4:$D$3010,Cobranza!$B459,Recibos!K$4:K$3010)</f>
        <v>200</v>
      </c>
      <c r="AZ459" s="319">
        <f>SUMIF(Recibos!$D$4:$D$3010,Cobranza!$B459,Recibos!L$4:L$3010)</f>
        <v>200</v>
      </c>
      <c r="BA459" s="319">
        <f>SUMIF(Recibos!$D$4:$D$3010,Cobranza!$B459,Recibos!M$4:M$3010)</f>
        <v>200</v>
      </c>
      <c r="BB459" s="319">
        <f>SUMIF(Recibos!$D$4:$D$3010,Cobranza!$B459,Recibos!N$4:N$3010)</f>
        <v>200</v>
      </c>
      <c r="BC459" s="319">
        <f>SUMIF(Recibos!$D$4:$D$3010,Cobranza!$B459,Recibos!O$4:O$3010)</f>
        <v>200</v>
      </c>
      <c r="BD459" s="319">
        <f>SUMIF(Recibos!$D$4:$D$3010,Cobranza!$B459,Recibos!P$4:P$3010)</f>
        <v>200</v>
      </c>
      <c r="BE459" s="319">
        <f>SUMIF(Recibos!$D$4:$D$3010,Cobranza!$B459,Recibos!Q$4:Q$3010)</f>
        <v>200</v>
      </c>
      <c r="BF459" s="319">
        <f>SUMIF(Recibos!$D$4:$D$3010,Cobranza!$B459,Recibos!R$4:R$3010)</f>
        <v>200</v>
      </c>
      <c r="BG459" s="319">
        <f>SUMIF(Recibos!$D$4:$D$3010,Cobranza!$B459,Recibos!S$4:S$3010)</f>
        <v>200</v>
      </c>
      <c r="BH459" s="319">
        <f>SUMIF(Recibos!$D$4:$D$3010,Cobranza!$B459,Recibos!T$4:T$3010)</f>
        <v>200</v>
      </c>
      <c r="BI459" s="319">
        <f>SUMIF(Recibos!$D$4:$D$3010,Cobranza!$B459,Recibos!U$4:U$3010)</f>
        <v>0</v>
      </c>
      <c r="BJ459" s="319">
        <f>SUMIF(Recibos!$D$4:$D$3010,Cobranza!$B459,Recibos!V$4:V$3010)</f>
        <v>0</v>
      </c>
      <c r="BK459" s="320">
        <f t="shared" si="45"/>
        <v>2000</v>
      </c>
      <c r="BL459" s="319">
        <f>SUMIF(Recibos!$D$4:$D$3010,Cobranza!$B459,Recibos!X$4:X$3010)</f>
        <v>0</v>
      </c>
      <c r="BM459" s="319">
        <f>SUMIF(Recibos!$D$4:$D$3010,Cobranza!$B459,Recibos!Y$4:Y$3010)</f>
        <v>0</v>
      </c>
      <c r="BN459" s="319">
        <f>SUMIF(Recibos!$D$4:$D$3010,Cobranza!$B459,Recibos!Z$4:Z$3010)</f>
        <v>0</v>
      </c>
      <c r="BO459" s="319">
        <f>SUMIF(Recibos!$D$4:$D$3010,Cobranza!$B459,Recibos!AA$4:AA$3010)</f>
        <v>0</v>
      </c>
      <c r="BP459" s="319">
        <f>SUMIF(Recibos!$D$4:$D$3010,Cobranza!$B459,Recibos!AB$4:AB$3010)</f>
        <v>0</v>
      </c>
      <c r="BQ459" s="319">
        <f>SUMIF(Recibos!$D$4:$D$3010,Cobranza!$B459,Recibos!AC$4:AC$3010)</f>
        <v>0</v>
      </c>
      <c r="BR459" s="319">
        <f>SUMIF(Recibos!$D$4:$D$3010,Cobranza!$B459,Recibos!AD$4:AD$3010)</f>
        <v>0</v>
      </c>
      <c r="BS459" s="319">
        <f>SUMIF(Recibos!$D$4:$D$3010,Cobranza!$B459,Recibos!AE$4:AE$3010)</f>
        <v>0</v>
      </c>
      <c r="BT459" s="319">
        <f>SUMIF(Recibos!$D$4:$D$3010,Cobranza!$B459,Recibos!AF$4:AF$3010)</f>
        <v>0</v>
      </c>
      <c r="BU459" s="319">
        <f>SUMIF(Recibos!$D$4:$D$3010,Cobranza!$B459,Recibos!AG$4:AG$3010)</f>
        <v>0</v>
      </c>
      <c r="BV459" s="319">
        <f>SUMIF(Recibos!$D$4:$D$3010,Cobranza!$B459,Recibos!AH$4:AH$3010)</f>
        <v>0</v>
      </c>
      <c r="BW459" s="319">
        <f>SUMIF(Recibos!$D$4:$D$3010,Cobranza!$B459,Recibos!AI$4:AI$3010)</f>
        <v>0</v>
      </c>
      <c r="BX459" s="320">
        <f t="shared" si="46"/>
        <v>0</v>
      </c>
    </row>
    <row r="460" spans="2:76" x14ac:dyDescent="0.2">
      <c r="B460" s="42" t="s">
        <v>652</v>
      </c>
      <c r="C460" s="42" t="s">
        <v>653</v>
      </c>
      <c r="D460" s="42" t="s">
        <v>654</v>
      </c>
      <c r="E460" s="43">
        <v>0</v>
      </c>
      <c r="F460" s="43">
        <v>0</v>
      </c>
      <c r="G460" s="43">
        <v>0</v>
      </c>
      <c r="H460" s="43">
        <v>0</v>
      </c>
      <c r="I460" s="43">
        <v>0</v>
      </c>
      <c r="J460" s="43">
        <v>300</v>
      </c>
      <c r="K460" s="44">
        <f t="shared" si="47"/>
        <v>300</v>
      </c>
      <c r="L460" s="43">
        <v>300</v>
      </c>
      <c r="M460" s="43">
        <v>300</v>
      </c>
      <c r="N460" s="43">
        <v>300</v>
      </c>
      <c r="O460" s="43">
        <v>300</v>
      </c>
      <c r="P460" s="43">
        <v>0</v>
      </c>
      <c r="Q460" s="43">
        <v>0</v>
      </c>
      <c r="R460" s="43">
        <v>0</v>
      </c>
      <c r="S460" s="43">
        <v>0</v>
      </c>
      <c r="T460" s="43">
        <v>0</v>
      </c>
      <c r="U460" s="43">
        <v>0</v>
      </c>
      <c r="V460" s="43">
        <v>0</v>
      </c>
      <c r="W460" s="43">
        <v>0</v>
      </c>
      <c r="X460" s="44">
        <f t="shared" si="48"/>
        <v>1200</v>
      </c>
      <c r="Y460" s="43">
        <v>0</v>
      </c>
      <c r="Z460" s="43">
        <v>0</v>
      </c>
      <c r="AA460" s="43">
        <v>0</v>
      </c>
      <c r="AB460" s="43">
        <v>0</v>
      </c>
      <c r="AC460" s="43">
        <v>0</v>
      </c>
      <c r="AD460" s="43">
        <v>0</v>
      </c>
      <c r="AE460" s="43">
        <v>0</v>
      </c>
      <c r="AF460" s="43">
        <v>0</v>
      </c>
      <c r="AG460" s="43">
        <v>0</v>
      </c>
      <c r="AH460" s="43">
        <v>0</v>
      </c>
      <c r="AI460" s="43">
        <v>0</v>
      </c>
      <c r="AJ460" s="43">
        <v>0</v>
      </c>
      <c r="AK460" s="44">
        <f t="shared" si="49"/>
        <v>0</v>
      </c>
      <c r="AL460" s="43">
        <v>400</v>
      </c>
      <c r="AM460" s="43">
        <v>400</v>
      </c>
      <c r="AN460" s="43">
        <v>400</v>
      </c>
      <c r="AO460" s="43">
        <v>400</v>
      </c>
      <c r="AP460" s="43">
        <v>400</v>
      </c>
      <c r="AQ460" s="43">
        <v>400</v>
      </c>
      <c r="AR460" s="43">
        <v>400</v>
      </c>
      <c r="AS460" s="43">
        <v>0</v>
      </c>
      <c r="AT460" s="43">
        <v>400</v>
      </c>
      <c r="AU460" s="43">
        <v>400</v>
      </c>
      <c r="AV460" s="43">
        <v>400</v>
      </c>
      <c r="AW460" s="43">
        <v>400</v>
      </c>
      <c r="AX460" s="44">
        <f t="shared" si="50"/>
        <v>4400</v>
      </c>
      <c r="AY460" s="317">
        <f>SUMIF(Recibos!$D$4:$D$3010,Cobranza!$B460,Recibos!K$4:K$3010)</f>
        <v>400</v>
      </c>
      <c r="AZ460" s="317">
        <f>SUMIF(Recibos!$D$4:$D$3010,Cobranza!$B460,Recibos!L$4:L$3010)</f>
        <v>400</v>
      </c>
      <c r="BA460" s="317">
        <f>SUMIF(Recibos!$D$4:$D$3010,Cobranza!$B460,Recibos!M$4:M$3010)</f>
        <v>400</v>
      </c>
      <c r="BB460" s="317">
        <f>SUMIF(Recibos!$D$4:$D$3010,Cobranza!$B460,Recibos!N$4:N$3010)</f>
        <v>400</v>
      </c>
      <c r="BC460" s="317">
        <f>SUMIF(Recibos!$D$4:$D$3010,Cobranza!$B460,Recibos!O$4:O$3010)</f>
        <v>400</v>
      </c>
      <c r="BD460" s="317">
        <f>SUMIF(Recibos!$D$4:$D$3010,Cobranza!$B460,Recibos!P$4:P$3010)</f>
        <v>400</v>
      </c>
      <c r="BE460" s="317">
        <f>SUMIF(Recibos!$D$4:$D$3010,Cobranza!$B460,Recibos!Q$4:Q$3010)</f>
        <v>0</v>
      </c>
      <c r="BF460" s="317">
        <f>SUMIF(Recibos!$D$4:$D$3010,Cobranza!$B460,Recibos!R$4:R$3010)</f>
        <v>400</v>
      </c>
      <c r="BG460" s="317">
        <f>SUMIF(Recibos!$D$4:$D$3010,Cobranza!$B460,Recibos!S$4:S$3010)</f>
        <v>400</v>
      </c>
      <c r="BH460" s="317">
        <f>SUMIF(Recibos!$D$4:$D$3010,Cobranza!$B460,Recibos!T$4:T$3010)</f>
        <v>400</v>
      </c>
      <c r="BI460" s="317">
        <f>SUMIF(Recibos!$D$4:$D$3010,Cobranza!$B460,Recibos!U$4:U$3010)</f>
        <v>400</v>
      </c>
      <c r="BJ460" s="317">
        <f>SUMIF(Recibos!$D$4:$D$3010,Cobranza!$B460,Recibos!V$4:V$3010)</f>
        <v>0</v>
      </c>
      <c r="BK460" s="318">
        <f t="shared" si="45"/>
        <v>4000</v>
      </c>
      <c r="BL460" s="317">
        <f>SUMIF(Recibos!$D$4:$D$3010,Cobranza!$B460,Recibos!X$4:X$3010)</f>
        <v>0</v>
      </c>
      <c r="BM460" s="317">
        <f>SUMIF(Recibos!$D$4:$D$3010,Cobranza!$B460,Recibos!Y$4:Y$3010)</f>
        <v>0</v>
      </c>
      <c r="BN460" s="317">
        <f>SUMIF(Recibos!$D$4:$D$3010,Cobranza!$B460,Recibos!Z$4:Z$3010)</f>
        <v>0</v>
      </c>
      <c r="BO460" s="317">
        <f>SUMIF(Recibos!$D$4:$D$3010,Cobranza!$B460,Recibos!AA$4:AA$3010)</f>
        <v>0</v>
      </c>
      <c r="BP460" s="317">
        <f>SUMIF(Recibos!$D$4:$D$3010,Cobranza!$B460,Recibos!AB$4:AB$3010)</f>
        <v>0</v>
      </c>
      <c r="BQ460" s="317">
        <f>SUMIF(Recibos!$D$4:$D$3010,Cobranza!$B460,Recibos!AC$4:AC$3010)</f>
        <v>0</v>
      </c>
      <c r="BR460" s="317">
        <f>SUMIF(Recibos!$D$4:$D$3010,Cobranza!$B460,Recibos!AD$4:AD$3010)</f>
        <v>0</v>
      </c>
      <c r="BS460" s="317">
        <f>SUMIF(Recibos!$D$4:$D$3010,Cobranza!$B460,Recibos!AE$4:AE$3010)</f>
        <v>0</v>
      </c>
      <c r="BT460" s="317">
        <f>SUMIF(Recibos!$D$4:$D$3010,Cobranza!$B460,Recibos!AF$4:AF$3010)</f>
        <v>0</v>
      </c>
      <c r="BU460" s="317">
        <f>SUMIF(Recibos!$D$4:$D$3010,Cobranza!$B460,Recibos!AG$4:AG$3010)</f>
        <v>0</v>
      </c>
      <c r="BV460" s="317">
        <f>SUMIF(Recibos!$D$4:$D$3010,Cobranza!$B460,Recibos!AH$4:AH$3010)</f>
        <v>0</v>
      </c>
      <c r="BW460" s="317">
        <f>SUMIF(Recibos!$D$4:$D$3010,Cobranza!$B460,Recibos!AI$4:AI$3010)</f>
        <v>0</v>
      </c>
      <c r="BX460" s="318">
        <f t="shared" si="46"/>
        <v>0</v>
      </c>
    </row>
    <row r="461" spans="2:76" x14ac:dyDescent="0.2">
      <c r="B461" s="45" t="s">
        <v>777</v>
      </c>
      <c r="C461" s="45" t="s">
        <v>778</v>
      </c>
      <c r="D461" s="45" t="s">
        <v>779</v>
      </c>
      <c r="E461" s="46">
        <v>0</v>
      </c>
      <c r="F461" s="46">
        <v>0</v>
      </c>
      <c r="G461" s="46">
        <v>0</v>
      </c>
      <c r="H461" s="46">
        <v>0</v>
      </c>
      <c r="I461" s="46">
        <v>0</v>
      </c>
      <c r="J461" s="46">
        <v>0</v>
      </c>
      <c r="K461" s="47">
        <f t="shared" si="47"/>
        <v>0</v>
      </c>
      <c r="L461" s="46">
        <v>300</v>
      </c>
      <c r="M461" s="46">
        <v>300</v>
      </c>
      <c r="N461" s="46">
        <v>300</v>
      </c>
      <c r="O461" s="46">
        <v>300</v>
      </c>
      <c r="P461" s="46">
        <v>300</v>
      </c>
      <c r="Q461" s="46">
        <v>300</v>
      </c>
      <c r="R461" s="46">
        <v>300</v>
      </c>
      <c r="S461" s="46">
        <v>300</v>
      </c>
      <c r="T461" s="46">
        <v>300</v>
      </c>
      <c r="U461" s="46">
        <v>400</v>
      </c>
      <c r="V461" s="46">
        <v>400</v>
      </c>
      <c r="W461" s="46">
        <v>400</v>
      </c>
      <c r="X461" s="47">
        <f t="shared" si="48"/>
        <v>3900</v>
      </c>
      <c r="Y461" s="46">
        <v>400</v>
      </c>
      <c r="Z461" s="46">
        <v>400</v>
      </c>
      <c r="AA461" s="46">
        <v>400</v>
      </c>
      <c r="AB461" s="46">
        <v>400</v>
      </c>
      <c r="AC461" s="46">
        <v>400</v>
      </c>
      <c r="AD461" s="46">
        <v>400</v>
      </c>
      <c r="AE461" s="46">
        <v>400</v>
      </c>
      <c r="AF461" s="46">
        <v>400</v>
      </c>
      <c r="AG461" s="46">
        <v>400</v>
      </c>
      <c r="AH461" s="46">
        <v>400</v>
      </c>
      <c r="AI461" s="46">
        <v>400</v>
      </c>
      <c r="AJ461" s="46">
        <v>400</v>
      </c>
      <c r="AK461" s="47">
        <f t="shared" si="49"/>
        <v>4800</v>
      </c>
      <c r="AL461" s="46">
        <v>400</v>
      </c>
      <c r="AM461" s="46">
        <v>400</v>
      </c>
      <c r="AN461" s="46">
        <v>400</v>
      </c>
      <c r="AO461" s="46">
        <v>400</v>
      </c>
      <c r="AP461" s="46">
        <v>400</v>
      </c>
      <c r="AQ461" s="46">
        <v>400</v>
      </c>
      <c r="AR461" s="46">
        <v>400</v>
      </c>
      <c r="AS461" s="46">
        <v>400</v>
      </c>
      <c r="AT461" s="46">
        <v>400</v>
      </c>
      <c r="AU461" s="46">
        <v>400</v>
      </c>
      <c r="AV461" s="46">
        <v>0</v>
      </c>
      <c r="AW461" s="46">
        <v>0</v>
      </c>
      <c r="AX461" s="47">
        <f t="shared" si="50"/>
        <v>4000</v>
      </c>
      <c r="AY461" s="319">
        <f>SUMIF(Recibos!$D$4:$D$3010,Cobranza!$B461,Recibos!K$4:K$3010)</f>
        <v>400</v>
      </c>
      <c r="AZ461" s="319">
        <f>SUMIF(Recibos!$D$4:$D$3010,Cobranza!$B461,Recibos!L$4:L$3010)</f>
        <v>400</v>
      </c>
      <c r="BA461" s="319">
        <f>SUMIF(Recibos!$D$4:$D$3010,Cobranza!$B461,Recibos!M$4:M$3010)</f>
        <v>400</v>
      </c>
      <c r="BB461" s="319">
        <f>SUMIF(Recibos!$D$4:$D$3010,Cobranza!$B461,Recibos!N$4:N$3010)</f>
        <v>400</v>
      </c>
      <c r="BC461" s="319">
        <f>SUMIF(Recibos!$D$4:$D$3010,Cobranza!$B461,Recibos!O$4:O$3010)</f>
        <v>400</v>
      </c>
      <c r="BD461" s="319">
        <f>SUMIF(Recibos!$D$4:$D$3010,Cobranza!$B461,Recibos!P$4:P$3010)</f>
        <v>400</v>
      </c>
      <c r="BE461" s="319">
        <f>SUMIF(Recibos!$D$4:$D$3010,Cobranza!$B461,Recibos!Q$4:Q$3010)</f>
        <v>400</v>
      </c>
      <c r="BF461" s="319">
        <f>SUMIF(Recibos!$D$4:$D$3010,Cobranza!$B461,Recibos!R$4:R$3010)</f>
        <v>400</v>
      </c>
      <c r="BG461" s="319">
        <f>SUMIF(Recibos!$D$4:$D$3010,Cobranza!$B461,Recibos!S$4:S$3010)</f>
        <v>400</v>
      </c>
      <c r="BH461" s="319">
        <f>SUMIF(Recibos!$D$4:$D$3010,Cobranza!$B461,Recibos!T$4:T$3010)</f>
        <v>400</v>
      </c>
      <c r="BI461" s="319">
        <f>SUMIF(Recibos!$D$4:$D$3010,Cobranza!$B461,Recibos!U$4:U$3010)</f>
        <v>400</v>
      </c>
      <c r="BJ461" s="319">
        <f>SUMIF(Recibos!$D$4:$D$3010,Cobranza!$B461,Recibos!V$4:V$3010)</f>
        <v>0</v>
      </c>
      <c r="BK461" s="320">
        <f t="shared" si="45"/>
        <v>4400</v>
      </c>
      <c r="BL461" s="319">
        <f>SUMIF(Recibos!$D$4:$D$3010,Cobranza!$B461,Recibos!X$4:X$3010)</f>
        <v>0</v>
      </c>
      <c r="BM461" s="319">
        <f>SUMIF(Recibos!$D$4:$D$3010,Cobranza!$B461,Recibos!Y$4:Y$3010)</f>
        <v>0</v>
      </c>
      <c r="BN461" s="319">
        <f>SUMIF(Recibos!$D$4:$D$3010,Cobranza!$B461,Recibos!Z$4:Z$3010)</f>
        <v>0</v>
      </c>
      <c r="BO461" s="319">
        <f>SUMIF(Recibos!$D$4:$D$3010,Cobranza!$B461,Recibos!AA$4:AA$3010)</f>
        <v>0</v>
      </c>
      <c r="BP461" s="319">
        <f>SUMIF(Recibos!$D$4:$D$3010,Cobranza!$B461,Recibos!AB$4:AB$3010)</f>
        <v>0</v>
      </c>
      <c r="BQ461" s="319">
        <f>SUMIF(Recibos!$D$4:$D$3010,Cobranza!$B461,Recibos!AC$4:AC$3010)</f>
        <v>0</v>
      </c>
      <c r="BR461" s="319">
        <f>SUMIF(Recibos!$D$4:$D$3010,Cobranza!$B461,Recibos!AD$4:AD$3010)</f>
        <v>0</v>
      </c>
      <c r="BS461" s="319">
        <f>SUMIF(Recibos!$D$4:$D$3010,Cobranza!$B461,Recibos!AE$4:AE$3010)</f>
        <v>0</v>
      </c>
      <c r="BT461" s="319">
        <f>SUMIF(Recibos!$D$4:$D$3010,Cobranza!$B461,Recibos!AF$4:AF$3010)</f>
        <v>0</v>
      </c>
      <c r="BU461" s="319">
        <f>SUMIF(Recibos!$D$4:$D$3010,Cobranza!$B461,Recibos!AG$4:AG$3010)</f>
        <v>0</v>
      </c>
      <c r="BV461" s="319">
        <f>SUMIF(Recibos!$D$4:$D$3010,Cobranza!$B461,Recibos!AH$4:AH$3010)</f>
        <v>0</v>
      </c>
      <c r="BW461" s="319">
        <f>SUMIF(Recibos!$D$4:$D$3010,Cobranza!$B461,Recibos!AI$4:AI$3010)</f>
        <v>0</v>
      </c>
      <c r="BX461" s="320">
        <f t="shared" si="46"/>
        <v>0</v>
      </c>
    </row>
    <row r="462" spans="2:76" x14ac:dyDescent="0.2">
      <c r="B462" s="42" t="s">
        <v>156</v>
      </c>
      <c r="C462" s="42" t="s">
        <v>157</v>
      </c>
      <c r="D462" s="42" t="s">
        <v>158</v>
      </c>
      <c r="E462" s="43">
        <v>0</v>
      </c>
      <c r="F462" s="43">
        <v>0</v>
      </c>
      <c r="G462" s="43">
        <v>0</v>
      </c>
      <c r="H462" s="43">
        <v>0</v>
      </c>
      <c r="I462" s="43">
        <v>0</v>
      </c>
      <c r="J462" s="43">
        <v>250</v>
      </c>
      <c r="K462" s="44">
        <f t="shared" si="47"/>
        <v>250</v>
      </c>
      <c r="L462" s="43">
        <v>300</v>
      </c>
      <c r="M462" s="43">
        <v>250</v>
      </c>
      <c r="N462" s="43">
        <v>250</v>
      </c>
      <c r="O462" s="43">
        <v>250</v>
      </c>
      <c r="P462" s="43">
        <v>250</v>
      </c>
      <c r="Q462" s="43">
        <v>250</v>
      </c>
      <c r="R462" s="43">
        <v>250</v>
      </c>
      <c r="S462" s="43">
        <v>250</v>
      </c>
      <c r="T462" s="43">
        <v>250</v>
      </c>
      <c r="U462" s="43">
        <v>300</v>
      </c>
      <c r="V462" s="43">
        <v>300</v>
      </c>
      <c r="W462" s="43">
        <v>300</v>
      </c>
      <c r="X462" s="44">
        <f t="shared" si="48"/>
        <v>3200</v>
      </c>
      <c r="Y462" s="43">
        <v>300</v>
      </c>
      <c r="Z462" s="43">
        <v>300</v>
      </c>
      <c r="AA462" s="43">
        <v>300</v>
      </c>
      <c r="AB462" s="43">
        <v>300</v>
      </c>
      <c r="AC462" s="43">
        <v>300</v>
      </c>
      <c r="AD462" s="43">
        <v>300</v>
      </c>
      <c r="AE462" s="43">
        <v>300</v>
      </c>
      <c r="AF462" s="43">
        <v>300</v>
      </c>
      <c r="AG462" s="43">
        <v>300</v>
      </c>
      <c r="AH462" s="43">
        <v>300</v>
      </c>
      <c r="AI462" s="43">
        <v>300</v>
      </c>
      <c r="AJ462" s="43">
        <v>300</v>
      </c>
      <c r="AK462" s="44">
        <f t="shared" si="49"/>
        <v>3600</v>
      </c>
      <c r="AL462" s="43">
        <v>300</v>
      </c>
      <c r="AM462" s="43">
        <v>300</v>
      </c>
      <c r="AN462" s="43">
        <v>300</v>
      </c>
      <c r="AO462" s="43">
        <v>300</v>
      </c>
      <c r="AP462" s="43">
        <v>300</v>
      </c>
      <c r="AQ462" s="43">
        <v>300</v>
      </c>
      <c r="AR462" s="43">
        <v>300</v>
      </c>
      <c r="AS462" s="43">
        <v>300</v>
      </c>
      <c r="AT462" s="43">
        <v>300</v>
      </c>
      <c r="AU462" s="43">
        <v>300</v>
      </c>
      <c r="AV462" s="43">
        <v>300</v>
      </c>
      <c r="AW462" s="43">
        <v>300</v>
      </c>
      <c r="AX462" s="44">
        <f t="shared" si="50"/>
        <v>3600</v>
      </c>
      <c r="AY462" s="317">
        <f>SUMIF(Recibos!$D$4:$D$3010,Cobranza!$B462,Recibos!K$4:K$3010)</f>
        <v>300</v>
      </c>
      <c r="AZ462" s="317">
        <f>SUMIF(Recibos!$D$4:$D$3010,Cobranza!$B462,Recibos!L$4:L$3010)</f>
        <v>300</v>
      </c>
      <c r="BA462" s="317">
        <f>SUMIF(Recibos!$D$4:$D$3010,Cobranza!$B462,Recibos!M$4:M$3010)</f>
        <v>300</v>
      </c>
      <c r="BB462" s="317">
        <f>SUMIF(Recibos!$D$4:$D$3010,Cobranza!$B462,Recibos!N$4:N$3010)</f>
        <v>300</v>
      </c>
      <c r="BC462" s="317">
        <f>SUMIF(Recibos!$D$4:$D$3010,Cobranza!$B462,Recibos!O$4:O$3010)</f>
        <v>300</v>
      </c>
      <c r="BD462" s="317">
        <f>SUMIF(Recibos!$D$4:$D$3010,Cobranza!$B462,Recibos!P$4:P$3010)</f>
        <v>300</v>
      </c>
      <c r="BE462" s="317">
        <f>SUMIF(Recibos!$D$4:$D$3010,Cobranza!$B462,Recibos!Q$4:Q$3010)</f>
        <v>300</v>
      </c>
      <c r="BF462" s="317">
        <f>SUMIF(Recibos!$D$4:$D$3010,Cobranza!$B462,Recibos!R$4:R$3010)</f>
        <v>300</v>
      </c>
      <c r="BG462" s="317">
        <f>SUMIF(Recibos!$D$4:$D$3010,Cobranza!$B462,Recibos!S$4:S$3010)</f>
        <v>300</v>
      </c>
      <c r="BH462" s="317">
        <f>SUMIF(Recibos!$D$4:$D$3010,Cobranza!$B462,Recibos!T$4:T$3010)</f>
        <v>300</v>
      </c>
      <c r="BI462" s="317">
        <f>SUMIF(Recibos!$D$4:$D$3010,Cobranza!$B462,Recibos!U$4:U$3010)</f>
        <v>300</v>
      </c>
      <c r="BJ462" s="317">
        <f>SUMIF(Recibos!$D$4:$D$3010,Cobranza!$B462,Recibos!V$4:V$3010)</f>
        <v>300</v>
      </c>
      <c r="BK462" s="318">
        <f t="shared" si="45"/>
        <v>3600</v>
      </c>
      <c r="BL462" s="317">
        <f>SUMIF(Recibos!$D$4:$D$3010,Cobranza!$B462,Recibos!X$4:X$3010)</f>
        <v>0</v>
      </c>
      <c r="BM462" s="317">
        <f>SUMIF(Recibos!$D$4:$D$3010,Cobranza!$B462,Recibos!Y$4:Y$3010)</f>
        <v>0</v>
      </c>
      <c r="BN462" s="317">
        <f>SUMIF(Recibos!$D$4:$D$3010,Cobranza!$B462,Recibos!Z$4:Z$3010)</f>
        <v>0</v>
      </c>
      <c r="BO462" s="317">
        <f>SUMIF(Recibos!$D$4:$D$3010,Cobranza!$B462,Recibos!AA$4:AA$3010)</f>
        <v>0</v>
      </c>
      <c r="BP462" s="317">
        <f>SUMIF(Recibos!$D$4:$D$3010,Cobranza!$B462,Recibos!AB$4:AB$3010)</f>
        <v>0</v>
      </c>
      <c r="BQ462" s="317">
        <f>SUMIF(Recibos!$D$4:$D$3010,Cobranza!$B462,Recibos!AC$4:AC$3010)</f>
        <v>0</v>
      </c>
      <c r="BR462" s="317">
        <f>SUMIF(Recibos!$D$4:$D$3010,Cobranza!$B462,Recibos!AD$4:AD$3010)</f>
        <v>0</v>
      </c>
      <c r="BS462" s="317">
        <f>SUMIF(Recibos!$D$4:$D$3010,Cobranza!$B462,Recibos!AE$4:AE$3010)</f>
        <v>0</v>
      </c>
      <c r="BT462" s="317">
        <f>SUMIF(Recibos!$D$4:$D$3010,Cobranza!$B462,Recibos!AF$4:AF$3010)</f>
        <v>0</v>
      </c>
      <c r="BU462" s="317">
        <f>SUMIF(Recibos!$D$4:$D$3010,Cobranza!$B462,Recibos!AG$4:AG$3010)</f>
        <v>0</v>
      </c>
      <c r="BV462" s="317">
        <f>SUMIF(Recibos!$D$4:$D$3010,Cobranza!$B462,Recibos!AH$4:AH$3010)</f>
        <v>0</v>
      </c>
      <c r="BW462" s="317">
        <f>SUMIF(Recibos!$D$4:$D$3010,Cobranza!$B462,Recibos!AI$4:AI$3010)</f>
        <v>0</v>
      </c>
      <c r="BX462" s="318">
        <f t="shared" si="46"/>
        <v>0</v>
      </c>
    </row>
    <row r="463" spans="2:76" x14ac:dyDescent="0.2">
      <c r="B463" s="45" t="s">
        <v>274</v>
      </c>
      <c r="C463" s="45" t="s">
        <v>275</v>
      </c>
      <c r="D463" s="45" t="s">
        <v>276</v>
      </c>
      <c r="E463" s="46">
        <v>0</v>
      </c>
      <c r="F463" s="46">
        <v>0</v>
      </c>
      <c r="G463" s="46">
        <v>0</v>
      </c>
      <c r="H463" s="46">
        <v>150</v>
      </c>
      <c r="I463" s="46">
        <v>150</v>
      </c>
      <c r="J463" s="46">
        <v>150</v>
      </c>
      <c r="K463" s="47">
        <f t="shared" si="47"/>
        <v>450</v>
      </c>
      <c r="L463" s="46">
        <v>150</v>
      </c>
      <c r="M463" s="46">
        <v>150</v>
      </c>
      <c r="N463" s="46">
        <v>150</v>
      </c>
      <c r="O463" s="46">
        <v>150</v>
      </c>
      <c r="P463" s="46">
        <v>150</v>
      </c>
      <c r="Q463" s="46">
        <v>150</v>
      </c>
      <c r="R463" s="46">
        <v>150</v>
      </c>
      <c r="S463" s="46">
        <v>150</v>
      </c>
      <c r="T463" s="46">
        <v>150</v>
      </c>
      <c r="U463" s="46">
        <v>200</v>
      </c>
      <c r="V463" s="46">
        <v>200</v>
      </c>
      <c r="W463" s="46">
        <v>200</v>
      </c>
      <c r="X463" s="47">
        <f t="shared" si="48"/>
        <v>1950</v>
      </c>
      <c r="Y463" s="46">
        <v>200</v>
      </c>
      <c r="Z463" s="46">
        <v>200</v>
      </c>
      <c r="AA463" s="46">
        <v>200</v>
      </c>
      <c r="AB463" s="46">
        <v>200</v>
      </c>
      <c r="AC463" s="46">
        <v>200</v>
      </c>
      <c r="AD463" s="46">
        <v>200</v>
      </c>
      <c r="AE463" s="46">
        <v>200</v>
      </c>
      <c r="AF463" s="46">
        <v>200</v>
      </c>
      <c r="AG463" s="46">
        <v>200</v>
      </c>
      <c r="AH463" s="46">
        <v>200</v>
      </c>
      <c r="AI463" s="46">
        <v>200</v>
      </c>
      <c r="AJ463" s="46">
        <v>200</v>
      </c>
      <c r="AK463" s="47">
        <f t="shared" si="49"/>
        <v>2400</v>
      </c>
      <c r="AL463" s="46">
        <v>200</v>
      </c>
      <c r="AM463" s="46">
        <v>200</v>
      </c>
      <c r="AN463" s="46">
        <v>200</v>
      </c>
      <c r="AO463" s="46">
        <v>200</v>
      </c>
      <c r="AP463" s="46">
        <v>200</v>
      </c>
      <c r="AQ463" s="46">
        <v>200</v>
      </c>
      <c r="AR463" s="46">
        <v>200</v>
      </c>
      <c r="AS463" s="46">
        <v>200</v>
      </c>
      <c r="AT463" s="46">
        <v>200</v>
      </c>
      <c r="AU463" s="46">
        <v>200</v>
      </c>
      <c r="AV463" s="46">
        <v>200</v>
      </c>
      <c r="AW463" s="46">
        <v>200</v>
      </c>
      <c r="AX463" s="47">
        <f t="shared" si="50"/>
        <v>2400</v>
      </c>
      <c r="AY463" s="319">
        <f>SUMIF(Recibos!$D$4:$D$3010,Cobranza!$B463,Recibos!K$4:K$3010)</f>
        <v>200</v>
      </c>
      <c r="AZ463" s="319">
        <f>SUMIF(Recibos!$D$4:$D$3010,Cobranza!$B463,Recibos!L$4:L$3010)</f>
        <v>200</v>
      </c>
      <c r="BA463" s="319">
        <f>SUMIF(Recibos!$D$4:$D$3010,Cobranza!$B463,Recibos!M$4:M$3010)</f>
        <v>200</v>
      </c>
      <c r="BB463" s="319">
        <f>SUMIF(Recibos!$D$4:$D$3010,Cobranza!$B463,Recibos!N$4:N$3010)</f>
        <v>200</v>
      </c>
      <c r="BC463" s="319">
        <f>SUMIF(Recibos!$D$4:$D$3010,Cobranza!$B463,Recibos!O$4:O$3010)</f>
        <v>200</v>
      </c>
      <c r="BD463" s="319">
        <f>SUMIF(Recibos!$D$4:$D$3010,Cobranza!$B463,Recibos!P$4:P$3010)</f>
        <v>200</v>
      </c>
      <c r="BE463" s="319">
        <f>SUMIF(Recibos!$D$4:$D$3010,Cobranza!$B463,Recibos!Q$4:Q$3010)</f>
        <v>200</v>
      </c>
      <c r="BF463" s="319">
        <f>SUMIF(Recibos!$D$4:$D$3010,Cobranza!$B463,Recibos!R$4:R$3010)</f>
        <v>200</v>
      </c>
      <c r="BG463" s="319">
        <f>SUMIF(Recibos!$D$4:$D$3010,Cobranza!$B463,Recibos!S$4:S$3010)</f>
        <v>200</v>
      </c>
      <c r="BH463" s="319">
        <f>SUMIF(Recibos!$D$4:$D$3010,Cobranza!$B463,Recibos!T$4:T$3010)</f>
        <v>200</v>
      </c>
      <c r="BI463" s="319">
        <f>SUMIF(Recibos!$D$4:$D$3010,Cobranza!$B463,Recibos!U$4:U$3010)</f>
        <v>200</v>
      </c>
      <c r="BJ463" s="319">
        <f>SUMIF(Recibos!$D$4:$D$3010,Cobranza!$B463,Recibos!V$4:V$3010)</f>
        <v>200</v>
      </c>
      <c r="BK463" s="320">
        <f t="shared" si="45"/>
        <v>2400</v>
      </c>
      <c r="BL463" s="319">
        <f>SUMIF(Recibos!$D$4:$D$3010,Cobranza!$B463,Recibos!X$4:X$3010)</f>
        <v>0</v>
      </c>
      <c r="BM463" s="319">
        <f>SUMIF(Recibos!$D$4:$D$3010,Cobranza!$B463,Recibos!Y$4:Y$3010)</f>
        <v>0</v>
      </c>
      <c r="BN463" s="319">
        <f>SUMIF(Recibos!$D$4:$D$3010,Cobranza!$B463,Recibos!Z$4:Z$3010)</f>
        <v>0</v>
      </c>
      <c r="BO463" s="319">
        <f>SUMIF(Recibos!$D$4:$D$3010,Cobranza!$B463,Recibos!AA$4:AA$3010)</f>
        <v>0</v>
      </c>
      <c r="BP463" s="319">
        <f>SUMIF(Recibos!$D$4:$D$3010,Cobranza!$B463,Recibos!AB$4:AB$3010)</f>
        <v>0</v>
      </c>
      <c r="BQ463" s="319">
        <f>SUMIF(Recibos!$D$4:$D$3010,Cobranza!$B463,Recibos!AC$4:AC$3010)</f>
        <v>0</v>
      </c>
      <c r="BR463" s="319">
        <f>SUMIF(Recibos!$D$4:$D$3010,Cobranza!$B463,Recibos!AD$4:AD$3010)</f>
        <v>0</v>
      </c>
      <c r="BS463" s="319">
        <f>SUMIF(Recibos!$D$4:$D$3010,Cobranza!$B463,Recibos!AE$4:AE$3010)</f>
        <v>0</v>
      </c>
      <c r="BT463" s="319">
        <f>SUMIF(Recibos!$D$4:$D$3010,Cobranza!$B463,Recibos!AF$4:AF$3010)</f>
        <v>0</v>
      </c>
      <c r="BU463" s="319">
        <f>SUMIF(Recibos!$D$4:$D$3010,Cobranza!$B463,Recibos!AG$4:AG$3010)</f>
        <v>0</v>
      </c>
      <c r="BV463" s="319">
        <f>SUMIF(Recibos!$D$4:$D$3010,Cobranza!$B463,Recibos!AH$4:AH$3010)</f>
        <v>0</v>
      </c>
      <c r="BW463" s="319">
        <f>SUMIF(Recibos!$D$4:$D$3010,Cobranza!$B463,Recibos!AI$4:AI$3010)</f>
        <v>0</v>
      </c>
      <c r="BX463" s="320">
        <f t="shared" si="46"/>
        <v>0</v>
      </c>
    </row>
    <row r="464" spans="2:76" x14ac:dyDescent="0.2">
      <c r="B464" s="42" t="s">
        <v>820</v>
      </c>
      <c r="C464" s="42" t="s">
        <v>821</v>
      </c>
      <c r="D464" s="42" t="s">
        <v>822</v>
      </c>
      <c r="E464" s="43">
        <v>0</v>
      </c>
      <c r="F464" s="43">
        <v>0</v>
      </c>
      <c r="G464" s="43">
        <v>0</v>
      </c>
      <c r="H464" s="43">
        <v>0</v>
      </c>
      <c r="I464" s="43">
        <v>0</v>
      </c>
      <c r="J464" s="43">
        <v>300</v>
      </c>
      <c r="K464" s="44">
        <f t="shared" si="47"/>
        <v>300</v>
      </c>
      <c r="L464" s="43">
        <v>300</v>
      </c>
      <c r="M464" s="43">
        <v>0</v>
      </c>
      <c r="N464" s="43">
        <v>0</v>
      </c>
      <c r="O464" s="43">
        <v>0</v>
      </c>
      <c r="P464" s="43">
        <v>300</v>
      </c>
      <c r="Q464" s="43">
        <v>300</v>
      </c>
      <c r="R464" s="43">
        <v>300</v>
      </c>
      <c r="S464" s="43">
        <v>0</v>
      </c>
      <c r="T464" s="43">
        <v>0</v>
      </c>
      <c r="U464" s="43">
        <v>0</v>
      </c>
      <c r="V464" s="43">
        <v>300</v>
      </c>
      <c r="W464" s="43">
        <v>300</v>
      </c>
      <c r="X464" s="44">
        <f t="shared" si="48"/>
        <v>1800</v>
      </c>
      <c r="Y464" s="43">
        <v>300</v>
      </c>
      <c r="Z464" s="43">
        <v>300</v>
      </c>
      <c r="AA464" s="43">
        <v>0</v>
      </c>
      <c r="AB464" s="43">
        <v>0</v>
      </c>
      <c r="AC464" s="43">
        <v>0</v>
      </c>
      <c r="AD464" s="43">
        <v>0</v>
      </c>
      <c r="AE464" s="43">
        <v>0</v>
      </c>
      <c r="AF464" s="43">
        <v>0</v>
      </c>
      <c r="AG464" s="43">
        <v>0</v>
      </c>
      <c r="AH464" s="43">
        <v>0</v>
      </c>
      <c r="AI464" s="43">
        <v>0</v>
      </c>
      <c r="AJ464" s="43">
        <v>0</v>
      </c>
      <c r="AK464" s="44">
        <f t="shared" si="49"/>
        <v>600</v>
      </c>
      <c r="AL464" s="43">
        <v>400</v>
      </c>
      <c r="AM464" s="43">
        <v>400</v>
      </c>
      <c r="AN464" s="43">
        <v>400</v>
      </c>
      <c r="AO464" s="43">
        <v>400</v>
      </c>
      <c r="AP464" s="43">
        <v>400</v>
      </c>
      <c r="AQ464" s="43">
        <v>400</v>
      </c>
      <c r="AR464" s="43">
        <v>400</v>
      </c>
      <c r="AS464" s="43">
        <v>400</v>
      </c>
      <c r="AT464" s="43">
        <v>300</v>
      </c>
      <c r="AU464" s="43">
        <v>300</v>
      </c>
      <c r="AV464" s="43">
        <v>300</v>
      </c>
      <c r="AW464" s="43">
        <v>300</v>
      </c>
      <c r="AX464" s="44">
        <f t="shared" si="50"/>
        <v>4400</v>
      </c>
      <c r="AY464" s="317">
        <f>SUMIF(Recibos!$D$4:$D$3010,Cobranza!$B464,Recibos!K$4:K$3010)</f>
        <v>300</v>
      </c>
      <c r="AZ464" s="317">
        <f>SUMIF(Recibos!$D$4:$D$3010,Cobranza!$B464,Recibos!L$4:L$3010)</f>
        <v>300</v>
      </c>
      <c r="BA464" s="317">
        <f>SUMIF(Recibos!$D$4:$D$3010,Cobranza!$B464,Recibos!M$4:M$3010)</f>
        <v>300</v>
      </c>
      <c r="BB464" s="317">
        <f>SUMIF(Recibos!$D$4:$D$3010,Cobranza!$B464,Recibos!N$4:N$3010)</f>
        <v>300</v>
      </c>
      <c r="BC464" s="317">
        <f>SUMIF(Recibos!$D$4:$D$3010,Cobranza!$B464,Recibos!O$4:O$3010)</f>
        <v>300</v>
      </c>
      <c r="BD464" s="317">
        <f>SUMIF(Recibos!$D$4:$D$3010,Cobranza!$B464,Recibos!P$4:P$3010)</f>
        <v>300</v>
      </c>
      <c r="BE464" s="317">
        <f>SUMIF(Recibos!$D$4:$D$3010,Cobranza!$B464,Recibos!Q$4:Q$3010)</f>
        <v>300</v>
      </c>
      <c r="BF464" s="317">
        <f>SUMIF(Recibos!$D$4:$D$3010,Cobranza!$B464,Recibos!R$4:R$3010)</f>
        <v>300</v>
      </c>
      <c r="BG464" s="317">
        <f>SUMIF(Recibos!$D$4:$D$3010,Cobranza!$B464,Recibos!S$4:S$3010)</f>
        <v>300</v>
      </c>
      <c r="BH464" s="317">
        <f>SUMIF(Recibos!$D$4:$D$3010,Cobranza!$B464,Recibos!T$4:T$3010)</f>
        <v>300</v>
      </c>
      <c r="BI464" s="317">
        <f>SUMIF(Recibos!$D$4:$D$3010,Cobranza!$B464,Recibos!U$4:U$3010)</f>
        <v>300</v>
      </c>
      <c r="BJ464" s="317">
        <f>SUMIF(Recibos!$D$4:$D$3010,Cobranza!$B464,Recibos!V$4:V$3010)</f>
        <v>0</v>
      </c>
      <c r="BK464" s="318">
        <f t="shared" si="45"/>
        <v>3300</v>
      </c>
      <c r="BL464" s="317">
        <f>SUMIF(Recibos!$D$4:$D$3010,Cobranza!$B464,Recibos!X$4:X$3010)</f>
        <v>0</v>
      </c>
      <c r="BM464" s="317">
        <f>SUMIF(Recibos!$D$4:$D$3010,Cobranza!$B464,Recibos!Y$4:Y$3010)</f>
        <v>0</v>
      </c>
      <c r="BN464" s="317">
        <f>SUMIF(Recibos!$D$4:$D$3010,Cobranza!$B464,Recibos!Z$4:Z$3010)</f>
        <v>0</v>
      </c>
      <c r="BO464" s="317">
        <f>SUMIF(Recibos!$D$4:$D$3010,Cobranza!$B464,Recibos!AA$4:AA$3010)</f>
        <v>0</v>
      </c>
      <c r="BP464" s="317">
        <f>SUMIF(Recibos!$D$4:$D$3010,Cobranza!$B464,Recibos!AB$4:AB$3010)</f>
        <v>0</v>
      </c>
      <c r="BQ464" s="317">
        <f>SUMIF(Recibos!$D$4:$D$3010,Cobranza!$B464,Recibos!AC$4:AC$3010)</f>
        <v>0</v>
      </c>
      <c r="BR464" s="317">
        <f>SUMIF(Recibos!$D$4:$D$3010,Cobranza!$B464,Recibos!AD$4:AD$3010)</f>
        <v>0</v>
      </c>
      <c r="BS464" s="317">
        <f>SUMIF(Recibos!$D$4:$D$3010,Cobranza!$B464,Recibos!AE$4:AE$3010)</f>
        <v>0</v>
      </c>
      <c r="BT464" s="317">
        <f>SUMIF(Recibos!$D$4:$D$3010,Cobranza!$B464,Recibos!AF$4:AF$3010)</f>
        <v>0</v>
      </c>
      <c r="BU464" s="317">
        <f>SUMIF(Recibos!$D$4:$D$3010,Cobranza!$B464,Recibos!AG$4:AG$3010)</f>
        <v>0</v>
      </c>
      <c r="BV464" s="317">
        <f>SUMIF(Recibos!$D$4:$D$3010,Cobranza!$B464,Recibos!AH$4:AH$3010)</f>
        <v>0</v>
      </c>
      <c r="BW464" s="317">
        <f>SUMIF(Recibos!$D$4:$D$3010,Cobranza!$B464,Recibos!AI$4:AI$3010)</f>
        <v>0</v>
      </c>
      <c r="BX464" s="318">
        <f t="shared" si="46"/>
        <v>0</v>
      </c>
    </row>
    <row r="465" spans="2:76" x14ac:dyDescent="0.2">
      <c r="B465" s="45" t="s">
        <v>384</v>
      </c>
      <c r="C465" s="45" t="s">
        <v>385</v>
      </c>
      <c r="D465" s="45" t="s">
        <v>386</v>
      </c>
      <c r="E465" s="46">
        <v>0</v>
      </c>
      <c r="F465" s="46">
        <v>0</v>
      </c>
      <c r="G465" s="46">
        <v>0</v>
      </c>
      <c r="H465" s="46">
        <v>250</v>
      </c>
      <c r="I465" s="46">
        <v>250</v>
      </c>
      <c r="J465" s="46">
        <v>250</v>
      </c>
      <c r="K465" s="47">
        <f t="shared" si="47"/>
        <v>750</v>
      </c>
      <c r="L465" s="46">
        <v>250</v>
      </c>
      <c r="M465" s="46">
        <v>250</v>
      </c>
      <c r="N465" s="46">
        <v>250</v>
      </c>
      <c r="O465" s="46">
        <v>250</v>
      </c>
      <c r="P465" s="46">
        <v>250</v>
      </c>
      <c r="Q465" s="46">
        <v>250</v>
      </c>
      <c r="R465" s="46">
        <v>250</v>
      </c>
      <c r="S465" s="46">
        <v>250</v>
      </c>
      <c r="T465" s="46">
        <v>250</v>
      </c>
      <c r="U465" s="46">
        <v>350</v>
      </c>
      <c r="V465" s="46">
        <v>350</v>
      </c>
      <c r="W465" s="46">
        <v>350</v>
      </c>
      <c r="X465" s="47">
        <f t="shared" si="48"/>
        <v>3300</v>
      </c>
      <c r="Y465" s="46">
        <v>350</v>
      </c>
      <c r="Z465" s="46">
        <v>350</v>
      </c>
      <c r="AA465" s="46">
        <v>350</v>
      </c>
      <c r="AB465" s="46">
        <v>350</v>
      </c>
      <c r="AC465" s="46">
        <v>350</v>
      </c>
      <c r="AD465" s="46">
        <v>350</v>
      </c>
      <c r="AE465" s="46">
        <v>0</v>
      </c>
      <c r="AF465" s="46">
        <v>700</v>
      </c>
      <c r="AG465" s="46">
        <v>350</v>
      </c>
      <c r="AH465" s="46">
        <v>350</v>
      </c>
      <c r="AI465" s="46">
        <v>350</v>
      </c>
      <c r="AJ465" s="46">
        <v>350</v>
      </c>
      <c r="AK465" s="47">
        <f t="shared" si="49"/>
        <v>4200</v>
      </c>
      <c r="AL465" s="46">
        <v>350</v>
      </c>
      <c r="AM465" s="46">
        <v>350</v>
      </c>
      <c r="AN465" s="46">
        <v>350</v>
      </c>
      <c r="AO465" s="46">
        <v>350</v>
      </c>
      <c r="AP465" s="46">
        <v>350</v>
      </c>
      <c r="AQ465" s="46">
        <v>350</v>
      </c>
      <c r="AR465" s="46">
        <v>350</v>
      </c>
      <c r="AS465" s="46">
        <v>350</v>
      </c>
      <c r="AT465" s="46">
        <v>350</v>
      </c>
      <c r="AU465" s="46">
        <v>350</v>
      </c>
      <c r="AV465" s="46">
        <v>350</v>
      </c>
      <c r="AW465" s="46">
        <v>350</v>
      </c>
      <c r="AX465" s="47">
        <f t="shared" si="50"/>
        <v>4200</v>
      </c>
      <c r="AY465" s="319">
        <f>SUMIF(Recibos!$D$4:$D$3010,Cobranza!$B465,Recibos!K$4:K$3010)</f>
        <v>350</v>
      </c>
      <c r="AZ465" s="319">
        <f>SUMIF(Recibos!$D$4:$D$3010,Cobranza!$B465,Recibos!L$4:L$3010)</f>
        <v>350</v>
      </c>
      <c r="BA465" s="319">
        <f>SUMIF(Recibos!$D$4:$D$3010,Cobranza!$B465,Recibos!M$4:M$3010)</f>
        <v>400</v>
      </c>
      <c r="BB465" s="319">
        <f>SUMIF(Recibos!$D$4:$D$3010,Cobranza!$B465,Recibos!N$4:N$3010)</f>
        <v>350</v>
      </c>
      <c r="BC465" s="319">
        <f>SUMIF(Recibos!$D$4:$D$3010,Cobranza!$B465,Recibos!O$4:O$3010)</f>
        <v>350</v>
      </c>
      <c r="BD465" s="319">
        <f>SUMIF(Recibos!$D$4:$D$3010,Cobranza!$B465,Recibos!P$4:P$3010)</f>
        <v>350</v>
      </c>
      <c r="BE465" s="319">
        <f>SUMIF(Recibos!$D$4:$D$3010,Cobranza!$B465,Recibos!Q$4:Q$3010)</f>
        <v>350</v>
      </c>
      <c r="BF465" s="319">
        <f>SUMIF(Recibos!$D$4:$D$3010,Cobranza!$B465,Recibos!R$4:R$3010)</f>
        <v>350</v>
      </c>
      <c r="BG465" s="319">
        <f>SUMIF(Recibos!$D$4:$D$3010,Cobranza!$B465,Recibos!S$4:S$3010)</f>
        <v>300</v>
      </c>
      <c r="BH465" s="319">
        <f>SUMIF(Recibos!$D$4:$D$3010,Cobranza!$B465,Recibos!T$4:T$3010)</f>
        <v>300</v>
      </c>
      <c r="BI465" s="319">
        <f>SUMIF(Recibos!$D$4:$D$3010,Cobranza!$B465,Recibos!U$4:U$3010)</f>
        <v>300</v>
      </c>
      <c r="BJ465" s="319">
        <f>SUMIF(Recibos!$D$4:$D$3010,Cobranza!$B465,Recibos!V$4:V$3010)</f>
        <v>300</v>
      </c>
      <c r="BK465" s="320">
        <f t="shared" si="45"/>
        <v>4050</v>
      </c>
      <c r="BL465" s="319">
        <f>SUMIF(Recibos!$D$4:$D$3010,Cobranza!$B465,Recibos!X$4:X$3010)</f>
        <v>0</v>
      </c>
      <c r="BM465" s="319">
        <f>SUMIF(Recibos!$D$4:$D$3010,Cobranza!$B465,Recibos!Y$4:Y$3010)</f>
        <v>0</v>
      </c>
      <c r="BN465" s="319">
        <f>SUMIF(Recibos!$D$4:$D$3010,Cobranza!$B465,Recibos!Z$4:Z$3010)</f>
        <v>0</v>
      </c>
      <c r="BO465" s="319">
        <f>SUMIF(Recibos!$D$4:$D$3010,Cobranza!$B465,Recibos!AA$4:AA$3010)</f>
        <v>0</v>
      </c>
      <c r="BP465" s="319">
        <f>SUMIF(Recibos!$D$4:$D$3010,Cobranza!$B465,Recibos!AB$4:AB$3010)</f>
        <v>0</v>
      </c>
      <c r="BQ465" s="319">
        <f>SUMIF(Recibos!$D$4:$D$3010,Cobranza!$B465,Recibos!AC$4:AC$3010)</f>
        <v>0</v>
      </c>
      <c r="BR465" s="319">
        <f>SUMIF(Recibos!$D$4:$D$3010,Cobranza!$B465,Recibos!AD$4:AD$3010)</f>
        <v>0</v>
      </c>
      <c r="BS465" s="319">
        <f>SUMIF(Recibos!$D$4:$D$3010,Cobranza!$B465,Recibos!AE$4:AE$3010)</f>
        <v>0</v>
      </c>
      <c r="BT465" s="319">
        <f>SUMIF(Recibos!$D$4:$D$3010,Cobranza!$B465,Recibos!AF$4:AF$3010)</f>
        <v>0</v>
      </c>
      <c r="BU465" s="319">
        <f>SUMIF(Recibos!$D$4:$D$3010,Cobranza!$B465,Recibos!AG$4:AG$3010)</f>
        <v>0</v>
      </c>
      <c r="BV465" s="319">
        <f>SUMIF(Recibos!$D$4:$D$3010,Cobranza!$B465,Recibos!AH$4:AH$3010)</f>
        <v>0</v>
      </c>
      <c r="BW465" s="319">
        <f>SUMIF(Recibos!$D$4:$D$3010,Cobranza!$B465,Recibos!AI$4:AI$3010)</f>
        <v>0</v>
      </c>
      <c r="BX465" s="320">
        <f t="shared" si="46"/>
        <v>0</v>
      </c>
    </row>
  </sheetData>
  <sheetProtection algorithmName="SHA-512" hashValue="4Bgif0bcpqxPYgmhkbXUtX3T1/pJBnNA8kRJYmBa7H/5GTa1nWOZchGF4KYPQTldBFSLHFUUSIOfeIXTiVAzIA==" saltValue="NOKrDG+hWDbCyYLUC4kVhg==" spinCount="100000" sheet="1" objects="1" scenario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1444"/>
  <sheetViews>
    <sheetView showGridLines="0" zoomScaleNormal="100" workbookViewId="0">
      <pane ySplit="3" topLeftCell="A1424" activePane="bottomLeft" state="frozen"/>
      <selection pane="bottomLeft" activeCell="C1433" sqref="C1433"/>
    </sheetView>
  </sheetViews>
  <sheetFormatPr baseColWidth="10" defaultRowHeight="12.75" x14ac:dyDescent="0.2"/>
  <cols>
    <col min="2" max="2" width="8.85546875" customWidth="1"/>
    <col min="4" max="4" width="47.28515625" bestFit="1" customWidth="1"/>
    <col min="5" max="5" width="69.5703125" bestFit="1" customWidth="1"/>
    <col min="6" max="8" width="10.7109375" customWidth="1"/>
  </cols>
  <sheetData>
    <row r="3" spans="2:8" ht="18" customHeight="1" x14ac:dyDescent="0.2">
      <c r="B3" s="261" t="s">
        <v>1859</v>
      </c>
      <c r="C3" s="261" t="s">
        <v>1860</v>
      </c>
      <c r="D3" s="262" t="s">
        <v>1861</v>
      </c>
      <c r="E3" s="262" t="s">
        <v>1862</v>
      </c>
      <c r="F3" s="263" t="s">
        <v>1863</v>
      </c>
      <c r="G3" s="263" t="s">
        <v>1864</v>
      </c>
      <c r="H3" s="263" t="s">
        <v>1865</v>
      </c>
    </row>
    <row r="4" spans="2:8" x14ac:dyDescent="0.2">
      <c r="B4" s="264" t="s">
        <v>1868</v>
      </c>
      <c r="C4" s="265">
        <v>42370</v>
      </c>
      <c r="D4" s="266" t="s">
        <v>1919</v>
      </c>
      <c r="E4" s="266" t="s">
        <v>1954</v>
      </c>
      <c r="F4" s="267">
        <v>1000</v>
      </c>
      <c r="G4" s="267"/>
      <c r="H4" s="267">
        <f>SUM(F4:G4)</f>
        <v>1000</v>
      </c>
    </row>
    <row r="5" spans="2:8" x14ac:dyDescent="0.2">
      <c r="B5" s="268" t="s">
        <v>1871</v>
      </c>
      <c r="C5" s="269">
        <v>42371</v>
      </c>
      <c r="D5" s="270" t="s">
        <v>1947</v>
      </c>
      <c r="E5" s="270" t="s">
        <v>1955</v>
      </c>
      <c r="F5" s="271">
        <v>750</v>
      </c>
      <c r="G5" s="271"/>
      <c r="H5" s="271">
        <f t="shared" ref="H5:H68" si="0">SUM(F5:G5)</f>
        <v>750</v>
      </c>
    </row>
    <row r="6" spans="2:8" x14ac:dyDescent="0.2">
      <c r="B6" s="268" t="s">
        <v>1879</v>
      </c>
      <c r="C6" s="269">
        <v>42371</v>
      </c>
      <c r="D6" s="270" t="s">
        <v>1947</v>
      </c>
      <c r="E6" s="270" t="s">
        <v>1956</v>
      </c>
      <c r="F6" s="271">
        <v>400</v>
      </c>
      <c r="G6" s="271"/>
      <c r="H6" s="271">
        <f t="shared" si="0"/>
        <v>400</v>
      </c>
    </row>
    <row r="7" spans="2:8" x14ac:dyDescent="0.2">
      <c r="B7" s="268" t="s">
        <v>1875</v>
      </c>
      <c r="C7" s="269">
        <v>42372</v>
      </c>
      <c r="D7" s="270" t="s">
        <v>1912</v>
      </c>
      <c r="E7" s="270" t="s">
        <v>1943</v>
      </c>
      <c r="F7" s="271">
        <v>65</v>
      </c>
      <c r="G7" s="271"/>
      <c r="H7" s="271">
        <f t="shared" si="0"/>
        <v>65</v>
      </c>
    </row>
    <row r="8" spans="2:8" x14ac:dyDescent="0.2">
      <c r="B8" s="268" t="s">
        <v>1875</v>
      </c>
      <c r="C8" s="269">
        <v>42373</v>
      </c>
      <c r="D8" s="270" t="s">
        <v>1899</v>
      </c>
      <c r="E8" s="270" t="s">
        <v>1909</v>
      </c>
      <c r="F8" s="271">
        <v>110</v>
      </c>
      <c r="G8" s="271"/>
      <c r="H8" s="271">
        <f t="shared" si="0"/>
        <v>110</v>
      </c>
    </row>
    <row r="9" spans="2:8" x14ac:dyDescent="0.2">
      <c r="B9" s="268" t="s">
        <v>1888</v>
      </c>
      <c r="C9" s="269">
        <v>42373</v>
      </c>
      <c r="D9" s="270" t="s">
        <v>1947</v>
      </c>
      <c r="E9" s="270" t="s">
        <v>1957</v>
      </c>
      <c r="F9" s="271">
        <v>450</v>
      </c>
      <c r="G9" s="271"/>
      <c r="H9" s="271">
        <f t="shared" si="0"/>
        <v>450</v>
      </c>
    </row>
    <row r="10" spans="2:8" x14ac:dyDescent="0.2">
      <c r="B10" s="268" t="s">
        <v>1879</v>
      </c>
      <c r="C10" s="269">
        <v>42373</v>
      </c>
      <c r="D10" s="270" t="s">
        <v>1901</v>
      </c>
      <c r="E10" s="270" t="s">
        <v>1958</v>
      </c>
      <c r="F10" s="271">
        <v>1200</v>
      </c>
      <c r="G10" s="271"/>
      <c r="H10" s="271">
        <f t="shared" si="0"/>
        <v>1200</v>
      </c>
    </row>
    <row r="11" spans="2:8" x14ac:dyDescent="0.2">
      <c r="B11" s="268" t="s">
        <v>1870</v>
      </c>
      <c r="C11" s="269">
        <v>42374</v>
      </c>
      <c r="D11" s="270" t="s">
        <v>1902</v>
      </c>
      <c r="E11" s="270" t="s">
        <v>1959</v>
      </c>
      <c r="F11" s="271">
        <v>376.5</v>
      </c>
      <c r="G11" s="271"/>
      <c r="H11" s="271">
        <f t="shared" si="0"/>
        <v>376.5</v>
      </c>
    </row>
    <row r="12" spans="2:8" x14ac:dyDescent="0.2">
      <c r="B12" s="268" t="s">
        <v>1870</v>
      </c>
      <c r="C12" s="269">
        <v>42374</v>
      </c>
      <c r="D12" s="270" t="s">
        <v>1934</v>
      </c>
      <c r="E12" s="270" t="s">
        <v>1959</v>
      </c>
      <c r="F12" s="271">
        <v>2.59</v>
      </c>
      <c r="G12" s="271">
        <v>0.41</v>
      </c>
      <c r="H12" s="271">
        <f t="shared" si="0"/>
        <v>3</v>
      </c>
    </row>
    <row r="13" spans="2:8" x14ac:dyDescent="0.2">
      <c r="B13" s="268" t="s">
        <v>1879</v>
      </c>
      <c r="C13" s="269">
        <v>42374</v>
      </c>
      <c r="D13" s="270" t="s">
        <v>1901</v>
      </c>
      <c r="E13" s="270" t="s">
        <v>1960</v>
      </c>
      <c r="F13" s="271">
        <v>350</v>
      </c>
      <c r="G13" s="271"/>
      <c r="H13" s="271">
        <f t="shared" si="0"/>
        <v>350</v>
      </c>
    </row>
    <row r="14" spans="2:8" x14ac:dyDescent="0.2">
      <c r="B14" s="268" t="s">
        <v>1871</v>
      </c>
      <c r="C14" s="269">
        <v>42374</v>
      </c>
      <c r="D14" s="270" t="s">
        <v>1901</v>
      </c>
      <c r="E14" s="270" t="s">
        <v>1961</v>
      </c>
      <c r="F14" s="271">
        <v>1500</v>
      </c>
      <c r="G14" s="271"/>
      <c r="H14" s="271">
        <f t="shared" si="0"/>
        <v>1500</v>
      </c>
    </row>
    <row r="15" spans="2:8" x14ac:dyDescent="0.2">
      <c r="B15" s="268" t="s">
        <v>1880</v>
      </c>
      <c r="C15" s="269">
        <v>42375</v>
      </c>
      <c r="D15" s="270" t="s">
        <v>2090</v>
      </c>
      <c r="E15" s="270" t="s">
        <v>1962</v>
      </c>
      <c r="F15" s="271">
        <v>1000</v>
      </c>
      <c r="G15" s="271"/>
      <c r="H15" s="271">
        <f t="shared" si="0"/>
        <v>1000</v>
      </c>
    </row>
    <row r="16" spans="2:8" x14ac:dyDescent="0.2">
      <c r="B16" s="268" t="s">
        <v>1830</v>
      </c>
      <c r="C16" s="269">
        <v>42376</v>
      </c>
      <c r="D16" s="270" t="s">
        <v>1901</v>
      </c>
      <c r="E16" s="270" t="s">
        <v>1963</v>
      </c>
      <c r="F16" s="271">
        <v>600</v>
      </c>
      <c r="G16" s="271"/>
      <c r="H16" s="271">
        <f t="shared" si="0"/>
        <v>600</v>
      </c>
    </row>
    <row r="17" spans="2:8" x14ac:dyDescent="0.2">
      <c r="B17" s="268" t="s">
        <v>1870</v>
      </c>
      <c r="C17" s="269">
        <v>42376</v>
      </c>
      <c r="D17" s="270" t="s">
        <v>1928</v>
      </c>
      <c r="E17" s="270" t="s">
        <v>1964</v>
      </c>
      <c r="F17" s="271">
        <v>245</v>
      </c>
      <c r="G17" s="271"/>
      <c r="H17" s="271">
        <f t="shared" si="0"/>
        <v>245</v>
      </c>
    </row>
    <row r="18" spans="2:8" x14ac:dyDescent="0.2">
      <c r="B18" s="268" t="s">
        <v>1868</v>
      </c>
      <c r="C18" s="269">
        <v>42377</v>
      </c>
      <c r="D18" s="270" t="s">
        <v>1919</v>
      </c>
      <c r="E18" s="270" t="s">
        <v>1965</v>
      </c>
      <c r="F18" s="271">
        <v>1000</v>
      </c>
      <c r="G18" s="271"/>
      <c r="H18" s="271">
        <f t="shared" si="0"/>
        <v>1000</v>
      </c>
    </row>
    <row r="19" spans="2:8" x14ac:dyDescent="0.2">
      <c r="B19" s="268" t="s">
        <v>1830</v>
      </c>
      <c r="C19" s="269">
        <v>42377</v>
      </c>
      <c r="D19" s="270" t="s">
        <v>1947</v>
      </c>
      <c r="E19" s="270" t="s">
        <v>1966</v>
      </c>
      <c r="F19" s="271">
        <v>25</v>
      </c>
      <c r="G19" s="271"/>
      <c r="H19" s="271">
        <f t="shared" si="0"/>
        <v>25</v>
      </c>
    </row>
    <row r="20" spans="2:8" x14ac:dyDescent="0.2">
      <c r="B20" s="268" t="s">
        <v>1874</v>
      </c>
      <c r="C20" s="269">
        <v>42377</v>
      </c>
      <c r="D20" s="270" t="s">
        <v>1946</v>
      </c>
      <c r="E20" s="270" t="s">
        <v>1967</v>
      </c>
      <c r="F20" s="271">
        <v>1200</v>
      </c>
      <c r="G20" s="271"/>
      <c r="H20" s="271">
        <f t="shared" si="0"/>
        <v>1200</v>
      </c>
    </row>
    <row r="21" spans="2:8" x14ac:dyDescent="0.2">
      <c r="B21" s="268" t="s">
        <v>1874</v>
      </c>
      <c r="C21" s="269">
        <v>42377</v>
      </c>
      <c r="D21" s="270" t="s">
        <v>1946</v>
      </c>
      <c r="E21" s="270" t="s">
        <v>1968</v>
      </c>
      <c r="F21" s="271">
        <v>500</v>
      </c>
      <c r="G21" s="271"/>
      <c r="H21" s="271">
        <f t="shared" si="0"/>
        <v>500</v>
      </c>
    </row>
    <row r="22" spans="2:8" x14ac:dyDescent="0.2">
      <c r="B22" s="268" t="s">
        <v>1874</v>
      </c>
      <c r="C22" s="269">
        <v>42380</v>
      </c>
      <c r="D22" s="270" t="s">
        <v>1946</v>
      </c>
      <c r="E22" s="270" t="s">
        <v>1969</v>
      </c>
      <c r="F22" s="271">
        <v>300</v>
      </c>
      <c r="G22" s="271"/>
      <c r="H22" s="271">
        <f t="shared" si="0"/>
        <v>300</v>
      </c>
    </row>
    <row r="23" spans="2:8" x14ac:dyDescent="0.2">
      <c r="B23" s="268" t="s">
        <v>1893</v>
      </c>
      <c r="C23" s="269">
        <v>42380</v>
      </c>
      <c r="D23" s="270" t="s">
        <v>1970</v>
      </c>
      <c r="E23" s="270" t="s">
        <v>1971</v>
      </c>
      <c r="F23" s="271">
        <v>500</v>
      </c>
      <c r="G23" s="271"/>
      <c r="H23" s="271">
        <f t="shared" si="0"/>
        <v>500</v>
      </c>
    </row>
    <row r="24" spans="2:8" x14ac:dyDescent="0.2">
      <c r="B24" s="268" t="s">
        <v>1866</v>
      </c>
      <c r="C24" s="269">
        <v>42380</v>
      </c>
      <c r="D24" s="270" t="s">
        <v>1881</v>
      </c>
      <c r="E24" s="270" t="s">
        <v>1972</v>
      </c>
      <c r="F24" s="271">
        <v>450</v>
      </c>
      <c r="G24" s="271"/>
      <c r="H24" s="271">
        <f t="shared" si="0"/>
        <v>450</v>
      </c>
    </row>
    <row r="25" spans="2:8" x14ac:dyDescent="0.2">
      <c r="B25" s="268" t="s">
        <v>1875</v>
      </c>
      <c r="C25" s="269">
        <v>42380</v>
      </c>
      <c r="D25" s="270" t="s">
        <v>1899</v>
      </c>
      <c r="E25" s="270" t="s">
        <v>1913</v>
      </c>
      <c r="F25" s="271">
        <v>142</v>
      </c>
      <c r="G25" s="271"/>
      <c r="H25" s="271">
        <f t="shared" si="0"/>
        <v>142</v>
      </c>
    </row>
    <row r="26" spans="2:8" x14ac:dyDescent="0.2">
      <c r="B26" s="268" t="s">
        <v>1876</v>
      </c>
      <c r="C26" s="269">
        <v>42381</v>
      </c>
      <c r="D26" s="270" t="s">
        <v>1903</v>
      </c>
      <c r="E26" s="270" t="s">
        <v>1973</v>
      </c>
      <c r="F26" s="271">
        <v>1073</v>
      </c>
      <c r="G26" s="271"/>
      <c r="H26" s="271">
        <f t="shared" si="0"/>
        <v>1073</v>
      </c>
    </row>
    <row r="27" spans="2:8" x14ac:dyDescent="0.2">
      <c r="B27" s="268" t="s">
        <v>1799</v>
      </c>
      <c r="C27" s="269">
        <v>42381</v>
      </c>
      <c r="D27" s="270" t="s">
        <v>1918</v>
      </c>
      <c r="E27" s="270" t="s">
        <v>1974</v>
      </c>
      <c r="F27" s="271"/>
      <c r="G27" s="271">
        <v>1760</v>
      </c>
      <c r="H27" s="271">
        <f t="shared" si="0"/>
        <v>1760</v>
      </c>
    </row>
    <row r="28" spans="2:8" x14ac:dyDescent="0.2">
      <c r="B28" s="268" t="s">
        <v>1814</v>
      </c>
      <c r="C28" s="269">
        <v>42381</v>
      </c>
      <c r="D28" s="270" t="s">
        <v>1897</v>
      </c>
      <c r="E28" s="270" t="s">
        <v>1975</v>
      </c>
      <c r="F28" s="271">
        <v>1055.17</v>
      </c>
      <c r="G28" s="271">
        <v>168.83</v>
      </c>
      <c r="H28" s="271">
        <f t="shared" si="0"/>
        <v>1224</v>
      </c>
    </row>
    <row r="29" spans="2:8" x14ac:dyDescent="0.2">
      <c r="B29" s="268" t="s">
        <v>1875</v>
      </c>
      <c r="C29" s="269">
        <v>42381</v>
      </c>
      <c r="D29" s="270" t="s">
        <v>1976</v>
      </c>
      <c r="E29" s="270" t="s">
        <v>1925</v>
      </c>
      <c r="F29" s="271">
        <v>40.5</v>
      </c>
      <c r="G29" s="271"/>
      <c r="H29" s="271">
        <f t="shared" si="0"/>
        <v>40.5</v>
      </c>
    </row>
    <row r="30" spans="2:8" x14ac:dyDescent="0.2">
      <c r="B30" s="268" t="s">
        <v>1868</v>
      </c>
      <c r="C30" s="269">
        <v>42383</v>
      </c>
      <c r="D30" s="270" t="s">
        <v>1919</v>
      </c>
      <c r="E30" s="270" t="s">
        <v>1977</v>
      </c>
      <c r="F30" s="271">
        <v>1000</v>
      </c>
      <c r="G30" s="271"/>
      <c r="H30" s="271">
        <f t="shared" si="0"/>
        <v>1000</v>
      </c>
    </row>
    <row r="31" spans="2:8" x14ac:dyDescent="0.2">
      <c r="B31" s="268" t="s">
        <v>1814</v>
      </c>
      <c r="C31" s="269">
        <v>42384</v>
      </c>
      <c r="D31" s="270" t="s">
        <v>1927</v>
      </c>
      <c r="E31" s="270" t="s">
        <v>1938</v>
      </c>
      <c r="F31" s="271">
        <v>90</v>
      </c>
      <c r="G31" s="271"/>
      <c r="H31" s="271">
        <f t="shared" si="0"/>
        <v>90</v>
      </c>
    </row>
    <row r="32" spans="2:8" x14ac:dyDescent="0.2">
      <c r="B32" s="268" t="s">
        <v>1875</v>
      </c>
      <c r="C32" s="269">
        <v>42384</v>
      </c>
      <c r="D32" s="270" t="s">
        <v>1912</v>
      </c>
      <c r="E32" s="270" t="s">
        <v>1978</v>
      </c>
      <c r="F32" s="271">
        <v>66.709999999999994</v>
      </c>
      <c r="G32" s="271">
        <v>7.79</v>
      </c>
      <c r="H32" s="271">
        <f t="shared" si="0"/>
        <v>74.5</v>
      </c>
    </row>
    <row r="33" spans="2:8" x14ac:dyDescent="0.2">
      <c r="B33" s="268" t="s">
        <v>1868</v>
      </c>
      <c r="C33" s="269">
        <v>42384</v>
      </c>
      <c r="D33" s="270" t="s">
        <v>1921</v>
      </c>
      <c r="E33" s="270" t="s">
        <v>1979</v>
      </c>
      <c r="F33" s="271">
        <v>170.93</v>
      </c>
      <c r="G33" s="271">
        <v>26.47</v>
      </c>
      <c r="H33" s="271">
        <f t="shared" si="0"/>
        <v>197.4</v>
      </c>
    </row>
    <row r="34" spans="2:8" x14ac:dyDescent="0.2">
      <c r="B34" s="268" t="s">
        <v>1875</v>
      </c>
      <c r="C34" s="269">
        <v>42384</v>
      </c>
      <c r="D34" s="270" t="s">
        <v>1899</v>
      </c>
      <c r="E34" s="270" t="s">
        <v>1909</v>
      </c>
      <c r="F34" s="271">
        <v>110</v>
      </c>
      <c r="G34" s="271"/>
      <c r="H34" s="271">
        <f t="shared" si="0"/>
        <v>110</v>
      </c>
    </row>
    <row r="35" spans="2:8" x14ac:dyDescent="0.2">
      <c r="B35" s="268" t="s">
        <v>1893</v>
      </c>
      <c r="C35" s="269">
        <v>42384</v>
      </c>
      <c r="D35" s="270" t="s">
        <v>1882</v>
      </c>
      <c r="E35" s="270" t="s">
        <v>1980</v>
      </c>
      <c r="F35" s="271">
        <v>450</v>
      </c>
      <c r="G35" s="271"/>
      <c r="H35" s="271">
        <f t="shared" si="0"/>
        <v>450</v>
      </c>
    </row>
    <row r="36" spans="2:8" x14ac:dyDescent="0.2">
      <c r="B36" s="268" t="s">
        <v>1585</v>
      </c>
      <c r="C36" s="269">
        <v>42384</v>
      </c>
      <c r="D36" s="270" t="s">
        <v>1895</v>
      </c>
      <c r="E36" s="270" t="s">
        <v>1981</v>
      </c>
      <c r="F36" s="271">
        <v>3200</v>
      </c>
      <c r="G36" s="271"/>
      <c r="H36" s="271">
        <f t="shared" si="0"/>
        <v>3200</v>
      </c>
    </row>
    <row r="37" spans="2:8" x14ac:dyDescent="0.2">
      <c r="B37" s="268" t="s">
        <v>1585</v>
      </c>
      <c r="C37" s="269">
        <v>42384</v>
      </c>
      <c r="D37" s="270" t="s">
        <v>1908</v>
      </c>
      <c r="E37" s="270" t="s">
        <v>1982</v>
      </c>
      <c r="F37" s="271">
        <v>29000</v>
      </c>
      <c r="G37" s="271"/>
      <c r="H37" s="271">
        <f t="shared" si="0"/>
        <v>29000</v>
      </c>
    </row>
    <row r="38" spans="2:8" x14ac:dyDescent="0.2">
      <c r="B38" s="268" t="s">
        <v>1868</v>
      </c>
      <c r="C38" s="269">
        <v>42384</v>
      </c>
      <c r="D38" s="270" t="s">
        <v>1920</v>
      </c>
      <c r="E38" s="270" t="s">
        <v>1944</v>
      </c>
      <c r="F38" s="271">
        <v>4000</v>
      </c>
      <c r="G38" s="271"/>
      <c r="H38" s="271">
        <f t="shared" si="0"/>
        <v>4000</v>
      </c>
    </row>
    <row r="39" spans="2:8" x14ac:dyDescent="0.2">
      <c r="B39" s="268" t="s">
        <v>1874</v>
      </c>
      <c r="C39" s="269">
        <v>42386</v>
      </c>
      <c r="D39" s="270" t="s">
        <v>1983</v>
      </c>
      <c r="E39" s="270" t="s">
        <v>1984</v>
      </c>
      <c r="F39" s="271">
        <v>350</v>
      </c>
      <c r="G39" s="271"/>
      <c r="H39" s="271">
        <f t="shared" si="0"/>
        <v>350</v>
      </c>
    </row>
    <row r="40" spans="2:8" x14ac:dyDescent="0.2">
      <c r="B40" s="268" t="s">
        <v>1884</v>
      </c>
      <c r="C40" s="269">
        <v>42386</v>
      </c>
      <c r="D40" s="270" t="s">
        <v>1902</v>
      </c>
      <c r="E40" s="270" t="s">
        <v>1904</v>
      </c>
      <c r="F40" s="271">
        <v>248.43</v>
      </c>
      <c r="G40" s="271">
        <v>39.770000000000003</v>
      </c>
      <c r="H40" s="271">
        <f t="shared" si="0"/>
        <v>288.2</v>
      </c>
    </row>
    <row r="41" spans="2:8" x14ac:dyDescent="0.2">
      <c r="B41" s="268" t="s">
        <v>1875</v>
      </c>
      <c r="C41" s="269">
        <v>42387</v>
      </c>
      <c r="D41" s="270" t="s">
        <v>1899</v>
      </c>
      <c r="E41" s="270" t="s">
        <v>1922</v>
      </c>
      <c r="F41" s="271">
        <v>180</v>
      </c>
      <c r="G41" s="271"/>
      <c r="H41" s="271">
        <f t="shared" si="0"/>
        <v>180</v>
      </c>
    </row>
    <row r="42" spans="2:8" x14ac:dyDescent="0.2">
      <c r="B42" s="268" t="s">
        <v>1875</v>
      </c>
      <c r="C42" s="269">
        <v>42387</v>
      </c>
      <c r="D42" s="270" t="s">
        <v>1912</v>
      </c>
      <c r="E42" s="270" t="s">
        <v>1985</v>
      </c>
      <c r="F42" s="271">
        <v>22.41</v>
      </c>
      <c r="G42" s="271">
        <v>3.59</v>
      </c>
      <c r="H42" s="271">
        <f t="shared" si="0"/>
        <v>26</v>
      </c>
    </row>
    <row r="43" spans="2:8" x14ac:dyDescent="0.2">
      <c r="B43" s="268" t="s">
        <v>1875</v>
      </c>
      <c r="C43" s="269">
        <v>42387</v>
      </c>
      <c r="D43" s="270" t="s">
        <v>1912</v>
      </c>
      <c r="E43" s="270" t="s">
        <v>1985</v>
      </c>
      <c r="F43" s="271">
        <v>39.22</v>
      </c>
      <c r="G43" s="271">
        <v>6.28</v>
      </c>
      <c r="H43" s="271">
        <f t="shared" si="0"/>
        <v>45.5</v>
      </c>
    </row>
    <row r="44" spans="2:8" x14ac:dyDescent="0.2">
      <c r="B44" s="268" t="s">
        <v>1868</v>
      </c>
      <c r="C44" s="269">
        <v>42388</v>
      </c>
      <c r="D44" s="270" t="s">
        <v>1986</v>
      </c>
      <c r="E44" s="270" t="s">
        <v>1987</v>
      </c>
      <c r="F44" s="271">
        <v>263.2</v>
      </c>
      <c r="G44" s="271"/>
      <c r="H44" s="271">
        <f t="shared" si="0"/>
        <v>263.2</v>
      </c>
    </row>
    <row r="45" spans="2:8" x14ac:dyDescent="0.2">
      <c r="B45" s="268" t="s">
        <v>1868</v>
      </c>
      <c r="C45" s="269">
        <v>42388</v>
      </c>
      <c r="D45" s="270" t="s">
        <v>1988</v>
      </c>
      <c r="E45" s="270" t="s">
        <v>1989</v>
      </c>
      <c r="F45" s="271">
        <v>41.5</v>
      </c>
      <c r="G45" s="271"/>
      <c r="H45" s="271">
        <f t="shared" si="0"/>
        <v>41.5</v>
      </c>
    </row>
    <row r="46" spans="2:8" x14ac:dyDescent="0.2">
      <c r="B46" s="268" t="s">
        <v>1868</v>
      </c>
      <c r="C46" s="269">
        <v>42388</v>
      </c>
      <c r="D46" s="270" t="s">
        <v>1930</v>
      </c>
      <c r="E46" s="270" t="s">
        <v>1939</v>
      </c>
      <c r="F46" s="271">
        <v>20</v>
      </c>
      <c r="G46" s="271"/>
      <c r="H46" s="271">
        <f t="shared" si="0"/>
        <v>20</v>
      </c>
    </row>
    <row r="47" spans="2:8" x14ac:dyDescent="0.2">
      <c r="B47" s="268" t="s">
        <v>1870</v>
      </c>
      <c r="C47" s="269">
        <v>42389</v>
      </c>
      <c r="D47" s="270" t="s">
        <v>1990</v>
      </c>
      <c r="E47" s="270" t="s">
        <v>1991</v>
      </c>
      <c r="F47" s="271">
        <v>345</v>
      </c>
      <c r="G47" s="271"/>
      <c r="H47" s="271">
        <f t="shared" si="0"/>
        <v>345</v>
      </c>
    </row>
    <row r="48" spans="2:8" x14ac:dyDescent="0.2">
      <c r="B48" s="268" t="s">
        <v>1866</v>
      </c>
      <c r="C48" s="269">
        <v>42390</v>
      </c>
      <c r="D48" s="270" t="s">
        <v>1881</v>
      </c>
      <c r="E48" s="270" t="s">
        <v>1992</v>
      </c>
      <c r="F48" s="271">
        <v>700</v>
      </c>
      <c r="G48" s="271"/>
      <c r="H48" s="271">
        <f t="shared" si="0"/>
        <v>700</v>
      </c>
    </row>
    <row r="49" spans="2:8" x14ac:dyDescent="0.2">
      <c r="B49" s="268" t="s">
        <v>1868</v>
      </c>
      <c r="C49" s="269">
        <v>42390</v>
      </c>
      <c r="D49" s="270" t="s">
        <v>1921</v>
      </c>
      <c r="E49" s="270" t="s">
        <v>1993</v>
      </c>
      <c r="F49" s="271">
        <v>86.59</v>
      </c>
      <c r="G49" s="271">
        <v>13.41</v>
      </c>
      <c r="H49" s="271">
        <f t="shared" si="0"/>
        <v>100</v>
      </c>
    </row>
    <row r="50" spans="2:8" x14ac:dyDescent="0.2">
      <c r="B50" s="268" t="s">
        <v>1866</v>
      </c>
      <c r="C50" s="269">
        <v>42391</v>
      </c>
      <c r="D50" s="270" t="s">
        <v>1994</v>
      </c>
      <c r="E50" s="270" t="s">
        <v>1995</v>
      </c>
      <c r="F50" s="271">
        <v>110</v>
      </c>
      <c r="G50" s="271">
        <v>17.600000000000001</v>
      </c>
      <c r="H50" s="271">
        <f t="shared" si="0"/>
        <v>127.6</v>
      </c>
    </row>
    <row r="51" spans="2:8" x14ac:dyDescent="0.2">
      <c r="B51" s="268" t="s">
        <v>1866</v>
      </c>
      <c r="C51" s="269">
        <v>42391</v>
      </c>
      <c r="D51" s="270" t="s">
        <v>1916</v>
      </c>
      <c r="E51" s="270" t="s">
        <v>1996</v>
      </c>
      <c r="F51" s="271">
        <v>60</v>
      </c>
      <c r="G51" s="271"/>
      <c r="H51" s="271">
        <f t="shared" si="0"/>
        <v>60</v>
      </c>
    </row>
    <row r="52" spans="2:8" x14ac:dyDescent="0.2">
      <c r="B52" s="268" t="s">
        <v>1869</v>
      </c>
      <c r="C52" s="269">
        <v>42391</v>
      </c>
      <c r="D52" s="270" t="s">
        <v>1935</v>
      </c>
      <c r="E52" s="270" t="s">
        <v>1997</v>
      </c>
      <c r="F52" s="271">
        <v>1204</v>
      </c>
      <c r="G52" s="271"/>
      <c r="H52" s="271">
        <f t="shared" si="0"/>
        <v>1204</v>
      </c>
    </row>
    <row r="53" spans="2:8" x14ac:dyDescent="0.2">
      <c r="B53" s="268" t="s">
        <v>1866</v>
      </c>
      <c r="C53" s="269">
        <v>42391</v>
      </c>
      <c r="D53" s="270" t="s">
        <v>1998</v>
      </c>
      <c r="E53" s="270" t="s">
        <v>1999</v>
      </c>
      <c r="F53" s="271">
        <v>7</v>
      </c>
      <c r="G53" s="271"/>
      <c r="H53" s="271">
        <f t="shared" si="0"/>
        <v>7</v>
      </c>
    </row>
    <row r="54" spans="2:8" x14ac:dyDescent="0.2">
      <c r="B54" s="268" t="s">
        <v>1868</v>
      </c>
      <c r="C54" s="269">
        <v>42391</v>
      </c>
      <c r="D54" s="270" t="s">
        <v>1919</v>
      </c>
      <c r="E54" s="270" t="s">
        <v>2000</v>
      </c>
      <c r="F54" s="271">
        <v>1000</v>
      </c>
      <c r="G54" s="271"/>
      <c r="H54" s="271">
        <f t="shared" si="0"/>
        <v>1000</v>
      </c>
    </row>
    <row r="55" spans="2:8" x14ac:dyDescent="0.2">
      <c r="B55" s="268" t="s">
        <v>1870</v>
      </c>
      <c r="C55" s="269">
        <v>42391</v>
      </c>
      <c r="D55" s="270" t="s">
        <v>2001</v>
      </c>
      <c r="E55" s="270" t="s">
        <v>2002</v>
      </c>
      <c r="F55" s="271">
        <v>275.86</v>
      </c>
      <c r="G55" s="271">
        <v>44.14</v>
      </c>
      <c r="H55" s="271">
        <f t="shared" si="0"/>
        <v>320</v>
      </c>
    </row>
    <row r="56" spans="2:8" x14ac:dyDescent="0.2">
      <c r="B56" s="268" t="s">
        <v>1870</v>
      </c>
      <c r="C56" s="269">
        <v>42391</v>
      </c>
      <c r="D56" s="270" t="s">
        <v>2003</v>
      </c>
      <c r="E56" s="270" t="s">
        <v>2004</v>
      </c>
      <c r="F56" s="271">
        <v>40</v>
      </c>
      <c r="G56" s="271"/>
      <c r="H56" s="271">
        <f t="shared" si="0"/>
        <v>40</v>
      </c>
    </row>
    <row r="57" spans="2:8" x14ac:dyDescent="0.2">
      <c r="B57" s="268" t="s">
        <v>1875</v>
      </c>
      <c r="C57" s="269">
        <v>42391</v>
      </c>
      <c r="D57" s="270" t="s">
        <v>1899</v>
      </c>
      <c r="E57" s="270" t="s">
        <v>1922</v>
      </c>
      <c r="F57" s="271">
        <v>175</v>
      </c>
      <c r="G57" s="271"/>
      <c r="H57" s="271">
        <f t="shared" si="0"/>
        <v>175</v>
      </c>
    </row>
    <row r="58" spans="2:8" x14ac:dyDescent="0.2">
      <c r="B58" s="268" t="s">
        <v>1869</v>
      </c>
      <c r="C58" s="269">
        <v>42391</v>
      </c>
      <c r="D58" s="270" t="s">
        <v>1902</v>
      </c>
      <c r="E58" s="270" t="s">
        <v>1917</v>
      </c>
      <c r="F58" s="271">
        <v>371.86</v>
      </c>
      <c r="G58" s="271">
        <v>35.67</v>
      </c>
      <c r="H58" s="271">
        <f t="shared" si="0"/>
        <v>407.53000000000003</v>
      </c>
    </row>
    <row r="59" spans="2:8" x14ac:dyDescent="0.2">
      <c r="B59" s="268" t="s">
        <v>1869</v>
      </c>
      <c r="C59" s="269">
        <v>42391</v>
      </c>
      <c r="D59" s="270" t="s">
        <v>1927</v>
      </c>
      <c r="E59" s="270" t="s">
        <v>2005</v>
      </c>
      <c r="F59" s="271">
        <v>15</v>
      </c>
      <c r="G59" s="271"/>
      <c r="H59" s="271">
        <f t="shared" si="0"/>
        <v>15</v>
      </c>
    </row>
    <row r="60" spans="2:8" x14ac:dyDescent="0.2">
      <c r="B60" s="268" t="s">
        <v>1874</v>
      </c>
      <c r="C60" s="269">
        <v>42392</v>
      </c>
      <c r="D60" s="270" t="s">
        <v>1914</v>
      </c>
      <c r="E60" s="270" t="s">
        <v>2006</v>
      </c>
      <c r="F60" s="271">
        <v>230</v>
      </c>
      <c r="G60" s="271"/>
      <c r="H60" s="271">
        <f t="shared" si="0"/>
        <v>230</v>
      </c>
    </row>
    <row r="61" spans="2:8" x14ac:dyDescent="0.2">
      <c r="B61" s="268" t="s">
        <v>1880</v>
      </c>
      <c r="C61" s="269">
        <v>42392</v>
      </c>
      <c r="D61" s="270" t="s">
        <v>1898</v>
      </c>
      <c r="E61" s="270" t="s">
        <v>2007</v>
      </c>
      <c r="F61" s="271">
        <v>120</v>
      </c>
      <c r="G61" s="271"/>
      <c r="H61" s="271">
        <f t="shared" si="0"/>
        <v>120</v>
      </c>
    </row>
    <row r="62" spans="2:8" x14ac:dyDescent="0.2">
      <c r="B62" s="268" t="s">
        <v>1893</v>
      </c>
      <c r="C62" s="269">
        <v>42392</v>
      </c>
      <c r="D62" s="270" t="s">
        <v>1905</v>
      </c>
      <c r="E62" s="270" t="s">
        <v>2008</v>
      </c>
      <c r="F62" s="271">
        <v>100</v>
      </c>
      <c r="G62" s="271"/>
      <c r="H62" s="271">
        <f t="shared" si="0"/>
        <v>100</v>
      </c>
    </row>
    <row r="63" spans="2:8" x14ac:dyDescent="0.2">
      <c r="B63" s="268" t="s">
        <v>1874</v>
      </c>
      <c r="C63" s="269">
        <v>42392</v>
      </c>
      <c r="D63" s="270" t="s">
        <v>1881</v>
      </c>
      <c r="E63" s="270" t="s">
        <v>2009</v>
      </c>
      <c r="F63" s="271">
        <v>750</v>
      </c>
      <c r="G63" s="271"/>
      <c r="H63" s="271">
        <f t="shared" si="0"/>
        <v>750</v>
      </c>
    </row>
    <row r="64" spans="2:8" x14ac:dyDescent="0.2">
      <c r="B64" s="268" t="s">
        <v>1893</v>
      </c>
      <c r="C64" s="269">
        <v>42393</v>
      </c>
      <c r="D64" s="270" t="s">
        <v>1924</v>
      </c>
      <c r="E64" s="270" t="s">
        <v>2010</v>
      </c>
      <c r="F64" s="271">
        <v>500</v>
      </c>
      <c r="G64" s="271"/>
      <c r="H64" s="271">
        <f t="shared" si="0"/>
        <v>500</v>
      </c>
    </row>
    <row r="65" spans="2:8" x14ac:dyDescent="0.2">
      <c r="B65" s="268" t="s">
        <v>1869</v>
      </c>
      <c r="C65" s="269">
        <v>42394</v>
      </c>
      <c r="D65" s="270" t="s">
        <v>1900</v>
      </c>
      <c r="E65" s="270" t="s">
        <v>1953</v>
      </c>
      <c r="F65" s="271">
        <v>17.07</v>
      </c>
      <c r="G65" s="271">
        <v>2.73</v>
      </c>
      <c r="H65" s="271">
        <f t="shared" si="0"/>
        <v>19.8</v>
      </c>
    </row>
    <row r="66" spans="2:8" x14ac:dyDescent="0.2">
      <c r="B66" s="268" t="s">
        <v>1875</v>
      </c>
      <c r="C66" s="269">
        <v>42394</v>
      </c>
      <c r="D66" s="270" t="s">
        <v>1912</v>
      </c>
      <c r="E66" s="270" t="s">
        <v>2011</v>
      </c>
      <c r="F66" s="271">
        <v>62.07</v>
      </c>
      <c r="G66" s="271">
        <v>9.93</v>
      </c>
      <c r="H66" s="271">
        <f t="shared" si="0"/>
        <v>72</v>
      </c>
    </row>
    <row r="67" spans="2:8" x14ac:dyDescent="0.2">
      <c r="B67" s="268" t="s">
        <v>1875</v>
      </c>
      <c r="C67" s="269">
        <v>42394</v>
      </c>
      <c r="D67" s="270" t="s">
        <v>1899</v>
      </c>
      <c r="E67" s="270" t="s">
        <v>1909</v>
      </c>
      <c r="F67" s="271">
        <v>110</v>
      </c>
      <c r="G67" s="271"/>
      <c r="H67" s="271">
        <f t="shared" si="0"/>
        <v>110</v>
      </c>
    </row>
    <row r="68" spans="2:8" x14ac:dyDescent="0.2">
      <c r="B68" s="268" t="s">
        <v>1830</v>
      </c>
      <c r="C68" s="269">
        <v>42394</v>
      </c>
      <c r="D68" s="270" t="s">
        <v>1947</v>
      </c>
      <c r="E68" s="270" t="s">
        <v>2012</v>
      </c>
      <c r="F68" s="271">
        <v>2750</v>
      </c>
      <c r="G68" s="271"/>
      <c r="H68" s="271">
        <f t="shared" si="0"/>
        <v>2750</v>
      </c>
    </row>
    <row r="69" spans="2:8" x14ac:dyDescent="0.2">
      <c r="B69" s="268" t="s">
        <v>1879</v>
      </c>
      <c r="C69" s="269">
        <v>42394</v>
      </c>
      <c r="D69" s="270" t="s">
        <v>1947</v>
      </c>
      <c r="E69" s="270" t="s">
        <v>2013</v>
      </c>
      <c r="F69" s="271">
        <v>500</v>
      </c>
      <c r="G69" s="271"/>
      <c r="H69" s="271">
        <f t="shared" ref="H69:H132" si="1">SUM(F69:G69)</f>
        <v>500</v>
      </c>
    </row>
    <row r="70" spans="2:8" x14ac:dyDescent="0.2">
      <c r="B70" s="268" t="s">
        <v>1888</v>
      </c>
      <c r="C70" s="269">
        <v>42394</v>
      </c>
      <c r="D70" s="270" t="s">
        <v>1947</v>
      </c>
      <c r="E70" s="270" t="s">
        <v>1987</v>
      </c>
      <c r="F70" s="271">
        <v>550</v>
      </c>
      <c r="G70" s="271"/>
      <c r="H70" s="271">
        <f t="shared" si="1"/>
        <v>550</v>
      </c>
    </row>
    <row r="71" spans="2:8" x14ac:dyDescent="0.2">
      <c r="B71" s="268" t="s">
        <v>1869</v>
      </c>
      <c r="C71" s="269">
        <v>42396</v>
      </c>
      <c r="D71" s="270" t="s">
        <v>1900</v>
      </c>
      <c r="E71" s="270" t="s">
        <v>2014</v>
      </c>
      <c r="F71" s="271">
        <v>97.24</v>
      </c>
      <c r="G71" s="271">
        <v>15.56</v>
      </c>
      <c r="H71" s="271">
        <f t="shared" si="1"/>
        <v>112.8</v>
      </c>
    </row>
    <row r="72" spans="2:8" x14ac:dyDescent="0.2">
      <c r="B72" s="268" t="s">
        <v>1888</v>
      </c>
      <c r="C72" s="269">
        <v>42397</v>
      </c>
      <c r="D72" s="270" t="s">
        <v>1947</v>
      </c>
      <c r="E72" s="270" t="s">
        <v>2015</v>
      </c>
      <c r="F72" s="271">
        <v>700</v>
      </c>
      <c r="G72" s="271"/>
      <c r="H72" s="271">
        <f t="shared" si="1"/>
        <v>700</v>
      </c>
    </row>
    <row r="73" spans="2:8" x14ac:dyDescent="0.2">
      <c r="B73" s="268" t="s">
        <v>1871</v>
      </c>
      <c r="C73" s="269">
        <v>42397</v>
      </c>
      <c r="D73" s="270" t="s">
        <v>1947</v>
      </c>
      <c r="E73" s="270" t="s">
        <v>2016</v>
      </c>
      <c r="F73" s="271">
        <v>5970</v>
      </c>
      <c r="G73" s="271"/>
      <c r="H73" s="271">
        <f t="shared" si="1"/>
        <v>5970</v>
      </c>
    </row>
    <row r="74" spans="2:8" x14ac:dyDescent="0.2">
      <c r="B74" s="268" t="s">
        <v>1875</v>
      </c>
      <c r="C74" s="269">
        <v>42398</v>
      </c>
      <c r="D74" s="270" t="s">
        <v>1920</v>
      </c>
      <c r="E74" s="270" t="s">
        <v>2017</v>
      </c>
      <c r="F74" s="271">
        <v>41</v>
      </c>
      <c r="G74" s="271"/>
      <c r="H74" s="271">
        <f t="shared" si="1"/>
        <v>41</v>
      </c>
    </row>
    <row r="75" spans="2:8" x14ac:dyDescent="0.2">
      <c r="B75" s="268" t="s">
        <v>1872</v>
      </c>
      <c r="C75" s="269">
        <v>42398</v>
      </c>
      <c r="D75" s="270" t="s">
        <v>2018</v>
      </c>
      <c r="E75" s="270" t="s">
        <v>2019</v>
      </c>
      <c r="F75" s="271">
        <v>500</v>
      </c>
      <c r="G75" s="271"/>
      <c r="H75" s="271">
        <f t="shared" si="1"/>
        <v>500</v>
      </c>
    </row>
    <row r="76" spans="2:8" x14ac:dyDescent="0.2">
      <c r="B76" s="268" t="s">
        <v>1870</v>
      </c>
      <c r="C76" s="269">
        <v>42398</v>
      </c>
      <c r="D76" s="270" t="s">
        <v>2020</v>
      </c>
      <c r="E76" s="270" t="s">
        <v>2021</v>
      </c>
      <c r="F76" s="271">
        <v>5</v>
      </c>
      <c r="G76" s="271"/>
      <c r="H76" s="271">
        <f t="shared" si="1"/>
        <v>5</v>
      </c>
    </row>
    <row r="77" spans="2:8" x14ac:dyDescent="0.2">
      <c r="B77" s="268" t="s">
        <v>1870</v>
      </c>
      <c r="C77" s="269">
        <v>42398</v>
      </c>
      <c r="D77" s="270" t="s">
        <v>1902</v>
      </c>
      <c r="E77" s="270" t="s">
        <v>2022</v>
      </c>
      <c r="F77" s="271">
        <v>108.8</v>
      </c>
      <c r="G77" s="271"/>
      <c r="H77" s="271">
        <f t="shared" si="1"/>
        <v>108.8</v>
      </c>
    </row>
    <row r="78" spans="2:8" x14ac:dyDescent="0.2">
      <c r="B78" s="268" t="s">
        <v>1893</v>
      </c>
      <c r="C78" s="269">
        <v>42398</v>
      </c>
      <c r="D78" s="270" t="s">
        <v>2090</v>
      </c>
      <c r="E78" s="270" t="s">
        <v>2023</v>
      </c>
      <c r="F78" s="271">
        <v>350</v>
      </c>
      <c r="G78" s="271"/>
      <c r="H78" s="271">
        <f t="shared" si="1"/>
        <v>350</v>
      </c>
    </row>
    <row r="79" spans="2:8" x14ac:dyDescent="0.2">
      <c r="B79" s="268" t="s">
        <v>1868</v>
      </c>
      <c r="C79" s="269">
        <v>42398</v>
      </c>
      <c r="D79" s="270" t="s">
        <v>1919</v>
      </c>
      <c r="E79" s="270" t="s">
        <v>2024</v>
      </c>
      <c r="F79" s="271">
        <v>1000</v>
      </c>
      <c r="G79" s="271"/>
      <c r="H79" s="271">
        <f t="shared" si="1"/>
        <v>1000</v>
      </c>
    </row>
    <row r="80" spans="2:8" x14ac:dyDescent="0.2">
      <c r="B80" s="268" t="s">
        <v>1890</v>
      </c>
      <c r="C80" s="269">
        <v>42398</v>
      </c>
      <c r="D80" s="270" t="s">
        <v>2090</v>
      </c>
      <c r="E80" s="270" t="s">
        <v>2025</v>
      </c>
      <c r="F80" s="271">
        <v>500</v>
      </c>
      <c r="G80" s="271"/>
      <c r="H80" s="271">
        <f t="shared" si="1"/>
        <v>500</v>
      </c>
    </row>
    <row r="81" spans="2:8" x14ac:dyDescent="0.2">
      <c r="B81" s="268" t="s">
        <v>1875</v>
      </c>
      <c r="C81" s="269">
        <v>42395</v>
      </c>
      <c r="D81" s="270" t="s">
        <v>1899</v>
      </c>
      <c r="E81" s="270" t="s">
        <v>1909</v>
      </c>
      <c r="F81" s="271">
        <v>110</v>
      </c>
      <c r="G81" s="271"/>
      <c r="H81" s="271">
        <f t="shared" si="1"/>
        <v>110</v>
      </c>
    </row>
    <row r="82" spans="2:8" x14ac:dyDescent="0.2">
      <c r="B82" s="268" t="s">
        <v>1890</v>
      </c>
      <c r="C82" s="269">
        <v>42398</v>
      </c>
      <c r="D82" s="270" t="s">
        <v>2026</v>
      </c>
      <c r="E82" s="270" t="s">
        <v>2027</v>
      </c>
      <c r="F82" s="271">
        <v>680</v>
      </c>
      <c r="G82" s="271"/>
      <c r="H82" s="271">
        <f t="shared" si="1"/>
        <v>680</v>
      </c>
    </row>
    <row r="83" spans="2:8" x14ac:dyDescent="0.2">
      <c r="B83" s="268" t="s">
        <v>1872</v>
      </c>
      <c r="C83" s="269">
        <v>42398</v>
      </c>
      <c r="D83" s="270" t="s">
        <v>1952</v>
      </c>
      <c r="E83" s="270" t="s">
        <v>2028</v>
      </c>
      <c r="F83" s="271">
        <v>250</v>
      </c>
      <c r="G83" s="271"/>
      <c r="H83" s="271">
        <f t="shared" si="1"/>
        <v>250</v>
      </c>
    </row>
    <row r="84" spans="2:8" x14ac:dyDescent="0.2">
      <c r="B84" s="268" t="s">
        <v>1872</v>
      </c>
      <c r="C84" s="269">
        <v>42398</v>
      </c>
      <c r="D84" s="270" t="s">
        <v>1952</v>
      </c>
      <c r="E84" s="270" t="s">
        <v>2028</v>
      </c>
      <c r="F84" s="271">
        <v>100</v>
      </c>
      <c r="G84" s="271"/>
      <c r="H84" s="271">
        <f t="shared" si="1"/>
        <v>100</v>
      </c>
    </row>
    <row r="85" spans="2:8" x14ac:dyDescent="0.2">
      <c r="B85" s="268" t="s">
        <v>1870</v>
      </c>
      <c r="C85" s="269">
        <v>42399</v>
      </c>
      <c r="D85" s="270" t="s">
        <v>1907</v>
      </c>
      <c r="E85" s="270" t="s">
        <v>2029</v>
      </c>
      <c r="F85" s="271">
        <v>160</v>
      </c>
      <c r="G85" s="271"/>
      <c r="H85" s="271">
        <f t="shared" si="1"/>
        <v>160</v>
      </c>
    </row>
    <row r="86" spans="2:8" x14ac:dyDescent="0.2">
      <c r="B86" s="268" t="s">
        <v>1870</v>
      </c>
      <c r="C86" s="269">
        <v>42399</v>
      </c>
      <c r="D86" s="270" t="s">
        <v>1907</v>
      </c>
      <c r="E86" s="270" t="s">
        <v>2030</v>
      </c>
      <c r="F86" s="271">
        <v>35</v>
      </c>
      <c r="G86" s="271"/>
      <c r="H86" s="271">
        <f t="shared" si="1"/>
        <v>35</v>
      </c>
    </row>
    <row r="87" spans="2:8" x14ac:dyDescent="0.2">
      <c r="B87" s="268" t="s">
        <v>1872</v>
      </c>
      <c r="C87" s="269">
        <v>42399</v>
      </c>
      <c r="D87" s="270" t="s">
        <v>1952</v>
      </c>
      <c r="E87" s="270" t="s">
        <v>2028</v>
      </c>
      <c r="F87" s="271">
        <v>400</v>
      </c>
      <c r="G87" s="271"/>
      <c r="H87" s="271">
        <f t="shared" si="1"/>
        <v>400</v>
      </c>
    </row>
    <row r="88" spans="2:8" x14ac:dyDescent="0.2">
      <c r="B88" s="268" t="s">
        <v>1872</v>
      </c>
      <c r="C88" s="269">
        <v>42399</v>
      </c>
      <c r="D88" s="270" t="s">
        <v>2018</v>
      </c>
      <c r="E88" s="270" t="s">
        <v>2031</v>
      </c>
      <c r="F88" s="271">
        <v>500</v>
      </c>
      <c r="G88" s="271"/>
      <c r="H88" s="271">
        <f t="shared" si="1"/>
        <v>500</v>
      </c>
    </row>
    <row r="89" spans="2:8" x14ac:dyDescent="0.2">
      <c r="B89" s="268" t="s">
        <v>1893</v>
      </c>
      <c r="C89" s="269">
        <v>42400</v>
      </c>
      <c r="D89" s="270" t="s">
        <v>1882</v>
      </c>
      <c r="E89" s="270" t="s">
        <v>2032</v>
      </c>
      <c r="F89" s="271">
        <v>450</v>
      </c>
      <c r="G89" s="271"/>
      <c r="H89" s="271">
        <f t="shared" si="1"/>
        <v>450</v>
      </c>
    </row>
    <row r="90" spans="2:8" x14ac:dyDescent="0.2">
      <c r="B90" s="268" t="s">
        <v>1893</v>
      </c>
      <c r="C90" s="269">
        <v>42400</v>
      </c>
      <c r="D90" s="270" t="s">
        <v>1882</v>
      </c>
      <c r="E90" s="270" t="s">
        <v>2033</v>
      </c>
      <c r="F90" s="271">
        <v>100</v>
      </c>
      <c r="G90" s="271"/>
      <c r="H90" s="271">
        <f t="shared" si="1"/>
        <v>100</v>
      </c>
    </row>
    <row r="91" spans="2:8" x14ac:dyDescent="0.2">
      <c r="B91" s="268" t="s">
        <v>1893</v>
      </c>
      <c r="C91" s="269">
        <v>42400</v>
      </c>
      <c r="D91" s="270" t="s">
        <v>1905</v>
      </c>
      <c r="E91" s="270" t="s">
        <v>2034</v>
      </c>
      <c r="F91" s="271">
        <v>650</v>
      </c>
      <c r="G91" s="271"/>
      <c r="H91" s="271">
        <f t="shared" si="1"/>
        <v>650</v>
      </c>
    </row>
    <row r="92" spans="2:8" x14ac:dyDescent="0.2">
      <c r="B92" s="268" t="s">
        <v>1893</v>
      </c>
      <c r="C92" s="269">
        <v>42400</v>
      </c>
      <c r="D92" s="270" t="s">
        <v>1905</v>
      </c>
      <c r="E92" s="270" t="s">
        <v>2035</v>
      </c>
      <c r="F92" s="271">
        <v>100</v>
      </c>
      <c r="G92" s="271"/>
      <c r="H92" s="271">
        <f t="shared" si="1"/>
        <v>100</v>
      </c>
    </row>
    <row r="93" spans="2:8" x14ac:dyDescent="0.2">
      <c r="B93" s="268" t="s">
        <v>1585</v>
      </c>
      <c r="C93" s="269">
        <v>42400</v>
      </c>
      <c r="D93" s="270" t="s">
        <v>1895</v>
      </c>
      <c r="E93" s="270" t="s">
        <v>2036</v>
      </c>
      <c r="F93" s="271">
        <v>2700</v>
      </c>
      <c r="G93" s="271"/>
      <c r="H93" s="271">
        <f t="shared" si="1"/>
        <v>2700</v>
      </c>
    </row>
    <row r="94" spans="2:8" x14ac:dyDescent="0.2">
      <c r="B94" s="268" t="s">
        <v>1585</v>
      </c>
      <c r="C94" s="269">
        <v>42400</v>
      </c>
      <c r="D94" s="270" t="s">
        <v>1908</v>
      </c>
      <c r="E94" s="270" t="s">
        <v>2037</v>
      </c>
      <c r="F94" s="271">
        <v>29000</v>
      </c>
      <c r="G94" s="271"/>
      <c r="H94" s="271">
        <f t="shared" si="1"/>
        <v>29000</v>
      </c>
    </row>
    <row r="95" spans="2:8" x14ac:dyDescent="0.2">
      <c r="B95" s="268" t="s">
        <v>1868</v>
      </c>
      <c r="C95" s="269">
        <v>42400</v>
      </c>
      <c r="D95" s="270" t="s">
        <v>1920</v>
      </c>
      <c r="E95" s="270" t="s">
        <v>1940</v>
      </c>
      <c r="F95" s="271">
        <v>4000</v>
      </c>
      <c r="G95" s="271"/>
      <c r="H95" s="271">
        <f t="shared" si="1"/>
        <v>4000</v>
      </c>
    </row>
    <row r="96" spans="2:8" x14ac:dyDescent="0.2">
      <c r="B96" s="272" t="s">
        <v>1799</v>
      </c>
      <c r="C96" s="333">
        <v>0</v>
      </c>
      <c r="D96" s="274" t="s">
        <v>1918</v>
      </c>
      <c r="E96" s="274" t="s">
        <v>2038</v>
      </c>
      <c r="F96" s="275"/>
      <c r="G96" s="275">
        <v>-1760</v>
      </c>
      <c r="H96" s="275">
        <f t="shared" si="1"/>
        <v>-1760</v>
      </c>
    </row>
    <row r="97" spans="2:8" ht="18" customHeight="1" x14ac:dyDescent="0.2">
      <c r="B97" s="276" t="s">
        <v>1859</v>
      </c>
      <c r="C97" s="276" t="s">
        <v>1860</v>
      </c>
      <c r="D97" s="277" t="s">
        <v>1861</v>
      </c>
      <c r="E97" s="277" t="s">
        <v>1862</v>
      </c>
      <c r="F97" s="278" t="s">
        <v>1863</v>
      </c>
      <c r="G97" s="278" t="s">
        <v>1864</v>
      </c>
      <c r="H97" s="263" t="s">
        <v>1865</v>
      </c>
    </row>
    <row r="98" spans="2:8" x14ac:dyDescent="0.2">
      <c r="B98" s="264" t="s">
        <v>1875</v>
      </c>
      <c r="C98" s="265">
        <v>42402</v>
      </c>
      <c r="D98" s="266" t="s">
        <v>2039</v>
      </c>
      <c r="E98" s="266" t="s">
        <v>1932</v>
      </c>
      <c r="F98" s="267">
        <v>81.03</v>
      </c>
      <c r="G98" s="267">
        <v>12.97</v>
      </c>
      <c r="H98" s="267">
        <f t="shared" si="1"/>
        <v>94</v>
      </c>
    </row>
    <row r="99" spans="2:8" x14ac:dyDescent="0.2">
      <c r="B99" s="268" t="s">
        <v>1874</v>
      </c>
      <c r="C99" s="269">
        <v>42402</v>
      </c>
      <c r="D99" s="270" t="s">
        <v>1946</v>
      </c>
      <c r="E99" s="270" t="s">
        <v>2040</v>
      </c>
      <c r="F99" s="271">
        <v>1000</v>
      </c>
      <c r="G99" s="271"/>
      <c r="H99" s="271">
        <f t="shared" si="1"/>
        <v>1000</v>
      </c>
    </row>
    <row r="100" spans="2:8" x14ac:dyDescent="0.2">
      <c r="B100" s="268" t="s">
        <v>1872</v>
      </c>
      <c r="C100" s="269">
        <v>42402</v>
      </c>
      <c r="D100" s="270" t="s">
        <v>2041</v>
      </c>
      <c r="E100" s="270" t="s">
        <v>2042</v>
      </c>
      <c r="F100" s="271">
        <v>150</v>
      </c>
      <c r="G100" s="271"/>
      <c r="H100" s="271">
        <f t="shared" si="1"/>
        <v>150</v>
      </c>
    </row>
    <row r="101" spans="2:8" x14ac:dyDescent="0.2">
      <c r="B101" s="268" t="s">
        <v>1888</v>
      </c>
      <c r="C101" s="269">
        <v>42402</v>
      </c>
      <c r="D101" s="270" t="s">
        <v>1947</v>
      </c>
      <c r="E101" s="270" t="s">
        <v>2043</v>
      </c>
      <c r="F101" s="271">
        <v>350</v>
      </c>
      <c r="G101" s="271"/>
      <c r="H101" s="271">
        <f t="shared" si="1"/>
        <v>350</v>
      </c>
    </row>
    <row r="102" spans="2:8" x14ac:dyDescent="0.2">
      <c r="B102" s="268" t="s">
        <v>1871</v>
      </c>
      <c r="C102" s="269">
        <v>42402</v>
      </c>
      <c r="D102" s="270" t="s">
        <v>1901</v>
      </c>
      <c r="E102" s="270" t="s">
        <v>2044</v>
      </c>
      <c r="F102" s="271">
        <v>200</v>
      </c>
      <c r="G102" s="271"/>
      <c r="H102" s="271">
        <f t="shared" si="1"/>
        <v>200</v>
      </c>
    </row>
    <row r="103" spans="2:8" x14ac:dyDescent="0.2">
      <c r="B103" s="268" t="s">
        <v>1879</v>
      </c>
      <c r="C103" s="269">
        <v>42402</v>
      </c>
      <c r="D103" s="270" t="s">
        <v>1901</v>
      </c>
      <c r="E103" s="270" t="s">
        <v>2045</v>
      </c>
      <c r="F103" s="271">
        <v>500</v>
      </c>
      <c r="G103" s="271"/>
      <c r="H103" s="271">
        <f t="shared" si="1"/>
        <v>500</v>
      </c>
    </row>
    <row r="104" spans="2:8" x14ac:dyDescent="0.2">
      <c r="B104" s="268" t="s">
        <v>1875</v>
      </c>
      <c r="C104" s="269">
        <v>42403</v>
      </c>
      <c r="D104" s="270" t="s">
        <v>1912</v>
      </c>
      <c r="E104" s="270" t="s">
        <v>2046</v>
      </c>
      <c r="F104" s="271">
        <v>31.97</v>
      </c>
      <c r="G104" s="271">
        <v>3.03</v>
      </c>
      <c r="H104" s="271">
        <f t="shared" si="1"/>
        <v>35</v>
      </c>
    </row>
    <row r="105" spans="2:8" x14ac:dyDescent="0.2">
      <c r="B105" s="268" t="s">
        <v>1874</v>
      </c>
      <c r="C105" s="269">
        <v>42403</v>
      </c>
      <c r="D105" s="270" t="s">
        <v>1946</v>
      </c>
      <c r="E105" s="270" t="s">
        <v>2047</v>
      </c>
      <c r="F105" s="271">
        <v>1000</v>
      </c>
      <c r="G105" s="271"/>
      <c r="H105" s="271">
        <f t="shared" si="1"/>
        <v>1000</v>
      </c>
    </row>
    <row r="106" spans="2:8" x14ac:dyDescent="0.2">
      <c r="B106" s="268" t="s">
        <v>1893</v>
      </c>
      <c r="C106" s="269">
        <v>42403</v>
      </c>
      <c r="D106" s="270" t="s">
        <v>2752</v>
      </c>
      <c r="E106" s="270" t="s">
        <v>2048</v>
      </c>
      <c r="F106" s="271">
        <v>143.30000000000001</v>
      </c>
      <c r="G106" s="271"/>
      <c r="H106" s="271">
        <f t="shared" si="1"/>
        <v>143.30000000000001</v>
      </c>
    </row>
    <row r="107" spans="2:8" x14ac:dyDescent="0.2">
      <c r="B107" s="268" t="s">
        <v>1830</v>
      </c>
      <c r="C107" s="269">
        <v>42403</v>
      </c>
      <c r="D107" s="270" t="s">
        <v>1947</v>
      </c>
      <c r="E107" s="270" t="s">
        <v>2049</v>
      </c>
      <c r="F107" s="271">
        <v>250</v>
      </c>
      <c r="G107" s="271"/>
      <c r="H107" s="271">
        <f t="shared" si="1"/>
        <v>250</v>
      </c>
    </row>
    <row r="108" spans="2:8" x14ac:dyDescent="0.2">
      <c r="B108" s="268" t="s">
        <v>1888</v>
      </c>
      <c r="C108" s="269">
        <v>42403</v>
      </c>
      <c r="D108" s="270" t="s">
        <v>1947</v>
      </c>
      <c r="E108" s="270" t="s">
        <v>2050</v>
      </c>
      <c r="F108" s="271">
        <v>350</v>
      </c>
      <c r="G108" s="271"/>
      <c r="H108" s="271">
        <f t="shared" si="1"/>
        <v>350</v>
      </c>
    </row>
    <row r="109" spans="2:8" x14ac:dyDescent="0.2">
      <c r="B109" s="268" t="s">
        <v>1830</v>
      </c>
      <c r="C109" s="269">
        <v>42404</v>
      </c>
      <c r="D109" s="270" t="s">
        <v>1883</v>
      </c>
      <c r="E109" s="270" t="s">
        <v>2051</v>
      </c>
      <c r="F109" s="271">
        <v>5000</v>
      </c>
      <c r="G109" s="271"/>
      <c r="H109" s="271">
        <f t="shared" si="1"/>
        <v>5000</v>
      </c>
    </row>
    <row r="110" spans="2:8" x14ac:dyDescent="0.2">
      <c r="B110" s="268" t="s">
        <v>1874</v>
      </c>
      <c r="C110" s="269">
        <v>42404</v>
      </c>
      <c r="D110" s="270" t="s">
        <v>2052</v>
      </c>
      <c r="E110" s="270" t="s">
        <v>2053</v>
      </c>
      <c r="F110" s="271">
        <v>300</v>
      </c>
      <c r="G110" s="271"/>
      <c r="H110" s="271">
        <f t="shared" si="1"/>
        <v>300</v>
      </c>
    </row>
    <row r="111" spans="2:8" x14ac:dyDescent="0.2">
      <c r="B111" s="268" t="s">
        <v>1875</v>
      </c>
      <c r="C111" s="269">
        <v>42404</v>
      </c>
      <c r="D111" s="270" t="s">
        <v>1912</v>
      </c>
      <c r="E111" s="270" t="s">
        <v>2054</v>
      </c>
      <c r="F111" s="271">
        <v>45.47</v>
      </c>
      <c r="G111" s="271">
        <v>3.03</v>
      </c>
      <c r="H111" s="271">
        <f t="shared" si="1"/>
        <v>48.5</v>
      </c>
    </row>
    <row r="112" spans="2:8" x14ac:dyDescent="0.2">
      <c r="B112" s="268" t="s">
        <v>1870</v>
      </c>
      <c r="C112" s="269">
        <v>42404</v>
      </c>
      <c r="D112" s="270" t="s">
        <v>1907</v>
      </c>
      <c r="E112" s="270" t="s">
        <v>2055</v>
      </c>
      <c r="F112" s="271">
        <v>180</v>
      </c>
      <c r="G112" s="271"/>
      <c r="H112" s="271">
        <f t="shared" si="1"/>
        <v>180</v>
      </c>
    </row>
    <row r="113" spans="2:8" x14ac:dyDescent="0.2">
      <c r="B113" s="268" t="s">
        <v>1870</v>
      </c>
      <c r="C113" s="269">
        <v>42404</v>
      </c>
      <c r="D113" s="270" t="s">
        <v>1907</v>
      </c>
      <c r="E113" s="270" t="s">
        <v>2030</v>
      </c>
      <c r="F113" s="271">
        <v>35</v>
      </c>
      <c r="G113" s="271"/>
      <c r="H113" s="271">
        <f t="shared" si="1"/>
        <v>35</v>
      </c>
    </row>
    <row r="114" spans="2:8" x14ac:dyDescent="0.2">
      <c r="B114" s="268" t="s">
        <v>1870</v>
      </c>
      <c r="C114" s="269">
        <v>42404</v>
      </c>
      <c r="D114" s="270" t="s">
        <v>1907</v>
      </c>
      <c r="E114" s="270" t="s">
        <v>2056</v>
      </c>
      <c r="F114" s="271">
        <v>130</v>
      </c>
      <c r="G114" s="271"/>
      <c r="H114" s="271">
        <f t="shared" si="1"/>
        <v>130</v>
      </c>
    </row>
    <row r="115" spans="2:8" x14ac:dyDescent="0.2">
      <c r="B115" s="268" t="s">
        <v>1893</v>
      </c>
      <c r="C115" s="269">
        <v>42404</v>
      </c>
      <c r="D115" s="270" t="s">
        <v>1920</v>
      </c>
      <c r="E115" s="270" t="s">
        <v>2057</v>
      </c>
      <c r="F115" s="271">
        <v>88</v>
      </c>
      <c r="G115" s="271"/>
      <c r="H115" s="271">
        <f t="shared" si="1"/>
        <v>88</v>
      </c>
    </row>
    <row r="116" spans="2:8" x14ac:dyDescent="0.2">
      <c r="B116" s="268" t="s">
        <v>1868</v>
      </c>
      <c r="C116" s="269">
        <v>42405</v>
      </c>
      <c r="D116" s="270" t="s">
        <v>1919</v>
      </c>
      <c r="E116" s="270" t="s">
        <v>2058</v>
      </c>
      <c r="F116" s="271">
        <v>1000</v>
      </c>
      <c r="G116" s="271"/>
      <c r="H116" s="271">
        <f t="shared" si="1"/>
        <v>1000</v>
      </c>
    </row>
    <row r="117" spans="2:8" x14ac:dyDescent="0.2">
      <c r="B117" s="268" t="s">
        <v>1875</v>
      </c>
      <c r="C117" s="269">
        <v>42405</v>
      </c>
      <c r="D117" s="270" t="s">
        <v>1899</v>
      </c>
      <c r="E117" s="270" t="s">
        <v>1922</v>
      </c>
      <c r="F117" s="271">
        <v>192</v>
      </c>
      <c r="G117" s="271"/>
      <c r="H117" s="271">
        <f t="shared" si="1"/>
        <v>192</v>
      </c>
    </row>
    <row r="118" spans="2:8" x14ac:dyDescent="0.2">
      <c r="B118" s="268" t="s">
        <v>1874</v>
      </c>
      <c r="C118" s="269">
        <v>42405</v>
      </c>
      <c r="D118" s="270" t="s">
        <v>2059</v>
      </c>
      <c r="E118" s="270" t="s">
        <v>2060</v>
      </c>
      <c r="F118" s="271">
        <v>520</v>
      </c>
      <c r="G118" s="271"/>
      <c r="H118" s="271">
        <f t="shared" si="1"/>
        <v>520</v>
      </c>
    </row>
    <row r="119" spans="2:8" x14ac:dyDescent="0.2">
      <c r="B119" s="268" t="s">
        <v>1893</v>
      </c>
      <c r="C119" s="269">
        <v>42406</v>
      </c>
      <c r="D119" s="270" t="s">
        <v>1898</v>
      </c>
      <c r="E119" s="270" t="s">
        <v>2061</v>
      </c>
      <c r="F119" s="271">
        <v>350</v>
      </c>
      <c r="G119" s="271"/>
      <c r="H119" s="271">
        <f t="shared" si="1"/>
        <v>350</v>
      </c>
    </row>
    <row r="120" spans="2:8" x14ac:dyDescent="0.2">
      <c r="B120" s="268" t="s">
        <v>1875</v>
      </c>
      <c r="C120" s="269">
        <v>42407</v>
      </c>
      <c r="D120" s="270" t="s">
        <v>1920</v>
      </c>
      <c r="E120" s="270" t="s">
        <v>2062</v>
      </c>
      <c r="F120" s="271">
        <v>120</v>
      </c>
      <c r="G120" s="271"/>
      <c r="H120" s="271">
        <f t="shared" si="1"/>
        <v>120</v>
      </c>
    </row>
    <row r="121" spans="2:8" x14ac:dyDescent="0.2">
      <c r="B121" s="268" t="s">
        <v>1893</v>
      </c>
      <c r="C121" s="269">
        <v>42408</v>
      </c>
      <c r="D121" s="270" t="s">
        <v>1936</v>
      </c>
      <c r="E121" s="270" t="s">
        <v>2063</v>
      </c>
      <c r="F121" s="271">
        <v>500</v>
      </c>
      <c r="G121" s="271"/>
      <c r="H121" s="271">
        <f t="shared" si="1"/>
        <v>500</v>
      </c>
    </row>
    <row r="122" spans="2:8" x14ac:dyDescent="0.2">
      <c r="B122" s="268" t="s">
        <v>1879</v>
      </c>
      <c r="C122" s="269">
        <v>42408</v>
      </c>
      <c r="D122" s="270" t="s">
        <v>1947</v>
      </c>
      <c r="E122" s="270" t="s">
        <v>2064</v>
      </c>
      <c r="F122" s="271">
        <v>1400</v>
      </c>
      <c r="G122" s="271"/>
      <c r="H122" s="271">
        <f t="shared" si="1"/>
        <v>1400</v>
      </c>
    </row>
    <row r="123" spans="2:8" x14ac:dyDescent="0.2">
      <c r="B123" s="268" t="s">
        <v>1875</v>
      </c>
      <c r="C123" s="269">
        <v>42408</v>
      </c>
      <c r="D123" s="270" t="s">
        <v>1899</v>
      </c>
      <c r="E123" s="270" t="s">
        <v>1909</v>
      </c>
      <c r="F123" s="271">
        <v>110</v>
      </c>
      <c r="G123" s="271"/>
      <c r="H123" s="271">
        <f t="shared" si="1"/>
        <v>110</v>
      </c>
    </row>
    <row r="124" spans="2:8" x14ac:dyDescent="0.2">
      <c r="B124" s="268" t="s">
        <v>1893</v>
      </c>
      <c r="C124" s="269">
        <v>42408</v>
      </c>
      <c r="D124" s="270" t="s">
        <v>2065</v>
      </c>
      <c r="E124" s="270" t="s">
        <v>2066</v>
      </c>
      <c r="F124" s="271">
        <v>250</v>
      </c>
      <c r="G124" s="271"/>
      <c r="H124" s="271">
        <f t="shared" si="1"/>
        <v>250</v>
      </c>
    </row>
    <row r="125" spans="2:8" x14ac:dyDescent="0.2">
      <c r="B125" s="268" t="s">
        <v>1893</v>
      </c>
      <c r="C125" s="269">
        <v>42409</v>
      </c>
      <c r="D125" s="270" t="s">
        <v>2067</v>
      </c>
      <c r="E125" s="270" t="s">
        <v>2068</v>
      </c>
      <c r="F125" s="271">
        <v>320</v>
      </c>
      <c r="G125" s="271"/>
      <c r="H125" s="271">
        <f t="shared" si="1"/>
        <v>320</v>
      </c>
    </row>
    <row r="126" spans="2:8" x14ac:dyDescent="0.2">
      <c r="B126" s="268" t="s">
        <v>1799</v>
      </c>
      <c r="C126" s="269">
        <v>42409</v>
      </c>
      <c r="D126" s="270" t="s">
        <v>1918</v>
      </c>
      <c r="E126" s="270" t="s">
        <v>2069</v>
      </c>
      <c r="F126" s="271"/>
      <c r="G126" s="271">
        <v>1760</v>
      </c>
      <c r="H126" s="271">
        <f t="shared" si="1"/>
        <v>1760</v>
      </c>
    </row>
    <row r="127" spans="2:8" x14ac:dyDescent="0.2">
      <c r="B127" s="268" t="s">
        <v>1814</v>
      </c>
      <c r="C127" s="269">
        <v>42409</v>
      </c>
      <c r="D127" s="270" t="s">
        <v>1897</v>
      </c>
      <c r="E127" s="270" t="s">
        <v>2070</v>
      </c>
      <c r="F127" s="271">
        <v>1055.17</v>
      </c>
      <c r="G127" s="271">
        <v>168.83</v>
      </c>
      <c r="H127" s="271">
        <f t="shared" si="1"/>
        <v>1224</v>
      </c>
    </row>
    <row r="128" spans="2:8" x14ac:dyDescent="0.2">
      <c r="B128" s="268" t="s">
        <v>1893</v>
      </c>
      <c r="C128" s="269">
        <v>42409</v>
      </c>
      <c r="D128" s="270" t="s">
        <v>2071</v>
      </c>
      <c r="E128" s="270" t="s">
        <v>2072</v>
      </c>
      <c r="F128" s="271">
        <v>45</v>
      </c>
      <c r="G128" s="271"/>
      <c r="H128" s="271">
        <f t="shared" si="1"/>
        <v>45</v>
      </c>
    </row>
    <row r="129" spans="2:8" x14ac:dyDescent="0.2">
      <c r="B129" s="268" t="s">
        <v>1868</v>
      </c>
      <c r="C129" s="269">
        <v>42409</v>
      </c>
      <c r="D129" s="270" t="s">
        <v>1937</v>
      </c>
      <c r="E129" s="270" t="s">
        <v>2073</v>
      </c>
      <c r="F129" s="271">
        <v>100</v>
      </c>
      <c r="G129" s="271"/>
      <c r="H129" s="271">
        <f t="shared" si="1"/>
        <v>100</v>
      </c>
    </row>
    <row r="130" spans="2:8" x14ac:dyDescent="0.2">
      <c r="B130" s="268" t="s">
        <v>1876</v>
      </c>
      <c r="C130" s="269">
        <v>42409</v>
      </c>
      <c r="D130" s="270" t="s">
        <v>1903</v>
      </c>
      <c r="E130" s="270" t="s">
        <v>2074</v>
      </c>
      <c r="F130" s="271">
        <v>997</v>
      </c>
      <c r="G130" s="271"/>
      <c r="H130" s="271">
        <f t="shared" si="1"/>
        <v>997</v>
      </c>
    </row>
    <row r="131" spans="2:8" x14ac:dyDescent="0.2">
      <c r="B131" s="268" t="s">
        <v>1874</v>
      </c>
      <c r="C131" s="269">
        <v>42409</v>
      </c>
      <c r="D131" s="270" t="s">
        <v>1946</v>
      </c>
      <c r="E131" s="270" t="s">
        <v>2075</v>
      </c>
      <c r="F131" s="271">
        <v>1000</v>
      </c>
      <c r="G131" s="271"/>
      <c r="H131" s="271">
        <f t="shared" si="1"/>
        <v>1000</v>
      </c>
    </row>
    <row r="132" spans="2:8" x14ac:dyDescent="0.2">
      <c r="B132" s="268" t="s">
        <v>1870</v>
      </c>
      <c r="C132" s="269">
        <v>42409</v>
      </c>
      <c r="D132" s="270" t="s">
        <v>2076</v>
      </c>
      <c r="E132" s="270" t="s">
        <v>2077</v>
      </c>
      <c r="F132" s="271">
        <v>225</v>
      </c>
      <c r="G132" s="271"/>
      <c r="H132" s="271">
        <f t="shared" si="1"/>
        <v>225</v>
      </c>
    </row>
    <row r="133" spans="2:8" x14ac:dyDescent="0.2">
      <c r="B133" s="268" t="s">
        <v>1886</v>
      </c>
      <c r="C133" s="269">
        <v>42409</v>
      </c>
      <c r="D133" s="270" t="s">
        <v>1949</v>
      </c>
      <c r="E133" s="270" t="s">
        <v>2078</v>
      </c>
      <c r="F133" s="271">
        <v>250</v>
      </c>
      <c r="G133" s="271"/>
      <c r="H133" s="271">
        <f t="shared" ref="H133:H196" si="2">SUM(F133:G133)</f>
        <v>250</v>
      </c>
    </row>
    <row r="134" spans="2:8" x14ac:dyDescent="0.2">
      <c r="B134" s="268" t="s">
        <v>1868</v>
      </c>
      <c r="C134" s="269">
        <v>42409</v>
      </c>
      <c r="D134" s="270" t="s">
        <v>1933</v>
      </c>
      <c r="E134" s="270" t="s">
        <v>1950</v>
      </c>
      <c r="F134" s="271">
        <v>227.91</v>
      </c>
      <c r="G134" s="271">
        <v>35.29</v>
      </c>
      <c r="H134" s="271">
        <f t="shared" si="2"/>
        <v>263.2</v>
      </c>
    </row>
    <row r="135" spans="2:8" x14ac:dyDescent="0.2">
      <c r="B135" s="268" t="s">
        <v>1893</v>
      </c>
      <c r="C135" s="269">
        <v>42410</v>
      </c>
      <c r="D135" s="270" t="s">
        <v>2041</v>
      </c>
      <c r="E135" s="270" t="s">
        <v>2079</v>
      </c>
      <c r="F135" s="271">
        <v>250</v>
      </c>
      <c r="G135" s="271"/>
      <c r="H135" s="271">
        <f t="shared" si="2"/>
        <v>250</v>
      </c>
    </row>
    <row r="136" spans="2:8" x14ac:dyDescent="0.2">
      <c r="B136" s="268" t="s">
        <v>1872</v>
      </c>
      <c r="C136" s="269">
        <v>42410</v>
      </c>
      <c r="D136" s="270" t="s">
        <v>2080</v>
      </c>
      <c r="E136" s="270" t="s">
        <v>2081</v>
      </c>
      <c r="F136" s="271">
        <v>5000</v>
      </c>
      <c r="G136" s="271"/>
      <c r="H136" s="271">
        <f t="shared" si="2"/>
        <v>5000</v>
      </c>
    </row>
    <row r="137" spans="2:8" x14ac:dyDescent="0.2">
      <c r="B137" s="268" t="s">
        <v>1872</v>
      </c>
      <c r="C137" s="269">
        <v>42410</v>
      </c>
      <c r="D137" s="270" t="s">
        <v>2080</v>
      </c>
      <c r="E137" s="270" t="s">
        <v>2082</v>
      </c>
      <c r="F137" s="271">
        <v>1000</v>
      </c>
      <c r="G137" s="271"/>
      <c r="H137" s="271">
        <f t="shared" si="2"/>
        <v>1000</v>
      </c>
    </row>
    <row r="138" spans="2:8" x14ac:dyDescent="0.2">
      <c r="B138" s="268" t="s">
        <v>1893</v>
      </c>
      <c r="C138" s="269">
        <v>42410</v>
      </c>
      <c r="D138" s="270" t="s">
        <v>2090</v>
      </c>
      <c r="E138" s="270" t="s">
        <v>2083</v>
      </c>
      <c r="F138" s="271">
        <v>300</v>
      </c>
      <c r="G138" s="271"/>
      <c r="H138" s="271">
        <f t="shared" si="2"/>
        <v>300</v>
      </c>
    </row>
    <row r="139" spans="2:8" x14ac:dyDescent="0.2">
      <c r="B139" s="268" t="s">
        <v>1869</v>
      </c>
      <c r="C139" s="269">
        <v>42411</v>
      </c>
      <c r="D139" s="270" t="s">
        <v>1900</v>
      </c>
      <c r="E139" s="270" t="s">
        <v>2084</v>
      </c>
      <c r="F139" s="271">
        <v>30.95</v>
      </c>
      <c r="G139" s="271">
        <v>4.95</v>
      </c>
      <c r="H139" s="271">
        <f t="shared" si="2"/>
        <v>35.9</v>
      </c>
    </row>
    <row r="140" spans="2:8" x14ac:dyDescent="0.2">
      <c r="B140" s="268" t="s">
        <v>1875</v>
      </c>
      <c r="C140" s="269">
        <v>42411</v>
      </c>
      <c r="D140" s="270" t="s">
        <v>1912</v>
      </c>
      <c r="E140" s="270" t="s">
        <v>2085</v>
      </c>
      <c r="F140" s="271">
        <v>53.02</v>
      </c>
      <c r="G140" s="271">
        <v>8.48</v>
      </c>
      <c r="H140" s="271">
        <f t="shared" si="2"/>
        <v>61.5</v>
      </c>
    </row>
    <row r="141" spans="2:8" x14ac:dyDescent="0.2">
      <c r="B141" s="268" t="s">
        <v>1868</v>
      </c>
      <c r="C141" s="269">
        <v>42411</v>
      </c>
      <c r="D141" s="270" t="s">
        <v>1919</v>
      </c>
      <c r="E141" s="270" t="s">
        <v>2086</v>
      </c>
      <c r="F141" s="271">
        <v>1000</v>
      </c>
      <c r="G141" s="271"/>
      <c r="H141" s="271">
        <f t="shared" si="2"/>
        <v>1000</v>
      </c>
    </row>
    <row r="142" spans="2:8" x14ac:dyDescent="0.2">
      <c r="B142" s="268" t="s">
        <v>1874</v>
      </c>
      <c r="C142" s="269">
        <v>42411</v>
      </c>
      <c r="D142" s="270" t="s">
        <v>1947</v>
      </c>
      <c r="E142" s="270" t="s">
        <v>2087</v>
      </c>
      <c r="F142" s="271">
        <v>2000</v>
      </c>
      <c r="G142" s="271"/>
      <c r="H142" s="271">
        <f t="shared" si="2"/>
        <v>2000</v>
      </c>
    </row>
    <row r="143" spans="2:8" x14ac:dyDescent="0.2">
      <c r="B143" s="268" t="s">
        <v>1869</v>
      </c>
      <c r="C143" s="269">
        <v>42411</v>
      </c>
      <c r="D143" s="270" t="s">
        <v>1900</v>
      </c>
      <c r="E143" s="270" t="s">
        <v>1917</v>
      </c>
      <c r="F143" s="271">
        <v>647.76</v>
      </c>
      <c r="G143" s="271">
        <v>103.64</v>
      </c>
      <c r="H143" s="271">
        <f t="shared" si="2"/>
        <v>751.4</v>
      </c>
    </row>
    <row r="144" spans="2:8" x14ac:dyDescent="0.2">
      <c r="B144" s="268" t="s">
        <v>1884</v>
      </c>
      <c r="C144" s="269">
        <v>42412</v>
      </c>
      <c r="D144" s="270" t="s">
        <v>1902</v>
      </c>
      <c r="E144" s="270" t="s">
        <v>2088</v>
      </c>
      <c r="F144" s="271">
        <v>233</v>
      </c>
      <c r="G144" s="271">
        <v>37.299999999999997</v>
      </c>
      <c r="H144" s="271">
        <f t="shared" si="2"/>
        <v>270.3</v>
      </c>
    </row>
    <row r="145" spans="2:8" x14ac:dyDescent="0.2">
      <c r="B145" s="268" t="s">
        <v>1884</v>
      </c>
      <c r="C145" s="269">
        <v>42412</v>
      </c>
      <c r="D145" s="270" t="s">
        <v>1934</v>
      </c>
      <c r="E145" s="270" t="s">
        <v>2089</v>
      </c>
      <c r="F145" s="271">
        <v>55</v>
      </c>
      <c r="G145" s="271"/>
      <c r="H145" s="271">
        <f t="shared" si="2"/>
        <v>55</v>
      </c>
    </row>
    <row r="146" spans="2:8" x14ac:dyDescent="0.2">
      <c r="B146" s="268" t="s">
        <v>1893</v>
      </c>
      <c r="C146" s="269">
        <v>42412</v>
      </c>
      <c r="D146" s="270" t="s">
        <v>2090</v>
      </c>
      <c r="E146" s="270" t="s">
        <v>2091</v>
      </c>
      <c r="F146" s="271">
        <v>250</v>
      </c>
      <c r="G146" s="271"/>
      <c r="H146" s="271">
        <f t="shared" si="2"/>
        <v>250</v>
      </c>
    </row>
    <row r="147" spans="2:8" x14ac:dyDescent="0.2">
      <c r="B147" s="268" t="s">
        <v>1874</v>
      </c>
      <c r="C147" s="269">
        <v>42412</v>
      </c>
      <c r="D147" s="270" t="s">
        <v>1946</v>
      </c>
      <c r="E147" s="270" t="s">
        <v>2092</v>
      </c>
      <c r="F147" s="271">
        <v>2000</v>
      </c>
      <c r="G147" s="271"/>
      <c r="H147" s="271">
        <f t="shared" si="2"/>
        <v>2000</v>
      </c>
    </row>
    <row r="148" spans="2:8" x14ac:dyDescent="0.2">
      <c r="B148" s="268" t="s">
        <v>1893</v>
      </c>
      <c r="C148" s="269">
        <v>42412</v>
      </c>
      <c r="D148" s="270" t="s">
        <v>2090</v>
      </c>
      <c r="E148" s="270" t="s">
        <v>2093</v>
      </c>
      <c r="F148" s="271">
        <v>350</v>
      </c>
      <c r="G148" s="271"/>
      <c r="H148" s="271">
        <f t="shared" si="2"/>
        <v>350</v>
      </c>
    </row>
    <row r="149" spans="2:8" x14ac:dyDescent="0.2">
      <c r="B149" s="268" t="s">
        <v>1893</v>
      </c>
      <c r="C149" s="269">
        <v>42414</v>
      </c>
      <c r="D149" s="270" t="s">
        <v>1905</v>
      </c>
      <c r="E149" s="270" t="s">
        <v>2035</v>
      </c>
      <c r="F149" s="271">
        <v>100</v>
      </c>
      <c r="G149" s="271"/>
      <c r="H149" s="271">
        <f t="shared" si="2"/>
        <v>100</v>
      </c>
    </row>
    <row r="150" spans="2:8" x14ac:dyDescent="0.2">
      <c r="B150" s="268" t="s">
        <v>1875</v>
      </c>
      <c r="C150" s="269">
        <v>42414</v>
      </c>
      <c r="D150" s="270" t="s">
        <v>1912</v>
      </c>
      <c r="E150" s="270" t="s">
        <v>2094</v>
      </c>
      <c r="F150" s="271">
        <v>90</v>
      </c>
      <c r="G150" s="271"/>
      <c r="H150" s="271">
        <f t="shared" si="2"/>
        <v>90</v>
      </c>
    </row>
    <row r="151" spans="2:8" x14ac:dyDescent="0.2">
      <c r="B151" s="268" t="s">
        <v>1893</v>
      </c>
      <c r="C151" s="269">
        <v>42414</v>
      </c>
      <c r="D151" s="270" t="s">
        <v>2752</v>
      </c>
      <c r="E151" s="270" t="s">
        <v>2095</v>
      </c>
      <c r="F151" s="271">
        <v>202.52</v>
      </c>
      <c r="G151" s="271"/>
      <c r="H151" s="271">
        <f t="shared" si="2"/>
        <v>202.52</v>
      </c>
    </row>
    <row r="152" spans="2:8" x14ac:dyDescent="0.2">
      <c r="B152" s="268" t="s">
        <v>1893</v>
      </c>
      <c r="C152" s="269">
        <v>42415</v>
      </c>
      <c r="D152" s="270" t="s">
        <v>1882</v>
      </c>
      <c r="E152" s="270" t="s">
        <v>2096</v>
      </c>
      <c r="F152" s="271">
        <v>450</v>
      </c>
      <c r="G152" s="271"/>
      <c r="H152" s="271">
        <f t="shared" si="2"/>
        <v>450</v>
      </c>
    </row>
    <row r="153" spans="2:8" x14ac:dyDescent="0.2">
      <c r="B153" s="268" t="s">
        <v>1875</v>
      </c>
      <c r="C153" s="269">
        <v>42415</v>
      </c>
      <c r="D153" s="270" t="s">
        <v>1899</v>
      </c>
      <c r="E153" s="270" t="s">
        <v>1945</v>
      </c>
      <c r="F153" s="271">
        <v>190</v>
      </c>
      <c r="G153" s="271"/>
      <c r="H153" s="271">
        <f t="shared" si="2"/>
        <v>190</v>
      </c>
    </row>
    <row r="154" spans="2:8" x14ac:dyDescent="0.2">
      <c r="B154" s="268" t="s">
        <v>1872</v>
      </c>
      <c r="C154" s="269">
        <v>42415</v>
      </c>
      <c r="D154" s="270" t="s">
        <v>1898</v>
      </c>
      <c r="E154" s="270" t="s">
        <v>2097</v>
      </c>
      <c r="F154" s="271">
        <v>385</v>
      </c>
      <c r="G154" s="271"/>
      <c r="H154" s="271">
        <f t="shared" si="2"/>
        <v>385</v>
      </c>
    </row>
    <row r="155" spans="2:8" x14ac:dyDescent="0.2">
      <c r="B155" s="268" t="s">
        <v>1875</v>
      </c>
      <c r="C155" s="269">
        <v>42415</v>
      </c>
      <c r="D155" s="270" t="s">
        <v>1912</v>
      </c>
      <c r="E155" s="270" t="s">
        <v>2098</v>
      </c>
      <c r="F155" s="271">
        <v>30.5</v>
      </c>
      <c r="G155" s="271"/>
      <c r="H155" s="271">
        <f t="shared" si="2"/>
        <v>30.5</v>
      </c>
    </row>
    <row r="156" spans="2:8" x14ac:dyDescent="0.2">
      <c r="B156" s="268" t="s">
        <v>1888</v>
      </c>
      <c r="C156" s="269">
        <v>42415</v>
      </c>
      <c r="D156" s="270" t="s">
        <v>1947</v>
      </c>
      <c r="E156" s="270" t="s">
        <v>2099</v>
      </c>
      <c r="F156" s="271">
        <v>350</v>
      </c>
      <c r="G156" s="271"/>
      <c r="H156" s="271">
        <f t="shared" si="2"/>
        <v>350</v>
      </c>
    </row>
    <row r="157" spans="2:8" x14ac:dyDescent="0.2">
      <c r="B157" s="268" t="s">
        <v>1585</v>
      </c>
      <c r="C157" s="269">
        <v>42415</v>
      </c>
      <c r="D157" s="270" t="s">
        <v>1895</v>
      </c>
      <c r="E157" s="270" t="s">
        <v>2100</v>
      </c>
      <c r="F157" s="271">
        <v>2700</v>
      </c>
      <c r="G157" s="271"/>
      <c r="H157" s="271">
        <f t="shared" si="2"/>
        <v>2700</v>
      </c>
    </row>
    <row r="158" spans="2:8" x14ac:dyDescent="0.2">
      <c r="B158" s="268" t="s">
        <v>1585</v>
      </c>
      <c r="C158" s="269">
        <v>42415</v>
      </c>
      <c r="D158" s="270" t="s">
        <v>1908</v>
      </c>
      <c r="E158" s="270" t="s">
        <v>2101</v>
      </c>
      <c r="F158" s="271">
        <v>29000</v>
      </c>
      <c r="G158" s="271"/>
      <c r="H158" s="271">
        <f t="shared" si="2"/>
        <v>29000</v>
      </c>
    </row>
    <row r="159" spans="2:8" x14ac:dyDescent="0.2">
      <c r="B159" s="268" t="s">
        <v>1868</v>
      </c>
      <c r="C159" s="269">
        <v>42415</v>
      </c>
      <c r="D159" s="270" t="s">
        <v>1920</v>
      </c>
      <c r="E159" s="270" t="s">
        <v>1944</v>
      </c>
      <c r="F159" s="271">
        <v>4000</v>
      </c>
      <c r="G159" s="271"/>
      <c r="H159" s="271">
        <f t="shared" si="2"/>
        <v>4000</v>
      </c>
    </row>
    <row r="160" spans="2:8" x14ac:dyDescent="0.2">
      <c r="B160" s="268" t="s">
        <v>1888</v>
      </c>
      <c r="C160" s="269">
        <v>42416</v>
      </c>
      <c r="D160" s="270" t="s">
        <v>1947</v>
      </c>
      <c r="E160" s="270" t="s">
        <v>2102</v>
      </c>
      <c r="F160" s="271">
        <v>550</v>
      </c>
      <c r="G160" s="271"/>
      <c r="H160" s="271">
        <f t="shared" si="2"/>
        <v>550</v>
      </c>
    </row>
    <row r="161" spans="2:8" x14ac:dyDescent="0.2">
      <c r="B161" s="268" t="s">
        <v>1893</v>
      </c>
      <c r="C161" s="269">
        <v>42416</v>
      </c>
      <c r="D161" s="270" t="s">
        <v>1898</v>
      </c>
      <c r="E161" s="270" t="s">
        <v>2103</v>
      </c>
      <c r="F161" s="271">
        <v>400</v>
      </c>
      <c r="G161" s="271"/>
      <c r="H161" s="271">
        <f t="shared" si="2"/>
        <v>400</v>
      </c>
    </row>
    <row r="162" spans="2:8" x14ac:dyDescent="0.2">
      <c r="B162" s="268" t="s">
        <v>1893</v>
      </c>
      <c r="C162" s="269">
        <v>42416</v>
      </c>
      <c r="D162" s="270" t="s">
        <v>1898</v>
      </c>
      <c r="E162" s="270" t="s">
        <v>2104</v>
      </c>
      <c r="F162" s="271">
        <v>250</v>
      </c>
      <c r="G162" s="271"/>
      <c r="H162" s="271">
        <f t="shared" si="2"/>
        <v>250</v>
      </c>
    </row>
    <row r="163" spans="2:8" x14ac:dyDescent="0.2">
      <c r="B163" s="268" t="s">
        <v>1879</v>
      </c>
      <c r="C163" s="269">
        <v>42416</v>
      </c>
      <c r="D163" s="270" t="s">
        <v>1947</v>
      </c>
      <c r="E163" s="270" t="s">
        <v>2105</v>
      </c>
      <c r="F163" s="271">
        <v>400</v>
      </c>
      <c r="G163" s="271"/>
      <c r="H163" s="271">
        <f t="shared" si="2"/>
        <v>400</v>
      </c>
    </row>
    <row r="164" spans="2:8" x14ac:dyDescent="0.2">
      <c r="B164" s="268" t="s">
        <v>1893</v>
      </c>
      <c r="C164" s="269">
        <v>42417</v>
      </c>
      <c r="D164" s="270" t="s">
        <v>1924</v>
      </c>
      <c r="E164" s="270" t="s">
        <v>2106</v>
      </c>
      <c r="F164" s="271">
        <v>500</v>
      </c>
      <c r="G164" s="271"/>
      <c r="H164" s="271">
        <f t="shared" si="2"/>
        <v>500</v>
      </c>
    </row>
    <row r="165" spans="2:8" x14ac:dyDescent="0.2">
      <c r="B165" s="268" t="s">
        <v>1893</v>
      </c>
      <c r="C165" s="269">
        <v>42417</v>
      </c>
      <c r="D165" s="270" t="s">
        <v>1924</v>
      </c>
      <c r="E165" s="270" t="s">
        <v>2106</v>
      </c>
      <c r="F165" s="271">
        <v>500</v>
      </c>
      <c r="G165" s="271"/>
      <c r="H165" s="271">
        <f t="shared" si="2"/>
        <v>500</v>
      </c>
    </row>
    <row r="166" spans="2:8" x14ac:dyDescent="0.2">
      <c r="B166" s="268" t="s">
        <v>1869</v>
      </c>
      <c r="C166" s="269">
        <v>42417</v>
      </c>
      <c r="D166" s="270" t="s">
        <v>1900</v>
      </c>
      <c r="E166" s="270" t="s">
        <v>2107</v>
      </c>
      <c r="F166" s="271">
        <v>269.66000000000003</v>
      </c>
      <c r="G166" s="271">
        <v>43.14</v>
      </c>
      <c r="H166" s="271">
        <f t="shared" si="2"/>
        <v>312.8</v>
      </c>
    </row>
    <row r="167" spans="2:8" x14ac:dyDescent="0.2">
      <c r="B167" s="268" t="s">
        <v>1869</v>
      </c>
      <c r="C167" s="269">
        <v>42417</v>
      </c>
      <c r="D167" s="270" t="s">
        <v>1900</v>
      </c>
      <c r="E167" s="270" t="s">
        <v>2108</v>
      </c>
      <c r="F167" s="271">
        <v>772.24</v>
      </c>
      <c r="G167" s="271">
        <v>123.56</v>
      </c>
      <c r="H167" s="271">
        <f t="shared" si="2"/>
        <v>895.8</v>
      </c>
    </row>
    <row r="168" spans="2:8" x14ac:dyDescent="0.2">
      <c r="B168" s="268" t="s">
        <v>1868</v>
      </c>
      <c r="C168" s="269">
        <v>42418</v>
      </c>
      <c r="D168" s="270" t="s">
        <v>1928</v>
      </c>
      <c r="E168" s="270" t="s">
        <v>2109</v>
      </c>
      <c r="F168" s="271">
        <v>273</v>
      </c>
      <c r="G168" s="271"/>
      <c r="H168" s="271">
        <f t="shared" si="2"/>
        <v>273</v>
      </c>
    </row>
    <row r="169" spans="2:8" x14ac:dyDescent="0.2">
      <c r="B169" s="268" t="s">
        <v>1868</v>
      </c>
      <c r="C169" s="269">
        <v>42418</v>
      </c>
      <c r="D169" s="270" t="s">
        <v>1928</v>
      </c>
      <c r="E169" s="270" t="s">
        <v>1926</v>
      </c>
      <c r="F169" s="271">
        <v>40</v>
      </c>
      <c r="G169" s="271"/>
      <c r="H169" s="271">
        <f t="shared" si="2"/>
        <v>40</v>
      </c>
    </row>
    <row r="170" spans="2:8" x14ac:dyDescent="0.2">
      <c r="B170" s="268" t="s">
        <v>1893</v>
      </c>
      <c r="C170" s="269">
        <v>42418</v>
      </c>
      <c r="D170" s="270" t="s">
        <v>1898</v>
      </c>
      <c r="E170" s="270" t="s">
        <v>2110</v>
      </c>
      <c r="F170" s="271">
        <v>300</v>
      </c>
      <c r="G170" s="271"/>
      <c r="H170" s="271">
        <f t="shared" si="2"/>
        <v>300</v>
      </c>
    </row>
    <row r="171" spans="2:8" x14ac:dyDescent="0.2">
      <c r="B171" s="268" t="s">
        <v>1893</v>
      </c>
      <c r="C171" s="269">
        <v>42418</v>
      </c>
      <c r="D171" s="270" t="s">
        <v>1905</v>
      </c>
      <c r="E171" s="270" t="s">
        <v>1942</v>
      </c>
      <c r="F171" s="271">
        <v>150</v>
      </c>
      <c r="G171" s="271"/>
      <c r="H171" s="271">
        <f t="shared" si="2"/>
        <v>150</v>
      </c>
    </row>
    <row r="172" spans="2:8" x14ac:dyDescent="0.2">
      <c r="B172" s="268" t="s">
        <v>1879</v>
      </c>
      <c r="C172" s="269">
        <v>42419</v>
      </c>
      <c r="D172" s="270" t="s">
        <v>1947</v>
      </c>
      <c r="E172" s="270" t="s">
        <v>2111</v>
      </c>
      <c r="F172" s="271">
        <v>100</v>
      </c>
      <c r="G172" s="271"/>
      <c r="H172" s="271">
        <f t="shared" si="2"/>
        <v>100</v>
      </c>
    </row>
    <row r="173" spans="2:8" x14ac:dyDescent="0.2">
      <c r="B173" s="268" t="s">
        <v>1893</v>
      </c>
      <c r="C173" s="269">
        <v>42419</v>
      </c>
      <c r="D173" s="270" t="s">
        <v>2112</v>
      </c>
      <c r="E173" s="270" t="s">
        <v>2113</v>
      </c>
      <c r="F173" s="271">
        <v>350</v>
      </c>
      <c r="G173" s="271"/>
      <c r="H173" s="271">
        <f t="shared" si="2"/>
        <v>350</v>
      </c>
    </row>
    <row r="174" spans="2:8" x14ac:dyDescent="0.2">
      <c r="B174" s="268" t="s">
        <v>1888</v>
      </c>
      <c r="C174" s="269">
        <v>42419</v>
      </c>
      <c r="D174" s="270" t="s">
        <v>1947</v>
      </c>
      <c r="E174" s="270" t="s">
        <v>2114</v>
      </c>
      <c r="F174" s="271">
        <v>350</v>
      </c>
      <c r="G174" s="271"/>
      <c r="H174" s="271">
        <f t="shared" si="2"/>
        <v>350</v>
      </c>
    </row>
    <row r="175" spans="2:8" x14ac:dyDescent="0.2">
      <c r="B175" s="268" t="s">
        <v>1879</v>
      </c>
      <c r="C175" s="269">
        <v>42419</v>
      </c>
      <c r="D175" s="270" t="s">
        <v>1947</v>
      </c>
      <c r="E175" s="270" t="s">
        <v>2115</v>
      </c>
      <c r="F175" s="271">
        <v>1500</v>
      </c>
      <c r="G175" s="271"/>
      <c r="H175" s="271">
        <f t="shared" si="2"/>
        <v>1500</v>
      </c>
    </row>
    <row r="176" spans="2:8" x14ac:dyDescent="0.2">
      <c r="B176" s="268" t="s">
        <v>1875</v>
      </c>
      <c r="C176" s="269">
        <v>42419</v>
      </c>
      <c r="D176" s="270" t="s">
        <v>1899</v>
      </c>
      <c r="E176" s="270" t="s">
        <v>1923</v>
      </c>
      <c r="F176" s="271">
        <v>110</v>
      </c>
      <c r="G176" s="271"/>
      <c r="H176" s="271">
        <f t="shared" si="2"/>
        <v>110</v>
      </c>
    </row>
    <row r="177" spans="2:8" x14ac:dyDescent="0.2">
      <c r="B177" s="268" t="s">
        <v>1868</v>
      </c>
      <c r="C177" s="269">
        <v>42419</v>
      </c>
      <c r="D177" s="270" t="s">
        <v>1919</v>
      </c>
      <c r="E177" s="270" t="s">
        <v>2116</v>
      </c>
      <c r="F177" s="271">
        <v>1000</v>
      </c>
      <c r="G177" s="271"/>
      <c r="H177" s="271">
        <f t="shared" si="2"/>
        <v>1000</v>
      </c>
    </row>
    <row r="178" spans="2:8" x14ac:dyDescent="0.2">
      <c r="B178" s="268" t="s">
        <v>1868</v>
      </c>
      <c r="C178" s="269">
        <v>42419</v>
      </c>
      <c r="D178" s="270" t="s">
        <v>1919</v>
      </c>
      <c r="E178" s="270" t="s">
        <v>2117</v>
      </c>
      <c r="F178" s="271">
        <v>400</v>
      </c>
      <c r="G178" s="271"/>
      <c r="H178" s="271">
        <f t="shared" si="2"/>
        <v>400</v>
      </c>
    </row>
    <row r="179" spans="2:8" x14ac:dyDescent="0.2">
      <c r="B179" s="268" t="s">
        <v>1884</v>
      </c>
      <c r="C179" s="269">
        <v>42419</v>
      </c>
      <c r="D179" s="270" t="s">
        <v>1902</v>
      </c>
      <c r="E179" s="270" t="s">
        <v>2118</v>
      </c>
      <c r="F179" s="271">
        <v>421.33</v>
      </c>
      <c r="G179" s="271">
        <v>67.459999999999994</v>
      </c>
      <c r="H179" s="271">
        <f t="shared" si="2"/>
        <v>488.78999999999996</v>
      </c>
    </row>
    <row r="180" spans="2:8" x14ac:dyDescent="0.2">
      <c r="B180" s="268" t="s">
        <v>1884</v>
      </c>
      <c r="C180" s="269">
        <v>42419</v>
      </c>
      <c r="D180" s="270" t="s">
        <v>1934</v>
      </c>
      <c r="E180" s="270" t="s">
        <v>2119</v>
      </c>
      <c r="F180" s="271">
        <v>20</v>
      </c>
      <c r="G180" s="271"/>
      <c r="H180" s="271">
        <f t="shared" si="2"/>
        <v>20</v>
      </c>
    </row>
    <row r="181" spans="2:8" x14ac:dyDescent="0.2">
      <c r="B181" s="268" t="s">
        <v>1868</v>
      </c>
      <c r="C181" s="269">
        <v>42420</v>
      </c>
      <c r="D181" s="270" t="s">
        <v>1933</v>
      </c>
      <c r="E181" s="270" t="s">
        <v>2120</v>
      </c>
      <c r="F181" s="271">
        <v>227.91</v>
      </c>
      <c r="G181" s="271">
        <v>35.29</v>
      </c>
      <c r="H181" s="271">
        <f t="shared" si="2"/>
        <v>263.2</v>
      </c>
    </row>
    <row r="182" spans="2:8" x14ac:dyDescent="0.2">
      <c r="B182" s="268" t="s">
        <v>1875</v>
      </c>
      <c r="C182" s="269">
        <v>42421</v>
      </c>
      <c r="D182" s="270" t="s">
        <v>1912</v>
      </c>
      <c r="E182" s="270" t="s">
        <v>2062</v>
      </c>
      <c r="F182" s="271">
        <v>63</v>
      </c>
      <c r="G182" s="271"/>
      <c r="H182" s="271">
        <f t="shared" si="2"/>
        <v>63</v>
      </c>
    </row>
    <row r="183" spans="2:8" x14ac:dyDescent="0.2">
      <c r="B183" s="268" t="s">
        <v>1869</v>
      </c>
      <c r="C183" s="269">
        <v>42421</v>
      </c>
      <c r="D183" s="270" t="s">
        <v>1900</v>
      </c>
      <c r="E183" s="270" t="s">
        <v>2121</v>
      </c>
      <c r="F183" s="271">
        <v>68.28</v>
      </c>
      <c r="G183" s="271">
        <v>10.92</v>
      </c>
      <c r="H183" s="271">
        <f t="shared" si="2"/>
        <v>79.2</v>
      </c>
    </row>
    <row r="184" spans="2:8" x14ac:dyDescent="0.2">
      <c r="B184" s="268" t="s">
        <v>1875</v>
      </c>
      <c r="C184" s="269">
        <v>42422</v>
      </c>
      <c r="D184" s="270" t="s">
        <v>1899</v>
      </c>
      <c r="E184" s="270" t="s">
        <v>1909</v>
      </c>
      <c r="F184" s="271">
        <v>110</v>
      </c>
      <c r="G184" s="271"/>
      <c r="H184" s="271">
        <f t="shared" si="2"/>
        <v>110</v>
      </c>
    </row>
    <row r="185" spans="2:8" x14ac:dyDescent="0.2">
      <c r="B185" s="268" t="s">
        <v>1868</v>
      </c>
      <c r="C185" s="269">
        <v>42422</v>
      </c>
      <c r="D185" s="270" t="s">
        <v>1606</v>
      </c>
      <c r="E185" s="270" t="s">
        <v>2122</v>
      </c>
      <c r="F185" s="271">
        <v>20</v>
      </c>
      <c r="G185" s="271"/>
      <c r="H185" s="271">
        <f t="shared" si="2"/>
        <v>20</v>
      </c>
    </row>
    <row r="186" spans="2:8" x14ac:dyDescent="0.2">
      <c r="B186" s="268" t="s">
        <v>1874</v>
      </c>
      <c r="C186" s="269">
        <v>42424</v>
      </c>
      <c r="D186" s="270" t="s">
        <v>1946</v>
      </c>
      <c r="E186" s="270" t="s">
        <v>2123</v>
      </c>
      <c r="F186" s="271">
        <v>1200</v>
      </c>
      <c r="G186" s="271"/>
      <c r="H186" s="271">
        <f t="shared" si="2"/>
        <v>1200</v>
      </c>
    </row>
    <row r="187" spans="2:8" x14ac:dyDescent="0.2">
      <c r="B187" s="268" t="s">
        <v>1871</v>
      </c>
      <c r="C187" s="269">
        <v>42424</v>
      </c>
      <c r="D187" s="270" t="s">
        <v>1947</v>
      </c>
      <c r="E187" s="270" t="s">
        <v>2124</v>
      </c>
      <c r="F187" s="271">
        <v>360</v>
      </c>
      <c r="G187" s="271"/>
      <c r="H187" s="271">
        <f t="shared" si="2"/>
        <v>360</v>
      </c>
    </row>
    <row r="188" spans="2:8" x14ac:dyDescent="0.2">
      <c r="B188" s="268" t="s">
        <v>1874</v>
      </c>
      <c r="C188" s="269">
        <v>42425</v>
      </c>
      <c r="D188" s="270" t="s">
        <v>1946</v>
      </c>
      <c r="E188" s="270" t="s">
        <v>2125</v>
      </c>
      <c r="F188" s="271">
        <v>1500</v>
      </c>
      <c r="G188" s="271"/>
      <c r="H188" s="271">
        <f t="shared" si="2"/>
        <v>1500</v>
      </c>
    </row>
    <row r="189" spans="2:8" x14ac:dyDescent="0.2">
      <c r="B189" s="268" t="s">
        <v>1874</v>
      </c>
      <c r="C189" s="269">
        <v>42425</v>
      </c>
      <c r="D189" s="270" t="s">
        <v>1946</v>
      </c>
      <c r="E189" s="270" t="s">
        <v>2126</v>
      </c>
      <c r="F189" s="271">
        <v>400</v>
      </c>
      <c r="G189" s="271"/>
      <c r="H189" s="271">
        <f t="shared" si="2"/>
        <v>400</v>
      </c>
    </row>
    <row r="190" spans="2:8" x14ac:dyDescent="0.2">
      <c r="B190" s="268" t="s">
        <v>1875</v>
      </c>
      <c r="C190" s="269">
        <v>42426</v>
      </c>
      <c r="D190" s="270" t="s">
        <v>1899</v>
      </c>
      <c r="E190" s="270" t="s">
        <v>1909</v>
      </c>
      <c r="F190" s="271">
        <v>110</v>
      </c>
      <c r="G190" s="271"/>
      <c r="H190" s="271">
        <f t="shared" si="2"/>
        <v>110</v>
      </c>
    </row>
    <row r="191" spans="2:8" x14ac:dyDescent="0.2">
      <c r="B191" s="268" t="s">
        <v>1868</v>
      </c>
      <c r="C191" s="269">
        <v>43522</v>
      </c>
      <c r="D191" s="270" t="s">
        <v>1919</v>
      </c>
      <c r="E191" s="270" t="s">
        <v>2127</v>
      </c>
      <c r="F191" s="271">
        <v>1000</v>
      </c>
      <c r="G191" s="271"/>
      <c r="H191" s="271">
        <f t="shared" si="2"/>
        <v>1000</v>
      </c>
    </row>
    <row r="192" spans="2:8" x14ac:dyDescent="0.2">
      <c r="B192" s="268" t="s">
        <v>1893</v>
      </c>
      <c r="C192" s="269">
        <v>43522</v>
      </c>
      <c r="D192" s="270" t="s">
        <v>1915</v>
      </c>
      <c r="E192" s="270" t="s">
        <v>2128</v>
      </c>
      <c r="F192" s="271">
        <v>925</v>
      </c>
      <c r="G192" s="271"/>
      <c r="H192" s="271">
        <f t="shared" si="2"/>
        <v>925</v>
      </c>
    </row>
    <row r="193" spans="2:8" x14ac:dyDescent="0.2">
      <c r="B193" s="268" t="s">
        <v>1893</v>
      </c>
      <c r="C193" s="269">
        <v>42428</v>
      </c>
      <c r="D193" s="270" t="s">
        <v>1905</v>
      </c>
      <c r="E193" s="270" t="s">
        <v>2129</v>
      </c>
      <c r="F193" s="271">
        <v>100</v>
      </c>
      <c r="G193" s="271"/>
      <c r="H193" s="271">
        <f t="shared" si="2"/>
        <v>100</v>
      </c>
    </row>
    <row r="194" spans="2:8" x14ac:dyDescent="0.2">
      <c r="B194" s="268" t="s">
        <v>1893</v>
      </c>
      <c r="C194" s="269">
        <v>42429</v>
      </c>
      <c r="D194" s="270" t="s">
        <v>1882</v>
      </c>
      <c r="E194" s="270" t="s">
        <v>2130</v>
      </c>
      <c r="F194" s="271">
        <v>450</v>
      </c>
      <c r="G194" s="271"/>
      <c r="H194" s="271">
        <f t="shared" si="2"/>
        <v>450</v>
      </c>
    </row>
    <row r="195" spans="2:8" x14ac:dyDescent="0.2">
      <c r="B195" s="268" t="s">
        <v>1893</v>
      </c>
      <c r="C195" s="269">
        <v>42429</v>
      </c>
      <c r="D195" s="270" t="s">
        <v>1905</v>
      </c>
      <c r="E195" s="270" t="s">
        <v>2131</v>
      </c>
      <c r="F195" s="271">
        <v>650</v>
      </c>
      <c r="G195" s="271"/>
      <c r="H195" s="271">
        <f t="shared" si="2"/>
        <v>650</v>
      </c>
    </row>
    <row r="196" spans="2:8" x14ac:dyDescent="0.2">
      <c r="B196" s="268" t="s">
        <v>1875</v>
      </c>
      <c r="C196" s="269">
        <v>42429</v>
      </c>
      <c r="D196" s="270" t="s">
        <v>1899</v>
      </c>
      <c r="E196" s="270" t="s">
        <v>1909</v>
      </c>
      <c r="F196" s="271">
        <v>110</v>
      </c>
      <c r="G196" s="271"/>
      <c r="H196" s="271">
        <f t="shared" si="2"/>
        <v>110</v>
      </c>
    </row>
    <row r="197" spans="2:8" x14ac:dyDescent="0.2">
      <c r="B197" s="268" t="s">
        <v>1875</v>
      </c>
      <c r="C197" s="269">
        <v>42429</v>
      </c>
      <c r="D197" s="270" t="s">
        <v>1912</v>
      </c>
      <c r="E197" s="270" t="s">
        <v>2132</v>
      </c>
      <c r="F197" s="271">
        <v>39.659999999999997</v>
      </c>
      <c r="G197" s="271">
        <v>6.34</v>
      </c>
      <c r="H197" s="271">
        <f t="shared" ref="H197:H260" si="3">SUM(F197:G197)</f>
        <v>46</v>
      </c>
    </row>
    <row r="198" spans="2:8" x14ac:dyDescent="0.2">
      <c r="B198" s="268" t="s">
        <v>1875</v>
      </c>
      <c r="C198" s="269">
        <v>42429</v>
      </c>
      <c r="D198" s="270" t="s">
        <v>1912</v>
      </c>
      <c r="E198" s="270" t="s">
        <v>2132</v>
      </c>
      <c r="F198" s="271">
        <v>90.95</v>
      </c>
      <c r="G198" s="271">
        <v>14.55</v>
      </c>
      <c r="H198" s="271">
        <f t="shared" si="3"/>
        <v>105.5</v>
      </c>
    </row>
    <row r="199" spans="2:8" x14ac:dyDescent="0.2">
      <c r="B199" s="268" t="s">
        <v>1868</v>
      </c>
      <c r="C199" s="269">
        <v>42429</v>
      </c>
      <c r="D199" s="270" t="s">
        <v>1919</v>
      </c>
      <c r="E199" s="270" t="s">
        <v>2133</v>
      </c>
      <c r="F199" s="271">
        <v>800</v>
      </c>
      <c r="G199" s="271"/>
      <c r="H199" s="271">
        <f t="shared" si="3"/>
        <v>800</v>
      </c>
    </row>
    <row r="200" spans="2:8" x14ac:dyDescent="0.2">
      <c r="B200" s="268" t="s">
        <v>1585</v>
      </c>
      <c r="C200" s="269">
        <v>42429</v>
      </c>
      <c r="D200" s="270" t="s">
        <v>1895</v>
      </c>
      <c r="E200" s="270" t="s">
        <v>2100</v>
      </c>
      <c r="F200" s="271">
        <v>2700</v>
      </c>
      <c r="G200" s="271"/>
      <c r="H200" s="271">
        <f t="shared" si="3"/>
        <v>2700</v>
      </c>
    </row>
    <row r="201" spans="2:8" x14ac:dyDescent="0.2">
      <c r="B201" s="268" t="s">
        <v>1585</v>
      </c>
      <c r="C201" s="269">
        <v>42429</v>
      </c>
      <c r="D201" s="270" t="s">
        <v>1908</v>
      </c>
      <c r="E201" s="270" t="s">
        <v>2101</v>
      </c>
      <c r="F201" s="271">
        <v>29000</v>
      </c>
      <c r="G201" s="271"/>
      <c r="H201" s="271">
        <f t="shared" si="3"/>
        <v>29000</v>
      </c>
    </row>
    <row r="202" spans="2:8" x14ac:dyDescent="0.2">
      <c r="B202" s="268" t="s">
        <v>1868</v>
      </c>
      <c r="C202" s="269">
        <v>42429</v>
      </c>
      <c r="D202" s="270" t="s">
        <v>1920</v>
      </c>
      <c r="E202" s="270" t="s">
        <v>1944</v>
      </c>
      <c r="F202" s="271">
        <v>4000</v>
      </c>
      <c r="G202" s="271"/>
      <c r="H202" s="271">
        <f t="shared" si="3"/>
        <v>4000</v>
      </c>
    </row>
    <row r="203" spans="2:8" x14ac:dyDescent="0.2">
      <c r="B203" s="268" t="s">
        <v>1799</v>
      </c>
      <c r="C203" s="332">
        <v>42419</v>
      </c>
      <c r="D203" s="270" t="s">
        <v>1918</v>
      </c>
      <c r="E203" s="270" t="s">
        <v>2038</v>
      </c>
      <c r="F203" s="271"/>
      <c r="G203" s="271">
        <v>-1760</v>
      </c>
      <c r="H203" s="271">
        <f t="shared" si="3"/>
        <v>-1760</v>
      </c>
    </row>
    <row r="204" spans="2:8" x14ac:dyDescent="0.2">
      <c r="B204" s="272" t="s">
        <v>1896</v>
      </c>
      <c r="C204" s="273">
        <v>42419</v>
      </c>
      <c r="D204" s="274" t="s">
        <v>1541</v>
      </c>
      <c r="E204" s="274" t="s">
        <v>1539</v>
      </c>
      <c r="F204" s="275">
        <v>-0.28999999999999998</v>
      </c>
      <c r="G204" s="275"/>
      <c r="H204" s="275">
        <f t="shared" si="3"/>
        <v>-0.28999999999999998</v>
      </c>
    </row>
    <row r="205" spans="2:8" ht="18" customHeight="1" x14ac:dyDescent="0.2">
      <c r="B205" s="276" t="s">
        <v>1859</v>
      </c>
      <c r="C205" s="276" t="s">
        <v>1860</v>
      </c>
      <c r="D205" s="277" t="s">
        <v>1861</v>
      </c>
      <c r="E205" s="277" t="s">
        <v>1862</v>
      </c>
      <c r="F205" s="278" t="s">
        <v>1863</v>
      </c>
      <c r="G205" s="278" t="s">
        <v>1864</v>
      </c>
      <c r="H205" s="263" t="s">
        <v>1865</v>
      </c>
    </row>
    <row r="206" spans="2:8" x14ac:dyDescent="0.2">
      <c r="B206" s="264" t="s">
        <v>1888</v>
      </c>
      <c r="C206" s="265">
        <v>42431</v>
      </c>
      <c r="D206" s="266" t="s">
        <v>1947</v>
      </c>
      <c r="E206" s="266" t="s">
        <v>2134</v>
      </c>
      <c r="F206" s="267">
        <v>700</v>
      </c>
      <c r="G206" s="267"/>
      <c r="H206" s="267">
        <f t="shared" si="3"/>
        <v>700</v>
      </c>
    </row>
    <row r="207" spans="2:8" x14ac:dyDescent="0.2">
      <c r="B207" s="268" t="s">
        <v>1893</v>
      </c>
      <c r="C207" s="269">
        <v>42432</v>
      </c>
      <c r="D207" s="270" t="s">
        <v>2135</v>
      </c>
      <c r="E207" s="270" t="s">
        <v>2136</v>
      </c>
      <c r="F207" s="271">
        <v>200</v>
      </c>
      <c r="G207" s="271"/>
      <c r="H207" s="271">
        <f t="shared" si="3"/>
        <v>200</v>
      </c>
    </row>
    <row r="208" spans="2:8" x14ac:dyDescent="0.2">
      <c r="B208" s="268" t="s">
        <v>1869</v>
      </c>
      <c r="C208" s="269">
        <v>42432</v>
      </c>
      <c r="D208" s="270" t="s">
        <v>1935</v>
      </c>
      <c r="E208" s="270" t="s">
        <v>2137</v>
      </c>
      <c r="F208" s="271">
        <v>130</v>
      </c>
      <c r="G208" s="271"/>
      <c r="H208" s="271">
        <f t="shared" si="3"/>
        <v>130</v>
      </c>
    </row>
    <row r="209" spans="2:8" x14ac:dyDescent="0.2">
      <c r="B209" s="268" t="s">
        <v>1893</v>
      </c>
      <c r="C209" s="269">
        <v>42432</v>
      </c>
      <c r="D209" s="270" t="s">
        <v>1920</v>
      </c>
      <c r="E209" s="270" t="s">
        <v>2138</v>
      </c>
      <c r="F209" s="271">
        <v>60</v>
      </c>
      <c r="G209" s="271"/>
      <c r="H209" s="271">
        <f t="shared" si="3"/>
        <v>60</v>
      </c>
    </row>
    <row r="210" spans="2:8" x14ac:dyDescent="0.2">
      <c r="B210" s="268" t="s">
        <v>1869</v>
      </c>
      <c r="C210" s="269">
        <v>42432</v>
      </c>
      <c r="D210" s="270" t="s">
        <v>1900</v>
      </c>
      <c r="E210" s="270" t="s">
        <v>2139</v>
      </c>
      <c r="F210" s="271">
        <v>219</v>
      </c>
      <c r="G210" s="271"/>
      <c r="H210" s="271">
        <f t="shared" si="3"/>
        <v>219</v>
      </c>
    </row>
    <row r="211" spans="2:8" x14ac:dyDescent="0.2">
      <c r="B211" s="268" t="s">
        <v>1893</v>
      </c>
      <c r="C211" s="269">
        <v>42433</v>
      </c>
      <c r="D211" s="270" t="s">
        <v>1924</v>
      </c>
      <c r="E211" s="270" t="s">
        <v>2140</v>
      </c>
      <c r="F211" s="271">
        <v>400</v>
      </c>
      <c r="G211" s="271"/>
      <c r="H211" s="271">
        <f t="shared" si="3"/>
        <v>400</v>
      </c>
    </row>
    <row r="212" spans="2:8" x14ac:dyDescent="0.2">
      <c r="B212" s="268" t="s">
        <v>1875</v>
      </c>
      <c r="C212" s="269">
        <v>42433</v>
      </c>
      <c r="D212" s="270" t="s">
        <v>1912</v>
      </c>
      <c r="E212" s="270" t="s">
        <v>2141</v>
      </c>
      <c r="F212" s="271">
        <v>73.900000000000006</v>
      </c>
      <c r="G212" s="271"/>
      <c r="H212" s="271">
        <f t="shared" si="3"/>
        <v>73.900000000000006</v>
      </c>
    </row>
    <row r="213" spans="2:8" x14ac:dyDescent="0.2">
      <c r="B213" s="268" t="s">
        <v>1875</v>
      </c>
      <c r="C213" s="269">
        <v>42404</v>
      </c>
      <c r="D213" s="270" t="s">
        <v>1899</v>
      </c>
      <c r="E213" s="270" t="s">
        <v>1909</v>
      </c>
      <c r="F213" s="271">
        <v>110</v>
      </c>
      <c r="G213" s="271"/>
      <c r="H213" s="271">
        <f t="shared" si="3"/>
        <v>110</v>
      </c>
    </row>
    <row r="214" spans="2:8" x14ac:dyDescent="0.2">
      <c r="B214" s="268" t="s">
        <v>1869</v>
      </c>
      <c r="C214" s="269">
        <v>42433</v>
      </c>
      <c r="D214" s="270" t="s">
        <v>1935</v>
      </c>
      <c r="E214" s="270" t="s">
        <v>2142</v>
      </c>
      <c r="F214" s="271">
        <v>161</v>
      </c>
      <c r="G214" s="271"/>
      <c r="H214" s="271">
        <f t="shared" si="3"/>
        <v>161</v>
      </c>
    </row>
    <row r="215" spans="2:8" x14ac:dyDescent="0.2">
      <c r="B215" s="268" t="s">
        <v>1875</v>
      </c>
      <c r="C215" s="269">
        <v>42433</v>
      </c>
      <c r="D215" s="270" t="s">
        <v>1899</v>
      </c>
      <c r="E215" s="270" t="s">
        <v>1911</v>
      </c>
      <c r="F215" s="271">
        <v>40</v>
      </c>
      <c r="G215" s="271"/>
      <c r="H215" s="271">
        <f t="shared" si="3"/>
        <v>40</v>
      </c>
    </row>
    <row r="216" spans="2:8" x14ac:dyDescent="0.2">
      <c r="B216" s="268" t="s">
        <v>1876</v>
      </c>
      <c r="C216" s="269">
        <v>42433</v>
      </c>
      <c r="D216" s="270" t="s">
        <v>1903</v>
      </c>
      <c r="E216" s="270" t="s">
        <v>2143</v>
      </c>
      <c r="F216" s="271">
        <v>984</v>
      </c>
      <c r="G216" s="271"/>
      <c r="H216" s="271">
        <f t="shared" si="3"/>
        <v>984</v>
      </c>
    </row>
    <row r="217" spans="2:8" x14ac:dyDescent="0.2">
      <c r="B217" s="268" t="s">
        <v>1893</v>
      </c>
      <c r="C217" s="269">
        <v>42433</v>
      </c>
      <c r="D217" s="270" t="s">
        <v>2144</v>
      </c>
      <c r="E217" s="270" t="s">
        <v>2145</v>
      </c>
      <c r="F217" s="271">
        <v>20</v>
      </c>
      <c r="G217" s="271"/>
      <c r="H217" s="271">
        <f t="shared" si="3"/>
        <v>20</v>
      </c>
    </row>
    <row r="218" spans="2:8" x14ac:dyDescent="0.2">
      <c r="B218" s="268" t="s">
        <v>1868</v>
      </c>
      <c r="C218" s="269">
        <v>42433</v>
      </c>
      <c r="D218" s="270" t="s">
        <v>1919</v>
      </c>
      <c r="E218" s="270" t="s">
        <v>2146</v>
      </c>
      <c r="F218" s="271">
        <v>1000</v>
      </c>
      <c r="G218" s="271"/>
      <c r="H218" s="271">
        <f t="shared" si="3"/>
        <v>1000</v>
      </c>
    </row>
    <row r="219" spans="2:8" x14ac:dyDescent="0.2">
      <c r="B219" s="268" t="s">
        <v>1893</v>
      </c>
      <c r="C219" s="269">
        <v>42433</v>
      </c>
      <c r="D219" s="270" t="s">
        <v>1887</v>
      </c>
      <c r="E219" s="270" t="s">
        <v>2147</v>
      </c>
      <c r="F219" s="271">
        <v>70</v>
      </c>
      <c r="G219" s="271"/>
      <c r="H219" s="271">
        <f t="shared" si="3"/>
        <v>70</v>
      </c>
    </row>
    <row r="220" spans="2:8" x14ac:dyDescent="0.2">
      <c r="B220" s="268" t="s">
        <v>1874</v>
      </c>
      <c r="C220" s="269">
        <v>42433</v>
      </c>
      <c r="D220" s="270" t="s">
        <v>1946</v>
      </c>
      <c r="E220" s="270" t="s">
        <v>2148</v>
      </c>
      <c r="F220" s="271">
        <v>900</v>
      </c>
      <c r="G220" s="271"/>
      <c r="H220" s="271">
        <f t="shared" si="3"/>
        <v>900</v>
      </c>
    </row>
    <row r="221" spans="2:8" x14ac:dyDescent="0.2">
      <c r="B221" s="268" t="s">
        <v>1893</v>
      </c>
      <c r="C221" s="269">
        <v>42434</v>
      </c>
      <c r="D221" s="270" t="s">
        <v>1924</v>
      </c>
      <c r="E221" s="270" t="s">
        <v>2140</v>
      </c>
      <c r="F221" s="271">
        <v>400</v>
      </c>
      <c r="G221" s="271"/>
      <c r="H221" s="271">
        <f t="shared" si="3"/>
        <v>400</v>
      </c>
    </row>
    <row r="222" spans="2:8" x14ac:dyDescent="0.2">
      <c r="B222" s="268" t="s">
        <v>1870</v>
      </c>
      <c r="C222" s="269">
        <v>42434</v>
      </c>
      <c r="D222" s="270" t="s">
        <v>1990</v>
      </c>
      <c r="E222" s="270" t="s">
        <v>2149</v>
      </c>
      <c r="F222" s="271">
        <v>330</v>
      </c>
      <c r="G222" s="271"/>
      <c r="H222" s="271">
        <f t="shared" si="3"/>
        <v>330</v>
      </c>
    </row>
    <row r="223" spans="2:8" x14ac:dyDescent="0.2">
      <c r="B223" s="268" t="s">
        <v>1870</v>
      </c>
      <c r="C223" s="269">
        <v>42435</v>
      </c>
      <c r="D223" s="270" t="s">
        <v>1907</v>
      </c>
      <c r="E223" s="270" t="s">
        <v>2150</v>
      </c>
      <c r="F223" s="271">
        <v>72</v>
      </c>
      <c r="G223" s="271"/>
      <c r="H223" s="271">
        <f t="shared" si="3"/>
        <v>72</v>
      </c>
    </row>
    <row r="224" spans="2:8" x14ac:dyDescent="0.2">
      <c r="B224" s="268" t="s">
        <v>1893</v>
      </c>
      <c r="C224" s="269">
        <v>42435</v>
      </c>
      <c r="D224" s="270" t="s">
        <v>1905</v>
      </c>
      <c r="E224" s="270" t="s">
        <v>2151</v>
      </c>
      <c r="F224" s="271">
        <v>150</v>
      </c>
      <c r="G224" s="271"/>
      <c r="H224" s="271">
        <f t="shared" si="3"/>
        <v>150</v>
      </c>
    </row>
    <row r="225" spans="2:8" x14ac:dyDescent="0.2">
      <c r="B225" s="268" t="s">
        <v>1893</v>
      </c>
      <c r="C225" s="269">
        <v>42435</v>
      </c>
      <c r="D225" s="270" t="s">
        <v>1912</v>
      </c>
      <c r="E225" s="270" t="s">
        <v>2152</v>
      </c>
      <c r="F225" s="271">
        <v>150</v>
      </c>
      <c r="G225" s="271"/>
      <c r="H225" s="271">
        <f t="shared" si="3"/>
        <v>150</v>
      </c>
    </row>
    <row r="226" spans="2:8" x14ac:dyDescent="0.2">
      <c r="B226" s="268" t="s">
        <v>1879</v>
      </c>
      <c r="C226" s="269">
        <v>42436</v>
      </c>
      <c r="D226" s="270" t="s">
        <v>1947</v>
      </c>
      <c r="E226" s="270" t="s">
        <v>2153</v>
      </c>
      <c r="F226" s="271">
        <v>600</v>
      </c>
      <c r="G226" s="271"/>
      <c r="H226" s="271">
        <f t="shared" si="3"/>
        <v>600</v>
      </c>
    </row>
    <row r="227" spans="2:8" x14ac:dyDescent="0.2">
      <c r="B227" s="268" t="s">
        <v>1871</v>
      </c>
      <c r="C227" s="269">
        <v>42436</v>
      </c>
      <c r="D227" s="270" t="s">
        <v>1947</v>
      </c>
      <c r="E227" s="270" t="s">
        <v>2154</v>
      </c>
      <c r="F227" s="271">
        <v>2050</v>
      </c>
      <c r="G227" s="271"/>
      <c r="H227" s="271">
        <f t="shared" si="3"/>
        <v>2050</v>
      </c>
    </row>
    <row r="228" spans="2:8" x14ac:dyDescent="0.2">
      <c r="B228" s="268" t="s">
        <v>1893</v>
      </c>
      <c r="C228" s="269">
        <v>42436</v>
      </c>
      <c r="D228" s="270" t="s">
        <v>1921</v>
      </c>
      <c r="E228" s="270" t="s">
        <v>2155</v>
      </c>
      <c r="F228" s="271">
        <v>263.2</v>
      </c>
      <c r="G228" s="271"/>
      <c r="H228" s="271">
        <f t="shared" si="3"/>
        <v>263.2</v>
      </c>
    </row>
    <row r="229" spans="2:8" x14ac:dyDescent="0.2">
      <c r="B229" s="268" t="s">
        <v>1871</v>
      </c>
      <c r="C229" s="269">
        <v>42436</v>
      </c>
      <c r="D229" s="270" t="s">
        <v>2156</v>
      </c>
      <c r="E229" s="270" t="s">
        <v>2157</v>
      </c>
      <c r="F229" s="271">
        <v>5861.21</v>
      </c>
      <c r="G229" s="271">
        <v>937.79</v>
      </c>
      <c r="H229" s="271">
        <f t="shared" si="3"/>
        <v>6799</v>
      </c>
    </row>
    <row r="230" spans="2:8" x14ac:dyDescent="0.2">
      <c r="B230" s="268" t="s">
        <v>1893</v>
      </c>
      <c r="C230" s="269">
        <v>42436</v>
      </c>
      <c r="D230" s="270" t="s">
        <v>1927</v>
      </c>
      <c r="E230" s="270" t="s">
        <v>2158</v>
      </c>
      <c r="F230" s="271">
        <v>25</v>
      </c>
      <c r="G230" s="271"/>
      <c r="H230" s="271">
        <f t="shared" si="3"/>
        <v>25</v>
      </c>
    </row>
    <row r="231" spans="2:8" x14ac:dyDescent="0.2">
      <c r="B231" s="268" t="s">
        <v>1875</v>
      </c>
      <c r="C231" s="269">
        <v>42436</v>
      </c>
      <c r="D231" s="270" t="s">
        <v>1920</v>
      </c>
      <c r="E231" s="270" t="s">
        <v>2159</v>
      </c>
      <c r="F231" s="271">
        <v>30</v>
      </c>
      <c r="G231" s="271"/>
      <c r="H231" s="271">
        <f t="shared" si="3"/>
        <v>30</v>
      </c>
    </row>
    <row r="232" spans="2:8" x14ac:dyDescent="0.2">
      <c r="B232" s="268" t="s">
        <v>1875</v>
      </c>
      <c r="C232" s="269">
        <v>42436</v>
      </c>
      <c r="D232" s="270" t="s">
        <v>1912</v>
      </c>
      <c r="E232" s="270" t="s">
        <v>2152</v>
      </c>
      <c r="F232" s="271">
        <v>72</v>
      </c>
      <c r="G232" s="271"/>
      <c r="H232" s="271">
        <f t="shared" si="3"/>
        <v>72</v>
      </c>
    </row>
    <row r="233" spans="2:8" x14ac:dyDescent="0.2">
      <c r="B233" s="268" t="s">
        <v>1799</v>
      </c>
      <c r="C233" s="269">
        <v>42438</v>
      </c>
      <c r="D233" s="270" t="s">
        <v>1918</v>
      </c>
      <c r="E233" s="270" t="s">
        <v>2160</v>
      </c>
      <c r="F233" s="271"/>
      <c r="G233" s="271">
        <v>1760</v>
      </c>
      <c r="H233" s="271">
        <f t="shared" si="3"/>
        <v>1760</v>
      </c>
    </row>
    <row r="234" spans="2:8" x14ac:dyDescent="0.2">
      <c r="B234" s="268" t="s">
        <v>1814</v>
      </c>
      <c r="C234" s="269">
        <v>42438</v>
      </c>
      <c r="D234" s="270" t="s">
        <v>1897</v>
      </c>
      <c r="E234" s="270" t="s">
        <v>2161</v>
      </c>
      <c r="F234" s="271">
        <v>1055.17</v>
      </c>
      <c r="G234" s="271">
        <v>168.83</v>
      </c>
      <c r="H234" s="271">
        <f t="shared" si="3"/>
        <v>1224</v>
      </c>
    </row>
    <row r="235" spans="2:8" x14ac:dyDescent="0.2">
      <c r="B235" s="268" t="s">
        <v>1814</v>
      </c>
      <c r="C235" s="269">
        <v>42438</v>
      </c>
      <c r="D235" s="270" t="s">
        <v>1920</v>
      </c>
      <c r="E235" s="270" t="s">
        <v>2162</v>
      </c>
      <c r="F235" s="271">
        <v>100</v>
      </c>
      <c r="G235" s="271"/>
      <c r="H235" s="271">
        <f t="shared" si="3"/>
        <v>100</v>
      </c>
    </row>
    <row r="236" spans="2:8" x14ac:dyDescent="0.2">
      <c r="B236" s="268" t="s">
        <v>1875</v>
      </c>
      <c r="C236" s="269">
        <v>42438</v>
      </c>
      <c r="D236" s="270" t="s">
        <v>1899</v>
      </c>
      <c r="E236" s="270" t="s">
        <v>1909</v>
      </c>
      <c r="F236" s="271">
        <v>110</v>
      </c>
      <c r="G236" s="271"/>
      <c r="H236" s="271">
        <f t="shared" si="3"/>
        <v>110</v>
      </c>
    </row>
    <row r="237" spans="2:8" x14ac:dyDescent="0.2">
      <c r="B237" s="268" t="s">
        <v>1869</v>
      </c>
      <c r="C237" s="269">
        <v>42438</v>
      </c>
      <c r="D237" s="270" t="s">
        <v>1935</v>
      </c>
      <c r="E237" s="270" t="s">
        <v>2163</v>
      </c>
      <c r="F237" s="271">
        <v>180</v>
      </c>
      <c r="G237" s="271"/>
      <c r="H237" s="271">
        <f t="shared" si="3"/>
        <v>180</v>
      </c>
    </row>
    <row r="238" spans="2:8" x14ac:dyDescent="0.2">
      <c r="B238" s="268" t="s">
        <v>1893</v>
      </c>
      <c r="C238" s="269">
        <v>42439</v>
      </c>
      <c r="D238" s="270" t="s">
        <v>2041</v>
      </c>
      <c r="E238" s="270" t="s">
        <v>2164</v>
      </c>
      <c r="F238" s="271">
        <v>450</v>
      </c>
      <c r="G238" s="271"/>
      <c r="H238" s="271">
        <f t="shared" si="3"/>
        <v>450</v>
      </c>
    </row>
    <row r="239" spans="2:8" x14ac:dyDescent="0.2">
      <c r="B239" s="268" t="s">
        <v>1893</v>
      </c>
      <c r="C239" s="269">
        <v>42439</v>
      </c>
      <c r="D239" s="270" t="s">
        <v>2165</v>
      </c>
      <c r="E239" s="270" t="s">
        <v>2166</v>
      </c>
      <c r="F239" s="271">
        <v>300</v>
      </c>
      <c r="G239" s="271"/>
      <c r="H239" s="271">
        <f t="shared" si="3"/>
        <v>300</v>
      </c>
    </row>
    <row r="240" spans="2:8" x14ac:dyDescent="0.2">
      <c r="B240" s="268" t="s">
        <v>1893</v>
      </c>
      <c r="C240" s="269">
        <v>42439</v>
      </c>
      <c r="D240" s="270" t="s">
        <v>2167</v>
      </c>
      <c r="E240" s="270" t="s">
        <v>2168</v>
      </c>
      <c r="F240" s="271">
        <v>2000</v>
      </c>
      <c r="G240" s="271"/>
      <c r="H240" s="271">
        <f t="shared" si="3"/>
        <v>2000</v>
      </c>
    </row>
    <row r="241" spans="2:8" x14ac:dyDescent="0.2">
      <c r="B241" s="268" t="s">
        <v>1893</v>
      </c>
      <c r="C241" s="269">
        <v>42439</v>
      </c>
      <c r="D241" s="270" t="s">
        <v>2169</v>
      </c>
      <c r="E241" s="270" t="s">
        <v>2170</v>
      </c>
      <c r="F241" s="271">
        <v>99.22</v>
      </c>
      <c r="G241" s="271"/>
      <c r="H241" s="271">
        <f t="shared" si="3"/>
        <v>99.22</v>
      </c>
    </row>
    <row r="242" spans="2:8" x14ac:dyDescent="0.2">
      <c r="B242" s="268" t="s">
        <v>1893</v>
      </c>
      <c r="C242" s="269">
        <v>42439</v>
      </c>
      <c r="D242" s="270" t="s">
        <v>2171</v>
      </c>
      <c r="E242" s="270" t="s">
        <v>2172</v>
      </c>
      <c r="F242" s="271">
        <v>5</v>
      </c>
      <c r="G242" s="271"/>
      <c r="H242" s="271">
        <f t="shared" si="3"/>
        <v>5</v>
      </c>
    </row>
    <row r="243" spans="2:8" x14ac:dyDescent="0.2">
      <c r="B243" s="268" t="s">
        <v>1868</v>
      </c>
      <c r="C243" s="269">
        <v>42440</v>
      </c>
      <c r="D243" s="270" t="s">
        <v>1919</v>
      </c>
      <c r="E243" s="270" t="s">
        <v>2173</v>
      </c>
      <c r="F243" s="271">
        <v>1000</v>
      </c>
      <c r="G243" s="271"/>
      <c r="H243" s="271">
        <f t="shared" si="3"/>
        <v>1000</v>
      </c>
    </row>
    <row r="244" spans="2:8" x14ac:dyDescent="0.2">
      <c r="B244" s="268" t="s">
        <v>1875</v>
      </c>
      <c r="C244" s="269">
        <v>42440</v>
      </c>
      <c r="D244" s="270" t="s">
        <v>1899</v>
      </c>
      <c r="E244" s="270" t="s">
        <v>1910</v>
      </c>
      <c r="F244" s="271">
        <v>80</v>
      </c>
      <c r="G244" s="271"/>
      <c r="H244" s="271">
        <f t="shared" si="3"/>
        <v>80</v>
      </c>
    </row>
    <row r="245" spans="2:8" x14ac:dyDescent="0.2">
      <c r="B245" s="268" t="s">
        <v>1869</v>
      </c>
      <c r="C245" s="269">
        <v>42440</v>
      </c>
      <c r="D245" s="270" t="s">
        <v>2174</v>
      </c>
      <c r="E245" s="270" t="s">
        <v>1953</v>
      </c>
      <c r="F245" s="271">
        <v>31</v>
      </c>
      <c r="G245" s="271"/>
      <c r="H245" s="271">
        <f t="shared" si="3"/>
        <v>31</v>
      </c>
    </row>
    <row r="246" spans="2:8" x14ac:dyDescent="0.2">
      <c r="B246" s="268" t="s">
        <v>1874</v>
      </c>
      <c r="C246" s="269">
        <v>42440</v>
      </c>
      <c r="D246" s="270" t="s">
        <v>2175</v>
      </c>
      <c r="E246" s="270" t="s">
        <v>2176</v>
      </c>
      <c r="F246" s="271">
        <v>115.65</v>
      </c>
      <c r="G246" s="271">
        <v>18.350000000000001</v>
      </c>
      <c r="H246" s="271">
        <f t="shared" si="3"/>
        <v>134</v>
      </c>
    </row>
    <row r="247" spans="2:8" x14ac:dyDescent="0.2">
      <c r="B247" s="268" t="s">
        <v>1893</v>
      </c>
      <c r="C247" s="269">
        <v>42440</v>
      </c>
      <c r="D247" s="270" t="s">
        <v>1921</v>
      </c>
      <c r="E247" s="270" t="s">
        <v>2177</v>
      </c>
      <c r="F247" s="271">
        <v>227.91</v>
      </c>
      <c r="G247" s="271">
        <v>35.29</v>
      </c>
      <c r="H247" s="271">
        <f t="shared" si="3"/>
        <v>263.2</v>
      </c>
    </row>
    <row r="248" spans="2:8" x14ac:dyDescent="0.2">
      <c r="B248" s="268">
        <v>0</v>
      </c>
      <c r="C248" s="269">
        <v>42440</v>
      </c>
      <c r="D248" s="270" t="s">
        <v>1947</v>
      </c>
      <c r="E248" s="270" t="s">
        <v>2178</v>
      </c>
      <c r="F248" s="271">
        <v>1050</v>
      </c>
      <c r="G248" s="271"/>
      <c r="H248" s="271">
        <f t="shared" si="3"/>
        <v>1050</v>
      </c>
    </row>
    <row r="249" spans="2:8" x14ac:dyDescent="0.2">
      <c r="B249" s="268" t="s">
        <v>1871</v>
      </c>
      <c r="C249" s="269">
        <v>42440</v>
      </c>
      <c r="D249" s="270" t="s">
        <v>1947</v>
      </c>
      <c r="E249" s="270" t="s">
        <v>2179</v>
      </c>
      <c r="F249" s="271">
        <v>1000</v>
      </c>
      <c r="G249" s="271"/>
      <c r="H249" s="271">
        <f t="shared" si="3"/>
        <v>1000</v>
      </c>
    </row>
    <row r="250" spans="2:8" x14ac:dyDescent="0.2">
      <c r="B250" s="268" t="s">
        <v>1874</v>
      </c>
      <c r="C250" s="269">
        <v>42440</v>
      </c>
      <c r="D250" s="270" t="s">
        <v>1946</v>
      </c>
      <c r="E250" s="270" t="s">
        <v>2180</v>
      </c>
      <c r="F250" s="271">
        <v>2900</v>
      </c>
      <c r="G250" s="271"/>
      <c r="H250" s="271">
        <f t="shared" si="3"/>
        <v>2900</v>
      </c>
    </row>
    <row r="251" spans="2:8" x14ac:dyDescent="0.2">
      <c r="B251" s="268" t="s">
        <v>1874</v>
      </c>
      <c r="C251" s="269">
        <v>42440</v>
      </c>
      <c r="D251" s="270" t="s">
        <v>1946</v>
      </c>
      <c r="E251" s="270" t="s">
        <v>2181</v>
      </c>
      <c r="F251" s="271">
        <v>600</v>
      </c>
      <c r="G251" s="271"/>
      <c r="H251" s="271">
        <f t="shared" si="3"/>
        <v>600</v>
      </c>
    </row>
    <row r="252" spans="2:8" x14ac:dyDescent="0.2">
      <c r="B252" s="268" t="s">
        <v>1893</v>
      </c>
      <c r="C252" s="269">
        <v>42441</v>
      </c>
      <c r="D252" s="270" t="s">
        <v>1924</v>
      </c>
      <c r="E252" s="270" t="s">
        <v>2182</v>
      </c>
      <c r="F252" s="271">
        <v>500</v>
      </c>
      <c r="G252" s="271"/>
      <c r="H252" s="271">
        <f t="shared" si="3"/>
        <v>500</v>
      </c>
    </row>
    <row r="253" spans="2:8" x14ac:dyDescent="0.2">
      <c r="B253" s="268" t="s">
        <v>1893</v>
      </c>
      <c r="C253" s="269">
        <v>42441</v>
      </c>
      <c r="D253" s="270" t="s">
        <v>1924</v>
      </c>
      <c r="E253" s="270" t="s">
        <v>2182</v>
      </c>
      <c r="F253" s="271">
        <v>500</v>
      </c>
      <c r="G253" s="271"/>
      <c r="H253" s="271">
        <f t="shared" si="3"/>
        <v>500</v>
      </c>
    </row>
    <row r="254" spans="2:8" x14ac:dyDescent="0.2">
      <c r="B254" s="268" t="s">
        <v>1893</v>
      </c>
      <c r="C254" s="269">
        <v>42441</v>
      </c>
      <c r="D254" s="270" t="s">
        <v>1906</v>
      </c>
      <c r="E254" s="270" t="s">
        <v>2183</v>
      </c>
      <c r="F254" s="271">
        <v>500</v>
      </c>
      <c r="G254" s="271"/>
      <c r="H254" s="271">
        <f t="shared" si="3"/>
        <v>500</v>
      </c>
    </row>
    <row r="255" spans="2:8" x14ac:dyDescent="0.2">
      <c r="B255" s="268" t="s">
        <v>1893</v>
      </c>
      <c r="C255" s="269">
        <v>42441</v>
      </c>
      <c r="D255" s="270" t="s">
        <v>1906</v>
      </c>
      <c r="E255" s="270" t="s">
        <v>2184</v>
      </c>
      <c r="F255" s="271">
        <v>200</v>
      </c>
      <c r="G255" s="271"/>
      <c r="H255" s="271">
        <f t="shared" si="3"/>
        <v>200</v>
      </c>
    </row>
    <row r="256" spans="2:8" x14ac:dyDescent="0.2">
      <c r="B256" s="268" t="s">
        <v>1879</v>
      </c>
      <c r="C256" s="269">
        <v>42441</v>
      </c>
      <c r="D256" s="270" t="s">
        <v>1947</v>
      </c>
      <c r="E256" s="270" t="s">
        <v>2185</v>
      </c>
      <c r="F256" s="271">
        <v>800</v>
      </c>
      <c r="G256" s="271"/>
      <c r="H256" s="271">
        <f t="shared" si="3"/>
        <v>800</v>
      </c>
    </row>
    <row r="257" spans="2:8" x14ac:dyDescent="0.2">
      <c r="B257" s="268" t="s">
        <v>1879</v>
      </c>
      <c r="C257" s="269">
        <v>42441</v>
      </c>
      <c r="D257" s="270" t="s">
        <v>1947</v>
      </c>
      <c r="E257" s="270" t="s">
        <v>2186</v>
      </c>
      <c r="F257" s="271">
        <v>800</v>
      </c>
      <c r="G257" s="271"/>
      <c r="H257" s="271">
        <f t="shared" si="3"/>
        <v>800</v>
      </c>
    </row>
    <row r="258" spans="2:8" x14ac:dyDescent="0.2">
      <c r="B258" s="268" t="s">
        <v>1893</v>
      </c>
      <c r="C258" s="269">
        <v>42441</v>
      </c>
      <c r="D258" s="270" t="s">
        <v>2167</v>
      </c>
      <c r="E258" s="270" t="s">
        <v>2187</v>
      </c>
      <c r="F258" s="271">
        <v>2300</v>
      </c>
      <c r="G258" s="271"/>
      <c r="H258" s="271">
        <f t="shared" si="3"/>
        <v>2300</v>
      </c>
    </row>
    <row r="259" spans="2:8" x14ac:dyDescent="0.2">
      <c r="B259" s="268" t="s">
        <v>1893</v>
      </c>
      <c r="C259" s="269">
        <v>42441</v>
      </c>
      <c r="D259" s="270" t="s">
        <v>1905</v>
      </c>
      <c r="E259" s="270" t="s">
        <v>2188</v>
      </c>
      <c r="F259" s="271">
        <v>100</v>
      </c>
      <c r="G259" s="271"/>
      <c r="H259" s="271">
        <f t="shared" si="3"/>
        <v>100</v>
      </c>
    </row>
    <row r="260" spans="2:8" x14ac:dyDescent="0.2">
      <c r="B260" s="268" t="s">
        <v>1884</v>
      </c>
      <c r="C260" s="269">
        <v>42442</v>
      </c>
      <c r="D260" s="270" t="s">
        <v>1902</v>
      </c>
      <c r="E260" s="270" t="s">
        <v>2189</v>
      </c>
      <c r="F260" s="271">
        <v>79.5</v>
      </c>
      <c r="G260" s="271"/>
      <c r="H260" s="271">
        <f t="shared" si="3"/>
        <v>79.5</v>
      </c>
    </row>
    <row r="261" spans="2:8" x14ac:dyDescent="0.2">
      <c r="B261" s="268" t="s">
        <v>1875</v>
      </c>
      <c r="C261" s="269">
        <v>42442</v>
      </c>
      <c r="D261" s="270" t="s">
        <v>1912</v>
      </c>
      <c r="E261" s="270" t="s">
        <v>2190</v>
      </c>
      <c r="F261" s="271">
        <v>115.5</v>
      </c>
      <c r="G261" s="271"/>
      <c r="H261" s="271">
        <f t="shared" ref="H261:H324" si="4">SUM(F261:G261)</f>
        <v>115.5</v>
      </c>
    </row>
    <row r="262" spans="2:8" x14ac:dyDescent="0.2">
      <c r="B262" s="268" t="s">
        <v>1893</v>
      </c>
      <c r="C262" s="269">
        <v>42443</v>
      </c>
      <c r="D262" s="270" t="s">
        <v>1928</v>
      </c>
      <c r="E262" s="270" t="s">
        <v>1929</v>
      </c>
      <c r="F262" s="271">
        <v>128</v>
      </c>
      <c r="G262" s="271"/>
      <c r="H262" s="271">
        <f t="shared" si="4"/>
        <v>128</v>
      </c>
    </row>
    <row r="263" spans="2:8" x14ac:dyDescent="0.2">
      <c r="B263" s="268" t="s">
        <v>1893</v>
      </c>
      <c r="C263" s="269">
        <v>42443</v>
      </c>
      <c r="D263" s="270" t="s">
        <v>1927</v>
      </c>
      <c r="E263" s="270" t="s">
        <v>2191</v>
      </c>
      <c r="F263" s="271">
        <v>30</v>
      </c>
      <c r="G263" s="271"/>
      <c r="H263" s="271">
        <f t="shared" si="4"/>
        <v>30</v>
      </c>
    </row>
    <row r="264" spans="2:8" x14ac:dyDescent="0.2">
      <c r="B264" s="268" t="s">
        <v>1875</v>
      </c>
      <c r="C264" s="269">
        <v>42443</v>
      </c>
      <c r="D264" s="270" t="s">
        <v>1899</v>
      </c>
      <c r="E264" s="270" t="s">
        <v>1913</v>
      </c>
      <c r="F264" s="271">
        <v>142</v>
      </c>
      <c r="G264" s="271"/>
      <c r="H264" s="271">
        <f t="shared" si="4"/>
        <v>142</v>
      </c>
    </row>
    <row r="265" spans="2:8" x14ac:dyDescent="0.2">
      <c r="B265" s="268" t="s">
        <v>1893</v>
      </c>
      <c r="C265" s="269">
        <v>42444</v>
      </c>
      <c r="D265" s="270" t="s">
        <v>1882</v>
      </c>
      <c r="E265" s="270" t="s">
        <v>2192</v>
      </c>
      <c r="F265" s="271">
        <v>450</v>
      </c>
      <c r="G265" s="271"/>
      <c r="H265" s="271">
        <f t="shared" si="4"/>
        <v>450</v>
      </c>
    </row>
    <row r="266" spans="2:8" x14ac:dyDescent="0.2">
      <c r="B266" s="268" t="s">
        <v>1872</v>
      </c>
      <c r="C266" s="269">
        <v>42444</v>
      </c>
      <c r="D266" s="270" t="s">
        <v>2018</v>
      </c>
      <c r="E266" s="270" t="s">
        <v>2193</v>
      </c>
      <c r="F266" s="271">
        <v>1500</v>
      </c>
      <c r="G266" s="271"/>
      <c r="H266" s="271">
        <f t="shared" si="4"/>
        <v>1500</v>
      </c>
    </row>
    <row r="267" spans="2:8" x14ac:dyDescent="0.2">
      <c r="B267" s="268" t="s">
        <v>1585</v>
      </c>
      <c r="C267" s="269">
        <v>42444</v>
      </c>
      <c r="D267" s="270" t="s">
        <v>1895</v>
      </c>
      <c r="E267" s="270" t="s">
        <v>2194</v>
      </c>
      <c r="F267" s="271">
        <v>2700</v>
      </c>
      <c r="G267" s="271"/>
      <c r="H267" s="271">
        <f t="shared" si="4"/>
        <v>2700</v>
      </c>
    </row>
    <row r="268" spans="2:8" x14ac:dyDescent="0.2">
      <c r="B268" s="268" t="s">
        <v>1585</v>
      </c>
      <c r="C268" s="269">
        <v>42444</v>
      </c>
      <c r="D268" s="270" t="s">
        <v>1908</v>
      </c>
      <c r="E268" s="270" t="s">
        <v>2195</v>
      </c>
      <c r="F268" s="271">
        <v>29000</v>
      </c>
      <c r="G268" s="271"/>
      <c r="H268" s="271">
        <f t="shared" si="4"/>
        <v>29000</v>
      </c>
    </row>
    <row r="269" spans="2:8" x14ac:dyDescent="0.2">
      <c r="B269" s="268" t="s">
        <v>1893</v>
      </c>
      <c r="C269" s="269">
        <v>42444</v>
      </c>
      <c r="D269" s="270" t="s">
        <v>1920</v>
      </c>
      <c r="E269" s="270" t="s">
        <v>1944</v>
      </c>
      <c r="F269" s="271">
        <v>4000</v>
      </c>
      <c r="G269" s="271"/>
      <c r="H269" s="271">
        <f t="shared" si="4"/>
        <v>4000</v>
      </c>
    </row>
    <row r="270" spans="2:8" x14ac:dyDescent="0.2">
      <c r="B270" s="268" t="s">
        <v>1872</v>
      </c>
      <c r="C270" s="269">
        <v>42445</v>
      </c>
      <c r="D270" s="270" t="s">
        <v>2196</v>
      </c>
      <c r="E270" s="270" t="s">
        <v>2197</v>
      </c>
      <c r="F270" s="271">
        <v>500</v>
      </c>
      <c r="G270" s="271"/>
      <c r="H270" s="271">
        <f t="shared" si="4"/>
        <v>500</v>
      </c>
    </row>
    <row r="271" spans="2:8" x14ac:dyDescent="0.2">
      <c r="B271" s="268" t="s">
        <v>1884</v>
      </c>
      <c r="C271" s="269">
        <v>42445</v>
      </c>
      <c r="D271" s="270" t="s">
        <v>2752</v>
      </c>
      <c r="E271" s="270" t="s">
        <v>2118</v>
      </c>
      <c r="F271" s="271">
        <v>216.81</v>
      </c>
      <c r="G271" s="271">
        <v>34.69</v>
      </c>
      <c r="H271" s="271">
        <f t="shared" si="4"/>
        <v>251.5</v>
      </c>
    </row>
    <row r="272" spans="2:8" x14ac:dyDescent="0.2">
      <c r="B272" s="268" t="s">
        <v>1869</v>
      </c>
      <c r="C272" s="269">
        <v>42445</v>
      </c>
      <c r="D272" s="270" t="s">
        <v>1900</v>
      </c>
      <c r="E272" s="270" t="s">
        <v>2198</v>
      </c>
      <c r="F272" s="271">
        <v>847.33</v>
      </c>
      <c r="G272" s="271">
        <v>135.57</v>
      </c>
      <c r="H272" s="271">
        <f t="shared" si="4"/>
        <v>982.90000000000009</v>
      </c>
    </row>
    <row r="273" spans="2:8" x14ac:dyDescent="0.2">
      <c r="B273" s="268" t="s">
        <v>1870</v>
      </c>
      <c r="C273" s="269">
        <v>42446</v>
      </c>
      <c r="D273" s="270" t="s">
        <v>2199</v>
      </c>
      <c r="E273" s="270" t="s">
        <v>2200</v>
      </c>
      <c r="F273" s="271">
        <v>1451.71</v>
      </c>
      <c r="G273" s="271">
        <v>232.29</v>
      </c>
      <c r="H273" s="271">
        <f t="shared" si="4"/>
        <v>1684</v>
      </c>
    </row>
    <row r="274" spans="2:8" x14ac:dyDescent="0.2">
      <c r="B274" s="268" t="s">
        <v>1870</v>
      </c>
      <c r="C274" s="269">
        <v>42446</v>
      </c>
      <c r="D274" s="270" t="s">
        <v>2199</v>
      </c>
      <c r="E274" s="270" t="s">
        <v>2201</v>
      </c>
      <c r="F274" s="271">
        <v>252</v>
      </c>
      <c r="G274" s="271"/>
      <c r="H274" s="271">
        <f t="shared" si="4"/>
        <v>252</v>
      </c>
    </row>
    <row r="275" spans="2:8" x14ac:dyDescent="0.2">
      <c r="B275" s="268" t="s">
        <v>1870</v>
      </c>
      <c r="C275" s="269">
        <v>42446</v>
      </c>
      <c r="D275" s="270" t="s">
        <v>2202</v>
      </c>
      <c r="E275" s="270" t="s">
        <v>2203</v>
      </c>
      <c r="F275" s="271">
        <v>31.03</v>
      </c>
      <c r="G275" s="271">
        <v>4.97</v>
      </c>
      <c r="H275" s="271">
        <f t="shared" si="4"/>
        <v>36</v>
      </c>
    </row>
    <row r="276" spans="2:8" x14ac:dyDescent="0.2">
      <c r="B276" s="268" t="s">
        <v>1870</v>
      </c>
      <c r="C276" s="269">
        <v>42446</v>
      </c>
      <c r="D276" s="270" t="s">
        <v>2204</v>
      </c>
      <c r="E276" s="270" t="s">
        <v>2205</v>
      </c>
      <c r="F276" s="271">
        <v>80</v>
      </c>
      <c r="G276" s="271"/>
      <c r="H276" s="271">
        <f t="shared" si="4"/>
        <v>80</v>
      </c>
    </row>
    <row r="277" spans="2:8" x14ac:dyDescent="0.2">
      <c r="B277" s="268" t="s">
        <v>1893</v>
      </c>
      <c r="C277" s="269">
        <v>42447</v>
      </c>
      <c r="D277" s="270" t="s">
        <v>2156</v>
      </c>
      <c r="E277" s="270" t="s">
        <v>2206</v>
      </c>
      <c r="F277" s="271">
        <v>3647.01</v>
      </c>
      <c r="G277" s="271"/>
      <c r="H277" s="271">
        <f t="shared" si="4"/>
        <v>3647.01</v>
      </c>
    </row>
    <row r="278" spans="2:8" x14ac:dyDescent="0.2">
      <c r="B278" s="268" t="s">
        <v>1879</v>
      </c>
      <c r="C278" s="269">
        <v>42447</v>
      </c>
      <c r="D278" s="270" t="s">
        <v>1901</v>
      </c>
      <c r="E278" s="270" t="s">
        <v>2207</v>
      </c>
      <c r="F278" s="271">
        <v>500</v>
      </c>
      <c r="G278" s="271"/>
      <c r="H278" s="271">
        <f t="shared" si="4"/>
        <v>500</v>
      </c>
    </row>
    <row r="279" spans="2:8" x14ac:dyDescent="0.2">
      <c r="B279" s="268" t="s">
        <v>1875</v>
      </c>
      <c r="C279" s="269">
        <v>42447</v>
      </c>
      <c r="D279" s="270" t="s">
        <v>1899</v>
      </c>
      <c r="E279" s="270" t="s">
        <v>1910</v>
      </c>
      <c r="F279" s="271">
        <v>76</v>
      </c>
      <c r="G279" s="271"/>
      <c r="H279" s="271">
        <f t="shared" si="4"/>
        <v>76</v>
      </c>
    </row>
    <row r="280" spans="2:8" x14ac:dyDescent="0.2">
      <c r="B280" s="268" t="s">
        <v>1872</v>
      </c>
      <c r="C280" s="269">
        <v>42447</v>
      </c>
      <c r="D280" s="270" t="s">
        <v>1887</v>
      </c>
      <c r="E280" s="270" t="s">
        <v>2208</v>
      </c>
      <c r="F280" s="271">
        <v>200</v>
      </c>
      <c r="G280" s="271"/>
      <c r="H280" s="271">
        <f t="shared" si="4"/>
        <v>200</v>
      </c>
    </row>
    <row r="281" spans="2:8" x14ac:dyDescent="0.2">
      <c r="B281" s="268" t="s">
        <v>1868</v>
      </c>
      <c r="C281" s="269">
        <v>42447</v>
      </c>
      <c r="D281" s="270" t="s">
        <v>1919</v>
      </c>
      <c r="E281" s="270" t="s">
        <v>2209</v>
      </c>
      <c r="F281" s="271">
        <v>1000</v>
      </c>
      <c r="G281" s="271"/>
      <c r="H281" s="271">
        <f t="shared" si="4"/>
        <v>1000</v>
      </c>
    </row>
    <row r="282" spans="2:8" x14ac:dyDescent="0.2">
      <c r="B282" s="268" t="s">
        <v>1893</v>
      </c>
      <c r="C282" s="269">
        <v>42448</v>
      </c>
      <c r="D282" s="270" t="s">
        <v>2210</v>
      </c>
      <c r="E282" s="270" t="s">
        <v>1950</v>
      </c>
      <c r="F282" s="271">
        <v>170.93</v>
      </c>
      <c r="G282" s="271">
        <v>26.47</v>
      </c>
      <c r="H282" s="271">
        <f t="shared" si="4"/>
        <v>197.4</v>
      </c>
    </row>
    <row r="283" spans="2:8" x14ac:dyDescent="0.2">
      <c r="B283" s="268" t="s">
        <v>1875</v>
      </c>
      <c r="C283" s="269">
        <v>42449</v>
      </c>
      <c r="D283" s="270" t="s">
        <v>1912</v>
      </c>
      <c r="E283" s="270" t="s">
        <v>2211</v>
      </c>
      <c r="F283" s="271">
        <v>80.5</v>
      </c>
      <c r="G283" s="271"/>
      <c r="H283" s="271">
        <f t="shared" si="4"/>
        <v>80.5</v>
      </c>
    </row>
    <row r="284" spans="2:8" x14ac:dyDescent="0.2">
      <c r="B284" s="268" t="s">
        <v>1893</v>
      </c>
      <c r="C284" s="269">
        <v>42449</v>
      </c>
      <c r="D284" s="270" t="s">
        <v>1905</v>
      </c>
      <c r="E284" s="270" t="s">
        <v>2151</v>
      </c>
      <c r="F284" s="271">
        <v>100</v>
      </c>
      <c r="G284" s="271"/>
      <c r="H284" s="271">
        <f t="shared" si="4"/>
        <v>100</v>
      </c>
    </row>
    <row r="285" spans="2:8" x14ac:dyDescent="0.2">
      <c r="B285" s="268" t="s">
        <v>1875</v>
      </c>
      <c r="C285" s="269">
        <v>42450</v>
      </c>
      <c r="D285" s="270" t="s">
        <v>1899</v>
      </c>
      <c r="E285" s="270" t="s">
        <v>1922</v>
      </c>
      <c r="F285" s="271">
        <v>175</v>
      </c>
      <c r="G285" s="271"/>
      <c r="H285" s="271">
        <f t="shared" si="4"/>
        <v>175</v>
      </c>
    </row>
    <row r="286" spans="2:8" x14ac:dyDescent="0.2">
      <c r="B286" s="268" t="s">
        <v>1869</v>
      </c>
      <c r="C286" s="269">
        <v>42450</v>
      </c>
      <c r="D286" s="270" t="s">
        <v>1900</v>
      </c>
      <c r="E286" s="270" t="s">
        <v>2212</v>
      </c>
      <c r="F286" s="271">
        <v>258.45</v>
      </c>
      <c r="G286" s="271">
        <v>41.35</v>
      </c>
      <c r="H286" s="271">
        <f t="shared" si="4"/>
        <v>299.8</v>
      </c>
    </row>
    <row r="287" spans="2:8" x14ac:dyDescent="0.2">
      <c r="B287" s="268" t="s">
        <v>1893</v>
      </c>
      <c r="C287" s="269">
        <v>42450</v>
      </c>
      <c r="D287" s="270" t="s">
        <v>2167</v>
      </c>
      <c r="E287" s="270" t="s">
        <v>2213</v>
      </c>
      <c r="F287" s="271">
        <v>1600</v>
      </c>
      <c r="G287" s="271"/>
      <c r="H287" s="271">
        <f t="shared" si="4"/>
        <v>1600</v>
      </c>
    </row>
    <row r="288" spans="2:8" x14ac:dyDescent="0.2">
      <c r="B288" s="268" t="s">
        <v>1872</v>
      </c>
      <c r="C288" s="269">
        <v>42451</v>
      </c>
      <c r="D288" s="270" t="s">
        <v>2196</v>
      </c>
      <c r="E288" s="270" t="s">
        <v>2214</v>
      </c>
      <c r="F288" s="271">
        <v>400</v>
      </c>
      <c r="G288" s="271"/>
      <c r="H288" s="271">
        <f t="shared" si="4"/>
        <v>400</v>
      </c>
    </row>
    <row r="289" spans="2:8" x14ac:dyDescent="0.2">
      <c r="B289" s="268" t="s">
        <v>1879</v>
      </c>
      <c r="C289" s="269">
        <v>42452</v>
      </c>
      <c r="D289" s="270" t="s">
        <v>1947</v>
      </c>
      <c r="E289" s="270" t="s">
        <v>2215</v>
      </c>
      <c r="F289" s="271">
        <v>600</v>
      </c>
      <c r="G289" s="271"/>
      <c r="H289" s="271">
        <f t="shared" si="4"/>
        <v>600</v>
      </c>
    </row>
    <row r="290" spans="2:8" x14ac:dyDescent="0.2">
      <c r="B290" s="268" t="s">
        <v>1872</v>
      </c>
      <c r="C290" s="269">
        <v>42452</v>
      </c>
      <c r="D290" s="270" t="s">
        <v>1915</v>
      </c>
      <c r="E290" s="270" t="s">
        <v>2216</v>
      </c>
      <c r="F290" s="271">
        <v>160</v>
      </c>
      <c r="G290" s="271"/>
      <c r="H290" s="271">
        <f t="shared" si="4"/>
        <v>160</v>
      </c>
    </row>
    <row r="291" spans="2:8" x14ac:dyDescent="0.2">
      <c r="B291" s="268" t="s">
        <v>1585</v>
      </c>
      <c r="C291" s="269">
        <v>42452</v>
      </c>
      <c r="D291" s="270" t="s">
        <v>1908</v>
      </c>
      <c r="E291" s="270" t="s">
        <v>2217</v>
      </c>
      <c r="F291" s="271">
        <v>1000</v>
      </c>
      <c r="G291" s="271"/>
      <c r="H291" s="271">
        <f t="shared" si="4"/>
        <v>1000</v>
      </c>
    </row>
    <row r="292" spans="2:8" x14ac:dyDescent="0.2">
      <c r="B292" s="268" t="s">
        <v>1886</v>
      </c>
      <c r="C292" s="269">
        <v>42452</v>
      </c>
      <c r="D292" s="270" t="s">
        <v>1949</v>
      </c>
      <c r="E292" s="270" t="s">
        <v>2218</v>
      </c>
      <c r="F292" s="271">
        <v>150</v>
      </c>
      <c r="G292" s="271"/>
      <c r="H292" s="271">
        <f t="shared" si="4"/>
        <v>150</v>
      </c>
    </row>
    <row r="293" spans="2:8" x14ac:dyDescent="0.2">
      <c r="B293" s="268" t="s">
        <v>1872</v>
      </c>
      <c r="C293" s="269">
        <v>42453</v>
      </c>
      <c r="D293" s="270" t="s">
        <v>2018</v>
      </c>
      <c r="E293" s="270" t="s">
        <v>2219</v>
      </c>
      <c r="F293" s="271">
        <v>1500</v>
      </c>
      <c r="G293" s="271"/>
      <c r="H293" s="271">
        <f t="shared" si="4"/>
        <v>1500</v>
      </c>
    </row>
    <row r="294" spans="2:8" x14ac:dyDescent="0.2">
      <c r="B294" s="268" t="s">
        <v>1875</v>
      </c>
      <c r="C294" s="269">
        <v>42453</v>
      </c>
      <c r="D294" s="270" t="s">
        <v>1899</v>
      </c>
      <c r="E294" s="270" t="s">
        <v>1922</v>
      </c>
      <c r="F294" s="271">
        <v>192</v>
      </c>
      <c r="G294" s="271"/>
      <c r="H294" s="271">
        <f t="shared" si="4"/>
        <v>192</v>
      </c>
    </row>
    <row r="295" spans="2:8" x14ac:dyDescent="0.2">
      <c r="B295" s="268" t="s">
        <v>1893</v>
      </c>
      <c r="C295" s="269">
        <v>42453</v>
      </c>
      <c r="D295" s="270" t="s">
        <v>2220</v>
      </c>
      <c r="E295" s="270" t="s">
        <v>2221</v>
      </c>
      <c r="F295" s="271">
        <v>400</v>
      </c>
      <c r="G295" s="271"/>
      <c r="H295" s="271">
        <f t="shared" si="4"/>
        <v>400</v>
      </c>
    </row>
    <row r="296" spans="2:8" x14ac:dyDescent="0.2">
      <c r="B296" s="268" t="s">
        <v>1893</v>
      </c>
      <c r="C296" s="269">
        <v>42453</v>
      </c>
      <c r="D296" s="270" t="s">
        <v>2222</v>
      </c>
      <c r="E296" s="270" t="s">
        <v>2223</v>
      </c>
      <c r="F296" s="271">
        <v>170.93</v>
      </c>
      <c r="G296" s="271">
        <v>26.47</v>
      </c>
      <c r="H296" s="271">
        <f t="shared" si="4"/>
        <v>197.4</v>
      </c>
    </row>
    <row r="297" spans="2:8" x14ac:dyDescent="0.2">
      <c r="B297" s="268" t="s">
        <v>1868</v>
      </c>
      <c r="C297" s="269">
        <v>42454</v>
      </c>
      <c r="D297" s="270" t="s">
        <v>1919</v>
      </c>
      <c r="E297" s="270" t="s">
        <v>2224</v>
      </c>
      <c r="F297" s="271">
        <v>1000</v>
      </c>
      <c r="G297" s="271"/>
      <c r="H297" s="271">
        <f t="shared" si="4"/>
        <v>1000</v>
      </c>
    </row>
    <row r="298" spans="2:8" x14ac:dyDescent="0.2">
      <c r="B298" s="268" t="s">
        <v>1893</v>
      </c>
      <c r="C298" s="269">
        <v>42456</v>
      </c>
      <c r="D298" s="270" t="s">
        <v>1924</v>
      </c>
      <c r="E298" s="270" t="s">
        <v>2225</v>
      </c>
      <c r="F298" s="271">
        <v>500</v>
      </c>
      <c r="G298" s="271"/>
      <c r="H298" s="271">
        <f t="shared" si="4"/>
        <v>500</v>
      </c>
    </row>
    <row r="299" spans="2:8" x14ac:dyDescent="0.2">
      <c r="B299" s="268" t="s">
        <v>1875</v>
      </c>
      <c r="C299" s="269">
        <v>42456</v>
      </c>
      <c r="D299" s="270" t="s">
        <v>1912</v>
      </c>
      <c r="E299" s="270" t="s">
        <v>2211</v>
      </c>
      <c r="F299" s="271">
        <v>24</v>
      </c>
      <c r="G299" s="271"/>
      <c r="H299" s="271">
        <f t="shared" si="4"/>
        <v>24</v>
      </c>
    </row>
    <row r="300" spans="2:8" x14ac:dyDescent="0.2">
      <c r="B300" s="268" t="s">
        <v>1875</v>
      </c>
      <c r="C300" s="269">
        <v>42456</v>
      </c>
      <c r="D300" s="270" t="s">
        <v>1912</v>
      </c>
      <c r="E300" s="270" t="s">
        <v>2211</v>
      </c>
      <c r="F300" s="271">
        <v>54.5</v>
      </c>
      <c r="G300" s="271"/>
      <c r="H300" s="271">
        <f t="shared" si="4"/>
        <v>54.5</v>
      </c>
    </row>
    <row r="301" spans="2:8" x14ac:dyDescent="0.2">
      <c r="B301" s="268" t="s">
        <v>1893</v>
      </c>
      <c r="C301" s="269">
        <v>42456</v>
      </c>
      <c r="D301" s="270" t="s">
        <v>1905</v>
      </c>
      <c r="E301" s="270" t="s">
        <v>2151</v>
      </c>
      <c r="F301" s="271">
        <v>100</v>
      </c>
      <c r="G301" s="271"/>
      <c r="H301" s="271">
        <f t="shared" si="4"/>
        <v>100</v>
      </c>
    </row>
    <row r="302" spans="2:8" x14ac:dyDescent="0.2">
      <c r="B302" s="268" t="s">
        <v>1875</v>
      </c>
      <c r="C302" s="269">
        <v>42457</v>
      </c>
      <c r="D302" s="270" t="s">
        <v>1899</v>
      </c>
      <c r="E302" s="270" t="s">
        <v>1909</v>
      </c>
      <c r="F302" s="271">
        <v>110</v>
      </c>
      <c r="G302" s="271"/>
      <c r="H302" s="271">
        <f t="shared" si="4"/>
        <v>110</v>
      </c>
    </row>
    <row r="303" spans="2:8" x14ac:dyDescent="0.2">
      <c r="B303" s="268" t="s">
        <v>1872</v>
      </c>
      <c r="C303" s="269">
        <v>42458</v>
      </c>
      <c r="D303" s="270" t="s">
        <v>2018</v>
      </c>
      <c r="E303" s="270" t="s">
        <v>2226</v>
      </c>
      <c r="F303" s="271">
        <v>500</v>
      </c>
      <c r="G303" s="271"/>
      <c r="H303" s="271">
        <f t="shared" si="4"/>
        <v>500</v>
      </c>
    </row>
    <row r="304" spans="2:8" x14ac:dyDescent="0.2">
      <c r="B304" s="268" t="s">
        <v>1872</v>
      </c>
      <c r="C304" s="269">
        <v>42459</v>
      </c>
      <c r="D304" s="270" t="s">
        <v>2196</v>
      </c>
      <c r="E304" s="270" t="s">
        <v>2227</v>
      </c>
      <c r="F304" s="271">
        <v>750</v>
      </c>
      <c r="G304" s="271"/>
      <c r="H304" s="271">
        <f t="shared" si="4"/>
        <v>750</v>
      </c>
    </row>
    <row r="305" spans="2:8" x14ac:dyDescent="0.2">
      <c r="B305" s="268" t="s">
        <v>1879</v>
      </c>
      <c r="C305" s="269">
        <v>42459</v>
      </c>
      <c r="D305" s="270" t="s">
        <v>1901</v>
      </c>
      <c r="E305" s="270" t="s">
        <v>2228</v>
      </c>
      <c r="F305" s="271">
        <v>2800</v>
      </c>
      <c r="G305" s="271"/>
      <c r="H305" s="271">
        <f t="shared" si="4"/>
        <v>2800</v>
      </c>
    </row>
    <row r="306" spans="2:8" x14ac:dyDescent="0.2">
      <c r="B306" s="268" t="s">
        <v>1868</v>
      </c>
      <c r="C306" s="269">
        <v>42460</v>
      </c>
      <c r="D306" s="270" t="s">
        <v>1919</v>
      </c>
      <c r="E306" s="270" t="s">
        <v>2229</v>
      </c>
      <c r="F306" s="271">
        <v>400</v>
      </c>
      <c r="G306" s="271"/>
      <c r="H306" s="271">
        <f t="shared" si="4"/>
        <v>400</v>
      </c>
    </row>
    <row r="307" spans="2:8" x14ac:dyDescent="0.2">
      <c r="B307" s="268" t="s">
        <v>1893</v>
      </c>
      <c r="C307" s="269">
        <v>42460</v>
      </c>
      <c r="D307" s="270" t="s">
        <v>1882</v>
      </c>
      <c r="E307" s="270" t="s">
        <v>2230</v>
      </c>
      <c r="F307" s="271">
        <v>450</v>
      </c>
      <c r="G307" s="271"/>
      <c r="H307" s="271">
        <f t="shared" si="4"/>
        <v>450</v>
      </c>
    </row>
    <row r="308" spans="2:8" x14ac:dyDescent="0.2">
      <c r="B308" s="268" t="s">
        <v>1893</v>
      </c>
      <c r="C308" s="269">
        <v>42460</v>
      </c>
      <c r="D308" s="270" t="s">
        <v>1905</v>
      </c>
      <c r="E308" s="270" t="s">
        <v>2231</v>
      </c>
      <c r="F308" s="271">
        <v>650</v>
      </c>
      <c r="G308" s="271"/>
      <c r="H308" s="271">
        <f t="shared" si="4"/>
        <v>650</v>
      </c>
    </row>
    <row r="309" spans="2:8" x14ac:dyDescent="0.2">
      <c r="B309" s="268" t="s">
        <v>1872</v>
      </c>
      <c r="C309" s="269">
        <v>42460</v>
      </c>
      <c r="D309" s="270" t="s">
        <v>2232</v>
      </c>
      <c r="E309" s="270" t="s">
        <v>2233</v>
      </c>
      <c r="F309" s="271">
        <v>500</v>
      </c>
      <c r="G309" s="271"/>
      <c r="H309" s="271">
        <f t="shared" si="4"/>
        <v>500</v>
      </c>
    </row>
    <row r="310" spans="2:8" x14ac:dyDescent="0.2">
      <c r="B310" s="268" t="s">
        <v>1868</v>
      </c>
      <c r="C310" s="269">
        <v>42460</v>
      </c>
      <c r="D310" s="270" t="s">
        <v>1919</v>
      </c>
      <c r="E310" s="270" t="s">
        <v>2234</v>
      </c>
      <c r="F310" s="271">
        <v>1000</v>
      </c>
      <c r="G310" s="271"/>
      <c r="H310" s="271">
        <f t="shared" si="4"/>
        <v>1000</v>
      </c>
    </row>
    <row r="311" spans="2:8" x14ac:dyDescent="0.2">
      <c r="B311" s="268" t="s">
        <v>1893</v>
      </c>
      <c r="C311" s="269">
        <v>42460</v>
      </c>
      <c r="D311" s="270" t="s">
        <v>1898</v>
      </c>
      <c r="E311" s="270" t="s">
        <v>2235</v>
      </c>
      <c r="F311" s="271">
        <v>350</v>
      </c>
      <c r="G311" s="271"/>
      <c r="H311" s="271">
        <f t="shared" si="4"/>
        <v>350</v>
      </c>
    </row>
    <row r="312" spans="2:8" x14ac:dyDescent="0.2">
      <c r="B312" s="268" t="s">
        <v>1893</v>
      </c>
      <c r="C312" s="269">
        <v>42460</v>
      </c>
      <c r="D312" s="270" t="s">
        <v>1882</v>
      </c>
      <c r="E312" s="270" t="s">
        <v>2236</v>
      </c>
      <c r="F312" s="271">
        <v>100</v>
      </c>
      <c r="G312" s="271"/>
      <c r="H312" s="271">
        <f t="shared" si="4"/>
        <v>100</v>
      </c>
    </row>
    <row r="313" spans="2:8" x14ac:dyDescent="0.2">
      <c r="B313" s="268" t="s">
        <v>1585</v>
      </c>
      <c r="C313" s="269">
        <v>42460</v>
      </c>
      <c r="D313" s="270" t="s">
        <v>1895</v>
      </c>
      <c r="E313" s="270" t="s">
        <v>2237</v>
      </c>
      <c r="F313" s="271">
        <v>2700</v>
      </c>
      <c r="G313" s="271"/>
      <c r="H313" s="271">
        <f t="shared" si="4"/>
        <v>2700</v>
      </c>
    </row>
    <row r="314" spans="2:8" x14ac:dyDescent="0.2">
      <c r="B314" s="268" t="s">
        <v>1868</v>
      </c>
      <c r="C314" s="269">
        <v>42460</v>
      </c>
      <c r="D314" s="270" t="s">
        <v>1920</v>
      </c>
      <c r="E314" s="270" t="s">
        <v>1944</v>
      </c>
      <c r="F314" s="271">
        <v>4000</v>
      </c>
      <c r="G314" s="271"/>
      <c r="H314" s="271">
        <f t="shared" si="4"/>
        <v>4000</v>
      </c>
    </row>
    <row r="315" spans="2:8" x14ac:dyDescent="0.2">
      <c r="B315" s="268" t="s">
        <v>1799</v>
      </c>
      <c r="C315" s="269">
        <v>42438</v>
      </c>
      <c r="D315" s="270" t="s">
        <v>1918</v>
      </c>
      <c r="E315" s="270" t="s">
        <v>2238</v>
      </c>
      <c r="F315" s="271"/>
      <c r="G315" s="271">
        <v>-1760</v>
      </c>
      <c r="H315" s="271">
        <f t="shared" si="4"/>
        <v>-1760</v>
      </c>
    </row>
    <row r="316" spans="2:8" x14ac:dyDescent="0.2">
      <c r="B316" s="268" t="s">
        <v>1896</v>
      </c>
      <c r="C316" s="269">
        <v>42431</v>
      </c>
      <c r="D316" s="270" t="s">
        <v>1537</v>
      </c>
      <c r="E316" s="270" t="s">
        <v>1539</v>
      </c>
      <c r="F316" s="271">
        <v>-0.36</v>
      </c>
      <c r="G316" s="271"/>
      <c r="H316" s="271">
        <f t="shared" si="4"/>
        <v>-0.36</v>
      </c>
    </row>
    <row r="317" spans="2:8" x14ac:dyDescent="0.2">
      <c r="B317" s="268" t="s">
        <v>1896</v>
      </c>
      <c r="C317" s="269">
        <v>42437</v>
      </c>
      <c r="D317" s="270" t="s">
        <v>1537</v>
      </c>
      <c r="E317" s="270" t="s">
        <v>1539</v>
      </c>
      <c r="F317" s="271">
        <v>-0.46</v>
      </c>
      <c r="G317" s="271"/>
      <c r="H317" s="271">
        <f t="shared" si="4"/>
        <v>-0.46</v>
      </c>
    </row>
    <row r="318" spans="2:8" x14ac:dyDescent="0.2">
      <c r="B318" s="268" t="s">
        <v>1896</v>
      </c>
      <c r="C318" s="269">
        <v>42438</v>
      </c>
      <c r="D318" s="270" t="s">
        <v>1541</v>
      </c>
      <c r="E318" s="270" t="s">
        <v>1539</v>
      </c>
      <c r="F318" s="271">
        <v>-0.28999999999999998</v>
      </c>
      <c r="G318" s="271"/>
      <c r="H318" s="271">
        <f t="shared" si="4"/>
        <v>-0.28999999999999998</v>
      </c>
    </row>
    <row r="319" spans="2:8" x14ac:dyDescent="0.2">
      <c r="B319" s="268" t="s">
        <v>1896</v>
      </c>
      <c r="C319" s="269">
        <v>42460</v>
      </c>
      <c r="D319" s="270" t="s">
        <v>1606</v>
      </c>
      <c r="E319" s="270" t="s">
        <v>2239</v>
      </c>
      <c r="F319" s="271">
        <v>14</v>
      </c>
      <c r="G319" s="271"/>
      <c r="H319" s="271">
        <f t="shared" si="4"/>
        <v>14</v>
      </c>
    </row>
    <row r="320" spans="2:8" x14ac:dyDescent="0.2">
      <c r="B320" s="272" t="s">
        <v>1799</v>
      </c>
      <c r="C320" s="273">
        <v>42460</v>
      </c>
      <c r="D320" s="274" t="s">
        <v>1606</v>
      </c>
      <c r="E320" s="274" t="s">
        <v>2240</v>
      </c>
      <c r="F320" s="275"/>
      <c r="G320" s="275">
        <v>2.2400000000000002</v>
      </c>
      <c r="H320" s="275">
        <f t="shared" si="4"/>
        <v>2.2400000000000002</v>
      </c>
    </row>
    <row r="321" spans="2:8" ht="18" customHeight="1" x14ac:dyDescent="0.2">
      <c r="B321" s="276" t="s">
        <v>1859</v>
      </c>
      <c r="C321" s="276" t="s">
        <v>1860</v>
      </c>
      <c r="D321" s="277" t="s">
        <v>1861</v>
      </c>
      <c r="E321" s="277" t="s">
        <v>1862</v>
      </c>
      <c r="F321" s="278" t="s">
        <v>1863</v>
      </c>
      <c r="G321" s="278" t="s">
        <v>1864</v>
      </c>
      <c r="H321" s="263" t="s">
        <v>1865</v>
      </c>
    </row>
    <row r="322" spans="2:8" x14ac:dyDescent="0.2">
      <c r="B322" s="264" t="s">
        <v>1585</v>
      </c>
      <c r="C322" s="265">
        <v>42461</v>
      </c>
      <c r="D322" s="266" t="s">
        <v>1908</v>
      </c>
      <c r="E322" s="266" t="s">
        <v>2241</v>
      </c>
      <c r="F322" s="267">
        <v>28000</v>
      </c>
      <c r="G322" s="267"/>
      <c r="H322" s="267">
        <f t="shared" si="4"/>
        <v>28000</v>
      </c>
    </row>
    <row r="323" spans="2:8" x14ac:dyDescent="0.2">
      <c r="B323" s="268" t="s">
        <v>1873</v>
      </c>
      <c r="C323" s="269">
        <v>42461</v>
      </c>
      <c r="D323" s="270" t="s">
        <v>1919</v>
      </c>
      <c r="E323" s="270" t="s">
        <v>2242</v>
      </c>
      <c r="F323" s="271">
        <v>400</v>
      </c>
      <c r="G323" s="271"/>
      <c r="H323" s="271">
        <f t="shared" si="4"/>
        <v>400</v>
      </c>
    </row>
    <row r="324" spans="2:8" x14ac:dyDescent="0.2">
      <c r="B324" s="268" t="s">
        <v>1875</v>
      </c>
      <c r="C324" s="269">
        <v>42463</v>
      </c>
      <c r="D324" s="270" t="s">
        <v>1912</v>
      </c>
      <c r="E324" s="270" t="s">
        <v>2243</v>
      </c>
      <c r="F324" s="271">
        <v>103</v>
      </c>
      <c r="G324" s="271"/>
      <c r="H324" s="271">
        <f t="shared" si="4"/>
        <v>103</v>
      </c>
    </row>
    <row r="325" spans="2:8" x14ac:dyDescent="0.2">
      <c r="B325" s="268" t="s">
        <v>1893</v>
      </c>
      <c r="C325" s="269">
        <v>42463</v>
      </c>
      <c r="D325" s="270" t="s">
        <v>2260</v>
      </c>
      <c r="E325" s="270" t="s">
        <v>2244</v>
      </c>
      <c r="F325" s="271">
        <v>100</v>
      </c>
      <c r="G325" s="271"/>
      <c r="H325" s="271">
        <f t="shared" ref="H325:H388" si="5">SUM(F325:G325)</f>
        <v>100</v>
      </c>
    </row>
    <row r="326" spans="2:8" x14ac:dyDescent="0.2">
      <c r="B326" s="268" t="s">
        <v>1875</v>
      </c>
      <c r="C326" s="269">
        <v>38811</v>
      </c>
      <c r="D326" s="270" t="s">
        <v>1899</v>
      </c>
      <c r="E326" s="270" t="s">
        <v>1922</v>
      </c>
      <c r="F326" s="271">
        <v>175</v>
      </c>
      <c r="G326" s="271"/>
      <c r="H326" s="271">
        <f t="shared" si="5"/>
        <v>175</v>
      </c>
    </row>
    <row r="327" spans="2:8" x14ac:dyDescent="0.2">
      <c r="B327" s="268" t="s">
        <v>1888</v>
      </c>
      <c r="C327" s="269">
        <v>42464</v>
      </c>
      <c r="D327" s="270" t="s">
        <v>1947</v>
      </c>
      <c r="E327" s="270" t="s">
        <v>2245</v>
      </c>
      <c r="F327" s="271">
        <v>450</v>
      </c>
      <c r="G327" s="271"/>
      <c r="H327" s="271">
        <f t="shared" si="5"/>
        <v>450</v>
      </c>
    </row>
    <row r="328" spans="2:8" x14ac:dyDescent="0.2">
      <c r="B328" s="268" t="s">
        <v>1888</v>
      </c>
      <c r="C328" s="269">
        <v>42464</v>
      </c>
      <c r="D328" s="270" t="s">
        <v>1947</v>
      </c>
      <c r="E328" s="270" t="s">
        <v>2246</v>
      </c>
      <c r="F328" s="271">
        <v>350</v>
      </c>
      <c r="G328" s="271"/>
      <c r="H328" s="271">
        <f t="shared" si="5"/>
        <v>350</v>
      </c>
    </row>
    <row r="329" spans="2:8" x14ac:dyDescent="0.2">
      <c r="B329" s="268" t="s">
        <v>1893</v>
      </c>
      <c r="C329" s="269">
        <v>42464</v>
      </c>
      <c r="D329" s="270" t="s">
        <v>1907</v>
      </c>
      <c r="E329" s="270" t="s">
        <v>2247</v>
      </c>
      <c r="F329" s="271">
        <v>180</v>
      </c>
      <c r="G329" s="271"/>
      <c r="H329" s="271">
        <f t="shared" si="5"/>
        <v>180</v>
      </c>
    </row>
    <row r="330" spans="2:8" x14ac:dyDescent="0.2">
      <c r="B330" s="268" t="s">
        <v>1893</v>
      </c>
      <c r="C330" s="269">
        <v>42464</v>
      </c>
      <c r="D330" s="270" t="s">
        <v>2248</v>
      </c>
      <c r="E330" s="270" t="s">
        <v>2249</v>
      </c>
      <c r="F330" s="271">
        <v>207</v>
      </c>
      <c r="G330" s="271"/>
      <c r="H330" s="271">
        <f t="shared" si="5"/>
        <v>207</v>
      </c>
    </row>
    <row r="331" spans="2:8" x14ac:dyDescent="0.2">
      <c r="B331" s="268" t="s">
        <v>1893</v>
      </c>
      <c r="C331" s="269">
        <v>42464</v>
      </c>
      <c r="D331" s="270" t="s">
        <v>1927</v>
      </c>
      <c r="E331" s="270" t="s">
        <v>2250</v>
      </c>
      <c r="F331" s="271">
        <v>34</v>
      </c>
      <c r="G331" s="271"/>
      <c r="H331" s="271">
        <f t="shared" si="5"/>
        <v>34</v>
      </c>
    </row>
    <row r="332" spans="2:8" x14ac:dyDescent="0.2">
      <c r="B332" s="268" t="s">
        <v>1879</v>
      </c>
      <c r="C332" s="269">
        <v>42465</v>
      </c>
      <c r="D332" s="270" t="s">
        <v>1901</v>
      </c>
      <c r="E332" s="270" t="s">
        <v>2251</v>
      </c>
      <c r="F332" s="271">
        <v>360</v>
      </c>
      <c r="G332" s="271"/>
      <c r="H332" s="271">
        <f t="shared" si="5"/>
        <v>360</v>
      </c>
    </row>
    <row r="333" spans="2:8" x14ac:dyDescent="0.2">
      <c r="B333" s="268" t="s">
        <v>1875</v>
      </c>
      <c r="C333" s="269">
        <v>42465</v>
      </c>
      <c r="D333" s="270" t="s">
        <v>1899</v>
      </c>
      <c r="E333" s="270" t="s">
        <v>1941</v>
      </c>
      <c r="F333" s="271">
        <v>145</v>
      </c>
      <c r="G333" s="271"/>
      <c r="H333" s="271">
        <f t="shared" si="5"/>
        <v>145</v>
      </c>
    </row>
    <row r="334" spans="2:8" x14ac:dyDescent="0.2">
      <c r="B334" s="268" t="s">
        <v>1870</v>
      </c>
      <c r="C334" s="269">
        <v>42465</v>
      </c>
      <c r="D334" s="270" t="s">
        <v>1915</v>
      </c>
      <c r="E334" s="270" t="s">
        <v>2252</v>
      </c>
      <c r="F334" s="271">
        <v>100</v>
      </c>
      <c r="G334" s="271"/>
      <c r="H334" s="271">
        <f t="shared" si="5"/>
        <v>100</v>
      </c>
    </row>
    <row r="335" spans="2:8" x14ac:dyDescent="0.2">
      <c r="B335" s="268" t="s">
        <v>1879</v>
      </c>
      <c r="C335" s="269">
        <v>42466</v>
      </c>
      <c r="D335" s="270" t="s">
        <v>1901</v>
      </c>
      <c r="E335" s="270" t="s">
        <v>2253</v>
      </c>
      <c r="F335" s="271">
        <v>1200</v>
      </c>
      <c r="G335" s="271"/>
      <c r="H335" s="271">
        <f t="shared" si="5"/>
        <v>1200</v>
      </c>
    </row>
    <row r="336" spans="2:8" x14ac:dyDescent="0.2">
      <c r="B336" s="268" t="s">
        <v>1869</v>
      </c>
      <c r="C336" s="269">
        <v>42467</v>
      </c>
      <c r="D336" s="270" t="s">
        <v>1900</v>
      </c>
      <c r="E336" s="270" t="s">
        <v>2254</v>
      </c>
      <c r="F336" s="271">
        <v>319.75</v>
      </c>
      <c r="G336" s="271"/>
      <c r="H336" s="271">
        <f t="shared" si="5"/>
        <v>319.75</v>
      </c>
    </row>
    <row r="337" spans="2:8" x14ac:dyDescent="0.2">
      <c r="B337" s="268" t="s">
        <v>1872</v>
      </c>
      <c r="C337" s="269">
        <v>42467</v>
      </c>
      <c r="D337" s="270" t="s">
        <v>2232</v>
      </c>
      <c r="E337" s="270" t="s">
        <v>2255</v>
      </c>
      <c r="F337" s="271">
        <v>360</v>
      </c>
      <c r="G337" s="271"/>
      <c r="H337" s="271">
        <f t="shared" si="5"/>
        <v>360</v>
      </c>
    </row>
    <row r="338" spans="2:8" x14ac:dyDescent="0.2">
      <c r="B338" s="268" t="s">
        <v>1893</v>
      </c>
      <c r="C338" s="269">
        <v>42467</v>
      </c>
      <c r="D338" s="270" t="s">
        <v>1928</v>
      </c>
      <c r="E338" s="270" t="s">
        <v>2256</v>
      </c>
      <c r="F338" s="271">
        <v>163</v>
      </c>
      <c r="G338" s="271"/>
      <c r="H338" s="271">
        <f t="shared" si="5"/>
        <v>163</v>
      </c>
    </row>
    <row r="339" spans="2:8" x14ac:dyDescent="0.2">
      <c r="B339" s="268" t="s">
        <v>1893</v>
      </c>
      <c r="C339" s="269">
        <v>42467</v>
      </c>
      <c r="D339" s="270" t="s">
        <v>1928</v>
      </c>
      <c r="E339" s="270" t="s">
        <v>2256</v>
      </c>
      <c r="F339" s="271">
        <v>29</v>
      </c>
      <c r="G339" s="271"/>
      <c r="H339" s="271">
        <f t="shared" si="5"/>
        <v>29</v>
      </c>
    </row>
    <row r="340" spans="2:8" x14ac:dyDescent="0.2">
      <c r="B340" s="268" t="s">
        <v>1879</v>
      </c>
      <c r="C340" s="269">
        <v>42467</v>
      </c>
      <c r="D340" s="270" t="s">
        <v>1901</v>
      </c>
      <c r="E340" s="270" t="s">
        <v>2257</v>
      </c>
      <c r="F340" s="271">
        <v>440</v>
      </c>
      <c r="G340" s="271"/>
      <c r="H340" s="271">
        <f t="shared" si="5"/>
        <v>440</v>
      </c>
    </row>
    <row r="341" spans="2:8" x14ac:dyDescent="0.2">
      <c r="B341" s="268" t="s">
        <v>1876</v>
      </c>
      <c r="C341" s="269">
        <v>42467</v>
      </c>
      <c r="D341" s="270" t="s">
        <v>1903</v>
      </c>
      <c r="E341" s="270" t="s">
        <v>2258</v>
      </c>
      <c r="F341" s="271">
        <v>991</v>
      </c>
      <c r="G341" s="271"/>
      <c r="H341" s="271">
        <f t="shared" si="5"/>
        <v>991</v>
      </c>
    </row>
    <row r="342" spans="2:8" x14ac:dyDescent="0.2">
      <c r="B342" s="268" t="s">
        <v>1868</v>
      </c>
      <c r="C342" s="269">
        <v>42468</v>
      </c>
      <c r="D342" s="270" t="s">
        <v>1919</v>
      </c>
      <c r="E342" s="270" t="s">
        <v>2259</v>
      </c>
      <c r="F342" s="271">
        <v>1000</v>
      </c>
      <c r="G342" s="271"/>
      <c r="H342" s="271">
        <f t="shared" si="5"/>
        <v>1000</v>
      </c>
    </row>
    <row r="343" spans="2:8" x14ac:dyDescent="0.2">
      <c r="B343" s="268" t="s">
        <v>1893</v>
      </c>
      <c r="C343" s="269">
        <v>42470</v>
      </c>
      <c r="D343" s="270" t="s">
        <v>2260</v>
      </c>
      <c r="E343" s="270" t="s">
        <v>2151</v>
      </c>
      <c r="F343" s="271">
        <v>100</v>
      </c>
      <c r="G343" s="271"/>
      <c r="H343" s="271">
        <f t="shared" si="5"/>
        <v>100</v>
      </c>
    </row>
    <row r="344" spans="2:8" x14ac:dyDescent="0.2">
      <c r="B344" s="268" t="s">
        <v>1875</v>
      </c>
      <c r="C344" s="269">
        <v>42470</v>
      </c>
      <c r="D344" s="270" t="s">
        <v>1912</v>
      </c>
      <c r="E344" s="270" t="s">
        <v>2261</v>
      </c>
      <c r="F344" s="271">
        <v>87</v>
      </c>
      <c r="G344" s="271"/>
      <c r="H344" s="271">
        <f t="shared" si="5"/>
        <v>87</v>
      </c>
    </row>
    <row r="345" spans="2:8" x14ac:dyDescent="0.2">
      <c r="B345" s="268" t="s">
        <v>1875</v>
      </c>
      <c r="C345" s="269">
        <v>42470</v>
      </c>
      <c r="D345" s="270" t="s">
        <v>1912</v>
      </c>
      <c r="E345" s="270" t="s">
        <v>2261</v>
      </c>
      <c r="F345" s="271">
        <v>120.2</v>
      </c>
      <c r="G345" s="271"/>
      <c r="H345" s="271">
        <f t="shared" si="5"/>
        <v>120.2</v>
      </c>
    </row>
    <row r="346" spans="2:8" x14ac:dyDescent="0.2">
      <c r="B346" s="268" t="s">
        <v>1875</v>
      </c>
      <c r="C346" s="269">
        <v>42471</v>
      </c>
      <c r="D346" s="270" t="s">
        <v>1899</v>
      </c>
      <c r="E346" s="270" t="s">
        <v>1909</v>
      </c>
      <c r="F346" s="271">
        <v>110</v>
      </c>
      <c r="G346" s="271"/>
      <c r="H346" s="271">
        <f t="shared" si="5"/>
        <v>110</v>
      </c>
    </row>
    <row r="347" spans="2:8" x14ac:dyDescent="0.2">
      <c r="B347" s="268" t="s">
        <v>1893</v>
      </c>
      <c r="C347" s="269">
        <v>42471</v>
      </c>
      <c r="D347" s="270" t="s">
        <v>1927</v>
      </c>
      <c r="E347" s="270" t="s">
        <v>2262</v>
      </c>
      <c r="F347" s="271">
        <v>56</v>
      </c>
      <c r="G347" s="271"/>
      <c r="H347" s="271">
        <f t="shared" si="5"/>
        <v>56</v>
      </c>
    </row>
    <row r="348" spans="2:8" x14ac:dyDescent="0.2">
      <c r="B348" s="268" t="s">
        <v>1893</v>
      </c>
      <c r="C348" s="269">
        <v>42471</v>
      </c>
      <c r="D348" s="270" t="s">
        <v>2263</v>
      </c>
      <c r="E348" s="270" t="s">
        <v>2264</v>
      </c>
      <c r="F348" s="271">
        <v>73.5</v>
      </c>
      <c r="G348" s="271"/>
      <c r="H348" s="271">
        <f t="shared" si="5"/>
        <v>73.5</v>
      </c>
    </row>
    <row r="349" spans="2:8" x14ac:dyDescent="0.2">
      <c r="B349" s="268" t="s">
        <v>1880</v>
      </c>
      <c r="C349" s="269">
        <v>42471</v>
      </c>
      <c r="D349" s="270" t="s">
        <v>2165</v>
      </c>
      <c r="E349" s="270" t="s">
        <v>2265</v>
      </c>
      <c r="F349" s="271">
        <v>511</v>
      </c>
      <c r="G349" s="271"/>
      <c r="H349" s="271">
        <f t="shared" si="5"/>
        <v>511</v>
      </c>
    </row>
    <row r="350" spans="2:8" x14ac:dyDescent="0.2">
      <c r="B350" s="268" t="s">
        <v>1879</v>
      </c>
      <c r="C350" s="269">
        <v>42471</v>
      </c>
      <c r="D350" s="270" t="s">
        <v>1901</v>
      </c>
      <c r="E350" s="270" t="s">
        <v>2266</v>
      </c>
      <c r="F350" s="271">
        <v>600</v>
      </c>
      <c r="G350" s="271"/>
      <c r="H350" s="271">
        <f t="shared" si="5"/>
        <v>600</v>
      </c>
    </row>
    <row r="351" spans="2:8" x14ac:dyDescent="0.2">
      <c r="B351" s="268" t="s">
        <v>1866</v>
      </c>
      <c r="C351" s="269">
        <v>42473</v>
      </c>
      <c r="D351" s="270" t="s">
        <v>1881</v>
      </c>
      <c r="E351" s="270" t="s">
        <v>2267</v>
      </c>
      <c r="F351" s="271">
        <v>550</v>
      </c>
      <c r="G351" s="271"/>
      <c r="H351" s="271">
        <f t="shared" si="5"/>
        <v>550</v>
      </c>
    </row>
    <row r="352" spans="2:8" x14ac:dyDescent="0.2">
      <c r="B352" s="268" t="s">
        <v>1879</v>
      </c>
      <c r="C352" s="269">
        <v>42473</v>
      </c>
      <c r="D352" s="270" t="s">
        <v>1901</v>
      </c>
      <c r="E352" s="270" t="s">
        <v>2268</v>
      </c>
      <c r="F352" s="271">
        <v>600</v>
      </c>
      <c r="G352" s="271"/>
      <c r="H352" s="271">
        <f t="shared" si="5"/>
        <v>600</v>
      </c>
    </row>
    <row r="353" spans="2:8" x14ac:dyDescent="0.2">
      <c r="B353" s="268" t="s">
        <v>1814</v>
      </c>
      <c r="C353" s="269">
        <v>42474</v>
      </c>
      <c r="D353" s="270" t="s">
        <v>1920</v>
      </c>
      <c r="E353" s="270" t="s">
        <v>2120</v>
      </c>
      <c r="F353" s="271">
        <v>263.2</v>
      </c>
      <c r="G353" s="271"/>
      <c r="H353" s="271">
        <f t="shared" si="5"/>
        <v>263.2</v>
      </c>
    </row>
    <row r="354" spans="2:8" x14ac:dyDescent="0.2">
      <c r="B354" s="268" t="s">
        <v>1814</v>
      </c>
      <c r="C354" s="269">
        <v>42474</v>
      </c>
      <c r="D354" s="270" t="s">
        <v>1927</v>
      </c>
      <c r="E354" s="270" t="s">
        <v>2269</v>
      </c>
      <c r="F354" s="271">
        <v>120</v>
      </c>
      <c r="G354" s="271"/>
      <c r="H354" s="271">
        <f t="shared" si="5"/>
        <v>120</v>
      </c>
    </row>
    <row r="355" spans="2:8" x14ac:dyDescent="0.2">
      <c r="B355" s="268" t="s">
        <v>1799</v>
      </c>
      <c r="C355" s="331">
        <v>42474</v>
      </c>
      <c r="D355" s="270" t="s">
        <v>1918</v>
      </c>
      <c r="E355" s="270" t="s">
        <v>2270</v>
      </c>
      <c r="F355" s="271"/>
      <c r="G355" s="271">
        <v>1760</v>
      </c>
      <c r="H355" s="271">
        <f t="shared" si="5"/>
        <v>1760</v>
      </c>
    </row>
    <row r="356" spans="2:8" x14ac:dyDescent="0.2">
      <c r="B356" s="268" t="s">
        <v>1814</v>
      </c>
      <c r="C356" s="269">
        <v>42474</v>
      </c>
      <c r="D356" s="270" t="s">
        <v>1897</v>
      </c>
      <c r="E356" s="270" t="s">
        <v>2271</v>
      </c>
      <c r="F356" s="271">
        <v>1055.17</v>
      </c>
      <c r="G356" s="271">
        <v>168.83</v>
      </c>
      <c r="H356" s="271">
        <f t="shared" si="5"/>
        <v>1224</v>
      </c>
    </row>
    <row r="357" spans="2:8" x14ac:dyDescent="0.2">
      <c r="B357" s="268" t="s">
        <v>1814</v>
      </c>
      <c r="C357" s="269">
        <v>42474</v>
      </c>
      <c r="D357" s="270" t="s">
        <v>2272</v>
      </c>
      <c r="E357" s="270" t="s">
        <v>2273</v>
      </c>
      <c r="F357" s="271">
        <v>76</v>
      </c>
      <c r="G357" s="271"/>
      <c r="H357" s="271">
        <f t="shared" si="5"/>
        <v>76</v>
      </c>
    </row>
    <row r="358" spans="2:8" x14ac:dyDescent="0.2">
      <c r="B358" s="268" t="s">
        <v>1868</v>
      </c>
      <c r="C358" s="269">
        <v>42475</v>
      </c>
      <c r="D358" s="270" t="s">
        <v>1919</v>
      </c>
      <c r="E358" s="270" t="s">
        <v>2274</v>
      </c>
      <c r="F358" s="271">
        <v>1000</v>
      </c>
      <c r="G358" s="271"/>
      <c r="H358" s="271">
        <f t="shared" si="5"/>
        <v>1000</v>
      </c>
    </row>
    <row r="359" spans="2:8" x14ac:dyDescent="0.2">
      <c r="B359" s="268" t="s">
        <v>1893</v>
      </c>
      <c r="C359" s="269">
        <v>42475</v>
      </c>
      <c r="D359" s="270" t="s">
        <v>1882</v>
      </c>
      <c r="E359" s="270" t="s">
        <v>2275</v>
      </c>
      <c r="F359" s="271">
        <v>450</v>
      </c>
      <c r="G359" s="271"/>
      <c r="H359" s="271">
        <f t="shared" si="5"/>
        <v>450</v>
      </c>
    </row>
    <row r="360" spans="2:8" x14ac:dyDescent="0.2">
      <c r="B360" s="268" t="s">
        <v>1875</v>
      </c>
      <c r="C360" s="269">
        <v>42475</v>
      </c>
      <c r="D360" s="270" t="s">
        <v>1899</v>
      </c>
      <c r="E360" s="270" t="s">
        <v>1913</v>
      </c>
      <c r="F360" s="271">
        <v>185</v>
      </c>
      <c r="G360" s="271"/>
      <c r="H360" s="271">
        <f t="shared" si="5"/>
        <v>185</v>
      </c>
    </row>
    <row r="361" spans="2:8" x14ac:dyDescent="0.2">
      <c r="B361" s="268" t="s">
        <v>1585</v>
      </c>
      <c r="C361" s="269">
        <v>42475</v>
      </c>
      <c r="D361" s="270" t="s">
        <v>1895</v>
      </c>
      <c r="E361" s="270" t="s">
        <v>2276</v>
      </c>
      <c r="F361" s="271">
        <v>2700</v>
      </c>
      <c r="G361" s="271"/>
      <c r="H361" s="271">
        <f t="shared" si="5"/>
        <v>2700</v>
      </c>
    </row>
    <row r="362" spans="2:8" x14ac:dyDescent="0.2">
      <c r="B362" s="268" t="s">
        <v>1585</v>
      </c>
      <c r="C362" s="269">
        <v>42475</v>
      </c>
      <c r="D362" s="270" t="s">
        <v>1908</v>
      </c>
      <c r="E362" s="270" t="s">
        <v>2277</v>
      </c>
      <c r="F362" s="271">
        <v>29000</v>
      </c>
      <c r="G362" s="271"/>
      <c r="H362" s="271">
        <f t="shared" si="5"/>
        <v>29000</v>
      </c>
    </row>
    <row r="363" spans="2:8" x14ac:dyDescent="0.2">
      <c r="B363" s="268" t="s">
        <v>1868</v>
      </c>
      <c r="C363" s="269">
        <v>42475</v>
      </c>
      <c r="D363" s="270" t="s">
        <v>1920</v>
      </c>
      <c r="E363" s="270" t="s">
        <v>1944</v>
      </c>
      <c r="F363" s="271">
        <v>4000</v>
      </c>
      <c r="G363" s="271"/>
      <c r="H363" s="271">
        <f t="shared" si="5"/>
        <v>4000</v>
      </c>
    </row>
    <row r="364" spans="2:8" x14ac:dyDescent="0.2">
      <c r="B364" s="268" t="s">
        <v>1879</v>
      </c>
      <c r="C364" s="269">
        <v>42476</v>
      </c>
      <c r="D364" s="270" t="s">
        <v>1901</v>
      </c>
      <c r="E364" s="270" t="s">
        <v>2278</v>
      </c>
      <c r="F364" s="271">
        <v>1400</v>
      </c>
      <c r="G364" s="271"/>
      <c r="H364" s="271">
        <f t="shared" si="5"/>
        <v>1400</v>
      </c>
    </row>
    <row r="365" spans="2:8" x14ac:dyDescent="0.2">
      <c r="B365" s="268" t="s">
        <v>1893</v>
      </c>
      <c r="C365" s="269">
        <v>42477</v>
      </c>
      <c r="D365" s="270" t="s">
        <v>2260</v>
      </c>
      <c r="E365" s="270" t="s">
        <v>2151</v>
      </c>
      <c r="F365" s="271">
        <v>100</v>
      </c>
      <c r="G365" s="271"/>
      <c r="H365" s="271">
        <f t="shared" si="5"/>
        <v>100</v>
      </c>
    </row>
    <row r="366" spans="2:8" x14ac:dyDescent="0.2">
      <c r="B366" s="268" t="s">
        <v>1893</v>
      </c>
      <c r="C366" s="269">
        <v>42477</v>
      </c>
      <c r="D366" s="270" t="s">
        <v>2279</v>
      </c>
      <c r="E366" s="270" t="s">
        <v>2280</v>
      </c>
      <c r="F366" s="271">
        <v>5</v>
      </c>
      <c r="G366" s="271"/>
      <c r="H366" s="271">
        <f t="shared" si="5"/>
        <v>5</v>
      </c>
    </row>
    <row r="367" spans="2:8" x14ac:dyDescent="0.2">
      <c r="B367" s="268" t="s">
        <v>1893</v>
      </c>
      <c r="C367" s="269">
        <v>42477</v>
      </c>
      <c r="D367" s="270" t="s">
        <v>1912</v>
      </c>
      <c r="E367" s="270" t="s">
        <v>2261</v>
      </c>
      <c r="F367" s="271">
        <v>139</v>
      </c>
      <c r="G367" s="271"/>
      <c r="H367" s="271">
        <f t="shared" si="5"/>
        <v>139</v>
      </c>
    </row>
    <row r="368" spans="2:8" x14ac:dyDescent="0.2">
      <c r="B368" s="268" t="s">
        <v>1893</v>
      </c>
      <c r="C368" s="269">
        <v>42477</v>
      </c>
      <c r="D368" s="270" t="s">
        <v>1882</v>
      </c>
      <c r="E368" s="270" t="s">
        <v>2281</v>
      </c>
      <c r="F368" s="271">
        <v>100</v>
      </c>
      <c r="G368" s="271"/>
      <c r="H368" s="271">
        <f t="shared" si="5"/>
        <v>100</v>
      </c>
    </row>
    <row r="369" spans="2:8" x14ac:dyDescent="0.2">
      <c r="B369" s="268" t="s">
        <v>1893</v>
      </c>
      <c r="C369" s="269">
        <v>42477</v>
      </c>
      <c r="D369" s="270" t="s">
        <v>1924</v>
      </c>
      <c r="E369" s="270" t="s">
        <v>2282</v>
      </c>
      <c r="F369" s="271">
        <v>500</v>
      </c>
      <c r="G369" s="271"/>
      <c r="H369" s="271">
        <f t="shared" si="5"/>
        <v>500</v>
      </c>
    </row>
    <row r="370" spans="2:8" x14ac:dyDescent="0.2">
      <c r="B370" s="268" t="s">
        <v>1875</v>
      </c>
      <c r="C370" s="269">
        <v>42478</v>
      </c>
      <c r="D370" s="270" t="s">
        <v>1899</v>
      </c>
      <c r="E370" s="270" t="s">
        <v>1909</v>
      </c>
      <c r="F370" s="271">
        <v>110</v>
      </c>
      <c r="G370" s="271"/>
      <c r="H370" s="271">
        <f t="shared" si="5"/>
        <v>110</v>
      </c>
    </row>
    <row r="371" spans="2:8" x14ac:dyDescent="0.2">
      <c r="B371" s="268" t="s">
        <v>1893</v>
      </c>
      <c r="C371" s="269">
        <v>42478</v>
      </c>
      <c r="D371" s="270" t="s">
        <v>2283</v>
      </c>
      <c r="E371" s="270" t="s">
        <v>1964</v>
      </c>
      <c r="F371" s="271">
        <v>287</v>
      </c>
      <c r="G371" s="271"/>
      <c r="H371" s="271">
        <f t="shared" si="5"/>
        <v>287</v>
      </c>
    </row>
    <row r="372" spans="2:8" x14ac:dyDescent="0.2">
      <c r="B372" s="268" t="s">
        <v>1884</v>
      </c>
      <c r="C372" s="269">
        <v>42479</v>
      </c>
      <c r="D372" s="270" t="s">
        <v>2284</v>
      </c>
      <c r="E372" s="270" t="s">
        <v>1951</v>
      </c>
      <c r="F372" s="271">
        <v>329.6</v>
      </c>
      <c r="G372" s="271"/>
      <c r="H372" s="271">
        <f t="shared" si="5"/>
        <v>329.6</v>
      </c>
    </row>
    <row r="373" spans="2:8" x14ac:dyDescent="0.2">
      <c r="B373" s="268" t="s">
        <v>1884</v>
      </c>
      <c r="C373" s="269">
        <v>42479</v>
      </c>
      <c r="D373" s="270" t="s">
        <v>2284</v>
      </c>
      <c r="E373" s="270" t="s">
        <v>1951</v>
      </c>
      <c r="F373" s="271">
        <v>19.5</v>
      </c>
      <c r="G373" s="271"/>
      <c r="H373" s="271">
        <f t="shared" si="5"/>
        <v>19.5</v>
      </c>
    </row>
    <row r="374" spans="2:8" x14ac:dyDescent="0.2">
      <c r="B374" s="268" t="s">
        <v>1893</v>
      </c>
      <c r="C374" s="269">
        <v>42481</v>
      </c>
      <c r="D374" s="270" t="s">
        <v>1921</v>
      </c>
      <c r="E374" s="270" t="s">
        <v>2177</v>
      </c>
      <c r="F374" s="271">
        <v>227.91</v>
      </c>
      <c r="G374" s="271">
        <v>35.29</v>
      </c>
      <c r="H374" s="271">
        <f t="shared" si="5"/>
        <v>263.2</v>
      </c>
    </row>
    <row r="375" spans="2:8" x14ac:dyDescent="0.2">
      <c r="B375" s="268" t="s">
        <v>1893</v>
      </c>
      <c r="C375" s="269">
        <v>42481</v>
      </c>
      <c r="D375" s="270" t="s">
        <v>1902</v>
      </c>
      <c r="E375" s="270" t="s">
        <v>2285</v>
      </c>
      <c r="F375" s="271">
        <v>112.92</v>
      </c>
      <c r="G375" s="271"/>
      <c r="H375" s="271">
        <f t="shared" si="5"/>
        <v>112.92</v>
      </c>
    </row>
    <row r="376" spans="2:8" x14ac:dyDescent="0.2">
      <c r="B376" s="268" t="s">
        <v>1893</v>
      </c>
      <c r="C376" s="269">
        <v>42481</v>
      </c>
      <c r="D376" s="270" t="s">
        <v>1934</v>
      </c>
      <c r="E376" s="270" t="s">
        <v>2286</v>
      </c>
      <c r="F376" s="271">
        <v>5</v>
      </c>
      <c r="G376" s="271"/>
      <c r="H376" s="271">
        <f t="shared" si="5"/>
        <v>5</v>
      </c>
    </row>
    <row r="377" spans="2:8" x14ac:dyDescent="0.2">
      <c r="B377" s="268" t="s">
        <v>1868</v>
      </c>
      <c r="C377" s="269">
        <v>42482</v>
      </c>
      <c r="D377" s="270" t="s">
        <v>1919</v>
      </c>
      <c r="E377" s="270" t="s">
        <v>2287</v>
      </c>
      <c r="F377" s="271">
        <v>1000</v>
      </c>
      <c r="G377" s="271"/>
      <c r="H377" s="271">
        <f t="shared" si="5"/>
        <v>1000</v>
      </c>
    </row>
    <row r="378" spans="2:8" x14ac:dyDescent="0.2">
      <c r="B378" s="268" t="s">
        <v>1875</v>
      </c>
      <c r="C378" s="269">
        <v>42482</v>
      </c>
      <c r="D378" s="270" t="s">
        <v>1899</v>
      </c>
      <c r="E378" s="270" t="s">
        <v>1913</v>
      </c>
      <c r="F378" s="271">
        <v>142</v>
      </c>
      <c r="G378" s="271"/>
      <c r="H378" s="271">
        <f t="shared" si="5"/>
        <v>142</v>
      </c>
    </row>
    <row r="379" spans="2:8" x14ac:dyDescent="0.2">
      <c r="B379" s="268" t="s">
        <v>1875</v>
      </c>
      <c r="C379" s="269">
        <v>42484</v>
      </c>
      <c r="D379" s="270" t="s">
        <v>1912</v>
      </c>
      <c r="E379" s="270" t="s">
        <v>2288</v>
      </c>
      <c r="F379" s="271">
        <v>48</v>
      </c>
      <c r="G379" s="271"/>
      <c r="H379" s="271">
        <f t="shared" si="5"/>
        <v>48</v>
      </c>
    </row>
    <row r="380" spans="2:8" x14ac:dyDescent="0.2">
      <c r="B380" s="268" t="s">
        <v>1893</v>
      </c>
      <c r="C380" s="269">
        <v>42484</v>
      </c>
      <c r="D380" s="270" t="s">
        <v>2289</v>
      </c>
      <c r="E380" s="270" t="s">
        <v>2151</v>
      </c>
      <c r="F380" s="271">
        <v>100</v>
      </c>
      <c r="G380" s="271"/>
      <c r="H380" s="271">
        <f t="shared" si="5"/>
        <v>100</v>
      </c>
    </row>
    <row r="381" spans="2:8" x14ac:dyDescent="0.2">
      <c r="B381" s="268" t="s">
        <v>1893</v>
      </c>
      <c r="C381" s="269">
        <v>42484</v>
      </c>
      <c r="D381" s="270" t="s">
        <v>2485</v>
      </c>
      <c r="E381" s="270" t="s">
        <v>2098</v>
      </c>
      <c r="F381" s="271">
        <v>111</v>
      </c>
      <c r="G381" s="271"/>
      <c r="H381" s="271">
        <f t="shared" si="5"/>
        <v>111</v>
      </c>
    </row>
    <row r="382" spans="2:8" x14ac:dyDescent="0.2">
      <c r="B382" s="268" t="s">
        <v>1875</v>
      </c>
      <c r="C382" s="269">
        <v>42485</v>
      </c>
      <c r="D382" s="270" t="s">
        <v>1899</v>
      </c>
      <c r="E382" s="270" t="s">
        <v>1909</v>
      </c>
      <c r="F382" s="271">
        <v>110</v>
      </c>
      <c r="G382" s="271"/>
      <c r="H382" s="271">
        <f t="shared" si="5"/>
        <v>110</v>
      </c>
    </row>
    <row r="383" spans="2:8" x14ac:dyDescent="0.2">
      <c r="B383" s="268" t="s">
        <v>1875</v>
      </c>
      <c r="C383" s="269">
        <v>42485</v>
      </c>
      <c r="D383" s="270" t="s">
        <v>1912</v>
      </c>
      <c r="E383" s="270" t="s">
        <v>2290</v>
      </c>
      <c r="F383" s="271">
        <v>149.19999999999999</v>
      </c>
      <c r="G383" s="271"/>
      <c r="H383" s="271">
        <f t="shared" si="5"/>
        <v>149.19999999999999</v>
      </c>
    </row>
    <row r="384" spans="2:8" x14ac:dyDescent="0.2">
      <c r="B384" s="268" t="s">
        <v>1879</v>
      </c>
      <c r="C384" s="269">
        <v>42486</v>
      </c>
      <c r="D384" s="270" t="s">
        <v>1901</v>
      </c>
      <c r="E384" s="270" t="s">
        <v>2291</v>
      </c>
      <c r="F384" s="271">
        <v>350</v>
      </c>
      <c r="G384" s="271"/>
      <c r="H384" s="271">
        <f t="shared" si="5"/>
        <v>350</v>
      </c>
    </row>
    <row r="385" spans="2:8" x14ac:dyDescent="0.2">
      <c r="B385" s="268" t="s">
        <v>1869</v>
      </c>
      <c r="C385" s="269">
        <v>42486</v>
      </c>
      <c r="D385" s="270" t="s">
        <v>1935</v>
      </c>
      <c r="E385" s="270" t="s">
        <v>2292</v>
      </c>
      <c r="F385" s="271">
        <v>180</v>
      </c>
      <c r="G385" s="271"/>
      <c r="H385" s="271">
        <f t="shared" si="5"/>
        <v>180</v>
      </c>
    </row>
    <row r="386" spans="2:8" x14ac:dyDescent="0.2">
      <c r="B386" s="268" t="s">
        <v>1869</v>
      </c>
      <c r="C386" s="269">
        <v>42486</v>
      </c>
      <c r="D386" s="270" t="s">
        <v>1935</v>
      </c>
      <c r="E386" s="270" t="s">
        <v>2293</v>
      </c>
      <c r="F386" s="271">
        <v>15</v>
      </c>
      <c r="G386" s="271"/>
      <c r="H386" s="271">
        <f t="shared" si="5"/>
        <v>15</v>
      </c>
    </row>
    <row r="387" spans="2:8" x14ac:dyDescent="0.2">
      <c r="B387" s="268" t="s">
        <v>1875</v>
      </c>
      <c r="C387" s="269">
        <v>42486</v>
      </c>
      <c r="D387" s="270" t="s">
        <v>1912</v>
      </c>
      <c r="E387" s="270" t="s">
        <v>2288</v>
      </c>
      <c r="F387" s="271">
        <v>21.5</v>
      </c>
      <c r="G387" s="271"/>
      <c r="H387" s="271">
        <f t="shared" si="5"/>
        <v>21.5</v>
      </c>
    </row>
    <row r="388" spans="2:8" x14ac:dyDescent="0.2">
      <c r="B388" s="268" t="s">
        <v>1874</v>
      </c>
      <c r="C388" s="269">
        <v>42486</v>
      </c>
      <c r="D388" s="270" t="s">
        <v>1946</v>
      </c>
      <c r="E388" s="270" t="s">
        <v>2294</v>
      </c>
      <c r="F388" s="271">
        <v>600</v>
      </c>
      <c r="G388" s="271"/>
      <c r="H388" s="271">
        <f t="shared" si="5"/>
        <v>600</v>
      </c>
    </row>
    <row r="389" spans="2:8" x14ac:dyDescent="0.2">
      <c r="B389" s="268" t="s">
        <v>1866</v>
      </c>
      <c r="C389" s="269">
        <v>42486</v>
      </c>
      <c r="D389" s="270" t="s">
        <v>1898</v>
      </c>
      <c r="E389" s="270" t="s">
        <v>2295</v>
      </c>
      <c r="F389" s="271">
        <v>350</v>
      </c>
      <c r="G389" s="271"/>
      <c r="H389" s="271">
        <f t="shared" ref="H389:H452" si="6">SUM(F389:G389)</f>
        <v>350</v>
      </c>
    </row>
    <row r="390" spans="2:8" x14ac:dyDescent="0.2">
      <c r="B390" s="268" t="s">
        <v>1879</v>
      </c>
      <c r="C390" s="269">
        <v>42486</v>
      </c>
      <c r="D390" s="270" t="s">
        <v>1901</v>
      </c>
      <c r="E390" s="270" t="s">
        <v>2296</v>
      </c>
      <c r="F390" s="271">
        <v>600</v>
      </c>
      <c r="G390" s="271"/>
      <c r="H390" s="271">
        <f t="shared" si="6"/>
        <v>600</v>
      </c>
    </row>
    <row r="391" spans="2:8" x14ac:dyDescent="0.2">
      <c r="B391" s="268" t="s">
        <v>1871</v>
      </c>
      <c r="C391" s="269">
        <v>42486</v>
      </c>
      <c r="D391" s="270" t="s">
        <v>2961</v>
      </c>
      <c r="E391" s="270" t="s">
        <v>2297</v>
      </c>
      <c r="F391" s="271">
        <v>1265.521</v>
      </c>
      <c r="G391" s="271">
        <v>202.48</v>
      </c>
      <c r="H391" s="271">
        <f t="shared" si="6"/>
        <v>1468.001</v>
      </c>
    </row>
    <row r="392" spans="2:8" x14ac:dyDescent="0.2">
      <c r="B392" s="268" t="s">
        <v>1884</v>
      </c>
      <c r="C392" s="269">
        <v>42488</v>
      </c>
      <c r="D392" s="270" t="s">
        <v>1902</v>
      </c>
      <c r="E392" s="270" t="s">
        <v>2118</v>
      </c>
      <c r="F392" s="271">
        <v>86.08</v>
      </c>
      <c r="G392" s="271">
        <v>9.52</v>
      </c>
      <c r="H392" s="271">
        <f t="shared" si="6"/>
        <v>95.6</v>
      </c>
    </row>
    <row r="393" spans="2:8" x14ac:dyDescent="0.2">
      <c r="B393" s="268" t="s">
        <v>1893</v>
      </c>
      <c r="C393" s="269">
        <v>42488</v>
      </c>
      <c r="D393" s="270" t="s">
        <v>2210</v>
      </c>
      <c r="E393" s="270" t="s">
        <v>2177</v>
      </c>
      <c r="F393" s="271">
        <v>227.91</v>
      </c>
      <c r="G393" s="271">
        <v>35.29</v>
      </c>
      <c r="H393" s="271">
        <f t="shared" si="6"/>
        <v>263.2</v>
      </c>
    </row>
    <row r="394" spans="2:8" x14ac:dyDescent="0.2">
      <c r="B394" s="268" t="s">
        <v>1893</v>
      </c>
      <c r="C394" s="269">
        <v>42488</v>
      </c>
      <c r="D394" s="270" t="s">
        <v>2298</v>
      </c>
      <c r="E394" s="270" t="s">
        <v>2299</v>
      </c>
      <c r="F394" s="271">
        <v>32</v>
      </c>
      <c r="G394" s="271"/>
      <c r="H394" s="271">
        <f t="shared" si="6"/>
        <v>32</v>
      </c>
    </row>
    <row r="395" spans="2:8" x14ac:dyDescent="0.2">
      <c r="B395" s="268" t="s">
        <v>1893</v>
      </c>
      <c r="C395" s="269">
        <v>42488</v>
      </c>
      <c r="D395" s="270" t="s">
        <v>1934</v>
      </c>
      <c r="E395" s="270" t="s">
        <v>2300</v>
      </c>
      <c r="F395" s="271">
        <v>20</v>
      </c>
      <c r="G395" s="271"/>
      <c r="H395" s="271">
        <f t="shared" si="6"/>
        <v>20</v>
      </c>
    </row>
    <row r="396" spans="2:8" x14ac:dyDescent="0.2">
      <c r="B396" s="268" t="s">
        <v>1866</v>
      </c>
      <c r="C396" s="269">
        <v>42488</v>
      </c>
      <c r="D396" s="270" t="s">
        <v>1881</v>
      </c>
      <c r="E396" s="270" t="s">
        <v>2301</v>
      </c>
      <c r="F396" s="271">
        <v>400</v>
      </c>
      <c r="G396" s="271"/>
      <c r="H396" s="271">
        <f t="shared" si="6"/>
        <v>400</v>
      </c>
    </row>
    <row r="397" spans="2:8" x14ac:dyDescent="0.2">
      <c r="B397" s="268" t="s">
        <v>1893</v>
      </c>
      <c r="C397" s="269">
        <v>42488</v>
      </c>
      <c r="D397" s="270" t="s">
        <v>2298</v>
      </c>
      <c r="E397" s="270" t="s">
        <v>2302</v>
      </c>
      <c r="F397" s="271">
        <v>140</v>
      </c>
      <c r="G397" s="271"/>
      <c r="H397" s="271">
        <f t="shared" si="6"/>
        <v>140</v>
      </c>
    </row>
    <row r="398" spans="2:8" x14ac:dyDescent="0.2">
      <c r="B398" s="268" t="s">
        <v>1893</v>
      </c>
      <c r="C398" s="269">
        <v>42488</v>
      </c>
      <c r="D398" s="270" t="s">
        <v>2165</v>
      </c>
      <c r="E398" s="270" t="s">
        <v>2303</v>
      </c>
      <c r="F398" s="271">
        <v>500</v>
      </c>
      <c r="G398" s="271"/>
      <c r="H398" s="271">
        <f t="shared" si="6"/>
        <v>500</v>
      </c>
    </row>
    <row r="399" spans="2:8" x14ac:dyDescent="0.2">
      <c r="B399" s="268" t="s">
        <v>1868</v>
      </c>
      <c r="C399" s="269">
        <v>42489</v>
      </c>
      <c r="D399" s="270" t="s">
        <v>1919</v>
      </c>
      <c r="E399" s="270" t="s">
        <v>2304</v>
      </c>
      <c r="F399" s="271">
        <v>1000</v>
      </c>
      <c r="G399" s="271"/>
      <c r="H399" s="271">
        <f t="shared" si="6"/>
        <v>1000</v>
      </c>
    </row>
    <row r="400" spans="2:8" x14ac:dyDescent="0.2">
      <c r="B400" s="268" t="s">
        <v>1875</v>
      </c>
      <c r="C400" s="269">
        <v>42489</v>
      </c>
      <c r="D400" s="270" t="s">
        <v>1899</v>
      </c>
      <c r="E400" s="270" t="s">
        <v>1922</v>
      </c>
      <c r="F400" s="271">
        <v>175</v>
      </c>
      <c r="G400" s="271"/>
      <c r="H400" s="271">
        <f t="shared" si="6"/>
        <v>175</v>
      </c>
    </row>
    <row r="401" spans="2:8" x14ac:dyDescent="0.2">
      <c r="B401" s="268" t="s">
        <v>1893</v>
      </c>
      <c r="C401" s="269">
        <v>42489</v>
      </c>
      <c r="D401" s="270" t="s">
        <v>1882</v>
      </c>
      <c r="E401" s="270" t="s">
        <v>2305</v>
      </c>
      <c r="F401" s="271">
        <v>100</v>
      </c>
      <c r="G401" s="271"/>
      <c r="H401" s="271">
        <f t="shared" si="6"/>
        <v>100</v>
      </c>
    </row>
    <row r="402" spans="2:8" x14ac:dyDescent="0.2">
      <c r="B402" s="268" t="s">
        <v>1893</v>
      </c>
      <c r="C402" s="269">
        <v>42489</v>
      </c>
      <c r="D402" s="270" t="s">
        <v>1882</v>
      </c>
      <c r="E402" s="270" t="s">
        <v>2306</v>
      </c>
      <c r="F402" s="271">
        <v>450</v>
      </c>
      <c r="G402" s="271"/>
      <c r="H402" s="271">
        <f t="shared" si="6"/>
        <v>450</v>
      </c>
    </row>
    <row r="403" spans="2:8" x14ac:dyDescent="0.2">
      <c r="B403" s="268" t="s">
        <v>1893</v>
      </c>
      <c r="C403" s="269">
        <v>42490</v>
      </c>
      <c r="D403" s="270" t="s">
        <v>1905</v>
      </c>
      <c r="E403" s="270" t="s">
        <v>2307</v>
      </c>
      <c r="F403" s="271">
        <v>650</v>
      </c>
      <c r="G403" s="271"/>
      <c r="H403" s="271">
        <f t="shared" si="6"/>
        <v>650</v>
      </c>
    </row>
    <row r="404" spans="2:8" x14ac:dyDescent="0.2">
      <c r="B404" s="268" t="s">
        <v>1893</v>
      </c>
      <c r="C404" s="269">
        <v>42490</v>
      </c>
      <c r="D404" s="270" t="s">
        <v>2260</v>
      </c>
      <c r="E404" s="270" t="s">
        <v>2308</v>
      </c>
      <c r="F404" s="271">
        <v>100</v>
      </c>
      <c r="G404" s="271"/>
      <c r="H404" s="271">
        <f t="shared" si="6"/>
        <v>100</v>
      </c>
    </row>
    <row r="405" spans="2:8" x14ac:dyDescent="0.2">
      <c r="B405" s="268" t="s">
        <v>1879</v>
      </c>
      <c r="C405" s="269">
        <v>42490</v>
      </c>
      <c r="D405" s="270" t="s">
        <v>1901</v>
      </c>
      <c r="E405" s="270" t="s">
        <v>2309</v>
      </c>
      <c r="F405" s="271">
        <v>200</v>
      </c>
      <c r="G405" s="271"/>
      <c r="H405" s="271">
        <f t="shared" si="6"/>
        <v>200</v>
      </c>
    </row>
    <row r="406" spans="2:8" x14ac:dyDescent="0.2">
      <c r="B406" s="268" t="s">
        <v>1879</v>
      </c>
      <c r="C406" s="269">
        <v>42490</v>
      </c>
      <c r="D406" s="270" t="s">
        <v>1901</v>
      </c>
      <c r="E406" s="270" t="s">
        <v>2310</v>
      </c>
      <c r="F406" s="271">
        <v>350</v>
      </c>
      <c r="G406" s="271"/>
      <c r="H406" s="271">
        <f t="shared" si="6"/>
        <v>350</v>
      </c>
    </row>
    <row r="407" spans="2:8" x14ac:dyDescent="0.2">
      <c r="B407" s="268" t="s">
        <v>1585</v>
      </c>
      <c r="C407" s="269">
        <v>42490</v>
      </c>
      <c r="D407" s="270" t="s">
        <v>1895</v>
      </c>
      <c r="E407" s="270" t="s">
        <v>2311</v>
      </c>
      <c r="F407" s="271">
        <v>2700</v>
      </c>
      <c r="G407" s="271"/>
      <c r="H407" s="271">
        <f t="shared" si="6"/>
        <v>2700</v>
      </c>
    </row>
    <row r="408" spans="2:8" x14ac:dyDescent="0.2">
      <c r="B408" s="268" t="s">
        <v>1585</v>
      </c>
      <c r="C408" s="269">
        <v>42490</v>
      </c>
      <c r="D408" s="270" t="s">
        <v>1908</v>
      </c>
      <c r="E408" s="270" t="s">
        <v>2312</v>
      </c>
      <c r="F408" s="271">
        <v>20000</v>
      </c>
      <c r="G408" s="271"/>
      <c r="H408" s="271">
        <f t="shared" si="6"/>
        <v>20000</v>
      </c>
    </row>
    <row r="409" spans="2:8" x14ac:dyDescent="0.2">
      <c r="B409" s="268" t="s">
        <v>1868</v>
      </c>
      <c r="C409" s="269">
        <v>42490</v>
      </c>
      <c r="D409" s="270" t="s">
        <v>1920</v>
      </c>
      <c r="E409" s="270" t="s">
        <v>1940</v>
      </c>
      <c r="F409" s="271">
        <v>4000</v>
      </c>
      <c r="G409" s="271"/>
      <c r="H409" s="271">
        <f t="shared" si="6"/>
        <v>4000</v>
      </c>
    </row>
    <row r="410" spans="2:8" x14ac:dyDescent="0.2">
      <c r="B410" s="268" t="s">
        <v>1799</v>
      </c>
      <c r="C410" s="269">
        <v>42480</v>
      </c>
      <c r="D410" s="270" t="s">
        <v>1918</v>
      </c>
      <c r="E410" s="270" t="s">
        <v>2313</v>
      </c>
      <c r="F410" s="271"/>
      <c r="G410" s="271">
        <v>-1760</v>
      </c>
      <c r="H410" s="271">
        <f t="shared" si="6"/>
        <v>-1760</v>
      </c>
    </row>
    <row r="411" spans="2:8" x14ac:dyDescent="0.2">
      <c r="B411" s="268" t="s">
        <v>1896</v>
      </c>
      <c r="C411" s="269">
        <v>42480</v>
      </c>
      <c r="D411" s="270" t="s">
        <v>1537</v>
      </c>
      <c r="E411" s="270" t="s">
        <v>1539</v>
      </c>
      <c r="F411" s="271">
        <v>-0.46</v>
      </c>
      <c r="G411" s="271"/>
      <c r="H411" s="271">
        <f t="shared" si="6"/>
        <v>-0.46</v>
      </c>
    </row>
    <row r="412" spans="2:8" x14ac:dyDescent="0.2">
      <c r="B412" s="268" t="s">
        <v>1896</v>
      </c>
      <c r="C412" s="269">
        <v>42489</v>
      </c>
      <c r="D412" s="270" t="s">
        <v>1606</v>
      </c>
      <c r="E412" s="270" t="s">
        <v>2314</v>
      </c>
      <c r="F412" s="271">
        <v>84</v>
      </c>
      <c r="G412" s="271"/>
      <c r="H412" s="271">
        <f t="shared" si="6"/>
        <v>84</v>
      </c>
    </row>
    <row r="413" spans="2:8" x14ac:dyDescent="0.2">
      <c r="B413" s="268" t="s">
        <v>2315</v>
      </c>
      <c r="C413" s="269">
        <v>42489</v>
      </c>
      <c r="D413" s="270" t="s">
        <v>1606</v>
      </c>
      <c r="E413" s="270" t="s">
        <v>2240</v>
      </c>
      <c r="F413" s="271"/>
      <c r="G413" s="271">
        <v>13.44</v>
      </c>
      <c r="H413" s="271">
        <f t="shared" si="6"/>
        <v>13.44</v>
      </c>
    </row>
    <row r="414" spans="2:8" x14ac:dyDescent="0.2">
      <c r="B414" s="272" t="s">
        <v>1799</v>
      </c>
      <c r="C414" s="330">
        <v>42486</v>
      </c>
      <c r="D414" s="274" t="s">
        <v>1918</v>
      </c>
      <c r="E414" s="274" t="s">
        <v>2316</v>
      </c>
      <c r="F414" s="275"/>
      <c r="G414" s="275"/>
      <c r="H414" s="275">
        <f t="shared" si="6"/>
        <v>0</v>
      </c>
    </row>
    <row r="415" spans="2:8" ht="18" customHeight="1" x14ac:dyDescent="0.2">
      <c r="B415" s="276" t="s">
        <v>1859</v>
      </c>
      <c r="C415" s="276" t="s">
        <v>1860</v>
      </c>
      <c r="D415" s="277" t="s">
        <v>1861</v>
      </c>
      <c r="E415" s="277" t="s">
        <v>1862</v>
      </c>
      <c r="F415" s="278" t="s">
        <v>1863</v>
      </c>
      <c r="G415" s="278" t="s">
        <v>1864</v>
      </c>
      <c r="H415" s="263" t="s">
        <v>1865</v>
      </c>
    </row>
    <row r="416" spans="2:8" x14ac:dyDescent="0.2">
      <c r="B416" s="264" t="s">
        <v>1875</v>
      </c>
      <c r="C416" s="265">
        <v>42491</v>
      </c>
      <c r="D416" s="266" t="s">
        <v>1912</v>
      </c>
      <c r="E416" s="266" t="s">
        <v>2288</v>
      </c>
      <c r="F416" s="267">
        <v>83</v>
      </c>
      <c r="G416" s="267"/>
      <c r="H416" s="267">
        <f t="shared" si="6"/>
        <v>83</v>
      </c>
    </row>
    <row r="417" spans="2:8" x14ac:dyDescent="0.2">
      <c r="B417" s="268" t="s">
        <v>1875</v>
      </c>
      <c r="C417" s="269">
        <v>42491</v>
      </c>
      <c r="D417" s="270" t="s">
        <v>1912</v>
      </c>
      <c r="E417" s="270" t="s">
        <v>2317</v>
      </c>
      <c r="F417" s="271">
        <v>91</v>
      </c>
      <c r="G417" s="271"/>
      <c r="H417" s="271">
        <f t="shared" si="6"/>
        <v>91</v>
      </c>
    </row>
    <row r="418" spans="2:8" x14ac:dyDescent="0.2">
      <c r="B418" s="268" t="s">
        <v>1585</v>
      </c>
      <c r="C418" s="269">
        <v>42492</v>
      </c>
      <c r="D418" s="270" t="s">
        <v>1908</v>
      </c>
      <c r="E418" s="270" t="s">
        <v>2318</v>
      </c>
      <c r="F418" s="271">
        <v>9000</v>
      </c>
      <c r="G418" s="271"/>
      <c r="H418" s="271">
        <f t="shared" si="6"/>
        <v>9000</v>
      </c>
    </row>
    <row r="419" spans="2:8" x14ac:dyDescent="0.2">
      <c r="B419" s="268" t="s">
        <v>1875</v>
      </c>
      <c r="C419" s="269">
        <v>42492</v>
      </c>
      <c r="D419" s="270" t="s">
        <v>1899</v>
      </c>
      <c r="E419" s="270" t="s">
        <v>1913</v>
      </c>
      <c r="F419" s="271">
        <v>142</v>
      </c>
      <c r="G419" s="271"/>
      <c r="H419" s="271">
        <f t="shared" si="6"/>
        <v>142</v>
      </c>
    </row>
    <row r="420" spans="2:8" x14ac:dyDescent="0.2">
      <c r="B420" s="268" t="s">
        <v>1884</v>
      </c>
      <c r="C420" s="269">
        <v>42493</v>
      </c>
      <c r="D420" s="270" t="s">
        <v>1902</v>
      </c>
      <c r="E420" s="270" t="s">
        <v>1951</v>
      </c>
      <c r="F420" s="271">
        <v>361</v>
      </c>
      <c r="G420" s="271"/>
      <c r="H420" s="271">
        <f t="shared" si="6"/>
        <v>361</v>
      </c>
    </row>
    <row r="421" spans="2:8" x14ac:dyDescent="0.2">
      <c r="B421" s="268" t="s">
        <v>1884</v>
      </c>
      <c r="C421" s="269">
        <v>42493</v>
      </c>
      <c r="D421" s="270" t="s">
        <v>1934</v>
      </c>
      <c r="E421" s="270" t="s">
        <v>1951</v>
      </c>
      <c r="F421" s="271">
        <v>5</v>
      </c>
      <c r="G421" s="271"/>
      <c r="H421" s="271">
        <f t="shared" si="6"/>
        <v>5</v>
      </c>
    </row>
    <row r="422" spans="2:8" x14ac:dyDescent="0.2">
      <c r="B422" s="268" t="s">
        <v>1876</v>
      </c>
      <c r="C422" s="269">
        <v>42493</v>
      </c>
      <c r="D422" s="270" t="s">
        <v>1903</v>
      </c>
      <c r="E422" s="270" t="s">
        <v>2319</v>
      </c>
      <c r="F422" s="271">
        <v>1054</v>
      </c>
      <c r="G422" s="271"/>
      <c r="H422" s="271">
        <f t="shared" si="6"/>
        <v>1054</v>
      </c>
    </row>
    <row r="423" spans="2:8" x14ac:dyDescent="0.2">
      <c r="B423" s="268" t="s">
        <v>1869</v>
      </c>
      <c r="C423" s="269">
        <v>42493</v>
      </c>
      <c r="D423" s="270" t="s">
        <v>2320</v>
      </c>
      <c r="E423" s="270" t="s">
        <v>2321</v>
      </c>
      <c r="F423" s="271">
        <v>950</v>
      </c>
      <c r="G423" s="271"/>
      <c r="H423" s="271">
        <f t="shared" si="6"/>
        <v>950</v>
      </c>
    </row>
    <row r="424" spans="2:8" x14ac:dyDescent="0.2">
      <c r="B424" s="268" t="s">
        <v>1869</v>
      </c>
      <c r="C424" s="269">
        <v>42494</v>
      </c>
      <c r="D424" s="270" t="s">
        <v>1900</v>
      </c>
      <c r="E424" s="270" t="s">
        <v>2322</v>
      </c>
      <c r="F424" s="271">
        <v>799</v>
      </c>
      <c r="G424" s="271"/>
      <c r="H424" s="271">
        <f t="shared" si="6"/>
        <v>799</v>
      </c>
    </row>
    <row r="425" spans="2:8" x14ac:dyDescent="0.2">
      <c r="B425" s="268" t="s">
        <v>1893</v>
      </c>
      <c r="C425" s="269">
        <v>42494</v>
      </c>
      <c r="D425" s="270" t="s">
        <v>2222</v>
      </c>
      <c r="E425" s="270" t="s">
        <v>2323</v>
      </c>
      <c r="F425" s="271">
        <v>227.91</v>
      </c>
      <c r="G425" s="271">
        <v>35.29</v>
      </c>
      <c r="H425" s="271">
        <f t="shared" si="6"/>
        <v>263.2</v>
      </c>
    </row>
    <row r="426" spans="2:8" x14ac:dyDescent="0.2">
      <c r="B426" s="268" t="s">
        <v>1871</v>
      </c>
      <c r="C426" s="269">
        <v>42495</v>
      </c>
      <c r="D426" s="270" t="s">
        <v>2961</v>
      </c>
      <c r="E426" s="270" t="s">
        <v>2324</v>
      </c>
      <c r="F426" s="271">
        <v>1100</v>
      </c>
      <c r="G426" s="271"/>
      <c r="H426" s="271">
        <f t="shared" si="6"/>
        <v>1100</v>
      </c>
    </row>
    <row r="427" spans="2:8" x14ac:dyDescent="0.2">
      <c r="B427" s="268" t="s">
        <v>1875</v>
      </c>
      <c r="C427" s="269">
        <v>42495</v>
      </c>
      <c r="D427" s="270" t="s">
        <v>2248</v>
      </c>
      <c r="E427" s="270" t="s">
        <v>2325</v>
      </c>
      <c r="F427" s="271">
        <v>47</v>
      </c>
      <c r="G427" s="271"/>
      <c r="H427" s="271">
        <f t="shared" si="6"/>
        <v>47</v>
      </c>
    </row>
    <row r="428" spans="2:8" x14ac:dyDescent="0.2">
      <c r="B428" s="268" t="s">
        <v>1893</v>
      </c>
      <c r="C428" s="269">
        <v>42495</v>
      </c>
      <c r="D428" s="270" t="s">
        <v>1924</v>
      </c>
      <c r="E428" s="270" t="s">
        <v>2326</v>
      </c>
      <c r="F428" s="271">
        <v>500</v>
      </c>
      <c r="G428" s="271"/>
      <c r="H428" s="271">
        <f t="shared" si="6"/>
        <v>500</v>
      </c>
    </row>
    <row r="429" spans="2:8" x14ac:dyDescent="0.2">
      <c r="B429" s="268" t="s">
        <v>1869</v>
      </c>
      <c r="C429" s="269">
        <v>42495</v>
      </c>
      <c r="D429" s="270" t="s">
        <v>1900</v>
      </c>
      <c r="E429" s="270" t="s">
        <v>2327</v>
      </c>
      <c r="F429" s="271">
        <v>1249.48</v>
      </c>
      <c r="G429" s="271">
        <v>199.92</v>
      </c>
      <c r="H429" s="271">
        <f t="shared" si="6"/>
        <v>1449.4</v>
      </c>
    </row>
    <row r="430" spans="2:8" x14ac:dyDescent="0.2">
      <c r="B430" s="268" t="s">
        <v>1875</v>
      </c>
      <c r="C430" s="269">
        <v>42496</v>
      </c>
      <c r="D430" s="270" t="s">
        <v>1912</v>
      </c>
      <c r="E430" s="270" t="s">
        <v>2328</v>
      </c>
      <c r="F430" s="271">
        <v>141</v>
      </c>
      <c r="G430" s="271"/>
      <c r="H430" s="271">
        <f t="shared" si="6"/>
        <v>141</v>
      </c>
    </row>
    <row r="431" spans="2:8" x14ac:dyDescent="0.2">
      <c r="B431" s="268" t="s">
        <v>1875</v>
      </c>
      <c r="C431" s="269">
        <v>42496</v>
      </c>
      <c r="D431" s="270" t="s">
        <v>1912</v>
      </c>
      <c r="E431" s="270" t="s">
        <v>2317</v>
      </c>
      <c r="F431" s="271">
        <v>56.5</v>
      </c>
      <c r="G431" s="271"/>
      <c r="H431" s="271">
        <f t="shared" si="6"/>
        <v>56.5</v>
      </c>
    </row>
    <row r="432" spans="2:8" x14ac:dyDescent="0.2">
      <c r="B432" s="268" t="s">
        <v>1866</v>
      </c>
      <c r="C432" s="269">
        <v>42496</v>
      </c>
      <c r="D432" s="270" t="s">
        <v>1881</v>
      </c>
      <c r="E432" s="270" t="s">
        <v>2329</v>
      </c>
      <c r="F432" s="271">
        <v>750</v>
      </c>
      <c r="G432" s="271"/>
      <c r="H432" s="271">
        <f t="shared" si="6"/>
        <v>750</v>
      </c>
    </row>
    <row r="433" spans="2:8" x14ac:dyDescent="0.2">
      <c r="B433" s="268" t="s">
        <v>1875</v>
      </c>
      <c r="C433" s="269">
        <v>42496</v>
      </c>
      <c r="D433" s="270" t="s">
        <v>1899</v>
      </c>
      <c r="E433" s="270" t="s">
        <v>1922</v>
      </c>
      <c r="F433" s="271">
        <v>175</v>
      </c>
      <c r="G433" s="271"/>
      <c r="H433" s="271">
        <f t="shared" si="6"/>
        <v>175</v>
      </c>
    </row>
    <row r="434" spans="2:8" x14ac:dyDescent="0.2">
      <c r="B434" s="268" t="s">
        <v>1868</v>
      </c>
      <c r="C434" s="269">
        <v>42496</v>
      </c>
      <c r="D434" s="270" t="s">
        <v>1919</v>
      </c>
      <c r="E434" s="270" t="s">
        <v>2330</v>
      </c>
      <c r="F434" s="271">
        <v>1000</v>
      </c>
      <c r="G434" s="271"/>
      <c r="H434" s="271">
        <f t="shared" si="6"/>
        <v>1000</v>
      </c>
    </row>
    <row r="435" spans="2:8" x14ac:dyDescent="0.2">
      <c r="B435" s="268" t="s">
        <v>1875</v>
      </c>
      <c r="C435" s="269">
        <v>42498</v>
      </c>
      <c r="D435" s="270" t="s">
        <v>1912</v>
      </c>
      <c r="E435" s="270" t="s">
        <v>2288</v>
      </c>
      <c r="F435" s="271">
        <v>81.5</v>
      </c>
      <c r="G435" s="271"/>
      <c r="H435" s="271">
        <f t="shared" si="6"/>
        <v>81.5</v>
      </c>
    </row>
    <row r="436" spans="2:8" x14ac:dyDescent="0.2">
      <c r="B436" s="268" t="s">
        <v>1893</v>
      </c>
      <c r="C436" s="269">
        <v>42498</v>
      </c>
      <c r="D436" s="270" t="s">
        <v>2260</v>
      </c>
      <c r="E436" s="270" t="s">
        <v>2331</v>
      </c>
      <c r="F436" s="271">
        <v>100</v>
      </c>
      <c r="G436" s="271"/>
      <c r="H436" s="271">
        <f t="shared" si="6"/>
        <v>100</v>
      </c>
    </row>
    <row r="437" spans="2:8" x14ac:dyDescent="0.2">
      <c r="B437" s="268" t="s">
        <v>1876</v>
      </c>
      <c r="C437" s="269">
        <v>42499</v>
      </c>
      <c r="D437" s="270" t="s">
        <v>2332</v>
      </c>
      <c r="E437" s="270" t="s">
        <v>2333</v>
      </c>
      <c r="F437" s="271">
        <v>50</v>
      </c>
      <c r="G437" s="271"/>
      <c r="H437" s="271">
        <f t="shared" si="6"/>
        <v>50</v>
      </c>
    </row>
    <row r="438" spans="2:8" x14ac:dyDescent="0.2">
      <c r="B438" s="268" t="s">
        <v>1875</v>
      </c>
      <c r="C438" s="269">
        <v>42499</v>
      </c>
      <c r="D438" s="270" t="s">
        <v>1899</v>
      </c>
      <c r="E438" s="270" t="s">
        <v>1913</v>
      </c>
      <c r="F438" s="271">
        <v>142</v>
      </c>
      <c r="G438" s="271"/>
      <c r="H438" s="271">
        <f t="shared" si="6"/>
        <v>142</v>
      </c>
    </row>
    <row r="439" spans="2:8" x14ac:dyDescent="0.2">
      <c r="B439" s="268" t="s">
        <v>1893</v>
      </c>
      <c r="C439" s="269">
        <v>42499</v>
      </c>
      <c r="D439" s="270" t="s">
        <v>1901</v>
      </c>
      <c r="E439" s="270" t="s">
        <v>2334</v>
      </c>
      <c r="F439" s="271">
        <v>300</v>
      </c>
      <c r="G439" s="271"/>
      <c r="H439" s="271">
        <f t="shared" si="6"/>
        <v>300</v>
      </c>
    </row>
    <row r="440" spans="2:8" x14ac:dyDescent="0.2">
      <c r="B440" s="268" t="s">
        <v>1893</v>
      </c>
      <c r="C440" s="269">
        <v>42499</v>
      </c>
      <c r="D440" s="270" t="s">
        <v>1901</v>
      </c>
      <c r="E440" s="270" t="s">
        <v>2335</v>
      </c>
      <c r="F440" s="271">
        <v>400</v>
      </c>
      <c r="G440" s="271"/>
      <c r="H440" s="271">
        <f t="shared" si="6"/>
        <v>400</v>
      </c>
    </row>
    <row r="441" spans="2:8" x14ac:dyDescent="0.2">
      <c r="B441" s="268" t="s">
        <v>1879</v>
      </c>
      <c r="C441" s="269">
        <v>42499</v>
      </c>
      <c r="D441" s="270" t="s">
        <v>1901</v>
      </c>
      <c r="E441" s="270" t="s">
        <v>2336</v>
      </c>
      <c r="F441" s="271">
        <v>700</v>
      </c>
      <c r="G441" s="271"/>
      <c r="H441" s="271">
        <f t="shared" si="6"/>
        <v>700</v>
      </c>
    </row>
    <row r="442" spans="2:8" x14ac:dyDescent="0.2">
      <c r="B442" s="268" t="s">
        <v>1893</v>
      </c>
      <c r="C442" s="269">
        <v>42499</v>
      </c>
      <c r="D442" s="270" t="s">
        <v>1915</v>
      </c>
      <c r="E442" s="270" t="s">
        <v>2337</v>
      </c>
      <c r="F442" s="271">
        <v>500</v>
      </c>
      <c r="G442" s="271"/>
      <c r="H442" s="271">
        <f t="shared" si="6"/>
        <v>500</v>
      </c>
    </row>
    <row r="443" spans="2:8" x14ac:dyDescent="0.2">
      <c r="B443" s="268" t="s">
        <v>1893</v>
      </c>
      <c r="C443" s="269">
        <v>42499</v>
      </c>
      <c r="D443" s="270" t="s">
        <v>2960</v>
      </c>
      <c r="E443" s="270" t="s">
        <v>2338</v>
      </c>
      <c r="F443" s="271">
        <v>300</v>
      </c>
      <c r="G443" s="271"/>
      <c r="H443" s="271">
        <f t="shared" si="6"/>
        <v>300</v>
      </c>
    </row>
    <row r="444" spans="2:8" x14ac:dyDescent="0.2">
      <c r="B444" s="268" t="s">
        <v>1869</v>
      </c>
      <c r="C444" s="269">
        <v>42499</v>
      </c>
      <c r="D444" s="270" t="s">
        <v>1935</v>
      </c>
      <c r="E444" s="270" t="s">
        <v>2339</v>
      </c>
      <c r="F444" s="271">
        <v>810</v>
      </c>
      <c r="G444" s="271"/>
      <c r="H444" s="271">
        <f t="shared" si="6"/>
        <v>810</v>
      </c>
    </row>
    <row r="445" spans="2:8" x14ac:dyDescent="0.2">
      <c r="B445" s="268" t="s">
        <v>1879</v>
      </c>
      <c r="C445" s="269">
        <v>42502</v>
      </c>
      <c r="D445" s="270" t="s">
        <v>1901</v>
      </c>
      <c r="E445" s="270" t="s">
        <v>2340</v>
      </c>
      <c r="F445" s="271">
        <v>1300</v>
      </c>
      <c r="G445" s="271"/>
      <c r="H445" s="271">
        <f t="shared" si="6"/>
        <v>1300</v>
      </c>
    </row>
    <row r="446" spans="2:8" x14ac:dyDescent="0.2">
      <c r="B446" s="268" t="s">
        <v>1893</v>
      </c>
      <c r="C446" s="269">
        <v>42502</v>
      </c>
      <c r="D446" s="270" t="s">
        <v>1928</v>
      </c>
      <c r="E446" s="270" t="s">
        <v>1964</v>
      </c>
      <c r="F446" s="271">
        <v>316</v>
      </c>
      <c r="G446" s="271"/>
      <c r="H446" s="271">
        <f t="shared" si="6"/>
        <v>316</v>
      </c>
    </row>
    <row r="447" spans="2:8" x14ac:dyDescent="0.2">
      <c r="B447" s="268" t="s">
        <v>1868</v>
      </c>
      <c r="C447" s="269">
        <v>42503</v>
      </c>
      <c r="D447" s="270" t="s">
        <v>1919</v>
      </c>
      <c r="E447" s="270" t="s">
        <v>2341</v>
      </c>
      <c r="F447" s="271">
        <v>1000</v>
      </c>
      <c r="G447" s="271"/>
      <c r="H447" s="271">
        <f t="shared" si="6"/>
        <v>1000</v>
      </c>
    </row>
    <row r="448" spans="2:8" x14ac:dyDescent="0.2">
      <c r="B448" s="268" t="s">
        <v>1875</v>
      </c>
      <c r="C448" s="269">
        <v>42503</v>
      </c>
      <c r="D448" s="270" t="s">
        <v>1912</v>
      </c>
      <c r="E448" s="270" t="s">
        <v>2342</v>
      </c>
      <c r="F448" s="271">
        <v>174</v>
      </c>
      <c r="G448" s="271"/>
      <c r="H448" s="271">
        <f t="shared" si="6"/>
        <v>174</v>
      </c>
    </row>
    <row r="449" spans="2:8" x14ac:dyDescent="0.2">
      <c r="B449" s="268" t="s">
        <v>1875</v>
      </c>
      <c r="C449" s="269">
        <v>42503</v>
      </c>
      <c r="D449" s="270" t="s">
        <v>1899</v>
      </c>
      <c r="E449" s="270" t="s">
        <v>1913</v>
      </c>
      <c r="F449" s="271">
        <v>142</v>
      </c>
      <c r="G449" s="271"/>
      <c r="H449" s="271">
        <f t="shared" si="6"/>
        <v>142</v>
      </c>
    </row>
    <row r="450" spans="2:8" x14ac:dyDescent="0.2">
      <c r="B450" s="268" t="s">
        <v>1866</v>
      </c>
      <c r="C450" s="269">
        <v>42503</v>
      </c>
      <c r="D450" s="270" t="s">
        <v>1881</v>
      </c>
      <c r="E450" s="270" t="s">
        <v>2343</v>
      </c>
      <c r="F450" s="271">
        <v>450</v>
      </c>
      <c r="G450" s="271"/>
      <c r="H450" s="271">
        <f t="shared" si="6"/>
        <v>450</v>
      </c>
    </row>
    <row r="451" spans="2:8" x14ac:dyDescent="0.2">
      <c r="B451" s="268" t="s">
        <v>1888</v>
      </c>
      <c r="C451" s="269">
        <v>42503</v>
      </c>
      <c r="D451" s="270" t="s">
        <v>1901</v>
      </c>
      <c r="E451" s="270" t="s">
        <v>2344</v>
      </c>
      <c r="F451" s="271">
        <v>350</v>
      </c>
      <c r="G451" s="271"/>
      <c r="H451" s="271">
        <f t="shared" si="6"/>
        <v>350</v>
      </c>
    </row>
    <row r="452" spans="2:8" x14ac:dyDescent="0.2">
      <c r="B452" s="268" t="s">
        <v>1893</v>
      </c>
      <c r="C452" s="269">
        <v>42505</v>
      </c>
      <c r="D452" s="270" t="s">
        <v>2260</v>
      </c>
      <c r="E452" s="270" t="s">
        <v>2331</v>
      </c>
      <c r="F452" s="271">
        <v>100</v>
      </c>
      <c r="G452" s="271"/>
      <c r="H452" s="271">
        <f t="shared" si="6"/>
        <v>100</v>
      </c>
    </row>
    <row r="453" spans="2:8" x14ac:dyDescent="0.2">
      <c r="B453" s="268" t="s">
        <v>1893</v>
      </c>
      <c r="C453" s="269">
        <v>42505</v>
      </c>
      <c r="D453" s="270" t="s">
        <v>1882</v>
      </c>
      <c r="E453" s="270" t="s">
        <v>2345</v>
      </c>
      <c r="F453" s="271">
        <v>450</v>
      </c>
      <c r="G453" s="271"/>
      <c r="H453" s="271">
        <f t="shared" ref="H453:H516" si="7">SUM(F453:G453)</f>
        <v>450</v>
      </c>
    </row>
    <row r="454" spans="2:8" x14ac:dyDescent="0.2">
      <c r="B454" s="268" t="s">
        <v>1875</v>
      </c>
      <c r="C454" s="269">
        <v>42505</v>
      </c>
      <c r="D454" s="270" t="s">
        <v>1912</v>
      </c>
      <c r="E454" s="270" t="s">
        <v>2288</v>
      </c>
      <c r="F454" s="271">
        <v>69.5</v>
      </c>
      <c r="G454" s="271"/>
      <c r="H454" s="271">
        <f t="shared" si="7"/>
        <v>69.5</v>
      </c>
    </row>
    <row r="455" spans="2:8" x14ac:dyDescent="0.2">
      <c r="B455" s="268" t="s">
        <v>1585</v>
      </c>
      <c r="C455" s="269">
        <v>42505</v>
      </c>
      <c r="D455" s="270" t="s">
        <v>1895</v>
      </c>
      <c r="E455" s="270" t="s">
        <v>2346</v>
      </c>
      <c r="F455" s="271">
        <v>2700</v>
      </c>
      <c r="G455" s="271"/>
      <c r="H455" s="271">
        <f t="shared" si="7"/>
        <v>2700</v>
      </c>
    </row>
    <row r="456" spans="2:8" x14ac:dyDescent="0.2">
      <c r="B456" s="268" t="s">
        <v>1585</v>
      </c>
      <c r="C456" s="269">
        <v>42505</v>
      </c>
      <c r="D456" s="270" t="s">
        <v>1908</v>
      </c>
      <c r="E456" s="270" t="s">
        <v>2346</v>
      </c>
      <c r="F456" s="271">
        <v>29000</v>
      </c>
      <c r="G456" s="271"/>
      <c r="H456" s="271">
        <f t="shared" si="7"/>
        <v>29000</v>
      </c>
    </row>
    <row r="457" spans="2:8" x14ac:dyDescent="0.2">
      <c r="B457" s="268" t="s">
        <v>1868</v>
      </c>
      <c r="C457" s="269">
        <v>42505</v>
      </c>
      <c r="D457" s="270" t="s">
        <v>1920</v>
      </c>
      <c r="E457" s="270" t="s">
        <v>2347</v>
      </c>
      <c r="F457" s="271">
        <v>4000</v>
      </c>
      <c r="G457" s="271"/>
      <c r="H457" s="271">
        <f t="shared" si="7"/>
        <v>4000</v>
      </c>
    </row>
    <row r="458" spans="2:8" x14ac:dyDescent="0.2">
      <c r="B458" s="268" t="s">
        <v>1814</v>
      </c>
      <c r="C458" s="269">
        <v>42506</v>
      </c>
      <c r="D458" s="270" t="s">
        <v>2348</v>
      </c>
      <c r="E458" s="270" t="s">
        <v>2349</v>
      </c>
      <c r="F458" s="271">
        <v>349</v>
      </c>
      <c r="G458" s="271"/>
      <c r="H458" s="271">
        <f t="shared" si="7"/>
        <v>349</v>
      </c>
    </row>
    <row r="459" spans="2:8" x14ac:dyDescent="0.2">
      <c r="B459" s="268" t="s">
        <v>1799</v>
      </c>
      <c r="C459" s="269">
        <v>42506</v>
      </c>
      <c r="D459" s="270" t="s">
        <v>1918</v>
      </c>
      <c r="E459" s="270" t="s">
        <v>2350</v>
      </c>
      <c r="F459" s="271"/>
      <c r="G459" s="271">
        <v>1760</v>
      </c>
      <c r="H459" s="271">
        <f t="shared" si="7"/>
        <v>1760</v>
      </c>
    </row>
    <row r="460" spans="2:8" x14ac:dyDescent="0.2">
      <c r="B460" s="268" t="s">
        <v>1814</v>
      </c>
      <c r="C460" s="269">
        <v>42506</v>
      </c>
      <c r="D460" s="270" t="s">
        <v>1897</v>
      </c>
      <c r="E460" s="270" t="s">
        <v>2351</v>
      </c>
      <c r="F460" s="271">
        <v>1224</v>
      </c>
      <c r="G460" s="271"/>
      <c r="H460" s="271">
        <f t="shared" si="7"/>
        <v>1224</v>
      </c>
    </row>
    <row r="461" spans="2:8" x14ac:dyDescent="0.2">
      <c r="B461" s="268" t="s">
        <v>1814</v>
      </c>
      <c r="C461" s="269">
        <v>42506</v>
      </c>
      <c r="D461" s="270" t="s">
        <v>1927</v>
      </c>
      <c r="E461" s="270" t="s">
        <v>2352</v>
      </c>
      <c r="F461" s="271">
        <v>131</v>
      </c>
      <c r="G461" s="271"/>
      <c r="H461" s="271">
        <f t="shared" si="7"/>
        <v>131</v>
      </c>
    </row>
    <row r="462" spans="2:8" x14ac:dyDescent="0.2">
      <c r="B462" s="268" t="s">
        <v>1888</v>
      </c>
      <c r="C462" s="269">
        <v>42506</v>
      </c>
      <c r="D462" s="270" t="s">
        <v>1901</v>
      </c>
      <c r="E462" s="270" t="s">
        <v>2353</v>
      </c>
      <c r="F462" s="271">
        <v>500</v>
      </c>
      <c r="G462" s="271"/>
      <c r="H462" s="271">
        <f t="shared" si="7"/>
        <v>500</v>
      </c>
    </row>
    <row r="463" spans="2:8" x14ac:dyDescent="0.2">
      <c r="B463" s="268" t="s">
        <v>1830</v>
      </c>
      <c r="C463" s="269">
        <v>42507</v>
      </c>
      <c r="D463" s="270" t="s">
        <v>1901</v>
      </c>
      <c r="E463" s="270" t="s">
        <v>2354</v>
      </c>
      <c r="F463" s="271">
        <v>3450</v>
      </c>
      <c r="G463" s="271"/>
      <c r="H463" s="271">
        <f t="shared" si="7"/>
        <v>3450</v>
      </c>
    </row>
    <row r="464" spans="2:8" x14ac:dyDescent="0.2">
      <c r="B464" s="268" t="s">
        <v>1875</v>
      </c>
      <c r="C464" s="269">
        <v>42508</v>
      </c>
      <c r="D464" s="270" t="s">
        <v>1899</v>
      </c>
      <c r="E464" s="270" t="s">
        <v>1941</v>
      </c>
      <c r="F464" s="271">
        <v>132</v>
      </c>
      <c r="G464" s="271"/>
      <c r="H464" s="271">
        <f t="shared" si="7"/>
        <v>132</v>
      </c>
    </row>
    <row r="465" spans="2:8" x14ac:dyDescent="0.2">
      <c r="B465" s="268" t="s">
        <v>1869</v>
      </c>
      <c r="C465" s="269">
        <v>42508</v>
      </c>
      <c r="D465" s="270" t="s">
        <v>1935</v>
      </c>
      <c r="E465" s="270" t="s">
        <v>2355</v>
      </c>
      <c r="F465" s="271">
        <v>67.5</v>
      </c>
      <c r="G465" s="271"/>
      <c r="H465" s="271">
        <f t="shared" si="7"/>
        <v>67.5</v>
      </c>
    </row>
    <row r="466" spans="2:8" x14ac:dyDescent="0.2">
      <c r="B466" s="268" t="s">
        <v>1893</v>
      </c>
      <c r="C466" s="269">
        <v>42509</v>
      </c>
      <c r="D466" s="270" t="s">
        <v>1927</v>
      </c>
      <c r="E466" s="270" t="s">
        <v>2356</v>
      </c>
      <c r="F466" s="271">
        <v>7</v>
      </c>
      <c r="G466" s="271"/>
      <c r="H466" s="271">
        <f t="shared" si="7"/>
        <v>7</v>
      </c>
    </row>
    <row r="467" spans="2:8" x14ac:dyDescent="0.2">
      <c r="B467" s="268" t="s">
        <v>1888</v>
      </c>
      <c r="C467" s="269">
        <v>42509</v>
      </c>
      <c r="D467" s="270" t="s">
        <v>1901</v>
      </c>
      <c r="E467" s="270" t="s">
        <v>2357</v>
      </c>
      <c r="F467" s="271">
        <v>650</v>
      </c>
      <c r="G467" s="271"/>
      <c r="H467" s="271">
        <f t="shared" si="7"/>
        <v>650</v>
      </c>
    </row>
    <row r="468" spans="2:8" x14ac:dyDescent="0.2">
      <c r="B468" s="268" t="s">
        <v>1893</v>
      </c>
      <c r="C468" s="269">
        <v>42510</v>
      </c>
      <c r="D468" s="270" t="s">
        <v>1898</v>
      </c>
      <c r="E468" s="270" t="s">
        <v>2358</v>
      </c>
      <c r="F468" s="271">
        <v>350</v>
      </c>
      <c r="G468" s="271"/>
      <c r="H468" s="271">
        <f t="shared" si="7"/>
        <v>350</v>
      </c>
    </row>
    <row r="469" spans="2:8" x14ac:dyDescent="0.2">
      <c r="B469" s="268" t="s">
        <v>1875</v>
      </c>
      <c r="C469" s="269">
        <v>42510</v>
      </c>
      <c r="D469" s="270" t="s">
        <v>1899</v>
      </c>
      <c r="E469" s="270" t="s">
        <v>1922</v>
      </c>
      <c r="F469" s="271">
        <v>175</v>
      </c>
      <c r="G469" s="271"/>
      <c r="H469" s="271">
        <f t="shared" si="7"/>
        <v>175</v>
      </c>
    </row>
    <row r="470" spans="2:8" x14ac:dyDescent="0.2">
      <c r="B470" s="268" t="s">
        <v>1872</v>
      </c>
      <c r="C470" s="269">
        <v>42510</v>
      </c>
      <c r="D470" s="270" t="s">
        <v>2359</v>
      </c>
      <c r="E470" s="270" t="s">
        <v>2360</v>
      </c>
      <c r="F470" s="271">
        <v>160</v>
      </c>
      <c r="G470" s="271"/>
      <c r="H470" s="271">
        <f t="shared" si="7"/>
        <v>160</v>
      </c>
    </row>
    <row r="471" spans="2:8" x14ac:dyDescent="0.2">
      <c r="B471" s="268" t="s">
        <v>1893</v>
      </c>
      <c r="C471" s="269">
        <v>42510</v>
      </c>
      <c r="D471" s="270" t="s">
        <v>1924</v>
      </c>
      <c r="E471" s="270" t="s">
        <v>2361</v>
      </c>
      <c r="F471" s="271">
        <v>500</v>
      </c>
      <c r="G471" s="271"/>
      <c r="H471" s="271">
        <f t="shared" si="7"/>
        <v>500</v>
      </c>
    </row>
    <row r="472" spans="2:8" x14ac:dyDescent="0.2">
      <c r="B472" s="268" t="s">
        <v>1868</v>
      </c>
      <c r="C472" s="269">
        <v>42510</v>
      </c>
      <c r="D472" s="270" t="s">
        <v>1919</v>
      </c>
      <c r="E472" s="270" t="s">
        <v>2362</v>
      </c>
      <c r="F472" s="271">
        <v>1000</v>
      </c>
      <c r="G472" s="271"/>
      <c r="H472" s="271">
        <f t="shared" si="7"/>
        <v>1000</v>
      </c>
    </row>
    <row r="473" spans="2:8" x14ac:dyDescent="0.2">
      <c r="B473" s="268" t="s">
        <v>1830</v>
      </c>
      <c r="C473" s="269">
        <v>42511</v>
      </c>
      <c r="D473" s="270" t="s">
        <v>1883</v>
      </c>
      <c r="E473" s="270" t="s">
        <v>2363</v>
      </c>
      <c r="F473" s="271">
        <v>3000</v>
      </c>
      <c r="G473" s="271"/>
      <c r="H473" s="271">
        <f t="shared" si="7"/>
        <v>3000</v>
      </c>
    </row>
    <row r="474" spans="2:8" x14ac:dyDescent="0.2">
      <c r="B474" s="268" t="s">
        <v>1893</v>
      </c>
      <c r="C474" s="269">
        <v>42511</v>
      </c>
      <c r="D474" s="270" t="s">
        <v>2067</v>
      </c>
      <c r="E474" s="270" t="s">
        <v>2364</v>
      </c>
      <c r="F474" s="271">
        <v>720</v>
      </c>
      <c r="G474" s="271"/>
      <c r="H474" s="271">
        <f t="shared" si="7"/>
        <v>720</v>
      </c>
    </row>
    <row r="475" spans="2:8" x14ac:dyDescent="0.2">
      <c r="B475" s="268" t="s">
        <v>1893</v>
      </c>
      <c r="C475" s="269">
        <v>42511</v>
      </c>
      <c r="D475" s="270" t="s">
        <v>1912</v>
      </c>
      <c r="E475" s="270" t="s">
        <v>2365</v>
      </c>
      <c r="F475" s="271">
        <v>64.5</v>
      </c>
      <c r="G475" s="271"/>
      <c r="H475" s="271">
        <f t="shared" si="7"/>
        <v>64.5</v>
      </c>
    </row>
    <row r="476" spans="2:8" x14ac:dyDescent="0.2">
      <c r="B476" s="268" t="s">
        <v>1893</v>
      </c>
      <c r="C476" s="269">
        <v>42512</v>
      </c>
      <c r="D476" s="270" t="s">
        <v>2260</v>
      </c>
      <c r="E476" s="270" t="s">
        <v>2366</v>
      </c>
      <c r="F476" s="271">
        <v>100</v>
      </c>
      <c r="G476" s="271"/>
      <c r="H476" s="271">
        <f t="shared" si="7"/>
        <v>100</v>
      </c>
    </row>
    <row r="477" spans="2:8" x14ac:dyDescent="0.2">
      <c r="B477" s="268" t="s">
        <v>1875</v>
      </c>
      <c r="C477" s="269">
        <v>42512</v>
      </c>
      <c r="D477" s="270" t="s">
        <v>1912</v>
      </c>
      <c r="E477" s="270" t="s">
        <v>2288</v>
      </c>
      <c r="F477" s="271">
        <v>84.4</v>
      </c>
      <c r="G477" s="271"/>
      <c r="H477" s="271">
        <f t="shared" si="7"/>
        <v>84.4</v>
      </c>
    </row>
    <row r="478" spans="2:8" x14ac:dyDescent="0.2">
      <c r="B478" s="268" t="s">
        <v>1875</v>
      </c>
      <c r="C478" s="269">
        <v>42513</v>
      </c>
      <c r="D478" s="270" t="s">
        <v>1899</v>
      </c>
      <c r="E478" s="270" t="s">
        <v>1913</v>
      </c>
      <c r="F478" s="271">
        <v>142</v>
      </c>
      <c r="G478" s="271"/>
      <c r="H478" s="271">
        <f t="shared" si="7"/>
        <v>142</v>
      </c>
    </row>
    <row r="479" spans="2:8" x14ac:dyDescent="0.2">
      <c r="B479" s="268" t="s">
        <v>1875</v>
      </c>
      <c r="C479" s="269">
        <v>42513</v>
      </c>
      <c r="D479" s="270" t="s">
        <v>1912</v>
      </c>
      <c r="E479" s="270" t="s">
        <v>2367</v>
      </c>
      <c r="F479" s="271">
        <v>65</v>
      </c>
      <c r="G479" s="271"/>
      <c r="H479" s="271">
        <f t="shared" si="7"/>
        <v>65</v>
      </c>
    </row>
    <row r="480" spans="2:8" x14ac:dyDescent="0.2">
      <c r="B480" s="268" t="s">
        <v>1869</v>
      </c>
      <c r="C480" s="269">
        <v>42514</v>
      </c>
      <c r="D480" s="270" t="s">
        <v>1935</v>
      </c>
      <c r="E480" s="270" t="s">
        <v>2368</v>
      </c>
      <c r="F480" s="271">
        <v>190</v>
      </c>
      <c r="G480" s="271"/>
      <c r="H480" s="271">
        <f t="shared" si="7"/>
        <v>190</v>
      </c>
    </row>
    <row r="481" spans="2:8" x14ac:dyDescent="0.2">
      <c r="B481" s="268" t="s">
        <v>1875</v>
      </c>
      <c r="C481" s="269">
        <v>42514</v>
      </c>
      <c r="D481" s="270" t="s">
        <v>1912</v>
      </c>
      <c r="E481" s="270" t="s">
        <v>2369</v>
      </c>
      <c r="F481" s="271">
        <v>79.400000000000006</v>
      </c>
      <c r="G481" s="271"/>
      <c r="H481" s="271">
        <f t="shared" si="7"/>
        <v>79.400000000000006</v>
      </c>
    </row>
    <row r="482" spans="2:8" x14ac:dyDescent="0.2">
      <c r="B482" s="268" t="s">
        <v>1879</v>
      </c>
      <c r="C482" s="269">
        <v>42514</v>
      </c>
      <c r="D482" s="270" t="s">
        <v>1901</v>
      </c>
      <c r="E482" s="270" t="s">
        <v>2370</v>
      </c>
      <c r="F482" s="271">
        <v>750</v>
      </c>
      <c r="G482" s="271"/>
      <c r="H482" s="271">
        <f t="shared" si="7"/>
        <v>750</v>
      </c>
    </row>
    <row r="483" spans="2:8" x14ac:dyDescent="0.2">
      <c r="B483" s="268" t="s">
        <v>1872</v>
      </c>
      <c r="C483" s="269">
        <v>42515</v>
      </c>
      <c r="D483" s="270" t="s">
        <v>1912</v>
      </c>
      <c r="E483" s="270" t="s">
        <v>2371</v>
      </c>
      <c r="F483" s="271">
        <v>155</v>
      </c>
      <c r="G483" s="271"/>
      <c r="H483" s="271">
        <f t="shared" si="7"/>
        <v>155</v>
      </c>
    </row>
    <row r="484" spans="2:8" x14ac:dyDescent="0.2">
      <c r="B484" s="268" t="s">
        <v>1879</v>
      </c>
      <c r="C484" s="269">
        <v>42515</v>
      </c>
      <c r="D484" s="270" t="s">
        <v>1901</v>
      </c>
      <c r="E484" s="270" t="s">
        <v>2372</v>
      </c>
      <c r="F484" s="271">
        <v>1400</v>
      </c>
      <c r="G484" s="271"/>
      <c r="H484" s="271">
        <f t="shared" si="7"/>
        <v>1400</v>
      </c>
    </row>
    <row r="485" spans="2:8" x14ac:dyDescent="0.2">
      <c r="B485" s="268" t="s">
        <v>1879</v>
      </c>
      <c r="C485" s="269">
        <v>42516</v>
      </c>
      <c r="D485" s="270" t="s">
        <v>1901</v>
      </c>
      <c r="E485" s="270" t="s">
        <v>2373</v>
      </c>
      <c r="F485" s="271">
        <v>600</v>
      </c>
      <c r="G485" s="271"/>
      <c r="H485" s="271">
        <f t="shared" si="7"/>
        <v>600</v>
      </c>
    </row>
    <row r="486" spans="2:8" x14ac:dyDescent="0.2">
      <c r="B486" s="268" t="s">
        <v>1872</v>
      </c>
      <c r="C486" s="269">
        <v>42516</v>
      </c>
      <c r="D486" s="270" t="s">
        <v>1915</v>
      </c>
      <c r="E486" s="270" t="s">
        <v>2374</v>
      </c>
      <c r="F486" s="271">
        <v>300</v>
      </c>
      <c r="G486" s="271"/>
      <c r="H486" s="271">
        <f t="shared" si="7"/>
        <v>300</v>
      </c>
    </row>
    <row r="487" spans="2:8" x14ac:dyDescent="0.2">
      <c r="B487" s="268" t="s">
        <v>1868</v>
      </c>
      <c r="C487" s="269">
        <v>42517</v>
      </c>
      <c r="D487" s="270" t="s">
        <v>1919</v>
      </c>
      <c r="E487" s="270" t="s">
        <v>2375</v>
      </c>
      <c r="F487" s="271">
        <v>1000</v>
      </c>
      <c r="G487" s="271"/>
      <c r="H487" s="271">
        <f t="shared" si="7"/>
        <v>1000</v>
      </c>
    </row>
    <row r="488" spans="2:8" x14ac:dyDescent="0.2">
      <c r="B488" s="268" t="s">
        <v>1875</v>
      </c>
      <c r="C488" s="269">
        <v>42517</v>
      </c>
      <c r="D488" s="270" t="s">
        <v>1899</v>
      </c>
      <c r="E488" s="270" t="s">
        <v>1913</v>
      </c>
      <c r="F488" s="271">
        <v>142</v>
      </c>
      <c r="G488" s="271"/>
      <c r="H488" s="271">
        <f t="shared" si="7"/>
        <v>142</v>
      </c>
    </row>
    <row r="489" spans="2:8" x14ac:dyDescent="0.2">
      <c r="B489" s="268" t="s">
        <v>1875</v>
      </c>
      <c r="C489" s="269">
        <v>42517</v>
      </c>
      <c r="D489" s="270" t="s">
        <v>1899</v>
      </c>
      <c r="E489" s="270" t="s">
        <v>1909</v>
      </c>
      <c r="F489" s="271">
        <v>120</v>
      </c>
      <c r="G489" s="271"/>
      <c r="H489" s="271">
        <f t="shared" si="7"/>
        <v>120</v>
      </c>
    </row>
    <row r="490" spans="2:8" x14ac:dyDescent="0.2">
      <c r="B490" s="268" t="s">
        <v>1893</v>
      </c>
      <c r="C490" s="269">
        <v>42518</v>
      </c>
      <c r="D490" s="270" t="s">
        <v>2376</v>
      </c>
      <c r="E490" s="270" t="s">
        <v>2377</v>
      </c>
      <c r="F490" s="271">
        <v>300</v>
      </c>
      <c r="G490" s="271"/>
      <c r="H490" s="271">
        <f t="shared" si="7"/>
        <v>300</v>
      </c>
    </row>
    <row r="491" spans="2:8" x14ac:dyDescent="0.2">
      <c r="B491" s="268" t="s">
        <v>1893</v>
      </c>
      <c r="C491" s="269">
        <v>42518</v>
      </c>
      <c r="D491" s="270" t="s">
        <v>2378</v>
      </c>
      <c r="E491" s="270" t="s">
        <v>2379</v>
      </c>
      <c r="F491" s="271">
        <v>200</v>
      </c>
      <c r="G491" s="271"/>
      <c r="H491" s="271">
        <f t="shared" si="7"/>
        <v>200</v>
      </c>
    </row>
    <row r="492" spans="2:8" x14ac:dyDescent="0.2">
      <c r="B492" s="268" t="s">
        <v>1875</v>
      </c>
      <c r="C492" s="269">
        <v>42519</v>
      </c>
      <c r="D492" s="270" t="s">
        <v>1912</v>
      </c>
      <c r="E492" s="270" t="s">
        <v>2288</v>
      </c>
      <c r="F492" s="271">
        <v>70</v>
      </c>
      <c r="G492" s="271"/>
      <c r="H492" s="271">
        <f t="shared" si="7"/>
        <v>70</v>
      </c>
    </row>
    <row r="493" spans="2:8" x14ac:dyDescent="0.2">
      <c r="B493" s="268" t="s">
        <v>1893</v>
      </c>
      <c r="C493" s="269">
        <v>42519</v>
      </c>
      <c r="D493" s="270" t="s">
        <v>2260</v>
      </c>
      <c r="E493" s="270" t="s">
        <v>2366</v>
      </c>
      <c r="F493" s="271">
        <v>100</v>
      </c>
      <c r="G493" s="271"/>
      <c r="H493" s="271">
        <f t="shared" si="7"/>
        <v>100</v>
      </c>
    </row>
    <row r="494" spans="2:8" x14ac:dyDescent="0.2">
      <c r="B494" s="268" t="s">
        <v>1893</v>
      </c>
      <c r="C494" s="269">
        <v>42520</v>
      </c>
      <c r="D494" s="270" t="s">
        <v>1924</v>
      </c>
      <c r="E494" s="270" t="s">
        <v>2380</v>
      </c>
      <c r="F494" s="271">
        <v>500</v>
      </c>
      <c r="G494" s="271"/>
      <c r="H494" s="271">
        <f t="shared" si="7"/>
        <v>500</v>
      </c>
    </row>
    <row r="495" spans="2:8" x14ac:dyDescent="0.2">
      <c r="B495" s="268" t="s">
        <v>1891</v>
      </c>
      <c r="C495" s="269">
        <v>42520</v>
      </c>
      <c r="D495" s="270" t="s">
        <v>1915</v>
      </c>
      <c r="E495" s="270" t="s">
        <v>2381</v>
      </c>
      <c r="F495" s="271">
        <v>100</v>
      </c>
      <c r="G495" s="271"/>
      <c r="H495" s="271">
        <f t="shared" si="7"/>
        <v>100</v>
      </c>
    </row>
    <row r="496" spans="2:8" x14ac:dyDescent="0.2">
      <c r="B496" s="268" t="s">
        <v>1872</v>
      </c>
      <c r="C496" s="269">
        <v>42520</v>
      </c>
      <c r="D496" s="270" t="s">
        <v>1912</v>
      </c>
      <c r="E496" s="270" t="s">
        <v>2382</v>
      </c>
      <c r="F496" s="271">
        <v>178</v>
      </c>
      <c r="G496" s="271"/>
      <c r="H496" s="271">
        <f t="shared" si="7"/>
        <v>178</v>
      </c>
    </row>
    <row r="497" spans="2:9" x14ac:dyDescent="0.2">
      <c r="B497" s="268" t="s">
        <v>1872</v>
      </c>
      <c r="C497" s="269">
        <v>42520</v>
      </c>
      <c r="D497" s="270" t="s">
        <v>1912</v>
      </c>
      <c r="E497" s="270" t="s">
        <v>2382</v>
      </c>
      <c r="F497" s="271">
        <v>30</v>
      </c>
      <c r="G497" s="271"/>
      <c r="H497" s="271">
        <f t="shared" si="7"/>
        <v>30</v>
      </c>
    </row>
    <row r="498" spans="2:9" x14ac:dyDescent="0.2">
      <c r="B498" s="268" t="s">
        <v>1888</v>
      </c>
      <c r="C498" s="269">
        <v>42520</v>
      </c>
      <c r="D498" s="270" t="s">
        <v>1901</v>
      </c>
      <c r="E498" s="270" t="s">
        <v>2383</v>
      </c>
      <c r="F498" s="271">
        <v>350</v>
      </c>
      <c r="G498" s="271"/>
      <c r="H498" s="271">
        <f t="shared" si="7"/>
        <v>350</v>
      </c>
    </row>
    <row r="499" spans="2:9" x14ac:dyDescent="0.2">
      <c r="B499" s="268" t="s">
        <v>1891</v>
      </c>
      <c r="C499" s="269">
        <v>42520</v>
      </c>
      <c r="D499" s="270" t="s">
        <v>1901</v>
      </c>
      <c r="E499" s="270" t="s">
        <v>2384</v>
      </c>
      <c r="F499" s="271">
        <v>200</v>
      </c>
      <c r="G499" s="271"/>
      <c r="H499" s="271">
        <f t="shared" si="7"/>
        <v>200</v>
      </c>
    </row>
    <row r="500" spans="2:9" x14ac:dyDescent="0.2">
      <c r="B500" s="268" t="s">
        <v>1867</v>
      </c>
      <c r="C500" s="269">
        <v>42520</v>
      </c>
      <c r="D500" s="270" t="s">
        <v>1906</v>
      </c>
      <c r="E500" s="270" t="s">
        <v>2385</v>
      </c>
      <c r="F500" s="271">
        <v>1250</v>
      </c>
      <c r="G500" s="271"/>
      <c r="H500" s="271">
        <f t="shared" si="7"/>
        <v>1250</v>
      </c>
    </row>
    <row r="501" spans="2:9" x14ac:dyDescent="0.2">
      <c r="B501" s="268" t="s">
        <v>1891</v>
      </c>
      <c r="C501" s="269">
        <v>42520</v>
      </c>
      <c r="D501" s="270" t="s">
        <v>1947</v>
      </c>
      <c r="E501" s="270" t="s">
        <v>2386</v>
      </c>
      <c r="F501" s="271">
        <v>120</v>
      </c>
      <c r="G501" s="271"/>
      <c r="H501" s="271">
        <f t="shared" si="7"/>
        <v>120</v>
      </c>
    </row>
    <row r="502" spans="2:9" x14ac:dyDescent="0.2">
      <c r="B502" s="268" t="s">
        <v>1893</v>
      </c>
      <c r="C502" s="269">
        <v>42520</v>
      </c>
      <c r="D502" s="270" t="s">
        <v>1905</v>
      </c>
      <c r="E502" s="270" t="s">
        <v>2387</v>
      </c>
      <c r="F502" s="271">
        <v>650</v>
      </c>
      <c r="G502" s="271"/>
      <c r="H502" s="271">
        <f t="shared" si="7"/>
        <v>650</v>
      </c>
    </row>
    <row r="503" spans="2:9" x14ac:dyDescent="0.2">
      <c r="B503" s="268" t="s">
        <v>1866</v>
      </c>
      <c r="C503" s="269">
        <v>42521</v>
      </c>
      <c r="D503" s="270" t="s">
        <v>1881</v>
      </c>
      <c r="E503" s="270" t="s">
        <v>2388</v>
      </c>
      <c r="F503" s="271">
        <v>400</v>
      </c>
      <c r="G503" s="271"/>
      <c r="H503" s="271">
        <f t="shared" si="7"/>
        <v>400</v>
      </c>
    </row>
    <row r="504" spans="2:9" x14ac:dyDescent="0.2">
      <c r="B504" s="268" t="s">
        <v>1893</v>
      </c>
      <c r="C504" s="269">
        <v>42521</v>
      </c>
      <c r="D504" s="270" t="s">
        <v>1912</v>
      </c>
      <c r="E504" s="270" t="s">
        <v>2389</v>
      </c>
      <c r="F504" s="271">
        <v>148</v>
      </c>
      <c r="G504" s="271"/>
      <c r="H504" s="271">
        <f t="shared" si="7"/>
        <v>148</v>
      </c>
    </row>
    <row r="505" spans="2:9" x14ac:dyDescent="0.2">
      <c r="B505" s="268" t="s">
        <v>1893</v>
      </c>
      <c r="C505" s="269">
        <v>42521</v>
      </c>
      <c r="D505" s="270" t="s">
        <v>1882</v>
      </c>
      <c r="E505" s="270" t="s">
        <v>2390</v>
      </c>
      <c r="F505" s="271">
        <v>450</v>
      </c>
      <c r="G505" s="271"/>
      <c r="H505" s="271">
        <f t="shared" si="7"/>
        <v>450</v>
      </c>
    </row>
    <row r="506" spans="2:9" x14ac:dyDescent="0.2">
      <c r="B506" s="268" t="s">
        <v>1868</v>
      </c>
      <c r="C506" s="269">
        <v>42521</v>
      </c>
      <c r="D506" s="270" t="s">
        <v>1919</v>
      </c>
      <c r="E506" s="270" t="s">
        <v>2391</v>
      </c>
      <c r="F506" s="271">
        <v>1000</v>
      </c>
      <c r="G506" s="271"/>
      <c r="H506" s="271">
        <f t="shared" si="7"/>
        <v>1000</v>
      </c>
    </row>
    <row r="507" spans="2:9" x14ac:dyDescent="0.2">
      <c r="B507" s="268" t="s">
        <v>1585</v>
      </c>
      <c r="C507" s="269">
        <v>42521</v>
      </c>
      <c r="D507" s="270" t="s">
        <v>1895</v>
      </c>
      <c r="E507" s="270" t="s">
        <v>2392</v>
      </c>
      <c r="F507" s="271">
        <v>2700</v>
      </c>
      <c r="G507" s="271"/>
      <c r="H507" s="271">
        <f t="shared" si="7"/>
        <v>2700</v>
      </c>
    </row>
    <row r="508" spans="2:9" x14ac:dyDescent="0.2">
      <c r="B508" s="268" t="s">
        <v>1585</v>
      </c>
      <c r="C508" s="269">
        <v>42521</v>
      </c>
      <c r="D508" s="270" t="s">
        <v>1908</v>
      </c>
      <c r="E508" s="270" t="s">
        <v>3049</v>
      </c>
      <c r="F508" s="271">
        <v>29000</v>
      </c>
      <c r="G508" s="271"/>
      <c r="H508" s="271">
        <f t="shared" si="7"/>
        <v>29000</v>
      </c>
    </row>
    <row r="509" spans="2:9" x14ac:dyDescent="0.2">
      <c r="B509" s="268" t="s">
        <v>1868</v>
      </c>
      <c r="C509" s="269">
        <v>42521</v>
      </c>
      <c r="D509" s="270" t="s">
        <v>1920</v>
      </c>
      <c r="E509" s="270" t="s">
        <v>1940</v>
      </c>
      <c r="F509" s="271">
        <v>4000</v>
      </c>
      <c r="G509" s="271"/>
      <c r="H509" s="271">
        <f t="shared" si="7"/>
        <v>4000</v>
      </c>
      <c r="I509" s="177">
        <f>SUM(H416:H509)</f>
        <v>122515.9</v>
      </c>
    </row>
    <row r="510" spans="2:9" x14ac:dyDescent="0.2">
      <c r="B510" s="268" t="s">
        <v>1896</v>
      </c>
      <c r="C510" s="269">
        <v>42493</v>
      </c>
      <c r="D510" s="270" t="s">
        <v>1537</v>
      </c>
      <c r="E510" s="270" t="s">
        <v>1539</v>
      </c>
      <c r="F510" s="271">
        <v>-0.46</v>
      </c>
      <c r="G510" s="271"/>
      <c r="H510" s="271">
        <f t="shared" si="7"/>
        <v>-0.46</v>
      </c>
    </row>
    <row r="511" spans="2:9" x14ac:dyDescent="0.2">
      <c r="B511" s="268" t="s">
        <v>1799</v>
      </c>
      <c r="C511" s="269">
        <v>42506</v>
      </c>
      <c r="D511" s="270" t="s">
        <v>1918</v>
      </c>
      <c r="E511" s="270" t="s">
        <v>2394</v>
      </c>
      <c r="F511" s="271"/>
      <c r="G511" s="271">
        <v>-1760</v>
      </c>
      <c r="H511" s="271">
        <f t="shared" si="7"/>
        <v>-1760</v>
      </c>
    </row>
    <row r="512" spans="2:9" x14ac:dyDescent="0.2">
      <c r="B512" s="268" t="s">
        <v>1896</v>
      </c>
      <c r="C512" s="269">
        <v>42521</v>
      </c>
      <c r="D512" s="270" t="s">
        <v>1606</v>
      </c>
      <c r="E512" s="270" t="s">
        <v>2239</v>
      </c>
      <c r="F512" s="271">
        <v>70</v>
      </c>
      <c r="G512" s="271"/>
      <c r="H512" s="271">
        <f t="shared" si="7"/>
        <v>70</v>
      </c>
    </row>
    <row r="513" spans="2:9" x14ac:dyDescent="0.2">
      <c r="B513" s="272" t="s">
        <v>1799</v>
      </c>
      <c r="C513" s="273">
        <v>42521</v>
      </c>
      <c r="D513" s="274" t="s">
        <v>1606</v>
      </c>
      <c r="E513" s="274" t="s">
        <v>2240</v>
      </c>
      <c r="F513" s="275"/>
      <c r="G513" s="275">
        <v>11.2</v>
      </c>
      <c r="H513" s="275">
        <f t="shared" si="7"/>
        <v>11.2</v>
      </c>
      <c r="I513" s="177">
        <f>SUM(H416:H513)</f>
        <v>120836.63999999998</v>
      </c>
    </row>
    <row r="514" spans="2:9" ht="18" customHeight="1" x14ac:dyDescent="0.2">
      <c r="B514" s="276" t="s">
        <v>1859</v>
      </c>
      <c r="C514" s="276" t="s">
        <v>1860</v>
      </c>
      <c r="D514" s="277" t="s">
        <v>1861</v>
      </c>
      <c r="E514" s="277" t="s">
        <v>1862</v>
      </c>
      <c r="F514" s="278" t="s">
        <v>1863</v>
      </c>
      <c r="G514" s="278" t="s">
        <v>1864</v>
      </c>
      <c r="H514" s="263" t="s">
        <v>1865</v>
      </c>
      <c r="I514" s="177"/>
    </row>
    <row r="515" spans="2:9" x14ac:dyDescent="0.2">
      <c r="B515" s="264" t="s">
        <v>1871</v>
      </c>
      <c r="C515" s="265">
        <v>42522</v>
      </c>
      <c r="D515" s="266" t="s">
        <v>1901</v>
      </c>
      <c r="E515" s="266" t="s">
        <v>2395</v>
      </c>
      <c r="F515" s="267">
        <v>3665</v>
      </c>
      <c r="G515" s="267"/>
      <c r="H515" s="267">
        <f t="shared" si="7"/>
        <v>3665</v>
      </c>
    </row>
    <row r="516" spans="2:9" x14ac:dyDescent="0.2">
      <c r="B516" s="268" t="s">
        <v>1891</v>
      </c>
      <c r="C516" s="269">
        <v>42522</v>
      </c>
      <c r="D516" s="270" t="s">
        <v>1915</v>
      </c>
      <c r="E516" s="270" t="s">
        <v>2396</v>
      </c>
      <c r="F516" s="271">
        <v>255</v>
      </c>
      <c r="G516" s="271"/>
      <c r="H516" s="271">
        <f t="shared" si="7"/>
        <v>255</v>
      </c>
    </row>
    <row r="517" spans="2:9" x14ac:dyDescent="0.2">
      <c r="B517" s="268" t="s">
        <v>1891</v>
      </c>
      <c r="C517" s="269">
        <v>42522</v>
      </c>
      <c r="D517" s="270" t="s">
        <v>2397</v>
      </c>
      <c r="E517" s="270" t="s">
        <v>2398</v>
      </c>
      <c r="F517" s="271">
        <v>40</v>
      </c>
      <c r="G517" s="271"/>
      <c r="H517" s="271">
        <f t="shared" ref="H517:H580" si="8">SUM(F517:G517)</f>
        <v>40</v>
      </c>
    </row>
    <row r="518" spans="2:9" x14ac:dyDescent="0.2">
      <c r="B518" s="268" t="s">
        <v>1891</v>
      </c>
      <c r="C518" s="269">
        <v>42522</v>
      </c>
      <c r="D518" s="270" t="s">
        <v>2397</v>
      </c>
      <c r="E518" s="270" t="s">
        <v>2398</v>
      </c>
      <c r="F518" s="271">
        <v>60</v>
      </c>
      <c r="G518" s="271"/>
      <c r="H518" s="271">
        <f t="shared" si="8"/>
        <v>60</v>
      </c>
    </row>
    <row r="519" spans="2:9" x14ac:dyDescent="0.2">
      <c r="B519" s="268" t="s">
        <v>1893</v>
      </c>
      <c r="C519" s="269">
        <v>42522</v>
      </c>
      <c r="D519" s="270" t="s">
        <v>1906</v>
      </c>
      <c r="E519" s="270" t="s">
        <v>2399</v>
      </c>
      <c r="F519" s="271">
        <v>100</v>
      </c>
      <c r="G519" s="271"/>
      <c r="H519" s="271">
        <f t="shared" si="8"/>
        <v>100</v>
      </c>
    </row>
    <row r="520" spans="2:9" x14ac:dyDescent="0.2">
      <c r="B520" s="268" t="s">
        <v>1884</v>
      </c>
      <c r="C520" s="269">
        <v>42523</v>
      </c>
      <c r="D520" s="270" t="s">
        <v>1902</v>
      </c>
      <c r="E520" s="270" t="s">
        <v>1951</v>
      </c>
      <c r="F520" s="271">
        <v>31.8</v>
      </c>
      <c r="G520" s="271"/>
      <c r="H520" s="271">
        <f t="shared" si="8"/>
        <v>31.8</v>
      </c>
    </row>
    <row r="521" spans="2:9" x14ac:dyDescent="0.2">
      <c r="B521" s="268" t="s">
        <v>1891</v>
      </c>
      <c r="C521" s="269">
        <v>42523</v>
      </c>
      <c r="D521" s="270" t="s">
        <v>1915</v>
      </c>
      <c r="E521" s="270" t="s">
        <v>2400</v>
      </c>
      <c r="F521" s="271">
        <v>255</v>
      </c>
      <c r="G521" s="271"/>
      <c r="H521" s="271">
        <f t="shared" si="8"/>
        <v>255</v>
      </c>
    </row>
    <row r="522" spans="2:9" x14ac:dyDescent="0.2">
      <c r="B522" s="268" t="s">
        <v>1875</v>
      </c>
      <c r="C522" s="269">
        <v>42524</v>
      </c>
      <c r="D522" s="270" t="s">
        <v>1899</v>
      </c>
      <c r="E522" s="270" t="s">
        <v>1913</v>
      </c>
      <c r="F522" s="271">
        <v>142</v>
      </c>
      <c r="G522" s="271"/>
      <c r="H522" s="271">
        <f t="shared" si="8"/>
        <v>142</v>
      </c>
    </row>
    <row r="523" spans="2:9" x14ac:dyDescent="0.2">
      <c r="B523" s="268" t="s">
        <v>1867</v>
      </c>
      <c r="C523" s="269">
        <v>42524</v>
      </c>
      <c r="D523" s="270" t="s">
        <v>2397</v>
      </c>
      <c r="E523" s="270" t="s">
        <v>2401</v>
      </c>
      <c r="F523" s="271">
        <v>90</v>
      </c>
      <c r="G523" s="271"/>
      <c r="H523" s="271">
        <f t="shared" si="8"/>
        <v>90</v>
      </c>
    </row>
    <row r="524" spans="2:9" x14ac:dyDescent="0.2">
      <c r="B524" s="268" t="s">
        <v>1875</v>
      </c>
      <c r="C524" s="269">
        <v>42524</v>
      </c>
      <c r="D524" s="270" t="s">
        <v>1899</v>
      </c>
      <c r="E524" s="270" t="s">
        <v>1913</v>
      </c>
      <c r="F524" s="271">
        <v>142</v>
      </c>
      <c r="G524" s="271"/>
      <c r="H524" s="271">
        <f t="shared" si="8"/>
        <v>142</v>
      </c>
    </row>
    <row r="525" spans="2:9" x14ac:dyDescent="0.2">
      <c r="B525" s="268" t="s">
        <v>1893</v>
      </c>
      <c r="C525" s="269">
        <v>42524</v>
      </c>
      <c r="D525" s="270" t="s">
        <v>2402</v>
      </c>
      <c r="E525" s="270" t="s">
        <v>2403</v>
      </c>
      <c r="F525" s="271">
        <v>197.4</v>
      </c>
      <c r="G525" s="271"/>
      <c r="H525" s="271">
        <f t="shared" si="8"/>
        <v>197.4</v>
      </c>
    </row>
    <row r="526" spans="2:9" x14ac:dyDescent="0.2">
      <c r="B526" s="268" t="s">
        <v>1884</v>
      </c>
      <c r="C526" s="269">
        <v>42525</v>
      </c>
      <c r="D526" s="270" t="s">
        <v>1902</v>
      </c>
      <c r="E526" s="270" t="s">
        <v>1951</v>
      </c>
      <c r="F526" s="271">
        <v>188.59</v>
      </c>
      <c r="G526" s="271">
        <v>30.19</v>
      </c>
      <c r="H526" s="271">
        <f t="shared" si="8"/>
        <v>218.78</v>
      </c>
    </row>
    <row r="527" spans="2:9" x14ac:dyDescent="0.2">
      <c r="B527" s="268" t="s">
        <v>1893</v>
      </c>
      <c r="C527" s="269">
        <v>42525</v>
      </c>
      <c r="D527" s="270" t="s">
        <v>1927</v>
      </c>
      <c r="E527" s="270" t="s">
        <v>2404</v>
      </c>
      <c r="F527" s="271">
        <v>15</v>
      </c>
      <c r="G527" s="271"/>
      <c r="H527" s="271">
        <f t="shared" si="8"/>
        <v>15</v>
      </c>
    </row>
    <row r="528" spans="2:9" x14ac:dyDescent="0.2">
      <c r="B528" s="268" t="s">
        <v>1869</v>
      </c>
      <c r="C528" s="269">
        <v>42525</v>
      </c>
      <c r="D528" s="270" t="s">
        <v>1902</v>
      </c>
      <c r="E528" s="270" t="s">
        <v>2405</v>
      </c>
      <c r="F528" s="271">
        <v>89</v>
      </c>
      <c r="G528" s="271"/>
      <c r="H528" s="271">
        <f t="shared" si="8"/>
        <v>89</v>
      </c>
    </row>
    <row r="529" spans="2:8" x14ac:dyDescent="0.2">
      <c r="B529" s="268" t="s">
        <v>1869</v>
      </c>
      <c r="C529" s="269">
        <v>42525</v>
      </c>
      <c r="D529" s="270" t="s">
        <v>1902</v>
      </c>
      <c r="E529" s="270" t="s">
        <v>2406</v>
      </c>
      <c r="F529" s="271">
        <v>5</v>
      </c>
      <c r="G529" s="271"/>
      <c r="H529" s="271">
        <f t="shared" si="8"/>
        <v>5</v>
      </c>
    </row>
    <row r="530" spans="2:8" x14ac:dyDescent="0.2">
      <c r="B530" s="268" t="s">
        <v>1893</v>
      </c>
      <c r="C530" s="269">
        <v>42526</v>
      </c>
      <c r="D530" s="270" t="s">
        <v>2397</v>
      </c>
      <c r="E530" s="270" t="s">
        <v>2407</v>
      </c>
      <c r="F530" s="271">
        <v>90</v>
      </c>
      <c r="G530" s="271"/>
      <c r="H530" s="271">
        <f t="shared" si="8"/>
        <v>90</v>
      </c>
    </row>
    <row r="531" spans="2:8" x14ac:dyDescent="0.2">
      <c r="B531" s="268" t="s">
        <v>1893</v>
      </c>
      <c r="C531" s="269">
        <v>42526</v>
      </c>
      <c r="D531" s="270" t="s">
        <v>2260</v>
      </c>
      <c r="E531" s="270" t="s">
        <v>2366</v>
      </c>
      <c r="F531" s="271">
        <v>100</v>
      </c>
      <c r="G531" s="271"/>
      <c r="H531" s="271">
        <f t="shared" si="8"/>
        <v>100</v>
      </c>
    </row>
    <row r="532" spans="2:8" x14ac:dyDescent="0.2">
      <c r="B532" s="268" t="s">
        <v>1875</v>
      </c>
      <c r="C532" s="269">
        <v>42527</v>
      </c>
      <c r="D532" s="270" t="s">
        <v>1899</v>
      </c>
      <c r="E532" s="270" t="s">
        <v>1910</v>
      </c>
      <c r="F532" s="271">
        <v>78</v>
      </c>
      <c r="G532" s="271"/>
      <c r="H532" s="271">
        <f t="shared" si="8"/>
        <v>78</v>
      </c>
    </row>
    <row r="533" spans="2:8" x14ac:dyDescent="0.2">
      <c r="B533" s="268" t="s">
        <v>1874</v>
      </c>
      <c r="C533" s="269">
        <v>42527</v>
      </c>
      <c r="D533" s="270" t="s">
        <v>1915</v>
      </c>
      <c r="E533" s="270" t="s">
        <v>2408</v>
      </c>
      <c r="F533" s="271">
        <v>190</v>
      </c>
      <c r="G533" s="271"/>
      <c r="H533" s="271">
        <f t="shared" si="8"/>
        <v>190</v>
      </c>
    </row>
    <row r="534" spans="2:8" x14ac:dyDescent="0.2">
      <c r="B534" s="268" t="s">
        <v>1871</v>
      </c>
      <c r="C534" s="269">
        <v>42527</v>
      </c>
      <c r="D534" s="270" t="s">
        <v>1901</v>
      </c>
      <c r="E534" s="270" t="s">
        <v>2409</v>
      </c>
      <c r="F534" s="271">
        <v>1636.07</v>
      </c>
      <c r="G534" s="271"/>
      <c r="H534" s="271">
        <f t="shared" si="8"/>
        <v>1636.07</v>
      </c>
    </row>
    <row r="535" spans="2:8" x14ac:dyDescent="0.2">
      <c r="B535" s="268" t="s">
        <v>1876</v>
      </c>
      <c r="C535" s="269">
        <v>42528</v>
      </c>
      <c r="D535" s="270" t="s">
        <v>1903</v>
      </c>
      <c r="E535" s="270" t="s">
        <v>2410</v>
      </c>
      <c r="F535" s="271">
        <v>1137</v>
      </c>
      <c r="G535" s="271"/>
      <c r="H535" s="271">
        <f t="shared" si="8"/>
        <v>1137</v>
      </c>
    </row>
    <row r="536" spans="2:8" x14ac:dyDescent="0.2">
      <c r="B536" s="268" t="s">
        <v>1869</v>
      </c>
      <c r="C536" s="269">
        <v>42528</v>
      </c>
      <c r="D536" s="270" t="s">
        <v>1935</v>
      </c>
      <c r="E536" s="270" t="s">
        <v>2411</v>
      </c>
      <c r="F536" s="271">
        <v>90</v>
      </c>
      <c r="G536" s="271"/>
      <c r="H536" s="271">
        <f t="shared" si="8"/>
        <v>90</v>
      </c>
    </row>
    <row r="537" spans="2:8" x14ac:dyDescent="0.2">
      <c r="B537" s="268" t="s">
        <v>1867</v>
      </c>
      <c r="C537" s="269">
        <v>42528</v>
      </c>
      <c r="D537" s="270" t="s">
        <v>2412</v>
      </c>
      <c r="E537" s="270" t="s">
        <v>2413</v>
      </c>
      <c r="F537" s="271">
        <v>37.5</v>
      </c>
      <c r="G537" s="271"/>
      <c r="H537" s="271">
        <f t="shared" si="8"/>
        <v>37.5</v>
      </c>
    </row>
    <row r="538" spans="2:8" x14ac:dyDescent="0.2">
      <c r="B538" s="268" t="s">
        <v>1867</v>
      </c>
      <c r="C538" s="269">
        <v>42528</v>
      </c>
      <c r="D538" s="270" t="s">
        <v>2412</v>
      </c>
      <c r="E538" s="270" t="s">
        <v>2414</v>
      </c>
      <c r="F538" s="271">
        <v>66</v>
      </c>
      <c r="G538" s="271"/>
      <c r="H538" s="271">
        <f t="shared" si="8"/>
        <v>66</v>
      </c>
    </row>
    <row r="539" spans="2:8" x14ac:dyDescent="0.2">
      <c r="B539" s="268" t="s">
        <v>1893</v>
      </c>
      <c r="C539" s="269">
        <v>42528</v>
      </c>
      <c r="D539" s="270" t="s">
        <v>1907</v>
      </c>
      <c r="E539" s="270" t="s">
        <v>2415</v>
      </c>
      <c r="F539" s="271">
        <v>88</v>
      </c>
      <c r="G539" s="271"/>
      <c r="H539" s="271">
        <f t="shared" si="8"/>
        <v>88</v>
      </c>
    </row>
    <row r="540" spans="2:8" x14ac:dyDescent="0.2">
      <c r="B540" s="268" t="s">
        <v>1893</v>
      </c>
      <c r="C540" s="269">
        <v>42528</v>
      </c>
      <c r="D540" s="270" t="s">
        <v>2397</v>
      </c>
      <c r="E540" s="270" t="s">
        <v>2416</v>
      </c>
      <c r="F540" s="271">
        <v>44</v>
      </c>
      <c r="G540" s="271"/>
      <c r="H540" s="271">
        <f t="shared" si="8"/>
        <v>44</v>
      </c>
    </row>
    <row r="541" spans="2:8" x14ac:dyDescent="0.2">
      <c r="B541" s="268" t="s">
        <v>1893</v>
      </c>
      <c r="C541" s="269">
        <v>42528</v>
      </c>
      <c r="D541" s="270" t="s">
        <v>2397</v>
      </c>
      <c r="E541" s="270" t="s">
        <v>2416</v>
      </c>
      <c r="F541" s="271">
        <v>67.2</v>
      </c>
      <c r="G541" s="271"/>
      <c r="H541" s="271">
        <f t="shared" si="8"/>
        <v>67.2</v>
      </c>
    </row>
    <row r="542" spans="2:8" x14ac:dyDescent="0.2">
      <c r="B542" s="268" t="s">
        <v>1867</v>
      </c>
      <c r="C542" s="269">
        <v>42529</v>
      </c>
      <c r="D542" s="270" t="s">
        <v>1906</v>
      </c>
      <c r="E542" s="270" t="s">
        <v>2417</v>
      </c>
      <c r="F542" s="271">
        <v>2900</v>
      </c>
      <c r="G542" s="271"/>
      <c r="H542" s="271">
        <f t="shared" si="8"/>
        <v>2900</v>
      </c>
    </row>
    <row r="543" spans="2:8" x14ac:dyDescent="0.2">
      <c r="B543" s="268" t="s">
        <v>1875</v>
      </c>
      <c r="C543" s="269">
        <v>42529</v>
      </c>
      <c r="D543" s="270" t="s">
        <v>1899</v>
      </c>
      <c r="E543" s="270" t="s">
        <v>1922</v>
      </c>
      <c r="F543" s="271">
        <v>175</v>
      </c>
      <c r="G543" s="271"/>
      <c r="H543" s="271">
        <f t="shared" si="8"/>
        <v>175</v>
      </c>
    </row>
    <row r="544" spans="2:8" x14ac:dyDescent="0.2">
      <c r="B544" s="268" t="s">
        <v>1867</v>
      </c>
      <c r="C544" s="269">
        <v>42529</v>
      </c>
      <c r="D544" s="270" t="s">
        <v>1906</v>
      </c>
      <c r="E544" s="270" t="s">
        <v>2418</v>
      </c>
      <c r="F544" s="271">
        <v>100</v>
      </c>
      <c r="G544" s="271"/>
      <c r="H544" s="271">
        <f t="shared" si="8"/>
        <v>100</v>
      </c>
    </row>
    <row r="545" spans="2:8" x14ac:dyDescent="0.2">
      <c r="B545" s="268" t="s">
        <v>1879</v>
      </c>
      <c r="C545" s="269">
        <v>42529</v>
      </c>
      <c r="D545" s="270" t="s">
        <v>1901</v>
      </c>
      <c r="E545" s="270" t="s">
        <v>2419</v>
      </c>
      <c r="F545" s="271">
        <v>420</v>
      </c>
      <c r="G545" s="271"/>
      <c r="H545" s="271">
        <f t="shared" si="8"/>
        <v>420</v>
      </c>
    </row>
    <row r="546" spans="2:8" x14ac:dyDescent="0.2">
      <c r="B546" s="268" t="s">
        <v>1869</v>
      </c>
      <c r="C546" s="269">
        <v>42529</v>
      </c>
      <c r="D546" s="270" t="s">
        <v>1935</v>
      </c>
      <c r="E546" s="270" t="s">
        <v>2420</v>
      </c>
      <c r="F546" s="271">
        <v>270</v>
      </c>
      <c r="G546" s="271"/>
      <c r="H546" s="271">
        <f t="shared" si="8"/>
        <v>270</v>
      </c>
    </row>
    <row r="547" spans="2:8" x14ac:dyDescent="0.2">
      <c r="B547" s="268" t="s">
        <v>1890</v>
      </c>
      <c r="C547" s="269">
        <v>42529</v>
      </c>
      <c r="D547" s="270" t="s">
        <v>2421</v>
      </c>
      <c r="E547" s="270" t="s">
        <v>2422</v>
      </c>
      <c r="F547" s="271">
        <v>86</v>
      </c>
      <c r="G547" s="271"/>
      <c r="H547" s="271">
        <f t="shared" si="8"/>
        <v>86</v>
      </c>
    </row>
    <row r="548" spans="2:8" x14ac:dyDescent="0.2">
      <c r="B548" s="268" t="s">
        <v>1869</v>
      </c>
      <c r="C548" s="269">
        <v>42529</v>
      </c>
      <c r="D548" s="270" t="s">
        <v>1935</v>
      </c>
      <c r="E548" s="270" t="s">
        <v>2420</v>
      </c>
      <c r="F548" s="271">
        <v>270</v>
      </c>
      <c r="G548" s="271"/>
      <c r="H548" s="271">
        <f t="shared" si="8"/>
        <v>270</v>
      </c>
    </row>
    <row r="549" spans="2:8" x14ac:dyDescent="0.2">
      <c r="B549" s="268" t="s">
        <v>1874</v>
      </c>
      <c r="C549" s="269">
        <v>42529</v>
      </c>
      <c r="D549" s="270" t="s">
        <v>1946</v>
      </c>
      <c r="E549" s="270" t="s">
        <v>2423</v>
      </c>
      <c r="F549" s="271">
        <v>600</v>
      </c>
      <c r="G549" s="271"/>
      <c r="H549" s="271">
        <f t="shared" si="8"/>
        <v>600</v>
      </c>
    </row>
    <row r="550" spans="2:8" x14ac:dyDescent="0.2">
      <c r="B550" s="268" t="s">
        <v>1869</v>
      </c>
      <c r="C550" s="269">
        <v>42529</v>
      </c>
      <c r="D550" s="270" t="s">
        <v>2424</v>
      </c>
      <c r="E550" s="270" t="s">
        <v>2425</v>
      </c>
      <c r="F550" s="271">
        <v>66.8</v>
      </c>
      <c r="G550" s="271"/>
      <c r="H550" s="271">
        <f t="shared" si="8"/>
        <v>66.8</v>
      </c>
    </row>
    <row r="551" spans="2:8" x14ac:dyDescent="0.2">
      <c r="B551" s="268" t="s">
        <v>1869</v>
      </c>
      <c r="C551" s="269">
        <v>42531</v>
      </c>
      <c r="D551" s="270" t="s">
        <v>1900</v>
      </c>
      <c r="E551" s="270" t="s">
        <v>2426</v>
      </c>
      <c r="F551" s="271">
        <v>172.5</v>
      </c>
      <c r="G551" s="271"/>
      <c r="H551" s="271">
        <f t="shared" si="8"/>
        <v>172.5</v>
      </c>
    </row>
    <row r="552" spans="2:8" x14ac:dyDescent="0.2">
      <c r="B552" s="268" t="s">
        <v>1875</v>
      </c>
      <c r="C552" s="269">
        <v>42531</v>
      </c>
      <c r="D552" s="270" t="s">
        <v>1899</v>
      </c>
      <c r="E552" s="270" t="s">
        <v>1922</v>
      </c>
      <c r="F552" s="271">
        <v>175</v>
      </c>
      <c r="G552" s="271"/>
      <c r="H552" s="271">
        <f t="shared" si="8"/>
        <v>175</v>
      </c>
    </row>
    <row r="553" spans="2:8" x14ac:dyDescent="0.2">
      <c r="B553" s="268" t="s">
        <v>1868</v>
      </c>
      <c r="C553" s="269">
        <v>42531</v>
      </c>
      <c r="D553" s="270" t="s">
        <v>1919</v>
      </c>
      <c r="E553" s="270" t="s">
        <v>2427</v>
      </c>
      <c r="F553" s="271">
        <v>1000</v>
      </c>
      <c r="G553" s="271"/>
      <c r="H553" s="271">
        <f t="shared" si="8"/>
        <v>1000</v>
      </c>
    </row>
    <row r="554" spans="2:8" x14ac:dyDescent="0.2">
      <c r="B554" s="268" t="s">
        <v>1893</v>
      </c>
      <c r="C554" s="269">
        <v>42531</v>
      </c>
      <c r="D554" s="270" t="s">
        <v>1919</v>
      </c>
      <c r="E554" s="270" t="s">
        <v>2428</v>
      </c>
      <c r="F554" s="271">
        <v>400</v>
      </c>
      <c r="G554" s="271"/>
      <c r="H554" s="271">
        <f t="shared" si="8"/>
        <v>400</v>
      </c>
    </row>
    <row r="555" spans="2:8" x14ac:dyDescent="0.2">
      <c r="B555" s="268" t="s">
        <v>1867</v>
      </c>
      <c r="C555" s="269">
        <v>42533</v>
      </c>
      <c r="D555" s="270" t="s">
        <v>1906</v>
      </c>
      <c r="E555" s="270" t="s">
        <v>2429</v>
      </c>
      <c r="F555" s="271">
        <v>350</v>
      </c>
      <c r="G555" s="271"/>
      <c r="H555" s="271">
        <f t="shared" si="8"/>
        <v>350</v>
      </c>
    </row>
    <row r="556" spans="2:8" x14ac:dyDescent="0.2">
      <c r="B556" s="268" t="s">
        <v>1893</v>
      </c>
      <c r="C556" s="269">
        <v>42533</v>
      </c>
      <c r="D556" s="270" t="s">
        <v>2430</v>
      </c>
      <c r="E556" s="270" t="s">
        <v>2431</v>
      </c>
      <c r="F556" s="271">
        <v>200</v>
      </c>
      <c r="G556" s="271"/>
      <c r="H556" s="271">
        <f t="shared" si="8"/>
        <v>200</v>
      </c>
    </row>
    <row r="557" spans="2:8" x14ac:dyDescent="0.2">
      <c r="B557" s="268" t="s">
        <v>1893</v>
      </c>
      <c r="C557" s="269">
        <v>42533</v>
      </c>
      <c r="D557" s="270" t="s">
        <v>2432</v>
      </c>
      <c r="E557" s="270" t="s">
        <v>2433</v>
      </c>
      <c r="F557" s="271">
        <v>350</v>
      </c>
      <c r="G557" s="271"/>
      <c r="H557" s="271">
        <f t="shared" si="8"/>
        <v>350</v>
      </c>
    </row>
    <row r="558" spans="2:8" x14ac:dyDescent="0.2">
      <c r="B558" s="268" t="s">
        <v>1893</v>
      </c>
      <c r="C558" s="269">
        <v>42533</v>
      </c>
      <c r="D558" s="270" t="s">
        <v>2430</v>
      </c>
      <c r="E558" s="270" t="s">
        <v>2434</v>
      </c>
      <c r="F558" s="271">
        <v>100</v>
      </c>
      <c r="G558" s="271"/>
      <c r="H558" s="271">
        <f t="shared" si="8"/>
        <v>100</v>
      </c>
    </row>
    <row r="559" spans="2:8" x14ac:dyDescent="0.2">
      <c r="B559" s="268" t="s">
        <v>1875</v>
      </c>
      <c r="C559" s="269">
        <v>42533</v>
      </c>
      <c r="D559" s="270" t="s">
        <v>2397</v>
      </c>
      <c r="E559" s="270" t="s">
        <v>2435</v>
      </c>
      <c r="F559" s="271">
        <v>143.5</v>
      </c>
      <c r="G559" s="271"/>
      <c r="H559" s="271">
        <f t="shared" si="8"/>
        <v>143.5</v>
      </c>
    </row>
    <row r="560" spans="2:8" x14ac:dyDescent="0.2">
      <c r="B560" s="268" t="s">
        <v>1875</v>
      </c>
      <c r="C560" s="269">
        <v>42534</v>
      </c>
      <c r="D560" s="270" t="s">
        <v>2436</v>
      </c>
      <c r="E560" s="270" t="s">
        <v>2437</v>
      </c>
      <c r="F560" s="271">
        <v>84</v>
      </c>
      <c r="G560" s="271"/>
      <c r="H560" s="271">
        <f t="shared" si="8"/>
        <v>84</v>
      </c>
    </row>
    <row r="561" spans="2:8" x14ac:dyDescent="0.2">
      <c r="B561" s="268" t="s">
        <v>1893</v>
      </c>
      <c r="C561" s="269">
        <v>42534</v>
      </c>
      <c r="D561" s="270" t="s">
        <v>2438</v>
      </c>
      <c r="E561" s="270" t="s">
        <v>2439</v>
      </c>
      <c r="F561" s="271">
        <v>200</v>
      </c>
      <c r="G561" s="271"/>
      <c r="H561" s="271">
        <f t="shared" si="8"/>
        <v>200</v>
      </c>
    </row>
    <row r="562" spans="2:8" x14ac:dyDescent="0.2">
      <c r="B562" s="268" t="s">
        <v>1893</v>
      </c>
      <c r="C562" s="269">
        <v>42534</v>
      </c>
      <c r="D562" s="270" t="s">
        <v>1916</v>
      </c>
      <c r="E562" s="270" t="s">
        <v>2440</v>
      </c>
      <c r="F562" s="271">
        <v>400</v>
      </c>
      <c r="G562" s="271"/>
      <c r="H562" s="271">
        <f t="shared" si="8"/>
        <v>400</v>
      </c>
    </row>
    <row r="563" spans="2:8" x14ac:dyDescent="0.2">
      <c r="B563" s="268" t="s">
        <v>1893</v>
      </c>
      <c r="C563" s="269">
        <v>42534</v>
      </c>
      <c r="D563" s="270" t="s">
        <v>1927</v>
      </c>
      <c r="E563" s="270" t="s">
        <v>2441</v>
      </c>
      <c r="F563" s="271">
        <v>110</v>
      </c>
      <c r="G563" s="271"/>
      <c r="H563" s="271">
        <f t="shared" si="8"/>
        <v>110</v>
      </c>
    </row>
    <row r="564" spans="2:8" x14ac:dyDescent="0.2">
      <c r="B564" s="268" t="s">
        <v>1893</v>
      </c>
      <c r="C564" s="269">
        <v>42535</v>
      </c>
      <c r="D564" s="270" t="s">
        <v>2442</v>
      </c>
      <c r="E564" s="270" t="s">
        <v>2443</v>
      </c>
      <c r="F564" s="271">
        <v>141</v>
      </c>
      <c r="G564" s="271"/>
      <c r="H564" s="271">
        <f t="shared" si="8"/>
        <v>141</v>
      </c>
    </row>
    <row r="565" spans="2:8" x14ac:dyDescent="0.2">
      <c r="B565" s="268" t="s">
        <v>1893</v>
      </c>
      <c r="C565" s="269">
        <v>42535</v>
      </c>
      <c r="D565" s="270" t="s">
        <v>2442</v>
      </c>
      <c r="E565" s="270" t="s">
        <v>2444</v>
      </c>
      <c r="F565" s="271">
        <v>20</v>
      </c>
      <c r="G565" s="271"/>
      <c r="H565" s="271">
        <f t="shared" si="8"/>
        <v>20</v>
      </c>
    </row>
    <row r="566" spans="2:8" x14ac:dyDescent="0.2">
      <c r="B566" s="268" t="s">
        <v>1893</v>
      </c>
      <c r="C566" s="269">
        <v>42535</v>
      </c>
      <c r="D566" s="270" t="s">
        <v>1924</v>
      </c>
      <c r="E566" s="270" t="s">
        <v>2445</v>
      </c>
      <c r="F566" s="271">
        <v>500</v>
      </c>
      <c r="G566" s="271"/>
      <c r="H566" s="271">
        <f t="shared" si="8"/>
        <v>500</v>
      </c>
    </row>
    <row r="567" spans="2:8" x14ac:dyDescent="0.2">
      <c r="B567" s="268" t="s">
        <v>1799</v>
      </c>
      <c r="C567" s="269">
        <v>42536</v>
      </c>
      <c r="D567" s="270" t="s">
        <v>1918</v>
      </c>
      <c r="E567" s="270" t="s">
        <v>2446</v>
      </c>
      <c r="F567" s="271"/>
      <c r="G567" s="271">
        <v>1760</v>
      </c>
      <c r="H567" s="271">
        <f t="shared" si="8"/>
        <v>1760</v>
      </c>
    </row>
    <row r="568" spans="2:8" x14ac:dyDescent="0.2">
      <c r="B568" s="268" t="s">
        <v>1814</v>
      </c>
      <c r="C568" s="269">
        <v>42536</v>
      </c>
      <c r="D568" s="270" t="s">
        <v>1897</v>
      </c>
      <c r="E568" s="270" t="s">
        <v>2447</v>
      </c>
      <c r="F568" s="271">
        <v>1224</v>
      </c>
      <c r="G568" s="271"/>
      <c r="H568" s="271">
        <f t="shared" si="8"/>
        <v>1224</v>
      </c>
    </row>
    <row r="569" spans="2:8" x14ac:dyDescent="0.2">
      <c r="B569" s="268" t="s">
        <v>1893</v>
      </c>
      <c r="C569" s="269">
        <v>42536</v>
      </c>
      <c r="D569" s="270" t="s">
        <v>1927</v>
      </c>
      <c r="E569" s="270" t="s">
        <v>2448</v>
      </c>
      <c r="F569" s="271">
        <v>100</v>
      </c>
      <c r="G569" s="271"/>
      <c r="H569" s="271">
        <f t="shared" si="8"/>
        <v>100</v>
      </c>
    </row>
    <row r="570" spans="2:8" x14ac:dyDescent="0.2">
      <c r="B570" s="268" t="s">
        <v>1875</v>
      </c>
      <c r="C570" s="269">
        <v>42536</v>
      </c>
      <c r="D570" s="270" t="s">
        <v>1899</v>
      </c>
      <c r="E570" s="270" t="s">
        <v>1948</v>
      </c>
      <c r="F570" s="271">
        <v>180</v>
      </c>
      <c r="G570" s="271"/>
      <c r="H570" s="271">
        <f t="shared" si="8"/>
        <v>180</v>
      </c>
    </row>
    <row r="571" spans="2:8" x14ac:dyDescent="0.2">
      <c r="B571" s="268" t="s">
        <v>1875</v>
      </c>
      <c r="C571" s="269">
        <v>42536</v>
      </c>
      <c r="D571" s="270" t="s">
        <v>2397</v>
      </c>
      <c r="E571" s="270" t="s">
        <v>2449</v>
      </c>
      <c r="F571" s="271">
        <v>171.4</v>
      </c>
      <c r="G571" s="271"/>
      <c r="H571" s="271">
        <f t="shared" si="8"/>
        <v>171.4</v>
      </c>
    </row>
    <row r="572" spans="2:8" x14ac:dyDescent="0.2">
      <c r="B572" s="268" t="s">
        <v>1893</v>
      </c>
      <c r="C572" s="269">
        <v>42536</v>
      </c>
      <c r="D572" s="270" t="s">
        <v>1919</v>
      </c>
      <c r="E572" s="270" t="s">
        <v>2450</v>
      </c>
      <c r="F572" s="271">
        <v>400</v>
      </c>
      <c r="G572" s="271"/>
      <c r="H572" s="271">
        <f t="shared" si="8"/>
        <v>400</v>
      </c>
    </row>
    <row r="573" spans="2:8" x14ac:dyDescent="0.2">
      <c r="B573" s="268" t="s">
        <v>1893</v>
      </c>
      <c r="C573" s="269">
        <v>42536</v>
      </c>
      <c r="D573" s="270" t="s">
        <v>1882</v>
      </c>
      <c r="E573" s="270" t="s">
        <v>2451</v>
      </c>
      <c r="F573" s="271">
        <v>450</v>
      </c>
      <c r="G573" s="271"/>
      <c r="H573" s="271">
        <f t="shared" si="8"/>
        <v>450</v>
      </c>
    </row>
    <row r="574" spans="2:8" x14ac:dyDescent="0.2">
      <c r="B574" s="268" t="s">
        <v>1585</v>
      </c>
      <c r="C574" s="269">
        <v>42536</v>
      </c>
      <c r="D574" s="270" t="s">
        <v>1895</v>
      </c>
      <c r="E574" s="270" t="s">
        <v>2392</v>
      </c>
      <c r="F574" s="271">
        <v>2700</v>
      </c>
      <c r="G574" s="271"/>
      <c r="H574" s="271">
        <f t="shared" si="8"/>
        <v>2700</v>
      </c>
    </row>
    <row r="575" spans="2:8" x14ac:dyDescent="0.2">
      <c r="B575" s="268" t="s">
        <v>1585</v>
      </c>
      <c r="C575" s="269">
        <v>42536</v>
      </c>
      <c r="D575" s="270" t="s">
        <v>1908</v>
      </c>
      <c r="E575" s="270" t="s">
        <v>2393</v>
      </c>
      <c r="F575" s="271">
        <v>29000</v>
      </c>
      <c r="G575" s="271"/>
      <c r="H575" s="271">
        <f t="shared" si="8"/>
        <v>29000</v>
      </c>
    </row>
    <row r="576" spans="2:8" x14ac:dyDescent="0.2">
      <c r="B576" s="268" t="s">
        <v>1868</v>
      </c>
      <c r="C576" s="269">
        <v>42536</v>
      </c>
      <c r="D576" s="270" t="s">
        <v>1920</v>
      </c>
      <c r="E576" s="270" t="s">
        <v>1940</v>
      </c>
      <c r="F576" s="271">
        <v>4000</v>
      </c>
      <c r="G576" s="271"/>
      <c r="H576" s="271">
        <f t="shared" si="8"/>
        <v>4000</v>
      </c>
    </row>
    <row r="577" spans="2:8" x14ac:dyDescent="0.2">
      <c r="B577" s="268" t="s">
        <v>1893</v>
      </c>
      <c r="C577" s="269">
        <v>42538</v>
      </c>
      <c r="D577" s="270" t="s">
        <v>2960</v>
      </c>
      <c r="E577" s="270" t="s">
        <v>2452</v>
      </c>
      <c r="F577" s="271">
        <v>300</v>
      </c>
      <c r="G577" s="271"/>
      <c r="H577" s="271">
        <f t="shared" si="8"/>
        <v>300</v>
      </c>
    </row>
    <row r="578" spans="2:8" x14ac:dyDescent="0.2">
      <c r="B578" s="268" t="s">
        <v>1893</v>
      </c>
      <c r="C578" s="269">
        <v>42538</v>
      </c>
      <c r="D578" s="270" t="s">
        <v>2430</v>
      </c>
      <c r="E578" s="270" t="s">
        <v>2453</v>
      </c>
      <c r="F578" s="271">
        <v>150</v>
      </c>
      <c r="G578" s="271"/>
      <c r="H578" s="271">
        <f t="shared" si="8"/>
        <v>150</v>
      </c>
    </row>
    <row r="579" spans="2:8" x14ac:dyDescent="0.2">
      <c r="B579" s="268" t="s">
        <v>1893</v>
      </c>
      <c r="C579" s="269">
        <v>42538</v>
      </c>
      <c r="D579" s="270" t="s">
        <v>2260</v>
      </c>
      <c r="E579" s="270" t="s">
        <v>2454</v>
      </c>
      <c r="F579" s="271">
        <v>100</v>
      </c>
      <c r="G579" s="271"/>
      <c r="H579" s="271">
        <f t="shared" si="8"/>
        <v>100</v>
      </c>
    </row>
    <row r="580" spans="2:8" x14ac:dyDescent="0.2">
      <c r="B580" s="268" t="s">
        <v>1875</v>
      </c>
      <c r="C580" s="269">
        <v>42538</v>
      </c>
      <c r="D580" s="270" t="s">
        <v>1899</v>
      </c>
      <c r="E580" s="270" t="s">
        <v>1931</v>
      </c>
      <c r="F580" s="271">
        <v>180</v>
      </c>
      <c r="G580" s="271"/>
      <c r="H580" s="271">
        <f t="shared" si="8"/>
        <v>180</v>
      </c>
    </row>
    <row r="581" spans="2:8" x14ac:dyDescent="0.2">
      <c r="B581" s="268" t="s">
        <v>1875</v>
      </c>
      <c r="C581" s="269">
        <v>42538</v>
      </c>
      <c r="D581" s="270" t="s">
        <v>2455</v>
      </c>
      <c r="E581" s="270" t="s">
        <v>2456</v>
      </c>
      <c r="F581" s="271">
        <v>138</v>
      </c>
      <c r="G581" s="271"/>
      <c r="H581" s="271">
        <f t="shared" ref="H581:H644" si="9">SUM(F581:G581)</f>
        <v>138</v>
      </c>
    </row>
    <row r="582" spans="2:8" x14ac:dyDescent="0.2">
      <c r="B582" s="268" t="s">
        <v>1869</v>
      </c>
      <c r="C582" s="269">
        <v>38885</v>
      </c>
      <c r="D582" s="270" t="s">
        <v>1935</v>
      </c>
      <c r="E582" s="270" t="s">
        <v>2457</v>
      </c>
      <c r="F582" s="271">
        <v>129</v>
      </c>
      <c r="G582" s="271"/>
      <c r="H582" s="271">
        <f t="shared" si="9"/>
        <v>129</v>
      </c>
    </row>
    <row r="583" spans="2:8" x14ac:dyDescent="0.2">
      <c r="B583" s="268" t="s">
        <v>1893</v>
      </c>
      <c r="C583" s="269">
        <v>42538</v>
      </c>
      <c r="D583" s="270" t="s">
        <v>1907</v>
      </c>
      <c r="E583" s="270" t="s">
        <v>2458</v>
      </c>
      <c r="F583" s="271">
        <v>125</v>
      </c>
      <c r="G583" s="271"/>
      <c r="H583" s="271">
        <f t="shared" si="9"/>
        <v>125</v>
      </c>
    </row>
    <row r="584" spans="2:8" x14ac:dyDescent="0.2">
      <c r="B584" s="268" t="s">
        <v>1893</v>
      </c>
      <c r="C584" s="269">
        <v>42538</v>
      </c>
      <c r="D584" s="270" t="s">
        <v>1915</v>
      </c>
      <c r="E584" s="270" t="s">
        <v>2459</v>
      </c>
      <c r="F584" s="271">
        <v>225</v>
      </c>
      <c r="G584" s="271"/>
      <c r="H584" s="271">
        <f t="shared" si="9"/>
        <v>225</v>
      </c>
    </row>
    <row r="585" spans="2:8" x14ac:dyDescent="0.2">
      <c r="B585" s="268" t="s">
        <v>1869</v>
      </c>
      <c r="C585" s="269">
        <v>42538</v>
      </c>
      <c r="D585" s="270" t="s">
        <v>1900</v>
      </c>
      <c r="E585" s="270" t="s">
        <v>2460</v>
      </c>
      <c r="F585" s="271">
        <v>1139.7</v>
      </c>
      <c r="G585" s="271"/>
      <c r="H585" s="271">
        <f t="shared" si="9"/>
        <v>1139.7</v>
      </c>
    </row>
    <row r="586" spans="2:8" x14ac:dyDescent="0.2">
      <c r="B586" s="268" t="s">
        <v>1879</v>
      </c>
      <c r="C586" s="269">
        <v>42538</v>
      </c>
      <c r="D586" s="270" t="s">
        <v>2461</v>
      </c>
      <c r="E586" s="270" t="s">
        <v>2462</v>
      </c>
      <c r="F586" s="271">
        <v>300</v>
      </c>
      <c r="G586" s="271"/>
      <c r="H586" s="271">
        <f t="shared" si="9"/>
        <v>300</v>
      </c>
    </row>
    <row r="587" spans="2:8" x14ac:dyDescent="0.2">
      <c r="B587" s="268" t="s">
        <v>1868</v>
      </c>
      <c r="C587" s="269">
        <v>42538</v>
      </c>
      <c r="D587" s="270" t="s">
        <v>1919</v>
      </c>
      <c r="E587" s="270" t="s">
        <v>2463</v>
      </c>
      <c r="F587" s="271">
        <v>1000</v>
      </c>
      <c r="G587" s="271"/>
      <c r="H587" s="271">
        <f t="shared" si="9"/>
        <v>1000</v>
      </c>
    </row>
    <row r="588" spans="2:8" x14ac:dyDescent="0.2">
      <c r="B588" s="268" t="s">
        <v>1866</v>
      </c>
      <c r="C588" s="269">
        <v>42538</v>
      </c>
      <c r="D588" s="270" t="s">
        <v>1881</v>
      </c>
      <c r="E588" s="270" t="s">
        <v>2464</v>
      </c>
      <c r="F588" s="271">
        <v>350</v>
      </c>
      <c r="G588" s="271"/>
      <c r="H588" s="271">
        <f t="shared" si="9"/>
        <v>350</v>
      </c>
    </row>
    <row r="589" spans="2:8" x14ac:dyDescent="0.2">
      <c r="B589" s="268" t="s">
        <v>1893</v>
      </c>
      <c r="C589" s="269">
        <v>42539</v>
      </c>
      <c r="D589" s="270" t="s">
        <v>2465</v>
      </c>
      <c r="E589" s="270" t="s">
        <v>2466</v>
      </c>
      <c r="F589" s="271">
        <v>71.099999999999994</v>
      </c>
      <c r="G589" s="271"/>
      <c r="H589" s="271">
        <f t="shared" si="9"/>
        <v>71.099999999999994</v>
      </c>
    </row>
    <row r="590" spans="2:8" x14ac:dyDescent="0.2">
      <c r="B590" s="268" t="s">
        <v>1893</v>
      </c>
      <c r="C590" s="269">
        <v>42539</v>
      </c>
      <c r="D590" s="270" t="s">
        <v>2465</v>
      </c>
      <c r="E590" s="270" t="s">
        <v>2467</v>
      </c>
      <c r="F590" s="271">
        <v>60</v>
      </c>
      <c r="G590" s="271"/>
      <c r="H590" s="271">
        <f t="shared" si="9"/>
        <v>60</v>
      </c>
    </row>
    <row r="591" spans="2:8" x14ac:dyDescent="0.2">
      <c r="B591" s="268" t="s">
        <v>1893</v>
      </c>
      <c r="C591" s="269">
        <v>42539</v>
      </c>
      <c r="D591" s="270" t="s">
        <v>2468</v>
      </c>
      <c r="E591" s="270" t="s">
        <v>2469</v>
      </c>
      <c r="F591" s="271">
        <v>300</v>
      </c>
      <c r="G591" s="271"/>
      <c r="H591" s="271">
        <f t="shared" si="9"/>
        <v>300</v>
      </c>
    </row>
    <row r="592" spans="2:8" x14ac:dyDescent="0.2">
      <c r="B592" s="268" t="s">
        <v>1893</v>
      </c>
      <c r="C592" s="269">
        <v>42539</v>
      </c>
      <c r="D592" s="270" t="s">
        <v>2470</v>
      </c>
      <c r="E592" s="270" t="s">
        <v>2471</v>
      </c>
      <c r="F592" s="271">
        <v>150</v>
      </c>
      <c r="G592" s="271"/>
      <c r="H592" s="271">
        <f t="shared" si="9"/>
        <v>150</v>
      </c>
    </row>
    <row r="593" spans="2:8" x14ac:dyDescent="0.2">
      <c r="B593" s="268" t="s">
        <v>1893</v>
      </c>
      <c r="C593" s="269">
        <v>42540</v>
      </c>
      <c r="D593" s="270" t="s">
        <v>2397</v>
      </c>
      <c r="E593" s="270" t="s">
        <v>2472</v>
      </c>
      <c r="F593" s="271">
        <v>183.4</v>
      </c>
      <c r="G593" s="271"/>
      <c r="H593" s="271">
        <f t="shared" si="9"/>
        <v>183.4</v>
      </c>
    </row>
    <row r="594" spans="2:8" x14ac:dyDescent="0.2">
      <c r="B594" s="268" t="s">
        <v>1871</v>
      </c>
      <c r="C594" s="269">
        <v>42541</v>
      </c>
      <c r="D594" s="270" t="s">
        <v>1901</v>
      </c>
      <c r="E594" s="270" t="s">
        <v>2473</v>
      </c>
      <c r="F594" s="271">
        <v>1500</v>
      </c>
      <c r="G594" s="271"/>
      <c r="H594" s="271">
        <f t="shared" si="9"/>
        <v>1500</v>
      </c>
    </row>
    <row r="595" spans="2:8" x14ac:dyDescent="0.2">
      <c r="B595" s="268" t="s">
        <v>1879</v>
      </c>
      <c r="C595" s="269">
        <v>42541</v>
      </c>
      <c r="D595" s="270" t="s">
        <v>1901</v>
      </c>
      <c r="E595" s="270" t="s">
        <v>2474</v>
      </c>
      <c r="F595" s="271">
        <v>1600</v>
      </c>
      <c r="G595" s="271"/>
      <c r="H595" s="271">
        <f t="shared" si="9"/>
        <v>1600</v>
      </c>
    </row>
    <row r="596" spans="2:8" x14ac:dyDescent="0.2">
      <c r="B596" s="268" t="s">
        <v>1893</v>
      </c>
      <c r="C596" s="269">
        <v>42542</v>
      </c>
      <c r="D596" s="270" t="s">
        <v>1919</v>
      </c>
      <c r="E596" s="270" t="s">
        <v>2475</v>
      </c>
      <c r="F596" s="271">
        <v>400</v>
      </c>
      <c r="G596" s="271"/>
      <c r="H596" s="271">
        <f t="shared" si="9"/>
        <v>400</v>
      </c>
    </row>
    <row r="597" spans="2:8" x14ac:dyDescent="0.2">
      <c r="B597" s="268" t="s">
        <v>1866</v>
      </c>
      <c r="C597" s="269">
        <v>42545</v>
      </c>
      <c r="D597" s="270" t="s">
        <v>1881</v>
      </c>
      <c r="E597" s="270" t="s">
        <v>2476</v>
      </c>
      <c r="F597" s="271">
        <v>1600</v>
      </c>
      <c r="G597" s="271"/>
      <c r="H597" s="271">
        <f t="shared" si="9"/>
        <v>1600</v>
      </c>
    </row>
    <row r="598" spans="2:8" x14ac:dyDescent="0.2">
      <c r="B598" s="268" t="s">
        <v>1866</v>
      </c>
      <c r="C598" s="269">
        <v>42545</v>
      </c>
      <c r="D598" s="270" t="s">
        <v>1881</v>
      </c>
      <c r="E598" s="270" t="s">
        <v>2477</v>
      </c>
      <c r="F598" s="271">
        <v>1600</v>
      </c>
      <c r="G598" s="271"/>
      <c r="H598" s="271">
        <f t="shared" si="9"/>
        <v>1600</v>
      </c>
    </row>
    <row r="599" spans="2:8" x14ac:dyDescent="0.2">
      <c r="B599" s="268" t="s">
        <v>1868</v>
      </c>
      <c r="C599" s="269">
        <v>42545</v>
      </c>
      <c r="D599" s="270" t="s">
        <v>1919</v>
      </c>
      <c r="E599" s="270" t="s">
        <v>2478</v>
      </c>
      <c r="F599" s="271">
        <v>1000</v>
      </c>
      <c r="G599" s="271"/>
      <c r="H599" s="271">
        <f t="shared" si="9"/>
        <v>1000</v>
      </c>
    </row>
    <row r="600" spans="2:8" x14ac:dyDescent="0.2">
      <c r="B600" s="268" t="s">
        <v>1875</v>
      </c>
      <c r="C600" s="269">
        <v>42545</v>
      </c>
      <c r="D600" s="270" t="s">
        <v>1899</v>
      </c>
      <c r="E600" s="270" t="s">
        <v>2479</v>
      </c>
      <c r="F600" s="271">
        <v>190</v>
      </c>
      <c r="G600" s="271"/>
      <c r="H600" s="271">
        <f t="shared" si="9"/>
        <v>190</v>
      </c>
    </row>
    <row r="601" spans="2:8" x14ac:dyDescent="0.2">
      <c r="B601" s="268" t="s">
        <v>1828</v>
      </c>
      <c r="C601" s="269">
        <v>42545</v>
      </c>
      <c r="D601" s="270" t="s">
        <v>2480</v>
      </c>
      <c r="E601" s="270" t="s">
        <v>2481</v>
      </c>
      <c r="F601" s="271">
        <v>4000</v>
      </c>
      <c r="G601" s="271"/>
      <c r="H601" s="271">
        <f t="shared" si="9"/>
        <v>4000</v>
      </c>
    </row>
    <row r="602" spans="2:8" x14ac:dyDescent="0.2">
      <c r="B602" s="268" t="s">
        <v>1830</v>
      </c>
      <c r="C602" s="269">
        <v>42545</v>
      </c>
      <c r="D602" s="270" t="s">
        <v>1883</v>
      </c>
      <c r="E602" s="270" t="s">
        <v>2482</v>
      </c>
      <c r="F602" s="271">
        <v>3000</v>
      </c>
      <c r="G602" s="271"/>
      <c r="H602" s="271">
        <f t="shared" si="9"/>
        <v>3000</v>
      </c>
    </row>
    <row r="603" spans="2:8" x14ac:dyDescent="0.2">
      <c r="B603" s="268" t="s">
        <v>1871</v>
      </c>
      <c r="C603" s="269">
        <v>42546</v>
      </c>
      <c r="D603" s="270" t="s">
        <v>1901</v>
      </c>
      <c r="E603" s="270" t="s">
        <v>2483</v>
      </c>
      <c r="F603" s="271">
        <v>1560</v>
      </c>
      <c r="G603" s="271"/>
      <c r="H603" s="271">
        <f t="shared" si="9"/>
        <v>1560</v>
      </c>
    </row>
    <row r="604" spans="2:8" x14ac:dyDescent="0.2">
      <c r="B604" s="268" t="s">
        <v>1871</v>
      </c>
      <c r="C604" s="269">
        <v>42546</v>
      </c>
      <c r="D604" s="270" t="s">
        <v>1901</v>
      </c>
      <c r="E604" s="270" t="s">
        <v>2484</v>
      </c>
      <c r="F604" s="271">
        <v>2400</v>
      </c>
      <c r="G604" s="271"/>
      <c r="H604" s="271">
        <f t="shared" si="9"/>
        <v>2400</v>
      </c>
    </row>
    <row r="605" spans="2:8" x14ac:dyDescent="0.2">
      <c r="B605" s="268" t="s">
        <v>1875</v>
      </c>
      <c r="C605" s="269">
        <v>42546</v>
      </c>
      <c r="D605" s="270" t="s">
        <v>1899</v>
      </c>
      <c r="E605" s="270" t="s">
        <v>1922</v>
      </c>
      <c r="F605" s="271">
        <v>168</v>
      </c>
      <c r="G605" s="271"/>
      <c r="H605" s="271">
        <f t="shared" si="9"/>
        <v>168</v>
      </c>
    </row>
    <row r="606" spans="2:8" x14ac:dyDescent="0.2">
      <c r="B606" s="268" t="s">
        <v>1893</v>
      </c>
      <c r="C606" s="269">
        <v>42547</v>
      </c>
      <c r="D606" s="270" t="s">
        <v>2485</v>
      </c>
      <c r="E606" s="270" t="s">
        <v>2486</v>
      </c>
      <c r="F606" s="271">
        <v>250</v>
      </c>
      <c r="G606" s="271"/>
      <c r="H606" s="271">
        <f t="shared" si="9"/>
        <v>250</v>
      </c>
    </row>
    <row r="607" spans="2:8" x14ac:dyDescent="0.2">
      <c r="B607" s="268" t="s">
        <v>1893</v>
      </c>
      <c r="C607" s="269">
        <v>42548</v>
      </c>
      <c r="D607" s="270" t="s">
        <v>2260</v>
      </c>
      <c r="E607" s="270" t="s">
        <v>2487</v>
      </c>
      <c r="F607" s="271">
        <v>100</v>
      </c>
      <c r="G607" s="271"/>
      <c r="H607" s="271">
        <f t="shared" si="9"/>
        <v>100</v>
      </c>
    </row>
    <row r="608" spans="2:8" x14ac:dyDescent="0.2">
      <c r="B608" s="268" t="s">
        <v>1879</v>
      </c>
      <c r="C608" s="269">
        <v>42548</v>
      </c>
      <c r="D608" s="270" t="s">
        <v>1901</v>
      </c>
      <c r="E608" s="270" t="s">
        <v>2488</v>
      </c>
      <c r="F608" s="271">
        <v>2700</v>
      </c>
      <c r="G608" s="271"/>
      <c r="H608" s="271">
        <f t="shared" si="9"/>
        <v>2700</v>
      </c>
    </row>
    <row r="609" spans="2:8" x14ac:dyDescent="0.2">
      <c r="B609" s="268" t="s">
        <v>1893</v>
      </c>
      <c r="C609" s="269">
        <v>42548</v>
      </c>
      <c r="D609" s="270" t="s">
        <v>1919</v>
      </c>
      <c r="E609" s="270" t="s">
        <v>2489</v>
      </c>
      <c r="F609" s="271">
        <v>400</v>
      </c>
      <c r="G609" s="271"/>
      <c r="H609" s="271">
        <f t="shared" si="9"/>
        <v>400</v>
      </c>
    </row>
    <row r="610" spans="2:8" x14ac:dyDescent="0.2">
      <c r="B610" s="268" t="s">
        <v>1893</v>
      </c>
      <c r="C610" s="269">
        <v>42548</v>
      </c>
      <c r="D610" s="270" t="s">
        <v>2490</v>
      </c>
      <c r="E610" s="270" t="s">
        <v>2491</v>
      </c>
      <c r="F610" s="271">
        <v>150</v>
      </c>
      <c r="G610" s="271"/>
      <c r="H610" s="271">
        <f t="shared" si="9"/>
        <v>150</v>
      </c>
    </row>
    <row r="611" spans="2:8" x14ac:dyDescent="0.2">
      <c r="B611" s="268" t="s">
        <v>1875</v>
      </c>
      <c r="C611" s="269">
        <v>42548</v>
      </c>
      <c r="D611" s="270" t="s">
        <v>1899</v>
      </c>
      <c r="E611" s="270" t="s">
        <v>1941</v>
      </c>
      <c r="F611" s="271">
        <v>150</v>
      </c>
      <c r="G611" s="271"/>
      <c r="H611" s="271">
        <f t="shared" si="9"/>
        <v>150</v>
      </c>
    </row>
    <row r="612" spans="2:8" x14ac:dyDescent="0.2">
      <c r="B612" s="268" t="s">
        <v>1879</v>
      </c>
      <c r="C612" s="269">
        <v>42548</v>
      </c>
      <c r="D612" s="270" t="s">
        <v>1901</v>
      </c>
      <c r="E612" s="270" t="s">
        <v>2492</v>
      </c>
      <c r="F612" s="271">
        <v>550</v>
      </c>
      <c r="G612" s="271"/>
      <c r="H612" s="271">
        <f t="shared" si="9"/>
        <v>550</v>
      </c>
    </row>
    <row r="613" spans="2:8" x14ac:dyDescent="0.2">
      <c r="B613" s="268" t="s">
        <v>1876</v>
      </c>
      <c r="C613" s="269">
        <v>42549</v>
      </c>
      <c r="D613" s="270" t="s">
        <v>1903</v>
      </c>
      <c r="E613" s="270" t="s">
        <v>2493</v>
      </c>
      <c r="F613" s="271">
        <v>1249</v>
      </c>
      <c r="G613" s="271"/>
      <c r="H613" s="271">
        <f t="shared" si="9"/>
        <v>1249</v>
      </c>
    </row>
    <row r="614" spans="2:8" x14ac:dyDescent="0.2">
      <c r="B614" s="268" t="s">
        <v>1866</v>
      </c>
      <c r="C614" s="269">
        <v>42550</v>
      </c>
      <c r="D614" s="270" t="s">
        <v>2494</v>
      </c>
      <c r="E614" s="270" t="s">
        <v>2495</v>
      </c>
      <c r="F614" s="271">
        <v>800</v>
      </c>
      <c r="G614" s="271"/>
      <c r="H614" s="271">
        <f t="shared" si="9"/>
        <v>800</v>
      </c>
    </row>
    <row r="615" spans="2:8" x14ac:dyDescent="0.2">
      <c r="B615" s="268" t="s">
        <v>1893</v>
      </c>
      <c r="C615" s="269">
        <v>42550</v>
      </c>
      <c r="D615" s="270" t="s">
        <v>2496</v>
      </c>
      <c r="E615" s="270" t="s">
        <v>2497</v>
      </c>
      <c r="F615" s="271">
        <v>520</v>
      </c>
      <c r="G615" s="271"/>
      <c r="H615" s="271">
        <f t="shared" si="9"/>
        <v>520</v>
      </c>
    </row>
    <row r="616" spans="2:8" x14ac:dyDescent="0.2">
      <c r="B616" s="268" t="s">
        <v>1893</v>
      </c>
      <c r="C616" s="269">
        <v>42550</v>
      </c>
      <c r="D616" s="270" t="s">
        <v>2442</v>
      </c>
      <c r="E616" s="270" t="s">
        <v>2498</v>
      </c>
      <c r="F616" s="271">
        <v>177</v>
      </c>
      <c r="G616" s="271"/>
      <c r="H616" s="271">
        <f t="shared" si="9"/>
        <v>177</v>
      </c>
    </row>
    <row r="617" spans="2:8" x14ac:dyDescent="0.2">
      <c r="B617" s="268" t="s">
        <v>1893</v>
      </c>
      <c r="C617" s="269">
        <v>42550</v>
      </c>
      <c r="D617" s="270" t="s">
        <v>2402</v>
      </c>
      <c r="E617" s="270" t="s">
        <v>2403</v>
      </c>
      <c r="F617" s="271">
        <v>329</v>
      </c>
      <c r="G617" s="271"/>
      <c r="H617" s="271">
        <f t="shared" si="9"/>
        <v>329</v>
      </c>
    </row>
    <row r="618" spans="2:8" x14ac:dyDescent="0.2">
      <c r="B618" s="268" t="s">
        <v>1893</v>
      </c>
      <c r="C618" s="269">
        <v>42550</v>
      </c>
      <c r="D618" s="270" t="s">
        <v>1882</v>
      </c>
      <c r="E618" s="270" t="s">
        <v>2451</v>
      </c>
      <c r="F618" s="271">
        <v>450</v>
      </c>
      <c r="G618" s="271"/>
      <c r="H618" s="271">
        <f t="shared" si="9"/>
        <v>450</v>
      </c>
    </row>
    <row r="619" spans="2:8" x14ac:dyDescent="0.2">
      <c r="B619" s="268" t="s">
        <v>1893</v>
      </c>
      <c r="C619" s="269">
        <v>42551</v>
      </c>
      <c r="D619" s="270" t="s">
        <v>1905</v>
      </c>
      <c r="E619" s="270" t="s">
        <v>2499</v>
      </c>
      <c r="F619" s="271">
        <v>650</v>
      </c>
      <c r="G619" s="271"/>
      <c r="H619" s="271">
        <f t="shared" si="9"/>
        <v>650</v>
      </c>
    </row>
    <row r="620" spans="2:8" x14ac:dyDescent="0.2">
      <c r="B620" s="268" t="s">
        <v>1893</v>
      </c>
      <c r="C620" s="269">
        <v>42551</v>
      </c>
      <c r="D620" s="270" t="s">
        <v>2496</v>
      </c>
      <c r="E620" s="270" t="s">
        <v>2500</v>
      </c>
      <c r="F620" s="271">
        <v>750</v>
      </c>
      <c r="G620" s="271"/>
      <c r="H620" s="271">
        <f t="shared" si="9"/>
        <v>750</v>
      </c>
    </row>
    <row r="621" spans="2:8" x14ac:dyDescent="0.2">
      <c r="B621" s="268" t="s">
        <v>1893</v>
      </c>
      <c r="C621" s="269">
        <v>42551</v>
      </c>
      <c r="D621" s="270" t="s">
        <v>2496</v>
      </c>
      <c r="E621" s="270" t="s">
        <v>2501</v>
      </c>
      <c r="F621" s="271">
        <v>560</v>
      </c>
      <c r="G621" s="271"/>
      <c r="H621" s="271">
        <f t="shared" si="9"/>
        <v>560</v>
      </c>
    </row>
    <row r="622" spans="2:8" x14ac:dyDescent="0.2">
      <c r="B622" s="268" t="s">
        <v>1585</v>
      </c>
      <c r="C622" s="269">
        <v>42551</v>
      </c>
      <c r="D622" s="270" t="s">
        <v>1895</v>
      </c>
      <c r="E622" s="270" t="s">
        <v>2502</v>
      </c>
      <c r="F622" s="271">
        <v>2700</v>
      </c>
      <c r="G622" s="271"/>
      <c r="H622" s="271">
        <f t="shared" si="9"/>
        <v>2700</v>
      </c>
    </row>
    <row r="623" spans="2:8" x14ac:dyDescent="0.2">
      <c r="B623" s="268" t="s">
        <v>1585</v>
      </c>
      <c r="C623" s="269">
        <v>42551</v>
      </c>
      <c r="D623" s="270" t="s">
        <v>1908</v>
      </c>
      <c r="E623" s="270" t="s">
        <v>2503</v>
      </c>
      <c r="F623" s="271">
        <v>29000</v>
      </c>
      <c r="G623" s="271"/>
      <c r="H623" s="271">
        <f t="shared" si="9"/>
        <v>29000</v>
      </c>
    </row>
    <row r="624" spans="2:8" x14ac:dyDescent="0.2">
      <c r="B624" s="268" t="s">
        <v>1868</v>
      </c>
      <c r="C624" s="269">
        <v>42551</v>
      </c>
      <c r="D624" s="270" t="s">
        <v>1920</v>
      </c>
      <c r="E624" s="270" t="s">
        <v>1940</v>
      </c>
      <c r="F624" s="271">
        <v>4000</v>
      </c>
      <c r="G624" s="271"/>
      <c r="H624" s="271">
        <f t="shared" si="9"/>
        <v>4000</v>
      </c>
    </row>
    <row r="625" spans="2:9" x14ac:dyDescent="0.2">
      <c r="B625" s="268" t="s">
        <v>1896</v>
      </c>
      <c r="C625" s="269">
        <v>42528</v>
      </c>
      <c r="D625" s="270" t="s">
        <v>1537</v>
      </c>
      <c r="E625" s="270" t="s">
        <v>1539</v>
      </c>
      <c r="F625" s="271">
        <v>-0.46</v>
      </c>
      <c r="G625" s="271"/>
      <c r="H625" s="271">
        <f t="shared" si="9"/>
        <v>-0.46</v>
      </c>
    </row>
    <row r="626" spans="2:9" x14ac:dyDescent="0.2">
      <c r="B626" s="268" t="s">
        <v>1799</v>
      </c>
      <c r="C626" s="269">
        <v>42536</v>
      </c>
      <c r="D626" s="270" t="s">
        <v>1918</v>
      </c>
      <c r="E626" s="270" t="s">
        <v>2504</v>
      </c>
      <c r="F626" s="271"/>
      <c r="G626" s="271">
        <v>-1760</v>
      </c>
      <c r="H626" s="271">
        <f t="shared" si="9"/>
        <v>-1760</v>
      </c>
    </row>
    <row r="627" spans="2:9" x14ac:dyDescent="0.2">
      <c r="B627" s="268" t="s">
        <v>1896</v>
      </c>
      <c r="C627" s="269">
        <v>42551</v>
      </c>
      <c r="D627" s="270" t="s">
        <v>1606</v>
      </c>
      <c r="E627" s="270" t="s">
        <v>2239</v>
      </c>
      <c r="F627" s="271">
        <v>84</v>
      </c>
      <c r="G627" s="271"/>
      <c r="H627" s="271">
        <f t="shared" si="9"/>
        <v>84</v>
      </c>
    </row>
    <row r="628" spans="2:9" x14ac:dyDescent="0.2">
      <c r="B628" s="272" t="s">
        <v>1799</v>
      </c>
      <c r="C628" s="273">
        <v>42551</v>
      </c>
      <c r="D628" s="274" t="s">
        <v>1606</v>
      </c>
      <c r="E628" s="274" t="s">
        <v>2240</v>
      </c>
      <c r="F628" s="275"/>
      <c r="G628" s="275">
        <v>13.44</v>
      </c>
      <c r="H628" s="275">
        <f t="shared" si="9"/>
        <v>13.44</v>
      </c>
      <c r="I628" s="177">
        <f>SUM(H515:H628)</f>
        <v>125890.12999999999</v>
      </c>
    </row>
    <row r="629" spans="2:9" ht="18" customHeight="1" x14ac:dyDescent="0.2">
      <c r="B629" s="276" t="s">
        <v>1859</v>
      </c>
      <c r="C629" s="276" t="s">
        <v>1860</v>
      </c>
      <c r="D629" s="277" t="s">
        <v>1861</v>
      </c>
      <c r="E629" s="277" t="s">
        <v>1862</v>
      </c>
      <c r="F629" s="278" t="s">
        <v>1863</v>
      </c>
      <c r="G629" s="278" t="s">
        <v>1864</v>
      </c>
      <c r="H629" s="263" t="s">
        <v>1865</v>
      </c>
    </row>
    <row r="630" spans="2:9" x14ac:dyDescent="0.2">
      <c r="B630" s="264" t="s">
        <v>1893</v>
      </c>
      <c r="C630" s="265">
        <v>42552</v>
      </c>
      <c r="D630" s="266" t="s">
        <v>2505</v>
      </c>
      <c r="E630" s="266" t="s">
        <v>2506</v>
      </c>
      <c r="F630" s="267">
        <v>550</v>
      </c>
      <c r="G630" s="267"/>
      <c r="H630" s="267">
        <f t="shared" si="9"/>
        <v>550</v>
      </c>
    </row>
    <row r="631" spans="2:9" x14ac:dyDescent="0.2">
      <c r="B631" s="268" t="s">
        <v>1893</v>
      </c>
      <c r="C631" s="269">
        <v>42552</v>
      </c>
      <c r="D631" s="270" t="s">
        <v>2397</v>
      </c>
      <c r="E631" s="270" t="s">
        <v>2507</v>
      </c>
      <c r="F631" s="271">
        <v>143</v>
      </c>
      <c r="G631" s="271"/>
      <c r="H631" s="271">
        <f t="shared" si="9"/>
        <v>143</v>
      </c>
    </row>
    <row r="632" spans="2:9" x14ac:dyDescent="0.2">
      <c r="B632" s="268" t="s">
        <v>1893</v>
      </c>
      <c r="C632" s="269">
        <v>42552</v>
      </c>
      <c r="D632" s="270" t="s">
        <v>1934</v>
      </c>
      <c r="E632" s="270" t="s">
        <v>2508</v>
      </c>
      <c r="F632" s="271">
        <v>15</v>
      </c>
      <c r="G632" s="271"/>
      <c r="H632" s="271">
        <f t="shared" si="9"/>
        <v>15</v>
      </c>
    </row>
    <row r="633" spans="2:9" x14ac:dyDescent="0.2">
      <c r="B633" s="268" t="s">
        <v>1893</v>
      </c>
      <c r="C633" s="269">
        <v>42552</v>
      </c>
      <c r="D633" s="270" t="s">
        <v>1899</v>
      </c>
      <c r="E633" s="270" t="s">
        <v>1913</v>
      </c>
      <c r="F633" s="271">
        <v>142</v>
      </c>
      <c r="G633" s="271"/>
      <c r="H633" s="271">
        <f t="shared" si="9"/>
        <v>142</v>
      </c>
    </row>
    <row r="634" spans="2:9" x14ac:dyDescent="0.2">
      <c r="B634" s="268" t="s">
        <v>1893</v>
      </c>
      <c r="C634" s="269">
        <v>42552</v>
      </c>
      <c r="D634" s="270" t="s">
        <v>2196</v>
      </c>
      <c r="E634" s="270" t="s">
        <v>2509</v>
      </c>
      <c r="F634" s="271">
        <v>280</v>
      </c>
      <c r="G634" s="271"/>
      <c r="H634" s="271">
        <f t="shared" si="9"/>
        <v>280</v>
      </c>
    </row>
    <row r="635" spans="2:9" x14ac:dyDescent="0.2">
      <c r="B635" s="268" t="s">
        <v>1874</v>
      </c>
      <c r="C635" s="269">
        <v>42552</v>
      </c>
      <c r="D635" s="270" t="s">
        <v>1946</v>
      </c>
      <c r="E635" s="270" t="s">
        <v>2510</v>
      </c>
      <c r="F635" s="271">
        <v>200</v>
      </c>
      <c r="G635" s="271"/>
      <c r="H635" s="271">
        <f t="shared" si="9"/>
        <v>200</v>
      </c>
    </row>
    <row r="636" spans="2:9" x14ac:dyDescent="0.2">
      <c r="B636" s="268" t="s">
        <v>1868</v>
      </c>
      <c r="C636" s="269">
        <v>42552</v>
      </c>
      <c r="D636" s="270" t="s">
        <v>1919</v>
      </c>
      <c r="E636" s="270" t="s">
        <v>2511</v>
      </c>
      <c r="F636" s="271">
        <v>1000</v>
      </c>
      <c r="G636" s="271"/>
      <c r="H636" s="271">
        <f t="shared" si="9"/>
        <v>1000</v>
      </c>
    </row>
    <row r="637" spans="2:9" x14ac:dyDescent="0.2">
      <c r="B637" s="268" t="s">
        <v>1893</v>
      </c>
      <c r="C637" s="269">
        <v>42552</v>
      </c>
      <c r="D637" s="270" t="s">
        <v>2397</v>
      </c>
      <c r="E637" s="270" t="s">
        <v>2512</v>
      </c>
      <c r="F637" s="271">
        <v>73</v>
      </c>
      <c r="G637" s="271"/>
      <c r="H637" s="271">
        <f t="shared" si="9"/>
        <v>73</v>
      </c>
    </row>
    <row r="638" spans="2:9" x14ac:dyDescent="0.2">
      <c r="B638" s="268" t="s">
        <v>1874</v>
      </c>
      <c r="C638" s="269">
        <v>42553</v>
      </c>
      <c r="D638" s="270" t="s">
        <v>2513</v>
      </c>
      <c r="E638" s="270" t="s">
        <v>2514</v>
      </c>
      <c r="F638" s="271">
        <v>94.7</v>
      </c>
      <c r="G638" s="271"/>
      <c r="H638" s="271">
        <f t="shared" si="9"/>
        <v>94.7</v>
      </c>
    </row>
    <row r="639" spans="2:9" x14ac:dyDescent="0.2">
      <c r="B639" s="268" t="s">
        <v>1893</v>
      </c>
      <c r="C639" s="269">
        <v>42554</v>
      </c>
      <c r="D639" s="270" t="s">
        <v>2397</v>
      </c>
      <c r="E639" s="270" t="s">
        <v>2515</v>
      </c>
      <c r="F639" s="271">
        <v>119</v>
      </c>
      <c r="G639" s="271"/>
      <c r="H639" s="271">
        <f t="shared" si="9"/>
        <v>119</v>
      </c>
    </row>
    <row r="640" spans="2:9" x14ac:dyDescent="0.2">
      <c r="B640" s="268" t="s">
        <v>1879</v>
      </c>
      <c r="C640" s="269">
        <v>42555</v>
      </c>
      <c r="D640" s="270" t="s">
        <v>1901</v>
      </c>
      <c r="E640" s="270" t="s">
        <v>2516</v>
      </c>
      <c r="F640" s="271">
        <v>60</v>
      </c>
      <c r="G640" s="271"/>
      <c r="H640" s="271">
        <f t="shared" si="9"/>
        <v>60</v>
      </c>
    </row>
    <row r="641" spans="2:8" x14ac:dyDescent="0.2">
      <c r="B641" s="268" t="s">
        <v>1893</v>
      </c>
      <c r="C641" s="269">
        <v>42555</v>
      </c>
      <c r="D641" s="270" t="s">
        <v>2397</v>
      </c>
      <c r="E641" s="270" t="s">
        <v>2517</v>
      </c>
      <c r="F641" s="271">
        <v>96</v>
      </c>
      <c r="G641" s="271"/>
      <c r="H641" s="271">
        <f t="shared" si="9"/>
        <v>96</v>
      </c>
    </row>
    <row r="642" spans="2:8" x14ac:dyDescent="0.2">
      <c r="B642" s="268" t="s">
        <v>1879</v>
      </c>
      <c r="C642" s="269">
        <v>42555</v>
      </c>
      <c r="D642" s="270" t="s">
        <v>1901</v>
      </c>
      <c r="E642" s="270" t="s">
        <v>2518</v>
      </c>
      <c r="F642" s="271">
        <v>430</v>
      </c>
      <c r="G642" s="271"/>
      <c r="H642" s="271">
        <f t="shared" si="9"/>
        <v>430</v>
      </c>
    </row>
    <row r="643" spans="2:8" x14ac:dyDescent="0.2">
      <c r="B643" s="268" t="s">
        <v>1875</v>
      </c>
      <c r="C643" s="269">
        <v>42555</v>
      </c>
      <c r="D643" s="270" t="s">
        <v>1899</v>
      </c>
      <c r="E643" s="270" t="s">
        <v>1909</v>
      </c>
      <c r="F643" s="271">
        <v>113</v>
      </c>
      <c r="G643" s="271"/>
      <c r="H643" s="271">
        <f t="shared" si="9"/>
        <v>113</v>
      </c>
    </row>
    <row r="644" spans="2:8" x14ac:dyDescent="0.2">
      <c r="B644" s="268" t="s">
        <v>1893</v>
      </c>
      <c r="C644" s="269">
        <v>42555</v>
      </c>
      <c r="D644" s="270" t="s">
        <v>1919</v>
      </c>
      <c r="E644" s="270" t="s">
        <v>2519</v>
      </c>
      <c r="F644" s="271">
        <v>400</v>
      </c>
      <c r="G644" s="271"/>
      <c r="H644" s="271">
        <f t="shared" si="9"/>
        <v>400</v>
      </c>
    </row>
    <row r="645" spans="2:8" x14ac:dyDescent="0.2">
      <c r="B645" s="268" t="s">
        <v>1875</v>
      </c>
      <c r="C645" s="269">
        <v>42557</v>
      </c>
      <c r="D645" s="270" t="s">
        <v>1899</v>
      </c>
      <c r="E645" s="270" t="s">
        <v>1931</v>
      </c>
      <c r="F645" s="271">
        <v>70</v>
      </c>
      <c r="G645" s="271"/>
      <c r="H645" s="271">
        <f t="shared" ref="H645:H708" si="10">SUM(F645:G645)</f>
        <v>70</v>
      </c>
    </row>
    <row r="646" spans="2:8" x14ac:dyDescent="0.2">
      <c r="B646" s="268" t="s">
        <v>1884</v>
      </c>
      <c r="C646" s="269">
        <v>42557</v>
      </c>
      <c r="D646" s="270" t="s">
        <v>2513</v>
      </c>
      <c r="E646" s="270" t="s">
        <v>2520</v>
      </c>
      <c r="F646" s="271">
        <v>215.6</v>
      </c>
      <c r="G646" s="271"/>
      <c r="H646" s="271">
        <f t="shared" si="10"/>
        <v>215.6</v>
      </c>
    </row>
    <row r="647" spans="2:8" x14ac:dyDescent="0.2">
      <c r="B647" s="268" t="s">
        <v>1871</v>
      </c>
      <c r="C647" s="269">
        <v>42557</v>
      </c>
      <c r="D647" s="270" t="s">
        <v>1901</v>
      </c>
      <c r="E647" s="270" t="s">
        <v>2521</v>
      </c>
      <c r="F647" s="271">
        <v>1990.88</v>
      </c>
      <c r="G647" s="271"/>
      <c r="H647" s="271">
        <f t="shared" si="10"/>
        <v>1990.88</v>
      </c>
    </row>
    <row r="648" spans="2:8" x14ac:dyDescent="0.2">
      <c r="B648" s="268" t="s">
        <v>1879</v>
      </c>
      <c r="C648" s="269">
        <v>42557</v>
      </c>
      <c r="D648" s="270" t="s">
        <v>1901</v>
      </c>
      <c r="E648" s="270" t="s">
        <v>2522</v>
      </c>
      <c r="F648" s="271">
        <v>800</v>
      </c>
      <c r="G648" s="271"/>
      <c r="H648" s="271">
        <f t="shared" si="10"/>
        <v>800</v>
      </c>
    </row>
    <row r="649" spans="2:8" x14ac:dyDescent="0.2">
      <c r="B649" s="268" t="s">
        <v>1879</v>
      </c>
      <c r="C649" s="269">
        <v>42557</v>
      </c>
      <c r="D649" s="270" t="s">
        <v>1901</v>
      </c>
      <c r="E649" s="270" t="s">
        <v>2523</v>
      </c>
      <c r="F649" s="271">
        <v>200</v>
      </c>
      <c r="G649" s="271"/>
      <c r="H649" s="271">
        <f t="shared" si="10"/>
        <v>200</v>
      </c>
    </row>
    <row r="650" spans="2:8" x14ac:dyDescent="0.2">
      <c r="B650" s="268" t="s">
        <v>1871</v>
      </c>
      <c r="C650" s="269">
        <v>42557</v>
      </c>
      <c r="D650" s="270" t="s">
        <v>2961</v>
      </c>
      <c r="E650" s="270" t="s">
        <v>2524</v>
      </c>
      <c r="F650" s="271">
        <v>2229.44</v>
      </c>
      <c r="G650" s="271">
        <v>356.71</v>
      </c>
      <c r="H650" s="271">
        <f t="shared" si="10"/>
        <v>2586.15</v>
      </c>
    </row>
    <row r="651" spans="2:8" x14ac:dyDescent="0.2">
      <c r="B651" s="268" t="s">
        <v>1869</v>
      </c>
      <c r="C651" s="269">
        <v>42558</v>
      </c>
      <c r="D651" s="270" t="s">
        <v>1900</v>
      </c>
      <c r="E651" s="270" t="s">
        <v>2525</v>
      </c>
      <c r="F651" s="271">
        <v>394.05</v>
      </c>
      <c r="G651" s="271">
        <v>63.05</v>
      </c>
      <c r="H651" s="271">
        <f t="shared" si="10"/>
        <v>457.1</v>
      </c>
    </row>
    <row r="652" spans="2:8" x14ac:dyDescent="0.2">
      <c r="B652" s="268" t="s">
        <v>1869</v>
      </c>
      <c r="C652" s="269">
        <v>42558</v>
      </c>
      <c r="D652" s="270" t="s">
        <v>1900</v>
      </c>
      <c r="E652" s="270" t="s">
        <v>2526</v>
      </c>
      <c r="F652" s="271">
        <v>50.43</v>
      </c>
      <c r="G652" s="271">
        <v>8.07</v>
      </c>
      <c r="H652" s="271">
        <f t="shared" si="10"/>
        <v>58.5</v>
      </c>
    </row>
    <row r="653" spans="2:8" x14ac:dyDescent="0.2">
      <c r="B653" s="268" t="s">
        <v>1869</v>
      </c>
      <c r="C653" s="269">
        <v>42558</v>
      </c>
      <c r="D653" s="270" t="s">
        <v>1900</v>
      </c>
      <c r="E653" s="270" t="s">
        <v>2527</v>
      </c>
      <c r="F653" s="271">
        <v>677.16</v>
      </c>
      <c r="G653" s="271">
        <v>108.34</v>
      </c>
      <c r="H653" s="271">
        <f t="shared" si="10"/>
        <v>785.5</v>
      </c>
    </row>
    <row r="654" spans="2:8" x14ac:dyDescent="0.2">
      <c r="B654" s="268" t="s">
        <v>1893</v>
      </c>
      <c r="C654" s="269">
        <v>42558</v>
      </c>
      <c r="D654" s="270" t="s">
        <v>1901</v>
      </c>
      <c r="E654" s="270" t="s">
        <v>2528</v>
      </c>
      <c r="F654" s="271">
        <v>300</v>
      </c>
      <c r="G654" s="271"/>
      <c r="H654" s="271">
        <f t="shared" si="10"/>
        <v>300</v>
      </c>
    </row>
    <row r="655" spans="2:8" x14ac:dyDescent="0.2">
      <c r="B655" s="268" t="s">
        <v>1875</v>
      </c>
      <c r="C655" s="269">
        <v>42558</v>
      </c>
      <c r="D655" s="270" t="s">
        <v>1899</v>
      </c>
      <c r="E655" s="270" t="s">
        <v>1913</v>
      </c>
      <c r="F655" s="271">
        <v>130</v>
      </c>
      <c r="G655" s="271"/>
      <c r="H655" s="271">
        <f t="shared" si="10"/>
        <v>130</v>
      </c>
    </row>
    <row r="656" spans="2:8" x14ac:dyDescent="0.2">
      <c r="B656" s="268" t="s">
        <v>1868</v>
      </c>
      <c r="C656" s="269">
        <v>42559</v>
      </c>
      <c r="D656" s="270" t="s">
        <v>1919</v>
      </c>
      <c r="E656" s="270" t="s">
        <v>2529</v>
      </c>
      <c r="F656" s="271">
        <v>1000</v>
      </c>
      <c r="G656" s="271"/>
      <c r="H656" s="271">
        <f t="shared" si="10"/>
        <v>1000</v>
      </c>
    </row>
    <row r="657" spans="2:8" x14ac:dyDescent="0.2">
      <c r="B657" s="268" t="s">
        <v>1893</v>
      </c>
      <c r="C657" s="269">
        <v>42559</v>
      </c>
      <c r="D657" s="270" t="s">
        <v>2397</v>
      </c>
      <c r="E657" s="270" t="s">
        <v>2530</v>
      </c>
      <c r="F657" s="271">
        <v>49.5</v>
      </c>
      <c r="G657" s="271"/>
      <c r="H657" s="271">
        <f t="shared" si="10"/>
        <v>49.5</v>
      </c>
    </row>
    <row r="658" spans="2:8" x14ac:dyDescent="0.2">
      <c r="B658" s="268" t="s">
        <v>1893</v>
      </c>
      <c r="C658" s="269">
        <v>42559</v>
      </c>
      <c r="D658" s="270" t="s">
        <v>2531</v>
      </c>
      <c r="E658" s="270" t="s">
        <v>2532</v>
      </c>
      <c r="F658" s="271">
        <v>410</v>
      </c>
      <c r="G658" s="271"/>
      <c r="H658" s="271">
        <f t="shared" si="10"/>
        <v>410</v>
      </c>
    </row>
    <row r="659" spans="2:8" x14ac:dyDescent="0.2">
      <c r="B659" s="268" t="s">
        <v>1893</v>
      </c>
      <c r="C659" s="269">
        <v>42559</v>
      </c>
      <c r="D659" s="270" t="s">
        <v>2260</v>
      </c>
      <c r="E659" s="270" t="s">
        <v>2533</v>
      </c>
      <c r="F659" s="271">
        <v>200</v>
      </c>
      <c r="G659" s="271"/>
      <c r="H659" s="271">
        <f t="shared" si="10"/>
        <v>200</v>
      </c>
    </row>
    <row r="660" spans="2:8" x14ac:dyDescent="0.2">
      <c r="B660" s="268" t="s">
        <v>1893</v>
      </c>
      <c r="C660" s="269">
        <v>42561</v>
      </c>
      <c r="D660" s="270" t="s">
        <v>1924</v>
      </c>
      <c r="E660" s="270" t="s">
        <v>2534</v>
      </c>
      <c r="F660" s="271">
        <v>500</v>
      </c>
      <c r="G660" s="271"/>
      <c r="H660" s="271">
        <f t="shared" si="10"/>
        <v>500</v>
      </c>
    </row>
    <row r="661" spans="2:8" x14ac:dyDescent="0.2">
      <c r="B661" s="268" t="s">
        <v>1893</v>
      </c>
      <c r="C661" s="269">
        <v>42561</v>
      </c>
      <c r="D661" s="270" t="s">
        <v>2397</v>
      </c>
      <c r="E661" s="270" t="s">
        <v>2515</v>
      </c>
      <c r="F661" s="271">
        <v>76.400000000000006</v>
      </c>
      <c r="G661" s="271"/>
      <c r="H661" s="271">
        <f t="shared" si="10"/>
        <v>76.400000000000006</v>
      </c>
    </row>
    <row r="662" spans="2:8" x14ac:dyDescent="0.2">
      <c r="B662" s="268" t="s">
        <v>1893</v>
      </c>
      <c r="C662" s="269">
        <v>42561</v>
      </c>
      <c r="D662" s="270" t="s">
        <v>2397</v>
      </c>
      <c r="E662" s="270" t="s">
        <v>2535</v>
      </c>
      <c r="F662" s="271">
        <v>50</v>
      </c>
      <c r="G662" s="271"/>
      <c r="H662" s="271">
        <f t="shared" si="10"/>
        <v>50</v>
      </c>
    </row>
    <row r="663" spans="2:8" x14ac:dyDescent="0.2">
      <c r="B663" s="268" t="s">
        <v>1875</v>
      </c>
      <c r="C663" s="269">
        <v>42562</v>
      </c>
      <c r="D663" s="270" t="s">
        <v>1899</v>
      </c>
      <c r="E663" s="270" t="s">
        <v>1913</v>
      </c>
      <c r="F663" s="271">
        <v>110</v>
      </c>
      <c r="G663" s="271"/>
      <c r="H663" s="271">
        <f t="shared" si="10"/>
        <v>110</v>
      </c>
    </row>
    <row r="664" spans="2:8" x14ac:dyDescent="0.2">
      <c r="B664" s="268" t="s">
        <v>1875</v>
      </c>
      <c r="C664" s="269">
        <v>42562</v>
      </c>
      <c r="D664" s="270" t="s">
        <v>1899</v>
      </c>
      <c r="E664" s="270" t="s">
        <v>1910</v>
      </c>
      <c r="F664" s="271">
        <v>70</v>
      </c>
      <c r="G664" s="271"/>
      <c r="H664" s="271">
        <f t="shared" si="10"/>
        <v>70</v>
      </c>
    </row>
    <row r="665" spans="2:8" x14ac:dyDescent="0.2">
      <c r="B665" s="268" t="s">
        <v>1893</v>
      </c>
      <c r="C665" s="269">
        <v>42562</v>
      </c>
      <c r="D665" s="270" t="s">
        <v>1919</v>
      </c>
      <c r="E665" s="270" t="s">
        <v>2536</v>
      </c>
      <c r="F665" s="271">
        <v>400</v>
      </c>
      <c r="G665" s="271"/>
      <c r="H665" s="271">
        <f t="shared" si="10"/>
        <v>400</v>
      </c>
    </row>
    <row r="666" spans="2:8" x14ac:dyDescent="0.2">
      <c r="B666" s="268" t="s">
        <v>1869</v>
      </c>
      <c r="C666" s="269">
        <v>42562</v>
      </c>
      <c r="D666" s="270" t="s">
        <v>2284</v>
      </c>
      <c r="E666" s="270" t="s">
        <v>2537</v>
      </c>
      <c r="F666" s="271">
        <v>223.9</v>
      </c>
      <c r="G666" s="271"/>
      <c r="H666" s="271">
        <f t="shared" si="10"/>
        <v>223.9</v>
      </c>
    </row>
    <row r="667" spans="2:8" x14ac:dyDescent="0.2">
      <c r="B667" s="268" t="s">
        <v>1893</v>
      </c>
      <c r="C667" s="269">
        <v>42563</v>
      </c>
      <c r="D667" s="270" t="s">
        <v>1902</v>
      </c>
      <c r="E667" s="270" t="s">
        <v>2538</v>
      </c>
      <c r="F667" s="271">
        <v>343.97</v>
      </c>
      <c r="G667" s="271">
        <v>55.03</v>
      </c>
      <c r="H667" s="271">
        <f t="shared" si="10"/>
        <v>399</v>
      </c>
    </row>
    <row r="668" spans="2:8" x14ac:dyDescent="0.2">
      <c r="B668" s="268" t="s">
        <v>1884</v>
      </c>
      <c r="C668" s="269">
        <v>42563</v>
      </c>
      <c r="D668" s="270" t="s">
        <v>1902</v>
      </c>
      <c r="E668" s="270" t="s">
        <v>1951</v>
      </c>
      <c r="F668" s="271">
        <v>238.33</v>
      </c>
      <c r="G668" s="271">
        <v>38.17</v>
      </c>
      <c r="H668" s="271">
        <f t="shared" si="10"/>
        <v>276.5</v>
      </c>
    </row>
    <row r="669" spans="2:8" x14ac:dyDescent="0.2">
      <c r="B669" s="268" t="s">
        <v>1893</v>
      </c>
      <c r="C669" s="269">
        <v>42563</v>
      </c>
      <c r="D669" s="270" t="s">
        <v>1934</v>
      </c>
      <c r="E669" s="270" t="s">
        <v>2539</v>
      </c>
      <c r="F669" s="271">
        <v>25</v>
      </c>
      <c r="G669" s="271"/>
      <c r="H669" s="271">
        <f t="shared" si="10"/>
        <v>25</v>
      </c>
    </row>
    <row r="670" spans="2:8" x14ac:dyDescent="0.2">
      <c r="B670" s="268" t="s">
        <v>1866</v>
      </c>
      <c r="C670" s="269">
        <v>42563</v>
      </c>
      <c r="D670" s="270" t="s">
        <v>1881</v>
      </c>
      <c r="E670" s="270" t="s">
        <v>2540</v>
      </c>
      <c r="F670" s="271">
        <v>950</v>
      </c>
      <c r="G670" s="271"/>
      <c r="H670" s="271">
        <f t="shared" si="10"/>
        <v>950</v>
      </c>
    </row>
    <row r="671" spans="2:8" x14ac:dyDescent="0.2">
      <c r="B671" s="268" t="s">
        <v>1866</v>
      </c>
      <c r="C671" s="269">
        <v>42563</v>
      </c>
      <c r="D671" s="270" t="s">
        <v>1881</v>
      </c>
      <c r="E671" s="270" t="s">
        <v>2541</v>
      </c>
      <c r="F671" s="271">
        <v>1600</v>
      </c>
      <c r="G671" s="271"/>
      <c r="H671" s="271">
        <f t="shared" si="10"/>
        <v>1600</v>
      </c>
    </row>
    <row r="672" spans="2:8" x14ac:dyDescent="0.2">
      <c r="B672" s="268" t="s">
        <v>1891</v>
      </c>
      <c r="C672" s="269">
        <v>42565</v>
      </c>
      <c r="D672" s="270" t="s">
        <v>2412</v>
      </c>
      <c r="E672" s="270" t="s">
        <v>2542</v>
      </c>
      <c r="F672" s="271">
        <v>66.650000000000006</v>
      </c>
      <c r="G672" s="271"/>
      <c r="H672" s="271">
        <f t="shared" si="10"/>
        <v>66.650000000000006</v>
      </c>
    </row>
    <row r="673" spans="2:8" x14ac:dyDescent="0.2">
      <c r="B673" s="268" t="s">
        <v>1879</v>
      </c>
      <c r="C673" s="269">
        <v>42565</v>
      </c>
      <c r="D673" s="270" t="s">
        <v>1901</v>
      </c>
      <c r="E673" s="270" t="s">
        <v>2543</v>
      </c>
      <c r="F673" s="271">
        <v>1600</v>
      </c>
      <c r="G673" s="271"/>
      <c r="H673" s="271">
        <f t="shared" si="10"/>
        <v>1600</v>
      </c>
    </row>
    <row r="674" spans="2:8" x14ac:dyDescent="0.2">
      <c r="B674" s="268" t="s">
        <v>1875</v>
      </c>
      <c r="C674" s="269">
        <v>42566</v>
      </c>
      <c r="D674" s="270" t="s">
        <v>1899</v>
      </c>
      <c r="E674" s="270" t="s">
        <v>1913</v>
      </c>
      <c r="F674" s="271">
        <v>142</v>
      </c>
      <c r="G674" s="271"/>
      <c r="H674" s="271">
        <f t="shared" si="10"/>
        <v>142</v>
      </c>
    </row>
    <row r="675" spans="2:8" x14ac:dyDescent="0.2">
      <c r="B675" s="268" t="s">
        <v>1893</v>
      </c>
      <c r="C675" s="269">
        <v>42566</v>
      </c>
      <c r="D675" s="270" t="s">
        <v>1882</v>
      </c>
      <c r="E675" s="270" t="s">
        <v>2451</v>
      </c>
      <c r="F675" s="271">
        <v>450</v>
      </c>
      <c r="G675" s="271"/>
      <c r="H675" s="271">
        <f t="shared" si="10"/>
        <v>450</v>
      </c>
    </row>
    <row r="676" spans="2:8" x14ac:dyDescent="0.2">
      <c r="B676" s="268" t="s">
        <v>1585</v>
      </c>
      <c r="C676" s="269">
        <v>42566</v>
      </c>
      <c r="D676" s="270" t="s">
        <v>1895</v>
      </c>
      <c r="E676" s="270" t="s">
        <v>2544</v>
      </c>
      <c r="F676" s="271">
        <v>2700</v>
      </c>
      <c r="G676" s="271"/>
      <c r="H676" s="271">
        <f t="shared" si="10"/>
        <v>2700</v>
      </c>
    </row>
    <row r="677" spans="2:8" x14ac:dyDescent="0.2">
      <c r="B677" s="268" t="s">
        <v>1585</v>
      </c>
      <c r="C677" s="269">
        <v>42566</v>
      </c>
      <c r="D677" s="270" t="s">
        <v>1908</v>
      </c>
      <c r="E677" s="270" t="s">
        <v>2544</v>
      </c>
      <c r="F677" s="271">
        <v>29000</v>
      </c>
      <c r="G677" s="271"/>
      <c r="H677" s="271">
        <f t="shared" si="10"/>
        <v>29000</v>
      </c>
    </row>
    <row r="678" spans="2:8" x14ac:dyDescent="0.2">
      <c r="B678" s="268" t="s">
        <v>1868</v>
      </c>
      <c r="C678" s="269">
        <v>42566</v>
      </c>
      <c r="D678" s="270" t="s">
        <v>1920</v>
      </c>
      <c r="E678" s="270" t="s">
        <v>1944</v>
      </c>
      <c r="F678" s="271">
        <v>4000</v>
      </c>
      <c r="G678" s="271"/>
      <c r="H678" s="271">
        <f t="shared" si="10"/>
        <v>4000</v>
      </c>
    </row>
    <row r="679" spans="2:8" x14ac:dyDescent="0.2">
      <c r="B679" s="268" t="s">
        <v>1868</v>
      </c>
      <c r="C679" s="269">
        <v>42566</v>
      </c>
      <c r="D679" s="270" t="s">
        <v>1919</v>
      </c>
      <c r="E679" s="270" t="s">
        <v>2545</v>
      </c>
      <c r="F679" s="271">
        <v>1000</v>
      </c>
      <c r="G679" s="271"/>
      <c r="H679" s="271">
        <f t="shared" si="10"/>
        <v>1000</v>
      </c>
    </row>
    <row r="680" spans="2:8" x14ac:dyDescent="0.2">
      <c r="B680" s="268" t="s">
        <v>1893</v>
      </c>
      <c r="C680" s="269">
        <v>42568</v>
      </c>
      <c r="D680" s="270" t="s">
        <v>2546</v>
      </c>
      <c r="E680" s="270" t="s">
        <v>2547</v>
      </c>
      <c r="F680" s="271">
        <v>97</v>
      </c>
      <c r="G680" s="271"/>
      <c r="H680" s="271">
        <f t="shared" si="10"/>
        <v>97</v>
      </c>
    </row>
    <row r="681" spans="2:8" x14ac:dyDescent="0.2">
      <c r="B681" s="268" t="s">
        <v>1893</v>
      </c>
      <c r="C681" s="269">
        <v>42568</v>
      </c>
      <c r="D681" s="270" t="s">
        <v>2260</v>
      </c>
      <c r="E681" s="270" t="s">
        <v>2548</v>
      </c>
      <c r="F681" s="271">
        <v>120</v>
      </c>
      <c r="G681" s="271"/>
      <c r="H681" s="271">
        <f t="shared" si="10"/>
        <v>120</v>
      </c>
    </row>
    <row r="682" spans="2:8" x14ac:dyDescent="0.2">
      <c r="B682" s="268" t="s">
        <v>1891</v>
      </c>
      <c r="C682" s="269">
        <v>42568</v>
      </c>
      <c r="D682" s="270" t="s">
        <v>1906</v>
      </c>
      <c r="E682" s="270" t="s">
        <v>2549</v>
      </c>
      <c r="F682" s="271">
        <v>300</v>
      </c>
      <c r="G682" s="271"/>
      <c r="H682" s="271">
        <f t="shared" si="10"/>
        <v>300</v>
      </c>
    </row>
    <row r="683" spans="2:8" x14ac:dyDescent="0.2">
      <c r="B683" s="268" t="s">
        <v>1893</v>
      </c>
      <c r="C683" s="269">
        <v>42568</v>
      </c>
      <c r="D683" s="270" t="s">
        <v>1882</v>
      </c>
      <c r="E683" s="270" t="s">
        <v>2548</v>
      </c>
      <c r="F683" s="271">
        <v>135</v>
      </c>
      <c r="G683" s="271"/>
      <c r="H683" s="271">
        <f t="shared" si="10"/>
        <v>135</v>
      </c>
    </row>
    <row r="684" spans="2:8" x14ac:dyDescent="0.2">
      <c r="B684" s="268" t="s">
        <v>1893</v>
      </c>
      <c r="C684" s="269">
        <v>42569</v>
      </c>
      <c r="D684" s="270" t="s">
        <v>1919</v>
      </c>
      <c r="E684" s="270" t="s">
        <v>2550</v>
      </c>
      <c r="F684" s="271">
        <v>400</v>
      </c>
      <c r="G684" s="271"/>
      <c r="H684" s="271">
        <f t="shared" si="10"/>
        <v>400</v>
      </c>
    </row>
    <row r="685" spans="2:8" x14ac:dyDescent="0.2">
      <c r="B685" s="268" t="s">
        <v>1875</v>
      </c>
      <c r="C685" s="269">
        <v>42569</v>
      </c>
      <c r="D685" s="270" t="s">
        <v>1899</v>
      </c>
      <c r="E685" s="270" t="s">
        <v>1941</v>
      </c>
      <c r="F685" s="271">
        <v>142</v>
      </c>
      <c r="G685" s="271"/>
      <c r="H685" s="271">
        <f t="shared" si="10"/>
        <v>142</v>
      </c>
    </row>
    <row r="686" spans="2:8" x14ac:dyDescent="0.2">
      <c r="B686" s="268" t="s">
        <v>1871</v>
      </c>
      <c r="C686" s="269">
        <v>42571</v>
      </c>
      <c r="D686" s="270" t="s">
        <v>1901</v>
      </c>
      <c r="E686" s="270" t="s">
        <v>2551</v>
      </c>
      <c r="F686" s="271">
        <v>3290</v>
      </c>
      <c r="G686" s="271"/>
      <c r="H686" s="271">
        <f t="shared" si="10"/>
        <v>3290</v>
      </c>
    </row>
    <row r="687" spans="2:8" x14ac:dyDescent="0.2">
      <c r="B687" s="268" t="s">
        <v>1893</v>
      </c>
      <c r="C687" s="269">
        <v>42571</v>
      </c>
      <c r="D687" s="270" t="s">
        <v>2552</v>
      </c>
      <c r="E687" s="270" t="s">
        <v>2553</v>
      </c>
      <c r="F687" s="271">
        <v>100</v>
      </c>
      <c r="G687" s="271"/>
      <c r="H687" s="271">
        <f t="shared" si="10"/>
        <v>100</v>
      </c>
    </row>
    <row r="688" spans="2:8" x14ac:dyDescent="0.2">
      <c r="B688" s="268" t="s">
        <v>1875</v>
      </c>
      <c r="C688" s="269">
        <v>42571</v>
      </c>
      <c r="D688" s="270" t="s">
        <v>1899</v>
      </c>
      <c r="E688" s="270" t="s">
        <v>1909</v>
      </c>
      <c r="F688" s="271">
        <v>110</v>
      </c>
      <c r="G688" s="271"/>
      <c r="H688" s="271">
        <f t="shared" si="10"/>
        <v>110</v>
      </c>
    </row>
    <row r="689" spans="2:8" x14ac:dyDescent="0.2">
      <c r="B689" s="268" t="s">
        <v>1879</v>
      </c>
      <c r="C689" s="269">
        <v>42571</v>
      </c>
      <c r="D689" s="270" t="s">
        <v>1901</v>
      </c>
      <c r="E689" s="270" t="s">
        <v>2554</v>
      </c>
      <c r="F689" s="271">
        <v>630</v>
      </c>
      <c r="G689" s="271"/>
      <c r="H689" s="271">
        <f t="shared" si="10"/>
        <v>630</v>
      </c>
    </row>
    <row r="690" spans="2:8" x14ac:dyDescent="0.2">
      <c r="B690" s="268" t="s">
        <v>1879</v>
      </c>
      <c r="C690" s="269">
        <v>42571</v>
      </c>
      <c r="D690" s="270" t="s">
        <v>1947</v>
      </c>
      <c r="E690" s="270" t="s">
        <v>2555</v>
      </c>
      <c r="F690" s="271">
        <v>200</v>
      </c>
      <c r="G690" s="271"/>
      <c r="H690" s="271">
        <f t="shared" si="10"/>
        <v>200</v>
      </c>
    </row>
    <row r="691" spans="2:8" x14ac:dyDescent="0.2">
      <c r="B691" s="268" t="s">
        <v>1893</v>
      </c>
      <c r="C691" s="269">
        <v>42572</v>
      </c>
      <c r="D691" s="270" t="s">
        <v>1915</v>
      </c>
      <c r="E691" s="270" t="s">
        <v>2556</v>
      </c>
      <c r="F691" s="271">
        <v>200</v>
      </c>
      <c r="G691" s="271"/>
      <c r="H691" s="271">
        <f t="shared" si="10"/>
        <v>200</v>
      </c>
    </row>
    <row r="692" spans="2:8" x14ac:dyDescent="0.2">
      <c r="B692" s="268" t="s">
        <v>1879</v>
      </c>
      <c r="C692" s="269">
        <v>42572</v>
      </c>
      <c r="D692" s="270" t="s">
        <v>1901</v>
      </c>
      <c r="E692" s="270" t="s">
        <v>2557</v>
      </c>
      <c r="F692" s="271">
        <v>620</v>
      </c>
      <c r="G692" s="271"/>
      <c r="H692" s="271">
        <f t="shared" si="10"/>
        <v>620</v>
      </c>
    </row>
    <row r="693" spans="2:8" x14ac:dyDescent="0.2">
      <c r="B693" s="268" t="s">
        <v>1830</v>
      </c>
      <c r="C693" s="269">
        <v>42572</v>
      </c>
      <c r="D693" s="270" t="s">
        <v>1901</v>
      </c>
      <c r="E693" s="270" t="s">
        <v>2558</v>
      </c>
      <c r="F693" s="271">
        <v>3600</v>
      </c>
      <c r="G693" s="271"/>
      <c r="H693" s="271">
        <f t="shared" si="10"/>
        <v>3600</v>
      </c>
    </row>
    <row r="694" spans="2:8" x14ac:dyDescent="0.2">
      <c r="B694" s="268" t="s">
        <v>1799</v>
      </c>
      <c r="C694" s="269">
        <v>42572</v>
      </c>
      <c r="D694" s="270" t="s">
        <v>1918</v>
      </c>
      <c r="E694" s="270" t="s">
        <v>2559</v>
      </c>
      <c r="F694" s="271"/>
      <c r="G694" s="271">
        <v>1760</v>
      </c>
      <c r="H694" s="271">
        <f t="shared" si="10"/>
        <v>1760</v>
      </c>
    </row>
    <row r="695" spans="2:8" x14ac:dyDescent="0.2">
      <c r="B695" s="268" t="s">
        <v>1814</v>
      </c>
      <c r="C695" s="269">
        <v>42572</v>
      </c>
      <c r="D695" s="270" t="s">
        <v>1897</v>
      </c>
      <c r="E695" s="270" t="s">
        <v>2560</v>
      </c>
      <c r="F695" s="271">
        <v>1224</v>
      </c>
      <c r="G695" s="271"/>
      <c r="H695" s="271">
        <f t="shared" si="10"/>
        <v>1224</v>
      </c>
    </row>
    <row r="696" spans="2:8" x14ac:dyDescent="0.2">
      <c r="B696" s="268" t="s">
        <v>1868</v>
      </c>
      <c r="C696" s="269">
        <v>42572</v>
      </c>
      <c r="D696" s="270" t="s">
        <v>1933</v>
      </c>
      <c r="E696" s="270" t="s">
        <v>2561</v>
      </c>
      <c r="F696" s="271">
        <v>290.06</v>
      </c>
      <c r="G696" s="271">
        <v>44.94</v>
      </c>
      <c r="H696" s="271">
        <f t="shared" si="10"/>
        <v>335</v>
      </c>
    </row>
    <row r="697" spans="2:8" x14ac:dyDescent="0.2">
      <c r="B697" s="268" t="s">
        <v>1888</v>
      </c>
      <c r="C697" s="269">
        <v>42572</v>
      </c>
      <c r="D697" s="270" t="s">
        <v>1901</v>
      </c>
      <c r="E697" s="270" t="s">
        <v>2562</v>
      </c>
      <c r="F697" s="271">
        <v>350</v>
      </c>
      <c r="G697" s="271"/>
      <c r="H697" s="271">
        <f t="shared" si="10"/>
        <v>350</v>
      </c>
    </row>
    <row r="698" spans="2:8" x14ac:dyDescent="0.2">
      <c r="B698" s="268" t="s">
        <v>1830</v>
      </c>
      <c r="C698" s="269">
        <v>42572</v>
      </c>
      <c r="D698" s="270" t="s">
        <v>1901</v>
      </c>
      <c r="E698" s="270" t="s">
        <v>2563</v>
      </c>
      <c r="F698" s="271">
        <v>300</v>
      </c>
      <c r="G698" s="271"/>
      <c r="H698" s="271">
        <f t="shared" si="10"/>
        <v>300</v>
      </c>
    </row>
    <row r="699" spans="2:8" x14ac:dyDescent="0.2">
      <c r="B699" s="268" t="s">
        <v>1879</v>
      </c>
      <c r="C699" s="269">
        <v>42572</v>
      </c>
      <c r="D699" s="270" t="s">
        <v>1881</v>
      </c>
      <c r="E699" s="270" t="s">
        <v>2564</v>
      </c>
      <c r="F699" s="271">
        <v>1050</v>
      </c>
      <c r="G699" s="271"/>
      <c r="H699" s="271">
        <f t="shared" si="10"/>
        <v>1050</v>
      </c>
    </row>
    <row r="700" spans="2:8" x14ac:dyDescent="0.2">
      <c r="B700" s="268" t="s">
        <v>1893</v>
      </c>
      <c r="C700" s="269">
        <v>42573</v>
      </c>
      <c r="D700" s="270" t="s">
        <v>1934</v>
      </c>
      <c r="E700" s="270" t="s">
        <v>2565</v>
      </c>
      <c r="F700" s="271">
        <v>5</v>
      </c>
      <c r="G700" s="271"/>
      <c r="H700" s="271">
        <f t="shared" si="10"/>
        <v>5</v>
      </c>
    </row>
    <row r="701" spans="2:8" x14ac:dyDescent="0.2">
      <c r="B701" s="268" t="s">
        <v>1893</v>
      </c>
      <c r="C701" s="269">
        <v>42573</v>
      </c>
      <c r="D701" s="270" t="s">
        <v>2283</v>
      </c>
      <c r="E701" s="270" t="s">
        <v>2566</v>
      </c>
      <c r="F701" s="271">
        <v>190</v>
      </c>
      <c r="G701" s="271"/>
      <c r="H701" s="271">
        <f t="shared" si="10"/>
        <v>190</v>
      </c>
    </row>
    <row r="702" spans="2:8" x14ac:dyDescent="0.2">
      <c r="B702" s="268" t="s">
        <v>1875</v>
      </c>
      <c r="C702" s="269">
        <v>42573</v>
      </c>
      <c r="D702" s="270" t="s">
        <v>1899</v>
      </c>
      <c r="E702" s="270" t="s">
        <v>1931</v>
      </c>
      <c r="F702" s="271">
        <v>78</v>
      </c>
      <c r="G702" s="271"/>
      <c r="H702" s="271">
        <f t="shared" si="10"/>
        <v>78</v>
      </c>
    </row>
    <row r="703" spans="2:8" x14ac:dyDescent="0.2">
      <c r="B703" s="268" t="s">
        <v>1893</v>
      </c>
      <c r="C703" s="269">
        <v>42573</v>
      </c>
      <c r="D703" s="270" t="s">
        <v>1920</v>
      </c>
      <c r="E703" s="270" t="s">
        <v>2567</v>
      </c>
      <c r="F703" s="271">
        <v>130</v>
      </c>
      <c r="G703" s="271"/>
      <c r="H703" s="271">
        <f t="shared" si="10"/>
        <v>130</v>
      </c>
    </row>
    <row r="704" spans="2:8" x14ac:dyDescent="0.2">
      <c r="B704" s="268" t="s">
        <v>1893</v>
      </c>
      <c r="C704" s="269">
        <v>42573</v>
      </c>
      <c r="D704" s="270" t="s">
        <v>1927</v>
      </c>
      <c r="E704" s="270" t="s">
        <v>2568</v>
      </c>
      <c r="F704" s="271">
        <v>130</v>
      </c>
      <c r="G704" s="271"/>
      <c r="H704" s="271">
        <f t="shared" si="10"/>
        <v>130</v>
      </c>
    </row>
    <row r="705" spans="2:8" x14ac:dyDescent="0.2">
      <c r="B705" s="268" t="s">
        <v>1893</v>
      </c>
      <c r="C705" s="269">
        <v>42573</v>
      </c>
      <c r="D705" s="270" t="s">
        <v>1915</v>
      </c>
      <c r="E705" s="270" t="s">
        <v>2569</v>
      </c>
      <c r="F705" s="271">
        <v>420</v>
      </c>
      <c r="G705" s="271"/>
      <c r="H705" s="271">
        <f t="shared" si="10"/>
        <v>420</v>
      </c>
    </row>
    <row r="706" spans="2:8" x14ac:dyDescent="0.2">
      <c r="B706" s="268" t="s">
        <v>1868</v>
      </c>
      <c r="C706" s="269">
        <v>42573</v>
      </c>
      <c r="D706" s="270" t="s">
        <v>1919</v>
      </c>
      <c r="E706" s="270" t="s">
        <v>2570</v>
      </c>
      <c r="F706" s="271">
        <v>1000</v>
      </c>
      <c r="G706" s="271"/>
      <c r="H706" s="271">
        <f t="shared" si="10"/>
        <v>1000</v>
      </c>
    </row>
    <row r="707" spans="2:8" x14ac:dyDescent="0.2">
      <c r="B707" s="268" t="s">
        <v>1869</v>
      </c>
      <c r="C707" s="269">
        <v>42573</v>
      </c>
      <c r="D707" s="270" t="s">
        <v>1935</v>
      </c>
      <c r="E707" s="270" t="s">
        <v>2571</v>
      </c>
      <c r="F707" s="271">
        <v>135</v>
      </c>
      <c r="G707" s="271"/>
      <c r="H707" s="271">
        <f t="shared" si="10"/>
        <v>135</v>
      </c>
    </row>
    <row r="708" spans="2:8" x14ac:dyDescent="0.2">
      <c r="B708" s="268" t="s">
        <v>1871</v>
      </c>
      <c r="C708" s="269">
        <v>42573</v>
      </c>
      <c r="D708" s="270" t="s">
        <v>1901</v>
      </c>
      <c r="E708" s="270" t="s">
        <v>2572</v>
      </c>
      <c r="F708" s="271">
        <v>1200</v>
      </c>
      <c r="G708" s="271"/>
      <c r="H708" s="271">
        <f t="shared" si="10"/>
        <v>1200</v>
      </c>
    </row>
    <row r="709" spans="2:8" x14ac:dyDescent="0.2">
      <c r="B709" s="268" t="s">
        <v>1893</v>
      </c>
      <c r="C709" s="269">
        <v>42573</v>
      </c>
      <c r="D709" s="270" t="s">
        <v>2960</v>
      </c>
      <c r="E709" s="270" t="s">
        <v>2573</v>
      </c>
      <c r="F709" s="271">
        <v>300</v>
      </c>
      <c r="G709" s="271"/>
      <c r="H709" s="271">
        <f t="shared" ref="H709:H772" si="11">SUM(F709:G709)</f>
        <v>300</v>
      </c>
    </row>
    <row r="710" spans="2:8" x14ac:dyDescent="0.2">
      <c r="B710" s="268" t="s">
        <v>1872</v>
      </c>
      <c r="C710" s="269">
        <v>42574</v>
      </c>
      <c r="D710" s="270" t="s">
        <v>1920</v>
      </c>
      <c r="E710" s="270" t="s">
        <v>2574</v>
      </c>
      <c r="F710" s="271">
        <v>140</v>
      </c>
      <c r="G710" s="271"/>
      <c r="H710" s="271">
        <f t="shared" si="11"/>
        <v>140</v>
      </c>
    </row>
    <row r="711" spans="2:8" x14ac:dyDescent="0.2">
      <c r="B711" s="268" t="s">
        <v>1893</v>
      </c>
      <c r="C711" s="269">
        <v>42574</v>
      </c>
      <c r="D711" s="270" t="s">
        <v>1906</v>
      </c>
      <c r="E711" s="270" t="s">
        <v>2575</v>
      </c>
      <c r="F711" s="271">
        <v>500</v>
      </c>
      <c r="G711" s="271"/>
      <c r="H711" s="271">
        <f t="shared" si="11"/>
        <v>500</v>
      </c>
    </row>
    <row r="712" spans="2:8" x14ac:dyDescent="0.2">
      <c r="B712" s="268" t="s">
        <v>1893</v>
      </c>
      <c r="C712" s="269">
        <v>42575</v>
      </c>
      <c r="D712" s="270" t="s">
        <v>2546</v>
      </c>
      <c r="E712" s="270" t="s">
        <v>2515</v>
      </c>
      <c r="F712" s="271">
        <v>49</v>
      </c>
      <c r="G712" s="271"/>
      <c r="H712" s="271">
        <f t="shared" si="11"/>
        <v>49</v>
      </c>
    </row>
    <row r="713" spans="2:8" x14ac:dyDescent="0.2">
      <c r="B713" s="268" t="s">
        <v>1893</v>
      </c>
      <c r="C713" s="269">
        <v>42575</v>
      </c>
      <c r="D713" s="270" t="s">
        <v>2546</v>
      </c>
      <c r="E713" s="270" t="s">
        <v>2515</v>
      </c>
      <c r="F713" s="271">
        <v>108</v>
      </c>
      <c r="G713" s="271"/>
      <c r="H713" s="271">
        <f t="shared" si="11"/>
        <v>108</v>
      </c>
    </row>
    <row r="714" spans="2:8" x14ac:dyDescent="0.2">
      <c r="B714" s="268" t="s">
        <v>1893</v>
      </c>
      <c r="C714" s="269">
        <v>42575</v>
      </c>
      <c r="D714" s="270" t="s">
        <v>2485</v>
      </c>
      <c r="E714" s="270" t="s">
        <v>2576</v>
      </c>
      <c r="F714" s="271">
        <v>24</v>
      </c>
      <c r="G714" s="271"/>
      <c r="H714" s="271">
        <f t="shared" si="11"/>
        <v>24</v>
      </c>
    </row>
    <row r="715" spans="2:8" x14ac:dyDescent="0.2">
      <c r="B715" s="268" t="s">
        <v>1893</v>
      </c>
      <c r="C715" s="269">
        <v>42575</v>
      </c>
      <c r="D715" s="270" t="s">
        <v>2260</v>
      </c>
      <c r="E715" s="270" t="s">
        <v>2451</v>
      </c>
      <c r="F715" s="271">
        <v>120</v>
      </c>
      <c r="G715" s="271"/>
      <c r="H715" s="271">
        <f t="shared" si="11"/>
        <v>120</v>
      </c>
    </row>
    <row r="716" spans="2:8" x14ac:dyDescent="0.2">
      <c r="B716" s="268" t="s">
        <v>1872</v>
      </c>
      <c r="C716" s="269">
        <v>42575</v>
      </c>
      <c r="D716" s="270" t="s">
        <v>2577</v>
      </c>
      <c r="E716" s="270" t="s">
        <v>2578</v>
      </c>
      <c r="F716" s="271">
        <v>280</v>
      </c>
      <c r="G716" s="271"/>
      <c r="H716" s="271">
        <f t="shared" si="11"/>
        <v>280</v>
      </c>
    </row>
    <row r="717" spans="2:8" x14ac:dyDescent="0.2">
      <c r="B717" s="268" t="s">
        <v>1872</v>
      </c>
      <c r="C717" s="269">
        <v>42576</v>
      </c>
      <c r="D717" s="270" t="s">
        <v>1882</v>
      </c>
      <c r="E717" s="270" t="s">
        <v>2579</v>
      </c>
      <c r="F717" s="271">
        <v>100</v>
      </c>
      <c r="G717" s="271"/>
      <c r="H717" s="271">
        <f t="shared" si="11"/>
        <v>100</v>
      </c>
    </row>
    <row r="718" spans="2:8" x14ac:dyDescent="0.2">
      <c r="B718" s="268" t="s">
        <v>1872</v>
      </c>
      <c r="C718" s="269">
        <v>42576</v>
      </c>
      <c r="D718" s="270" t="s">
        <v>1920</v>
      </c>
      <c r="E718" s="270" t="s">
        <v>2580</v>
      </c>
      <c r="F718" s="271">
        <v>150</v>
      </c>
      <c r="G718" s="271"/>
      <c r="H718" s="271">
        <f t="shared" si="11"/>
        <v>150</v>
      </c>
    </row>
    <row r="719" spans="2:8" x14ac:dyDescent="0.2">
      <c r="B719" s="268" t="s">
        <v>1893</v>
      </c>
      <c r="C719" s="269">
        <v>42576</v>
      </c>
      <c r="D719" s="270" t="s">
        <v>1919</v>
      </c>
      <c r="E719" s="270" t="s">
        <v>2581</v>
      </c>
      <c r="F719" s="271">
        <v>400</v>
      </c>
      <c r="G719" s="271"/>
      <c r="H719" s="271">
        <f t="shared" si="11"/>
        <v>400</v>
      </c>
    </row>
    <row r="720" spans="2:8" x14ac:dyDescent="0.2">
      <c r="B720" s="268" t="s">
        <v>1875</v>
      </c>
      <c r="C720" s="269">
        <v>42576</v>
      </c>
      <c r="D720" s="270" t="s">
        <v>1899</v>
      </c>
      <c r="E720" s="270" t="s">
        <v>1913</v>
      </c>
      <c r="F720" s="271">
        <v>110</v>
      </c>
      <c r="G720" s="271"/>
      <c r="H720" s="271">
        <f t="shared" si="11"/>
        <v>110</v>
      </c>
    </row>
    <row r="721" spans="2:8" x14ac:dyDescent="0.2">
      <c r="B721" s="268" t="s">
        <v>1893</v>
      </c>
      <c r="C721" s="269">
        <v>42577</v>
      </c>
      <c r="D721" s="270" t="s">
        <v>2960</v>
      </c>
      <c r="E721" s="270" t="s">
        <v>2582</v>
      </c>
      <c r="F721" s="271">
        <v>300</v>
      </c>
      <c r="G721" s="271"/>
      <c r="H721" s="271">
        <f t="shared" si="11"/>
        <v>300</v>
      </c>
    </row>
    <row r="722" spans="2:8" x14ac:dyDescent="0.2">
      <c r="B722" s="268" t="s">
        <v>1879</v>
      </c>
      <c r="C722" s="269">
        <v>42577</v>
      </c>
      <c r="D722" s="270" t="s">
        <v>1901</v>
      </c>
      <c r="E722" s="270" t="s">
        <v>2583</v>
      </c>
      <c r="F722" s="271">
        <v>1200</v>
      </c>
      <c r="G722" s="271"/>
      <c r="H722" s="271">
        <f t="shared" si="11"/>
        <v>1200</v>
      </c>
    </row>
    <row r="723" spans="2:8" x14ac:dyDescent="0.2">
      <c r="B723" s="268" t="s">
        <v>1893</v>
      </c>
      <c r="C723" s="269">
        <v>42577</v>
      </c>
      <c r="D723" s="270" t="s">
        <v>2220</v>
      </c>
      <c r="E723" s="270" t="s">
        <v>2584</v>
      </c>
      <c r="F723" s="271">
        <v>2425</v>
      </c>
      <c r="G723" s="271"/>
      <c r="H723" s="271">
        <f t="shared" si="11"/>
        <v>2425</v>
      </c>
    </row>
    <row r="724" spans="2:8" x14ac:dyDescent="0.2">
      <c r="B724" s="268" t="s">
        <v>1872</v>
      </c>
      <c r="C724" s="269">
        <v>42577</v>
      </c>
      <c r="D724" s="270" t="s">
        <v>1915</v>
      </c>
      <c r="E724" s="270" t="s">
        <v>2585</v>
      </c>
      <c r="F724" s="271">
        <v>400</v>
      </c>
      <c r="G724" s="271"/>
      <c r="H724" s="271">
        <f t="shared" si="11"/>
        <v>400</v>
      </c>
    </row>
    <row r="725" spans="2:8" x14ac:dyDescent="0.2">
      <c r="B725" s="268" t="s">
        <v>1869</v>
      </c>
      <c r="C725" s="269">
        <v>42577</v>
      </c>
      <c r="D725" s="270" t="s">
        <v>1935</v>
      </c>
      <c r="E725" s="270" t="s">
        <v>2586</v>
      </c>
      <c r="F725" s="271">
        <v>540</v>
      </c>
      <c r="G725" s="271"/>
      <c r="H725" s="271">
        <f t="shared" si="11"/>
        <v>540</v>
      </c>
    </row>
    <row r="726" spans="2:8" x14ac:dyDescent="0.2">
      <c r="B726" s="268" t="s">
        <v>1893</v>
      </c>
      <c r="C726" s="269">
        <v>42577</v>
      </c>
      <c r="D726" s="270" t="s">
        <v>1920</v>
      </c>
      <c r="E726" s="270" t="s">
        <v>2587</v>
      </c>
      <c r="F726" s="271">
        <v>200</v>
      </c>
      <c r="G726" s="271"/>
      <c r="H726" s="271">
        <f t="shared" si="11"/>
        <v>200</v>
      </c>
    </row>
    <row r="727" spans="2:8" x14ac:dyDescent="0.2">
      <c r="B727" s="268" t="s">
        <v>1585</v>
      </c>
      <c r="C727" s="269">
        <v>42578</v>
      </c>
      <c r="D727" s="270" t="s">
        <v>1908</v>
      </c>
      <c r="E727" s="270" t="s">
        <v>2588</v>
      </c>
      <c r="F727" s="271">
        <v>1000</v>
      </c>
      <c r="G727" s="271"/>
      <c r="H727" s="271">
        <f t="shared" si="11"/>
        <v>1000</v>
      </c>
    </row>
    <row r="728" spans="2:8" x14ac:dyDescent="0.2">
      <c r="B728" s="268" t="s">
        <v>1893</v>
      </c>
      <c r="C728" s="269">
        <v>42578</v>
      </c>
      <c r="D728" s="270" t="s">
        <v>1915</v>
      </c>
      <c r="E728" s="270" t="s">
        <v>2589</v>
      </c>
      <c r="F728" s="271">
        <v>130</v>
      </c>
      <c r="G728" s="271"/>
      <c r="H728" s="271">
        <f t="shared" si="11"/>
        <v>130</v>
      </c>
    </row>
    <row r="729" spans="2:8" x14ac:dyDescent="0.2">
      <c r="B729" s="268" t="s">
        <v>1875</v>
      </c>
      <c r="C729" s="269">
        <v>42578</v>
      </c>
      <c r="D729" s="270" t="s">
        <v>1899</v>
      </c>
      <c r="E729" s="270" t="s">
        <v>2479</v>
      </c>
      <c r="F729" s="271">
        <v>188</v>
      </c>
      <c r="G729" s="271"/>
      <c r="H729" s="271">
        <f t="shared" si="11"/>
        <v>188</v>
      </c>
    </row>
    <row r="730" spans="2:8" x14ac:dyDescent="0.2">
      <c r="B730" s="268" t="s">
        <v>1893</v>
      </c>
      <c r="C730" s="269">
        <v>42578</v>
      </c>
      <c r="D730" s="270" t="s">
        <v>2490</v>
      </c>
      <c r="E730" s="270" t="s">
        <v>2590</v>
      </c>
      <c r="F730" s="271">
        <v>160</v>
      </c>
      <c r="G730" s="271"/>
      <c r="H730" s="271">
        <f t="shared" si="11"/>
        <v>160</v>
      </c>
    </row>
    <row r="731" spans="2:8" x14ac:dyDescent="0.2">
      <c r="B731" s="268" t="s">
        <v>1585</v>
      </c>
      <c r="C731" s="269">
        <v>42578</v>
      </c>
      <c r="D731" s="270" t="s">
        <v>1908</v>
      </c>
      <c r="E731" s="270" t="s">
        <v>2588</v>
      </c>
      <c r="F731" s="271">
        <v>2000</v>
      </c>
      <c r="G731" s="271"/>
      <c r="H731" s="271">
        <f t="shared" si="11"/>
        <v>2000</v>
      </c>
    </row>
    <row r="732" spans="2:8" x14ac:dyDescent="0.2">
      <c r="B732" s="268" t="s">
        <v>1879</v>
      </c>
      <c r="C732" s="269">
        <v>42578</v>
      </c>
      <c r="D732" s="270" t="s">
        <v>1901</v>
      </c>
      <c r="E732" s="270" t="s">
        <v>2591</v>
      </c>
      <c r="F732" s="271">
        <v>1900</v>
      </c>
      <c r="G732" s="271"/>
      <c r="H732" s="271">
        <f t="shared" si="11"/>
        <v>1900</v>
      </c>
    </row>
    <row r="733" spans="2:8" x14ac:dyDescent="0.2">
      <c r="B733" s="268" t="s">
        <v>1866</v>
      </c>
      <c r="C733" s="269">
        <v>42579</v>
      </c>
      <c r="D733" s="270" t="s">
        <v>1881</v>
      </c>
      <c r="E733" s="270" t="s">
        <v>2592</v>
      </c>
      <c r="F733" s="271">
        <v>400</v>
      </c>
      <c r="G733" s="271"/>
      <c r="H733" s="271">
        <f t="shared" si="11"/>
        <v>400</v>
      </c>
    </row>
    <row r="734" spans="2:8" x14ac:dyDescent="0.2">
      <c r="B734" s="268" t="s">
        <v>1868</v>
      </c>
      <c r="C734" s="269">
        <v>42580</v>
      </c>
      <c r="D734" s="270" t="s">
        <v>1919</v>
      </c>
      <c r="E734" s="270" t="s">
        <v>2593</v>
      </c>
      <c r="F734" s="271">
        <v>1000</v>
      </c>
      <c r="G734" s="271"/>
      <c r="H734" s="271">
        <f t="shared" si="11"/>
        <v>1000</v>
      </c>
    </row>
    <row r="735" spans="2:8" x14ac:dyDescent="0.2">
      <c r="B735" s="268" t="s">
        <v>1893</v>
      </c>
      <c r="C735" s="269">
        <v>42582</v>
      </c>
      <c r="D735" s="270" t="s">
        <v>2546</v>
      </c>
      <c r="E735" s="270" t="s">
        <v>2515</v>
      </c>
      <c r="F735" s="271">
        <v>119.5</v>
      </c>
      <c r="G735" s="271"/>
      <c r="H735" s="271">
        <f t="shared" si="11"/>
        <v>119.5</v>
      </c>
    </row>
    <row r="736" spans="2:8" x14ac:dyDescent="0.2">
      <c r="B736" s="268" t="s">
        <v>1893</v>
      </c>
      <c r="C736" s="269">
        <v>42582</v>
      </c>
      <c r="D736" s="270" t="s">
        <v>1905</v>
      </c>
      <c r="E736" s="270" t="s">
        <v>2499</v>
      </c>
      <c r="F736" s="271">
        <v>650</v>
      </c>
      <c r="G736" s="271"/>
      <c r="H736" s="271">
        <f t="shared" si="11"/>
        <v>650</v>
      </c>
    </row>
    <row r="737" spans="2:8" x14ac:dyDescent="0.2">
      <c r="B737" s="268" t="s">
        <v>1893</v>
      </c>
      <c r="C737" s="269">
        <v>42582</v>
      </c>
      <c r="D737" s="270" t="s">
        <v>1882</v>
      </c>
      <c r="E737" s="270" t="s">
        <v>2451</v>
      </c>
      <c r="F737" s="271">
        <v>450</v>
      </c>
      <c r="G737" s="271"/>
      <c r="H737" s="271">
        <f t="shared" si="11"/>
        <v>450</v>
      </c>
    </row>
    <row r="738" spans="2:8" x14ac:dyDescent="0.2">
      <c r="B738" s="268" t="s">
        <v>1893</v>
      </c>
      <c r="C738" s="269">
        <v>42582</v>
      </c>
      <c r="D738" s="270" t="s">
        <v>2260</v>
      </c>
      <c r="E738" s="270" t="s">
        <v>2451</v>
      </c>
      <c r="F738" s="271">
        <v>120</v>
      </c>
      <c r="G738" s="271"/>
      <c r="H738" s="271">
        <f t="shared" si="11"/>
        <v>120</v>
      </c>
    </row>
    <row r="739" spans="2:8" x14ac:dyDescent="0.2">
      <c r="B739" s="268" t="s">
        <v>1585</v>
      </c>
      <c r="C739" s="269">
        <v>42582</v>
      </c>
      <c r="D739" s="270" t="s">
        <v>1895</v>
      </c>
      <c r="E739" s="270" t="s">
        <v>2502</v>
      </c>
      <c r="F739" s="271">
        <v>2700</v>
      </c>
      <c r="G739" s="271"/>
      <c r="H739" s="271">
        <f t="shared" si="11"/>
        <v>2700</v>
      </c>
    </row>
    <row r="740" spans="2:8" x14ac:dyDescent="0.2">
      <c r="B740" s="268" t="s">
        <v>1585</v>
      </c>
      <c r="C740" s="269">
        <v>42582</v>
      </c>
      <c r="D740" s="270" t="s">
        <v>1908</v>
      </c>
      <c r="E740" s="270" t="s">
        <v>2503</v>
      </c>
      <c r="F740" s="271">
        <v>29000</v>
      </c>
      <c r="G740" s="271"/>
      <c r="H740" s="271">
        <f t="shared" si="11"/>
        <v>29000</v>
      </c>
    </row>
    <row r="741" spans="2:8" x14ac:dyDescent="0.2">
      <c r="B741" s="268" t="s">
        <v>1868</v>
      </c>
      <c r="C741" s="269">
        <v>42582</v>
      </c>
      <c r="D741" s="270" t="s">
        <v>1920</v>
      </c>
      <c r="E741" s="270" t="s">
        <v>1940</v>
      </c>
      <c r="F741" s="271">
        <v>4000</v>
      </c>
      <c r="G741" s="271"/>
      <c r="H741" s="271">
        <f t="shared" si="11"/>
        <v>4000</v>
      </c>
    </row>
    <row r="742" spans="2:8" x14ac:dyDescent="0.2">
      <c r="B742" s="268" t="s">
        <v>1896</v>
      </c>
      <c r="C742" s="269">
        <v>42557</v>
      </c>
      <c r="D742" s="270" t="s">
        <v>1606</v>
      </c>
      <c r="E742" s="270" t="s">
        <v>2594</v>
      </c>
      <c r="F742" s="271">
        <v>30</v>
      </c>
      <c r="G742" s="271"/>
      <c r="H742" s="271">
        <f t="shared" si="11"/>
        <v>30</v>
      </c>
    </row>
    <row r="743" spans="2:8" x14ac:dyDescent="0.2">
      <c r="B743" s="268" t="s">
        <v>1799</v>
      </c>
      <c r="C743" s="269">
        <v>42557</v>
      </c>
      <c r="D743" s="270" t="s">
        <v>1606</v>
      </c>
      <c r="E743" s="270" t="s">
        <v>2595</v>
      </c>
      <c r="F743" s="271">
        <v>4.8</v>
      </c>
      <c r="G743" s="271"/>
      <c r="H743" s="271">
        <f t="shared" si="11"/>
        <v>4.8</v>
      </c>
    </row>
    <row r="744" spans="2:8" x14ac:dyDescent="0.2">
      <c r="B744" s="268" t="s">
        <v>1896</v>
      </c>
      <c r="C744" s="269">
        <v>42559</v>
      </c>
      <c r="D744" s="270" t="s">
        <v>1537</v>
      </c>
      <c r="E744" s="270" t="s">
        <v>1539</v>
      </c>
      <c r="F744" s="271">
        <v>-0.46</v>
      </c>
      <c r="G744" s="271"/>
      <c r="H744" s="271">
        <f t="shared" si="11"/>
        <v>-0.46</v>
      </c>
    </row>
    <row r="745" spans="2:8" x14ac:dyDescent="0.2">
      <c r="B745" s="268" t="s">
        <v>1896</v>
      </c>
      <c r="C745" s="269">
        <v>42580</v>
      </c>
      <c r="D745" s="270" t="s">
        <v>1606</v>
      </c>
      <c r="E745" s="270" t="s">
        <v>2239</v>
      </c>
      <c r="F745" s="271">
        <v>42</v>
      </c>
      <c r="G745" s="271"/>
      <c r="H745" s="271">
        <f t="shared" si="11"/>
        <v>42</v>
      </c>
    </row>
    <row r="746" spans="2:8" x14ac:dyDescent="0.2">
      <c r="B746" s="268" t="s">
        <v>1799</v>
      </c>
      <c r="C746" s="269">
        <v>42580</v>
      </c>
      <c r="D746" s="270" t="s">
        <v>1606</v>
      </c>
      <c r="E746" s="270" t="s">
        <v>2240</v>
      </c>
      <c r="F746" s="271"/>
      <c r="G746" s="271">
        <v>6.72</v>
      </c>
      <c r="H746" s="271">
        <f t="shared" si="11"/>
        <v>6.72</v>
      </c>
    </row>
    <row r="747" spans="2:8" x14ac:dyDescent="0.2">
      <c r="B747" s="272" t="s">
        <v>1799</v>
      </c>
      <c r="C747" s="273">
        <v>42572</v>
      </c>
      <c r="D747" s="274" t="s">
        <v>1918</v>
      </c>
      <c r="E747" s="274" t="s">
        <v>2504</v>
      </c>
      <c r="F747" s="275"/>
      <c r="G747" s="275">
        <v>-1760</v>
      </c>
      <c r="H747" s="275">
        <f t="shared" si="11"/>
        <v>-1760</v>
      </c>
    </row>
    <row r="748" spans="2:8" ht="18" customHeight="1" x14ac:dyDescent="0.2">
      <c r="B748" s="276" t="s">
        <v>1859</v>
      </c>
      <c r="C748" s="276" t="s">
        <v>1860</v>
      </c>
      <c r="D748" s="277" t="s">
        <v>1861</v>
      </c>
      <c r="E748" s="277" t="s">
        <v>1862</v>
      </c>
      <c r="F748" s="278" t="s">
        <v>1863</v>
      </c>
      <c r="G748" s="278" t="s">
        <v>1864</v>
      </c>
      <c r="H748" s="263" t="s">
        <v>1865</v>
      </c>
    </row>
    <row r="749" spans="2:8" x14ac:dyDescent="0.2">
      <c r="B749" s="264" t="s">
        <v>1871</v>
      </c>
      <c r="C749" s="265">
        <v>42583</v>
      </c>
      <c r="D749" s="266" t="s">
        <v>1947</v>
      </c>
      <c r="E749" s="266" t="s">
        <v>2596</v>
      </c>
      <c r="F749" s="267">
        <v>50</v>
      </c>
      <c r="G749" s="267"/>
      <c r="H749" s="267">
        <f t="shared" si="11"/>
        <v>50</v>
      </c>
    </row>
    <row r="750" spans="2:8" x14ac:dyDescent="0.2">
      <c r="B750" s="268" t="s">
        <v>1875</v>
      </c>
      <c r="C750" s="269">
        <v>42583</v>
      </c>
      <c r="D750" s="270" t="s">
        <v>1899</v>
      </c>
      <c r="E750" s="270" t="s">
        <v>1948</v>
      </c>
      <c r="F750" s="271">
        <v>188</v>
      </c>
      <c r="G750" s="271"/>
      <c r="H750" s="271">
        <f t="shared" si="11"/>
        <v>188</v>
      </c>
    </row>
    <row r="751" spans="2:8" x14ac:dyDescent="0.2">
      <c r="B751" s="268" t="s">
        <v>1871</v>
      </c>
      <c r="C751" s="269">
        <v>42583</v>
      </c>
      <c r="D751" s="270" t="s">
        <v>1901</v>
      </c>
      <c r="E751" s="270" t="s">
        <v>2597</v>
      </c>
      <c r="F751" s="271">
        <v>450</v>
      </c>
      <c r="G751" s="271"/>
      <c r="H751" s="271">
        <f t="shared" si="11"/>
        <v>450</v>
      </c>
    </row>
    <row r="752" spans="2:8" x14ac:dyDescent="0.2">
      <c r="B752" s="268" t="s">
        <v>1891</v>
      </c>
      <c r="C752" s="269">
        <v>42583</v>
      </c>
      <c r="D752" s="270" t="s">
        <v>1920</v>
      </c>
      <c r="E752" s="270" t="s">
        <v>2598</v>
      </c>
      <c r="F752" s="271">
        <v>117</v>
      </c>
      <c r="G752" s="271"/>
      <c r="H752" s="271">
        <f t="shared" si="11"/>
        <v>117</v>
      </c>
    </row>
    <row r="753" spans="2:8" x14ac:dyDescent="0.2">
      <c r="B753" s="268" t="s">
        <v>1888</v>
      </c>
      <c r="C753" s="269">
        <v>42583</v>
      </c>
      <c r="D753" s="270" t="s">
        <v>1901</v>
      </c>
      <c r="E753" s="270" t="s">
        <v>2599</v>
      </c>
      <c r="F753" s="271">
        <v>350</v>
      </c>
      <c r="G753" s="271"/>
      <c r="H753" s="271">
        <f t="shared" si="11"/>
        <v>350</v>
      </c>
    </row>
    <row r="754" spans="2:8" x14ac:dyDescent="0.2">
      <c r="B754" s="268" t="s">
        <v>1888</v>
      </c>
      <c r="C754" s="269">
        <v>42583</v>
      </c>
      <c r="D754" s="270" t="s">
        <v>1901</v>
      </c>
      <c r="E754" s="270" t="s">
        <v>2600</v>
      </c>
      <c r="F754" s="271">
        <v>350</v>
      </c>
      <c r="G754" s="271"/>
      <c r="H754" s="271">
        <f t="shared" si="11"/>
        <v>350</v>
      </c>
    </row>
    <row r="755" spans="2:8" x14ac:dyDescent="0.2">
      <c r="B755" s="268" t="s">
        <v>1830</v>
      </c>
      <c r="C755" s="269">
        <v>42583</v>
      </c>
      <c r="D755" s="270" t="s">
        <v>1902</v>
      </c>
      <c r="E755" s="270" t="s">
        <v>2601</v>
      </c>
      <c r="F755" s="271">
        <v>75.8</v>
      </c>
      <c r="G755" s="271"/>
      <c r="H755" s="271">
        <f t="shared" si="11"/>
        <v>75.8</v>
      </c>
    </row>
    <row r="756" spans="2:8" x14ac:dyDescent="0.2">
      <c r="B756" s="268" t="s">
        <v>1830</v>
      </c>
      <c r="C756" s="269">
        <v>42583</v>
      </c>
      <c r="D756" s="270" t="s">
        <v>1919</v>
      </c>
      <c r="E756" s="270" t="s">
        <v>2536</v>
      </c>
      <c r="F756" s="271">
        <v>400</v>
      </c>
      <c r="G756" s="271"/>
      <c r="H756" s="271">
        <f t="shared" si="11"/>
        <v>400</v>
      </c>
    </row>
    <row r="757" spans="2:8" x14ac:dyDescent="0.2">
      <c r="B757" s="268" t="s">
        <v>1869</v>
      </c>
      <c r="C757" s="269">
        <v>42583</v>
      </c>
      <c r="D757" s="270" t="s">
        <v>1900</v>
      </c>
      <c r="E757" s="270" t="s">
        <v>2602</v>
      </c>
      <c r="F757" s="271">
        <v>688.79</v>
      </c>
      <c r="G757" s="271">
        <v>110.21</v>
      </c>
      <c r="H757" s="271">
        <f t="shared" si="11"/>
        <v>799</v>
      </c>
    </row>
    <row r="758" spans="2:8" x14ac:dyDescent="0.2">
      <c r="B758" s="268" t="s">
        <v>1875</v>
      </c>
      <c r="C758" s="269">
        <v>42585</v>
      </c>
      <c r="D758" s="270" t="s">
        <v>1899</v>
      </c>
      <c r="E758" s="270" t="s">
        <v>2603</v>
      </c>
      <c r="F758" s="271">
        <v>162</v>
      </c>
      <c r="G758" s="271"/>
      <c r="H758" s="271">
        <f t="shared" si="11"/>
        <v>162</v>
      </c>
    </row>
    <row r="759" spans="2:8" x14ac:dyDescent="0.2">
      <c r="B759" s="268" t="s">
        <v>1872</v>
      </c>
      <c r="C759" s="269">
        <v>42585</v>
      </c>
      <c r="D759" s="270" t="s">
        <v>2546</v>
      </c>
      <c r="E759" s="270" t="s">
        <v>2604</v>
      </c>
      <c r="F759" s="271">
        <v>252.4</v>
      </c>
      <c r="G759" s="271"/>
      <c r="H759" s="271">
        <f t="shared" si="11"/>
        <v>252.4</v>
      </c>
    </row>
    <row r="760" spans="2:8" x14ac:dyDescent="0.2">
      <c r="B760" s="268" t="s">
        <v>1884</v>
      </c>
      <c r="C760" s="269">
        <v>42585</v>
      </c>
      <c r="D760" s="270" t="s">
        <v>2546</v>
      </c>
      <c r="E760" s="270" t="s">
        <v>2605</v>
      </c>
      <c r="F760" s="271">
        <v>23.9</v>
      </c>
      <c r="G760" s="271"/>
      <c r="H760" s="271">
        <f t="shared" si="11"/>
        <v>23.9</v>
      </c>
    </row>
    <row r="761" spans="2:8" x14ac:dyDescent="0.2">
      <c r="B761" s="268" t="s">
        <v>1872</v>
      </c>
      <c r="C761" s="269">
        <v>42585</v>
      </c>
      <c r="D761" s="270" t="s">
        <v>1915</v>
      </c>
      <c r="E761" s="270" t="s">
        <v>2606</v>
      </c>
      <c r="F761" s="271">
        <v>160</v>
      </c>
      <c r="G761" s="271"/>
      <c r="H761" s="271">
        <f t="shared" si="11"/>
        <v>160</v>
      </c>
    </row>
    <row r="762" spans="2:8" x14ac:dyDescent="0.2">
      <c r="B762" s="268" t="s">
        <v>1872</v>
      </c>
      <c r="C762" s="269">
        <v>42586</v>
      </c>
      <c r="D762" s="270" t="s">
        <v>1920</v>
      </c>
      <c r="E762" s="270" t="s">
        <v>2607</v>
      </c>
      <c r="F762" s="271">
        <v>193</v>
      </c>
      <c r="G762" s="271"/>
      <c r="H762" s="271">
        <f t="shared" si="11"/>
        <v>193</v>
      </c>
    </row>
    <row r="763" spans="2:8" x14ac:dyDescent="0.2">
      <c r="B763" s="268" t="s">
        <v>1814</v>
      </c>
      <c r="C763" s="269">
        <v>42587</v>
      </c>
      <c r="D763" s="270" t="s">
        <v>1919</v>
      </c>
      <c r="E763" s="270" t="s">
        <v>2608</v>
      </c>
      <c r="F763" s="271">
        <v>1000</v>
      </c>
      <c r="G763" s="271"/>
      <c r="H763" s="271">
        <f t="shared" si="11"/>
        <v>1000</v>
      </c>
    </row>
    <row r="764" spans="2:8" x14ac:dyDescent="0.2">
      <c r="B764" s="268" t="s">
        <v>1872</v>
      </c>
      <c r="C764" s="269">
        <v>42587</v>
      </c>
      <c r="D764" s="270" t="s">
        <v>1915</v>
      </c>
      <c r="E764" s="270" t="s">
        <v>2609</v>
      </c>
      <c r="F764" s="271">
        <v>150</v>
      </c>
      <c r="G764" s="271"/>
      <c r="H764" s="271">
        <f t="shared" si="11"/>
        <v>150</v>
      </c>
    </row>
    <row r="765" spans="2:8" x14ac:dyDescent="0.2">
      <c r="B765" s="268" t="s">
        <v>1867</v>
      </c>
      <c r="C765" s="269">
        <v>42588</v>
      </c>
      <c r="D765" s="270" t="s">
        <v>1898</v>
      </c>
      <c r="E765" s="270" t="s">
        <v>2610</v>
      </c>
      <c r="F765" s="271">
        <v>350</v>
      </c>
      <c r="G765" s="271"/>
      <c r="H765" s="271">
        <f t="shared" si="11"/>
        <v>350</v>
      </c>
    </row>
    <row r="766" spans="2:8" x14ac:dyDescent="0.2">
      <c r="B766" s="268" t="s">
        <v>1893</v>
      </c>
      <c r="C766" s="269">
        <v>42589</v>
      </c>
      <c r="D766" s="270" t="s">
        <v>1924</v>
      </c>
      <c r="E766" s="270" t="s">
        <v>2611</v>
      </c>
      <c r="F766" s="271">
        <v>400</v>
      </c>
      <c r="G766" s="271"/>
      <c r="H766" s="271">
        <f t="shared" si="11"/>
        <v>400</v>
      </c>
    </row>
    <row r="767" spans="2:8" x14ac:dyDescent="0.2">
      <c r="B767" s="268" t="s">
        <v>1893</v>
      </c>
      <c r="C767" s="269">
        <v>42589</v>
      </c>
      <c r="D767" s="270" t="s">
        <v>2546</v>
      </c>
      <c r="E767" s="270" t="s">
        <v>2612</v>
      </c>
      <c r="F767" s="271">
        <v>75</v>
      </c>
      <c r="G767" s="271"/>
      <c r="H767" s="271">
        <f t="shared" si="11"/>
        <v>75</v>
      </c>
    </row>
    <row r="768" spans="2:8" x14ac:dyDescent="0.2">
      <c r="B768" s="268" t="s">
        <v>1830</v>
      </c>
      <c r="C768" s="269">
        <v>42590</v>
      </c>
      <c r="D768" s="270" t="s">
        <v>1919</v>
      </c>
      <c r="E768" s="270" t="s">
        <v>2613</v>
      </c>
      <c r="F768" s="271">
        <v>400</v>
      </c>
      <c r="G768" s="271"/>
      <c r="H768" s="271">
        <f t="shared" si="11"/>
        <v>400</v>
      </c>
    </row>
    <row r="769" spans="2:8" x14ac:dyDescent="0.2">
      <c r="B769" s="268" t="s">
        <v>1893</v>
      </c>
      <c r="C769" s="269">
        <v>42590</v>
      </c>
      <c r="D769" s="270" t="s">
        <v>1901</v>
      </c>
      <c r="E769" s="270" t="s">
        <v>2614</v>
      </c>
      <c r="F769" s="271">
        <v>1200</v>
      </c>
      <c r="G769" s="271"/>
      <c r="H769" s="271">
        <f t="shared" si="11"/>
        <v>1200</v>
      </c>
    </row>
    <row r="770" spans="2:8" x14ac:dyDescent="0.2">
      <c r="B770" s="268" t="s">
        <v>1875</v>
      </c>
      <c r="C770" s="269">
        <v>42590</v>
      </c>
      <c r="D770" s="270" t="s">
        <v>1899</v>
      </c>
      <c r="E770" s="270" t="s">
        <v>2615</v>
      </c>
      <c r="F770" s="271">
        <v>250</v>
      </c>
      <c r="G770" s="271"/>
      <c r="H770" s="271">
        <f t="shared" si="11"/>
        <v>250</v>
      </c>
    </row>
    <row r="771" spans="2:8" x14ac:dyDescent="0.2">
      <c r="B771" s="268" t="s">
        <v>1866</v>
      </c>
      <c r="C771" s="269">
        <v>42590</v>
      </c>
      <c r="D771" s="270" t="s">
        <v>1881</v>
      </c>
      <c r="E771" s="270" t="s">
        <v>2616</v>
      </c>
      <c r="F771" s="271">
        <v>400</v>
      </c>
      <c r="G771" s="271"/>
      <c r="H771" s="271">
        <f t="shared" si="11"/>
        <v>400</v>
      </c>
    </row>
    <row r="772" spans="2:8" x14ac:dyDescent="0.2">
      <c r="B772" s="268" t="s">
        <v>1890</v>
      </c>
      <c r="C772" s="269">
        <v>42590</v>
      </c>
      <c r="D772" s="270" t="s">
        <v>1881</v>
      </c>
      <c r="E772" s="270" t="s">
        <v>2617</v>
      </c>
      <c r="F772" s="271">
        <v>250</v>
      </c>
      <c r="G772" s="271"/>
      <c r="H772" s="271">
        <f t="shared" si="11"/>
        <v>250</v>
      </c>
    </row>
    <row r="773" spans="2:8" x14ac:dyDescent="0.2">
      <c r="B773" s="268" t="s">
        <v>1893</v>
      </c>
      <c r="C773" s="269">
        <v>42590</v>
      </c>
      <c r="D773" s="270" t="s">
        <v>2430</v>
      </c>
      <c r="E773" s="270" t="s">
        <v>2618</v>
      </c>
      <c r="F773" s="271">
        <v>345</v>
      </c>
      <c r="G773" s="271"/>
      <c r="H773" s="271">
        <f t="shared" ref="H773:H836" si="12">SUM(F773:G773)</f>
        <v>345</v>
      </c>
    </row>
    <row r="774" spans="2:8" x14ac:dyDescent="0.2">
      <c r="B774" s="268" t="s">
        <v>1879</v>
      </c>
      <c r="C774" s="269">
        <v>42591</v>
      </c>
      <c r="D774" s="270" t="s">
        <v>2619</v>
      </c>
      <c r="E774" s="270" t="s">
        <v>2620</v>
      </c>
      <c r="F774" s="271">
        <v>20</v>
      </c>
      <c r="G774" s="271"/>
      <c r="H774" s="271">
        <f t="shared" si="12"/>
        <v>20</v>
      </c>
    </row>
    <row r="775" spans="2:8" x14ac:dyDescent="0.2">
      <c r="B775" s="268" t="s">
        <v>1872</v>
      </c>
      <c r="C775" s="269">
        <v>42591</v>
      </c>
      <c r="D775" s="270" t="s">
        <v>2621</v>
      </c>
      <c r="E775" s="270" t="s">
        <v>2622</v>
      </c>
      <c r="F775" s="271">
        <v>600</v>
      </c>
      <c r="G775" s="271"/>
      <c r="H775" s="271">
        <f t="shared" si="12"/>
        <v>600</v>
      </c>
    </row>
    <row r="776" spans="2:8" x14ac:dyDescent="0.2">
      <c r="B776" s="268" t="s">
        <v>1872</v>
      </c>
      <c r="C776" s="269">
        <v>42591</v>
      </c>
      <c r="D776" s="270" t="s">
        <v>2623</v>
      </c>
      <c r="E776" s="270" t="s">
        <v>2624</v>
      </c>
      <c r="F776" s="271">
        <v>201.52</v>
      </c>
      <c r="G776" s="271"/>
      <c r="H776" s="271">
        <f t="shared" si="12"/>
        <v>201.52</v>
      </c>
    </row>
    <row r="777" spans="2:8" x14ac:dyDescent="0.2">
      <c r="B777" s="268" t="s">
        <v>1872</v>
      </c>
      <c r="C777" s="269">
        <v>42591</v>
      </c>
      <c r="D777" s="270" t="s">
        <v>1920</v>
      </c>
      <c r="E777" s="270" t="s">
        <v>2625</v>
      </c>
      <c r="F777" s="271">
        <v>200</v>
      </c>
      <c r="G777" s="271"/>
      <c r="H777" s="271">
        <f t="shared" si="12"/>
        <v>200</v>
      </c>
    </row>
    <row r="778" spans="2:8" x14ac:dyDescent="0.2">
      <c r="B778" s="268" t="s">
        <v>1893</v>
      </c>
      <c r="C778" s="269">
        <v>42591</v>
      </c>
      <c r="D778" s="270" t="s">
        <v>2626</v>
      </c>
      <c r="E778" s="270" t="s">
        <v>2627</v>
      </c>
      <c r="F778" s="271">
        <v>5000</v>
      </c>
      <c r="G778" s="271"/>
      <c r="H778" s="271">
        <f t="shared" si="12"/>
        <v>5000</v>
      </c>
    </row>
    <row r="779" spans="2:8" x14ac:dyDescent="0.2">
      <c r="B779" s="268" t="s">
        <v>1893</v>
      </c>
      <c r="C779" s="269">
        <v>42591</v>
      </c>
      <c r="D779" s="270" t="s">
        <v>2628</v>
      </c>
      <c r="E779" s="270" t="s">
        <v>2629</v>
      </c>
      <c r="F779" s="271">
        <v>550</v>
      </c>
      <c r="G779" s="271"/>
      <c r="H779" s="271">
        <f t="shared" si="12"/>
        <v>550</v>
      </c>
    </row>
    <row r="780" spans="2:8" x14ac:dyDescent="0.2">
      <c r="B780" s="268" t="s">
        <v>1872</v>
      </c>
      <c r="C780" s="269">
        <v>42591</v>
      </c>
      <c r="D780" s="270" t="s">
        <v>2546</v>
      </c>
      <c r="E780" s="270" t="s">
        <v>2630</v>
      </c>
      <c r="F780" s="271">
        <v>49.5</v>
      </c>
      <c r="G780" s="271"/>
      <c r="H780" s="271">
        <f t="shared" si="12"/>
        <v>49.5</v>
      </c>
    </row>
    <row r="781" spans="2:8" x14ac:dyDescent="0.2">
      <c r="B781" s="268" t="s">
        <v>1872</v>
      </c>
      <c r="C781" s="269">
        <v>42591</v>
      </c>
      <c r="D781" s="270" t="s">
        <v>2631</v>
      </c>
      <c r="E781" s="270" t="s">
        <v>2632</v>
      </c>
      <c r="F781" s="271">
        <v>278</v>
      </c>
      <c r="G781" s="271"/>
      <c r="H781" s="271">
        <f t="shared" si="12"/>
        <v>278</v>
      </c>
    </row>
    <row r="782" spans="2:8" x14ac:dyDescent="0.2">
      <c r="B782" s="268" t="s">
        <v>1872</v>
      </c>
      <c r="C782" s="269">
        <v>42592</v>
      </c>
      <c r="D782" s="270" t="s">
        <v>2631</v>
      </c>
      <c r="E782" s="270" t="s">
        <v>2632</v>
      </c>
      <c r="F782" s="271">
        <v>273</v>
      </c>
      <c r="G782" s="271"/>
      <c r="H782" s="271">
        <f t="shared" si="12"/>
        <v>273</v>
      </c>
    </row>
    <row r="783" spans="2:8" x14ac:dyDescent="0.2">
      <c r="B783" s="268" t="s">
        <v>1893</v>
      </c>
      <c r="C783" s="269">
        <v>42593</v>
      </c>
      <c r="D783" s="270" t="s">
        <v>1882</v>
      </c>
      <c r="E783" s="270" t="s">
        <v>2633</v>
      </c>
      <c r="F783" s="271">
        <v>200</v>
      </c>
      <c r="G783" s="271"/>
      <c r="H783" s="271">
        <f t="shared" si="12"/>
        <v>200</v>
      </c>
    </row>
    <row r="784" spans="2:8" x14ac:dyDescent="0.2">
      <c r="B784" s="268" t="s">
        <v>1876</v>
      </c>
      <c r="C784" s="269">
        <v>42593</v>
      </c>
      <c r="D784" s="270" t="s">
        <v>1903</v>
      </c>
      <c r="E784" s="270" t="s">
        <v>2493</v>
      </c>
      <c r="F784" s="271">
        <v>1098</v>
      </c>
      <c r="G784" s="271"/>
      <c r="H784" s="271">
        <f t="shared" si="12"/>
        <v>1098</v>
      </c>
    </row>
    <row r="785" spans="2:8" x14ac:dyDescent="0.2">
      <c r="B785" s="268" t="s">
        <v>1884</v>
      </c>
      <c r="C785" s="269">
        <v>42593</v>
      </c>
      <c r="D785" s="270" t="s">
        <v>1902</v>
      </c>
      <c r="E785" s="270" t="s">
        <v>1951</v>
      </c>
      <c r="F785" s="271">
        <v>339.13</v>
      </c>
      <c r="G785" s="271">
        <v>54.3</v>
      </c>
      <c r="H785" s="271">
        <f t="shared" si="12"/>
        <v>393.43</v>
      </c>
    </row>
    <row r="786" spans="2:8" x14ac:dyDescent="0.2">
      <c r="B786" s="268" t="s">
        <v>1893</v>
      </c>
      <c r="C786" s="269">
        <v>42593</v>
      </c>
      <c r="D786" s="270" t="s">
        <v>1902</v>
      </c>
      <c r="E786" s="270" t="s">
        <v>2634</v>
      </c>
      <c r="F786" s="271">
        <v>1715.52</v>
      </c>
      <c r="G786" s="271">
        <v>274.48</v>
      </c>
      <c r="H786" s="271">
        <f t="shared" si="12"/>
        <v>1990</v>
      </c>
    </row>
    <row r="787" spans="2:8" x14ac:dyDescent="0.2">
      <c r="B787" s="268" t="s">
        <v>1875</v>
      </c>
      <c r="C787" s="269">
        <v>42594</v>
      </c>
      <c r="D787" s="270" t="s">
        <v>1899</v>
      </c>
      <c r="E787" s="270" t="s">
        <v>1948</v>
      </c>
      <c r="F787" s="271">
        <v>190</v>
      </c>
      <c r="G787" s="271"/>
      <c r="H787" s="271">
        <f t="shared" si="12"/>
        <v>190</v>
      </c>
    </row>
    <row r="788" spans="2:8" x14ac:dyDescent="0.2">
      <c r="B788" s="268" t="s">
        <v>1814</v>
      </c>
      <c r="C788" s="269">
        <v>42594</v>
      </c>
      <c r="D788" s="270" t="s">
        <v>1919</v>
      </c>
      <c r="E788" s="270" t="s">
        <v>2635</v>
      </c>
      <c r="F788" s="271">
        <v>1000</v>
      </c>
      <c r="G788" s="271"/>
      <c r="H788" s="271">
        <f t="shared" si="12"/>
        <v>1000</v>
      </c>
    </row>
    <row r="789" spans="2:8" x14ac:dyDescent="0.2">
      <c r="B789" s="268" t="s">
        <v>1893</v>
      </c>
      <c r="C789" s="269">
        <v>42594</v>
      </c>
      <c r="D789" s="270" t="s">
        <v>1901</v>
      </c>
      <c r="E789" s="270" t="s">
        <v>2636</v>
      </c>
      <c r="F789" s="271">
        <v>450</v>
      </c>
      <c r="G789" s="271"/>
      <c r="H789" s="271">
        <f t="shared" si="12"/>
        <v>450</v>
      </c>
    </row>
    <row r="790" spans="2:8" x14ac:dyDescent="0.2">
      <c r="B790" s="268" t="s">
        <v>1893</v>
      </c>
      <c r="C790" s="269">
        <v>42594</v>
      </c>
      <c r="D790" s="270" t="s">
        <v>2637</v>
      </c>
      <c r="E790" s="270" t="s">
        <v>2403</v>
      </c>
      <c r="F790" s="271">
        <v>326.3</v>
      </c>
      <c r="G790" s="271">
        <v>50.62</v>
      </c>
      <c r="H790" s="271">
        <f t="shared" si="12"/>
        <v>376.92</v>
      </c>
    </row>
    <row r="791" spans="2:8" x14ac:dyDescent="0.2">
      <c r="B791" s="268" t="s">
        <v>1872</v>
      </c>
      <c r="C791" s="269">
        <v>42594</v>
      </c>
      <c r="D791" s="270" t="s">
        <v>1915</v>
      </c>
      <c r="E791" s="270" t="s">
        <v>2638</v>
      </c>
      <c r="F791" s="271">
        <v>150</v>
      </c>
      <c r="G791" s="271"/>
      <c r="H791" s="271">
        <f t="shared" si="12"/>
        <v>150</v>
      </c>
    </row>
    <row r="792" spans="2:8" x14ac:dyDescent="0.2">
      <c r="B792" s="268" t="s">
        <v>1869</v>
      </c>
      <c r="C792" s="269">
        <v>42594</v>
      </c>
      <c r="D792" s="270" t="s">
        <v>1935</v>
      </c>
      <c r="E792" s="270" t="s">
        <v>2571</v>
      </c>
      <c r="F792" s="271">
        <v>135</v>
      </c>
      <c r="G792" s="271"/>
      <c r="H792" s="271">
        <f t="shared" si="12"/>
        <v>135</v>
      </c>
    </row>
    <row r="793" spans="2:8" x14ac:dyDescent="0.2">
      <c r="B793" s="268" t="s">
        <v>1830</v>
      </c>
      <c r="C793" s="269">
        <v>42594</v>
      </c>
      <c r="D793" s="270" t="s">
        <v>1901</v>
      </c>
      <c r="E793" s="270" t="s">
        <v>2639</v>
      </c>
      <c r="F793" s="271">
        <v>2800</v>
      </c>
      <c r="G793" s="271"/>
      <c r="H793" s="271">
        <f t="shared" si="12"/>
        <v>2800</v>
      </c>
    </row>
    <row r="794" spans="2:8" x14ac:dyDescent="0.2">
      <c r="B794" s="268" t="s">
        <v>1872</v>
      </c>
      <c r="C794" s="269">
        <v>42594</v>
      </c>
      <c r="D794" s="270" t="s">
        <v>1915</v>
      </c>
      <c r="E794" s="270" t="s">
        <v>2640</v>
      </c>
      <c r="F794" s="271">
        <v>640</v>
      </c>
      <c r="G794" s="271"/>
      <c r="H794" s="271">
        <f t="shared" si="12"/>
        <v>640</v>
      </c>
    </row>
    <row r="795" spans="2:8" x14ac:dyDescent="0.2">
      <c r="B795" s="268" t="s">
        <v>1893</v>
      </c>
      <c r="C795" s="269">
        <v>42594</v>
      </c>
      <c r="D795" s="270" t="s">
        <v>1920</v>
      </c>
      <c r="E795" s="270" t="s">
        <v>2641</v>
      </c>
      <c r="F795" s="271">
        <v>443</v>
      </c>
      <c r="G795" s="271"/>
      <c r="H795" s="271">
        <f t="shared" si="12"/>
        <v>443</v>
      </c>
    </row>
    <row r="796" spans="2:8" x14ac:dyDescent="0.2">
      <c r="B796" s="268" t="s">
        <v>1893</v>
      </c>
      <c r="C796" s="269">
        <v>42594</v>
      </c>
      <c r="D796" s="270" t="s">
        <v>1901</v>
      </c>
      <c r="E796" s="270" t="s">
        <v>2642</v>
      </c>
      <c r="F796" s="271">
        <v>500</v>
      </c>
      <c r="G796" s="271"/>
      <c r="H796" s="271">
        <f t="shared" si="12"/>
        <v>500</v>
      </c>
    </row>
    <row r="797" spans="2:8" x14ac:dyDescent="0.2">
      <c r="B797" s="268" t="s">
        <v>1872</v>
      </c>
      <c r="C797" s="269">
        <v>42594</v>
      </c>
      <c r="D797" s="270" t="s">
        <v>1887</v>
      </c>
      <c r="E797" s="270" t="s">
        <v>2643</v>
      </c>
      <c r="F797" s="271">
        <v>500</v>
      </c>
      <c r="G797" s="271"/>
      <c r="H797" s="271">
        <f t="shared" si="12"/>
        <v>500</v>
      </c>
    </row>
    <row r="798" spans="2:8" x14ac:dyDescent="0.2">
      <c r="B798" s="268" t="s">
        <v>1893</v>
      </c>
      <c r="C798" s="269">
        <v>42594</v>
      </c>
      <c r="D798" s="270" t="s">
        <v>1924</v>
      </c>
      <c r="E798" s="270" t="s">
        <v>2644</v>
      </c>
      <c r="F798" s="271">
        <v>500</v>
      </c>
      <c r="G798" s="271"/>
      <c r="H798" s="271">
        <f t="shared" si="12"/>
        <v>500</v>
      </c>
    </row>
    <row r="799" spans="2:8" x14ac:dyDescent="0.2">
      <c r="B799" s="268" t="s">
        <v>1880</v>
      </c>
      <c r="C799" s="269">
        <v>42594</v>
      </c>
      <c r="D799" s="270" t="s">
        <v>1898</v>
      </c>
      <c r="E799" s="270" t="s">
        <v>2645</v>
      </c>
      <c r="F799" s="271">
        <v>100</v>
      </c>
      <c r="G799" s="271"/>
      <c r="H799" s="271">
        <f t="shared" si="12"/>
        <v>100</v>
      </c>
    </row>
    <row r="800" spans="2:8" x14ac:dyDescent="0.2">
      <c r="B800" s="268" t="s">
        <v>1890</v>
      </c>
      <c r="C800" s="269">
        <v>42595</v>
      </c>
      <c r="D800" s="270" t="s">
        <v>1881</v>
      </c>
      <c r="E800" s="270" t="s">
        <v>2646</v>
      </c>
      <c r="F800" s="271">
        <v>300</v>
      </c>
      <c r="G800" s="271"/>
      <c r="H800" s="271">
        <f t="shared" si="12"/>
        <v>300</v>
      </c>
    </row>
    <row r="801" spans="2:8" x14ac:dyDescent="0.2">
      <c r="B801" s="268" t="s">
        <v>1893</v>
      </c>
      <c r="C801" s="269">
        <v>42596</v>
      </c>
      <c r="D801" s="270" t="s">
        <v>2260</v>
      </c>
      <c r="E801" s="270" t="s">
        <v>2647</v>
      </c>
      <c r="F801" s="271">
        <v>120</v>
      </c>
      <c r="G801" s="271"/>
      <c r="H801" s="271">
        <f t="shared" si="12"/>
        <v>120</v>
      </c>
    </row>
    <row r="802" spans="2:8" x14ac:dyDescent="0.2">
      <c r="B802" s="268" t="s">
        <v>1893</v>
      </c>
      <c r="C802" s="269">
        <v>42596</v>
      </c>
      <c r="D802" s="270" t="s">
        <v>2546</v>
      </c>
      <c r="E802" s="270" t="s">
        <v>2648</v>
      </c>
      <c r="F802" s="271">
        <v>63</v>
      </c>
      <c r="G802" s="271"/>
      <c r="H802" s="271">
        <f t="shared" si="12"/>
        <v>63</v>
      </c>
    </row>
    <row r="803" spans="2:8" x14ac:dyDescent="0.2">
      <c r="B803" s="268" t="s">
        <v>1893</v>
      </c>
      <c r="C803" s="269">
        <v>42596</v>
      </c>
      <c r="D803" s="270" t="s">
        <v>1924</v>
      </c>
      <c r="E803" s="270" t="s">
        <v>2649</v>
      </c>
      <c r="F803" s="271">
        <v>450</v>
      </c>
      <c r="G803" s="271"/>
      <c r="H803" s="271">
        <f t="shared" si="12"/>
        <v>450</v>
      </c>
    </row>
    <row r="804" spans="2:8" x14ac:dyDescent="0.2">
      <c r="B804" s="268" t="s">
        <v>1867</v>
      </c>
      <c r="C804" s="269">
        <v>42596</v>
      </c>
      <c r="D804" s="270" t="s">
        <v>2650</v>
      </c>
      <c r="E804" s="270" t="s">
        <v>2651</v>
      </c>
      <c r="F804" s="271">
        <v>500</v>
      </c>
      <c r="G804" s="271"/>
      <c r="H804" s="271">
        <f t="shared" si="12"/>
        <v>500</v>
      </c>
    </row>
    <row r="805" spans="2:8" x14ac:dyDescent="0.2">
      <c r="B805" s="268" t="s">
        <v>1867</v>
      </c>
      <c r="C805" s="269">
        <v>42596</v>
      </c>
      <c r="D805" s="270" t="s">
        <v>2650</v>
      </c>
      <c r="E805" s="270" t="s">
        <v>2652</v>
      </c>
      <c r="F805" s="271">
        <v>50</v>
      </c>
      <c r="G805" s="271"/>
      <c r="H805" s="271">
        <f t="shared" si="12"/>
        <v>50</v>
      </c>
    </row>
    <row r="806" spans="2:8" x14ac:dyDescent="0.2">
      <c r="B806" s="268" t="s">
        <v>1893</v>
      </c>
      <c r="C806" s="269">
        <v>42596</v>
      </c>
      <c r="D806" s="270" t="s">
        <v>2397</v>
      </c>
      <c r="E806" s="270" t="s">
        <v>2653</v>
      </c>
      <c r="F806" s="271">
        <v>119</v>
      </c>
      <c r="G806" s="271"/>
      <c r="H806" s="271">
        <f t="shared" si="12"/>
        <v>119</v>
      </c>
    </row>
    <row r="807" spans="2:8" x14ac:dyDescent="0.2">
      <c r="B807" s="268" t="s">
        <v>1890</v>
      </c>
      <c r="C807" s="269">
        <v>42597</v>
      </c>
      <c r="D807" s="270" t="s">
        <v>1882</v>
      </c>
      <c r="E807" s="270" t="s">
        <v>2654</v>
      </c>
      <c r="F807" s="271">
        <v>450</v>
      </c>
      <c r="G807" s="271"/>
      <c r="H807" s="271">
        <f t="shared" si="12"/>
        <v>450</v>
      </c>
    </row>
    <row r="808" spans="2:8" x14ac:dyDescent="0.2">
      <c r="B808" s="268" t="s">
        <v>1585</v>
      </c>
      <c r="C808" s="269">
        <v>42597</v>
      </c>
      <c r="D808" s="270" t="s">
        <v>1895</v>
      </c>
      <c r="E808" s="270" t="s">
        <v>2655</v>
      </c>
      <c r="F808" s="271">
        <v>2700</v>
      </c>
      <c r="G808" s="271"/>
      <c r="H808" s="271">
        <f t="shared" si="12"/>
        <v>2700</v>
      </c>
    </row>
    <row r="809" spans="2:8" x14ac:dyDescent="0.2">
      <c r="B809" s="268" t="s">
        <v>1585</v>
      </c>
      <c r="C809" s="269">
        <v>42597</v>
      </c>
      <c r="D809" s="270" t="s">
        <v>1908</v>
      </c>
      <c r="E809" s="270" t="s">
        <v>2656</v>
      </c>
      <c r="F809" s="271">
        <v>26000</v>
      </c>
      <c r="G809" s="271"/>
      <c r="H809" s="271">
        <f t="shared" si="12"/>
        <v>26000</v>
      </c>
    </row>
    <row r="810" spans="2:8" x14ac:dyDescent="0.2">
      <c r="B810" s="268" t="s">
        <v>1868</v>
      </c>
      <c r="C810" s="269">
        <v>42597</v>
      </c>
      <c r="D810" s="270" t="s">
        <v>1920</v>
      </c>
      <c r="E810" s="270" t="s">
        <v>1944</v>
      </c>
      <c r="F810" s="271">
        <v>4000</v>
      </c>
      <c r="G810" s="271"/>
      <c r="H810" s="271">
        <f t="shared" si="12"/>
        <v>4000</v>
      </c>
    </row>
    <row r="811" spans="2:8" x14ac:dyDescent="0.2">
      <c r="B811" s="268" t="s">
        <v>1799</v>
      </c>
      <c r="C811" s="269">
        <v>42599</v>
      </c>
      <c r="D811" s="270" t="s">
        <v>1918</v>
      </c>
      <c r="E811" s="270" t="s">
        <v>2657</v>
      </c>
      <c r="F811" s="271"/>
      <c r="G811" s="271">
        <v>1760</v>
      </c>
      <c r="H811" s="271">
        <f t="shared" si="12"/>
        <v>1760</v>
      </c>
    </row>
    <row r="812" spans="2:8" x14ac:dyDescent="0.2">
      <c r="B812" s="268" t="s">
        <v>1814</v>
      </c>
      <c r="C812" s="269">
        <v>42599</v>
      </c>
      <c r="D812" s="270" t="s">
        <v>1897</v>
      </c>
      <c r="E812" s="270" t="s">
        <v>2658</v>
      </c>
      <c r="F812" s="271">
        <v>1224</v>
      </c>
      <c r="G812" s="271"/>
      <c r="H812" s="271">
        <f t="shared" si="12"/>
        <v>1224</v>
      </c>
    </row>
    <row r="813" spans="2:8" x14ac:dyDescent="0.2">
      <c r="B813" s="268" t="s">
        <v>1879</v>
      </c>
      <c r="C813" s="269">
        <v>42599</v>
      </c>
      <c r="D813" s="270" t="s">
        <v>1901</v>
      </c>
      <c r="E813" s="270" t="s">
        <v>2659</v>
      </c>
      <c r="F813" s="271">
        <v>200</v>
      </c>
      <c r="G813" s="271"/>
      <c r="H813" s="271">
        <f t="shared" si="12"/>
        <v>200</v>
      </c>
    </row>
    <row r="814" spans="2:8" x14ac:dyDescent="0.2">
      <c r="B814" s="268" t="s">
        <v>1893</v>
      </c>
      <c r="C814" s="269">
        <v>42599</v>
      </c>
      <c r="D814" s="270" t="s">
        <v>1927</v>
      </c>
      <c r="E814" s="270" t="s">
        <v>2660</v>
      </c>
      <c r="F814" s="271">
        <v>120</v>
      </c>
      <c r="G814" s="271"/>
      <c r="H814" s="271">
        <f t="shared" si="12"/>
        <v>120</v>
      </c>
    </row>
    <row r="815" spans="2:8" x14ac:dyDescent="0.2">
      <c r="B815" s="268" t="s">
        <v>1872</v>
      </c>
      <c r="C815" s="269">
        <v>42599</v>
      </c>
      <c r="D815" s="270" t="s">
        <v>1915</v>
      </c>
      <c r="E815" s="270" t="s">
        <v>2661</v>
      </c>
      <c r="F815" s="271">
        <v>960</v>
      </c>
      <c r="G815" s="271"/>
      <c r="H815" s="271">
        <f t="shared" si="12"/>
        <v>960</v>
      </c>
    </row>
    <row r="816" spans="2:8" x14ac:dyDescent="0.2">
      <c r="B816" s="268" t="s">
        <v>1893</v>
      </c>
      <c r="C816" s="269">
        <v>42599</v>
      </c>
      <c r="D816" s="270" t="s">
        <v>1921</v>
      </c>
      <c r="E816" s="270" t="s">
        <v>2662</v>
      </c>
      <c r="F816" s="271">
        <v>241.7</v>
      </c>
      <c r="G816" s="271">
        <v>37.5</v>
      </c>
      <c r="H816" s="271">
        <f t="shared" si="12"/>
        <v>279.2</v>
      </c>
    </row>
    <row r="817" spans="2:8" x14ac:dyDescent="0.2">
      <c r="B817" s="268" t="s">
        <v>1872</v>
      </c>
      <c r="C817" s="269">
        <v>42600</v>
      </c>
      <c r="D817" s="270" t="s">
        <v>2663</v>
      </c>
      <c r="E817" s="270" t="s">
        <v>2664</v>
      </c>
      <c r="F817" s="271">
        <v>287</v>
      </c>
      <c r="G817" s="271"/>
      <c r="H817" s="271">
        <f t="shared" si="12"/>
        <v>287</v>
      </c>
    </row>
    <row r="818" spans="2:8" x14ac:dyDescent="0.2">
      <c r="B818" s="268" t="s">
        <v>1879</v>
      </c>
      <c r="C818" s="269">
        <v>42600</v>
      </c>
      <c r="D818" s="270" t="s">
        <v>1901</v>
      </c>
      <c r="E818" s="270" t="s">
        <v>2665</v>
      </c>
      <c r="F818" s="271">
        <v>700</v>
      </c>
      <c r="G818" s="271"/>
      <c r="H818" s="271">
        <f t="shared" si="12"/>
        <v>700</v>
      </c>
    </row>
    <row r="819" spans="2:8" x14ac:dyDescent="0.2">
      <c r="B819" s="268" t="s">
        <v>1879</v>
      </c>
      <c r="C819" s="269">
        <v>42600</v>
      </c>
      <c r="D819" s="270" t="s">
        <v>1901</v>
      </c>
      <c r="E819" s="270" t="s">
        <v>2666</v>
      </c>
      <c r="F819" s="271">
        <v>700</v>
      </c>
      <c r="G819" s="271"/>
      <c r="H819" s="271">
        <f t="shared" si="12"/>
        <v>700</v>
      </c>
    </row>
    <row r="820" spans="2:8" x14ac:dyDescent="0.2">
      <c r="B820" s="268" t="s">
        <v>1893</v>
      </c>
      <c r="C820" s="269">
        <v>42600</v>
      </c>
      <c r="D820" s="270" t="s">
        <v>2667</v>
      </c>
      <c r="E820" s="270" t="s">
        <v>2668</v>
      </c>
      <c r="F820" s="271">
        <v>200</v>
      </c>
      <c r="G820" s="271"/>
      <c r="H820" s="271">
        <f t="shared" si="12"/>
        <v>200</v>
      </c>
    </row>
    <row r="821" spans="2:8" x14ac:dyDescent="0.2">
      <c r="B821" s="268" t="s">
        <v>1869</v>
      </c>
      <c r="C821" s="269">
        <v>42601</v>
      </c>
      <c r="D821" s="270" t="s">
        <v>2669</v>
      </c>
      <c r="E821" s="270" t="s">
        <v>2670</v>
      </c>
      <c r="F821" s="271">
        <v>950</v>
      </c>
      <c r="G821" s="271"/>
      <c r="H821" s="271">
        <f t="shared" si="12"/>
        <v>950</v>
      </c>
    </row>
    <row r="822" spans="2:8" x14ac:dyDescent="0.2">
      <c r="B822" s="268" t="s">
        <v>1814</v>
      </c>
      <c r="C822" s="269">
        <v>42601</v>
      </c>
      <c r="D822" s="270" t="s">
        <v>1919</v>
      </c>
      <c r="E822" s="270" t="s">
        <v>2671</v>
      </c>
      <c r="F822" s="271">
        <v>1000</v>
      </c>
      <c r="G822" s="271"/>
      <c r="H822" s="271">
        <f t="shared" si="12"/>
        <v>1000</v>
      </c>
    </row>
    <row r="823" spans="2:8" x14ac:dyDescent="0.2">
      <c r="B823" s="268" t="s">
        <v>1869</v>
      </c>
      <c r="C823" s="269">
        <v>42601</v>
      </c>
      <c r="D823" s="270" t="s">
        <v>1900</v>
      </c>
      <c r="E823" s="270" t="s">
        <v>2672</v>
      </c>
      <c r="F823" s="271">
        <v>1089.6600000000001</v>
      </c>
      <c r="G823" s="271">
        <v>174.34</v>
      </c>
      <c r="H823" s="271">
        <f t="shared" si="12"/>
        <v>1264</v>
      </c>
    </row>
    <row r="824" spans="2:8" x14ac:dyDescent="0.2">
      <c r="B824" s="268" t="s">
        <v>1872</v>
      </c>
      <c r="C824" s="269">
        <v>42601</v>
      </c>
      <c r="D824" s="270" t="s">
        <v>1887</v>
      </c>
      <c r="E824" s="270" t="s">
        <v>2673</v>
      </c>
      <c r="F824" s="271">
        <v>500</v>
      </c>
      <c r="G824" s="271"/>
      <c r="H824" s="271">
        <f t="shared" si="12"/>
        <v>500</v>
      </c>
    </row>
    <row r="825" spans="2:8" x14ac:dyDescent="0.2">
      <c r="B825" s="268" t="s">
        <v>1875</v>
      </c>
      <c r="C825" s="269">
        <v>42601</v>
      </c>
      <c r="D825" s="270" t="s">
        <v>1899</v>
      </c>
      <c r="E825" s="270" t="s">
        <v>2674</v>
      </c>
      <c r="F825" s="271">
        <v>270</v>
      </c>
      <c r="G825" s="271"/>
      <c r="H825" s="271">
        <f t="shared" si="12"/>
        <v>270</v>
      </c>
    </row>
    <row r="826" spans="2:8" x14ac:dyDescent="0.2">
      <c r="B826" s="268" t="s">
        <v>1893</v>
      </c>
      <c r="C826" s="269">
        <v>42601</v>
      </c>
      <c r="D826" s="270" t="s">
        <v>1933</v>
      </c>
      <c r="E826" s="270" t="s">
        <v>2403</v>
      </c>
      <c r="F826" s="271">
        <v>241.7</v>
      </c>
      <c r="G826" s="271">
        <v>37.5</v>
      </c>
      <c r="H826" s="271">
        <f t="shared" si="12"/>
        <v>279.2</v>
      </c>
    </row>
    <row r="827" spans="2:8" x14ac:dyDescent="0.2">
      <c r="B827" s="268" t="s">
        <v>1893</v>
      </c>
      <c r="C827" s="269">
        <v>42603</v>
      </c>
      <c r="D827" s="270" t="s">
        <v>2546</v>
      </c>
      <c r="E827" s="270" t="s">
        <v>2547</v>
      </c>
      <c r="F827" s="271">
        <v>81.5</v>
      </c>
      <c r="G827" s="271"/>
      <c r="H827" s="271">
        <f t="shared" si="12"/>
        <v>81.5</v>
      </c>
    </row>
    <row r="828" spans="2:8" x14ac:dyDescent="0.2">
      <c r="B828" s="268" t="s">
        <v>1893</v>
      </c>
      <c r="C828" s="269">
        <v>42603</v>
      </c>
      <c r="D828" s="270" t="s">
        <v>2397</v>
      </c>
      <c r="E828" s="270" t="s">
        <v>2675</v>
      </c>
      <c r="F828" s="271">
        <v>89</v>
      </c>
      <c r="G828" s="271"/>
      <c r="H828" s="271">
        <f t="shared" si="12"/>
        <v>89</v>
      </c>
    </row>
    <row r="829" spans="2:8" x14ac:dyDescent="0.2">
      <c r="B829" s="268" t="s">
        <v>1893</v>
      </c>
      <c r="C829" s="269">
        <v>42603</v>
      </c>
      <c r="D829" s="270" t="s">
        <v>2260</v>
      </c>
      <c r="E829" s="270" t="s">
        <v>2331</v>
      </c>
      <c r="F829" s="271">
        <v>120</v>
      </c>
      <c r="G829" s="271"/>
      <c r="H829" s="271">
        <f t="shared" si="12"/>
        <v>120</v>
      </c>
    </row>
    <row r="830" spans="2:8" x14ac:dyDescent="0.2">
      <c r="B830" s="268" t="s">
        <v>1893</v>
      </c>
      <c r="C830" s="269">
        <v>42603</v>
      </c>
      <c r="D830" s="270" t="s">
        <v>2260</v>
      </c>
      <c r="E830" s="270" t="s">
        <v>2676</v>
      </c>
      <c r="F830" s="271">
        <v>400</v>
      </c>
      <c r="G830" s="271"/>
      <c r="H830" s="271">
        <f t="shared" si="12"/>
        <v>400</v>
      </c>
    </row>
    <row r="831" spans="2:8" x14ac:dyDescent="0.2">
      <c r="B831" s="268" t="s">
        <v>1872</v>
      </c>
      <c r="C831" s="269">
        <v>42603</v>
      </c>
      <c r="D831" s="270" t="s">
        <v>2430</v>
      </c>
      <c r="E831" s="270" t="s">
        <v>2677</v>
      </c>
      <c r="F831" s="271">
        <v>150</v>
      </c>
      <c r="G831" s="271"/>
      <c r="H831" s="271">
        <f t="shared" si="12"/>
        <v>150</v>
      </c>
    </row>
    <row r="832" spans="2:8" x14ac:dyDescent="0.2">
      <c r="B832" s="268" t="s">
        <v>1893</v>
      </c>
      <c r="C832" s="269">
        <v>42603</v>
      </c>
      <c r="D832" s="270" t="s">
        <v>1920</v>
      </c>
      <c r="E832" s="270" t="s">
        <v>2678</v>
      </c>
      <c r="F832" s="271">
        <v>150</v>
      </c>
      <c r="G832" s="271"/>
      <c r="H832" s="271">
        <f t="shared" si="12"/>
        <v>150</v>
      </c>
    </row>
    <row r="833" spans="2:8" x14ac:dyDescent="0.2">
      <c r="B833" s="268" t="s">
        <v>1893</v>
      </c>
      <c r="C833" s="269">
        <v>42604</v>
      </c>
      <c r="D833" s="270" t="s">
        <v>1924</v>
      </c>
      <c r="E833" s="270" t="s">
        <v>2679</v>
      </c>
      <c r="F833" s="271">
        <v>300</v>
      </c>
      <c r="G833" s="271"/>
      <c r="H833" s="271">
        <f t="shared" si="12"/>
        <v>300</v>
      </c>
    </row>
    <row r="834" spans="2:8" x14ac:dyDescent="0.2">
      <c r="B834" s="268" t="s">
        <v>1830</v>
      </c>
      <c r="C834" s="269">
        <v>42604</v>
      </c>
      <c r="D834" s="270" t="s">
        <v>1919</v>
      </c>
      <c r="E834" s="270" t="s">
        <v>2536</v>
      </c>
      <c r="F834" s="271">
        <v>400</v>
      </c>
      <c r="G834" s="271"/>
      <c r="H834" s="271">
        <f t="shared" si="12"/>
        <v>400</v>
      </c>
    </row>
    <row r="835" spans="2:8" x14ac:dyDescent="0.2">
      <c r="B835" s="268" t="s">
        <v>1867</v>
      </c>
      <c r="C835" s="269">
        <v>42604</v>
      </c>
      <c r="D835" s="270" t="s">
        <v>1881</v>
      </c>
      <c r="E835" s="270" t="s">
        <v>2680</v>
      </c>
      <c r="F835" s="271">
        <v>1700</v>
      </c>
      <c r="G835" s="271"/>
      <c r="H835" s="271">
        <f t="shared" si="12"/>
        <v>1700</v>
      </c>
    </row>
    <row r="836" spans="2:8" x14ac:dyDescent="0.2">
      <c r="B836" s="268" t="s">
        <v>1893</v>
      </c>
      <c r="C836" s="269">
        <v>42606</v>
      </c>
      <c r="D836" s="270" t="s">
        <v>1924</v>
      </c>
      <c r="E836" s="270" t="s">
        <v>2681</v>
      </c>
      <c r="F836" s="271">
        <v>400</v>
      </c>
      <c r="G836" s="271"/>
      <c r="H836" s="271">
        <f t="shared" si="12"/>
        <v>400</v>
      </c>
    </row>
    <row r="837" spans="2:8" x14ac:dyDescent="0.2">
      <c r="B837" s="268" t="s">
        <v>1893</v>
      </c>
      <c r="C837" s="269">
        <v>42606</v>
      </c>
      <c r="D837" s="270" t="s">
        <v>1920</v>
      </c>
      <c r="E837" s="270" t="s">
        <v>2682</v>
      </c>
      <c r="F837" s="271">
        <v>243</v>
      </c>
      <c r="G837" s="271"/>
      <c r="H837" s="271">
        <f t="shared" ref="H837:H900" si="13">SUM(F837:G837)</f>
        <v>243</v>
      </c>
    </row>
    <row r="838" spans="2:8" x14ac:dyDescent="0.2">
      <c r="B838" s="268" t="s">
        <v>1879</v>
      </c>
      <c r="C838" s="269">
        <v>42606</v>
      </c>
      <c r="D838" s="270" t="s">
        <v>1901</v>
      </c>
      <c r="E838" s="270" t="s">
        <v>2683</v>
      </c>
      <c r="F838" s="271">
        <v>200</v>
      </c>
      <c r="G838" s="271"/>
      <c r="H838" s="271">
        <f t="shared" si="13"/>
        <v>200</v>
      </c>
    </row>
    <row r="839" spans="2:8" x14ac:dyDescent="0.2">
      <c r="B839" s="268" t="s">
        <v>1879</v>
      </c>
      <c r="C839" s="269">
        <v>42606</v>
      </c>
      <c r="D839" s="270" t="s">
        <v>2961</v>
      </c>
      <c r="E839" s="270" t="s">
        <v>2684</v>
      </c>
      <c r="F839" s="271">
        <v>2000</v>
      </c>
      <c r="G839" s="271"/>
      <c r="H839" s="271">
        <f t="shared" si="13"/>
        <v>2000</v>
      </c>
    </row>
    <row r="840" spans="2:8" x14ac:dyDescent="0.2">
      <c r="B840" s="268" t="s">
        <v>1830</v>
      </c>
      <c r="C840" s="269">
        <v>42607</v>
      </c>
      <c r="D840" s="270" t="s">
        <v>1883</v>
      </c>
      <c r="E840" s="270" t="s">
        <v>2685</v>
      </c>
      <c r="F840" s="271">
        <v>3000</v>
      </c>
      <c r="G840" s="271"/>
      <c r="H840" s="271">
        <f t="shared" si="13"/>
        <v>3000</v>
      </c>
    </row>
    <row r="841" spans="2:8" x14ac:dyDescent="0.2">
      <c r="B841" s="268" t="s">
        <v>1585</v>
      </c>
      <c r="C841" s="269">
        <v>42607</v>
      </c>
      <c r="D841" s="270" t="s">
        <v>1908</v>
      </c>
      <c r="E841" s="270" t="s">
        <v>2655</v>
      </c>
      <c r="F841" s="271">
        <v>29000</v>
      </c>
      <c r="G841" s="271"/>
      <c r="H841" s="271">
        <f t="shared" si="13"/>
        <v>29000</v>
      </c>
    </row>
    <row r="842" spans="2:8" x14ac:dyDescent="0.2">
      <c r="B842" s="268" t="s">
        <v>1893</v>
      </c>
      <c r="C842" s="269">
        <v>42607</v>
      </c>
      <c r="D842" s="270" t="s">
        <v>1924</v>
      </c>
      <c r="E842" s="270" t="s">
        <v>2686</v>
      </c>
      <c r="F842" s="271">
        <v>300</v>
      </c>
      <c r="G842" s="271"/>
      <c r="H842" s="271">
        <f t="shared" si="13"/>
        <v>300</v>
      </c>
    </row>
    <row r="843" spans="2:8" x14ac:dyDescent="0.2">
      <c r="B843" s="268" t="s">
        <v>1879</v>
      </c>
      <c r="C843" s="269">
        <v>42607</v>
      </c>
      <c r="D843" s="270" t="s">
        <v>2961</v>
      </c>
      <c r="E843" s="270" t="s">
        <v>2687</v>
      </c>
      <c r="F843" s="271">
        <v>1998</v>
      </c>
      <c r="G843" s="271"/>
      <c r="H843" s="271">
        <f t="shared" si="13"/>
        <v>1998</v>
      </c>
    </row>
    <row r="844" spans="2:8" x14ac:dyDescent="0.2">
      <c r="B844" s="268" t="s">
        <v>1875</v>
      </c>
      <c r="C844" s="269">
        <v>42608</v>
      </c>
      <c r="D844" s="270" t="s">
        <v>1899</v>
      </c>
      <c r="E844" s="270" t="s">
        <v>2688</v>
      </c>
      <c r="F844" s="271">
        <v>270</v>
      </c>
      <c r="G844" s="271"/>
      <c r="H844" s="271">
        <f t="shared" si="13"/>
        <v>270</v>
      </c>
    </row>
    <row r="845" spans="2:8" x14ac:dyDescent="0.2">
      <c r="B845" s="268" t="s">
        <v>1869</v>
      </c>
      <c r="C845" s="269">
        <v>42608</v>
      </c>
      <c r="D845" s="270" t="s">
        <v>1935</v>
      </c>
      <c r="E845" s="270" t="s">
        <v>2689</v>
      </c>
      <c r="F845" s="271">
        <v>25</v>
      </c>
      <c r="G845" s="271"/>
      <c r="H845" s="271">
        <f t="shared" si="13"/>
        <v>25</v>
      </c>
    </row>
    <row r="846" spans="2:8" x14ac:dyDescent="0.2">
      <c r="B846" s="268" t="s">
        <v>1869</v>
      </c>
      <c r="C846" s="269">
        <v>42608</v>
      </c>
      <c r="D846" s="270" t="s">
        <v>1935</v>
      </c>
      <c r="E846" s="270" t="s">
        <v>2690</v>
      </c>
      <c r="F846" s="271">
        <v>15.6</v>
      </c>
      <c r="G846" s="271"/>
      <c r="H846" s="271">
        <f t="shared" si="13"/>
        <v>15.6</v>
      </c>
    </row>
    <row r="847" spans="2:8" x14ac:dyDescent="0.2">
      <c r="B847" s="268" t="s">
        <v>1872</v>
      </c>
      <c r="C847" s="269">
        <v>42608</v>
      </c>
      <c r="D847" s="270" t="s">
        <v>1887</v>
      </c>
      <c r="E847" s="270" t="s">
        <v>2691</v>
      </c>
      <c r="F847" s="271">
        <v>500</v>
      </c>
      <c r="G847" s="271"/>
      <c r="H847" s="271">
        <f t="shared" si="13"/>
        <v>500</v>
      </c>
    </row>
    <row r="848" spans="2:8" x14ac:dyDescent="0.2">
      <c r="B848" s="268" t="s">
        <v>1872</v>
      </c>
      <c r="C848" s="269">
        <v>42608</v>
      </c>
      <c r="D848" s="270" t="s">
        <v>1887</v>
      </c>
      <c r="E848" s="270" t="s">
        <v>2692</v>
      </c>
      <c r="F848" s="271">
        <v>500</v>
      </c>
      <c r="G848" s="271"/>
      <c r="H848" s="271">
        <f t="shared" si="13"/>
        <v>500</v>
      </c>
    </row>
    <row r="849" spans="2:8" x14ac:dyDescent="0.2">
      <c r="B849" s="268" t="s">
        <v>1814</v>
      </c>
      <c r="C849" s="269">
        <v>42608</v>
      </c>
      <c r="D849" s="270" t="s">
        <v>1919</v>
      </c>
      <c r="E849" s="270" t="s">
        <v>2693</v>
      </c>
      <c r="F849" s="271">
        <v>1000</v>
      </c>
      <c r="G849" s="271"/>
      <c r="H849" s="271">
        <f t="shared" si="13"/>
        <v>1000</v>
      </c>
    </row>
    <row r="850" spans="2:8" x14ac:dyDescent="0.2">
      <c r="B850" s="268" t="s">
        <v>1872</v>
      </c>
      <c r="C850" s="269">
        <v>42609</v>
      </c>
      <c r="D850" s="270" t="s">
        <v>2430</v>
      </c>
      <c r="E850" s="270" t="s">
        <v>2694</v>
      </c>
      <c r="F850" s="271">
        <v>50</v>
      </c>
      <c r="G850" s="271"/>
      <c r="H850" s="271">
        <f t="shared" si="13"/>
        <v>50</v>
      </c>
    </row>
    <row r="851" spans="2:8" x14ac:dyDescent="0.2">
      <c r="B851" s="268" t="s">
        <v>1585</v>
      </c>
      <c r="C851" s="269">
        <v>42609</v>
      </c>
      <c r="D851" s="270" t="s">
        <v>2695</v>
      </c>
      <c r="E851" s="270" t="s">
        <v>2696</v>
      </c>
      <c r="F851" s="271">
        <v>50</v>
      </c>
      <c r="G851" s="271"/>
      <c r="H851" s="271">
        <f t="shared" si="13"/>
        <v>50</v>
      </c>
    </row>
    <row r="852" spans="2:8" x14ac:dyDescent="0.2">
      <c r="B852" s="268" t="s">
        <v>1893</v>
      </c>
      <c r="C852" s="269">
        <v>42609</v>
      </c>
      <c r="D852" s="270" t="s">
        <v>1924</v>
      </c>
      <c r="E852" s="270" t="s">
        <v>2697</v>
      </c>
      <c r="F852" s="271">
        <v>200</v>
      </c>
      <c r="G852" s="271"/>
      <c r="H852" s="271">
        <f t="shared" si="13"/>
        <v>200</v>
      </c>
    </row>
    <row r="853" spans="2:8" x14ac:dyDescent="0.2">
      <c r="B853" s="268" t="s">
        <v>1585</v>
      </c>
      <c r="C853" s="269">
        <v>42609</v>
      </c>
      <c r="D853" s="270" t="s">
        <v>2698</v>
      </c>
      <c r="E853" s="270" t="s">
        <v>2699</v>
      </c>
      <c r="F853" s="271">
        <v>300</v>
      </c>
      <c r="G853" s="271"/>
      <c r="H853" s="271">
        <f t="shared" si="13"/>
        <v>300</v>
      </c>
    </row>
    <row r="854" spans="2:8" x14ac:dyDescent="0.2">
      <c r="B854" s="268" t="s">
        <v>1893</v>
      </c>
      <c r="C854" s="269">
        <v>42609</v>
      </c>
      <c r="D854" s="270" t="s">
        <v>2546</v>
      </c>
      <c r="E854" s="270" t="s">
        <v>2700</v>
      </c>
      <c r="F854" s="271">
        <v>40</v>
      </c>
      <c r="G854" s="271"/>
      <c r="H854" s="271">
        <f t="shared" si="13"/>
        <v>40</v>
      </c>
    </row>
    <row r="855" spans="2:8" x14ac:dyDescent="0.2">
      <c r="B855" s="268" t="s">
        <v>1893</v>
      </c>
      <c r="C855" s="269">
        <v>42609</v>
      </c>
      <c r="D855" s="270" t="s">
        <v>2546</v>
      </c>
      <c r="E855" s="270" t="s">
        <v>2701</v>
      </c>
      <c r="F855" s="271">
        <v>23</v>
      </c>
      <c r="G855" s="271"/>
      <c r="H855" s="271">
        <f t="shared" si="13"/>
        <v>23</v>
      </c>
    </row>
    <row r="856" spans="2:8" x14ac:dyDescent="0.2">
      <c r="B856" s="268" t="s">
        <v>1890</v>
      </c>
      <c r="C856" s="269">
        <v>42610</v>
      </c>
      <c r="D856" s="270" t="s">
        <v>2260</v>
      </c>
      <c r="E856" s="270" t="s">
        <v>2702</v>
      </c>
      <c r="F856" s="271">
        <v>120</v>
      </c>
      <c r="G856" s="271"/>
      <c r="H856" s="271">
        <f t="shared" si="13"/>
        <v>120</v>
      </c>
    </row>
    <row r="857" spans="2:8" x14ac:dyDescent="0.2">
      <c r="B857" s="268" t="s">
        <v>1879</v>
      </c>
      <c r="C857" s="269">
        <v>42610</v>
      </c>
      <c r="D857" s="270" t="s">
        <v>1898</v>
      </c>
      <c r="E857" s="270" t="s">
        <v>2703</v>
      </c>
      <c r="F857" s="271">
        <v>200</v>
      </c>
      <c r="G857" s="271"/>
      <c r="H857" s="271">
        <f t="shared" si="13"/>
        <v>200</v>
      </c>
    </row>
    <row r="858" spans="2:8" x14ac:dyDescent="0.2">
      <c r="B858" s="268" t="s">
        <v>1869</v>
      </c>
      <c r="C858" s="269">
        <v>42610</v>
      </c>
      <c r="D858" s="270" t="s">
        <v>1900</v>
      </c>
      <c r="E858" s="270" t="s">
        <v>2602</v>
      </c>
      <c r="F858" s="271">
        <v>799</v>
      </c>
      <c r="G858" s="271"/>
      <c r="H858" s="271">
        <f t="shared" si="13"/>
        <v>799</v>
      </c>
    </row>
    <row r="859" spans="2:8" x14ac:dyDescent="0.2">
      <c r="B859" s="268" t="s">
        <v>1893</v>
      </c>
      <c r="C859" s="269">
        <v>42610</v>
      </c>
      <c r="D859" s="270" t="s">
        <v>2397</v>
      </c>
      <c r="E859" s="270" t="s">
        <v>2704</v>
      </c>
      <c r="F859" s="271">
        <v>120.5</v>
      </c>
      <c r="G859" s="271"/>
      <c r="H859" s="271">
        <f t="shared" si="13"/>
        <v>120.5</v>
      </c>
    </row>
    <row r="860" spans="2:8" x14ac:dyDescent="0.2">
      <c r="B860" s="268" t="s">
        <v>1893</v>
      </c>
      <c r="C860" s="269">
        <v>42610</v>
      </c>
      <c r="D860" s="270" t="s">
        <v>2397</v>
      </c>
      <c r="E860" s="270" t="s">
        <v>2705</v>
      </c>
      <c r="F860" s="271">
        <v>30</v>
      </c>
      <c r="G860" s="271"/>
      <c r="H860" s="271">
        <f t="shared" si="13"/>
        <v>30</v>
      </c>
    </row>
    <row r="861" spans="2:8" x14ac:dyDescent="0.2">
      <c r="B861" s="268" t="s">
        <v>1890</v>
      </c>
      <c r="C861" s="269">
        <v>42610</v>
      </c>
      <c r="D861" s="270" t="s">
        <v>1882</v>
      </c>
      <c r="E861" s="270" t="s">
        <v>2706</v>
      </c>
      <c r="F861" s="271">
        <v>450</v>
      </c>
      <c r="G861" s="271"/>
      <c r="H861" s="271">
        <f t="shared" si="13"/>
        <v>450</v>
      </c>
    </row>
    <row r="862" spans="2:8" x14ac:dyDescent="0.2">
      <c r="B862" s="268" t="s">
        <v>1872</v>
      </c>
      <c r="C862" s="269">
        <v>42611</v>
      </c>
      <c r="D862" s="270" t="s">
        <v>1882</v>
      </c>
      <c r="E862" s="270" t="s">
        <v>2707</v>
      </c>
      <c r="F862" s="271">
        <v>300</v>
      </c>
      <c r="G862" s="271"/>
      <c r="H862" s="271">
        <f t="shared" si="13"/>
        <v>300</v>
      </c>
    </row>
    <row r="863" spans="2:8" x14ac:dyDescent="0.2">
      <c r="B863" s="268" t="s">
        <v>1875</v>
      </c>
      <c r="C863" s="269">
        <v>42611</v>
      </c>
      <c r="D863" s="270" t="s">
        <v>1899</v>
      </c>
      <c r="E863" s="270" t="s">
        <v>2674</v>
      </c>
      <c r="F863" s="271">
        <v>270</v>
      </c>
      <c r="G863" s="271"/>
      <c r="H863" s="271">
        <f t="shared" si="13"/>
        <v>270</v>
      </c>
    </row>
    <row r="864" spans="2:8" x14ac:dyDescent="0.2">
      <c r="B864" s="268" t="s">
        <v>1830</v>
      </c>
      <c r="C864" s="269">
        <v>42611</v>
      </c>
      <c r="D864" s="270" t="s">
        <v>1919</v>
      </c>
      <c r="E864" s="270" t="s">
        <v>2708</v>
      </c>
      <c r="F864" s="271">
        <v>400</v>
      </c>
      <c r="G864" s="271"/>
      <c r="H864" s="271">
        <f t="shared" si="13"/>
        <v>400</v>
      </c>
    </row>
    <row r="865" spans="2:8" x14ac:dyDescent="0.2">
      <c r="B865" s="268" t="s">
        <v>1893</v>
      </c>
      <c r="C865" s="269">
        <v>42612</v>
      </c>
      <c r="D865" s="270" t="s">
        <v>1901</v>
      </c>
      <c r="E865" s="270" t="s">
        <v>2709</v>
      </c>
      <c r="F865" s="271">
        <v>280</v>
      </c>
      <c r="G865" s="271"/>
      <c r="H865" s="271">
        <f t="shared" si="13"/>
        <v>280</v>
      </c>
    </row>
    <row r="866" spans="2:8" x14ac:dyDescent="0.2">
      <c r="B866" s="268" t="s">
        <v>1888</v>
      </c>
      <c r="C866" s="269">
        <v>42612</v>
      </c>
      <c r="D866" s="270" t="s">
        <v>1901</v>
      </c>
      <c r="E866" s="270" t="s">
        <v>2710</v>
      </c>
      <c r="F866" s="271">
        <v>500</v>
      </c>
      <c r="G866" s="271"/>
      <c r="H866" s="271">
        <f t="shared" si="13"/>
        <v>500</v>
      </c>
    </row>
    <row r="867" spans="2:8" x14ac:dyDescent="0.2">
      <c r="B867" s="268" t="s">
        <v>1888</v>
      </c>
      <c r="C867" s="269">
        <v>42612</v>
      </c>
      <c r="D867" s="270" t="s">
        <v>1901</v>
      </c>
      <c r="E867" s="270" t="s">
        <v>2711</v>
      </c>
      <c r="F867" s="271">
        <v>350</v>
      </c>
      <c r="G867" s="271"/>
      <c r="H867" s="271">
        <f t="shared" si="13"/>
        <v>350</v>
      </c>
    </row>
    <row r="868" spans="2:8" x14ac:dyDescent="0.2">
      <c r="B868" s="268" t="s">
        <v>1888</v>
      </c>
      <c r="C868" s="269">
        <v>42612</v>
      </c>
      <c r="D868" s="270" t="s">
        <v>1901</v>
      </c>
      <c r="E868" s="270" t="s">
        <v>2712</v>
      </c>
      <c r="F868" s="271">
        <v>350</v>
      </c>
      <c r="G868" s="271"/>
      <c r="H868" s="271">
        <f t="shared" si="13"/>
        <v>350</v>
      </c>
    </row>
    <row r="869" spans="2:8" x14ac:dyDescent="0.2">
      <c r="B869" s="268" t="s">
        <v>1890</v>
      </c>
      <c r="C869" s="269">
        <v>42613</v>
      </c>
      <c r="D869" s="270" t="s">
        <v>1905</v>
      </c>
      <c r="E869" s="270" t="s">
        <v>2713</v>
      </c>
      <c r="F869" s="271">
        <v>650</v>
      </c>
      <c r="G869" s="271"/>
      <c r="H869" s="271">
        <f t="shared" si="13"/>
        <v>650</v>
      </c>
    </row>
    <row r="870" spans="2:8" x14ac:dyDescent="0.2">
      <c r="B870" s="268" t="s">
        <v>1585</v>
      </c>
      <c r="C870" s="269">
        <v>42613</v>
      </c>
      <c r="D870" s="270" t="s">
        <v>1895</v>
      </c>
      <c r="E870" s="270" t="s">
        <v>2655</v>
      </c>
      <c r="F870" s="271">
        <v>2700</v>
      </c>
      <c r="G870" s="271"/>
      <c r="H870" s="271">
        <f t="shared" si="13"/>
        <v>2700</v>
      </c>
    </row>
    <row r="871" spans="2:8" x14ac:dyDescent="0.2">
      <c r="B871" s="268" t="s">
        <v>1868</v>
      </c>
      <c r="C871" s="269">
        <v>42613</v>
      </c>
      <c r="D871" s="270" t="s">
        <v>1920</v>
      </c>
      <c r="E871" s="270" t="s">
        <v>1944</v>
      </c>
      <c r="F871" s="271">
        <v>4000</v>
      </c>
      <c r="G871" s="271"/>
      <c r="H871" s="271">
        <f t="shared" si="13"/>
        <v>4000</v>
      </c>
    </row>
    <row r="872" spans="2:8" x14ac:dyDescent="0.2">
      <c r="B872" s="268" t="s">
        <v>1896</v>
      </c>
      <c r="C872" s="269">
        <v>42588</v>
      </c>
      <c r="D872" s="270" t="s">
        <v>1537</v>
      </c>
      <c r="E872" s="270" t="s">
        <v>1539</v>
      </c>
      <c r="F872" s="271">
        <v>-0.46</v>
      </c>
      <c r="G872" s="271"/>
      <c r="H872" s="271">
        <f t="shared" si="13"/>
        <v>-0.46</v>
      </c>
    </row>
    <row r="873" spans="2:8" x14ac:dyDescent="0.2">
      <c r="B873" s="268" t="s">
        <v>1799</v>
      </c>
      <c r="C873" s="269">
        <v>42592</v>
      </c>
      <c r="D873" s="270" t="s">
        <v>1918</v>
      </c>
      <c r="E873" s="270" t="s">
        <v>2714</v>
      </c>
      <c r="F873" s="271"/>
      <c r="G873" s="271">
        <v>-1760</v>
      </c>
      <c r="H873" s="271">
        <f t="shared" si="13"/>
        <v>-1760</v>
      </c>
    </row>
    <row r="874" spans="2:8" x14ac:dyDescent="0.2">
      <c r="B874" s="268" t="s">
        <v>1896</v>
      </c>
      <c r="C874" s="269">
        <v>42613</v>
      </c>
      <c r="D874" s="270" t="s">
        <v>1606</v>
      </c>
      <c r="E874" s="270" t="s">
        <v>2239</v>
      </c>
      <c r="F874" s="271">
        <v>70</v>
      </c>
      <c r="G874" s="271"/>
      <c r="H874" s="271">
        <f t="shared" si="13"/>
        <v>70</v>
      </c>
    </row>
    <row r="875" spans="2:8" x14ac:dyDescent="0.2">
      <c r="B875" s="272" t="s">
        <v>1799</v>
      </c>
      <c r="C875" s="273">
        <v>42613</v>
      </c>
      <c r="D875" s="274" t="s">
        <v>1606</v>
      </c>
      <c r="E875" s="274" t="s">
        <v>2240</v>
      </c>
      <c r="F875" s="275"/>
      <c r="G875" s="275">
        <v>11.2</v>
      </c>
      <c r="H875" s="275">
        <f t="shared" si="13"/>
        <v>11.2</v>
      </c>
    </row>
    <row r="876" spans="2:8" ht="18" customHeight="1" x14ac:dyDescent="0.2">
      <c r="B876" s="276" t="s">
        <v>1859</v>
      </c>
      <c r="C876" s="276" t="s">
        <v>1860</v>
      </c>
      <c r="D876" s="277" t="s">
        <v>1861</v>
      </c>
      <c r="E876" s="277" t="s">
        <v>1862</v>
      </c>
      <c r="F876" s="278" t="s">
        <v>1863</v>
      </c>
      <c r="G876" s="278" t="s">
        <v>1864</v>
      </c>
      <c r="H876" s="263" t="s">
        <v>1865</v>
      </c>
    </row>
    <row r="877" spans="2:8" x14ac:dyDescent="0.2">
      <c r="B877" s="264" t="s">
        <v>1880</v>
      </c>
      <c r="C877" s="265">
        <v>42614</v>
      </c>
      <c r="D877" s="266" t="s">
        <v>2715</v>
      </c>
      <c r="E877" s="266" t="s">
        <v>2716</v>
      </c>
      <c r="F877" s="267">
        <v>175</v>
      </c>
      <c r="G877" s="267"/>
      <c r="H877" s="267">
        <f t="shared" si="13"/>
        <v>175</v>
      </c>
    </row>
    <row r="878" spans="2:8" x14ac:dyDescent="0.2">
      <c r="B878" s="268" t="s">
        <v>1872</v>
      </c>
      <c r="C878" s="269">
        <v>42614</v>
      </c>
      <c r="D878" s="270" t="s">
        <v>2546</v>
      </c>
      <c r="E878" s="270" t="s">
        <v>2717</v>
      </c>
      <c r="F878" s="271">
        <v>149.19999999999999</v>
      </c>
      <c r="G878" s="271"/>
      <c r="H878" s="271">
        <f t="shared" si="13"/>
        <v>149.19999999999999</v>
      </c>
    </row>
    <row r="879" spans="2:8" x14ac:dyDescent="0.2">
      <c r="B879" s="268" t="s">
        <v>1875</v>
      </c>
      <c r="C879" s="269">
        <v>42614</v>
      </c>
      <c r="D879" s="270" t="s">
        <v>1899</v>
      </c>
      <c r="E879" s="270" t="s">
        <v>2718</v>
      </c>
      <c r="F879" s="271">
        <v>230</v>
      </c>
      <c r="G879" s="271"/>
      <c r="H879" s="271">
        <f t="shared" si="13"/>
        <v>230</v>
      </c>
    </row>
    <row r="880" spans="2:8" x14ac:dyDescent="0.2">
      <c r="B880" s="268" t="s">
        <v>1893</v>
      </c>
      <c r="C880" s="269">
        <v>42614</v>
      </c>
      <c r="D880" s="270" t="s">
        <v>1907</v>
      </c>
      <c r="E880" s="270" t="s">
        <v>2719</v>
      </c>
      <c r="F880" s="271">
        <v>72</v>
      </c>
      <c r="G880" s="271"/>
      <c r="H880" s="271">
        <f t="shared" si="13"/>
        <v>72</v>
      </c>
    </row>
    <row r="881" spans="2:8" x14ac:dyDescent="0.2">
      <c r="B881" s="268" t="s">
        <v>1893</v>
      </c>
      <c r="C881" s="269">
        <v>42614</v>
      </c>
      <c r="D881" s="270" t="s">
        <v>1907</v>
      </c>
      <c r="E881" s="270" t="s">
        <v>2719</v>
      </c>
      <c r="F881" s="271">
        <v>140</v>
      </c>
      <c r="G881" s="271"/>
      <c r="H881" s="271">
        <f t="shared" si="13"/>
        <v>140</v>
      </c>
    </row>
    <row r="882" spans="2:8" x14ac:dyDescent="0.2">
      <c r="B882" s="268" t="s">
        <v>1893</v>
      </c>
      <c r="C882" s="269">
        <v>42614</v>
      </c>
      <c r="D882" s="270" t="s">
        <v>1933</v>
      </c>
      <c r="E882" s="270" t="s">
        <v>2720</v>
      </c>
      <c r="F882" s="271">
        <v>349.5</v>
      </c>
      <c r="G882" s="271"/>
      <c r="H882" s="271">
        <f t="shared" si="13"/>
        <v>349.5</v>
      </c>
    </row>
    <row r="883" spans="2:8" x14ac:dyDescent="0.2">
      <c r="B883" s="268" t="s">
        <v>1814</v>
      </c>
      <c r="C883" s="269">
        <v>42615</v>
      </c>
      <c r="D883" s="270" t="s">
        <v>1919</v>
      </c>
      <c r="E883" s="270" t="s">
        <v>2721</v>
      </c>
      <c r="F883" s="271">
        <v>1000</v>
      </c>
      <c r="G883" s="271"/>
      <c r="H883" s="271">
        <f t="shared" si="13"/>
        <v>1000</v>
      </c>
    </row>
    <row r="884" spans="2:8" x14ac:dyDescent="0.2">
      <c r="B884" s="268" t="s">
        <v>1893</v>
      </c>
      <c r="C884" s="269">
        <v>42615</v>
      </c>
      <c r="D884" s="270" t="s">
        <v>2722</v>
      </c>
      <c r="E884" s="270" t="s">
        <v>2723</v>
      </c>
      <c r="F884" s="271">
        <v>500</v>
      </c>
      <c r="G884" s="271"/>
      <c r="H884" s="271">
        <f t="shared" si="13"/>
        <v>500</v>
      </c>
    </row>
    <row r="885" spans="2:8" x14ac:dyDescent="0.2">
      <c r="B885" s="268" t="s">
        <v>1867</v>
      </c>
      <c r="C885" s="269">
        <v>42615</v>
      </c>
      <c r="D885" s="270" t="s">
        <v>1881</v>
      </c>
      <c r="E885" s="270" t="s">
        <v>2724</v>
      </c>
      <c r="F885" s="271">
        <v>1750</v>
      </c>
      <c r="G885" s="271"/>
      <c r="H885" s="271">
        <f t="shared" si="13"/>
        <v>1750</v>
      </c>
    </row>
    <row r="886" spans="2:8" x14ac:dyDescent="0.2">
      <c r="B886" s="268" t="s">
        <v>1874</v>
      </c>
      <c r="C886" s="269">
        <v>42616</v>
      </c>
      <c r="D886" s="270" t="s">
        <v>2546</v>
      </c>
      <c r="E886" s="270" t="s">
        <v>2725</v>
      </c>
      <c r="F886" s="271">
        <v>160.69999999999999</v>
      </c>
      <c r="G886" s="271"/>
      <c r="H886" s="271">
        <f t="shared" si="13"/>
        <v>160.69999999999999</v>
      </c>
    </row>
    <row r="887" spans="2:8" x14ac:dyDescent="0.2">
      <c r="B887" s="268" t="s">
        <v>1874</v>
      </c>
      <c r="C887" s="269">
        <v>42616</v>
      </c>
      <c r="D887" s="270" t="s">
        <v>1914</v>
      </c>
      <c r="E887" s="270" t="s">
        <v>2726</v>
      </c>
      <c r="F887" s="271">
        <v>112</v>
      </c>
      <c r="G887" s="271"/>
      <c r="H887" s="271">
        <f t="shared" si="13"/>
        <v>112</v>
      </c>
    </row>
    <row r="888" spans="2:8" x14ac:dyDescent="0.2">
      <c r="B888" s="268" t="s">
        <v>1870</v>
      </c>
      <c r="C888" s="269">
        <v>42616</v>
      </c>
      <c r="D888" s="270" t="s">
        <v>2490</v>
      </c>
      <c r="E888" s="270" t="s">
        <v>2727</v>
      </c>
      <c r="F888" s="271">
        <v>80</v>
      </c>
      <c r="G888" s="271"/>
      <c r="H888" s="271">
        <f t="shared" si="13"/>
        <v>80</v>
      </c>
    </row>
    <row r="889" spans="2:8" x14ac:dyDescent="0.2">
      <c r="B889" s="268" t="s">
        <v>1893</v>
      </c>
      <c r="C889" s="269">
        <v>42616</v>
      </c>
      <c r="D889" s="270" t="s">
        <v>2728</v>
      </c>
      <c r="E889" s="270" t="s">
        <v>2729</v>
      </c>
      <c r="F889" s="271">
        <v>1153.0899999999999</v>
      </c>
      <c r="G889" s="271">
        <v>184.49</v>
      </c>
      <c r="H889" s="271">
        <f t="shared" si="13"/>
        <v>1337.58</v>
      </c>
    </row>
    <row r="890" spans="2:8" x14ac:dyDescent="0.2">
      <c r="B890" s="268" t="s">
        <v>1893</v>
      </c>
      <c r="C890" s="269">
        <v>42616</v>
      </c>
      <c r="D890" s="270" t="s">
        <v>2728</v>
      </c>
      <c r="E890" s="270" t="s">
        <v>2730</v>
      </c>
      <c r="F890" s="271">
        <v>155.16</v>
      </c>
      <c r="G890" s="271">
        <v>24.83</v>
      </c>
      <c r="H890" s="271">
        <f t="shared" si="13"/>
        <v>179.99</v>
      </c>
    </row>
    <row r="891" spans="2:8" x14ac:dyDescent="0.2">
      <c r="B891" s="268" t="s">
        <v>1869</v>
      </c>
      <c r="C891" s="269">
        <v>42616</v>
      </c>
      <c r="D891" s="270" t="s">
        <v>2731</v>
      </c>
      <c r="E891" s="270" t="s">
        <v>2732</v>
      </c>
      <c r="F891" s="271">
        <v>40</v>
      </c>
      <c r="G891" s="271"/>
      <c r="H891" s="271">
        <f t="shared" si="13"/>
        <v>40</v>
      </c>
    </row>
    <row r="892" spans="2:8" x14ac:dyDescent="0.2">
      <c r="B892" s="268" t="s">
        <v>1893</v>
      </c>
      <c r="C892" s="269">
        <v>42616</v>
      </c>
      <c r="D892" s="270" t="s">
        <v>2698</v>
      </c>
      <c r="E892" s="270" t="s">
        <v>2733</v>
      </c>
      <c r="F892" s="271">
        <v>500</v>
      </c>
      <c r="G892" s="271"/>
      <c r="H892" s="271">
        <f t="shared" si="13"/>
        <v>500</v>
      </c>
    </row>
    <row r="893" spans="2:8" x14ac:dyDescent="0.2">
      <c r="B893" s="268" t="s">
        <v>1872</v>
      </c>
      <c r="C893" s="269">
        <v>42616</v>
      </c>
      <c r="D893" s="270" t="s">
        <v>1887</v>
      </c>
      <c r="E893" s="270" t="s">
        <v>2734</v>
      </c>
      <c r="F893" s="271">
        <v>500</v>
      </c>
      <c r="G893" s="271"/>
      <c r="H893" s="271">
        <f t="shared" si="13"/>
        <v>500</v>
      </c>
    </row>
    <row r="894" spans="2:8" x14ac:dyDescent="0.2">
      <c r="B894" s="268" t="s">
        <v>1893</v>
      </c>
      <c r="C894" s="269">
        <v>42617</v>
      </c>
      <c r="D894" s="270" t="s">
        <v>2546</v>
      </c>
      <c r="E894" s="270" t="s">
        <v>2735</v>
      </c>
      <c r="F894" s="271">
        <v>168</v>
      </c>
      <c r="G894" s="271"/>
      <c r="H894" s="271">
        <f t="shared" si="13"/>
        <v>168</v>
      </c>
    </row>
    <row r="895" spans="2:8" x14ac:dyDescent="0.2">
      <c r="B895" s="268" t="s">
        <v>1893</v>
      </c>
      <c r="C895" s="269">
        <v>42617</v>
      </c>
      <c r="D895" s="270" t="s">
        <v>2260</v>
      </c>
      <c r="E895" s="270" t="s">
        <v>2331</v>
      </c>
      <c r="F895" s="271">
        <v>120</v>
      </c>
      <c r="G895" s="271"/>
      <c r="H895" s="271">
        <f t="shared" si="13"/>
        <v>120</v>
      </c>
    </row>
    <row r="896" spans="2:8" x14ac:dyDescent="0.2">
      <c r="B896" s="268" t="s">
        <v>1872</v>
      </c>
      <c r="C896" s="269">
        <v>42617</v>
      </c>
      <c r="D896" s="270" t="s">
        <v>2260</v>
      </c>
      <c r="E896" s="270" t="s">
        <v>2736</v>
      </c>
      <c r="F896" s="271">
        <v>150</v>
      </c>
      <c r="G896" s="271"/>
      <c r="H896" s="271">
        <f t="shared" si="13"/>
        <v>150</v>
      </c>
    </row>
    <row r="897" spans="2:8" x14ac:dyDescent="0.2">
      <c r="B897" s="268" t="s">
        <v>1893</v>
      </c>
      <c r="C897" s="269">
        <v>42617</v>
      </c>
      <c r="D897" s="270" t="s">
        <v>2546</v>
      </c>
      <c r="E897" s="270" t="s">
        <v>2737</v>
      </c>
      <c r="F897" s="271">
        <v>237</v>
      </c>
      <c r="G897" s="271"/>
      <c r="H897" s="271">
        <f t="shared" si="13"/>
        <v>237</v>
      </c>
    </row>
    <row r="898" spans="2:8" x14ac:dyDescent="0.2">
      <c r="B898" s="268" t="s">
        <v>1879</v>
      </c>
      <c r="C898" s="269">
        <v>42618</v>
      </c>
      <c r="D898" s="270" t="s">
        <v>1901</v>
      </c>
      <c r="E898" s="270" t="s">
        <v>2738</v>
      </c>
      <c r="F898" s="271">
        <v>350</v>
      </c>
      <c r="G898" s="271"/>
      <c r="H898" s="271">
        <f t="shared" si="13"/>
        <v>350</v>
      </c>
    </row>
    <row r="899" spans="2:8" x14ac:dyDescent="0.2">
      <c r="B899" s="268" t="s">
        <v>1879</v>
      </c>
      <c r="C899" s="269">
        <v>42618</v>
      </c>
      <c r="D899" s="270" t="s">
        <v>1901</v>
      </c>
      <c r="E899" s="270" t="s">
        <v>2739</v>
      </c>
      <c r="F899" s="271">
        <v>350</v>
      </c>
      <c r="G899" s="271"/>
      <c r="H899" s="271">
        <f t="shared" si="13"/>
        <v>350</v>
      </c>
    </row>
    <row r="900" spans="2:8" x14ac:dyDescent="0.2">
      <c r="B900" s="268" t="s">
        <v>1888</v>
      </c>
      <c r="C900" s="269">
        <v>42618</v>
      </c>
      <c r="D900" s="270" t="s">
        <v>1901</v>
      </c>
      <c r="E900" s="270" t="s">
        <v>2740</v>
      </c>
      <c r="F900" s="271">
        <v>700</v>
      </c>
      <c r="G900" s="271"/>
      <c r="H900" s="271">
        <f t="shared" si="13"/>
        <v>700</v>
      </c>
    </row>
    <row r="901" spans="2:8" x14ac:dyDescent="0.2">
      <c r="B901" s="268" t="s">
        <v>1875</v>
      </c>
      <c r="C901" s="269">
        <v>42618</v>
      </c>
      <c r="D901" s="270" t="s">
        <v>1899</v>
      </c>
      <c r="E901" s="270" t="s">
        <v>2741</v>
      </c>
      <c r="F901" s="271">
        <v>330</v>
      </c>
      <c r="G901" s="271"/>
      <c r="H901" s="271">
        <f t="shared" ref="H901:H964" si="14">SUM(F901:G901)</f>
        <v>330</v>
      </c>
    </row>
    <row r="902" spans="2:8" x14ac:dyDescent="0.2">
      <c r="B902" s="268" t="s">
        <v>1893</v>
      </c>
      <c r="C902" s="269">
        <v>42618</v>
      </c>
      <c r="D902" s="270" t="s">
        <v>2421</v>
      </c>
      <c r="E902" s="270" t="s">
        <v>2742</v>
      </c>
      <c r="F902" s="271">
        <v>237</v>
      </c>
      <c r="G902" s="271"/>
      <c r="H902" s="271">
        <f t="shared" si="14"/>
        <v>237</v>
      </c>
    </row>
    <row r="903" spans="2:8" x14ac:dyDescent="0.2">
      <c r="B903" s="268" t="s">
        <v>1869</v>
      </c>
      <c r="C903" s="269">
        <v>42619</v>
      </c>
      <c r="D903" s="270" t="s">
        <v>1935</v>
      </c>
      <c r="E903" s="270" t="s">
        <v>2743</v>
      </c>
      <c r="F903" s="271">
        <v>24</v>
      </c>
      <c r="G903" s="271"/>
      <c r="H903" s="271">
        <f t="shared" si="14"/>
        <v>24</v>
      </c>
    </row>
    <row r="904" spans="2:8" x14ac:dyDescent="0.2">
      <c r="B904" s="268" t="s">
        <v>1870</v>
      </c>
      <c r="C904" s="269">
        <v>42619</v>
      </c>
      <c r="D904" s="270" t="s">
        <v>1915</v>
      </c>
      <c r="E904" s="270" t="s">
        <v>2744</v>
      </c>
      <c r="F904" s="271">
        <v>250</v>
      </c>
      <c r="G904" s="271"/>
      <c r="H904" s="271">
        <f t="shared" si="14"/>
        <v>250</v>
      </c>
    </row>
    <row r="905" spans="2:8" x14ac:dyDescent="0.2">
      <c r="B905" s="268" t="s">
        <v>1866</v>
      </c>
      <c r="C905" s="269">
        <v>42620</v>
      </c>
      <c r="D905" s="270" t="s">
        <v>1881</v>
      </c>
      <c r="E905" s="270" t="s">
        <v>2745</v>
      </c>
      <c r="F905" s="271">
        <v>800</v>
      </c>
      <c r="G905" s="271"/>
      <c r="H905" s="271">
        <f t="shared" si="14"/>
        <v>800</v>
      </c>
    </row>
    <row r="906" spans="2:8" x14ac:dyDescent="0.2">
      <c r="B906" s="268" t="s">
        <v>1888</v>
      </c>
      <c r="C906" s="269">
        <v>42620</v>
      </c>
      <c r="D906" s="270" t="s">
        <v>1901</v>
      </c>
      <c r="E906" s="270" t="s">
        <v>2746</v>
      </c>
      <c r="F906" s="271">
        <v>1000</v>
      </c>
      <c r="G906" s="271"/>
      <c r="H906" s="271">
        <f t="shared" si="14"/>
        <v>1000</v>
      </c>
    </row>
    <row r="907" spans="2:8" x14ac:dyDescent="0.2">
      <c r="B907" s="268" t="s">
        <v>1866</v>
      </c>
      <c r="C907" s="269">
        <v>42620</v>
      </c>
      <c r="D907" s="270" t="s">
        <v>1881</v>
      </c>
      <c r="E907" s="270" t="s">
        <v>2747</v>
      </c>
      <c r="F907" s="271">
        <v>500</v>
      </c>
      <c r="G907" s="271"/>
      <c r="H907" s="271">
        <f t="shared" si="14"/>
        <v>500</v>
      </c>
    </row>
    <row r="908" spans="2:8" x14ac:dyDescent="0.2">
      <c r="B908" s="268" t="s">
        <v>1888</v>
      </c>
      <c r="C908" s="269">
        <v>42621</v>
      </c>
      <c r="D908" s="270" t="s">
        <v>1901</v>
      </c>
      <c r="E908" s="270" t="s">
        <v>2748</v>
      </c>
      <c r="F908" s="271">
        <v>500</v>
      </c>
      <c r="G908" s="271"/>
      <c r="H908" s="271">
        <f t="shared" si="14"/>
        <v>500</v>
      </c>
    </row>
    <row r="909" spans="2:8" x14ac:dyDescent="0.2">
      <c r="B909" s="268" t="s">
        <v>1872</v>
      </c>
      <c r="C909" s="269">
        <v>42622</v>
      </c>
      <c r="D909" s="270" t="s">
        <v>2421</v>
      </c>
      <c r="E909" s="270" t="s">
        <v>2749</v>
      </c>
      <c r="F909" s="271">
        <v>240</v>
      </c>
      <c r="G909" s="271"/>
      <c r="H909" s="271">
        <f t="shared" si="14"/>
        <v>240</v>
      </c>
    </row>
    <row r="910" spans="2:8" x14ac:dyDescent="0.2">
      <c r="B910" s="268" t="s">
        <v>1814</v>
      </c>
      <c r="C910" s="269">
        <v>42622</v>
      </c>
      <c r="D910" s="270" t="s">
        <v>1919</v>
      </c>
      <c r="E910" s="270" t="s">
        <v>2750</v>
      </c>
      <c r="F910" s="271">
        <v>1000</v>
      </c>
      <c r="G910" s="271"/>
      <c r="H910" s="271">
        <f t="shared" si="14"/>
        <v>1000</v>
      </c>
    </row>
    <row r="911" spans="2:8" x14ac:dyDescent="0.2">
      <c r="B911" s="268" t="s">
        <v>1869</v>
      </c>
      <c r="C911" s="269">
        <v>42622</v>
      </c>
      <c r="D911" s="270" t="s">
        <v>1900</v>
      </c>
      <c r="E911" s="270" t="s">
        <v>2751</v>
      </c>
      <c r="F911" s="271">
        <v>476</v>
      </c>
      <c r="G911" s="271"/>
      <c r="H911" s="271">
        <f t="shared" si="14"/>
        <v>476</v>
      </c>
    </row>
    <row r="912" spans="2:8" x14ac:dyDescent="0.2">
      <c r="B912" s="268" t="s">
        <v>1884</v>
      </c>
      <c r="C912" s="269">
        <v>42622</v>
      </c>
      <c r="D912" s="270" t="s">
        <v>2752</v>
      </c>
      <c r="E912" s="270" t="s">
        <v>1904</v>
      </c>
      <c r="F912" s="271">
        <v>301.47000000000003</v>
      </c>
      <c r="G912" s="271">
        <v>48.23</v>
      </c>
      <c r="H912" s="271">
        <f t="shared" si="14"/>
        <v>349.70000000000005</v>
      </c>
    </row>
    <row r="913" spans="2:8" x14ac:dyDescent="0.2">
      <c r="B913" s="268" t="s">
        <v>1869</v>
      </c>
      <c r="C913" s="269">
        <v>42622</v>
      </c>
      <c r="D913" s="270" t="s">
        <v>2752</v>
      </c>
      <c r="E913" s="270" t="s">
        <v>2753</v>
      </c>
      <c r="F913" s="271">
        <v>159.22</v>
      </c>
      <c r="G913" s="271">
        <v>25.48</v>
      </c>
      <c r="H913" s="271">
        <f t="shared" si="14"/>
        <v>184.7</v>
      </c>
    </row>
    <row r="914" spans="2:8" x14ac:dyDescent="0.2">
      <c r="B914" s="268" t="s">
        <v>1866</v>
      </c>
      <c r="C914" s="269">
        <v>42623</v>
      </c>
      <c r="D914" s="270" t="s">
        <v>1881</v>
      </c>
      <c r="E914" s="270" t="s">
        <v>2754</v>
      </c>
      <c r="F914" s="271">
        <v>800</v>
      </c>
      <c r="G914" s="271"/>
      <c r="H914" s="271">
        <f t="shared" si="14"/>
        <v>800</v>
      </c>
    </row>
    <row r="915" spans="2:8" x14ac:dyDescent="0.2">
      <c r="B915" s="268" t="s">
        <v>1893</v>
      </c>
      <c r="C915" s="269">
        <v>42623</v>
      </c>
      <c r="D915" s="270" t="s">
        <v>1920</v>
      </c>
      <c r="E915" s="270" t="s">
        <v>2755</v>
      </c>
      <c r="F915" s="271">
        <v>350</v>
      </c>
      <c r="G915" s="271"/>
      <c r="H915" s="271">
        <f t="shared" si="14"/>
        <v>350</v>
      </c>
    </row>
    <row r="916" spans="2:8" x14ac:dyDescent="0.2">
      <c r="B916" s="268" t="s">
        <v>1888</v>
      </c>
      <c r="C916" s="269">
        <v>42623</v>
      </c>
      <c r="D916" s="270" t="s">
        <v>1901</v>
      </c>
      <c r="E916" s="270" t="s">
        <v>2756</v>
      </c>
      <c r="F916" s="271">
        <v>350</v>
      </c>
      <c r="G916" s="271"/>
      <c r="H916" s="271">
        <f t="shared" si="14"/>
        <v>350</v>
      </c>
    </row>
    <row r="917" spans="2:8" x14ac:dyDescent="0.2">
      <c r="B917" s="268" t="s">
        <v>1872</v>
      </c>
      <c r="C917" s="269">
        <v>42623</v>
      </c>
      <c r="D917" s="270" t="s">
        <v>1887</v>
      </c>
      <c r="E917" s="270" t="s">
        <v>2757</v>
      </c>
      <c r="F917" s="271">
        <v>500</v>
      </c>
      <c r="G917" s="271"/>
      <c r="H917" s="271">
        <f t="shared" si="14"/>
        <v>500</v>
      </c>
    </row>
    <row r="918" spans="2:8" x14ac:dyDescent="0.2">
      <c r="B918" s="268" t="s">
        <v>1879</v>
      </c>
      <c r="C918" s="269">
        <v>42623</v>
      </c>
      <c r="D918" s="270" t="s">
        <v>1901</v>
      </c>
      <c r="E918" s="270" t="s">
        <v>2758</v>
      </c>
      <c r="F918" s="271">
        <v>800</v>
      </c>
      <c r="G918" s="271"/>
      <c r="H918" s="271">
        <f t="shared" si="14"/>
        <v>800</v>
      </c>
    </row>
    <row r="919" spans="2:8" x14ac:dyDescent="0.2">
      <c r="B919" s="268" t="s">
        <v>1871</v>
      </c>
      <c r="C919" s="269">
        <v>42623</v>
      </c>
      <c r="D919" s="270" t="s">
        <v>1901</v>
      </c>
      <c r="E919" s="270" t="s">
        <v>2759</v>
      </c>
      <c r="F919" s="271">
        <v>800</v>
      </c>
      <c r="G919" s="271"/>
      <c r="H919" s="271">
        <f t="shared" si="14"/>
        <v>800</v>
      </c>
    </row>
    <row r="920" spans="2:8" x14ac:dyDescent="0.2">
      <c r="B920" s="268" t="s">
        <v>1893</v>
      </c>
      <c r="C920" s="269">
        <v>42624</v>
      </c>
      <c r="D920" s="270" t="s">
        <v>2260</v>
      </c>
      <c r="E920" s="270" t="s">
        <v>2647</v>
      </c>
      <c r="F920" s="271">
        <v>120</v>
      </c>
      <c r="G920" s="271"/>
      <c r="H920" s="271">
        <f t="shared" si="14"/>
        <v>120</v>
      </c>
    </row>
    <row r="921" spans="2:8" x14ac:dyDescent="0.2">
      <c r="B921" s="268" t="s">
        <v>1893</v>
      </c>
      <c r="C921" s="269">
        <v>42624</v>
      </c>
      <c r="D921" s="270" t="s">
        <v>2546</v>
      </c>
      <c r="E921" s="270" t="s">
        <v>2547</v>
      </c>
      <c r="F921" s="271">
        <v>63</v>
      </c>
      <c r="G921" s="271"/>
      <c r="H921" s="271">
        <f t="shared" si="14"/>
        <v>63</v>
      </c>
    </row>
    <row r="922" spans="2:8" x14ac:dyDescent="0.2">
      <c r="B922" s="268" t="s">
        <v>1893</v>
      </c>
      <c r="C922" s="269">
        <v>42624</v>
      </c>
      <c r="D922" s="270" t="s">
        <v>2397</v>
      </c>
      <c r="E922" s="270" t="s">
        <v>2760</v>
      </c>
      <c r="F922" s="271">
        <v>8</v>
      </c>
      <c r="G922" s="271"/>
      <c r="H922" s="271">
        <f t="shared" si="14"/>
        <v>8</v>
      </c>
    </row>
    <row r="923" spans="2:8" x14ac:dyDescent="0.2">
      <c r="B923" s="268" t="s">
        <v>1872</v>
      </c>
      <c r="C923" s="269">
        <v>42624</v>
      </c>
      <c r="D923" s="270" t="s">
        <v>1882</v>
      </c>
      <c r="E923" s="270" t="s">
        <v>2761</v>
      </c>
      <c r="F923" s="271">
        <v>500</v>
      </c>
      <c r="G923" s="271"/>
      <c r="H923" s="271">
        <f t="shared" si="14"/>
        <v>500</v>
      </c>
    </row>
    <row r="924" spans="2:8" x14ac:dyDescent="0.2">
      <c r="B924" s="268" t="s">
        <v>1875</v>
      </c>
      <c r="C924" s="269">
        <v>42625</v>
      </c>
      <c r="D924" s="270" t="s">
        <v>1899</v>
      </c>
      <c r="E924" s="270" t="s">
        <v>2674</v>
      </c>
      <c r="F924" s="271">
        <v>280</v>
      </c>
      <c r="G924" s="271"/>
      <c r="H924" s="271">
        <f t="shared" si="14"/>
        <v>280</v>
      </c>
    </row>
    <row r="925" spans="2:8" x14ac:dyDescent="0.2">
      <c r="B925" s="268" t="s">
        <v>1893</v>
      </c>
      <c r="C925" s="269">
        <v>42625</v>
      </c>
      <c r="D925" s="270" t="s">
        <v>1924</v>
      </c>
      <c r="E925" s="270" t="s">
        <v>2762</v>
      </c>
      <c r="F925" s="271">
        <v>200</v>
      </c>
      <c r="G925" s="271"/>
      <c r="H925" s="271">
        <f t="shared" si="14"/>
        <v>200</v>
      </c>
    </row>
    <row r="926" spans="2:8" x14ac:dyDescent="0.2">
      <c r="B926" s="268" t="s">
        <v>1893</v>
      </c>
      <c r="C926" s="269">
        <v>42625</v>
      </c>
      <c r="D926" s="270" t="s">
        <v>1924</v>
      </c>
      <c r="E926" s="270" t="s">
        <v>2762</v>
      </c>
      <c r="F926" s="271">
        <v>200</v>
      </c>
      <c r="G926" s="271"/>
      <c r="H926" s="271">
        <f t="shared" si="14"/>
        <v>200</v>
      </c>
    </row>
    <row r="927" spans="2:8" x14ac:dyDescent="0.2">
      <c r="B927" s="268" t="s">
        <v>1876</v>
      </c>
      <c r="C927" s="269">
        <v>42626</v>
      </c>
      <c r="D927" s="270" t="s">
        <v>1903</v>
      </c>
      <c r="E927" s="270" t="s">
        <v>2763</v>
      </c>
      <c r="F927" s="271">
        <v>951</v>
      </c>
      <c r="G927" s="271"/>
      <c r="H927" s="271">
        <f t="shared" si="14"/>
        <v>951</v>
      </c>
    </row>
    <row r="928" spans="2:8" x14ac:dyDescent="0.2">
      <c r="B928" s="268" t="s">
        <v>1866</v>
      </c>
      <c r="C928" s="269">
        <v>42626</v>
      </c>
      <c r="D928" s="270" t="s">
        <v>1881</v>
      </c>
      <c r="E928" s="270" t="s">
        <v>2764</v>
      </c>
      <c r="F928" s="271">
        <v>500</v>
      </c>
      <c r="G928" s="271"/>
      <c r="H928" s="271">
        <f t="shared" si="14"/>
        <v>500</v>
      </c>
    </row>
    <row r="929" spans="2:8" x14ac:dyDescent="0.2">
      <c r="B929" s="268" t="s">
        <v>1874</v>
      </c>
      <c r="C929" s="269">
        <v>42626</v>
      </c>
      <c r="D929" s="270" t="s">
        <v>1914</v>
      </c>
      <c r="E929" s="270" t="s">
        <v>2765</v>
      </c>
      <c r="F929" s="271">
        <v>81</v>
      </c>
      <c r="G929" s="271"/>
      <c r="H929" s="271">
        <f t="shared" si="14"/>
        <v>81</v>
      </c>
    </row>
    <row r="930" spans="2:8" x14ac:dyDescent="0.2">
      <c r="B930" s="268" t="s">
        <v>1874</v>
      </c>
      <c r="C930" s="269">
        <v>42626</v>
      </c>
      <c r="D930" s="270" t="s">
        <v>2766</v>
      </c>
      <c r="E930" s="270" t="s">
        <v>2767</v>
      </c>
      <c r="F930" s="271">
        <v>750</v>
      </c>
      <c r="G930" s="271"/>
      <c r="H930" s="271">
        <f t="shared" si="14"/>
        <v>750</v>
      </c>
    </row>
    <row r="931" spans="2:8" x14ac:dyDescent="0.2">
      <c r="B931" s="268" t="s">
        <v>1893</v>
      </c>
      <c r="C931" s="269">
        <v>42626</v>
      </c>
      <c r="D931" s="270" t="s">
        <v>1924</v>
      </c>
      <c r="E931" s="270" t="s">
        <v>2768</v>
      </c>
      <c r="F931" s="271">
        <v>200</v>
      </c>
      <c r="G931" s="271"/>
      <c r="H931" s="271">
        <f t="shared" si="14"/>
        <v>200</v>
      </c>
    </row>
    <row r="932" spans="2:8" x14ac:dyDescent="0.2">
      <c r="B932" s="268" t="s">
        <v>1872</v>
      </c>
      <c r="C932" s="269">
        <v>42626</v>
      </c>
      <c r="D932" s="270" t="s">
        <v>2769</v>
      </c>
      <c r="E932" s="270" t="s">
        <v>2770</v>
      </c>
      <c r="F932" s="271">
        <v>52</v>
      </c>
      <c r="G932" s="271"/>
      <c r="H932" s="271">
        <f t="shared" si="14"/>
        <v>52</v>
      </c>
    </row>
    <row r="933" spans="2:8" x14ac:dyDescent="0.2">
      <c r="B933" s="268" t="s">
        <v>1872</v>
      </c>
      <c r="C933" s="269">
        <v>42626</v>
      </c>
      <c r="D933" s="270" t="s">
        <v>2771</v>
      </c>
      <c r="E933" s="270" t="s">
        <v>2772</v>
      </c>
      <c r="F933" s="271">
        <v>175</v>
      </c>
      <c r="G933" s="271"/>
      <c r="H933" s="271">
        <f t="shared" si="14"/>
        <v>175</v>
      </c>
    </row>
    <row r="934" spans="2:8" x14ac:dyDescent="0.2">
      <c r="B934" s="268" t="s">
        <v>1872</v>
      </c>
      <c r="C934" s="269">
        <v>42626</v>
      </c>
      <c r="D934" s="270" t="s">
        <v>2546</v>
      </c>
      <c r="E934" s="270" t="s">
        <v>2773</v>
      </c>
      <c r="F934" s="271">
        <v>267.5</v>
      </c>
      <c r="G934" s="271"/>
      <c r="H934" s="271">
        <f t="shared" si="14"/>
        <v>267.5</v>
      </c>
    </row>
    <row r="935" spans="2:8" x14ac:dyDescent="0.2">
      <c r="B935" s="268" t="s">
        <v>1872</v>
      </c>
      <c r="C935" s="269">
        <v>42627</v>
      </c>
      <c r="D935" s="270" t="s">
        <v>2774</v>
      </c>
      <c r="E935" s="270" t="s">
        <v>2775</v>
      </c>
      <c r="F935" s="271">
        <v>250</v>
      </c>
      <c r="G935" s="271"/>
      <c r="H935" s="271">
        <f t="shared" si="14"/>
        <v>250</v>
      </c>
    </row>
    <row r="936" spans="2:8" x14ac:dyDescent="0.2">
      <c r="B936" s="268" t="s">
        <v>1866</v>
      </c>
      <c r="C936" s="269">
        <v>42627</v>
      </c>
      <c r="D936" s="270" t="s">
        <v>1881</v>
      </c>
      <c r="E936" s="270" t="s">
        <v>2776</v>
      </c>
      <c r="F936" s="271">
        <v>900</v>
      </c>
      <c r="G936" s="271"/>
      <c r="H936" s="271">
        <f t="shared" si="14"/>
        <v>900</v>
      </c>
    </row>
    <row r="937" spans="2:8" x14ac:dyDescent="0.2">
      <c r="B937" s="268" t="s">
        <v>1879</v>
      </c>
      <c r="C937" s="269">
        <v>42627</v>
      </c>
      <c r="D937" s="270" t="s">
        <v>1901</v>
      </c>
      <c r="E937" s="270" t="s">
        <v>2777</v>
      </c>
      <c r="F937" s="271">
        <v>350</v>
      </c>
      <c r="G937" s="271"/>
      <c r="H937" s="271">
        <f t="shared" si="14"/>
        <v>350</v>
      </c>
    </row>
    <row r="938" spans="2:8" x14ac:dyDescent="0.2">
      <c r="B938" s="268" t="s">
        <v>1869</v>
      </c>
      <c r="C938" s="269">
        <v>42627</v>
      </c>
      <c r="D938" s="270" t="s">
        <v>1900</v>
      </c>
      <c r="E938" s="270" t="s">
        <v>2778</v>
      </c>
      <c r="F938" s="271">
        <v>406.5</v>
      </c>
      <c r="G938" s="271"/>
      <c r="H938" s="271">
        <f t="shared" si="14"/>
        <v>406.5</v>
      </c>
    </row>
    <row r="939" spans="2:8" x14ac:dyDescent="0.2">
      <c r="B939" s="328" t="s">
        <v>1879</v>
      </c>
      <c r="C939" s="269">
        <v>42627</v>
      </c>
      <c r="D939" s="270" t="s">
        <v>1901</v>
      </c>
      <c r="E939" s="270" t="s">
        <v>2780</v>
      </c>
      <c r="F939" s="271">
        <v>400</v>
      </c>
      <c r="G939" s="271"/>
      <c r="H939" s="271">
        <f t="shared" si="14"/>
        <v>400</v>
      </c>
    </row>
    <row r="940" spans="2:8" x14ac:dyDescent="0.2">
      <c r="B940" s="268" t="s">
        <v>1893</v>
      </c>
      <c r="C940" s="269">
        <v>42628</v>
      </c>
      <c r="D940" s="270" t="s">
        <v>1882</v>
      </c>
      <c r="E940" s="270" t="s">
        <v>2781</v>
      </c>
      <c r="F940" s="271">
        <v>450</v>
      </c>
      <c r="G940" s="271"/>
      <c r="H940" s="271">
        <f t="shared" si="14"/>
        <v>450</v>
      </c>
    </row>
    <row r="941" spans="2:8" x14ac:dyDescent="0.2">
      <c r="B941" s="268" t="s">
        <v>1893</v>
      </c>
      <c r="C941" s="269">
        <v>42628</v>
      </c>
      <c r="D941" s="270" t="s">
        <v>1882</v>
      </c>
      <c r="E941" s="270" t="s">
        <v>2782</v>
      </c>
      <c r="F941" s="271">
        <v>300</v>
      </c>
      <c r="G941" s="271"/>
      <c r="H941" s="271">
        <f t="shared" si="14"/>
        <v>300</v>
      </c>
    </row>
    <row r="942" spans="2:8" x14ac:dyDescent="0.2">
      <c r="B942" s="268" t="s">
        <v>1893</v>
      </c>
      <c r="C942" s="269">
        <v>42628</v>
      </c>
      <c r="D942" s="270" t="s">
        <v>1920</v>
      </c>
      <c r="E942" s="270" t="s">
        <v>2783</v>
      </c>
      <c r="F942" s="271">
        <v>350</v>
      </c>
      <c r="G942" s="271"/>
      <c r="H942" s="271">
        <f t="shared" si="14"/>
        <v>350</v>
      </c>
    </row>
    <row r="943" spans="2:8" x14ac:dyDescent="0.2">
      <c r="B943" s="268" t="s">
        <v>1870</v>
      </c>
      <c r="C943" s="269">
        <v>42628</v>
      </c>
      <c r="D943" s="270" t="s">
        <v>2332</v>
      </c>
      <c r="E943" s="270" t="s">
        <v>2784</v>
      </c>
      <c r="F943" s="271">
        <v>250</v>
      </c>
      <c r="G943" s="271"/>
      <c r="H943" s="271">
        <f t="shared" si="14"/>
        <v>250</v>
      </c>
    </row>
    <row r="944" spans="2:8" x14ac:dyDescent="0.2">
      <c r="B944" s="268" t="s">
        <v>1893</v>
      </c>
      <c r="C944" s="269">
        <v>42628</v>
      </c>
      <c r="D944" s="270" t="s">
        <v>1921</v>
      </c>
      <c r="E944" s="270" t="s">
        <v>2785</v>
      </c>
      <c r="F944" s="271">
        <v>200</v>
      </c>
      <c r="G944" s="271"/>
      <c r="H944" s="271">
        <f t="shared" si="14"/>
        <v>200</v>
      </c>
    </row>
    <row r="945" spans="2:8" x14ac:dyDescent="0.2">
      <c r="B945" s="268" t="s">
        <v>1585</v>
      </c>
      <c r="C945" s="269">
        <v>42628</v>
      </c>
      <c r="D945" s="270" t="s">
        <v>1895</v>
      </c>
      <c r="E945" s="270" t="s">
        <v>2786</v>
      </c>
      <c r="F945" s="271">
        <v>2700</v>
      </c>
      <c r="G945" s="271"/>
      <c r="H945" s="271">
        <f t="shared" si="14"/>
        <v>2700</v>
      </c>
    </row>
    <row r="946" spans="2:8" x14ac:dyDescent="0.2">
      <c r="B946" s="268" t="s">
        <v>1585</v>
      </c>
      <c r="C946" s="269">
        <v>42628</v>
      </c>
      <c r="D946" s="270" t="s">
        <v>1908</v>
      </c>
      <c r="E946" s="270" t="s">
        <v>2787</v>
      </c>
      <c r="F946" s="271">
        <v>29000</v>
      </c>
      <c r="G946" s="271"/>
      <c r="H946" s="271">
        <f t="shared" si="14"/>
        <v>29000</v>
      </c>
    </row>
    <row r="947" spans="2:8" x14ac:dyDescent="0.2">
      <c r="B947" s="268" t="s">
        <v>1868</v>
      </c>
      <c r="C947" s="269">
        <v>42628</v>
      </c>
      <c r="D947" s="270" t="s">
        <v>1920</v>
      </c>
      <c r="E947" s="270" t="s">
        <v>1944</v>
      </c>
      <c r="F947" s="271">
        <v>4000</v>
      </c>
      <c r="G947" s="271"/>
      <c r="H947" s="271">
        <f t="shared" si="14"/>
        <v>4000</v>
      </c>
    </row>
    <row r="948" spans="2:8" x14ac:dyDescent="0.2">
      <c r="B948" s="268" t="s">
        <v>1814</v>
      </c>
      <c r="C948" s="269">
        <v>42629</v>
      </c>
      <c r="D948" s="270" t="s">
        <v>1919</v>
      </c>
      <c r="E948" s="270" t="s">
        <v>2788</v>
      </c>
      <c r="F948" s="271">
        <v>1000</v>
      </c>
      <c r="G948" s="271"/>
      <c r="H948" s="271">
        <f t="shared" si="14"/>
        <v>1000</v>
      </c>
    </row>
    <row r="949" spans="2:8" x14ac:dyDescent="0.2">
      <c r="B949" s="268" t="s">
        <v>1872</v>
      </c>
      <c r="C949" s="269">
        <v>42630</v>
      </c>
      <c r="D949" s="270" t="s">
        <v>1887</v>
      </c>
      <c r="E949" s="270" t="s">
        <v>2789</v>
      </c>
      <c r="F949" s="271">
        <v>500</v>
      </c>
      <c r="G949" s="271"/>
      <c r="H949" s="271">
        <f t="shared" si="14"/>
        <v>500</v>
      </c>
    </row>
    <row r="950" spans="2:8" x14ac:dyDescent="0.2">
      <c r="B950" s="268" t="s">
        <v>1893</v>
      </c>
      <c r="C950" s="269">
        <v>42631</v>
      </c>
      <c r="D950" s="270" t="s">
        <v>2260</v>
      </c>
      <c r="E950" s="270" t="s">
        <v>2035</v>
      </c>
      <c r="F950" s="271">
        <v>120</v>
      </c>
      <c r="G950" s="271"/>
      <c r="H950" s="271">
        <f t="shared" si="14"/>
        <v>120</v>
      </c>
    </row>
    <row r="951" spans="2:8" x14ac:dyDescent="0.2">
      <c r="B951" s="268" t="s">
        <v>1893</v>
      </c>
      <c r="C951" s="269">
        <v>42631</v>
      </c>
      <c r="D951" s="270" t="s">
        <v>2546</v>
      </c>
      <c r="E951" s="270" t="s">
        <v>2790</v>
      </c>
      <c r="F951" s="271">
        <v>107</v>
      </c>
      <c r="G951" s="271"/>
      <c r="H951" s="271">
        <f t="shared" si="14"/>
        <v>107</v>
      </c>
    </row>
    <row r="952" spans="2:8" x14ac:dyDescent="0.2">
      <c r="B952" s="268" t="s">
        <v>1879</v>
      </c>
      <c r="C952" s="269">
        <v>42631</v>
      </c>
      <c r="D952" s="270" t="s">
        <v>1901</v>
      </c>
      <c r="E952" s="270" t="s">
        <v>2791</v>
      </c>
      <c r="F952" s="271">
        <v>2880</v>
      </c>
      <c r="G952" s="271"/>
      <c r="H952" s="271">
        <f t="shared" si="14"/>
        <v>2880</v>
      </c>
    </row>
    <row r="953" spans="2:8" x14ac:dyDescent="0.2">
      <c r="B953" s="268" t="s">
        <v>1830</v>
      </c>
      <c r="C953" s="269">
        <v>42631</v>
      </c>
      <c r="D953" s="270" t="s">
        <v>1901</v>
      </c>
      <c r="E953" s="270" t="s">
        <v>2792</v>
      </c>
      <c r="F953" s="271">
        <v>3600</v>
      </c>
      <c r="G953" s="271"/>
      <c r="H953" s="271">
        <f t="shared" si="14"/>
        <v>3600</v>
      </c>
    </row>
    <row r="954" spans="2:8" x14ac:dyDescent="0.2">
      <c r="B954" s="268" t="s">
        <v>1880</v>
      </c>
      <c r="C954" s="269">
        <v>42632</v>
      </c>
      <c r="D954" s="270" t="s">
        <v>2378</v>
      </c>
      <c r="E954" s="270" t="s">
        <v>2793</v>
      </c>
      <c r="F954" s="271">
        <v>100</v>
      </c>
      <c r="G954" s="271"/>
      <c r="H954" s="271">
        <f t="shared" si="14"/>
        <v>100</v>
      </c>
    </row>
    <row r="955" spans="2:8" x14ac:dyDescent="0.2">
      <c r="B955" s="268" t="s">
        <v>1873</v>
      </c>
      <c r="C955" s="269">
        <v>42632</v>
      </c>
      <c r="D955" s="270" t="s">
        <v>1919</v>
      </c>
      <c r="E955" s="270" t="s">
        <v>2794</v>
      </c>
      <c r="F955" s="271">
        <v>400</v>
      </c>
      <c r="G955" s="271"/>
      <c r="H955" s="271">
        <f t="shared" si="14"/>
        <v>400</v>
      </c>
    </row>
    <row r="956" spans="2:8" x14ac:dyDescent="0.2">
      <c r="B956" s="268" t="s">
        <v>1893</v>
      </c>
      <c r="C956" s="269">
        <v>42632</v>
      </c>
      <c r="D956" s="270" t="s">
        <v>1927</v>
      </c>
      <c r="E956" s="270" t="s">
        <v>2795</v>
      </c>
      <c r="F956" s="271">
        <v>110</v>
      </c>
      <c r="G956" s="271"/>
      <c r="H956" s="271">
        <f t="shared" si="14"/>
        <v>110</v>
      </c>
    </row>
    <row r="957" spans="2:8" x14ac:dyDescent="0.2">
      <c r="B957" s="268" t="s">
        <v>1893</v>
      </c>
      <c r="C957" s="269">
        <v>42632</v>
      </c>
      <c r="D957" s="270" t="s">
        <v>2272</v>
      </c>
      <c r="E957" s="270" t="s">
        <v>2796</v>
      </c>
      <c r="F957" s="271">
        <v>42</v>
      </c>
      <c r="G957" s="271"/>
      <c r="H957" s="271">
        <f t="shared" si="14"/>
        <v>42</v>
      </c>
    </row>
    <row r="958" spans="2:8" x14ac:dyDescent="0.2">
      <c r="B958" s="268" t="s">
        <v>1893</v>
      </c>
      <c r="C958" s="269">
        <v>42632</v>
      </c>
      <c r="D958" s="270" t="s">
        <v>1933</v>
      </c>
      <c r="E958" s="270" t="s">
        <v>2797</v>
      </c>
      <c r="F958" s="271">
        <v>302.56</v>
      </c>
      <c r="G958" s="271">
        <v>46.94</v>
      </c>
      <c r="H958" s="271">
        <f t="shared" si="14"/>
        <v>349.5</v>
      </c>
    </row>
    <row r="959" spans="2:8" x14ac:dyDescent="0.2">
      <c r="B959" s="268" t="s">
        <v>1875</v>
      </c>
      <c r="C959" s="269">
        <v>42632</v>
      </c>
      <c r="D959" s="270" t="s">
        <v>1899</v>
      </c>
      <c r="E959" s="270" t="s">
        <v>2798</v>
      </c>
      <c r="F959" s="271">
        <v>330</v>
      </c>
      <c r="G959" s="271"/>
      <c r="H959" s="271">
        <f t="shared" si="14"/>
        <v>330</v>
      </c>
    </row>
    <row r="960" spans="2:8" x14ac:dyDescent="0.2">
      <c r="B960" s="268" t="s">
        <v>1869</v>
      </c>
      <c r="C960" s="269">
        <v>42632</v>
      </c>
      <c r="D960" s="270" t="s">
        <v>2799</v>
      </c>
      <c r="E960" s="270" t="s">
        <v>1953</v>
      </c>
      <c r="F960" s="271">
        <v>43</v>
      </c>
      <c r="G960" s="271"/>
      <c r="H960" s="271">
        <f t="shared" si="14"/>
        <v>43</v>
      </c>
    </row>
    <row r="961" spans="2:8" x14ac:dyDescent="0.2">
      <c r="B961" s="268" t="s">
        <v>1869</v>
      </c>
      <c r="C961" s="269">
        <v>42632</v>
      </c>
      <c r="D961" s="270" t="s">
        <v>1935</v>
      </c>
      <c r="E961" s="270" t="s">
        <v>2571</v>
      </c>
      <c r="F961" s="271">
        <v>135</v>
      </c>
      <c r="G961" s="271"/>
      <c r="H961" s="271">
        <f t="shared" si="14"/>
        <v>135</v>
      </c>
    </row>
    <row r="962" spans="2:8" x14ac:dyDescent="0.2">
      <c r="B962" s="268" t="s">
        <v>1893</v>
      </c>
      <c r="C962" s="269">
        <v>42632</v>
      </c>
      <c r="D962" s="270" t="s">
        <v>2430</v>
      </c>
      <c r="E962" s="270" t="s">
        <v>2800</v>
      </c>
      <c r="F962" s="271">
        <v>120</v>
      </c>
      <c r="G962" s="271"/>
      <c r="H962" s="271">
        <f t="shared" si="14"/>
        <v>120</v>
      </c>
    </row>
    <row r="963" spans="2:8" x14ac:dyDescent="0.2">
      <c r="B963" s="268" t="s">
        <v>1799</v>
      </c>
      <c r="C963" s="269">
        <v>42633</v>
      </c>
      <c r="D963" s="270" t="s">
        <v>1918</v>
      </c>
      <c r="E963" s="270" t="s">
        <v>2801</v>
      </c>
      <c r="F963" s="271"/>
      <c r="G963" s="271">
        <v>1760</v>
      </c>
      <c r="H963" s="271">
        <f t="shared" si="14"/>
        <v>1760</v>
      </c>
    </row>
    <row r="964" spans="2:8" x14ac:dyDescent="0.2">
      <c r="B964" s="268" t="s">
        <v>1814</v>
      </c>
      <c r="C964" s="269">
        <v>42633</v>
      </c>
      <c r="D964" s="270" t="s">
        <v>1897</v>
      </c>
      <c r="E964" s="270" t="s">
        <v>2802</v>
      </c>
      <c r="F964" s="271">
        <v>1224</v>
      </c>
      <c r="G964" s="271"/>
      <c r="H964" s="271">
        <f t="shared" si="14"/>
        <v>1224</v>
      </c>
    </row>
    <row r="965" spans="2:8" x14ac:dyDescent="0.2">
      <c r="B965" s="268" t="s">
        <v>1879</v>
      </c>
      <c r="C965" s="269">
        <v>42633</v>
      </c>
      <c r="D965" s="270" t="s">
        <v>1901</v>
      </c>
      <c r="E965" s="270" t="s">
        <v>2803</v>
      </c>
      <c r="F965" s="271">
        <v>3080</v>
      </c>
      <c r="G965" s="271"/>
      <c r="H965" s="271">
        <f t="shared" ref="H965:H1028" si="15">SUM(F965:G965)</f>
        <v>3080</v>
      </c>
    </row>
    <row r="966" spans="2:8" x14ac:dyDescent="0.2">
      <c r="B966" s="268" t="s">
        <v>1872</v>
      </c>
      <c r="C966" s="269">
        <v>42634</v>
      </c>
      <c r="D966" s="270" t="s">
        <v>2804</v>
      </c>
      <c r="E966" s="270" t="s">
        <v>2805</v>
      </c>
      <c r="F966" s="271">
        <v>5622.07</v>
      </c>
      <c r="G966" s="271"/>
      <c r="H966" s="271">
        <f t="shared" si="15"/>
        <v>5622.07</v>
      </c>
    </row>
    <row r="967" spans="2:8" x14ac:dyDescent="0.2">
      <c r="B967" s="268" t="s">
        <v>1872</v>
      </c>
      <c r="C967" s="269">
        <v>42634</v>
      </c>
      <c r="D967" s="270" t="s">
        <v>2806</v>
      </c>
      <c r="E967" s="270" t="s">
        <v>2807</v>
      </c>
      <c r="F967" s="271">
        <v>3750</v>
      </c>
      <c r="G967" s="271"/>
      <c r="H967" s="271">
        <f t="shared" si="15"/>
        <v>3750</v>
      </c>
    </row>
    <row r="968" spans="2:8" x14ac:dyDescent="0.2">
      <c r="B968" s="268" t="s">
        <v>1874</v>
      </c>
      <c r="C968" s="269">
        <v>42634</v>
      </c>
      <c r="D968" s="270" t="s">
        <v>1946</v>
      </c>
      <c r="E968" s="270" t="s">
        <v>2808</v>
      </c>
      <c r="F968" s="271">
        <v>1000</v>
      </c>
      <c r="G968" s="271"/>
      <c r="H968" s="271">
        <f t="shared" si="15"/>
        <v>1000</v>
      </c>
    </row>
    <row r="969" spans="2:8" x14ac:dyDescent="0.2">
      <c r="B969" s="268" t="s">
        <v>1872</v>
      </c>
      <c r="C969" s="269">
        <v>42634</v>
      </c>
      <c r="D969" s="270" t="s">
        <v>1887</v>
      </c>
      <c r="E969" s="270" t="s">
        <v>2809</v>
      </c>
      <c r="F969" s="271">
        <v>500</v>
      </c>
      <c r="G969" s="271"/>
      <c r="H969" s="271">
        <f t="shared" si="15"/>
        <v>500</v>
      </c>
    </row>
    <row r="970" spans="2:8" x14ac:dyDescent="0.2">
      <c r="B970" s="268" t="s">
        <v>1893</v>
      </c>
      <c r="C970" s="269">
        <v>42634</v>
      </c>
      <c r="D970" s="270" t="s">
        <v>2810</v>
      </c>
      <c r="E970" s="270" t="s">
        <v>2811</v>
      </c>
      <c r="F970" s="271">
        <v>350</v>
      </c>
      <c r="G970" s="271"/>
      <c r="H970" s="271">
        <f t="shared" si="15"/>
        <v>350</v>
      </c>
    </row>
    <row r="971" spans="2:8" x14ac:dyDescent="0.2">
      <c r="B971" s="268" t="s">
        <v>1874</v>
      </c>
      <c r="C971" s="269">
        <v>42635</v>
      </c>
      <c r="D971" s="270" t="s">
        <v>2272</v>
      </c>
      <c r="E971" s="270" t="s">
        <v>2812</v>
      </c>
      <c r="F971" s="271">
        <v>50</v>
      </c>
      <c r="G971" s="271"/>
      <c r="H971" s="271">
        <f t="shared" si="15"/>
        <v>50</v>
      </c>
    </row>
    <row r="972" spans="2:8" x14ac:dyDescent="0.2">
      <c r="B972" s="268" t="s">
        <v>1814</v>
      </c>
      <c r="C972" s="269">
        <v>42636</v>
      </c>
      <c r="D972" s="270" t="s">
        <v>1919</v>
      </c>
      <c r="E972" s="270" t="s">
        <v>2813</v>
      </c>
      <c r="F972" s="271">
        <v>1000</v>
      </c>
      <c r="G972" s="271"/>
      <c r="H972" s="271">
        <f t="shared" si="15"/>
        <v>1000</v>
      </c>
    </row>
    <row r="973" spans="2:8" x14ac:dyDescent="0.2">
      <c r="B973" s="268" t="s">
        <v>1872</v>
      </c>
      <c r="C973" s="269">
        <v>42637</v>
      </c>
      <c r="D973" s="270" t="s">
        <v>1887</v>
      </c>
      <c r="E973" s="270" t="s">
        <v>2757</v>
      </c>
      <c r="F973" s="271">
        <v>500</v>
      </c>
      <c r="G973" s="271"/>
      <c r="H973" s="271">
        <f t="shared" si="15"/>
        <v>500</v>
      </c>
    </row>
    <row r="974" spans="2:8" x14ac:dyDescent="0.2">
      <c r="B974" s="268" t="s">
        <v>1872</v>
      </c>
      <c r="C974" s="269">
        <v>42637</v>
      </c>
      <c r="D974" s="270" t="s">
        <v>2412</v>
      </c>
      <c r="E974" s="270" t="s">
        <v>2814</v>
      </c>
      <c r="F974" s="271">
        <v>207</v>
      </c>
      <c r="G974" s="271"/>
      <c r="H974" s="271">
        <f t="shared" si="15"/>
        <v>207</v>
      </c>
    </row>
    <row r="975" spans="2:8" x14ac:dyDescent="0.2">
      <c r="B975" s="268" t="s">
        <v>1893</v>
      </c>
      <c r="C975" s="269">
        <v>42638</v>
      </c>
      <c r="D975" s="270" t="s">
        <v>2546</v>
      </c>
      <c r="E975" s="270" t="s">
        <v>2815</v>
      </c>
      <c r="F975" s="271">
        <v>86.5</v>
      </c>
      <c r="G975" s="271"/>
      <c r="H975" s="271">
        <f t="shared" si="15"/>
        <v>86.5</v>
      </c>
    </row>
    <row r="976" spans="2:8" x14ac:dyDescent="0.2">
      <c r="B976" s="268" t="s">
        <v>1893</v>
      </c>
      <c r="C976" s="269">
        <v>42638</v>
      </c>
      <c r="D976" s="270" t="s">
        <v>2260</v>
      </c>
      <c r="E976" s="270" t="s">
        <v>2816</v>
      </c>
      <c r="F976" s="271">
        <v>120</v>
      </c>
      <c r="G976" s="271"/>
      <c r="H976" s="271">
        <f t="shared" si="15"/>
        <v>120</v>
      </c>
    </row>
    <row r="977" spans="2:8" x14ac:dyDescent="0.2">
      <c r="B977" s="268" t="s">
        <v>1872</v>
      </c>
      <c r="C977" s="269">
        <v>42638</v>
      </c>
      <c r="D977" s="270" t="s">
        <v>2774</v>
      </c>
      <c r="E977" s="270" t="s">
        <v>2817</v>
      </c>
      <c r="F977" s="271">
        <v>150</v>
      </c>
      <c r="G977" s="271"/>
      <c r="H977" s="271">
        <f t="shared" si="15"/>
        <v>150</v>
      </c>
    </row>
    <row r="978" spans="2:8" x14ac:dyDescent="0.2">
      <c r="B978" s="268" t="s">
        <v>1867</v>
      </c>
      <c r="C978" s="269">
        <v>42638</v>
      </c>
      <c r="D978" s="270" t="s">
        <v>2774</v>
      </c>
      <c r="E978" s="270" t="s">
        <v>2818</v>
      </c>
      <c r="F978" s="271">
        <v>500</v>
      </c>
      <c r="G978" s="271"/>
      <c r="H978" s="271">
        <f t="shared" si="15"/>
        <v>500</v>
      </c>
    </row>
    <row r="979" spans="2:8" x14ac:dyDescent="0.2">
      <c r="B979" s="268" t="s">
        <v>1893</v>
      </c>
      <c r="C979" s="269">
        <v>42638</v>
      </c>
      <c r="D979" s="270" t="s">
        <v>1924</v>
      </c>
      <c r="E979" s="270" t="s">
        <v>2819</v>
      </c>
      <c r="F979" s="271">
        <v>500</v>
      </c>
      <c r="G979" s="271"/>
      <c r="H979" s="271">
        <f t="shared" si="15"/>
        <v>500</v>
      </c>
    </row>
    <row r="980" spans="2:8" x14ac:dyDescent="0.2">
      <c r="B980" s="268" t="s">
        <v>1872</v>
      </c>
      <c r="C980" s="269">
        <v>42638</v>
      </c>
      <c r="D980" s="270" t="s">
        <v>2260</v>
      </c>
      <c r="E980" s="270" t="s">
        <v>2782</v>
      </c>
      <c r="F980" s="271">
        <v>150</v>
      </c>
      <c r="G980" s="271"/>
      <c r="H980" s="271">
        <f t="shared" si="15"/>
        <v>150</v>
      </c>
    </row>
    <row r="981" spans="2:8" x14ac:dyDescent="0.2">
      <c r="B981" s="268" t="s">
        <v>1875</v>
      </c>
      <c r="C981" s="269">
        <v>42639</v>
      </c>
      <c r="D981" s="270" t="s">
        <v>1899</v>
      </c>
      <c r="E981" s="270" t="s">
        <v>2674</v>
      </c>
      <c r="F981" s="271">
        <v>280</v>
      </c>
      <c r="G981" s="271"/>
      <c r="H981" s="271">
        <f t="shared" si="15"/>
        <v>280</v>
      </c>
    </row>
    <row r="982" spans="2:8" x14ac:dyDescent="0.2">
      <c r="B982" s="268" t="s">
        <v>1873</v>
      </c>
      <c r="C982" s="269">
        <v>42639</v>
      </c>
      <c r="D982" s="270" t="s">
        <v>1919</v>
      </c>
      <c r="E982" s="270" t="s">
        <v>2820</v>
      </c>
      <c r="F982" s="271">
        <v>400</v>
      </c>
      <c r="G982" s="271"/>
      <c r="H982" s="271">
        <f t="shared" si="15"/>
        <v>400</v>
      </c>
    </row>
    <row r="983" spans="2:8" x14ac:dyDescent="0.2">
      <c r="B983" s="268" t="s">
        <v>1867</v>
      </c>
      <c r="C983" s="269">
        <v>42639</v>
      </c>
      <c r="D983" s="270" t="s">
        <v>2412</v>
      </c>
      <c r="E983" s="270" t="s">
        <v>2821</v>
      </c>
      <c r="F983" s="271">
        <v>66</v>
      </c>
      <c r="G983" s="271"/>
      <c r="H983" s="271">
        <f t="shared" si="15"/>
        <v>66</v>
      </c>
    </row>
    <row r="984" spans="2:8" x14ac:dyDescent="0.2">
      <c r="B984" s="268" t="s">
        <v>1893</v>
      </c>
      <c r="C984" s="269">
        <v>42641</v>
      </c>
      <c r="D984" s="270" t="s">
        <v>1921</v>
      </c>
      <c r="E984" s="270" t="s">
        <v>2822</v>
      </c>
      <c r="F984" s="271">
        <v>279.60000000000002</v>
      </c>
      <c r="G984" s="271"/>
      <c r="H984" s="271">
        <f t="shared" si="15"/>
        <v>279.60000000000002</v>
      </c>
    </row>
    <row r="985" spans="2:8" x14ac:dyDescent="0.2">
      <c r="B985" s="268" t="s">
        <v>1888</v>
      </c>
      <c r="C985" s="269">
        <v>42641</v>
      </c>
      <c r="D985" s="270" t="s">
        <v>1901</v>
      </c>
      <c r="E985" s="270" t="s">
        <v>2823</v>
      </c>
      <c r="F985" s="271">
        <v>350</v>
      </c>
      <c r="G985" s="271"/>
      <c r="H985" s="271">
        <f t="shared" si="15"/>
        <v>350</v>
      </c>
    </row>
    <row r="986" spans="2:8" x14ac:dyDescent="0.2">
      <c r="B986" s="268" t="s">
        <v>1893</v>
      </c>
      <c r="C986" s="269">
        <v>42641</v>
      </c>
      <c r="D986" s="270" t="s">
        <v>1924</v>
      </c>
      <c r="E986" s="270" t="s">
        <v>2824</v>
      </c>
      <c r="F986" s="271">
        <v>300</v>
      </c>
      <c r="G986" s="271"/>
      <c r="H986" s="271">
        <f t="shared" si="15"/>
        <v>300</v>
      </c>
    </row>
    <row r="987" spans="2:8" x14ac:dyDescent="0.2">
      <c r="B987" s="268" t="s">
        <v>1830</v>
      </c>
      <c r="C987" s="269">
        <v>42641</v>
      </c>
      <c r="D987" s="270" t="s">
        <v>1901</v>
      </c>
      <c r="E987" s="270" t="s">
        <v>2825</v>
      </c>
      <c r="F987" s="271">
        <v>130</v>
      </c>
      <c r="G987" s="271"/>
      <c r="H987" s="271">
        <f t="shared" si="15"/>
        <v>130</v>
      </c>
    </row>
    <row r="988" spans="2:8" x14ac:dyDescent="0.2">
      <c r="B988" s="268" t="s">
        <v>1872</v>
      </c>
      <c r="C988" s="269">
        <v>42643</v>
      </c>
      <c r="D988" s="270" t="s">
        <v>1887</v>
      </c>
      <c r="E988" s="270" t="s">
        <v>2757</v>
      </c>
      <c r="F988" s="271">
        <v>500</v>
      </c>
      <c r="G988" s="271"/>
      <c r="H988" s="271">
        <f t="shared" si="15"/>
        <v>500</v>
      </c>
    </row>
    <row r="989" spans="2:8" x14ac:dyDescent="0.2">
      <c r="B989" s="268" t="s">
        <v>1893</v>
      </c>
      <c r="C989" s="269">
        <v>42643</v>
      </c>
      <c r="D989" s="270" t="s">
        <v>1882</v>
      </c>
      <c r="E989" s="270" t="s">
        <v>2826</v>
      </c>
      <c r="F989" s="271">
        <v>450</v>
      </c>
      <c r="G989" s="271"/>
      <c r="H989" s="271">
        <f t="shared" si="15"/>
        <v>450</v>
      </c>
    </row>
    <row r="990" spans="2:8" x14ac:dyDescent="0.2">
      <c r="B990" s="268" t="s">
        <v>1872</v>
      </c>
      <c r="C990" s="269">
        <v>42643</v>
      </c>
      <c r="D990" s="270" t="s">
        <v>1882</v>
      </c>
      <c r="E990" s="270" t="s">
        <v>2827</v>
      </c>
      <c r="F990" s="271">
        <v>350</v>
      </c>
      <c r="G990" s="271"/>
      <c r="H990" s="271">
        <f t="shared" si="15"/>
        <v>350</v>
      </c>
    </row>
    <row r="991" spans="2:8" x14ac:dyDescent="0.2">
      <c r="B991" s="268" t="s">
        <v>1875</v>
      </c>
      <c r="C991" s="269">
        <v>42643</v>
      </c>
      <c r="D991" s="270" t="s">
        <v>1899</v>
      </c>
      <c r="E991" s="270" t="s">
        <v>2479</v>
      </c>
      <c r="F991" s="271">
        <v>180</v>
      </c>
      <c r="G991" s="271"/>
      <c r="H991" s="271">
        <f t="shared" si="15"/>
        <v>180</v>
      </c>
    </row>
    <row r="992" spans="2:8" x14ac:dyDescent="0.2">
      <c r="B992" s="268" t="s">
        <v>1814</v>
      </c>
      <c r="C992" s="269">
        <v>42643</v>
      </c>
      <c r="D992" s="270" t="s">
        <v>1919</v>
      </c>
      <c r="E992" s="270" t="s">
        <v>2828</v>
      </c>
      <c r="F992" s="271">
        <v>1000</v>
      </c>
      <c r="G992" s="271"/>
      <c r="H992" s="271">
        <f t="shared" si="15"/>
        <v>1000</v>
      </c>
    </row>
    <row r="993" spans="2:9" x14ac:dyDescent="0.2">
      <c r="B993" s="268" t="s">
        <v>1867</v>
      </c>
      <c r="C993" s="269">
        <v>42643</v>
      </c>
      <c r="D993" s="270" t="s">
        <v>2829</v>
      </c>
      <c r="E993" s="270" t="s">
        <v>2830</v>
      </c>
      <c r="F993" s="271">
        <v>500</v>
      </c>
      <c r="G993" s="271"/>
      <c r="H993" s="271">
        <f t="shared" si="15"/>
        <v>500</v>
      </c>
    </row>
    <row r="994" spans="2:9" x14ac:dyDescent="0.2">
      <c r="B994" s="268" t="s">
        <v>1893</v>
      </c>
      <c r="C994" s="269">
        <v>42643</v>
      </c>
      <c r="D994" s="270" t="s">
        <v>2260</v>
      </c>
      <c r="E994" s="270" t="s">
        <v>2831</v>
      </c>
      <c r="F994" s="271">
        <v>350</v>
      </c>
      <c r="G994" s="271"/>
      <c r="H994" s="271">
        <f t="shared" si="15"/>
        <v>350</v>
      </c>
    </row>
    <row r="995" spans="2:9" x14ac:dyDescent="0.2">
      <c r="B995" s="268" t="s">
        <v>1866</v>
      </c>
      <c r="C995" s="269">
        <v>42643</v>
      </c>
      <c r="D995" s="270" t="s">
        <v>2832</v>
      </c>
      <c r="E995" s="270" t="s">
        <v>2833</v>
      </c>
      <c r="F995" s="271">
        <v>100</v>
      </c>
      <c r="G995" s="271"/>
      <c r="H995" s="271">
        <f t="shared" si="15"/>
        <v>100</v>
      </c>
    </row>
    <row r="996" spans="2:9" x14ac:dyDescent="0.2">
      <c r="B996" s="268" t="s">
        <v>1867</v>
      </c>
      <c r="C996" s="269">
        <v>42643</v>
      </c>
      <c r="D996" s="270" t="s">
        <v>1894</v>
      </c>
      <c r="E996" s="270" t="s">
        <v>2834</v>
      </c>
      <c r="F996" s="271">
        <v>509.49</v>
      </c>
      <c r="G996" s="271"/>
      <c r="H996" s="271">
        <f t="shared" si="15"/>
        <v>509.49</v>
      </c>
    </row>
    <row r="997" spans="2:9" x14ac:dyDescent="0.2">
      <c r="B997" s="268" t="s">
        <v>1585</v>
      </c>
      <c r="C997" s="269">
        <v>42643</v>
      </c>
      <c r="D997" s="270" t="s">
        <v>1908</v>
      </c>
      <c r="E997" s="270" t="s">
        <v>2835</v>
      </c>
      <c r="F997" s="271">
        <v>29000</v>
      </c>
      <c r="G997" s="271"/>
      <c r="H997" s="271">
        <f t="shared" si="15"/>
        <v>29000</v>
      </c>
    </row>
    <row r="998" spans="2:9" x14ac:dyDescent="0.2">
      <c r="B998" s="268" t="s">
        <v>1868</v>
      </c>
      <c r="C998" s="269">
        <v>42643</v>
      </c>
      <c r="D998" s="270" t="s">
        <v>1920</v>
      </c>
      <c r="E998" s="270" t="s">
        <v>2836</v>
      </c>
      <c r="F998" s="271">
        <v>4000</v>
      </c>
      <c r="G998" s="271"/>
      <c r="H998" s="271">
        <f t="shared" si="15"/>
        <v>4000</v>
      </c>
    </row>
    <row r="999" spans="2:9" x14ac:dyDescent="0.2">
      <c r="B999" s="268" t="s">
        <v>1896</v>
      </c>
      <c r="C999" s="269">
        <v>42616</v>
      </c>
      <c r="D999" s="270" t="s">
        <v>1537</v>
      </c>
      <c r="E999" s="270" t="s">
        <v>1539</v>
      </c>
      <c r="F999" s="271">
        <v>-0.46</v>
      </c>
      <c r="G999" s="271"/>
      <c r="H999" s="271">
        <f t="shared" si="15"/>
        <v>-0.46</v>
      </c>
    </row>
    <row r="1000" spans="2:9" x14ac:dyDescent="0.2">
      <c r="B1000" s="268" t="s">
        <v>1799</v>
      </c>
      <c r="C1000" s="269">
        <v>42634</v>
      </c>
      <c r="D1000" s="270" t="s">
        <v>1918</v>
      </c>
      <c r="E1000" s="270" t="s">
        <v>2837</v>
      </c>
      <c r="F1000" s="271"/>
      <c r="G1000" s="271">
        <v>-1760</v>
      </c>
      <c r="H1000" s="271">
        <f t="shared" si="15"/>
        <v>-1760</v>
      </c>
    </row>
    <row r="1001" spans="2:9" x14ac:dyDescent="0.2">
      <c r="B1001" s="268" t="s">
        <v>1896</v>
      </c>
      <c r="C1001" s="269" t="s">
        <v>3229</v>
      </c>
      <c r="D1001" s="270" t="s">
        <v>1606</v>
      </c>
      <c r="E1001" s="270" t="s">
        <v>2239</v>
      </c>
      <c r="F1001" s="271">
        <v>98</v>
      </c>
      <c r="G1001" s="271"/>
      <c r="H1001" s="271">
        <f t="shared" si="15"/>
        <v>98</v>
      </c>
    </row>
    <row r="1002" spans="2:9" x14ac:dyDescent="0.2">
      <c r="B1002" s="272" t="s">
        <v>1799</v>
      </c>
      <c r="C1002" s="273" t="s">
        <v>3229</v>
      </c>
      <c r="D1002" s="274" t="s">
        <v>1606</v>
      </c>
      <c r="E1002" s="274" t="s">
        <v>2240</v>
      </c>
      <c r="F1002" s="275"/>
      <c r="G1002" s="275">
        <v>15.68</v>
      </c>
      <c r="H1002" s="275">
        <f t="shared" si="15"/>
        <v>15.68</v>
      </c>
      <c r="I1002" s="177">
        <f>SUM(H877:H1002)</f>
        <v>130230.75000000003</v>
      </c>
    </row>
    <row r="1003" spans="2:9" ht="18" customHeight="1" x14ac:dyDescent="0.2">
      <c r="B1003" s="276" t="s">
        <v>1859</v>
      </c>
      <c r="C1003" s="276" t="s">
        <v>1860</v>
      </c>
      <c r="D1003" s="277" t="s">
        <v>1861</v>
      </c>
      <c r="E1003" s="277" t="s">
        <v>1862</v>
      </c>
      <c r="F1003" s="278" t="s">
        <v>1863</v>
      </c>
      <c r="G1003" s="278" t="s">
        <v>1864</v>
      </c>
      <c r="H1003" s="263" t="s">
        <v>1865</v>
      </c>
    </row>
    <row r="1004" spans="2:9" x14ac:dyDescent="0.2">
      <c r="B1004" s="264" t="s">
        <v>1867</v>
      </c>
      <c r="C1004" s="265">
        <v>42644</v>
      </c>
      <c r="D1004" s="266" t="s">
        <v>2619</v>
      </c>
      <c r="E1004" s="266" t="s">
        <v>2838</v>
      </c>
      <c r="F1004" s="267">
        <v>30</v>
      </c>
      <c r="G1004" s="267"/>
      <c r="H1004" s="267">
        <f t="shared" si="15"/>
        <v>30</v>
      </c>
    </row>
    <row r="1005" spans="2:9" x14ac:dyDescent="0.2">
      <c r="B1005" s="268" t="s">
        <v>1893</v>
      </c>
      <c r="C1005" s="269">
        <v>42645</v>
      </c>
      <c r="D1005" s="270" t="s">
        <v>2546</v>
      </c>
      <c r="E1005" s="270" t="s">
        <v>2839</v>
      </c>
      <c r="F1005" s="271">
        <v>120.5</v>
      </c>
      <c r="G1005" s="271"/>
      <c r="H1005" s="271">
        <f t="shared" si="15"/>
        <v>120.5</v>
      </c>
    </row>
    <row r="1006" spans="2:9" x14ac:dyDescent="0.2">
      <c r="B1006" s="268" t="s">
        <v>1893</v>
      </c>
      <c r="C1006" s="269">
        <v>42645</v>
      </c>
      <c r="D1006" s="270" t="s">
        <v>1924</v>
      </c>
      <c r="E1006" s="270" t="s">
        <v>2840</v>
      </c>
      <c r="F1006" s="271">
        <v>500</v>
      </c>
      <c r="G1006" s="271"/>
      <c r="H1006" s="271">
        <f t="shared" si="15"/>
        <v>500</v>
      </c>
    </row>
    <row r="1007" spans="2:9" x14ac:dyDescent="0.2">
      <c r="B1007" s="268" t="s">
        <v>1893</v>
      </c>
      <c r="C1007" s="269">
        <v>42645</v>
      </c>
      <c r="D1007" s="270" t="s">
        <v>2260</v>
      </c>
      <c r="E1007" s="270" t="s">
        <v>2035</v>
      </c>
      <c r="F1007" s="271">
        <v>120</v>
      </c>
      <c r="G1007" s="271"/>
      <c r="H1007" s="271">
        <f t="shared" si="15"/>
        <v>120</v>
      </c>
    </row>
    <row r="1008" spans="2:9" x14ac:dyDescent="0.2">
      <c r="B1008" s="268" t="s">
        <v>1875</v>
      </c>
      <c r="C1008" s="269">
        <v>42646</v>
      </c>
      <c r="D1008" s="270" t="s">
        <v>1899</v>
      </c>
      <c r="E1008" s="270" t="s">
        <v>2688</v>
      </c>
      <c r="F1008" s="271">
        <v>280</v>
      </c>
      <c r="G1008" s="271"/>
      <c r="H1008" s="271">
        <f t="shared" si="15"/>
        <v>280</v>
      </c>
    </row>
    <row r="1009" spans="2:8" x14ac:dyDescent="0.2">
      <c r="B1009" s="268" t="s">
        <v>1893</v>
      </c>
      <c r="C1009" s="269">
        <v>42646</v>
      </c>
      <c r="D1009" s="270" t="s">
        <v>2546</v>
      </c>
      <c r="E1009" s="270" t="s">
        <v>2841</v>
      </c>
      <c r="F1009" s="271">
        <v>45</v>
      </c>
      <c r="G1009" s="271"/>
      <c r="H1009" s="271">
        <f t="shared" si="15"/>
        <v>45</v>
      </c>
    </row>
    <row r="1010" spans="2:8" x14ac:dyDescent="0.2">
      <c r="B1010" s="268" t="s">
        <v>1873</v>
      </c>
      <c r="C1010" s="269">
        <v>42646</v>
      </c>
      <c r="D1010" s="270" t="s">
        <v>1919</v>
      </c>
      <c r="E1010" s="270" t="s">
        <v>2842</v>
      </c>
      <c r="F1010" s="271">
        <v>400</v>
      </c>
      <c r="G1010" s="271"/>
      <c r="H1010" s="271">
        <f t="shared" si="15"/>
        <v>400</v>
      </c>
    </row>
    <row r="1011" spans="2:8" x14ac:dyDescent="0.2">
      <c r="B1011" s="268" t="s">
        <v>1876</v>
      </c>
      <c r="C1011" s="269">
        <v>42649</v>
      </c>
      <c r="D1011" s="270" t="s">
        <v>1903</v>
      </c>
      <c r="E1011" s="270" t="s">
        <v>2843</v>
      </c>
      <c r="F1011" s="271">
        <v>791</v>
      </c>
      <c r="G1011" s="271"/>
      <c r="H1011" s="271">
        <f t="shared" si="15"/>
        <v>791</v>
      </c>
    </row>
    <row r="1012" spans="2:8" x14ac:dyDescent="0.2">
      <c r="B1012" s="268" t="s">
        <v>1884</v>
      </c>
      <c r="C1012" s="269">
        <v>42649</v>
      </c>
      <c r="D1012" s="270" t="s">
        <v>1902</v>
      </c>
      <c r="E1012" s="270" t="s">
        <v>1951</v>
      </c>
      <c r="F1012" s="271">
        <v>400.9</v>
      </c>
      <c r="G1012" s="271"/>
      <c r="H1012" s="271">
        <f t="shared" si="15"/>
        <v>400.9</v>
      </c>
    </row>
    <row r="1013" spans="2:8" x14ac:dyDescent="0.2">
      <c r="B1013" s="268" t="s">
        <v>1872</v>
      </c>
      <c r="C1013" s="269">
        <v>42649</v>
      </c>
      <c r="D1013" s="270" t="s">
        <v>1902</v>
      </c>
      <c r="E1013" s="270" t="s">
        <v>2844</v>
      </c>
      <c r="F1013" s="271">
        <v>246.7</v>
      </c>
      <c r="G1013" s="271"/>
      <c r="H1013" s="271">
        <f t="shared" si="15"/>
        <v>246.7</v>
      </c>
    </row>
    <row r="1014" spans="2:8" x14ac:dyDescent="0.2">
      <c r="B1014" s="268" t="s">
        <v>1872</v>
      </c>
      <c r="C1014" s="269">
        <v>42649</v>
      </c>
      <c r="D1014" s="270" t="s">
        <v>2171</v>
      </c>
      <c r="E1014" s="270" t="s">
        <v>2845</v>
      </c>
      <c r="F1014" s="271">
        <v>10</v>
      </c>
      <c r="G1014" s="271"/>
      <c r="H1014" s="271">
        <f t="shared" si="15"/>
        <v>10</v>
      </c>
    </row>
    <row r="1015" spans="2:8" x14ac:dyDescent="0.2">
      <c r="B1015" s="268" t="s">
        <v>1872</v>
      </c>
      <c r="C1015" s="269">
        <v>42649</v>
      </c>
      <c r="D1015" s="270" t="s">
        <v>2752</v>
      </c>
      <c r="E1015" s="270" t="s">
        <v>2846</v>
      </c>
      <c r="F1015" s="271">
        <v>32.67</v>
      </c>
      <c r="G1015" s="271">
        <v>5.23</v>
      </c>
      <c r="H1015" s="271">
        <f t="shared" si="15"/>
        <v>37.900000000000006</v>
      </c>
    </row>
    <row r="1016" spans="2:8" x14ac:dyDescent="0.2">
      <c r="B1016" s="268" t="s">
        <v>1872</v>
      </c>
      <c r="C1016" s="269">
        <v>42649</v>
      </c>
      <c r="D1016" s="270" t="s">
        <v>1927</v>
      </c>
      <c r="E1016" s="270" t="s">
        <v>2847</v>
      </c>
      <c r="F1016" s="271">
        <v>5</v>
      </c>
      <c r="G1016" s="271"/>
      <c r="H1016" s="271">
        <f t="shared" si="15"/>
        <v>5</v>
      </c>
    </row>
    <row r="1017" spans="2:8" x14ac:dyDescent="0.2">
      <c r="B1017" s="268" t="s">
        <v>1869</v>
      </c>
      <c r="C1017" s="269">
        <v>42649</v>
      </c>
      <c r="D1017" s="270" t="s">
        <v>1902</v>
      </c>
      <c r="E1017" s="270" t="s">
        <v>2848</v>
      </c>
      <c r="F1017" s="271">
        <v>49.3</v>
      </c>
      <c r="G1017" s="271"/>
      <c r="H1017" s="271">
        <f t="shared" si="15"/>
        <v>49.3</v>
      </c>
    </row>
    <row r="1018" spans="2:8" x14ac:dyDescent="0.2">
      <c r="B1018" s="268" t="s">
        <v>1879</v>
      </c>
      <c r="C1018" s="269">
        <v>42649</v>
      </c>
      <c r="D1018" s="270" t="s">
        <v>1901</v>
      </c>
      <c r="E1018" s="270" t="s">
        <v>2849</v>
      </c>
      <c r="F1018" s="271">
        <v>350</v>
      </c>
      <c r="G1018" s="271"/>
      <c r="H1018" s="271">
        <f t="shared" si="15"/>
        <v>350</v>
      </c>
    </row>
    <row r="1019" spans="2:8" x14ac:dyDescent="0.2">
      <c r="B1019" s="268" t="s">
        <v>1884</v>
      </c>
      <c r="C1019" s="269">
        <v>42649</v>
      </c>
      <c r="D1019" s="270" t="s">
        <v>2832</v>
      </c>
      <c r="E1019" s="270" t="s">
        <v>2850</v>
      </c>
      <c r="F1019" s="271">
        <v>100</v>
      </c>
      <c r="G1019" s="271"/>
      <c r="H1019" s="271">
        <f t="shared" si="15"/>
        <v>100</v>
      </c>
    </row>
    <row r="1020" spans="2:8" x14ac:dyDescent="0.2">
      <c r="B1020" s="268" t="s">
        <v>1872</v>
      </c>
      <c r="C1020" s="269">
        <v>42649</v>
      </c>
      <c r="D1020" s="270" t="s">
        <v>2430</v>
      </c>
      <c r="E1020" s="270" t="s">
        <v>2851</v>
      </c>
      <c r="F1020" s="271">
        <v>320</v>
      </c>
      <c r="G1020" s="271"/>
      <c r="H1020" s="271">
        <f t="shared" si="15"/>
        <v>320</v>
      </c>
    </row>
    <row r="1021" spans="2:8" x14ac:dyDescent="0.2">
      <c r="B1021" s="268" t="s">
        <v>1870</v>
      </c>
      <c r="C1021" s="269">
        <v>42650</v>
      </c>
      <c r="D1021" s="270" t="s">
        <v>2220</v>
      </c>
      <c r="E1021" s="270" t="s">
        <v>2852</v>
      </c>
      <c r="F1021" s="271">
        <v>250</v>
      </c>
      <c r="G1021" s="271"/>
      <c r="H1021" s="271">
        <f t="shared" si="15"/>
        <v>250</v>
      </c>
    </row>
    <row r="1022" spans="2:8" x14ac:dyDescent="0.2">
      <c r="B1022" s="268" t="s">
        <v>1814</v>
      </c>
      <c r="C1022" s="269">
        <v>42650</v>
      </c>
      <c r="D1022" s="270" t="s">
        <v>1919</v>
      </c>
      <c r="E1022" s="270" t="s">
        <v>2853</v>
      </c>
      <c r="F1022" s="271">
        <v>1000</v>
      </c>
      <c r="G1022" s="271"/>
      <c r="H1022" s="271">
        <f t="shared" si="15"/>
        <v>1000</v>
      </c>
    </row>
    <row r="1023" spans="2:8" x14ac:dyDescent="0.2">
      <c r="B1023" s="268" t="s">
        <v>1867</v>
      </c>
      <c r="C1023" s="269">
        <v>42650</v>
      </c>
      <c r="D1023" s="270" t="s">
        <v>2854</v>
      </c>
      <c r="E1023" s="270" t="s">
        <v>2855</v>
      </c>
      <c r="F1023" s="271">
        <v>400</v>
      </c>
      <c r="G1023" s="271"/>
      <c r="H1023" s="271">
        <f t="shared" si="15"/>
        <v>400</v>
      </c>
    </row>
    <row r="1024" spans="2:8" x14ac:dyDescent="0.2">
      <c r="B1024" s="268" t="s">
        <v>1872</v>
      </c>
      <c r="C1024" s="269">
        <v>42651</v>
      </c>
      <c r="D1024" s="270" t="s">
        <v>1887</v>
      </c>
      <c r="E1024" s="270" t="s">
        <v>2856</v>
      </c>
      <c r="F1024" s="271">
        <v>500</v>
      </c>
      <c r="G1024" s="271"/>
      <c r="H1024" s="271">
        <f t="shared" si="15"/>
        <v>500</v>
      </c>
    </row>
    <row r="1025" spans="2:8" x14ac:dyDescent="0.2">
      <c r="B1025" s="268" t="s">
        <v>1893</v>
      </c>
      <c r="C1025" s="269">
        <v>42652</v>
      </c>
      <c r="D1025" s="270" t="s">
        <v>2283</v>
      </c>
      <c r="E1025" s="270" t="s">
        <v>2547</v>
      </c>
      <c r="F1025" s="271">
        <v>148</v>
      </c>
      <c r="G1025" s="271"/>
      <c r="H1025" s="271">
        <f t="shared" si="15"/>
        <v>148</v>
      </c>
    </row>
    <row r="1026" spans="2:8" x14ac:dyDescent="0.2">
      <c r="B1026" s="268" t="s">
        <v>1893</v>
      </c>
      <c r="C1026" s="269">
        <v>42652</v>
      </c>
      <c r="D1026" s="270" t="s">
        <v>2260</v>
      </c>
      <c r="E1026" s="270" t="s">
        <v>2857</v>
      </c>
      <c r="F1026" s="271">
        <v>120</v>
      </c>
      <c r="G1026" s="271"/>
      <c r="H1026" s="271">
        <f t="shared" si="15"/>
        <v>120</v>
      </c>
    </row>
    <row r="1027" spans="2:8" x14ac:dyDescent="0.2">
      <c r="B1027" s="268" t="s">
        <v>1872</v>
      </c>
      <c r="C1027" s="269">
        <v>42652</v>
      </c>
      <c r="D1027" s="270" t="s">
        <v>2260</v>
      </c>
      <c r="E1027" s="270" t="s">
        <v>2858</v>
      </c>
      <c r="F1027" s="271">
        <v>150</v>
      </c>
      <c r="G1027" s="271"/>
      <c r="H1027" s="271">
        <f t="shared" si="15"/>
        <v>150</v>
      </c>
    </row>
    <row r="1028" spans="2:8" x14ac:dyDescent="0.2">
      <c r="B1028" s="268" t="s">
        <v>1872</v>
      </c>
      <c r="C1028" s="269">
        <v>42653</v>
      </c>
      <c r="D1028" s="270" t="s">
        <v>1882</v>
      </c>
      <c r="E1028" s="270" t="s">
        <v>2859</v>
      </c>
      <c r="F1028" s="271">
        <v>200</v>
      </c>
      <c r="G1028" s="271"/>
      <c r="H1028" s="271">
        <f t="shared" si="15"/>
        <v>200</v>
      </c>
    </row>
    <row r="1029" spans="2:8" x14ac:dyDescent="0.2">
      <c r="B1029" s="268" t="s">
        <v>1875</v>
      </c>
      <c r="C1029" s="269">
        <v>42653</v>
      </c>
      <c r="D1029" s="270" t="s">
        <v>1899</v>
      </c>
      <c r="E1029" s="270" t="s">
        <v>2860</v>
      </c>
      <c r="F1029" s="271">
        <v>310</v>
      </c>
      <c r="G1029" s="271"/>
      <c r="H1029" s="271">
        <f t="shared" ref="H1029:H1092" si="16">SUM(F1029:G1029)</f>
        <v>310</v>
      </c>
    </row>
    <row r="1030" spans="2:8" x14ac:dyDescent="0.2">
      <c r="B1030" s="268" t="s">
        <v>1869</v>
      </c>
      <c r="C1030" s="269">
        <v>42653</v>
      </c>
      <c r="D1030" s="270" t="s">
        <v>1900</v>
      </c>
      <c r="E1030" s="270" t="s">
        <v>2602</v>
      </c>
      <c r="F1030" s="271">
        <v>799</v>
      </c>
      <c r="G1030" s="271"/>
      <c r="H1030" s="271">
        <f t="shared" si="16"/>
        <v>799</v>
      </c>
    </row>
    <row r="1031" spans="2:8" x14ac:dyDescent="0.2">
      <c r="B1031" s="268" t="s">
        <v>1869</v>
      </c>
      <c r="C1031" s="269">
        <v>42653</v>
      </c>
      <c r="D1031" s="270" t="s">
        <v>1934</v>
      </c>
      <c r="E1031" s="270" t="s">
        <v>2861</v>
      </c>
      <c r="F1031" s="271">
        <v>5</v>
      </c>
      <c r="G1031" s="271"/>
      <c r="H1031" s="271">
        <f t="shared" si="16"/>
        <v>5</v>
      </c>
    </row>
    <row r="1032" spans="2:8" x14ac:dyDescent="0.2">
      <c r="B1032" s="268" t="s">
        <v>1872</v>
      </c>
      <c r="C1032" s="269">
        <v>42653</v>
      </c>
      <c r="D1032" s="270" t="s">
        <v>2430</v>
      </c>
      <c r="E1032" s="270" t="s">
        <v>2862</v>
      </c>
      <c r="F1032" s="271">
        <v>350</v>
      </c>
      <c r="G1032" s="271"/>
      <c r="H1032" s="271">
        <f t="shared" si="16"/>
        <v>350</v>
      </c>
    </row>
    <row r="1033" spans="2:8" x14ac:dyDescent="0.2">
      <c r="B1033" s="268" t="s">
        <v>1893</v>
      </c>
      <c r="C1033" s="269">
        <v>42653</v>
      </c>
      <c r="D1033" s="270" t="s">
        <v>1921</v>
      </c>
      <c r="E1033" s="270" t="s">
        <v>2863</v>
      </c>
      <c r="F1033" s="271">
        <v>302.56</v>
      </c>
      <c r="G1033" s="271">
        <v>46.94</v>
      </c>
      <c r="H1033" s="271">
        <f t="shared" si="16"/>
        <v>349.5</v>
      </c>
    </row>
    <row r="1034" spans="2:8" x14ac:dyDescent="0.2">
      <c r="B1034" s="268" t="s">
        <v>1873</v>
      </c>
      <c r="C1034" s="269">
        <v>42653</v>
      </c>
      <c r="D1034" s="270" t="s">
        <v>1919</v>
      </c>
      <c r="E1034" s="270" t="s">
        <v>2864</v>
      </c>
      <c r="F1034" s="271">
        <v>400</v>
      </c>
      <c r="G1034" s="271"/>
      <c r="H1034" s="271">
        <f t="shared" si="16"/>
        <v>400</v>
      </c>
    </row>
    <row r="1035" spans="2:8" x14ac:dyDescent="0.2">
      <c r="B1035" s="268" t="s">
        <v>1867</v>
      </c>
      <c r="C1035" s="269">
        <v>42654</v>
      </c>
      <c r="D1035" s="270" t="s">
        <v>1906</v>
      </c>
      <c r="E1035" s="270" t="s">
        <v>2865</v>
      </c>
      <c r="F1035" s="271">
        <v>100</v>
      </c>
      <c r="G1035" s="271"/>
      <c r="H1035" s="271">
        <f t="shared" si="16"/>
        <v>100</v>
      </c>
    </row>
    <row r="1036" spans="2:8" x14ac:dyDescent="0.2">
      <c r="B1036" s="268" t="s">
        <v>1886</v>
      </c>
      <c r="C1036" s="269">
        <v>42654</v>
      </c>
      <c r="D1036" s="270" t="s">
        <v>1920</v>
      </c>
      <c r="E1036" s="270" t="s">
        <v>2866</v>
      </c>
      <c r="F1036" s="271">
        <v>28</v>
      </c>
      <c r="G1036" s="271"/>
      <c r="H1036" s="271">
        <f t="shared" si="16"/>
        <v>28</v>
      </c>
    </row>
    <row r="1037" spans="2:8" x14ac:dyDescent="0.2">
      <c r="B1037" s="268" t="s">
        <v>1869</v>
      </c>
      <c r="C1037" s="269">
        <v>42654</v>
      </c>
      <c r="D1037" s="270" t="s">
        <v>1935</v>
      </c>
      <c r="E1037" s="270" t="s">
        <v>2867</v>
      </c>
      <c r="F1037" s="271">
        <v>40</v>
      </c>
      <c r="G1037" s="271"/>
      <c r="H1037" s="271">
        <f t="shared" si="16"/>
        <v>40</v>
      </c>
    </row>
    <row r="1038" spans="2:8" x14ac:dyDescent="0.2">
      <c r="B1038" s="268" t="s">
        <v>1867</v>
      </c>
      <c r="C1038" s="269">
        <v>42654</v>
      </c>
      <c r="D1038" s="270" t="s">
        <v>1906</v>
      </c>
      <c r="E1038" s="270" t="s">
        <v>2868</v>
      </c>
      <c r="F1038" s="271">
        <v>200</v>
      </c>
      <c r="G1038" s="271"/>
      <c r="H1038" s="271">
        <f t="shared" si="16"/>
        <v>200</v>
      </c>
    </row>
    <row r="1039" spans="2:8" x14ac:dyDescent="0.2">
      <c r="B1039" s="268" t="s">
        <v>1886</v>
      </c>
      <c r="C1039" s="269">
        <v>42655</v>
      </c>
      <c r="D1039" s="270" t="s">
        <v>1920</v>
      </c>
      <c r="E1039" s="270" t="s">
        <v>2869</v>
      </c>
      <c r="F1039" s="271">
        <v>150</v>
      </c>
      <c r="G1039" s="271"/>
      <c r="H1039" s="271">
        <f t="shared" si="16"/>
        <v>150</v>
      </c>
    </row>
    <row r="1040" spans="2:8" x14ac:dyDescent="0.2">
      <c r="B1040" s="268" t="s">
        <v>1886</v>
      </c>
      <c r="C1040" s="269">
        <v>42655</v>
      </c>
      <c r="D1040" s="270" t="s">
        <v>1920</v>
      </c>
      <c r="E1040" s="270" t="s">
        <v>2870</v>
      </c>
      <c r="F1040" s="271">
        <v>200</v>
      </c>
      <c r="G1040" s="271"/>
      <c r="H1040" s="271">
        <f t="shared" si="16"/>
        <v>200</v>
      </c>
    </row>
    <row r="1041" spans="2:8" x14ac:dyDescent="0.2">
      <c r="B1041" s="268" t="s">
        <v>1869</v>
      </c>
      <c r="C1041" s="269">
        <v>42655</v>
      </c>
      <c r="D1041" s="270" t="s">
        <v>1935</v>
      </c>
      <c r="E1041" s="270" t="s">
        <v>2871</v>
      </c>
      <c r="F1041" s="271">
        <v>675</v>
      </c>
      <c r="G1041" s="271"/>
      <c r="H1041" s="271">
        <f t="shared" si="16"/>
        <v>675</v>
      </c>
    </row>
    <row r="1042" spans="2:8" x14ac:dyDescent="0.2">
      <c r="B1042" s="268" t="s">
        <v>1893</v>
      </c>
      <c r="C1042" s="269">
        <v>42656</v>
      </c>
      <c r="D1042" s="270" t="s">
        <v>2872</v>
      </c>
      <c r="E1042" s="270" t="s">
        <v>2873</v>
      </c>
      <c r="F1042" s="271">
        <v>36</v>
      </c>
      <c r="G1042" s="271"/>
      <c r="H1042" s="271">
        <f t="shared" si="16"/>
        <v>36</v>
      </c>
    </row>
    <row r="1043" spans="2:8" x14ac:dyDescent="0.2">
      <c r="B1043" s="268" t="s">
        <v>1870</v>
      </c>
      <c r="C1043" s="269">
        <v>42657</v>
      </c>
      <c r="D1043" s="270" t="s">
        <v>2663</v>
      </c>
      <c r="E1043" s="270" t="s">
        <v>2874</v>
      </c>
      <c r="F1043" s="271">
        <v>170</v>
      </c>
      <c r="G1043" s="271"/>
      <c r="H1043" s="271">
        <f t="shared" si="16"/>
        <v>170</v>
      </c>
    </row>
    <row r="1044" spans="2:8" x14ac:dyDescent="0.2">
      <c r="B1044" s="268" t="s">
        <v>1870</v>
      </c>
      <c r="C1044" s="269">
        <v>42657</v>
      </c>
      <c r="D1044" s="270" t="s">
        <v>1990</v>
      </c>
      <c r="E1044" s="270" t="s">
        <v>2875</v>
      </c>
      <c r="F1044" s="271">
        <v>92</v>
      </c>
      <c r="G1044" s="271"/>
      <c r="H1044" s="271">
        <f t="shared" si="16"/>
        <v>92</v>
      </c>
    </row>
    <row r="1045" spans="2:8" x14ac:dyDescent="0.2">
      <c r="B1045" s="268" t="s">
        <v>1884</v>
      </c>
      <c r="C1045" s="269">
        <v>42657</v>
      </c>
      <c r="D1045" s="270" t="s">
        <v>2829</v>
      </c>
      <c r="E1045" s="270" t="s">
        <v>1951</v>
      </c>
      <c r="F1045" s="271">
        <v>120</v>
      </c>
      <c r="G1045" s="271"/>
      <c r="H1045" s="271">
        <f t="shared" si="16"/>
        <v>120</v>
      </c>
    </row>
    <row r="1046" spans="2:8" x14ac:dyDescent="0.2">
      <c r="B1046" s="268" t="s">
        <v>1814</v>
      </c>
      <c r="C1046" s="269">
        <v>42657</v>
      </c>
      <c r="D1046" s="270" t="s">
        <v>1919</v>
      </c>
      <c r="E1046" s="270" t="s">
        <v>3031</v>
      </c>
      <c r="F1046" s="271">
        <v>1000</v>
      </c>
      <c r="G1046" s="271"/>
      <c r="H1046" s="271">
        <f t="shared" si="16"/>
        <v>1000</v>
      </c>
    </row>
    <row r="1047" spans="2:8" x14ac:dyDescent="0.2">
      <c r="B1047" s="268" t="s">
        <v>1870</v>
      </c>
      <c r="C1047" s="269">
        <v>42657</v>
      </c>
      <c r="D1047" s="270" t="s">
        <v>1990</v>
      </c>
      <c r="E1047" s="270" t="s">
        <v>2876</v>
      </c>
      <c r="F1047" s="271">
        <v>345</v>
      </c>
      <c r="G1047" s="271"/>
      <c r="H1047" s="271">
        <f t="shared" si="16"/>
        <v>345</v>
      </c>
    </row>
    <row r="1048" spans="2:8" x14ac:dyDescent="0.2">
      <c r="B1048" s="268" t="s">
        <v>1893</v>
      </c>
      <c r="C1048" s="269">
        <v>42658</v>
      </c>
      <c r="D1048" s="270" t="s">
        <v>1882</v>
      </c>
      <c r="E1048" s="270" t="s">
        <v>2877</v>
      </c>
      <c r="F1048" s="271">
        <v>450</v>
      </c>
      <c r="G1048" s="271"/>
      <c r="H1048" s="271">
        <f t="shared" si="16"/>
        <v>450</v>
      </c>
    </row>
    <row r="1049" spans="2:8" x14ac:dyDescent="0.2">
      <c r="B1049" s="268" t="s">
        <v>1893</v>
      </c>
      <c r="C1049" s="269">
        <v>42658</v>
      </c>
      <c r="D1049" s="270" t="s">
        <v>2260</v>
      </c>
      <c r="E1049" s="270" t="s">
        <v>2878</v>
      </c>
      <c r="F1049" s="271">
        <v>350</v>
      </c>
      <c r="G1049" s="271"/>
      <c r="H1049" s="271">
        <f t="shared" si="16"/>
        <v>350</v>
      </c>
    </row>
    <row r="1050" spans="2:8" x14ac:dyDescent="0.2">
      <c r="B1050" s="268" t="s">
        <v>1872</v>
      </c>
      <c r="C1050" s="269">
        <v>42658</v>
      </c>
      <c r="D1050" s="270" t="s">
        <v>1887</v>
      </c>
      <c r="E1050" s="270" t="s">
        <v>2879</v>
      </c>
      <c r="F1050" s="271">
        <v>500</v>
      </c>
      <c r="G1050" s="271"/>
      <c r="H1050" s="271">
        <f t="shared" si="16"/>
        <v>500</v>
      </c>
    </row>
    <row r="1051" spans="2:8" x14ac:dyDescent="0.2">
      <c r="B1051" s="268" t="s">
        <v>1869</v>
      </c>
      <c r="C1051" s="269">
        <v>42658</v>
      </c>
      <c r="D1051" s="270" t="s">
        <v>1934</v>
      </c>
      <c r="E1051" s="270" t="s">
        <v>2880</v>
      </c>
      <c r="F1051" s="271">
        <v>10</v>
      </c>
      <c r="G1051" s="271"/>
      <c r="H1051" s="271">
        <f t="shared" si="16"/>
        <v>10</v>
      </c>
    </row>
    <row r="1052" spans="2:8" x14ac:dyDescent="0.2">
      <c r="B1052" s="268" t="s">
        <v>1585</v>
      </c>
      <c r="C1052" s="269">
        <v>42658</v>
      </c>
      <c r="D1052" s="270" t="s">
        <v>1908</v>
      </c>
      <c r="E1052" s="270" t="s">
        <v>2881</v>
      </c>
      <c r="F1052" s="271">
        <v>17000</v>
      </c>
      <c r="G1052" s="271"/>
      <c r="H1052" s="271">
        <f t="shared" si="16"/>
        <v>17000</v>
      </c>
    </row>
    <row r="1053" spans="2:8" x14ac:dyDescent="0.2">
      <c r="B1053" s="268" t="s">
        <v>1585</v>
      </c>
      <c r="C1053" s="269">
        <v>42658</v>
      </c>
      <c r="D1053" s="270" t="s">
        <v>1908</v>
      </c>
      <c r="E1053" s="270" t="s">
        <v>2882</v>
      </c>
      <c r="F1053" s="271">
        <v>12000</v>
      </c>
      <c r="G1053" s="271"/>
      <c r="H1053" s="271">
        <f t="shared" si="16"/>
        <v>12000</v>
      </c>
    </row>
    <row r="1054" spans="2:8" x14ac:dyDescent="0.2">
      <c r="B1054" s="268" t="s">
        <v>1868</v>
      </c>
      <c r="C1054" s="269">
        <v>42658</v>
      </c>
      <c r="D1054" s="270" t="s">
        <v>1920</v>
      </c>
      <c r="E1054" s="270" t="s">
        <v>2883</v>
      </c>
      <c r="F1054" s="271">
        <v>4000</v>
      </c>
      <c r="G1054" s="271"/>
      <c r="H1054" s="271">
        <f t="shared" si="16"/>
        <v>4000</v>
      </c>
    </row>
    <row r="1055" spans="2:8" x14ac:dyDescent="0.2">
      <c r="B1055" s="268" t="s">
        <v>1893</v>
      </c>
      <c r="C1055" s="269">
        <v>42659</v>
      </c>
      <c r="D1055" s="270" t="s">
        <v>2546</v>
      </c>
      <c r="E1055" s="270" t="s">
        <v>2884</v>
      </c>
      <c r="F1055" s="271">
        <v>60</v>
      </c>
      <c r="G1055" s="271"/>
      <c r="H1055" s="271">
        <f t="shared" si="16"/>
        <v>60</v>
      </c>
    </row>
    <row r="1056" spans="2:8" x14ac:dyDescent="0.2">
      <c r="B1056" s="268" t="s">
        <v>1893</v>
      </c>
      <c r="C1056" s="269">
        <v>42659</v>
      </c>
      <c r="D1056" s="270" t="s">
        <v>2260</v>
      </c>
      <c r="E1056" s="270" t="s">
        <v>2647</v>
      </c>
      <c r="F1056" s="271">
        <v>120</v>
      </c>
      <c r="G1056" s="271"/>
      <c r="H1056" s="271">
        <f t="shared" si="16"/>
        <v>120</v>
      </c>
    </row>
    <row r="1057" spans="2:8" x14ac:dyDescent="0.2">
      <c r="B1057" s="268" t="s">
        <v>1893</v>
      </c>
      <c r="C1057" s="269">
        <v>42660</v>
      </c>
      <c r="D1057" s="270" t="s">
        <v>1899</v>
      </c>
      <c r="E1057" s="270" t="s">
        <v>2860</v>
      </c>
      <c r="F1057" s="271">
        <v>310</v>
      </c>
      <c r="G1057" s="271"/>
      <c r="H1057" s="271">
        <f t="shared" si="16"/>
        <v>310</v>
      </c>
    </row>
    <row r="1058" spans="2:8" x14ac:dyDescent="0.2">
      <c r="B1058" s="268" t="s">
        <v>1873</v>
      </c>
      <c r="C1058" s="269">
        <v>42660</v>
      </c>
      <c r="D1058" s="270" t="s">
        <v>1919</v>
      </c>
      <c r="E1058" s="270" t="s">
        <v>2963</v>
      </c>
      <c r="F1058" s="271">
        <v>400</v>
      </c>
      <c r="G1058" s="271"/>
      <c r="H1058" s="271">
        <f t="shared" si="16"/>
        <v>400</v>
      </c>
    </row>
    <row r="1059" spans="2:8" x14ac:dyDescent="0.2">
      <c r="B1059" s="268" t="s">
        <v>1893</v>
      </c>
      <c r="C1059" s="269">
        <v>42660</v>
      </c>
      <c r="D1059" s="270" t="s">
        <v>2969</v>
      </c>
      <c r="E1059" s="270" t="s">
        <v>2964</v>
      </c>
      <c r="F1059" s="271">
        <v>349.5</v>
      </c>
      <c r="G1059" s="271"/>
      <c r="H1059" s="271">
        <f t="shared" si="16"/>
        <v>349.5</v>
      </c>
    </row>
    <row r="1060" spans="2:8" x14ac:dyDescent="0.2">
      <c r="B1060" s="268" t="s">
        <v>1893</v>
      </c>
      <c r="C1060" s="269">
        <v>42660</v>
      </c>
      <c r="D1060" s="270" t="s">
        <v>2970</v>
      </c>
      <c r="E1060" s="270" t="s">
        <v>2971</v>
      </c>
      <c r="F1060" s="271">
        <v>693</v>
      </c>
      <c r="G1060" s="271"/>
      <c r="H1060" s="271">
        <f t="shared" si="16"/>
        <v>693</v>
      </c>
    </row>
    <row r="1061" spans="2:8" x14ac:dyDescent="0.2">
      <c r="B1061" s="268" t="s">
        <v>1872</v>
      </c>
      <c r="C1061" s="269">
        <v>42661</v>
      </c>
      <c r="D1061" s="270" t="s">
        <v>2430</v>
      </c>
      <c r="E1061" s="270" t="s">
        <v>2972</v>
      </c>
      <c r="F1061" s="271">
        <v>380</v>
      </c>
      <c r="G1061" s="271"/>
      <c r="H1061" s="271">
        <f t="shared" si="16"/>
        <v>380</v>
      </c>
    </row>
    <row r="1062" spans="2:8" x14ac:dyDescent="0.2">
      <c r="B1062" s="268" t="s">
        <v>1879</v>
      </c>
      <c r="C1062" s="269">
        <v>42661</v>
      </c>
      <c r="D1062" s="270" t="s">
        <v>2832</v>
      </c>
      <c r="E1062" s="270" t="s">
        <v>2973</v>
      </c>
      <c r="F1062" s="271">
        <v>50</v>
      </c>
      <c r="G1062" s="271"/>
      <c r="H1062" s="271">
        <f t="shared" si="16"/>
        <v>50</v>
      </c>
    </row>
    <row r="1063" spans="2:8" x14ac:dyDescent="0.2">
      <c r="B1063" s="268" t="s">
        <v>1872</v>
      </c>
      <c r="C1063" s="269">
        <v>42661</v>
      </c>
      <c r="D1063" s="270" t="s">
        <v>1915</v>
      </c>
      <c r="E1063" s="270" t="s">
        <v>2974</v>
      </c>
      <c r="F1063" s="271">
        <v>300</v>
      </c>
      <c r="G1063" s="271"/>
      <c r="H1063" s="271">
        <f t="shared" si="16"/>
        <v>300</v>
      </c>
    </row>
    <row r="1064" spans="2:8" x14ac:dyDescent="0.2">
      <c r="B1064" s="268" t="s">
        <v>1872</v>
      </c>
      <c r="C1064" s="269">
        <v>42661</v>
      </c>
      <c r="D1064" s="270" t="s">
        <v>2975</v>
      </c>
      <c r="E1064" s="270" t="s">
        <v>2976</v>
      </c>
      <c r="F1064" s="271">
        <v>119.5</v>
      </c>
      <c r="G1064" s="271"/>
      <c r="H1064" s="271">
        <f t="shared" si="16"/>
        <v>119.5</v>
      </c>
    </row>
    <row r="1065" spans="2:8" x14ac:dyDescent="0.2">
      <c r="B1065" s="268" t="s">
        <v>1866</v>
      </c>
      <c r="C1065" s="269">
        <v>42661</v>
      </c>
      <c r="D1065" s="270" t="s">
        <v>2977</v>
      </c>
      <c r="E1065" s="270" t="s">
        <v>2978</v>
      </c>
      <c r="F1065" s="271">
        <v>15.5</v>
      </c>
      <c r="G1065" s="271"/>
      <c r="H1065" s="271">
        <f t="shared" si="16"/>
        <v>15.5</v>
      </c>
    </row>
    <row r="1066" spans="2:8" x14ac:dyDescent="0.2">
      <c r="B1066" s="268" t="s">
        <v>1893</v>
      </c>
      <c r="C1066" s="269">
        <v>42661</v>
      </c>
      <c r="D1066" s="270" t="s">
        <v>1907</v>
      </c>
      <c r="E1066" s="270" t="s">
        <v>2965</v>
      </c>
      <c r="F1066" s="271">
        <v>200</v>
      </c>
      <c r="G1066" s="271"/>
      <c r="H1066" s="271">
        <f t="shared" si="16"/>
        <v>200</v>
      </c>
    </row>
    <row r="1067" spans="2:8" x14ac:dyDescent="0.2">
      <c r="B1067" s="268" t="s">
        <v>1893</v>
      </c>
      <c r="C1067" s="269">
        <v>42661</v>
      </c>
      <c r="D1067" s="270" t="s">
        <v>1907</v>
      </c>
      <c r="E1067" s="270" t="s">
        <v>2979</v>
      </c>
      <c r="F1067" s="271">
        <v>290</v>
      </c>
      <c r="G1067" s="271"/>
      <c r="H1067" s="271">
        <f t="shared" si="16"/>
        <v>290</v>
      </c>
    </row>
    <row r="1068" spans="2:8" x14ac:dyDescent="0.2">
      <c r="B1068" s="268" t="s">
        <v>1872</v>
      </c>
      <c r="C1068" s="269">
        <v>42662</v>
      </c>
      <c r="D1068" s="270" t="s">
        <v>1915</v>
      </c>
      <c r="E1068" s="270" t="s">
        <v>2966</v>
      </c>
      <c r="F1068" s="271">
        <v>100</v>
      </c>
      <c r="G1068" s="271"/>
      <c r="H1068" s="271">
        <f t="shared" si="16"/>
        <v>100</v>
      </c>
    </row>
    <row r="1069" spans="2:8" x14ac:dyDescent="0.2">
      <c r="B1069" s="268" t="s">
        <v>1814</v>
      </c>
      <c r="C1069" s="269">
        <v>42662</v>
      </c>
      <c r="D1069" s="270" t="s">
        <v>1927</v>
      </c>
      <c r="E1069" s="270" t="s">
        <v>2980</v>
      </c>
      <c r="F1069" s="271">
        <v>120</v>
      </c>
      <c r="G1069" s="271"/>
      <c r="H1069" s="271">
        <f t="shared" si="16"/>
        <v>120</v>
      </c>
    </row>
    <row r="1070" spans="2:8" x14ac:dyDescent="0.2">
      <c r="B1070" s="268" t="s">
        <v>1880</v>
      </c>
      <c r="C1070" s="269">
        <v>39009</v>
      </c>
      <c r="D1070" s="270" t="s">
        <v>2832</v>
      </c>
      <c r="E1070" s="270" t="s">
        <v>3010</v>
      </c>
      <c r="F1070" s="271">
        <v>200</v>
      </c>
      <c r="G1070" s="271"/>
      <c r="H1070" s="271">
        <f t="shared" si="16"/>
        <v>200</v>
      </c>
    </row>
    <row r="1071" spans="2:8" x14ac:dyDescent="0.2">
      <c r="B1071" s="268" t="s">
        <v>1893</v>
      </c>
      <c r="C1071" s="269">
        <v>42662</v>
      </c>
      <c r="D1071" s="270" t="s">
        <v>2546</v>
      </c>
      <c r="E1071" s="270" t="s">
        <v>2981</v>
      </c>
      <c r="F1071" s="271">
        <v>92.5</v>
      </c>
      <c r="G1071" s="271"/>
      <c r="H1071" s="271">
        <f t="shared" si="16"/>
        <v>92.5</v>
      </c>
    </row>
    <row r="1072" spans="2:8" x14ac:dyDescent="0.2">
      <c r="B1072" s="268" t="s">
        <v>1872</v>
      </c>
      <c r="C1072" s="269">
        <v>42662</v>
      </c>
      <c r="D1072" s="270" t="s">
        <v>1915</v>
      </c>
      <c r="E1072" s="270" t="s">
        <v>2982</v>
      </c>
      <c r="F1072" s="271">
        <v>320</v>
      </c>
      <c r="G1072" s="271"/>
      <c r="H1072" s="271">
        <f t="shared" si="16"/>
        <v>320</v>
      </c>
    </row>
    <row r="1073" spans="2:8" x14ac:dyDescent="0.2">
      <c r="B1073" s="268" t="s">
        <v>1880</v>
      </c>
      <c r="C1073" s="269">
        <v>42663</v>
      </c>
      <c r="D1073" s="270" t="s">
        <v>2967</v>
      </c>
      <c r="E1073" s="270" t="s">
        <v>2983</v>
      </c>
      <c r="F1073" s="271">
        <v>160</v>
      </c>
      <c r="G1073" s="271"/>
      <c r="H1073" s="271">
        <f t="shared" si="16"/>
        <v>160</v>
      </c>
    </row>
    <row r="1074" spans="2:8" x14ac:dyDescent="0.2">
      <c r="B1074" s="268" t="s">
        <v>1893</v>
      </c>
      <c r="C1074" s="269">
        <v>42663</v>
      </c>
      <c r="D1074" s="270" t="s">
        <v>2968</v>
      </c>
      <c r="E1074" s="270" t="s">
        <v>2984</v>
      </c>
      <c r="F1074" s="271">
        <v>345</v>
      </c>
      <c r="G1074" s="271"/>
      <c r="H1074" s="271">
        <f t="shared" si="16"/>
        <v>345</v>
      </c>
    </row>
    <row r="1075" spans="2:8" x14ac:dyDescent="0.2">
      <c r="B1075" s="268" t="s">
        <v>1814</v>
      </c>
      <c r="C1075" s="269">
        <v>42663</v>
      </c>
      <c r="D1075" s="270" t="s">
        <v>1897</v>
      </c>
      <c r="E1075" s="270" t="s">
        <v>2985</v>
      </c>
      <c r="F1075" s="271">
        <v>1224</v>
      </c>
      <c r="G1075" s="271"/>
      <c r="H1075" s="271">
        <f t="shared" si="16"/>
        <v>1224</v>
      </c>
    </row>
    <row r="1076" spans="2:8" x14ac:dyDescent="0.2">
      <c r="B1076" s="268" t="s">
        <v>1799</v>
      </c>
      <c r="C1076" s="269">
        <v>42663</v>
      </c>
      <c r="D1076" s="270" t="s">
        <v>1918</v>
      </c>
      <c r="E1076" s="270" t="s">
        <v>2986</v>
      </c>
      <c r="F1076" s="271"/>
      <c r="G1076" s="271">
        <v>1760</v>
      </c>
      <c r="H1076" s="271">
        <f t="shared" si="16"/>
        <v>1760</v>
      </c>
    </row>
    <row r="1077" spans="2:8" x14ac:dyDescent="0.2">
      <c r="B1077" s="268" t="s">
        <v>1893</v>
      </c>
      <c r="C1077" s="269">
        <v>42664</v>
      </c>
      <c r="D1077" s="270" t="s">
        <v>2987</v>
      </c>
      <c r="E1077" s="270" t="s">
        <v>2988</v>
      </c>
      <c r="F1077" s="271">
        <v>266.85000000000002</v>
      </c>
      <c r="G1077" s="271"/>
      <c r="H1077" s="271">
        <f t="shared" si="16"/>
        <v>266.85000000000002</v>
      </c>
    </row>
    <row r="1078" spans="2:8" x14ac:dyDescent="0.2">
      <c r="B1078" s="268" t="s">
        <v>1872</v>
      </c>
      <c r="C1078" s="269">
        <v>42664</v>
      </c>
      <c r="D1078" s="270" t="s">
        <v>2260</v>
      </c>
      <c r="E1078" s="270" t="s">
        <v>2989</v>
      </c>
      <c r="F1078" s="271">
        <v>100</v>
      </c>
      <c r="G1078" s="271"/>
      <c r="H1078" s="271">
        <f t="shared" si="16"/>
        <v>100</v>
      </c>
    </row>
    <row r="1079" spans="2:8" x14ac:dyDescent="0.2">
      <c r="B1079" s="268" t="s">
        <v>1814</v>
      </c>
      <c r="C1079" s="269">
        <v>42664</v>
      </c>
      <c r="D1079" s="270" t="s">
        <v>1919</v>
      </c>
      <c r="E1079" s="270" t="s">
        <v>2990</v>
      </c>
      <c r="F1079" s="271">
        <v>1000</v>
      </c>
      <c r="G1079" s="271"/>
      <c r="H1079" s="271">
        <f t="shared" si="16"/>
        <v>1000</v>
      </c>
    </row>
    <row r="1080" spans="2:8" x14ac:dyDescent="0.2">
      <c r="B1080" s="268" t="s">
        <v>1893</v>
      </c>
      <c r="C1080" s="269">
        <v>42665</v>
      </c>
      <c r="D1080" s="270" t="s">
        <v>1934</v>
      </c>
      <c r="E1080" s="270" t="s">
        <v>2991</v>
      </c>
      <c r="F1080" s="271">
        <v>10</v>
      </c>
      <c r="G1080" s="271"/>
      <c r="H1080" s="271">
        <f t="shared" si="16"/>
        <v>10</v>
      </c>
    </row>
    <row r="1081" spans="2:8" x14ac:dyDescent="0.2">
      <c r="B1081" s="268" t="s">
        <v>1872</v>
      </c>
      <c r="C1081" s="269">
        <v>42665</v>
      </c>
      <c r="D1081" s="270" t="s">
        <v>1887</v>
      </c>
      <c r="E1081" s="270" t="s">
        <v>2992</v>
      </c>
      <c r="F1081" s="271">
        <v>700</v>
      </c>
      <c r="G1081" s="271"/>
      <c r="H1081" s="271">
        <f t="shared" si="16"/>
        <v>700</v>
      </c>
    </row>
    <row r="1082" spans="2:8" x14ac:dyDescent="0.2">
      <c r="B1082" s="268" t="s">
        <v>1872</v>
      </c>
      <c r="C1082" s="269">
        <v>42665</v>
      </c>
      <c r="D1082" s="270" t="s">
        <v>1882</v>
      </c>
      <c r="E1082" s="270" t="s">
        <v>2993</v>
      </c>
      <c r="F1082" s="271">
        <v>250</v>
      </c>
      <c r="G1082" s="271"/>
      <c r="H1082" s="271">
        <f t="shared" si="16"/>
        <v>250</v>
      </c>
    </row>
    <row r="1083" spans="2:8" x14ac:dyDescent="0.2">
      <c r="B1083" s="268" t="s">
        <v>1893</v>
      </c>
      <c r="C1083" s="269">
        <v>42665</v>
      </c>
      <c r="D1083" s="270" t="s">
        <v>2994</v>
      </c>
      <c r="E1083" s="270" t="s">
        <v>2995</v>
      </c>
      <c r="F1083" s="271">
        <v>397</v>
      </c>
      <c r="G1083" s="271"/>
      <c r="H1083" s="271">
        <f t="shared" si="16"/>
        <v>397</v>
      </c>
    </row>
    <row r="1084" spans="2:8" x14ac:dyDescent="0.2">
      <c r="B1084" s="268" t="s">
        <v>1872</v>
      </c>
      <c r="C1084" s="269">
        <v>42665</v>
      </c>
      <c r="D1084" s="270" t="s">
        <v>2996</v>
      </c>
      <c r="E1084" s="270" t="s">
        <v>2997</v>
      </c>
      <c r="F1084" s="271">
        <v>350</v>
      </c>
      <c r="G1084" s="271"/>
      <c r="H1084" s="271">
        <f t="shared" si="16"/>
        <v>350</v>
      </c>
    </row>
    <row r="1085" spans="2:8" x14ac:dyDescent="0.2">
      <c r="B1085" s="268" t="s">
        <v>1872</v>
      </c>
      <c r="C1085" s="269">
        <v>42665</v>
      </c>
      <c r="D1085" s="270" t="s">
        <v>1882</v>
      </c>
      <c r="E1085" s="270" t="s">
        <v>2998</v>
      </c>
      <c r="F1085" s="271">
        <v>50</v>
      </c>
      <c r="G1085" s="271"/>
      <c r="H1085" s="271">
        <f t="shared" si="16"/>
        <v>50</v>
      </c>
    </row>
    <row r="1086" spans="2:8" x14ac:dyDescent="0.2">
      <c r="B1086" s="268" t="s">
        <v>1872</v>
      </c>
      <c r="C1086" s="269">
        <v>42665</v>
      </c>
      <c r="D1086" s="270" t="s">
        <v>1915</v>
      </c>
      <c r="E1086" s="270" t="s">
        <v>3011</v>
      </c>
      <c r="F1086" s="271">
        <v>150</v>
      </c>
      <c r="G1086" s="271"/>
      <c r="H1086" s="271">
        <f t="shared" si="16"/>
        <v>150</v>
      </c>
    </row>
    <row r="1087" spans="2:8" x14ac:dyDescent="0.2">
      <c r="B1087" s="268" t="s">
        <v>1893</v>
      </c>
      <c r="C1087" s="269">
        <v>42666</v>
      </c>
      <c r="D1087" s="270" t="s">
        <v>2260</v>
      </c>
      <c r="E1087" s="270" t="s">
        <v>2035</v>
      </c>
      <c r="F1087" s="271">
        <v>120</v>
      </c>
      <c r="G1087" s="271"/>
      <c r="H1087" s="271">
        <f t="shared" si="16"/>
        <v>120</v>
      </c>
    </row>
    <row r="1088" spans="2:8" x14ac:dyDescent="0.2">
      <c r="B1088" s="268" t="s">
        <v>1873</v>
      </c>
      <c r="C1088" s="269">
        <v>42666</v>
      </c>
      <c r="D1088" s="270" t="s">
        <v>2546</v>
      </c>
      <c r="E1088" s="270" t="s">
        <v>2999</v>
      </c>
      <c r="F1088" s="271">
        <v>98.5</v>
      </c>
      <c r="G1088" s="271"/>
      <c r="H1088" s="271">
        <f t="shared" si="16"/>
        <v>98.5</v>
      </c>
    </row>
    <row r="1089" spans="1:9" x14ac:dyDescent="0.2">
      <c r="B1089" s="268" t="s">
        <v>1893</v>
      </c>
      <c r="C1089" s="269">
        <v>42666</v>
      </c>
      <c r="D1089" s="270" t="s">
        <v>1902</v>
      </c>
      <c r="E1089" s="270" t="s">
        <v>3000</v>
      </c>
      <c r="F1089" s="271">
        <v>33.5</v>
      </c>
      <c r="G1089" s="271"/>
      <c r="H1089" s="271">
        <f t="shared" si="16"/>
        <v>33.5</v>
      </c>
    </row>
    <row r="1090" spans="1:9" x14ac:dyDescent="0.2">
      <c r="B1090" s="268" t="s">
        <v>1893</v>
      </c>
      <c r="C1090" s="269">
        <v>42666</v>
      </c>
      <c r="D1090" s="270" t="s">
        <v>1927</v>
      </c>
      <c r="E1090" s="270" t="s">
        <v>3001</v>
      </c>
      <c r="F1090" s="271">
        <v>5</v>
      </c>
      <c r="G1090" s="271"/>
      <c r="H1090" s="271">
        <f t="shared" si="16"/>
        <v>5</v>
      </c>
    </row>
    <row r="1091" spans="1:9" x14ac:dyDescent="0.2">
      <c r="B1091" s="268" t="s">
        <v>1893</v>
      </c>
      <c r="C1091" s="269">
        <v>42666</v>
      </c>
      <c r="D1091" s="270" t="s">
        <v>1900</v>
      </c>
      <c r="E1091" s="270" t="s">
        <v>3002</v>
      </c>
      <c r="F1091" s="271">
        <v>7.9</v>
      </c>
      <c r="G1091" s="271"/>
      <c r="H1091" s="271">
        <f t="shared" si="16"/>
        <v>7.9</v>
      </c>
    </row>
    <row r="1092" spans="1:9" x14ac:dyDescent="0.2">
      <c r="B1092" s="268" t="s">
        <v>1869</v>
      </c>
      <c r="C1092" s="269">
        <v>42666</v>
      </c>
      <c r="D1092" s="270" t="s">
        <v>1900</v>
      </c>
      <c r="E1092" s="270" t="s">
        <v>3003</v>
      </c>
      <c r="F1092" s="271">
        <v>190.4</v>
      </c>
      <c r="G1092" s="271"/>
      <c r="H1092" s="271">
        <f t="shared" si="16"/>
        <v>190.4</v>
      </c>
    </row>
    <row r="1093" spans="1:9" x14ac:dyDescent="0.2">
      <c r="A1093" s="323"/>
      <c r="B1093" s="268" t="s">
        <v>1893</v>
      </c>
      <c r="C1093" s="269">
        <v>42666</v>
      </c>
      <c r="D1093" s="270" t="s">
        <v>3004</v>
      </c>
      <c r="E1093" s="270" t="s">
        <v>3005</v>
      </c>
      <c r="F1093" s="271">
        <v>300</v>
      </c>
      <c r="G1093" s="271"/>
      <c r="H1093" s="271">
        <f t="shared" ref="H1093:H1274" si="17">SUM(F1093:G1093)</f>
        <v>300</v>
      </c>
    </row>
    <row r="1094" spans="1:9" x14ac:dyDescent="0.2">
      <c r="B1094" s="268" t="s">
        <v>1893</v>
      </c>
      <c r="C1094" s="269">
        <v>42666</v>
      </c>
      <c r="D1094" s="270" t="s">
        <v>1924</v>
      </c>
      <c r="E1094" s="270" t="s">
        <v>3006</v>
      </c>
      <c r="F1094" s="271">
        <v>400</v>
      </c>
      <c r="G1094" s="271"/>
      <c r="H1094" s="271">
        <f t="shared" si="17"/>
        <v>400</v>
      </c>
    </row>
    <row r="1095" spans="1:9" x14ac:dyDescent="0.2">
      <c r="B1095" s="268" t="s">
        <v>1893</v>
      </c>
      <c r="C1095" s="269">
        <v>42666</v>
      </c>
      <c r="D1095" s="270" t="s">
        <v>1924</v>
      </c>
      <c r="E1095" s="270" t="s">
        <v>3007</v>
      </c>
      <c r="F1095" s="271">
        <v>400</v>
      </c>
      <c r="G1095" s="271"/>
      <c r="H1095" s="271">
        <f t="shared" si="17"/>
        <v>400</v>
      </c>
    </row>
    <row r="1096" spans="1:9" x14ac:dyDescent="0.2">
      <c r="B1096" s="268" t="s">
        <v>1873</v>
      </c>
      <c r="C1096" s="269">
        <v>42667</v>
      </c>
      <c r="D1096" s="270" t="s">
        <v>1919</v>
      </c>
      <c r="E1096" s="270" t="s">
        <v>3008</v>
      </c>
      <c r="F1096" s="271">
        <v>400</v>
      </c>
      <c r="G1096" s="271"/>
      <c r="H1096" s="271">
        <f t="shared" si="17"/>
        <v>400</v>
      </c>
      <c r="I1096" s="177"/>
    </row>
    <row r="1097" spans="1:9" x14ac:dyDescent="0.2">
      <c r="B1097" s="268" t="s">
        <v>1875</v>
      </c>
      <c r="C1097" s="269">
        <v>42667</v>
      </c>
      <c r="D1097" s="270" t="s">
        <v>1899</v>
      </c>
      <c r="E1097" s="270" t="s">
        <v>2860</v>
      </c>
      <c r="F1097" s="271">
        <v>310</v>
      </c>
      <c r="G1097" s="271"/>
      <c r="H1097" s="271">
        <f t="shared" si="17"/>
        <v>310</v>
      </c>
      <c r="I1097" s="177">
        <f>SUM(H1004:H1097)</f>
        <v>59401.950000000004</v>
      </c>
    </row>
    <row r="1098" spans="1:9" x14ac:dyDescent="0.2">
      <c r="B1098" s="268" t="s">
        <v>1867</v>
      </c>
      <c r="C1098" s="269">
        <v>42667</v>
      </c>
      <c r="D1098" s="270" t="s">
        <v>1881</v>
      </c>
      <c r="E1098" s="270" t="s">
        <v>3009</v>
      </c>
      <c r="F1098" s="271">
        <v>600</v>
      </c>
      <c r="G1098" s="271"/>
      <c r="H1098" s="271">
        <f t="shared" si="17"/>
        <v>600</v>
      </c>
    </row>
    <row r="1099" spans="1:9" x14ac:dyDescent="0.2">
      <c r="B1099" s="268" t="s">
        <v>1869</v>
      </c>
      <c r="C1099" s="269">
        <v>42667</v>
      </c>
      <c r="D1099" s="270" t="s">
        <v>1935</v>
      </c>
      <c r="E1099" s="270" t="s">
        <v>3012</v>
      </c>
      <c r="F1099" s="271">
        <v>150</v>
      </c>
      <c r="G1099" s="271"/>
      <c r="H1099" s="271">
        <f t="shared" si="17"/>
        <v>150</v>
      </c>
    </row>
    <row r="1100" spans="1:9" x14ac:dyDescent="0.2">
      <c r="B1100" s="268" t="s">
        <v>1874</v>
      </c>
      <c r="C1100" s="269">
        <v>42667</v>
      </c>
      <c r="D1100" s="270" t="s">
        <v>3013</v>
      </c>
      <c r="E1100" s="270" t="s">
        <v>3014</v>
      </c>
      <c r="F1100" s="271">
        <v>250</v>
      </c>
      <c r="G1100" s="271"/>
      <c r="H1100" s="271">
        <f t="shared" si="17"/>
        <v>250</v>
      </c>
    </row>
    <row r="1101" spans="1:9" x14ac:dyDescent="0.2">
      <c r="B1101" s="268" t="s">
        <v>1886</v>
      </c>
      <c r="C1101" s="269">
        <v>42667</v>
      </c>
      <c r="D1101" s="270" t="s">
        <v>1920</v>
      </c>
      <c r="E1101" s="270" t="s">
        <v>3015</v>
      </c>
      <c r="F1101" s="271">
        <v>100</v>
      </c>
      <c r="G1101" s="271"/>
      <c r="H1101" s="271">
        <f t="shared" si="17"/>
        <v>100</v>
      </c>
    </row>
    <row r="1102" spans="1:9" x14ac:dyDescent="0.2">
      <c r="B1102" s="268" t="s">
        <v>1869</v>
      </c>
      <c r="C1102" s="269">
        <v>42667</v>
      </c>
      <c r="D1102" s="270" t="s">
        <v>3016</v>
      </c>
      <c r="E1102" s="270" t="s">
        <v>3017</v>
      </c>
      <c r="F1102" s="271">
        <v>350</v>
      </c>
      <c r="G1102" s="271"/>
      <c r="H1102" s="271">
        <f t="shared" si="17"/>
        <v>350</v>
      </c>
    </row>
    <row r="1103" spans="1:9" x14ac:dyDescent="0.2">
      <c r="B1103" s="268" t="s">
        <v>1874</v>
      </c>
      <c r="C1103" s="269">
        <v>42668</v>
      </c>
      <c r="D1103" s="270" t="s">
        <v>3013</v>
      </c>
      <c r="E1103" s="270" t="s">
        <v>3018</v>
      </c>
      <c r="F1103" s="271">
        <v>300</v>
      </c>
      <c r="G1103" s="271"/>
      <c r="H1103" s="271">
        <f t="shared" si="17"/>
        <v>300</v>
      </c>
    </row>
    <row r="1104" spans="1:9" x14ac:dyDescent="0.2">
      <c r="B1104" s="268" t="s">
        <v>1893</v>
      </c>
      <c r="C1104" s="269">
        <v>42668</v>
      </c>
      <c r="D1104" s="270" t="s">
        <v>3019</v>
      </c>
      <c r="E1104" s="270" t="s">
        <v>3020</v>
      </c>
      <c r="F1104" s="271">
        <v>327.5</v>
      </c>
      <c r="G1104" s="271"/>
      <c r="H1104" s="271">
        <f t="shared" si="17"/>
        <v>327.5</v>
      </c>
    </row>
    <row r="1105" spans="2:8" x14ac:dyDescent="0.2">
      <c r="B1105" s="268" t="s">
        <v>1893</v>
      </c>
      <c r="C1105" s="269">
        <v>42668</v>
      </c>
      <c r="D1105" s="270" t="s">
        <v>1921</v>
      </c>
      <c r="E1105" s="270" t="s">
        <v>2403</v>
      </c>
      <c r="F1105" s="271">
        <v>302.56</v>
      </c>
      <c r="G1105" s="271">
        <v>46.94</v>
      </c>
      <c r="H1105" s="271">
        <f t="shared" si="17"/>
        <v>349.5</v>
      </c>
    </row>
    <row r="1106" spans="2:8" x14ac:dyDescent="0.2">
      <c r="B1106" s="268" t="s">
        <v>1886</v>
      </c>
      <c r="C1106" s="269">
        <v>42668</v>
      </c>
      <c r="D1106" s="270" t="s">
        <v>1920</v>
      </c>
      <c r="E1106" s="270" t="s">
        <v>3021</v>
      </c>
      <c r="F1106" s="271">
        <v>28</v>
      </c>
      <c r="G1106" s="271"/>
      <c r="H1106" s="271">
        <f t="shared" si="17"/>
        <v>28</v>
      </c>
    </row>
    <row r="1107" spans="2:8" x14ac:dyDescent="0.2">
      <c r="B1107" s="268" t="s">
        <v>1893</v>
      </c>
      <c r="C1107" s="269">
        <v>42668</v>
      </c>
      <c r="D1107" s="270" t="s">
        <v>3022</v>
      </c>
      <c r="E1107" s="270" t="s">
        <v>3023</v>
      </c>
      <c r="F1107" s="271">
        <v>30</v>
      </c>
      <c r="G1107" s="271"/>
      <c r="H1107" s="271">
        <f t="shared" si="17"/>
        <v>30</v>
      </c>
    </row>
    <row r="1108" spans="2:8" x14ac:dyDescent="0.2">
      <c r="B1108" s="268" t="s">
        <v>1869</v>
      </c>
      <c r="C1108" s="269">
        <v>42668</v>
      </c>
      <c r="D1108" s="270" t="s">
        <v>1935</v>
      </c>
      <c r="E1108" s="270" t="s">
        <v>3024</v>
      </c>
      <c r="F1108" s="271">
        <v>65</v>
      </c>
      <c r="G1108" s="271"/>
      <c r="H1108" s="271">
        <f t="shared" si="17"/>
        <v>65</v>
      </c>
    </row>
    <row r="1109" spans="2:8" x14ac:dyDescent="0.2">
      <c r="B1109" s="268" t="s">
        <v>1879</v>
      </c>
      <c r="C1109" s="269">
        <v>42668</v>
      </c>
      <c r="D1109" s="270" t="s">
        <v>1935</v>
      </c>
      <c r="E1109" s="270" t="s">
        <v>3025</v>
      </c>
      <c r="F1109" s="271">
        <v>44</v>
      </c>
      <c r="G1109" s="271"/>
      <c r="H1109" s="271">
        <f t="shared" si="17"/>
        <v>44</v>
      </c>
    </row>
    <row r="1110" spans="2:8" x14ac:dyDescent="0.2">
      <c r="B1110" s="268" t="s">
        <v>1893</v>
      </c>
      <c r="C1110" s="269">
        <v>42669</v>
      </c>
      <c r="D1110" s="270" t="s">
        <v>1928</v>
      </c>
      <c r="E1110" s="270" t="s">
        <v>2443</v>
      </c>
      <c r="F1110" s="271">
        <v>258</v>
      </c>
      <c r="G1110" s="271"/>
      <c r="H1110" s="271">
        <f t="shared" si="17"/>
        <v>258</v>
      </c>
    </row>
    <row r="1111" spans="2:8" x14ac:dyDescent="0.2">
      <c r="B1111" s="268" t="s">
        <v>1893</v>
      </c>
      <c r="C1111" s="269">
        <v>42669</v>
      </c>
      <c r="D1111" s="270" t="s">
        <v>1902</v>
      </c>
      <c r="E1111" s="270" t="s">
        <v>3026</v>
      </c>
      <c r="F1111" s="271">
        <v>908.7</v>
      </c>
      <c r="G1111" s="271"/>
      <c r="H1111" s="271">
        <f t="shared" si="17"/>
        <v>908.7</v>
      </c>
    </row>
    <row r="1112" spans="2:8" x14ac:dyDescent="0.2">
      <c r="B1112" s="268" t="s">
        <v>1893</v>
      </c>
      <c r="C1112" s="269">
        <v>42670</v>
      </c>
      <c r="D1112" s="270" t="s">
        <v>2987</v>
      </c>
      <c r="E1112" s="270" t="s">
        <v>3027</v>
      </c>
      <c r="F1112" s="271">
        <v>584.66999999999996</v>
      </c>
      <c r="G1112" s="271"/>
      <c r="H1112" s="271">
        <f t="shared" si="17"/>
        <v>584.66999999999996</v>
      </c>
    </row>
    <row r="1113" spans="2:8" x14ac:dyDescent="0.2">
      <c r="B1113" s="268" t="s">
        <v>1893</v>
      </c>
      <c r="C1113" s="269">
        <v>42670</v>
      </c>
      <c r="D1113" s="270" t="s">
        <v>2752</v>
      </c>
      <c r="E1113" s="270" t="s">
        <v>3028</v>
      </c>
      <c r="F1113" s="271">
        <v>108.3</v>
      </c>
      <c r="G1113" s="271"/>
      <c r="H1113" s="271">
        <f t="shared" si="17"/>
        <v>108.3</v>
      </c>
    </row>
    <row r="1114" spans="2:8" x14ac:dyDescent="0.2">
      <c r="B1114" s="268" t="s">
        <v>1893</v>
      </c>
      <c r="C1114" s="269">
        <v>42670</v>
      </c>
      <c r="D1114" s="270" t="s">
        <v>2196</v>
      </c>
      <c r="E1114" s="270" t="s">
        <v>3029</v>
      </c>
      <c r="F1114" s="271">
        <v>360</v>
      </c>
      <c r="G1114" s="271"/>
      <c r="H1114" s="271">
        <f t="shared" si="17"/>
        <v>360</v>
      </c>
    </row>
    <row r="1115" spans="2:8" x14ac:dyDescent="0.2">
      <c r="B1115" s="268" t="s">
        <v>1893</v>
      </c>
      <c r="C1115" s="269">
        <v>42670</v>
      </c>
      <c r="D1115" s="270" t="s">
        <v>1934</v>
      </c>
      <c r="E1115" s="270" t="s">
        <v>3030</v>
      </c>
      <c r="F1115" s="271">
        <v>5</v>
      </c>
      <c r="G1115" s="271"/>
      <c r="H1115" s="271">
        <f t="shared" si="17"/>
        <v>5</v>
      </c>
    </row>
    <row r="1116" spans="2:8" x14ac:dyDescent="0.2">
      <c r="B1116" s="268" t="s">
        <v>1814</v>
      </c>
      <c r="C1116" s="269">
        <v>42671</v>
      </c>
      <c r="D1116" s="270" t="s">
        <v>1919</v>
      </c>
      <c r="E1116" s="270" t="s">
        <v>3032</v>
      </c>
      <c r="F1116" s="271">
        <v>1000</v>
      </c>
      <c r="G1116" s="271"/>
      <c r="H1116" s="271">
        <f t="shared" si="17"/>
        <v>1000</v>
      </c>
    </row>
    <row r="1117" spans="2:8" x14ac:dyDescent="0.2">
      <c r="B1117" s="268" t="s">
        <v>1893</v>
      </c>
      <c r="C1117" s="269">
        <v>42671</v>
      </c>
      <c r="D1117" s="270" t="s">
        <v>1898</v>
      </c>
      <c r="E1117" s="270" t="s">
        <v>2235</v>
      </c>
      <c r="F1117" s="271">
        <v>300</v>
      </c>
      <c r="G1117" s="271"/>
      <c r="H1117" s="271">
        <f t="shared" si="17"/>
        <v>300</v>
      </c>
    </row>
    <row r="1118" spans="2:8" x14ac:dyDescent="0.2">
      <c r="B1118" s="268" t="s">
        <v>1872</v>
      </c>
      <c r="C1118" s="269">
        <v>42672</v>
      </c>
      <c r="D1118" s="270" t="s">
        <v>1887</v>
      </c>
      <c r="E1118" s="270" t="s">
        <v>3033</v>
      </c>
      <c r="F1118" s="271">
        <v>500</v>
      </c>
      <c r="G1118" s="271"/>
      <c r="H1118" s="271">
        <f t="shared" si="17"/>
        <v>500</v>
      </c>
    </row>
    <row r="1119" spans="2:8" x14ac:dyDescent="0.2">
      <c r="B1119" s="268" t="s">
        <v>1875</v>
      </c>
      <c r="C1119" s="269">
        <v>42672</v>
      </c>
      <c r="D1119" s="270" t="s">
        <v>2546</v>
      </c>
      <c r="E1119" s="270" t="s">
        <v>1911</v>
      </c>
      <c r="F1119" s="271">
        <v>24</v>
      </c>
      <c r="G1119" s="271"/>
      <c r="H1119" s="271">
        <f t="shared" si="17"/>
        <v>24</v>
      </c>
    </row>
    <row r="1120" spans="2:8" x14ac:dyDescent="0.2">
      <c r="B1120" s="268" t="s">
        <v>1893</v>
      </c>
      <c r="C1120" s="269">
        <v>42673</v>
      </c>
      <c r="D1120" s="270" t="s">
        <v>2260</v>
      </c>
      <c r="E1120" s="270" t="s">
        <v>3034</v>
      </c>
      <c r="F1120" s="271">
        <v>120</v>
      </c>
      <c r="G1120" s="271"/>
      <c r="H1120" s="271">
        <f t="shared" si="17"/>
        <v>120</v>
      </c>
    </row>
    <row r="1121" spans="2:9" x14ac:dyDescent="0.2">
      <c r="B1121" s="268" t="s">
        <v>1893</v>
      </c>
      <c r="C1121" s="269">
        <v>42673</v>
      </c>
      <c r="D1121" s="270" t="s">
        <v>2546</v>
      </c>
      <c r="E1121" s="270" t="s">
        <v>3035</v>
      </c>
      <c r="F1121" s="271">
        <v>100</v>
      </c>
      <c r="G1121" s="271"/>
      <c r="H1121" s="271">
        <f t="shared" si="17"/>
        <v>100</v>
      </c>
    </row>
    <row r="1122" spans="2:9" x14ac:dyDescent="0.2">
      <c r="B1122" s="268" t="s">
        <v>1893</v>
      </c>
      <c r="C1122" s="269">
        <v>42673</v>
      </c>
      <c r="D1122" s="270" t="s">
        <v>2546</v>
      </c>
      <c r="E1122" s="270" t="s">
        <v>3036</v>
      </c>
      <c r="F1122" s="271">
        <v>95.5</v>
      </c>
      <c r="G1122" s="271"/>
      <c r="H1122" s="271">
        <f t="shared" si="17"/>
        <v>95.5</v>
      </c>
    </row>
    <row r="1123" spans="2:9" x14ac:dyDescent="0.2">
      <c r="B1123" s="268" t="s">
        <v>1893</v>
      </c>
      <c r="C1123" s="269">
        <v>42673</v>
      </c>
      <c r="D1123" s="270" t="s">
        <v>2774</v>
      </c>
      <c r="E1123" s="270" t="s">
        <v>3037</v>
      </c>
      <c r="F1123" s="271">
        <v>400</v>
      </c>
      <c r="G1123" s="271"/>
      <c r="H1123" s="271">
        <f t="shared" si="17"/>
        <v>400</v>
      </c>
    </row>
    <row r="1124" spans="2:9" x14ac:dyDescent="0.2">
      <c r="B1124" s="268" t="s">
        <v>1893</v>
      </c>
      <c r="C1124" s="269">
        <v>42674</v>
      </c>
      <c r="D1124" s="270" t="s">
        <v>3038</v>
      </c>
      <c r="E1124" s="270" t="s">
        <v>3039</v>
      </c>
      <c r="F1124" s="271">
        <v>450</v>
      </c>
      <c r="G1124" s="271"/>
      <c r="H1124" s="271">
        <f t="shared" si="17"/>
        <v>450</v>
      </c>
    </row>
    <row r="1125" spans="2:9" x14ac:dyDescent="0.2">
      <c r="B1125" s="268" t="s">
        <v>1893</v>
      </c>
      <c r="C1125" s="269">
        <v>42674</v>
      </c>
      <c r="D1125" s="270" t="s">
        <v>2260</v>
      </c>
      <c r="E1125" s="270" t="s">
        <v>3040</v>
      </c>
      <c r="F1125" s="271">
        <v>300</v>
      </c>
      <c r="G1125" s="271"/>
      <c r="H1125" s="271">
        <f t="shared" si="17"/>
        <v>300</v>
      </c>
    </row>
    <row r="1126" spans="2:9" x14ac:dyDescent="0.2">
      <c r="B1126" s="268" t="s">
        <v>1893</v>
      </c>
      <c r="C1126" s="269">
        <v>42674</v>
      </c>
      <c r="D1126" s="270" t="s">
        <v>1882</v>
      </c>
      <c r="E1126" s="270" t="s">
        <v>3041</v>
      </c>
      <c r="F1126" s="271">
        <v>450</v>
      </c>
      <c r="G1126" s="271"/>
      <c r="H1126" s="271">
        <f t="shared" si="17"/>
        <v>450</v>
      </c>
    </row>
    <row r="1127" spans="2:9" x14ac:dyDescent="0.2">
      <c r="B1127" s="268" t="s">
        <v>1875</v>
      </c>
      <c r="C1127" s="269">
        <v>42674</v>
      </c>
      <c r="D1127" s="270" t="s">
        <v>1899</v>
      </c>
      <c r="E1127" s="270" t="s">
        <v>2741</v>
      </c>
      <c r="F1127" s="271">
        <v>320</v>
      </c>
      <c r="G1127" s="271"/>
      <c r="H1127" s="271">
        <f t="shared" si="17"/>
        <v>320</v>
      </c>
    </row>
    <row r="1128" spans="2:9" x14ac:dyDescent="0.2">
      <c r="B1128" s="268" t="s">
        <v>1893</v>
      </c>
      <c r="C1128" s="269">
        <v>42674</v>
      </c>
      <c r="D1128" s="270" t="s">
        <v>1902</v>
      </c>
      <c r="E1128" s="270" t="s">
        <v>3042</v>
      </c>
      <c r="F1128" s="271">
        <v>128</v>
      </c>
      <c r="G1128" s="271"/>
      <c r="H1128" s="271">
        <f t="shared" si="17"/>
        <v>128</v>
      </c>
    </row>
    <row r="1129" spans="2:9" x14ac:dyDescent="0.2">
      <c r="B1129" s="268" t="s">
        <v>1893</v>
      </c>
      <c r="C1129" s="269">
        <v>42674</v>
      </c>
      <c r="D1129" s="270" t="s">
        <v>1902</v>
      </c>
      <c r="E1129" s="270" t="s">
        <v>3043</v>
      </c>
      <c r="F1129" s="271">
        <v>379.91</v>
      </c>
      <c r="G1129" s="271"/>
      <c r="H1129" s="271">
        <f t="shared" si="17"/>
        <v>379.91</v>
      </c>
    </row>
    <row r="1130" spans="2:9" x14ac:dyDescent="0.2">
      <c r="B1130" s="268" t="s">
        <v>1585</v>
      </c>
      <c r="C1130" s="269">
        <v>42674</v>
      </c>
      <c r="D1130" s="270" t="s">
        <v>1908</v>
      </c>
      <c r="E1130" s="270" t="s">
        <v>3044</v>
      </c>
      <c r="F1130" s="271">
        <v>19000</v>
      </c>
      <c r="G1130" s="271"/>
      <c r="H1130" s="271">
        <f t="shared" si="17"/>
        <v>19000</v>
      </c>
    </row>
    <row r="1131" spans="2:9" x14ac:dyDescent="0.2">
      <c r="B1131" s="268" t="s">
        <v>1868</v>
      </c>
      <c r="C1131" s="269">
        <v>42674</v>
      </c>
      <c r="D1131" s="270" t="s">
        <v>1920</v>
      </c>
      <c r="E1131" s="270" t="s">
        <v>1940</v>
      </c>
      <c r="F1131" s="271">
        <v>4000</v>
      </c>
      <c r="G1131" s="271"/>
      <c r="H1131" s="271">
        <f t="shared" si="17"/>
        <v>4000</v>
      </c>
      <c r="I1131" s="177">
        <f>SUM(H1004:H1131)</f>
        <v>91788.03</v>
      </c>
    </row>
    <row r="1132" spans="2:9" x14ac:dyDescent="0.2">
      <c r="B1132" s="268" t="s">
        <v>1896</v>
      </c>
      <c r="C1132" s="269">
        <v>42648</v>
      </c>
      <c r="D1132" s="270" t="s">
        <v>1537</v>
      </c>
      <c r="E1132" s="270" t="s">
        <v>1539</v>
      </c>
      <c r="F1132" s="271">
        <v>-0.46</v>
      </c>
      <c r="G1132" s="271"/>
      <c r="H1132" s="271">
        <f t="shared" si="17"/>
        <v>-0.46</v>
      </c>
    </row>
    <row r="1133" spans="2:9" x14ac:dyDescent="0.2">
      <c r="B1133" s="268" t="s">
        <v>1799</v>
      </c>
      <c r="C1133" s="269">
        <v>42667</v>
      </c>
      <c r="D1133" s="270" t="s">
        <v>1918</v>
      </c>
      <c r="E1133" s="270" t="s">
        <v>3046</v>
      </c>
      <c r="F1133" s="271"/>
      <c r="G1133" s="271">
        <v>-1760</v>
      </c>
      <c r="H1133" s="271">
        <f t="shared" si="17"/>
        <v>-1760</v>
      </c>
    </row>
    <row r="1134" spans="2:9" x14ac:dyDescent="0.2">
      <c r="B1134" s="268" t="s">
        <v>1896</v>
      </c>
      <c r="C1134" s="269">
        <v>42674</v>
      </c>
      <c r="D1134" s="270" t="s">
        <v>1606</v>
      </c>
      <c r="E1134" s="270" t="s">
        <v>2239</v>
      </c>
      <c r="F1134" s="271">
        <v>42</v>
      </c>
      <c r="G1134" s="271"/>
      <c r="H1134" s="271">
        <f t="shared" si="17"/>
        <v>42</v>
      </c>
    </row>
    <row r="1135" spans="2:9" x14ac:dyDescent="0.2">
      <c r="B1135" s="268" t="s">
        <v>1799</v>
      </c>
      <c r="C1135" s="269">
        <v>42674</v>
      </c>
      <c r="D1135" s="270" t="s">
        <v>1606</v>
      </c>
      <c r="E1135" s="270" t="s">
        <v>2240</v>
      </c>
      <c r="F1135" s="271"/>
      <c r="G1135" s="271">
        <v>6.72</v>
      </c>
      <c r="H1135" s="271">
        <f t="shared" si="17"/>
        <v>6.72</v>
      </c>
    </row>
    <row r="1136" spans="2:9" x14ac:dyDescent="0.2">
      <c r="B1136" s="335" t="s">
        <v>1893</v>
      </c>
      <c r="C1136" s="336">
        <v>42440</v>
      </c>
      <c r="D1136" s="337" t="s">
        <v>1947</v>
      </c>
      <c r="E1136" s="337" t="s">
        <v>2178</v>
      </c>
      <c r="F1136" s="338">
        <v>1050</v>
      </c>
      <c r="G1136" s="338"/>
      <c r="H1136" s="338">
        <f t="shared" si="17"/>
        <v>1050</v>
      </c>
      <c r="I1136" s="177">
        <f>SUM(H1004:H1135)</f>
        <v>90076.29</v>
      </c>
    </row>
    <row r="1137" spans="2:9" x14ac:dyDescent="0.2">
      <c r="B1137" s="335" t="s">
        <v>1893</v>
      </c>
      <c r="C1137" s="336">
        <v>42440</v>
      </c>
      <c r="D1137" s="337"/>
      <c r="E1137" s="337"/>
      <c r="F1137" s="338">
        <v>-10584.77</v>
      </c>
      <c r="G1137" s="338"/>
      <c r="H1137" s="338">
        <f t="shared" si="17"/>
        <v>-10584.77</v>
      </c>
      <c r="I1137" s="177"/>
    </row>
    <row r="1138" spans="2:9" x14ac:dyDescent="0.2">
      <c r="B1138" s="268"/>
      <c r="C1138" s="269"/>
      <c r="D1138" s="270"/>
      <c r="E1138" s="270"/>
      <c r="F1138" s="271"/>
      <c r="G1138" s="271"/>
      <c r="H1138" s="271">
        <f t="shared" si="17"/>
        <v>0</v>
      </c>
    </row>
    <row r="1139" spans="2:9" ht="12.75" customHeight="1" x14ac:dyDescent="0.2">
      <c r="B1139" s="261" t="s">
        <v>1859</v>
      </c>
      <c r="C1139" s="261" t="s">
        <v>1860</v>
      </c>
      <c r="D1139" s="262" t="s">
        <v>1861</v>
      </c>
      <c r="E1139" s="262" t="s">
        <v>1862</v>
      </c>
      <c r="F1139" s="263" t="s">
        <v>1863</v>
      </c>
      <c r="G1139" s="263" t="s">
        <v>1864</v>
      </c>
      <c r="H1139" s="263" t="s">
        <v>1865</v>
      </c>
    </row>
    <row r="1140" spans="2:9" x14ac:dyDescent="0.2">
      <c r="B1140" s="268" t="s">
        <v>1585</v>
      </c>
      <c r="C1140" s="269">
        <v>42674</v>
      </c>
      <c r="D1140" s="270" t="s">
        <v>1908</v>
      </c>
      <c r="E1140" s="270" t="s">
        <v>3045</v>
      </c>
      <c r="F1140" s="271">
        <v>10000</v>
      </c>
      <c r="G1140" s="271"/>
      <c r="H1140" s="271">
        <f t="shared" si="17"/>
        <v>10000</v>
      </c>
    </row>
    <row r="1141" spans="2:9" x14ac:dyDescent="0.2">
      <c r="B1141" s="268" t="s">
        <v>1872</v>
      </c>
      <c r="C1141" s="269">
        <v>42675</v>
      </c>
      <c r="D1141" s="270" t="s">
        <v>2430</v>
      </c>
      <c r="E1141" s="270" t="s">
        <v>3050</v>
      </c>
      <c r="F1141" s="271">
        <v>370</v>
      </c>
      <c r="G1141" s="271"/>
      <c r="H1141" s="271">
        <f t="shared" si="17"/>
        <v>370</v>
      </c>
    </row>
    <row r="1142" spans="2:9" x14ac:dyDescent="0.2">
      <c r="B1142" s="268" t="s">
        <v>1874</v>
      </c>
      <c r="C1142" s="269">
        <v>42676</v>
      </c>
      <c r="D1142" s="270" t="s">
        <v>3051</v>
      </c>
      <c r="E1142" s="270" t="s">
        <v>3052</v>
      </c>
      <c r="F1142" s="271">
        <v>150</v>
      </c>
      <c r="G1142" s="271"/>
      <c r="H1142" s="271">
        <f t="shared" si="17"/>
        <v>150</v>
      </c>
    </row>
    <row r="1143" spans="2:9" x14ac:dyDescent="0.2">
      <c r="B1143" s="268" t="s">
        <v>1893</v>
      </c>
      <c r="C1143" s="269">
        <v>42676</v>
      </c>
      <c r="D1143" s="270" t="s">
        <v>3053</v>
      </c>
      <c r="E1143" s="270" t="s">
        <v>3054</v>
      </c>
      <c r="F1143" s="271">
        <v>181.54</v>
      </c>
      <c r="G1143" s="271">
        <v>28.16</v>
      </c>
      <c r="H1143" s="271">
        <f t="shared" si="17"/>
        <v>209.7</v>
      </c>
    </row>
    <row r="1144" spans="2:9" x14ac:dyDescent="0.2">
      <c r="B1144" s="268" t="s">
        <v>1872</v>
      </c>
      <c r="C1144" s="269">
        <v>42676</v>
      </c>
      <c r="D1144" s="270" t="s">
        <v>2378</v>
      </c>
      <c r="E1144" s="270" t="s">
        <v>3055</v>
      </c>
      <c r="F1144" s="271">
        <v>750</v>
      </c>
      <c r="G1144" s="271"/>
      <c r="H1144" s="271">
        <f t="shared" si="17"/>
        <v>750</v>
      </c>
    </row>
    <row r="1145" spans="2:9" x14ac:dyDescent="0.2">
      <c r="B1145" s="268" t="s">
        <v>1893</v>
      </c>
      <c r="C1145" s="269">
        <v>42676</v>
      </c>
      <c r="D1145" s="270" t="s">
        <v>1924</v>
      </c>
      <c r="E1145" s="270" t="s">
        <v>3056</v>
      </c>
      <c r="F1145" s="271">
        <v>400</v>
      </c>
      <c r="G1145" s="271"/>
      <c r="H1145" s="271">
        <f t="shared" si="17"/>
        <v>400</v>
      </c>
    </row>
    <row r="1146" spans="2:9" x14ac:dyDescent="0.2">
      <c r="B1146" s="268" t="s">
        <v>1875</v>
      </c>
      <c r="C1146" s="269">
        <v>42677</v>
      </c>
      <c r="D1146" s="270" t="s">
        <v>1899</v>
      </c>
      <c r="E1146" s="270" t="s">
        <v>2741</v>
      </c>
      <c r="F1146" s="271">
        <v>310</v>
      </c>
      <c r="G1146" s="271"/>
      <c r="H1146" s="271">
        <f t="shared" si="17"/>
        <v>310</v>
      </c>
    </row>
    <row r="1147" spans="2:9" x14ac:dyDescent="0.2">
      <c r="B1147" s="268" t="s">
        <v>1814</v>
      </c>
      <c r="C1147" s="269">
        <v>41217</v>
      </c>
      <c r="D1147" s="270" t="s">
        <v>1919</v>
      </c>
      <c r="E1147" s="270" t="s">
        <v>3057</v>
      </c>
      <c r="F1147" s="271">
        <v>1000</v>
      </c>
      <c r="G1147" s="271"/>
      <c r="H1147" s="271">
        <f t="shared" si="17"/>
        <v>1000</v>
      </c>
    </row>
    <row r="1148" spans="2:9" x14ac:dyDescent="0.2">
      <c r="B1148" s="268" t="s">
        <v>1879</v>
      </c>
      <c r="C1148" s="269">
        <v>42678</v>
      </c>
      <c r="D1148" s="270" t="s">
        <v>1901</v>
      </c>
      <c r="E1148" s="270" t="s">
        <v>3058</v>
      </c>
      <c r="F1148" s="271">
        <v>350</v>
      </c>
      <c r="G1148" s="271"/>
      <c r="H1148" s="271">
        <f t="shared" si="17"/>
        <v>350</v>
      </c>
    </row>
    <row r="1149" spans="2:9" x14ac:dyDescent="0.2">
      <c r="B1149" s="268" t="s">
        <v>1874</v>
      </c>
      <c r="C1149" s="269">
        <v>42678</v>
      </c>
      <c r="D1149" s="270" t="s">
        <v>3059</v>
      </c>
      <c r="E1149" s="270" t="s">
        <v>3060</v>
      </c>
      <c r="F1149" s="271">
        <v>320</v>
      </c>
      <c r="G1149" s="271"/>
      <c r="H1149" s="271">
        <f t="shared" si="17"/>
        <v>320</v>
      </c>
    </row>
    <row r="1150" spans="2:9" x14ac:dyDescent="0.2">
      <c r="B1150" s="268" t="s">
        <v>1874</v>
      </c>
      <c r="C1150" s="269">
        <v>42678</v>
      </c>
      <c r="D1150" s="270" t="s">
        <v>3059</v>
      </c>
      <c r="E1150" s="270" t="s">
        <v>3061</v>
      </c>
      <c r="F1150" s="271">
        <v>370</v>
      </c>
      <c r="G1150" s="271"/>
      <c r="H1150" s="271">
        <f t="shared" si="17"/>
        <v>370</v>
      </c>
    </row>
    <row r="1151" spans="2:9" x14ac:dyDescent="0.2">
      <c r="B1151" s="268" t="s">
        <v>1879</v>
      </c>
      <c r="C1151" s="269">
        <v>42678</v>
      </c>
      <c r="D1151" s="270" t="s">
        <v>1901</v>
      </c>
      <c r="E1151" s="270" t="s">
        <v>3062</v>
      </c>
      <c r="F1151" s="271">
        <v>50</v>
      </c>
      <c r="G1151" s="271"/>
      <c r="H1151" s="271">
        <f t="shared" si="17"/>
        <v>50</v>
      </c>
    </row>
    <row r="1152" spans="2:9" x14ac:dyDescent="0.2">
      <c r="B1152" s="268" t="s">
        <v>1874</v>
      </c>
      <c r="C1152" s="269">
        <v>42678</v>
      </c>
      <c r="D1152" s="270" t="s">
        <v>3059</v>
      </c>
      <c r="E1152" s="270" t="s">
        <v>3063</v>
      </c>
      <c r="F1152" s="271">
        <v>350</v>
      </c>
      <c r="G1152" s="271"/>
      <c r="H1152" s="271">
        <f t="shared" si="17"/>
        <v>350</v>
      </c>
    </row>
    <row r="1153" spans="2:8" x14ac:dyDescent="0.2">
      <c r="B1153" s="268" t="s">
        <v>1879</v>
      </c>
      <c r="C1153" s="269">
        <v>42678</v>
      </c>
      <c r="D1153" s="270" t="s">
        <v>1901</v>
      </c>
      <c r="E1153" s="270" t="s">
        <v>3064</v>
      </c>
      <c r="F1153" s="271">
        <v>100</v>
      </c>
      <c r="G1153" s="271"/>
      <c r="H1153" s="271">
        <f t="shared" si="17"/>
        <v>100</v>
      </c>
    </row>
    <row r="1154" spans="2:8" x14ac:dyDescent="0.2">
      <c r="B1154" s="268" t="s">
        <v>1830</v>
      </c>
      <c r="C1154" s="269">
        <v>42678</v>
      </c>
      <c r="D1154" s="270" t="s">
        <v>3065</v>
      </c>
      <c r="E1154" s="270" t="s">
        <v>2363</v>
      </c>
      <c r="F1154" s="271">
        <v>3000</v>
      </c>
      <c r="G1154" s="271"/>
      <c r="H1154" s="271">
        <f t="shared" si="17"/>
        <v>3000</v>
      </c>
    </row>
    <row r="1155" spans="2:8" x14ac:dyDescent="0.2">
      <c r="B1155" s="268" t="s">
        <v>1872</v>
      </c>
      <c r="C1155" s="269">
        <v>42679</v>
      </c>
      <c r="D1155" s="270" t="s">
        <v>1887</v>
      </c>
      <c r="E1155" s="270" t="s">
        <v>3066</v>
      </c>
      <c r="F1155" s="271">
        <v>500</v>
      </c>
      <c r="G1155" s="271"/>
      <c r="H1155" s="271">
        <f t="shared" si="17"/>
        <v>500</v>
      </c>
    </row>
    <row r="1156" spans="2:8" x14ac:dyDescent="0.2">
      <c r="B1156" s="268" t="s">
        <v>1893</v>
      </c>
      <c r="C1156" s="269">
        <v>42680</v>
      </c>
      <c r="D1156" s="270" t="s">
        <v>2260</v>
      </c>
      <c r="E1156" s="270" t="s">
        <v>2331</v>
      </c>
      <c r="F1156" s="271">
        <v>120</v>
      </c>
      <c r="G1156" s="271"/>
      <c r="H1156" s="271">
        <f t="shared" si="17"/>
        <v>120</v>
      </c>
    </row>
    <row r="1157" spans="2:8" x14ac:dyDescent="0.2">
      <c r="B1157" s="268" t="s">
        <v>1873</v>
      </c>
      <c r="C1157" s="269">
        <v>42680</v>
      </c>
      <c r="D1157" s="270" t="s">
        <v>2546</v>
      </c>
      <c r="E1157" s="270" t="s">
        <v>3067</v>
      </c>
      <c r="F1157" s="271">
        <v>154.88999999999999</v>
      </c>
      <c r="G1157" s="271"/>
      <c r="H1157" s="271">
        <f t="shared" si="17"/>
        <v>154.88999999999999</v>
      </c>
    </row>
    <row r="1158" spans="2:8" x14ac:dyDescent="0.2">
      <c r="B1158" s="268" t="s">
        <v>1873</v>
      </c>
      <c r="C1158" s="269">
        <v>42681</v>
      </c>
      <c r="D1158" s="270" t="s">
        <v>1919</v>
      </c>
      <c r="E1158" s="270" t="s">
        <v>3068</v>
      </c>
      <c r="F1158" s="271">
        <v>400</v>
      </c>
      <c r="G1158" s="271"/>
      <c r="H1158" s="271">
        <f t="shared" si="17"/>
        <v>400</v>
      </c>
    </row>
    <row r="1159" spans="2:8" x14ac:dyDescent="0.2">
      <c r="B1159" s="268" t="s">
        <v>1875</v>
      </c>
      <c r="C1159" s="269">
        <v>42681</v>
      </c>
      <c r="D1159" s="270" t="s">
        <v>1899</v>
      </c>
      <c r="E1159" s="270" t="s">
        <v>2741</v>
      </c>
      <c r="F1159" s="271">
        <v>310</v>
      </c>
      <c r="G1159" s="271"/>
      <c r="H1159" s="271">
        <f t="shared" si="17"/>
        <v>310</v>
      </c>
    </row>
    <row r="1160" spans="2:8" x14ac:dyDescent="0.2">
      <c r="B1160" s="268" t="s">
        <v>1893</v>
      </c>
      <c r="C1160" s="269">
        <v>42681</v>
      </c>
      <c r="D1160" s="270" t="s">
        <v>3069</v>
      </c>
      <c r="E1160" s="270" t="s">
        <v>3070</v>
      </c>
      <c r="F1160" s="271">
        <v>279.60000000000002</v>
      </c>
      <c r="G1160" s="271"/>
      <c r="H1160" s="271">
        <f t="shared" si="17"/>
        <v>279.60000000000002</v>
      </c>
    </row>
    <row r="1161" spans="2:8" x14ac:dyDescent="0.2">
      <c r="B1161" s="268" t="s">
        <v>1893</v>
      </c>
      <c r="C1161" s="269">
        <v>42682</v>
      </c>
      <c r="D1161" s="270" t="s">
        <v>1898</v>
      </c>
      <c r="E1161" s="270" t="s">
        <v>3071</v>
      </c>
      <c r="F1161" s="271">
        <v>350</v>
      </c>
      <c r="G1161" s="271"/>
      <c r="H1161" s="271">
        <f t="shared" si="17"/>
        <v>350</v>
      </c>
    </row>
    <row r="1162" spans="2:8" x14ac:dyDescent="0.2">
      <c r="B1162" s="268" t="s">
        <v>1876</v>
      </c>
      <c r="C1162" s="269">
        <v>42682</v>
      </c>
      <c r="D1162" s="270" t="s">
        <v>1903</v>
      </c>
      <c r="E1162" s="270" t="s">
        <v>3072</v>
      </c>
      <c r="F1162" s="271">
        <v>786</v>
      </c>
      <c r="G1162" s="271"/>
      <c r="H1162" s="271">
        <f t="shared" si="17"/>
        <v>786</v>
      </c>
    </row>
    <row r="1163" spans="2:8" x14ac:dyDescent="0.2">
      <c r="B1163" s="268" t="s">
        <v>1884</v>
      </c>
      <c r="C1163" s="269">
        <v>42683</v>
      </c>
      <c r="D1163" s="270" t="s">
        <v>3073</v>
      </c>
      <c r="E1163" s="270" t="s">
        <v>1951</v>
      </c>
      <c r="F1163" s="271">
        <v>400</v>
      </c>
      <c r="G1163" s="271"/>
      <c r="H1163" s="271">
        <f t="shared" si="17"/>
        <v>400</v>
      </c>
    </row>
    <row r="1164" spans="2:8" x14ac:dyDescent="0.2">
      <c r="B1164" s="268" t="s">
        <v>1884</v>
      </c>
      <c r="C1164" s="269">
        <v>42683</v>
      </c>
      <c r="D1164" s="270" t="s">
        <v>3074</v>
      </c>
      <c r="E1164" s="270" t="s">
        <v>3075</v>
      </c>
      <c r="F1164" s="271">
        <v>15</v>
      </c>
      <c r="G1164" s="271"/>
      <c r="H1164" s="271">
        <f t="shared" si="17"/>
        <v>15</v>
      </c>
    </row>
    <row r="1165" spans="2:8" x14ac:dyDescent="0.2">
      <c r="B1165" s="268" t="s">
        <v>1869</v>
      </c>
      <c r="C1165" s="269">
        <v>42683</v>
      </c>
      <c r="D1165" s="270" t="s">
        <v>1900</v>
      </c>
      <c r="E1165" s="270" t="s">
        <v>3076</v>
      </c>
      <c r="F1165" s="271">
        <v>1312.9</v>
      </c>
      <c r="G1165" s="271"/>
      <c r="H1165" s="271">
        <f t="shared" si="17"/>
        <v>1312.9</v>
      </c>
    </row>
    <row r="1166" spans="2:8" x14ac:dyDescent="0.2">
      <c r="B1166" s="268" t="s">
        <v>1872</v>
      </c>
      <c r="C1166" s="269">
        <v>42684</v>
      </c>
      <c r="D1166" s="270" t="s">
        <v>1887</v>
      </c>
      <c r="E1166" s="270" t="s">
        <v>3077</v>
      </c>
      <c r="F1166" s="271">
        <v>500</v>
      </c>
      <c r="G1166" s="271"/>
      <c r="H1166" s="271">
        <f t="shared" si="17"/>
        <v>500</v>
      </c>
    </row>
    <row r="1167" spans="2:8" x14ac:dyDescent="0.2">
      <c r="B1167" s="268" t="s">
        <v>1872</v>
      </c>
      <c r="C1167" s="269">
        <v>42684</v>
      </c>
      <c r="D1167" s="270" t="s">
        <v>1882</v>
      </c>
      <c r="E1167" s="270" t="s">
        <v>3078</v>
      </c>
      <c r="F1167" s="271">
        <v>200</v>
      </c>
      <c r="G1167" s="271"/>
      <c r="H1167" s="271">
        <f t="shared" si="17"/>
        <v>200</v>
      </c>
    </row>
    <row r="1168" spans="2:8" x14ac:dyDescent="0.2">
      <c r="B1168" s="268" t="s">
        <v>1879</v>
      </c>
      <c r="C1168" s="269">
        <v>42684</v>
      </c>
      <c r="D1168" s="270" t="s">
        <v>1901</v>
      </c>
      <c r="E1168" s="270" t="s">
        <v>3079</v>
      </c>
      <c r="F1168" s="271">
        <v>800</v>
      </c>
      <c r="G1168" s="271"/>
      <c r="H1168" s="271">
        <f t="shared" si="17"/>
        <v>800</v>
      </c>
    </row>
    <row r="1169" spans="2:8" x14ac:dyDescent="0.2">
      <c r="B1169" s="268" t="s">
        <v>1879</v>
      </c>
      <c r="C1169" s="269">
        <v>42684</v>
      </c>
      <c r="D1169" s="270" t="s">
        <v>1901</v>
      </c>
      <c r="E1169" s="270" t="s">
        <v>3080</v>
      </c>
      <c r="F1169" s="271">
        <v>250</v>
      </c>
      <c r="G1169" s="271"/>
      <c r="H1169" s="271">
        <f t="shared" si="17"/>
        <v>250</v>
      </c>
    </row>
    <row r="1170" spans="2:8" x14ac:dyDescent="0.2">
      <c r="B1170" s="268" t="s">
        <v>1879</v>
      </c>
      <c r="C1170" s="269">
        <v>42684</v>
      </c>
      <c r="D1170" s="270" t="s">
        <v>1901</v>
      </c>
      <c r="E1170" s="270" t="s">
        <v>3081</v>
      </c>
      <c r="F1170" s="271">
        <v>1470</v>
      </c>
      <c r="G1170" s="271"/>
      <c r="H1170" s="271">
        <f t="shared" si="17"/>
        <v>1470</v>
      </c>
    </row>
    <row r="1171" spans="2:8" x14ac:dyDescent="0.2">
      <c r="B1171" s="268" t="s">
        <v>1879</v>
      </c>
      <c r="C1171" s="269">
        <v>42684</v>
      </c>
      <c r="D1171" s="270" t="s">
        <v>1901</v>
      </c>
      <c r="E1171" s="270" t="s">
        <v>3082</v>
      </c>
      <c r="F1171" s="271">
        <v>600</v>
      </c>
      <c r="G1171" s="271"/>
      <c r="H1171" s="271">
        <f t="shared" si="17"/>
        <v>600</v>
      </c>
    </row>
    <row r="1172" spans="2:8" x14ac:dyDescent="0.2">
      <c r="B1172" s="268" t="s">
        <v>1893</v>
      </c>
      <c r="C1172" s="269">
        <v>42684</v>
      </c>
      <c r="D1172" s="270" t="s">
        <v>1902</v>
      </c>
      <c r="E1172" s="270" t="s">
        <v>3083</v>
      </c>
      <c r="F1172" s="271">
        <v>30</v>
      </c>
      <c r="G1172" s="271"/>
      <c r="H1172" s="271">
        <f t="shared" si="17"/>
        <v>30</v>
      </c>
    </row>
    <row r="1173" spans="2:8" x14ac:dyDescent="0.2">
      <c r="B1173" s="268" t="s">
        <v>1893</v>
      </c>
      <c r="C1173" s="269">
        <v>42685</v>
      </c>
      <c r="D1173" s="270" t="s">
        <v>3084</v>
      </c>
      <c r="E1173" s="270" t="s">
        <v>3085</v>
      </c>
      <c r="F1173" s="271">
        <v>47</v>
      </c>
      <c r="G1173" s="271"/>
      <c r="H1173" s="271">
        <f t="shared" si="17"/>
        <v>47</v>
      </c>
    </row>
    <row r="1174" spans="2:8" x14ac:dyDescent="0.2">
      <c r="B1174" s="268" t="s">
        <v>1814</v>
      </c>
      <c r="C1174" s="269">
        <v>42685</v>
      </c>
      <c r="D1174" s="270" t="s">
        <v>1919</v>
      </c>
      <c r="E1174" s="270" t="s">
        <v>3086</v>
      </c>
      <c r="F1174" s="271">
        <v>1000</v>
      </c>
      <c r="G1174" s="271"/>
      <c r="H1174" s="271">
        <f t="shared" si="17"/>
        <v>1000</v>
      </c>
    </row>
    <row r="1175" spans="2:8" x14ac:dyDescent="0.2">
      <c r="B1175" s="268" t="s">
        <v>1872</v>
      </c>
      <c r="C1175" s="269">
        <v>42686</v>
      </c>
      <c r="D1175" s="270" t="s">
        <v>1887</v>
      </c>
      <c r="E1175" s="270" t="s">
        <v>3087</v>
      </c>
      <c r="F1175" s="271">
        <v>500</v>
      </c>
      <c r="G1175" s="271"/>
      <c r="H1175" s="271">
        <f t="shared" si="17"/>
        <v>500</v>
      </c>
    </row>
    <row r="1176" spans="2:8" x14ac:dyDescent="0.2">
      <c r="B1176" s="268" t="s">
        <v>1880</v>
      </c>
      <c r="C1176" s="269">
        <v>42686</v>
      </c>
      <c r="D1176" s="270" t="s">
        <v>2967</v>
      </c>
      <c r="E1176" s="270" t="s">
        <v>3088</v>
      </c>
      <c r="F1176" s="271">
        <v>200</v>
      </c>
      <c r="G1176" s="271"/>
      <c r="H1176" s="271">
        <f t="shared" si="17"/>
        <v>200</v>
      </c>
    </row>
    <row r="1177" spans="2:8" x14ac:dyDescent="0.2">
      <c r="B1177" s="268" t="s">
        <v>1880</v>
      </c>
      <c r="C1177" s="269">
        <v>42686</v>
      </c>
      <c r="D1177" s="270" t="s">
        <v>3089</v>
      </c>
      <c r="E1177" s="270" t="s">
        <v>3090</v>
      </c>
      <c r="F1177" s="271">
        <v>450</v>
      </c>
      <c r="G1177" s="271"/>
      <c r="H1177" s="271">
        <f t="shared" si="17"/>
        <v>450</v>
      </c>
    </row>
    <row r="1178" spans="2:8" x14ac:dyDescent="0.2">
      <c r="B1178" s="268" t="s">
        <v>1880</v>
      </c>
      <c r="C1178" s="269">
        <v>42686</v>
      </c>
      <c r="D1178" s="270" t="s">
        <v>3089</v>
      </c>
      <c r="E1178" s="270" t="s">
        <v>3090</v>
      </c>
      <c r="F1178" s="271">
        <v>430</v>
      </c>
      <c r="G1178" s="271"/>
      <c r="H1178" s="271">
        <f t="shared" si="17"/>
        <v>430</v>
      </c>
    </row>
    <row r="1179" spans="2:8" x14ac:dyDescent="0.2">
      <c r="B1179" s="268" t="s">
        <v>1873</v>
      </c>
      <c r="C1179" s="269">
        <v>42686</v>
      </c>
      <c r="D1179" s="270" t="s">
        <v>2546</v>
      </c>
      <c r="E1179" s="270" t="s">
        <v>3067</v>
      </c>
      <c r="F1179" s="271">
        <v>145</v>
      </c>
      <c r="G1179" s="271"/>
      <c r="H1179" s="271">
        <f t="shared" si="17"/>
        <v>145</v>
      </c>
    </row>
    <row r="1180" spans="2:8" x14ac:dyDescent="0.2">
      <c r="B1180" s="268" t="s">
        <v>1893</v>
      </c>
      <c r="C1180" s="269">
        <v>42687</v>
      </c>
      <c r="D1180" s="270" t="s">
        <v>2260</v>
      </c>
      <c r="E1180" s="270" t="s">
        <v>2035</v>
      </c>
      <c r="F1180" s="271">
        <v>120</v>
      </c>
      <c r="G1180" s="271"/>
      <c r="H1180" s="271">
        <f t="shared" si="17"/>
        <v>120</v>
      </c>
    </row>
    <row r="1181" spans="2:8" x14ac:dyDescent="0.2">
      <c r="B1181" s="268" t="s">
        <v>1872</v>
      </c>
      <c r="C1181" s="269">
        <v>42687</v>
      </c>
      <c r="D1181" s="270" t="s">
        <v>2260</v>
      </c>
      <c r="E1181" s="270" t="s">
        <v>3091</v>
      </c>
      <c r="F1181" s="271">
        <v>130</v>
      </c>
      <c r="G1181" s="271"/>
      <c r="H1181" s="271">
        <f t="shared" si="17"/>
        <v>130</v>
      </c>
    </row>
    <row r="1182" spans="2:8" x14ac:dyDescent="0.2">
      <c r="B1182" s="268" t="s">
        <v>1875</v>
      </c>
      <c r="C1182" s="269">
        <v>42688</v>
      </c>
      <c r="D1182" s="270" t="s">
        <v>1899</v>
      </c>
      <c r="E1182" s="270" t="s">
        <v>2741</v>
      </c>
      <c r="F1182" s="271">
        <v>310</v>
      </c>
      <c r="G1182" s="271"/>
      <c r="H1182" s="271">
        <f t="shared" si="17"/>
        <v>310</v>
      </c>
    </row>
    <row r="1183" spans="2:8" x14ac:dyDescent="0.2">
      <c r="B1183" s="268" t="s">
        <v>1866</v>
      </c>
      <c r="C1183" s="269">
        <v>42688</v>
      </c>
      <c r="D1183" s="270" t="s">
        <v>1881</v>
      </c>
      <c r="E1183" s="270" t="s">
        <v>3092</v>
      </c>
      <c r="F1183" s="271">
        <v>450</v>
      </c>
      <c r="G1183" s="271"/>
      <c r="H1183" s="271">
        <f t="shared" si="17"/>
        <v>450</v>
      </c>
    </row>
    <row r="1184" spans="2:8" x14ac:dyDescent="0.2">
      <c r="B1184" s="268" t="s">
        <v>1893</v>
      </c>
      <c r="C1184" s="269">
        <v>42688</v>
      </c>
      <c r="D1184" s="270" t="s">
        <v>1921</v>
      </c>
      <c r="E1184" s="270" t="s">
        <v>2403</v>
      </c>
      <c r="F1184" s="271">
        <v>290</v>
      </c>
      <c r="G1184" s="271"/>
      <c r="H1184" s="271">
        <f t="shared" si="17"/>
        <v>290</v>
      </c>
    </row>
    <row r="1185" spans="2:8" x14ac:dyDescent="0.2">
      <c r="B1185" s="268" t="s">
        <v>1874</v>
      </c>
      <c r="C1185" s="269">
        <v>42688</v>
      </c>
      <c r="D1185" s="270" t="s">
        <v>3093</v>
      </c>
      <c r="E1185" s="270" t="s">
        <v>3094</v>
      </c>
      <c r="F1185" s="271">
        <v>350</v>
      </c>
      <c r="G1185" s="271"/>
      <c r="H1185" s="271">
        <f t="shared" si="17"/>
        <v>350</v>
      </c>
    </row>
    <row r="1186" spans="2:8" x14ac:dyDescent="0.2">
      <c r="B1186" s="268" t="s">
        <v>1893</v>
      </c>
      <c r="C1186" s="269">
        <v>42688</v>
      </c>
      <c r="D1186" s="270" t="s">
        <v>1924</v>
      </c>
      <c r="E1186" s="270" t="s">
        <v>3095</v>
      </c>
      <c r="F1186" s="271">
        <v>200</v>
      </c>
      <c r="G1186" s="271"/>
      <c r="H1186" s="271">
        <f t="shared" si="17"/>
        <v>200</v>
      </c>
    </row>
    <row r="1187" spans="2:8" x14ac:dyDescent="0.2">
      <c r="B1187" s="268" t="s">
        <v>1880</v>
      </c>
      <c r="C1187" s="269">
        <v>42688</v>
      </c>
      <c r="D1187" s="270" t="s">
        <v>3089</v>
      </c>
      <c r="E1187" s="270" t="s">
        <v>3096</v>
      </c>
      <c r="F1187" s="271">
        <v>290</v>
      </c>
      <c r="G1187" s="271"/>
      <c r="H1187" s="271">
        <f t="shared" si="17"/>
        <v>290</v>
      </c>
    </row>
    <row r="1188" spans="2:8" x14ac:dyDescent="0.2">
      <c r="B1188" s="268" t="s">
        <v>1893</v>
      </c>
      <c r="C1188" s="269">
        <v>42689</v>
      </c>
      <c r="D1188" s="270" t="s">
        <v>1924</v>
      </c>
      <c r="E1188" s="270" t="s">
        <v>3097</v>
      </c>
      <c r="F1188" s="271">
        <v>200</v>
      </c>
      <c r="G1188" s="271"/>
      <c r="H1188" s="271">
        <f t="shared" si="17"/>
        <v>200</v>
      </c>
    </row>
    <row r="1189" spans="2:8" x14ac:dyDescent="0.2">
      <c r="B1189" s="268" t="s">
        <v>1872</v>
      </c>
      <c r="C1189" s="269">
        <v>42689</v>
      </c>
      <c r="D1189" s="270" t="s">
        <v>1882</v>
      </c>
      <c r="E1189" s="270" t="s">
        <v>3098</v>
      </c>
      <c r="F1189" s="271">
        <v>450</v>
      </c>
      <c r="G1189" s="271"/>
      <c r="H1189" s="271">
        <f t="shared" si="17"/>
        <v>450</v>
      </c>
    </row>
    <row r="1190" spans="2:8" x14ac:dyDescent="0.2">
      <c r="B1190" s="268" t="s">
        <v>1893</v>
      </c>
      <c r="C1190" s="269">
        <v>42689</v>
      </c>
      <c r="D1190" s="270" t="s">
        <v>2260</v>
      </c>
      <c r="E1190" s="270" t="s">
        <v>3099</v>
      </c>
      <c r="F1190" s="271">
        <v>350</v>
      </c>
      <c r="G1190" s="271"/>
      <c r="H1190" s="271">
        <f t="shared" si="17"/>
        <v>350</v>
      </c>
    </row>
    <row r="1191" spans="2:8" x14ac:dyDescent="0.2">
      <c r="B1191" s="268" t="s">
        <v>1814</v>
      </c>
      <c r="C1191" s="269">
        <v>42689</v>
      </c>
      <c r="D1191" s="270" t="s">
        <v>1897</v>
      </c>
      <c r="E1191" s="270" t="s">
        <v>3100</v>
      </c>
      <c r="F1191" s="271">
        <v>1224</v>
      </c>
      <c r="G1191" s="271"/>
      <c r="H1191" s="271">
        <f t="shared" si="17"/>
        <v>1224</v>
      </c>
    </row>
    <row r="1192" spans="2:8" x14ac:dyDescent="0.2">
      <c r="B1192" s="268" t="s">
        <v>1799</v>
      </c>
      <c r="C1192" s="269">
        <v>42689</v>
      </c>
      <c r="D1192" s="270" t="s">
        <v>1918</v>
      </c>
      <c r="E1192" s="270" t="s">
        <v>3101</v>
      </c>
      <c r="F1192" s="271"/>
      <c r="G1192" s="271">
        <v>1760</v>
      </c>
      <c r="H1192" s="271">
        <f t="shared" si="17"/>
        <v>1760</v>
      </c>
    </row>
    <row r="1193" spans="2:8" x14ac:dyDescent="0.2">
      <c r="B1193" s="268" t="s">
        <v>1585</v>
      </c>
      <c r="C1193" s="269">
        <v>42689</v>
      </c>
      <c r="D1193" s="270" t="s">
        <v>1908</v>
      </c>
      <c r="E1193" s="270" t="s">
        <v>3102</v>
      </c>
      <c r="F1193" s="271">
        <v>14500</v>
      </c>
      <c r="G1193" s="271"/>
      <c r="H1193" s="271">
        <f t="shared" si="17"/>
        <v>14500</v>
      </c>
    </row>
    <row r="1194" spans="2:8" x14ac:dyDescent="0.2">
      <c r="B1194" s="268" t="s">
        <v>1868</v>
      </c>
      <c r="C1194" s="269">
        <v>42689</v>
      </c>
      <c r="D1194" s="270" t="s">
        <v>1920</v>
      </c>
      <c r="E1194" s="270" t="s">
        <v>1944</v>
      </c>
      <c r="F1194" s="271">
        <v>4000</v>
      </c>
      <c r="G1194" s="271"/>
      <c r="H1194" s="271">
        <f t="shared" si="17"/>
        <v>4000</v>
      </c>
    </row>
    <row r="1195" spans="2:8" x14ac:dyDescent="0.2">
      <c r="B1195" s="268" t="s">
        <v>1893</v>
      </c>
      <c r="C1195" s="269">
        <v>42689</v>
      </c>
      <c r="D1195" s="270" t="s">
        <v>1924</v>
      </c>
      <c r="E1195" s="270" t="s">
        <v>3103</v>
      </c>
      <c r="F1195" s="271">
        <v>300</v>
      </c>
      <c r="G1195" s="271"/>
      <c r="H1195" s="271">
        <f t="shared" si="17"/>
        <v>300</v>
      </c>
    </row>
    <row r="1196" spans="2:8" x14ac:dyDescent="0.2">
      <c r="B1196" s="268" t="s">
        <v>1814</v>
      </c>
      <c r="C1196" s="269">
        <v>42689</v>
      </c>
      <c r="D1196" s="270" t="s">
        <v>1927</v>
      </c>
      <c r="E1196" s="270" t="s">
        <v>3104</v>
      </c>
      <c r="F1196" s="271">
        <v>100</v>
      </c>
      <c r="G1196" s="271"/>
      <c r="H1196" s="271">
        <f t="shared" si="17"/>
        <v>100</v>
      </c>
    </row>
    <row r="1197" spans="2:8" x14ac:dyDescent="0.2">
      <c r="B1197" s="268" t="s">
        <v>1830</v>
      </c>
      <c r="C1197" s="269">
        <v>42690</v>
      </c>
      <c r="D1197" s="270" t="s">
        <v>1901</v>
      </c>
      <c r="E1197" s="270" t="s">
        <v>3105</v>
      </c>
      <c r="F1197" s="271">
        <v>150</v>
      </c>
      <c r="G1197" s="271"/>
      <c r="H1197" s="271">
        <f t="shared" si="17"/>
        <v>150</v>
      </c>
    </row>
    <row r="1198" spans="2:8" x14ac:dyDescent="0.2">
      <c r="B1198" s="268" t="s">
        <v>1585</v>
      </c>
      <c r="C1198" s="269">
        <v>42690</v>
      </c>
      <c r="D1198" s="270" t="s">
        <v>1908</v>
      </c>
      <c r="E1198" s="270" t="s">
        <v>3106</v>
      </c>
      <c r="F1198" s="271">
        <v>14500</v>
      </c>
      <c r="G1198" s="271"/>
      <c r="H1198" s="271">
        <f t="shared" si="17"/>
        <v>14500</v>
      </c>
    </row>
    <row r="1199" spans="2:8" x14ac:dyDescent="0.2">
      <c r="B1199" s="268" t="s">
        <v>1879</v>
      </c>
      <c r="C1199" s="269">
        <v>42690</v>
      </c>
      <c r="D1199" s="270" t="s">
        <v>1901</v>
      </c>
      <c r="E1199" s="270" t="s">
        <v>3107</v>
      </c>
      <c r="F1199" s="271">
        <v>250</v>
      </c>
      <c r="G1199" s="271"/>
      <c r="H1199" s="271">
        <f t="shared" si="17"/>
        <v>250</v>
      </c>
    </row>
    <row r="1200" spans="2:8" x14ac:dyDescent="0.2">
      <c r="B1200" s="268" t="s">
        <v>1875</v>
      </c>
      <c r="C1200" s="269">
        <v>42690</v>
      </c>
      <c r="D1200" s="270" t="s">
        <v>1899</v>
      </c>
      <c r="E1200" s="270" t="s">
        <v>2688</v>
      </c>
      <c r="F1200" s="271">
        <v>280</v>
      </c>
      <c r="G1200" s="271"/>
      <c r="H1200" s="271">
        <f t="shared" si="17"/>
        <v>280</v>
      </c>
    </row>
    <row r="1201" spans="2:8" x14ac:dyDescent="0.2">
      <c r="B1201" s="268" t="s">
        <v>1872</v>
      </c>
      <c r="C1201" s="269">
        <v>42690</v>
      </c>
      <c r="D1201" s="270" t="s">
        <v>2430</v>
      </c>
      <c r="E1201" s="270" t="s">
        <v>3108</v>
      </c>
      <c r="F1201" s="271">
        <v>230</v>
      </c>
      <c r="G1201" s="271"/>
      <c r="H1201" s="271">
        <f t="shared" si="17"/>
        <v>230</v>
      </c>
    </row>
    <row r="1202" spans="2:8" x14ac:dyDescent="0.2">
      <c r="B1202" s="268" t="s">
        <v>1874</v>
      </c>
      <c r="C1202" s="269">
        <v>42691</v>
      </c>
      <c r="D1202" s="270" t="s">
        <v>3109</v>
      </c>
      <c r="E1202" s="270" t="s">
        <v>3110</v>
      </c>
      <c r="F1202" s="271">
        <v>500</v>
      </c>
      <c r="G1202" s="271"/>
      <c r="H1202" s="271">
        <f t="shared" si="17"/>
        <v>500</v>
      </c>
    </row>
    <row r="1203" spans="2:8" x14ac:dyDescent="0.2">
      <c r="B1203" s="268" t="s">
        <v>1874</v>
      </c>
      <c r="C1203" s="269">
        <v>42691</v>
      </c>
      <c r="D1203" s="270" t="s">
        <v>1924</v>
      </c>
      <c r="E1203" s="270" t="s">
        <v>3111</v>
      </c>
      <c r="F1203" s="271">
        <v>200</v>
      </c>
      <c r="G1203" s="271"/>
      <c r="H1203" s="271">
        <f t="shared" si="17"/>
        <v>200</v>
      </c>
    </row>
    <row r="1204" spans="2:8" x14ac:dyDescent="0.2">
      <c r="B1204" s="268" t="s">
        <v>1874</v>
      </c>
      <c r="C1204" s="269">
        <v>42691</v>
      </c>
      <c r="D1204" s="270" t="s">
        <v>3112</v>
      </c>
      <c r="E1204" s="270" t="s">
        <v>3113</v>
      </c>
      <c r="F1204" s="271">
        <v>2500</v>
      </c>
      <c r="G1204" s="271"/>
      <c r="H1204" s="271">
        <f t="shared" si="17"/>
        <v>2500</v>
      </c>
    </row>
    <row r="1205" spans="2:8" x14ac:dyDescent="0.2">
      <c r="B1205" s="268" t="s">
        <v>1893</v>
      </c>
      <c r="C1205" s="269">
        <v>42691</v>
      </c>
      <c r="D1205" s="270" t="s">
        <v>3114</v>
      </c>
      <c r="E1205" s="270" t="s">
        <v>3115</v>
      </c>
      <c r="F1205" s="271">
        <v>30</v>
      </c>
      <c r="G1205" s="271"/>
      <c r="H1205" s="271">
        <f t="shared" si="17"/>
        <v>30</v>
      </c>
    </row>
    <row r="1206" spans="2:8" x14ac:dyDescent="0.2">
      <c r="B1206" s="268" t="s">
        <v>1893</v>
      </c>
      <c r="C1206" s="269">
        <v>42691</v>
      </c>
      <c r="D1206" s="270" t="s">
        <v>2667</v>
      </c>
      <c r="E1206" s="270" t="s">
        <v>3116</v>
      </c>
      <c r="F1206" s="271">
        <v>50</v>
      </c>
      <c r="G1206" s="271"/>
      <c r="H1206" s="271">
        <f t="shared" si="17"/>
        <v>50</v>
      </c>
    </row>
    <row r="1207" spans="2:8" x14ac:dyDescent="0.2">
      <c r="B1207" s="268" t="s">
        <v>1866</v>
      </c>
      <c r="C1207" s="269">
        <v>42692</v>
      </c>
      <c r="D1207" s="270" t="s">
        <v>1881</v>
      </c>
      <c r="E1207" s="270" t="s">
        <v>3117</v>
      </c>
      <c r="F1207" s="271">
        <v>380</v>
      </c>
      <c r="G1207" s="271"/>
      <c r="H1207" s="271">
        <f t="shared" si="17"/>
        <v>380</v>
      </c>
    </row>
    <row r="1208" spans="2:8" x14ac:dyDescent="0.2">
      <c r="B1208" s="268" t="s">
        <v>1814</v>
      </c>
      <c r="C1208" s="269">
        <v>42692</v>
      </c>
      <c r="D1208" s="270" t="s">
        <v>1919</v>
      </c>
      <c r="E1208" s="270" t="s">
        <v>3118</v>
      </c>
      <c r="F1208" s="271">
        <v>1000</v>
      </c>
      <c r="G1208" s="271"/>
      <c r="H1208" s="271">
        <f t="shared" si="17"/>
        <v>1000</v>
      </c>
    </row>
    <row r="1209" spans="2:8" x14ac:dyDescent="0.2">
      <c r="B1209" s="268" t="s">
        <v>1872</v>
      </c>
      <c r="C1209" s="269">
        <v>42692</v>
      </c>
      <c r="D1209" s="270" t="s">
        <v>1887</v>
      </c>
      <c r="E1209" s="270" t="s">
        <v>3119</v>
      </c>
      <c r="F1209" s="271">
        <v>500</v>
      </c>
      <c r="G1209" s="271"/>
      <c r="H1209" s="271">
        <f t="shared" si="17"/>
        <v>500</v>
      </c>
    </row>
    <row r="1210" spans="2:8" x14ac:dyDescent="0.2">
      <c r="B1210" s="268" t="s">
        <v>1872</v>
      </c>
      <c r="C1210" s="269">
        <v>42692</v>
      </c>
      <c r="D1210" s="270" t="s">
        <v>2430</v>
      </c>
      <c r="E1210" s="270" t="s">
        <v>2993</v>
      </c>
      <c r="F1210" s="271">
        <v>350</v>
      </c>
      <c r="G1210" s="271"/>
      <c r="H1210" s="271">
        <f t="shared" si="17"/>
        <v>350</v>
      </c>
    </row>
    <row r="1211" spans="2:8" x14ac:dyDescent="0.2">
      <c r="B1211" s="268" t="s">
        <v>1891</v>
      </c>
      <c r="C1211" s="269">
        <v>42692</v>
      </c>
      <c r="D1211" s="270" t="s">
        <v>1881</v>
      </c>
      <c r="E1211" s="270" t="s">
        <v>3120</v>
      </c>
      <c r="F1211" s="271">
        <v>300</v>
      </c>
      <c r="G1211" s="271"/>
      <c r="H1211" s="271">
        <f t="shared" si="17"/>
        <v>300</v>
      </c>
    </row>
    <row r="1212" spans="2:8" x14ac:dyDescent="0.2">
      <c r="B1212" s="268" t="s">
        <v>1893</v>
      </c>
      <c r="C1212" s="269">
        <v>42692</v>
      </c>
      <c r="D1212" s="270" t="s">
        <v>1902</v>
      </c>
      <c r="E1212" s="270" t="s">
        <v>3121</v>
      </c>
      <c r="F1212" s="271">
        <v>649</v>
      </c>
      <c r="G1212" s="271"/>
      <c r="H1212" s="271">
        <f t="shared" si="17"/>
        <v>649</v>
      </c>
    </row>
    <row r="1213" spans="2:8" x14ac:dyDescent="0.2">
      <c r="B1213" s="268" t="s">
        <v>1893</v>
      </c>
      <c r="C1213" s="269">
        <v>42692</v>
      </c>
      <c r="D1213" s="270" t="s">
        <v>2202</v>
      </c>
      <c r="E1213" s="270" t="s">
        <v>3122</v>
      </c>
      <c r="F1213" s="271">
        <v>28</v>
      </c>
      <c r="G1213" s="271"/>
      <c r="H1213" s="271">
        <f t="shared" si="17"/>
        <v>28</v>
      </c>
    </row>
    <row r="1214" spans="2:8" x14ac:dyDescent="0.2">
      <c r="B1214" s="268" t="s">
        <v>1893</v>
      </c>
      <c r="C1214" s="269">
        <v>42693</v>
      </c>
      <c r="D1214" s="270" t="s">
        <v>1921</v>
      </c>
      <c r="E1214" s="270" t="s">
        <v>3123</v>
      </c>
      <c r="F1214" s="271">
        <v>242.05</v>
      </c>
      <c r="G1214" s="271">
        <v>37.549999999999997</v>
      </c>
      <c r="H1214" s="271">
        <f t="shared" si="17"/>
        <v>279.60000000000002</v>
      </c>
    </row>
    <row r="1215" spans="2:8" x14ac:dyDescent="0.2">
      <c r="B1215" s="268" t="s">
        <v>1893</v>
      </c>
      <c r="C1215" s="269">
        <v>42693</v>
      </c>
      <c r="D1215" s="270" t="s">
        <v>1920</v>
      </c>
      <c r="E1215" s="270" t="s">
        <v>3124</v>
      </c>
      <c r="F1215" s="271">
        <v>300</v>
      </c>
      <c r="G1215" s="271"/>
      <c r="H1215" s="271">
        <f t="shared" si="17"/>
        <v>300</v>
      </c>
    </row>
    <row r="1216" spans="2:8" x14ac:dyDescent="0.2">
      <c r="B1216" s="268" t="s">
        <v>1893</v>
      </c>
      <c r="C1216" s="269">
        <v>42693</v>
      </c>
      <c r="D1216" s="270" t="s">
        <v>1927</v>
      </c>
      <c r="E1216" s="270" t="s">
        <v>3125</v>
      </c>
      <c r="F1216" s="271">
        <v>50</v>
      </c>
      <c r="G1216" s="271"/>
      <c r="H1216" s="271">
        <f t="shared" si="17"/>
        <v>50</v>
      </c>
    </row>
    <row r="1217" spans="2:8" x14ac:dyDescent="0.2">
      <c r="B1217" s="268" t="s">
        <v>1880</v>
      </c>
      <c r="C1217" s="269">
        <v>42694</v>
      </c>
      <c r="D1217" s="270" t="s">
        <v>3089</v>
      </c>
      <c r="E1217" s="270" t="s">
        <v>3126</v>
      </c>
      <c r="F1217" s="271">
        <v>150</v>
      </c>
      <c r="G1217" s="271"/>
      <c r="H1217" s="271">
        <f t="shared" si="17"/>
        <v>150</v>
      </c>
    </row>
    <row r="1218" spans="2:8" x14ac:dyDescent="0.2">
      <c r="B1218" s="268" t="s">
        <v>1869</v>
      </c>
      <c r="C1218" s="269">
        <v>42694</v>
      </c>
      <c r="D1218" s="270" t="s">
        <v>1900</v>
      </c>
      <c r="E1218" s="270" t="s">
        <v>3127</v>
      </c>
      <c r="F1218" s="271">
        <v>1598.01</v>
      </c>
      <c r="G1218" s="271"/>
      <c r="H1218" s="271">
        <f t="shared" si="17"/>
        <v>1598.01</v>
      </c>
    </row>
    <row r="1219" spans="2:8" x14ac:dyDescent="0.2">
      <c r="B1219" s="268" t="s">
        <v>1893</v>
      </c>
      <c r="C1219" s="269">
        <v>42694</v>
      </c>
      <c r="D1219" s="270" t="s">
        <v>2546</v>
      </c>
      <c r="E1219" s="270" t="s">
        <v>3128</v>
      </c>
      <c r="F1219" s="271">
        <v>92.5</v>
      </c>
      <c r="G1219" s="271"/>
      <c r="H1219" s="271">
        <f t="shared" si="17"/>
        <v>92.5</v>
      </c>
    </row>
    <row r="1220" spans="2:8" x14ac:dyDescent="0.2">
      <c r="B1220" s="268" t="s">
        <v>1893</v>
      </c>
      <c r="C1220" s="269">
        <v>42694</v>
      </c>
      <c r="D1220" s="270" t="s">
        <v>2260</v>
      </c>
      <c r="E1220" s="270" t="s">
        <v>2487</v>
      </c>
      <c r="F1220" s="271">
        <v>120</v>
      </c>
      <c r="G1220" s="271"/>
      <c r="H1220" s="271">
        <f t="shared" si="17"/>
        <v>120</v>
      </c>
    </row>
    <row r="1221" spans="2:8" x14ac:dyDescent="0.2">
      <c r="B1221" s="268" t="s">
        <v>1872</v>
      </c>
      <c r="C1221" s="269">
        <v>42694</v>
      </c>
      <c r="D1221" s="270" t="s">
        <v>2260</v>
      </c>
      <c r="E1221" s="270" t="s">
        <v>3129</v>
      </c>
      <c r="F1221" s="271">
        <v>150</v>
      </c>
      <c r="G1221" s="271"/>
      <c r="H1221" s="271">
        <f t="shared" si="17"/>
        <v>150</v>
      </c>
    </row>
    <row r="1222" spans="2:8" x14ac:dyDescent="0.2">
      <c r="B1222" s="268" t="s">
        <v>1872</v>
      </c>
      <c r="C1222" s="269">
        <v>42694</v>
      </c>
      <c r="D1222" s="270" t="s">
        <v>2397</v>
      </c>
      <c r="E1222" s="270" t="s">
        <v>3128</v>
      </c>
      <c r="F1222" s="271">
        <v>92</v>
      </c>
      <c r="G1222" s="271"/>
      <c r="H1222" s="271">
        <f t="shared" si="17"/>
        <v>92</v>
      </c>
    </row>
    <row r="1223" spans="2:8" x14ac:dyDescent="0.2">
      <c r="B1223" s="268" t="s">
        <v>1875</v>
      </c>
      <c r="C1223" s="269">
        <v>42695</v>
      </c>
      <c r="D1223" s="270" t="s">
        <v>1899</v>
      </c>
      <c r="E1223" s="270" t="s">
        <v>3130</v>
      </c>
      <c r="F1223" s="271">
        <v>340</v>
      </c>
      <c r="G1223" s="271"/>
      <c r="H1223" s="271">
        <f t="shared" si="17"/>
        <v>340</v>
      </c>
    </row>
    <row r="1224" spans="2:8" x14ac:dyDescent="0.2">
      <c r="B1224" s="268" t="s">
        <v>1880</v>
      </c>
      <c r="C1224" s="269">
        <v>42695</v>
      </c>
      <c r="D1224" s="270" t="s">
        <v>3089</v>
      </c>
      <c r="E1224" s="270" t="s">
        <v>3131</v>
      </c>
      <c r="F1224" s="271">
        <v>300</v>
      </c>
      <c r="G1224" s="271"/>
      <c r="H1224" s="271">
        <f t="shared" si="17"/>
        <v>300</v>
      </c>
    </row>
    <row r="1225" spans="2:8" x14ac:dyDescent="0.2">
      <c r="B1225" s="268" t="s">
        <v>1893</v>
      </c>
      <c r="C1225" s="269">
        <v>42676</v>
      </c>
      <c r="D1225" s="270" t="s">
        <v>3013</v>
      </c>
      <c r="E1225" s="270" t="s">
        <v>3132</v>
      </c>
      <c r="F1225" s="271">
        <v>230</v>
      </c>
      <c r="G1225" s="271"/>
      <c r="H1225" s="271">
        <f t="shared" si="17"/>
        <v>230</v>
      </c>
    </row>
    <row r="1226" spans="2:8" x14ac:dyDescent="0.2">
      <c r="B1226" s="268" t="s">
        <v>1893</v>
      </c>
      <c r="C1226" s="269">
        <v>42696</v>
      </c>
      <c r="D1226" s="270" t="s">
        <v>2546</v>
      </c>
      <c r="E1226" s="270" t="s">
        <v>3133</v>
      </c>
      <c r="F1226" s="271">
        <v>70</v>
      </c>
      <c r="G1226" s="271"/>
      <c r="H1226" s="271">
        <f t="shared" si="17"/>
        <v>70</v>
      </c>
    </row>
    <row r="1227" spans="2:8" x14ac:dyDescent="0.2">
      <c r="B1227" s="268" t="s">
        <v>1893</v>
      </c>
      <c r="C1227" s="269">
        <v>42696</v>
      </c>
      <c r="D1227" s="270" t="s">
        <v>1887</v>
      </c>
      <c r="E1227" s="270" t="s">
        <v>3134</v>
      </c>
      <c r="F1227" s="271">
        <v>14.5</v>
      </c>
      <c r="G1227" s="271"/>
      <c r="H1227" s="271">
        <f t="shared" si="17"/>
        <v>14.5</v>
      </c>
    </row>
    <row r="1228" spans="2:8" x14ac:dyDescent="0.2">
      <c r="B1228" s="268" t="s">
        <v>1872</v>
      </c>
      <c r="C1228" s="269">
        <v>42696</v>
      </c>
      <c r="D1228" s="270" t="s">
        <v>1920</v>
      </c>
      <c r="E1228" s="270" t="s">
        <v>3135</v>
      </c>
      <c r="F1228" s="271">
        <v>900</v>
      </c>
      <c r="G1228" s="271"/>
      <c r="H1228" s="271">
        <f t="shared" si="17"/>
        <v>900</v>
      </c>
    </row>
    <row r="1229" spans="2:8" x14ac:dyDescent="0.2">
      <c r="B1229" s="268" t="s">
        <v>1893</v>
      </c>
      <c r="C1229" s="269">
        <v>42696</v>
      </c>
      <c r="D1229" s="270" t="s">
        <v>1924</v>
      </c>
      <c r="E1229" s="270" t="s">
        <v>3136</v>
      </c>
      <c r="F1229" s="271">
        <v>500</v>
      </c>
      <c r="G1229" s="271"/>
      <c r="H1229" s="271">
        <f t="shared" si="17"/>
        <v>500</v>
      </c>
    </row>
    <row r="1230" spans="2:8" x14ac:dyDescent="0.2">
      <c r="B1230" s="268" t="s">
        <v>1893</v>
      </c>
      <c r="C1230" s="269">
        <v>42697</v>
      </c>
      <c r="D1230" s="270" t="s">
        <v>3137</v>
      </c>
      <c r="E1230" s="270" t="s">
        <v>3138</v>
      </c>
      <c r="F1230" s="271">
        <v>26</v>
      </c>
      <c r="G1230" s="271"/>
      <c r="H1230" s="271">
        <f t="shared" si="17"/>
        <v>26</v>
      </c>
    </row>
    <row r="1231" spans="2:8" x14ac:dyDescent="0.2">
      <c r="B1231" s="268" t="s">
        <v>1880</v>
      </c>
      <c r="C1231" s="269">
        <v>42696</v>
      </c>
      <c r="D1231" s="270" t="s">
        <v>3089</v>
      </c>
      <c r="E1231" s="270" t="s">
        <v>3139</v>
      </c>
      <c r="F1231" s="271">
        <v>180</v>
      </c>
      <c r="G1231" s="271"/>
      <c r="H1231" s="271">
        <f t="shared" si="17"/>
        <v>180</v>
      </c>
    </row>
    <row r="1232" spans="2:8" x14ac:dyDescent="0.2">
      <c r="B1232" s="268" t="s">
        <v>1893</v>
      </c>
      <c r="C1232" s="269">
        <v>42698</v>
      </c>
      <c r="D1232" s="270" t="s">
        <v>3137</v>
      </c>
      <c r="E1232" s="270" t="s">
        <v>3140</v>
      </c>
      <c r="F1232" s="271">
        <v>96</v>
      </c>
      <c r="G1232" s="271"/>
      <c r="H1232" s="271">
        <f t="shared" si="17"/>
        <v>96</v>
      </c>
    </row>
    <row r="1233" spans="2:8" x14ac:dyDescent="0.2">
      <c r="B1233" s="268" t="s">
        <v>1893</v>
      </c>
      <c r="C1233" s="269">
        <v>42698</v>
      </c>
      <c r="D1233" s="270" t="s">
        <v>1902</v>
      </c>
      <c r="E1233" s="270" t="s">
        <v>3141</v>
      </c>
      <c r="F1233" s="271">
        <v>160</v>
      </c>
      <c r="G1233" s="271"/>
      <c r="H1233" s="271">
        <f t="shared" si="17"/>
        <v>160</v>
      </c>
    </row>
    <row r="1234" spans="2:8" x14ac:dyDescent="0.2">
      <c r="B1234" s="268" t="s">
        <v>1871</v>
      </c>
      <c r="C1234" s="269">
        <v>42698</v>
      </c>
      <c r="D1234" s="270" t="s">
        <v>1920</v>
      </c>
      <c r="E1234" s="270" t="s">
        <v>3142</v>
      </c>
      <c r="F1234" s="271">
        <v>850</v>
      </c>
      <c r="G1234" s="271"/>
      <c r="H1234" s="271">
        <f t="shared" si="17"/>
        <v>850</v>
      </c>
    </row>
    <row r="1235" spans="2:8" x14ac:dyDescent="0.2">
      <c r="B1235" s="268" t="s">
        <v>1893</v>
      </c>
      <c r="C1235" s="269">
        <v>42698</v>
      </c>
      <c r="D1235" s="270" t="s">
        <v>3137</v>
      </c>
      <c r="E1235" s="270" t="s">
        <v>3143</v>
      </c>
      <c r="F1235" s="271">
        <v>10.5</v>
      </c>
      <c r="G1235" s="271"/>
      <c r="H1235" s="271">
        <f t="shared" si="17"/>
        <v>10.5</v>
      </c>
    </row>
    <row r="1236" spans="2:8" x14ac:dyDescent="0.2">
      <c r="B1236" s="268" t="s">
        <v>1893</v>
      </c>
      <c r="C1236" s="269">
        <v>42698</v>
      </c>
      <c r="D1236" s="270" t="s">
        <v>3137</v>
      </c>
      <c r="E1236" s="270" t="s">
        <v>3144</v>
      </c>
      <c r="F1236" s="271">
        <v>40</v>
      </c>
      <c r="G1236" s="271"/>
      <c r="H1236" s="271">
        <f t="shared" si="17"/>
        <v>40</v>
      </c>
    </row>
    <row r="1237" spans="2:8" x14ac:dyDescent="0.2">
      <c r="B1237" s="268" t="s">
        <v>1893</v>
      </c>
      <c r="C1237" s="269">
        <v>42698</v>
      </c>
      <c r="D1237" s="270" t="s">
        <v>3137</v>
      </c>
      <c r="E1237" s="270" t="s">
        <v>3145</v>
      </c>
      <c r="F1237" s="271">
        <v>40</v>
      </c>
      <c r="G1237" s="271"/>
      <c r="H1237" s="271">
        <f t="shared" si="17"/>
        <v>40</v>
      </c>
    </row>
    <row r="1238" spans="2:8" x14ac:dyDescent="0.2">
      <c r="B1238" s="268" t="s">
        <v>1893</v>
      </c>
      <c r="C1238" s="269">
        <v>42698</v>
      </c>
      <c r="D1238" s="270" t="s">
        <v>3137</v>
      </c>
      <c r="E1238" s="270" t="s">
        <v>3146</v>
      </c>
      <c r="F1238" s="271">
        <v>260</v>
      </c>
      <c r="G1238" s="271"/>
      <c r="H1238" s="271">
        <f t="shared" si="17"/>
        <v>260</v>
      </c>
    </row>
    <row r="1239" spans="2:8" x14ac:dyDescent="0.2">
      <c r="B1239" s="268" t="s">
        <v>1893</v>
      </c>
      <c r="C1239" s="269">
        <v>42698</v>
      </c>
      <c r="D1239" s="270" t="s">
        <v>3147</v>
      </c>
      <c r="E1239" s="270" t="s">
        <v>3148</v>
      </c>
      <c r="F1239" s="271">
        <v>317</v>
      </c>
      <c r="G1239" s="271"/>
      <c r="H1239" s="271">
        <f t="shared" si="17"/>
        <v>317</v>
      </c>
    </row>
    <row r="1240" spans="2:8" x14ac:dyDescent="0.2">
      <c r="B1240" s="268" t="s">
        <v>1880</v>
      </c>
      <c r="C1240" s="269">
        <v>42698</v>
      </c>
      <c r="D1240" s="270" t="s">
        <v>3089</v>
      </c>
      <c r="E1240" s="270" t="s">
        <v>3149</v>
      </c>
      <c r="F1240" s="271">
        <v>180</v>
      </c>
      <c r="G1240" s="271"/>
      <c r="H1240" s="271">
        <f t="shared" si="17"/>
        <v>180</v>
      </c>
    </row>
    <row r="1241" spans="2:8" x14ac:dyDescent="0.2">
      <c r="B1241" s="268" t="s">
        <v>1893</v>
      </c>
      <c r="C1241" s="269">
        <v>42698</v>
      </c>
      <c r="D1241" s="270" t="s">
        <v>2546</v>
      </c>
      <c r="E1241" s="270" t="s">
        <v>3150</v>
      </c>
      <c r="F1241" s="271">
        <v>132.6</v>
      </c>
      <c r="G1241" s="271"/>
      <c r="H1241" s="271">
        <f t="shared" si="17"/>
        <v>132.6</v>
      </c>
    </row>
    <row r="1242" spans="2:8" x14ac:dyDescent="0.2">
      <c r="B1242" s="268" t="s">
        <v>1585</v>
      </c>
      <c r="C1242" s="269">
        <v>42698</v>
      </c>
      <c r="D1242" s="270" t="s">
        <v>1908</v>
      </c>
      <c r="E1242" s="270" t="s">
        <v>3151</v>
      </c>
      <c r="F1242" s="271">
        <v>14500</v>
      </c>
      <c r="G1242" s="271"/>
      <c r="H1242" s="271">
        <f t="shared" si="17"/>
        <v>14500</v>
      </c>
    </row>
    <row r="1243" spans="2:8" x14ac:dyDescent="0.2">
      <c r="B1243" s="268" t="s">
        <v>1814</v>
      </c>
      <c r="C1243" s="269">
        <v>42699</v>
      </c>
      <c r="D1243" s="270" t="s">
        <v>1919</v>
      </c>
      <c r="E1243" s="270" t="s">
        <v>3152</v>
      </c>
      <c r="F1243" s="271">
        <v>1000</v>
      </c>
      <c r="G1243" s="271"/>
      <c r="H1243" s="271">
        <f t="shared" si="17"/>
        <v>1000</v>
      </c>
    </row>
    <row r="1244" spans="2:8" x14ac:dyDescent="0.2">
      <c r="B1244" s="268" t="s">
        <v>1888</v>
      </c>
      <c r="C1244" s="269">
        <v>42700</v>
      </c>
      <c r="D1244" s="270" t="s">
        <v>1901</v>
      </c>
      <c r="E1244" s="270" t="s">
        <v>3153</v>
      </c>
      <c r="F1244" s="271">
        <v>350</v>
      </c>
      <c r="G1244" s="271"/>
      <c r="H1244" s="271">
        <f t="shared" si="17"/>
        <v>350</v>
      </c>
    </row>
    <row r="1245" spans="2:8" x14ac:dyDescent="0.2">
      <c r="B1245" s="268" t="s">
        <v>1869</v>
      </c>
      <c r="C1245" s="269">
        <v>42700</v>
      </c>
      <c r="D1245" s="270" t="s">
        <v>1935</v>
      </c>
      <c r="E1245" s="270" t="s">
        <v>3154</v>
      </c>
      <c r="F1245" s="271">
        <v>330</v>
      </c>
      <c r="G1245" s="271"/>
      <c r="H1245" s="271">
        <f t="shared" si="17"/>
        <v>330</v>
      </c>
    </row>
    <row r="1246" spans="2:8" x14ac:dyDescent="0.2">
      <c r="B1246" s="268" t="s">
        <v>1872</v>
      </c>
      <c r="C1246" s="269">
        <v>42700</v>
      </c>
      <c r="D1246" s="270" t="s">
        <v>1887</v>
      </c>
      <c r="E1246" s="270" t="s">
        <v>3155</v>
      </c>
      <c r="F1246" s="271">
        <v>500</v>
      </c>
      <c r="G1246" s="271"/>
      <c r="H1246" s="271">
        <f t="shared" si="17"/>
        <v>500</v>
      </c>
    </row>
    <row r="1247" spans="2:8" x14ac:dyDescent="0.2">
      <c r="B1247" s="268" t="s">
        <v>1893</v>
      </c>
      <c r="C1247" s="269">
        <v>42700</v>
      </c>
      <c r="D1247" s="270" t="s">
        <v>3156</v>
      </c>
      <c r="E1247" s="270" t="s">
        <v>3157</v>
      </c>
      <c r="F1247" s="271">
        <v>250</v>
      </c>
      <c r="G1247" s="271"/>
      <c r="H1247" s="271">
        <f t="shared" si="17"/>
        <v>250</v>
      </c>
    </row>
    <row r="1248" spans="2:8" x14ac:dyDescent="0.2">
      <c r="B1248" s="268" t="s">
        <v>1893</v>
      </c>
      <c r="C1248" s="269">
        <v>42700</v>
      </c>
      <c r="D1248" s="270" t="s">
        <v>3158</v>
      </c>
      <c r="E1248" s="270" t="s">
        <v>3159</v>
      </c>
      <c r="F1248" s="271">
        <v>350</v>
      </c>
      <c r="G1248" s="271"/>
      <c r="H1248" s="271">
        <f t="shared" si="17"/>
        <v>350</v>
      </c>
    </row>
    <row r="1249" spans="2:8" x14ac:dyDescent="0.2">
      <c r="B1249" s="268" t="s">
        <v>1893</v>
      </c>
      <c r="C1249" s="269">
        <v>42700</v>
      </c>
      <c r="D1249" s="270" t="s">
        <v>1924</v>
      </c>
      <c r="E1249" s="270" t="s">
        <v>3160</v>
      </c>
      <c r="F1249" s="271">
        <v>500</v>
      </c>
      <c r="G1249" s="271"/>
      <c r="H1249" s="271">
        <f t="shared" si="17"/>
        <v>500</v>
      </c>
    </row>
    <row r="1250" spans="2:8" x14ac:dyDescent="0.2">
      <c r="B1250" s="268" t="s">
        <v>1873</v>
      </c>
      <c r="C1250" s="269">
        <v>42701</v>
      </c>
      <c r="D1250" s="270" t="s">
        <v>2546</v>
      </c>
      <c r="E1250" s="270" t="s">
        <v>3161</v>
      </c>
      <c r="F1250" s="271">
        <v>136</v>
      </c>
      <c r="G1250" s="271"/>
      <c r="H1250" s="271">
        <f t="shared" si="17"/>
        <v>136</v>
      </c>
    </row>
    <row r="1251" spans="2:8" x14ac:dyDescent="0.2">
      <c r="B1251" s="268" t="s">
        <v>1893</v>
      </c>
      <c r="C1251" s="269">
        <v>42701</v>
      </c>
      <c r="D1251" s="270" t="s">
        <v>2260</v>
      </c>
      <c r="E1251" s="270" t="s">
        <v>2331</v>
      </c>
      <c r="F1251" s="271">
        <v>120</v>
      </c>
      <c r="G1251" s="271"/>
      <c r="H1251" s="271">
        <f t="shared" si="17"/>
        <v>120</v>
      </c>
    </row>
    <row r="1252" spans="2:8" x14ac:dyDescent="0.2">
      <c r="B1252" s="268" t="s">
        <v>1872</v>
      </c>
      <c r="C1252" s="269">
        <v>42701</v>
      </c>
      <c r="D1252" s="270" t="s">
        <v>2260</v>
      </c>
      <c r="E1252" s="270" t="s">
        <v>3162</v>
      </c>
      <c r="F1252" s="271">
        <v>150</v>
      </c>
      <c r="G1252" s="271"/>
      <c r="H1252" s="271">
        <f t="shared" si="17"/>
        <v>150</v>
      </c>
    </row>
    <row r="1253" spans="2:8" x14ac:dyDescent="0.2">
      <c r="B1253" s="268" t="s">
        <v>1893</v>
      </c>
      <c r="C1253" s="269">
        <v>42701</v>
      </c>
      <c r="D1253" s="270" t="s">
        <v>1924</v>
      </c>
      <c r="E1253" s="270" t="s">
        <v>3163</v>
      </c>
      <c r="F1253" s="271">
        <v>300</v>
      </c>
      <c r="G1253" s="271"/>
      <c r="H1253" s="271">
        <f t="shared" si="17"/>
        <v>300</v>
      </c>
    </row>
    <row r="1254" spans="2:8" x14ac:dyDescent="0.2">
      <c r="B1254" s="268" t="s">
        <v>1875</v>
      </c>
      <c r="C1254" s="269">
        <v>42701</v>
      </c>
      <c r="D1254" s="270" t="s">
        <v>1899</v>
      </c>
      <c r="E1254" s="270" t="s">
        <v>2798</v>
      </c>
      <c r="F1254" s="271">
        <v>340</v>
      </c>
      <c r="G1254" s="271"/>
      <c r="H1254" s="271">
        <f t="shared" si="17"/>
        <v>340</v>
      </c>
    </row>
    <row r="1255" spans="2:8" x14ac:dyDescent="0.2">
      <c r="B1255" s="268" t="s">
        <v>1873</v>
      </c>
      <c r="C1255" s="269">
        <v>42702</v>
      </c>
      <c r="D1255" s="270" t="s">
        <v>1919</v>
      </c>
      <c r="E1255" s="270" t="s">
        <v>3164</v>
      </c>
      <c r="F1255" s="271">
        <v>400</v>
      </c>
      <c r="G1255" s="271"/>
      <c r="H1255" s="271">
        <f t="shared" si="17"/>
        <v>400</v>
      </c>
    </row>
    <row r="1256" spans="2:8" x14ac:dyDescent="0.2">
      <c r="B1256" s="268" t="s">
        <v>1893</v>
      </c>
      <c r="C1256" s="269">
        <v>42702</v>
      </c>
      <c r="D1256" s="270" t="s">
        <v>2667</v>
      </c>
      <c r="E1256" s="270" t="s">
        <v>3165</v>
      </c>
      <c r="F1256" s="271">
        <v>100</v>
      </c>
      <c r="G1256" s="271"/>
      <c r="H1256" s="271">
        <f t="shared" si="17"/>
        <v>100</v>
      </c>
    </row>
    <row r="1257" spans="2:8" x14ac:dyDescent="0.2">
      <c r="B1257" s="268" t="s">
        <v>1874</v>
      </c>
      <c r="C1257" s="269">
        <v>42702</v>
      </c>
      <c r="D1257" s="270" t="s">
        <v>3051</v>
      </c>
      <c r="E1257" s="270" t="s">
        <v>3166</v>
      </c>
      <c r="F1257" s="271">
        <v>220</v>
      </c>
      <c r="G1257" s="271"/>
      <c r="H1257" s="271">
        <f t="shared" si="17"/>
        <v>220</v>
      </c>
    </row>
    <row r="1258" spans="2:8" x14ac:dyDescent="0.2">
      <c r="B1258" s="268" t="s">
        <v>1875</v>
      </c>
      <c r="C1258" s="269">
        <v>42702</v>
      </c>
      <c r="D1258" s="270" t="s">
        <v>1899</v>
      </c>
      <c r="E1258" s="270" t="s">
        <v>2741</v>
      </c>
      <c r="F1258" s="271">
        <v>320</v>
      </c>
      <c r="G1258" s="271"/>
      <c r="H1258" s="271">
        <f t="shared" si="17"/>
        <v>320</v>
      </c>
    </row>
    <row r="1259" spans="2:8" x14ac:dyDescent="0.2">
      <c r="B1259" s="268" t="s">
        <v>1871</v>
      </c>
      <c r="C1259" s="269">
        <v>42703</v>
      </c>
      <c r="D1259" s="270" t="s">
        <v>1901</v>
      </c>
      <c r="E1259" s="270" t="s">
        <v>3167</v>
      </c>
      <c r="F1259" s="271">
        <v>1000</v>
      </c>
      <c r="G1259" s="271"/>
      <c r="H1259" s="271">
        <f t="shared" si="17"/>
        <v>1000</v>
      </c>
    </row>
    <row r="1260" spans="2:8" x14ac:dyDescent="0.2">
      <c r="B1260" s="268" t="s">
        <v>1880</v>
      </c>
      <c r="C1260" s="269">
        <v>42703</v>
      </c>
      <c r="D1260" s="270" t="s">
        <v>3089</v>
      </c>
      <c r="E1260" s="270" t="s">
        <v>3096</v>
      </c>
      <c r="F1260" s="271">
        <v>840</v>
      </c>
      <c r="G1260" s="271"/>
      <c r="H1260" s="271">
        <f t="shared" si="17"/>
        <v>840</v>
      </c>
    </row>
    <row r="1261" spans="2:8" x14ac:dyDescent="0.2">
      <c r="B1261" s="268" t="s">
        <v>1872</v>
      </c>
      <c r="C1261" s="269">
        <v>42703</v>
      </c>
      <c r="D1261" s="270" t="s">
        <v>3168</v>
      </c>
      <c r="E1261" s="270" t="s">
        <v>3169</v>
      </c>
      <c r="F1261" s="271">
        <v>200</v>
      </c>
      <c r="G1261" s="271"/>
      <c r="H1261" s="271">
        <f t="shared" si="17"/>
        <v>200</v>
      </c>
    </row>
    <row r="1262" spans="2:8" x14ac:dyDescent="0.2">
      <c r="B1262" s="268" t="s">
        <v>1884</v>
      </c>
      <c r="C1262" s="269">
        <v>42703</v>
      </c>
      <c r="D1262" s="270" t="s">
        <v>1920</v>
      </c>
      <c r="E1262" s="270" t="s">
        <v>3170</v>
      </c>
      <c r="F1262" s="271">
        <v>65</v>
      </c>
      <c r="G1262" s="271"/>
      <c r="H1262" s="271">
        <f t="shared" si="17"/>
        <v>65</v>
      </c>
    </row>
    <row r="1263" spans="2:8" x14ac:dyDescent="0.2">
      <c r="B1263" s="268" t="s">
        <v>1893</v>
      </c>
      <c r="C1263" s="269">
        <v>42703</v>
      </c>
      <c r="D1263" s="270" t="s">
        <v>3171</v>
      </c>
      <c r="E1263" s="270" t="s">
        <v>3172</v>
      </c>
      <c r="F1263" s="271">
        <v>279.60000000000002</v>
      </c>
      <c r="G1263" s="271"/>
      <c r="H1263" s="271">
        <f t="shared" si="17"/>
        <v>279.60000000000002</v>
      </c>
    </row>
    <row r="1264" spans="2:8" x14ac:dyDescent="0.2">
      <c r="B1264" s="268" t="s">
        <v>1893</v>
      </c>
      <c r="C1264" s="269">
        <v>42703</v>
      </c>
      <c r="D1264" s="270" t="s">
        <v>2774</v>
      </c>
      <c r="E1264" s="270" t="s">
        <v>3173</v>
      </c>
      <c r="F1264" s="271">
        <v>100</v>
      </c>
      <c r="G1264" s="271"/>
      <c r="H1264" s="271">
        <f t="shared" si="17"/>
        <v>100</v>
      </c>
    </row>
    <row r="1265" spans="2:9" x14ac:dyDescent="0.2">
      <c r="B1265" s="268" t="s">
        <v>1874</v>
      </c>
      <c r="C1265" s="269">
        <v>42703</v>
      </c>
      <c r="D1265" s="270" t="s">
        <v>3174</v>
      </c>
      <c r="E1265" s="270" t="s">
        <v>3175</v>
      </c>
      <c r="F1265" s="271">
        <v>22</v>
      </c>
      <c r="G1265" s="271"/>
      <c r="H1265" s="271">
        <f t="shared" si="17"/>
        <v>22</v>
      </c>
    </row>
    <row r="1266" spans="2:9" x14ac:dyDescent="0.2">
      <c r="B1266" s="268" t="s">
        <v>1585</v>
      </c>
      <c r="C1266" s="269">
        <v>42703</v>
      </c>
      <c r="D1266" s="270" t="s">
        <v>1908</v>
      </c>
      <c r="E1266" s="270" t="s">
        <v>3176</v>
      </c>
      <c r="F1266" s="271">
        <v>14500</v>
      </c>
      <c r="G1266" s="271"/>
      <c r="H1266" s="271">
        <f t="shared" si="17"/>
        <v>14500</v>
      </c>
    </row>
    <row r="1267" spans="2:9" x14ac:dyDescent="0.2">
      <c r="B1267" s="268" t="s">
        <v>1893</v>
      </c>
      <c r="C1267" s="269">
        <v>42704</v>
      </c>
      <c r="D1267" s="270" t="s">
        <v>1882</v>
      </c>
      <c r="E1267" s="270" t="s">
        <v>3177</v>
      </c>
      <c r="F1267" s="271">
        <v>450</v>
      </c>
      <c r="G1267" s="271"/>
      <c r="H1267" s="271">
        <f t="shared" si="17"/>
        <v>450</v>
      </c>
    </row>
    <row r="1268" spans="2:9" x14ac:dyDescent="0.2">
      <c r="B1268" s="268" t="s">
        <v>1893</v>
      </c>
      <c r="C1268" s="269">
        <v>42704</v>
      </c>
      <c r="D1268" s="270" t="s">
        <v>2260</v>
      </c>
      <c r="E1268" s="270" t="s">
        <v>3178</v>
      </c>
      <c r="F1268" s="271">
        <v>300</v>
      </c>
      <c r="G1268" s="271"/>
      <c r="H1268" s="271">
        <f t="shared" si="17"/>
        <v>300</v>
      </c>
    </row>
    <row r="1269" spans="2:9" x14ac:dyDescent="0.2">
      <c r="B1269" s="268" t="s">
        <v>1893</v>
      </c>
      <c r="C1269" s="269">
        <v>42704</v>
      </c>
      <c r="D1269" s="270" t="s">
        <v>2977</v>
      </c>
      <c r="E1269" s="270" t="s">
        <v>3179</v>
      </c>
      <c r="F1269" s="271">
        <v>28</v>
      </c>
      <c r="G1269" s="271"/>
      <c r="H1269" s="271">
        <f t="shared" si="17"/>
        <v>28</v>
      </c>
    </row>
    <row r="1270" spans="2:9" x14ac:dyDescent="0.2">
      <c r="B1270" s="268" t="s">
        <v>1868</v>
      </c>
      <c r="C1270" s="269">
        <v>42704</v>
      </c>
      <c r="D1270" s="270" t="s">
        <v>1920</v>
      </c>
      <c r="E1270" s="270" t="s">
        <v>1940</v>
      </c>
      <c r="F1270" s="271">
        <v>4000</v>
      </c>
      <c r="G1270" s="271"/>
      <c r="H1270" s="271">
        <f t="shared" si="17"/>
        <v>4000</v>
      </c>
    </row>
    <row r="1271" spans="2:9" x14ac:dyDescent="0.2">
      <c r="B1271" s="268" t="s">
        <v>1896</v>
      </c>
      <c r="C1271" s="269">
        <v>42678</v>
      </c>
      <c r="D1271" s="270" t="s">
        <v>1537</v>
      </c>
      <c r="E1271" s="270" t="s">
        <v>1539</v>
      </c>
      <c r="F1271" s="271">
        <v>-0.46</v>
      </c>
      <c r="G1271" s="271"/>
      <c r="H1271" s="271">
        <f t="shared" si="17"/>
        <v>-0.46</v>
      </c>
    </row>
    <row r="1272" spans="2:9" x14ac:dyDescent="0.2">
      <c r="B1272" s="268" t="s">
        <v>1799</v>
      </c>
      <c r="C1272" s="269">
        <v>42691</v>
      </c>
      <c r="D1272" s="270" t="s">
        <v>1918</v>
      </c>
      <c r="E1272" s="270" t="s">
        <v>3180</v>
      </c>
      <c r="F1272" s="271"/>
      <c r="G1272" s="271">
        <v>-1760</v>
      </c>
      <c r="H1272" s="271">
        <f t="shared" si="17"/>
        <v>-1760</v>
      </c>
    </row>
    <row r="1273" spans="2:9" x14ac:dyDescent="0.2">
      <c r="B1273" s="268" t="s">
        <v>1896</v>
      </c>
      <c r="C1273" s="269">
        <v>42704</v>
      </c>
      <c r="D1273" s="270" t="s">
        <v>1606</v>
      </c>
      <c r="E1273" s="270" t="s">
        <v>2239</v>
      </c>
      <c r="F1273" s="271">
        <v>84</v>
      </c>
      <c r="G1273" s="271"/>
      <c r="H1273" s="271">
        <f t="shared" si="17"/>
        <v>84</v>
      </c>
    </row>
    <row r="1274" spans="2:9" x14ac:dyDescent="0.2">
      <c r="B1274" s="268" t="s">
        <v>1799</v>
      </c>
      <c r="C1274" s="269">
        <v>42704</v>
      </c>
      <c r="D1274" s="270" t="s">
        <v>1606</v>
      </c>
      <c r="E1274" s="270" t="s">
        <v>2240</v>
      </c>
      <c r="F1274" s="271"/>
      <c r="G1274" s="271">
        <v>13.44</v>
      </c>
      <c r="H1274" s="271">
        <f t="shared" si="17"/>
        <v>13.44</v>
      </c>
      <c r="I1274" s="177">
        <f>SUM(H1140:H1274)</f>
        <v>123367.38</v>
      </c>
    </row>
    <row r="1275" spans="2:9" x14ac:dyDescent="0.2">
      <c r="B1275" s="268"/>
      <c r="C1275" s="269"/>
      <c r="D1275" s="270"/>
      <c r="E1275" s="270"/>
      <c r="F1275" s="271"/>
      <c r="G1275" s="271"/>
      <c r="H1275" s="271">
        <f t="shared" ref="H1275" si="18">SUM(F1275:G1275)</f>
        <v>0</v>
      </c>
      <c r="I1275" s="177"/>
    </row>
    <row r="1276" spans="2:9" x14ac:dyDescent="0.2">
      <c r="B1276" s="268"/>
      <c r="C1276" s="269"/>
      <c r="D1276" s="270"/>
      <c r="E1276" s="270"/>
      <c r="F1276" s="271"/>
      <c r="G1276" s="271"/>
      <c r="H1276" s="271">
        <f t="shared" ref="H1276:H1444" si="19">SUM(F1276:G1276)</f>
        <v>0</v>
      </c>
      <c r="I1276" s="177"/>
    </row>
    <row r="1277" spans="2:9" ht="18" customHeight="1" x14ac:dyDescent="0.2">
      <c r="B1277" s="261" t="s">
        <v>1859</v>
      </c>
      <c r="C1277" s="261" t="s">
        <v>1860</v>
      </c>
      <c r="D1277" s="262" t="s">
        <v>1861</v>
      </c>
      <c r="E1277" s="262" t="s">
        <v>1862</v>
      </c>
      <c r="F1277" s="263" t="s">
        <v>1863</v>
      </c>
      <c r="G1277" s="263" t="s">
        <v>1864</v>
      </c>
      <c r="H1277" s="263" t="s">
        <v>1865</v>
      </c>
    </row>
    <row r="1278" spans="2:9" x14ac:dyDescent="0.2">
      <c r="B1278" s="268" t="s">
        <v>1874</v>
      </c>
      <c r="C1278" s="269">
        <v>42705</v>
      </c>
      <c r="D1278" s="270" t="s">
        <v>1915</v>
      </c>
      <c r="E1278" s="270" t="s">
        <v>3216</v>
      </c>
      <c r="F1278" s="271">
        <v>200</v>
      </c>
      <c r="G1278" s="271"/>
      <c r="H1278" s="271">
        <f t="shared" si="19"/>
        <v>200</v>
      </c>
      <c r="I1278" s="177"/>
    </row>
    <row r="1279" spans="2:9" x14ac:dyDescent="0.2">
      <c r="B1279" s="268" t="s">
        <v>1880</v>
      </c>
      <c r="C1279" s="269">
        <v>42705</v>
      </c>
      <c r="D1279" s="270" t="s">
        <v>3089</v>
      </c>
      <c r="E1279" s="270" t="s">
        <v>3217</v>
      </c>
      <c r="F1279" s="271">
        <v>190</v>
      </c>
      <c r="G1279" s="271"/>
      <c r="H1279" s="271">
        <f t="shared" si="19"/>
        <v>190</v>
      </c>
      <c r="I1279" s="177"/>
    </row>
    <row r="1280" spans="2:9" x14ac:dyDescent="0.2">
      <c r="B1280" s="268" t="s">
        <v>1893</v>
      </c>
      <c r="C1280" s="269">
        <v>42705</v>
      </c>
      <c r="D1280" s="270" t="s">
        <v>3218</v>
      </c>
      <c r="E1280" s="270" t="s">
        <v>3219</v>
      </c>
      <c r="F1280" s="271">
        <v>308</v>
      </c>
      <c r="G1280" s="271"/>
      <c r="H1280" s="271">
        <f t="shared" si="19"/>
        <v>308</v>
      </c>
      <c r="I1280" s="177"/>
    </row>
    <row r="1281" spans="2:9" x14ac:dyDescent="0.2">
      <c r="B1281" s="268" t="s">
        <v>1872</v>
      </c>
      <c r="C1281" s="269">
        <v>42705</v>
      </c>
      <c r="D1281" s="270" t="s">
        <v>1882</v>
      </c>
      <c r="E1281" s="270" t="s">
        <v>3220</v>
      </c>
      <c r="F1281" s="271">
        <v>200</v>
      </c>
      <c r="G1281" s="271"/>
      <c r="H1281" s="271">
        <f t="shared" si="19"/>
        <v>200</v>
      </c>
      <c r="I1281" s="177"/>
    </row>
    <row r="1282" spans="2:9" x14ac:dyDescent="0.2">
      <c r="B1282" s="347" t="s">
        <v>1814</v>
      </c>
      <c r="C1282" s="269">
        <v>42706</v>
      </c>
      <c r="D1282" s="270" t="s">
        <v>1919</v>
      </c>
      <c r="E1282" s="270" t="s">
        <v>3221</v>
      </c>
      <c r="F1282" s="271">
        <v>1000</v>
      </c>
      <c r="G1282" s="271"/>
      <c r="H1282" s="271">
        <f t="shared" si="19"/>
        <v>1000</v>
      </c>
      <c r="I1282" s="177"/>
    </row>
    <row r="1283" spans="2:9" x14ac:dyDescent="0.2">
      <c r="B1283" s="268" t="s">
        <v>1869</v>
      </c>
      <c r="C1283" s="269">
        <v>42706</v>
      </c>
      <c r="D1283" s="270" t="s">
        <v>1900</v>
      </c>
      <c r="E1283" s="270" t="s">
        <v>3222</v>
      </c>
      <c r="F1283" s="271">
        <v>324</v>
      </c>
      <c r="G1283" s="271"/>
      <c r="H1283" s="271">
        <f t="shared" si="19"/>
        <v>324</v>
      </c>
      <c r="I1283" s="177"/>
    </row>
    <row r="1284" spans="2:9" x14ac:dyDescent="0.2">
      <c r="B1284" s="268" t="s">
        <v>1893</v>
      </c>
      <c r="C1284" s="269">
        <v>42706</v>
      </c>
      <c r="D1284" s="270" t="s">
        <v>2546</v>
      </c>
      <c r="E1284" s="270" t="s">
        <v>3223</v>
      </c>
      <c r="F1284" s="271">
        <v>112.4</v>
      </c>
      <c r="G1284" s="271"/>
      <c r="H1284" s="271">
        <f t="shared" si="19"/>
        <v>112.4</v>
      </c>
      <c r="I1284" s="177"/>
    </row>
    <row r="1285" spans="2:9" x14ac:dyDescent="0.2">
      <c r="B1285" s="268" t="s">
        <v>1874</v>
      </c>
      <c r="C1285" s="269">
        <v>42706</v>
      </c>
      <c r="D1285" s="270" t="s">
        <v>2829</v>
      </c>
      <c r="E1285" s="270" t="s">
        <v>3224</v>
      </c>
      <c r="F1285" s="271">
        <v>200</v>
      </c>
      <c r="G1285" s="271"/>
      <c r="H1285" s="271">
        <f t="shared" si="19"/>
        <v>200</v>
      </c>
      <c r="I1285" s="177"/>
    </row>
    <row r="1286" spans="2:9" x14ac:dyDescent="0.2">
      <c r="B1286" s="347" t="s">
        <v>1886</v>
      </c>
      <c r="C1286" s="269">
        <v>42707</v>
      </c>
      <c r="D1286" s="270" t="s">
        <v>1949</v>
      </c>
      <c r="E1286" s="270" t="s">
        <v>3225</v>
      </c>
      <c r="F1286" s="271">
        <v>735</v>
      </c>
      <c r="G1286" s="271"/>
      <c r="H1286" s="271">
        <f t="shared" si="19"/>
        <v>735</v>
      </c>
      <c r="I1286" s="177"/>
    </row>
    <row r="1287" spans="2:9" x14ac:dyDescent="0.2">
      <c r="B1287" s="347" t="s">
        <v>1872</v>
      </c>
      <c r="C1287" s="269">
        <v>42707</v>
      </c>
      <c r="D1287" s="270" t="s">
        <v>1887</v>
      </c>
      <c r="E1287" s="270" t="s">
        <v>3226</v>
      </c>
      <c r="F1287" s="271">
        <v>500</v>
      </c>
      <c r="G1287" s="271"/>
      <c r="H1287" s="271">
        <f t="shared" si="19"/>
        <v>500</v>
      </c>
      <c r="I1287" s="177"/>
    </row>
    <row r="1288" spans="2:9" x14ac:dyDescent="0.2">
      <c r="B1288" s="268" t="s">
        <v>1893</v>
      </c>
      <c r="C1288" s="269">
        <v>42708</v>
      </c>
      <c r="D1288" s="270" t="s">
        <v>2546</v>
      </c>
      <c r="E1288" s="270" t="s">
        <v>3150</v>
      </c>
      <c r="F1288" s="271">
        <v>132</v>
      </c>
      <c r="G1288" s="271"/>
      <c r="H1288" s="271">
        <f t="shared" si="19"/>
        <v>132</v>
      </c>
      <c r="I1288" s="177"/>
    </row>
    <row r="1289" spans="2:9" x14ac:dyDescent="0.2">
      <c r="B1289" s="268" t="s">
        <v>1872</v>
      </c>
      <c r="C1289" s="269">
        <v>42708</v>
      </c>
      <c r="D1289" s="270" t="s">
        <v>2260</v>
      </c>
      <c r="E1289" s="270" t="s">
        <v>3227</v>
      </c>
      <c r="F1289" s="271">
        <v>150</v>
      </c>
      <c r="G1289" s="271"/>
      <c r="H1289" s="271">
        <f t="shared" si="19"/>
        <v>150</v>
      </c>
      <c r="I1289" s="177"/>
    </row>
    <row r="1290" spans="2:9" x14ac:dyDescent="0.2">
      <c r="B1290" s="268" t="s">
        <v>1893</v>
      </c>
      <c r="C1290" s="269">
        <v>42708</v>
      </c>
      <c r="D1290" s="270" t="s">
        <v>2260</v>
      </c>
      <c r="E1290" s="270" t="s">
        <v>3228</v>
      </c>
      <c r="F1290" s="271">
        <v>120</v>
      </c>
      <c r="G1290" s="271"/>
      <c r="H1290" s="271">
        <f t="shared" si="19"/>
        <v>120</v>
      </c>
      <c r="I1290" s="177"/>
    </row>
    <row r="1291" spans="2:9" x14ac:dyDescent="0.2">
      <c r="B1291" s="268" t="s">
        <v>1869</v>
      </c>
      <c r="C1291" s="269">
        <v>42708</v>
      </c>
      <c r="D1291" s="270" t="s">
        <v>1935</v>
      </c>
      <c r="E1291" s="270" t="s">
        <v>3230</v>
      </c>
      <c r="F1291" s="271">
        <v>615</v>
      </c>
      <c r="G1291" s="271"/>
      <c r="H1291" s="271">
        <f t="shared" si="19"/>
        <v>615</v>
      </c>
      <c r="I1291" s="177"/>
    </row>
    <row r="1292" spans="2:9" x14ac:dyDescent="0.2">
      <c r="B1292" s="268" t="s">
        <v>1872</v>
      </c>
      <c r="C1292" s="269">
        <v>42708</v>
      </c>
      <c r="D1292" s="270" t="s">
        <v>1920</v>
      </c>
      <c r="E1292" s="270" t="s">
        <v>3231</v>
      </c>
      <c r="F1292" s="271">
        <v>385</v>
      </c>
      <c r="G1292" s="271"/>
      <c r="H1292" s="271">
        <f t="shared" si="19"/>
        <v>385</v>
      </c>
      <c r="I1292" s="177"/>
    </row>
    <row r="1293" spans="2:9" x14ac:dyDescent="0.2">
      <c r="B1293" s="268" t="s">
        <v>1870</v>
      </c>
      <c r="C1293" s="269">
        <v>42709</v>
      </c>
      <c r="D1293" s="270" t="s">
        <v>2076</v>
      </c>
      <c r="E1293" s="270" t="s">
        <v>3232</v>
      </c>
      <c r="F1293" s="271">
        <v>192</v>
      </c>
      <c r="G1293" s="271"/>
      <c r="H1293" s="271">
        <f t="shared" si="19"/>
        <v>192</v>
      </c>
      <c r="I1293" s="177"/>
    </row>
    <row r="1294" spans="2:9" x14ac:dyDescent="0.2">
      <c r="B1294" s="268" t="s">
        <v>1873</v>
      </c>
      <c r="C1294" s="269">
        <v>42709</v>
      </c>
      <c r="D1294" s="270" t="s">
        <v>1919</v>
      </c>
      <c r="E1294" s="270" t="s">
        <v>3233</v>
      </c>
      <c r="F1294" s="271">
        <v>400</v>
      </c>
      <c r="G1294" s="271"/>
      <c r="H1294" s="271">
        <f t="shared" si="19"/>
        <v>400</v>
      </c>
      <c r="I1294" s="177"/>
    </row>
    <row r="1295" spans="2:9" x14ac:dyDescent="0.2">
      <c r="B1295" s="268" t="s">
        <v>1869</v>
      </c>
      <c r="C1295" s="269">
        <v>42709</v>
      </c>
      <c r="D1295" s="270" t="s">
        <v>1935</v>
      </c>
      <c r="E1295" s="270" t="s">
        <v>3234</v>
      </c>
      <c r="F1295" s="271">
        <v>45</v>
      </c>
      <c r="G1295" s="271"/>
      <c r="H1295" s="271">
        <f t="shared" si="19"/>
        <v>45</v>
      </c>
      <c r="I1295" s="177"/>
    </row>
    <row r="1296" spans="2:9" x14ac:dyDescent="0.2">
      <c r="B1296" s="268" t="s">
        <v>1870</v>
      </c>
      <c r="C1296" s="269">
        <v>42709</v>
      </c>
      <c r="D1296" s="270" t="s">
        <v>3235</v>
      </c>
      <c r="E1296" s="270" t="s">
        <v>3236</v>
      </c>
      <c r="F1296" s="271">
        <v>175</v>
      </c>
      <c r="G1296" s="271"/>
      <c r="H1296" s="271">
        <f t="shared" si="19"/>
        <v>175</v>
      </c>
      <c r="I1296" s="177"/>
    </row>
    <row r="1297" spans="2:9" x14ac:dyDescent="0.2">
      <c r="B1297" s="268" t="s">
        <v>1875</v>
      </c>
      <c r="C1297" s="269">
        <v>42709</v>
      </c>
      <c r="D1297" s="270" t="s">
        <v>1899</v>
      </c>
      <c r="E1297" s="270" t="s">
        <v>2798</v>
      </c>
      <c r="F1297" s="271">
        <v>398</v>
      </c>
      <c r="G1297" s="271"/>
      <c r="H1297" s="271">
        <f t="shared" si="19"/>
        <v>398</v>
      </c>
      <c r="I1297" s="177"/>
    </row>
    <row r="1298" spans="2:9" x14ac:dyDescent="0.2">
      <c r="B1298" s="268" t="s">
        <v>1893</v>
      </c>
      <c r="C1298" s="269">
        <v>42709</v>
      </c>
      <c r="D1298" s="270" t="s">
        <v>3237</v>
      </c>
      <c r="E1298" s="270" t="s">
        <v>3238</v>
      </c>
      <c r="F1298" s="271">
        <v>900</v>
      </c>
      <c r="G1298" s="271"/>
      <c r="H1298" s="271">
        <f t="shared" si="19"/>
        <v>900</v>
      </c>
      <c r="I1298" s="177"/>
    </row>
    <row r="1299" spans="2:9" x14ac:dyDescent="0.2">
      <c r="B1299" s="268" t="s">
        <v>1886</v>
      </c>
      <c r="C1299" s="269">
        <v>42709</v>
      </c>
      <c r="D1299" s="270" t="s">
        <v>3158</v>
      </c>
      <c r="E1299" s="270" t="s">
        <v>3239</v>
      </c>
      <c r="F1299" s="271">
        <v>350</v>
      </c>
      <c r="G1299" s="271"/>
      <c r="H1299" s="271">
        <f t="shared" si="19"/>
        <v>350</v>
      </c>
      <c r="I1299" s="177"/>
    </row>
    <row r="1300" spans="2:9" x14ac:dyDescent="0.2">
      <c r="B1300" s="268" t="s">
        <v>1893</v>
      </c>
      <c r="C1300" s="269">
        <v>42709</v>
      </c>
      <c r="D1300" s="270" t="s">
        <v>3240</v>
      </c>
      <c r="E1300" s="270" t="s">
        <v>3241</v>
      </c>
      <c r="F1300" s="271">
        <v>320</v>
      </c>
      <c r="G1300" s="271"/>
      <c r="H1300" s="271">
        <f t="shared" si="19"/>
        <v>320</v>
      </c>
      <c r="I1300" s="177"/>
    </row>
    <row r="1301" spans="2:9" x14ac:dyDescent="0.2">
      <c r="B1301" s="268" t="s">
        <v>1872</v>
      </c>
      <c r="C1301" s="269">
        <v>42709</v>
      </c>
      <c r="D1301" s="270" t="s">
        <v>1882</v>
      </c>
      <c r="E1301" s="270" t="s">
        <v>3242</v>
      </c>
      <c r="F1301" s="271">
        <v>250</v>
      </c>
      <c r="G1301" s="271"/>
      <c r="H1301" s="271">
        <f t="shared" si="19"/>
        <v>250</v>
      </c>
      <c r="I1301" s="177"/>
    </row>
    <row r="1302" spans="2:9" x14ac:dyDescent="0.2">
      <c r="B1302" s="268" t="s">
        <v>1893</v>
      </c>
      <c r="C1302" s="269">
        <v>42709</v>
      </c>
      <c r="D1302" s="270" t="s">
        <v>2829</v>
      </c>
      <c r="E1302" s="270" t="s">
        <v>3243</v>
      </c>
      <c r="F1302" s="271">
        <v>200</v>
      </c>
      <c r="G1302" s="271"/>
      <c r="H1302" s="271">
        <f t="shared" si="19"/>
        <v>200</v>
      </c>
      <c r="I1302" s="177"/>
    </row>
    <row r="1303" spans="2:9" x14ac:dyDescent="0.2">
      <c r="B1303" s="268" t="s">
        <v>1893</v>
      </c>
      <c r="C1303" s="269">
        <v>42709</v>
      </c>
      <c r="D1303" s="270" t="s">
        <v>2832</v>
      </c>
      <c r="E1303" s="270" t="s">
        <v>3243</v>
      </c>
      <c r="F1303" s="271">
        <v>200</v>
      </c>
      <c r="G1303" s="271"/>
      <c r="H1303" s="271">
        <f t="shared" si="19"/>
        <v>200</v>
      </c>
      <c r="I1303" s="177"/>
    </row>
    <row r="1304" spans="2:9" x14ac:dyDescent="0.2">
      <c r="B1304" s="347" t="s">
        <v>1814</v>
      </c>
      <c r="C1304" s="269">
        <v>42711</v>
      </c>
      <c r="D1304" s="270" t="s">
        <v>1897</v>
      </c>
      <c r="E1304" s="270" t="s">
        <v>3244</v>
      </c>
      <c r="F1304" s="271">
        <v>2110.34</v>
      </c>
      <c r="G1304" s="271">
        <v>337.66</v>
      </c>
      <c r="H1304" s="271">
        <f t="shared" si="19"/>
        <v>2448</v>
      </c>
      <c r="I1304" s="177"/>
    </row>
    <row r="1305" spans="2:9" x14ac:dyDescent="0.2">
      <c r="B1305" s="268" t="s">
        <v>1799</v>
      </c>
      <c r="C1305" s="269">
        <v>42711</v>
      </c>
      <c r="D1305" s="270" t="s">
        <v>1918</v>
      </c>
      <c r="E1305" s="270" t="s">
        <v>3245</v>
      </c>
      <c r="F1305" s="271"/>
      <c r="G1305" s="271">
        <v>1760</v>
      </c>
      <c r="H1305" s="271">
        <f t="shared" si="19"/>
        <v>1760</v>
      </c>
      <c r="I1305" s="177"/>
    </row>
    <row r="1306" spans="2:9" x14ac:dyDescent="0.2">
      <c r="B1306" s="268" t="s">
        <v>1893</v>
      </c>
      <c r="C1306" s="269">
        <v>42711</v>
      </c>
      <c r="D1306" s="270" t="s">
        <v>3247</v>
      </c>
      <c r="E1306" s="270" t="s">
        <v>3246</v>
      </c>
      <c r="F1306" s="271">
        <v>78</v>
      </c>
      <c r="G1306" s="271"/>
      <c r="H1306" s="271">
        <f t="shared" ref="H1306:H1321" si="20">SUM(F1306:G1306)</f>
        <v>78</v>
      </c>
      <c r="I1306" s="177"/>
    </row>
    <row r="1307" spans="2:9" x14ac:dyDescent="0.2">
      <c r="B1307" s="268" t="s">
        <v>1893</v>
      </c>
      <c r="C1307" s="269">
        <v>42711</v>
      </c>
      <c r="D1307" s="270" t="s">
        <v>3247</v>
      </c>
      <c r="E1307" s="270" t="s">
        <v>3248</v>
      </c>
      <c r="F1307" s="271">
        <v>522.1</v>
      </c>
      <c r="G1307" s="271"/>
      <c r="H1307" s="271">
        <f t="shared" si="20"/>
        <v>522.1</v>
      </c>
      <c r="I1307" s="177"/>
    </row>
    <row r="1308" spans="2:9" x14ac:dyDescent="0.2">
      <c r="B1308" s="268" t="s">
        <v>1893</v>
      </c>
      <c r="C1308" s="269">
        <v>42711</v>
      </c>
      <c r="D1308" s="270" t="s">
        <v>2210</v>
      </c>
      <c r="E1308" s="270" t="s">
        <v>3249</v>
      </c>
      <c r="F1308" s="271">
        <v>285</v>
      </c>
      <c r="G1308" s="271"/>
      <c r="H1308" s="271">
        <f t="shared" si="20"/>
        <v>285</v>
      </c>
      <c r="I1308" s="177"/>
    </row>
    <row r="1309" spans="2:9" x14ac:dyDescent="0.2">
      <c r="B1309" s="268" t="s">
        <v>1871</v>
      </c>
      <c r="C1309" s="269">
        <v>42711</v>
      </c>
      <c r="D1309" s="270" t="s">
        <v>1901</v>
      </c>
      <c r="E1309" s="270" t="s">
        <v>3250</v>
      </c>
      <c r="F1309" s="271">
        <v>400</v>
      </c>
      <c r="G1309" s="271"/>
      <c r="H1309" s="271">
        <f t="shared" si="20"/>
        <v>400</v>
      </c>
      <c r="I1309" s="177"/>
    </row>
    <row r="1310" spans="2:9" x14ac:dyDescent="0.2">
      <c r="B1310" s="268" t="s">
        <v>1870</v>
      </c>
      <c r="C1310" s="269">
        <v>42712</v>
      </c>
      <c r="D1310" s="270" t="s">
        <v>1915</v>
      </c>
      <c r="E1310" s="270" t="s">
        <v>3251</v>
      </c>
      <c r="F1310" s="271">
        <v>1400</v>
      </c>
      <c r="G1310" s="271"/>
      <c r="H1310" s="271">
        <f t="shared" si="20"/>
        <v>1400</v>
      </c>
      <c r="I1310" s="177"/>
    </row>
    <row r="1311" spans="2:9" x14ac:dyDescent="0.2">
      <c r="B1311" s="268" t="s">
        <v>1870</v>
      </c>
      <c r="C1311" s="269">
        <v>42712</v>
      </c>
      <c r="D1311" s="270" t="s">
        <v>1915</v>
      </c>
      <c r="E1311" s="270" t="s">
        <v>3251</v>
      </c>
      <c r="F1311" s="271">
        <v>1400</v>
      </c>
      <c r="G1311" s="271"/>
      <c r="H1311" s="271">
        <f t="shared" si="20"/>
        <v>1400</v>
      </c>
      <c r="I1311" s="177"/>
    </row>
    <row r="1312" spans="2:9" x14ac:dyDescent="0.2">
      <c r="B1312" s="268" t="s">
        <v>1893</v>
      </c>
      <c r="C1312" s="269">
        <v>42712</v>
      </c>
      <c r="D1312" s="270" t="s">
        <v>3252</v>
      </c>
      <c r="E1312" s="270" t="s">
        <v>3253</v>
      </c>
      <c r="F1312" s="271">
        <v>50</v>
      </c>
      <c r="G1312" s="271"/>
      <c r="H1312" s="271">
        <f t="shared" si="20"/>
        <v>50</v>
      </c>
      <c r="I1312" s="177"/>
    </row>
    <row r="1313" spans="2:9" x14ac:dyDescent="0.2">
      <c r="B1313" s="268" t="s">
        <v>1893</v>
      </c>
      <c r="C1313" s="269">
        <v>42712</v>
      </c>
      <c r="D1313" s="270" t="s">
        <v>3252</v>
      </c>
      <c r="E1313" s="270" t="s">
        <v>3254</v>
      </c>
      <c r="F1313" s="271">
        <v>1470</v>
      </c>
      <c r="G1313" s="271"/>
      <c r="H1313" s="271">
        <f t="shared" si="20"/>
        <v>1470</v>
      </c>
      <c r="I1313" s="177"/>
    </row>
    <row r="1314" spans="2:9" x14ac:dyDescent="0.2">
      <c r="B1314" s="268" t="s">
        <v>1869</v>
      </c>
      <c r="C1314" s="269">
        <v>42712</v>
      </c>
      <c r="D1314" s="270" t="s">
        <v>1935</v>
      </c>
      <c r="E1314" s="270" t="s">
        <v>3255</v>
      </c>
      <c r="F1314" s="271">
        <v>60</v>
      </c>
      <c r="G1314" s="271"/>
      <c r="H1314" s="271">
        <f t="shared" si="20"/>
        <v>60</v>
      </c>
      <c r="I1314" s="177"/>
    </row>
    <row r="1315" spans="2:9" x14ac:dyDescent="0.2">
      <c r="B1315" s="268" t="s">
        <v>1893</v>
      </c>
      <c r="C1315" s="269">
        <v>42713</v>
      </c>
      <c r="D1315" s="270" t="s">
        <v>2468</v>
      </c>
      <c r="E1315" s="270" t="s">
        <v>3256</v>
      </c>
      <c r="F1315" s="271">
        <v>50</v>
      </c>
      <c r="G1315" s="271"/>
      <c r="H1315" s="271">
        <f t="shared" si="20"/>
        <v>50</v>
      </c>
      <c r="I1315" s="177"/>
    </row>
    <row r="1316" spans="2:9" x14ac:dyDescent="0.2">
      <c r="B1316" s="268" t="s">
        <v>1893</v>
      </c>
      <c r="C1316" s="269">
        <v>42713</v>
      </c>
      <c r="D1316" s="270" t="s">
        <v>2468</v>
      </c>
      <c r="E1316" s="270" t="s">
        <v>3256</v>
      </c>
      <c r="F1316" s="271">
        <v>80</v>
      </c>
      <c r="G1316" s="271"/>
      <c r="H1316" s="271">
        <f t="shared" si="20"/>
        <v>80</v>
      </c>
      <c r="I1316" s="177"/>
    </row>
    <row r="1317" spans="2:9" x14ac:dyDescent="0.2">
      <c r="B1317" s="268" t="s">
        <v>1893</v>
      </c>
      <c r="C1317" s="269">
        <v>42713</v>
      </c>
      <c r="D1317" s="270" t="s">
        <v>2546</v>
      </c>
      <c r="E1317" s="270" t="s">
        <v>3257</v>
      </c>
      <c r="F1317" s="271">
        <v>180</v>
      </c>
      <c r="G1317" s="271"/>
      <c r="H1317" s="271">
        <f t="shared" si="20"/>
        <v>180</v>
      </c>
      <c r="I1317" s="177"/>
    </row>
    <row r="1318" spans="2:9" x14ac:dyDescent="0.2">
      <c r="B1318" s="268" t="s">
        <v>1893</v>
      </c>
      <c r="C1318" s="269">
        <v>42713</v>
      </c>
      <c r="D1318" s="270" t="s">
        <v>2968</v>
      </c>
      <c r="E1318" s="270" t="s">
        <v>3258</v>
      </c>
      <c r="F1318" s="271">
        <v>228</v>
      </c>
      <c r="G1318" s="271"/>
      <c r="H1318" s="271">
        <f t="shared" si="20"/>
        <v>228</v>
      </c>
      <c r="I1318" s="177"/>
    </row>
    <row r="1319" spans="2:9" x14ac:dyDescent="0.2">
      <c r="B1319" s="268" t="s">
        <v>1893</v>
      </c>
      <c r="C1319" s="269">
        <v>42713</v>
      </c>
      <c r="D1319" s="270" t="s">
        <v>2968</v>
      </c>
      <c r="E1319" s="270" t="s">
        <v>3259</v>
      </c>
      <c r="F1319" s="271">
        <v>264</v>
      </c>
      <c r="G1319" s="271"/>
      <c r="H1319" s="271">
        <f t="shared" si="20"/>
        <v>264</v>
      </c>
      <c r="I1319" s="177"/>
    </row>
    <row r="1320" spans="2:9" x14ac:dyDescent="0.2">
      <c r="B1320" s="268" t="s">
        <v>1893</v>
      </c>
      <c r="C1320" s="269">
        <v>42713</v>
      </c>
      <c r="D1320" s="270" t="s">
        <v>2968</v>
      </c>
      <c r="E1320" s="270" t="s">
        <v>3231</v>
      </c>
      <c r="F1320" s="271">
        <v>60</v>
      </c>
      <c r="G1320" s="271"/>
      <c r="H1320" s="271">
        <f t="shared" si="20"/>
        <v>60</v>
      </c>
      <c r="I1320" s="177"/>
    </row>
    <row r="1321" spans="2:9" x14ac:dyDescent="0.2">
      <c r="B1321" s="268" t="s">
        <v>1893</v>
      </c>
      <c r="C1321" s="269">
        <v>42713</v>
      </c>
      <c r="D1321" s="270" t="s">
        <v>2412</v>
      </c>
      <c r="E1321" s="270" t="s">
        <v>3260</v>
      </c>
      <c r="F1321" s="271">
        <v>108.23</v>
      </c>
      <c r="G1321" s="271">
        <v>17.32</v>
      </c>
      <c r="H1321" s="271">
        <f t="shared" si="20"/>
        <v>125.55000000000001</v>
      </c>
      <c r="I1321" s="177"/>
    </row>
    <row r="1322" spans="2:9" x14ac:dyDescent="0.2">
      <c r="B1322" s="268" t="s">
        <v>1871</v>
      </c>
      <c r="C1322" s="269">
        <v>42713</v>
      </c>
      <c r="D1322" s="270" t="s">
        <v>1901</v>
      </c>
      <c r="E1322" s="270" t="s">
        <v>3261</v>
      </c>
      <c r="F1322" s="271">
        <v>2350</v>
      </c>
      <c r="G1322" s="271"/>
      <c r="H1322" s="271">
        <f t="shared" si="19"/>
        <v>2350</v>
      </c>
      <c r="I1322" s="177"/>
    </row>
    <row r="1323" spans="2:9" x14ac:dyDescent="0.2">
      <c r="B1323" s="268" t="s">
        <v>1893</v>
      </c>
      <c r="C1323" s="269">
        <v>42713</v>
      </c>
      <c r="D1323" s="270" t="s">
        <v>2968</v>
      </c>
      <c r="E1323" s="270" t="s">
        <v>3259</v>
      </c>
      <c r="F1323" s="271">
        <v>420</v>
      </c>
      <c r="G1323" s="271"/>
      <c r="H1323" s="271">
        <f t="shared" si="19"/>
        <v>420</v>
      </c>
      <c r="I1323" s="177"/>
    </row>
    <row r="1324" spans="2:9" x14ac:dyDescent="0.2">
      <c r="B1324" s="268" t="s">
        <v>1893</v>
      </c>
      <c r="C1324" s="269">
        <v>42714</v>
      </c>
      <c r="D1324" s="270" t="s">
        <v>1920</v>
      </c>
      <c r="E1324" s="270" t="s">
        <v>3262</v>
      </c>
      <c r="F1324" s="271">
        <v>835</v>
      </c>
      <c r="G1324" s="271"/>
      <c r="H1324" s="271">
        <f t="shared" si="19"/>
        <v>835</v>
      </c>
      <c r="I1324" s="177"/>
    </row>
    <row r="1325" spans="2:9" x14ac:dyDescent="0.2">
      <c r="B1325" s="268" t="s">
        <v>1893</v>
      </c>
      <c r="C1325" s="269">
        <v>42714</v>
      </c>
      <c r="D1325" s="270" t="s">
        <v>1920</v>
      </c>
      <c r="E1325" s="270" t="s">
        <v>3263</v>
      </c>
      <c r="F1325" s="271">
        <v>56</v>
      </c>
      <c r="G1325" s="271"/>
      <c r="H1325" s="271">
        <f t="shared" si="19"/>
        <v>56</v>
      </c>
      <c r="I1325" s="177"/>
    </row>
    <row r="1326" spans="2:9" x14ac:dyDescent="0.2">
      <c r="B1326" s="268" t="s">
        <v>1814</v>
      </c>
      <c r="C1326" s="269">
        <v>42714</v>
      </c>
      <c r="D1326" s="270" t="s">
        <v>1919</v>
      </c>
      <c r="E1326" s="270" t="s">
        <v>3264</v>
      </c>
      <c r="F1326" s="271">
        <v>1000</v>
      </c>
      <c r="G1326" s="271"/>
      <c r="H1326" s="271">
        <f t="shared" si="19"/>
        <v>1000</v>
      </c>
      <c r="I1326" s="177"/>
    </row>
    <row r="1327" spans="2:9" x14ac:dyDescent="0.2">
      <c r="B1327" s="268" t="s">
        <v>1893</v>
      </c>
      <c r="C1327" s="269">
        <v>42714</v>
      </c>
      <c r="D1327" s="270" t="s">
        <v>2829</v>
      </c>
      <c r="E1327" s="270" t="s">
        <v>3265</v>
      </c>
      <c r="F1327" s="271">
        <v>150</v>
      </c>
      <c r="G1327" s="271"/>
      <c r="H1327" s="271">
        <f t="shared" ref="H1327:H1355" si="21">SUM(F1327:G1327)</f>
        <v>150</v>
      </c>
      <c r="I1327" s="177"/>
    </row>
    <row r="1328" spans="2:9" x14ac:dyDescent="0.2">
      <c r="B1328" s="268" t="s">
        <v>1893</v>
      </c>
      <c r="C1328" s="269">
        <v>42714</v>
      </c>
      <c r="D1328" s="270" t="s">
        <v>3266</v>
      </c>
      <c r="E1328" s="270" t="s">
        <v>3267</v>
      </c>
      <c r="F1328" s="271">
        <v>449</v>
      </c>
      <c r="G1328" s="271"/>
      <c r="H1328" s="271">
        <f t="shared" si="21"/>
        <v>449</v>
      </c>
      <c r="I1328" s="177"/>
    </row>
    <row r="1329" spans="2:9" x14ac:dyDescent="0.2">
      <c r="B1329" s="268" t="s">
        <v>1893</v>
      </c>
      <c r="C1329" s="269">
        <v>42714</v>
      </c>
      <c r="D1329" s="270" t="s">
        <v>3268</v>
      </c>
      <c r="E1329" s="270" t="s">
        <v>3269</v>
      </c>
      <c r="F1329" s="271">
        <v>200</v>
      </c>
      <c r="G1329" s="271"/>
      <c r="H1329" s="271">
        <f t="shared" si="21"/>
        <v>200</v>
      </c>
      <c r="I1329" s="177"/>
    </row>
    <row r="1330" spans="2:9" x14ac:dyDescent="0.2">
      <c r="B1330" s="268" t="s">
        <v>1893</v>
      </c>
      <c r="C1330" s="269">
        <v>42714</v>
      </c>
      <c r="D1330" s="270" t="s">
        <v>1920</v>
      </c>
      <c r="E1330" s="270" t="s">
        <v>3270</v>
      </c>
      <c r="F1330" s="271">
        <v>190</v>
      </c>
      <c r="G1330" s="271"/>
      <c r="H1330" s="271">
        <f t="shared" si="21"/>
        <v>190</v>
      </c>
      <c r="I1330" s="177"/>
    </row>
    <row r="1331" spans="2:9" x14ac:dyDescent="0.2">
      <c r="B1331" s="268" t="s">
        <v>1585</v>
      </c>
      <c r="C1331" s="269">
        <v>42714</v>
      </c>
      <c r="D1331" s="270" t="s">
        <v>3271</v>
      </c>
      <c r="E1331" s="270" t="s">
        <v>3272</v>
      </c>
      <c r="F1331" s="271">
        <v>26470.23</v>
      </c>
      <c r="G1331" s="271"/>
      <c r="H1331" s="271">
        <f t="shared" si="21"/>
        <v>26470.23</v>
      </c>
      <c r="I1331" s="177"/>
    </row>
    <row r="1332" spans="2:9" x14ac:dyDescent="0.2">
      <c r="B1332" s="268" t="s">
        <v>1872</v>
      </c>
      <c r="C1332" s="269">
        <v>42714</v>
      </c>
      <c r="D1332" s="270" t="s">
        <v>1887</v>
      </c>
      <c r="E1332" s="270" t="s">
        <v>3273</v>
      </c>
      <c r="F1332" s="271">
        <v>500</v>
      </c>
      <c r="G1332" s="271"/>
      <c r="H1332" s="271">
        <f t="shared" si="21"/>
        <v>500</v>
      </c>
      <c r="I1332" s="177"/>
    </row>
    <row r="1333" spans="2:9" x14ac:dyDescent="0.2">
      <c r="B1333" s="268" t="s">
        <v>1872</v>
      </c>
      <c r="C1333" s="269">
        <v>42684</v>
      </c>
      <c r="D1333" s="270" t="s">
        <v>2430</v>
      </c>
      <c r="E1333" s="270" t="s">
        <v>3274</v>
      </c>
      <c r="F1333" s="271">
        <v>300</v>
      </c>
      <c r="G1333" s="271"/>
      <c r="H1333" s="271">
        <f t="shared" si="21"/>
        <v>300</v>
      </c>
      <c r="I1333" s="177"/>
    </row>
    <row r="1334" spans="2:9" x14ac:dyDescent="0.2">
      <c r="B1334" s="268" t="s">
        <v>1893</v>
      </c>
      <c r="C1334" s="269">
        <v>42714</v>
      </c>
      <c r="D1334" s="270" t="s">
        <v>3275</v>
      </c>
      <c r="E1334" s="270" t="s">
        <v>3276</v>
      </c>
      <c r="F1334" s="271">
        <v>500</v>
      </c>
      <c r="G1334" s="271"/>
      <c r="H1334" s="271">
        <f t="shared" si="21"/>
        <v>500</v>
      </c>
      <c r="I1334" s="177"/>
    </row>
    <row r="1335" spans="2:9" x14ac:dyDescent="0.2">
      <c r="B1335" s="268" t="s">
        <v>1893</v>
      </c>
      <c r="C1335" s="269">
        <v>42714</v>
      </c>
      <c r="D1335" s="270" t="s">
        <v>1915</v>
      </c>
      <c r="E1335" s="270" t="s">
        <v>3277</v>
      </c>
      <c r="F1335" s="271">
        <v>250</v>
      </c>
      <c r="G1335" s="271"/>
      <c r="H1335" s="271">
        <f t="shared" si="21"/>
        <v>250</v>
      </c>
      <c r="I1335" s="177"/>
    </row>
    <row r="1336" spans="2:9" x14ac:dyDescent="0.2">
      <c r="B1336" s="268" t="s">
        <v>1893</v>
      </c>
      <c r="C1336" s="269">
        <v>42714</v>
      </c>
      <c r="D1336" s="270" t="s">
        <v>2829</v>
      </c>
      <c r="E1336" s="270" t="s">
        <v>3278</v>
      </c>
      <c r="F1336" s="271">
        <v>400</v>
      </c>
      <c r="G1336" s="271"/>
      <c r="H1336" s="271">
        <f t="shared" si="21"/>
        <v>400</v>
      </c>
      <c r="I1336" s="177"/>
    </row>
    <row r="1337" spans="2:9" x14ac:dyDescent="0.2">
      <c r="B1337" s="268" t="s">
        <v>1872</v>
      </c>
      <c r="C1337" s="269">
        <v>42715</v>
      </c>
      <c r="D1337" s="270" t="s">
        <v>1887</v>
      </c>
      <c r="E1337" s="270" t="s">
        <v>3279</v>
      </c>
      <c r="F1337" s="271">
        <v>500</v>
      </c>
      <c r="G1337" s="271"/>
      <c r="H1337" s="271">
        <f t="shared" si="21"/>
        <v>500</v>
      </c>
      <c r="I1337" s="177"/>
    </row>
    <row r="1338" spans="2:9" x14ac:dyDescent="0.2">
      <c r="B1338" s="268" t="s">
        <v>1873</v>
      </c>
      <c r="C1338" s="269">
        <v>42715</v>
      </c>
      <c r="D1338" s="270" t="s">
        <v>2397</v>
      </c>
      <c r="E1338" s="270" t="s">
        <v>3280</v>
      </c>
      <c r="F1338" s="271">
        <v>91</v>
      </c>
      <c r="G1338" s="271"/>
      <c r="H1338" s="271">
        <f t="shared" si="21"/>
        <v>91</v>
      </c>
      <c r="I1338" s="177"/>
    </row>
    <row r="1339" spans="2:9" x14ac:dyDescent="0.2">
      <c r="B1339" s="268" t="s">
        <v>1893</v>
      </c>
      <c r="C1339" s="269">
        <v>42715</v>
      </c>
      <c r="D1339" s="270" t="s">
        <v>2260</v>
      </c>
      <c r="E1339" s="270" t="s">
        <v>2035</v>
      </c>
      <c r="F1339" s="271">
        <v>120</v>
      </c>
      <c r="G1339" s="271"/>
      <c r="H1339" s="271">
        <f t="shared" si="21"/>
        <v>120</v>
      </c>
      <c r="I1339" s="177"/>
    </row>
    <row r="1340" spans="2:9" x14ac:dyDescent="0.2">
      <c r="B1340" s="268" t="s">
        <v>1872</v>
      </c>
      <c r="C1340" s="269">
        <v>42715</v>
      </c>
      <c r="D1340" s="270" t="s">
        <v>2260</v>
      </c>
      <c r="E1340" s="270" t="s">
        <v>2993</v>
      </c>
      <c r="F1340" s="271">
        <v>150</v>
      </c>
      <c r="G1340" s="271"/>
      <c r="H1340" s="271">
        <f t="shared" si="21"/>
        <v>150</v>
      </c>
      <c r="I1340" s="177"/>
    </row>
    <row r="1341" spans="2:9" x14ac:dyDescent="0.2">
      <c r="B1341" s="268" t="s">
        <v>1893</v>
      </c>
      <c r="C1341" s="269">
        <v>42715</v>
      </c>
      <c r="D1341" s="270" t="s">
        <v>2348</v>
      </c>
      <c r="E1341" s="270" t="s">
        <v>3281</v>
      </c>
      <c r="F1341" s="271">
        <v>279.60000000000002</v>
      </c>
      <c r="G1341" s="271"/>
      <c r="H1341" s="271">
        <f t="shared" si="21"/>
        <v>279.60000000000002</v>
      </c>
      <c r="I1341" s="177"/>
    </row>
    <row r="1342" spans="2:9" x14ac:dyDescent="0.2">
      <c r="B1342" s="268" t="s">
        <v>1873</v>
      </c>
      <c r="C1342" s="269">
        <v>42716</v>
      </c>
      <c r="D1342" s="270" t="s">
        <v>1919</v>
      </c>
      <c r="E1342" s="270" t="s">
        <v>3282</v>
      </c>
      <c r="F1342" s="271">
        <v>400</v>
      </c>
      <c r="G1342" s="271"/>
      <c r="H1342" s="271">
        <f t="shared" si="21"/>
        <v>400</v>
      </c>
      <c r="I1342" s="177"/>
    </row>
    <row r="1343" spans="2:9" x14ac:dyDescent="0.2">
      <c r="B1343" s="268" t="s">
        <v>1893</v>
      </c>
      <c r="C1343" s="269">
        <v>42717</v>
      </c>
      <c r="D1343" s="270" t="s">
        <v>1907</v>
      </c>
      <c r="E1343" s="270" t="s">
        <v>3283</v>
      </c>
      <c r="F1343" s="271">
        <v>41</v>
      </c>
      <c r="G1343" s="271"/>
      <c r="H1343" s="271">
        <f t="shared" si="21"/>
        <v>41</v>
      </c>
      <c r="I1343" s="177"/>
    </row>
    <row r="1344" spans="2:9" x14ac:dyDescent="0.2">
      <c r="B1344" s="268" t="s">
        <v>1884</v>
      </c>
      <c r="C1344" s="269">
        <v>42717</v>
      </c>
      <c r="D1344" s="270" t="s">
        <v>2546</v>
      </c>
      <c r="E1344" s="270" t="s">
        <v>2118</v>
      </c>
      <c r="F1344" s="271">
        <v>136</v>
      </c>
      <c r="G1344" s="271"/>
      <c r="H1344" s="271">
        <f t="shared" si="21"/>
        <v>136</v>
      </c>
      <c r="I1344" s="177"/>
    </row>
    <row r="1345" spans="2:9" x14ac:dyDescent="0.2">
      <c r="B1345" s="268" t="s">
        <v>1893</v>
      </c>
      <c r="C1345" s="269">
        <v>42717</v>
      </c>
      <c r="D1345" s="270" t="s">
        <v>1924</v>
      </c>
      <c r="E1345" s="270" t="s">
        <v>3284</v>
      </c>
      <c r="F1345" s="271">
        <v>500</v>
      </c>
      <c r="G1345" s="271"/>
      <c r="H1345" s="271">
        <f t="shared" si="21"/>
        <v>500</v>
      </c>
      <c r="I1345" s="177"/>
    </row>
    <row r="1346" spans="2:9" x14ac:dyDescent="0.2">
      <c r="B1346" s="268" t="s">
        <v>1876</v>
      </c>
      <c r="C1346" s="269">
        <v>42718</v>
      </c>
      <c r="D1346" s="270" t="s">
        <v>1903</v>
      </c>
      <c r="E1346" s="270" t="s">
        <v>3286</v>
      </c>
      <c r="F1346" s="271">
        <v>786</v>
      </c>
      <c r="G1346" s="271"/>
      <c r="H1346" s="271">
        <f t="shared" si="21"/>
        <v>786</v>
      </c>
      <c r="I1346" s="177"/>
    </row>
    <row r="1347" spans="2:9" x14ac:dyDescent="0.2">
      <c r="B1347" s="268" t="s">
        <v>1869</v>
      </c>
      <c r="C1347" s="269">
        <v>42718</v>
      </c>
      <c r="D1347" s="270" t="s">
        <v>1900</v>
      </c>
      <c r="E1347" s="270" t="s">
        <v>3285</v>
      </c>
      <c r="F1347" s="271">
        <v>117</v>
      </c>
      <c r="G1347" s="271"/>
      <c r="H1347" s="271">
        <f t="shared" si="21"/>
        <v>117</v>
      </c>
      <c r="I1347" s="177"/>
    </row>
    <row r="1348" spans="2:9" x14ac:dyDescent="0.2">
      <c r="B1348" s="268" t="s">
        <v>1893</v>
      </c>
      <c r="C1348" s="269">
        <v>42719</v>
      </c>
      <c r="D1348" s="270" t="s">
        <v>2260</v>
      </c>
      <c r="E1348" s="270" t="s">
        <v>3297</v>
      </c>
      <c r="F1348" s="271">
        <v>350</v>
      </c>
      <c r="G1348" s="271"/>
      <c r="H1348" s="271">
        <f t="shared" si="21"/>
        <v>350</v>
      </c>
      <c r="I1348" s="177"/>
    </row>
    <row r="1349" spans="2:9" x14ac:dyDescent="0.2">
      <c r="B1349" s="268" t="s">
        <v>1893</v>
      </c>
      <c r="C1349" s="269">
        <v>42719</v>
      </c>
      <c r="D1349" s="270" t="s">
        <v>1882</v>
      </c>
      <c r="E1349" s="270" t="s">
        <v>2877</v>
      </c>
      <c r="F1349" s="271">
        <v>450</v>
      </c>
      <c r="G1349" s="271"/>
      <c r="H1349" s="271">
        <f t="shared" si="21"/>
        <v>450</v>
      </c>
      <c r="I1349" s="177"/>
    </row>
    <row r="1350" spans="2:9" x14ac:dyDescent="0.2">
      <c r="B1350" s="268" t="s">
        <v>1893</v>
      </c>
      <c r="C1350" s="269">
        <v>42719</v>
      </c>
      <c r="D1350" s="270" t="s">
        <v>1882</v>
      </c>
      <c r="E1350" s="270" t="s">
        <v>3287</v>
      </c>
      <c r="F1350" s="271">
        <v>450</v>
      </c>
      <c r="G1350" s="271"/>
      <c r="H1350" s="271">
        <f t="shared" si="21"/>
        <v>450</v>
      </c>
      <c r="I1350" s="177"/>
    </row>
    <row r="1351" spans="2:9" x14ac:dyDescent="0.2">
      <c r="B1351" s="268" t="s">
        <v>1872</v>
      </c>
      <c r="C1351" s="269">
        <v>42719</v>
      </c>
      <c r="D1351" s="270" t="s">
        <v>1882</v>
      </c>
      <c r="E1351" s="270" t="s">
        <v>3288</v>
      </c>
      <c r="F1351" s="271">
        <v>200</v>
      </c>
      <c r="G1351" s="271"/>
      <c r="H1351" s="271">
        <f t="shared" si="21"/>
        <v>200</v>
      </c>
      <c r="I1351" s="177"/>
    </row>
    <row r="1352" spans="2:9" x14ac:dyDescent="0.2">
      <c r="B1352" s="268" t="s">
        <v>1893</v>
      </c>
      <c r="C1352" s="269">
        <v>42719</v>
      </c>
      <c r="D1352" s="270" t="s">
        <v>2774</v>
      </c>
      <c r="E1352" s="270" t="s">
        <v>3289</v>
      </c>
      <c r="F1352" s="271">
        <v>200</v>
      </c>
      <c r="G1352" s="271"/>
      <c r="H1352" s="271">
        <f t="shared" si="21"/>
        <v>200</v>
      </c>
      <c r="I1352" s="177"/>
    </row>
    <row r="1353" spans="2:9" x14ac:dyDescent="0.2">
      <c r="B1353" s="268" t="s">
        <v>1879</v>
      </c>
      <c r="C1353" s="269">
        <v>42719</v>
      </c>
      <c r="D1353" s="270" t="s">
        <v>3290</v>
      </c>
      <c r="E1353" s="270" t="s">
        <v>3291</v>
      </c>
      <c r="F1353" s="271">
        <v>200</v>
      </c>
      <c r="G1353" s="271"/>
      <c r="H1353" s="271">
        <f t="shared" si="21"/>
        <v>200</v>
      </c>
      <c r="I1353" s="177"/>
    </row>
    <row r="1354" spans="2:9" x14ac:dyDescent="0.2">
      <c r="B1354" s="268" t="s">
        <v>1866</v>
      </c>
      <c r="C1354" s="269">
        <v>42719</v>
      </c>
      <c r="D1354" s="270" t="s">
        <v>1881</v>
      </c>
      <c r="E1354" s="270" t="s">
        <v>3292</v>
      </c>
      <c r="F1354" s="271">
        <v>173.9</v>
      </c>
      <c r="G1354" s="271"/>
      <c r="H1354" s="271">
        <f t="shared" si="21"/>
        <v>173.9</v>
      </c>
      <c r="I1354" s="177"/>
    </row>
    <row r="1355" spans="2:9" x14ac:dyDescent="0.2">
      <c r="B1355" s="268" t="s">
        <v>1585</v>
      </c>
      <c r="C1355" s="269">
        <v>42719</v>
      </c>
      <c r="D1355" s="270" t="s">
        <v>1908</v>
      </c>
      <c r="E1355" s="270" t="s">
        <v>3299</v>
      </c>
      <c r="F1355" s="271">
        <v>14500</v>
      </c>
      <c r="G1355" s="271"/>
      <c r="H1355" s="271">
        <f t="shared" si="21"/>
        <v>14500</v>
      </c>
      <c r="I1355" s="177"/>
    </row>
    <row r="1356" spans="2:9" x14ac:dyDescent="0.2">
      <c r="B1356" s="268" t="s">
        <v>1585</v>
      </c>
      <c r="C1356" s="269">
        <v>42719</v>
      </c>
      <c r="D1356" s="270" t="s">
        <v>1908</v>
      </c>
      <c r="E1356" s="270" t="s">
        <v>3298</v>
      </c>
      <c r="F1356" s="271">
        <v>14500</v>
      </c>
      <c r="G1356" s="271"/>
      <c r="H1356" s="271">
        <f t="shared" ref="H1356:H1443" si="22">SUM(F1356:G1356)</f>
        <v>14500</v>
      </c>
      <c r="I1356" s="177"/>
    </row>
    <row r="1357" spans="2:9" x14ac:dyDescent="0.2">
      <c r="B1357" s="268" t="s">
        <v>1868</v>
      </c>
      <c r="C1357" s="269">
        <v>42719</v>
      </c>
      <c r="D1357" s="270" t="s">
        <v>1920</v>
      </c>
      <c r="E1357" s="270" t="s">
        <v>1944</v>
      </c>
      <c r="F1357" s="271">
        <v>4000</v>
      </c>
      <c r="G1357" s="271"/>
      <c r="H1357" s="271">
        <f t="shared" si="22"/>
        <v>4000</v>
      </c>
      <c r="I1357" s="177"/>
    </row>
    <row r="1358" spans="2:9" x14ac:dyDescent="0.2">
      <c r="B1358" s="268" t="s">
        <v>1875</v>
      </c>
      <c r="C1358" s="269">
        <v>42720</v>
      </c>
      <c r="D1358" s="270" t="s">
        <v>1899</v>
      </c>
      <c r="E1358" s="270" t="s">
        <v>3300</v>
      </c>
      <c r="F1358" s="271">
        <v>450</v>
      </c>
      <c r="G1358" s="271"/>
      <c r="H1358" s="271">
        <f t="shared" si="22"/>
        <v>450</v>
      </c>
      <c r="I1358" s="177"/>
    </row>
    <row r="1359" spans="2:9" x14ac:dyDescent="0.2">
      <c r="B1359" s="268" t="s">
        <v>1814</v>
      </c>
      <c r="C1359" s="269">
        <v>42720</v>
      </c>
      <c r="D1359" s="270" t="s">
        <v>1919</v>
      </c>
      <c r="E1359" s="270" t="s">
        <v>3301</v>
      </c>
      <c r="F1359" s="271">
        <v>1000</v>
      </c>
      <c r="G1359" s="271"/>
      <c r="H1359" s="271">
        <f t="shared" si="22"/>
        <v>1000</v>
      </c>
      <c r="I1359" s="177"/>
    </row>
    <row r="1360" spans="2:9" x14ac:dyDescent="0.2">
      <c r="B1360" s="268" t="s">
        <v>1867</v>
      </c>
      <c r="C1360" s="269">
        <v>42720</v>
      </c>
      <c r="D1360" s="270" t="s">
        <v>1898</v>
      </c>
      <c r="E1360" s="270" t="s">
        <v>3302</v>
      </c>
      <c r="F1360" s="271">
        <v>200</v>
      </c>
      <c r="G1360" s="271"/>
      <c r="H1360" s="271">
        <f t="shared" si="22"/>
        <v>200</v>
      </c>
      <c r="I1360" s="177"/>
    </row>
    <row r="1361" spans="2:9" x14ac:dyDescent="0.2">
      <c r="B1361" s="268" t="s">
        <v>1866</v>
      </c>
      <c r="C1361" s="269">
        <v>42720</v>
      </c>
      <c r="D1361" s="270" t="s">
        <v>1881</v>
      </c>
      <c r="E1361" s="270" t="s">
        <v>3303</v>
      </c>
      <c r="F1361" s="271">
        <v>1000</v>
      </c>
      <c r="G1361" s="271"/>
      <c r="H1361" s="271">
        <f t="shared" si="22"/>
        <v>1000</v>
      </c>
      <c r="I1361" s="177"/>
    </row>
    <row r="1362" spans="2:9" x14ac:dyDescent="0.2">
      <c r="B1362" s="268" t="s">
        <v>1893</v>
      </c>
      <c r="C1362" s="269">
        <v>42720</v>
      </c>
      <c r="D1362" s="270" t="s">
        <v>3304</v>
      </c>
      <c r="E1362" s="270" t="s">
        <v>3305</v>
      </c>
      <c r="F1362" s="271">
        <v>250</v>
      </c>
      <c r="G1362" s="271"/>
      <c r="H1362" s="271">
        <f t="shared" si="22"/>
        <v>250</v>
      </c>
      <c r="I1362" s="177"/>
    </row>
    <row r="1363" spans="2:9" x14ac:dyDescent="0.2">
      <c r="B1363" s="268" t="s">
        <v>1893</v>
      </c>
      <c r="C1363" s="269">
        <v>42720</v>
      </c>
      <c r="D1363" s="270" t="s">
        <v>3306</v>
      </c>
      <c r="E1363" s="270" t="s">
        <v>3307</v>
      </c>
      <c r="F1363" s="271">
        <v>250</v>
      </c>
      <c r="G1363" s="271"/>
      <c r="H1363" s="271">
        <f t="shared" si="22"/>
        <v>250</v>
      </c>
      <c r="I1363" s="177"/>
    </row>
    <row r="1364" spans="2:9" x14ac:dyDescent="0.2">
      <c r="B1364" s="268" t="s">
        <v>1872</v>
      </c>
      <c r="C1364" s="269">
        <v>42721</v>
      </c>
      <c r="D1364" s="270" t="s">
        <v>1887</v>
      </c>
      <c r="E1364" s="270" t="s">
        <v>3308</v>
      </c>
      <c r="F1364" s="271">
        <v>500</v>
      </c>
      <c r="G1364" s="271"/>
      <c r="H1364" s="271">
        <f t="shared" si="22"/>
        <v>500</v>
      </c>
      <c r="I1364" s="177"/>
    </row>
    <row r="1365" spans="2:9" x14ac:dyDescent="0.2">
      <c r="B1365" s="268" t="s">
        <v>1893</v>
      </c>
      <c r="C1365" s="269">
        <v>42721</v>
      </c>
      <c r="D1365" s="270" t="s">
        <v>2430</v>
      </c>
      <c r="E1365" s="270" t="s">
        <v>3309</v>
      </c>
      <c r="F1365" s="271">
        <v>280</v>
      </c>
      <c r="G1365" s="271"/>
      <c r="H1365" s="271">
        <f t="shared" si="22"/>
        <v>280</v>
      </c>
      <c r="I1365" s="177"/>
    </row>
    <row r="1366" spans="2:9" x14ac:dyDescent="0.2">
      <c r="B1366" s="268" t="s">
        <v>1893</v>
      </c>
      <c r="C1366" s="269">
        <v>42721</v>
      </c>
      <c r="D1366" s="270" t="s">
        <v>3310</v>
      </c>
      <c r="E1366" s="270" t="s">
        <v>3311</v>
      </c>
      <c r="F1366" s="271">
        <v>350</v>
      </c>
      <c r="G1366" s="271"/>
      <c r="H1366" s="271">
        <f t="shared" si="22"/>
        <v>350</v>
      </c>
      <c r="I1366" s="177"/>
    </row>
    <row r="1367" spans="2:9" x14ac:dyDescent="0.2">
      <c r="B1367" s="268" t="s">
        <v>1893</v>
      </c>
      <c r="C1367" s="269">
        <v>42721</v>
      </c>
      <c r="D1367" s="270" t="s">
        <v>2829</v>
      </c>
      <c r="E1367" s="270" t="s">
        <v>3312</v>
      </c>
      <c r="F1367" s="271">
        <v>250</v>
      </c>
      <c r="G1367" s="271"/>
      <c r="H1367" s="271">
        <f t="shared" si="22"/>
        <v>250</v>
      </c>
      <c r="I1367" s="177"/>
    </row>
    <row r="1368" spans="2:9" x14ac:dyDescent="0.2">
      <c r="B1368" s="268" t="s">
        <v>1872</v>
      </c>
      <c r="C1368" s="269">
        <v>42721</v>
      </c>
      <c r="D1368" s="270" t="s">
        <v>2260</v>
      </c>
      <c r="E1368" s="270" t="s">
        <v>3313</v>
      </c>
      <c r="F1368" s="271">
        <v>120</v>
      </c>
      <c r="G1368" s="271"/>
      <c r="H1368" s="271">
        <f t="shared" si="22"/>
        <v>120</v>
      </c>
      <c r="I1368" s="177"/>
    </row>
    <row r="1369" spans="2:9" x14ac:dyDescent="0.2">
      <c r="B1369" s="268" t="s">
        <v>1872</v>
      </c>
      <c r="C1369" s="269">
        <v>42721</v>
      </c>
      <c r="D1369" s="270" t="s">
        <v>2260</v>
      </c>
      <c r="E1369" s="270" t="s">
        <v>3314</v>
      </c>
      <c r="F1369" s="271">
        <v>150</v>
      </c>
      <c r="G1369" s="271"/>
      <c r="H1369" s="271">
        <f t="shared" ref="H1369:H1440" si="23">SUM(F1369:G1369)</f>
        <v>150</v>
      </c>
      <c r="I1369" s="177"/>
    </row>
    <row r="1370" spans="2:9" x14ac:dyDescent="0.2">
      <c r="B1370" s="268" t="s">
        <v>1873</v>
      </c>
      <c r="C1370" s="269">
        <v>42722</v>
      </c>
      <c r="D1370" s="270" t="s">
        <v>2397</v>
      </c>
      <c r="E1370" s="270" t="s">
        <v>3315</v>
      </c>
      <c r="F1370" s="271">
        <v>91</v>
      </c>
      <c r="G1370" s="271"/>
      <c r="H1370" s="271">
        <f t="shared" si="23"/>
        <v>91</v>
      </c>
      <c r="I1370" s="177"/>
    </row>
    <row r="1371" spans="2:9" x14ac:dyDescent="0.2">
      <c r="B1371" s="347" t="s">
        <v>1893</v>
      </c>
      <c r="C1371" s="269">
        <v>42723</v>
      </c>
      <c r="D1371" s="270" t="s">
        <v>3316</v>
      </c>
      <c r="E1371" s="270" t="s">
        <v>3317</v>
      </c>
      <c r="F1371" s="271">
        <v>320</v>
      </c>
      <c r="G1371" s="271"/>
      <c r="H1371" s="271">
        <f t="shared" si="23"/>
        <v>320</v>
      </c>
      <c r="I1371" s="177"/>
    </row>
    <row r="1372" spans="2:9" x14ac:dyDescent="0.2">
      <c r="B1372" s="268" t="s">
        <v>1875</v>
      </c>
      <c r="C1372" s="269">
        <v>42723</v>
      </c>
      <c r="D1372" s="270" t="s">
        <v>1899</v>
      </c>
      <c r="E1372" s="270" t="s">
        <v>2741</v>
      </c>
      <c r="F1372" s="271">
        <v>310</v>
      </c>
      <c r="G1372" s="271"/>
      <c r="H1372" s="271">
        <f t="shared" si="23"/>
        <v>310</v>
      </c>
      <c r="I1372" s="177"/>
    </row>
    <row r="1373" spans="2:9" x14ac:dyDescent="0.2">
      <c r="B1373" s="268" t="s">
        <v>1873</v>
      </c>
      <c r="C1373" s="269">
        <v>42723</v>
      </c>
      <c r="D1373" s="270" t="s">
        <v>1919</v>
      </c>
      <c r="E1373" s="270" t="s">
        <v>3318</v>
      </c>
      <c r="F1373" s="271">
        <v>400</v>
      </c>
      <c r="G1373" s="271"/>
      <c r="H1373" s="271">
        <f t="shared" si="23"/>
        <v>400</v>
      </c>
      <c r="I1373" s="177"/>
    </row>
    <row r="1374" spans="2:9" x14ac:dyDescent="0.2">
      <c r="B1374" s="268" t="s">
        <v>1893</v>
      </c>
      <c r="C1374" s="269">
        <v>42723</v>
      </c>
      <c r="D1374" s="270" t="s">
        <v>3156</v>
      </c>
      <c r="E1374" s="270" t="s">
        <v>3319</v>
      </c>
      <c r="F1374" s="271">
        <v>300</v>
      </c>
      <c r="G1374" s="271"/>
      <c r="H1374" s="350">
        <f t="shared" si="23"/>
        <v>300</v>
      </c>
      <c r="I1374" s="177"/>
    </row>
    <row r="1375" spans="2:9" x14ac:dyDescent="0.2">
      <c r="B1375" s="268" t="s">
        <v>1893</v>
      </c>
      <c r="C1375" s="269">
        <v>42724</v>
      </c>
      <c r="D1375" s="270" t="s">
        <v>1921</v>
      </c>
      <c r="E1375" s="270" t="s">
        <v>3323</v>
      </c>
      <c r="F1375" s="271">
        <v>302.56</v>
      </c>
      <c r="G1375" s="271">
        <v>46.94</v>
      </c>
      <c r="H1375" s="271">
        <f t="shared" si="23"/>
        <v>349.5</v>
      </c>
      <c r="I1375" s="177"/>
    </row>
    <row r="1376" spans="2:9" x14ac:dyDescent="0.2">
      <c r="B1376" s="268" t="s">
        <v>1893</v>
      </c>
      <c r="C1376" s="269">
        <v>42724</v>
      </c>
      <c r="D1376" s="270" t="s">
        <v>1934</v>
      </c>
      <c r="E1376" s="270" t="s">
        <v>2991</v>
      </c>
      <c r="F1376" s="271">
        <v>5</v>
      </c>
      <c r="G1376" s="271"/>
      <c r="H1376" s="271">
        <f t="shared" ref="H1376:H1434" si="24">SUM(F1376:G1376)</f>
        <v>5</v>
      </c>
      <c r="I1376" s="177"/>
    </row>
    <row r="1377" spans="2:9" x14ac:dyDescent="0.2">
      <c r="B1377" s="268" t="s">
        <v>1893</v>
      </c>
      <c r="C1377" s="269">
        <v>42724</v>
      </c>
      <c r="D1377" s="270" t="s">
        <v>2260</v>
      </c>
      <c r="E1377" s="270" t="s">
        <v>3364</v>
      </c>
      <c r="F1377" s="271">
        <v>400</v>
      </c>
      <c r="G1377" s="271"/>
      <c r="H1377" s="271">
        <f t="shared" si="24"/>
        <v>400</v>
      </c>
      <c r="I1377" s="177"/>
    </row>
    <row r="1378" spans="2:9" x14ac:dyDescent="0.2">
      <c r="B1378" s="268" t="s">
        <v>1893</v>
      </c>
      <c r="C1378" s="269">
        <v>42724</v>
      </c>
      <c r="D1378" s="270" t="s">
        <v>3324</v>
      </c>
      <c r="E1378" s="270" t="s">
        <v>3325</v>
      </c>
      <c r="F1378" s="271">
        <v>831</v>
      </c>
      <c r="G1378" s="271"/>
      <c r="H1378" s="271">
        <f t="shared" si="24"/>
        <v>831</v>
      </c>
      <c r="I1378" s="177"/>
    </row>
    <row r="1379" spans="2:9" x14ac:dyDescent="0.2">
      <c r="B1379" s="268" t="s">
        <v>1869</v>
      </c>
      <c r="C1379" s="269">
        <v>42724</v>
      </c>
      <c r="D1379" s="270" t="s">
        <v>1900</v>
      </c>
      <c r="E1379" s="270" t="s">
        <v>3327</v>
      </c>
      <c r="F1379" s="271">
        <v>565.79999999999995</v>
      </c>
      <c r="G1379" s="271"/>
      <c r="H1379" s="271">
        <f t="shared" si="24"/>
        <v>565.79999999999995</v>
      </c>
      <c r="I1379" s="177"/>
    </row>
    <row r="1380" spans="2:9" x14ac:dyDescent="0.2">
      <c r="B1380" s="268" t="s">
        <v>1869</v>
      </c>
      <c r="C1380" s="269">
        <v>42724</v>
      </c>
      <c r="D1380" s="270" t="s">
        <v>1934</v>
      </c>
      <c r="E1380" s="270" t="s">
        <v>3326</v>
      </c>
      <c r="F1380" s="271">
        <v>40</v>
      </c>
      <c r="G1380" s="271"/>
      <c r="H1380" s="271">
        <f t="shared" si="24"/>
        <v>40</v>
      </c>
      <c r="I1380" s="177"/>
    </row>
    <row r="1381" spans="2:9" x14ac:dyDescent="0.2">
      <c r="B1381" s="268" t="s">
        <v>1874</v>
      </c>
      <c r="C1381" s="269">
        <v>42724</v>
      </c>
      <c r="D1381" s="270" t="s">
        <v>1881</v>
      </c>
      <c r="E1381" s="270" t="s">
        <v>3328</v>
      </c>
      <c r="F1381" s="271">
        <v>480</v>
      </c>
      <c r="G1381" s="271"/>
      <c r="H1381" s="271">
        <f t="shared" si="24"/>
        <v>480</v>
      </c>
      <c r="I1381" s="177"/>
    </row>
    <row r="1382" spans="2:9" x14ac:dyDescent="0.2">
      <c r="B1382" s="268" t="s">
        <v>1893</v>
      </c>
      <c r="C1382" s="269">
        <v>42725</v>
      </c>
      <c r="D1382" s="270" t="s">
        <v>3329</v>
      </c>
      <c r="E1382" s="270" t="s">
        <v>3330</v>
      </c>
      <c r="F1382" s="271">
        <v>294</v>
      </c>
      <c r="G1382" s="271"/>
      <c r="H1382" s="271">
        <f t="shared" si="24"/>
        <v>294</v>
      </c>
      <c r="I1382" s="177">
        <f>SUM(H1278:H1439)</f>
        <v>153339.34</v>
      </c>
    </row>
    <row r="1383" spans="2:9" x14ac:dyDescent="0.2">
      <c r="B1383" s="268" t="s">
        <v>1893</v>
      </c>
      <c r="C1383" s="269">
        <v>42726</v>
      </c>
      <c r="D1383" s="270" t="s">
        <v>3331</v>
      </c>
      <c r="E1383" s="270" t="s">
        <v>3332</v>
      </c>
      <c r="F1383" s="271">
        <v>49</v>
      </c>
      <c r="G1383" s="271"/>
      <c r="H1383" s="271">
        <f t="shared" si="24"/>
        <v>49</v>
      </c>
      <c r="I1383" s="177"/>
    </row>
    <row r="1384" spans="2:9" x14ac:dyDescent="0.2">
      <c r="B1384" s="268" t="s">
        <v>1893</v>
      </c>
      <c r="C1384" s="269">
        <v>42726</v>
      </c>
      <c r="D1384" s="270" t="s">
        <v>3333</v>
      </c>
      <c r="E1384" s="270" t="s">
        <v>3334</v>
      </c>
      <c r="F1384" s="271">
        <v>631.04</v>
      </c>
      <c r="G1384" s="271">
        <v>100.96</v>
      </c>
      <c r="H1384" s="271">
        <f t="shared" si="24"/>
        <v>732</v>
      </c>
      <c r="I1384" s="177"/>
    </row>
    <row r="1385" spans="2:9" x14ac:dyDescent="0.2">
      <c r="B1385" s="268" t="s">
        <v>1893</v>
      </c>
      <c r="C1385" s="269">
        <v>42726</v>
      </c>
      <c r="D1385" s="270" t="s">
        <v>3333</v>
      </c>
      <c r="E1385" s="270" t="s">
        <v>3334</v>
      </c>
      <c r="F1385" s="271">
        <v>700.86</v>
      </c>
      <c r="G1385" s="271">
        <v>112.14</v>
      </c>
      <c r="H1385" s="271">
        <f t="shared" si="24"/>
        <v>813</v>
      </c>
      <c r="I1385" s="177"/>
    </row>
    <row r="1386" spans="2:9" x14ac:dyDescent="0.2">
      <c r="B1386" s="268" t="s">
        <v>1893</v>
      </c>
      <c r="C1386" s="269">
        <v>42726</v>
      </c>
      <c r="D1386" s="270" t="s">
        <v>3333</v>
      </c>
      <c r="E1386" s="270" t="s">
        <v>3334</v>
      </c>
      <c r="F1386" s="271">
        <v>240.52</v>
      </c>
      <c r="G1386" s="271">
        <v>38.479999999999997</v>
      </c>
      <c r="H1386" s="271">
        <f t="shared" si="24"/>
        <v>279</v>
      </c>
    </row>
    <row r="1387" spans="2:9" x14ac:dyDescent="0.2">
      <c r="B1387" s="268" t="s">
        <v>1893</v>
      </c>
      <c r="C1387" s="269">
        <v>42726</v>
      </c>
      <c r="D1387" s="270" t="s">
        <v>3333</v>
      </c>
      <c r="E1387" s="270" t="s">
        <v>3335</v>
      </c>
      <c r="F1387" s="271">
        <v>168</v>
      </c>
      <c r="G1387" s="271"/>
      <c r="H1387" s="271">
        <f t="shared" si="24"/>
        <v>168</v>
      </c>
    </row>
    <row r="1388" spans="2:9" x14ac:dyDescent="0.2">
      <c r="B1388" s="268" t="s">
        <v>1893</v>
      </c>
      <c r="C1388" s="269">
        <v>42726</v>
      </c>
      <c r="D1388" s="270" t="s">
        <v>1934</v>
      </c>
      <c r="E1388" s="270" t="s">
        <v>2991</v>
      </c>
      <c r="F1388" s="271">
        <v>5</v>
      </c>
      <c r="G1388" s="271"/>
      <c r="H1388" s="271">
        <f t="shared" si="24"/>
        <v>5</v>
      </c>
    </row>
    <row r="1389" spans="2:9" x14ac:dyDescent="0.2">
      <c r="B1389" s="268" t="s">
        <v>1893</v>
      </c>
      <c r="C1389" s="269">
        <v>42727</v>
      </c>
      <c r="D1389" s="270" t="s">
        <v>1898</v>
      </c>
      <c r="E1389" s="270" t="s">
        <v>3336</v>
      </c>
      <c r="F1389" s="271">
        <v>200</v>
      </c>
      <c r="G1389" s="271"/>
      <c r="H1389" s="271">
        <f t="shared" si="24"/>
        <v>200</v>
      </c>
    </row>
    <row r="1390" spans="2:9" x14ac:dyDescent="0.2">
      <c r="B1390" s="268" t="s">
        <v>1893</v>
      </c>
      <c r="C1390" s="269">
        <v>42727</v>
      </c>
      <c r="D1390" s="270" t="s">
        <v>3337</v>
      </c>
      <c r="E1390" s="270" t="s">
        <v>3338</v>
      </c>
      <c r="F1390" s="271">
        <v>200</v>
      </c>
      <c r="G1390" s="271"/>
      <c r="H1390" s="271">
        <f t="shared" si="24"/>
        <v>200</v>
      </c>
    </row>
    <row r="1391" spans="2:9" x14ac:dyDescent="0.2">
      <c r="B1391" s="268" t="s">
        <v>1814</v>
      </c>
      <c r="C1391" s="269">
        <v>42727</v>
      </c>
      <c r="D1391" s="270" t="s">
        <v>1919</v>
      </c>
      <c r="E1391" s="270" t="s">
        <v>3339</v>
      </c>
      <c r="F1391" s="271">
        <v>1000</v>
      </c>
      <c r="G1391" s="271"/>
      <c r="H1391" s="271">
        <f t="shared" si="24"/>
        <v>1000</v>
      </c>
    </row>
    <row r="1392" spans="2:9" x14ac:dyDescent="0.2">
      <c r="B1392" s="351" t="s">
        <v>1866</v>
      </c>
      <c r="C1392" s="269">
        <v>42727</v>
      </c>
      <c r="D1392" s="270" t="s">
        <v>1881</v>
      </c>
      <c r="E1392" s="270" t="s">
        <v>3340</v>
      </c>
      <c r="F1392" s="271">
        <v>350</v>
      </c>
      <c r="G1392" s="271"/>
      <c r="H1392" s="271">
        <f t="shared" si="24"/>
        <v>350</v>
      </c>
    </row>
    <row r="1393" spans="2:8" x14ac:dyDescent="0.2">
      <c r="B1393" s="268" t="s">
        <v>1893</v>
      </c>
      <c r="C1393" s="269">
        <v>42727</v>
      </c>
      <c r="D1393" s="270" t="s">
        <v>1919</v>
      </c>
      <c r="E1393" s="270" t="s">
        <v>3341</v>
      </c>
      <c r="F1393" s="271">
        <v>600</v>
      </c>
      <c r="G1393" s="271"/>
      <c r="H1393" s="271">
        <f t="shared" si="24"/>
        <v>600</v>
      </c>
    </row>
    <row r="1394" spans="2:8" x14ac:dyDescent="0.2">
      <c r="B1394" s="268" t="s">
        <v>1893</v>
      </c>
      <c r="C1394" s="269">
        <v>42727</v>
      </c>
      <c r="D1394" s="270" t="s">
        <v>1919</v>
      </c>
      <c r="E1394" s="270" t="s">
        <v>3341</v>
      </c>
      <c r="F1394" s="271">
        <v>600</v>
      </c>
      <c r="G1394" s="271"/>
      <c r="H1394" s="271">
        <f t="shared" si="24"/>
        <v>600</v>
      </c>
    </row>
    <row r="1395" spans="2:8" x14ac:dyDescent="0.2">
      <c r="B1395" s="268" t="s">
        <v>1893</v>
      </c>
      <c r="C1395" s="269">
        <v>42728</v>
      </c>
      <c r="D1395" s="270" t="s">
        <v>2546</v>
      </c>
      <c r="E1395" s="270" t="s">
        <v>3342</v>
      </c>
      <c r="F1395" s="271">
        <v>245.2</v>
      </c>
      <c r="G1395" s="271"/>
      <c r="H1395" s="271">
        <f t="shared" si="24"/>
        <v>245.2</v>
      </c>
    </row>
    <row r="1396" spans="2:8" x14ac:dyDescent="0.2">
      <c r="B1396" s="268" t="s">
        <v>1888</v>
      </c>
      <c r="C1396" s="269">
        <v>42728</v>
      </c>
      <c r="D1396" s="270" t="s">
        <v>3343</v>
      </c>
      <c r="E1396" s="270" t="s">
        <v>3344</v>
      </c>
      <c r="F1396" s="271">
        <v>1500</v>
      </c>
      <c r="G1396" s="271"/>
      <c r="H1396" s="271">
        <f t="shared" si="24"/>
        <v>1500</v>
      </c>
    </row>
    <row r="1397" spans="2:8" x14ac:dyDescent="0.2">
      <c r="B1397" s="268" t="s">
        <v>1872</v>
      </c>
      <c r="C1397" s="269">
        <v>42728</v>
      </c>
      <c r="D1397" s="270" t="s">
        <v>1887</v>
      </c>
      <c r="E1397" s="270" t="s">
        <v>3345</v>
      </c>
      <c r="F1397" s="271">
        <v>500</v>
      </c>
      <c r="G1397" s="271"/>
      <c r="H1397" s="271">
        <f t="shared" si="24"/>
        <v>500</v>
      </c>
    </row>
    <row r="1398" spans="2:8" x14ac:dyDescent="0.2">
      <c r="B1398" s="268" t="s">
        <v>1893</v>
      </c>
      <c r="C1398" s="269">
        <v>42728</v>
      </c>
      <c r="D1398" s="270" t="s">
        <v>1924</v>
      </c>
      <c r="E1398" s="270" t="s">
        <v>3346</v>
      </c>
      <c r="F1398" s="271">
        <v>200</v>
      </c>
      <c r="G1398" s="271"/>
      <c r="H1398" s="271">
        <f t="shared" si="24"/>
        <v>200</v>
      </c>
    </row>
    <row r="1399" spans="2:8" x14ac:dyDescent="0.2">
      <c r="B1399" s="268" t="s">
        <v>1870</v>
      </c>
      <c r="C1399" s="269">
        <v>42728</v>
      </c>
      <c r="D1399" s="270" t="s">
        <v>3347</v>
      </c>
      <c r="E1399" s="270" t="s">
        <v>3348</v>
      </c>
      <c r="F1399" s="271">
        <v>1360</v>
      </c>
      <c r="G1399" s="271"/>
      <c r="H1399" s="271">
        <f t="shared" si="24"/>
        <v>1360</v>
      </c>
    </row>
    <row r="1400" spans="2:8" x14ac:dyDescent="0.2">
      <c r="B1400" s="268" t="s">
        <v>1869</v>
      </c>
      <c r="C1400" s="269">
        <v>42728</v>
      </c>
      <c r="D1400" s="270" t="s">
        <v>1900</v>
      </c>
      <c r="E1400" s="270" t="s">
        <v>3349</v>
      </c>
      <c r="F1400" s="271">
        <v>23</v>
      </c>
      <c r="G1400" s="271"/>
      <c r="H1400" s="271">
        <f t="shared" si="24"/>
        <v>23</v>
      </c>
    </row>
    <row r="1401" spans="2:8" x14ac:dyDescent="0.2">
      <c r="B1401" s="268" t="s">
        <v>1872</v>
      </c>
      <c r="C1401" s="269">
        <v>42729</v>
      </c>
      <c r="D1401" s="270" t="s">
        <v>2260</v>
      </c>
      <c r="E1401" s="270" t="s">
        <v>3350</v>
      </c>
      <c r="F1401" s="271">
        <v>280</v>
      </c>
      <c r="G1401" s="271"/>
      <c r="H1401" s="271">
        <f t="shared" si="24"/>
        <v>280</v>
      </c>
    </row>
    <row r="1402" spans="2:8" x14ac:dyDescent="0.2">
      <c r="B1402" s="268" t="s">
        <v>1893</v>
      </c>
      <c r="C1402" s="269">
        <v>42729</v>
      </c>
      <c r="D1402" s="270" t="s">
        <v>1924</v>
      </c>
      <c r="E1402" s="270" t="s">
        <v>3351</v>
      </c>
      <c r="F1402" s="271">
        <v>500</v>
      </c>
      <c r="G1402" s="271"/>
      <c r="H1402" s="271">
        <f t="shared" si="24"/>
        <v>500</v>
      </c>
    </row>
    <row r="1403" spans="2:8" x14ac:dyDescent="0.2">
      <c r="B1403" s="268" t="s">
        <v>1893</v>
      </c>
      <c r="C1403" s="269">
        <v>42729</v>
      </c>
      <c r="D1403" s="270" t="s">
        <v>1924</v>
      </c>
      <c r="E1403" s="270" t="s">
        <v>3352</v>
      </c>
      <c r="F1403" s="271">
        <v>100</v>
      </c>
      <c r="G1403" s="271"/>
      <c r="H1403" s="271">
        <f t="shared" si="24"/>
        <v>100</v>
      </c>
    </row>
    <row r="1404" spans="2:8" x14ac:dyDescent="0.2">
      <c r="B1404" s="268" t="s">
        <v>1873</v>
      </c>
      <c r="C1404" s="269">
        <v>42729</v>
      </c>
      <c r="D1404" s="270" t="s">
        <v>2546</v>
      </c>
      <c r="E1404" s="270" t="s">
        <v>3353</v>
      </c>
      <c r="F1404" s="271">
        <v>102.5</v>
      </c>
      <c r="G1404" s="271"/>
      <c r="H1404" s="271">
        <f t="shared" si="24"/>
        <v>102.5</v>
      </c>
    </row>
    <row r="1405" spans="2:8" x14ac:dyDescent="0.2">
      <c r="B1405" s="268" t="s">
        <v>1875</v>
      </c>
      <c r="C1405" s="269">
        <v>42730</v>
      </c>
      <c r="D1405" s="270" t="s">
        <v>1899</v>
      </c>
      <c r="E1405" s="270" t="s">
        <v>2860</v>
      </c>
      <c r="F1405" s="271">
        <v>310</v>
      </c>
      <c r="G1405" s="271"/>
      <c r="H1405" s="271">
        <f t="shared" si="24"/>
        <v>310</v>
      </c>
    </row>
    <row r="1406" spans="2:8" x14ac:dyDescent="0.2">
      <c r="B1406" s="347" t="s">
        <v>1830</v>
      </c>
      <c r="C1406" s="269">
        <v>42731</v>
      </c>
      <c r="D1406" s="270" t="s">
        <v>1901</v>
      </c>
      <c r="E1406" s="270" t="s">
        <v>3354</v>
      </c>
      <c r="F1406" s="271">
        <v>3900</v>
      </c>
      <c r="G1406" s="271"/>
      <c r="H1406" s="271">
        <f t="shared" si="24"/>
        <v>3900</v>
      </c>
    </row>
    <row r="1407" spans="2:8" x14ac:dyDescent="0.2">
      <c r="B1407" s="268" t="s">
        <v>1888</v>
      </c>
      <c r="C1407" s="269">
        <v>42731</v>
      </c>
      <c r="D1407" s="270" t="s">
        <v>1901</v>
      </c>
      <c r="E1407" s="270" t="s">
        <v>3355</v>
      </c>
      <c r="F1407" s="271">
        <v>350</v>
      </c>
      <c r="G1407" s="271"/>
      <c r="H1407" s="271">
        <f t="shared" si="24"/>
        <v>350</v>
      </c>
    </row>
    <row r="1408" spans="2:8" x14ac:dyDescent="0.2">
      <c r="B1408" s="268" t="s">
        <v>1872</v>
      </c>
      <c r="C1408" s="269">
        <v>42731</v>
      </c>
      <c r="D1408" s="270" t="s">
        <v>3357</v>
      </c>
      <c r="E1408" s="270" t="s">
        <v>3358</v>
      </c>
      <c r="F1408" s="271">
        <v>350</v>
      </c>
      <c r="G1408" s="271"/>
      <c r="H1408" s="271">
        <f t="shared" si="24"/>
        <v>350</v>
      </c>
    </row>
    <row r="1409" spans="2:8" x14ac:dyDescent="0.2">
      <c r="B1409" s="268" t="s">
        <v>1867</v>
      </c>
      <c r="C1409" s="269">
        <v>42732</v>
      </c>
      <c r="D1409" s="270" t="s">
        <v>2832</v>
      </c>
      <c r="E1409" s="270" t="s">
        <v>3359</v>
      </c>
      <c r="F1409" s="271">
        <v>150</v>
      </c>
      <c r="G1409" s="271"/>
      <c r="H1409" s="271">
        <f t="shared" si="24"/>
        <v>150</v>
      </c>
    </row>
    <row r="1410" spans="2:8" x14ac:dyDescent="0.2">
      <c r="B1410" s="268" t="s">
        <v>1893</v>
      </c>
      <c r="C1410" s="269">
        <v>42732</v>
      </c>
      <c r="D1410" s="270" t="s">
        <v>1882</v>
      </c>
      <c r="E1410" s="270" t="s">
        <v>3288</v>
      </c>
      <c r="F1410" s="271">
        <v>150</v>
      </c>
      <c r="G1410" s="271"/>
      <c r="H1410" s="271">
        <f t="shared" si="24"/>
        <v>150</v>
      </c>
    </row>
    <row r="1411" spans="2:8" x14ac:dyDescent="0.2">
      <c r="B1411" s="268" t="s">
        <v>1884</v>
      </c>
      <c r="C1411" s="269">
        <v>42733</v>
      </c>
      <c r="D1411" s="270" t="s">
        <v>3365</v>
      </c>
      <c r="E1411" s="270" t="s">
        <v>1951</v>
      </c>
      <c r="F1411" s="271">
        <v>310.57</v>
      </c>
      <c r="G1411" s="271">
        <v>49.69</v>
      </c>
      <c r="H1411" s="271">
        <f t="shared" si="24"/>
        <v>360.26</v>
      </c>
    </row>
    <row r="1412" spans="2:8" x14ac:dyDescent="0.2">
      <c r="B1412" s="268" t="s">
        <v>1870</v>
      </c>
      <c r="C1412" s="269">
        <v>42733</v>
      </c>
      <c r="D1412" s="270" t="s">
        <v>3366</v>
      </c>
      <c r="E1412" s="270" t="s">
        <v>3367</v>
      </c>
      <c r="F1412" s="271">
        <v>390</v>
      </c>
      <c r="G1412" s="271"/>
      <c r="H1412" s="271">
        <f t="shared" si="24"/>
        <v>390</v>
      </c>
    </row>
    <row r="1413" spans="2:8" x14ac:dyDescent="0.2">
      <c r="B1413" s="268" t="s">
        <v>1872</v>
      </c>
      <c r="C1413" s="269">
        <v>42733</v>
      </c>
      <c r="D1413" s="270" t="s">
        <v>2546</v>
      </c>
      <c r="E1413" s="270" t="s">
        <v>3368</v>
      </c>
      <c r="F1413" s="271">
        <v>143</v>
      </c>
      <c r="G1413" s="271"/>
      <c r="H1413" s="271">
        <f t="shared" si="24"/>
        <v>143</v>
      </c>
    </row>
    <row r="1414" spans="2:8" x14ac:dyDescent="0.2">
      <c r="B1414" s="268" t="s">
        <v>1870</v>
      </c>
      <c r="C1414" s="269">
        <v>42733</v>
      </c>
      <c r="D1414" s="270" t="s">
        <v>2546</v>
      </c>
      <c r="E1414" s="270" t="s">
        <v>3369</v>
      </c>
      <c r="F1414" s="271">
        <v>86</v>
      </c>
      <c r="G1414" s="271"/>
      <c r="H1414" s="271">
        <f t="shared" si="24"/>
        <v>86</v>
      </c>
    </row>
    <row r="1415" spans="2:8" x14ac:dyDescent="0.2">
      <c r="B1415" s="268" t="s">
        <v>1870</v>
      </c>
      <c r="C1415" s="269">
        <v>42733</v>
      </c>
      <c r="D1415" s="270" t="s">
        <v>2546</v>
      </c>
      <c r="E1415" s="270" t="s">
        <v>3369</v>
      </c>
      <c r="F1415" s="271">
        <v>197</v>
      </c>
      <c r="G1415" s="271"/>
      <c r="H1415" s="271">
        <f t="shared" si="24"/>
        <v>197</v>
      </c>
    </row>
    <row r="1416" spans="2:8" x14ac:dyDescent="0.2">
      <c r="B1416" s="268" t="s">
        <v>1870</v>
      </c>
      <c r="C1416" s="269">
        <v>42733</v>
      </c>
      <c r="D1416" s="270" t="s">
        <v>3137</v>
      </c>
      <c r="E1416" s="270" t="s">
        <v>3370</v>
      </c>
      <c r="F1416" s="271">
        <v>25.5</v>
      </c>
      <c r="G1416" s="271"/>
      <c r="H1416" s="271">
        <f t="shared" si="24"/>
        <v>25.5</v>
      </c>
    </row>
    <row r="1417" spans="2:8" x14ac:dyDescent="0.2">
      <c r="B1417" s="268" t="s">
        <v>1870</v>
      </c>
      <c r="C1417" s="269">
        <v>42733</v>
      </c>
      <c r="D1417" s="270" t="s">
        <v>2829</v>
      </c>
      <c r="E1417" s="270" t="s">
        <v>3265</v>
      </c>
      <c r="F1417" s="271">
        <v>174.5</v>
      </c>
      <c r="G1417" s="271"/>
      <c r="H1417" s="271">
        <f t="shared" ref="H1417:H1422" si="25">SUM(F1417:G1417)</f>
        <v>174.5</v>
      </c>
    </row>
    <row r="1418" spans="2:8" x14ac:dyDescent="0.2">
      <c r="B1418" s="268" t="s">
        <v>1878</v>
      </c>
      <c r="C1418" s="269">
        <v>42734</v>
      </c>
      <c r="D1418" s="270" t="s">
        <v>3004</v>
      </c>
      <c r="E1418" s="270" t="s">
        <v>3371</v>
      </c>
      <c r="F1418" s="271">
        <v>400</v>
      </c>
      <c r="G1418" s="271"/>
      <c r="H1418" s="271">
        <f t="shared" si="25"/>
        <v>400</v>
      </c>
    </row>
    <row r="1419" spans="2:8" x14ac:dyDescent="0.2">
      <c r="B1419" s="268" t="s">
        <v>1814</v>
      </c>
      <c r="C1419" s="269">
        <v>42734</v>
      </c>
      <c r="D1419" s="270" t="s">
        <v>1919</v>
      </c>
      <c r="E1419" s="270" t="s">
        <v>3372</v>
      </c>
      <c r="F1419" s="271">
        <v>1000</v>
      </c>
      <c r="G1419" s="271"/>
      <c r="H1419" s="271">
        <f t="shared" si="25"/>
        <v>1000</v>
      </c>
    </row>
    <row r="1420" spans="2:8" x14ac:dyDescent="0.2">
      <c r="B1420" s="268" t="s">
        <v>1870</v>
      </c>
      <c r="C1420" s="269">
        <v>42735</v>
      </c>
      <c r="D1420" s="270" t="s">
        <v>3347</v>
      </c>
      <c r="E1420" s="270" t="s">
        <v>3373</v>
      </c>
      <c r="F1420" s="271">
        <v>1413</v>
      </c>
      <c r="G1420" s="271"/>
      <c r="H1420" s="271">
        <f t="shared" si="25"/>
        <v>1413</v>
      </c>
    </row>
    <row r="1421" spans="2:8" x14ac:dyDescent="0.2">
      <c r="B1421" s="268" t="s">
        <v>1893</v>
      </c>
      <c r="C1421" s="269">
        <v>42735</v>
      </c>
      <c r="D1421" s="270" t="s">
        <v>1924</v>
      </c>
      <c r="E1421" s="270" t="s">
        <v>3374</v>
      </c>
      <c r="F1421" s="271">
        <v>500</v>
      </c>
      <c r="G1421" s="271"/>
      <c r="H1421" s="271">
        <f t="shared" si="25"/>
        <v>500</v>
      </c>
    </row>
    <row r="1422" spans="2:8" x14ac:dyDescent="0.2">
      <c r="B1422" s="268" t="s">
        <v>1893</v>
      </c>
      <c r="C1422" s="269">
        <v>42735</v>
      </c>
      <c r="D1422" s="270" t="s">
        <v>1924</v>
      </c>
      <c r="E1422" s="270" t="s">
        <v>3375</v>
      </c>
      <c r="F1422" s="271">
        <v>200</v>
      </c>
      <c r="G1422" s="271"/>
      <c r="H1422" s="271">
        <f t="shared" si="25"/>
        <v>200</v>
      </c>
    </row>
    <row r="1423" spans="2:8" x14ac:dyDescent="0.2">
      <c r="B1423" s="268" t="s">
        <v>1872</v>
      </c>
      <c r="C1423" s="269">
        <v>42735</v>
      </c>
      <c r="D1423" s="270" t="s">
        <v>1887</v>
      </c>
      <c r="E1423" s="270" t="s">
        <v>3356</v>
      </c>
      <c r="F1423" s="271">
        <v>500</v>
      </c>
      <c r="G1423" s="271"/>
      <c r="H1423" s="271">
        <f t="shared" ref="H1423" si="26">SUM(F1423:G1423)</f>
        <v>500</v>
      </c>
    </row>
    <row r="1424" spans="2:8" x14ac:dyDescent="0.2">
      <c r="B1424" s="268" t="s">
        <v>1893</v>
      </c>
      <c r="C1424" s="269">
        <v>42735</v>
      </c>
      <c r="D1424" s="270" t="s">
        <v>1882</v>
      </c>
      <c r="E1424" s="270" t="s">
        <v>3360</v>
      </c>
      <c r="F1424" s="271">
        <v>450</v>
      </c>
      <c r="G1424" s="271"/>
      <c r="H1424" s="271">
        <f t="shared" si="24"/>
        <v>450</v>
      </c>
    </row>
    <row r="1425" spans="2:9" x14ac:dyDescent="0.2">
      <c r="B1425" s="268" t="s">
        <v>1893</v>
      </c>
      <c r="C1425" s="269">
        <v>42735</v>
      </c>
      <c r="D1425" s="270" t="s">
        <v>2260</v>
      </c>
      <c r="E1425" s="270" t="s">
        <v>3363</v>
      </c>
      <c r="F1425" s="271">
        <v>300</v>
      </c>
      <c r="G1425" s="271"/>
      <c r="H1425" s="271">
        <f t="shared" si="24"/>
        <v>300</v>
      </c>
    </row>
    <row r="1426" spans="2:9" x14ac:dyDescent="0.2">
      <c r="B1426" s="268" t="s">
        <v>1585</v>
      </c>
      <c r="C1426" s="269">
        <v>42735</v>
      </c>
      <c r="D1426" s="270" t="s">
        <v>1908</v>
      </c>
      <c r="E1426" s="270" t="s">
        <v>3361</v>
      </c>
      <c r="F1426" s="271">
        <v>29000</v>
      </c>
      <c r="G1426" s="271"/>
      <c r="H1426" s="271">
        <f t="shared" si="24"/>
        <v>29000</v>
      </c>
      <c r="I1426" s="177">
        <f>SUM(H1278:H1427)</f>
        <v>155019.03999999998</v>
      </c>
    </row>
    <row r="1427" spans="2:9" x14ac:dyDescent="0.2">
      <c r="B1427" s="268" t="s">
        <v>1868</v>
      </c>
      <c r="C1427" s="269">
        <v>42735</v>
      </c>
      <c r="D1427" s="270" t="s">
        <v>1920</v>
      </c>
      <c r="E1427" s="270" t="s">
        <v>3362</v>
      </c>
      <c r="F1427" s="271">
        <v>4000</v>
      </c>
      <c r="G1427" s="271"/>
      <c r="H1427" s="271">
        <f t="shared" si="24"/>
        <v>4000</v>
      </c>
    </row>
    <row r="1428" spans="2:9" x14ac:dyDescent="0.2">
      <c r="B1428" s="268" t="s">
        <v>1896</v>
      </c>
      <c r="C1428" s="269">
        <v>42706</v>
      </c>
      <c r="D1428" s="270" t="s">
        <v>3379</v>
      </c>
      <c r="E1428" s="270" t="s">
        <v>1539</v>
      </c>
      <c r="F1428" s="271">
        <v>-0.15</v>
      </c>
      <c r="G1428" s="271"/>
      <c r="H1428" s="271">
        <f t="shared" si="24"/>
        <v>-0.15</v>
      </c>
    </row>
    <row r="1429" spans="2:9" x14ac:dyDescent="0.2">
      <c r="B1429" s="268" t="s">
        <v>1896</v>
      </c>
      <c r="C1429" s="269">
        <v>42711</v>
      </c>
      <c r="D1429" s="270" t="s">
        <v>1537</v>
      </c>
      <c r="E1429" s="270" t="s">
        <v>1539</v>
      </c>
      <c r="F1429" s="271">
        <v>-0.46</v>
      </c>
      <c r="G1429" s="271"/>
      <c r="H1429" s="271">
        <f t="shared" si="24"/>
        <v>-0.46</v>
      </c>
    </row>
    <row r="1430" spans="2:9" x14ac:dyDescent="0.2">
      <c r="B1430" s="268" t="s">
        <v>1896</v>
      </c>
      <c r="C1430" s="269">
        <v>42711</v>
      </c>
      <c r="D1430" s="270" t="s">
        <v>3380</v>
      </c>
      <c r="E1430" s="270" t="s">
        <v>1539</v>
      </c>
      <c r="F1430" s="271">
        <v>-0.28999999999999998</v>
      </c>
      <c r="G1430" s="271"/>
      <c r="H1430" s="271">
        <f t="shared" si="24"/>
        <v>-0.28999999999999998</v>
      </c>
    </row>
    <row r="1431" spans="2:9" x14ac:dyDescent="0.2">
      <c r="B1431" s="268" t="s">
        <v>1799</v>
      </c>
      <c r="C1431" s="269">
        <v>42711</v>
      </c>
      <c r="D1431" s="270" t="s">
        <v>1918</v>
      </c>
      <c r="E1431" s="270" t="s">
        <v>3180</v>
      </c>
      <c r="F1431" s="271"/>
      <c r="G1431" s="271">
        <v>-1760</v>
      </c>
      <c r="H1431" s="271">
        <f t="shared" si="24"/>
        <v>-1760</v>
      </c>
    </row>
    <row r="1432" spans="2:9" x14ac:dyDescent="0.2">
      <c r="B1432" s="268" t="s">
        <v>1896</v>
      </c>
      <c r="C1432" s="269">
        <v>42734</v>
      </c>
      <c r="D1432" s="270" t="s">
        <v>1606</v>
      </c>
      <c r="E1432" s="270" t="s">
        <v>2239</v>
      </c>
      <c r="F1432" s="271">
        <v>70</v>
      </c>
      <c r="G1432" s="271"/>
      <c r="H1432" s="271">
        <f t="shared" si="24"/>
        <v>70</v>
      </c>
    </row>
    <row r="1433" spans="2:9" x14ac:dyDescent="0.2">
      <c r="B1433" s="268" t="s">
        <v>1799</v>
      </c>
      <c r="C1433" s="269">
        <v>42734</v>
      </c>
      <c r="D1433" s="270" t="s">
        <v>1606</v>
      </c>
      <c r="E1433" s="270" t="s">
        <v>2240</v>
      </c>
      <c r="F1433" s="271"/>
      <c r="G1433" s="271">
        <v>11.2</v>
      </c>
      <c r="H1433" s="271">
        <f t="shared" si="24"/>
        <v>11.2</v>
      </c>
    </row>
    <row r="1434" spans="2:9" x14ac:dyDescent="0.2">
      <c r="B1434" s="268"/>
      <c r="C1434" s="269"/>
      <c r="D1434" s="270"/>
      <c r="E1434" s="270"/>
      <c r="F1434" s="271"/>
      <c r="G1434" s="271"/>
      <c r="H1434" s="271">
        <f t="shared" si="24"/>
        <v>0</v>
      </c>
    </row>
    <row r="1435" spans="2:9" x14ac:dyDescent="0.2">
      <c r="B1435" s="352"/>
      <c r="C1435" s="269"/>
      <c r="D1435" s="270"/>
      <c r="E1435" s="270"/>
      <c r="F1435" s="271"/>
      <c r="G1435" s="271"/>
      <c r="H1435" s="271">
        <f t="shared" si="23"/>
        <v>0</v>
      </c>
    </row>
    <row r="1436" spans="2:9" x14ac:dyDescent="0.2">
      <c r="B1436" s="268"/>
      <c r="C1436" s="269"/>
      <c r="D1436" s="270"/>
      <c r="E1436" s="270"/>
      <c r="F1436" s="271"/>
      <c r="G1436" s="271"/>
      <c r="H1436" s="271">
        <f t="shared" si="23"/>
        <v>0</v>
      </c>
    </row>
    <row r="1437" spans="2:9" x14ac:dyDescent="0.2">
      <c r="B1437" s="268"/>
      <c r="C1437" s="269"/>
      <c r="D1437" s="270"/>
      <c r="E1437" s="270"/>
      <c r="F1437" s="271"/>
      <c r="G1437" s="271"/>
      <c r="H1437" s="271">
        <f t="shared" si="23"/>
        <v>0</v>
      </c>
    </row>
    <row r="1438" spans="2:9" x14ac:dyDescent="0.2">
      <c r="B1438" s="268"/>
      <c r="C1438" s="269"/>
      <c r="D1438" s="270"/>
      <c r="E1438" s="270"/>
      <c r="F1438" s="271"/>
      <c r="G1438" s="271"/>
      <c r="H1438" s="271">
        <f t="shared" si="23"/>
        <v>0</v>
      </c>
    </row>
    <row r="1439" spans="2:9" x14ac:dyDescent="0.2">
      <c r="B1439" s="268"/>
      <c r="C1439" s="269"/>
      <c r="D1439" s="270"/>
      <c r="E1439" s="270"/>
      <c r="F1439" s="271"/>
      <c r="G1439" s="271"/>
      <c r="H1439" s="271">
        <f t="shared" si="23"/>
        <v>0</v>
      </c>
    </row>
    <row r="1440" spans="2:9" x14ac:dyDescent="0.2">
      <c r="B1440" s="268"/>
      <c r="C1440" s="269"/>
      <c r="D1440" s="270"/>
      <c r="E1440" s="270"/>
      <c r="F1440" s="271"/>
      <c r="G1440" s="271"/>
      <c r="H1440" s="271">
        <f t="shared" si="23"/>
        <v>0</v>
      </c>
    </row>
    <row r="1441" spans="2:8" x14ac:dyDescent="0.2">
      <c r="B1441" s="268"/>
      <c r="C1441" s="269"/>
      <c r="D1441" s="270"/>
      <c r="E1441" s="270"/>
      <c r="F1441" s="271"/>
      <c r="G1441" s="271"/>
      <c r="H1441" s="271">
        <f t="shared" si="22"/>
        <v>0</v>
      </c>
    </row>
    <row r="1442" spans="2:8" x14ac:dyDescent="0.2">
      <c r="B1442" s="268"/>
      <c r="C1442" s="269"/>
      <c r="D1442" s="270"/>
      <c r="E1442" s="270"/>
      <c r="F1442" s="271"/>
      <c r="G1442" s="271"/>
      <c r="H1442" s="271">
        <f t="shared" si="22"/>
        <v>0</v>
      </c>
    </row>
    <row r="1443" spans="2:8" x14ac:dyDescent="0.2">
      <c r="B1443" s="268"/>
      <c r="C1443" s="269"/>
      <c r="D1443" s="270"/>
      <c r="E1443" s="270"/>
      <c r="F1443" s="271"/>
      <c r="G1443" s="271"/>
      <c r="H1443" s="271">
        <f t="shared" si="22"/>
        <v>0</v>
      </c>
    </row>
    <row r="1444" spans="2:8" x14ac:dyDescent="0.2">
      <c r="B1444" s="268"/>
      <c r="C1444" s="269"/>
      <c r="D1444" s="270"/>
      <c r="E1444" s="270"/>
      <c r="F1444" s="271"/>
      <c r="G1444" s="271"/>
      <c r="H1444" s="271">
        <f t="shared" si="19"/>
        <v>0</v>
      </c>
    </row>
  </sheetData>
  <autoFilter ref="B3:H1444"/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AO3026"/>
  <sheetViews>
    <sheetView showGridLines="0" workbookViewId="0">
      <pane ySplit="3" topLeftCell="A2929" activePane="bottomLeft" state="frozen"/>
      <selection pane="bottomLeft" activeCell="E2953" sqref="E2953"/>
    </sheetView>
  </sheetViews>
  <sheetFormatPr baseColWidth="10" defaultRowHeight="12.75" x14ac:dyDescent="0.2"/>
  <cols>
    <col min="1" max="1" width="5" bestFit="1" customWidth="1"/>
    <col min="2" max="2" width="19.140625" customWidth="1"/>
    <col min="3" max="3" width="8.140625" bestFit="1" customWidth="1"/>
    <col min="4" max="4" width="8.85546875" bestFit="1" customWidth="1"/>
    <col min="5" max="5" width="24.42578125" bestFit="1" customWidth="1"/>
    <col min="6" max="6" width="27.85546875" bestFit="1" customWidth="1"/>
    <col min="7" max="7" width="6.140625" bestFit="1" customWidth="1"/>
    <col min="8" max="8" width="10.140625" bestFit="1" customWidth="1"/>
    <col min="9" max="9" width="8.7109375" bestFit="1" customWidth="1"/>
    <col min="10" max="22" width="8.7109375" customWidth="1"/>
    <col min="23" max="23" width="11.7109375" bestFit="1" customWidth="1"/>
    <col min="24" max="36" width="8.7109375" customWidth="1"/>
    <col min="37" max="37" width="55.5703125" bestFit="1" customWidth="1"/>
  </cols>
  <sheetData>
    <row r="2" spans="1:37" x14ac:dyDescent="0.2">
      <c r="W2" s="1">
        <f>SUM(W4:W2560)</f>
        <v>1086800</v>
      </c>
      <c r="AJ2" s="1"/>
    </row>
    <row r="3" spans="1:37" ht="22.5" x14ac:dyDescent="0.2">
      <c r="A3" s="2"/>
      <c r="B3" s="3" t="s">
        <v>1</v>
      </c>
      <c r="C3" s="3" t="s">
        <v>2</v>
      </c>
      <c r="D3" s="3" t="s">
        <v>3</v>
      </c>
      <c r="E3" s="343" t="s">
        <v>4</v>
      </c>
      <c r="F3" s="343" t="s">
        <v>5</v>
      </c>
      <c r="G3" s="3" t="s">
        <v>6</v>
      </c>
      <c r="H3" s="3" t="s">
        <v>7</v>
      </c>
      <c r="I3" s="3" t="s">
        <v>8</v>
      </c>
      <c r="J3" s="343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4" t="s">
        <v>16</v>
      </c>
      <c r="R3" s="4" t="s">
        <v>17</v>
      </c>
      <c r="S3" s="4" t="s">
        <v>18</v>
      </c>
      <c r="T3" s="4" t="s">
        <v>19</v>
      </c>
      <c r="U3" s="4" t="s">
        <v>20</v>
      </c>
      <c r="V3" s="4" t="s">
        <v>21</v>
      </c>
      <c r="W3" s="344" t="s">
        <v>22</v>
      </c>
      <c r="X3" s="4" t="s">
        <v>23</v>
      </c>
      <c r="Y3" s="4" t="s">
        <v>24</v>
      </c>
      <c r="Z3" s="4" t="s">
        <v>25</v>
      </c>
      <c r="AA3" s="4" t="s">
        <v>26</v>
      </c>
      <c r="AB3" s="4" t="s">
        <v>27</v>
      </c>
      <c r="AC3" s="4" t="s">
        <v>28</v>
      </c>
      <c r="AD3" s="4" t="s">
        <v>29</v>
      </c>
      <c r="AE3" s="4" t="s">
        <v>30</v>
      </c>
      <c r="AF3" s="4" t="s">
        <v>31</v>
      </c>
      <c r="AG3" s="4" t="s">
        <v>32</v>
      </c>
      <c r="AH3" s="4" t="s">
        <v>33</v>
      </c>
      <c r="AI3" s="4" t="s">
        <v>34</v>
      </c>
      <c r="AJ3" s="344" t="s">
        <v>35</v>
      </c>
      <c r="AK3" s="6" t="s">
        <v>36</v>
      </c>
    </row>
    <row r="4" spans="1:37" x14ac:dyDescent="0.2">
      <c r="B4" s="7" t="s">
        <v>37</v>
      </c>
      <c r="C4" s="8">
        <v>9806</v>
      </c>
      <c r="D4" s="9" t="s">
        <v>38</v>
      </c>
      <c r="E4" s="10" t="s">
        <v>39</v>
      </c>
      <c r="F4" s="10" t="s">
        <v>40</v>
      </c>
      <c r="G4" s="8">
        <v>1</v>
      </c>
      <c r="H4" s="11">
        <v>900</v>
      </c>
      <c r="I4" s="12">
        <v>42204</v>
      </c>
      <c r="J4" s="13">
        <f>IF(G4=1,SUM(W4,-H4),0)</f>
        <v>0</v>
      </c>
      <c r="K4" s="14">
        <v>150</v>
      </c>
      <c r="L4" s="14">
        <v>150</v>
      </c>
      <c r="M4" s="14">
        <v>150</v>
      </c>
      <c r="N4" s="14">
        <v>150</v>
      </c>
      <c r="O4" s="14">
        <v>150</v>
      </c>
      <c r="P4" s="14">
        <v>150</v>
      </c>
      <c r="Q4" s="14"/>
      <c r="R4" s="14"/>
      <c r="S4" s="14"/>
      <c r="T4" s="14"/>
      <c r="U4" s="14"/>
      <c r="V4" s="14"/>
      <c r="W4" s="15">
        <f>SUM(K4:V4)</f>
        <v>900</v>
      </c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5"/>
      <c r="AK4" s="16"/>
    </row>
    <row r="5" spans="1:37" x14ac:dyDescent="0.2">
      <c r="B5" s="48"/>
      <c r="C5" s="48"/>
      <c r="D5" s="48"/>
      <c r="E5" s="48"/>
      <c r="F5" s="48"/>
      <c r="G5" s="17">
        <v>1</v>
      </c>
      <c r="H5" s="18">
        <f>SUM(H4)</f>
        <v>900</v>
      </c>
      <c r="I5" s="12"/>
      <c r="J5" s="13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5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5"/>
      <c r="AK5" s="16"/>
    </row>
    <row r="6" spans="1:37" x14ac:dyDescent="0.2">
      <c r="B6" s="7" t="s">
        <v>37</v>
      </c>
      <c r="C6" s="8">
        <v>9902</v>
      </c>
      <c r="D6" s="9" t="s">
        <v>41</v>
      </c>
      <c r="E6" s="10" t="s">
        <v>42</v>
      </c>
      <c r="F6" s="10" t="s">
        <v>43</v>
      </c>
      <c r="G6" s="8">
        <v>1</v>
      </c>
      <c r="H6" s="11">
        <v>150</v>
      </c>
      <c r="I6" s="12">
        <v>42219</v>
      </c>
      <c r="J6" s="13">
        <f>IF(G6=1,SUM(W6,-H6),0)</f>
        <v>0</v>
      </c>
      <c r="K6" s="14">
        <v>150</v>
      </c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5">
        <f>SUM(K6:V6)</f>
        <v>150</v>
      </c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5"/>
      <c r="AK6" s="16"/>
    </row>
    <row r="7" spans="1:37" x14ac:dyDescent="0.2">
      <c r="B7" s="48"/>
      <c r="C7" s="48"/>
      <c r="D7" s="48"/>
      <c r="E7" s="48"/>
      <c r="F7" s="48"/>
      <c r="G7" s="17">
        <v>1</v>
      </c>
      <c r="H7" s="18">
        <f>SUM(H6)</f>
        <v>150</v>
      </c>
      <c r="I7" s="12"/>
      <c r="J7" s="13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5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5"/>
      <c r="AK7" s="16"/>
    </row>
    <row r="8" spans="1:37" x14ac:dyDescent="0.2">
      <c r="B8" s="7" t="s">
        <v>37</v>
      </c>
      <c r="C8" s="8">
        <v>10603</v>
      </c>
      <c r="D8" s="9" t="s">
        <v>44</v>
      </c>
      <c r="E8" s="10" t="s">
        <v>45</v>
      </c>
      <c r="F8" s="10" t="s">
        <v>46</v>
      </c>
      <c r="G8" s="8">
        <v>1</v>
      </c>
      <c r="H8" s="11">
        <v>400</v>
      </c>
      <c r="I8" s="12">
        <v>42330</v>
      </c>
      <c r="J8" s="13">
        <f>IF(G8=1,SUM(W8,-H8),0)</f>
        <v>0</v>
      </c>
      <c r="K8" s="14">
        <v>400</v>
      </c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5">
        <f>SUM(K8:V8)</f>
        <v>400</v>
      </c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5"/>
      <c r="AK8" s="16"/>
    </row>
    <row r="9" spans="1:37" x14ac:dyDescent="0.2">
      <c r="B9" s="7" t="s">
        <v>47</v>
      </c>
      <c r="C9" s="8">
        <v>10641</v>
      </c>
      <c r="D9" s="9" t="s">
        <v>48</v>
      </c>
      <c r="E9" s="10" t="s">
        <v>49</v>
      </c>
      <c r="F9" s="10" t="s">
        <v>50</v>
      </c>
      <c r="G9" s="8">
        <v>1</v>
      </c>
      <c r="H9" s="11">
        <v>400</v>
      </c>
      <c r="I9" s="12">
        <v>42337</v>
      </c>
      <c r="J9" s="13">
        <f>IF(G9=1,SUM(W9,-H9),0)</f>
        <v>0</v>
      </c>
      <c r="K9" s="14">
        <v>400</v>
      </c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5">
        <f>SUM(K9:V9)</f>
        <v>400</v>
      </c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5"/>
      <c r="AK9" s="16"/>
    </row>
    <row r="10" spans="1:37" x14ac:dyDescent="0.2">
      <c r="B10" s="48"/>
      <c r="C10" s="48"/>
      <c r="D10" s="48"/>
      <c r="E10" s="48"/>
      <c r="F10" s="48"/>
      <c r="G10" s="17">
        <v>1</v>
      </c>
      <c r="H10" s="18">
        <f>SUM(H8:H9)</f>
        <v>800</v>
      </c>
      <c r="I10" s="12"/>
      <c r="J10" s="13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5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5"/>
      <c r="AK10" s="16"/>
    </row>
    <row r="11" spans="1:37" x14ac:dyDescent="0.2">
      <c r="B11" s="7" t="s">
        <v>37</v>
      </c>
      <c r="C11" s="8">
        <v>10667</v>
      </c>
      <c r="D11" s="9" t="s">
        <v>51</v>
      </c>
      <c r="E11" s="10" t="s">
        <v>52</v>
      </c>
      <c r="F11" s="10" t="s">
        <v>53</v>
      </c>
      <c r="G11" s="8">
        <v>1</v>
      </c>
      <c r="H11" s="11">
        <v>250</v>
      </c>
      <c r="I11" s="12">
        <v>42344</v>
      </c>
      <c r="J11" s="13">
        <f t="shared" ref="J11:J22" si="0">IF(G11=1,SUM(W11,-H11),0)</f>
        <v>0</v>
      </c>
      <c r="K11" s="14">
        <v>250</v>
      </c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5">
        <f t="shared" ref="W11:W22" si="1">SUM(K11:V11)</f>
        <v>250</v>
      </c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5"/>
      <c r="AK11" s="16"/>
    </row>
    <row r="12" spans="1:37" x14ac:dyDescent="0.2">
      <c r="B12" s="7" t="s">
        <v>47</v>
      </c>
      <c r="C12" s="8">
        <v>10761</v>
      </c>
      <c r="D12" s="9" t="s">
        <v>54</v>
      </c>
      <c r="E12" s="10" t="s">
        <v>55</v>
      </c>
      <c r="F12" s="10" t="s">
        <v>56</v>
      </c>
      <c r="G12" s="8">
        <v>1</v>
      </c>
      <c r="H12" s="11">
        <v>4400</v>
      </c>
      <c r="I12" s="12">
        <v>42352</v>
      </c>
      <c r="J12" s="13">
        <f t="shared" si="0"/>
        <v>0</v>
      </c>
      <c r="K12" s="14">
        <v>400</v>
      </c>
      <c r="L12" s="14">
        <v>400</v>
      </c>
      <c r="M12" s="14">
        <v>400</v>
      </c>
      <c r="N12" s="14">
        <v>400</v>
      </c>
      <c r="O12" s="14">
        <v>400</v>
      </c>
      <c r="P12" s="14">
        <v>400</v>
      </c>
      <c r="Q12" s="14">
        <v>400</v>
      </c>
      <c r="R12" s="14">
        <v>400</v>
      </c>
      <c r="S12" s="14">
        <v>400</v>
      </c>
      <c r="T12" s="14">
        <v>400</v>
      </c>
      <c r="U12" s="14">
        <v>400</v>
      </c>
      <c r="V12" s="14"/>
      <c r="W12" s="15">
        <f t="shared" si="1"/>
        <v>4400</v>
      </c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5"/>
      <c r="AK12" s="16" t="s">
        <v>57</v>
      </c>
    </row>
    <row r="13" spans="1:37" x14ac:dyDescent="0.2">
      <c r="B13" s="7" t="s">
        <v>37</v>
      </c>
      <c r="C13" s="8">
        <v>10770</v>
      </c>
      <c r="D13" s="9" t="s">
        <v>58</v>
      </c>
      <c r="E13" s="10" t="s">
        <v>59</v>
      </c>
      <c r="F13" s="10" t="s">
        <v>60</v>
      </c>
      <c r="G13" s="8">
        <v>1</v>
      </c>
      <c r="H13" s="11">
        <v>300</v>
      </c>
      <c r="I13" s="12">
        <v>42358</v>
      </c>
      <c r="J13" s="13">
        <f t="shared" si="0"/>
        <v>0</v>
      </c>
      <c r="K13" s="14">
        <v>300</v>
      </c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5">
        <f t="shared" si="1"/>
        <v>300</v>
      </c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5"/>
      <c r="AK13" s="16"/>
    </row>
    <row r="14" spans="1:37" x14ac:dyDescent="0.2">
      <c r="B14" s="7" t="s">
        <v>61</v>
      </c>
      <c r="C14" s="8">
        <v>10778</v>
      </c>
      <c r="D14" s="9" t="s">
        <v>62</v>
      </c>
      <c r="E14" s="10" t="s">
        <v>63</v>
      </c>
      <c r="F14" s="10" t="s">
        <v>64</v>
      </c>
      <c r="G14" s="8">
        <v>1</v>
      </c>
      <c r="H14" s="11">
        <v>400</v>
      </c>
      <c r="I14" s="12">
        <v>42358</v>
      </c>
      <c r="J14" s="13">
        <f t="shared" si="0"/>
        <v>0</v>
      </c>
      <c r="K14" s="14">
        <v>200</v>
      </c>
      <c r="L14" s="14">
        <v>200</v>
      </c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5">
        <f t="shared" si="1"/>
        <v>400</v>
      </c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5"/>
      <c r="AK14" s="16"/>
    </row>
    <row r="15" spans="1:37" x14ac:dyDescent="0.2">
      <c r="B15" s="7" t="s">
        <v>47</v>
      </c>
      <c r="C15" s="8">
        <v>10786</v>
      </c>
      <c r="D15" s="9" t="s">
        <v>65</v>
      </c>
      <c r="E15" s="10" t="s">
        <v>66</v>
      </c>
      <c r="F15" s="10" t="s">
        <v>67</v>
      </c>
      <c r="G15" s="8">
        <v>1</v>
      </c>
      <c r="H15" s="11">
        <v>4400</v>
      </c>
      <c r="I15" s="12">
        <v>42358</v>
      </c>
      <c r="J15" s="13">
        <f t="shared" si="0"/>
        <v>0</v>
      </c>
      <c r="K15" s="14">
        <v>400</v>
      </c>
      <c r="L15" s="14">
        <v>400</v>
      </c>
      <c r="M15" s="14">
        <v>400</v>
      </c>
      <c r="N15" s="14">
        <v>400</v>
      </c>
      <c r="O15" s="14">
        <v>400</v>
      </c>
      <c r="P15" s="14">
        <v>400</v>
      </c>
      <c r="Q15" s="14">
        <v>400</v>
      </c>
      <c r="R15" s="14">
        <v>400</v>
      </c>
      <c r="S15" s="14">
        <v>400</v>
      </c>
      <c r="T15" s="14">
        <v>400</v>
      </c>
      <c r="U15" s="14">
        <v>400</v>
      </c>
      <c r="V15" s="14"/>
      <c r="W15" s="15">
        <f t="shared" si="1"/>
        <v>4400</v>
      </c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5"/>
      <c r="AK15" s="16" t="s">
        <v>68</v>
      </c>
    </row>
    <row r="16" spans="1:37" x14ac:dyDescent="0.2">
      <c r="B16" s="7" t="s">
        <v>69</v>
      </c>
      <c r="C16" s="8">
        <v>10795</v>
      </c>
      <c r="D16" s="9" t="s">
        <v>70</v>
      </c>
      <c r="E16" s="10" t="s">
        <v>71</v>
      </c>
      <c r="F16" s="10" t="s">
        <v>72</v>
      </c>
      <c r="G16" s="8">
        <v>1</v>
      </c>
      <c r="H16" s="11">
        <v>400</v>
      </c>
      <c r="I16" s="12">
        <v>42358</v>
      </c>
      <c r="J16" s="13">
        <f t="shared" si="0"/>
        <v>0</v>
      </c>
      <c r="K16" s="14">
        <v>400</v>
      </c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5">
        <f t="shared" si="1"/>
        <v>400</v>
      </c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5"/>
      <c r="AK16" s="16"/>
    </row>
    <row r="17" spans="1:37" x14ac:dyDescent="0.2">
      <c r="B17" s="7" t="s">
        <v>73</v>
      </c>
      <c r="C17" s="8">
        <v>10798</v>
      </c>
      <c r="D17" s="9" t="s">
        <v>74</v>
      </c>
      <c r="E17" s="10" t="s">
        <v>75</v>
      </c>
      <c r="F17" s="10" t="s">
        <v>76</v>
      </c>
      <c r="G17" s="8">
        <v>1</v>
      </c>
      <c r="H17" s="11">
        <v>2200</v>
      </c>
      <c r="I17" s="12">
        <v>42358</v>
      </c>
      <c r="J17" s="13">
        <f t="shared" si="0"/>
        <v>0</v>
      </c>
      <c r="K17" s="14">
        <v>200</v>
      </c>
      <c r="L17" s="14">
        <v>200</v>
      </c>
      <c r="M17" s="14">
        <v>200</v>
      </c>
      <c r="N17" s="14">
        <v>200</v>
      </c>
      <c r="O17" s="14">
        <v>200</v>
      </c>
      <c r="P17" s="14">
        <v>200</v>
      </c>
      <c r="Q17" s="14">
        <v>200</v>
      </c>
      <c r="R17" s="14">
        <v>200</v>
      </c>
      <c r="S17" s="14">
        <v>200</v>
      </c>
      <c r="T17" s="14">
        <v>200</v>
      </c>
      <c r="U17" s="14">
        <v>200</v>
      </c>
      <c r="V17" s="14"/>
      <c r="W17" s="15">
        <f t="shared" si="1"/>
        <v>2200</v>
      </c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5"/>
      <c r="AK17" s="16" t="s">
        <v>57</v>
      </c>
    </row>
    <row r="18" spans="1:37" x14ac:dyDescent="0.2">
      <c r="B18" s="7" t="s">
        <v>77</v>
      </c>
      <c r="C18" s="8">
        <v>10802</v>
      </c>
      <c r="D18" s="9" t="s">
        <v>78</v>
      </c>
      <c r="E18" s="10" t="s">
        <v>79</v>
      </c>
      <c r="F18" s="10" t="s">
        <v>80</v>
      </c>
      <c r="G18" s="8">
        <v>1</v>
      </c>
      <c r="H18" s="11">
        <v>4400</v>
      </c>
      <c r="I18" s="12">
        <v>42358</v>
      </c>
      <c r="J18" s="13">
        <f t="shared" si="0"/>
        <v>0</v>
      </c>
      <c r="K18" s="14">
        <v>400</v>
      </c>
      <c r="L18" s="14">
        <v>400</v>
      </c>
      <c r="M18" s="14">
        <v>400</v>
      </c>
      <c r="N18" s="14">
        <v>400</v>
      </c>
      <c r="O18" s="14">
        <v>400</v>
      </c>
      <c r="P18" s="14">
        <v>400</v>
      </c>
      <c r="Q18" s="14">
        <v>400</v>
      </c>
      <c r="R18" s="14">
        <v>400</v>
      </c>
      <c r="S18" s="14">
        <v>400</v>
      </c>
      <c r="T18" s="14">
        <v>400</v>
      </c>
      <c r="U18" s="14">
        <v>400</v>
      </c>
      <c r="V18" s="14"/>
      <c r="W18" s="15">
        <f t="shared" si="1"/>
        <v>4400</v>
      </c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5"/>
      <c r="AK18" s="16" t="s">
        <v>57</v>
      </c>
    </row>
    <row r="19" spans="1:37" x14ac:dyDescent="0.2">
      <c r="B19" s="7" t="s">
        <v>73</v>
      </c>
      <c r="C19" s="8">
        <v>10806</v>
      </c>
      <c r="D19" s="9" t="s">
        <v>81</v>
      </c>
      <c r="E19" s="10" t="s">
        <v>82</v>
      </c>
      <c r="F19" s="10" t="s">
        <v>83</v>
      </c>
      <c r="G19" s="8">
        <v>1</v>
      </c>
      <c r="H19" s="11">
        <v>2200</v>
      </c>
      <c r="I19" s="12">
        <v>42363</v>
      </c>
      <c r="J19" s="13">
        <f t="shared" si="0"/>
        <v>0</v>
      </c>
      <c r="K19" s="14">
        <v>200</v>
      </c>
      <c r="L19" s="14">
        <v>200</v>
      </c>
      <c r="M19" s="14">
        <v>200</v>
      </c>
      <c r="N19" s="14">
        <v>200</v>
      </c>
      <c r="O19" s="14">
        <v>200</v>
      </c>
      <c r="P19" s="14">
        <v>200</v>
      </c>
      <c r="Q19" s="14">
        <v>200</v>
      </c>
      <c r="R19" s="14">
        <v>200</v>
      </c>
      <c r="S19" s="14">
        <v>200</v>
      </c>
      <c r="T19" s="14">
        <v>200</v>
      </c>
      <c r="U19" s="14">
        <v>200</v>
      </c>
      <c r="V19" s="14"/>
      <c r="W19" s="15">
        <f t="shared" si="1"/>
        <v>2200</v>
      </c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5"/>
      <c r="AK19" s="16" t="s">
        <v>57</v>
      </c>
    </row>
    <row r="20" spans="1:37" x14ac:dyDescent="0.2">
      <c r="B20" s="7" t="s">
        <v>47</v>
      </c>
      <c r="C20" s="8">
        <v>10808</v>
      </c>
      <c r="D20" s="9" t="s">
        <v>84</v>
      </c>
      <c r="E20" s="10" t="s">
        <v>85</v>
      </c>
      <c r="F20" s="10" t="s">
        <v>86</v>
      </c>
      <c r="G20" s="8">
        <v>1</v>
      </c>
      <c r="H20" s="11">
        <v>200</v>
      </c>
      <c r="I20" s="12">
        <v>42365</v>
      </c>
      <c r="J20" s="13">
        <f t="shared" si="0"/>
        <v>0</v>
      </c>
      <c r="K20" s="14">
        <v>200</v>
      </c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5">
        <f t="shared" si="1"/>
        <v>200</v>
      </c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5"/>
      <c r="AK20" s="16"/>
    </row>
    <row r="21" spans="1:37" x14ac:dyDescent="0.2">
      <c r="B21" s="7" t="s">
        <v>77</v>
      </c>
      <c r="C21" s="8">
        <v>10809</v>
      </c>
      <c r="D21" s="9" t="s">
        <v>87</v>
      </c>
      <c r="E21" s="10" t="s">
        <v>88</v>
      </c>
      <c r="F21" s="10" t="s">
        <v>89</v>
      </c>
      <c r="G21" s="8">
        <v>1</v>
      </c>
      <c r="H21" s="11">
        <v>400</v>
      </c>
      <c r="I21" s="12">
        <v>42365</v>
      </c>
      <c r="J21" s="13">
        <f t="shared" si="0"/>
        <v>0</v>
      </c>
      <c r="K21" s="14">
        <v>400</v>
      </c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5">
        <f t="shared" si="1"/>
        <v>400</v>
      </c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5"/>
      <c r="AK21" s="16"/>
    </row>
    <row r="22" spans="1:37" x14ac:dyDescent="0.2">
      <c r="B22" s="7" t="s">
        <v>73</v>
      </c>
      <c r="C22" s="8">
        <v>10818</v>
      </c>
      <c r="D22" s="9" t="s">
        <v>90</v>
      </c>
      <c r="E22" s="10" t="s">
        <v>91</v>
      </c>
      <c r="F22" s="10" t="s">
        <v>92</v>
      </c>
      <c r="G22" s="8">
        <v>1</v>
      </c>
      <c r="H22" s="11">
        <v>4400</v>
      </c>
      <c r="I22" s="12">
        <v>42366</v>
      </c>
      <c r="J22" s="13">
        <f t="shared" si="0"/>
        <v>0</v>
      </c>
      <c r="K22" s="14">
        <v>400</v>
      </c>
      <c r="L22" s="14">
        <v>400</v>
      </c>
      <c r="M22" s="14">
        <v>400</v>
      </c>
      <c r="N22" s="14">
        <v>400</v>
      </c>
      <c r="O22" s="14">
        <v>400</v>
      </c>
      <c r="P22" s="14">
        <v>400</v>
      </c>
      <c r="Q22" s="14">
        <v>400</v>
      </c>
      <c r="R22" s="14">
        <v>400</v>
      </c>
      <c r="S22" s="14">
        <v>400</v>
      </c>
      <c r="T22" s="14">
        <v>400</v>
      </c>
      <c r="U22" s="14">
        <v>400</v>
      </c>
      <c r="V22" s="14"/>
      <c r="W22" s="15">
        <f t="shared" si="1"/>
        <v>4400</v>
      </c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5"/>
      <c r="AK22" s="16" t="s">
        <v>57</v>
      </c>
    </row>
    <row r="23" spans="1:37" x14ac:dyDescent="0.2">
      <c r="B23" s="48"/>
      <c r="C23" s="48"/>
      <c r="D23" s="48"/>
      <c r="E23" s="48"/>
      <c r="F23" s="48"/>
      <c r="G23" s="19">
        <v>1</v>
      </c>
      <c r="H23" s="20">
        <f>SUM(H11:H22)</f>
        <v>23950</v>
      </c>
    </row>
    <row r="24" spans="1:37" ht="22.5" x14ac:dyDescent="0.2">
      <c r="A24" s="2" t="s">
        <v>0</v>
      </c>
      <c r="B24" s="3" t="s">
        <v>1</v>
      </c>
      <c r="C24" s="3" t="s">
        <v>2</v>
      </c>
      <c r="D24" s="3" t="s">
        <v>3</v>
      </c>
      <c r="E24" s="3" t="s">
        <v>4</v>
      </c>
      <c r="F24" s="3" t="s">
        <v>5</v>
      </c>
      <c r="G24" s="3" t="s">
        <v>6</v>
      </c>
      <c r="H24" s="3" t="s">
        <v>7</v>
      </c>
      <c r="I24" s="3" t="s">
        <v>8</v>
      </c>
      <c r="J24" s="3" t="s">
        <v>9</v>
      </c>
      <c r="K24" s="4" t="s">
        <v>10</v>
      </c>
      <c r="L24" s="4" t="s">
        <v>11</v>
      </c>
      <c r="M24" s="4" t="s">
        <v>12</v>
      </c>
      <c r="N24" s="4" t="s">
        <v>13</v>
      </c>
      <c r="O24" s="4" t="s">
        <v>14</v>
      </c>
      <c r="P24" s="4" t="s">
        <v>15</v>
      </c>
      <c r="Q24" s="4" t="s">
        <v>16</v>
      </c>
      <c r="R24" s="4" t="s">
        <v>17</v>
      </c>
      <c r="S24" s="4" t="s">
        <v>18</v>
      </c>
      <c r="T24" s="4" t="s">
        <v>19</v>
      </c>
      <c r="U24" s="4" t="s">
        <v>20</v>
      </c>
      <c r="V24" s="4" t="s">
        <v>21</v>
      </c>
      <c r="W24" s="5" t="s">
        <v>22</v>
      </c>
      <c r="X24" s="4" t="s">
        <v>23</v>
      </c>
      <c r="Y24" s="4" t="s">
        <v>24</v>
      </c>
      <c r="Z24" s="4" t="s">
        <v>25</v>
      </c>
      <c r="AA24" s="4" t="s">
        <v>26</v>
      </c>
      <c r="AB24" s="4" t="s">
        <v>27</v>
      </c>
      <c r="AC24" s="4" t="s">
        <v>28</v>
      </c>
      <c r="AD24" s="4" t="s">
        <v>29</v>
      </c>
      <c r="AE24" s="4" t="s">
        <v>30</v>
      </c>
      <c r="AF24" s="4" t="s">
        <v>31</v>
      </c>
      <c r="AG24" s="4" t="s">
        <v>32</v>
      </c>
      <c r="AH24" s="4" t="s">
        <v>33</v>
      </c>
      <c r="AI24" s="4" t="s">
        <v>34</v>
      </c>
      <c r="AJ24" s="5" t="s">
        <v>35</v>
      </c>
      <c r="AK24" s="6" t="s">
        <v>36</v>
      </c>
    </row>
    <row r="25" spans="1:37" x14ac:dyDescent="0.2">
      <c r="B25" s="7" t="s">
        <v>93</v>
      </c>
      <c r="C25" s="8">
        <v>10819</v>
      </c>
      <c r="D25" s="9"/>
      <c r="E25" s="10" t="s">
        <v>93</v>
      </c>
      <c r="F25" s="10" t="s">
        <v>93</v>
      </c>
      <c r="G25" s="8">
        <v>8</v>
      </c>
      <c r="H25" s="11"/>
      <c r="I25" s="12"/>
      <c r="J25" s="13">
        <f>IF(G25=1,SUM(W25,-H25),0)</f>
        <v>0</v>
      </c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5">
        <f t="shared" ref="W25:W88" si="2">SUM(K25:V25)</f>
        <v>0</v>
      </c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5"/>
      <c r="AK25" s="16"/>
    </row>
    <row r="26" spans="1:37" x14ac:dyDescent="0.2">
      <c r="B26" s="7" t="s">
        <v>37</v>
      </c>
      <c r="C26" s="8">
        <v>10820</v>
      </c>
      <c r="D26" s="9" t="s">
        <v>94</v>
      </c>
      <c r="E26" s="10" t="s">
        <v>95</v>
      </c>
      <c r="F26" s="10" t="s">
        <v>96</v>
      </c>
      <c r="G26" s="8">
        <v>1</v>
      </c>
      <c r="H26" s="11">
        <v>400</v>
      </c>
      <c r="I26" s="12">
        <v>42372</v>
      </c>
      <c r="J26" s="13">
        <f>IF(G26=1,SUM(W26,-H26),0)</f>
        <v>0</v>
      </c>
      <c r="K26" s="14">
        <v>400</v>
      </c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5">
        <f t="shared" si="2"/>
        <v>400</v>
      </c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5"/>
      <c r="AK26" s="16"/>
    </row>
    <row r="27" spans="1:37" x14ac:dyDescent="0.2">
      <c r="B27" s="7" t="s">
        <v>47</v>
      </c>
      <c r="C27" s="8">
        <v>10821</v>
      </c>
      <c r="D27" s="9" t="s">
        <v>97</v>
      </c>
      <c r="E27" s="10" t="s">
        <v>98</v>
      </c>
      <c r="F27" s="10" t="s">
        <v>99</v>
      </c>
      <c r="G27" s="8">
        <v>1</v>
      </c>
      <c r="H27" s="11">
        <v>400</v>
      </c>
      <c r="I27" s="12">
        <v>42372</v>
      </c>
      <c r="J27" s="13">
        <f t="shared" ref="J27:J90" si="3">IF(G27=1,SUM(W27,-H27),0)</f>
        <v>0</v>
      </c>
      <c r="K27" s="14">
        <v>400</v>
      </c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5">
        <f t="shared" si="2"/>
        <v>400</v>
      </c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5"/>
      <c r="AK27" s="16"/>
    </row>
    <row r="28" spans="1:37" x14ac:dyDescent="0.2">
      <c r="B28" s="7" t="s">
        <v>69</v>
      </c>
      <c r="C28" s="8">
        <v>10822</v>
      </c>
      <c r="D28" s="9" t="s">
        <v>100</v>
      </c>
      <c r="E28" s="10" t="s">
        <v>101</v>
      </c>
      <c r="F28" s="10" t="s">
        <v>102</v>
      </c>
      <c r="G28" s="8">
        <v>1</v>
      </c>
      <c r="H28" s="11">
        <v>400</v>
      </c>
      <c r="I28" s="12">
        <v>42372</v>
      </c>
      <c r="J28" s="13">
        <f t="shared" si="3"/>
        <v>0</v>
      </c>
      <c r="K28" s="14">
        <v>400</v>
      </c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5">
        <f t="shared" si="2"/>
        <v>400</v>
      </c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5"/>
      <c r="AK28" s="16"/>
    </row>
    <row r="29" spans="1:37" x14ac:dyDescent="0.2">
      <c r="B29" s="7" t="s">
        <v>47</v>
      </c>
      <c r="C29" s="8">
        <v>10823</v>
      </c>
      <c r="D29" s="9" t="s">
        <v>103</v>
      </c>
      <c r="E29" s="10" t="s">
        <v>104</v>
      </c>
      <c r="F29" s="10" t="s">
        <v>105</v>
      </c>
      <c r="G29" s="8">
        <v>1</v>
      </c>
      <c r="H29" s="11">
        <v>0</v>
      </c>
      <c r="I29" s="12">
        <v>42372</v>
      </c>
      <c r="J29" s="13">
        <f t="shared" si="3"/>
        <v>0</v>
      </c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5">
        <f t="shared" si="2"/>
        <v>0</v>
      </c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5"/>
      <c r="AK29" s="16"/>
    </row>
    <row r="30" spans="1:37" x14ac:dyDescent="0.2">
      <c r="B30" s="7" t="s">
        <v>47</v>
      </c>
      <c r="C30" s="8">
        <v>10824</v>
      </c>
      <c r="D30" s="9" t="s">
        <v>106</v>
      </c>
      <c r="E30" s="10" t="s">
        <v>107</v>
      </c>
      <c r="F30" s="10" t="s">
        <v>108</v>
      </c>
      <c r="G30" s="8">
        <v>1</v>
      </c>
      <c r="H30" s="11">
        <v>4400</v>
      </c>
      <c r="I30" s="12">
        <v>42372</v>
      </c>
      <c r="J30" s="13">
        <f t="shared" si="3"/>
        <v>0</v>
      </c>
      <c r="K30" s="14">
        <v>400</v>
      </c>
      <c r="L30" s="14">
        <v>400</v>
      </c>
      <c r="M30" s="14">
        <v>400</v>
      </c>
      <c r="N30" s="14">
        <v>400</v>
      </c>
      <c r="O30" s="14">
        <v>400</v>
      </c>
      <c r="P30" s="14">
        <v>400</v>
      </c>
      <c r="Q30" s="14">
        <v>400</v>
      </c>
      <c r="R30" s="14">
        <v>400</v>
      </c>
      <c r="S30" s="14">
        <v>400</v>
      </c>
      <c r="T30" s="14">
        <v>400</v>
      </c>
      <c r="U30" s="14">
        <v>400</v>
      </c>
      <c r="V30" s="14"/>
      <c r="W30" s="15">
        <f t="shared" si="2"/>
        <v>4400</v>
      </c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5"/>
      <c r="AK30" s="16" t="s">
        <v>57</v>
      </c>
    </row>
    <row r="31" spans="1:37" x14ac:dyDescent="0.2">
      <c r="B31" s="7" t="s">
        <v>73</v>
      </c>
      <c r="C31" s="8">
        <v>10825</v>
      </c>
      <c r="D31" s="9" t="s">
        <v>109</v>
      </c>
      <c r="E31" s="10" t="s">
        <v>110</v>
      </c>
      <c r="F31" s="10" t="s">
        <v>111</v>
      </c>
      <c r="G31" s="8">
        <v>1</v>
      </c>
      <c r="H31" s="11">
        <v>0</v>
      </c>
      <c r="I31" s="12">
        <v>42372</v>
      </c>
      <c r="J31" s="13">
        <f t="shared" si="3"/>
        <v>0</v>
      </c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5">
        <f t="shared" si="2"/>
        <v>0</v>
      </c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5"/>
      <c r="AK31" s="16"/>
    </row>
    <row r="32" spans="1:37" x14ac:dyDescent="0.2">
      <c r="B32" s="7" t="s">
        <v>73</v>
      </c>
      <c r="C32" s="8">
        <v>10826</v>
      </c>
      <c r="D32" s="9" t="s">
        <v>112</v>
      </c>
      <c r="E32" s="10" t="s">
        <v>113</v>
      </c>
      <c r="F32" s="10" t="s">
        <v>114</v>
      </c>
      <c r="G32" s="8">
        <v>1</v>
      </c>
      <c r="H32" s="11">
        <v>0</v>
      </c>
      <c r="I32" s="12">
        <v>42372</v>
      </c>
      <c r="J32" s="13">
        <f t="shared" si="3"/>
        <v>0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5">
        <f t="shared" si="2"/>
        <v>0</v>
      </c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5"/>
      <c r="AK32" s="16"/>
    </row>
    <row r="33" spans="2:37" x14ac:dyDescent="0.2">
      <c r="B33" s="7" t="s">
        <v>73</v>
      </c>
      <c r="C33" s="8">
        <v>10827</v>
      </c>
      <c r="D33" s="9" t="s">
        <v>115</v>
      </c>
      <c r="E33" s="10" t="s">
        <v>116</v>
      </c>
      <c r="F33" s="10" t="s">
        <v>117</v>
      </c>
      <c r="G33" s="8">
        <v>1</v>
      </c>
      <c r="H33" s="11">
        <v>150</v>
      </c>
      <c r="I33" s="12">
        <v>42372</v>
      </c>
      <c r="J33" s="13">
        <f t="shared" si="3"/>
        <v>0</v>
      </c>
      <c r="K33" s="14">
        <v>150</v>
      </c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5">
        <f t="shared" si="2"/>
        <v>150</v>
      </c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5"/>
      <c r="AK33" s="16"/>
    </row>
    <row r="34" spans="2:37" x14ac:dyDescent="0.2">
      <c r="B34" s="7" t="s">
        <v>69</v>
      </c>
      <c r="C34" s="8">
        <v>10828</v>
      </c>
      <c r="D34" s="9" t="s">
        <v>70</v>
      </c>
      <c r="E34" s="10" t="s">
        <v>71</v>
      </c>
      <c r="F34" s="10" t="s">
        <v>72</v>
      </c>
      <c r="G34" s="8">
        <v>1</v>
      </c>
      <c r="H34" s="11">
        <v>4000</v>
      </c>
      <c r="I34" s="12">
        <v>42372</v>
      </c>
      <c r="J34" s="13">
        <f t="shared" si="3"/>
        <v>0</v>
      </c>
      <c r="K34" s="14"/>
      <c r="L34" s="14">
        <v>400</v>
      </c>
      <c r="M34" s="14">
        <v>400</v>
      </c>
      <c r="N34" s="14">
        <v>400</v>
      </c>
      <c r="O34" s="14">
        <v>400</v>
      </c>
      <c r="P34" s="14">
        <v>400</v>
      </c>
      <c r="Q34" s="14">
        <v>400</v>
      </c>
      <c r="R34" s="14">
        <v>400</v>
      </c>
      <c r="S34" s="14">
        <v>400</v>
      </c>
      <c r="T34" s="14">
        <v>400</v>
      </c>
      <c r="U34" s="14">
        <v>400</v>
      </c>
      <c r="V34" s="14"/>
      <c r="W34" s="15">
        <f t="shared" si="2"/>
        <v>4000</v>
      </c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5"/>
      <c r="AK34" s="16" t="s">
        <v>118</v>
      </c>
    </row>
    <row r="35" spans="2:37" x14ac:dyDescent="0.2">
      <c r="B35" s="7" t="s">
        <v>37</v>
      </c>
      <c r="C35" s="8">
        <v>10829</v>
      </c>
      <c r="D35" s="9" t="s">
        <v>119</v>
      </c>
      <c r="E35" s="10" t="s">
        <v>120</v>
      </c>
      <c r="F35" s="10" t="s">
        <v>121</v>
      </c>
      <c r="G35" s="8">
        <v>1</v>
      </c>
      <c r="H35" s="11">
        <v>0</v>
      </c>
      <c r="I35" s="12">
        <v>42372</v>
      </c>
      <c r="J35" s="13">
        <f t="shared" si="3"/>
        <v>0</v>
      </c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5">
        <f t="shared" si="2"/>
        <v>0</v>
      </c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5"/>
      <c r="AK35" s="16"/>
    </row>
    <row r="36" spans="2:37" x14ac:dyDescent="0.2">
      <c r="B36" s="7" t="s">
        <v>122</v>
      </c>
      <c r="C36" s="8">
        <v>10830</v>
      </c>
      <c r="D36" s="9" t="s">
        <v>123</v>
      </c>
      <c r="E36" s="10" t="s">
        <v>124</v>
      </c>
      <c r="F36" s="10" t="s">
        <v>125</v>
      </c>
      <c r="G36" s="8">
        <v>1</v>
      </c>
      <c r="H36" s="11">
        <v>200</v>
      </c>
      <c r="I36" s="12">
        <v>42372</v>
      </c>
      <c r="J36" s="13">
        <f t="shared" si="3"/>
        <v>0</v>
      </c>
      <c r="K36" s="14">
        <v>200</v>
      </c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5">
        <f t="shared" si="2"/>
        <v>200</v>
      </c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5"/>
      <c r="AK36" s="16"/>
    </row>
    <row r="37" spans="2:37" x14ac:dyDescent="0.2">
      <c r="B37" s="7" t="s">
        <v>73</v>
      </c>
      <c r="C37" s="8">
        <v>10831</v>
      </c>
      <c r="D37" s="9" t="s">
        <v>126</v>
      </c>
      <c r="E37" s="10" t="s">
        <v>127</v>
      </c>
      <c r="F37" s="10" t="s">
        <v>128</v>
      </c>
      <c r="G37" s="8">
        <v>1</v>
      </c>
      <c r="H37" s="11">
        <v>4400</v>
      </c>
      <c r="I37" s="12">
        <v>42372</v>
      </c>
      <c r="J37" s="13">
        <f t="shared" si="3"/>
        <v>0</v>
      </c>
      <c r="K37" s="14">
        <v>400</v>
      </c>
      <c r="L37" s="14">
        <v>400</v>
      </c>
      <c r="M37" s="14">
        <v>400</v>
      </c>
      <c r="N37" s="14">
        <v>400</v>
      </c>
      <c r="O37" s="14">
        <v>400</v>
      </c>
      <c r="P37" s="14">
        <v>400</v>
      </c>
      <c r="Q37" s="14">
        <v>400</v>
      </c>
      <c r="R37" s="14">
        <v>400</v>
      </c>
      <c r="S37" s="14">
        <v>400</v>
      </c>
      <c r="T37" s="14">
        <v>400</v>
      </c>
      <c r="U37" s="14">
        <v>400</v>
      </c>
      <c r="V37" s="14"/>
      <c r="W37" s="15">
        <f t="shared" si="2"/>
        <v>4400</v>
      </c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5"/>
      <c r="AK37" s="16" t="s">
        <v>57</v>
      </c>
    </row>
    <row r="38" spans="2:37" x14ac:dyDescent="0.2">
      <c r="B38" s="7" t="s">
        <v>77</v>
      </c>
      <c r="C38" s="8">
        <v>10832</v>
      </c>
      <c r="D38" s="9" t="s">
        <v>129</v>
      </c>
      <c r="E38" s="10" t="s">
        <v>130</v>
      </c>
      <c r="F38" s="10" t="s">
        <v>131</v>
      </c>
      <c r="G38" s="8">
        <v>1</v>
      </c>
      <c r="H38" s="11">
        <v>400</v>
      </c>
      <c r="I38" s="12">
        <v>42372</v>
      </c>
      <c r="J38" s="13">
        <f t="shared" si="3"/>
        <v>0</v>
      </c>
      <c r="K38" s="14">
        <v>400</v>
      </c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5">
        <f t="shared" si="2"/>
        <v>400</v>
      </c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5"/>
      <c r="AK38" s="16"/>
    </row>
    <row r="39" spans="2:37" x14ac:dyDescent="0.2">
      <c r="B39" s="7" t="s">
        <v>77</v>
      </c>
      <c r="C39" s="8">
        <v>10832</v>
      </c>
      <c r="D39" s="9" t="s">
        <v>129</v>
      </c>
      <c r="E39" s="10" t="s">
        <v>130</v>
      </c>
      <c r="F39" s="10" t="s">
        <v>131</v>
      </c>
      <c r="G39" s="8">
        <v>3</v>
      </c>
      <c r="H39" s="11">
        <v>160</v>
      </c>
      <c r="I39" s="12">
        <v>42372</v>
      </c>
      <c r="J39" s="13">
        <f t="shared" si="3"/>
        <v>0</v>
      </c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5">
        <f t="shared" si="2"/>
        <v>0</v>
      </c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5"/>
      <c r="AK39" s="16"/>
    </row>
    <row r="40" spans="2:37" x14ac:dyDescent="0.2">
      <c r="B40" s="7" t="s">
        <v>47</v>
      </c>
      <c r="C40" s="8">
        <v>10833</v>
      </c>
      <c r="D40" s="9" t="s">
        <v>132</v>
      </c>
      <c r="E40" s="10" t="s">
        <v>133</v>
      </c>
      <c r="F40" s="10" t="s">
        <v>134</v>
      </c>
      <c r="G40" s="8">
        <v>1</v>
      </c>
      <c r="H40" s="11">
        <v>0</v>
      </c>
      <c r="I40" s="12">
        <v>42372</v>
      </c>
      <c r="J40" s="13">
        <f t="shared" si="3"/>
        <v>0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5">
        <f t="shared" si="2"/>
        <v>0</v>
      </c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5"/>
      <c r="AK40" s="16"/>
    </row>
    <row r="41" spans="2:37" x14ac:dyDescent="0.2">
      <c r="B41" s="7" t="s">
        <v>69</v>
      </c>
      <c r="C41" s="8">
        <v>10834</v>
      </c>
      <c r="D41" s="9" t="s">
        <v>678</v>
      </c>
      <c r="E41" s="10" t="s">
        <v>136</v>
      </c>
      <c r="F41" s="10" t="s">
        <v>137</v>
      </c>
      <c r="G41" s="8">
        <v>1</v>
      </c>
      <c r="H41" s="11">
        <v>400</v>
      </c>
      <c r="I41" s="12">
        <v>42372</v>
      </c>
      <c r="J41" s="13">
        <f t="shared" si="3"/>
        <v>0</v>
      </c>
      <c r="K41" s="14">
        <v>400</v>
      </c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5">
        <f t="shared" si="2"/>
        <v>400</v>
      </c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5"/>
      <c r="AK41" s="16"/>
    </row>
    <row r="42" spans="2:37" x14ac:dyDescent="0.2">
      <c r="B42" s="7" t="s">
        <v>47</v>
      </c>
      <c r="C42" s="8">
        <v>10835</v>
      </c>
      <c r="D42" s="9" t="s">
        <v>138</v>
      </c>
      <c r="E42" s="10" t="s">
        <v>139</v>
      </c>
      <c r="F42" s="10" t="s">
        <v>140</v>
      </c>
      <c r="G42" s="8">
        <v>1</v>
      </c>
      <c r="H42" s="11">
        <v>0</v>
      </c>
      <c r="I42" s="12">
        <v>42372</v>
      </c>
      <c r="J42" s="13">
        <f t="shared" si="3"/>
        <v>0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5">
        <f t="shared" si="2"/>
        <v>0</v>
      </c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5"/>
      <c r="AK42" s="16"/>
    </row>
    <row r="43" spans="2:37" x14ac:dyDescent="0.2">
      <c r="B43" s="7" t="s">
        <v>73</v>
      </c>
      <c r="C43" s="8">
        <v>10836</v>
      </c>
      <c r="D43" s="9" t="s">
        <v>141</v>
      </c>
      <c r="E43" s="10" t="s">
        <v>142</v>
      </c>
      <c r="F43" s="10" t="s">
        <v>143</v>
      </c>
      <c r="G43" s="8">
        <v>1</v>
      </c>
      <c r="H43" s="11">
        <v>0</v>
      </c>
      <c r="I43" s="12">
        <v>42372</v>
      </c>
      <c r="J43" s="13">
        <f t="shared" si="3"/>
        <v>0</v>
      </c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5">
        <f t="shared" si="2"/>
        <v>0</v>
      </c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5"/>
      <c r="AK43" s="16"/>
    </row>
    <row r="44" spans="2:37" x14ac:dyDescent="0.2">
      <c r="B44" s="7" t="s">
        <v>47</v>
      </c>
      <c r="C44" s="8">
        <v>10837</v>
      </c>
      <c r="D44" s="9" t="s">
        <v>144</v>
      </c>
      <c r="E44" s="10" t="s">
        <v>145</v>
      </c>
      <c r="F44" s="10" t="s">
        <v>146</v>
      </c>
      <c r="G44" s="8">
        <v>1</v>
      </c>
      <c r="H44" s="11">
        <v>3300</v>
      </c>
      <c r="I44" s="12">
        <v>42372</v>
      </c>
      <c r="J44" s="13">
        <f t="shared" si="3"/>
        <v>0</v>
      </c>
      <c r="K44" s="14">
        <v>300</v>
      </c>
      <c r="L44" s="14">
        <v>300</v>
      </c>
      <c r="M44" s="14">
        <v>300</v>
      </c>
      <c r="N44" s="14">
        <v>300</v>
      </c>
      <c r="O44" s="14">
        <v>300</v>
      </c>
      <c r="P44" s="14">
        <v>300</v>
      </c>
      <c r="Q44" s="14">
        <v>300</v>
      </c>
      <c r="R44" s="14">
        <v>300</v>
      </c>
      <c r="S44" s="14">
        <v>300</v>
      </c>
      <c r="T44" s="14">
        <v>300</v>
      </c>
      <c r="U44" s="14">
        <v>300</v>
      </c>
      <c r="V44" s="14"/>
      <c r="W44" s="15">
        <f t="shared" si="2"/>
        <v>3300</v>
      </c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5"/>
      <c r="AK44" s="16" t="s">
        <v>57</v>
      </c>
    </row>
    <row r="45" spans="2:37" x14ac:dyDescent="0.2">
      <c r="B45" s="7" t="s">
        <v>69</v>
      </c>
      <c r="C45" s="8">
        <v>10838</v>
      </c>
      <c r="D45" s="9" t="s">
        <v>147</v>
      </c>
      <c r="E45" s="10" t="s">
        <v>148</v>
      </c>
      <c r="F45" s="10" t="s">
        <v>149</v>
      </c>
      <c r="G45" s="8">
        <v>1</v>
      </c>
      <c r="H45" s="11">
        <v>4400</v>
      </c>
      <c r="I45" s="12">
        <v>42372</v>
      </c>
      <c r="J45" s="13">
        <f t="shared" si="3"/>
        <v>0</v>
      </c>
      <c r="K45" s="14">
        <v>400</v>
      </c>
      <c r="L45" s="14">
        <v>400</v>
      </c>
      <c r="M45" s="14">
        <v>400</v>
      </c>
      <c r="N45" s="14">
        <v>400</v>
      </c>
      <c r="O45" s="14">
        <v>400</v>
      </c>
      <c r="P45" s="14">
        <v>400</v>
      </c>
      <c r="Q45" s="14">
        <v>400</v>
      </c>
      <c r="R45" s="14">
        <v>400</v>
      </c>
      <c r="S45" s="14">
        <v>400</v>
      </c>
      <c r="T45" s="14">
        <v>400</v>
      </c>
      <c r="U45" s="14">
        <v>400</v>
      </c>
      <c r="V45" s="14"/>
      <c r="W45" s="15">
        <f t="shared" si="2"/>
        <v>4400</v>
      </c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5"/>
      <c r="AK45" s="16" t="s">
        <v>57</v>
      </c>
    </row>
    <row r="46" spans="2:37" x14ac:dyDescent="0.2">
      <c r="B46" s="7" t="s">
        <v>47</v>
      </c>
      <c r="C46" s="8">
        <v>10839</v>
      </c>
      <c r="D46" s="9" t="s">
        <v>150</v>
      </c>
      <c r="E46" s="10" t="s">
        <v>151</v>
      </c>
      <c r="F46" s="10" t="s">
        <v>152</v>
      </c>
      <c r="G46" s="8">
        <v>1</v>
      </c>
      <c r="H46" s="11">
        <v>400</v>
      </c>
      <c r="I46" s="12">
        <v>42372</v>
      </c>
      <c r="J46" s="13">
        <f t="shared" si="3"/>
        <v>0</v>
      </c>
      <c r="K46" s="14">
        <v>400</v>
      </c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5">
        <f t="shared" si="2"/>
        <v>400</v>
      </c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5"/>
      <c r="AK46" s="16"/>
    </row>
    <row r="47" spans="2:37" x14ac:dyDescent="0.2">
      <c r="B47" s="7" t="s">
        <v>47</v>
      </c>
      <c r="C47" s="8">
        <v>10840</v>
      </c>
      <c r="D47" s="9" t="s">
        <v>153</v>
      </c>
      <c r="E47" s="10" t="s">
        <v>154</v>
      </c>
      <c r="F47" s="10" t="s">
        <v>155</v>
      </c>
      <c r="G47" s="8">
        <v>1</v>
      </c>
      <c r="H47" s="11">
        <v>400</v>
      </c>
      <c r="I47" s="12">
        <v>42372</v>
      </c>
      <c r="J47" s="13">
        <f t="shared" si="3"/>
        <v>0</v>
      </c>
      <c r="K47" s="14">
        <v>400</v>
      </c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5">
        <f t="shared" si="2"/>
        <v>400</v>
      </c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5"/>
      <c r="AK47" s="16"/>
    </row>
    <row r="48" spans="2:37" x14ac:dyDescent="0.2">
      <c r="B48" s="7" t="s">
        <v>77</v>
      </c>
      <c r="C48" s="8">
        <v>10841</v>
      </c>
      <c r="D48" s="9" t="s">
        <v>156</v>
      </c>
      <c r="E48" s="10" t="s">
        <v>157</v>
      </c>
      <c r="F48" s="10" t="s">
        <v>158</v>
      </c>
      <c r="G48" s="8">
        <v>1</v>
      </c>
      <c r="H48" s="11">
        <v>300</v>
      </c>
      <c r="I48" s="12">
        <v>42372</v>
      </c>
      <c r="J48" s="13">
        <f t="shared" si="3"/>
        <v>0</v>
      </c>
      <c r="K48" s="14">
        <v>300</v>
      </c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5">
        <f t="shared" si="2"/>
        <v>300</v>
      </c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5"/>
      <c r="AK48" s="16"/>
    </row>
    <row r="49" spans="2:37" x14ac:dyDescent="0.2">
      <c r="B49" s="7" t="s">
        <v>77</v>
      </c>
      <c r="C49" s="8">
        <v>10842</v>
      </c>
      <c r="D49" s="9" t="s">
        <v>159</v>
      </c>
      <c r="E49" s="10" t="s">
        <v>160</v>
      </c>
      <c r="F49" s="10" t="s">
        <v>161</v>
      </c>
      <c r="G49" s="8">
        <v>1</v>
      </c>
      <c r="H49" s="11">
        <v>400</v>
      </c>
      <c r="I49" s="12">
        <v>42372</v>
      </c>
      <c r="J49" s="13">
        <f t="shared" si="3"/>
        <v>0</v>
      </c>
      <c r="K49" s="14">
        <v>400</v>
      </c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5">
        <f t="shared" si="2"/>
        <v>400</v>
      </c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5"/>
      <c r="AK49" s="16"/>
    </row>
    <row r="50" spans="2:37" x14ac:dyDescent="0.2">
      <c r="B50" s="7" t="s">
        <v>47</v>
      </c>
      <c r="C50" s="8">
        <v>10843</v>
      </c>
      <c r="D50" s="9" t="s">
        <v>162</v>
      </c>
      <c r="E50" s="10" t="s">
        <v>163</v>
      </c>
      <c r="F50" s="10" t="s">
        <v>164</v>
      </c>
      <c r="G50" s="8">
        <v>1</v>
      </c>
      <c r="H50" s="11">
        <v>800</v>
      </c>
      <c r="I50" s="12">
        <v>42372</v>
      </c>
      <c r="J50" s="13">
        <f t="shared" si="3"/>
        <v>0</v>
      </c>
      <c r="K50" s="14">
        <v>400</v>
      </c>
      <c r="L50" s="14">
        <v>400</v>
      </c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5">
        <f t="shared" si="2"/>
        <v>800</v>
      </c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5"/>
      <c r="AK50" s="16"/>
    </row>
    <row r="51" spans="2:37" x14ac:dyDescent="0.2">
      <c r="B51" s="7" t="s">
        <v>69</v>
      </c>
      <c r="C51" s="8">
        <v>10844</v>
      </c>
      <c r="D51" s="9" t="s">
        <v>165</v>
      </c>
      <c r="E51" s="10" t="s">
        <v>166</v>
      </c>
      <c r="F51" s="10" t="s">
        <v>167</v>
      </c>
      <c r="G51" s="8">
        <v>1</v>
      </c>
      <c r="H51" s="11">
        <v>350</v>
      </c>
      <c r="I51" s="12">
        <v>42372</v>
      </c>
      <c r="J51" s="13">
        <f t="shared" si="3"/>
        <v>0</v>
      </c>
      <c r="K51" s="14">
        <v>350</v>
      </c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5">
        <f t="shared" si="2"/>
        <v>350</v>
      </c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5"/>
      <c r="AK51" s="16"/>
    </row>
    <row r="52" spans="2:37" x14ac:dyDescent="0.2">
      <c r="B52" s="7" t="s">
        <v>69</v>
      </c>
      <c r="C52" s="8">
        <v>10845</v>
      </c>
      <c r="D52" s="9" t="s">
        <v>168</v>
      </c>
      <c r="E52" s="10" t="s">
        <v>169</v>
      </c>
      <c r="F52" s="10" t="s">
        <v>170</v>
      </c>
      <c r="G52" s="8">
        <v>1</v>
      </c>
      <c r="H52" s="11">
        <v>0</v>
      </c>
      <c r="I52" s="12">
        <v>42372</v>
      </c>
      <c r="J52" s="13">
        <f t="shared" si="3"/>
        <v>0</v>
      </c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5">
        <f t="shared" si="2"/>
        <v>0</v>
      </c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5"/>
      <c r="AK52" s="16"/>
    </row>
    <row r="53" spans="2:37" x14ac:dyDescent="0.2">
      <c r="B53" s="7" t="s">
        <v>69</v>
      </c>
      <c r="C53" s="8">
        <v>10845</v>
      </c>
      <c r="D53" s="9" t="s">
        <v>168</v>
      </c>
      <c r="E53" s="10" t="s">
        <v>169</v>
      </c>
      <c r="F53" s="10" t="s">
        <v>170</v>
      </c>
      <c r="G53" s="8">
        <v>3</v>
      </c>
      <c r="H53" s="11">
        <v>160</v>
      </c>
      <c r="I53" s="12">
        <v>42372</v>
      </c>
      <c r="J53" s="13">
        <f t="shared" si="3"/>
        <v>0</v>
      </c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5">
        <f t="shared" si="2"/>
        <v>0</v>
      </c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5"/>
      <c r="AK53" s="16"/>
    </row>
    <row r="54" spans="2:37" x14ac:dyDescent="0.2">
      <c r="B54" s="7" t="s">
        <v>47</v>
      </c>
      <c r="C54" s="8">
        <v>10846</v>
      </c>
      <c r="D54" s="9" t="s">
        <v>171</v>
      </c>
      <c r="E54" s="10" t="s">
        <v>172</v>
      </c>
      <c r="F54" s="10" t="s">
        <v>173</v>
      </c>
      <c r="G54" s="8">
        <v>1</v>
      </c>
      <c r="H54" s="11">
        <v>400</v>
      </c>
      <c r="I54" s="12">
        <v>42372</v>
      </c>
      <c r="J54" s="13">
        <f t="shared" si="3"/>
        <v>0</v>
      </c>
      <c r="K54" s="14">
        <v>400</v>
      </c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5">
        <f t="shared" si="2"/>
        <v>400</v>
      </c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5"/>
      <c r="AK54" s="16"/>
    </row>
    <row r="55" spans="2:37" x14ac:dyDescent="0.2">
      <c r="B55" s="7" t="s">
        <v>69</v>
      </c>
      <c r="C55" s="8">
        <v>10847</v>
      </c>
      <c r="D55" s="9" t="s">
        <v>174</v>
      </c>
      <c r="E55" s="10" t="s">
        <v>175</v>
      </c>
      <c r="F55" s="10" t="s">
        <v>176</v>
      </c>
      <c r="G55" s="8">
        <v>1</v>
      </c>
      <c r="H55" s="11">
        <v>300</v>
      </c>
      <c r="I55" s="12">
        <v>42372</v>
      </c>
      <c r="J55" s="13">
        <f t="shared" si="3"/>
        <v>0</v>
      </c>
      <c r="K55" s="14">
        <v>300</v>
      </c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5">
        <f t="shared" si="2"/>
        <v>300</v>
      </c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5"/>
      <c r="AK55" s="16"/>
    </row>
    <row r="56" spans="2:37" x14ac:dyDescent="0.2">
      <c r="B56" s="7" t="s">
        <v>37</v>
      </c>
      <c r="C56" s="8">
        <v>10848</v>
      </c>
      <c r="D56" s="9" t="s">
        <v>177</v>
      </c>
      <c r="E56" s="10" t="s">
        <v>178</v>
      </c>
      <c r="F56" s="10" t="s">
        <v>179</v>
      </c>
      <c r="G56" s="8">
        <v>1</v>
      </c>
      <c r="H56" s="11">
        <v>400</v>
      </c>
      <c r="I56" s="12">
        <v>42372</v>
      </c>
      <c r="J56" s="13">
        <f t="shared" si="3"/>
        <v>0</v>
      </c>
      <c r="K56" s="14">
        <v>400</v>
      </c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5">
        <f t="shared" si="2"/>
        <v>400</v>
      </c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5"/>
      <c r="AK56" s="16"/>
    </row>
    <row r="57" spans="2:37" x14ac:dyDescent="0.2">
      <c r="B57" s="7" t="s">
        <v>37</v>
      </c>
      <c r="C57" s="8">
        <v>10849</v>
      </c>
      <c r="D57" s="9" t="s">
        <v>180</v>
      </c>
      <c r="E57" s="10" t="s">
        <v>181</v>
      </c>
      <c r="F57" s="10" t="s">
        <v>182</v>
      </c>
      <c r="G57" s="8">
        <v>1</v>
      </c>
      <c r="H57" s="11">
        <v>400</v>
      </c>
      <c r="I57" s="12">
        <v>42372</v>
      </c>
      <c r="J57" s="13">
        <f t="shared" si="3"/>
        <v>0</v>
      </c>
      <c r="K57" s="14">
        <v>400</v>
      </c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5">
        <f t="shared" si="2"/>
        <v>400</v>
      </c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5"/>
      <c r="AK57" s="16"/>
    </row>
    <row r="58" spans="2:37" x14ac:dyDescent="0.2">
      <c r="B58" s="7" t="s">
        <v>47</v>
      </c>
      <c r="C58" s="8">
        <v>10850</v>
      </c>
      <c r="D58" s="9" t="s">
        <v>183</v>
      </c>
      <c r="E58" s="10" t="s">
        <v>184</v>
      </c>
      <c r="F58" s="10" t="s">
        <v>185</v>
      </c>
      <c r="G58" s="8">
        <v>1</v>
      </c>
      <c r="H58" s="11">
        <v>0</v>
      </c>
      <c r="I58" s="12">
        <v>42372</v>
      </c>
      <c r="J58" s="13">
        <f t="shared" si="3"/>
        <v>0</v>
      </c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5">
        <f t="shared" si="2"/>
        <v>0</v>
      </c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5"/>
      <c r="AK58" s="16"/>
    </row>
    <row r="59" spans="2:37" x14ac:dyDescent="0.2">
      <c r="B59" s="7" t="s">
        <v>69</v>
      </c>
      <c r="C59" s="8">
        <v>10851</v>
      </c>
      <c r="D59" s="9" t="s">
        <v>186</v>
      </c>
      <c r="E59" s="10" t="s">
        <v>187</v>
      </c>
      <c r="F59" s="10" t="s">
        <v>188</v>
      </c>
      <c r="G59" s="8">
        <v>1</v>
      </c>
      <c r="H59" s="11">
        <v>400</v>
      </c>
      <c r="I59" s="12">
        <v>42372</v>
      </c>
      <c r="J59" s="13">
        <f t="shared" si="3"/>
        <v>0</v>
      </c>
      <c r="K59" s="14">
        <v>400</v>
      </c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5">
        <f t="shared" si="2"/>
        <v>400</v>
      </c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5"/>
      <c r="AK59" s="16"/>
    </row>
    <row r="60" spans="2:37" x14ac:dyDescent="0.2">
      <c r="B60" s="7" t="s">
        <v>47</v>
      </c>
      <c r="C60" s="8">
        <v>10852</v>
      </c>
      <c r="D60" s="9" t="s">
        <v>189</v>
      </c>
      <c r="E60" s="10" t="s">
        <v>190</v>
      </c>
      <c r="F60" s="10" t="s">
        <v>191</v>
      </c>
      <c r="G60" s="8">
        <v>1</v>
      </c>
      <c r="H60" s="11">
        <v>400</v>
      </c>
      <c r="I60" s="12">
        <v>42372</v>
      </c>
      <c r="J60" s="13">
        <f t="shared" si="3"/>
        <v>0</v>
      </c>
      <c r="K60" s="14">
        <v>400</v>
      </c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5">
        <f t="shared" si="2"/>
        <v>400</v>
      </c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5"/>
      <c r="AK60" s="16"/>
    </row>
    <row r="61" spans="2:37" x14ac:dyDescent="0.2">
      <c r="B61" s="7" t="s">
        <v>93</v>
      </c>
      <c r="C61" s="8">
        <v>10853</v>
      </c>
      <c r="D61" s="9"/>
      <c r="E61" s="10" t="s">
        <v>93</v>
      </c>
      <c r="F61" s="10" t="s">
        <v>93</v>
      </c>
      <c r="G61" s="8">
        <v>8</v>
      </c>
      <c r="H61" s="11"/>
      <c r="I61" s="12"/>
      <c r="J61" s="13">
        <f t="shared" si="3"/>
        <v>0</v>
      </c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5">
        <f t="shared" si="2"/>
        <v>0</v>
      </c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5"/>
      <c r="AK61" s="16"/>
    </row>
    <row r="62" spans="2:37" x14ac:dyDescent="0.2">
      <c r="B62" s="7" t="s">
        <v>37</v>
      </c>
      <c r="C62" s="8">
        <v>10854</v>
      </c>
      <c r="D62" s="9" t="s">
        <v>192</v>
      </c>
      <c r="E62" s="10" t="s">
        <v>193</v>
      </c>
      <c r="F62" s="10" t="s">
        <v>194</v>
      </c>
      <c r="G62" s="8">
        <v>1</v>
      </c>
      <c r="H62" s="11">
        <v>0</v>
      </c>
      <c r="I62" s="12">
        <v>42372</v>
      </c>
      <c r="J62" s="13">
        <f t="shared" si="3"/>
        <v>0</v>
      </c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5">
        <f t="shared" si="2"/>
        <v>0</v>
      </c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5"/>
      <c r="AK62" s="16"/>
    </row>
    <row r="63" spans="2:37" x14ac:dyDescent="0.2">
      <c r="B63" s="7" t="s">
        <v>73</v>
      </c>
      <c r="C63" s="8">
        <v>10855</v>
      </c>
      <c r="D63" s="9" t="s">
        <v>195</v>
      </c>
      <c r="E63" s="10" t="s">
        <v>196</v>
      </c>
      <c r="F63" s="10" t="s">
        <v>197</v>
      </c>
      <c r="G63" s="8">
        <v>1</v>
      </c>
      <c r="H63" s="11">
        <v>400</v>
      </c>
      <c r="I63" s="12">
        <v>42372</v>
      </c>
      <c r="J63" s="13">
        <f t="shared" si="3"/>
        <v>0</v>
      </c>
      <c r="K63" s="14">
        <v>400</v>
      </c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5">
        <f t="shared" si="2"/>
        <v>400</v>
      </c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5"/>
      <c r="AK63" s="16" t="s">
        <v>198</v>
      </c>
    </row>
    <row r="64" spans="2:37" x14ac:dyDescent="0.2">
      <c r="B64" s="7" t="s">
        <v>73</v>
      </c>
      <c r="C64" s="8">
        <v>10856</v>
      </c>
      <c r="D64" s="9" t="s">
        <v>199</v>
      </c>
      <c r="E64" s="10" t="s">
        <v>200</v>
      </c>
      <c r="F64" s="10" t="s">
        <v>201</v>
      </c>
      <c r="G64" s="8">
        <v>1</v>
      </c>
      <c r="H64" s="11">
        <v>400</v>
      </c>
      <c r="I64" s="12">
        <v>42374</v>
      </c>
      <c r="J64" s="13">
        <f t="shared" si="3"/>
        <v>0</v>
      </c>
      <c r="K64" s="14">
        <v>400</v>
      </c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5">
        <f t="shared" si="2"/>
        <v>400</v>
      </c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5"/>
      <c r="AK64" s="16"/>
    </row>
    <row r="65" spans="2:37" x14ac:dyDescent="0.2">
      <c r="B65" s="7" t="s">
        <v>73</v>
      </c>
      <c r="C65" s="8">
        <v>10856</v>
      </c>
      <c r="D65" s="9" t="s">
        <v>199</v>
      </c>
      <c r="E65" s="10" t="s">
        <v>200</v>
      </c>
      <c r="F65" s="10" t="s">
        <v>201</v>
      </c>
      <c r="G65" s="8">
        <v>4</v>
      </c>
      <c r="H65" s="11">
        <v>160</v>
      </c>
      <c r="I65" s="12">
        <v>42374</v>
      </c>
      <c r="J65" s="13">
        <f t="shared" si="3"/>
        <v>0</v>
      </c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5">
        <f t="shared" si="2"/>
        <v>0</v>
      </c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5"/>
      <c r="AK65" s="7">
        <v>1033</v>
      </c>
    </row>
    <row r="66" spans="2:37" x14ac:dyDescent="0.2">
      <c r="B66" s="7" t="s">
        <v>73</v>
      </c>
      <c r="C66" s="8">
        <v>10857</v>
      </c>
      <c r="D66" s="9" t="s">
        <v>202</v>
      </c>
      <c r="E66" s="10" t="s">
        <v>203</v>
      </c>
      <c r="F66" s="10" t="s">
        <v>204</v>
      </c>
      <c r="G66" s="8">
        <v>1</v>
      </c>
      <c r="H66" s="11">
        <v>400</v>
      </c>
      <c r="I66" s="12">
        <v>42374</v>
      </c>
      <c r="J66" s="13">
        <f t="shared" si="3"/>
        <v>0</v>
      </c>
      <c r="K66" s="14">
        <v>400</v>
      </c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5">
        <f t="shared" si="2"/>
        <v>400</v>
      </c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5"/>
      <c r="AK66" s="16"/>
    </row>
    <row r="67" spans="2:37" x14ac:dyDescent="0.2">
      <c r="B67" s="7" t="s">
        <v>37</v>
      </c>
      <c r="C67" s="8">
        <v>10858</v>
      </c>
      <c r="D67" s="9" t="s">
        <v>205</v>
      </c>
      <c r="E67" s="10" t="s">
        <v>206</v>
      </c>
      <c r="F67" s="10" t="s">
        <v>207</v>
      </c>
      <c r="G67" s="8">
        <v>1</v>
      </c>
      <c r="H67" s="11">
        <v>0</v>
      </c>
      <c r="I67" s="12">
        <v>42374</v>
      </c>
      <c r="J67" s="13">
        <f t="shared" si="3"/>
        <v>0</v>
      </c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5">
        <f t="shared" si="2"/>
        <v>0</v>
      </c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5"/>
      <c r="AK67" s="16"/>
    </row>
    <row r="68" spans="2:37" x14ac:dyDescent="0.2">
      <c r="B68" s="7" t="s">
        <v>47</v>
      </c>
      <c r="C68" s="8">
        <v>10859</v>
      </c>
      <c r="D68" s="9" t="s">
        <v>208</v>
      </c>
      <c r="E68" s="10" t="s">
        <v>209</v>
      </c>
      <c r="F68" s="10" t="s">
        <v>210</v>
      </c>
      <c r="G68" s="8"/>
      <c r="H68" s="11"/>
      <c r="I68" s="12">
        <v>42374</v>
      </c>
      <c r="J68" s="13">
        <f t="shared" si="3"/>
        <v>0</v>
      </c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5">
        <f t="shared" si="2"/>
        <v>0</v>
      </c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5"/>
      <c r="AK68" s="16"/>
    </row>
    <row r="69" spans="2:37" x14ac:dyDescent="0.2">
      <c r="B69" s="7" t="s">
        <v>69</v>
      </c>
      <c r="C69" s="8">
        <v>10860</v>
      </c>
      <c r="D69" s="9" t="s">
        <v>211</v>
      </c>
      <c r="E69" s="10" t="s">
        <v>212</v>
      </c>
      <c r="F69" s="10" t="s">
        <v>213</v>
      </c>
      <c r="G69" s="8"/>
      <c r="H69" s="11"/>
      <c r="I69" s="12">
        <v>42374</v>
      </c>
      <c r="J69" s="13">
        <f t="shared" si="3"/>
        <v>0</v>
      </c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5">
        <f t="shared" si="2"/>
        <v>0</v>
      </c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5"/>
      <c r="AK69" s="16"/>
    </row>
    <row r="70" spans="2:37" x14ac:dyDescent="0.2">
      <c r="B70" s="7" t="s">
        <v>61</v>
      </c>
      <c r="C70" s="8">
        <v>10861</v>
      </c>
      <c r="D70" s="9" t="s">
        <v>214</v>
      </c>
      <c r="E70" s="10" t="s">
        <v>215</v>
      </c>
      <c r="F70" s="10" t="s">
        <v>216</v>
      </c>
      <c r="G70" s="8">
        <v>1</v>
      </c>
      <c r="H70" s="11">
        <v>0</v>
      </c>
      <c r="I70" s="12">
        <v>42374</v>
      </c>
      <c r="J70" s="13">
        <f t="shared" si="3"/>
        <v>0</v>
      </c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5">
        <f t="shared" si="2"/>
        <v>0</v>
      </c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5"/>
      <c r="AK70" s="16"/>
    </row>
    <row r="71" spans="2:37" x14ac:dyDescent="0.2">
      <c r="B71" s="7" t="s">
        <v>69</v>
      </c>
      <c r="C71" s="8">
        <v>10862</v>
      </c>
      <c r="D71" s="9" t="s">
        <v>211</v>
      </c>
      <c r="E71" s="10" t="s">
        <v>212</v>
      </c>
      <c r="F71" s="10" t="s">
        <v>213</v>
      </c>
      <c r="G71" s="8">
        <v>1</v>
      </c>
      <c r="H71" s="11">
        <v>0</v>
      </c>
      <c r="I71" s="12">
        <v>42374</v>
      </c>
      <c r="J71" s="13">
        <f t="shared" si="3"/>
        <v>0</v>
      </c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5">
        <f t="shared" si="2"/>
        <v>0</v>
      </c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5"/>
      <c r="AK71" s="16"/>
    </row>
    <row r="72" spans="2:37" x14ac:dyDescent="0.2">
      <c r="B72" s="7" t="s">
        <v>122</v>
      </c>
      <c r="C72" s="8">
        <v>10863</v>
      </c>
      <c r="D72" s="9" t="s">
        <v>217</v>
      </c>
      <c r="E72" s="10" t="s">
        <v>218</v>
      </c>
      <c r="F72" s="10" t="s">
        <v>219</v>
      </c>
      <c r="G72" s="8">
        <v>1</v>
      </c>
      <c r="H72" s="11">
        <v>900</v>
      </c>
      <c r="I72" s="12">
        <v>42374</v>
      </c>
      <c r="J72" s="13">
        <f t="shared" si="3"/>
        <v>0</v>
      </c>
      <c r="K72" s="14">
        <v>300</v>
      </c>
      <c r="L72" s="14">
        <v>300</v>
      </c>
      <c r="M72" s="14">
        <v>300</v>
      </c>
      <c r="N72" s="14"/>
      <c r="O72" s="14"/>
      <c r="P72" s="14"/>
      <c r="Q72" s="14"/>
      <c r="R72" s="14"/>
      <c r="S72" s="14"/>
      <c r="T72" s="14"/>
      <c r="U72" s="14"/>
      <c r="V72" s="14"/>
      <c r="W72" s="15">
        <f t="shared" si="2"/>
        <v>900</v>
      </c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5"/>
      <c r="AK72" s="16"/>
    </row>
    <row r="73" spans="2:37" x14ac:dyDescent="0.2">
      <c r="B73" s="7" t="s">
        <v>122</v>
      </c>
      <c r="C73" s="8">
        <v>10864</v>
      </c>
      <c r="D73" s="9" t="s">
        <v>220</v>
      </c>
      <c r="E73" s="10" t="s">
        <v>221</v>
      </c>
      <c r="F73" s="10" t="s">
        <v>222</v>
      </c>
      <c r="G73" s="8">
        <v>1</v>
      </c>
      <c r="H73" s="11">
        <v>300</v>
      </c>
      <c r="I73" s="12">
        <v>42374</v>
      </c>
      <c r="J73" s="13">
        <f t="shared" si="3"/>
        <v>0</v>
      </c>
      <c r="K73" s="14">
        <v>300</v>
      </c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5">
        <f t="shared" si="2"/>
        <v>300</v>
      </c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5"/>
      <c r="AK73" s="16"/>
    </row>
    <row r="74" spans="2:37" x14ac:dyDescent="0.2">
      <c r="B74" s="7" t="s">
        <v>122</v>
      </c>
      <c r="C74" s="8">
        <v>10865</v>
      </c>
      <c r="D74" s="9" t="s">
        <v>220</v>
      </c>
      <c r="E74" s="10" t="s">
        <v>221</v>
      </c>
      <c r="F74" s="10" t="s">
        <v>222</v>
      </c>
      <c r="G74" s="8">
        <v>3</v>
      </c>
      <c r="H74" s="11">
        <v>160</v>
      </c>
      <c r="I74" s="12">
        <v>42375</v>
      </c>
      <c r="J74" s="13">
        <f t="shared" si="3"/>
        <v>0</v>
      </c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5">
        <f t="shared" si="2"/>
        <v>0</v>
      </c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5"/>
      <c r="AK74" s="16"/>
    </row>
    <row r="75" spans="2:37" x14ac:dyDescent="0.2">
      <c r="B75" s="7" t="s">
        <v>37</v>
      </c>
      <c r="C75" s="8">
        <v>10866</v>
      </c>
      <c r="D75" s="9" t="s">
        <v>223</v>
      </c>
      <c r="E75" s="10" t="s">
        <v>224</v>
      </c>
      <c r="F75" s="10" t="s">
        <v>225</v>
      </c>
      <c r="G75" s="8">
        <v>1</v>
      </c>
      <c r="H75" s="11">
        <v>200</v>
      </c>
      <c r="I75" s="12">
        <v>42376</v>
      </c>
      <c r="J75" s="13">
        <f t="shared" si="3"/>
        <v>0</v>
      </c>
      <c r="K75" s="14">
        <v>100</v>
      </c>
      <c r="L75" s="14">
        <v>100</v>
      </c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5">
        <f t="shared" si="2"/>
        <v>200</v>
      </c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5"/>
      <c r="AK75" s="16"/>
    </row>
    <row r="76" spans="2:37" x14ac:dyDescent="0.2">
      <c r="B76" s="7" t="s">
        <v>37</v>
      </c>
      <c r="C76" s="8">
        <v>10867</v>
      </c>
      <c r="D76" s="9" t="s">
        <v>226</v>
      </c>
      <c r="E76" s="10" t="s">
        <v>227</v>
      </c>
      <c r="F76" s="10" t="s">
        <v>228</v>
      </c>
      <c r="G76" s="8">
        <v>1</v>
      </c>
      <c r="H76" s="11">
        <v>200</v>
      </c>
      <c r="I76" s="12">
        <v>42376</v>
      </c>
      <c r="J76" s="13">
        <f t="shared" si="3"/>
        <v>0</v>
      </c>
      <c r="K76" s="14">
        <v>200</v>
      </c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5">
        <f t="shared" si="2"/>
        <v>200</v>
      </c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5"/>
      <c r="AK76" s="16"/>
    </row>
    <row r="77" spans="2:37" x14ac:dyDescent="0.2">
      <c r="B77" s="7" t="s">
        <v>47</v>
      </c>
      <c r="C77" s="8">
        <v>10868</v>
      </c>
      <c r="D77" s="9" t="s">
        <v>229</v>
      </c>
      <c r="E77" s="10" t="s">
        <v>230</v>
      </c>
      <c r="F77" s="10" t="s">
        <v>231</v>
      </c>
      <c r="G77" s="8">
        <v>1</v>
      </c>
      <c r="H77" s="11">
        <v>4400</v>
      </c>
      <c r="I77" s="12">
        <v>42376</v>
      </c>
      <c r="J77" s="13">
        <f t="shared" si="3"/>
        <v>0</v>
      </c>
      <c r="K77" s="14">
        <v>400</v>
      </c>
      <c r="L77" s="14">
        <v>400</v>
      </c>
      <c r="M77" s="14">
        <v>400</v>
      </c>
      <c r="N77" s="14">
        <v>400</v>
      </c>
      <c r="O77" s="14">
        <v>400</v>
      </c>
      <c r="P77" s="14">
        <v>400</v>
      </c>
      <c r="Q77" s="14">
        <v>400</v>
      </c>
      <c r="R77" s="14">
        <v>400</v>
      </c>
      <c r="S77" s="14">
        <v>400</v>
      </c>
      <c r="T77" s="14">
        <v>400</v>
      </c>
      <c r="U77" s="14">
        <v>400</v>
      </c>
      <c r="V77" s="14"/>
      <c r="W77" s="15">
        <f t="shared" si="2"/>
        <v>4400</v>
      </c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5"/>
      <c r="AK77" s="16" t="s">
        <v>57</v>
      </c>
    </row>
    <row r="78" spans="2:37" x14ac:dyDescent="0.2">
      <c r="B78" s="7" t="s">
        <v>37</v>
      </c>
      <c r="C78" s="8">
        <v>10869</v>
      </c>
      <c r="D78" s="9" t="s">
        <v>232</v>
      </c>
      <c r="E78" s="10" t="s">
        <v>233</v>
      </c>
      <c r="F78" s="10" t="s">
        <v>234</v>
      </c>
      <c r="G78" s="8">
        <v>1</v>
      </c>
      <c r="H78" s="11">
        <v>4400</v>
      </c>
      <c r="I78" s="12">
        <v>42379</v>
      </c>
      <c r="J78" s="13">
        <f t="shared" si="3"/>
        <v>0</v>
      </c>
      <c r="K78" s="14">
        <v>400</v>
      </c>
      <c r="L78" s="14">
        <v>400</v>
      </c>
      <c r="M78" s="14">
        <v>400</v>
      </c>
      <c r="N78" s="14">
        <v>400</v>
      </c>
      <c r="O78" s="14">
        <v>400</v>
      </c>
      <c r="P78" s="14">
        <v>400</v>
      </c>
      <c r="Q78" s="14">
        <v>400</v>
      </c>
      <c r="R78" s="14">
        <v>400</v>
      </c>
      <c r="S78" s="14">
        <v>400</v>
      </c>
      <c r="T78" s="14">
        <v>400</v>
      </c>
      <c r="U78" s="14">
        <v>400</v>
      </c>
      <c r="V78" s="14"/>
      <c r="W78" s="15">
        <f t="shared" si="2"/>
        <v>4400</v>
      </c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5"/>
      <c r="AK78" s="16" t="s">
        <v>57</v>
      </c>
    </row>
    <row r="79" spans="2:37" x14ac:dyDescent="0.2">
      <c r="B79" s="7" t="s">
        <v>47</v>
      </c>
      <c r="C79" s="8">
        <v>10870</v>
      </c>
      <c r="D79" s="9" t="s">
        <v>235</v>
      </c>
      <c r="E79" s="10" t="s">
        <v>236</v>
      </c>
      <c r="F79" s="10" t="s">
        <v>237</v>
      </c>
      <c r="G79" s="8">
        <v>1</v>
      </c>
      <c r="H79" s="11">
        <v>0</v>
      </c>
      <c r="I79" s="12">
        <v>42379</v>
      </c>
      <c r="J79" s="13">
        <f t="shared" si="3"/>
        <v>0</v>
      </c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5">
        <f t="shared" si="2"/>
        <v>0</v>
      </c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5"/>
      <c r="AK79" s="16"/>
    </row>
    <row r="80" spans="2:37" x14ac:dyDescent="0.2">
      <c r="B80" s="7" t="s">
        <v>47</v>
      </c>
      <c r="C80" s="8">
        <v>10871</v>
      </c>
      <c r="D80" s="9" t="s">
        <v>238</v>
      </c>
      <c r="E80" s="10" t="s">
        <v>239</v>
      </c>
      <c r="F80" s="10" t="s">
        <v>240</v>
      </c>
      <c r="G80" s="8">
        <v>1</v>
      </c>
      <c r="H80" s="11">
        <v>125</v>
      </c>
      <c r="I80" s="12">
        <v>42379</v>
      </c>
      <c r="J80" s="13">
        <f t="shared" si="3"/>
        <v>0</v>
      </c>
      <c r="K80" s="14">
        <v>125</v>
      </c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5">
        <f t="shared" si="2"/>
        <v>125</v>
      </c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5"/>
      <c r="AK80" s="16"/>
    </row>
    <row r="81" spans="2:37" x14ac:dyDescent="0.2">
      <c r="B81" s="7" t="s">
        <v>47</v>
      </c>
      <c r="C81" s="8">
        <v>10872</v>
      </c>
      <c r="D81" s="9" t="s">
        <v>241</v>
      </c>
      <c r="E81" s="10" t="s">
        <v>242</v>
      </c>
      <c r="F81" s="10" t="s">
        <v>243</v>
      </c>
      <c r="G81" s="8">
        <v>1</v>
      </c>
      <c r="H81" s="11">
        <v>400</v>
      </c>
      <c r="I81" s="12">
        <v>42379</v>
      </c>
      <c r="J81" s="13">
        <f t="shared" si="3"/>
        <v>0</v>
      </c>
      <c r="K81" s="14">
        <v>400</v>
      </c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5">
        <f t="shared" si="2"/>
        <v>400</v>
      </c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5"/>
      <c r="AK81" s="16"/>
    </row>
    <row r="82" spans="2:37" x14ac:dyDescent="0.2">
      <c r="B82" s="7" t="s">
        <v>47</v>
      </c>
      <c r="C82" s="8">
        <v>10873</v>
      </c>
      <c r="D82" s="9" t="s">
        <v>244</v>
      </c>
      <c r="E82" s="10" t="s">
        <v>245</v>
      </c>
      <c r="F82" s="10" t="s">
        <v>246</v>
      </c>
      <c r="G82" s="8">
        <v>1</v>
      </c>
      <c r="H82" s="11">
        <v>4800</v>
      </c>
      <c r="I82" s="12">
        <v>42379</v>
      </c>
      <c r="J82" s="13">
        <f t="shared" si="3"/>
        <v>0</v>
      </c>
      <c r="K82" s="14">
        <v>400</v>
      </c>
      <c r="L82" s="14">
        <v>400</v>
      </c>
      <c r="M82" s="14">
        <v>400</v>
      </c>
      <c r="N82" s="14">
        <v>400</v>
      </c>
      <c r="O82" s="14">
        <v>400</v>
      </c>
      <c r="P82" s="14">
        <v>400</v>
      </c>
      <c r="Q82" s="14">
        <v>400</v>
      </c>
      <c r="R82" s="14">
        <v>400</v>
      </c>
      <c r="S82" s="14">
        <v>400</v>
      </c>
      <c r="T82" s="14">
        <v>400</v>
      </c>
      <c r="U82" s="14">
        <v>400</v>
      </c>
      <c r="V82" s="14">
        <v>400</v>
      </c>
      <c r="W82" s="15">
        <f t="shared" si="2"/>
        <v>4800</v>
      </c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5"/>
      <c r="AK82" s="16"/>
    </row>
    <row r="83" spans="2:37" x14ac:dyDescent="0.2">
      <c r="B83" s="7" t="s">
        <v>37</v>
      </c>
      <c r="C83" s="8">
        <v>10874</v>
      </c>
      <c r="D83" s="9" t="s">
        <v>247</v>
      </c>
      <c r="E83" s="10" t="s">
        <v>248</v>
      </c>
      <c r="F83" s="10" t="s">
        <v>249</v>
      </c>
      <c r="G83" s="8">
        <v>1</v>
      </c>
      <c r="H83" s="11">
        <v>800</v>
      </c>
      <c r="I83" s="12">
        <v>42379</v>
      </c>
      <c r="J83" s="13">
        <f t="shared" si="3"/>
        <v>0</v>
      </c>
      <c r="K83" s="14">
        <v>400</v>
      </c>
      <c r="L83" s="14">
        <v>400</v>
      </c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5">
        <f t="shared" si="2"/>
        <v>800</v>
      </c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5"/>
      <c r="AK83" s="16"/>
    </row>
    <row r="84" spans="2:37" x14ac:dyDescent="0.2">
      <c r="B84" s="7" t="s">
        <v>47</v>
      </c>
      <c r="C84" s="8">
        <v>10875</v>
      </c>
      <c r="D84" s="9" t="s">
        <v>250</v>
      </c>
      <c r="E84" s="10" t="s">
        <v>251</v>
      </c>
      <c r="F84" s="10" t="s">
        <v>252</v>
      </c>
      <c r="G84" s="8">
        <v>1</v>
      </c>
      <c r="H84" s="11">
        <v>400</v>
      </c>
      <c r="I84" s="12">
        <v>42379</v>
      </c>
      <c r="J84" s="13">
        <f t="shared" si="3"/>
        <v>0</v>
      </c>
      <c r="K84" s="14">
        <v>400</v>
      </c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5">
        <f t="shared" si="2"/>
        <v>400</v>
      </c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5"/>
      <c r="AK84" s="16"/>
    </row>
    <row r="85" spans="2:37" x14ac:dyDescent="0.2">
      <c r="B85" s="7" t="s">
        <v>69</v>
      </c>
      <c r="C85" s="8">
        <v>10876</v>
      </c>
      <c r="D85" s="9" t="s">
        <v>253</v>
      </c>
      <c r="E85" s="10" t="s">
        <v>254</v>
      </c>
      <c r="F85" s="10" t="s">
        <v>255</v>
      </c>
      <c r="G85" s="8">
        <v>1</v>
      </c>
      <c r="H85" s="11">
        <v>3300</v>
      </c>
      <c r="I85" s="12">
        <v>42379</v>
      </c>
      <c r="J85" s="13">
        <f t="shared" si="3"/>
        <v>0</v>
      </c>
      <c r="K85" s="14">
        <v>300</v>
      </c>
      <c r="L85" s="14">
        <v>300</v>
      </c>
      <c r="M85" s="14">
        <v>300</v>
      </c>
      <c r="N85" s="14">
        <v>300</v>
      </c>
      <c r="O85" s="14">
        <v>300</v>
      </c>
      <c r="P85" s="14">
        <v>300</v>
      </c>
      <c r="Q85" s="14">
        <v>300</v>
      </c>
      <c r="R85" s="14">
        <v>300</v>
      </c>
      <c r="S85" s="14">
        <v>300</v>
      </c>
      <c r="T85" s="14">
        <v>300</v>
      </c>
      <c r="U85" s="14">
        <v>300</v>
      </c>
      <c r="V85" s="14"/>
      <c r="W85" s="15">
        <f t="shared" si="2"/>
        <v>3300</v>
      </c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5"/>
      <c r="AK85" s="16" t="s">
        <v>57</v>
      </c>
    </row>
    <row r="86" spans="2:37" x14ac:dyDescent="0.2">
      <c r="B86" s="7" t="s">
        <v>122</v>
      </c>
      <c r="C86" s="8">
        <v>10877</v>
      </c>
      <c r="D86" s="9" t="s">
        <v>256</v>
      </c>
      <c r="E86" s="10" t="s">
        <v>257</v>
      </c>
      <c r="F86" s="10" t="s">
        <v>258</v>
      </c>
      <c r="G86" s="8">
        <v>1</v>
      </c>
      <c r="H86" s="11">
        <v>300</v>
      </c>
      <c r="I86" s="12">
        <v>42379</v>
      </c>
      <c r="J86" s="13">
        <f t="shared" si="3"/>
        <v>0</v>
      </c>
      <c r="K86" s="14">
        <v>300</v>
      </c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5">
        <f t="shared" si="2"/>
        <v>300</v>
      </c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5"/>
      <c r="AK86" s="16"/>
    </row>
    <row r="87" spans="2:37" x14ac:dyDescent="0.2">
      <c r="B87" s="7" t="s">
        <v>73</v>
      </c>
      <c r="C87" s="8">
        <v>10878</v>
      </c>
      <c r="D87" s="9" t="s">
        <v>259</v>
      </c>
      <c r="E87" s="10" t="s">
        <v>260</v>
      </c>
      <c r="F87" s="10" t="s">
        <v>261</v>
      </c>
      <c r="G87" s="8">
        <v>1</v>
      </c>
      <c r="H87" s="11">
        <v>400</v>
      </c>
      <c r="I87" s="12">
        <v>42379</v>
      </c>
      <c r="J87" s="13">
        <f t="shared" si="3"/>
        <v>0</v>
      </c>
      <c r="K87" s="14">
        <v>400</v>
      </c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5">
        <f t="shared" si="2"/>
        <v>400</v>
      </c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5"/>
      <c r="AK87" s="16"/>
    </row>
    <row r="88" spans="2:37" x14ac:dyDescent="0.2">
      <c r="B88" s="7" t="s">
        <v>122</v>
      </c>
      <c r="C88" s="8">
        <v>10879</v>
      </c>
      <c r="D88" s="9" t="s">
        <v>262</v>
      </c>
      <c r="E88" s="10" t="s">
        <v>263</v>
      </c>
      <c r="F88" s="10" t="s">
        <v>264</v>
      </c>
      <c r="G88" s="8">
        <v>1</v>
      </c>
      <c r="H88" s="11">
        <v>300</v>
      </c>
      <c r="I88" s="12">
        <v>42379</v>
      </c>
      <c r="J88" s="13">
        <f t="shared" si="3"/>
        <v>0</v>
      </c>
      <c r="K88" s="14">
        <v>300</v>
      </c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5">
        <f t="shared" si="2"/>
        <v>300</v>
      </c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5"/>
      <c r="AK88" s="16"/>
    </row>
    <row r="89" spans="2:37" x14ac:dyDescent="0.2">
      <c r="B89" s="7" t="s">
        <v>69</v>
      </c>
      <c r="C89" s="8">
        <v>10880</v>
      </c>
      <c r="D89" s="9" t="s">
        <v>265</v>
      </c>
      <c r="E89" s="10" t="s">
        <v>266</v>
      </c>
      <c r="F89" s="10" t="s">
        <v>267</v>
      </c>
      <c r="G89" s="8">
        <v>1</v>
      </c>
      <c r="H89" s="11">
        <v>400</v>
      </c>
      <c r="I89" s="12">
        <v>42379</v>
      </c>
      <c r="J89" s="13">
        <f t="shared" si="3"/>
        <v>0</v>
      </c>
      <c r="K89" s="14">
        <v>400</v>
      </c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5">
        <f t="shared" ref="W89:W152" si="4">SUM(K89:V89)</f>
        <v>400</v>
      </c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5"/>
      <c r="AK89" s="16"/>
    </row>
    <row r="90" spans="2:37" x14ac:dyDescent="0.2">
      <c r="B90" s="7" t="s">
        <v>37</v>
      </c>
      <c r="C90" s="8">
        <v>10881</v>
      </c>
      <c r="D90" s="9" t="s">
        <v>268</v>
      </c>
      <c r="E90" s="10" t="s">
        <v>269</v>
      </c>
      <c r="F90" s="10" t="s">
        <v>270</v>
      </c>
      <c r="G90" s="8">
        <v>1</v>
      </c>
      <c r="H90" s="11">
        <v>300</v>
      </c>
      <c r="I90" s="12">
        <v>42379</v>
      </c>
      <c r="J90" s="13">
        <f t="shared" si="3"/>
        <v>0</v>
      </c>
      <c r="K90" s="14">
        <v>300</v>
      </c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5">
        <f t="shared" si="4"/>
        <v>300</v>
      </c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5"/>
      <c r="AK90" s="16"/>
    </row>
    <row r="91" spans="2:37" x14ac:dyDescent="0.2">
      <c r="B91" s="7" t="s">
        <v>37</v>
      </c>
      <c r="C91" s="8">
        <v>10882</v>
      </c>
      <c r="D91" s="9" t="s">
        <v>271</v>
      </c>
      <c r="E91" s="10" t="s">
        <v>272</v>
      </c>
      <c r="F91" s="10" t="s">
        <v>273</v>
      </c>
      <c r="G91" s="8">
        <v>1</v>
      </c>
      <c r="H91" s="11">
        <v>400</v>
      </c>
      <c r="I91" s="12">
        <v>42379</v>
      </c>
      <c r="J91" s="13">
        <f t="shared" ref="J91:J154" si="5">IF(G91=1,SUM(W91,-H91),0)</f>
        <v>0</v>
      </c>
      <c r="K91" s="14">
        <v>400</v>
      </c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5">
        <f t="shared" si="4"/>
        <v>400</v>
      </c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5"/>
      <c r="AK91" s="16"/>
    </row>
    <row r="92" spans="2:37" x14ac:dyDescent="0.2">
      <c r="B92" s="7" t="s">
        <v>77</v>
      </c>
      <c r="C92" s="8">
        <v>10883</v>
      </c>
      <c r="D92" s="9" t="s">
        <v>274</v>
      </c>
      <c r="E92" s="10" t="s">
        <v>275</v>
      </c>
      <c r="F92" s="10" t="s">
        <v>276</v>
      </c>
      <c r="G92" s="8">
        <v>1</v>
      </c>
      <c r="H92" s="11">
        <v>0</v>
      </c>
      <c r="I92" s="12">
        <v>42379</v>
      </c>
      <c r="J92" s="13">
        <f t="shared" si="5"/>
        <v>0</v>
      </c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5">
        <f t="shared" si="4"/>
        <v>0</v>
      </c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5"/>
      <c r="AK92" s="16"/>
    </row>
    <row r="93" spans="2:37" x14ac:dyDescent="0.2">
      <c r="B93" s="7" t="s">
        <v>73</v>
      </c>
      <c r="C93" s="8">
        <v>10884</v>
      </c>
      <c r="D93" s="9" t="s">
        <v>277</v>
      </c>
      <c r="E93" s="10" t="s">
        <v>278</v>
      </c>
      <c r="F93" s="10" t="s">
        <v>279</v>
      </c>
      <c r="G93" s="8">
        <v>1</v>
      </c>
      <c r="H93" s="11">
        <v>200</v>
      </c>
      <c r="I93" s="12">
        <v>42379</v>
      </c>
      <c r="J93" s="13">
        <f t="shared" si="5"/>
        <v>0</v>
      </c>
      <c r="K93" s="14">
        <v>200</v>
      </c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5">
        <f t="shared" si="4"/>
        <v>200</v>
      </c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5"/>
      <c r="AK93" s="16"/>
    </row>
    <row r="94" spans="2:37" x14ac:dyDescent="0.2">
      <c r="B94" s="7" t="s">
        <v>47</v>
      </c>
      <c r="C94" s="8">
        <v>10885</v>
      </c>
      <c r="D94" s="9" t="s">
        <v>280</v>
      </c>
      <c r="E94" s="10" t="s">
        <v>281</v>
      </c>
      <c r="F94" s="10" t="s">
        <v>282</v>
      </c>
      <c r="G94" s="8">
        <v>1</v>
      </c>
      <c r="H94" s="11">
        <v>400</v>
      </c>
      <c r="I94" s="12">
        <v>42379</v>
      </c>
      <c r="J94" s="13">
        <f t="shared" si="5"/>
        <v>0</v>
      </c>
      <c r="K94" s="14">
        <v>400</v>
      </c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5">
        <f t="shared" si="4"/>
        <v>400</v>
      </c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5"/>
      <c r="AK94" s="16"/>
    </row>
    <row r="95" spans="2:37" x14ac:dyDescent="0.2">
      <c r="B95" s="7" t="s">
        <v>73</v>
      </c>
      <c r="C95" s="8">
        <v>10886</v>
      </c>
      <c r="D95" s="9" t="s">
        <v>283</v>
      </c>
      <c r="E95" s="10" t="s">
        <v>284</v>
      </c>
      <c r="F95" s="10" t="s">
        <v>285</v>
      </c>
      <c r="G95" s="8">
        <v>1</v>
      </c>
      <c r="H95" s="11">
        <v>3000</v>
      </c>
      <c r="I95" s="12">
        <v>42379</v>
      </c>
      <c r="J95" s="13">
        <f t="shared" si="5"/>
        <v>0</v>
      </c>
      <c r="K95" s="14">
        <v>250</v>
      </c>
      <c r="L95" s="14">
        <v>250</v>
      </c>
      <c r="M95" s="14">
        <v>250</v>
      </c>
      <c r="N95" s="14">
        <v>250</v>
      </c>
      <c r="O95" s="14">
        <v>250</v>
      </c>
      <c r="P95" s="14">
        <v>250</v>
      </c>
      <c r="Q95" s="14">
        <v>250</v>
      </c>
      <c r="R95" s="14">
        <v>250</v>
      </c>
      <c r="S95" s="14">
        <v>250</v>
      </c>
      <c r="T95" s="14">
        <v>250</v>
      </c>
      <c r="U95" s="14">
        <v>250</v>
      </c>
      <c r="V95" s="14">
        <v>250</v>
      </c>
      <c r="W95" s="15">
        <f t="shared" si="4"/>
        <v>3000</v>
      </c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5"/>
      <c r="AK95" s="16"/>
    </row>
    <row r="96" spans="2:37" x14ac:dyDescent="0.2">
      <c r="B96" s="7" t="s">
        <v>77</v>
      </c>
      <c r="C96" s="8">
        <v>10887</v>
      </c>
      <c r="D96" s="9" t="s">
        <v>286</v>
      </c>
      <c r="E96" s="10" t="s">
        <v>287</v>
      </c>
      <c r="F96" s="10" t="s">
        <v>288</v>
      </c>
      <c r="G96" s="8">
        <v>1</v>
      </c>
      <c r="H96" s="11">
        <v>400</v>
      </c>
      <c r="I96" s="12">
        <v>42379</v>
      </c>
      <c r="J96" s="13">
        <f t="shared" si="5"/>
        <v>0</v>
      </c>
      <c r="K96" s="14">
        <v>400</v>
      </c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5">
        <f t="shared" si="4"/>
        <v>400</v>
      </c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5"/>
      <c r="AK96" s="16"/>
    </row>
    <row r="97" spans="2:37" x14ac:dyDescent="0.2">
      <c r="B97" s="7" t="s">
        <v>73</v>
      </c>
      <c r="C97" s="8">
        <v>10888</v>
      </c>
      <c r="D97" s="9" t="s">
        <v>289</v>
      </c>
      <c r="E97" s="10" t="s">
        <v>290</v>
      </c>
      <c r="F97" s="10" t="s">
        <v>291</v>
      </c>
      <c r="G97" s="8">
        <v>1</v>
      </c>
      <c r="H97" s="11">
        <v>2750</v>
      </c>
      <c r="I97" s="12">
        <v>42379</v>
      </c>
      <c r="J97" s="13">
        <f t="shared" si="5"/>
        <v>0</v>
      </c>
      <c r="K97" s="14">
        <v>250</v>
      </c>
      <c r="L97" s="14">
        <v>250</v>
      </c>
      <c r="M97" s="14">
        <v>250</v>
      </c>
      <c r="N97" s="14">
        <v>250</v>
      </c>
      <c r="O97" s="14">
        <v>250</v>
      </c>
      <c r="P97" s="14">
        <v>250</v>
      </c>
      <c r="Q97" s="14">
        <v>250</v>
      </c>
      <c r="R97" s="14">
        <v>250</v>
      </c>
      <c r="S97" s="14">
        <v>250</v>
      </c>
      <c r="T97" s="14">
        <v>250</v>
      </c>
      <c r="U97" s="14">
        <v>250</v>
      </c>
      <c r="V97" s="14"/>
      <c r="W97" s="15">
        <f t="shared" si="4"/>
        <v>2750</v>
      </c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5"/>
      <c r="AK97" s="16" t="s">
        <v>57</v>
      </c>
    </row>
    <row r="98" spans="2:37" x14ac:dyDescent="0.2">
      <c r="B98" s="7" t="s">
        <v>69</v>
      </c>
      <c r="C98" s="8">
        <v>10889</v>
      </c>
      <c r="D98" s="9" t="s">
        <v>292</v>
      </c>
      <c r="E98" s="10" t="s">
        <v>293</v>
      </c>
      <c r="F98" s="10" t="s">
        <v>294</v>
      </c>
      <c r="G98" s="8">
        <v>1</v>
      </c>
      <c r="H98" s="11">
        <v>400</v>
      </c>
      <c r="I98" s="12">
        <v>42379</v>
      </c>
      <c r="J98" s="13">
        <f t="shared" si="5"/>
        <v>0</v>
      </c>
      <c r="K98" s="14">
        <v>400</v>
      </c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5">
        <f t="shared" si="4"/>
        <v>400</v>
      </c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5"/>
      <c r="AK98" s="16"/>
    </row>
    <row r="99" spans="2:37" x14ac:dyDescent="0.2">
      <c r="B99" s="7" t="s">
        <v>37</v>
      </c>
      <c r="C99" s="8">
        <v>10890</v>
      </c>
      <c r="D99" s="9" t="s">
        <v>295</v>
      </c>
      <c r="E99" s="10" t="s">
        <v>296</v>
      </c>
      <c r="F99" s="10" t="s">
        <v>297</v>
      </c>
      <c r="G99" s="8">
        <v>1</v>
      </c>
      <c r="H99" s="11">
        <v>0</v>
      </c>
      <c r="I99" s="12">
        <v>42379</v>
      </c>
      <c r="J99" s="13">
        <f t="shared" si="5"/>
        <v>0</v>
      </c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5">
        <f t="shared" si="4"/>
        <v>0</v>
      </c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5"/>
      <c r="AK99" s="16"/>
    </row>
    <row r="100" spans="2:37" x14ac:dyDescent="0.2">
      <c r="B100" s="7" t="s">
        <v>37</v>
      </c>
      <c r="C100" s="8">
        <v>10891</v>
      </c>
      <c r="D100" s="9" t="s">
        <v>298</v>
      </c>
      <c r="E100" s="10" t="s">
        <v>299</v>
      </c>
      <c r="F100" s="10" t="s">
        <v>300</v>
      </c>
      <c r="G100" s="8">
        <v>1</v>
      </c>
      <c r="H100" s="11">
        <v>0</v>
      </c>
      <c r="I100" s="12">
        <v>42379</v>
      </c>
      <c r="J100" s="13">
        <f t="shared" si="5"/>
        <v>0</v>
      </c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5">
        <f t="shared" si="4"/>
        <v>0</v>
      </c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5"/>
      <c r="AK100" s="16"/>
    </row>
    <row r="101" spans="2:37" x14ac:dyDescent="0.2">
      <c r="B101" s="7" t="s">
        <v>69</v>
      </c>
      <c r="C101" s="8">
        <v>10892</v>
      </c>
      <c r="D101" s="9" t="s">
        <v>135</v>
      </c>
      <c r="E101" s="10" t="s">
        <v>136</v>
      </c>
      <c r="F101" s="10" t="s">
        <v>137</v>
      </c>
      <c r="G101" s="8">
        <v>1</v>
      </c>
      <c r="H101" s="11">
        <v>300</v>
      </c>
      <c r="I101" s="12">
        <v>42379</v>
      </c>
      <c r="J101" s="13">
        <f t="shared" si="5"/>
        <v>0</v>
      </c>
      <c r="K101" s="14">
        <v>300</v>
      </c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5">
        <f t="shared" si="4"/>
        <v>300</v>
      </c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5"/>
      <c r="AK101" s="16"/>
    </row>
    <row r="102" spans="2:37" x14ac:dyDescent="0.2">
      <c r="B102" s="7" t="s">
        <v>69</v>
      </c>
      <c r="C102" s="8">
        <v>10893</v>
      </c>
      <c r="D102" s="9" t="s">
        <v>301</v>
      </c>
      <c r="E102" s="10" t="s">
        <v>302</v>
      </c>
      <c r="F102" s="10" t="s">
        <v>303</v>
      </c>
      <c r="G102" s="8">
        <v>1</v>
      </c>
      <c r="H102" s="11">
        <v>200</v>
      </c>
      <c r="I102" s="12">
        <v>42379</v>
      </c>
      <c r="J102" s="13">
        <f t="shared" si="5"/>
        <v>0</v>
      </c>
      <c r="K102" s="14">
        <v>200</v>
      </c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5">
        <f t="shared" si="4"/>
        <v>200</v>
      </c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5"/>
      <c r="AK102" s="16"/>
    </row>
    <row r="103" spans="2:37" x14ac:dyDescent="0.2">
      <c r="B103" s="7" t="s">
        <v>69</v>
      </c>
      <c r="C103" s="8">
        <v>10894</v>
      </c>
      <c r="D103" s="9" t="s">
        <v>304</v>
      </c>
      <c r="E103" s="10" t="s">
        <v>305</v>
      </c>
      <c r="F103" s="10" t="s">
        <v>306</v>
      </c>
      <c r="G103" s="8">
        <v>1</v>
      </c>
      <c r="H103" s="11">
        <v>4400</v>
      </c>
      <c r="I103" s="12">
        <v>42379</v>
      </c>
      <c r="J103" s="13">
        <f t="shared" si="5"/>
        <v>0</v>
      </c>
      <c r="K103" s="14">
        <v>400</v>
      </c>
      <c r="L103" s="14">
        <v>400</v>
      </c>
      <c r="M103" s="14">
        <v>400</v>
      </c>
      <c r="N103" s="14">
        <v>400</v>
      </c>
      <c r="O103" s="14">
        <v>400</v>
      </c>
      <c r="P103" s="14">
        <v>400</v>
      </c>
      <c r="Q103" s="14">
        <v>400</v>
      </c>
      <c r="R103" s="14">
        <v>400</v>
      </c>
      <c r="S103" s="14">
        <v>400</v>
      </c>
      <c r="T103" s="14">
        <v>400</v>
      </c>
      <c r="U103" s="14">
        <v>400</v>
      </c>
      <c r="V103" s="14"/>
      <c r="W103" s="15">
        <f t="shared" si="4"/>
        <v>4400</v>
      </c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5"/>
      <c r="AK103" s="16" t="s">
        <v>57</v>
      </c>
    </row>
    <row r="104" spans="2:37" x14ac:dyDescent="0.2">
      <c r="B104" s="7" t="s">
        <v>37</v>
      </c>
      <c r="C104" s="8">
        <v>10895</v>
      </c>
      <c r="D104" s="9" t="s">
        <v>307</v>
      </c>
      <c r="E104" s="10" t="s">
        <v>308</v>
      </c>
      <c r="F104" s="10" t="s">
        <v>309</v>
      </c>
      <c r="G104" s="8">
        <v>1</v>
      </c>
      <c r="H104" s="11">
        <v>350</v>
      </c>
      <c r="I104" s="12">
        <v>42379</v>
      </c>
      <c r="J104" s="13">
        <f t="shared" si="5"/>
        <v>0</v>
      </c>
      <c r="K104" s="14">
        <v>350</v>
      </c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5">
        <f t="shared" si="4"/>
        <v>350</v>
      </c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5"/>
      <c r="AK104" s="16"/>
    </row>
    <row r="105" spans="2:37" x14ac:dyDescent="0.2">
      <c r="B105" s="7" t="s">
        <v>122</v>
      </c>
      <c r="C105" s="8">
        <v>10896</v>
      </c>
      <c r="D105" s="9" t="s">
        <v>310</v>
      </c>
      <c r="E105" s="10" t="s">
        <v>311</v>
      </c>
      <c r="F105" s="10" t="s">
        <v>312</v>
      </c>
      <c r="G105" s="8">
        <v>1</v>
      </c>
      <c r="H105" s="11">
        <v>400</v>
      </c>
      <c r="I105" s="12">
        <v>42379</v>
      </c>
      <c r="J105" s="13">
        <f t="shared" si="5"/>
        <v>0</v>
      </c>
      <c r="K105" s="14">
        <v>400</v>
      </c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5">
        <f t="shared" si="4"/>
        <v>400</v>
      </c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5"/>
      <c r="AK105" s="16"/>
    </row>
    <row r="106" spans="2:37" x14ac:dyDescent="0.2">
      <c r="B106" s="7" t="s">
        <v>47</v>
      </c>
      <c r="C106" s="8">
        <v>10897</v>
      </c>
      <c r="D106" s="9" t="s">
        <v>313</v>
      </c>
      <c r="E106" s="10" t="s">
        <v>314</v>
      </c>
      <c r="F106" s="10" t="s">
        <v>315</v>
      </c>
      <c r="G106" s="8">
        <v>1</v>
      </c>
      <c r="H106" s="11">
        <v>400</v>
      </c>
      <c r="I106" s="12">
        <v>42379</v>
      </c>
      <c r="J106" s="13">
        <f t="shared" si="5"/>
        <v>0</v>
      </c>
      <c r="K106" s="14">
        <v>400</v>
      </c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5">
        <f t="shared" si="4"/>
        <v>400</v>
      </c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5"/>
      <c r="AK106" s="16"/>
    </row>
    <row r="107" spans="2:37" x14ac:dyDescent="0.2">
      <c r="B107" s="7" t="s">
        <v>73</v>
      </c>
      <c r="C107" s="8">
        <v>10898</v>
      </c>
      <c r="D107" s="9" t="s">
        <v>316</v>
      </c>
      <c r="E107" s="10" t="s">
        <v>317</v>
      </c>
      <c r="F107" s="10" t="s">
        <v>318</v>
      </c>
      <c r="G107" s="8">
        <v>1</v>
      </c>
      <c r="H107" s="11">
        <v>0</v>
      </c>
      <c r="I107" s="12">
        <v>42379</v>
      </c>
      <c r="J107" s="13">
        <f t="shared" si="5"/>
        <v>0</v>
      </c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5">
        <f t="shared" si="4"/>
        <v>0</v>
      </c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5"/>
      <c r="AK107" s="16"/>
    </row>
    <row r="108" spans="2:37" x14ac:dyDescent="0.2">
      <c r="B108" s="7" t="s">
        <v>73</v>
      </c>
      <c r="C108" s="8">
        <v>10899</v>
      </c>
      <c r="D108" s="9" t="s">
        <v>319</v>
      </c>
      <c r="E108" s="10" t="s">
        <v>320</v>
      </c>
      <c r="F108" s="10" t="s">
        <v>321</v>
      </c>
      <c r="G108" s="8">
        <v>1</v>
      </c>
      <c r="H108" s="11">
        <v>0</v>
      </c>
      <c r="I108" s="12">
        <v>42379</v>
      </c>
      <c r="J108" s="13">
        <f t="shared" si="5"/>
        <v>0</v>
      </c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5">
        <f t="shared" si="4"/>
        <v>0</v>
      </c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5"/>
      <c r="AK108" s="16"/>
    </row>
    <row r="109" spans="2:37" x14ac:dyDescent="0.2">
      <c r="B109" s="7" t="s">
        <v>77</v>
      </c>
      <c r="C109" s="8">
        <v>10900</v>
      </c>
      <c r="D109" s="9" t="s">
        <v>322</v>
      </c>
      <c r="E109" s="10" t="s">
        <v>323</v>
      </c>
      <c r="F109" s="10" t="s">
        <v>324</v>
      </c>
      <c r="G109" s="8">
        <v>1</v>
      </c>
      <c r="H109" s="11">
        <v>0</v>
      </c>
      <c r="I109" s="12">
        <v>42379</v>
      </c>
      <c r="J109" s="13">
        <f t="shared" si="5"/>
        <v>0</v>
      </c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5">
        <f t="shared" si="4"/>
        <v>0</v>
      </c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5"/>
      <c r="AK109" s="16"/>
    </row>
    <row r="110" spans="2:37" x14ac:dyDescent="0.2">
      <c r="B110" s="7" t="s">
        <v>69</v>
      </c>
      <c r="C110" s="8">
        <v>10901</v>
      </c>
      <c r="D110" s="9" t="s">
        <v>325</v>
      </c>
      <c r="E110" s="10" t="s">
        <v>326</v>
      </c>
      <c r="F110" s="10" t="s">
        <v>327</v>
      </c>
      <c r="G110" s="8">
        <v>1</v>
      </c>
      <c r="H110" s="11">
        <v>400</v>
      </c>
      <c r="I110" s="12">
        <v>42379</v>
      </c>
      <c r="J110" s="13">
        <f t="shared" si="5"/>
        <v>0</v>
      </c>
      <c r="K110" s="14">
        <v>400</v>
      </c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5">
        <f t="shared" si="4"/>
        <v>400</v>
      </c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5"/>
      <c r="AK110" s="16"/>
    </row>
    <row r="111" spans="2:37" x14ac:dyDescent="0.2">
      <c r="B111" s="7" t="s">
        <v>47</v>
      </c>
      <c r="C111" s="8">
        <v>10902</v>
      </c>
      <c r="D111" s="9" t="s">
        <v>328</v>
      </c>
      <c r="E111" s="10" t="s">
        <v>329</v>
      </c>
      <c r="F111" s="10" t="s">
        <v>330</v>
      </c>
      <c r="G111" s="8">
        <v>1</v>
      </c>
      <c r="H111" s="11">
        <v>400</v>
      </c>
      <c r="I111" s="12">
        <v>42379</v>
      </c>
      <c r="J111" s="13">
        <f t="shared" si="5"/>
        <v>0</v>
      </c>
      <c r="K111" s="14">
        <v>400</v>
      </c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5">
        <f t="shared" si="4"/>
        <v>400</v>
      </c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5"/>
      <c r="AK111" s="16"/>
    </row>
    <row r="112" spans="2:37" x14ac:dyDescent="0.2">
      <c r="B112" s="7" t="s">
        <v>122</v>
      </c>
      <c r="C112" s="8">
        <v>10903</v>
      </c>
      <c r="D112" s="9" t="s">
        <v>331</v>
      </c>
      <c r="E112" s="10" t="s">
        <v>332</v>
      </c>
      <c r="F112" s="10" t="s">
        <v>333</v>
      </c>
      <c r="G112" s="8">
        <v>1</v>
      </c>
      <c r="H112" s="11">
        <v>400</v>
      </c>
      <c r="I112" s="12">
        <v>42379</v>
      </c>
      <c r="J112" s="13">
        <f t="shared" si="5"/>
        <v>0</v>
      </c>
      <c r="K112" s="14">
        <v>400</v>
      </c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5">
        <f t="shared" si="4"/>
        <v>400</v>
      </c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5"/>
      <c r="AK112" s="16"/>
    </row>
    <row r="113" spans="2:37" x14ac:dyDescent="0.2">
      <c r="B113" s="7" t="s">
        <v>69</v>
      </c>
      <c r="C113" s="8">
        <v>10904</v>
      </c>
      <c r="D113" s="9" t="s">
        <v>334</v>
      </c>
      <c r="E113" s="10" t="s">
        <v>335</v>
      </c>
      <c r="F113" s="10" t="s">
        <v>336</v>
      </c>
      <c r="G113" s="8">
        <v>1</v>
      </c>
      <c r="H113" s="11">
        <v>400</v>
      </c>
      <c r="I113" s="12">
        <v>42379</v>
      </c>
      <c r="J113" s="13">
        <f t="shared" si="5"/>
        <v>0</v>
      </c>
      <c r="K113" s="14">
        <v>400</v>
      </c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5">
        <f t="shared" si="4"/>
        <v>400</v>
      </c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5"/>
      <c r="AK113" s="16"/>
    </row>
    <row r="114" spans="2:37" x14ac:dyDescent="0.2">
      <c r="B114" s="7" t="s">
        <v>47</v>
      </c>
      <c r="C114" s="8">
        <v>10905</v>
      </c>
      <c r="D114" s="9" t="s">
        <v>337</v>
      </c>
      <c r="E114" s="10" t="s">
        <v>338</v>
      </c>
      <c r="F114" s="10" t="s">
        <v>339</v>
      </c>
      <c r="G114" s="8">
        <v>1</v>
      </c>
      <c r="H114" s="11">
        <v>4400</v>
      </c>
      <c r="I114" s="12">
        <v>42379</v>
      </c>
      <c r="J114" s="13">
        <f t="shared" si="5"/>
        <v>0</v>
      </c>
      <c r="K114" s="14">
        <v>400</v>
      </c>
      <c r="L114" s="14">
        <v>400</v>
      </c>
      <c r="M114" s="14">
        <v>400</v>
      </c>
      <c r="N114" s="14">
        <v>400</v>
      </c>
      <c r="O114" s="14">
        <v>400</v>
      </c>
      <c r="P114" s="14">
        <v>400</v>
      </c>
      <c r="Q114" s="14">
        <v>400</v>
      </c>
      <c r="R114" s="14">
        <v>400</v>
      </c>
      <c r="S114" s="14">
        <v>400</v>
      </c>
      <c r="T114" s="14">
        <v>400</v>
      </c>
      <c r="U114" s="14">
        <v>400</v>
      </c>
      <c r="V114" s="14"/>
      <c r="W114" s="15">
        <f t="shared" si="4"/>
        <v>4400</v>
      </c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5"/>
      <c r="AK114" s="16" t="s">
        <v>57</v>
      </c>
    </row>
    <row r="115" spans="2:37" x14ac:dyDescent="0.2">
      <c r="B115" s="7" t="s">
        <v>61</v>
      </c>
      <c r="C115" s="8">
        <v>10906</v>
      </c>
      <c r="D115" s="9" t="s">
        <v>340</v>
      </c>
      <c r="E115" s="10" t="s">
        <v>341</v>
      </c>
      <c r="F115" s="10" t="s">
        <v>342</v>
      </c>
      <c r="G115" s="8">
        <v>1</v>
      </c>
      <c r="H115" s="11">
        <v>400</v>
      </c>
      <c r="I115" s="12">
        <v>42379</v>
      </c>
      <c r="J115" s="13">
        <f t="shared" si="5"/>
        <v>0</v>
      </c>
      <c r="K115" s="14">
        <v>400</v>
      </c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5">
        <f t="shared" si="4"/>
        <v>400</v>
      </c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5"/>
      <c r="AK115" s="16"/>
    </row>
    <row r="116" spans="2:37" x14ac:dyDescent="0.2">
      <c r="B116" s="7" t="s">
        <v>69</v>
      </c>
      <c r="C116" s="8">
        <v>10907</v>
      </c>
      <c r="D116" s="9" t="s">
        <v>343</v>
      </c>
      <c r="E116" s="10" t="s">
        <v>344</v>
      </c>
      <c r="F116" s="10" t="s">
        <v>345</v>
      </c>
      <c r="G116" s="8">
        <v>1</v>
      </c>
      <c r="H116" s="11">
        <v>400</v>
      </c>
      <c r="I116" s="12">
        <v>42379</v>
      </c>
      <c r="J116" s="13">
        <f t="shared" si="5"/>
        <v>0</v>
      </c>
      <c r="K116" s="14">
        <v>400</v>
      </c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5">
        <f t="shared" si="4"/>
        <v>400</v>
      </c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5"/>
      <c r="AK116" s="16"/>
    </row>
    <row r="117" spans="2:37" x14ac:dyDescent="0.2">
      <c r="B117" s="7" t="s">
        <v>69</v>
      </c>
      <c r="C117" s="8">
        <v>10908</v>
      </c>
      <c r="D117" s="9" t="s">
        <v>346</v>
      </c>
      <c r="E117" s="10" t="s">
        <v>347</v>
      </c>
      <c r="F117" s="10" t="s">
        <v>348</v>
      </c>
      <c r="G117" s="8">
        <v>1</v>
      </c>
      <c r="H117" s="11">
        <v>300</v>
      </c>
      <c r="I117" s="12">
        <v>42379</v>
      </c>
      <c r="J117" s="13">
        <f t="shared" si="5"/>
        <v>0</v>
      </c>
      <c r="K117" s="14">
        <v>300</v>
      </c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5">
        <f t="shared" si="4"/>
        <v>300</v>
      </c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5"/>
      <c r="AK117" s="16"/>
    </row>
    <row r="118" spans="2:37" x14ac:dyDescent="0.2">
      <c r="B118" s="7" t="s">
        <v>47</v>
      </c>
      <c r="C118" s="8">
        <v>10909</v>
      </c>
      <c r="D118" s="9" t="s">
        <v>349</v>
      </c>
      <c r="E118" s="10" t="s">
        <v>350</v>
      </c>
      <c r="F118" s="10" t="s">
        <v>351</v>
      </c>
      <c r="G118" s="8">
        <v>1</v>
      </c>
      <c r="H118" s="11">
        <v>0</v>
      </c>
      <c r="I118" s="12">
        <v>42379</v>
      </c>
      <c r="J118" s="13">
        <f t="shared" si="5"/>
        <v>0</v>
      </c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5">
        <f t="shared" si="4"/>
        <v>0</v>
      </c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5"/>
      <c r="AK118" s="16"/>
    </row>
    <row r="119" spans="2:37" x14ac:dyDescent="0.2">
      <c r="B119" s="7" t="s">
        <v>47</v>
      </c>
      <c r="C119" s="8">
        <v>10910</v>
      </c>
      <c r="D119" s="9" t="s">
        <v>352</v>
      </c>
      <c r="E119" s="10" t="s">
        <v>353</v>
      </c>
      <c r="F119" s="10" t="s">
        <v>354</v>
      </c>
      <c r="G119" s="8">
        <v>1</v>
      </c>
      <c r="H119" s="11">
        <v>4400</v>
      </c>
      <c r="I119" s="12">
        <v>42379</v>
      </c>
      <c r="J119" s="13">
        <f t="shared" si="5"/>
        <v>0</v>
      </c>
      <c r="K119" s="14">
        <v>400</v>
      </c>
      <c r="L119" s="14">
        <v>400</v>
      </c>
      <c r="M119" s="14">
        <v>400</v>
      </c>
      <c r="N119" s="14">
        <v>400</v>
      </c>
      <c r="O119" s="14">
        <v>400</v>
      </c>
      <c r="P119" s="14">
        <v>400</v>
      </c>
      <c r="Q119" s="14">
        <v>400</v>
      </c>
      <c r="R119" s="14">
        <v>400</v>
      </c>
      <c r="S119" s="14">
        <v>400</v>
      </c>
      <c r="T119" s="14">
        <v>400</v>
      </c>
      <c r="U119" s="14">
        <v>400</v>
      </c>
      <c r="V119" s="14"/>
      <c r="W119" s="15">
        <f t="shared" si="4"/>
        <v>4400</v>
      </c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5"/>
      <c r="AK119" s="16" t="s">
        <v>57</v>
      </c>
    </row>
    <row r="120" spans="2:37" x14ac:dyDescent="0.2">
      <c r="B120" s="7" t="s">
        <v>47</v>
      </c>
      <c r="C120" s="8">
        <v>10911</v>
      </c>
      <c r="D120" s="9" t="s">
        <v>352</v>
      </c>
      <c r="E120" s="10" t="s">
        <v>353</v>
      </c>
      <c r="F120" s="10" t="s">
        <v>354</v>
      </c>
      <c r="G120" s="8">
        <v>4</v>
      </c>
      <c r="H120" s="11">
        <v>160</v>
      </c>
      <c r="I120" s="12">
        <v>42379</v>
      </c>
      <c r="J120" s="13">
        <f t="shared" si="5"/>
        <v>0</v>
      </c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5">
        <f t="shared" si="4"/>
        <v>0</v>
      </c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5"/>
      <c r="AK120" s="7">
        <v>1030</v>
      </c>
    </row>
    <row r="121" spans="2:37" x14ac:dyDescent="0.2">
      <c r="B121" s="7" t="s">
        <v>73</v>
      </c>
      <c r="C121" s="8">
        <v>10912</v>
      </c>
      <c r="D121" s="9" t="s">
        <v>355</v>
      </c>
      <c r="E121" s="10" t="s">
        <v>356</v>
      </c>
      <c r="F121" s="10" t="s">
        <v>357</v>
      </c>
      <c r="G121" s="8">
        <v>1</v>
      </c>
      <c r="H121" s="11">
        <v>900</v>
      </c>
      <c r="I121" s="12">
        <v>42379</v>
      </c>
      <c r="J121" s="13">
        <f t="shared" si="5"/>
        <v>0</v>
      </c>
      <c r="K121" s="14">
        <v>300</v>
      </c>
      <c r="L121" s="14">
        <v>300</v>
      </c>
      <c r="M121" s="14">
        <v>300</v>
      </c>
      <c r="N121" s="14"/>
      <c r="O121" s="14"/>
      <c r="P121" s="14"/>
      <c r="Q121" s="14"/>
      <c r="R121" s="14"/>
      <c r="S121" s="14"/>
      <c r="T121" s="14"/>
      <c r="U121" s="14"/>
      <c r="V121" s="14"/>
      <c r="W121" s="15">
        <f t="shared" si="4"/>
        <v>900</v>
      </c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5"/>
      <c r="AK121" s="16"/>
    </row>
    <row r="122" spans="2:37" x14ac:dyDescent="0.2">
      <c r="B122" s="7" t="s">
        <v>37</v>
      </c>
      <c r="C122" s="8">
        <v>10913</v>
      </c>
      <c r="D122" s="9" t="s">
        <v>358</v>
      </c>
      <c r="E122" s="10" t="s">
        <v>359</v>
      </c>
      <c r="F122" s="10" t="s">
        <v>360</v>
      </c>
      <c r="G122" s="8">
        <v>1</v>
      </c>
      <c r="H122" s="11">
        <v>0</v>
      </c>
      <c r="I122" s="12">
        <v>42379</v>
      </c>
      <c r="J122" s="13">
        <f t="shared" si="5"/>
        <v>0</v>
      </c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5">
        <f t="shared" si="4"/>
        <v>0</v>
      </c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5"/>
      <c r="AK122" s="16"/>
    </row>
    <row r="123" spans="2:37" x14ac:dyDescent="0.2">
      <c r="B123" s="7" t="s">
        <v>37</v>
      </c>
      <c r="C123" s="8">
        <v>10913</v>
      </c>
      <c r="D123" s="9" t="s">
        <v>358</v>
      </c>
      <c r="E123" s="10" t="s">
        <v>359</v>
      </c>
      <c r="F123" s="10" t="s">
        <v>360</v>
      </c>
      <c r="G123" s="8">
        <v>3</v>
      </c>
      <c r="H123" s="11">
        <v>160</v>
      </c>
      <c r="I123" s="12">
        <v>42379</v>
      </c>
      <c r="J123" s="13">
        <f t="shared" si="5"/>
        <v>0</v>
      </c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5">
        <f t="shared" si="4"/>
        <v>0</v>
      </c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5"/>
      <c r="AK123" s="16"/>
    </row>
    <row r="124" spans="2:37" x14ac:dyDescent="0.2">
      <c r="B124" s="7" t="s">
        <v>69</v>
      </c>
      <c r="C124" s="8">
        <v>10914</v>
      </c>
      <c r="D124" s="9" t="s">
        <v>361</v>
      </c>
      <c r="E124" s="10" t="s">
        <v>362</v>
      </c>
      <c r="F124" s="10" t="s">
        <v>363</v>
      </c>
      <c r="G124" s="8">
        <v>1</v>
      </c>
      <c r="H124" s="11">
        <v>0</v>
      </c>
      <c r="I124" s="12">
        <v>42379</v>
      </c>
      <c r="J124" s="13">
        <f t="shared" si="5"/>
        <v>0</v>
      </c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5">
        <f t="shared" si="4"/>
        <v>0</v>
      </c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5"/>
      <c r="AK124" s="16"/>
    </row>
    <row r="125" spans="2:37" x14ac:dyDescent="0.2">
      <c r="B125" s="7" t="s">
        <v>37</v>
      </c>
      <c r="C125" s="8">
        <v>10915</v>
      </c>
      <c r="D125" s="9" t="s">
        <v>364</v>
      </c>
      <c r="E125" s="10" t="s">
        <v>365</v>
      </c>
      <c r="F125" s="10" t="s">
        <v>366</v>
      </c>
      <c r="G125" s="8">
        <v>1</v>
      </c>
      <c r="H125" s="11">
        <v>300</v>
      </c>
      <c r="I125" s="12">
        <v>42379</v>
      </c>
      <c r="J125" s="13">
        <f t="shared" si="5"/>
        <v>0</v>
      </c>
      <c r="K125" s="14">
        <v>300</v>
      </c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5">
        <f t="shared" si="4"/>
        <v>300</v>
      </c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5"/>
      <c r="AK125" s="16"/>
    </row>
    <row r="126" spans="2:37" x14ac:dyDescent="0.2">
      <c r="B126" s="7" t="s">
        <v>47</v>
      </c>
      <c r="C126" s="8">
        <v>10916</v>
      </c>
      <c r="D126" s="9" t="s">
        <v>367</v>
      </c>
      <c r="E126" s="10" t="s">
        <v>368</v>
      </c>
      <c r="F126" s="10" t="s">
        <v>369</v>
      </c>
      <c r="G126" s="8">
        <v>1</v>
      </c>
      <c r="H126" s="11">
        <v>4400</v>
      </c>
      <c r="I126" s="12">
        <v>42380</v>
      </c>
      <c r="J126" s="13">
        <f t="shared" si="5"/>
        <v>0</v>
      </c>
      <c r="K126" s="14">
        <v>400</v>
      </c>
      <c r="L126" s="14">
        <v>400</v>
      </c>
      <c r="M126" s="14">
        <v>400</v>
      </c>
      <c r="N126" s="14">
        <v>400</v>
      </c>
      <c r="O126" s="14">
        <v>400</v>
      </c>
      <c r="P126" s="14">
        <v>400</v>
      </c>
      <c r="Q126" s="14">
        <v>400</v>
      </c>
      <c r="R126" s="14">
        <v>400</v>
      </c>
      <c r="S126" s="14">
        <v>400</v>
      </c>
      <c r="T126" s="14">
        <v>400</v>
      </c>
      <c r="U126" s="14">
        <v>400</v>
      </c>
      <c r="V126" s="14"/>
      <c r="W126" s="15">
        <f t="shared" si="4"/>
        <v>4400</v>
      </c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5"/>
      <c r="AK126" s="16" t="s">
        <v>57</v>
      </c>
    </row>
    <row r="127" spans="2:37" x14ac:dyDescent="0.2">
      <c r="B127" s="7" t="s">
        <v>69</v>
      </c>
      <c r="C127" s="8">
        <v>10917</v>
      </c>
      <c r="D127" s="9" t="s">
        <v>370</v>
      </c>
      <c r="E127" s="10" t="s">
        <v>371</v>
      </c>
      <c r="F127" s="10" t="s">
        <v>372</v>
      </c>
      <c r="G127" s="8">
        <v>1</v>
      </c>
      <c r="H127" s="11">
        <v>300</v>
      </c>
      <c r="I127" s="12">
        <v>42380</v>
      </c>
      <c r="J127" s="13">
        <f t="shared" si="5"/>
        <v>0</v>
      </c>
      <c r="K127" s="14">
        <v>150</v>
      </c>
      <c r="L127" s="14">
        <v>150</v>
      </c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5">
        <f t="shared" si="4"/>
        <v>300</v>
      </c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5"/>
      <c r="AK127" s="16"/>
    </row>
    <row r="128" spans="2:37" x14ac:dyDescent="0.2">
      <c r="B128" s="7" t="s">
        <v>47</v>
      </c>
      <c r="C128" s="8">
        <v>10918</v>
      </c>
      <c r="D128" s="9" t="s">
        <v>238</v>
      </c>
      <c r="E128" s="10" t="s">
        <v>239</v>
      </c>
      <c r="F128" s="10" t="s">
        <v>240</v>
      </c>
      <c r="G128" s="8">
        <v>4</v>
      </c>
      <c r="H128" s="11">
        <v>160</v>
      </c>
      <c r="I128" s="12">
        <v>42380</v>
      </c>
      <c r="J128" s="13">
        <f t="shared" si="5"/>
        <v>0</v>
      </c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5">
        <f t="shared" si="4"/>
        <v>0</v>
      </c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5"/>
      <c r="AK128" s="7">
        <v>160</v>
      </c>
    </row>
    <row r="129" spans="2:37" x14ac:dyDescent="0.2">
      <c r="B129" s="7" t="s">
        <v>69</v>
      </c>
      <c r="C129" s="8">
        <v>10919</v>
      </c>
      <c r="D129" s="9" t="s">
        <v>373</v>
      </c>
      <c r="E129" s="10" t="s">
        <v>374</v>
      </c>
      <c r="F129" s="10" t="s">
        <v>375</v>
      </c>
      <c r="G129" s="8">
        <v>1</v>
      </c>
      <c r="H129" s="11">
        <v>400</v>
      </c>
      <c r="I129" s="12">
        <v>42381</v>
      </c>
      <c r="J129" s="13">
        <f t="shared" si="5"/>
        <v>0</v>
      </c>
      <c r="K129" s="14">
        <v>400</v>
      </c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5">
        <f t="shared" si="4"/>
        <v>400</v>
      </c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5"/>
      <c r="AK129" s="16"/>
    </row>
    <row r="130" spans="2:37" x14ac:dyDescent="0.2">
      <c r="B130" s="7" t="s">
        <v>73</v>
      </c>
      <c r="C130" s="8">
        <v>10920</v>
      </c>
      <c r="D130" s="9" t="s">
        <v>376</v>
      </c>
      <c r="E130" s="10" t="s">
        <v>377</v>
      </c>
      <c r="F130" s="10" t="s">
        <v>378</v>
      </c>
      <c r="G130" s="8">
        <v>1</v>
      </c>
      <c r="H130" s="11">
        <v>4400</v>
      </c>
      <c r="I130" s="12">
        <v>42382</v>
      </c>
      <c r="J130" s="13">
        <f t="shared" si="5"/>
        <v>0</v>
      </c>
      <c r="K130" s="14">
        <v>400</v>
      </c>
      <c r="L130" s="14">
        <v>400</v>
      </c>
      <c r="M130" s="14">
        <v>400</v>
      </c>
      <c r="N130" s="14">
        <v>400</v>
      </c>
      <c r="O130" s="14">
        <v>400</v>
      </c>
      <c r="P130" s="14">
        <v>400</v>
      </c>
      <c r="Q130" s="14">
        <v>400</v>
      </c>
      <c r="R130" s="14">
        <v>400</v>
      </c>
      <c r="S130" s="14">
        <v>400</v>
      </c>
      <c r="T130" s="14">
        <v>400</v>
      </c>
      <c r="U130" s="14">
        <v>400</v>
      </c>
      <c r="V130" s="14"/>
      <c r="W130" s="15">
        <f t="shared" si="4"/>
        <v>4400</v>
      </c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5"/>
      <c r="AK130" s="16" t="s">
        <v>379</v>
      </c>
    </row>
    <row r="131" spans="2:37" x14ac:dyDescent="0.2">
      <c r="B131" s="7" t="s">
        <v>77</v>
      </c>
      <c r="C131" s="8">
        <v>10921</v>
      </c>
      <c r="D131" s="9" t="s">
        <v>380</v>
      </c>
      <c r="E131" s="10" t="s">
        <v>381</v>
      </c>
      <c r="F131" s="10" t="s">
        <v>382</v>
      </c>
      <c r="G131" s="8">
        <v>1</v>
      </c>
      <c r="H131" s="11">
        <v>900</v>
      </c>
      <c r="I131" s="12">
        <v>42382</v>
      </c>
      <c r="J131" s="13">
        <f t="shared" si="5"/>
        <v>0</v>
      </c>
      <c r="K131" s="14">
        <v>300</v>
      </c>
      <c r="L131" s="14">
        <v>300</v>
      </c>
      <c r="M131" s="14">
        <v>300</v>
      </c>
      <c r="N131" s="14"/>
      <c r="O131" s="14"/>
      <c r="P131" s="14"/>
      <c r="Q131" s="14"/>
      <c r="R131" s="14"/>
      <c r="S131" s="14"/>
      <c r="T131" s="14"/>
      <c r="U131" s="14"/>
      <c r="V131" s="14"/>
      <c r="W131" s="15">
        <f t="shared" si="4"/>
        <v>900</v>
      </c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5"/>
      <c r="AK131" s="16" t="s">
        <v>383</v>
      </c>
    </row>
    <row r="132" spans="2:37" x14ac:dyDescent="0.2">
      <c r="B132" s="7" t="s">
        <v>77</v>
      </c>
      <c r="C132" s="8">
        <v>10922</v>
      </c>
      <c r="D132" s="9" t="s">
        <v>384</v>
      </c>
      <c r="E132" s="10" t="s">
        <v>385</v>
      </c>
      <c r="F132" s="10" t="s">
        <v>386</v>
      </c>
      <c r="G132" s="8">
        <v>1</v>
      </c>
      <c r="H132" s="11">
        <v>350</v>
      </c>
      <c r="I132" s="12">
        <v>42386</v>
      </c>
      <c r="J132" s="13">
        <f t="shared" si="5"/>
        <v>0</v>
      </c>
      <c r="K132" s="14">
        <v>350</v>
      </c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5">
        <f t="shared" si="4"/>
        <v>350</v>
      </c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5"/>
      <c r="AK132" s="16"/>
    </row>
    <row r="133" spans="2:37" x14ac:dyDescent="0.2">
      <c r="B133" s="7" t="s">
        <v>69</v>
      </c>
      <c r="C133" s="8">
        <v>10923</v>
      </c>
      <c r="D133" s="9" t="s">
        <v>387</v>
      </c>
      <c r="E133" s="10" t="s">
        <v>388</v>
      </c>
      <c r="F133" s="10" t="s">
        <v>389</v>
      </c>
      <c r="G133" s="8">
        <v>1</v>
      </c>
      <c r="H133" s="11">
        <v>0</v>
      </c>
      <c r="I133" s="12">
        <v>42386</v>
      </c>
      <c r="J133" s="13">
        <f t="shared" si="5"/>
        <v>0</v>
      </c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5">
        <f t="shared" si="4"/>
        <v>0</v>
      </c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5"/>
      <c r="AK133" s="16"/>
    </row>
    <row r="134" spans="2:37" x14ac:dyDescent="0.2">
      <c r="B134" s="7" t="s">
        <v>69</v>
      </c>
      <c r="C134" s="8">
        <v>10923</v>
      </c>
      <c r="D134" s="9" t="s">
        <v>387</v>
      </c>
      <c r="E134" s="10" t="s">
        <v>388</v>
      </c>
      <c r="F134" s="10" t="s">
        <v>389</v>
      </c>
      <c r="G134" s="8">
        <v>4</v>
      </c>
      <c r="H134" s="11">
        <v>480</v>
      </c>
      <c r="I134" s="12">
        <v>42386</v>
      </c>
      <c r="J134" s="13">
        <f t="shared" si="5"/>
        <v>0</v>
      </c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5">
        <f t="shared" si="4"/>
        <v>0</v>
      </c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5"/>
      <c r="AK134" s="16" t="s">
        <v>390</v>
      </c>
    </row>
    <row r="135" spans="2:37" x14ac:dyDescent="0.2">
      <c r="B135" s="7" t="s">
        <v>391</v>
      </c>
      <c r="C135" s="8">
        <v>10924</v>
      </c>
      <c r="D135" s="9" t="s">
        <v>392</v>
      </c>
      <c r="E135" s="10" t="s">
        <v>393</v>
      </c>
      <c r="F135" s="10" t="s">
        <v>394</v>
      </c>
      <c r="G135" s="8">
        <v>1</v>
      </c>
      <c r="H135" s="11">
        <v>4400</v>
      </c>
      <c r="I135" s="12">
        <v>42386</v>
      </c>
      <c r="J135" s="13">
        <f t="shared" si="5"/>
        <v>0</v>
      </c>
      <c r="K135" s="14">
        <v>400</v>
      </c>
      <c r="L135" s="14">
        <v>400</v>
      </c>
      <c r="M135" s="14">
        <v>400</v>
      </c>
      <c r="N135" s="14">
        <v>400</v>
      </c>
      <c r="O135" s="14">
        <v>400</v>
      </c>
      <c r="P135" s="14">
        <v>400</v>
      </c>
      <c r="Q135" s="14">
        <v>400</v>
      </c>
      <c r="R135" s="14">
        <v>400</v>
      </c>
      <c r="S135" s="14">
        <v>400</v>
      </c>
      <c r="T135" s="14">
        <v>400</v>
      </c>
      <c r="U135" s="14">
        <v>400</v>
      </c>
      <c r="V135" s="14"/>
      <c r="W135" s="15">
        <f t="shared" si="4"/>
        <v>4400</v>
      </c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5"/>
      <c r="AK135" s="16" t="s">
        <v>57</v>
      </c>
    </row>
    <row r="136" spans="2:37" x14ac:dyDescent="0.2">
      <c r="B136" s="7" t="s">
        <v>37</v>
      </c>
      <c r="C136" s="8">
        <v>10925</v>
      </c>
      <c r="D136" s="9" t="s">
        <v>395</v>
      </c>
      <c r="E136" s="10" t="s">
        <v>396</v>
      </c>
      <c r="F136" s="10" t="s">
        <v>397</v>
      </c>
      <c r="G136" s="8">
        <v>1</v>
      </c>
      <c r="H136" s="11">
        <v>150</v>
      </c>
      <c r="I136" s="12">
        <v>42386</v>
      </c>
      <c r="J136" s="13">
        <f t="shared" si="5"/>
        <v>0</v>
      </c>
      <c r="K136" s="14">
        <v>150</v>
      </c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5">
        <f t="shared" si="4"/>
        <v>150</v>
      </c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5"/>
      <c r="AK136" s="16"/>
    </row>
    <row r="137" spans="2:37" x14ac:dyDescent="0.2">
      <c r="B137" s="7" t="s">
        <v>73</v>
      </c>
      <c r="C137" s="8">
        <v>10926</v>
      </c>
      <c r="D137" s="9" t="s">
        <v>398</v>
      </c>
      <c r="E137" s="10" t="s">
        <v>399</v>
      </c>
      <c r="F137" s="10" t="s">
        <v>400</v>
      </c>
      <c r="G137" s="8">
        <v>1</v>
      </c>
      <c r="H137" s="11">
        <v>400</v>
      </c>
      <c r="I137" s="12">
        <v>42386</v>
      </c>
      <c r="J137" s="13">
        <f t="shared" si="5"/>
        <v>0</v>
      </c>
      <c r="K137" s="14">
        <v>400</v>
      </c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5">
        <f t="shared" si="4"/>
        <v>400</v>
      </c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5"/>
      <c r="AK137" s="16"/>
    </row>
    <row r="138" spans="2:37" x14ac:dyDescent="0.2">
      <c r="B138" s="7" t="s">
        <v>37</v>
      </c>
      <c r="C138" s="8">
        <v>10927</v>
      </c>
      <c r="D138" s="9" t="s">
        <v>401</v>
      </c>
      <c r="E138" s="10" t="s">
        <v>402</v>
      </c>
      <c r="F138" s="10" t="s">
        <v>403</v>
      </c>
      <c r="G138" s="8">
        <v>1</v>
      </c>
      <c r="H138" s="11">
        <v>0</v>
      </c>
      <c r="I138" s="12">
        <v>42386</v>
      </c>
      <c r="J138" s="13">
        <f t="shared" si="5"/>
        <v>0</v>
      </c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5">
        <f t="shared" si="4"/>
        <v>0</v>
      </c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5"/>
      <c r="AK138" s="16" t="s">
        <v>383</v>
      </c>
    </row>
    <row r="139" spans="2:37" x14ac:dyDescent="0.2">
      <c r="B139" s="7" t="s">
        <v>47</v>
      </c>
      <c r="C139" s="8">
        <v>10928</v>
      </c>
      <c r="D139" s="9" t="s">
        <v>132</v>
      </c>
      <c r="E139" s="10" t="s">
        <v>133</v>
      </c>
      <c r="F139" s="10" t="s">
        <v>134</v>
      </c>
      <c r="G139" s="8">
        <v>1</v>
      </c>
      <c r="H139" s="11">
        <v>300</v>
      </c>
      <c r="I139" s="12">
        <v>42386</v>
      </c>
      <c r="J139" s="13">
        <f t="shared" si="5"/>
        <v>0</v>
      </c>
      <c r="K139" s="14">
        <v>300</v>
      </c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5">
        <f t="shared" si="4"/>
        <v>300</v>
      </c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5"/>
      <c r="AK139" s="16"/>
    </row>
    <row r="140" spans="2:37" x14ac:dyDescent="0.2">
      <c r="B140" s="7" t="s">
        <v>47</v>
      </c>
      <c r="C140" s="8">
        <v>10929</v>
      </c>
      <c r="D140" s="9" t="s">
        <v>404</v>
      </c>
      <c r="E140" s="10" t="s">
        <v>405</v>
      </c>
      <c r="F140" s="10" t="s">
        <v>406</v>
      </c>
      <c r="G140" s="8">
        <v>1</v>
      </c>
      <c r="H140" s="11">
        <v>400</v>
      </c>
      <c r="I140" s="12">
        <v>42386</v>
      </c>
      <c r="J140" s="13">
        <f t="shared" si="5"/>
        <v>0</v>
      </c>
      <c r="K140" s="14">
        <v>400</v>
      </c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5">
        <f t="shared" si="4"/>
        <v>400</v>
      </c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5"/>
      <c r="AK140" s="16"/>
    </row>
    <row r="141" spans="2:37" x14ac:dyDescent="0.2">
      <c r="B141" s="7" t="s">
        <v>73</v>
      </c>
      <c r="C141" s="8">
        <v>10930</v>
      </c>
      <c r="D141" s="9" t="s">
        <v>407</v>
      </c>
      <c r="E141" s="10" t="s">
        <v>408</v>
      </c>
      <c r="F141" s="10" t="s">
        <v>409</v>
      </c>
      <c r="G141" s="8">
        <v>1</v>
      </c>
      <c r="H141" s="11">
        <v>400</v>
      </c>
      <c r="I141" s="12">
        <v>42386</v>
      </c>
      <c r="J141" s="13">
        <f t="shared" si="5"/>
        <v>0</v>
      </c>
      <c r="K141" s="14">
        <v>400</v>
      </c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5">
        <f t="shared" si="4"/>
        <v>400</v>
      </c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5"/>
      <c r="AK141" s="16"/>
    </row>
    <row r="142" spans="2:37" x14ac:dyDescent="0.2">
      <c r="B142" s="7" t="s">
        <v>69</v>
      </c>
      <c r="C142" s="8">
        <v>10931</v>
      </c>
      <c r="D142" s="9" t="s">
        <v>410</v>
      </c>
      <c r="E142" s="10" t="s">
        <v>411</v>
      </c>
      <c r="F142" s="10" t="s">
        <v>412</v>
      </c>
      <c r="G142" s="8">
        <v>1</v>
      </c>
      <c r="H142" s="11">
        <v>3300</v>
      </c>
      <c r="I142" s="12">
        <v>42386</v>
      </c>
      <c r="J142" s="13">
        <f t="shared" si="5"/>
        <v>0</v>
      </c>
      <c r="K142" s="14">
        <v>300</v>
      </c>
      <c r="L142" s="14">
        <v>300</v>
      </c>
      <c r="M142" s="14">
        <v>300</v>
      </c>
      <c r="N142" s="14">
        <v>300</v>
      </c>
      <c r="O142" s="14">
        <v>300</v>
      </c>
      <c r="P142" s="14">
        <v>300</v>
      </c>
      <c r="Q142" s="14">
        <v>300</v>
      </c>
      <c r="R142" s="14">
        <v>300</v>
      </c>
      <c r="S142" s="14">
        <v>300</v>
      </c>
      <c r="T142" s="14">
        <v>300</v>
      </c>
      <c r="U142" s="14">
        <v>300</v>
      </c>
      <c r="V142" s="14"/>
      <c r="W142" s="15">
        <f t="shared" si="4"/>
        <v>3300</v>
      </c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5"/>
      <c r="AK142" s="16" t="s">
        <v>57</v>
      </c>
    </row>
    <row r="143" spans="2:37" x14ac:dyDescent="0.2">
      <c r="B143" s="7" t="s">
        <v>69</v>
      </c>
      <c r="C143" s="8">
        <v>10931</v>
      </c>
      <c r="D143" s="9" t="s">
        <v>410</v>
      </c>
      <c r="E143" s="10" t="s">
        <v>411</v>
      </c>
      <c r="F143" s="10" t="s">
        <v>412</v>
      </c>
      <c r="G143" s="8">
        <v>3</v>
      </c>
      <c r="H143" s="11">
        <v>160</v>
      </c>
      <c r="I143" s="12">
        <v>42386</v>
      </c>
      <c r="J143" s="13">
        <f t="shared" si="5"/>
        <v>0</v>
      </c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5">
        <f t="shared" si="4"/>
        <v>0</v>
      </c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5"/>
      <c r="AK143" s="16"/>
    </row>
    <row r="144" spans="2:37" x14ac:dyDescent="0.2">
      <c r="B144" s="7" t="s">
        <v>69</v>
      </c>
      <c r="C144" s="8">
        <v>10932</v>
      </c>
      <c r="D144" s="9" t="s">
        <v>413</v>
      </c>
      <c r="E144" s="10" t="s">
        <v>414</v>
      </c>
      <c r="F144" s="10" t="s">
        <v>415</v>
      </c>
      <c r="G144" s="8">
        <v>1</v>
      </c>
      <c r="H144" s="11">
        <v>1200</v>
      </c>
      <c r="I144" s="12">
        <v>42386</v>
      </c>
      <c r="J144" s="13">
        <f t="shared" si="5"/>
        <v>0</v>
      </c>
      <c r="K144" s="14">
        <v>400</v>
      </c>
      <c r="L144" s="14">
        <v>400</v>
      </c>
      <c r="M144" s="14">
        <v>400</v>
      </c>
      <c r="N144" s="14"/>
      <c r="O144" s="14"/>
      <c r="P144" s="14"/>
      <c r="Q144" s="14"/>
      <c r="R144" s="14"/>
      <c r="S144" s="14"/>
      <c r="T144" s="14"/>
      <c r="U144" s="14"/>
      <c r="V144" s="14"/>
      <c r="W144" s="15">
        <f t="shared" si="4"/>
        <v>1200</v>
      </c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5"/>
      <c r="AK144" s="16"/>
    </row>
    <row r="145" spans="2:37" x14ac:dyDescent="0.2">
      <c r="B145" s="7" t="s">
        <v>69</v>
      </c>
      <c r="C145" s="8">
        <v>10932</v>
      </c>
      <c r="D145" s="9" t="s">
        <v>413</v>
      </c>
      <c r="E145" s="10" t="s">
        <v>414</v>
      </c>
      <c r="F145" s="10" t="s">
        <v>415</v>
      </c>
      <c r="G145" s="8">
        <v>4</v>
      </c>
      <c r="H145" s="11">
        <v>160</v>
      </c>
      <c r="I145" s="12">
        <v>42386</v>
      </c>
      <c r="J145" s="13">
        <f t="shared" si="5"/>
        <v>0</v>
      </c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5">
        <f t="shared" si="4"/>
        <v>0</v>
      </c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5"/>
      <c r="AK145" s="7">
        <v>6574</v>
      </c>
    </row>
    <row r="146" spans="2:37" x14ac:dyDescent="0.2">
      <c r="B146" s="7" t="s">
        <v>47</v>
      </c>
      <c r="C146" s="8">
        <v>10933</v>
      </c>
      <c r="D146" s="9" t="s">
        <v>416</v>
      </c>
      <c r="E146" s="10" t="s">
        <v>417</v>
      </c>
      <c r="F146" s="10" t="s">
        <v>418</v>
      </c>
      <c r="G146" s="8">
        <v>1</v>
      </c>
      <c r="H146" s="11">
        <v>200</v>
      </c>
      <c r="I146" s="12">
        <v>42386</v>
      </c>
      <c r="J146" s="13">
        <f t="shared" si="5"/>
        <v>0</v>
      </c>
      <c r="K146" s="14">
        <v>200</v>
      </c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5">
        <f t="shared" si="4"/>
        <v>200</v>
      </c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5"/>
      <c r="AK146" s="16"/>
    </row>
    <row r="147" spans="2:37" x14ac:dyDescent="0.2">
      <c r="B147" s="7" t="s">
        <v>77</v>
      </c>
      <c r="C147" s="8">
        <v>10934</v>
      </c>
      <c r="D147" s="9" t="s">
        <v>419</v>
      </c>
      <c r="E147" s="10" t="s">
        <v>420</v>
      </c>
      <c r="F147" s="10" t="s">
        <v>421</v>
      </c>
      <c r="G147" s="8">
        <v>1</v>
      </c>
      <c r="H147" s="11">
        <v>4400</v>
      </c>
      <c r="I147" s="12">
        <v>42386</v>
      </c>
      <c r="J147" s="13">
        <f t="shared" si="5"/>
        <v>0</v>
      </c>
      <c r="K147" s="14">
        <v>400</v>
      </c>
      <c r="L147" s="14">
        <v>400</v>
      </c>
      <c r="M147" s="14">
        <v>400</v>
      </c>
      <c r="N147" s="14">
        <v>400</v>
      </c>
      <c r="O147" s="14">
        <v>400</v>
      </c>
      <c r="P147" s="14">
        <v>400</v>
      </c>
      <c r="Q147" s="14">
        <v>400</v>
      </c>
      <c r="R147" s="14">
        <v>400</v>
      </c>
      <c r="S147" s="14">
        <v>400</v>
      </c>
      <c r="T147" s="14">
        <v>400</v>
      </c>
      <c r="U147" s="14">
        <v>400</v>
      </c>
      <c r="V147" s="14"/>
      <c r="W147" s="15">
        <f t="shared" si="4"/>
        <v>4400</v>
      </c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5"/>
      <c r="AK147" s="16"/>
    </row>
    <row r="148" spans="2:37" x14ac:dyDescent="0.2">
      <c r="B148" s="7" t="s">
        <v>122</v>
      </c>
      <c r="C148" s="8">
        <v>10935</v>
      </c>
      <c r="D148" s="9" t="s">
        <v>422</v>
      </c>
      <c r="E148" s="10" t="s">
        <v>423</v>
      </c>
      <c r="F148" s="10" t="s">
        <v>424</v>
      </c>
      <c r="G148" s="8">
        <v>1</v>
      </c>
      <c r="H148" s="11">
        <v>1200</v>
      </c>
      <c r="I148" s="12">
        <v>42386</v>
      </c>
      <c r="J148" s="13">
        <f t="shared" si="5"/>
        <v>0</v>
      </c>
      <c r="K148" s="14">
        <v>400</v>
      </c>
      <c r="L148" s="14">
        <v>400</v>
      </c>
      <c r="M148" s="14">
        <v>400</v>
      </c>
      <c r="N148" s="14"/>
      <c r="O148" s="14"/>
      <c r="P148" s="14"/>
      <c r="Q148" s="14"/>
      <c r="R148" s="14"/>
      <c r="S148" s="14"/>
      <c r="T148" s="14"/>
      <c r="U148" s="14"/>
      <c r="V148" s="14"/>
      <c r="W148" s="15">
        <f t="shared" si="4"/>
        <v>1200</v>
      </c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5"/>
      <c r="AK148" s="16" t="s">
        <v>383</v>
      </c>
    </row>
    <row r="149" spans="2:37" x14ac:dyDescent="0.2">
      <c r="B149" s="7" t="s">
        <v>47</v>
      </c>
      <c r="C149" s="8">
        <v>10936</v>
      </c>
      <c r="D149" s="9" t="s">
        <v>425</v>
      </c>
      <c r="E149" s="10" t="s">
        <v>426</v>
      </c>
      <c r="F149" s="10" t="s">
        <v>427</v>
      </c>
      <c r="G149" s="8">
        <v>1</v>
      </c>
      <c r="H149" s="11">
        <v>400</v>
      </c>
      <c r="I149" s="12">
        <v>42386</v>
      </c>
      <c r="J149" s="13">
        <f t="shared" si="5"/>
        <v>0</v>
      </c>
      <c r="K149" s="14">
        <v>400</v>
      </c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5">
        <f t="shared" si="4"/>
        <v>400</v>
      </c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5"/>
      <c r="AK149" s="16"/>
    </row>
    <row r="150" spans="2:37" x14ac:dyDescent="0.2">
      <c r="B150" s="7" t="s">
        <v>69</v>
      </c>
      <c r="C150" s="8">
        <v>10937</v>
      </c>
      <c r="D150" s="9" t="s">
        <v>428</v>
      </c>
      <c r="E150" s="10" t="s">
        <v>429</v>
      </c>
      <c r="F150" s="10" t="s">
        <v>430</v>
      </c>
      <c r="G150" s="8">
        <v>1</v>
      </c>
      <c r="H150" s="11">
        <v>4400</v>
      </c>
      <c r="I150" s="12">
        <v>42386</v>
      </c>
      <c r="J150" s="13">
        <f t="shared" si="5"/>
        <v>0</v>
      </c>
      <c r="K150" s="14">
        <v>400</v>
      </c>
      <c r="L150" s="14">
        <v>400</v>
      </c>
      <c r="M150" s="14">
        <v>400</v>
      </c>
      <c r="N150" s="14">
        <v>400</v>
      </c>
      <c r="O150" s="14">
        <v>400</v>
      </c>
      <c r="P150" s="14">
        <v>400</v>
      </c>
      <c r="Q150" s="14">
        <v>400</v>
      </c>
      <c r="R150" s="14">
        <v>400</v>
      </c>
      <c r="S150" s="14">
        <v>400</v>
      </c>
      <c r="T150" s="14">
        <v>400</v>
      </c>
      <c r="U150" s="14">
        <v>400</v>
      </c>
      <c r="V150" s="14"/>
      <c r="W150" s="15">
        <f t="shared" si="4"/>
        <v>4400</v>
      </c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5"/>
      <c r="AK150" s="16" t="s">
        <v>57</v>
      </c>
    </row>
    <row r="151" spans="2:37" x14ac:dyDescent="0.2">
      <c r="B151" s="7" t="s">
        <v>37</v>
      </c>
      <c r="C151" s="8">
        <v>10938</v>
      </c>
      <c r="D151" s="9" t="s">
        <v>431</v>
      </c>
      <c r="E151" s="10" t="s">
        <v>432</v>
      </c>
      <c r="F151" s="10" t="s">
        <v>433</v>
      </c>
      <c r="G151" s="8">
        <v>1</v>
      </c>
      <c r="H151" s="11">
        <v>0</v>
      </c>
      <c r="I151" s="12">
        <v>42386</v>
      </c>
      <c r="J151" s="13">
        <f t="shared" si="5"/>
        <v>0</v>
      </c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5">
        <f t="shared" si="4"/>
        <v>0</v>
      </c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5"/>
      <c r="AK151" s="16"/>
    </row>
    <row r="152" spans="2:37" x14ac:dyDescent="0.2">
      <c r="B152" s="7" t="s">
        <v>47</v>
      </c>
      <c r="C152" s="8">
        <v>10939</v>
      </c>
      <c r="D152" s="9" t="s">
        <v>434</v>
      </c>
      <c r="E152" s="10" t="s">
        <v>435</v>
      </c>
      <c r="F152" s="10" t="s">
        <v>436</v>
      </c>
      <c r="G152" s="8">
        <v>1</v>
      </c>
      <c r="H152" s="11">
        <v>1200</v>
      </c>
      <c r="I152" s="12">
        <v>42386</v>
      </c>
      <c r="J152" s="13">
        <f t="shared" si="5"/>
        <v>0</v>
      </c>
      <c r="K152" s="14">
        <v>400</v>
      </c>
      <c r="L152" s="14">
        <v>400</v>
      </c>
      <c r="M152" s="14">
        <v>400</v>
      </c>
      <c r="N152" s="14"/>
      <c r="O152" s="14"/>
      <c r="P152" s="14"/>
      <c r="Q152" s="14"/>
      <c r="R152" s="14"/>
      <c r="S152" s="14"/>
      <c r="T152" s="14"/>
      <c r="U152" s="14"/>
      <c r="V152" s="14"/>
      <c r="W152" s="15">
        <f t="shared" si="4"/>
        <v>1200</v>
      </c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5"/>
      <c r="AK152" s="16"/>
    </row>
    <row r="153" spans="2:37" x14ac:dyDescent="0.2">
      <c r="B153" s="7" t="s">
        <v>69</v>
      </c>
      <c r="C153" s="8">
        <v>10940</v>
      </c>
      <c r="D153" s="9" t="s">
        <v>437</v>
      </c>
      <c r="E153" s="10" t="s">
        <v>438</v>
      </c>
      <c r="F153" s="10" t="s">
        <v>439</v>
      </c>
      <c r="G153" s="8">
        <v>1</v>
      </c>
      <c r="H153" s="11">
        <v>400</v>
      </c>
      <c r="I153" s="12">
        <v>42386</v>
      </c>
      <c r="J153" s="13">
        <f t="shared" si="5"/>
        <v>0</v>
      </c>
      <c r="K153" s="14">
        <v>400</v>
      </c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5">
        <f t="shared" ref="W153:W216" si="6">SUM(K153:V153)</f>
        <v>400</v>
      </c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5"/>
      <c r="AK153" s="16"/>
    </row>
    <row r="154" spans="2:37" x14ac:dyDescent="0.2">
      <c r="B154" s="7" t="s">
        <v>69</v>
      </c>
      <c r="C154" s="8">
        <v>10940</v>
      </c>
      <c r="D154" s="9" t="s">
        <v>437</v>
      </c>
      <c r="E154" s="10" t="s">
        <v>438</v>
      </c>
      <c r="F154" s="10" t="s">
        <v>439</v>
      </c>
      <c r="G154" s="8">
        <v>3</v>
      </c>
      <c r="H154" s="11">
        <v>160</v>
      </c>
      <c r="I154" s="12">
        <v>42386</v>
      </c>
      <c r="J154" s="13">
        <f t="shared" si="5"/>
        <v>0</v>
      </c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5">
        <f t="shared" si="6"/>
        <v>0</v>
      </c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5"/>
      <c r="AK154" s="16"/>
    </row>
    <row r="155" spans="2:37" x14ac:dyDescent="0.2">
      <c r="B155" s="7" t="s">
        <v>73</v>
      </c>
      <c r="C155" s="8">
        <v>10941</v>
      </c>
      <c r="D155" s="9" t="s">
        <v>440</v>
      </c>
      <c r="E155" s="10" t="s">
        <v>441</v>
      </c>
      <c r="F155" s="10" t="s">
        <v>442</v>
      </c>
      <c r="G155" s="8">
        <v>1</v>
      </c>
      <c r="H155" s="11">
        <v>300</v>
      </c>
      <c r="I155" s="12">
        <v>42386</v>
      </c>
      <c r="J155" s="13">
        <f t="shared" ref="J155:J218" si="7">IF(G155=1,SUM(W155,-H155),0)</f>
        <v>0</v>
      </c>
      <c r="K155" s="14">
        <v>300</v>
      </c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5">
        <f t="shared" si="6"/>
        <v>300</v>
      </c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5"/>
      <c r="AK155" s="16"/>
    </row>
    <row r="156" spans="2:37" x14ac:dyDescent="0.2">
      <c r="B156" s="7" t="s">
        <v>37</v>
      </c>
      <c r="C156" s="8">
        <v>10942</v>
      </c>
      <c r="D156" s="9" t="s">
        <v>443</v>
      </c>
      <c r="E156" s="10" t="s">
        <v>444</v>
      </c>
      <c r="F156" s="10" t="s">
        <v>445</v>
      </c>
      <c r="G156" s="8">
        <v>1</v>
      </c>
      <c r="H156" s="11">
        <v>4400</v>
      </c>
      <c r="I156" s="12">
        <v>42386</v>
      </c>
      <c r="J156" s="13">
        <f t="shared" si="7"/>
        <v>0</v>
      </c>
      <c r="K156" s="14">
        <v>400</v>
      </c>
      <c r="L156" s="14">
        <v>400</v>
      </c>
      <c r="M156" s="14">
        <v>400</v>
      </c>
      <c r="N156" s="14">
        <v>400</v>
      </c>
      <c r="O156" s="14">
        <v>400</v>
      </c>
      <c r="P156" s="14">
        <v>400</v>
      </c>
      <c r="Q156" s="14">
        <v>400</v>
      </c>
      <c r="R156" s="14">
        <v>400</v>
      </c>
      <c r="S156" s="14">
        <v>400</v>
      </c>
      <c r="T156" s="14">
        <v>400</v>
      </c>
      <c r="U156" s="14">
        <v>400</v>
      </c>
      <c r="V156" s="14"/>
      <c r="W156" s="15">
        <f t="shared" si="6"/>
        <v>4400</v>
      </c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5"/>
      <c r="AK156" s="16" t="s">
        <v>57</v>
      </c>
    </row>
    <row r="157" spans="2:37" x14ac:dyDescent="0.2">
      <c r="B157" s="7" t="s">
        <v>37</v>
      </c>
      <c r="C157" s="8">
        <v>10942</v>
      </c>
      <c r="D157" s="9" t="s">
        <v>443</v>
      </c>
      <c r="E157" s="10" t="s">
        <v>444</v>
      </c>
      <c r="F157" s="10" t="s">
        <v>445</v>
      </c>
      <c r="G157" s="8">
        <v>3</v>
      </c>
      <c r="H157" s="11">
        <v>160</v>
      </c>
      <c r="I157" s="12">
        <v>42386</v>
      </c>
      <c r="J157" s="13">
        <f t="shared" si="7"/>
        <v>0</v>
      </c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5">
        <f t="shared" si="6"/>
        <v>0</v>
      </c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5"/>
      <c r="AK157" s="16"/>
    </row>
    <row r="158" spans="2:37" x14ac:dyDescent="0.2">
      <c r="B158" s="7" t="s">
        <v>37</v>
      </c>
      <c r="C158" s="8">
        <v>10943</v>
      </c>
      <c r="D158" s="9" t="s">
        <v>443</v>
      </c>
      <c r="E158" s="10" t="s">
        <v>444</v>
      </c>
      <c r="F158" s="10" t="s">
        <v>445</v>
      </c>
      <c r="G158" s="8">
        <v>4</v>
      </c>
      <c r="H158" s="11">
        <v>160</v>
      </c>
      <c r="I158" s="12">
        <v>42386</v>
      </c>
      <c r="J158" s="13">
        <f t="shared" si="7"/>
        <v>0</v>
      </c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5">
        <f t="shared" si="6"/>
        <v>0</v>
      </c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5"/>
      <c r="AK158" s="7">
        <v>6573</v>
      </c>
    </row>
    <row r="159" spans="2:37" x14ac:dyDescent="0.2">
      <c r="B159" s="7" t="s">
        <v>37</v>
      </c>
      <c r="C159" s="8">
        <v>10944</v>
      </c>
      <c r="D159" s="9" t="s">
        <v>446</v>
      </c>
      <c r="E159" s="10" t="s">
        <v>447</v>
      </c>
      <c r="F159" s="10" t="s">
        <v>448</v>
      </c>
      <c r="G159" s="8">
        <v>1</v>
      </c>
      <c r="H159" s="11">
        <v>150</v>
      </c>
      <c r="I159" s="12">
        <v>42386</v>
      </c>
      <c r="J159" s="13">
        <f t="shared" si="7"/>
        <v>0</v>
      </c>
      <c r="K159" s="14">
        <v>150</v>
      </c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5">
        <f t="shared" si="6"/>
        <v>150</v>
      </c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5"/>
      <c r="AK159" s="16"/>
    </row>
    <row r="160" spans="2:37" x14ac:dyDescent="0.2">
      <c r="B160" s="7" t="s">
        <v>69</v>
      </c>
      <c r="C160" s="8">
        <v>10945</v>
      </c>
      <c r="D160" s="9" t="s">
        <v>387</v>
      </c>
      <c r="E160" s="10" t="s">
        <v>388</v>
      </c>
      <c r="F160" s="10" t="s">
        <v>389</v>
      </c>
      <c r="G160" s="8">
        <v>3</v>
      </c>
      <c r="H160" s="11">
        <v>160</v>
      </c>
      <c r="I160" s="12">
        <v>42386</v>
      </c>
      <c r="J160" s="13">
        <f t="shared" si="7"/>
        <v>0</v>
      </c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5">
        <f t="shared" si="6"/>
        <v>0</v>
      </c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5"/>
      <c r="AK160" s="16"/>
    </row>
    <row r="161" spans="2:37" x14ac:dyDescent="0.2">
      <c r="B161" s="7" t="s">
        <v>47</v>
      </c>
      <c r="C161" s="8">
        <v>10946</v>
      </c>
      <c r="D161" s="9" t="s">
        <v>449</v>
      </c>
      <c r="E161" s="10" t="s">
        <v>450</v>
      </c>
      <c r="F161" s="10" t="s">
        <v>451</v>
      </c>
      <c r="G161" s="8">
        <v>1</v>
      </c>
      <c r="H161" s="11">
        <v>300</v>
      </c>
      <c r="I161" s="12">
        <v>42386</v>
      </c>
      <c r="J161" s="13">
        <f t="shared" si="7"/>
        <v>0</v>
      </c>
      <c r="K161" s="14">
        <v>300</v>
      </c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5">
        <f t="shared" si="6"/>
        <v>300</v>
      </c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5"/>
      <c r="AK161" s="16"/>
    </row>
    <row r="162" spans="2:37" x14ac:dyDescent="0.2">
      <c r="B162" s="7" t="s">
        <v>69</v>
      </c>
      <c r="C162" s="8">
        <v>10947</v>
      </c>
      <c r="D162" s="9" t="s">
        <v>361</v>
      </c>
      <c r="E162" s="10" t="s">
        <v>362</v>
      </c>
      <c r="F162" s="10" t="s">
        <v>363</v>
      </c>
      <c r="G162" s="8">
        <v>1</v>
      </c>
      <c r="H162" s="11">
        <v>400</v>
      </c>
      <c r="I162" s="12">
        <v>42386</v>
      </c>
      <c r="J162" s="13">
        <f t="shared" si="7"/>
        <v>0</v>
      </c>
      <c r="K162" s="14">
        <v>400</v>
      </c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5">
        <f t="shared" si="6"/>
        <v>400</v>
      </c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5"/>
      <c r="AK162" s="16"/>
    </row>
    <row r="163" spans="2:37" x14ac:dyDescent="0.2">
      <c r="B163" s="7" t="s">
        <v>69</v>
      </c>
      <c r="C163" s="8">
        <v>10948</v>
      </c>
      <c r="D163" s="9" t="s">
        <v>452</v>
      </c>
      <c r="E163" s="10" t="s">
        <v>453</v>
      </c>
      <c r="F163" s="10" t="s">
        <v>454</v>
      </c>
      <c r="G163" s="8">
        <v>1</v>
      </c>
      <c r="H163" s="11">
        <v>4400</v>
      </c>
      <c r="I163" s="12">
        <v>42386</v>
      </c>
      <c r="J163" s="13">
        <f t="shared" si="7"/>
        <v>0</v>
      </c>
      <c r="K163" s="14">
        <v>400</v>
      </c>
      <c r="L163" s="14">
        <v>400</v>
      </c>
      <c r="M163" s="14">
        <v>400</v>
      </c>
      <c r="N163" s="14">
        <v>400</v>
      </c>
      <c r="O163" s="14">
        <v>400</v>
      </c>
      <c r="P163" s="14">
        <v>400</v>
      </c>
      <c r="Q163" s="14">
        <v>400</v>
      </c>
      <c r="R163" s="14">
        <v>400</v>
      </c>
      <c r="S163" s="14">
        <v>400</v>
      </c>
      <c r="T163" s="14">
        <v>400</v>
      </c>
      <c r="U163" s="14">
        <v>400</v>
      </c>
      <c r="V163" s="14"/>
      <c r="W163" s="15">
        <f t="shared" si="6"/>
        <v>4400</v>
      </c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5"/>
      <c r="AK163" s="16" t="s">
        <v>57</v>
      </c>
    </row>
    <row r="164" spans="2:37" x14ac:dyDescent="0.2">
      <c r="B164" s="7" t="s">
        <v>77</v>
      </c>
      <c r="C164" s="8">
        <v>10949</v>
      </c>
      <c r="D164" s="9" t="s">
        <v>455</v>
      </c>
      <c r="E164" s="10" t="s">
        <v>456</v>
      </c>
      <c r="F164" s="10" t="s">
        <v>457</v>
      </c>
      <c r="G164" s="8">
        <v>1</v>
      </c>
      <c r="H164" s="11">
        <v>400</v>
      </c>
      <c r="I164" s="12">
        <v>42386</v>
      </c>
      <c r="J164" s="13">
        <f t="shared" si="7"/>
        <v>0</v>
      </c>
      <c r="K164" s="14">
        <v>400</v>
      </c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5">
        <f t="shared" si="6"/>
        <v>400</v>
      </c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5"/>
      <c r="AK164" s="16"/>
    </row>
    <row r="165" spans="2:37" x14ac:dyDescent="0.2">
      <c r="B165" s="7" t="s">
        <v>122</v>
      </c>
      <c r="C165" s="8">
        <v>10950</v>
      </c>
      <c r="D165" s="9" t="s">
        <v>310</v>
      </c>
      <c r="E165" s="10" t="s">
        <v>311</v>
      </c>
      <c r="F165" s="10" t="s">
        <v>312</v>
      </c>
      <c r="G165" s="8">
        <v>4</v>
      </c>
      <c r="H165" s="11">
        <v>160</v>
      </c>
      <c r="I165" s="12">
        <v>42386</v>
      </c>
      <c r="J165" s="13">
        <f t="shared" si="7"/>
        <v>0</v>
      </c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5">
        <f t="shared" si="6"/>
        <v>0</v>
      </c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5"/>
      <c r="AK165" s="7">
        <v>6572</v>
      </c>
    </row>
    <row r="166" spans="2:37" x14ac:dyDescent="0.2">
      <c r="B166" s="7" t="s">
        <v>47</v>
      </c>
      <c r="C166" s="8">
        <v>10951</v>
      </c>
      <c r="D166" s="9" t="s">
        <v>153</v>
      </c>
      <c r="E166" s="10" t="s">
        <v>154</v>
      </c>
      <c r="F166" s="10" t="s">
        <v>155</v>
      </c>
      <c r="G166" s="8">
        <v>3</v>
      </c>
      <c r="H166" s="11">
        <v>160</v>
      </c>
      <c r="I166" s="12">
        <v>42386</v>
      </c>
      <c r="J166" s="13">
        <f t="shared" si="7"/>
        <v>0</v>
      </c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5">
        <f t="shared" si="6"/>
        <v>0</v>
      </c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5"/>
      <c r="AK166" s="16"/>
    </row>
    <row r="167" spans="2:37" x14ac:dyDescent="0.2">
      <c r="B167" s="7" t="s">
        <v>73</v>
      </c>
      <c r="C167" s="8">
        <v>10952</v>
      </c>
      <c r="D167" s="9" t="s">
        <v>458</v>
      </c>
      <c r="E167" s="10" t="s">
        <v>459</v>
      </c>
      <c r="F167" s="10" t="s">
        <v>460</v>
      </c>
      <c r="G167" s="8">
        <v>1</v>
      </c>
      <c r="H167" s="11">
        <v>400</v>
      </c>
      <c r="I167" s="12">
        <v>42386</v>
      </c>
      <c r="J167" s="13">
        <f t="shared" si="7"/>
        <v>0</v>
      </c>
      <c r="K167" s="14">
        <v>400</v>
      </c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5">
        <f t="shared" si="6"/>
        <v>400</v>
      </c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5"/>
      <c r="AK167" s="16"/>
    </row>
    <row r="168" spans="2:37" x14ac:dyDescent="0.2">
      <c r="B168" s="7" t="s">
        <v>69</v>
      </c>
      <c r="C168" s="8">
        <v>10953</v>
      </c>
      <c r="D168" s="9" t="s">
        <v>461</v>
      </c>
      <c r="E168" s="10" t="s">
        <v>462</v>
      </c>
      <c r="F168" s="10" t="s">
        <v>463</v>
      </c>
      <c r="G168" s="8">
        <v>1</v>
      </c>
      <c r="H168" s="11">
        <v>0</v>
      </c>
      <c r="I168" s="12">
        <v>42386</v>
      </c>
      <c r="J168" s="13">
        <f t="shared" si="7"/>
        <v>0</v>
      </c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5">
        <f t="shared" si="6"/>
        <v>0</v>
      </c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5"/>
      <c r="AK168" s="16"/>
    </row>
    <row r="169" spans="2:37" x14ac:dyDescent="0.2">
      <c r="B169" s="7" t="s">
        <v>47</v>
      </c>
      <c r="C169" s="8">
        <v>10954</v>
      </c>
      <c r="D169" s="9" t="s">
        <v>464</v>
      </c>
      <c r="E169" s="10" t="s">
        <v>465</v>
      </c>
      <c r="F169" s="10" t="s">
        <v>466</v>
      </c>
      <c r="G169" s="8">
        <v>1</v>
      </c>
      <c r="H169" s="11">
        <v>200</v>
      </c>
      <c r="I169" s="12">
        <v>42386</v>
      </c>
      <c r="J169" s="13">
        <f t="shared" si="7"/>
        <v>0</v>
      </c>
      <c r="K169" s="14">
        <v>200</v>
      </c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5">
        <f t="shared" si="6"/>
        <v>200</v>
      </c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5"/>
      <c r="AK169" s="16"/>
    </row>
    <row r="170" spans="2:37" x14ac:dyDescent="0.2">
      <c r="B170" s="7" t="s">
        <v>69</v>
      </c>
      <c r="C170" s="8">
        <v>10955</v>
      </c>
      <c r="D170" s="9" t="s">
        <v>467</v>
      </c>
      <c r="E170" s="10" t="s">
        <v>468</v>
      </c>
      <c r="F170" s="10" t="s">
        <v>469</v>
      </c>
      <c r="G170" s="8">
        <v>1</v>
      </c>
      <c r="H170" s="11">
        <v>0</v>
      </c>
      <c r="I170" s="12">
        <v>42386</v>
      </c>
      <c r="J170" s="13">
        <f t="shared" si="7"/>
        <v>0</v>
      </c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5">
        <f t="shared" si="6"/>
        <v>0</v>
      </c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5"/>
      <c r="AK170" s="16"/>
    </row>
    <row r="171" spans="2:37" x14ac:dyDescent="0.2">
      <c r="B171" s="7" t="s">
        <v>77</v>
      </c>
      <c r="C171" s="8">
        <v>10956</v>
      </c>
      <c r="D171" s="9" t="s">
        <v>470</v>
      </c>
      <c r="E171" s="10" t="s">
        <v>471</v>
      </c>
      <c r="F171" s="10" t="s">
        <v>472</v>
      </c>
      <c r="G171" s="8">
        <v>1</v>
      </c>
      <c r="H171" s="11">
        <v>300</v>
      </c>
      <c r="I171" s="12">
        <v>42386</v>
      </c>
      <c r="J171" s="13">
        <f t="shared" si="7"/>
        <v>0</v>
      </c>
      <c r="K171" s="14">
        <v>300</v>
      </c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5">
        <f t="shared" si="6"/>
        <v>300</v>
      </c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5"/>
      <c r="AK171" s="16"/>
    </row>
    <row r="172" spans="2:37" x14ac:dyDescent="0.2">
      <c r="B172" s="7" t="s">
        <v>69</v>
      </c>
      <c r="C172" s="8">
        <v>10957</v>
      </c>
      <c r="D172" s="9" t="s">
        <v>467</v>
      </c>
      <c r="E172" s="10" t="s">
        <v>468</v>
      </c>
      <c r="F172" s="10" t="s">
        <v>469</v>
      </c>
      <c r="G172" s="8">
        <v>1</v>
      </c>
      <c r="H172" s="11">
        <v>400</v>
      </c>
      <c r="I172" s="12">
        <v>42386</v>
      </c>
      <c r="J172" s="13">
        <f t="shared" si="7"/>
        <v>0</v>
      </c>
      <c r="K172" s="14">
        <v>400</v>
      </c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5">
        <f t="shared" si="6"/>
        <v>400</v>
      </c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5"/>
      <c r="AK172" s="16"/>
    </row>
    <row r="173" spans="2:37" x14ac:dyDescent="0.2">
      <c r="B173" s="7" t="s">
        <v>77</v>
      </c>
      <c r="C173" s="8">
        <v>10958</v>
      </c>
      <c r="D173" s="9" t="s">
        <v>473</v>
      </c>
      <c r="E173" s="10" t="s">
        <v>474</v>
      </c>
      <c r="F173" s="10" t="s">
        <v>475</v>
      </c>
      <c r="G173" s="8">
        <v>1</v>
      </c>
      <c r="H173" s="11">
        <v>400</v>
      </c>
      <c r="I173" s="12">
        <v>42386</v>
      </c>
      <c r="J173" s="13">
        <f t="shared" si="7"/>
        <v>0</v>
      </c>
      <c r="K173" s="14">
        <v>400</v>
      </c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5">
        <f t="shared" si="6"/>
        <v>400</v>
      </c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5"/>
      <c r="AK173" s="16"/>
    </row>
    <row r="174" spans="2:37" x14ac:dyDescent="0.2">
      <c r="B174" s="7" t="s">
        <v>69</v>
      </c>
      <c r="C174" s="8">
        <v>10959</v>
      </c>
      <c r="D174" s="9" t="s">
        <v>476</v>
      </c>
      <c r="E174" s="10" t="s">
        <v>477</v>
      </c>
      <c r="F174" s="10" t="s">
        <v>478</v>
      </c>
      <c r="G174" s="8">
        <v>1</v>
      </c>
      <c r="H174" s="11">
        <v>400</v>
      </c>
      <c r="I174" s="12">
        <v>42386</v>
      </c>
      <c r="J174" s="13">
        <f t="shared" si="7"/>
        <v>0</v>
      </c>
      <c r="K174" s="14">
        <v>400</v>
      </c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5">
        <f t="shared" si="6"/>
        <v>400</v>
      </c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5"/>
      <c r="AK174" s="16"/>
    </row>
    <row r="175" spans="2:37" x14ac:dyDescent="0.2">
      <c r="B175" s="7" t="s">
        <v>77</v>
      </c>
      <c r="C175" s="8">
        <v>10960</v>
      </c>
      <c r="D175" s="9" t="s">
        <v>479</v>
      </c>
      <c r="E175" s="10" t="s">
        <v>480</v>
      </c>
      <c r="F175" s="10" t="s">
        <v>481</v>
      </c>
      <c r="G175" s="8">
        <v>1</v>
      </c>
      <c r="H175" s="11">
        <v>300</v>
      </c>
      <c r="I175" s="12">
        <v>42386</v>
      </c>
      <c r="J175" s="13">
        <f t="shared" si="7"/>
        <v>0</v>
      </c>
      <c r="K175" s="14">
        <v>300</v>
      </c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5">
        <f t="shared" si="6"/>
        <v>300</v>
      </c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5"/>
      <c r="AK175" s="16"/>
    </row>
    <row r="176" spans="2:37" x14ac:dyDescent="0.2">
      <c r="B176" s="7" t="s">
        <v>391</v>
      </c>
      <c r="C176" s="8">
        <v>10961</v>
      </c>
      <c r="D176" s="9" t="s">
        <v>482</v>
      </c>
      <c r="E176" s="10" t="s">
        <v>483</v>
      </c>
      <c r="F176" s="10" t="s">
        <v>484</v>
      </c>
      <c r="G176" s="8">
        <v>1</v>
      </c>
      <c r="H176" s="11">
        <v>200</v>
      </c>
      <c r="I176" s="12">
        <v>42386</v>
      </c>
      <c r="J176" s="13">
        <f t="shared" si="7"/>
        <v>0</v>
      </c>
      <c r="K176" s="14">
        <v>200</v>
      </c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5">
        <f t="shared" si="6"/>
        <v>200</v>
      </c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5"/>
      <c r="AK176" s="16"/>
    </row>
    <row r="177" spans="2:37" x14ac:dyDescent="0.2">
      <c r="B177" s="7" t="s">
        <v>73</v>
      </c>
      <c r="C177" s="8">
        <v>10962</v>
      </c>
      <c r="D177" s="9" t="s">
        <v>485</v>
      </c>
      <c r="E177" s="10" t="s">
        <v>486</v>
      </c>
      <c r="F177" s="10" t="s">
        <v>487</v>
      </c>
      <c r="G177" s="8">
        <v>1</v>
      </c>
      <c r="H177" s="11">
        <v>0</v>
      </c>
      <c r="I177" s="12">
        <v>42387</v>
      </c>
      <c r="J177" s="13">
        <f t="shared" si="7"/>
        <v>0</v>
      </c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5">
        <f t="shared" si="6"/>
        <v>0</v>
      </c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5"/>
      <c r="AK177" s="16"/>
    </row>
    <row r="178" spans="2:37" x14ac:dyDescent="0.2">
      <c r="B178" s="7" t="s">
        <v>37</v>
      </c>
      <c r="C178" s="8">
        <v>10963</v>
      </c>
      <c r="D178" s="9" t="s">
        <v>488</v>
      </c>
      <c r="E178" s="10" t="s">
        <v>489</v>
      </c>
      <c r="F178" s="10" t="s">
        <v>490</v>
      </c>
      <c r="G178" s="8">
        <v>1</v>
      </c>
      <c r="H178" s="11">
        <v>400</v>
      </c>
      <c r="I178" s="12">
        <v>42388</v>
      </c>
      <c r="J178" s="13">
        <f t="shared" si="7"/>
        <v>0</v>
      </c>
      <c r="K178" s="14">
        <v>400</v>
      </c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5">
        <f t="shared" si="6"/>
        <v>400</v>
      </c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5"/>
      <c r="AK178" s="16"/>
    </row>
    <row r="179" spans="2:37" x14ac:dyDescent="0.2">
      <c r="B179" s="7" t="s">
        <v>37</v>
      </c>
      <c r="C179" s="8">
        <v>10964</v>
      </c>
      <c r="D179" s="9" t="s">
        <v>491</v>
      </c>
      <c r="E179" s="10" t="s">
        <v>492</v>
      </c>
      <c r="F179" s="10" t="s">
        <v>493</v>
      </c>
      <c r="G179" s="8">
        <v>1</v>
      </c>
      <c r="H179" s="11">
        <v>600</v>
      </c>
      <c r="I179" s="12">
        <v>42387</v>
      </c>
      <c r="J179" s="13">
        <f t="shared" si="7"/>
        <v>0</v>
      </c>
      <c r="K179" s="14">
        <v>100</v>
      </c>
      <c r="L179" s="14">
        <v>100</v>
      </c>
      <c r="M179" s="14">
        <v>100</v>
      </c>
      <c r="N179" s="14">
        <v>100</v>
      </c>
      <c r="O179" s="14">
        <v>100</v>
      </c>
      <c r="P179" s="14">
        <v>100</v>
      </c>
      <c r="Q179" s="14"/>
      <c r="R179" s="14"/>
      <c r="S179" s="14"/>
      <c r="T179" s="14"/>
      <c r="U179" s="14"/>
      <c r="V179" s="14"/>
      <c r="W179" s="15">
        <f t="shared" si="6"/>
        <v>600</v>
      </c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5"/>
      <c r="AK179" s="16"/>
    </row>
    <row r="180" spans="2:37" x14ac:dyDescent="0.2">
      <c r="B180" s="7" t="s">
        <v>37</v>
      </c>
      <c r="C180" s="8">
        <v>10965</v>
      </c>
      <c r="D180" s="9" t="s">
        <v>494</v>
      </c>
      <c r="E180" s="10" t="s">
        <v>495</v>
      </c>
      <c r="F180" s="10" t="s">
        <v>496</v>
      </c>
      <c r="G180" s="8">
        <v>1</v>
      </c>
      <c r="H180" s="11">
        <v>150</v>
      </c>
      <c r="I180" s="12">
        <v>42388</v>
      </c>
      <c r="J180" s="13">
        <f t="shared" si="7"/>
        <v>0</v>
      </c>
      <c r="K180" s="14">
        <v>150</v>
      </c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5">
        <f t="shared" si="6"/>
        <v>150</v>
      </c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5"/>
      <c r="AK180" s="16"/>
    </row>
    <row r="181" spans="2:37" x14ac:dyDescent="0.2">
      <c r="B181" s="7" t="s">
        <v>47</v>
      </c>
      <c r="C181" s="8">
        <v>10966</v>
      </c>
      <c r="D181" s="9" t="s">
        <v>497</v>
      </c>
      <c r="E181" s="10" t="s">
        <v>498</v>
      </c>
      <c r="F181" s="10" t="s">
        <v>499</v>
      </c>
      <c r="G181" s="8">
        <v>1</v>
      </c>
      <c r="H181" s="11">
        <v>400</v>
      </c>
      <c r="I181" s="12">
        <v>42388</v>
      </c>
      <c r="J181" s="13">
        <f t="shared" si="7"/>
        <v>0</v>
      </c>
      <c r="K181" s="14">
        <v>400</v>
      </c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5">
        <f t="shared" si="6"/>
        <v>400</v>
      </c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5"/>
      <c r="AK181" s="16"/>
    </row>
    <row r="182" spans="2:37" x14ac:dyDescent="0.2">
      <c r="B182" s="7" t="s">
        <v>47</v>
      </c>
      <c r="C182" s="8">
        <v>10967</v>
      </c>
      <c r="D182" s="9" t="s">
        <v>500</v>
      </c>
      <c r="E182" s="10" t="s">
        <v>501</v>
      </c>
      <c r="F182" s="10" t="s">
        <v>502</v>
      </c>
      <c r="G182" s="8">
        <v>1</v>
      </c>
      <c r="H182" s="11">
        <v>200</v>
      </c>
      <c r="I182" s="12">
        <v>42388</v>
      </c>
      <c r="J182" s="13">
        <f t="shared" si="7"/>
        <v>0</v>
      </c>
      <c r="K182" s="14">
        <v>200</v>
      </c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5">
        <f t="shared" si="6"/>
        <v>200</v>
      </c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5"/>
      <c r="AK182" s="16"/>
    </row>
    <row r="183" spans="2:37" x14ac:dyDescent="0.2">
      <c r="B183" s="7" t="s">
        <v>37</v>
      </c>
      <c r="C183" s="8">
        <v>10968</v>
      </c>
      <c r="D183" s="9" t="s">
        <v>503</v>
      </c>
      <c r="E183" s="10" t="s">
        <v>504</v>
      </c>
      <c r="F183" s="10" t="s">
        <v>505</v>
      </c>
      <c r="G183" s="8">
        <v>1</v>
      </c>
      <c r="H183" s="11">
        <v>300</v>
      </c>
      <c r="I183" s="12">
        <v>42388</v>
      </c>
      <c r="J183" s="13">
        <f t="shared" si="7"/>
        <v>0</v>
      </c>
      <c r="K183" s="14">
        <v>150</v>
      </c>
      <c r="L183" s="14">
        <v>150</v>
      </c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5">
        <f t="shared" si="6"/>
        <v>300</v>
      </c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5"/>
      <c r="AK183" s="16"/>
    </row>
    <row r="184" spans="2:37" x14ac:dyDescent="0.2">
      <c r="B184" s="7" t="s">
        <v>69</v>
      </c>
      <c r="C184" s="8">
        <v>10969</v>
      </c>
      <c r="D184" s="9" t="s">
        <v>506</v>
      </c>
      <c r="E184" s="10" t="s">
        <v>507</v>
      </c>
      <c r="F184" s="10" t="s">
        <v>508</v>
      </c>
      <c r="G184" s="8">
        <v>1</v>
      </c>
      <c r="H184" s="11">
        <v>4400</v>
      </c>
      <c r="I184" s="12">
        <v>42390</v>
      </c>
      <c r="J184" s="13">
        <f t="shared" si="7"/>
        <v>0</v>
      </c>
      <c r="K184" s="14">
        <v>400</v>
      </c>
      <c r="L184" s="14">
        <v>400</v>
      </c>
      <c r="M184" s="14">
        <v>400</v>
      </c>
      <c r="N184" s="14">
        <v>400</v>
      </c>
      <c r="O184" s="14">
        <v>400</v>
      </c>
      <c r="P184" s="14">
        <v>400</v>
      </c>
      <c r="Q184" s="14">
        <v>400</v>
      </c>
      <c r="R184" s="14">
        <v>400</v>
      </c>
      <c r="S184" s="14">
        <v>400</v>
      </c>
      <c r="T184" s="14">
        <v>400</v>
      </c>
      <c r="U184" s="14">
        <v>400</v>
      </c>
      <c r="V184" s="14"/>
      <c r="W184" s="15">
        <f t="shared" si="6"/>
        <v>4400</v>
      </c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5"/>
      <c r="AK184" s="16" t="s">
        <v>57</v>
      </c>
    </row>
    <row r="185" spans="2:37" x14ac:dyDescent="0.2">
      <c r="B185" s="7" t="s">
        <v>47</v>
      </c>
      <c r="C185" s="8">
        <v>10970</v>
      </c>
      <c r="D185" s="9" t="s">
        <v>509</v>
      </c>
      <c r="E185" s="10" t="s">
        <v>510</v>
      </c>
      <c r="F185" s="10" t="s">
        <v>511</v>
      </c>
      <c r="G185" s="8">
        <v>1</v>
      </c>
      <c r="H185" s="11">
        <v>300</v>
      </c>
      <c r="I185" s="12">
        <v>42393</v>
      </c>
      <c r="J185" s="13">
        <f t="shared" si="7"/>
        <v>0</v>
      </c>
      <c r="K185" s="14">
        <v>300</v>
      </c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5">
        <f t="shared" si="6"/>
        <v>300</v>
      </c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5"/>
      <c r="AK185" s="16"/>
    </row>
    <row r="186" spans="2:37" x14ac:dyDescent="0.2">
      <c r="B186" s="7" t="s">
        <v>37</v>
      </c>
      <c r="C186" s="8">
        <v>10971</v>
      </c>
      <c r="D186" s="9" t="s">
        <v>512</v>
      </c>
      <c r="E186" s="10" t="s">
        <v>513</v>
      </c>
      <c r="F186" s="10" t="s">
        <v>511</v>
      </c>
      <c r="G186" s="8">
        <v>1</v>
      </c>
      <c r="H186" s="11">
        <v>400</v>
      </c>
      <c r="I186" s="12">
        <v>42393</v>
      </c>
      <c r="J186" s="13">
        <f t="shared" si="7"/>
        <v>0</v>
      </c>
      <c r="K186" s="14">
        <v>400</v>
      </c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5">
        <f t="shared" si="6"/>
        <v>400</v>
      </c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5"/>
      <c r="AK186" s="16"/>
    </row>
    <row r="187" spans="2:37" x14ac:dyDescent="0.2">
      <c r="B187" s="7" t="s">
        <v>69</v>
      </c>
      <c r="C187" s="8">
        <v>10972</v>
      </c>
      <c r="D187" s="9" t="s">
        <v>514</v>
      </c>
      <c r="E187" s="10" t="s">
        <v>515</v>
      </c>
      <c r="F187" s="10" t="s">
        <v>516</v>
      </c>
      <c r="G187" s="8">
        <v>1</v>
      </c>
      <c r="H187" s="11">
        <v>400</v>
      </c>
      <c r="I187" s="12">
        <v>42393</v>
      </c>
      <c r="J187" s="13">
        <f t="shared" si="7"/>
        <v>0</v>
      </c>
      <c r="K187" s="14">
        <v>400</v>
      </c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5">
        <f t="shared" si="6"/>
        <v>400</v>
      </c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5"/>
      <c r="AK187" s="16"/>
    </row>
    <row r="188" spans="2:37" x14ac:dyDescent="0.2">
      <c r="B188" s="7" t="s">
        <v>77</v>
      </c>
      <c r="C188" s="8">
        <v>10973</v>
      </c>
      <c r="D188" s="9" t="s">
        <v>87</v>
      </c>
      <c r="E188" s="10" t="s">
        <v>88</v>
      </c>
      <c r="F188" s="10" t="s">
        <v>89</v>
      </c>
      <c r="G188" s="8">
        <v>1</v>
      </c>
      <c r="H188" s="11">
        <v>400</v>
      </c>
      <c r="I188" s="12">
        <v>42393</v>
      </c>
      <c r="J188" s="13">
        <f t="shared" si="7"/>
        <v>0</v>
      </c>
      <c r="K188" s="14"/>
      <c r="L188" s="14">
        <v>400</v>
      </c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5">
        <f t="shared" si="6"/>
        <v>400</v>
      </c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5"/>
      <c r="AK188" s="16"/>
    </row>
    <row r="189" spans="2:37" x14ac:dyDescent="0.2">
      <c r="B189" s="7" t="s">
        <v>77</v>
      </c>
      <c r="C189" s="8">
        <v>10973</v>
      </c>
      <c r="D189" s="9" t="s">
        <v>87</v>
      </c>
      <c r="E189" s="10" t="s">
        <v>88</v>
      </c>
      <c r="F189" s="10" t="s">
        <v>89</v>
      </c>
      <c r="G189" s="8">
        <v>4</v>
      </c>
      <c r="H189" s="11">
        <v>160</v>
      </c>
      <c r="I189" s="12">
        <v>42393</v>
      </c>
      <c r="J189" s="13">
        <f t="shared" si="7"/>
        <v>0</v>
      </c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5">
        <f t="shared" si="6"/>
        <v>0</v>
      </c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5"/>
      <c r="AK189" s="7">
        <v>5402</v>
      </c>
    </row>
    <row r="190" spans="2:37" x14ac:dyDescent="0.2">
      <c r="B190" s="7" t="s">
        <v>47</v>
      </c>
      <c r="C190" s="8">
        <v>10974</v>
      </c>
      <c r="D190" s="9" t="s">
        <v>517</v>
      </c>
      <c r="E190" s="10" t="s">
        <v>518</v>
      </c>
      <c r="F190" s="10" t="s">
        <v>519</v>
      </c>
      <c r="G190" s="8">
        <v>1</v>
      </c>
      <c r="H190" s="11">
        <v>4400</v>
      </c>
      <c r="I190" s="12">
        <v>42393</v>
      </c>
      <c r="J190" s="13">
        <f t="shared" si="7"/>
        <v>0</v>
      </c>
      <c r="K190" s="14">
        <v>400</v>
      </c>
      <c r="L190" s="14">
        <v>400</v>
      </c>
      <c r="M190" s="14">
        <v>400</v>
      </c>
      <c r="N190" s="14">
        <v>400</v>
      </c>
      <c r="O190" s="14">
        <v>400</v>
      </c>
      <c r="P190" s="14">
        <v>400</v>
      </c>
      <c r="Q190" s="14">
        <v>400</v>
      </c>
      <c r="R190" s="14">
        <v>400</v>
      </c>
      <c r="S190" s="14">
        <v>400</v>
      </c>
      <c r="T190" s="14">
        <v>400</v>
      </c>
      <c r="U190" s="14">
        <v>400</v>
      </c>
      <c r="V190" s="14"/>
      <c r="W190" s="15">
        <f t="shared" si="6"/>
        <v>4400</v>
      </c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5"/>
      <c r="AK190" s="16" t="s">
        <v>57</v>
      </c>
    </row>
    <row r="191" spans="2:37" x14ac:dyDescent="0.2">
      <c r="B191" s="7" t="s">
        <v>37</v>
      </c>
      <c r="C191" s="8">
        <v>10975</v>
      </c>
      <c r="D191" s="9" t="s">
        <v>520</v>
      </c>
      <c r="E191" s="10" t="s">
        <v>521</v>
      </c>
      <c r="F191" s="10" t="s">
        <v>522</v>
      </c>
      <c r="G191" s="8">
        <v>1</v>
      </c>
      <c r="H191" s="11">
        <v>800</v>
      </c>
      <c r="I191" s="12">
        <v>42393</v>
      </c>
      <c r="J191" s="13">
        <f t="shared" si="7"/>
        <v>0</v>
      </c>
      <c r="K191" s="14">
        <v>400</v>
      </c>
      <c r="L191" s="14">
        <v>400</v>
      </c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5">
        <f t="shared" si="6"/>
        <v>800</v>
      </c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5"/>
      <c r="AK191" s="16"/>
    </row>
    <row r="192" spans="2:37" x14ac:dyDescent="0.2">
      <c r="B192" s="7" t="s">
        <v>73</v>
      </c>
      <c r="C192" s="8">
        <v>10976</v>
      </c>
      <c r="D192" s="9" t="s">
        <v>109</v>
      </c>
      <c r="E192" s="10" t="s">
        <v>110</v>
      </c>
      <c r="F192" s="10" t="s">
        <v>111</v>
      </c>
      <c r="G192" s="8">
        <v>3</v>
      </c>
      <c r="H192" s="11">
        <v>160</v>
      </c>
      <c r="I192" s="12">
        <v>42393</v>
      </c>
      <c r="J192" s="13">
        <f t="shared" si="7"/>
        <v>0</v>
      </c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5">
        <f t="shared" si="6"/>
        <v>0</v>
      </c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5"/>
      <c r="AK192" s="16"/>
    </row>
    <row r="193" spans="2:37" x14ac:dyDescent="0.2">
      <c r="B193" s="7" t="s">
        <v>73</v>
      </c>
      <c r="C193" s="8">
        <v>10977</v>
      </c>
      <c r="D193" s="9" t="s">
        <v>523</v>
      </c>
      <c r="E193" s="10" t="s">
        <v>524</v>
      </c>
      <c r="F193" s="10" t="s">
        <v>525</v>
      </c>
      <c r="G193" s="8">
        <v>1</v>
      </c>
      <c r="H193" s="11">
        <v>0</v>
      </c>
      <c r="I193" s="12">
        <v>42393</v>
      </c>
      <c r="J193" s="13">
        <f t="shared" si="7"/>
        <v>0</v>
      </c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5">
        <f t="shared" si="6"/>
        <v>0</v>
      </c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5"/>
      <c r="AK193" s="16"/>
    </row>
    <row r="194" spans="2:37" x14ac:dyDescent="0.2">
      <c r="B194" s="7" t="s">
        <v>37</v>
      </c>
      <c r="C194" s="8">
        <v>10978</v>
      </c>
      <c r="D194" s="9" t="s">
        <v>526</v>
      </c>
      <c r="E194" s="10" t="s">
        <v>527</v>
      </c>
      <c r="F194" s="10" t="s">
        <v>528</v>
      </c>
      <c r="G194" s="8">
        <v>1</v>
      </c>
      <c r="H194" s="11">
        <v>800</v>
      </c>
      <c r="I194" s="12">
        <v>42393</v>
      </c>
      <c r="J194" s="13">
        <f t="shared" si="7"/>
        <v>0</v>
      </c>
      <c r="K194" s="14">
        <v>400</v>
      </c>
      <c r="L194" s="14">
        <v>400</v>
      </c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5">
        <f t="shared" si="6"/>
        <v>800</v>
      </c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5"/>
      <c r="AK194" s="16"/>
    </row>
    <row r="195" spans="2:37" x14ac:dyDescent="0.2">
      <c r="B195" s="7" t="s">
        <v>73</v>
      </c>
      <c r="C195" s="8">
        <v>10979</v>
      </c>
      <c r="D195" s="9" t="s">
        <v>529</v>
      </c>
      <c r="E195" s="10" t="s">
        <v>530</v>
      </c>
      <c r="F195" s="10" t="s">
        <v>531</v>
      </c>
      <c r="G195" s="8">
        <v>1</v>
      </c>
      <c r="H195" s="11">
        <v>0</v>
      </c>
      <c r="I195" s="12">
        <v>42393</v>
      </c>
      <c r="J195" s="13">
        <f t="shared" si="7"/>
        <v>0</v>
      </c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5">
        <f t="shared" si="6"/>
        <v>0</v>
      </c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5"/>
      <c r="AK195" s="16"/>
    </row>
    <row r="196" spans="2:37" x14ac:dyDescent="0.2">
      <c r="B196" s="7" t="s">
        <v>73</v>
      </c>
      <c r="C196" s="8">
        <v>10980</v>
      </c>
      <c r="D196" s="9" t="s">
        <v>532</v>
      </c>
      <c r="E196" s="10" t="s">
        <v>533</v>
      </c>
      <c r="F196" s="10" t="s">
        <v>534</v>
      </c>
      <c r="G196" s="8">
        <v>1</v>
      </c>
      <c r="H196" s="11">
        <v>400</v>
      </c>
      <c r="I196" s="12">
        <v>42393</v>
      </c>
      <c r="J196" s="13">
        <f t="shared" si="7"/>
        <v>0</v>
      </c>
      <c r="K196" s="14">
        <v>400</v>
      </c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5">
        <f t="shared" si="6"/>
        <v>400</v>
      </c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5"/>
      <c r="AK196" s="16"/>
    </row>
    <row r="197" spans="2:37" x14ac:dyDescent="0.2">
      <c r="B197" s="7" t="s">
        <v>69</v>
      </c>
      <c r="C197" s="8">
        <v>10981</v>
      </c>
      <c r="D197" s="9" t="s">
        <v>535</v>
      </c>
      <c r="E197" s="10" t="s">
        <v>536</v>
      </c>
      <c r="F197" s="10" t="s">
        <v>537</v>
      </c>
      <c r="G197" s="8">
        <v>1</v>
      </c>
      <c r="H197" s="11">
        <v>4400</v>
      </c>
      <c r="I197" s="12">
        <v>42393</v>
      </c>
      <c r="J197" s="13">
        <f t="shared" si="7"/>
        <v>0</v>
      </c>
      <c r="K197" s="14">
        <v>400</v>
      </c>
      <c r="L197" s="14">
        <v>400</v>
      </c>
      <c r="M197" s="14">
        <v>400</v>
      </c>
      <c r="N197" s="14">
        <v>400</v>
      </c>
      <c r="O197" s="14">
        <v>400</v>
      </c>
      <c r="P197" s="14">
        <v>400</v>
      </c>
      <c r="Q197" s="14">
        <v>400</v>
      </c>
      <c r="R197" s="14">
        <v>400</v>
      </c>
      <c r="S197" s="14">
        <v>400</v>
      </c>
      <c r="T197" s="14">
        <v>400</v>
      </c>
      <c r="U197" s="14">
        <v>400</v>
      </c>
      <c r="V197" s="14"/>
      <c r="W197" s="15">
        <f t="shared" si="6"/>
        <v>4400</v>
      </c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5"/>
      <c r="AK197" s="16" t="s">
        <v>57</v>
      </c>
    </row>
    <row r="198" spans="2:37" x14ac:dyDescent="0.2">
      <c r="B198" s="7" t="s">
        <v>37</v>
      </c>
      <c r="C198" s="8">
        <v>10982</v>
      </c>
      <c r="D198" s="9" t="s">
        <v>538</v>
      </c>
      <c r="E198" s="10" t="s">
        <v>539</v>
      </c>
      <c r="F198" s="10" t="s">
        <v>540</v>
      </c>
      <c r="G198" s="8">
        <v>1</v>
      </c>
      <c r="H198" s="11">
        <v>400</v>
      </c>
      <c r="I198" s="12">
        <v>42393</v>
      </c>
      <c r="J198" s="13">
        <f t="shared" si="7"/>
        <v>0</v>
      </c>
      <c r="K198" s="14">
        <v>400</v>
      </c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5">
        <f t="shared" si="6"/>
        <v>400</v>
      </c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5"/>
      <c r="AK198" s="16"/>
    </row>
    <row r="199" spans="2:37" x14ac:dyDescent="0.2">
      <c r="B199" s="7" t="s">
        <v>73</v>
      </c>
      <c r="C199" s="8">
        <v>10983</v>
      </c>
      <c r="D199" s="9" t="s">
        <v>541</v>
      </c>
      <c r="E199" s="10" t="s">
        <v>542</v>
      </c>
      <c r="F199" s="10" t="s">
        <v>543</v>
      </c>
      <c r="G199" s="8">
        <v>1</v>
      </c>
      <c r="H199" s="11">
        <v>800</v>
      </c>
      <c r="I199" s="12">
        <v>42393</v>
      </c>
      <c r="J199" s="13">
        <f t="shared" si="7"/>
        <v>0</v>
      </c>
      <c r="K199" s="14">
        <v>400</v>
      </c>
      <c r="L199" s="14">
        <v>400</v>
      </c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5">
        <f t="shared" si="6"/>
        <v>800</v>
      </c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5"/>
      <c r="AK199" s="16"/>
    </row>
    <row r="200" spans="2:37" x14ac:dyDescent="0.2">
      <c r="B200" s="7" t="s">
        <v>73</v>
      </c>
      <c r="C200" s="8">
        <v>10984</v>
      </c>
      <c r="D200" s="9" t="s">
        <v>544</v>
      </c>
      <c r="E200" s="10" t="s">
        <v>545</v>
      </c>
      <c r="F200" s="10" t="s">
        <v>546</v>
      </c>
      <c r="G200" s="8">
        <v>1</v>
      </c>
      <c r="H200" s="11">
        <v>400</v>
      </c>
      <c r="I200" s="12">
        <v>42393</v>
      </c>
      <c r="J200" s="13">
        <f t="shared" si="7"/>
        <v>0</v>
      </c>
      <c r="K200" s="14">
        <v>400</v>
      </c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5">
        <f t="shared" si="6"/>
        <v>400</v>
      </c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5"/>
      <c r="AK200" s="16"/>
    </row>
    <row r="201" spans="2:37" x14ac:dyDescent="0.2">
      <c r="B201" s="7" t="s">
        <v>77</v>
      </c>
      <c r="C201" s="8">
        <v>10985</v>
      </c>
      <c r="D201" s="9" t="s">
        <v>547</v>
      </c>
      <c r="E201" s="10" t="s">
        <v>548</v>
      </c>
      <c r="F201" s="10" t="s">
        <v>549</v>
      </c>
      <c r="G201" s="8">
        <v>1</v>
      </c>
      <c r="H201" s="11">
        <v>400</v>
      </c>
      <c r="I201" s="12">
        <v>42393</v>
      </c>
      <c r="J201" s="13">
        <f t="shared" si="7"/>
        <v>0</v>
      </c>
      <c r="K201" s="14">
        <v>200</v>
      </c>
      <c r="L201" s="14">
        <v>200</v>
      </c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5">
        <f t="shared" si="6"/>
        <v>400</v>
      </c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5"/>
      <c r="AK201" s="16"/>
    </row>
    <row r="202" spans="2:37" x14ac:dyDescent="0.2">
      <c r="B202" s="7" t="s">
        <v>37</v>
      </c>
      <c r="C202" s="8">
        <v>10986</v>
      </c>
      <c r="D202" s="9" t="s">
        <v>550</v>
      </c>
      <c r="E202" s="10" t="s">
        <v>551</v>
      </c>
      <c r="F202" s="10" t="s">
        <v>552</v>
      </c>
      <c r="G202" s="8">
        <v>1</v>
      </c>
      <c r="H202" s="11">
        <v>300</v>
      </c>
      <c r="I202" s="12">
        <v>42393</v>
      </c>
      <c r="J202" s="13">
        <f t="shared" si="7"/>
        <v>0</v>
      </c>
      <c r="K202" s="14">
        <v>300</v>
      </c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5">
        <f t="shared" si="6"/>
        <v>300</v>
      </c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5"/>
      <c r="AK202" s="16"/>
    </row>
    <row r="203" spans="2:37" x14ac:dyDescent="0.2">
      <c r="B203" s="7" t="s">
        <v>37</v>
      </c>
      <c r="C203" s="8">
        <v>10987</v>
      </c>
      <c r="D203" s="9" t="s">
        <v>553</v>
      </c>
      <c r="E203" s="10" t="s">
        <v>554</v>
      </c>
      <c r="F203" s="10" t="s">
        <v>555</v>
      </c>
      <c r="G203" s="8">
        <v>1</v>
      </c>
      <c r="H203" s="11">
        <v>400</v>
      </c>
      <c r="I203" s="12">
        <v>42393</v>
      </c>
      <c r="J203" s="13">
        <f t="shared" si="7"/>
        <v>0</v>
      </c>
      <c r="K203" s="14">
        <v>400</v>
      </c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5">
        <f t="shared" si="6"/>
        <v>400</v>
      </c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5"/>
      <c r="AK203" s="16"/>
    </row>
    <row r="204" spans="2:37" x14ac:dyDescent="0.2">
      <c r="B204" s="7" t="s">
        <v>37</v>
      </c>
      <c r="C204" s="8">
        <v>10988</v>
      </c>
      <c r="D204" s="9" t="s">
        <v>553</v>
      </c>
      <c r="E204" s="10" t="s">
        <v>554</v>
      </c>
      <c r="F204" s="10" t="s">
        <v>555</v>
      </c>
      <c r="G204" s="8">
        <v>1</v>
      </c>
      <c r="H204" s="11">
        <v>0</v>
      </c>
      <c r="I204" s="12">
        <v>42393</v>
      </c>
      <c r="J204" s="13">
        <f t="shared" si="7"/>
        <v>0</v>
      </c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5">
        <f t="shared" si="6"/>
        <v>0</v>
      </c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5"/>
      <c r="AK204" s="16"/>
    </row>
    <row r="205" spans="2:37" x14ac:dyDescent="0.2">
      <c r="B205" s="7" t="s">
        <v>77</v>
      </c>
      <c r="C205" s="8">
        <v>10989</v>
      </c>
      <c r="D205" s="9" t="s">
        <v>556</v>
      </c>
      <c r="E205" s="10" t="s">
        <v>557</v>
      </c>
      <c r="F205" s="10" t="s">
        <v>558</v>
      </c>
      <c r="G205" s="8">
        <v>1</v>
      </c>
      <c r="H205" s="11">
        <v>0</v>
      </c>
      <c r="I205" s="12">
        <v>42393</v>
      </c>
      <c r="J205" s="13">
        <f t="shared" si="7"/>
        <v>0</v>
      </c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5">
        <f t="shared" si="6"/>
        <v>0</v>
      </c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5"/>
      <c r="AK205" s="16"/>
    </row>
    <row r="206" spans="2:37" x14ac:dyDescent="0.2">
      <c r="B206" s="7" t="s">
        <v>73</v>
      </c>
      <c r="C206" s="8">
        <v>10990</v>
      </c>
      <c r="D206" s="9" t="s">
        <v>559</v>
      </c>
      <c r="E206" s="10" t="s">
        <v>560</v>
      </c>
      <c r="F206" s="10" t="s">
        <v>561</v>
      </c>
      <c r="G206" s="8">
        <v>1</v>
      </c>
      <c r="H206" s="11">
        <v>4400</v>
      </c>
      <c r="I206" s="12">
        <v>42393</v>
      </c>
      <c r="J206" s="13">
        <f t="shared" si="7"/>
        <v>0</v>
      </c>
      <c r="K206" s="14">
        <v>400</v>
      </c>
      <c r="L206" s="14">
        <v>400</v>
      </c>
      <c r="M206" s="14">
        <v>400</v>
      </c>
      <c r="N206" s="14">
        <v>400</v>
      </c>
      <c r="O206" s="14">
        <v>400</v>
      </c>
      <c r="P206" s="14">
        <v>400</v>
      </c>
      <c r="Q206" s="14">
        <v>400</v>
      </c>
      <c r="R206" s="14">
        <v>400</v>
      </c>
      <c r="S206" s="14">
        <v>400</v>
      </c>
      <c r="T206" s="14">
        <v>400</v>
      </c>
      <c r="U206" s="14">
        <v>400</v>
      </c>
      <c r="V206" s="14"/>
      <c r="W206" s="15">
        <f t="shared" si="6"/>
        <v>4400</v>
      </c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5"/>
      <c r="AK206" s="16" t="s">
        <v>57</v>
      </c>
    </row>
    <row r="207" spans="2:37" x14ac:dyDescent="0.2">
      <c r="B207" s="7" t="s">
        <v>77</v>
      </c>
      <c r="C207" s="8">
        <v>10991</v>
      </c>
      <c r="D207" s="9" t="s">
        <v>473</v>
      </c>
      <c r="E207" s="10" t="s">
        <v>474</v>
      </c>
      <c r="F207" s="10" t="s">
        <v>475</v>
      </c>
      <c r="G207" s="8">
        <v>4</v>
      </c>
      <c r="H207" s="11">
        <v>320</v>
      </c>
      <c r="I207" s="12">
        <v>42393</v>
      </c>
      <c r="J207" s="13">
        <f t="shared" si="7"/>
        <v>0</v>
      </c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5">
        <f t="shared" si="6"/>
        <v>0</v>
      </c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5"/>
      <c r="AK207" s="16"/>
    </row>
    <row r="208" spans="2:37" x14ac:dyDescent="0.2">
      <c r="B208" s="7" t="s">
        <v>69</v>
      </c>
      <c r="C208" s="8">
        <v>10992</v>
      </c>
      <c r="D208" s="9" t="s">
        <v>562</v>
      </c>
      <c r="E208" s="10" t="s">
        <v>563</v>
      </c>
      <c r="F208" s="10" t="s">
        <v>564</v>
      </c>
      <c r="G208" s="8">
        <v>1</v>
      </c>
      <c r="H208" s="11">
        <v>400</v>
      </c>
      <c r="I208" s="12">
        <v>42393</v>
      </c>
      <c r="J208" s="13">
        <f t="shared" si="7"/>
        <v>0</v>
      </c>
      <c r="K208" s="14">
        <v>400</v>
      </c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5">
        <f t="shared" si="6"/>
        <v>400</v>
      </c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5"/>
      <c r="AK208" s="16"/>
    </row>
    <row r="209" spans="2:37" x14ac:dyDescent="0.2">
      <c r="B209" s="7" t="s">
        <v>77</v>
      </c>
      <c r="C209" s="8">
        <v>10993</v>
      </c>
      <c r="D209" s="9" t="s">
        <v>565</v>
      </c>
      <c r="E209" s="10" t="s">
        <v>566</v>
      </c>
      <c r="F209" s="10" t="s">
        <v>567</v>
      </c>
      <c r="G209" s="8">
        <v>1</v>
      </c>
      <c r="H209" s="11">
        <v>250</v>
      </c>
      <c r="I209" s="12">
        <v>42393</v>
      </c>
      <c r="J209" s="13">
        <f t="shared" si="7"/>
        <v>0</v>
      </c>
      <c r="K209" s="14">
        <v>250</v>
      </c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5">
        <f t="shared" si="6"/>
        <v>250</v>
      </c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5"/>
      <c r="AK209" s="16"/>
    </row>
    <row r="210" spans="2:37" x14ac:dyDescent="0.2">
      <c r="B210" s="7" t="s">
        <v>47</v>
      </c>
      <c r="C210" s="8">
        <v>10994</v>
      </c>
      <c r="D210" s="9" t="s">
        <v>103</v>
      </c>
      <c r="E210" s="10" t="s">
        <v>104</v>
      </c>
      <c r="F210" s="10" t="s">
        <v>105</v>
      </c>
      <c r="G210" s="8">
        <v>1</v>
      </c>
      <c r="H210" s="11">
        <v>400</v>
      </c>
      <c r="I210" s="12">
        <v>42393</v>
      </c>
      <c r="J210" s="13">
        <f t="shared" si="7"/>
        <v>0</v>
      </c>
      <c r="K210" s="14">
        <v>400</v>
      </c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5">
        <f t="shared" si="6"/>
        <v>400</v>
      </c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5"/>
      <c r="AK210" s="16"/>
    </row>
    <row r="211" spans="2:37" x14ac:dyDescent="0.2">
      <c r="B211" s="7" t="s">
        <v>47</v>
      </c>
      <c r="C211" s="8">
        <v>10995</v>
      </c>
      <c r="D211" s="9" t="s">
        <v>328</v>
      </c>
      <c r="E211" s="10" t="s">
        <v>329</v>
      </c>
      <c r="F211" s="10" t="s">
        <v>330</v>
      </c>
      <c r="G211" s="8">
        <v>4</v>
      </c>
      <c r="H211" s="11">
        <v>160</v>
      </c>
      <c r="I211" s="12">
        <v>42393</v>
      </c>
      <c r="J211" s="13">
        <f t="shared" si="7"/>
        <v>0</v>
      </c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5">
        <f t="shared" si="6"/>
        <v>0</v>
      </c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5"/>
      <c r="AK211" s="16"/>
    </row>
    <row r="212" spans="2:37" x14ac:dyDescent="0.2">
      <c r="B212" s="7" t="s">
        <v>37</v>
      </c>
      <c r="C212" s="8">
        <v>10996</v>
      </c>
      <c r="D212" s="9" t="s">
        <v>568</v>
      </c>
      <c r="E212" s="10" t="s">
        <v>569</v>
      </c>
      <c r="F212" s="10" t="s">
        <v>570</v>
      </c>
      <c r="G212" s="8">
        <v>1</v>
      </c>
      <c r="H212" s="11">
        <v>400</v>
      </c>
      <c r="I212" s="12">
        <v>42393</v>
      </c>
      <c r="J212" s="13">
        <f t="shared" si="7"/>
        <v>0</v>
      </c>
      <c r="K212" s="14">
        <v>400</v>
      </c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5">
        <f t="shared" si="6"/>
        <v>400</v>
      </c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5"/>
      <c r="AK212" s="16"/>
    </row>
    <row r="213" spans="2:37" x14ac:dyDescent="0.2">
      <c r="B213" s="7" t="s">
        <v>73</v>
      </c>
      <c r="C213" s="8">
        <v>10997</v>
      </c>
      <c r="D213" s="9" t="s">
        <v>571</v>
      </c>
      <c r="E213" s="10" t="s">
        <v>572</v>
      </c>
      <c r="F213" s="10" t="s">
        <v>573</v>
      </c>
      <c r="G213" s="8">
        <v>1</v>
      </c>
      <c r="H213" s="11">
        <v>0</v>
      </c>
      <c r="I213" s="12">
        <v>42393</v>
      </c>
      <c r="J213" s="13">
        <f t="shared" si="7"/>
        <v>0</v>
      </c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5">
        <f t="shared" si="6"/>
        <v>0</v>
      </c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5"/>
      <c r="AK213" s="16"/>
    </row>
    <row r="214" spans="2:37" x14ac:dyDescent="0.2">
      <c r="B214" s="7" t="s">
        <v>37</v>
      </c>
      <c r="C214" s="8">
        <v>10998</v>
      </c>
      <c r="D214" s="9" t="s">
        <v>295</v>
      </c>
      <c r="E214" s="10" t="s">
        <v>296</v>
      </c>
      <c r="F214" s="10" t="s">
        <v>297</v>
      </c>
      <c r="G214" s="8">
        <v>1</v>
      </c>
      <c r="H214" s="11">
        <v>300</v>
      </c>
      <c r="I214" s="12">
        <v>42393</v>
      </c>
      <c r="J214" s="13">
        <f t="shared" si="7"/>
        <v>0</v>
      </c>
      <c r="K214" s="14">
        <v>300</v>
      </c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5">
        <f t="shared" si="6"/>
        <v>300</v>
      </c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5"/>
      <c r="AK214" s="16"/>
    </row>
    <row r="215" spans="2:37" x14ac:dyDescent="0.2">
      <c r="B215" s="7" t="s">
        <v>69</v>
      </c>
      <c r="C215" s="8">
        <v>10999</v>
      </c>
      <c r="D215" s="9" t="s">
        <v>574</v>
      </c>
      <c r="E215" s="10" t="s">
        <v>575</v>
      </c>
      <c r="F215" s="10" t="s">
        <v>576</v>
      </c>
      <c r="G215" s="8">
        <v>1</v>
      </c>
      <c r="H215" s="11">
        <v>400</v>
      </c>
      <c r="I215" s="12">
        <v>42393</v>
      </c>
      <c r="J215" s="13">
        <f t="shared" si="7"/>
        <v>0</v>
      </c>
      <c r="K215" s="14">
        <v>400</v>
      </c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5">
        <f t="shared" si="6"/>
        <v>400</v>
      </c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5"/>
      <c r="AK215" s="16"/>
    </row>
    <row r="216" spans="2:37" x14ac:dyDescent="0.2">
      <c r="B216" s="7" t="s">
        <v>47</v>
      </c>
      <c r="C216" s="8">
        <v>11000</v>
      </c>
      <c r="D216" s="9" t="s">
        <v>577</v>
      </c>
      <c r="E216" s="10" t="s">
        <v>578</v>
      </c>
      <c r="F216" s="10" t="s">
        <v>579</v>
      </c>
      <c r="G216" s="8">
        <v>1</v>
      </c>
      <c r="H216" s="11">
        <v>1200</v>
      </c>
      <c r="I216" s="12">
        <v>42393</v>
      </c>
      <c r="J216" s="13">
        <f t="shared" si="7"/>
        <v>0</v>
      </c>
      <c r="K216" s="14">
        <v>400</v>
      </c>
      <c r="L216" s="14">
        <v>400</v>
      </c>
      <c r="M216" s="14">
        <v>400</v>
      </c>
      <c r="N216" s="14"/>
      <c r="O216" s="14"/>
      <c r="P216" s="14"/>
      <c r="Q216" s="14"/>
      <c r="R216" s="14"/>
      <c r="S216" s="14"/>
      <c r="T216" s="14"/>
      <c r="U216" s="14"/>
      <c r="V216" s="14"/>
      <c r="W216" s="15">
        <f t="shared" si="6"/>
        <v>1200</v>
      </c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5"/>
      <c r="AK216" s="16"/>
    </row>
    <row r="217" spans="2:37" x14ac:dyDescent="0.2">
      <c r="B217" s="7" t="s">
        <v>47</v>
      </c>
      <c r="C217" s="8">
        <v>11001</v>
      </c>
      <c r="D217" s="9" t="s">
        <v>580</v>
      </c>
      <c r="E217" s="10" t="s">
        <v>581</v>
      </c>
      <c r="F217" s="10" t="s">
        <v>582</v>
      </c>
      <c r="G217" s="8">
        <v>1</v>
      </c>
      <c r="H217" s="11">
        <v>450</v>
      </c>
      <c r="I217" s="12">
        <v>42393</v>
      </c>
      <c r="J217" s="13">
        <f t="shared" si="7"/>
        <v>0</v>
      </c>
      <c r="K217" s="14">
        <v>150</v>
      </c>
      <c r="L217" s="14">
        <v>150</v>
      </c>
      <c r="M217" s="14">
        <v>150</v>
      </c>
      <c r="N217" s="14"/>
      <c r="O217" s="14"/>
      <c r="P217" s="14"/>
      <c r="Q217" s="14"/>
      <c r="R217" s="14"/>
      <c r="S217" s="14"/>
      <c r="T217" s="14"/>
      <c r="U217" s="14"/>
      <c r="V217" s="14"/>
      <c r="W217" s="15">
        <f t="shared" ref="W217:W273" si="8">SUM(K217:V217)</f>
        <v>450</v>
      </c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5"/>
      <c r="AK217" s="16"/>
    </row>
    <row r="218" spans="2:37" x14ac:dyDescent="0.2">
      <c r="B218" s="7" t="s">
        <v>73</v>
      </c>
      <c r="C218" s="8">
        <v>11002</v>
      </c>
      <c r="D218" s="9" t="s">
        <v>529</v>
      </c>
      <c r="E218" s="10" t="s">
        <v>530</v>
      </c>
      <c r="F218" s="10" t="s">
        <v>531</v>
      </c>
      <c r="G218" s="8">
        <v>1</v>
      </c>
      <c r="H218" s="11">
        <v>1200</v>
      </c>
      <c r="I218" s="12">
        <v>42393</v>
      </c>
      <c r="J218" s="13">
        <f t="shared" si="7"/>
        <v>0</v>
      </c>
      <c r="K218" s="14">
        <v>400</v>
      </c>
      <c r="L218" s="14">
        <v>400</v>
      </c>
      <c r="M218" s="14">
        <v>400</v>
      </c>
      <c r="N218" s="14"/>
      <c r="O218" s="14"/>
      <c r="P218" s="14"/>
      <c r="Q218" s="14"/>
      <c r="R218" s="14"/>
      <c r="S218" s="14"/>
      <c r="T218" s="14"/>
      <c r="U218" s="14"/>
      <c r="V218" s="14"/>
      <c r="W218" s="15">
        <f t="shared" si="8"/>
        <v>1200</v>
      </c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5"/>
      <c r="AK218" s="16"/>
    </row>
    <row r="219" spans="2:37" x14ac:dyDescent="0.2">
      <c r="B219" s="7" t="s">
        <v>47</v>
      </c>
      <c r="C219" s="8">
        <v>11003</v>
      </c>
      <c r="D219" s="9" t="s">
        <v>583</v>
      </c>
      <c r="E219" s="10" t="s">
        <v>584</v>
      </c>
      <c r="F219" s="10" t="s">
        <v>585</v>
      </c>
      <c r="G219" s="8">
        <v>1</v>
      </c>
      <c r="H219" s="11">
        <v>200</v>
      </c>
      <c r="I219" s="12">
        <v>42393</v>
      </c>
      <c r="J219" s="13">
        <f t="shared" ref="J219:J273" si="9">IF(G219=1,SUM(W219,-H219),0)</f>
        <v>0</v>
      </c>
      <c r="K219" s="14">
        <v>200</v>
      </c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5">
        <f t="shared" si="8"/>
        <v>200</v>
      </c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5"/>
      <c r="AK219" s="16"/>
    </row>
    <row r="220" spans="2:37" x14ac:dyDescent="0.2">
      <c r="B220" s="7" t="s">
        <v>73</v>
      </c>
      <c r="C220" s="8">
        <v>11004</v>
      </c>
      <c r="D220" s="9" t="s">
        <v>586</v>
      </c>
      <c r="E220" s="10" t="s">
        <v>587</v>
      </c>
      <c r="F220" s="10" t="s">
        <v>588</v>
      </c>
      <c r="G220" s="8">
        <v>1</v>
      </c>
      <c r="H220" s="11">
        <v>0</v>
      </c>
      <c r="I220" s="12">
        <v>42393</v>
      </c>
      <c r="J220" s="13">
        <f t="shared" si="9"/>
        <v>0</v>
      </c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5">
        <f t="shared" si="8"/>
        <v>0</v>
      </c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5"/>
      <c r="AK220" s="16"/>
    </row>
    <row r="221" spans="2:37" x14ac:dyDescent="0.2">
      <c r="B221" s="7" t="s">
        <v>73</v>
      </c>
      <c r="C221" s="8">
        <v>11005</v>
      </c>
      <c r="D221" s="9" t="s">
        <v>586</v>
      </c>
      <c r="E221" s="10" t="s">
        <v>587</v>
      </c>
      <c r="F221" s="10" t="s">
        <v>588</v>
      </c>
      <c r="G221" s="8">
        <v>3</v>
      </c>
      <c r="H221" s="11">
        <v>160</v>
      </c>
      <c r="I221" s="12">
        <v>42393</v>
      </c>
      <c r="J221" s="13">
        <f t="shared" si="9"/>
        <v>0</v>
      </c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5">
        <f t="shared" si="8"/>
        <v>0</v>
      </c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5"/>
      <c r="AK221" s="16"/>
    </row>
    <row r="222" spans="2:37" x14ac:dyDescent="0.2">
      <c r="B222" s="7" t="s">
        <v>47</v>
      </c>
      <c r="C222" s="8">
        <v>11006</v>
      </c>
      <c r="D222" s="9" t="s">
        <v>589</v>
      </c>
      <c r="E222" s="10" t="s">
        <v>590</v>
      </c>
      <c r="F222" s="10" t="s">
        <v>591</v>
      </c>
      <c r="G222" s="8">
        <v>1</v>
      </c>
      <c r="H222" s="11">
        <v>800</v>
      </c>
      <c r="I222" s="12">
        <v>42395</v>
      </c>
      <c r="J222" s="13">
        <f t="shared" si="9"/>
        <v>0</v>
      </c>
      <c r="K222" s="14">
        <v>400</v>
      </c>
      <c r="L222" s="14">
        <v>400</v>
      </c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5">
        <f t="shared" si="8"/>
        <v>800</v>
      </c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5"/>
      <c r="AK222" s="16"/>
    </row>
    <row r="223" spans="2:37" x14ac:dyDescent="0.2">
      <c r="B223" s="7" t="s">
        <v>37</v>
      </c>
      <c r="C223" s="8">
        <v>11007</v>
      </c>
      <c r="D223" s="9" t="s">
        <v>592</v>
      </c>
      <c r="E223" s="10" t="s">
        <v>593</v>
      </c>
      <c r="F223" s="10" t="s">
        <v>594</v>
      </c>
      <c r="G223" s="8">
        <v>1</v>
      </c>
      <c r="H223" s="11">
        <v>1200</v>
      </c>
      <c r="I223" s="12">
        <v>42395</v>
      </c>
      <c r="J223" s="13">
        <f t="shared" si="9"/>
        <v>0</v>
      </c>
      <c r="K223" s="14">
        <v>400</v>
      </c>
      <c r="L223" s="14">
        <v>400</v>
      </c>
      <c r="M223" s="14">
        <v>400</v>
      </c>
      <c r="N223" s="14"/>
      <c r="O223" s="14"/>
      <c r="P223" s="14"/>
      <c r="Q223" s="14"/>
      <c r="R223" s="14"/>
      <c r="S223" s="14"/>
      <c r="T223" s="14"/>
      <c r="U223" s="14"/>
      <c r="V223" s="14"/>
      <c r="W223" s="15">
        <f t="shared" si="8"/>
        <v>1200</v>
      </c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5"/>
      <c r="AK223" s="16"/>
    </row>
    <row r="224" spans="2:37" x14ac:dyDescent="0.2">
      <c r="B224" s="7" t="s">
        <v>37</v>
      </c>
      <c r="C224" s="8">
        <v>11008</v>
      </c>
      <c r="D224" s="9" t="s">
        <v>592</v>
      </c>
      <c r="E224" s="10" t="s">
        <v>593</v>
      </c>
      <c r="F224" s="10" t="s">
        <v>594</v>
      </c>
      <c r="G224" s="8">
        <v>4</v>
      </c>
      <c r="H224" s="11">
        <v>160</v>
      </c>
      <c r="I224" s="12">
        <v>42395</v>
      </c>
      <c r="J224" s="13">
        <f t="shared" si="9"/>
        <v>0</v>
      </c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5">
        <f t="shared" si="8"/>
        <v>0</v>
      </c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5"/>
      <c r="AK224" s="7">
        <v>6578</v>
      </c>
    </row>
    <row r="225" spans="2:37" x14ac:dyDescent="0.2">
      <c r="B225" s="7" t="s">
        <v>69</v>
      </c>
      <c r="C225" s="8">
        <v>11009</v>
      </c>
      <c r="D225" s="9" t="s">
        <v>595</v>
      </c>
      <c r="E225" s="10" t="s">
        <v>596</v>
      </c>
      <c r="F225" s="10" t="s">
        <v>597</v>
      </c>
      <c r="G225" s="8">
        <v>1</v>
      </c>
      <c r="H225" s="11">
        <v>0</v>
      </c>
      <c r="I225" s="12">
        <v>42395</v>
      </c>
      <c r="J225" s="13">
        <f t="shared" si="9"/>
        <v>0</v>
      </c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5">
        <f t="shared" si="8"/>
        <v>0</v>
      </c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5"/>
      <c r="AK225" s="16" t="s">
        <v>57</v>
      </c>
    </row>
    <row r="226" spans="2:37" x14ac:dyDescent="0.2">
      <c r="B226" s="7" t="s">
        <v>37</v>
      </c>
      <c r="C226" s="8">
        <v>11010</v>
      </c>
      <c r="D226" s="9" t="s">
        <v>503</v>
      </c>
      <c r="E226" s="10" t="s">
        <v>504</v>
      </c>
      <c r="F226" s="10" t="s">
        <v>505</v>
      </c>
      <c r="G226" s="8">
        <v>4</v>
      </c>
      <c r="H226" s="11">
        <v>160</v>
      </c>
      <c r="I226" s="12">
        <v>42396</v>
      </c>
      <c r="J226" s="13">
        <f t="shared" si="9"/>
        <v>0</v>
      </c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5">
        <f t="shared" si="8"/>
        <v>0</v>
      </c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5"/>
      <c r="AK226" s="7">
        <v>1008</v>
      </c>
    </row>
    <row r="227" spans="2:37" x14ac:dyDescent="0.2">
      <c r="B227" s="7" t="s">
        <v>73</v>
      </c>
      <c r="C227" s="8">
        <v>11011</v>
      </c>
      <c r="D227" s="9" t="s">
        <v>598</v>
      </c>
      <c r="E227" s="10" t="s">
        <v>599</v>
      </c>
      <c r="F227" s="10" t="s">
        <v>600</v>
      </c>
      <c r="G227" s="8">
        <v>1</v>
      </c>
      <c r="H227" s="11">
        <v>400</v>
      </c>
      <c r="I227" s="12">
        <v>42397</v>
      </c>
      <c r="J227" s="13">
        <f t="shared" si="9"/>
        <v>0</v>
      </c>
      <c r="K227" s="14">
        <v>400</v>
      </c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5">
        <f t="shared" si="8"/>
        <v>400</v>
      </c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5"/>
      <c r="AK227" s="16" t="s">
        <v>601</v>
      </c>
    </row>
    <row r="228" spans="2:37" x14ac:dyDescent="0.2">
      <c r="B228" s="7" t="s">
        <v>93</v>
      </c>
      <c r="C228" s="8">
        <v>11012</v>
      </c>
      <c r="D228" s="9"/>
      <c r="E228" s="10" t="s">
        <v>93</v>
      </c>
      <c r="F228" s="10" t="s">
        <v>93</v>
      </c>
      <c r="G228" s="8">
        <v>8</v>
      </c>
      <c r="H228" s="11"/>
      <c r="I228" s="12"/>
      <c r="J228" s="13">
        <f t="shared" si="9"/>
        <v>0</v>
      </c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5">
        <f t="shared" si="8"/>
        <v>0</v>
      </c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5"/>
      <c r="AK228" s="16"/>
    </row>
    <row r="229" spans="2:37" x14ac:dyDescent="0.2">
      <c r="B229" s="7" t="s">
        <v>69</v>
      </c>
      <c r="C229" s="8">
        <v>11013</v>
      </c>
      <c r="D229" s="9" t="s">
        <v>602</v>
      </c>
      <c r="E229" s="10" t="s">
        <v>603</v>
      </c>
      <c r="F229" s="10" t="s">
        <v>604</v>
      </c>
      <c r="G229" s="8">
        <v>1</v>
      </c>
      <c r="H229" s="11">
        <v>200</v>
      </c>
      <c r="I229" s="12">
        <v>42400</v>
      </c>
      <c r="J229" s="13">
        <f t="shared" si="9"/>
        <v>0</v>
      </c>
      <c r="K229" s="14">
        <v>200</v>
      </c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5">
        <f t="shared" si="8"/>
        <v>200</v>
      </c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5"/>
      <c r="AK229" s="16"/>
    </row>
    <row r="230" spans="2:37" x14ac:dyDescent="0.2">
      <c r="B230" s="7" t="s">
        <v>69</v>
      </c>
      <c r="C230" s="8">
        <v>11014</v>
      </c>
      <c r="D230" s="9" t="s">
        <v>605</v>
      </c>
      <c r="E230" s="10" t="s">
        <v>606</v>
      </c>
      <c r="F230" s="10" t="s">
        <v>607</v>
      </c>
      <c r="G230" s="8">
        <v>1</v>
      </c>
      <c r="H230" s="11">
        <v>800</v>
      </c>
      <c r="I230" s="12">
        <v>42400</v>
      </c>
      <c r="J230" s="13">
        <f t="shared" si="9"/>
        <v>0</v>
      </c>
      <c r="K230" s="14">
        <v>400</v>
      </c>
      <c r="L230" s="14">
        <v>400</v>
      </c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5">
        <f t="shared" si="8"/>
        <v>800</v>
      </c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5"/>
      <c r="AK230" s="16"/>
    </row>
    <row r="231" spans="2:37" x14ac:dyDescent="0.2">
      <c r="B231" s="7" t="s">
        <v>69</v>
      </c>
      <c r="C231" s="8">
        <v>11015</v>
      </c>
      <c r="D231" s="9" t="s">
        <v>605</v>
      </c>
      <c r="E231" s="10" t="s">
        <v>606</v>
      </c>
      <c r="F231" s="10" t="s">
        <v>607</v>
      </c>
      <c r="G231" s="8">
        <v>3</v>
      </c>
      <c r="H231" s="11">
        <v>160</v>
      </c>
      <c r="I231" s="12">
        <v>42400</v>
      </c>
      <c r="J231" s="13">
        <f t="shared" si="9"/>
        <v>0</v>
      </c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5">
        <f t="shared" si="8"/>
        <v>0</v>
      </c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5"/>
      <c r="AK231" s="16"/>
    </row>
    <row r="232" spans="2:37" x14ac:dyDescent="0.2">
      <c r="B232" s="7" t="s">
        <v>37</v>
      </c>
      <c r="C232" s="8">
        <v>11016</v>
      </c>
      <c r="D232" s="9" t="s">
        <v>51</v>
      </c>
      <c r="E232" s="10" t="s">
        <v>52</v>
      </c>
      <c r="F232" s="10" t="s">
        <v>53</v>
      </c>
      <c r="G232" s="8">
        <v>1</v>
      </c>
      <c r="H232" s="11">
        <v>500</v>
      </c>
      <c r="I232" s="12">
        <v>42400</v>
      </c>
      <c r="J232" s="13">
        <f t="shared" si="9"/>
        <v>0</v>
      </c>
      <c r="K232" s="14"/>
      <c r="L232" s="14">
        <v>250</v>
      </c>
      <c r="M232" s="14">
        <v>250</v>
      </c>
      <c r="N232" s="14"/>
      <c r="O232" s="14"/>
      <c r="P232" s="14"/>
      <c r="Q232" s="14"/>
      <c r="R232" s="14"/>
      <c r="S232" s="14"/>
      <c r="T232" s="14"/>
      <c r="U232" s="14"/>
      <c r="V232" s="14"/>
      <c r="W232" s="15">
        <f t="shared" si="8"/>
        <v>500</v>
      </c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5"/>
      <c r="AK232" s="16"/>
    </row>
    <row r="233" spans="2:37" x14ac:dyDescent="0.2">
      <c r="B233" s="7" t="s">
        <v>69</v>
      </c>
      <c r="C233" s="8">
        <v>11017</v>
      </c>
      <c r="D233" s="9" t="s">
        <v>608</v>
      </c>
      <c r="E233" s="10" t="s">
        <v>609</v>
      </c>
      <c r="F233" s="10" t="s">
        <v>610</v>
      </c>
      <c r="G233" s="8">
        <v>1</v>
      </c>
      <c r="H233" s="11">
        <v>400</v>
      </c>
      <c r="I233" s="12">
        <v>42400</v>
      </c>
      <c r="J233" s="13">
        <f t="shared" si="9"/>
        <v>0</v>
      </c>
      <c r="K233" s="14">
        <v>400</v>
      </c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5">
        <f t="shared" si="8"/>
        <v>400</v>
      </c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5"/>
      <c r="AK233" s="16"/>
    </row>
    <row r="234" spans="2:37" x14ac:dyDescent="0.2">
      <c r="B234" s="7" t="s">
        <v>73</v>
      </c>
      <c r="C234" s="8">
        <v>11018</v>
      </c>
      <c r="D234" s="9" t="s">
        <v>611</v>
      </c>
      <c r="E234" s="10" t="s">
        <v>612</v>
      </c>
      <c r="F234" s="10" t="s">
        <v>613</v>
      </c>
      <c r="G234" s="8">
        <v>1</v>
      </c>
      <c r="H234" s="11">
        <v>400</v>
      </c>
      <c r="I234" s="12">
        <v>42400</v>
      </c>
      <c r="J234" s="13">
        <f t="shared" si="9"/>
        <v>0</v>
      </c>
      <c r="K234" s="14">
        <v>400</v>
      </c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5">
        <f t="shared" si="8"/>
        <v>400</v>
      </c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5"/>
      <c r="AK234" s="16"/>
    </row>
    <row r="235" spans="2:37" x14ac:dyDescent="0.2">
      <c r="B235" s="7" t="s">
        <v>93</v>
      </c>
      <c r="C235" s="8">
        <v>11019</v>
      </c>
      <c r="D235" s="9"/>
      <c r="E235" s="10" t="s">
        <v>93</v>
      </c>
      <c r="F235" s="10" t="s">
        <v>93</v>
      </c>
      <c r="G235" s="8">
        <v>8</v>
      </c>
      <c r="H235" s="11"/>
      <c r="I235" s="12"/>
      <c r="J235" s="13">
        <f t="shared" si="9"/>
        <v>0</v>
      </c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5">
        <f t="shared" si="8"/>
        <v>0</v>
      </c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5"/>
      <c r="AK235" s="16"/>
    </row>
    <row r="236" spans="2:37" x14ac:dyDescent="0.2">
      <c r="B236" s="7" t="s">
        <v>47</v>
      </c>
      <c r="C236" s="8">
        <v>11020</v>
      </c>
      <c r="D236" s="9" t="s">
        <v>328</v>
      </c>
      <c r="E236" s="10" t="s">
        <v>329</v>
      </c>
      <c r="F236" s="10" t="s">
        <v>330</v>
      </c>
      <c r="G236" s="8">
        <v>1</v>
      </c>
      <c r="H236" s="11">
        <v>400</v>
      </c>
      <c r="I236" s="12">
        <v>42400</v>
      </c>
      <c r="J236" s="13">
        <f t="shared" si="9"/>
        <v>0</v>
      </c>
      <c r="K236" s="14"/>
      <c r="L236" s="14">
        <v>400</v>
      </c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5">
        <f t="shared" si="8"/>
        <v>400</v>
      </c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5"/>
      <c r="AK236" s="16"/>
    </row>
    <row r="237" spans="2:37" x14ac:dyDescent="0.2">
      <c r="B237" s="7" t="s">
        <v>47</v>
      </c>
      <c r="C237" s="8">
        <v>11021</v>
      </c>
      <c r="D237" s="9" t="s">
        <v>614</v>
      </c>
      <c r="E237" s="10" t="s">
        <v>615</v>
      </c>
      <c r="F237" s="10" t="s">
        <v>616</v>
      </c>
      <c r="G237" s="8">
        <v>1</v>
      </c>
      <c r="H237" s="11">
        <v>0</v>
      </c>
      <c r="I237" s="12">
        <v>42400</v>
      </c>
      <c r="J237" s="13">
        <f t="shared" si="9"/>
        <v>0</v>
      </c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5">
        <f t="shared" si="8"/>
        <v>0</v>
      </c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5"/>
      <c r="AK237" s="16"/>
    </row>
    <row r="238" spans="2:37" x14ac:dyDescent="0.2">
      <c r="B238" s="7" t="s">
        <v>47</v>
      </c>
      <c r="C238" s="8">
        <v>11022</v>
      </c>
      <c r="D238" s="9" t="s">
        <v>614</v>
      </c>
      <c r="E238" s="10" t="s">
        <v>615</v>
      </c>
      <c r="F238" s="10" t="s">
        <v>616</v>
      </c>
      <c r="G238" s="8">
        <v>1</v>
      </c>
      <c r="H238" s="11">
        <v>4400</v>
      </c>
      <c r="I238" s="12">
        <v>42400</v>
      </c>
      <c r="J238" s="13">
        <f t="shared" si="9"/>
        <v>0</v>
      </c>
      <c r="K238" s="14">
        <v>400</v>
      </c>
      <c r="L238" s="14">
        <v>400</v>
      </c>
      <c r="M238" s="14">
        <v>400</v>
      </c>
      <c r="N238" s="14">
        <v>400</v>
      </c>
      <c r="O238" s="14">
        <v>400</v>
      </c>
      <c r="P238" s="14">
        <v>400</v>
      </c>
      <c r="Q238" s="14">
        <v>400</v>
      </c>
      <c r="R238" s="14">
        <v>400</v>
      </c>
      <c r="S238" s="14">
        <v>400</v>
      </c>
      <c r="T238" s="14">
        <v>400</v>
      </c>
      <c r="U238" s="14">
        <v>400</v>
      </c>
      <c r="V238" s="14"/>
      <c r="W238" s="15">
        <f t="shared" si="8"/>
        <v>4400</v>
      </c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5"/>
      <c r="AK238" s="16" t="s">
        <v>57</v>
      </c>
    </row>
    <row r="239" spans="2:37" x14ac:dyDescent="0.2">
      <c r="B239" s="7" t="s">
        <v>73</v>
      </c>
      <c r="C239" s="8">
        <v>11023</v>
      </c>
      <c r="D239" s="9" t="s">
        <v>109</v>
      </c>
      <c r="E239" s="10" t="s">
        <v>110</v>
      </c>
      <c r="F239" s="10" t="s">
        <v>111</v>
      </c>
      <c r="G239" s="8">
        <v>1</v>
      </c>
      <c r="H239" s="11">
        <v>400</v>
      </c>
      <c r="I239" s="12">
        <v>42400</v>
      </c>
      <c r="J239" s="13">
        <f t="shared" si="9"/>
        <v>0</v>
      </c>
      <c r="K239" s="14">
        <v>400</v>
      </c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5">
        <f t="shared" si="8"/>
        <v>400</v>
      </c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5"/>
      <c r="AK239" s="16"/>
    </row>
    <row r="240" spans="2:37" x14ac:dyDescent="0.2">
      <c r="B240" s="7" t="s">
        <v>77</v>
      </c>
      <c r="C240" s="8">
        <v>11024</v>
      </c>
      <c r="D240" s="9" t="s">
        <v>479</v>
      </c>
      <c r="E240" s="10" t="s">
        <v>480</v>
      </c>
      <c r="F240" s="10" t="s">
        <v>481</v>
      </c>
      <c r="G240" s="8">
        <v>1</v>
      </c>
      <c r="H240" s="11">
        <v>300</v>
      </c>
      <c r="I240" s="12">
        <v>42400</v>
      </c>
      <c r="J240" s="13">
        <f t="shared" si="9"/>
        <v>0</v>
      </c>
      <c r="K240" s="14"/>
      <c r="L240" s="14">
        <v>300</v>
      </c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5">
        <f t="shared" si="8"/>
        <v>300</v>
      </c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5"/>
      <c r="AK240" s="16"/>
    </row>
    <row r="241" spans="2:37" x14ac:dyDescent="0.2">
      <c r="B241" s="7" t="s">
        <v>77</v>
      </c>
      <c r="C241" s="8">
        <v>11025</v>
      </c>
      <c r="D241" s="9" t="s">
        <v>617</v>
      </c>
      <c r="E241" s="10" t="s">
        <v>618</v>
      </c>
      <c r="F241" s="10" t="s">
        <v>619</v>
      </c>
      <c r="G241" s="8">
        <v>1</v>
      </c>
      <c r="H241" s="11">
        <v>0</v>
      </c>
      <c r="I241" s="12">
        <v>42400</v>
      </c>
      <c r="J241" s="13">
        <f t="shared" si="9"/>
        <v>0</v>
      </c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5">
        <f t="shared" si="8"/>
        <v>0</v>
      </c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5"/>
      <c r="AK241" s="16"/>
    </row>
    <row r="242" spans="2:37" x14ac:dyDescent="0.2">
      <c r="B242" s="7" t="s">
        <v>69</v>
      </c>
      <c r="C242" s="8">
        <v>11026</v>
      </c>
      <c r="D242" s="9" t="s">
        <v>437</v>
      </c>
      <c r="E242" s="10" t="s">
        <v>438</v>
      </c>
      <c r="F242" s="10" t="s">
        <v>439</v>
      </c>
      <c r="G242" s="8">
        <v>1</v>
      </c>
      <c r="H242" s="11">
        <v>400</v>
      </c>
      <c r="I242" s="12">
        <v>42400</v>
      </c>
      <c r="J242" s="13">
        <f t="shared" si="9"/>
        <v>0</v>
      </c>
      <c r="K242" s="14"/>
      <c r="L242" s="14">
        <v>400</v>
      </c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5">
        <f t="shared" si="8"/>
        <v>400</v>
      </c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5"/>
      <c r="AK242" s="16"/>
    </row>
    <row r="243" spans="2:37" x14ac:dyDescent="0.2">
      <c r="B243" s="7" t="s">
        <v>73</v>
      </c>
      <c r="C243" s="8">
        <v>11027</v>
      </c>
      <c r="D243" s="9" t="s">
        <v>112</v>
      </c>
      <c r="E243" s="10" t="s">
        <v>113</v>
      </c>
      <c r="F243" s="10" t="s">
        <v>114</v>
      </c>
      <c r="G243" s="8">
        <v>1</v>
      </c>
      <c r="H243" s="11">
        <v>250</v>
      </c>
      <c r="I243" s="12">
        <v>42400</v>
      </c>
      <c r="J243" s="13">
        <f t="shared" si="9"/>
        <v>0</v>
      </c>
      <c r="K243" s="14">
        <v>250</v>
      </c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5">
        <f t="shared" si="8"/>
        <v>250</v>
      </c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5"/>
      <c r="AK243" s="16"/>
    </row>
    <row r="244" spans="2:37" x14ac:dyDescent="0.2">
      <c r="B244" s="7" t="s">
        <v>47</v>
      </c>
      <c r="C244" s="8">
        <v>11028</v>
      </c>
      <c r="D244" s="9" t="s">
        <v>84</v>
      </c>
      <c r="E244" s="10" t="s">
        <v>85</v>
      </c>
      <c r="F244" s="10" t="s">
        <v>86</v>
      </c>
      <c r="G244" s="8">
        <v>1</v>
      </c>
      <c r="H244" s="11">
        <v>200</v>
      </c>
      <c r="I244" s="12">
        <v>42400</v>
      </c>
      <c r="J244" s="13">
        <f t="shared" si="9"/>
        <v>0</v>
      </c>
      <c r="K244" s="14"/>
      <c r="L244" s="14">
        <v>200</v>
      </c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5">
        <f t="shared" si="8"/>
        <v>200</v>
      </c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5"/>
      <c r="AK244" s="16"/>
    </row>
    <row r="245" spans="2:37" x14ac:dyDescent="0.2">
      <c r="B245" s="7" t="s">
        <v>69</v>
      </c>
      <c r="C245" s="8">
        <v>11029</v>
      </c>
      <c r="D245" s="9" t="s">
        <v>100</v>
      </c>
      <c r="E245" s="10" t="s">
        <v>101</v>
      </c>
      <c r="F245" s="10" t="s">
        <v>102</v>
      </c>
      <c r="G245" s="8">
        <v>1</v>
      </c>
      <c r="H245" s="11">
        <v>400</v>
      </c>
      <c r="I245" s="12">
        <v>42400</v>
      </c>
      <c r="J245" s="13">
        <f t="shared" si="9"/>
        <v>0</v>
      </c>
      <c r="K245" s="14"/>
      <c r="L245" s="14">
        <v>400</v>
      </c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5">
        <f t="shared" si="8"/>
        <v>400</v>
      </c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5"/>
      <c r="AK245" s="16"/>
    </row>
    <row r="246" spans="2:37" x14ac:dyDescent="0.2">
      <c r="B246" s="7" t="s">
        <v>47</v>
      </c>
      <c r="C246" s="8">
        <v>11030</v>
      </c>
      <c r="D246" s="9" t="s">
        <v>620</v>
      </c>
      <c r="E246" s="10" t="s">
        <v>621</v>
      </c>
      <c r="F246" s="10" t="s">
        <v>366</v>
      </c>
      <c r="G246" s="8">
        <v>1</v>
      </c>
      <c r="H246" s="11">
        <v>0</v>
      </c>
      <c r="I246" s="12">
        <v>42400</v>
      </c>
      <c r="J246" s="13">
        <f t="shared" si="9"/>
        <v>0</v>
      </c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5">
        <f t="shared" si="8"/>
        <v>0</v>
      </c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5"/>
      <c r="AK246" s="16"/>
    </row>
    <row r="247" spans="2:37" x14ac:dyDescent="0.2">
      <c r="B247" s="7" t="s">
        <v>47</v>
      </c>
      <c r="C247" s="8">
        <v>11031</v>
      </c>
      <c r="D247" s="9" t="s">
        <v>620</v>
      </c>
      <c r="E247" s="10" t="s">
        <v>621</v>
      </c>
      <c r="F247" s="10" t="s">
        <v>366</v>
      </c>
      <c r="G247" s="8">
        <v>1</v>
      </c>
      <c r="H247" s="11">
        <v>400</v>
      </c>
      <c r="I247" s="12">
        <v>42400</v>
      </c>
      <c r="J247" s="13">
        <f t="shared" si="9"/>
        <v>0</v>
      </c>
      <c r="K247" s="14">
        <v>400</v>
      </c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5">
        <f t="shared" si="8"/>
        <v>400</v>
      </c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5"/>
      <c r="AK247" s="16"/>
    </row>
    <row r="248" spans="2:37" x14ac:dyDescent="0.2">
      <c r="B248" s="7" t="s">
        <v>47</v>
      </c>
      <c r="C248" s="8">
        <v>11032</v>
      </c>
      <c r="D248" s="9" t="s">
        <v>620</v>
      </c>
      <c r="E248" s="10" t="s">
        <v>621</v>
      </c>
      <c r="F248" s="10" t="s">
        <v>366</v>
      </c>
      <c r="G248" s="8">
        <v>3</v>
      </c>
      <c r="H248" s="11">
        <v>160</v>
      </c>
      <c r="I248" s="12">
        <v>42400</v>
      </c>
      <c r="J248" s="13">
        <f t="shared" si="9"/>
        <v>0</v>
      </c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5">
        <f t="shared" si="8"/>
        <v>0</v>
      </c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5"/>
      <c r="AK248" s="16"/>
    </row>
    <row r="249" spans="2:37" x14ac:dyDescent="0.2">
      <c r="B249" s="7" t="s">
        <v>122</v>
      </c>
      <c r="C249" s="8">
        <v>11033</v>
      </c>
      <c r="D249" s="9" t="s">
        <v>622</v>
      </c>
      <c r="E249" s="10" t="s">
        <v>623</v>
      </c>
      <c r="F249" s="10" t="s">
        <v>624</v>
      </c>
      <c r="G249" s="8">
        <v>1</v>
      </c>
      <c r="H249" s="11">
        <v>800</v>
      </c>
      <c r="I249" s="12">
        <v>42400</v>
      </c>
      <c r="J249" s="13">
        <f t="shared" si="9"/>
        <v>0</v>
      </c>
      <c r="K249" s="14">
        <v>400</v>
      </c>
      <c r="L249" s="14">
        <v>400</v>
      </c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5">
        <f t="shared" si="8"/>
        <v>800</v>
      </c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5"/>
      <c r="AK249" s="16"/>
    </row>
    <row r="250" spans="2:37" x14ac:dyDescent="0.2">
      <c r="B250" s="7" t="s">
        <v>69</v>
      </c>
      <c r="C250" s="8">
        <v>11034</v>
      </c>
      <c r="D250" s="9" t="s">
        <v>625</v>
      </c>
      <c r="E250" s="10" t="s">
        <v>626</v>
      </c>
      <c r="F250" s="10" t="s">
        <v>627</v>
      </c>
      <c r="G250" s="8">
        <v>1</v>
      </c>
      <c r="H250" s="11">
        <v>400</v>
      </c>
      <c r="I250" s="12">
        <v>42400</v>
      </c>
      <c r="J250" s="13">
        <f t="shared" si="9"/>
        <v>0</v>
      </c>
      <c r="K250" s="14">
        <v>400</v>
      </c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5">
        <f t="shared" si="8"/>
        <v>400</v>
      </c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5"/>
      <c r="AK250" s="16"/>
    </row>
    <row r="251" spans="2:37" x14ac:dyDescent="0.2">
      <c r="B251" s="7" t="s">
        <v>37</v>
      </c>
      <c r="C251" s="8">
        <v>11035</v>
      </c>
      <c r="D251" s="9" t="s">
        <v>628</v>
      </c>
      <c r="E251" s="10" t="s">
        <v>629</v>
      </c>
      <c r="F251" s="10" t="s">
        <v>630</v>
      </c>
      <c r="G251" s="8">
        <v>1</v>
      </c>
      <c r="H251" s="11">
        <v>400</v>
      </c>
      <c r="I251" s="12">
        <v>42400</v>
      </c>
      <c r="J251" s="13">
        <f t="shared" si="9"/>
        <v>0</v>
      </c>
      <c r="K251" s="14">
        <v>400</v>
      </c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5">
        <f t="shared" si="8"/>
        <v>400</v>
      </c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5"/>
      <c r="AK251" s="16"/>
    </row>
    <row r="252" spans="2:37" x14ac:dyDescent="0.2">
      <c r="B252" s="7" t="s">
        <v>61</v>
      </c>
      <c r="C252" s="8">
        <v>11036</v>
      </c>
      <c r="D252" s="9" t="s">
        <v>631</v>
      </c>
      <c r="E252" s="10" t="s">
        <v>632</v>
      </c>
      <c r="F252" s="10" t="s">
        <v>633</v>
      </c>
      <c r="G252" s="8">
        <v>1</v>
      </c>
      <c r="H252" s="11">
        <v>300</v>
      </c>
      <c r="I252" s="12">
        <v>42400</v>
      </c>
      <c r="J252" s="13">
        <f t="shared" si="9"/>
        <v>0</v>
      </c>
      <c r="K252" s="14">
        <v>300</v>
      </c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5">
        <f t="shared" si="8"/>
        <v>300</v>
      </c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5"/>
      <c r="AK252" s="16"/>
    </row>
    <row r="253" spans="2:37" x14ac:dyDescent="0.2">
      <c r="B253" s="7" t="s">
        <v>69</v>
      </c>
      <c r="C253" s="8">
        <v>11037</v>
      </c>
      <c r="D253" s="9" t="s">
        <v>634</v>
      </c>
      <c r="E253" s="10" t="s">
        <v>635</v>
      </c>
      <c r="F253" s="10" t="s">
        <v>636</v>
      </c>
      <c r="G253" s="8">
        <v>1</v>
      </c>
      <c r="H253" s="11">
        <v>600</v>
      </c>
      <c r="I253" s="12">
        <v>42400</v>
      </c>
      <c r="J253" s="13">
        <f t="shared" si="9"/>
        <v>0</v>
      </c>
      <c r="K253" s="14">
        <v>300</v>
      </c>
      <c r="L253" s="14">
        <v>300</v>
      </c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5">
        <f t="shared" si="8"/>
        <v>600</v>
      </c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5"/>
      <c r="AK253" s="16"/>
    </row>
    <row r="254" spans="2:37" x14ac:dyDescent="0.2">
      <c r="B254" s="7" t="s">
        <v>122</v>
      </c>
      <c r="C254" s="8">
        <v>11038</v>
      </c>
      <c r="D254" s="9" t="s">
        <v>637</v>
      </c>
      <c r="E254" s="10" t="s">
        <v>638</v>
      </c>
      <c r="F254" s="10" t="s">
        <v>639</v>
      </c>
      <c r="G254" s="8">
        <v>1</v>
      </c>
      <c r="H254" s="11">
        <v>400</v>
      </c>
      <c r="I254" s="12">
        <v>42400</v>
      </c>
      <c r="J254" s="13">
        <f t="shared" si="9"/>
        <v>0</v>
      </c>
      <c r="K254" s="14">
        <v>400</v>
      </c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5">
        <f t="shared" si="8"/>
        <v>400</v>
      </c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5"/>
      <c r="AK254" s="16"/>
    </row>
    <row r="255" spans="2:37" x14ac:dyDescent="0.2">
      <c r="B255" s="7" t="s">
        <v>69</v>
      </c>
      <c r="C255" s="8">
        <v>11039</v>
      </c>
      <c r="D255" s="9" t="s">
        <v>135</v>
      </c>
      <c r="E255" s="10" t="s">
        <v>136</v>
      </c>
      <c r="F255" s="10" t="s">
        <v>137</v>
      </c>
      <c r="G255" s="8">
        <v>1</v>
      </c>
      <c r="H255" s="11">
        <v>300</v>
      </c>
      <c r="I255" s="12">
        <v>42400</v>
      </c>
      <c r="J255" s="13">
        <f t="shared" si="9"/>
        <v>0</v>
      </c>
      <c r="K255" s="14"/>
      <c r="L255" s="14">
        <v>300</v>
      </c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5">
        <f t="shared" si="8"/>
        <v>300</v>
      </c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5"/>
      <c r="AK255" s="16"/>
    </row>
    <row r="256" spans="2:37" x14ac:dyDescent="0.2">
      <c r="B256" s="7" t="s">
        <v>77</v>
      </c>
      <c r="C256" s="8">
        <v>11040</v>
      </c>
      <c r="D256" s="9" t="s">
        <v>129</v>
      </c>
      <c r="E256" s="10" t="s">
        <v>130</v>
      </c>
      <c r="F256" s="10" t="s">
        <v>131</v>
      </c>
      <c r="G256" s="8">
        <v>1</v>
      </c>
      <c r="H256" s="11">
        <v>400</v>
      </c>
      <c r="I256" s="12">
        <v>42400</v>
      </c>
      <c r="J256" s="13">
        <f t="shared" si="9"/>
        <v>0</v>
      </c>
      <c r="K256" s="14"/>
      <c r="L256" s="14">
        <v>400</v>
      </c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5">
        <f t="shared" si="8"/>
        <v>400</v>
      </c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5"/>
      <c r="AK256" s="16"/>
    </row>
    <row r="257" spans="2:37" x14ac:dyDescent="0.2">
      <c r="B257" s="7" t="s">
        <v>77</v>
      </c>
      <c r="C257" s="8">
        <v>11040</v>
      </c>
      <c r="D257" s="9" t="s">
        <v>129</v>
      </c>
      <c r="E257" s="10" t="s">
        <v>130</v>
      </c>
      <c r="F257" s="10" t="s">
        <v>131</v>
      </c>
      <c r="G257" s="8">
        <v>4</v>
      </c>
      <c r="H257" s="11">
        <v>160</v>
      </c>
      <c r="I257" s="12">
        <v>42400</v>
      </c>
      <c r="J257" s="13">
        <f t="shared" si="9"/>
        <v>0</v>
      </c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5">
        <f t="shared" si="8"/>
        <v>0</v>
      </c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5"/>
      <c r="AK257" s="7">
        <v>1009</v>
      </c>
    </row>
    <row r="258" spans="2:37" x14ac:dyDescent="0.2">
      <c r="B258" s="7" t="s">
        <v>391</v>
      </c>
      <c r="C258" s="8">
        <v>11041</v>
      </c>
      <c r="D258" s="9" t="s">
        <v>640</v>
      </c>
      <c r="E258" s="10" t="s">
        <v>641</v>
      </c>
      <c r="F258" s="10" t="s">
        <v>642</v>
      </c>
      <c r="G258" s="8">
        <v>1</v>
      </c>
      <c r="H258" s="11">
        <v>200</v>
      </c>
      <c r="I258" s="12">
        <v>42400</v>
      </c>
      <c r="J258" s="13">
        <f t="shared" si="9"/>
        <v>0</v>
      </c>
      <c r="K258" s="14">
        <v>200</v>
      </c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5">
        <f t="shared" si="8"/>
        <v>200</v>
      </c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5"/>
      <c r="AK258" s="16"/>
    </row>
    <row r="259" spans="2:37" x14ac:dyDescent="0.2">
      <c r="B259" s="7" t="s">
        <v>47</v>
      </c>
      <c r="C259" s="8">
        <v>11042</v>
      </c>
      <c r="D259" s="9" t="s">
        <v>238</v>
      </c>
      <c r="E259" s="10" t="s">
        <v>239</v>
      </c>
      <c r="F259" s="10" t="s">
        <v>240</v>
      </c>
      <c r="G259" s="8">
        <v>1</v>
      </c>
      <c r="H259" s="11">
        <v>125</v>
      </c>
      <c r="I259" s="12">
        <v>42400</v>
      </c>
      <c r="J259" s="13">
        <f t="shared" si="9"/>
        <v>0</v>
      </c>
      <c r="K259" s="14"/>
      <c r="L259" s="14">
        <v>125</v>
      </c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5">
        <f t="shared" si="8"/>
        <v>125</v>
      </c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5"/>
      <c r="AK259" s="16"/>
    </row>
    <row r="260" spans="2:37" x14ac:dyDescent="0.2">
      <c r="B260" s="7" t="s">
        <v>69</v>
      </c>
      <c r="C260" s="8">
        <v>11043</v>
      </c>
      <c r="D260" s="9" t="s">
        <v>643</v>
      </c>
      <c r="E260" s="10" t="s">
        <v>644</v>
      </c>
      <c r="F260" s="10" t="s">
        <v>645</v>
      </c>
      <c r="G260" s="8">
        <v>1</v>
      </c>
      <c r="H260" s="11">
        <v>400</v>
      </c>
      <c r="I260" s="12">
        <v>42400</v>
      </c>
      <c r="J260" s="13">
        <f t="shared" si="9"/>
        <v>0</v>
      </c>
      <c r="K260" s="14">
        <v>200</v>
      </c>
      <c r="L260" s="14">
        <v>200</v>
      </c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5">
        <f t="shared" si="8"/>
        <v>400</v>
      </c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5"/>
      <c r="AK260" s="16"/>
    </row>
    <row r="261" spans="2:37" x14ac:dyDescent="0.2">
      <c r="B261" s="7" t="s">
        <v>37</v>
      </c>
      <c r="C261" s="8">
        <v>11044</v>
      </c>
      <c r="D261" s="9" t="s">
        <v>177</v>
      </c>
      <c r="E261" s="10" t="s">
        <v>178</v>
      </c>
      <c r="F261" s="10" t="s">
        <v>179</v>
      </c>
      <c r="G261" s="8">
        <v>1</v>
      </c>
      <c r="H261" s="11">
        <v>400</v>
      </c>
      <c r="I261" s="12">
        <v>42400</v>
      </c>
      <c r="J261" s="13">
        <f t="shared" si="9"/>
        <v>0</v>
      </c>
      <c r="K261" s="14"/>
      <c r="L261" s="14">
        <v>400</v>
      </c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5">
        <f t="shared" si="8"/>
        <v>400</v>
      </c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5"/>
      <c r="AK261" s="16"/>
    </row>
    <row r="262" spans="2:37" x14ac:dyDescent="0.2">
      <c r="B262" s="7" t="s">
        <v>47</v>
      </c>
      <c r="C262" s="8">
        <v>11045</v>
      </c>
      <c r="D262" s="9" t="s">
        <v>97</v>
      </c>
      <c r="E262" s="10" t="s">
        <v>98</v>
      </c>
      <c r="F262" s="10" t="s">
        <v>99</v>
      </c>
      <c r="G262" s="8">
        <v>1</v>
      </c>
      <c r="H262" s="11">
        <v>400</v>
      </c>
      <c r="I262" s="12">
        <v>42400</v>
      </c>
      <c r="J262" s="13">
        <f t="shared" si="9"/>
        <v>0</v>
      </c>
      <c r="K262" s="14"/>
      <c r="L262" s="14">
        <v>400</v>
      </c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5">
        <f t="shared" si="8"/>
        <v>400</v>
      </c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5"/>
      <c r="AK262" s="16"/>
    </row>
    <row r="263" spans="2:37" x14ac:dyDescent="0.2">
      <c r="B263" s="7" t="s">
        <v>37</v>
      </c>
      <c r="C263" s="8">
        <v>11046</v>
      </c>
      <c r="D263" s="9" t="s">
        <v>646</v>
      </c>
      <c r="E263" s="10" t="s">
        <v>647</v>
      </c>
      <c r="F263" s="10" t="s">
        <v>648</v>
      </c>
      <c r="G263" s="8">
        <v>1</v>
      </c>
      <c r="H263" s="11">
        <v>400</v>
      </c>
      <c r="I263" s="12">
        <v>42400</v>
      </c>
      <c r="J263" s="13">
        <f t="shared" si="9"/>
        <v>0</v>
      </c>
      <c r="K263" s="14">
        <v>400</v>
      </c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5">
        <f t="shared" si="8"/>
        <v>400</v>
      </c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5"/>
      <c r="AK263" s="16"/>
    </row>
    <row r="264" spans="2:37" x14ac:dyDescent="0.2">
      <c r="B264" s="7" t="s">
        <v>73</v>
      </c>
      <c r="C264" s="8">
        <v>11047</v>
      </c>
      <c r="D264" s="9" t="s">
        <v>649</v>
      </c>
      <c r="E264" s="10" t="s">
        <v>650</v>
      </c>
      <c r="F264" s="10" t="s">
        <v>651</v>
      </c>
      <c r="G264" s="8">
        <v>1</v>
      </c>
      <c r="H264" s="11">
        <v>600</v>
      </c>
      <c r="I264" s="12">
        <v>42400</v>
      </c>
      <c r="J264" s="13">
        <f t="shared" si="9"/>
        <v>0</v>
      </c>
      <c r="K264" s="14">
        <v>300</v>
      </c>
      <c r="L264" s="14">
        <v>300</v>
      </c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5">
        <f t="shared" si="8"/>
        <v>600</v>
      </c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5"/>
      <c r="AK264" s="16"/>
    </row>
    <row r="265" spans="2:37" x14ac:dyDescent="0.2">
      <c r="B265" s="7" t="s">
        <v>77</v>
      </c>
      <c r="C265" s="8">
        <v>11048</v>
      </c>
      <c r="D265" s="9" t="s">
        <v>652</v>
      </c>
      <c r="E265" s="10" t="s">
        <v>653</v>
      </c>
      <c r="F265" s="10" t="s">
        <v>654</v>
      </c>
      <c r="G265" s="8">
        <v>1</v>
      </c>
      <c r="H265" s="11">
        <v>0</v>
      </c>
      <c r="I265" s="12">
        <v>42400</v>
      </c>
      <c r="J265" s="13">
        <f t="shared" si="9"/>
        <v>0</v>
      </c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5">
        <f t="shared" si="8"/>
        <v>0</v>
      </c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5"/>
      <c r="AK265" s="16"/>
    </row>
    <row r="266" spans="2:37" x14ac:dyDescent="0.2">
      <c r="B266" s="7" t="s">
        <v>93</v>
      </c>
      <c r="C266" s="8">
        <v>11049</v>
      </c>
      <c r="D266" s="9"/>
      <c r="E266" s="10" t="s">
        <v>93</v>
      </c>
      <c r="F266" s="10" t="s">
        <v>93</v>
      </c>
      <c r="G266" s="8">
        <v>8</v>
      </c>
      <c r="H266" s="11"/>
      <c r="I266" s="12"/>
      <c r="J266" s="13">
        <f t="shared" si="9"/>
        <v>0</v>
      </c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5">
        <f t="shared" si="8"/>
        <v>0</v>
      </c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5"/>
      <c r="AK266" s="16"/>
    </row>
    <row r="267" spans="2:37" x14ac:dyDescent="0.2">
      <c r="B267" s="7" t="s">
        <v>47</v>
      </c>
      <c r="C267" s="8">
        <v>11050</v>
      </c>
      <c r="D267" s="9" t="s">
        <v>655</v>
      </c>
      <c r="E267" s="10" t="s">
        <v>656</v>
      </c>
      <c r="F267" s="10" t="s">
        <v>657</v>
      </c>
      <c r="G267" s="8">
        <v>1</v>
      </c>
      <c r="H267" s="11">
        <v>0</v>
      </c>
      <c r="I267" s="12">
        <v>42400</v>
      </c>
      <c r="J267" s="13">
        <f t="shared" si="9"/>
        <v>0</v>
      </c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5">
        <f t="shared" si="8"/>
        <v>0</v>
      </c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5"/>
      <c r="AK267" s="16"/>
    </row>
    <row r="268" spans="2:37" x14ac:dyDescent="0.2">
      <c r="B268" s="7" t="s">
        <v>47</v>
      </c>
      <c r="C268" s="8">
        <v>11051</v>
      </c>
      <c r="D268" s="9" t="s">
        <v>658</v>
      </c>
      <c r="E268" s="10" t="s">
        <v>659</v>
      </c>
      <c r="F268" s="10" t="s">
        <v>660</v>
      </c>
      <c r="G268" s="8">
        <v>1</v>
      </c>
      <c r="H268" s="11">
        <v>350</v>
      </c>
      <c r="I268" s="12">
        <v>42400</v>
      </c>
      <c r="J268" s="13">
        <f t="shared" si="9"/>
        <v>0</v>
      </c>
      <c r="K268" s="14">
        <v>350</v>
      </c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5">
        <f t="shared" si="8"/>
        <v>350</v>
      </c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5"/>
      <c r="AK268" s="16"/>
    </row>
    <row r="269" spans="2:37" x14ac:dyDescent="0.2">
      <c r="B269" s="7" t="s">
        <v>47</v>
      </c>
      <c r="C269" s="8">
        <v>11052</v>
      </c>
      <c r="D269" s="9" t="s">
        <v>235</v>
      </c>
      <c r="E269" s="10" t="s">
        <v>236</v>
      </c>
      <c r="F269" s="10" t="s">
        <v>237</v>
      </c>
      <c r="G269" s="8">
        <v>1</v>
      </c>
      <c r="H269" s="11">
        <v>400</v>
      </c>
      <c r="I269" s="12">
        <v>42400</v>
      </c>
      <c r="J269" s="13">
        <f t="shared" si="9"/>
        <v>0</v>
      </c>
      <c r="K269" s="14">
        <v>400</v>
      </c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5">
        <f t="shared" si="8"/>
        <v>400</v>
      </c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5"/>
      <c r="AK269" s="16"/>
    </row>
    <row r="270" spans="2:37" x14ac:dyDescent="0.2">
      <c r="B270" s="7" t="s">
        <v>37</v>
      </c>
      <c r="C270" s="8">
        <v>11053</v>
      </c>
      <c r="D270" s="9" t="s">
        <v>661</v>
      </c>
      <c r="E270" s="10" t="s">
        <v>662</v>
      </c>
      <c r="F270" s="10" t="s">
        <v>624</v>
      </c>
      <c r="G270" s="8">
        <v>1</v>
      </c>
      <c r="H270" s="11">
        <v>800</v>
      </c>
      <c r="I270" s="12">
        <v>42400</v>
      </c>
      <c r="J270" s="13">
        <f t="shared" si="9"/>
        <v>0</v>
      </c>
      <c r="K270" s="14">
        <v>400</v>
      </c>
      <c r="L270" s="14">
        <v>400</v>
      </c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5">
        <f t="shared" si="8"/>
        <v>800</v>
      </c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5"/>
      <c r="AK270" s="16"/>
    </row>
    <row r="271" spans="2:37" x14ac:dyDescent="0.2">
      <c r="B271" s="7" t="s">
        <v>61</v>
      </c>
      <c r="C271" s="8">
        <v>11054</v>
      </c>
      <c r="D271" s="9" t="s">
        <v>663</v>
      </c>
      <c r="E271" s="10" t="s">
        <v>664</v>
      </c>
      <c r="F271" s="10" t="s">
        <v>665</v>
      </c>
      <c r="G271" s="8">
        <v>1</v>
      </c>
      <c r="H271" s="11">
        <v>400</v>
      </c>
      <c r="I271" s="12">
        <v>42400</v>
      </c>
      <c r="J271" s="13">
        <f t="shared" si="9"/>
        <v>0</v>
      </c>
      <c r="K271" s="14">
        <v>400</v>
      </c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5">
        <f t="shared" si="8"/>
        <v>400</v>
      </c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5"/>
      <c r="AK271" s="16"/>
    </row>
    <row r="272" spans="2:37" x14ac:dyDescent="0.2">
      <c r="B272" s="7" t="s">
        <v>47</v>
      </c>
      <c r="C272" s="8">
        <v>11055</v>
      </c>
      <c r="D272" s="9" t="s">
        <v>183</v>
      </c>
      <c r="E272" s="10" t="s">
        <v>184</v>
      </c>
      <c r="F272" s="10" t="s">
        <v>185</v>
      </c>
      <c r="G272" s="8">
        <v>1</v>
      </c>
      <c r="H272" s="11">
        <v>400</v>
      </c>
      <c r="I272" s="12">
        <v>42400</v>
      </c>
      <c r="J272" s="13">
        <f t="shared" si="9"/>
        <v>0</v>
      </c>
      <c r="K272" s="14">
        <v>400</v>
      </c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5">
        <f t="shared" si="8"/>
        <v>400</v>
      </c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5"/>
      <c r="AK272" s="16"/>
    </row>
    <row r="273" spans="1:37" x14ac:dyDescent="0.2">
      <c r="B273" s="7" t="s">
        <v>93</v>
      </c>
      <c r="C273" s="8"/>
      <c r="D273" s="9"/>
      <c r="E273" s="10" t="s">
        <v>93</v>
      </c>
      <c r="F273" s="10" t="s">
        <v>93</v>
      </c>
      <c r="G273" s="8"/>
      <c r="H273" s="11"/>
      <c r="I273" s="12"/>
      <c r="J273" s="13">
        <f t="shared" si="9"/>
        <v>0</v>
      </c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5">
        <f t="shared" si="8"/>
        <v>0</v>
      </c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5"/>
      <c r="AK273" s="16"/>
    </row>
    <row r="274" spans="1:37" x14ac:dyDescent="0.2">
      <c r="B274" s="48"/>
      <c r="C274" s="48"/>
      <c r="D274" s="48"/>
      <c r="E274" s="48"/>
      <c r="F274" s="48"/>
      <c r="G274" s="19">
        <v>1</v>
      </c>
      <c r="H274" s="21">
        <v>38000</v>
      </c>
      <c r="I274" s="22"/>
      <c r="J274" s="23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24"/>
      <c r="AJ274" s="24"/>
      <c r="AK274" s="25"/>
    </row>
    <row r="275" spans="1:37" ht="22.5" x14ac:dyDescent="0.2">
      <c r="A275" s="2" t="s">
        <v>0</v>
      </c>
      <c r="B275" s="3" t="s">
        <v>1</v>
      </c>
      <c r="C275" s="3" t="s">
        <v>2</v>
      </c>
      <c r="D275" s="3" t="s">
        <v>3</v>
      </c>
      <c r="E275" s="3" t="s">
        <v>4</v>
      </c>
      <c r="F275" s="3" t="s">
        <v>5</v>
      </c>
      <c r="G275" s="3" t="s">
        <v>6</v>
      </c>
      <c r="H275" s="3" t="s">
        <v>7</v>
      </c>
      <c r="I275" s="3" t="s">
        <v>8</v>
      </c>
      <c r="J275" s="3" t="s">
        <v>9</v>
      </c>
      <c r="K275" s="4" t="s">
        <v>10</v>
      </c>
      <c r="L275" s="4" t="s">
        <v>11</v>
      </c>
      <c r="M275" s="4" t="s">
        <v>12</v>
      </c>
      <c r="N275" s="4" t="s">
        <v>13</v>
      </c>
      <c r="O275" s="4" t="s">
        <v>14</v>
      </c>
      <c r="P275" s="4" t="s">
        <v>15</v>
      </c>
      <c r="Q275" s="4" t="s">
        <v>16</v>
      </c>
      <c r="R275" s="4" t="s">
        <v>17</v>
      </c>
      <c r="S275" s="4" t="s">
        <v>18</v>
      </c>
      <c r="T275" s="4" t="s">
        <v>19</v>
      </c>
      <c r="U275" s="4" t="s">
        <v>20</v>
      </c>
      <c r="V275" s="4" t="s">
        <v>21</v>
      </c>
      <c r="W275" s="5" t="s">
        <v>22</v>
      </c>
      <c r="X275" s="4" t="s">
        <v>23</v>
      </c>
      <c r="Y275" s="4" t="s">
        <v>24</v>
      </c>
      <c r="Z275" s="4" t="s">
        <v>25</v>
      </c>
      <c r="AA275" s="4" t="s">
        <v>26</v>
      </c>
      <c r="AB275" s="4" t="s">
        <v>27</v>
      </c>
      <c r="AC275" s="4" t="s">
        <v>28</v>
      </c>
      <c r="AD275" s="4" t="s">
        <v>29</v>
      </c>
      <c r="AE275" s="4" t="s">
        <v>30</v>
      </c>
      <c r="AF275" s="4" t="s">
        <v>31</v>
      </c>
      <c r="AG275" s="4" t="s">
        <v>32</v>
      </c>
      <c r="AH275" s="4" t="s">
        <v>33</v>
      </c>
      <c r="AI275" s="4" t="s">
        <v>34</v>
      </c>
      <c r="AJ275" s="5" t="s">
        <v>35</v>
      </c>
      <c r="AK275" s="6" t="s">
        <v>36</v>
      </c>
    </row>
    <row r="276" spans="1:37" x14ac:dyDescent="0.2">
      <c r="B276" s="7" t="s">
        <v>73</v>
      </c>
      <c r="C276" s="8">
        <v>11056</v>
      </c>
      <c r="D276" s="9" t="s">
        <v>202</v>
      </c>
      <c r="E276" s="10" t="s">
        <v>203</v>
      </c>
      <c r="F276" s="10" t="s">
        <v>204</v>
      </c>
      <c r="G276" s="8">
        <v>1</v>
      </c>
      <c r="H276" s="11">
        <v>400</v>
      </c>
      <c r="I276" s="12">
        <v>42404</v>
      </c>
      <c r="J276" s="13">
        <f t="shared" ref="J276:J339" si="10">IF(G276=1,SUM(W276,-H276),0)</f>
        <v>0</v>
      </c>
      <c r="K276" s="14"/>
      <c r="L276" s="14">
        <v>400</v>
      </c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5">
        <f t="shared" ref="W276:W307" si="11">SUM(K276:V276)</f>
        <v>400</v>
      </c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5"/>
      <c r="AK276" s="16"/>
    </row>
    <row r="277" spans="1:37" x14ac:dyDescent="0.2">
      <c r="B277" s="7" t="s">
        <v>77</v>
      </c>
      <c r="C277" s="8">
        <v>11057</v>
      </c>
      <c r="D277" s="9" t="s">
        <v>666</v>
      </c>
      <c r="E277" s="10" t="s">
        <v>667</v>
      </c>
      <c r="F277" s="10" t="s">
        <v>668</v>
      </c>
      <c r="G277" s="8">
        <v>1</v>
      </c>
      <c r="H277" s="11">
        <v>200</v>
      </c>
      <c r="I277" s="12">
        <v>42404</v>
      </c>
      <c r="J277" s="13">
        <f t="shared" si="10"/>
        <v>0</v>
      </c>
      <c r="K277" s="14">
        <v>200</v>
      </c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5">
        <f t="shared" si="11"/>
        <v>200</v>
      </c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5"/>
      <c r="AK277" s="16"/>
    </row>
    <row r="278" spans="1:37" x14ac:dyDescent="0.2">
      <c r="B278" s="7" t="s">
        <v>37</v>
      </c>
      <c r="C278" s="8">
        <v>11058</v>
      </c>
      <c r="D278" s="9" t="s">
        <v>669</v>
      </c>
      <c r="E278" s="10" t="s">
        <v>670</v>
      </c>
      <c r="F278" s="10" t="s">
        <v>671</v>
      </c>
      <c r="G278" s="8">
        <v>1</v>
      </c>
      <c r="H278" s="11">
        <v>400</v>
      </c>
      <c r="I278" s="12">
        <v>42406</v>
      </c>
      <c r="J278" s="13">
        <f t="shared" si="10"/>
        <v>0</v>
      </c>
      <c r="K278" s="14">
        <v>400</v>
      </c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5">
        <f t="shared" si="11"/>
        <v>400</v>
      </c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5"/>
      <c r="AK278" s="16"/>
    </row>
    <row r="279" spans="1:37" x14ac:dyDescent="0.2">
      <c r="B279" s="7" t="s">
        <v>73</v>
      </c>
      <c r="C279" s="8">
        <v>11059</v>
      </c>
      <c r="D279" s="9" t="s">
        <v>672</v>
      </c>
      <c r="E279" s="10" t="s">
        <v>673</v>
      </c>
      <c r="F279" s="10" t="s">
        <v>674</v>
      </c>
      <c r="G279" s="8">
        <v>1</v>
      </c>
      <c r="H279" s="11">
        <v>400</v>
      </c>
      <c r="I279" s="12">
        <v>42407</v>
      </c>
      <c r="J279" s="13">
        <f t="shared" si="10"/>
        <v>0</v>
      </c>
      <c r="K279" s="14">
        <v>200</v>
      </c>
      <c r="L279" s="14">
        <v>200</v>
      </c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5">
        <f t="shared" si="11"/>
        <v>400</v>
      </c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5"/>
      <c r="AK279" s="16"/>
    </row>
    <row r="280" spans="1:37" x14ac:dyDescent="0.2">
      <c r="B280" s="7" t="s">
        <v>77</v>
      </c>
      <c r="C280" s="8">
        <v>11060</v>
      </c>
      <c r="D280" s="9" t="s">
        <v>156</v>
      </c>
      <c r="E280" s="10" t="s">
        <v>157</v>
      </c>
      <c r="F280" s="10" t="s">
        <v>158</v>
      </c>
      <c r="G280" s="8">
        <v>1</v>
      </c>
      <c r="H280" s="11">
        <v>300</v>
      </c>
      <c r="I280" s="12">
        <v>42407</v>
      </c>
      <c r="J280" s="13">
        <f t="shared" si="10"/>
        <v>0</v>
      </c>
      <c r="K280" s="14"/>
      <c r="L280" s="14">
        <v>300</v>
      </c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5">
        <f t="shared" si="11"/>
        <v>300</v>
      </c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5"/>
      <c r="AK280" s="16"/>
    </row>
    <row r="281" spans="1:37" x14ac:dyDescent="0.2">
      <c r="B281" s="7" t="s">
        <v>73</v>
      </c>
      <c r="C281" s="8">
        <v>11061</v>
      </c>
      <c r="D281" s="9" t="s">
        <v>675</v>
      </c>
      <c r="E281" s="10" t="s">
        <v>676</v>
      </c>
      <c r="F281" s="10" t="s">
        <v>677</v>
      </c>
      <c r="G281" s="8">
        <v>1</v>
      </c>
      <c r="H281" s="11">
        <v>4400</v>
      </c>
      <c r="I281" s="12">
        <v>42407</v>
      </c>
      <c r="J281" s="13">
        <f t="shared" si="10"/>
        <v>0</v>
      </c>
      <c r="K281" s="14">
        <v>400</v>
      </c>
      <c r="L281" s="14">
        <v>400</v>
      </c>
      <c r="M281" s="14">
        <v>400</v>
      </c>
      <c r="N281" s="14">
        <v>400</v>
      </c>
      <c r="O281" s="14">
        <v>400</v>
      </c>
      <c r="P281" s="14">
        <v>400</v>
      </c>
      <c r="Q281" s="14">
        <v>400</v>
      </c>
      <c r="R281" s="14">
        <v>400</v>
      </c>
      <c r="S281" s="14">
        <v>400</v>
      </c>
      <c r="T281" s="14">
        <v>400</v>
      </c>
      <c r="U281" s="14">
        <v>400</v>
      </c>
      <c r="V281" s="14"/>
      <c r="W281" s="15">
        <f t="shared" si="11"/>
        <v>4400</v>
      </c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5"/>
      <c r="AK281" s="16" t="s">
        <v>57</v>
      </c>
    </row>
    <row r="282" spans="1:37" x14ac:dyDescent="0.2">
      <c r="B282" s="7" t="s">
        <v>73</v>
      </c>
      <c r="C282" s="8">
        <v>11061</v>
      </c>
      <c r="D282" s="9" t="s">
        <v>675</v>
      </c>
      <c r="E282" s="10" t="s">
        <v>676</v>
      </c>
      <c r="F282" s="10" t="s">
        <v>677</v>
      </c>
      <c r="G282" s="8">
        <v>3</v>
      </c>
      <c r="H282" s="11">
        <v>160</v>
      </c>
      <c r="I282" s="12">
        <v>42407</v>
      </c>
      <c r="J282" s="13">
        <f t="shared" si="10"/>
        <v>0</v>
      </c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5">
        <f t="shared" si="11"/>
        <v>0</v>
      </c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5"/>
      <c r="AK282" s="16"/>
    </row>
    <row r="283" spans="1:37" x14ac:dyDescent="0.2">
      <c r="B283" s="7" t="s">
        <v>73</v>
      </c>
      <c r="C283" s="8">
        <v>11061</v>
      </c>
      <c r="D283" s="9" t="s">
        <v>675</v>
      </c>
      <c r="E283" s="10" t="s">
        <v>676</v>
      </c>
      <c r="F283" s="10" t="s">
        <v>677</v>
      </c>
      <c r="G283" s="8">
        <v>4</v>
      </c>
      <c r="H283" s="11">
        <v>160</v>
      </c>
      <c r="I283" s="12">
        <v>42407</v>
      </c>
      <c r="J283" s="13">
        <f t="shared" si="10"/>
        <v>0</v>
      </c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5">
        <f t="shared" si="11"/>
        <v>0</v>
      </c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5"/>
      <c r="AK283" s="16"/>
    </row>
    <row r="284" spans="1:37" x14ac:dyDescent="0.2">
      <c r="B284" s="7" t="s">
        <v>61</v>
      </c>
      <c r="C284" s="8">
        <v>11062</v>
      </c>
      <c r="D284" s="9" t="s">
        <v>663</v>
      </c>
      <c r="E284" s="10" t="s">
        <v>664</v>
      </c>
      <c r="F284" s="10" t="s">
        <v>665</v>
      </c>
      <c r="G284" s="8">
        <v>1</v>
      </c>
      <c r="H284" s="11">
        <v>400</v>
      </c>
      <c r="I284" s="12">
        <v>42407</v>
      </c>
      <c r="J284" s="13">
        <f t="shared" si="10"/>
        <v>0</v>
      </c>
      <c r="K284" s="14"/>
      <c r="L284" s="14">
        <v>400</v>
      </c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5">
        <f t="shared" si="11"/>
        <v>400</v>
      </c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5"/>
      <c r="AK284" s="16"/>
    </row>
    <row r="285" spans="1:37" x14ac:dyDescent="0.2">
      <c r="B285" s="7" t="s">
        <v>69</v>
      </c>
      <c r="C285" s="8">
        <v>11063</v>
      </c>
      <c r="D285" s="9" t="s">
        <v>678</v>
      </c>
      <c r="E285" s="10" t="s">
        <v>679</v>
      </c>
      <c r="F285" s="10" t="s">
        <v>680</v>
      </c>
      <c r="G285" s="8">
        <v>1</v>
      </c>
      <c r="H285" s="11">
        <v>400</v>
      </c>
      <c r="I285" s="12">
        <v>42407</v>
      </c>
      <c r="J285" s="13">
        <f t="shared" si="10"/>
        <v>0</v>
      </c>
      <c r="K285" s="14"/>
      <c r="L285" s="14">
        <v>400</v>
      </c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5">
        <f t="shared" si="11"/>
        <v>400</v>
      </c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5"/>
      <c r="AK285" s="16"/>
    </row>
    <row r="286" spans="1:37" x14ac:dyDescent="0.2">
      <c r="B286" s="7" t="s">
        <v>37</v>
      </c>
      <c r="C286" s="8">
        <v>11064</v>
      </c>
      <c r="D286" s="9" t="s">
        <v>94</v>
      </c>
      <c r="E286" s="10" t="s">
        <v>95</v>
      </c>
      <c r="F286" s="10" t="s">
        <v>96</v>
      </c>
      <c r="G286" s="8">
        <v>1</v>
      </c>
      <c r="H286" s="11">
        <v>400</v>
      </c>
      <c r="I286" s="12">
        <v>42407</v>
      </c>
      <c r="J286" s="13">
        <f t="shared" si="10"/>
        <v>0</v>
      </c>
      <c r="K286" s="14"/>
      <c r="L286" s="14">
        <v>400</v>
      </c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5">
        <f t="shared" si="11"/>
        <v>400</v>
      </c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5"/>
      <c r="AK286" s="16"/>
    </row>
    <row r="287" spans="1:37" x14ac:dyDescent="0.2">
      <c r="B287" s="7" t="s">
        <v>47</v>
      </c>
      <c r="C287" s="8">
        <v>11065</v>
      </c>
      <c r="D287" s="9" t="s">
        <v>241</v>
      </c>
      <c r="E287" s="10" t="s">
        <v>242</v>
      </c>
      <c r="F287" s="10" t="s">
        <v>243</v>
      </c>
      <c r="G287" s="8">
        <v>1</v>
      </c>
      <c r="H287" s="11">
        <v>400</v>
      </c>
      <c r="I287" s="12">
        <v>42407</v>
      </c>
      <c r="J287" s="13">
        <f t="shared" si="10"/>
        <v>0</v>
      </c>
      <c r="K287" s="14"/>
      <c r="L287" s="14">
        <v>400</v>
      </c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5">
        <f t="shared" si="11"/>
        <v>400</v>
      </c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5"/>
      <c r="AK287" s="16"/>
    </row>
    <row r="288" spans="1:37" x14ac:dyDescent="0.2">
      <c r="B288" s="7" t="s">
        <v>122</v>
      </c>
      <c r="C288" s="8">
        <v>11066</v>
      </c>
      <c r="D288" s="9" t="s">
        <v>262</v>
      </c>
      <c r="E288" s="10" t="s">
        <v>263</v>
      </c>
      <c r="F288" s="10" t="s">
        <v>264</v>
      </c>
      <c r="G288" s="8">
        <v>1</v>
      </c>
      <c r="H288" s="11">
        <v>300</v>
      </c>
      <c r="I288" s="12">
        <v>42407</v>
      </c>
      <c r="J288" s="13">
        <f t="shared" si="10"/>
        <v>0</v>
      </c>
      <c r="K288" s="14"/>
      <c r="L288" s="14">
        <v>300</v>
      </c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5">
        <f t="shared" si="11"/>
        <v>300</v>
      </c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5"/>
      <c r="AK288" s="16"/>
    </row>
    <row r="289" spans="2:37" x14ac:dyDescent="0.2">
      <c r="B289" s="7" t="s">
        <v>122</v>
      </c>
      <c r="C289" s="8">
        <v>11067</v>
      </c>
      <c r="D289" s="9" t="s">
        <v>331</v>
      </c>
      <c r="E289" s="10" t="s">
        <v>332</v>
      </c>
      <c r="F289" s="10" t="s">
        <v>333</v>
      </c>
      <c r="G289" s="8">
        <v>1</v>
      </c>
      <c r="H289" s="11">
        <v>400</v>
      </c>
      <c r="I289" s="12">
        <v>42407</v>
      </c>
      <c r="J289" s="13">
        <f t="shared" si="10"/>
        <v>0</v>
      </c>
      <c r="K289" s="14"/>
      <c r="L289" s="14">
        <v>400</v>
      </c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5">
        <f t="shared" si="11"/>
        <v>400</v>
      </c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5"/>
      <c r="AK289" s="16"/>
    </row>
    <row r="290" spans="2:37" x14ac:dyDescent="0.2">
      <c r="B290" s="7" t="s">
        <v>69</v>
      </c>
      <c r="C290" s="8">
        <v>11068</v>
      </c>
      <c r="D290" s="9" t="s">
        <v>265</v>
      </c>
      <c r="E290" s="10" t="s">
        <v>266</v>
      </c>
      <c r="F290" s="10" t="s">
        <v>267</v>
      </c>
      <c r="G290" s="8">
        <v>1</v>
      </c>
      <c r="H290" s="11">
        <v>400</v>
      </c>
      <c r="I290" s="12">
        <v>42407</v>
      </c>
      <c r="J290" s="13">
        <f t="shared" si="10"/>
        <v>0</v>
      </c>
      <c r="K290" s="14"/>
      <c r="L290" s="14">
        <v>400</v>
      </c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5">
        <f t="shared" si="11"/>
        <v>400</v>
      </c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5"/>
      <c r="AK290" s="16"/>
    </row>
    <row r="291" spans="2:37" x14ac:dyDescent="0.2">
      <c r="B291" s="7" t="s">
        <v>77</v>
      </c>
      <c r="C291" s="8">
        <v>11069</v>
      </c>
      <c r="D291" s="9" t="s">
        <v>286</v>
      </c>
      <c r="E291" s="10" t="s">
        <v>287</v>
      </c>
      <c r="F291" s="10" t="s">
        <v>288</v>
      </c>
      <c r="G291" s="8">
        <v>1</v>
      </c>
      <c r="H291" s="11">
        <v>400</v>
      </c>
      <c r="I291" s="12">
        <v>42407</v>
      </c>
      <c r="J291" s="13">
        <f t="shared" si="10"/>
        <v>0</v>
      </c>
      <c r="K291" s="14"/>
      <c r="L291" s="14">
        <v>400</v>
      </c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5">
        <f t="shared" si="11"/>
        <v>400</v>
      </c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5"/>
      <c r="AK291" s="16"/>
    </row>
    <row r="292" spans="2:37" x14ac:dyDescent="0.2">
      <c r="B292" s="7" t="s">
        <v>73</v>
      </c>
      <c r="C292" s="8">
        <v>11070</v>
      </c>
      <c r="D292" s="9" t="s">
        <v>259</v>
      </c>
      <c r="E292" s="10" t="s">
        <v>260</v>
      </c>
      <c r="F292" s="10" t="s">
        <v>261</v>
      </c>
      <c r="G292" s="8">
        <v>1</v>
      </c>
      <c r="H292" s="11">
        <v>400</v>
      </c>
      <c r="I292" s="12">
        <v>42407</v>
      </c>
      <c r="J292" s="13">
        <f t="shared" si="10"/>
        <v>0</v>
      </c>
      <c r="K292" s="14"/>
      <c r="L292" s="14">
        <v>400</v>
      </c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5">
        <f t="shared" si="11"/>
        <v>400</v>
      </c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5"/>
      <c r="AK292" s="16"/>
    </row>
    <row r="293" spans="2:37" x14ac:dyDescent="0.2">
      <c r="B293" s="7" t="s">
        <v>73</v>
      </c>
      <c r="C293" s="8">
        <v>11070</v>
      </c>
      <c r="D293" s="9" t="s">
        <v>259</v>
      </c>
      <c r="E293" s="10" t="s">
        <v>260</v>
      </c>
      <c r="F293" s="10" t="s">
        <v>261</v>
      </c>
      <c r="G293" s="8">
        <v>3</v>
      </c>
      <c r="H293" s="11">
        <v>160</v>
      </c>
      <c r="I293" s="12">
        <v>42407</v>
      </c>
      <c r="J293" s="13">
        <f t="shared" si="10"/>
        <v>0</v>
      </c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5">
        <f t="shared" si="11"/>
        <v>0</v>
      </c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5"/>
      <c r="AK293" s="16"/>
    </row>
    <row r="294" spans="2:37" x14ac:dyDescent="0.2">
      <c r="B294" s="7" t="s">
        <v>37</v>
      </c>
      <c r="C294" s="8">
        <v>11071</v>
      </c>
      <c r="D294" s="9" t="s">
        <v>681</v>
      </c>
      <c r="E294" s="10" t="s">
        <v>682</v>
      </c>
      <c r="F294" s="10" t="s">
        <v>683</v>
      </c>
      <c r="G294" s="8">
        <v>1</v>
      </c>
      <c r="H294" s="11">
        <v>300</v>
      </c>
      <c r="I294" s="12">
        <v>42407</v>
      </c>
      <c r="J294" s="13">
        <f t="shared" si="10"/>
        <v>0</v>
      </c>
      <c r="K294" s="14">
        <v>300</v>
      </c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5">
        <f t="shared" si="11"/>
        <v>300</v>
      </c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5"/>
      <c r="AK294" s="16"/>
    </row>
    <row r="295" spans="2:37" x14ac:dyDescent="0.2">
      <c r="B295" s="7" t="s">
        <v>37</v>
      </c>
      <c r="C295" s="8">
        <v>11072</v>
      </c>
      <c r="D295" s="9" t="s">
        <v>684</v>
      </c>
      <c r="E295" s="10" t="s">
        <v>685</v>
      </c>
      <c r="F295" s="10" t="s">
        <v>686</v>
      </c>
      <c r="G295" s="8">
        <v>1</v>
      </c>
      <c r="H295" s="11">
        <v>800</v>
      </c>
      <c r="I295" s="12">
        <v>42407</v>
      </c>
      <c r="J295" s="13">
        <f t="shared" si="10"/>
        <v>0</v>
      </c>
      <c r="K295" s="14">
        <v>400</v>
      </c>
      <c r="L295" s="14">
        <v>400</v>
      </c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5">
        <f t="shared" si="11"/>
        <v>800</v>
      </c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5"/>
      <c r="AK295" s="16"/>
    </row>
    <row r="296" spans="2:37" x14ac:dyDescent="0.2">
      <c r="B296" s="7" t="s">
        <v>69</v>
      </c>
      <c r="C296" s="8">
        <v>11073</v>
      </c>
      <c r="D296" s="9" t="s">
        <v>687</v>
      </c>
      <c r="E296" s="10" t="s">
        <v>688</v>
      </c>
      <c r="F296" s="10" t="s">
        <v>689</v>
      </c>
      <c r="G296" s="8">
        <v>1</v>
      </c>
      <c r="H296" s="11">
        <v>200</v>
      </c>
      <c r="I296" s="12">
        <v>42407</v>
      </c>
      <c r="J296" s="13">
        <f t="shared" si="10"/>
        <v>0</v>
      </c>
      <c r="K296" s="14">
        <v>200</v>
      </c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5">
        <f t="shared" si="11"/>
        <v>200</v>
      </c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5"/>
      <c r="AK296" s="16"/>
    </row>
    <row r="297" spans="2:37" x14ac:dyDescent="0.2">
      <c r="B297" s="7" t="s">
        <v>122</v>
      </c>
      <c r="C297" s="8">
        <v>11074</v>
      </c>
      <c r="D297" s="9" t="s">
        <v>256</v>
      </c>
      <c r="E297" s="10" t="s">
        <v>257</v>
      </c>
      <c r="F297" s="10" t="s">
        <v>258</v>
      </c>
      <c r="G297" s="8">
        <v>1</v>
      </c>
      <c r="H297" s="11">
        <v>300</v>
      </c>
      <c r="I297" s="12">
        <v>42407</v>
      </c>
      <c r="J297" s="13">
        <f t="shared" si="10"/>
        <v>0</v>
      </c>
      <c r="K297" s="14"/>
      <c r="L297" s="14">
        <v>300</v>
      </c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5">
        <f t="shared" si="11"/>
        <v>300</v>
      </c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5"/>
      <c r="AK297" s="16"/>
    </row>
    <row r="298" spans="2:37" x14ac:dyDescent="0.2">
      <c r="B298" s="7" t="s">
        <v>73</v>
      </c>
      <c r="C298" s="8">
        <v>11075</v>
      </c>
      <c r="D298" s="9" t="s">
        <v>690</v>
      </c>
      <c r="E298" s="10" t="s">
        <v>691</v>
      </c>
      <c r="F298" s="10" t="s">
        <v>692</v>
      </c>
      <c r="G298" s="8">
        <v>3</v>
      </c>
      <c r="H298" s="11">
        <v>480</v>
      </c>
      <c r="I298" s="12">
        <v>42407</v>
      </c>
      <c r="J298" s="13">
        <f t="shared" si="10"/>
        <v>0</v>
      </c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5">
        <f t="shared" si="11"/>
        <v>0</v>
      </c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5"/>
      <c r="AK298" s="16"/>
    </row>
    <row r="299" spans="2:37" x14ac:dyDescent="0.2">
      <c r="B299" s="7" t="s">
        <v>37</v>
      </c>
      <c r="C299" s="8">
        <v>11076</v>
      </c>
      <c r="D299" s="9" t="s">
        <v>395</v>
      </c>
      <c r="E299" s="10" t="s">
        <v>396</v>
      </c>
      <c r="F299" s="10" t="s">
        <v>397</v>
      </c>
      <c r="G299" s="8">
        <v>1</v>
      </c>
      <c r="H299" s="11">
        <v>150</v>
      </c>
      <c r="I299" s="12">
        <v>42407</v>
      </c>
      <c r="J299" s="13">
        <f t="shared" si="10"/>
        <v>0</v>
      </c>
      <c r="K299" s="14"/>
      <c r="L299" s="14">
        <v>150</v>
      </c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5">
        <f t="shared" si="11"/>
        <v>150</v>
      </c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5"/>
      <c r="AK299" s="16"/>
    </row>
    <row r="300" spans="2:37" x14ac:dyDescent="0.2">
      <c r="B300" s="7" t="s">
        <v>73</v>
      </c>
      <c r="C300" s="8">
        <v>11077</v>
      </c>
      <c r="D300" s="9" t="s">
        <v>398</v>
      </c>
      <c r="E300" s="10" t="s">
        <v>399</v>
      </c>
      <c r="F300" s="10" t="s">
        <v>400</v>
      </c>
      <c r="G300" s="8">
        <v>1</v>
      </c>
      <c r="H300" s="11">
        <v>400</v>
      </c>
      <c r="I300" s="12">
        <v>42407</v>
      </c>
      <c r="J300" s="13">
        <f t="shared" si="10"/>
        <v>0</v>
      </c>
      <c r="K300" s="14"/>
      <c r="L300" s="14">
        <v>400</v>
      </c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5">
        <f t="shared" si="11"/>
        <v>400</v>
      </c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5"/>
      <c r="AK300" s="16"/>
    </row>
    <row r="301" spans="2:37" x14ac:dyDescent="0.2">
      <c r="B301" s="7" t="s">
        <v>37</v>
      </c>
      <c r="C301" s="8">
        <v>11078</v>
      </c>
      <c r="D301" s="9" t="s">
        <v>271</v>
      </c>
      <c r="E301" s="10" t="s">
        <v>272</v>
      </c>
      <c r="F301" s="10" t="s">
        <v>273</v>
      </c>
      <c r="G301" s="8">
        <v>1</v>
      </c>
      <c r="H301" s="11">
        <v>400</v>
      </c>
      <c r="I301" s="12">
        <v>42407</v>
      </c>
      <c r="J301" s="13">
        <f t="shared" si="10"/>
        <v>0</v>
      </c>
      <c r="K301" s="14"/>
      <c r="L301" s="14">
        <v>400</v>
      </c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5">
        <f t="shared" si="11"/>
        <v>400</v>
      </c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5"/>
      <c r="AK301" s="16"/>
    </row>
    <row r="302" spans="2:37" x14ac:dyDescent="0.2">
      <c r="B302" s="7" t="s">
        <v>61</v>
      </c>
      <c r="C302" s="8">
        <v>11079</v>
      </c>
      <c r="D302" s="9" t="s">
        <v>693</v>
      </c>
      <c r="E302" s="10" t="s">
        <v>694</v>
      </c>
      <c r="F302" s="10" t="s">
        <v>695</v>
      </c>
      <c r="G302" s="8">
        <v>1</v>
      </c>
      <c r="H302" s="11">
        <v>300</v>
      </c>
      <c r="I302" s="12">
        <v>42407</v>
      </c>
      <c r="J302" s="13">
        <f t="shared" si="10"/>
        <v>0</v>
      </c>
      <c r="K302" s="14">
        <v>150</v>
      </c>
      <c r="L302" s="14">
        <v>150</v>
      </c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5">
        <f t="shared" si="11"/>
        <v>300</v>
      </c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5"/>
      <c r="AK302" s="16"/>
    </row>
    <row r="303" spans="2:37" x14ac:dyDescent="0.2">
      <c r="B303" s="7" t="s">
        <v>69</v>
      </c>
      <c r="C303" s="8">
        <v>11080</v>
      </c>
      <c r="D303" s="9" t="s">
        <v>461</v>
      </c>
      <c r="E303" s="10" t="s">
        <v>462</v>
      </c>
      <c r="F303" s="10" t="s">
        <v>463</v>
      </c>
      <c r="G303" s="8">
        <v>1</v>
      </c>
      <c r="H303" s="11">
        <v>400</v>
      </c>
      <c r="I303" s="12">
        <v>42407</v>
      </c>
      <c r="J303" s="13">
        <f t="shared" si="10"/>
        <v>0</v>
      </c>
      <c r="K303" s="14">
        <v>400</v>
      </c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5">
        <f t="shared" si="11"/>
        <v>400</v>
      </c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5"/>
      <c r="AK303" s="16"/>
    </row>
    <row r="304" spans="2:37" x14ac:dyDescent="0.2">
      <c r="B304" s="7" t="s">
        <v>73</v>
      </c>
      <c r="C304" s="8">
        <v>11081</v>
      </c>
      <c r="D304" s="9" t="s">
        <v>407</v>
      </c>
      <c r="E304" s="10" t="s">
        <v>408</v>
      </c>
      <c r="F304" s="10" t="s">
        <v>409</v>
      </c>
      <c r="G304" s="8">
        <v>1</v>
      </c>
      <c r="H304" s="11">
        <v>400</v>
      </c>
      <c r="I304" s="12">
        <v>42407</v>
      </c>
      <c r="J304" s="13">
        <f t="shared" si="10"/>
        <v>0</v>
      </c>
      <c r="K304" s="14"/>
      <c r="L304" s="14">
        <v>400</v>
      </c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5">
        <f t="shared" si="11"/>
        <v>400</v>
      </c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5"/>
      <c r="AK304" s="16"/>
    </row>
    <row r="305" spans="2:37" x14ac:dyDescent="0.2">
      <c r="B305" s="7" t="s">
        <v>47</v>
      </c>
      <c r="C305" s="8">
        <v>11082</v>
      </c>
      <c r="D305" s="9" t="s">
        <v>425</v>
      </c>
      <c r="E305" s="10" t="s">
        <v>426</v>
      </c>
      <c r="F305" s="10" t="s">
        <v>427</v>
      </c>
      <c r="G305" s="8">
        <v>1</v>
      </c>
      <c r="H305" s="11">
        <v>400</v>
      </c>
      <c r="I305" s="12">
        <v>42407</v>
      </c>
      <c r="J305" s="13">
        <f t="shared" si="10"/>
        <v>0</v>
      </c>
      <c r="K305" s="14"/>
      <c r="L305" s="14">
        <v>400</v>
      </c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5">
        <f t="shared" si="11"/>
        <v>400</v>
      </c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5"/>
      <c r="AK305" s="16"/>
    </row>
    <row r="306" spans="2:37" x14ac:dyDescent="0.2">
      <c r="B306" s="7" t="s">
        <v>37</v>
      </c>
      <c r="C306" s="8">
        <v>11083</v>
      </c>
      <c r="D306" s="9" t="s">
        <v>268</v>
      </c>
      <c r="E306" s="10" t="s">
        <v>269</v>
      </c>
      <c r="F306" s="10" t="s">
        <v>270</v>
      </c>
      <c r="G306" s="8">
        <v>1</v>
      </c>
      <c r="H306" s="11">
        <v>300</v>
      </c>
      <c r="I306" s="12">
        <v>42407</v>
      </c>
      <c r="J306" s="13">
        <f t="shared" si="10"/>
        <v>0</v>
      </c>
      <c r="K306" s="14"/>
      <c r="L306" s="14">
        <v>300</v>
      </c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5">
        <f t="shared" si="11"/>
        <v>300</v>
      </c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5"/>
      <c r="AK306" s="16"/>
    </row>
    <row r="307" spans="2:37" x14ac:dyDescent="0.2">
      <c r="B307" s="7" t="s">
        <v>69</v>
      </c>
      <c r="C307" s="8">
        <v>11084</v>
      </c>
      <c r="D307" s="9" t="s">
        <v>696</v>
      </c>
      <c r="E307" s="10" t="s">
        <v>697</v>
      </c>
      <c r="F307" s="10" t="s">
        <v>698</v>
      </c>
      <c r="G307" s="8">
        <v>1</v>
      </c>
      <c r="H307" s="11">
        <v>300</v>
      </c>
      <c r="I307" s="12">
        <v>42407</v>
      </c>
      <c r="J307" s="13">
        <f t="shared" si="10"/>
        <v>0</v>
      </c>
      <c r="K307" s="14">
        <v>300</v>
      </c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5">
        <f t="shared" si="11"/>
        <v>300</v>
      </c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5"/>
      <c r="AK307" s="16"/>
    </row>
    <row r="308" spans="2:37" x14ac:dyDescent="0.2">
      <c r="B308" s="7" t="s">
        <v>69</v>
      </c>
      <c r="C308" s="8">
        <v>11085</v>
      </c>
      <c r="D308" s="9" t="s">
        <v>696</v>
      </c>
      <c r="E308" s="10" t="s">
        <v>697</v>
      </c>
      <c r="F308" s="10" t="s">
        <v>698</v>
      </c>
      <c r="G308" s="8">
        <v>1</v>
      </c>
      <c r="H308" s="11">
        <v>300</v>
      </c>
      <c r="I308" s="12">
        <v>42407</v>
      </c>
      <c r="J308" s="13">
        <f t="shared" si="10"/>
        <v>0</v>
      </c>
      <c r="K308" s="14"/>
      <c r="L308" s="14">
        <v>300</v>
      </c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5">
        <f t="shared" ref="W308:W339" si="12">SUM(K308:V308)</f>
        <v>300</v>
      </c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5"/>
      <c r="AK308" s="16"/>
    </row>
    <row r="309" spans="2:37" x14ac:dyDescent="0.2">
      <c r="B309" s="7" t="s">
        <v>47</v>
      </c>
      <c r="C309" s="8">
        <v>11086</v>
      </c>
      <c r="D309" s="9" t="s">
        <v>138</v>
      </c>
      <c r="E309" s="10" t="s">
        <v>139</v>
      </c>
      <c r="F309" s="10" t="s">
        <v>140</v>
      </c>
      <c r="G309" s="8">
        <v>1</v>
      </c>
      <c r="H309" s="11">
        <v>400</v>
      </c>
      <c r="I309" s="12">
        <v>42407</v>
      </c>
      <c r="J309" s="13">
        <f t="shared" si="10"/>
        <v>0</v>
      </c>
      <c r="K309" s="14">
        <v>400</v>
      </c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5">
        <f t="shared" si="12"/>
        <v>400</v>
      </c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5"/>
      <c r="AK309" s="16"/>
    </row>
    <row r="310" spans="2:37" x14ac:dyDescent="0.2">
      <c r="B310" s="7" t="s">
        <v>73</v>
      </c>
      <c r="C310" s="8">
        <v>11087</v>
      </c>
      <c r="D310" s="9" t="s">
        <v>611</v>
      </c>
      <c r="E310" s="10" t="s">
        <v>612</v>
      </c>
      <c r="F310" s="10" t="s">
        <v>613</v>
      </c>
      <c r="G310" s="8">
        <v>1</v>
      </c>
      <c r="H310" s="11">
        <v>400</v>
      </c>
      <c r="I310" s="12">
        <v>42407</v>
      </c>
      <c r="J310" s="13">
        <f t="shared" si="10"/>
        <v>0</v>
      </c>
      <c r="K310" s="14"/>
      <c r="L310" s="14">
        <v>400</v>
      </c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5">
        <f t="shared" si="12"/>
        <v>400</v>
      </c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5"/>
      <c r="AK310" s="16"/>
    </row>
    <row r="311" spans="2:37" x14ac:dyDescent="0.2">
      <c r="B311" s="7" t="s">
        <v>69</v>
      </c>
      <c r="C311" s="8">
        <v>11088</v>
      </c>
      <c r="D311" s="9" t="s">
        <v>343</v>
      </c>
      <c r="E311" s="10" t="s">
        <v>344</v>
      </c>
      <c r="F311" s="10" t="s">
        <v>345</v>
      </c>
      <c r="G311" s="8">
        <v>1</v>
      </c>
      <c r="H311" s="11">
        <v>400</v>
      </c>
      <c r="I311" s="12">
        <v>42407</v>
      </c>
      <c r="J311" s="13">
        <f t="shared" si="10"/>
        <v>0</v>
      </c>
      <c r="K311" s="14"/>
      <c r="L311" s="14">
        <v>400</v>
      </c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5">
        <f t="shared" si="12"/>
        <v>400</v>
      </c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5"/>
      <c r="AK311" s="16"/>
    </row>
    <row r="312" spans="2:37" x14ac:dyDescent="0.2">
      <c r="B312" s="7" t="s">
        <v>37</v>
      </c>
      <c r="C312" s="8">
        <v>11089</v>
      </c>
      <c r="D312" s="9" t="s">
        <v>307</v>
      </c>
      <c r="E312" s="10" t="s">
        <v>308</v>
      </c>
      <c r="F312" s="10" t="s">
        <v>309</v>
      </c>
      <c r="G312" s="8">
        <v>1</v>
      </c>
      <c r="H312" s="11">
        <v>350</v>
      </c>
      <c r="I312" s="12">
        <v>42407</v>
      </c>
      <c r="J312" s="13">
        <f t="shared" si="10"/>
        <v>0</v>
      </c>
      <c r="K312" s="14"/>
      <c r="L312" s="14">
        <v>350</v>
      </c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5">
        <f t="shared" si="12"/>
        <v>350</v>
      </c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5"/>
      <c r="AK312" s="16"/>
    </row>
    <row r="313" spans="2:37" x14ac:dyDescent="0.2">
      <c r="B313" s="7" t="s">
        <v>47</v>
      </c>
      <c r="C313" s="8">
        <v>11090</v>
      </c>
      <c r="D313" s="9" t="s">
        <v>153</v>
      </c>
      <c r="E313" s="10" t="s">
        <v>154</v>
      </c>
      <c r="F313" s="10" t="s">
        <v>155</v>
      </c>
      <c r="G313" s="8">
        <v>1</v>
      </c>
      <c r="H313" s="11">
        <v>400</v>
      </c>
      <c r="I313" s="12">
        <v>42407</v>
      </c>
      <c r="J313" s="13">
        <f t="shared" si="10"/>
        <v>0</v>
      </c>
      <c r="K313" s="14"/>
      <c r="L313" s="14">
        <v>400</v>
      </c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5">
        <f t="shared" si="12"/>
        <v>400</v>
      </c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5"/>
      <c r="AK313" s="16"/>
    </row>
    <row r="314" spans="2:37" x14ac:dyDescent="0.2">
      <c r="B314" s="7" t="s">
        <v>122</v>
      </c>
      <c r="C314" s="8">
        <v>11091</v>
      </c>
      <c r="D314" s="9" t="s">
        <v>123</v>
      </c>
      <c r="E314" s="10" t="s">
        <v>124</v>
      </c>
      <c r="F314" s="10" t="s">
        <v>125</v>
      </c>
      <c r="G314" s="8">
        <v>1</v>
      </c>
      <c r="H314" s="11">
        <v>200</v>
      </c>
      <c r="I314" s="12">
        <v>42407</v>
      </c>
      <c r="J314" s="13">
        <f t="shared" si="10"/>
        <v>0</v>
      </c>
      <c r="K314" s="14"/>
      <c r="L314" s="14">
        <v>200</v>
      </c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5">
        <f t="shared" si="12"/>
        <v>200</v>
      </c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5"/>
      <c r="AK314" s="16"/>
    </row>
    <row r="315" spans="2:37" x14ac:dyDescent="0.2">
      <c r="B315" s="7" t="s">
        <v>69</v>
      </c>
      <c r="C315" s="8">
        <v>11092</v>
      </c>
      <c r="D315" s="9" t="s">
        <v>325</v>
      </c>
      <c r="E315" s="10" t="s">
        <v>326</v>
      </c>
      <c r="F315" s="10" t="s">
        <v>327</v>
      </c>
      <c r="G315" s="8">
        <v>1</v>
      </c>
      <c r="H315" s="11">
        <v>400</v>
      </c>
      <c r="I315" s="12">
        <v>42407</v>
      </c>
      <c r="J315" s="13">
        <f t="shared" si="10"/>
        <v>0</v>
      </c>
      <c r="K315" s="14"/>
      <c r="L315" s="14">
        <v>400</v>
      </c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5">
        <f t="shared" si="12"/>
        <v>400</v>
      </c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5"/>
      <c r="AK315" s="16"/>
    </row>
    <row r="316" spans="2:37" x14ac:dyDescent="0.2">
      <c r="B316" s="7" t="s">
        <v>47</v>
      </c>
      <c r="C316" s="8">
        <v>11093</v>
      </c>
      <c r="D316" s="9" t="s">
        <v>132</v>
      </c>
      <c r="E316" s="10" t="s">
        <v>133</v>
      </c>
      <c r="F316" s="10" t="s">
        <v>134</v>
      </c>
      <c r="G316" s="8">
        <v>1</v>
      </c>
      <c r="H316" s="11">
        <v>300</v>
      </c>
      <c r="I316" s="12">
        <v>42407</v>
      </c>
      <c r="J316" s="13">
        <f t="shared" si="10"/>
        <v>0</v>
      </c>
      <c r="K316" s="14"/>
      <c r="L316" s="14">
        <v>300</v>
      </c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5">
        <f t="shared" si="12"/>
        <v>300</v>
      </c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5"/>
      <c r="AK316" s="16"/>
    </row>
    <row r="317" spans="2:37" x14ac:dyDescent="0.2">
      <c r="B317" s="7" t="s">
        <v>37</v>
      </c>
      <c r="C317" s="8">
        <v>11094</v>
      </c>
      <c r="D317" s="9" t="s">
        <v>192</v>
      </c>
      <c r="E317" s="10" t="s">
        <v>193</v>
      </c>
      <c r="F317" s="10" t="s">
        <v>194</v>
      </c>
      <c r="G317" s="8">
        <v>1</v>
      </c>
      <c r="H317" s="11">
        <v>800</v>
      </c>
      <c r="I317" s="12">
        <v>42407</v>
      </c>
      <c r="J317" s="13">
        <f t="shared" si="10"/>
        <v>0</v>
      </c>
      <c r="K317" s="14">
        <v>400</v>
      </c>
      <c r="L317" s="14">
        <v>400</v>
      </c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5">
        <f t="shared" si="12"/>
        <v>800</v>
      </c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5"/>
      <c r="AK317" s="16"/>
    </row>
    <row r="318" spans="2:37" x14ac:dyDescent="0.2">
      <c r="B318" s="7" t="s">
        <v>47</v>
      </c>
      <c r="C318" s="8">
        <v>11095</v>
      </c>
      <c r="D318" s="9" t="s">
        <v>699</v>
      </c>
      <c r="E318" s="10" t="s">
        <v>700</v>
      </c>
      <c r="F318" s="10" t="s">
        <v>701</v>
      </c>
      <c r="G318" s="8">
        <v>1</v>
      </c>
      <c r="H318" s="11">
        <v>800</v>
      </c>
      <c r="I318" s="12">
        <v>42407</v>
      </c>
      <c r="J318" s="13">
        <f t="shared" si="10"/>
        <v>0</v>
      </c>
      <c r="K318" s="14">
        <v>400</v>
      </c>
      <c r="L318" s="14">
        <v>400</v>
      </c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5">
        <f t="shared" si="12"/>
        <v>800</v>
      </c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5"/>
      <c r="AK318" s="16"/>
    </row>
    <row r="319" spans="2:37" x14ac:dyDescent="0.2">
      <c r="B319" s="7" t="s">
        <v>47</v>
      </c>
      <c r="C319" s="8">
        <v>11096</v>
      </c>
      <c r="D319" s="9" t="s">
        <v>702</v>
      </c>
      <c r="E319" s="10" t="s">
        <v>703</v>
      </c>
      <c r="F319" s="10" t="s">
        <v>704</v>
      </c>
      <c r="G319" s="8">
        <v>1</v>
      </c>
      <c r="H319" s="11">
        <v>800</v>
      </c>
      <c r="I319" s="12">
        <v>42407</v>
      </c>
      <c r="J319" s="13">
        <f t="shared" si="10"/>
        <v>0</v>
      </c>
      <c r="K319" s="14">
        <v>400</v>
      </c>
      <c r="L319" s="14">
        <v>400</v>
      </c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5">
        <f t="shared" si="12"/>
        <v>800</v>
      </c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5"/>
      <c r="AK319" s="16"/>
    </row>
    <row r="320" spans="2:37" x14ac:dyDescent="0.2">
      <c r="B320" s="7" t="s">
        <v>47</v>
      </c>
      <c r="C320" s="8">
        <v>11097</v>
      </c>
      <c r="D320" s="9" t="s">
        <v>705</v>
      </c>
      <c r="E320" s="10" t="s">
        <v>706</v>
      </c>
      <c r="F320" s="10" t="s">
        <v>707</v>
      </c>
      <c r="G320" s="8">
        <v>1</v>
      </c>
      <c r="H320" s="11">
        <v>600</v>
      </c>
      <c r="I320" s="12">
        <v>42407</v>
      </c>
      <c r="J320" s="13">
        <f t="shared" si="10"/>
        <v>0</v>
      </c>
      <c r="K320" s="14">
        <v>300</v>
      </c>
      <c r="L320" s="14">
        <v>300</v>
      </c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5">
        <f t="shared" si="12"/>
        <v>600</v>
      </c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5"/>
      <c r="AK320" s="16"/>
    </row>
    <row r="321" spans="2:37" x14ac:dyDescent="0.2">
      <c r="B321" s="7" t="s">
        <v>47</v>
      </c>
      <c r="C321" s="8">
        <v>11098</v>
      </c>
      <c r="D321" s="9" t="s">
        <v>313</v>
      </c>
      <c r="E321" s="10" t="s">
        <v>314</v>
      </c>
      <c r="F321" s="10" t="s">
        <v>315</v>
      </c>
      <c r="G321" s="8">
        <v>1</v>
      </c>
      <c r="H321" s="11">
        <v>400</v>
      </c>
      <c r="I321" s="12">
        <v>42407</v>
      </c>
      <c r="J321" s="13">
        <f t="shared" si="10"/>
        <v>0</v>
      </c>
      <c r="K321" s="14"/>
      <c r="L321" s="14">
        <v>400</v>
      </c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5">
        <f t="shared" si="12"/>
        <v>400</v>
      </c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5"/>
      <c r="AK321" s="16"/>
    </row>
    <row r="322" spans="2:37" x14ac:dyDescent="0.2">
      <c r="B322" s="7" t="s">
        <v>37</v>
      </c>
      <c r="C322" s="8">
        <v>11099</v>
      </c>
      <c r="D322" s="9" t="s">
        <v>708</v>
      </c>
      <c r="E322" s="10" t="s">
        <v>709</v>
      </c>
      <c r="F322" s="10" t="s">
        <v>710</v>
      </c>
      <c r="G322" s="8">
        <v>1</v>
      </c>
      <c r="H322" s="11">
        <v>800</v>
      </c>
      <c r="I322" s="12">
        <v>42407</v>
      </c>
      <c r="J322" s="13">
        <f t="shared" si="10"/>
        <v>0</v>
      </c>
      <c r="K322" s="14">
        <v>400</v>
      </c>
      <c r="L322" s="14">
        <v>400</v>
      </c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5">
        <f t="shared" si="12"/>
        <v>800</v>
      </c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5"/>
      <c r="AK322" s="16"/>
    </row>
    <row r="323" spans="2:37" x14ac:dyDescent="0.2">
      <c r="B323" s="7" t="s">
        <v>47</v>
      </c>
      <c r="C323" s="8">
        <v>11100</v>
      </c>
      <c r="D323" s="9" t="s">
        <v>583</v>
      </c>
      <c r="E323" s="10" t="s">
        <v>584</v>
      </c>
      <c r="F323" s="10" t="s">
        <v>585</v>
      </c>
      <c r="G323" s="8">
        <v>1</v>
      </c>
      <c r="H323" s="11">
        <v>200</v>
      </c>
      <c r="I323" s="12">
        <v>42407</v>
      </c>
      <c r="J323" s="13">
        <f t="shared" si="10"/>
        <v>0</v>
      </c>
      <c r="K323" s="14"/>
      <c r="L323" s="14">
        <v>200</v>
      </c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5">
        <f t="shared" si="12"/>
        <v>200</v>
      </c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5"/>
      <c r="AK323" s="16"/>
    </row>
    <row r="324" spans="2:37" x14ac:dyDescent="0.2">
      <c r="B324" s="7" t="s">
        <v>47</v>
      </c>
      <c r="C324" s="8">
        <v>11101</v>
      </c>
      <c r="D324" s="9" t="s">
        <v>171</v>
      </c>
      <c r="E324" s="10" t="s">
        <v>172</v>
      </c>
      <c r="F324" s="10" t="s">
        <v>173</v>
      </c>
      <c r="G324" s="8">
        <v>1</v>
      </c>
      <c r="H324" s="11">
        <v>400</v>
      </c>
      <c r="I324" s="12">
        <v>42407</v>
      </c>
      <c r="J324" s="13">
        <f t="shared" si="10"/>
        <v>0</v>
      </c>
      <c r="K324" s="14"/>
      <c r="L324" s="14">
        <v>400</v>
      </c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5">
        <f t="shared" si="12"/>
        <v>400</v>
      </c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5"/>
      <c r="AK324" s="16"/>
    </row>
    <row r="325" spans="2:37" x14ac:dyDescent="0.2">
      <c r="B325" s="7" t="s">
        <v>69</v>
      </c>
      <c r="C325" s="8">
        <v>11102</v>
      </c>
      <c r="D325" s="9" t="s">
        <v>174</v>
      </c>
      <c r="E325" s="10" t="s">
        <v>175</v>
      </c>
      <c r="F325" s="10" t="s">
        <v>176</v>
      </c>
      <c r="G325" s="8">
        <v>1</v>
      </c>
      <c r="H325" s="11">
        <v>300</v>
      </c>
      <c r="I325" s="12">
        <v>42407</v>
      </c>
      <c r="J325" s="13">
        <f t="shared" si="10"/>
        <v>0</v>
      </c>
      <c r="K325" s="14"/>
      <c r="L325" s="14">
        <v>300</v>
      </c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5">
        <f t="shared" si="12"/>
        <v>300</v>
      </c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5"/>
      <c r="AK325" s="16"/>
    </row>
    <row r="326" spans="2:37" x14ac:dyDescent="0.2">
      <c r="B326" s="7" t="s">
        <v>37</v>
      </c>
      <c r="C326" s="8">
        <v>11103</v>
      </c>
      <c r="D326" s="9" t="s">
        <v>180</v>
      </c>
      <c r="E326" s="10" t="s">
        <v>181</v>
      </c>
      <c r="F326" s="10" t="s">
        <v>182</v>
      </c>
      <c r="G326" s="8">
        <v>1</v>
      </c>
      <c r="H326" s="11">
        <v>400</v>
      </c>
      <c r="I326" s="12">
        <v>42407</v>
      </c>
      <c r="J326" s="13">
        <f t="shared" si="10"/>
        <v>0</v>
      </c>
      <c r="K326" s="14"/>
      <c r="L326" s="14">
        <v>400</v>
      </c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5">
        <f t="shared" si="12"/>
        <v>400</v>
      </c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5"/>
      <c r="AK326" s="16"/>
    </row>
    <row r="327" spans="2:37" x14ac:dyDescent="0.2">
      <c r="B327" s="7" t="s">
        <v>47</v>
      </c>
      <c r="C327" s="8">
        <v>11104</v>
      </c>
      <c r="D327" s="9" t="s">
        <v>711</v>
      </c>
      <c r="E327" s="10" t="s">
        <v>712</v>
      </c>
      <c r="F327" s="10" t="s">
        <v>713</v>
      </c>
      <c r="G327" s="8">
        <v>1</v>
      </c>
      <c r="H327" s="11">
        <v>400</v>
      </c>
      <c r="I327" s="12">
        <v>42407</v>
      </c>
      <c r="J327" s="13">
        <f t="shared" si="10"/>
        <v>0</v>
      </c>
      <c r="K327" s="14">
        <v>400</v>
      </c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5">
        <f t="shared" si="12"/>
        <v>400</v>
      </c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5"/>
      <c r="AK327" s="16"/>
    </row>
    <row r="328" spans="2:37" x14ac:dyDescent="0.2">
      <c r="B328" s="7" t="s">
        <v>47</v>
      </c>
      <c r="C328" s="8">
        <v>11104</v>
      </c>
      <c r="D328" s="9" t="s">
        <v>711</v>
      </c>
      <c r="E328" s="10" t="s">
        <v>712</v>
      </c>
      <c r="F328" s="10" t="s">
        <v>713</v>
      </c>
      <c r="G328" s="8">
        <v>3</v>
      </c>
      <c r="H328" s="11">
        <v>320</v>
      </c>
      <c r="I328" s="12">
        <v>42407</v>
      </c>
      <c r="J328" s="13">
        <f t="shared" si="10"/>
        <v>0</v>
      </c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5">
        <f t="shared" si="12"/>
        <v>0</v>
      </c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5"/>
      <c r="AK328" s="16"/>
    </row>
    <row r="329" spans="2:37" x14ac:dyDescent="0.2">
      <c r="B329" s="7" t="s">
        <v>47</v>
      </c>
      <c r="C329" s="8">
        <v>11104</v>
      </c>
      <c r="D329" s="9" t="s">
        <v>711</v>
      </c>
      <c r="E329" s="10" t="s">
        <v>712</v>
      </c>
      <c r="F329" s="10" t="s">
        <v>713</v>
      </c>
      <c r="G329" s="8">
        <v>4</v>
      </c>
      <c r="H329" s="11">
        <v>160</v>
      </c>
      <c r="I329" s="12">
        <v>42407</v>
      </c>
      <c r="J329" s="13">
        <f t="shared" si="10"/>
        <v>0</v>
      </c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5">
        <f t="shared" si="12"/>
        <v>0</v>
      </c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5"/>
      <c r="AK329" s="16"/>
    </row>
    <row r="330" spans="2:37" x14ac:dyDescent="0.2">
      <c r="B330" s="7" t="s">
        <v>73</v>
      </c>
      <c r="C330" s="8">
        <v>11105</v>
      </c>
      <c r="D330" s="9" t="s">
        <v>126</v>
      </c>
      <c r="E330" s="10" t="s">
        <v>127</v>
      </c>
      <c r="F330" s="10" t="s">
        <v>128</v>
      </c>
      <c r="G330" s="8">
        <v>4</v>
      </c>
      <c r="H330" s="11">
        <v>160</v>
      </c>
      <c r="I330" s="12">
        <v>42407</v>
      </c>
      <c r="J330" s="13">
        <f t="shared" si="10"/>
        <v>0</v>
      </c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5">
        <f t="shared" si="12"/>
        <v>0</v>
      </c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5"/>
      <c r="AK330" s="7">
        <v>6562</v>
      </c>
    </row>
    <row r="331" spans="2:37" x14ac:dyDescent="0.2">
      <c r="B331" s="7" t="s">
        <v>69</v>
      </c>
      <c r="C331" s="8">
        <v>11106</v>
      </c>
      <c r="D331" s="9" t="s">
        <v>714</v>
      </c>
      <c r="E331" s="10" t="s">
        <v>715</v>
      </c>
      <c r="F331" s="10" t="s">
        <v>487</v>
      </c>
      <c r="G331" s="8">
        <v>1</v>
      </c>
      <c r="H331" s="11">
        <v>400</v>
      </c>
      <c r="I331" s="12">
        <v>42407</v>
      </c>
      <c r="J331" s="13">
        <f t="shared" si="10"/>
        <v>0</v>
      </c>
      <c r="K331" s="14">
        <v>400</v>
      </c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5">
        <f t="shared" si="12"/>
        <v>400</v>
      </c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5"/>
      <c r="AK331" s="16"/>
    </row>
    <row r="332" spans="2:37" x14ac:dyDescent="0.2">
      <c r="B332" s="7" t="s">
        <v>69</v>
      </c>
      <c r="C332" s="8">
        <v>11107</v>
      </c>
      <c r="D332" s="9" t="s">
        <v>476</v>
      </c>
      <c r="E332" s="10" t="s">
        <v>477</v>
      </c>
      <c r="F332" s="10" t="s">
        <v>478</v>
      </c>
      <c r="G332" s="8">
        <v>1</v>
      </c>
      <c r="H332" s="11">
        <v>400</v>
      </c>
      <c r="I332" s="12">
        <v>42407</v>
      </c>
      <c r="J332" s="13">
        <f t="shared" si="10"/>
        <v>0</v>
      </c>
      <c r="K332" s="14"/>
      <c r="L332" s="14">
        <v>400</v>
      </c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5">
        <f t="shared" si="12"/>
        <v>400</v>
      </c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5"/>
      <c r="AK332" s="16"/>
    </row>
    <row r="333" spans="2:37" x14ac:dyDescent="0.2">
      <c r="B333" s="7" t="s">
        <v>37</v>
      </c>
      <c r="C333" s="8">
        <v>11108</v>
      </c>
      <c r="D333" s="9" t="s">
        <v>716</v>
      </c>
      <c r="E333" s="10" t="s">
        <v>717</v>
      </c>
      <c r="F333" s="10" t="s">
        <v>718</v>
      </c>
      <c r="G333" s="8">
        <v>1</v>
      </c>
      <c r="H333" s="11">
        <v>600</v>
      </c>
      <c r="I333" s="12">
        <v>42406</v>
      </c>
      <c r="J333" s="13">
        <f t="shared" si="10"/>
        <v>0</v>
      </c>
      <c r="K333" s="14">
        <v>300</v>
      </c>
      <c r="L333" s="14">
        <v>300</v>
      </c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5">
        <f t="shared" si="12"/>
        <v>600</v>
      </c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5"/>
      <c r="AK333" s="16"/>
    </row>
    <row r="334" spans="2:37" x14ac:dyDescent="0.2">
      <c r="B334" s="7" t="s">
        <v>37</v>
      </c>
      <c r="C334" s="8">
        <v>11109</v>
      </c>
      <c r="D334" s="9" t="s">
        <v>205</v>
      </c>
      <c r="E334" s="10" t="s">
        <v>206</v>
      </c>
      <c r="F334" s="10" t="s">
        <v>207</v>
      </c>
      <c r="G334" s="8">
        <v>1</v>
      </c>
      <c r="H334" s="11">
        <v>600</v>
      </c>
      <c r="I334" s="12">
        <v>42407</v>
      </c>
      <c r="J334" s="13">
        <f t="shared" si="10"/>
        <v>0</v>
      </c>
      <c r="K334" s="14">
        <v>600</v>
      </c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5">
        <f t="shared" si="12"/>
        <v>600</v>
      </c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5"/>
      <c r="AK334" s="16"/>
    </row>
    <row r="335" spans="2:37" x14ac:dyDescent="0.2">
      <c r="B335" s="7" t="s">
        <v>69</v>
      </c>
      <c r="C335" s="8">
        <v>11110</v>
      </c>
      <c r="D335" s="9" t="s">
        <v>373</v>
      </c>
      <c r="E335" s="10" t="s">
        <v>374</v>
      </c>
      <c r="F335" s="10" t="s">
        <v>375</v>
      </c>
      <c r="G335" s="8">
        <v>1</v>
      </c>
      <c r="H335" s="11">
        <v>400</v>
      </c>
      <c r="I335" s="12">
        <v>42409</v>
      </c>
      <c r="J335" s="13">
        <f t="shared" si="10"/>
        <v>0</v>
      </c>
      <c r="K335" s="14"/>
      <c r="L335" s="14">
        <v>400</v>
      </c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5">
        <f t="shared" si="12"/>
        <v>400</v>
      </c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5"/>
      <c r="AK335" s="16"/>
    </row>
    <row r="336" spans="2:37" x14ac:dyDescent="0.2">
      <c r="B336" s="7" t="s">
        <v>47</v>
      </c>
      <c r="C336" s="8">
        <v>11111</v>
      </c>
      <c r="D336" s="9" t="s">
        <v>280</v>
      </c>
      <c r="E336" s="10" t="s">
        <v>281</v>
      </c>
      <c r="F336" s="10" t="s">
        <v>282</v>
      </c>
      <c r="G336" s="8">
        <v>1</v>
      </c>
      <c r="H336" s="11">
        <v>400</v>
      </c>
      <c r="I336" s="12">
        <v>42414</v>
      </c>
      <c r="J336" s="13">
        <f t="shared" si="10"/>
        <v>0</v>
      </c>
      <c r="K336" s="14"/>
      <c r="L336" s="14">
        <v>400</v>
      </c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5">
        <f t="shared" si="12"/>
        <v>400</v>
      </c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5"/>
      <c r="AK336" s="16"/>
    </row>
    <row r="337" spans="2:37" x14ac:dyDescent="0.2">
      <c r="B337" s="7" t="s">
        <v>69</v>
      </c>
      <c r="C337" s="8">
        <v>11112</v>
      </c>
      <c r="D337" s="9" t="s">
        <v>301</v>
      </c>
      <c r="E337" s="10" t="s">
        <v>302</v>
      </c>
      <c r="F337" s="10" t="s">
        <v>303</v>
      </c>
      <c r="G337" s="8">
        <v>1</v>
      </c>
      <c r="H337" s="11">
        <v>200</v>
      </c>
      <c r="I337" s="12">
        <v>42414</v>
      </c>
      <c r="J337" s="13">
        <f t="shared" si="10"/>
        <v>0</v>
      </c>
      <c r="K337" s="14"/>
      <c r="L337" s="14">
        <v>200</v>
      </c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5">
        <f t="shared" si="12"/>
        <v>200</v>
      </c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5"/>
      <c r="AK337" s="16"/>
    </row>
    <row r="338" spans="2:37" x14ac:dyDescent="0.2">
      <c r="B338" s="7" t="s">
        <v>37</v>
      </c>
      <c r="C338" s="8">
        <v>11113</v>
      </c>
      <c r="D338" s="9" t="s">
        <v>44</v>
      </c>
      <c r="E338" s="10" t="s">
        <v>45</v>
      </c>
      <c r="F338" s="10" t="s">
        <v>46</v>
      </c>
      <c r="G338" s="8">
        <v>1</v>
      </c>
      <c r="H338" s="11">
        <v>1200</v>
      </c>
      <c r="I338" s="12">
        <v>42414</v>
      </c>
      <c r="J338" s="13">
        <f t="shared" si="10"/>
        <v>0</v>
      </c>
      <c r="K338" s="14"/>
      <c r="L338" s="14">
        <v>400</v>
      </c>
      <c r="M338" s="14">
        <v>400</v>
      </c>
      <c r="N338" s="14">
        <v>400</v>
      </c>
      <c r="O338" s="14"/>
      <c r="P338" s="14"/>
      <c r="Q338" s="14"/>
      <c r="R338" s="14"/>
      <c r="S338" s="14"/>
      <c r="T338" s="14"/>
      <c r="U338" s="14"/>
      <c r="V338" s="14"/>
      <c r="W338" s="15">
        <f t="shared" si="12"/>
        <v>1200</v>
      </c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5"/>
      <c r="AK338" s="16"/>
    </row>
    <row r="339" spans="2:37" x14ac:dyDescent="0.2">
      <c r="B339" s="7" t="s">
        <v>73</v>
      </c>
      <c r="C339" s="8">
        <v>11114</v>
      </c>
      <c r="D339" s="9" t="s">
        <v>719</v>
      </c>
      <c r="E339" s="10" t="s">
        <v>720</v>
      </c>
      <c r="F339" s="10" t="s">
        <v>721</v>
      </c>
      <c r="G339" s="8">
        <v>1</v>
      </c>
      <c r="H339" s="11">
        <v>800</v>
      </c>
      <c r="I339" s="12">
        <v>42414</v>
      </c>
      <c r="J339" s="13">
        <f t="shared" si="10"/>
        <v>0</v>
      </c>
      <c r="K339" s="14">
        <v>400</v>
      </c>
      <c r="L339" s="14">
        <v>400</v>
      </c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5">
        <f t="shared" si="12"/>
        <v>800</v>
      </c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5"/>
      <c r="AK339" s="16"/>
    </row>
    <row r="340" spans="2:37" x14ac:dyDescent="0.2">
      <c r="B340" s="7" t="s">
        <v>73</v>
      </c>
      <c r="C340" s="8">
        <v>11114</v>
      </c>
      <c r="D340" s="9" t="s">
        <v>719</v>
      </c>
      <c r="E340" s="10" t="s">
        <v>720</v>
      </c>
      <c r="F340" s="10" t="s">
        <v>721</v>
      </c>
      <c r="G340" s="8">
        <v>3</v>
      </c>
      <c r="H340" s="11">
        <v>160</v>
      </c>
      <c r="I340" s="12">
        <v>42414</v>
      </c>
      <c r="J340" s="13">
        <f t="shared" ref="J340:J403" si="13">IF(G340=1,SUM(W340,-H340),0)</f>
        <v>0</v>
      </c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5">
        <f t="shared" ref="W340:W403" si="14">SUM(K340:V340)</f>
        <v>0</v>
      </c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5"/>
      <c r="AK340" s="16"/>
    </row>
    <row r="341" spans="2:37" x14ac:dyDescent="0.2">
      <c r="B341" s="7" t="s">
        <v>37</v>
      </c>
      <c r="C341" s="8">
        <v>11115</v>
      </c>
      <c r="D341" s="9" t="s">
        <v>119</v>
      </c>
      <c r="E341" s="10" t="s">
        <v>120</v>
      </c>
      <c r="F341" s="10" t="s">
        <v>121</v>
      </c>
      <c r="G341" s="8">
        <v>1</v>
      </c>
      <c r="H341" s="11">
        <v>800</v>
      </c>
      <c r="I341" s="12">
        <v>42414</v>
      </c>
      <c r="J341" s="13">
        <f t="shared" si="13"/>
        <v>0</v>
      </c>
      <c r="K341" s="14">
        <v>400</v>
      </c>
      <c r="L341" s="14">
        <v>400</v>
      </c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5">
        <f t="shared" si="14"/>
        <v>800</v>
      </c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5"/>
      <c r="AK341" s="16"/>
    </row>
    <row r="342" spans="2:37" x14ac:dyDescent="0.2">
      <c r="B342" s="7" t="s">
        <v>73</v>
      </c>
      <c r="C342" s="8">
        <v>11116</v>
      </c>
      <c r="D342" s="9" t="s">
        <v>722</v>
      </c>
      <c r="E342" s="10" t="s">
        <v>723</v>
      </c>
      <c r="F342" s="10" t="s">
        <v>724</v>
      </c>
      <c r="G342" s="8">
        <v>1</v>
      </c>
      <c r="H342" s="11">
        <v>4400</v>
      </c>
      <c r="I342" s="12">
        <v>42414</v>
      </c>
      <c r="J342" s="13">
        <f t="shared" si="13"/>
        <v>0</v>
      </c>
      <c r="K342" s="14">
        <v>400</v>
      </c>
      <c r="L342" s="14">
        <v>400</v>
      </c>
      <c r="M342" s="14">
        <v>400</v>
      </c>
      <c r="N342" s="14">
        <v>400</v>
      </c>
      <c r="O342" s="14">
        <v>400</v>
      </c>
      <c r="P342" s="14">
        <v>400</v>
      </c>
      <c r="Q342" s="14">
        <v>400</v>
      </c>
      <c r="R342" s="14">
        <v>400</v>
      </c>
      <c r="S342" s="14">
        <v>400</v>
      </c>
      <c r="T342" s="14">
        <v>400</v>
      </c>
      <c r="U342" s="14">
        <v>400</v>
      </c>
      <c r="V342" s="14"/>
      <c r="W342" s="15">
        <f t="shared" si="14"/>
        <v>4400</v>
      </c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5"/>
      <c r="AK342" s="16" t="s">
        <v>57</v>
      </c>
    </row>
    <row r="343" spans="2:37" x14ac:dyDescent="0.2">
      <c r="B343" s="7" t="s">
        <v>77</v>
      </c>
      <c r="C343" s="8">
        <v>11117</v>
      </c>
      <c r="D343" s="9" t="s">
        <v>725</v>
      </c>
      <c r="E343" s="10" t="s">
        <v>726</v>
      </c>
      <c r="F343" s="10" t="s">
        <v>727</v>
      </c>
      <c r="G343" s="8">
        <v>1</v>
      </c>
      <c r="H343" s="11">
        <v>400</v>
      </c>
      <c r="I343" s="12">
        <v>42414</v>
      </c>
      <c r="J343" s="13">
        <f t="shared" si="13"/>
        <v>0</v>
      </c>
      <c r="K343" s="14">
        <v>400</v>
      </c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5">
        <f t="shared" si="14"/>
        <v>400</v>
      </c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5"/>
      <c r="AK343" s="16"/>
    </row>
    <row r="344" spans="2:37" x14ac:dyDescent="0.2">
      <c r="B344" s="7" t="s">
        <v>73</v>
      </c>
      <c r="C344" s="8">
        <v>11118</v>
      </c>
      <c r="D344" s="9" t="s">
        <v>728</v>
      </c>
      <c r="E344" s="10" t="s">
        <v>729</v>
      </c>
      <c r="F344" s="10" t="s">
        <v>730</v>
      </c>
      <c r="G344" s="8">
        <v>1</v>
      </c>
      <c r="H344" s="11">
        <v>400</v>
      </c>
      <c r="I344" s="12">
        <v>42414</v>
      </c>
      <c r="J344" s="13">
        <f t="shared" si="13"/>
        <v>0</v>
      </c>
      <c r="K344" s="14">
        <v>400</v>
      </c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5">
        <f t="shared" si="14"/>
        <v>400</v>
      </c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5"/>
      <c r="AK344" s="16"/>
    </row>
    <row r="345" spans="2:37" x14ac:dyDescent="0.2">
      <c r="B345" s="7" t="s">
        <v>73</v>
      </c>
      <c r="C345" s="8">
        <v>11118</v>
      </c>
      <c r="D345" s="9" t="s">
        <v>728</v>
      </c>
      <c r="E345" s="10" t="s">
        <v>729</v>
      </c>
      <c r="F345" s="10" t="s">
        <v>730</v>
      </c>
      <c r="G345" s="8">
        <v>3</v>
      </c>
      <c r="H345" s="11">
        <v>160</v>
      </c>
      <c r="I345" s="12">
        <v>42414</v>
      </c>
      <c r="J345" s="13">
        <f t="shared" si="13"/>
        <v>0</v>
      </c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5">
        <f t="shared" si="14"/>
        <v>0</v>
      </c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5"/>
      <c r="AK345" s="16"/>
    </row>
    <row r="346" spans="2:37" x14ac:dyDescent="0.2">
      <c r="B346" s="7" t="s">
        <v>73</v>
      </c>
      <c r="C346" s="8">
        <v>11118</v>
      </c>
      <c r="D346" s="9" t="s">
        <v>728</v>
      </c>
      <c r="E346" s="10" t="s">
        <v>729</v>
      </c>
      <c r="F346" s="10" t="s">
        <v>730</v>
      </c>
      <c r="G346" s="8">
        <v>4</v>
      </c>
      <c r="H346" s="11">
        <v>160</v>
      </c>
      <c r="I346" s="12">
        <v>42414</v>
      </c>
      <c r="J346" s="13">
        <f t="shared" si="13"/>
        <v>0</v>
      </c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5">
        <f t="shared" si="14"/>
        <v>0</v>
      </c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5"/>
      <c r="AK346" s="16"/>
    </row>
    <row r="347" spans="2:37" x14ac:dyDescent="0.2">
      <c r="B347" s="7" t="s">
        <v>73</v>
      </c>
      <c r="C347" s="8">
        <v>11119</v>
      </c>
      <c r="D347" s="9" t="s">
        <v>731</v>
      </c>
      <c r="E347" s="10" t="s">
        <v>732</v>
      </c>
      <c r="F347" s="10" t="s">
        <v>733</v>
      </c>
      <c r="G347" s="8">
        <v>1</v>
      </c>
      <c r="H347" s="11">
        <v>900</v>
      </c>
      <c r="I347" s="12">
        <v>42414</v>
      </c>
      <c r="J347" s="13">
        <f t="shared" si="13"/>
        <v>0</v>
      </c>
      <c r="K347" s="14">
        <v>300</v>
      </c>
      <c r="L347" s="14">
        <v>300</v>
      </c>
      <c r="M347" s="14">
        <v>300</v>
      </c>
      <c r="N347" s="14"/>
      <c r="O347" s="14"/>
      <c r="P347" s="14"/>
      <c r="Q347" s="14"/>
      <c r="R347" s="14"/>
      <c r="S347" s="14"/>
      <c r="T347" s="14"/>
      <c r="U347" s="14"/>
      <c r="V347" s="14"/>
      <c r="W347" s="15">
        <f t="shared" si="14"/>
        <v>900</v>
      </c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5"/>
      <c r="AK347" s="16"/>
    </row>
    <row r="348" spans="2:37" x14ac:dyDescent="0.2">
      <c r="B348" s="7" t="s">
        <v>37</v>
      </c>
      <c r="C348" s="8">
        <v>11120</v>
      </c>
      <c r="D348" s="9" t="s">
        <v>223</v>
      </c>
      <c r="E348" s="10" t="s">
        <v>224</v>
      </c>
      <c r="F348" s="10" t="s">
        <v>225</v>
      </c>
      <c r="G348" s="8">
        <v>4</v>
      </c>
      <c r="H348" s="11">
        <v>160</v>
      </c>
      <c r="I348" s="12">
        <v>42414</v>
      </c>
      <c r="J348" s="13">
        <f t="shared" si="13"/>
        <v>0</v>
      </c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5">
        <f t="shared" si="14"/>
        <v>0</v>
      </c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5"/>
      <c r="AK348" s="16"/>
    </row>
    <row r="349" spans="2:37" x14ac:dyDescent="0.2">
      <c r="B349" s="7" t="s">
        <v>37</v>
      </c>
      <c r="C349" s="8">
        <v>11121</v>
      </c>
      <c r="D349" s="9" t="s">
        <v>295</v>
      </c>
      <c r="E349" s="10" t="s">
        <v>296</v>
      </c>
      <c r="F349" s="10" t="s">
        <v>297</v>
      </c>
      <c r="G349" s="8">
        <v>1</v>
      </c>
      <c r="H349" s="11">
        <v>300</v>
      </c>
      <c r="I349" s="12">
        <v>42414</v>
      </c>
      <c r="J349" s="13">
        <f t="shared" si="13"/>
        <v>0</v>
      </c>
      <c r="K349" s="14"/>
      <c r="L349" s="14">
        <v>300</v>
      </c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5">
        <f t="shared" si="14"/>
        <v>300</v>
      </c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5"/>
      <c r="AK349" s="16"/>
    </row>
    <row r="350" spans="2:37" x14ac:dyDescent="0.2">
      <c r="B350" s="7" t="s">
        <v>69</v>
      </c>
      <c r="C350" s="8">
        <v>11122</v>
      </c>
      <c r="D350" s="9" t="s">
        <v>292</v>
      </c>
      <c r="E350" s="10" t="s">
        <v>293</v>
      </c>
      <c r="F350" s="10" t="s">
        <v>294</v>
      </c>
      <c r="G350" s="8">
        <v>1</v>
      </c>
      <c r="H350" s="11">
        <v>400</v>
      </c>
      <c r="I350" s="12">
        <v>42414</v>
      </c>
      <c r="J350" s="13">
        <f t="shared" si="13"/>
        <v>0</v>
      </c>
      <c r="K350" s="14"/>
      <c r="L350" s="14">
        <v>400</v>
      </c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5">
        <f t="shared" si="14"/>
        <v>400</v>
      </c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5"/>
      <c r="AK350" s="16"/>
    </row>
    <row r="351" spans="2:37" x14ac:dyDescent="0.2">
      <c r="B351" s="7" t="s">
        <v>69</v>
      </c>
      <c r="C351" s="8">
        <v>11123</v>
      </c>
      <c r="D351" s="9" t="s">
        <v>625</v>
      </c>
      <c r="E351" s="10" t="s">
        <v>626</v>
      </c>
      <c r="F351" s="10" t="s">
        <v>627</v>
      </c>
      <c r="G351" s="8">
        <v>1</v>
      </c>
      <c r="H351" s="11">
        <v>400</v>
      </c>
      <c r="I351" s="12">
        <v>42414</v>
      </c>
      <c r="J351" s="13">
        <f t="shared" si="13"/>
        <v>0</v>
      </c>
      <c r="K351" s="14"/>
      <c r="L351" s="14">
        <v>400</v>
      </c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5">
        <f t="shared" si="14"/>
        <v>400</v>
      </c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5"/>
      <c r="AK351" s="16"/>
    </row>
    <row r="352" spans="2:37" x14ac:dyDescent="0.2">
      <c r="B352" s="7" t="s">
        <v>47</v>
      </c>
      <c r="C352" s="8">
        <v>11124</v>
      </c>
      <c r="D352" s="9" t="s">
        <v>734</v>
      </c>
      <c r="E352" s="10" t="s">
        <v>735</v>
      </c>
      <c r="F352" s="10" t="s">
        <v>736</v>
      </c>
      <c r="G352" s="8">
        <v>1</v>
      </c>
      <c r="H352" s="11">
        <v>4400</v>
      </c>
      <c r="I352" s="12">
        <v>42414</v>
      </c>
      <c r="J352" s="13">
        <f t="shared" si="13"/>
        <v>0</v>
      </c>
      <c r="K352" s="14">
        <v>400</v>
      </c>
      <c r="L352" s="14">
        <v>400</v>
      </c>
      <c r="M352" s="14">
        <v>400</v>
      </c>
      <c r="N352" s="14">
        <v>400</v>
      </c>
      <c r="O352" s="14">
        <v>400</v>
      </c>
      <c r="P352" s="14">
        <v>400</v>
      </c>
      <c r="Q352" s="14">
        <v>400</v>
      </c>
      <c r="R352" s="14">
        <v>400</v>
      </c>
      <c r="S352" s="14">
        <v>400</v>
      </c>
      <c r="T352" s="14">
        <v>400</v>
      </c>
      <c r="U352" s="14">
        <v>400</v>
      </c>
      <c r="V352" s="14"/>
      <c r="W352" s="15">
        <f t="shared" si="14"/>
        <v>4400</v>
      </c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5"/>
      <c r="AK352" s="16" t="s">
        <v>379</v>
      </c>
    </row>
    <row r="353" spans="2:37" x14ac:dyDescent="0.2">
      <c r="B353" s="7" t="s">
        <v>73</v>
      </c>
      <c r="C353" s="8">
        <v>11125</v>
      </c>
      <c r="D353" s="9" t="s">
        <v>458</v>
      </c>
      <c r="E353" s="10" t="s">
        <v>459</v>
      </c>
      <c r="F353" s="10" t="s">
        <v>460</v>
      </c>
      <c r="G353" s="8">
        <v>1</v>
      </c>
      <c r="H353" s="11">
        <v>400</v>
      </c>
      <c r="I353" s="12">
        <v>42414</v>
      </c>
      <c r="J353" s="13">
        <f t="shared" si="13"/>
        <v>0</v>
      </c>
      <c r="K353" s="14"/>
      <c r="L353" s="14">
        <v>400</v>
      </c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5">
        <f t="shared" si="14"/>
        <v>400</v>
      </c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5"/>
      <c r="AK353" s="16"/>
    </row>
    <row r="354" spans="2:37" x14ac:dyDescent="0.2">
      <c r="B354" s="7" t="s">
        <v>37</v>
      </c>
      <c r="C354" s="8">
        <v>11126</v>
      </c>
      <c r="D354" s="9" t="s">
        <v>488</v>
      </c>
      <c r="E354" s="10" t="s">
        <v>489</v>
      </c>
      <c r="F354" s="10" t="s">
        <v>490</v>
      </c>
      <c r="G354" s="8">
        <v>1</v>
      </c>
      <c r="H354" s="11">
        <v>400</v>
      </c>
      <c r="I354" s="12">
        <v>42414</v>
      </c>
      <c r="J354" s="13">
        <f t="shared" si="13"/>
        <v>0</v>
      </c>
      <c r="K354" s="14"/>
      <c r="L354" s="14">
        <v>400</v>
      </c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5">
        <f t="shared" si="14"/>
        <v>400</v>
      </c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5"/>
      <c r="AK354" s="16"/>
    </row>
    <row r="355" spans="2:37" x14ac:dyDescent="0.2">
      <c r="B355" s="7" t="s">
        <v>69</v>
      </c>
      <c r="C355" s="8">
        <v>11127</v>
      </c>
      <c r="D355" s="9" t="s">
        <v>165</v>
      </c>
      <c r="E355" s="10" t="s">
        <v>166</v>
      </c>
      <c r="F355" s="10" t="s">
        <v>167</v>
      </c>
      <c r="G355" s="8">
        <v>1</v>
      </c>
      <c r="H355" s="11">
        <v>350</v>
      </c>
      <c r="I355" s="12">
        <v>42414</v>
      </c>
      <c r="J355" s="13">
        <f t="shared" si="13"/>
        <v>0</v>
      </c>
      <c r="K355" s="14"/>
      <c r="L355" s="14">
        <v>350</v>
      </c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5">
        <f t="shared" si="14"/>
        <v>350</v>
      </c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5"/>
      <c r="AK355" s="16"/>
    </row>
    <row r="356" spans="2:37" x14ac:dyDescent="0.2">
      <c r="B356" s="7" t="s">
        <v>73</v>
      </c>
      <c r="C356" s="8">
        <v>11128</v>
      </c>
      <c r="D356" s="9" t="s">
        <v>277</v>
      </c>
      <c r="E356" s="10" t="s">
        <v>278</v>
      </c>
      <c r="F356" s="10" t="s">
        <v>279</v>
      </c>
      <c r="G356" s="8">
        <v>1</v>
      </c>
      <c r="H356" s="11">
        <v>200</v>
      </c>
      <c r="I356" s="12">
        <v>42414</v>
      </c>
      <c r="J356" s="13">
        <f t="shared" si="13"/>
        <v>0</v>
      </c>
      <c r="K356" s="14"/>
      <c r="L356" s="14">
        <v>200</v>
      </c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5">
        <f t="shared" si="14"/>
        <v>200</v>
      </c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5"/>
      <c r="AK356" s="16"/>
    </row>
    <row r="357" spans="2:37" x14ac:dyDescent="0.2">
      <c r="B357" s="7" t="s">
        <v>47</v>
      </c>
      <c r="C357" s="8">
        <v>11129</v>
      </c>
      <c r="D357" s="9" t="s">
        <v>734</v>
      </c>
      <c r="E357" s="10" t="s">
        <v>735</v>
      </c>
      <c r="F357" s="10" t="s">
        <v>736</v>
      </c>
      <c r="G357" s="8">
        <v>4</v>
      </c>
      <c r="H357" s="11">
        <v>160</v>
      </c>
      <c r="I357" s="12">
        <v>42414</v>
      </c>
      <c r="J357" s="13">
        <f t="shared" si="13"/>
        <v>0</v>
      </c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5">
        <f t="shared" si="14"/>
        <v>0</v>
      </c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5"/>
      <c r="AK357" s="16"/>
    </row>
    <row r="358" spans="2:37" x14ac:dyDescent="0.2">
      <c r="B358" s="7" t="s">
        <v>61</v>
      </c>
      <c r="C358" s="8">
        <v>11130</v>
      </c>
      <c r="D358" s="9" t="s">
        <v>737</v>
      </c>
      <c r="E358" s="10" t="s">
        <v>738</v>
      </c>
      <c r="F358" s="10" t="s">
        <v>739</v>
      </c>
      <c r="G358" s="8">
        <v>1</v>
      </c>
      <c r="H358" s="11">
        <v>800</v>
      </c>
      <c r="I358" s="12">
        <v>42414</v>
      </c>
      <c r="J358" s="13">
        <f t="shared" si="13"/>
        <v>0</v>
      </c>
      <c r="K358" s="14">
        <v>400</v>
      </c>
      <c r="L358" s="14">
        <v>400</v>
      </c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5">
        <f t="shared" si="14"/>
        <v>800</v>
      </c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5"/>
      <c r="AK358" s="16"/>
    </row>
    <row r="359" spans="2:37" x14ac:dyDescent="0.2">
      <c r="B359" s="7" t="s">
        <v>61</v>
      </c>
      <c r="C359" s="8">
        <v>11131</v>
      </c>
      <c r="D359" s="9" t="s">
        <v>737</v>
      </c>
      <c r="E359" s="10" t="s">
        <v>738</v>
      </c>
      <c r="F359" s="10" t="s">
        <v>739</v>
      </c>
      <c r="G359" s="8">
        <v>4</v>
      </c>
      <c r="H359" s="11">
        <v>160</v>
      </c>
      <c r="I359" s="12">
        <v>42414</v>
      </c>
      <c r="J359" s="13">
        <f t="shared" si="13"/>
        <v>0</v>
      </c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5">
        <f t="shared" si="14"/>
        <v>0</v>
      </c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5"/>
      <c r="AK359" s="16"/>
    </row>
    <row r="360" spans="2:37" x14ac:dyDescent="0.2">
      <c r="B360" s="7" t="s">
        <v>47</v>
      </c>
      <c r="C360" s="8">
        <v>11132</v>
      </c>
      <c r="D360" s="9" t="s">
        <v>150</v>
      </c>
      <c r="E360" s="10" t="s">
        <v>151</v>
      </c>
      <c r="F360" s="10" t="s">
        <v>152</v>
      </c>
      <c r="G360" s="8">
        <v>1</v>
      </c>
      <c r="H360" s="11">
        <v>400</v>
      </c>
      <c r="I360" s="12">
        <v>42414</v>
      </c>
      <c r="J360" s="13">
        <f t="shared" si="13"/>
        <v>0</v>
      </c>
      <c r="K360" s="14"/>
      <c r="L360" s="14">
        <v>400</v>
      </c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5">
        <f t="shared" si="14"/>
        <v>400</v>
      </c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5"/>
      <c r="AK360" s="16"/>
    </row>
    <row r="361" spans="2:37" x14ac:dyDescent="0.2">
      <c r="B361" s="7" t="s">
        <v>69</v>
      </c>
      <c r="C361" s="8">
        <v>11133</v>
      </c>
      <c r="D361" s="9" t="s">
        <v>740</v>
      </c>
      <c r="E361" s="10" t="s">
        <v>741</v>
      </c>
      <c r="F361" s="10" t="s">
        <v>742</v>
      </c>
      <c r="G361" s="8">
        <v>1</v>
      </c>
      <c r="H361" s="11">
        <v>800</v>
      </c>
      <c r="I361" s="12">
        <v>42414</v>
      </c>
      <c r="J361" s="13">
        <f t="shared" si="13"/>
        <v>0</v>
      </c>
      <c r="K361" s="14">
        <v>400</v>
      </c>
      <c r="L361" s="14">
        <v>400</v>
      </c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5">
        <f t="shared" si="14"/>
        <v>800</v>
      </c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5"/>
      <c r="AK361" s="16"/>
    </row>
    <row r="362" spans="2:37" x14ac:dyDescent="0.2">
      <c r="B362" s="7" t="s">
        <v>47</v>
      </c>
      <c r="C362" s="8">
        <v>11134</v>
      </c>
      <c r="D362" s="9" t="s">
        <v>208</v>
      </c>
      <c r="E362" s="10" t="s">
        <v>209</v>
      </c>
      <c r="F362" s="10" t="s">
        <v>210</v>
      </c>
      <c r="G362" s="8">
        <v>1</v>
      </c>
      <c r="H362" s="11">
        <v>400</v>
      </c>
      <c r="I362" s="12">
        <v>42414</v>
      </c>
      <c r="J362" s="13">
        <f t="shared" si="13"/>
        <v>0</v>
      </c>
      <c r="K362" s="14">
        <v>400</v>
      </c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5">
        <f t="shared" si="14"/>
        <v>400</v>
      </c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5"/>
      <c r="AK362" s="16"/>
    </row>
    <row r="363" spans="2:37" x14ac:dyDescent="0.2">
      <c r="B363" s="7" t="s">
        <v>69</v>
      </c>
      <c r="C363" s="8">
        <v>11135</v>
      </c>
      <c r="D363" s="9" t="s">
        <v>514</v>
      </c>
      <c r="E363" s="10" t="s">
        <v>515</v>
      </c>
      <c r="F363" s="10" t="s">
        <v>516</v>
      </c>
      <c r="G363" s="8">
        <v>1</v>
      </c>
      <c r="H363" s="11">
        <v>400</v>
      </c>
      <c r="I363" s="12">
        <v>42414</v>
      </c>
      <c r="J363" s="13">
        <f t="shared" si="13"/>
        <v>0</v>
      </c>
      <c r="K363" s="14"/>
      <c r="L363" s="14">
        <v>400</v>
      </c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5">
        <f t="shared" si="14"/>
        <v>400</v>
      </c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5"/>
      <c r="AK363" s="16"/>
    </row>
    <row r="364" spans="2:37" x14ac:dyDescent="0.2">
      <c r="B364" s="7" t="s">
        <v>69</v>
      </c>
      <c r="C364" s="8">
        <v>11136</v>
      </c>
      <c r="D364" s="9" t="s">
        <v>743</v>
      </c>
      <c r="E364" s="10" t="s">
        <v>744</v>
      </c>
      <c r="F364" s="10" t="s">
        <v>745</v>
      </c>
      <c r="G364" s="8">
        <v>1</v>
      </c>
      <c r="H364" s="11">
        <v>400</v>
      </c>
      <c r="I364" s="12">
        <v>42414</v>
      </c>
      <c r="J364" s="13">
        <f t="shared" si="13"/>
        <v>0</v>
      </c>
      <c r="K364" s="14">
        <v>400</v>
      </c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5">
        <f t="shared" si="14"/>
        <v>400</v>
      </c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5"/>
      <c r="AK364" s="16"/>
    </row>
    <row r="365" spans="2:37" x14ac:dyDescent="0.2">
      <c r="B365" s="7" t="s">
        <v>47</v>
      </c>
      <c r="C365" s="8">
        <v>11137</v>
      </c>
      <c r="D365" s="9" t="s">
        <v>746</v>
      </c>
      <c r="E365" s="10" t="s">
        <v>747</v>
      </c>
      <c r="F365" s="10" t="s">
        <v>748</v>
      </c>
      <c r="G365" s="8">
        <v>1</v>
      </c>
      <c r="H365" s="11">
        <v>900</v>
      </c>
      <c r="I365" s="12">
        <v>42414</v>
      </c>
      <c r="J365" s="13">
        <f t="shared" si="13"/>
        <v>0</v>
      </c>
      <c r="K365" s="14">
        <v>300</v>
      </c>
      <c r="L365" s="14">
        <v>300</v>
      </c>
      <c r="M365" s="14">
        <v>300</v>
      </c>
      <c r="N365" s="14"/>
      <c r="O365" s="14"/>
      <c r="P365" s="14"/>
      <c r="Q365" s="14"/>
      <c r="R365" s="14"/>
      <c r="S365" s="14"/>
      <c r="T365" s="14"/>
      <c r="U365" s="14"/>
      <c r="V365" s="14"/>
      <c r="W365" s="15">
        <f t="shared" si="14"/>
        <v>900</v>
      </c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5"/>
      <c r="AK365" s="16"/>
    </row>
    <row r="366" spans="2:37" x14ac:dyDescent="0.2">
      <c r="B366" s="7" t="s">
        <v>47</v>
      </c>
      <c r="C366" s="8">
        <v>11138</v>
      </c>
      <c r="D366" s="9" t="s">
        <v>658</v>
      </c>
      <c r="E366" s="10" t="s">
        <v>659</v>
      </c>
      <c r="F366" s="10" t="s">
        <v>660</v>
      </c>
      <c r="G366" s="8">
        <v>1</v>
      </c>
      <c r="H366" s="11">
        <v>350</v>
      </c>
      <c r="I366" s="12">
        <v>42414</v>
      </c>
      <c r="J366" s="13">
        <f t="shared" si="13"/>
        <v>0</v>
      </c>
      <c r="K366" s="14"/>
      <c r="L366" s="14">
        <v>350</v>
      </c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5">
        <f t="shared" si="14"/>
        <v>350</v>
      </c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5"/>
      <c r="AK366" s="16"/>
    </row>
    <row r="367" spans="2:37" x14ac:dyDescent="0.2">
      <c r="B367" s="7" t="s">
        <v>37</v>
      </c>
      <c r="C367" s="8">
        <v>11139</v>
      </c>
      <c r="D367" s="9" t="s">
        <v>749</v>
      </c>
      <c r="E367" s="10" t="s">
        <v>750</v>
      </c>
      <c r="F367" s="10" t="s">
        <v>751</v>
      </c>
      <c r="G367" s="8">
        <v>1</v>
      </c>
      <c r="H367" s="11">
        <v>800</v>
      </c>
      <c r="I367" s="12">
        <v>42414</v>
      </c>
      <c r="J367" s="13">
        <f t="shared" si="13"/>
        <v>0</v>
      </c>
      <c r="K367" s="14">
        <v>400</v>
      </c>
      <c r="L367" s="14">
        <v>400</v>
      </c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5">
        <f t="shared" si="14"/>
        <v>800</v>
      </c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5"/>
      <c r="AK367" s="16"/>
    </row>
    <row r="368" spans="2:37" x14ac:dyDescent="0.2">
      <c r="B368" s="7" t="s">
        <v>93</v>
      </c>
      <c r="C368" s="8">
        <v>11140</v>
      </c>
      <c r="D368" s="9"/>
      <c r="E368" s="10" t="s">
        <v>93</v>
      </c>
      <c r="F368" s="10" t="s">
        <v>93</v>
      </c>
      <c r="G368" s="8">
        <v>8</v>
      </c>
      <c r="H368" s="11"/>
      <c r="I368" s="12"/>
      <c r="J368" s="13">
        <f t="shared" si="13"/>
        <v>0</v>
      </c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5">
        <f t="shared" si="14"/>
        <v>0</v>
      </c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5"/>
      <c r="AK368" s="16"/>
    </row>
    <row r="369" spans="2:37" x14ac:dyDescent="0.2">
      <c r="B369" s="7" t="s">
        <v>47</v>
      </c>
      <c r="C369" s="8">
        <v>11141</v>
      </c>
      <c r="D369" s="9" t="s">
        <v>404</v>
      </c>
      <c r="E369" s="10" t="s">
        <v>405</v>
      </c>
      <c r="F369" s="10" t="s">
        <v>406</v>
      </c>
      <c r="G369" s="8">
        <v>1</v>
      </c>
      <c r="H369" s="11">
        <v>400</v>
      </c>
      <c r="I369" s="12">
        <v>42414</v>
      </c>
      <c r="J369" s="13">
        <f t="shared" si="13"/>
        <v>0</v>
      </c>
      <c r="K369" s="14"/>
      <c r="L369" s="14">
        <v>400</v>
      </c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5">
        <f t="shared" si="14"/>
        <v>400</v>
      </c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5"/>
      <c r="AK369" s="16"/>
    </row>
    <row r="370" spans="2:37" x14ac:dyDescent="0.2">
      <c r="B370" s="7" t="s">
        <v>69</v>
      </c>
      <c r="C370" s="8">
        <v>11142</v>
      </c>
      <c r="D370" s="9" t="s">
        <v>574</v>
      </c>
      <c r="E370" s="10" t="s">
        <v>575</v>
      </c>
      <c r="F370" s="10" t="s">
        <v>576</v>
      </c>
      <c r="G370" s="8">
        <v>1</v>
      </c>
      <c r="H370" s="11">
        <v>400</v>
      </c>
      <c r="I370" s="12">
        <v>42416</v>
      </c>
      <c r="J370" s="13">
        <f t="shared" si="13"/>
        <v>0</v>
      </c>
      <c r="K370" s="14"/>
      <c r="L370" s="14">
        <v>400</v>
      </c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5">
        <f t="shared" si="14"/>
        <v>400</v>
      </c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5"/>
      <c r="AK370" s="16"/>
    </row>
    <row r="371" spans="2:37" x14ac:dyDescent="0.2">
      <c r="B371" s="7" t="s">
        <v>391</v>
      </c>
      <c r="C371" s="8">
        <v>11143</v>
      </c>
      <c r="D371" s="9" t="s">
        <v>482</v>
      </c>
      <c r="E371" s="10" t="s">
        <v>483</v>
      </c>
      <c r="F371" s="10" t="s">
        <v>484</v>
      </c>
      <c r="G371" s="8">
        <v>1</v>
      </c>
      <c r="H371" s="11">
        <v>200</v>
      </c>
      <c r="I371" s="12">
        <v>42416</v>
      </c>
      <c r="J371" s="13">
        <f t="shared" si="13"/>
        <v>0</v>
      </c>
      <c r="K371" s="14"/>
      <c r="L371" s="14">
        <v>200</v>
      </c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5">
        <f t="shared" si="14"/>
        <v>200</v>
      </c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5"/>
      <c r="AK371" s="16"/>
    </row>
    <row r="372" spans="2:37" x14ac:dyDescent="0.2">
      <c r="B372" s="7" t="s">
        <v>37</v>
      </c>
      <c r="C372" s="8">
        <v>11144</v>
      </c>
      <c r="D372" s="9" t="s">
        <v>494</v>
      </c>
      <c r="E372" s="10" t="s">
        <v>495</v>
      </c>
      <c r="F372" s="10" t="s">
        <v>496</v>
      </c>
      <c r="G372" s="8">
        <v>1</v>
      </c>
      <c r="H372" s="11">
        <v>150</v>
      </c>
      <c r="I372" s="12">
        <v>42416</v>
      </c>
      <c r="J372" s="13">
        <f t="shared" si="13"/>
        <v>0</v>
      </c>
      <c r="K372" s="14"/>
      <c r="L372" s="14">
        <v>150</v>
      </c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5">
        <f t="shared" si="14"/>
        <v>150</v>
      </c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5"/>
      <c r="AK372" s="16"/>
    </row>
    <row r="373" spans="2:37" x14ac:dyDescent="0.2">
      <c r="B373" s="7" t="s">
        <v>47</v>
      </c>
      <c r="C373" s="8">
        <v>11145</v>
      </c>
      <c r="D373" s="9" t="s">
        <v>614</v>
      </c>
      <c r="E373" s="10" t="s">
        <v>615</v>
      </c>
      <c r="F373" s="10" t="s">
        <v>616</v>
      </c>
      <c r="G373" s="8">
        <v>3</v>
      </c>
      <c r="H373" s="11">
        <v>160</v>
      </c>
      <c r="I373" s="12">
        <v>42418</v>
      </c>
      <c r="J373" s="13">
        <f t="shared" si="13"/>
        <v>0</v>
      </c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5">
        <f t="shared" si="14"/>
        <v>0</v>
      </c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5"/>
      <c r="AK373" s="16"/>
    </row>
    <row r="374" spans="2:37" x14ac:dyDescent="0.2">
      <c r="B374" s="7" t="s">
        <v>47</v>
      </c>
      <c r="C374" s="8">
        <v>11146</v>
      </c>
      <c r="D374" s="9" t="s">
        <v>752</v>
      </c>
      <c r="E374" s="10" t="s">
        <v>753</v>
      </c>
      <c r="F374" s="10" t="s">
        <v>754</v>
      </c>
      <c r="G374" s="8">
        <v>1</v>
      </c>
      <c r="H374" s="11">
        <v>800</v>
      </c>
      <c r="I374" s="12">
        <v>42419</v>
      </c>
      <c r="J374" s="13">
        <f t="shared" si="13"/>
        <v>0</v>
      </c>
      <c r="K374" s="14">
        <v>400</v>
      </c>
      <c r="L374" s="14">
        <v>400</v>
      </c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5">
        <f t="shared" si="14"/>
        <v>800</v>
      </c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5"/>
      <c r="AK374" s="16"/>
    </row>
    <row r="375" spans="2:37" x14ac:dyDescent="0.2">
      <c r="B375" s="7" t="s">
        <v>73</v>
      </c>
      <c r="C375" s="8">
        <v>11147</v>
      </c>
      <c r="D375" s="9" t="s">
        <v>199</v>
      </c>
      <c r="E375" s="10" t="s">
        <v>200</v>
      </c>
      <c r="F375" s="10" t="s">
        <v>201</v>
      </c>
      <c r="G375" s="8">
        <v>1</v>
      </c>
      <c r="H375" s="11">
        <v>400</v>
      </c>
      <c r="I375" s="12">
        <v>42419</v>
      </c>
      <c r="J375" s="13">
        <f t="shared" si="13"/>
        <v>0</v>
      </c>
      <c r="K375" s="14"/>
      <c r="L375" s="14">
        <v>400</v>
      </c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5">
        <f t="shared" si="14"/>
        <v>400</v>
      </c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5"/>
      <c r="AK375" s="16"/>
    </row>
    <row r="376" spans="2:37" x14ac:dyDescent="0.2">
      <c r="B376" s="7" t="s">
        <v>77</v>
      </c>
      <c r="C376" s="8">
        <v>11148</v>
      </c>
      <c r="D376" s="9" t="s">
        <v>666</v>
      </c>
      <c r="E376" s="10" t="s">
        <v>667</v>
      </c>
      <c r="F376" s="10" t="s">
        <v>668</v>
      </c>
      <c r="G376" s="8">
        <v>7</v>
      </c>
      <c r="H376" s="11">
        <v>500</v>
      </c>
      <c r="I376" s="12">
        <v>42420</v>
      </c>
      <c r="J376" s="13">
        <f t="shared" si="13"/>
        <v>0</v>
      </c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5">
        <f t="shared" si="14"/>
        <v>0</v>
      </c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5"/>
      <c r="AK376" s="16"/>
    </row>
    <row r="377" spans="2:37" x14ac:dyDescent="0.2">
      <c r="B377" s="7" t="s">
        <v>77</v>
      </c>
      <c r="C377" s="8">
        <v>11149</v>
      </c>
      <c r="D377" s="9" t="s">
        <v>322</v>
      </c>
      <c r="E377" s="10" t="s">
        <v>323</v>
      </c>
      <c r="F377" s="10" t="s">
        <v>324</v>
      </c>
      <c r="G377" s="8">
        <v>1</v>
      </c>
      <c r="H377" s="11">
        <v>400</v>
      </c>
      <c r="I377" s="12">
        <v>42421</v>
      </c>
      <c r="J377" s="13">
        <f t="shared" si="13"/>
        <v>0</v>
      </c>
      <c r="K377" s="14">
        <v>400</v>
      </c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5">
        <f t="shared" si="14"/>
        <v>400</v>
      </c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5"/>
      <c r="AK377" s="16"/>
    </row>
    <row r="378" spans="2:37" x14ac:dyDescent="0.2">
      <c r="B378" s="7" t="s">
        <v>69</v>
      </c>
      <c r="C378" s="8">
        <v>11150</v>
      </c>
      <c r="D378" s="9" t="s">
        <v>186</v>
      </c>
      <c r="E378" s="10" t="s">
        <v>187</v>
      </c>
      <c r="F378" s="10" t="s">
        <v>188</v>
      </c>
      <c r="G378" s="8">
        <v>1</v>
      </c>
      <c r="H378" s="11">
        <v>400</v>
      </c>
      <c r="I378" s="12">
        <v>42421</v>
      </c>
      <c r="J378" s="13">
        <f t="shared" si="13"/>
        <v>0</v>
      </c>
      <c r="K378" s="14"/>
      <c r="L378" s="14">
        <v>400</v>
      </c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5">
        <f t="shared" si="14"/>
        <v>400</v>
      </c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5"/>
      <c r="AK378" s="16"/>
    </row>
    <row r="379" spans="2:37" x14ac:dyDescent="0.2">
      <c r="B379" s="7" t="s">
        <v>47</v>
      </c>
      <c r="C379" s="8">
        <v>11151</v>
      </c>
      <c r="D379" s="9" t="s">
        <v>416</v>
      </c>
      <c r="E379" s="10" t="s">
        <v>417</v>
      </c>
      <c r="F379" s="10" t="s">
        <v>418</v>
      </c>
      <c r="G379" s="8">
        <v>1</v>
      </c>
      <c r="H379" s="11">
        <v>200</v>
      </c>
      <c r="I379" s="12">
        <v>42421</v>
      </c>
      <c r="J379" s="13">
        <f t="shared" si="13"/>
        <v>0</v>
      </c>
      <c r="K379" s="14"/>
      <c r="L379" s="14">
        <v>200</v>
      </c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5">
        <f t="shared" si="14"/>
        <v>200</v>
      </c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5"/>
      <c r="AK379" s="16"/>
    </row>
    <row r="380" spans="2:37" x14ac:dyDescent="0.2">
      <c r="B380" s="7" t="s">
        <v>47</v>
      </c>
      <c r="C380" s="8">
        <v>11152</v>
      </c>
      <c r="D380" s="9" t="s">
        <v>755</v>
      </c>
      <c r="E380" s="10" t="s">
        <v>756</v>
      </c>
      <c r="F380" s="10" t="s">
        <v>757</v>
      </c>
      <c r="G380" s="8">
        <v>1</v>
      </c>
      <c r="H380" s="11">
        <v>400</v>
      </c>
      <c r="I380" s="12">
        <v>42421</v>
      </c>
      <c r="J380" s="13">
        <f t="shared" si="13"/>
        <v>0</v>
      </c>
      <c r="K380" s="14">
        <v>400</v>
      </c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5">
        <f t="shared" si="14"/>
        <v>400</v>
      </c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5"/>
      <c r="AK380" s="16"/>
    </row>
    <row r="381" spans="2:37" x14ac:dyDescent="0.2">
      <c r="B381" s="7" t="s">
        <v>47</v>
      </c>
      <c r="C381" s="8">
        <v>11153</v>
      </c>
      <c r="D381" s="9" t="s">
        <v>497</v>
      </c>
      <c r="E381" s="10" t="s">
        <v>498</v>
      </c>
      <c r="F381" s="10" t="s">
        <v>499</v>
      </c>
      <c r="G381" s="8">
        <v>1</v>
      </c>
      <c r="H381" s="11">
        <v>800</v>
      </c>
      <c r="I381" s="12">
        <v>42421</v>
      </c>
      <c r="J381" s="13">
        <f t="shared" si="13"/>
        <v>0</v>
      </c>
      <c r="K381" s="14"/>
      <c r="L381" s="14">
        <v>400</v>
      </c>
      <c r="M381" s="14">
        <v>400</v>
      </c>
      <c r="N381" s="14"/>
      <c r="O381" s="14"/>
      <c r="P381" s="14"/>
      <c r="Q381" s="14"/>
      <c r="R381" s="14"/>
      <c r="S381" s="14"/>
      <c r="T381" s="14"/>
      <c r="U381" s="14"/>
      <c r="V381" s="14"/>
      <c r="W381" s="15">
        <f t="shared" si="14"/>
        <v>800</v>
      </c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5"/>
      <c r="AK381" s="16"/>
    </row>
    <row r="382" spans="2:37" x14ac:dyDescent="0.2">
      <c r="B382" s="7" t="s">
        <v>69</v>
      </c>
      <c r="C382" s="8">
        <v>11154</v>
      </c>
      <c r="D382" s="9" t="s">
        <v>758</v>
      </c>
      <c r="E382" s="10" t="s">
        <v>759</v>
      </c>
      <c r="F382" s="10" t="s">
        <v>760</v>
      </c>
      <c r="G382" s="8">
        <v>1</v>
      </c>
      <c r="H382" s="11">
        <v>1500</v>
      </c>
      <c r="I382" s="12">
        <v>42421</v>
      </c>
      <c r="J382" s="13">
        <f t="shared" si="13"/>
        <v>0</v>
      </c>
      <c r="K382" s="14">
        <v>150</v>
      </c>
      <c r="L382" s="14">
        <v>150</v>
      </c>
      <c r="M382" s="14">
        <v>150</v>
      </c>
      <c r="N382" s="14">
        <v>150</v>
      </c>
      <c r="O382" s="14">
        <v>150</v>
      </c>
      <c r="P382" s="14">
        <v>150</v>
      </c>
      <c r="Q382" s="14">
        <v>150</v>
      </c>
      <c r="R382" s="14">
        <v>150</v>
      </c>
      <c r="S382" s="14">
        <v>150</v>
      </c>
      <c r="T382" s="14">
        <v>150</v>
      </c>
      <c r="U382" s="14"/>
      <c r="V382" s="14"/>
      <c r="W382" s="15">
        <f t="shared" si="14"/>
        <v>1500</v>
      </c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5"/>
      <c r="AK382" s="16"/>
    </row>
    <row r="383" spans="2:37" x14ac:dyDescent="0.2">
      <c r="B383" s="7" t="s">
        <v>73</v>
      </c>
      <c r="C383" s="8">
        <v>11155</v>
      </c>
      <c r="D383" s="9" t="s">
        <v>544</v>
      </c>
      <c r="E383" s="10" t="s">
        <v>545</v>
      </c>
      <c r="F383" s="10" t="s">
        <v>546</v>
      </c>
      <c r="G383" s="8">
        <v>1</v>
      </c>
      <c r="H383" s="11">
        <v>400</v>
      </c>
      <c r="I383" s="12">
        <v>42421</v>
      </c>
      <c r="J383" s="13">
        <f t="shared" si="13"/>
        <v>0</v>
      </c>
      <c r="K383" s="14"/>
      <c r="L383" s="14">
        <v>400</v>
      </c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5">
        <f t="shared" si="14"/>
        <v>400</v>
      </c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5"/>
      <c r="AK383" s="16"/>
    </row>
    <row r="384" spans="2:37" x14ac:dyDescent="0.2">
      <c r="B384" s="7" t="s">
        <v>122</v>
      </c>
      <c r="C384" s="8">
        <v>11156</v>
      </c>
      <c r="D384" s="9" t="s">
        <v>761</v>
      </c>
      <c r="E384" s="10" t="s">
        <v>762</v>
      </c>
      <c r="F384" s="10" t="s">
        <v>403</v>
      </c>
      <c r="G384" s="8">
        <v>1</v>
      </c>
      <c r="H384" s="11">
        <v>800</v>
      </c>
      <c r="I384" s="12">
        <v>42421</v>
      </c>
      <c r="J384" s="13">
        <f t="shared" si="13"/>
        <v>0</v>
      </c>
      <c r="K384" s="14">
        <v>400</v>
      </c>
      <c r="L384" s="14">
        <v>400</v>
      </c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5">
        <f t="shared" si="14"/>
        <v>800</v>
      </c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5"/>
      <c r="AK384" s="16"/>
    </row>
    <row r="385" spans="2:37" x14ac:dyDescent="0.2">
      <c r="B385" s="7" t="s">
        <v>122</v>
      </c>
      <c r="C385" s="8">
        <v>11157</v>
      </c>
      <c r="D385" s="9" t="s">
        <v>761</v>
      </c>
      <c r="E385" s="10" t="s">
        <v>762</v>
      </c>
      <c r="F385" s="10" t="s">
        <v>403</v>
      </c>
      <c r="G385" s="8">
        <v>3</v>
      </c>
      <c r="H385" s="11">
        <v>160</v>
      </c>
      <c r="I385" s="12">
        <v>42421</v>
      </c>
      <c r="J385" s="13">
        <f t="shared" si="13"/>
        <v>0</v>
      </c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5">
        <f t="shared" si="14"/>
        <v>0</v>
      </c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5"/>
      <c r="AK385" s="16"/>
    </row>
    <row r="386" spans="2:37" x14ac:dyDescent="0.2">
      <c r="B386" s="7" t="s">
        <v>77</v>
      </c>
      <c r="C386" s="8">
        <v>11158</v>
      </c>
      <c r="D386" s="9" t="s">
        <v>384</v>
      </c>
      <c r="E386" s="10" t="s">
        <v>385</v>
      </c>
      <c r="F386" s="10" t="s">
        <v>386</v>
      </c>
      <c r="G386" s="8">
        <v>1</v>
      </c>
      <c r="H386" s="11">
        <v>350</v>
      </c>
      <c r="I386" s="12">
        <v>42421</v>
      </c>
      <c r="J386" s="13">
        <f t="shared" si="13"/>
        <v>0</v>
      </c>
      <c r="K386" s="14"/>
      <c r="L386" s="14">
        <v>350</v>
      </c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5">
        <f t="shared" si="14"/>
        <v>350</v>
      </c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5"/>
      <c r="AK386" s="16"/>
    </row>
    <row r="387" spans="2:37" x14ac:dyDescent="0.2">
      <c r="B387" s="7" t="s">
        <v>77</v>
      </c>
      <c r="C387" s="8">
        <v>11158</v>
      </c>
      <c r="D387" s="9" t="s">
        <v>384</v>
      </c>
      <c r="E387" s="10" t="s">
        <v>385</v>
      </c>
      <c r="F387" s="10" t="s">
        <v>386</v>
      </c>
      <c r="G387" s="8">
        <v>4</v>
      </c>
      <c r="H387" s="11">
        <v>160</v>
      </c>
      <c r="I387" s="12">
        <v>42421</v>
      </c>
      <c r="J387" s="13">
        <f t="shared" si="13"/>
        <v>0</v>
      </c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5">
        <f t="shared" si="14"/>
        <v>0</v>
      </c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5"/>
      <c r="AK387" s="7">
        <v>1010</v>
      </c>
    </row>
    <row r="388" spans="2:37" x14ac:dyDescent="0.2">
      <c r="B388" s="7" t="s">
        <v>73</v>
      </c>
      <c r="C388" s="8">
        <v>11159</v>
      </c>
      <c r="D388" s="9" t="s">
        <v>763</v>
      </c>
      <c r="E388" s="10" t="s">
        <v>764</v>
      </c>
      <c r="F388" s="10" t="s">
        <v>765</v>
      </c>
      <c r="G388" s="8">
        <v>1</v>
      </c>
      <c r="H388" s="11">
        <v>400</v>
      </c>
      <c r="I388" s="12">
        <v>42421</v>
      </c>
      <c r="J388" s="13">
        <f t="shared" si="13"/>
        <v>0</v>
      </c>
      <c r="K388" s="14">
        <v>400</v>
      </c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5">
        <f t="shared" si="14"/>
        <v>400</v>
      </c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5"/>
      <c r="AK388" s="16"/>
    </row>
    <row r="389" spans="2:37" x14ac:dyDescent="0.2">
      <c r="B389" s="7" t="s">
        <v>37</v>
      </c>
      <c r="C389" s="8">
        <v>11160</v>
      </c>
      <c r="D389" s="9" t="s">
        <v>766</v>
      </c>
      <c r="E389" s="10" t="s">
        <v>767</v>
      </c>
      <c r="F389" s="10" t="s">
        <v>768</v>
      </c>
      <c r="G389" s="8">
        <v>1</v>
      </c>
      <c r="H389" s="11">
        <v>1200</v>
      </c>
      <c r="I389" s="12">
        <v>42421</v>
      </c>
      <c r="J389" s="13">
        <f t="shared" si="13"/>
        <v>0</v>
      </c>
      <c r="K389" s="14">
        <v>400</v>
      </c>
      <c r="L389" s="14">
        <v>400</v>
      </c>
      <c r="M389" s="14">
        <v>400</v>
      </c>
      <c r="N389" s="14"/>
      <c r="O389" s="14"/>
      <c r="P389" s="14"/>
      <c r="Q389" s="14"/>
      <c r="R389" s="14"/>
      <c r="S389" s="14"/>
      <c r="T389" s="14"/>
      <c r="U389" s="14"/>
      <c r="V389" s="14"/>
      <c r="W389" s="15">
        <f t="shared" si="14"/>
        <v>1200</v>
      </c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5"/>
      <c r="AK389" s="16"/>
    </row>
    <row r="390" spans="2:37" x14ac:dyDescent="0.2">
      <c r="B390" s="7" t="s">
        <v>37</v>
      </c>
      <c r="C390" s="8">
        <v>11161</v>
      </c>
      <c r="D390" s="9" t="s">
        <v>628</v>
      </c>
      <c r="E390" s="10" t="s">
        <v>629</v>
      </c>
      <c r="F390" s="10" t="s">
        <v>630</v>
      </c>
      <c r="G390" s="8">
        <v>1</v>
      </c>
      <c r="H390" s="11">
        <v>400</v>
      </c>
      <c r="I390" s="12">
        <v>42421</v>
      </c>
      <c r="J390" s="13">
        <f t="shared" si="13"/>
        <v>0</v>
      </c>
      <c r="K390" s="14">
        <v>400</v>
      </c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5">
        <f t="shared" si="14"/>
        <v>400</v>
      </c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5"/>
      <c r="AK390" s="16"/>
    </row>
    <row r="391" spans="2:37" x14ac:dyDescent="0.2">
      <c r="B391" s="7" t="s">
        <v>69</v>
      </c>
      <c r="C391" s="8">
        <v>11162</v>
      </c>
      <c r="D391" s="9" t="s">
        <v>168</v>
      </c>
      <c r="E391" s="10" t="s">
        <v>169</v>
      </c>
      <c r="F391" s="10" t="s">
        <v>170</v>
      </c>
      <c r="G391" s="8">
        <v>1</v>
      </c>
      <c r="H391" s="11">
        <v>200</v>
      </c>
      <c r="I391" s="12">
        <v>42421</v>
      </c>
      <c r="J391" s="13">
        <f t="shared" si="13"/>
        <v>0</v>
      </c>
      <c r="K391" s="14">
        <v>200</v>
      </c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5">
        <f t="shared" si="14"/>
        <v>200</v>
      </c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5"/>
      <c r="AK391" s="16"/>
    </row>
    <row r="392" spans="2:37" x14ac:dyDescent="0.2">
      <c r="B392" s="7" t="s">
        <v>77</v>
      </c>
      <c r="C392" s="8">
        <v>11163</v>
      </c>
      <c r="D392" s="9" t="s">
        <v>473</v>
      </c>
      <c r="E392" s="10" t="s">
        <v>474</v>
      </c>
      <c r="F392" s="10" t="s">
        <v>475</v>
      </c>
      <c r="G392" s="8">
        <v>1</v>
      </c>
      <c r="H392" s="11">
        <v>400</v>
      </c>
      <c r="I392" s="12">
        <v>42421</v>
      </c>
      <c r="J392" s="13">
        <f t="shared" si="13"/>
        <v>0</v>
      </c>
      <c r="K392" s="14"/>
      <c r="L392" s="14">
        <v>400</v>
      </c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5">
        <f t="shared" si="14"/>
        <v>400</v>
      </c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5"/>
      <c r="AK392" s="16"/>
    </row>
    <row r="393" spans="2:37" x14ac:dyDescent="0.2">
      <c r="B393" s="7" t="s">
        <v>47</v>
      </c>
      <c r="C393" s="8">
        <v>11164</v>
      </c>
      <c r="D393" s="9" t="s">
        <v>769</v>
      </c>
      <c r="E393" s="10" t="s">
        <v>770</v>
      </c>
      <c r="F393" s="10" t="s">
        <v>771</v>
      </c>
      <c r="G393" s="8">
        <v>1</v>
      </c>
      <c r="H393" s="11">
        <v>800</v>
      </c>
      <c r="I393" s="12">
        <v>42421</v>
      </c>
      <c r="J393" s="13">
        <f t="shared" si="13"/>
        <v>0</v>
      </c>
      <c r="K393" s="14">
        <v>400</v>
      </c>
      <c r="L393" s="14">
        <v>400</v>
      </c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5">
        <f t="shared" si="14"/>
        <v>800</v>
      </c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5"/>
      <c r="AK393" s="16"/>
    </row>
    <row r="394" spans="2:37" x14ac:dyDescent="0.2">
      <c r="B394" s="7" t="s">
        <v>77</v>
      </c>
      <c r="C394" s="8">
        <v>11165</v>
      </c>
      <c r="D394" s="9" t="s">
        <v>159</v>
      </c>
      <c r="E394" s="10" t="s">
        <v>160</v>
      </c>
      <c r="F394" s="10" t="s">
        <v>161</v>
      </c>
      <c r="G394" s="8">
        <v>1</v>
      </c>
      <c r="H394" s="11">
        <v>400</v>
      </c>
      <c r="I394" s="12">
        <v>42421</v>
      </c>
      <c r="J394" s="13">
        <f t="shared" si="13"/>
        <v>0</v>
      </c>
      <c r="K394" s="14"/>
      <c r="L394" s="14">
        <v>400</v>
      </c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5">
        <f t="shared" si="14"/>
        <v>400</v>
      </c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5"/>
      <c r="AK394" s="16"/>
    </row>
    <row r="395" spans="2:37" x14ac:dyDescent="0.2">
      <c r="B395" s="7" t="s">
        <v>47</v>
      </c>
      <c r="C395" s="8">
        <v>11166</v>
      </c>
      <c r="D395" s="9" t="s">
        <v>772</v>
      </c>
      <c r="E395" s="10" t="s">
        <v>773</v>
      </c>
      <c r="F395" s="10" t="s">
        <v>237</v>
      </c>
      <c r="G395" s="8">
        <v>1</v>
      </c>
      <c r="H395" s="11">
        <v>0</v>
      </c>
      <c r="I395" s="12">
        <v>42421</v>
      </c>
      <c r="J395" s="13">
        <f t="shared" si="13"/>
        <v>0</v>
      </c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5">
        <f t="shared" si="14"/>
        <v>0</v>
      </c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5"/>
      <c r="AK395" s="16"/>
    </row>
    <row r="396" spans="2:37" x14ac:dyDescent="0.2">
      <c r="B396" s="7" t="s">
        <v>93</v>
      </c>
      <c r="C396" s="8">
        <v>11167</v>
      </c>
      <c r="D396" s="9"/>
      <c r="E396" s="10" t="s">
        <v>93</v>
      </c>
      <c r="F396" s="10" t="s">
        <v>93</v>
      </c>
      <c r="G396" s="8">
        <v>8</v>
      </c>
      <c r="H396" s="11"/>
      <c r="I396" s="12"/>
      <c r="J396" s="13">
        <f t="shared" si="13"/>
        <v>0</v>
      </c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5">
        <f t="shared" si="14"/>
        <v>0</v>
      </c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5"/>
      <c r="AK396" s="16"/>
    </row>
    <row r="397" spans="2:37" x14ac:dyDescent="0.2">
      <c r="B397" s="7" t="s">
        <v>122</v>
      </c>
      <c r="C397" s="8">
        <v>11168</v>
      </c>
      <c r="D397" s="9" t="s">
        <v>310</v>
      </c>
      <c r="E397" s="10" t="s">
        <v>311</v>
      </c>
      <c r="F397" s="10" t="s">
        <v>312</v>
      </c>
      <c r="G397" s="8">
        <v>1</v>
      </c>
      <c r="H397" s="11">
        <v>800</v>
      </c>
      <c r="I397" s="12">
        <v>42421</v>
      </c>
      <c r="J397" s="13">
        <f t="shared" si="13"/>
        <v>0</v>
      </c>
      <c r="K397" s="14"/>
      <c r="L397" s="14">
        <v>400</v>
      </c>
      <c r="M397" s="14">
        <v>400</v>
      </c>
      <c r="N397" s="14"/>
      <c r="O397" s="14"/>
      <c r="P397" s="14"/>
      <c r="Q397" s="14"/>
      <c r="R397" s="14"/>
      <c r="S397" s="14"/>
      <c r="T397" s="14"/>
      <c r="U397" s="14"/>
      <c r="V397" s="14"/>
      <c r="W397" s="15">
        <f t="shared" si="14"/>
        <v>800</v>
      </c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5"/>
      <c r="AK397" s="16"/>
    </row>
    <row r="398" spans="2:37" x14ac:dyDescent="0.2">
      <c r="B398" s="7" t="s">
        <v>37</v>
      </c>
      <c r="C398" s="8">
        <v>11169</v>
      </c>
      <c r="D398" s="9" t="s">
        <v>774</v>
      </c>
      <c r="E398" s="10" t="s">
        <v>775</v>
      </c>
      <c r="F398" s="10" t="s">
        <v>776</v>
      </c>
      <c r="G398" s="8">
        <v>1</v>
      </c>
      <c r="H398" s="11">
        <v>800</v>
      </c>
      <c r="I398" s="12">
        <v>42421</v>
      </c>
      <c r="J398" s="13">
        <f t="shared" si="13"/>
        <v>0</v>
      </c>
      <c r="K398" s="14">
        <v>400</v>
      </c>
      <c r="L398" s="14">
        <v>400</v>
      </c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5">
        <f t="shared" si="14"/>
        <v>800</v>
      </c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5"/>
      <c r="AK398" s="16"/>
    </row>
    <row r="399" spans="2:37" x14ac:dyDescent="0.2">
      <c r="B399" s="7" t="s">
        <v>77</v>
      </c>
      <c r="C399" s="8">
        <v>11170</v>
      </c>
      <c r="D399" s="9" t="s">
        <v>777</v>
      </c>
      <c r="E399" s="10" t="s">
        <v>778</v>
      </c>
      <c r="F399" s="10" t="s">
        <v>779</v>
      </c>
      <c r="G399" s="8">
        <v>1</v>
      </c>
      <c r="H399" s="11">
        <v>4400</v>
      </c>
      <c r="I399" s="12">
        <v>42423</v>
      </c>
      <c r="J399" s="13">
        <f t="shared" si="13"/>
        <v>0</v>
      </c>
      <c r="K399" s="14">
        <v>400</v>
      </c>
      <c r="L399" s="14">
        <v>400</v>
      </c>
      <c r="M399" s="14">
        <v>400</v>
      </c>
      <c r="N399" s="14">
        <v>400</v>
      </c>
      <c r="O399" s="14">
        <v>400</v>
      </c>
      <c r="P399" s="14">
        <v>400</v>
      </c>
      <c r="Q399" s="14">
        <v>400</v>
      </c>
      <c r="R399" s="14">
        <v>400</v>
      </c>
      <c r="S399" s="14">
        <v>400</v>
      </c>
      <c r="T399" s="14">
        <v>400</v>
      </c>
      <c r="U399" s="14">
        <v>400</v>
      </c>
      <c r="V399" s="14"/>
      <c r="W399" s="15">
        <f t="shared" si="14"/>
        <v>4400</v>
      </c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5"/>
      <c r="AK399" s="16" t="s">
        <v>57</v>
      </c>
    </row>
    <row r="400" spans="2:37" x14ac:dyDescent="0.2">
      <c r="B400" s="7" t="s">
        <v>122</v>
      </c>
      <c r="C400" s="8">
        <v>11171</v>
      </c>
      <c r="D400" s="9" t="s">
        <v>220</v>
      </c>
      <c r="E400" s="10" t="s">
        <v>221</v>
      </c>
      <c r="F400" s="10" t="s">
        <v>222</v>
      </c>
      <c r="G400" s="8">
        <v>1</v>
      </c>
      <c r="H400" s="11">
        <v>300</v>
      </c>
      <c r="I400" s="12">
        <v>42423</v>
      </c>
      <c r="J400" s="13">
        <f t="shared" si="13"/>
        <v>0</v>
      </c>
      <c r="K400" s="14"/>
      <c r="L400" s="14">
        <v>300</v>
      </c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5">
        <f t="shared" si="14"/>
        <v>300</v>
      </c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5"/>
      <c r="AK400" s="16"/>
    </row>
    <row r="401" spans="2:37" x14ac:dyDescent="0.2">
      <c r="B401" s="7" t="s">
        <v>37</v>
      </c>
      <c r="C401" s="8">
        <v>11172</v>
      </c>
      <c r="D401" s="9" t="s">
        <v>446</v>
      </c>
      <c r="E401" s="10" t="s">
        <v>447</v>
      </c>
      <c r="F401" s="10" t="s">
        <v>448</v>
      </c>
      <c r="G401" s="8">
        <v>1</v>
      </c>
      <c r="H401" s="11">
        <v>150</v>
      </c>
      <c r="I401" s="12">
        <v>42423</v>
      </c>
      <c r="J401" s="13">
        <f t="shared" si="13"/>
        <v>0</v>
      </c>
      <c r="K401" s="14"/>
      <c r="L401" s="14">
        <v>150</v>
      </c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5">
        <f t="shared" si="14"/>
        <v>150</v>
      </c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5"/>
      <c r="AK401" s="16"/>
    </row>
    <row r="402" spans="2:37" x14ac:dyDescent="0.2">
      <c r="B402" s="7" t="s">
        <v>37</v>
      </c>
      <c r="C402" s="8">
        <v>11173</v>
      </c>
      <c r="D402" s="9" t="s">
        <v>780</v>
      </c>
      <c r="E402" s="10" t="s">
        <v>781</v>
      </c>
      <c r="F402" s="10" t="s">
        <v>493</v>
      </c>
      <c r="G402" s="8">
        <v>1</v>
      </c>
      <c r="H402" s="11">
        <v>500</v>
      </c>
      <c r="I402" s="12">
        <v>42424</v>
      </c>
      <c r="J402" s="13">
        <f t="shared" si="13"/>
        <v>0</v>
      </c>
      <c r="K402" s="14"/>
      <c r="L402" s="14">
        <v>100</v>
      </c>
      <c r="M402" s="14">
        <v>100</v>
      </c>
      <c r="N402" s="14">
        <v>100</v>
      </c>
      <c r="O402" s="14">
        <v>100</v>
      </c>
      <c r="P402" s="14">
        <v>100</v>
      </c>
      <c r="Q402" s="14"/>
      <c r="R402" s="14"/>
      <c r="S402" s="14"/>
      <c r="T402" s="14"/>
      <c r="U402" s="14"/>
      <c r="V402" s="14"/>
      <c r="W402" s="15">
        <f t="shared" si="14"/>
        <v>500</v>
      </c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5"/>
      <c r="AK402" s="16"/>
    </row>
    <row r="403" spans="2:37" x14ac:dyDescent="0.2">
      <c r="B403" s="7" t="s">
        <v>73</v>
      </c>
      <c r="C403" s="8">
        <v>11174</v>
      </c>
      <c r="D403" s="9" t="s">
        <v>485</v>
      </c>
      <c r="E403" s="10" t="s">
        <v>486</v>
      </c>
      <c r="F403" s="10" t="s">
        <v>487</v>
      </c>
      <c r="G403" s="8">
        <v>1</v>
      </c>
      <c r="H403" s="11">
        <v>800</v>
      </c>
      <c r="I403" s="12">
        <v>42426</v>
      </c>
      <c r="J403" s="13">
        <f t="shared" si="13"/>
        <v>0</v>
      </c>
      <c r="K403" s="14">
        <v>400</v>
      </c>
      <c r="L403" s="14">
        <v>400</v>
      </c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5">
        <f t="shared" si="14"/>
        <v>800</v>
      </c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5"/>
      <c r="AK403" s="16"/>
    </row>
    <row r="404" spans="2:37" x14ac:dyDescent="0.2">
      <c r="B404" s="7" t="s">
        <v>73</v>
      </c>
      <c r="C404" s="8">
        <v>11175</v>
      </c>
      <c r="D404" s="9" t="s">
        <v>782</v>
      </c>
      <c r="E404" s="10" t="s">
        <v>783</v>
      </c>
      <c r="F404" s="10" t="s">
        <v>784</v>
      </c>
      <c r="G404" s="8">
        <v>1</v>
      </c>
      <c r="H404" s="11">
        <v>500</v>
      </c>
      <c r="I404" s="12">
        <v>42428</v>
      </c>
      <c r="J404" s="13">
        <f t="shared" ref="J404:J431" si="15">IF(G404=1,SUM(W404,-H404),0)</f>
        <v>0</v>
      </c>
      <c r="K404" s="14">
        <v>100</v>
      </c>
      <c r="L404" s="14">
        <v>100</v>
      </c>
      <c r="M404" s="14">
        <v>100</v>
      </c>
      <c r="N404" s="14">
        <v>100</v>
      </c>
      <c r="O404" s="14">
        <v>100</v>
      </c>
      <c r="P404" s="14"/>
      <c r="Q404" s="14"/>
      <c r="R404" s="14"/>
      <c r="S404" s="14"/>
      <c r="T404" s="14"/>
      <c r="U404" s="14"/>
      <c r="V404" s="14"/>
      <c r="W404" s="15">
        <f t="shared" ref="W404:W431" si="16">SUM(K404:V404)</f>
        <v>500</v>
      </c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5"/>
      <c r="AK404" s="16"/>
    </row>
    <row r="405" spans="2:37" x14ac:dyDescent="0.2">
      <c r="B405" s="7" t="s">
        <v>61</v>
      </c>
      <c r="C405" s="8">
        <v>11176</v>
      </c>
      <c r="D405" s="9" t="s">
        <v>62</v>
      </c>
      <c r="E405" s="10" t="s">
        <v>63</v>
      </c>
      <c r="F405" s="10" t="s">
        <v>64</v>
      </c>
      <c r="G405" s="8">
        <v>1</v>
      </c>
      <c r="H405" s="11">
        <v>400</v>
      </c>
      <c r="I405" s="12">
        <v>42428</v>
      </c>
      <c r="J405" s="13">
        <f t="shared" si="15"/>
        <v>0</v>
      </c>
      <c r="K405" s="14"/>
      <c r="L405" s="14"/>
      <c r="M405" s="14">
        <v>200</v>
      </c>
      <c r="N405" s="14">
        <v>200</v>
      </c>
      <c r="O405" s="14"/>
      <c r="P405" s="14"/>
      <c r="Q405" s="14"/>
      <c r="R405" s="14"/>
      <c r="S405" s="14"/>
      <c r="T405" s="14"/>
      <c r="U405" s="14"/>
      <c r="V405" s="14"/>
      <c r="W405" s="15">
        <f t="shared" si="16"/>
        <v>400</v>
      </c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5"/>
      <c r="AK405" s="16"/>
    </row>
    <row r="406" spans="2:37" x14ac:dyDescent="0.2">
      <c r="B406" s="7" t="s">
        <v>73</v>
      </c>
      <c r="C406" s="8">
        <v>11177</v>
      </c>
      <c r="D406" s="9" t="s">
        <v>785</v>
      </c>
      <c r="E406" s="10" t="s">
        <v>786</v>
      </c>
      <c r="F406" s="10" t="s">
        <v>787</v>
      </c>
      <c r="G406" s="8">
        <v>1</v>
      </c>
      <c r="H406" s="11">
        <v>400</v>
      </c>
      <c r="I406" s="12">
        <v>42428</v>
      </c>
      <c r="J406" s="13">
        <f t="shared" si="15"/>
        <v>0</v>
      </c>
      <c r="K406" s="14">
        <v>200</v>
      </c>
      <c r="L406" s="14">
        <v>200</v>
      </c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5">
        <f t="shared" si="16"/>
        <v>400</v>
      </c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5"/>
      <c r="AK406" s="16"/>
    </row>
    <row r="407" spans="2:37" x14ac:dyDescent="0.2">
      <c r="B407" s="7" t="s">
        <v>47</v>
      </c>
      <c r="C407" s="8">
        <v>11178</v>
      </c>
      <c r="D407" s="9" t="s">
        <v>84</v>
      </c>
      <c r="E407" s="10" t="s">
        <v>85</v>
      </c>
      <c r="F407" s="10" t="s">
        <v>86</v>
      </c>
      <c r="G407" s="8">
        <v>1</v>
      </c>
      <c r="H407" s="11">
        <v>200</v>
      </c>
      <c r="I407" s="12">
        <v>42428</v>
      </c>
      <c r="J407" s="13">
        <f t="shared" si="15"/>
        <v>0</v>
      </c>
      <c r="K407" s="14"/>
      <c r="L407" s="14"/>
      <c r="M407" s="14">
        <v>200</v>
      </c>
      <c r="N407" s="14"/>
      <c r="O407" s="14"/>
      <c r="P407" s="14"/>
      <c r="Q407" s="14"/>
      <c r="R407" s="14"/>
      <c r="S407" s="14"/>
      <c r="T407" s="14"/>
      <c r="U407" s="14"/>
      <c r="V407" s="14"/>
      <c r="W407" s="15">
        <f t="shared" si="16"/>
        <v>200</v>
      </c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5"/>
      <c r="AK407" s="16"/>
    </row>
    <row r="408" spans="2:37" x14ac:dyDescent="0.2">
      <c r="B408" s="7" t="s">
        <v>37</v>
      </c>
      <c r="C408" s="8">
        <v>11179</v>
      </c>
      <c r="D408" s="9" t="s">
        <v>681</v>
      </c>
      <c r="E408" s="10" t="s">
        <v>682</v>
      </c>
      <c r="F408" s="10" t="s">
        <v>683</v>
      </c>
      <c r="G408" s="8">
        <v>1</v>
      </c>
      <c r="H408" s="11">
        <v>300</v>
      </c>
      <c r="I408" s="12">
        <v>42428</v>
      </c>
      <c r="J408" s="13">
        <f t="shared" si="15"/>
        <v>0</v>
      </c>
      <c r="K408" s="14"/>
      <c r="L408" s="14">
        <v>300</v>
      </c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5">
        <f t="shared" si="16"/>
        <v>300</v>
      </c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5"/>
      <c r="AK408" s="16"/>
    </row>
    <row r="409" spans="2:37" x14ac:dyDescent="0.2">
      <c r="B409" s="7" t="s">
        <v>47</v>
      </c>
      <c r="C409" s="8">
        <v>11180</v>
      </c>
      <c r="D409" s="9" t="s">
        <v>103</v>
      </c>
      <c r="E409" s="10" t="s">
        <v>104</v>
      </c>
      <c r="F409" s="10" t="s">
        <v>105</v>
      </c>
      <c r="G409" s="8">
        <v>1</v>
      </c>
      <c r="H409" s="11">
        <v>400</v>
      </c>
      <c r="I409" s="12">
        <v>42428</v>
      </c>
      <c r="J409" s="13">
        <f t="shared" si="15"/>
        <v>0</v>
      </c>
      <c r="K409" s="14"/>
      <c r="L409" s="14">
        <v>400</v>
      </c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5">
        <f t="shared" si="16"/>
        <v>400</v>
      </c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5"/>
      <c r="AK409" s="16"/>
    </row>
    <row r="410" spans="2:37" x14ac:dyDescent="0.2">
      <c r="B410" s="7" t="s">
        <v>122</v>
      </c>
      <c r="C410" s="8">
        <v>11181</v>
      </c>
      <c r="D410" s="9" t="s">
        <v>788</v>
      </c>
      <c r="E410" s="10" t="s">
        <v>789</v>
      </c>
      <c r="F410" s="10" t="s">
        <v>790</v>
      </c>
      <c r="G410" s="8">
        <v>1</v>
      </c>
      <c r="H410" s="11">
        <v>1200</v>
      </c>
      <c r="I410" s="12">
        <v>42428</v>
      </c>
      <c r="J410" s="13">
        <f t="shared" si="15"/>
        <v>0</v>
      </c>
      <c r="K410" s="14">
        <v>400</v>
      </c>
      <c r="L410" s="14">
        <v>400</v>
      </c>
      <c r="M410" s="14">
        <v>400</v>
      </c>
      <c r="N410" s="14"/>
      <c r="O410" s="14"/>
      <c r="P410" s="14"/>
      <c r="Q410" s="14"/>
      <c r="R410" s="14"/>
      <c r="S410" s="14"/>
      <c r="T410" s="14"/>
      <c r="U410" s="14"/>
      <c r="V410" s="14"/>
      <c r="W410" s="15">
        <f t="shared" si="16"/>
        <v>1200</v>
      </c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5"/>
      <c r="AK410" s="16"/>
    </row>
    <row r="411" spans="2:37" x14ac:dyDescent="0.2">
      <c r="B411" s="7" t="s">
        <v>69</v>
      </c>
      <c r="C411" s="8">
        <v>11182</v>
      </c>
      <c r="D411" s="9" t="s">
        <v>791</v>
      </c>
      <c r="E411" s="10" t="s">
        <v>792</v>
      </c>
      <c r="F411" s="10" t="s">
        <v>793</v>
      </c>
      <c r="G411" s="8">
        <v>1</v>
      </c>
      <c r="H411" s="11">
        <v>800</v>
      </c>
      <c r="I411" s="12">
        <v>42428</v>
      </c>
      <c r="J411" s="13">
        <f t="shared" si="15"/>
        <v>0</v>
      </c>
      <c r="K411" s="14">
        <v>400</v>
      </c>
      <c r="L411" s="14">
        <v>400</v>
      </c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5">
        <f t="shared" si="16"/>
        <v>800</v>
      </c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5"/>
      <c r="AK411" s="16"/>
    </row>
    <row r="412" spans="2:37" x14ac:dyDescent="0.2">
      <c r="B412" s="7" t="s">
        <v>37</v>
      </c>
      <c r="C412" s="8">
        <v>11183</v>
      </c>
      <c r="D412" s="9" t="s">
        <v>794</v>
      </c>
      <c r="E412" s="10" t="s">
        <v>795</v>
      </c>
      <c r="F412" s="10" t="s">
        <v>796</v>
      </c>
      <c r="G412" s="8">
        <v>1</v>
      </c>
      <c r="H412" s="11">
        <v>300</v>
      </c>
      <c r="I412" s="12">
        <v>42428</v>
      </c>
      <c r="J412" s="13">
        <f t="shared" si="15"/>
        <v>0</v>
      </c>
      <c r="K412" s="14"/>
      <c r="L412" s="14">
        <v>300</v>
      </c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5">
        <f t="shared" si="16"/>
        <v>300</v>
      </c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5"/>
      <c r="AK412" s="16"/>
    </row>
    <row r="413" spans="2:37" x14ac:dyDescent="0.2">
      <c r="B413" s="7" t="s">
        <v>122</v>
      </c>
      <c r="C413" s="8">
        <v>11184</v>
      </c>
      <c r="D413" s="9" t="s">
        <v>797</v>
      </c>
      <c r="E413" s="10" t="s">
        <v>798</v>
      </c>
      <c r="F413" s="10" t="s">
        <v>799</v>
      </c>
      <c r="G413" s="8">
        <v>1</v>
      </c>
      <c r="H413" s="11">
        <v>800</v>
      </c>
      <c r="I413" s="12">
        <v>42428</v>
      </c>
      <c r="J413" s="13">
        <f t="shared" si="15"/>
        <v>0</v>
      </c>
      <c r="K413" s="14">
        <v>400</v>
      </c>
      <c r="L413" s="14">
        <v>400</v>
      </c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5">
        <f t="shared" si="16"/>
        <v>800</v>
      </c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5"/>
      <c r="AK413" s="16"/>
    </row>
    <row r="414" spans="2:37" x14ac:dyDescent="0.2">
      <c r="B414" s="7" t="s">
        <v>69</v>
      </c>
      <c r="C414" s="8">
        <v>11185</v>
      </c>
      <c r="D414" s="9" t="s">
        <v>301</v>
      </c>
      <c r="E414" s="10" t="s">
        <v>302</v>
      </c>
      <c r="F414" s="10" t="s">
        <v>303</v>
      </c>
      <c r="G414" s="8">
        <v>1</v>
      </c>
      <c r="H414" s="11">
        <v>200</v>
      </c>
      <c r="I414" s="12">
        <v>42428</v>
      </c>
      <c r="J414" s="13">
        <f t="shared" si="15"/>
        <v>0</v>
      </c>
      <c r="K414" s="14"/>
      <c r="L414" s="14"/>
      <c r="M414" s="14">
        <v>200</v>
      </c>
      <c r="N414" s="14"/>
      <c r="O414" s="14"/>
      <c r="P414" s="14"/>
      <c r="Q414" s="14"/>
      <c r="R414" s="14"/>
      <c r="S414" s="14"/>
      <c r="T414" s="14"/>
      <c r="U414" s="14"/>
      <c r="V414" s="14"/>
      <c r="W414" s="15">
        <f t="shared" si="16"/>
        <v>200</v>
      </c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5"/>
      <c r="AK414" s="16"/>
    </row>
    <row r="415" spans="2:37" x14ac:dyDescent="0.2">
      <c r="B415" s="7" t="s">
        <v>77</v>
      </c>
      <c r="C415" s="8">
        <v>11186</v>
      </c>
      <c r="D415" s="9" t="s">
        <v>129</v>
      </c>
      <c r="E415" s="10" t="s">
        <v>130</v>
      </c>
      <c r="F415" s="10" t="s">
        <v>131</v>
      </c>
      <c r="G415" s="8">
        <v>1</v>
      </c>
      <c r="H415" s="11">
        <v>400</v>
      </c>
      <c r="I415" s="12">
        <v>42428</v>
      </c>
      <c r="J415" s="13">
        <f t="shared" si="15"/>
        <v>0</v>
      </c>
      <c r="K415" s="14"/>
      <c r="L415" s="14"/>
      <c r="M415" s="14">
        <v>400</v>
      </c>
      <c r="N415" s="14"/>
      <c r="O415" s="14"/>
      <c r="P415" s="14"/>
      <c r="Q415" s="14"/>
      <c r="R415" s="14"/>
      <c r="S415" s="14"/>
      <c r="T415" s="14"/>
      <c r="U415" s="14"/>
      <c r="V415" s="14"/>
      <c r="W415" s="15">
        <f t="shared" si="16"/>
        <v>400</v>
      </c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5"/>
      <c r="AK415" s="16"/>
    </row>
    <row r="416" spans="2:37" x14ac:dyDescent="0.2">
      <c r="B416" s="7" t="s">
        <v>77</v>
      </c>
      <c r="C416" s="8">
        <v>11187</v>
      </c>
      <c r="D416" s="9" t="s">
        <v>617</v>
      </c>
      <c r="E416" s="10" t="s">
        <v>618</v>
      </c>
      <c r="F416" s="10" t="s">
        <v>619</v>
      </c>
      <c r="G416" s="8">
        <v>1</v>
      </c>
      <c r="H416" s="11">
        <v>400</v>
      </c>
      <c r="I416" s="12">
        <v>42428</v>
      </c>
      <c r="J416" s="13">
        <f t="shared" si="15"/>
        <v>0</v>
      </c>
      <c r="K416" s="14">
        <v>400</v>
      </c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5">
        <f t="shared" si="16"/>
        <v>400</v>
      </c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5"/>
      <c r="AK416" s="16"/>
    </row>
    <row r="417" spans="2:37" x14ac:dyDescent="0.2">
      <c r="B417" s="7" t="s">
        <v>69</v>
      </c>
      <c r="C417" s="8">
        <v>11188</v>
      </c>
      <c r="D417" s="9" t="s">
        <v>800</v>
      </c>
      <c r="E417" s="10" t="s">
        <v>801</v>
      </c>
      <c r="F417" s="10" t="s">
        <v>802</v>
      </c>
      <c r="G417" s="8">
        <v>1</v>
      </c>
      <c r="H417" s="11">
        <v>800</v>
      </c>
      <c r="I417" s="12">
        <v>42428</v>
      </c>
      <c r="J417" s="13">
        <f t="shared" si="15"/>
        <v>0</v>
      </c>
      <c r="K417" s="14">
        <v>400</v>
      </c>
      <c r="L417" s="14">
        <v>400</v>
      </c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5">
        <f t="shared" si="16"/>
        <v>800</v>
      </c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5"/>
      <c r="AK417" s="16"/>
    </row>
    <row r="418" spans="2:37" x14ac:dyDescent="0.2">
      <c r="B418" s="7" t="s">
        <v>37</v>
      </c>
      <c r="C418" s="8">
        <v>11189</v>
      </c>
      <c r="D418" s="9" t="s">
        <v>431</v>
      </c>
      <c r="E418" s="10" t="s">
        <v>432</v>
      </c>
      <c r="F418" s="10" t="s">
        <v>433</v>
      </c>
      <c r="G418" s="8">
        <v>1</v>
      </c>
      <c r="H418" s="11">
        <v>800</v>
      </c>
      <c r="I418" s="12">
        <v>42428</v>
      </c>
      <c r="J418" s="13">
        <f t="shared" si="15"/>
        <v>0</v>
      </c>
      <c r="K418" s="14">
        <v>400</v>
      </c>
      <c r="L418" s="14">
        <v>400</v>
      </c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5">
        <f t="shared" si="16"/>
        <v>800</v>
      </c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5"/>
      <c r="AK418" s="16"/>
    </row>
    <row r="419" spans="2:37" x14ac:dyDescent="0.2">
      <c r="B419" s="7" t="s">
        <v>122</v>
      </c>
      <c r="C419" s="8">
        <v>11190</v>
      </c>
      <c r="D419" s="9" t="s">
        <v>637</v>
      </c>
      <c r="E419" s="10" t="s">
        <v>638</v>
      </c>
      <c r="F419" s="10" t="s">
        <v>639</v>
      </c>
      <c r="G419" s="8">
        <v>1</v>
      </c>
      <c r="H419" s="11">
        <v>400</v>
      </c>
      <c r="I419" s="12">
        <v>42428</v>
      </c>
      <c r="J419" s="13">
        <f t="shared" si="15"/>
        <v>0</v>
      </c>
      <c r="K419" s="14"/>
      <c r="L419" s="14">
        <v>400</v>
      </c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5">
        <f t="shared" si="16"/>
        <v>400</v>
      </c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5"/>
      <c r="AK419" s="16"/>
    </row>
    <row r="420" spans="2:37" x14ac:dyDescent="0.2">
      <c r="B420" s="7" t="s">
        <v>37</v>
      </c>
      <c r="C420" s="8">
        <v>11191</v>
      </c>
      <c r="D420" s="9" t="s">
        <v>443</v>
      </c>
      <c r="E420" s="10" t="s">
        <v>444</v>
      </c>
      <c r="F420" s="10" t="s">
        <v>445</v>
      </c>
      <c r="G420" s="8">
        <v>4</v>
      </c>
      <c r="H420" s="11">
        <v>160</v>
      </c>
      <c r="I420" s="12">
        <v>42428</v>
      </c>
      <c r="J420" s="13">
        <f t="shared" si="15"/>
        <v>0</v>
      </c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5">
        <f t="shared" si="16"/>
        <v>0</v>
      </c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5"/>
      <c r="AK420" s="7">
        <v>6565</v>
      </c>
    </row>
    <row r="421" spans="2:37" x14ac:dyDescent="0.2">
      <c r="B421" s="7" t="s">
        <v>47</v>
      </c>
      <c r="C421" s="8">
        <v>11192</v>
      </c>
      <c r="D421" s="9" t="s">
        <v>803</v>
      </c>
      <c r="E421" s="10" t="s">
        <v>804</v>
      </c>
      <c r="F421" s="10" t="s">
        <v>312</v>
      </c>
      <c r="G421" s="8">
        <v>1</v>
      </c>
      <c r="H421" s="11">
        <v>400</v>
      </c>
      <c r="I421" s="12">
        <v>42428</v>
      </c>
      <c r="J421" s="13">
        <f t="shared" si="15"/>
        <v>0</v>
      </c>
      <c r="K421" s="14"/>
      <c r="L421" s="14">
        <v>400</v>
      </c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5">
        <f t="shared" si="16"/>
        <v>400</v>
      </c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5"/>
      <c r="AK421" s="16"/>
    </row>
    <row r="422" spans="2:37" x14ac:dyDescent="0.2">
      <c r="B422" s="7" t="s">
        <v>37</v>
      </c>
      <c r="C422" s="8">
        <v>11193</v>
      </c>
      <c r="D422" s="9" t="s">
        <v>538</v>
      </c>
      <c r="E422" s="10" t="s">
        <v>539</v>
      </c>
      <c r="F422" s="10" t="s">
        <v>540</v>
      </c>
      <c r="G422" s="8">
        <v>1</v>
      </c>
      <c r="H422" s="11">
        <v>400</v>
      </c>
      <c r="I422" s="12">
        <v>42428</v>
      </c>
      <c r="J422" s="13">
        <f t="shared" si="15"/>
        <v>0</v>
      </c>
      <c r="K422" s="14"/>
      <c r="L422" s="14">
        <v>400</v>
      </c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5">
        <f t="shared" si="16"/>
        <v>400</v>
      </c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5"/>
      <c r="AK422" s="16"/>
    </row>
    <row r="423" spans="2:37" x14ac:dyDescent="0.2">
      <c r="B423" s="7" t="s">
        <v>47</v>
      </c>
      <c r="C423" s="8">
        <v>11194</v>
      </c>
      <c r="D423" s="9" t="s">
        <v>171</v>
      </c>
      <c r="E423" s="10" t="s">
        <v>172</v>
      </c>
      <c r="F423" s="10" t="s">
        <v>173</v>
      </c>
      <c r="G423" s="8">
        <v>1</v>
      </c>
      <c r="H423" s="11">
        <v>400</v>
      </c>
      <c r="I423" s="12">
        <v>42428</v>
      </c>
      <c r="J423" s="13">
        <f t="shared" si="15"/>
        <v>0</v>
      </c>
      <c r="K423" s="14"/>
      <c r="L423" s="14"/>
      <c r="M423" s="14">
        <v>400</v>
      </c>
      <c r="N423" s="14"/>
      <c r="O423" s="14"/>
      <c r="P423" s="14"/>
      <c r="Q423" s="14"/>
      <c r="R423" s="14"/>
      <c r="S423" s="14"/>
      <c r="T423" s="14"/>
      <c r="U423" s="14"/>
      <c r="V423" s="14"/>
      <c r="W423" s="15">
        <f t="shared" si="16"/>
        <v>400</v>
      </c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5"/>
      <c r="AK423" s="16"/>
    </row>
    <row r="424" spans="2:37" x14ac:dyDescent="0.2">
      <c r="B424" s="7" t="s">
        <v>77</v>
      </c>
      <c r="C424" s="8">
        <v>11195</v>
      </c>
      <c r="D424" s="9" t="s">
        <v>556</v>
      </c>
      <c r="E424" s="10" t="s">
        <v>557</v>
      </c>
      <c r="F424" s="10" t="s">
        <v>558</v>
      </c>
      <c r="G424" s="8">
        <v>1</v>
      </c>
      <c r="H424" s="11">
        <v>400</v>
      </c>
      <c r="I424" s="12">
        <v>42428</v>
      </c>
      <c r="J424" s="13">
        <f t="shared" si="15"/>
        <v>0</v>
      </c>
      <c r="K424" s="14">
        <v>400</v>
      </c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5">
        <f t="shared" si="16"/>
        <v>400</v>
      </c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5"/>
      <c r="AK424" s="16"/>
    </row>
    <row r="425" spans="2:37" x14ac:dyDescent="0.2">
      <c r="B425" s="7" t="s">
        <v>77</v>
      </c>
      <c r="C425" s="8">
        <v>11195</v>
      </c>
      <c r="D425" s="9" t="s">
        <v>556</v>
      </c>
      <c r="E425" s="10" t="s">
        <v>557</v>
      </c>
      <c r="F425" s="10" t="s">
        <v>558</v>
      </c>
      <c r="G425" s="8">
        <v>3</v>
      </c>
      <c r="H425" s="11">
        <v>160</v>
      </c>
      <c r="I425" s="12">
        <v>42428</v>
      </c>
      <c r="J425" s="13">
        <f t="shared" si="15"/>
        <v>0</v>
      </c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5">
        <f t="shared" si="16"/>
        <v>0</v>
      </c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5"/>
      <c r="AK425" s="16"/>
    </row>
    <row r="426" spans="2:37" x14ac:dyDescent="0.2">
      <c r="B426" s="7" t="s">
        <v>73</v>
      </c>
      <c r="C426" s="8">
        <v>11196</v>
      </c>
      <c r="D426" s="9" t="s">
        <v>532</v>
      </c>
      <c r="E426" s="10" t="s">
        <v>533</v>
      </c>
      <c r="F426" s="10" t="s">
        <v>534</v>
      </c>
      <c r="G426" s="8">
        <v>1</v>
      </c>
      <c r="H426" s="11">
        <v>400</v>
      </c>
      <c r="I426" s="12">
        <v>42428</v>
      </c>
      <c r="J426" s="13">
        <f t="shared" si="15"/>
        <v>0</v>
      </c>
      <c r="K426" s="14"/>
      <c r="L426" s="14">
        <v>400</v>
      </c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5">
        <f t="shared" si="16"/>
        <v>400</v>
      </c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5"/>
      <c r="AK426" s="16"/>
    </row>
    <row r="427" spans="2:37" x14ac:dyDescent="0.2">
      <c r="B427" s="7" t="s">
        <v>73</v>
      </c>
      <c r="C427" s="8">
        <v>11197</v>
      </c>
      <c r="D427" s="9" t="s">
        <v>532</v>
      </c>
      <c r="E427" s="10" t="s">
        <v>533</v>
      </c>
      <c r="F427" s="10" t="s">
        <v>534</v>
      </c>
      <c r="G427" s="8">
        <v>3</v>
      </c>
      <c r="H427" s="11">
        <v>160</v>
      </c>
      <c r="I427" s="12">
        <v>42428</v>
      </c>
      <c r="J427" s="13">
        <f t="shared" si="15"/>
        <v>0</v>
      </c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5">
        <f t="shared" si="16"/>
        <v>0</v>
      </c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5"/>
      <c r="AK427" s="16"/>
    </row>
    <row r="428" spans="2:37" x14ac:dyDescent="0.2">
      <c r="B428" s="7" t="s">
        <v>37</v>
      </c>
      <c r="C428" s="8">
        <v>11198</v>
      </c>
      <c r="D428" s="9" t="s">
        <v>180</v>
      </c>
      <c r="E428" s="10" t="s">
        <v>181</v>
      </c>
      <c r="F428" s="10" t="s">
        <v>182</v>
      </c>
      <c r="G428" s="8">
        <v>1</v>
      </c>
      <c r="H428" s="11">
        <v>400</v>
      </c>
      <c r="I428" s="12">
        <v>42428</v>
      </c>
      <c r="J428" s="13">
        <f t="shared" si="15"/>
        <v>0</v>
      </c>
      <c r="K428" s="14"/>
      <c r="L428" s="14"/>
      <c r="M428" s="14">
        <v>400</v>
      </c>
      <c r="N428" s="14"/>
      <c r="O428" s="14"/>
      <c r="P428" s="14"/>
      <c r="Q428" s="14"/>
      <c r="R428" s="14"/>
      <c r="S428" s="14"/>
      <c r="T428" s="14"/>
      <c r="U428" s="14"/>
      <c r="V428" s="14"/>
      <c r="W428" s="15">
        <f t="shared" si="16"/>
        <v>400</v>
      </c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5"/>
      <c r="AK428" s="16"/>
    </row>
    <row r="429" spans="2:37" x14ac:dyDescent="0.2">
      <c r="B429" s="7" t="s">
        <v>61</v>
      </c>
      <c r="C429" s="8">
        <v>11199</v>
      </c>
      <c r="D429" s="9" t="s">
        <v>631</v>
      </c>
      <c r="E429" s="10" t="s">
        <v>632</v>
      </c>
      <c r="F429" s="10" t="s">
        <v>633</v>
      </c>
      <c r="G429" s="8">
        <v>1</v>
      </c>
      <c r="H429" s="11">
        <v>600</v>
      </c>
      <c r="I429" s="12">
        <v>42428</v>
      </c>
      <c r="J429" s="13">
        <f t="shared" si="15"/>
        <v>0</v>
      </c>
      <c r="K429" s="14"/>
      <c r="L429" s="14">
        <v>300</v>
      </c>
      <c r="M429" s="14">
        <v>300</v>
      </c>
      <c r="N429" s="14"/>
      <c r="O429" s="14"/>
      <c r="P429" s="14"/>
      <c r="Q429" s="14"/>
      <c r="R429" s="14"/>
      <c r="S429" s="14"/>
      <c r="T429" s="14"/>
      <c r="U429" s="14"/>
      <c r="V429" s="14"/>
      <c r="W429" s="15">
        <f t="shared" si="16"/>
        <v>600</v>
      </c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5"/>
      <c r="AK429" s="16"/>
    </row>
    <row r="430" spans="2:37" x14ac:dyDescent="0.2">
      <c r="B430" s="7" t="s">
        <v>805</v>
      </c>
      <c r="C430" s="8"/>
      <c r="D430" s="9" t="s">
        <v>806</v>
      </c>
      <c r="E430" s="10" t="e">
        <f>IF(D430=0,"",VLOOKUP(D430,BASE_A,6,FALSE))</f>
        <v>#NAME?</v>
      </c>
      <c r="F430" s="10" t="e">
        <f>IF(D430=0,"",VLOOKUP(D430,BASE_A,8,FALSE))</f>
        <v>#NAME?</v>
      </c>
      <c r="G430" s="8">
        <v>1</v>
      </c>
      <c r="H430" s="11">
        <v>11000</v>
      </c>
      <c r="I430" s="12">
        <v>42411</v>
      </c>
      <c r="J430" s="13">
        <f t="shared" si="15"/>
        <v>0</v>
      </c>
      <c r="K430" s="14">
        <v>11000</v>
      </c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5">
        <f t="shared" si="16"/>
        <v>11000</v>
      </c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5"/>
      <c r="AK430" s="16"/>
    </row>
    <row r="431" spans="2:37" x14ac:dyDescent="0.2">
      <c r="B431" s="7" t="s">
        <v>93</v>
      </c>
      <c r="C431" s="8">
        <v>11332</v>
      </c>
      <c r="D431" s="9" t="s">
        <v>208</v>
      </c>
      <c r="E431" s="10" t="e">
        <f>IF(D431=0,"",VLOOKUP(D431,BASE_A,6,FALSE))</f>
        <v>#NAME?</v>
      </c>
      <c r="F431" s="10" t="e">
        <f>IF(D431=0,"",VLOOKUP(D431,BASE_A,8,FALSE))</f>
        <v>#NAME?</v>
      </c>
      <c r="G431" s="8">
        <v>1</v>
      </c>
      <c r="H431" s="11">
        <v>400</v>
      </c>
      <c r="I431" s="12">
        <v>42419</v>
      </c>
      <c r="J431" s="13">
        <f t="shared" si="15"/>
        <v>0</v>
      </c>
      <c r="K431" s="14"/>
      <c r="L431" s="14">
        <v>400</v>
      </c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5">
        <f t="shared" si="16"/>
        <v>400</v>
      </c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5"/>
      <c r="AK431" s="16"/>
    </row>
    <row r="432" spans="2:37" x14ac:dyDescent="0.2">
      <c r="B432" s="48"/>
      <c r="C432" s="48"/>
      <c r="D432" s="48"/>
      <c r="E432" s="48"/>
      <c r="F432" s="48"/>
      <c r="G432" s="19">
        <v>1</v>
      </c>
      <c r="H432" s="21">
        <v>5600</v>
      </c>
      <c r="I432" s="26"/>
      <c r="J432" s="27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9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9"/>
      <c r="AK432" s="25"/>
    </row>
    <row r="433" spans="1:37" ht="22.5" x14ac:dyDescent="0.2">
      <c r="A433" s="2" t="s">
        <v>0</v>
      </c>
      <c r="B433" s="3" t="s">
        <v>1</v>
      </c>
      <c r="C433" s="3" t="s">
        <v>2</v>
      </c>
      <c r="D433" s="3" t="s">
        <v>3</v>
      </c>
      <c r="E433" s="3" t="s">
        <v>4</v>
      </c>
      <c r="F433" s="3" t="s">
        <v>5</v>
      </c>
      <c r="G433" s="3" t="s">
        <v>6</v>
      </c>
      <c r="H433" s="3" t="s">
        <v>7</v>
      </c>
      <c r="I433" s="3" t="s">
        <v>8</v>
      </c>
      <c r="J433" s="3" t="s">
        <v>9</v>
      </c>
      <c r="K433" s="4" t="s">
        <v>10</v>
      </c>
      <c r="L433" s="4" t="s">
        <v>11</v>
      </c>
      <c r="M433" s="4" t="s">
        <v>12</v>
      </c>
      <c r="N433" s="4" t="s">
        <v>13</v>
      </c>
      <c r="O433" s="4" t="s">
        <v>14</v>
      </c>
      <c r="P433" s="4" t="s">
        <v>15</v>
      </c>
      <c r="Q433" s="4" t="s">
        <v>16</v>
      </c>
      <c r="R433" s="4" t="s">
        <v>17</v>
      </c>
      <c r="S433" s="4" t="s">
        <v>18</v>
      </c>
      <c r="T433" s="4" t="s">
        <v>19</v>
      </c>
      <c r="U433" s="4" t="s">
        <v>20</v>
      </c>
      <c r="V433" s="4" t="s">
        <v>21</v>
      </c>
      <c r="W433" s="5" t="s">
        <v>22</v>
      </c>
      <c r="X433" s="4" t="s">
        <v>23</v>
      </c>
      <c r="Y433" s="4" t="s">
        <v>24</v>
      </c>
      <c r="Z433" s="4" t="s">
        <v>25</v>
      </c>
      <c r="AA433" s="4" t="s">
        <v>26</v>
      </c>
      <c r="AB433" s="4" t="s">
        <v>27</v>
      </c>
      <c r="AC433" s="4" t="s">
        <v>28</v>
      </c>
      <c r="AD433" s="4" t="s">
        <v>29</v>
      </c>
      <c r="AE433" s="4" t="s">
        <v>30</v>
      </c>
      <c r="AF433" s="4" t="s">
        <v>31</v>
      </c>
      <c r="AG433" s="4" t="s">
        <v>32</v>
      </c>
      <c r="AH433" s="4" t="s">
        <v>33</v>
      </c>
      <c r="AI433" s="4" t="s">
        <v>34</v>
      </c>
      <c r="AJ433" s="5" t="s">
        <v>35</v>
      </c>
      <c r="AK433" s="6" t="s">
        <v>36</v>
      </c>
    </row>
    <row r="434" spans="1:37" x14ac:dyDescent="0.2">
      <c r="B434" s="7" t="s">
        <v>47</v>
      </c>
      <c r="C434" s="8">
        <v>11200</v>
      </c>
      <c r="D434" s="9" t="s">
        <v>807</v>
      </c>
      <c r="E434" s="10" t="s">
        <v>808</v>
      </c>
      <c r="F434" s="10" t="s">
        <v>809</v>
      </c>
      <c r="G434" s="8">
        <v>1</v>
      </c>
      <c r="H434" s="11">
        <v>400</v>
      </c>
      <c r="I434" s="12">
        <v>42429</v>
      </c>
      <c r="J434" s="13">
        <f t="shared" ref="J434:J497" si="17">IF(G434=1,SUM(W434,-H434),0)</f>
        <v>0</v>
      </c>
      <c r="K434" s="14">
        <v>200</v>
      </c>
      <c r="L434" s="14">
        <v>200</v>
      </c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5">
        <f t="shared" ref="W434:W497" si="18">SUM(K434:V434)</f>
        <v>400</v>
      </c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5"/>
      <c r="AK434" s="16"/>
    </row>
    <row r="435" spans="1:37" x14ac:dyDescent="0.2">
      <c r="B435" s="7" t="s">
        <v>37</v>
      </c>
      <c r="C435" s="8">
        <v>11201</v>
      </c>
      <c r="D435" s="9" t="s">
        <v>568</v>
      </c>
      <c r="E435" s="10" t="s">
        <v>569</v>
      </c>
      <c r="F435" s="10" t="s">
        <v>570</v>
      </c>
      <c r="G435" s="8">
        <v>1</v>
      </c>
      <c r="H435" s="11">
        <v>400</v>
      </c>
      <c r="I435" s="12">
        <v>42429</v>
      </c>
      <c r="J435" s="13">
        <f t="shared" si="17"/>
        <v>0</v>
      </c>
      <c r="K435" s="14"/>
      <c r="L435" s="14">
        <v>400</v>
      </c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5">
        <f t="shared" si="18"/>
        <v>400</v>
      </c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5"/>
      <c r="AK435" s="16"/>
    </row>
    <row r="436" spans="1:37" x14ac:dyDescent="0.2">
      <c r="B436" s="7" t="s">
        <v>47</v>
      </c>
      <c r="C436" s="8">
        <v>11202</v>
      </c>
      <c r="D436" s="9" t="s">
        <v>810</v>
      </c>
      <c r="E436" s="10" t="s">
        <v>811</v>
      </c>
      <c r="F436" s="10" t="s">
        <v>812</v>
      </c>
      <c r="G436" s="8">
        <v>1</v>
      </c>
      <c r="H436" s="11">
        <v>400</v>
      </c>
      <c r="I436" s="12">
        <v>42431</v>
      </c>
      <c r="J436" s="13">
        <f t="shared" si="17"/>
        <v>0</v>
      </c>
      <c r="K436" s="14">
        <v>200</v>
      </c>
      <c r="L436" s="14">
        <v>200</v>
      </c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5">
        <f t="shared" si="18"/>
        <v>400</v>
      </c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5"/>
      <c r="AK436" s="16"/>
    </row>
    <row r="437" spans="1:37" x14ac:dyDescent="0.2">
      <c r="B437" s="7" t="s">
        <v>47</v>
      </c>
      <c r="C437" s="8">
        <v>11202</v>
      </c>
      <c r="D437" s="9" t="s">
        <v>810</v>
      </c>
      <c r="E437" s="10" t="s">
        <v>811</v>
      </c>
      <c r="F437" s="10" t="s">
        <v>812</v>
      </c>
      <c r="G437" s="8">
        <v>7</v>
      </c>
      <c r="H437" s="11">
        <v>150</v>
      </c>
      <c r="I437" s="12">
        <v>42431</v>
      </c>
      <c r="J437" s="13">
        <f t="shared" si="17"/>
        <v>0</v>
      </c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5">
        <f t="shared" si="18"/>
        <v>0</v>
      </c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5"/>
      <c r="AK437" s="16" t="s">
        <v>813</v>
      </c>
    </row>
    <row r="438" spans="1:37" x14ac:dyDescent="0.2">
      <c r="B438" s="7" t="s">
        <v>73</v>
      </c>
      <c r="C438" s="8">
        <v>11203</v>
      </c>
      <c r="D438" s="9" t="s">
        <v>115</v>
      </c>
      <c r="E438" s="10" t="s">
        <v>116</v>
      </c>
      <c r="F438" s="10" t="s">
        <v>117</v>
      </c>
      <c r="G438" s="8">
        <v>1</v>
      </c>
      <c r="H438" s="11">
        <v>300</v>
      </c>
      <c r="I438" s="12">
        <v>42435</v>
      </c>
      <c r="J438" s="13">
        <f t="shared" si="17"/>
        <v>0</v>
      </c>
      <c r="K438" s="14"/>
      <c r="L438" s="14">
        <v>150</v>
      </c>
      <c r="M438" s="14">
        <v>150</v>
      </c>
      <c r="N438" s="14"/>
      <c r="O438" s="14"/>
      <c r="P438" s="14"/>
      <c r="Q438" s="14"/>
      <c r="R438" s="14"/>
      <c r="S438" s="14"/>
      <c r="T438" s="14"/>
      <c r="U438" s="14"/>
      <c r="V438" s="14"/>
      <c r="W438" s="15">
        <f t="shared" si="18"/>
        <v>300</v>
      </c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5"/>
      <c r="AK438" s="16"/>
    </row>
    <row r="439" spans="1:37" x14ac:dyDescent="0.2">
      <c r="B439" s="7" t="s">
        <v>37</v>
      </c>
      <c r="C439" s="8">
        <v>11204</v>
      </c>
      <c r="D439" s="9" t="s">
        <v>247</v>
      </c>
      <c r="E439" s="10" t="s">
        <v>248</v>
      </c>
      <c r="F439" s="10" t="s">
        <v>249</v>
      </c>
      <c r="G439" s="8">
        <v>1</v>
      </c>
      <c r="H439" s="11">
        <v>800</v>
      </c>
      <c r="I439" s="12">
        <v>42435</v>
      </c>
      <c r="J439" s="13">
        <f t="shared" si="17"/>
        <v>0</v>
      </c>
      <c r="K439" s="14"/>
      <c r="L439" s="14"/>
      <c r="M439" s="14">
        <v>400</v>
      </c>
      <c r="N439" s="14">
        <v>400</v>
      </c>
      <c r="O439" s="14"/>
      <c r="P439" s="14"/>
      <c r="Q439" s="14"/>
      <c r="R439" s="14"/>
      <c r="S439" s="14"/>
      <c r="T439" s="14"/>
      <c r="U439" s="14"/>
      <c r="V439" s="14"/>
      <c r="W439" s="15">
        <f t="shared" si="18"/>
        <v>800</v>
      </c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5"/>
      <c r="AK439" s="16"/>
    </row>
    <row r="440" spans="1:37" x14ac:dyDescent="0.2">
      <c r="B440" s="7" t="s">
        <v>69</v>
      </c>
      <c r="C440" s="8">
        <v>11205</v>
      </c>
      <c r="D440" s="9" t="s">
        <v>186</v>
      </c>
      <c r="E440" s="10" t="s">
        <v>187</v>
      </c>
      <c r="F440" s="10" t="s">
        <v>188</v>
      </c>
      <c r="G440" s="8">
        <v>1</v>
      </c>
      <c r="H440" s="11">
        <v>400</v>
      </c>
      <c r="I440" s="12">
        <v>42435</v>
      </c>
      <c r="J440" s="13">
        <f t="shared" si="17"/>
        <v>0</v>
      </c>
      <c r="K440" s="14"/>
      <c r="L440" s="14"/>
      <c r="M440" s="14">
        <v>400</v>
      </c>
      <c r="N440" s="14"/>
      <c r="O440" s="14"/>
      <c r="P440" s="14"/>
      <c r="Q440" s="14"/>
      <c r="R440" s="14"/>
      <c r="S440" s="14"/>
      <c r="T440" s="14"/>
      <c r="U440" s="14"/>
      <c r="V440" s="14"/>
      <c r="W440" s="15">
        <f t="shared" si="18"/>
        <v>400</v>
      </c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5"/>
      <c r="AK440" s="16"/>
    </row>
    <row r="441" spans="1:37" x14ac:dyDescent="0.2">
      <c r="B441" s="7" t="s">
        <v>69</v>
      </c>
      <c r="C441" s="8">
        <v>11206</v>
      </c>
      <c r="D441" s="9" t="s">
        <v>292</v>
      </c>
      <c r="E441" s="10" t="s">
        <v>293</v>
      </c>
      <c r="F441" s="10" t="s">
        <v>294</v>
      </c>
      <c r="G441" s="8">
        <v>1</v>
      </c>
      <c r="H441" s="11">
        <v>400</v>
      </c>
      <c r="I441" s="12">
        <v>42435</v>
      </c>
      <c r="J441" s="13">
        <f t="shared" si="17"/>
        <v>0</v>
      </c>
      <c r="K441" s="14"/>
      <c r="L441" s="14"/>
      <c r="M441" s="14">
        <v>400</v>
      </c>
      <c r="N441" s="14"/>
      <c r="O441" s="14"/>
      <c r="P441" s="14"/>
      <c r="Q441" s="14"/>
      <c r="R441" s="14"/>
      <c r="S441" s="14"/>
      <c r="T441" s="14"/>
      <c r="U441" s="14"/>
      <c r="V441" s="14"/>
      <c r="W441" s="15">
        <f t="shared" si="18"/>
        <v>400</v>
      </c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5"/>
      <c r="AK441" s="16"/>
    </row>
    <row r="442" spans="1:37" x14ac:dyDescent="0.2">
      <c r="B442" s="7" t="s">
        <v>69</v>
      </c>
      <c r="C442" s="8">
        <v>11207</v>
      </c>
      <c r="D442" s="9" t="s">
        <v>678</v>
      </c>
      <c r="E442" s="10" t="s">
        <v>679</v>
      </c>
      <c r="F442" s="10" t="s">
        <v>680</v>
      </c>
      <c r="G442" s="8">
        <v>1</v>
      </c>
      <c r="H442" s="11">
        <v>400</v>
      </c>
      <c r="I442" s="12">
        <v>42435</v>
      </c>
      <c r="J442" s="13">
        <f t="shared" si="17"/>
        <v>0</v>
      </c>
      <c r="K442" s="14"/>
      <c r="L442" s="14"/>
      <c r="M442" s="14">
        <v>400</v>
      </c>
      <c r="N442" s="14"/>
      <c r="O442" s="14"/>
      <c r="P442" s="14"/>
      <c r="Q442" s="14"/>
      <c r="R442" s="14"/>
      <c r="S442" s="14"/>
      <c r="T442" s="14"/>
      <c r="U442" s="14"/>
      <c r="V442" s="14"/>
      <c r="W442" s="15">
        <f t="shared" si="18"/>
        <v>400</v>
      </c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5"/>
      <c r="AK442" s="16"/>
    </row>
    <row r="443" spans="1:37" x14ac:dyDescent="0.2">
      <c r="B443" s="7" t="s">
        <v>47</v>
      </c>
      <c r="C443" s="8">
        <v>11208</v>
      </c>
      <c r="D443" s="9" t="s">
        <v>241</v>
      </c>
      <c r="E443" s="10" t="s">
        <v>242</v>
      </c>
      <c r="F443" s="10" t="s">
        <v>243</v>
      </c>
      <c r="G443" s="8">
        <v>1</v>
      </c>
      <c r="H443" s="11">
        <v>400</v>
      </c>
      <c r="I443" s="12">
        <v>42435</v>
      </c>
      <c r="J443" s="13">
        <f t="shared" si="17"/>
        <v>0</v>
      </c>
      <c r="K443" s="14"/>
      <c r="L443" s="14"/>
      <c r="M443" s="14">
        <v>400</v>
      </c>
      <c r="N443" s="14"/>
      <c r="O443" s="14"/>
      <c r="P443" s="14"/>
      <c r="Q443" s="14"/>
      <c r="R443" s="14"/>
      <c r="S443" s="14"/>
      <c r="T443" s="14"/>
      <c r="U443" s="14"/>
      <c r="V443" s="14"/>
      <c r="W443" s="15">
        <f t="shared" si="18"/>
        <v>400</v>
      </c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5"/>
      <c r="AK443" s="16"/>
    </row>
    <row r="444" spans="1:37" x14ac:dyDescent="0.2">
      <c r="B444" s="7" t="s">
        <v>47</v>
      </c>
      <c r="C444" s="8">
        <v>11209</v>
      </c>
      <c r="D444" s="9" t="s">
        <v>702</v>
      </c>
      <c r="E444" s="10" t="s">
        <v>703</v>
      </c>
      <c r="F444" s="10" t="s">
        <v>704</v>
      </c>
      <c r="G444" s="8">
        <v>1</v>
      </c>
      <c r="H444" s="11">
        <v>3200</v>
      </c>
      <c r="I444" s="12">
        <v>42435</v>
      </c>
      <c r="J444" s="13">
        <f t="shared" si="17"/>
        <v>0</v>
      </c>
      <c r="K444" s="14"/>
      <c r="L444" s="14"/>
      <c r="M444" s="14">
        <v>400</v>
      </c>
      <c r="N444" s="14">
        <v>400</v>
      </c>
      <c r="O444" s="14">
        <v>400</v>
      </c>
      <c r="P444" s="14">
        <v>400</v>
      </c>
      <c r="Q444" s="14">
        <v>400</v>
      </c>
      <c r="R444" s="14">
        <v>400</v>
      </c>
      <c r="S444" s="14">
        <v>400</v>
      </c>
      <c r="T444" s="14">
        <v>400</v>
      </c>
      <c r="U444" s="14"/>
      <c r="V444" s="14"/>
      <c r="W444" s="15">
        <f t="shared" si="18"/>
        <v>3200</v>
      </c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5"/>
      <c r="AK444" s="16"/>
    </row>
    <row r="445" spans="1:37" x14ac:dyDescent="0.2">
      <c r="B445" s="7" t="s">
        <v>69</v>
      </c>
      <c r="C445" s="8">
        <v>11210</v>
      </c>
      <c r="D445" s="9" t="s">
        <v>437</v>
      </c>
      <c r="E445" s="10" t="s">
        <v>438</v>
      </c>
      <c r="F445" s="10" t="s">
        <v>439</v>
      </c>
      <c r="G445" s="8">
        <v>1</v>
      </c>
      <c r="H445" s="11">
        <v>400</v>
      </c>
      <c r="I445" s="12">
        <v>42435</v>
      </c>
      <c r="J445" s="13">
        <f t="shared" si="17"/>
        <v>0</v>
      </c>
      <c r="K445" s="14"/>
      <c r="L445" s="14"/>
      <c r="M445" s="14">
        <v>400</v>
      </c>
      <c r="N445" s="14"/>
      <c r="O445" s="14"/>
      <c r="P445" s="14"/>
      <c r="Q445" s="14"/>
      <c r="R445" s="14"/>
      <c r="S445" s="14"/>
      <c r="T445" s="14"/>
      <c r="U445" s="14"/>
      <c r="V445" s="14"/>
      <c r="W445" s="15">
        <f t="shared" si="18"/>
        <v>400</v>
      </c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5"/>
      <c r="AK445" s="16"/>
    </row>
    <row r="446" spans="1:37" x14ac:dyDescent="0.2">
      <c r="B446" s="7" t="s">
        <v>77</v>
      </c>
      <c r="C446" s="8">
        <v>11211</v>
      </c>
      <c r="D446" s="9" t="s">
        <v>479</v>
      </c>
      <c r="E446" s="10" t="s">
        <v>480</v>
      </c>
      <c r="F446" s="10" t="s">
        <v>481</v>
      </c>
      <c r="G446" s="8">
        <v>1</v>
      </c>
      <c r="H446" s="11">
        <v>300</v>
      </c>
      <c r="I446" s="12">
        <v>42435</v>
      </c>
      <c r="J446" s="13">
        <f t="shared" si="17"/>
        <v>0</v>
      </c>
      <c r="K446" s="14"/>
      <c r="L446" s="14"/>
      <c r="M446" s="14">
        <v>300</v>
      </c>
      <c r="N446" s="14"/>
      <c r="O446" s="14"/>
      <c r="P446" s="14"/>
      <c r="Q446" s="14"/>
      <c r="R446" s="14"/>
      <c r="S446" s="14"/>
      <c r="T446" s="14"/>
      <c r="U446" s="14"/>
      <c r="V446" s="14"/>
      <c r="W446" s="15">
        <f t="shared" si="18"/>
        <v>300</v>
      </c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5"/>
      <c r="AK446" s="16"/>
    </row>
    <row r="447" spans="1:37" x14ac:dyDescent="0.2">
      <c r="B447" s="7" t="s">
        <v>37</v>
      </c>
      <c r="C447" s="8">
        <v>11212</v>
      </c>
      <c r="D447" s="9" t="s">
        <v>814</v>
      </c>
      <c r="E447" s="10" t="s">
        <v>815</v>
      </c>
      <c r="F447" s="10" t="s">
        <v>816</v>
      </c>
      <c r="G447" s="8">
        <v>1</v>
      </c>
      <c r="H447" s="11">
        <v>1200</v>
      </c>
      <c r="I447" s="12">
        <v>42435</v>
      </c>
      <c r="J447" s="13">
        <f t="shared" si="17"/>
        <v>0</v>
      </c>
      <c r="K447" s="14">
        <v>400</v>
      </c>
      <c r="L447" s="14">
        <v>400</v>
      </c>
      <c r="M447" s="14">
        <v>400</v>
      </c>
      <c r="N447" s="14"/>
      <c r="O447" s="14"/>
      <c r="P447" s="14"/>
      <c r="Q447" s="14"/>
      <c r="R447" s="14"/>
      <c r="S447" s="14"/>
      <c r="T447" s="14"/>
      <c r="U447" s="14"/>
      <c r="V447" s="14"/>
      <c r="W447" s="15">
        <f t="shared" si="18"/>
        <v>1200</v>
      </c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5"/>
      <c r="AK447" s="16"/>
    </row>
    <row r="448" spans="1:37" x14ac:dyDescent="0.2">
      <c r="B448" s="7" t="s">
        <v>73</v>
      </c>
      <c r="C448" s="8">
        <v>11213</v>
      </c>
      <c r="D448" s="9" t="s">
        <v>407</v>
      </c>
      <c r="E448" s="10" t="s">
        <v>408</v>
      </c>
      <c r="F448" s="10" t="s">
        <v>409</v>
      </c>
      <c r="G448" s="8">
        <v>1</v>
      </c>
      <c r="H448" s="11">
        <v>400</v>
      </c>
      <c r="I448" s="12">
        <v>42435</v>
      </c>
      <c r="J448" s="13">
        <f t="shared" si="17"/>
        <v>0</v>
      </c>
      <c r="K448" s="14"/>
      <c r="L448" s="14"/>
      <c r="M448" s="14">
        <v>400</v>
      </c>
      <c r="N448" s="14"/>
      <c r="O448" s="14"/>
      <c r="P448" s="14"/>
      <c r="Q448" s="14"/>
      <c r="R448" s="14"/>
      <c r="S448" s="14"/>
      <c r="T448" s="14"/>
      <c r="U448" s="14"/>
      <c r="V448" s="14"/>
      <c r="W448" s="15">
        <f t="shared" si="18"/>
        <v>400</v>
      </c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5"/>
      <c r="AK448" s="16"/>
    </row>
    <row r="449" spans="2:37" x14ac:dyDescent="0.2">
      <c r="B449" s="7" t="s">
        <v>73</v>
      </c>
      <c r="C449" s="8">
        <v>11213</v>
      </c>
      <c r="D449" s="9" t="s">
        <v>407</v>
      </c>
      <c r="E449" s="10" t="s">
        <v>408</v>
      </c>
      <c r="F449" s="10" t="s">
        <v>409</v>
      </c>
      <c r="G449" s="8">
        <v>3</v>
      </c>
      <c r="H449" s="11">
        <v>160</v>
      </c>
      <c r="I449" s="12">
        <v>42435</v>
      </c>
      <c r="J449" s="13">
        <f t="shared" si="17"/>
        <v>0</v>
      </c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5">
        <f t="shared" si="18"/>
        <v>0</v>
      </c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5"/>
      <c r="AK449" s="16"/>
    </row>
    <row r="450" spans="2:37" x14ac:dyDescent="0.2">
      <c r="B450" s="7" t="s">
        <v>37</v>
      </c>
      <c r="C450" s="8">
        <v>11214</v>
      </c>
      <c r="D450" s="9" t="s">
        <v>716</v>
      </c>
      <c r="E450" s="10" t="s">
        <v>717</v>
      </c>
      <c r="F450" s="10" t="s">
        <v>718</v>
      </c>
      <c r="G450" s="8">
        <v>1</v>
      </c>
      <c r="H450" s="11">
        <v>300</v>
      </c>
      <c r="I450" s="12">
        <v>42435</v>
      </c>
      <c r="J450" s="13">
        <f t="shared" si="17"/>
        <v>0</v>
      </c>
      <c r="K450" s="14"/>
      <c r="L450" s="14"/>
      <c r="M450" s="14">
        <v>300</v>
      </c>
      <c r="N450" s="14"/>
      <c r="O450" s="14"/>
      <c r="P450" s="14"/>
      <c r="Q450" s="14"/>
      <c r="R450" s="14"/>
      <c r="S450" s="14"/>
      <c r="T450" s="14"/>
      <c r="U450" s="14"/>
      <c r="V450" s="14"/>
      <c r="W450" s="15">
        <f t="shared" si="18"/>
        <v>300</v>
      </c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5"/>
      <c r="AK450" s="16"/>
    </row>
    <row r="451" spans="2:37" x14ac:dyDescent="0.2">
      <c r="B451" s="7" t="s">
        <v>47</v>
      </c>
      <c r="C451" s="8">
        <v>11215</v>
      </c>
      <c r="D451" s="9" t="s">
        <v>769</v>
      </c>
      <c r="E451" s="10" t="s">
        <v>770</v>
      </c>
      <c r="F451" s="10" t="s">
        <v>771</v>
      </c>
      <c r="G451" s="8">
        <v>1</v>
      </c>
      <c r="H451" s="11">
        <v>400</v>
      </c>
      <c r="I451" s="12">
        <v>42435</v>
      </c>
      <c r="J451" s="13">
        <f t="shared" si="17"/>
        <v>0</v>
      </c>
      <c r="K451" s="14"/>
      <c r="L451" s="14"/>
      <c r="M451" s="14">
        <v>400</v>
      </c>
      <c r="N451" s="14"/>
      <c r="O451" s="14"/>
      <c r="P451" s="14"/>
      <c r="Q451" s="14"/>
      <c r="R451" s="14"/>
      <c r="S451" s="14"/>
      <c r="T451" s="14"/>
      <c r="U451" s="14"/>
      <c r="V451" s="14"/>
      <c r="W451" s="15">
        <f t="shared" si="18"/>
        <v>400</v>
      </c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5"/>
      <c r="AK451" s="16"/>
    </row>
    <row r="452" spans="2:37" x14ac:dyDescent="0.2">
      <c r="B452" s="7" t="s">
        <v>73</v>
      </c>
      <c r="C452" s="8">
        <v>11216</v>
      </c>
      <c r="D452" s="9" t="s">
        <v>817</v>
      </c>
      <c r="E452" s="10" t="s">
        <v>818</v>
      </c>
      <c r="F452" s="10" t="s">
        <v>819</v>
      </c>
      <c r="G452" s="8">
        <v>1</v>
      </c>
      <c r="H452" s="11">
        <v>2200</v>
      </c>
      <c r="I452" s="12">
        <v>42435</v>
      </c>
      <c r="J452" s="13">
        <f t="shared" si="17"/>
        <v>0</v>
      </c>
      <c r="K452" s="14">
        <v>200</v>
      </c>
      <c r="L452" s="14">
        <v>200</v>
      </c>
      <c r="M452" s="14">
        <v>200</v>
      </c>
      <c r="N452" s="14">
        <v>200</v>
      </c>
      <c r="O452" s="14">
        <v>200</v>
      </c>
      <c r="P452" s="14">
        <v>200</v>
      </c>
      <c r="Q452" s="14">
        <v>200</v>
      </c>
      <c r="R452" s="14">
        <v>200</v>
      </c>
      <c r="S452" s="14">
        <v>200</v>
      </c>
      <c r="T452" s="14">
        <v>200</v>
      </c>
      <c r="U452" s="14">
        <v>200</v>
      </c>
      <c r="V452" s="14"/>
      <c r="W452" s="15">
        <f t="shared" si="18"/>
        <v>2200</v>
      </c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5"/>
      <c r="AK452" s="16" t="s">
        <v>57</v>
      </c>
    </row>
    <row r="453" spans="2:37" x14ac:dyDescent="0.2">
      <c r="B453" s="7" t="s">
        <v>69</v>
      </c>
      <c r="C453" s="8">
        <v>11217</v>
      </c>
      <c r="D453" s="9" t="s">
        <v>325</v>
      </c>
      <c r="E453" s="10" t="s">
        <v>326</v>
      </c>
      <c r="F453" s="10" t="s">
        <v>327</v>
      </c>
      <c r="G453" s="8">
        <v>1</v>
      </c>
      <c r="H453" s="11">
        <v>400</v>
      </c>
      <c r="I453" s="12">
        <v>42435</v>
      </c>
      <c r="J453" s="13">
        <f t="shared" si="17"/>
        <v>0</v>
      </c>
      <c r="K453" s="14"/>
      <c r="L453" s="14"/>
      <c r="M453" s="14">
        <v>400</v>
      </c>
      <c r="N453" s="14"/>
      <c r="O453" s="14"/>
      <c r="P453" s="14"/>
      <c r="Q453" s="14"/>
      <c r="R453" s="14"/>
      <c r="S453" s="14"/>
      <c r="T453" s="14"/>
      <c r="U453" s="14"/>
      <c r="V453" s="14"/>
      <c r="W453" s="15">
        <f t="shared" si="18"/>
        <v>400</v>
      </c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5"/>
      <c r="AK453" s="16"/>
    </row>
    <row r="454" spans="2:37" x14ac:dyDescent="0.2">
      <c r="B454" s="7" t="s">
        <v>73</v>
      </c>
      <c r="C454" s="8">
        <v>11218</v>
      </c>
      <c r="D454" s="9" t="s">
        <v>141</v>
      </c>
      <c r="E454" s="10" t="s">
        <v>142</v>
      </c>
      <c r="F454" s="10" t="s">
        <v>143</v>
      </c>
      <c r="G454" s="8">
        <v>1</v>
      </c>
      <c r="H454" s="11">
        <v>1200</v>
      </c>
      <c r="I454" s="12">
        <v>42435</v>
      </c>
      <c r="J454" s="13">
        <f t="shared" si="17"/>
        <v>0</v>
      </c>
      <c r="K454" s="14">
        <v>400</v>
      </c>
      <c r="L454" s="14">
        <v>400</v>
      </c>
      <c r="M454" s="14">
        <v>400</v>
      </c>
      <c r="N454" s="14"/>
      <c r="O454" s="14"/>
      <c r="P454" s="14"/>
      <c r="Q454" s="14"/>
      <c r="R454" s="14"/>
      <c r="S454" s="14"/>
      <c r="T454" s="14"/>
      <c r="U454" s="14"/>
      <c r="V454" s="14"/>
      <c r="W454" s="15">
        <f t="shared" si="18"/>
        <v>1200</v>
      </c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5"/>
      <c r="AK454" s="16"/>
    </row>
    <row r="455" spans="2:37" x14ac:dyDescent="0.2">
      <c r="B455" s="7" t="s">
        <v>69</v>
      </c>
      <c r="C455" s="8">
        <v>11219</v>
      </c>
      <c r="D455" s="9" t="s">
        <v>100</v>
      </c>
      <c r="E455" s="10" t="s">
        <v>101</v>
      </c>
      <c r="F455" s="10" t="s">
        <v>102</v>
      </c>
      <c r="G455" s="8">
        <v>1</v>
      </c>
      <c r="H455" s="11">
        <v>400</v>
      </c>
      <c r="I455" s="12">
        <v>42435</v>
      </c>
      <c r="J455" s="13">
        <f t="shared" si="17"/>
        <v>0</v>
      </c>
      <c r="K455" s="14"/>
      <c r="L455" s="14"/>
      <c r="M455" s="14">
        <v>400</v>
      </c>
      <c r="N455" s="14"/>
      <c r="O455" s="14"/>
      <c r="P455" s="14"/>
      <c r="Q455" s="14"/>
      <c r="R455" s="14"/>
      <c r="S455" s="14"/>
      <c r="T455" s="14"/>
      <c r="U455" s="14"/>
      <c r="V455" s="14"/>
      <c r="W455" s="15">
        <f t="shared" si="18"/>
        <v>400</v>
      </c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5"/>
      <c r="AK455" s="16"/>
    </row>
    <row r="456" spans="2:37" x14ac:dyDescent="0.2">
      <c r="B456" s="7" t="s">
        <v>47</v>
      </c>
      <c r="C456" s="8">
        <v>11220</v>
      </c>
      <c r="D456" s="9" t="s">
        <v>162</v>
      </c>
      <c r="E456" s="10" t="s">
        <v>163</v>
      </c>
      <c r="F456" s="10" t="s">
        <v>164</v>
      </c>
      <c r="G456" s="8">
        <v>1</v>
      </c>
      <c r="H456" s="11">
        <v>800</v>
      </c>
      <c r="I456" s="12">
        <v>42435</v>
      </c>
      <c r="J456" s="13">
        <f t="shared" si="17"/>
        <v>0</v>
      </c>
      <c r="K456" s="14"/>
      <c r="L456" s="14"/>
      <c r="M456" s="14">
        <v>400</v>
      </c>
      <c r="N456" s="14">
        <v>400</v>
      </c>
      <c r="O456" s="14"/>
      <c r="P456" s="14"/>
      <c r="Q456" s="14"/>
      <c r="R456" s="14"/>
      <c r="S456" s="14"/>
      <c r="T456" s="14"/>
      <c r="U456" s="14"/>
      <c r="V456" s="14"/>
      <c r="W456" s="15">
        <f t="shared" si="18"/>
        <v>800</v>
      </c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5"/>
      <c r="AK456" s="16"/>
    </row>
    <row r="457" spans="2:37" x14ac:dyDescent="0.2">
      <c r="B457" s="7" t="s">
        <v>37</v>
      </c>
      <c r="C457" s="8">
        <v>11221</v>
      </c>
      <c r="D457" s="9" t="s">
        <v>94</v>
      </c>
      <c r="E457" s="10" t="s">
        <v>95</v>
      </c>
      <c r="F457" s="10" t="s">
        <v>96</v>
      </c>
      <c r="G457" s="8">
        <v>1</v>
      </c>
      <c r="H457" s="11">
        <v>400</v>
      </c>
      <c r="I457" s="12">
        <v>42435</v>
      </c>
      <c r="J457" s="13">
        <f t="shared" si="17"/>
        <v>0</v>
      </c>
      <c r="K457" s="14"/>
      <c r="L457" s="14"/>
      <c r="M457" s="14">
        <v>400</v>
      </c>
      <c r="N457" s="14"/>
      <c r="O457" s="14"/>
      <c r="P457" s="14"/>
      <c r="Q457" s="14"/>
      <c r="R457" s="14"/>
      <c r="S457" s="14"/>
      <c r="T457" s="14"/>
      <c r="U457" s="14"/>
      <c r="V457" s="14"/>
      <c r="W457" s="15">
        <f t="shared" si="18"/>
        <v>400</v>
      </c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5"/>
      <c r="AK457" s="16"/>
    </row>
    <row r="458" spans="2:37" x14ac:dyDescent="0.2">
      <c r="B458" s="7" t="s">
        <v>77</v>
      </c>
      <c r="C458" s="8">
        <v>11222</v>
      </c>
      <c r="D458" s="9" t="s">
        <v>820</v>
      </c>
      <c r="E458" s="10" t="s">
        <v>821</v>
      </c>
      <c r="F458" s="10" t="s">
        <v>822</v>
      </c>
      <c r="G458" s="8">
        <v>1</v>
      </c>
      <c r="H458" s="11">
        <v>600</v>
      </c>
      <c r="I458" s="12">
        <v>42435</v>
      </c>
      <c r="J458" s="13">
        <f t="shared" si="17"/>
        <v>0</v>
      </c>
      <c r="K458" s="14">
        <v>300</v>
      </c>
      <c r="L458" s="14">
        <v>300</v>
      </c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5">
        <f t="shared" si="18"/>
        <v>600</v>
      </c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5"/>
      <c r="AK458" s="16"/>
    </row>
    <row r="459" spans="2:37" x14ac:dyDescent="0.2">
      <c r="B459" s="7" t="s">
        <v>47</v>
      </c>
      <c r="C459" s="8">
        <v>11223</v>
      </c>
      <c r="D459" s="9" t="s">
        <v>150</v>
      </c>
      <c r="E459" s="10" t="s">
        <v>151</v>
      </c>
      <c r="F459" s="10" t="s">
        <v>152</v>
      </c>
      <c r="G459" s="8">
        <v>1</v>
      </c>
      <c r="H459" s="11">
        <v>400</v>
      </c>
      <c r="I459" s="12">
        <v>42435</v>
      </c>
      <c r="J459" s="13">
        <f t="shared" si="17"/>
        <v>0</v>
      </c>
      <c r="K459" s="14"/>
      <c r="L459" s="14"/>
      <c r="M459" s="14">
        <v>400</v>
      </c>
      <c r="N459" s="14"/>
      <c r="O459" s="14"/>
      <c r="P459" s="14"/>
      <c r="Q459" s="14"/>
      <c r="R459" s="14"/>
      <c r="S459" s="14"/>
      <c r="T459" s="14"/>
      <c r="U459" s="14"/>
      <c r="V459" s="14"/>
      <c r="W459" s="15">
        <f t="shared" si="18"/>
        <v>400</v>
      </c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5"/>
      <c r="AK459" s="16"/>
    </row>
    <row r="460" spans="2:37" x14ac:dyDescent="0.2">
      <c r="B460" s="7" t="s">
        <v>47</v>
      </c>
      <c r="C460" s="8">
        <v>11224</v>
      </c>
      <c r="D460" s="9" t="s">
        <v>583</v>
      </c>
      <c r="E460" s="10" t="s">
        <v>584</v>
      </c>
      <c r="F460" s="10" t="s">
        <v>585</v>
      </c>
      <c r="G460" s="8">
        <v>1</v>
      </c>
      <c r="H460" s="11">
        <v>200</v>
      </c>
      <c r="I460" s="12">
        <v>42435</v>
      </c>
      <c r="J460" s="13">
        <f t="shared" si="17"/>
        <v>0</v>
      </c>
      <c r="K460" s="14"/>
      <c r="L460" s="14"/>
      <c r="M460" s="14">
        <v>200</v>
      </c>
      <c r="N460" s="14"/>
      <c r="O460" s="14"/>
      <c r="P460" s="14"/>
      <c r="Q460" s="14"/>
      <c r="R460" s="14"/>
      <c r="S460" s="14"/>
      <c r="T460" s="14"/>
      <c r="U460" s="14"/>
      <c r="V460" s="14"/>
      <c r="W460" s="15">
        <f t="shared" si="18"/>
        <v>200</v>
      </c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5"/>
      <c r="AK460" s="16"/>
    </row>
    <row r="461" spans="2:37" x14ac:dyDescent="0.2">
      <c r="B461" s="7" t="s">
        <v>47</v>
      </c>
      <c r="C461" s="8">
        <v>11225</v>
      </c>
      <c r="D461" s="9" t="s">
        <v>823</v>
      </c>
      <c r="E461" s="10" t="s">
        <v>824</v>
      </c>
      <c r="F461" s="10" t="s">
        <v>765</v>
      </c>
      <c r="G461" s="8">
        <v>1</v>
      </c>
      <c r="H461" s="11">
        <v>600</v>
      </c>
      <c r="I461" s="12">
        <v>42435</v>
      </c>
      <c r="J461" s="13">
        <f t="shared" si="17"/>
        <v>0</v>
      </c>
      <c r="K461" s="14">
        <v>200</v>
      </c>
      <c r="L461" s="14">
        <v>200</v>
      </c>
      <c r="M461" s="14">
        <v>200</v>
      </c>
      <c r="N461" s="14"/>
      <c r="O461" s="14"/>
      <c r="P461" s="14"/>
      <c r="Q461" s="14"/>
      <c r="R461" s="14"/>
      <c r="S461" s="14"/>
      <c r="T461" s="14"/>
      <c r="U461" s="14"/>
      <c r="V461" s="14"/>
      <c r="W461" s="15">
        <f t="shared" si="18"/>
        <v>600</v>
      </c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5"/>
      <c r="AK461" s="16"/>
    </row>
    <row r="462" spans="2:37" x14ac:dyDescent="0.2">
      <c r="B462" s="7" t="s">
        <v>47</v>
      </c>
      <c r="C462" s="8">
        <v>11226</v>
      </c>
      <c r="D462" s="9" t="s">
        <v>825</v>
      </c>
      <c r="E462" s="10" t="s">
        <v>826</v>
      </c>
      <c r="F462" s="10" t="s">
        <v>827</v>
      </c>
      <c r="G462" s="8">
        <v>1</v>
      </c>
      <c r="H462" s="11">
        <v>400</v>
      </c>
      <c r="I462" s="12">
        <v>42435</v>
      </c>
      <c r="J462" s="13">
        <f t="shared" si="17"/>
        <v>0</v>
      </c>
      <c r="K462" s="14"/>
      <c r="L462" s="14"/>
      <c r="M462" s="14">
        <v>400</v>
      </c>
      <c r="N462" s="14"/>
      <c r="O462" s="14"/>
      <c r="P462" s="14"/>
      <c r="Q462" s="14"/>
      <c r="R462" s="14"/>
      <c r="S462" s="14"/>
      <c r="T462" s="14"/>
      <c r="U462" s="14"/>
      <c r="V462" s="14"/>
      <c r="W462" s="15">
        <f t="shared" si="18"/>
        <v>400</v>
      </c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5"/>
      <c r="AK462" s="16"/>
    </row>
    <row r="463" spans="2:37" x14ac:dyDescent="0.2">
      <c r="B463" s="7" t="s">
        <v>69</v>
      </c>
      <c r="C463" s="8">
        <v>11227</v>
      </c>
      <c r="D463" s="9" t="s">
        <v>828</v>
      </c>
      <c r="E463" s="10" t="s">
        <v>829</v>
      </c>
      <c r="F463" s="10" t="s">
        <v>830</v>
      </c>
      <c r="G463" s="8">
        <v>1</v>
      </c>
      <c r="H463" s="11">
        <v>600</v>
      </c>
      <c r="I463" s="12">
        <v>42435</v>
      </c>
      <c r="J463" s="13">
        <f t="shared" si="17"/>
        <v>0</v>
      </c>
      <c r="K463" s="14">
        <v>200</v>
      </c>
      <c r="L463" s="14">
        <v>200</v>
      </c>
      <c r="M463" s="14">
        <v>200</v>
      </c>
      <c r="N463" s="14"/>
      <c r="O463" s="14"/>
      <c r="P463" s="14"/>
      <c r="Q463" s="14"/>
      <c r="R463" s="14"/>
      <c r="S463" s="14"/>
      <c r="T463" s="14"/>
      <c r="U463" s="14"/>
      <c r="V463" s="14"/>
      <c r="W463" s="15">
        <f t="shared" si="18"/>
        <v>600</v>
      </c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5"/>
      <c r="AK463" s="16"/>
    </row>
    <row r="464" spans="2:37" x14ac:dyDescent="0.2">
      <c r="B464" s="7" t="s">
        <v>37</v>
      </c>
      <c r="C464" s="8">
        <v>11228</v>
      </c>
      <c r="D464" s="9" t="s">
        <v>364</v>
      </c>
      <c r="E464" s="10" t="s">
        <v>365</v>
      </c>
      <c r="F464" s="10" t="s">
        <v>366</v>
      </c>
      <c r="G464" s="8">
        <v>1</v>
      </c>
      <c r="H464" s="11">
        <v>600</v>
      </c>
      <c r="I464" s="12">
        <v>42435</v>
      </c>
      <c r="J464" s="13">
        <f t="shared" si="17"/>
        <v>0</v>
      </c>
      <c r="K464" s="14"/>
      <c r="L464" s="14">
        <v>300</v>
      </c>
      <c r="M464" s="14">
        <v>300</v>
      </c>
      <c r="N464" s="14"/>
      <c r="O464" s="14"/>
      <c r="P464" s="14"/>
      <c r="Q464" s="14"/>
      <c r="R464" s="14"/>
      <c r="S464" s="14"/>
      <c r="T464" s="14"/>
      <c r="U464" s="14"/>
      <c r="V464" s="14"/>
      <c r="W464" s="15">
        <f t="shared" si="18"/>
        <v>600</v>
      </c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5"/>
      <c r="AK464" s="16"/>
    </row>
    <row r="465" spans="2:37" x14ac:dyDescent="0.2">
      <c r="B465" s="7" t="s">
        <v>47</v>
      </c>
      <c r="C465" s="8">
        <v>11229</v>
      </c>
      <c r="D465" s="9" t="s">
        <v>48</v>
      </c>
      <c r="E465" s="10" t="s">
        <v>49</v>
      </c>
      <c r="F465" s="10" t="s">
        <v>50</v>
      </c>
      <c r="G465" s="8">
        <v>1</v>
      </c>
      <c r="H465" s="11">
        <v>800</v>
      </c>
      <c r="I465" s="12">
        <v>42435</v>
      </c>
      <c r="J465" s="13">
        <f t="shared" si="17"/>
        <v>0</v>
      </c>
      <c r="K465" s="14"/>
      <c r="L465" s="14">
        <v>400</v>
      </c>
      <c r="M465" s="14">
        <v>400</v>
      </c>
      <c r="N465" s="14"/>
      <c r="O465" s="14"/>
      <c r="P465" s="14"/>
      <c r="Q465" s="14"/>
      <c r="R465" s="14"/>
      <c r="S465" s="14"/>
      <c r="T465" s="14"/>
      <c r="U465" s="14"/>
      <c r="V465" s="14"/>
      <c r="W465" s="15">
        <f t="shared" si="18"/>
        <v>800</v>
      </c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5"/>
      <c r="AK465" s="16"/>
    </row>
    <row r="466" spans="2:37" x14ac:dyDescent="0.2">
      <c r="B466" s="7" t="s">
        <v>73</v>
      </c>
      <c r="C466" s="8">
        <v>11230</v>
      </c>
      <c r="D466" s="9" t="s">
        <v>109</v>
      </c>
      <c r="E466" s="10" t="s">
        <v>110</v>
      </c>
      <c r="F466" s="10" t="s">
        <v>111</v>
      </c>
      <c r="G466" s="8">
        <v>1</v>
      </c>
      <c r="H466" s="11">
        <v>400</v>
      </c>
      <c r="I466" s="12">
        <v>42435</v>
      </c>
      <c r="J466" s="13">
        <f t="shared" si="17"/>
        <v>0</v>
      </c>
      <c r="K466" s="14"/>
      <c r="L466" s="14">
        <v>400</v>
      </c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5">
        <f t="shared" si="18"/>
        <v>400</v>
      </c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5"/>
      <c r="AK466" s="16"/>
    </row>
    <row r="467" spans="2:37" x14ac:dyDescent="0.2">
      <c r="B467" s="7" t="s">
        <v>69</v>
      </c>
      <c r="C467" s="8">
        <v>11231</v>
      </c>
      <c r="D467" s="9" t="s">
        <v>831</v>
      </c>
      <c r="E467" s="10" t="s">
        <v>832</v>
      </c>
      <c r="F467" s="10" t="s">
        <v>833</v>
      </c>
      <c r="G467" s="8">
        <v>1</v>
      </c>
      <c r="H467" s="11">
        <v>800</v>
      </c>
      <c r="I467" s="12">
        <v>42435</v>
      </c>
      <c r="J467" s="13">
        <f t="shared" si="17"/>
        <v>0</v>
      </c>
      <c r="K467" s="14"/>
      <c r="L467" s="14">
        <v>400</v>
      </c>
      <c r="M467" s="14">
        <v>400</v>
      </c>
      <c r="N467" s="14"/>
      <c r="O467" s="14"/>
      <c r="P467" s="14"/>
      <c r="Q467" s="14"/>
      <c r="R467" s="14"/>
      <c r="S467" s="14"/>
      <c r="T467" s="14"/>
      <c r="U467" s="14"/>
      <c r="V467" s="14"/>
      <c r="W467" s="15">
        <f t="shared" si="18"/>
        <v>800</v>
      </c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5"/>
      <c r="AK467" s="16"/>
    </row>
    <row r="468" spans="2:37" x14ac:dyDescent="0.2">
      <c r="B468" s="7" t="s">
        <v>47</v>
      </c>
      <c r="C468" s="8">
        <v>11232</v>
      </c>
      <c r="D468" s="9" t="s">
        <v>313</v>
      </c>
      <c r="E468" s="10" t="s">
        <v>314</v>
      </c>
      <c r="F468" s="10" t="s">
        <v>315</v>
      </c>
      <c r="G468" s="8">
        <v>1</v>
      </c>
      <c r="H468" s="11">
        <v>400</v>
      </c>
      <c r="I468" s="12">
        <v>42435</v>
      </c>
      <c r="J468" s="13">
        <f t="shared" si="17"/>
        <v>0</v>
      </c>
      <c r="K468" s="14"/>
      <c r="L468" s="14"/>
      <c r="M468" s="14">
        <v>400</v>
      </c>
      <c r="N468" s="14"/>
      <c r="O468" s="14"/>
      <c r="P468" s="14"/>
      <c r="Q468" s="14"/>
      <c r="R468" s="14"/>
      <c r="S468" s="14"/>
      <c r="T468" s="14"/>
      <c r="U468" s="14"/>
      <c r="V468" s="14"/>
      <c r="W468" s="15">
        <f t="shared" si="18"/>
        <v>400</v>
      </c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5"/>
      <c r="AK468" s="16"/>
    </row>
    <row r="469" spans="2:37" x14ac:dyDescent="0.2">
      <c r="B469" s="7" t="s">
        <v>37</v>
      </c>
      <c r="C469" s="8">
        <v>11233</v>
      </c>
      <c r="D469" s="9" t="s">
        <v>307</v>
      </c>
      <c r="E469" s="10" t="s">
        <v>308</v>
      </c>
      <c r="F469" s="10" t="s">
        <v>309</v>
      </c>
      <c r="G469" s="8">
        <v>1</v>
      </c>
      <c r="H469" s="11">
        <v>350</v>
      </c>
      <c r="I469" s="12">
        <v>42435</v>
      </c>
      <c r="J469" s="13">
        <f t="shared" si="17"/>
        <v>0</v>
      </c>
      <c r="K469" s="14"/>
      <c r="L469" s="14"/>
      <c r="M469" s="14">
        <v>350</v>
      </c>
      <c r="N469" s="14"/>
      <c r="O469" s="14"/>
      <c r="P469" s="14"/>
      <c r="Q469" s="14"/>
      <c r="R469" s="14"/>
      <c r="S469" s="14"/>
      <c r="T469" s="14"/>
      <c r="U469" s="14"/>
      <c r="V469" s="14"/>
      <c r="W469" s="15">
        <f t="shared" si="18"/>
        <v>350</v>
      </c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5"/>
      <c r="AK469" s="16"/>
    </row>
    <row r="470" spans="2:37" x14ac:dyDescent="0.2">
      <c r="B470" s="7" t="s">
        <v>47</v>
      </c>
      <c r="C470" s="8">
        <v>11234</v>
      </c>
      <c r="D470" s="9" t="s">
        <v>620</v>
      </c>
      <c r="E470" s="10" t="s">
        <v>621</v>
      </c>
      <c r="F470" s="10" t="s">
        <v>366</v>
      </c>
      <c r="G470" s="8">
        <v>1</v>
      </c>
      <c r="H470" s="11">
        <v>400</v>
      </c>
      <c r="I470" s="12">
        <v>42435</v>
      </c>
      <c r="J470" s="13">
        <f t="shared" si="17"/>
        <v>0</v>
      </c>
      <c r="K470" s="14"/>
      <c r="L470" s="14">
        <v>400</v>
      </c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5">
        <f t="shared" si="18"/>
        <v>400</v>
      </c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5"/>
      <c r="AK470" s="16"/>
    </row>
    <row r="471" spans="2:37" x14ac:dyDescent="0.2">
      <c r="B471" s="7" t="s">
        <v>69</v>
      </c>
      <c r="C471" s="8">
        <v>11235</v>
      </c>
      <c r="D471" s="9" t="s">
        <v>834</v>
      </c>
      <c r="E471" s="10" t="s">
        <v>835</v>
      </c>
      <c r="F471" s="10" t="s">
        <v>836</v>
      </c>
      <c r="G471" s="8">
        <v>1</v>
      </c>
      <c r="H471" s="11">
        <v>600</v>
      </c>
      <c r="I471" s="12">
        <v>42435</v>
      </c>
      <c r="J471" s="13">
        <f t="shared" si="17"/>
        <v>0</v>
      </c>
      <c r="K471" s="14">
        <v>300</v>
      </c>
      <c r="L471" s="14">
        <v>300</v>
      </c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5">
        <f t="shared" si="18"/>
        <v>600</v>
      </c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5"/>
      <c r="AK471" s="16"/>
    </row>
    <row r="472" spans="2:37" x14ac:dyDescent="0.2">
      <c r="B472" s="7" t="s">
        <v>77</v>
      </c>
      <c r="C472" s="8">
        <v>11236</v>
      </c>
      <c r="D472" s="9" t="s">
        <v>725</v>
      </c>
      <c r="E472" s="10" t="s">
        <v>726</v>
      </c>
      <c r="F472" s="10" t="s">
        <v>727</v>
      </c>
      <c r="G472" s="8">
        <v>1</v>
      </c>
      <c r="H472" s="11">
        <v>400</v>
      </c>
      <c r="I472" s="12">
        <v>42435</v>
      </c>
      <c r="J472" s="13">
        <f t="shared" si="17"/>
        <v>0</v>
      </c>
      <c r="K472" s="14"/>
      <c r="L472" s="14">
        <v>400</v>
      </c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5">
        <f t="shared" si="18"/>
        <v>400</v>
      </c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5"/>
      <c r="AK472" s="16"/>
    </row>
    <row r="473" spans="2:37" x14ac:dyDescent="0.2">
      <c r="B473" s="7" t="s">
        <v>47</v>
      </c>
      <c r="C473" s="8">
        <v>11237</v>
      </c>
      <c r="D473" s="9" t="s">
        <v>404</v>
      </c>
      <c r="E473" s="10" t="s">
        <v>405</v>
      </c>
      <c r="F473" s="10" t="s">
        <v>406</v>
      </c>
      <c r="G473" s="8">
        <v>1</v>
      </c>
      <c r="H473" s="11">
        <v>400</v>
      </c>
      <c r="I473" s="12">
        <v>42435</v>
      </c>
      <c r="J473" s="13">
        <f t="shared" si="17"/>
        <v>0</v>
      </c>
      <c r="K473" s="14"/>
      <c r="L473" s="14"/>
      <c r="M473" s="14">
        <v>400</v>
      </c>
      <c r="N473" s="14"/>
      <c r="O473" s="14"/>
      <c r="P473" s="14"/>
      <c r="Q473" s="14"/>
      <c r="R473" s="14"/>
      <c r="S473" s="14"/>
      <c r="T473" s="14"/>
      <c r="U473" s="14"/>
      <c r="V473" s="14"/>
      <c r="W473" s="15">
        <f t="shared" si="18"/>
        <v>400</v>
      </c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5"/>
      <c r="AK473" s="16"/>
    </row>
    <row r="474" spans="2:37" x14ac:dyDescent="0.2">
      <c r="B474" s="7" t="s">
        <v>69</v>
      </c>
      <c r="C474" s="8">
        <v>11238</v>
      </c>
      <c r="D474" s="9" t="s">
        <v>696</v>
      </c>
      <c r="E474" s="10" t="s">
        <v>697</v>
      </c>
      <c r="F474" s="10" t="s">
        <v>698</v>
      </c>
      <c r="G474" s="8">
        <v>1</v>
      </c>
      <c r="H474" s="11">
        <v>300</v>
      </c>
      <c r="I474" s="12">
        <v>42435</v>
      </c>
      <c r="J474" s="13">
        <f t="shared" si="17"/>
        <v>0</v>
      </c>
      <c r="K474" s="14"/>
      <c r="L474" s="14"/>
      <c r="M474" s="14">
        <v>300</v>
      </c>
      <c r="N474" s="14"/>
      <c r="O474" s="14"/>
      <c r="P474" s="14"/>
      <c r="Q474" s="14"/>
      <c r="R474" s="14"/>
      <c r="S474" s="14"/>
      <c r="T474" s="14"/>
      <c r="U474" s="14"/>
      <c r="V474" s="14"/>
      <c r="W474" s="15">
        <f t="shared" si="18"/>
        <v>300</v>
      </c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5"/>
      <c r="AK474" s="16"/>
    </row>
    <row r="475" spans="2:37" x14ac:dyDescent="0.2">
      <c r="B475" s="7" t="s">
        <v>47</v>
      </c>
      <c r="C475" s="8">
        <v>11239</v>
      </c>
      <c r="D475" s="9" t="s">
        <v>705</v>
      </c>
      <c r="E475" s="10" t="s">
        <v>706</v>
      </c>
      <c r="F475" s="10" t="s">
        <v>707</v>
      </c>
      <c r="G475" s="8">
        <v>1</v>
      </c>
      <c r="H475" s="11">
        <v>300</v>
      </c>
      <c r="I475" s="12">
        <v>42435</v>
      </c>
      <c r="J475" s="13">
        <f t="shared" si="17"/>
        <v>0</v>
      </c>
      <c r="K475" s="14"/>
      <c r="L475" s="14"/>
      <c r="M475" s="14">
        <v>300</v>
      </c>
      <c r="N475" s="14"/>
      <c r="O475" s="14"/>
      <c r="P475" s="14"/>
      <c r="Q475" s="14"/>
      <c r="R475" s="14"/>
      <c r="S475" s="14"/>
      <c r="T475" s="14"/>
      <c r="U475" s="14"/>
      <c r="V475" s="14"/>
      <c r="W475" s="15">
        <f t="shared" si="18"/>
        <v>300</v>
      </c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5"/>
      <c r="AK475" s="16"/>
    </row>
    <row r="476" spans="2:37" x14ac:dyDescent="0.2">
      <c r="B476" s="7" t="s">
        <v>69</v>
      </c>
      <c r="C476" s="8">
        <v>11240</v>
      </c>
      <c r="D476" s="9" t="s">
        <v>467</v>
      </c>
      <c r="E476" s="10" t="s">
        <v>468</v>
      </c>
      <c r="F476" s="10" t="s">
        <v>469</v>
      </c>
      <c r="G476" s="8">
        <v>1</v>
      </c>
      <c r="H476" s="11">
        <v>800</v>
      </c>
      <c r="I476" s="12">
        <v>42435</v>
      </c>
      <c r="J476" s="13">
        <f t="shared" si="17"/>
        <v>0</v>
      </c>
      <c r="K476" s="14"/>
      <c r="L476" s="14">
        <v>400</v>
      </c>
      <c r="M476" s="14">
        <v>400</v>
      </c>
      <c r="N476" s="14"/>
      <c r="O476" s="14"/>
      <c r="P476" s="14"/>
      <c r="Q476" s="14"/>
      <c r="R476" s="14"/>
      <c r="S476" s="14"/>
      <c r="T476" s="14"/>
      <c r="U476" s="14"/>
      <c r="V476" s="14"/>
      <c r="W476" s="15">
        <f t="shared" si="18"/>
        <v>800</v>
      </c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5"/>
      <c r="AK476" s="16"/>
    </row>
    <row r="477" spans="2:37" x14ac:dyDescent="0.2">
      <c r="B477" s="7" t="s">
        <v>69</v>
      </c>
      <c r="C477" s="8">
        <v>11241</v>
      </c>
      <c r="D477" s="9" t="s">
        <v>467</v>
      </c>
      <c r="E477" s="10" t="s">
        <v>468</v>
      </c>
      <c r="F477" s="10" t="s">
        <v>469</v>
      </c>
      <c r="G477" s="8">
        <v>1</v>
      </c>
      <c r="H477" s="11">
        <v>400</v>
      </c>
      <c r="I477" s="12">
        <v>42435</v>
      </c>
      <c r="J477" s="13">
        <f t="shared" si="17"/>
        <v>0</v>
      </c>
      <c r="K477" s="14"/>
      <c r="L477" s="14"/>
      <c r="M477" s="14"/>
      <c r="N477" s="14">
        <v>400</v>
      </c>
      <c r="O477" s="14"/>
      <c r="P477" s="14"/>
      <c r="Q477" s="14"/>
      <c r="R477" s="14"/>
      <c r="S477" s="14"/>
      <c r="T477" s="14"/>
      <c r="U477" s="14"/>
      <c r="V477" s="14"/>
      <c r="W477" s="15">
        <f t="shared" si="18"/>
        <v>400</v>
      </c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5"/>
      <c r="AK477" s="16"/>
    </row>
    <row r="478" spans="2:37" x14ac:dyDescent="0.2">
      <c r="B478" s="7" t="s">
        <v>69</v>
      </c>
      <c r="C478" s="8">
        <v>11242</v>
      </c>
      <c r="D478" s="9" t="s">
        <v>562</v>
      </c>
      <c r="E478" s="10" t="s">
        <v>563</v>
      </c>
      <c r="F478" s="10" t="s">
        <v>564</v>
      </c>
      <c r="G478" s="8">
        <v>1</v>
      </c>
      <c r="H478" s="11">
        <v>400</v>
      </c>
      <c r="I478" s="12">
        <v>42435</v>
      </c>
      <c r="J478" s="13">
        <f t="shared" si="17"/>
        <v>0</v>
      </c>
      <c r="K478" s="14"/>
      <c r="L478" s="14">
        <v>400</v>
      </c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5">
        <f t="shared" si="18"/>
        <v>400</v>
      </c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5"/>
      <c r="AK478" s="16"/>
    </row>
    <row r="479" spans="2:37" x14ac:dyDescent="0.2">
      <c r="B479" s="7" t="s">
        <v>47</v>
      </c>
      <c r="C479" s="8">
        <v>11243</v>
      </c>
      <c r="D479" s="9" t="s">
        <v>97</v>
      </c>
      <c r="E479" s="10" t="s">
        <v>98</v>
      </c>
      <c r="F479" s="10" t="s">
        <v>99</v>
      </c>
      <c r="G479" s="8">
        <v>1</v>
      </c>
      <c r="H479" s="11">
        <v>400</v>
      </c>
      <c r="I479" s="12">
        <v>42435</v>
      </c>
      <c r="J479" s="13">
        <f t="shared" si="17"/>
        <v>0</v>
      </c>
      <c r="K479" s="14"/>
      <c r="L479" s="14"/>
      <c r="M479" s="14">
        <v>400</v>
      </c>
      <c r="N479" s="14"/>
      <c r="O479" s="14"/>
      <c r="P479" s="14"/>
      <c r="Q479" s="14"/>
      <c r="R479" s="14"/>
      <c r="S479" s="14"/>
      <c r="T479" s="14"/>
      <c r="U479" s="14"/>
      <c r="V479" s="14"/>
      <c r="W479" s="15">
        <f t="shared" si="18"/>
        <v>400</v>
      </c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5"/>
      <c r="AK479" s="16"/>
    </row>
    <row r="480" spans="2:37" x14ac:dyDescent="0.2">
      <c r="B480" s="7" t="s">
        <v>69</v>
      </c>
      <c r="C480" s="8">
        <v>11244</v>
      </c>
      <c r="D480" s="9" t="s">
        <v>562</v>
      </c>
      <c r="E480" s="10" t="s">
        <v>563</v>
      </c>
      <c r="F480" s="10" t="s">
        <v>564</v>
      </c>
      <c r="G480" s="8">
        <v>1</v>
      </c>
      <c r="H480" s="11">
        <v>400</v>
      </c>
      <c r="I480" s="12">
        <v>42435</v>
      </c>
      <c r="J480" s="13">
        <f t="shared" si="17"/>
        <v>0</v>
      </c>
      <c r="K480" s="14"/>
      <c r="L480" s="14"/>
      <c r="M480" s="14">
        <v>400</v>
      </c>
      <c r="N480" s="14"/>
      <c r="O480" s="14"/>
      <c r="P480" s="14"/>
      <c r="Q480" s="14"/>
      <c r="R480" s="14"/>
      <c r="S480" s="14"/>
      <c r="T480" s="14"/>
      <c r="U480" s="14"/>
      <c r="V480" s="14"/>
      <c r="W480" s="15">
        <f t="shared" si="18"/>
        <v>400</v>
      </c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5"/>
      <c r="AK480" s="16"/>
    </row>
    <row r="481" spans="2:37" x14ac:dyDescent="0.2">
      <c r="B481" s="7" t="s">
        <v>69</v>
      </c>
      <c r="C481" s="8">
        <v>11245</v>
      </c>
      <c r="D481" s="9" t="s">
        <v>831</v>
      </c>
      <c r="E481" s="10" t="s">
        <v>832</v>
      </c>
      <c r="F481" s="10" t="s">
        <v>833</v>
      </c>
      <c r="G481" s="8">
        <v>1</v>
      </c>
      <c r="H481" s="11">
        <v>400</v>
      </c>
      <c r="I481" s="12">
        <v>42435</v>
      </c>
      <c r="J481" s="13">
        <f t="shared" si="17"/>
        <v>0</v>
      </c>
      <c r="K481" s="14">
        <v>400</v>
      </c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5">
        <f t="shared" si="18"/>
        <v>400</v>
      </c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5"/>
      <c r="AK481" s="16"/>
    </row>
    <row r="482" spans="2:37" x14ac:dyDescent="0.2">
      <c r="B482" s="7" t="s">
        <v>73</v>
      </c>
      <c r="C482" s="8">
        <v>11246</v>
      </c>
      <c r="D482" s="9" t="s">
        <v>126</v>
      </c>
      <c r="E482" s="10" t="s">
        <v>127</v>
      </c>
      <c r="F482" s="10" t="s">
        <v>128</v>
      </c>
      <c r="G482" s="8">
        <v>4</v>
      </c>
      <c r="H482" s="11">
        <v>160</v>
      </c>
      <c r="I482" s="12">
        <v>42435</v>
      </c>
      <c r="J482" s="13">
        <f t="shared" si="17"/>
        <v>0</v>
      </c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5">
        <f t="shared" si="18"/>
        <v>0</v>
      </c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5"/>
      <c r="AK482" s="16"/>
    </row>
    <row r="483" spans="2:37" x14ac:dyDescent="0.2">
      <c r="B483" s="7" t="s">
        <v>73</v>
      </c>
      <c r="C483" s="8">
        <v>11247</v>
      </c>
      <c r="D483" s="9" t="s">
        <v>837</v>
      </c>
      <c r="E483" s="10" t="s">
        <v>838</v>
      </c>
      <c r="F483" s="10" t="s">
        <v>839</v>
      </c>
      <c r="G483" s="8">
        <v>1</v>
      </c>
      <c r="H483" s="11">
        <v>1200</v>
      </c>
      <c r="I483" s="12">
        <v>42435</v>
      </c>
      <c r="J483" s="13">
        <f t="shared" si="17"/>
        <v>0</v>
      </c>
      <c r="K483" s="14">
        <v>400</v>
      </c>
      <c r="L483" s="14">
        <v>400</v>
      </c>
      <c r="M483" s="14">
        <v>400</v>
      </c>
      <c r="N483" s="14"/>
      <c r="O483" s="14"/>
      <c r="P483" s="14"/>
      <c r="Q483" s="14"/>
      <c r="R483" s="14"/>
      <c r="S483" s="14"/>
      <c r="T483" s="14"/>
      <c r="U483" s="14"/>
      <c r="V483" s="14"/>
      <c r="W483" s="15">
        <f t="shared" si="18"/>
        <v>1200</v>
      </c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5"/>
      <c r="AK483" s="16"/>
    </row>
    <row r="484" spans="2:37" x14ac:dyDescent="0.2">
      <c r="B484" s="7" t="s">
        <v>37</v>
      </c>
      <c r="C484" s="8">
        <v>11248</v>
      </c>
      <c r="D484" s="9" t="s">
        <v>520</v>
      </c>
      <c r="E484" s="10" t="s">
        <v>521</v>
      </c>
      <c r="F484" s="10" t="s">
        <v>522</v>
      </c>
      <c r="G484" s="8">
        <v>1</v>
      </c>
      <c r="H484" s="11">
        <v>800</v>
      </c>
      <c r="I484" s="12">
        <v>42435</v>
      </c>
      <c r="J484" s="13">
        <f t="shared" si="17"/>
        <v>0</v>
      </c>
      <c r="K484" s="14"/>
      <c r="L484" s="14"/>
      <c r="M484" s="14">
        <v>400</v>
      </c>
      <c r="N484" s="14">
        <v>400</v>
      </c>
      <c r="O484" s="14"/>
      <c r="P484" s="14"/>
      <c r="Q484" s="14"/>
      <c r="R484" s="14"/>
      <c r="S484" s="14"/>
      <c r="T484" s="14"/>
      <c r="U484" s="14"/>
      <c r="V484" s="14"/>
      <c r="W484" s="15">
        <f t="shared" si="18"/>
        <v>800</v>
      </c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5"/>
      <c r="AK484" s="16"/>
    </row>
    <row r="485" spans="2:37" x14ac:dyDescent="0.2">
      <c r="B485" s="7" t="s">
        <v>73</v>
      </c>
      <c r="C485" s="8">
        <v>11249</v>
      </c>
      <c r="D485" s="9" t="s">
        <v>611</v>
      </c>
      <c r="E485" s="10" t="s">
        <v>612</v>
      </c>
      <c r="F485" s="10" t="s">
        <v>613</v>
      </c>
      <c r="G485" s="8">
        <v>1</v>
      </c>
      <c r="H485" s="11">
        <v>400</v>
      </c>
      <c r="I485" s="12">
        <v>42435</v>
      </c>
      <c r="J485" s="13">
        <f t="shared" si="17"/>
        <v>0</v>
      </c>
      <c r="K485" s="14"/>
      <c r="L485" s="14"/>
      <c r="M485" s="14">
        <v>400</v>
      </c>
      <c r="N485" s="14"/>
      <c r="O485" s="14"/>
      <c r="P485" s="14"/>
      <c r="Q485" s="14"/>
      <c r="R485" s="14"/>
      <c r="S485" s="14"/>
      <c r="T485" s="14"/>
      <c r="U485" s="14"/>
      <c r="V485" s="14"/>
      <c r="W485" s="15">
        <f t="shared" si="18"/>
        <v>400</v>
      </c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5"/>
      <c r="AK485" s="16"/>
    </row>
    <row r="486" spans="2:37" x14ac:dyDescent="0.2">
      <c r="B486" s="7" t="s">
        <v>47</v>
      </c>
      <c r="C486" s="8">
        <v>11250</v>
      </c>
      <c r="D486" s="9" t="s">
        <v>153</v>
      </c>
      <c r="E486" s="10" t="s">
        <v>154</v>
      </c>
      <c r="F486" s="10" t="s">
        <v>155</v>
      </c>
      <c r="G486" s="8">
        <v>1</v>
      </c>
      <c r="H486" s="11">
        <v>400</v>
      </c>
      <c r="I486" s="12">
        <v>42435</v>
      </c>
      <c r="J486" s="13">
        <f t="shared" si="17"/>
        <v>0</v>
      </c>
      <c r="K486" s="14"/>
      <c r="L486" s="14"/>
      <c r="M486" s="14">
        <v>400</v>
      </c>
      <c r="N486" s="14"/>
      <c r="O486" s="14"/>
      <c r="P486" s="14"/>
      <c r="Q486" s="14"/>
      <c r="R486" s="14"/>
      <c r="S486" s="14"/>
      <c r="T486" s="14"/>
      <c r="U486" s="14"/>
      <c r="V486" s="14"/>
      <c r="W486" s="15">
        <f t="shared" si="18"/>
        <v>400</v>
      </c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5"/>
      <c r="AK486" s="16"/>
    </row>
    <row r="487" spans="2:37" x14ac:dyDescent="0.2">
      <c r="B487" s="7" t="s">
        <v>77</v>
      </c>
      <c r="C487" s="8">
        <v>11251</v>
      </c>
      <c r="D487" s="9" t="s">
        <v>286</v>
      </c>
      <c r="E487" s="10" t="s">
        <v>287</v>
      </c>
      <c r="F487" s="10" t="s">
        <v>288</v>
      </c>
      <c r="G487" s="8">
        <v>1</v>
      </c>
      <c r="H487" s="11">
        <v>400</v>
      </c>
      <c r="I487" s="12">
        <v>42435</v>
      </c>
      <c r="J487" s="13">
        <f t="shared" si="17"/>
        <v>0</v>
      </c>
      <c r="K487" s="14"/>
      <c r="L487" s="14"/>
      <c r="M487" s="14">
        <v>400</v>
      </c>
      <c r="N487" s="14"/>
      <c r="O487" s="14"/>
      <c r="P487" s="14"/>
      <c r="Q487" s="14"/>
      <c r="R487" s="14"/>
      <c r="S487" s="14"/>
      <c r="T487" s="14"/>
      <c r="U487" s="14"/>
      <c r="V487" s="14"/>
      <c r="W487" s="15">
        <f t="shared" si="18"/>
        <v>400</v>
      </c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5"/>
      <c r="AK487" s="16"/>
    </row>
    <row r="488" spans="2:37" x14ac:dyDescent="0.2">
      <c r="B488" s="7" t="s">
        <v>47</v>
      </c>
      <c r="C488" s="8">
        <v>11252</v>
      </c>
      <c r="D488" s="9" t="s">
        <v>183</v>
      </c>
      <c r="E488" s="10" t="s">
        <v>184</v>
      </c>
      <c r="F488" s="10" t="s">
        <v>185</v>
      </c>
      <c r="G488" s="8">
        <v>1</v>
      </c>
      <c r="H488" s="11">
        <v>400</v>
      </c>
      <c r="I488" s="12">
        <v>42435</v>
      </c>
      <c r="J488" s="13">
        <f t="shared" si="17"/>
        <v>0</v>
      </c>
      <c r="K488" s="14"/>
      <c r="L488" s="14">
        <v>400</v>
      </c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5">
        <f t="shared" si="18"/>
        <v>400</v>
      </c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5"/>
      <c r="AK488" s="16"/>
    </row>
    <row r="489" spans="2:37" x14ac:dyDescent="0.2">
      <c r="B489" s="7" t="s">
        <v>77</v>
      </c>
      <c r="C489" s="8">
        <v>11253</v>
      </c>
      <c r="D489" s="9" t="s">
        <v>156</v>
      </c>
      <c r="E489" s="10" t="s">
        <v>157</v>
      </c>
      <c r="F489" s="10" t="s">
        <v>158</v>
      </c>
      <c r="G489" s="8">
        <v>1</v>
      </c>
      <c r="H489" s="11">
        <v>300</v>
      </c>
      <c r="I489" s="12">
        <v>42435</v>
      </c>
      <c r="J489" s="13">
        <f t="shared" si="17"/>
        <v>0</v>
      </c>
      <c r="K489" s="14"/>
      <c r="L489" s="14"/>
      <c r="M489" s="14">
        <v>300</v>
      </c>
      <c r="N489" s="14"/>
      <c r="O489" s="14"/>
      <c r="P489" s="14"/>
      <c r="Q489" s="14"/>
      <c r="R489" s="14"/>
      <c r="S489" s="14"/>
      <c r="T489" s="14"/>
      <c r="U489" s="14"/>
      <c r="V489" s="14"/>
      <c r="W489" s="15">
        <f t="shared" si="18"/>
        <v>300</v>
      </c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5"/>
      <c r="AK489" s="16"/>
    </row>
    <row r="490" spans="2:37" x14ac:dyDescent="0.2">
      <c r="B490" s="7" t="s">
        <v>69</v>
      </c>
      <c r="C490" s="8">
        <v>11254</v>
      </c>
      <c r="D490" s="9" t="s">
        <v>687</v>
      </c>
      <c r="E490" s="10" t="s">
        <v>688</v>
      </c>
      <c r="F490" s="10" t="s">
        <v>689</v>
      </c>
      <c r="G490" s="8">
        <v>1</v>
      </c>
      <c r="H490" s="11">
        <v>400</v>
      </c>
      <c r="I490" s="12">
        <v>42435</v>
      </c>
      <c r="J490" s="13">
        <f t="shared" si="17"/>
        <v>0</v>
      </c>
      <c r="K490" s="14"/>
      <c r="L490" s="14">
        <v>200</v>
      </c>
      <c r="M490" s="14">
        <v>200</v>
      </c>
      <c r="N490" s="14"/>
      <c r="O490" s="14"/>
      <c r="P490" s="14"/>
      <c r="Q490" s="14"/>
      <c r="R490" s="14"/>
      <c r="S490" s="14"/>
      <c r="T490" s="14"/>
      <c r="U490" s="14"/>
      <c r="V490" s="14"/>
      <c r="W490" s="15">
        <f t="shared" si="18"/>
        <v>400</v>
      </c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5"/>
      <c r="AK490" s="16"/>
    </row>
    <row r="491" spans="2:37" x14ac:dyDescent="0.2">
      <c r="B491" s="7" t="s">
        <v>69</v>
      </c>
      <c r="C491" s="8">
        <v>11255</v>
      </c>
      <c r="D491" s="9" t="s">
        <v>135</v>
      </c>
      <c r="E491" s="10" t="s">
        <v>136</v>
      </c>
      <c r="F491" s="10" t="s">
        <v>137</v>
      </c>
      <c r="G491" s="8">
        <v>1</v>
      </c>
      <c r="H491" s="11">
        <v>300</v>
      </c>
      <c r="I491" s="12">
        <v>42435</v>
      </c>
      <c r="J491" s="13">
        <f t="shared" si="17"/>
        <v>0</v>
      </c>
      <c r="K491" s="14"/>
      <c r="L491" s="14"/>
      <c r="M491" s="14">
        <v>300</v>
      </c>
      <c r="N491" s="14"/>
      <c r="O491" s="14"/>
      <c r="P491" s="14"/>
      <c r="Q491" s="14"/>
      <c r="R491" s="14"/>
      <c r="S491" s="14"/>
      <c r="T491" s="14"/>
      <c r="U491" s="14"/>
      <c r="V491" s="14"/>
      <c r="W491" s="15">
        <f t="shared" si="18"/>
        <v>300</v>
      </c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5"/>
      <c r="AK491" s="16"/>
    </row>
    <row r="492" spans="2:37" x14ac:dyDescent="0.2">
      <c r="B492" s="7" t="s">
        <v>47</v>
      </c>
      <c r="C492" s="8">
        <v>11256</v>
      </c>
      <c r="D492" s="9" t="s">
        <v>328</v>
      </c>
      <c r="E492" s="10" t="s">
        <v>329</v>
      </c>
      <c r="F492" s="10" t="s">
        <v>330</v>
      </c>
      <c r="G492" s="8">
        <v>1</v>
      </c>
      <c r="H492" s="11">
        <v>400</v>
      </c>
      <c r="I492" s="12">
        <v>42435</v>
      </c>
      <c r="J492" s="13">
        <f t="shared" si="17"/>
        <v>0</v>
      </c>
      <c r="K492" s="14"/>
      <c r="L492" s="14"/>
      <c r="M492" s="14">
        <v>400</v>
      </c>
      <c r="N492" s="14"/>
      <c r="O492" s="14"/>
      <c r="P492" s="14"/>
      <c r="Q492" s="14"/>
      <c r="R492" s="14"/>
      <c r="S492" s="14"/>
      <c r="T492" s="14"/>
      <c r="U492" s="14"/>
      <c r="V492" s="14"/>
      <c r="W492" s="15">
        <f t="shared" si="18"/>
        <v>400</v>
      </c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5"/>
      <c r="AK492" s="16"/>
    </row>
    <row r="493" spans="2:37" x14ac:dyDescent="0.2">
      <c r="B493" s="7" t="s">
        <v>77</v>
      </c>
      <c r="C493" s="8">
        <v>11257</v>
      </c>
      <c r="D493" s="9" t="s">
        <v>87</v>
      </c>
      <c r="E493" s="10" t="s">
        <v>88</v>
      </c>
      <c r="F493" s="10" t="s">
        <v>89</v>
      </c>
      <c r="G493" s="8">
        <v>1</v>
      </c>
      <c r="H493" s="11">
        <v>400</v>
      </c>
      <c r="I493" s="12">
        <v>42435</v>
      </c>
      <c r="J493" s="13">
        <f t="shared" si="17"/>
        <v>0</v>
      </c>
      <c r="K493" s="14"/>
      <c r="L493" s="14"/>
      <c r="M493" s="14">
        <v>400</v>
      </c>
      <c r="N493" s="14"/>
      <c r="O493" s="14"/>
      <c r="P493" s="14"/>
      <c r="Q493" s="14"/>
      <c r="R493" s="14"/>
      <c r="S493" s="14"/>
      <c r="T493" s="14"/>
      <c r="U493" s="14"/>
      <c r="V493" s="14"/>
      <c r="W493" s="15">
        <f t="shared" si="18"/>
        <v>400</v>
      </c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5"/>
      <c r="AK493" s="16"/>
    </row>
    <row r="494" spans="2:37" x14ac:dyDescent="0.2">
      <c r="B494" s="7" t="s">
        <v>73</v>
      </c>
      <c r="C494" s="8">
        <v>11258</v>
      </c>
      <c r="D494" s="9" t="s">
        <v>112</v>
      </c>
      <c r="E494" s="10" t="s">
        <v>113</v>
      </c>
      <c r="F494" s="10" t="s">
        <v>114</v>
      </c>
      <c r="G494" s="8">
        <v>1</v>
      </c>
      <c r="H494" s="11">
        <v>250</v>
      </c>
      <c r="I494" s="12">
        <v>42435</v>
      </c>
      <c r="J494" s="13">
        <f t="shared" si="17"/>
        <v>0</v>
      </c>
      <c r="K494" s="14"/>
      <c r="L494" s="14">
        <v>250</v>
      </c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5">
        <f t="shared" si="18"/>
        <v>250</v>
      </c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5"/>
      <c r="AK494" s="16"/>
    </row>
    <row r="495" spans="2:37" x14ac:dyDescent="0.2">
      <c r="B495" s="7" t="s">
        <v>122</v>
      </c>
      <c r="C495" s="8">
        <v>11259</v>
      </c>
      <c r="D495" s="9" t="s">
        <v>262</v>
      </c>
      <c r="E495" s="10" t="s">
        <v>263</v>
      </c>
      <c r="F495" s="10" t="s">
        <v>264</v>
      </c>
      <c r="G495" s="8">
        <v>1</v>
      </c>
      <c r="H495" s="11">
        <v>300</v>
      </c>
      <c r="I495" s="12">
        <v>42435</v>
      </c>
      <c r="J495" s="13">
        <f t="shared" si="17"/>
        <v>0</v>
      </c>
      <c r="K495" s="14"/>
      <c r="L495" s="14"/>
      <c r="M495" s="14">
        <v>300</v>
      </c>
      <c r="N495" s="14"/>
      <c r="O495" s="14"/>
      <c r="P495" s="14"/>
      <c r="Q495" s="14"/>
      <c r="R495" s="14"/>
      <c r="S495" s="14"/>
      <c r="T495" s="14"/>
      <c r="U495" s="14"/>
      <c r="V495" s="14"/>
      <c r="W495" s="15">
        <f t="shared" si="18"/>
        <v>300</v>
      </c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5"/>
      <c r="AK495" s="16"/>
    </row>
    <row r="496" spans="2:37" x14ac:dyDescent="0.2">
      <c r="B496" s="7" t="s">
        <v>37</v>
      </c>
      <c r="C496" s="8">
        <v>11260</v>
      </c>
      <c r="D496" s="9" t="s">
        <v>840</v>
      </c>
      <c r="E496" s="10" t="s">
        <v>841</v>
      </c>
      <c r="F496" s="10" t="s">
        <v>842</v>
      </c>
      <c r="G496" s="8">
        <v>1</v>
      </c>
      <c r="H496" s="11">
        <v>800</v>
      </c>
      <c r="I496" s="12">
        <v>42435</v>
      </c>
      <c r="J496" s="13">
        <f t="shared" si="17"/>
        <v>0</v>
      </c>
      <c r="K496" s="14">
        <v>400</v>
      </c>
      <c r="L496" s="14">
        <v>400</v>
      </c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5">
        <f t="shared" si="18"/>
        <v>800</v>
      </c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5"/>
      <c r="AK496" s="16"/>
    </row>
    <row r="497" spans="2:37" x14ac:dyDescent="0.2">
      <c r="B497" s="7" t="s">
        <v>37</v>
      </c>
      <c r="C497" s="8">
        <v>11261</v>
      </c>
      <c r="D497" s="9" t="s">
        <v>843</v>
      </c>
      <c r="E497" s="10" t="s">
        <v>844</v>
      </c>
      <c r="F497" s="10" t="s">
        <v>845</v>
      </c>
      <c r="G497" s="8">
        <v>1</v>
      </c>
      <c r="H497" s="11">
        <v>600</v>
      </c>
      <c r="I497" s="12">
        <v>42435</v>
      </c>
      <c r="J497" s="13">
        <f t="shared" si="17"/>
        <v>0</v>
      </c>
      <c r="K497" s="14">
        <v>200</v>
      </c>
      <c r="L497" s="14">
        <v>200</v>
      </c>
      <c r="M497" s="14">
        <v>200</v>
      </c>
      <c r="N497" s="14"/>
      <c r="O497" s="14"/>
      <c r="P497" s="14"/>
      <c r="Q497" s="14"/>
      <c r="R497" s="14"/>
      <c r="S497" s="14"/>
      <c r="T497" s="14"/>
      <c r="U497" s="14"/>
      <c r="V497" s="14"/>
      <c r="W497" s="15">
        <f t="shared" si="18"/>
        <v>600</v>
      </c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5"/>
      <c r="AK497" s="16"/>
    </row>
    <row r="498" spans="2:37" x14ac:dyDescent="0.2">
      <c r="B498" s="7" t="s">
        <v>77</v>
      </c>
      <c r="C498" s="8">
        <v>11262</v>
      </c>
      <c r="D498" s="9" t="s">
        <v>384</v>
      </c>
      <c r="E498" s="10" t="s">
        <v>385</v>
      </c>
      <c r="F498" s="10" t="s">
        <v>386</v>
      </c>
      <c r="G498" s="8">
        <v>1</v>
      </c>
      <c r="H498" s="11">
        <v>400</v>
      </c>
      <c r="I498" s="12">
        <v>42435</v>
      </c>
      <c r="J498" s="13">
        <f t="shared" ref="J498:J561" si="19">IF(G498=1,SUM(W498,-H498),0)</f>
        <v>0</v>
      </c>
      <c r="K498" s="14"/>
      <c r="L498" s="14"/>
      <c r="M498" s="14">
        <v>400</v>
      </c>
      <c r="N498" s="14"/>
      <c r="O498" s="14"/>
      <c r="P498" s="14"/>
      <c r="Q498" s="14"/>
      <c r="R498" s="14"/>
      <c r="S498" s="14"/>
      <c r="T498" s="14"/>
      <c r="U498" s="14"/>
      <c r="V498" s="14"/>
      <c r="W498" s="15">
        <f t="shared" ref="W498:W561" si="20">SUM(K498:V498)</f>
        <v>400</v>
      </c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5"/>
      <c r="AK498" s="16"/>
    </row>
    <row r="499" spans="2:37" x14ac:dyDescent="0.2">
      <c r="B499" s="7" t="s">
        <v>73</v>
      </c>
      <c r="C499" s="8">
        <v>11263</v>
      </c>
      <c r="D499" s="9" t="s">
        <v>846</v>
      </c>
      <c r="E499" s="10" t="s">
        <v>847</v>
      </c>
      <c r="F499" s="10" t="s">
        <v>848</v>
      </c>
      <c r="G499" s="8">
        <v>1</v>
      </c>
      <c r="H499" s="11">
        <v>1200</v>
      </c>
      <c r="I499" s="12">
        <v>42435</v>
      </c>
      <c r="J499" s="13">
        <f t="shared" si="19"/>
        <v>0</v>
      </c>
      <c r="K499" s="14">
        <v>400</v>
      </c>
      <c r="L499" s="14">
        <v>400</v>
      </c>
      <c r="M499" s="14">
        <v>400</v>
      </c>
      <c r="N499" s="14"/>
      <c r="O499" s="14"/>
      <c r="P499" s="14"/>
      <c r="Q499" s="14"/>
      <c r="R499" s="14"/>
      <c r="S499" s="14"/>
      <c r="T499" s="14"/>
      <c r="U499" s="14"/>
      <c r="V499" s="14"/>
      <c r="W499" s="15">
        <f t="shared" si="20"/>
        <v>1200</v>
      </c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5"/>
      <c r="AK499" s="16"/>
    </row>
    <row r="500" spans="2:37" x14ac:dyDescent="0.2">
      <c r="B500" s="7" t="s">
        <v>73</v>
      </c>
      <c r="C500" s="8">
        <v>11263</v>
      </c>
      <c r="D500" s="9" t="s">
        <v>846</v>
      </c>
      <c r="E500" s="10" t="s">
        <v>847</v>
      </c>
      <c r="F500" s="10" t="s">
        <v>848</v>
      </c>
      <c r="G500" s="8">
        <v>3</v>
      </c>
      <c r="H500" s="11">
        <v>160</v>
      </c>
      <c r="I500" s="12">
        <v>42435</v>
      </c>
      <c r="J500" s="13">
        <f t="shared" si="19"/>
        <v>0</v>
      </c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5">
        <f t="shared" si="20"/>
        <v>0</v>
      </c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5"/>
      <c r="AK500" s="16"/>
    </row>
    <row r="501" spans="2:37" x14ac:dyDescent="0.2">
      <c r="B501" s="7" t="s">
        <v>69</v>
      </c>
      <c r="C501" s="8">
        <v>11264</v>
      </c>
      <c r="D501" s="9" t="s">
        <v>476</v>
      </c>
      <c r="E501" s="10" t="s">
        <v>477</v>
      </c>
      <c r="F501" s="10" t="s">
        <v>478</v>
      </c>
      <c r="G501" s="8">
        <v>1</v>
      </c>
      <c r="H501" s="11">
        <v>400</v>
      </c>
      <c r="I501" s="12">
        <v>42435</v>
      </c>
      <c r="J501" s="13">
        <f t="shared" si="19"/>
        <v>0</v>
      </c>
      <c r="K501" s="14"/>
      <c r="L501" s="14"/>
      <c r="M501" s="14">
        <v>400</v>
      </c>
      <c r="N501" s="14"/>
      <c r="O501" s="14"/>
      <c r="P501" s="14"/>
      <c r="Q501" s="14"/>
      <c r="R501" s="14"/>
      <c r="S501" s="14"/>
      <c r="T501" s="14"/>
      <c r="U501" s="14"/>
      <c r="V501" s="14"/>
      <c r="W501" s="15">
        <f t="shared" si="20"/>
        <v>400</v>
      </c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5"/>
      <c r="AK501" s="16"/>
    </row>
    <row r="502" spans="2:37" x14ac:dyDescent="0.2">
      <c r="B502" s="7" t="s">
        <v>47</v>
      </c>
      <c r="C502" s="8">
        <v>11265</v>
      </c>
      <c r="D502" s="9" t="s">
        <v>280</v>
      </c>
      <c r="E502" s="10" t="s">
        <v>281</v>
      </c>
      <c r="F502" s="10" t="s">
        <v>282</v>
      </c>
      <c r="G502" s="8">
        <v>1</v>
      </c>
      <c r="H502" s="11">
        <v>400</v>
      </c>
      <c r="I502" s="12">
        <v>42435</v>
      </c>
      <c r="J502" s="13">
        <f t="shared" si="19"/>
        <v>0</v>
      </c>
      <c r="K502" s="14"/>
      <c r="L502" s="14"/>
      <c r="M502" s="14">
        <v>400</v>
      </c>
      <c r="N502" s="14"/>
      <c r="O502" s="14"/>
      <c r="P502" s="14"/>
      <c r="Q502" s="14"/>
      <c r="R502" s="14"/>
      <c r="S502" s="14"/>
      <c r="T502" s="14"/>
      <c r="U502" s="14"/>
      <c r="V502" s="14"/>
      <c r="W502" s="15">
        <f t="shared" si="20"/>
        <v>400</v>
      </c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5"/>
      <c r="AK502" s="16"/>
    </row>
    <row r="503" spans="2:37" x14ac:dyDescent="0.2">
      <c r="B503" s="7" t="s">
        <v>47</v>
      </c>
      <c r="C503" s="8">
        <v>11266</v>
      </c>
      <c r="D503" s="9" t="s">
        <v>849</v>
      </c>
      <c r="E503" s="10" t="s">
        <v>850</v>
      </c>
      <c r="F503" s="10" t="s">
        <v>851</v>
      </c>
      <c r="G503" s="8">
        <v>1</v>
      </c>
      <c r="H503" s="11">
        <v>1200</v>
      </c>
      <c r="I503" s="12">
        <v>42435</v>
      </c>
      <c r="J503" s="13">
        <f t="shared" si="19"/>
        <v>0</v>
      </c>
      <c r="K503" s="14">
        <v>400</v>
      </c>
      <c r="L503" s="14">
        <v>400</v>
      </c>
      <c r="M503" s="14">
        <v>400</v>
      </c>
      <c r="N503" s="14"/>
      <c r="O503" s="14"/>
      <c r="P503" s="14"/>
      <c r="Q503" s="14"/>
      <c r="R503" s="14"/>
      <c r="S503" s="14"/>
      <c r="T503" s="14"/>
      <c r="U503" s="14"/>
      <c r="V503" s="14"/>
      <c r="W503" s="15">
        <f t="shared" si="20"/>
        <v>1200</v>
      </c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5"/>
      <c r="AK503" s="16"/>
    </row>
    <row r="504" spans="2:37" x14ac:dyDescent="0.2">
      <c r="B504" s="7" t="s">
        <v>122</v>
      </c>
      <c r="C504" s="8">
        <v>11267</v>
      </c>
      <c r="D504" s="9" t="s">
        <v>123</v>
      </c>
      <c r="E504" s="10" t="s">
        <v>124</v>
      </c>
      <c r="F504" s="10" t="s">
        <v>125</v>
      </c>
      <c r="G504" s="8">
        <v>1</v>
      </c>
      <c r="H504" s="11">
        <v>250</v>
      </c>
      <c r="I504" s="12">
        <v>42435</v>
      </c>
      <c r="J504" s="13">
        <f t="shared" si="19"/>
        <v>0</v>
      </c>
      <c r="K504" s="14"/>
      <c r="L504" s="14"/>
      <c r="M504" s="14">
        <v>250</v>
      </c>
      <c r="N504" s="14"/>
      <c r="O504" s="14"/>
      <c r="P504" s="14"/>
      <c r="Q504" s="14"/>
      <c r="R504" s="14"/>
      <c r="S504" s="14"/>
      <c r="T504" s="14"/>
      <c r="U504" s="14"/>
      <c r="V504" s="14"/>
      <c r="W504" s="15">
        <f t="shared" si="20"/>
        <v>250</v>
      </c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5"/>
      <c r="AK504" s="16"/>
    </row>
    <row r="505" spans="2:37" x14ac:dyDescent="0.2">
      <c r="B505" s="7" t="s">
        <v>77</v>
      </c>
      <c r="C505" s="8">
        <v>11268</v>
      </c>
      <c r="D505" s="9" t="s">
        <v>470</v>
      </c>
      <c r="E505" s="10" t="s">
        <v>471</v>
      </c>
      <c r="F505" s="10" t="s">
        <v>472</v>
      </c>
      <c r="G505" s="8">
        <v>1</v>
      </c>
      <c r="H505" s="11">
        <v>600</v>
      </c>
      <c r="I505" s="12">
        <v>42435</v>
      </c>
      <c r="J505" s="13">
        <f t="shared" si="19"/>
        <v>0</v>
      </c>
      <c r="K505" s="14"/>
      <c r="L505" s="14">
        <v>300</v>
      </c>
      <c r="M505" s="14">
        <v>300</v>
      </c>
      <c r="N505" s="14"/>
      <c r="O505" s="14"/>
      <c r="P505" s="14"/>
      <c r="Q505" s="14"/>
      <c r="R505" s="14"/>
      <c r="S505" s="14"/>
      <c r="T505" s="14"/>
      <c r="U505" s="14"/>
      <c r="V505" s="14"/>
      <c r="W505" s="15">
        <f t="shared" si="20"/>
        <v>600</v>
      </c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5"/>
      <c r="AK505" s="16"/>
    </row>
    <row r="506" spans="2:37" x14ac:dyDescent="0.2">
      <c r="B506" s="7" t="s">
        <v>37</v>
      </c>
      <c r="C506" s="8">
        <v>11269</v>
      </c>
      <c r="D506" s="9" t="s">
        <v>443</v>
      </c>
      <c r="E506" s="10" t="s">
        <v>444</v>
      </c>
      <c r="F506" s="10" t="s">
        <v>445</v>
      </c>
      <c r="G506" s="8">
        <v>4</v>
      </c>
      <c r="H506" s="11">
        <v>160</v>
      </c>
      <c r="I506" s="12">
        <v>42437</v>
      </c>
      <c r="J506" s="13">
        <f t="shared" si="19"/>
        <v>0</v>
      </c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5">
        <f t="shared" si="20"/>
        <v>0</v>
      </c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5"/>
      <c r="AK506" s="7">
        <v>6281</v>
      </c>
    </row>
    <row r="507" spans="2:37" x14ac:dyDescent="0.2">
      <c r="B507" s="7" t="s">
        <v>69</v>
      </c>
      <c r="C507" s="8">
        <v>11270</v>
      </c>
      <c r="D507" s="9" t="s">
        <v>373</v>
      </c>
      <c r="E507" s="10" t="s">
        <v>374</v>
      </c>
      <c r="F507" s="10" t="s">
        <v>375</v>
      </c>
      <c r="G507" s="8">
        <v>1</v>
      </c>
      <c r="H507" s="11">
        <v>400</v>
      </c>
      <c r="I507" s="12">
        <v>42437</v>
      </c>
      <c r="J507" s="13">
        <f t="shared" si="19"/>
        <v>0</v>
      </c>
      <c r="K507" s="14"/>
      <c r="L507" s="14"/>
      <c r="M507" s="14">
        <v>400</v>
      </c>
      <c r="N507" s="14"/>
      <c r="O507" s="14"/>
      <c r="P507" s="14"/>
      <c r="Q507" s="14"/>
      <c r="R507" s="14"/>
      <c r="S507" s="14"/>
      <c r="T507" s="14"/>
      <c r="U507" s="14"/>
      <c r="V507" s="14"/>
      <c r="W507" s="15">
        <f t="shared" si="20"/>
        <v>400</v>
      </c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5"/>
      <c r="AK507" s="16"/>
    </row>
    <row r="508" spans="2:37" x14ac:dyDescent="0.2">
      <c r="B508" s="7" t="s">
        <v>73</v>
      </c>
      <c r="C508" s="8">
        <v>11271</v>
      </c>
      <c r="D508" s="9" t="s">
        <v>202</v>
      </c>
      <c r="E508" s="10" t="s">
        <v>203</v>
      </c>
      <c r="F508" s="10" t="s">
        <v>204</v>
      </c>
      <c r="G508" s="8">
        <v>1</v>
      </c>
      <c r="H508" s="11">
        <v>400</v>
      </c>
      <c r="I508" s="12">
        <v>42438</v>
      </c>
      <c r="J508" s="13">
        <f t="shared" si="19"/>
        <v>0</v>
      </c>
      <c r="K508" s="14"/>
      <c r="L508" s="14"/>
      <c r="M508" s="14">
        <v>400</v>
      </c>
      <c r="N508" s="14"/>
      <c r="O508" s="14"/>
      <c r="P508" s="14"/>
      <c r="Q508" s="14"/>
      <c r="R508" s="14"/>
      <c r="S508" s="14"/>
      <c r="T508" s="14"/>
      <c r="U508" s="14"/>
      <c r="V508" s="14"/>
      <c r="W508" s="15">
        <f t="shared" si="20"/>
        <v>400</v>
      </c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5"/>
      <c r="AK508" s="16"/>
    </row>
    <row r="509" spans="2:37" x14ac:dyDescent="0.2">
      <c r="B509" s="7" t="s">
        <v>37</v>
      </c>
      <c r="C509" s="8">
        <v>11272</v>
      </c>
      <c r="D509" s="9" t="s">
        <v>205</v>
      </c>
      <c r="E509" s="10" t="s">
        <v>206</v>
      </c>
      <c r="F509" s="10" t="s">
        <v>207</v>
      </c>
      <c r="G509" s="8">
        <v>1</v>
      </c>
      <c r="H509" s="11">
        <v>600</v>
      </c>
      <c r="I509" s="12">
        <v>42438</v>
      </c>
      <c r="J509" s="13">
        <f t="shared" si="19"/>
        <v>0</v>
      </c>
      <c r="K509" s="14"/>
      <c r="L509" s="14">
        <v>600</v>
      </c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5">
        <f t="shared" si="20"/>
        <v>600</v>
      </c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5"/>
      <c r="AK509" s="16"/>
    </row>
    <row r="510" spans="2:37" x14ac:dyDescent="0.2">
      <c r="B510" s="7" t="s">
        <v>47</v>
      </c>
      <c r="C510" s="8">
        <v>11273</v>
      </c>
      <c r="D510" s="9" t="s">
        <v>852</v>
      </c>
      <c r="E510" s="10" t="s">
        <v>853</v>
      </c>
      <c r="F510" s="10" t="s">
        <v>854</v>
      </c>
      <c r="G510" s="8">
        <v>1</v>
      </c>
      <c r="H510" s="11">
        <v>600</v>
      </c>
      <c r="I510" s="12">
        <v>42440</v>
      </c>
      <c r="J510" s="13">
        <f t="shared" si="19"/>
        <v>0</v>
      </c>
      <c r="K510" s="14">
        <v>300</v>
      </c>
      <c r="L510" s="14">
        <v>300</v>
      </c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5">
        <f t="shared" si="20"/>
        <v>600</v>
      </c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5"/>
      <c r="AK510" s="16"/>
    </row>
    <row r="511" spans="2:37" x14ac:dyDescent="0.2">
      <c r="B511" s="7" t="s">
        <v>69</v>
      </c>
      <c r="C511" s="8">
        <v>11274</v>
      </c>
      <c r="D511" s="9" t="s">
        <v>855</v>
      </c>
      <c r="E511" s="10" t="s">
        <v>856</v>
      </c>
      <c r="F511" s="10" t="s">
        <v>857</v>
      </c>
      <c r="G511" s="8">
        <v>1</v>
      </c>
      <c r="H511" s="11">
        <v>1000</v>
      </c>
      <c r="I511" s="12">
        <v>42442</v>
      </c>
      <c r="J511" s="13">
        <f t="shared" si="19"/>
        <v>0</v>
      </c>
      <c r="K511" s="14">
        <v>200</v>
      </c>
      <c r="L511" s="14">
        <v>200</v>
      </c>
      <c r="M511" s="14">
        <v>200</v>
      </c>
      <c r="N511" s="14">
        <v>200</v>
      </c>
      <c r="O511" s="14">
        <v>200</v>
      </c>
      <c r="P511" s="14"/>
      <c r="Q511" s="14"/>
      <c r="R511" s="14"/>
      <c r="S511" s="14"/>
      <c r="T511" s="14"/>
      <c r="U511" s="14"/>
      <c r="V511" s="14"/>
      <c r="W511" s="15">
        <f t="shared" si="20"/>
        <v>1000</v>
      </c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5"/>
      <c r="AK511" s="16"/>
    </row>
    <row r="512" spans="2:37" x14ac:dyDescent="0.2">
      <c r="B512" s="7" t="s">
        <v>47</v>
      </c>
      <c r="C512" s="8">
        <v>11275</v>
      </c>
      <c r="D512" s="9" t="s">
        <v>238</v>
      </c>
      <c r="E512" s="10" t="s">
        <v>239</v>
      </c>
      <c r="F512" s="10" t="s">
        <v>240</v>
      </c>
      <c r="G512" s="8">
        <v>1</v>
      </c>
      <c r="H512" s="11">
        <v>125</v>
      </c>
      <c r="I512" s="12">
        <v>42442</v>
      </c>
      <c r="J512" s="13">
        <f t="shared" si="19"/>
        <v>0</v>
      </c>
      <c r="K512" s="14"/>
      <c r="L512" s="14"/>
      <c r="M512" s="14">
        <v>125</v>
      </c>
      <c r="N512" s="14"/>
      <c r="O512" s="14"/>
      <c r="P512" s="14"/>
      <c r="Q512" s="14"/>
      <c r="R512" s="14"/>
      <c r="S512" s="14"/>
      <c r="T512" s="14"/>
      <c r="U512" s="14"/>
      <c r="V512" s="14"/>
      <c r="W512" s="15">
        <f t="shared" si="20"/>
        <v>125</v>
      </c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5"/>
      <c r="AK512" s="16"/>
    </row>
    <row r="513" spans="2:37" x14ac:dyDescent="0.2">
      <c r="B513" s="7" t="s">
        <v>73</v>
      </c>
      <c r="C513" s="8">
        <v>11276</v>
      </c>
      <c r="D513" s="9" t="s">
        <v>398</v>
      </c>
      <c r="E513" s="10" t="s">
        <v>399</v>
      </c>
      <c r="F513" s="10" t="s">
        <v>400</v>
      </c>
      <c r="G513" s="8">
        <v>1</v>
      </c>
      <c r="H513" s="11">
        <v>400</v>
      </c>
      <c r="I513" s="12">
        <v>42442</v>
      </c>
      <c r="J513" s="13">
        <f t="shared" si="19"/>
        <v>0</v>
      </c>
      <c r="K513" s="14"/>
      <c r="L513" s="14"/>
      <c r="M513" s="14">
        <v>400</v>
      </c>
      <c r="N513" s="14"/>
      <c r="O513" s="14"/>
      <c r="P513" s="14"/>
      <c r="Q513" s="14"/>
      <c r="R513" s="14"/>
      <c r="S513" s="14"/>
      <c r="T513" s="14"/>
      <c r="U513" s="14"/>
      <c r="V513" s="14"/>
      <c r="W513" s="15">
        <f t="shared" si="20"/>
        <v>400</v>
      </c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5"/>
      <c r="AK513" s="16"/>
    </row>
    <row r="514" spans="2:37" x14ac:dyDescent="0.2">
      <c r="B514" s="7" t="s">
        <v>47</v>
      </c>
      <c r="C514" s="8">
        <v>11277</v>
      </c>
      <c r="D514" s="9" t="s">
        <v>702</v>
      </c>
      <c r="E514" s="10" t="s">
        <v>703</v>
      </c>
      <c r="F514" s="10" t="s">
        <v>704</v>
      </c>
      <c r="G514" s="8">
        <v>1</v>
      </c>
      <c r="H514" s="11">
        <v>400</v>
      </c>
      <c r="I514" s="12">
        <v>42442</v>
      </c>
      <c r="J514" s="13">
        <f t="shared" si="19"/>
        <v>0</v>
      </c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>
        <v>400</v>
      </c>
      <c r="V514" s="14"/>
      <c r="W514" s="15">
        <f t="shared" si="20"/>
        <v>400</v>
      </c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5"/>
      <c r="AK514" s="16"/>
    </row>
    <row r="515" spans="2:37" x14ac:dyDescent="0.2">
      <c r="B515" s="7" t="s">
        <v>47</v>
      </c>
      <c r="C515" s="8">
        <v>11278</v>
      </c>
      <c r="D515" s="9" t="s">
        <v>425</v>
      </c>
      <c r="E515" s="10" t="s">
        <v>426</v>
      </c>
      <c r="F515" s="10" t="s">
        <v>427</v>
      </c>
      <c r="G515" s="8">
        <v>1</v>
      </c>
      <c r="H515" s="11">
        <v>400</v>
      </c>
      <c r="I515" s="12">
        <v>42442</v>
      </c>
      <c r="J515" s="13">
        <f t="shared" si="19"/>
        <v>0</v>
      </c>
      <c r="K515" s="14"/>
      <c r="L515" s="14"/>
      <c r="M515" s="14">
        <v>400</v>
      </c>
      <c r="N515" s="14"/>
      <c r="O515" s="14"/>
      <c r="P515" s="14"/>
      <c r="Q515" s="14"/>
      <c r="R515" s="14"/>
      <c r="S515" s="14"/>
      <c r="T515" s="14"/>
      <c r="U515" s="14"/>
      <c r="V515" s="14"/>
      <c r="W515" s="15">
        <f t="shared" si="20"/>
        <v>400</v>
      </c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5"/>
      <c r="AK515" s="16"/>
    </row>
    <row r="516" spans="2:37" x14ac:dyDescent="0.2">
      <c r="B516" s="7" t="s">
        <v>37</v>
      </c>
      <c r="C516" s="8">
        <v>11279</v>
      </c>
      <c r="D516" s="9" t="s">
        <v>669</v>
      </c>
      <c r="E516" s="10" t="s">
        <v>670</v>
      </c>
      <c r="F516" s="10" t="s">
        <v>671</v>
      </c>
      <c r="G516" s="8">
        <v>1</v>
      </c>
      <c r="H516" s="11">
        <v>400</v>
      </c>
      <c r="I516" s="12">
        <v>42442</v>
      </c>
      <c r="J516" s="13">
        <f t="shared" si="19"/>
        <v>0</v>
      </c>
      <c r="K516" s="14"/>
      <c r="L516" s="14">
        <v>400</v>
      </c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5">
        <f t="shared" si="20"/>
        <v>400</v>
      </c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5"/>
      <c r="AK516" s="16"/>
    </row>
    <row r="517" spans="2:37" x14ac:dyDescent="0.2">
      <c r="B517" s="7" t="s">
        <v>73</v>
      </c>
      <c r="C517" s="8">
        <v>11280</v>
      </c>
      <c r="D517" s="9" t="s">
        <v>259</v>
      </c>
      <c r="E517" s="10" t="s">
        <v>260</v>
      </c>
      <c r="F517" s="10" t="s">
        <v>261</v>
      </c>
      <c r="G517" s="8">
        <v>1</v>
      </c>
      <c r="H517" s="11">
        <v>400</v>
      </c>
      <c r="I517" s="12">
        <v>42442</v>
      </c>
      <c r="J517" s="13">
        <f t="shared" si="19"/>
        <v>0</v>
      </c>
      <c r="K517" s="14"/>
      <c r="L517" s="14"/>
      <c r="M517" s="14">
        <v>400</v>
      </c>
      <c r="N517" s="14"/>
      <c r="O517" s="14"/>
      <c r="P517" s="14"/>
      <c r="Q517" s="14"/>
      <c r="R517" s="14"/>
      <c r="S517" s="14"/>
      <c r="T517" s="14"/>
      <c r="U517" s="14"/>
      <c r="V517" s="14"/>
      <c r="W517" s="15">
        <f t="shared" si="20"/>
        <v>400</v>
      </c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5"/>
      <c r="AK517" s="16"/>
    </row>
    <row r="518" spans="2:37" x14ac:dyDescent="0.2">
      <c r="B518" s="7" t="s">
        <v>37</v>
      </c>
      <c r="C518" s="8">
        <v>11281</v>
      </c>
      <c r="D518" s="9" t="s">
        <v>858</v>
      </c>
      <c r="E518" s="10" t="s">
        <v>859</v>
      </c>
      <c r="F518" s="10" t="s">
        <v>860</v>
      </c>
      <c r="G518" s="8">
        <v>1</v>
      </c>
      <c r="H518" s="11">
        <v>2000</v>
      </c>
      <c r="I518" s="12">
        <v>42442</v>
      </c>
      <c r="J518" s="13">
        <f t="shared" si="19"/>
        <v>0</v>
      </c>
      <c r="K518" s="14">
        <v>400</v>
      </c>
      <c r="L518" s="14">
        <v>400</v>
      </c>
      <c r="M518" s="14">
        <v>400</v>
      </c>
      <c r="N518" s="14">
        <v>400</v>
      </c>
      <c r="O518" s="14">
        <v>400</v>
      </c>
      <c r="P518" s="14"/>
      <c r="Q518" s="14"/>
      <c r="R518" s="14"/>
      <c r="S518" s="14"/>
      <c r="T518" s="14"/>
      <c r="U518" s="14"/>
      <c r="V518" s="14"/>
      <c r="W518" s="15">
        <f t="shared" si="20"/>
        <v>2000</v>
      </c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5"/>
      <c r="AK518" s="16"/>
    </row>
    <row r="519" spans="2:37" x14ac:dyDescent="0.2">
      <c r="B519" s="7" t="s">
        <v>37</v>
      </c>
      <c r="C519" s="8">
        <v>11282</v>
      </c>
      <c r="D519" s="9" t="s">
        <v>858</v>
      </c>
      <c r="E519" s="10" t="s">
        <v>859</v>
      </c>
      <c r="F519" s="10" t="s">
        <v>860</v>
      </c>
      <c r="G519" s="8">
        <v>3</v>
      </c>
      <c r="H519" s="11">
        <v>160</v>
      </c>
      <c r="I519" s="12">
        <v>42442</v>
      </c>
      <c r="J519" s="13">
        <f t="shared" si="19"/>
        <v>0</v>
      </c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5">
        <f t="shared" si="20"/>
        <v>0</v>
      </c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5"/>
      <c r="AK519" s="16"/>
    </row>
    <row r="520" spans="2:37" x14ac:dyDescent="0.2">
      <c r="B520" s="7" t="s">
        <v>37</v>
      </c>
      <c r="C520" s="8">
        <v>11283</v>
      </c>
      <c r="D520" s="9" t="s">
        <v>177</v>
      </c>
      <c r="E520" s="10" t="s">
        <v>178</v>
      </c>
      <c r="F520" s="10" t="s">
        <v>179</v>
      </c>
      <c r="G520" s="8">
        <v>1</v>
      </c>
      <c r="H520" s="11">
        <v>400</v>
      </c>
      <c r="I520" s="12">
        <v>42442</v>
      </c>
      <c r="J520" s="13">
        <f t="shared" si="19"/>
        <v>0</v>
      </c>
      <c r="K520" s="14"/>
      <c r="L520" s="14"/>
      <c r="M520" s="14">
        <v>400</v>
      </c>
      <c r="N520" s="14"/>
      <c r="O520" s="14"/>
      <c r="P520" s="14"/>
      <c r="Q520" s="14"/>
      <c r="R520" s="14"/>
      <c r="S520" s="14"/>
      <c r="T520" s="14"/>
      <c r="U520" s="14"/>
      <c r="V520" s="14"/>
      <c r="W520" s="15">
        <f t="shared" si="20"/>
        <v>400</v>
      </c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5"/>
      <c r="AK520" s="16"/>
    </row>
    <row r="521" spans="2:37" x14ac:dyDescent="0.2">
      <c r="B521" s="7" t="s">
        <v>37</v>
      </c>
      <c r="C521" s="8">
        <v>11284</v>
      </c>
      <c r="D521" s="9" t="s">
        <v>550</v>
      </c>
      <c r="E521" s="10" t="s">
        <v>551</v>
      </c>
      <c r="F521" s="10" t="s">
        <v>552</v>
      </c>
      <c r="G521" s="8">
        <v>1</v>
      </c>
      <c r="H521" s="11">
        <v>600</v>
      </c>
      <c r="I521" s="12">
        <v>42442</v>
      </c>
      <c r="J521" s="13">
        <f t="shared" si="19"/>
        <v>0</v>
      </c>
      <c r="K521" s="14"/>
      <c r="L521" s="14">
        <v>300</v>
      </c>
      <c r="M521" s="14">
        <v>300</v>
      </c>
      <c r="N521" s="14"/>
      <c r="O521" s="14"/>
      <c r="P521" s="14"/>
      <c r="Q521" s="14"/>
      <c r="R521" s="14"/>
      <c r="S521" s="14"/>
      <c r="T521" s="14"/>
      <c r="U521" s="14"/>
      <c r="V521" s="14"/>
      <c r="W521" s="15">
        <f t="shared" si="20"/>
        <v>600</v>
      </c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5"/>
      <c r="AK521" s="16"/>
    </row>
    <row r="522" spans="2:37" x14ac:dyDescent="0.2">
      <c r="B522" s="7" t="s">
        <v>69</v>
      </c>
      <c r="C522" s="8">
        <v>11285</v>
      </c>
      <c r="D522" s="9" t="s">
        <v>743</v>
      </c>
      <c r="E522" s="10" t="s">
        <v>744</v>
      </c>
      <c r="F522" s="10" t="s">
        <v>745</v>
      </c>
      <c r="G522" s="8">
        <v>1</v>
      </c>
      <c r="H522" s="11">
        <v>400</v>
      </c>
      <c r="I522" s="12">
        <v>42442</v>
      </c>
      <c r="J522" s="13">
        <f t="shared" si="19"/>
        <v>0</v>
      </c>
      <c r="K522" s="14"/>
      <c r="L522" s="14">
        <v>400</v>
      </c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5">
        <f t="shared" si="20"/>
        <v>400</v>
      </c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5"/>
      <c r="AK522" s="16"/>
    </row>
    <row r="523" spans="2:37" x14ac:dyDescent="0.2">
      <c r="B523" s="7" t="s">
        <v>47</v>
      </c>
      <c r="C523" s="8">
        <v>11286</v>
      </c>
      <c r="D523" s="9" t="s">
        <v>861</v>
      </c>
      <c r="E523" s="10" t="s">
        <v>862</v>
      </c>
      <c r="F523" s="10" t="s">
        <v>863</v>
      </c>
      <c r="G523" s="8">
        <v>1</v>
      </c>
      <c r="H523" s="11">
        <v>300</v>
      </c>
      <c r="I523" s="12">
        <v>42442</v>
      </c>
      <c r="J523" s="13">
        <f t="shared" si="19"/>
        <v>0</v>
      </c>
      <c r="K523" s="14">
        <v>100</v>
      </c>
      <c r="L523" s="14">
        <v>100</v>
      </c>
      <c r="M523" s="14">
        <v>100</v>
      </c>
      <c r="N523" s="14"/>
      <c r="O523" s="14"/>
      <c r="P523" s="14"/>
      <c r="Q523" s="14"/>
      <c r="R523" s="14"/>
      <c r="S523" s="14"/>
      <c r="T523" s="14"/>
      <c r="U523" s="14"/>
      <c r="V523" s="14"/>
      <c r="W523" s="15">
        <f t="shared" si="20"/>
        <v>300</v>
      </c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5"/>
      <c r="AK523" s="16"/>
    </row>
    <row r="524" spans="2:37" x14ac:dyDescent="0.2">
      <c r="B524" s="7" t="s">
        <v>37</v>
      </c>
      <c r="C524" s="8">
        <v>11287</v>
      </c>
      <c r="D524" s="9" t="s">
        <v>395</v>
      </c>
      <c r="E524" s="10" t="s">
        <v>396</v>
      </c>
      <c r="F524" s="10" t="s">
        <v>397</v>
      </c>
      <c r="G524" s="8">
        <v>1</v>
      </c>
      <c r="H524" s="11">
        <v>150</v>
      </c>
      <c r="I524" s="12">
        <v>42442</v>
      </c>
      <c r="J524" s="13">
        <f t="shared" si="19"/>
        <v>0</v>
      </c>
      <c r="K524" s="14"/>
      <c r="L524" s="14"/>
      <c r="M524" s="14">
        <v>150</v>
      </c>
      <c r="N524" s="14"/>
      <c r="O524" s="14"/>
      <c r="P524" s="14"/>
      <c r="Q524" s="14"/>
      <c r="R524" s="14"/>
      <c r="S524" s="14"/>
      <c r="T524" s="14"/>
      <c r="U524" s="14"/>
      <c r="V524" s="14"/>
      <c r="W524" s="15">
        <f t="shared" si="20"/>
        <v>150</v>
      </c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5"/>
      <c r="AK524" s="16"/>
    </row>
    <row r="525" spans="2:37" x14ac:dyDescent="0.2">
      <c r="B525" s="7" t="s">
        <v>69</v>
      </c>
      <c r="C525" s="8">
        <v>11288</v>
      </c>
      <c r="D525" s="9" t="s">
        <v>346</v>
      </c>
      <c r="E525" s="10" t="s">
        <v>347</v>
      </c>
      <c r="F525" s="10" t="s">
        <v>348</v>
      </c>
      <c r="G525" s="8">
        <v>1</v>
      </c>
      <c r="H525" s="11">
        <v>300</v>
      </c>
      <c r="I525" s="12">
        <v>42442</v>
      </c>
      <c r="J525" s="13">
        <f t="shared" si="19"/>
        <v>0</v>
      </c>
      <c r="K525" s="14"/>
      <c r="L525" s="14">
        <v>300</v>
      </c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5">
        <f t="shared" si="20"/>
        <v>300</v>
      </c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5"/>
      <c r="AK525" s="16"/>
    </row>
    <row r="526" spans="2:37" x14ac:dyDescent="0.2">
      <c r="B526" s="7" t="s">
        <v>69</v>
      </c>
      <c r="C526" s="8">
        <v>11289</v>
      </c>
      <c r="D526" s="9" t="s">
        <v>864</v>
      </c>
      <c r="E526" s="10" t="s">
        <v>865</v>
      </c>
      <c r="F526" s="10" t="s">
        <v>866</v>
      </c>
      <c r="G526" s="8">
        <v>1</v>
      </c>
      <c r="H526" s="11">
        <v>600</v>
      </c>
      <c r="I526" s="12">
        <v>42442</v>
      </c>
      <c r="J526" s="13">
        <f t="shared" si="19"/>
        <v>0</v>
      </c>
      <c r="K526" s="14">
        <v>300</v>
      </c>
      <c r="L526" s="14">
        <v>300</v>
      </c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5">
        <f t="shared" si="20"/>
        <v>600</v>
      </c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5"/>
      <c r="AK526" s="16"/>
    </row>
    <row r="527" spans="2:37" x14ac:dyDescent="0.2">
      <c r="B527" s="7" t="s">
        <v>73</v>
      </c>
      <c r="C527" s="8">
        <v>11290</v>
      </c>
      <c r="D527" s="9" t="s">
        <v>719</v>
      </c>
      <c r="E527" s="10" t="s">
        <v>720</v>
      </c>
      <c r="F527" s="10" t="s">
        <v>867</v>
      </c>
      <c r="G527" s="8">
        <v>1</v>
      </c>
      <c r="H527" s="11">
        <v>400</v>
      </c>
      <c r="I527" s="12">
        <v>42442</v>
      </c>
      <c r="J527" s="13">
        <f t="shared" si="19"/>
        <v>0</v>
      </c>
      <c r="K527" s="14"/>
      <c r="L527" s="14"/>
      <c r="M527" s="14">
        <v>400</v>
      </c>
      <c r="N527" s="14"/>
      <c r="O527" s="14"/>
      <c r="P527" s="14"/>
      <c r="Q527" s="14"/>
      <c r="R527" s="14"/>
      <c r="S527" s="14"/>
      <c r="T527" s="14"/>
      <c r="U527" s="14"/>
      <c r="V527" s="14"/>
      <c r="W527" s="15">
        <f t="shared" si="20"/>
        <v>400</v>
      </c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5"/>
      <c r="AK527" s="16"/>
    </row>
    <row r="528" spans="2:37" x14ac:dyDescent="0.2">
      <c r="B528" s="7" t="s">
        <v>37</v>
      </c>
      <c r="C528" s="8">
        <v>11291</v>
      </c>
      <c r="D528" s="9" t="s">
        <v>271</v>
      </c>
      <c r="E528" s="10" t="s">
        <v>272</v>
      </c>
      <c r="F528" s="10" t="s">
        <v>273</v>
      </c>
      <c r="G528" s="8">
        <v>1</v>
      </c>
      <c r="H528" s="11">
        <v>400</v>
      </c>
      <c r="I528" s="12">
        <v>42442</v>
      </c>
      <c r="J528" s="13">
        <f t="shared" si="19"/>
        <v>0</v>
      </c>
      <c r="K528" s="14"/>
      <c r="L528" s="14"/>
      <c r="M528" s="14">
        <v>400</v>
      </c>
      <c r="N528" s="14"/>
      <c r="O528" s="14"/>
      <c r="P528" s="14"/>
      <c r="Q528" s="14"/>
      <c r="R528" s="14"/>
      <c r="S528" s="14"/>
      <c r="T528" s="14"/>
      <c r="U528" s="14"/>
      <c r="V528" s="14"/>
      <c r="W528" s="15">
        <f t="shared" si="20"/>
        <v>400</v>
      </c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5"/>
      <c r="AK528" s="16"/>
    </row>
    <row r="529" spans="2:37" x14ac:dyDescent="0.2">
      <c r="B529" s="7" t="s">
        <v>122</v>
      </c>
      <c r="C529" s="8">
        <v>11292</v>
      </c>
      <c r="D529" s="9" t="s">
        <v>637</v>
      </c>
      <c r="E529" s="10" t="s">
        <v>638</v>
      </c>
      <c r="F529" s="10" t="s">
        <v>639</v>
      </c>
      <c r="G529" s="8">
        <v>1</v>
      </c>
      <c r="H529" s="11">
        <v>400</v>
      </c>
      <c r="I529" s="12">
        <v>42442</v>
      </c>
      <c r="J529" s="13">
        <f t="shared" si="19"/>
        <v>0</v>
      </c>
      <c r="K529" s="14"/>
      <c r="L529" s="14"/>
      <c r="M529" s="14">
        <v>400</v>
      </c>
      <c r="N529" s="14"/>
      <c r="O529" s="14"/>
      <c r="P529" s="14"/>
      <c r="Q529" s="14"/>
      <c r="R529" s="14"/>
      <c r="S529" s="14"/>
      <c r="T529" s="14"/>
      <c r="U529" s="14"/>
      <c r="V529" s="14"/>
      <c r="W529" s="15">
        <f t="shared" si="20"/>
        <v>400</v>
      </c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5"/>
      <c r="AK529" s="16"/>
    </row>
    <row r="530" spans="2:37" x14ac:dyDescent="0.2">
      <c r="B530" s="7" t="s">
        <v>93</v>
      </c>
      <c r="C530" s="8">
        <v>11293</v>
      </c>
      <c r="D530" s="9"/>
      <c r="E530" s="10" t="s">
        <v>93</v>
      </c>
      <c r="F530" s="10" t="s">
        <v>93</v>
      </c>
      <c r="G530" s="8">
        <v>8</v>
      </c>
      <c r="H530" s="11"/>
      <c r="I530" s="12"/>
      <c r="J530" s="13">
        <f t="shared" si="19"/>
        <v>0</v>
      </c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5">
        <f t="shared" si="20"/>
        <v>0</v>
      </c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5"/>
      <c r="AK530" s="16"/>
    </row>
    <row r="531" spans="2:37" x14ac:dyDescent="0.2">
      <c r="B531" s="7" t="s">
        <v>47</v>
      </c>
      <c r="C531" s="8">
        <v>11294</v>
      </c>
      <c r="D531" s="9" t="s">
        <v>772</v>
      </c>
      <c r="E531" s="10" t="s">
        <v>773</v>
      </c>
      <c r="F531" s="10" t="s">
        <v>237</v>
      </c>
      <c r="G531" s="8">
        <v>1</v>
      </c>
      <c r="H531" s="11">
        <v>400</v>
      </c>
      <c r="I531" s="12">
        <v>42442</v>
      </c>
      <c r="J531" s="13">
        <f t="shared" si="19"/>
        <v>0</v>
      </c>
      <c r="K531" s="14">
        <v>200</v>
      </c>
      <c r="L531" s="14">
        <v>200</v>
      </c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5">
        <f t="shared" si="20"/>
        <v>400</v>
      </c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5"/>
      <c r="AK531" s="16"/>
    </row>
    <row r="532" spans="2:37" x14ac:dyDescent="0.2">
      <c r="B532" s="7" t="s">
        <v>122</v>
      </c>
      <c r="C532" s="8">
        <v>11295</v>
      </c>
      <c r="D532" s="9" t="s">
        <v>622</v>
      </c>
      <c r="E532" s="10" t="s">
        <v>623</v>
      </c>
      <c r="F532" s="10" t="s">
        <v>624</v>
      </c>
      <c r="G532" s="8">
        <v>1</v>
      </c>
      <c r="H532" s="11">
        <v>800</v>
      </c>
      <c r="I532" s="12">
        <v>42442</v>
      </c>
      <c r="J532" s="13">
        <f t="shared" si="19"/>
        <v>0</v>
      </c>
      <c r="K532" s="14"/>
      <c r="L532" s="14"/>
      <c r="M532" s="14">
        <v>400</v>
      </c>
      <c r="N532" s="14">
        <v>400</v>
      </c>
      <c r="O532" s="14"/>
      <c r="P532" s="14"/>
      <c r="Q532" s="14"/>
      <c r="R532" s="14"/>
      <c r="S532" s="14"/>
      <c r="T532" s="14"/>
      <c r="U532" s="14"/>
      <c r="V532" s="14"/>
      <c r="W532" s="15">
        <f t="shared" si="20"/>
        <v>800</v>
      </c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5"/>
      <c r="AK532" s="16"/>
    </row>
    <row r="533" spans="2:37" x14ac:dyDescent="0.2">
      <c r="B533" s="7" t="s">
        <v>69</v>
      </c>
      <c r="C533" s="8">
        <v>11296</v>
      </c>
      <c r="D533" s="9" t="s">
        <v>165</v>
      </c>
      <c r="E533" s="10" t="s">
        <v>166</v>
      </c>
      <c r="F533" s="10" t="s">
        <v>167</v>
      </c>
      <c r="G533" s="8">
        <v>1</v>
      </c>
      <c r="H533" s="11">
        <v>350</v>
      </c>
      <c r="I533" s="12">
        <v>42442</v>
      </c>
      <c r="J533" s="13">
        <f t="shared" si="19"/>
        <v>0</v>
      </c>
      <c r="K533" s="14"/>
      <c r="L533" s="14"/>
      <c r="M533" s="14">
        <v>350</v>
      </c>
      <c r="N533" s="14"/>
      <c r="O533" s="14"/>
      <c r="P533" s="14"/>
      <c r="Q533" s="14"/>
      <c r="R533" s="14"/>
      <c r="S533" s="14"/>
      <c r="T533" s="14"/>
      <c r="U533" s="14"/>
      <c r="V533" s="14"/>
      <c r="W533" s="15">
        <f t="shared" si="20"/>
        <v>350</v>
      </c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5"/>
      <c r="AK533" s="16"/>
    </row>
    <row r="534" spans="2:37" x14ac:dyDescent="0.2">
      <c r="B534" s="7" t="s">
        <v>69</v>
      </c>
      <c r="C534" s="8">
        <v>11297</v>
      </c>
      <c r="D534" s="9" t="s">
        <v>165</v>
      </c>
      <c r="E534" s="10" t="s">
        <v>166</v>
      </c>
      <c r="F534" s="10" t="s">
        <v>167</v>
      </c>
      <c r="G534" s="8">
        <v>4</v>
      </c>
      <c r="H534" s="11">
        <v>160</v>
      </c>
      <c r="I534" s="12">
        <v>42442</v>
      </c>
      <c r="J534" s="13">
        <f t="shared" si="19"/>
        <v>0</v>
      </c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5">
        <f t="shared" si="20"/>
        <v>0</v>
      </c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5"/>
      <c r="AK534" s="7">
        <v>6590</v>
      </c>
    </row>
    <row r="535" spans="2:37" x14ac:dyDescent="0.2">
      <c r="B535" s="7" t="s">
        <v>69</v>
      </c>
      <c r="C535" s="8">
        <v>11298</v>
      </c>
      <c r="D535" s="9" t="s">
        <v>174</v>
      </c>
      <c r="E535" s="10" t="s">
        <v>175</v>
      </c>
      <c r="F535" s="10" t="s">
        <v>176</v>
      </c>
      <c r="G535" s="8">
        <v>1</v>
      </c>
      <c r="H535" s="11">
        <v>300</v>
      </c>
      <c r="I535" s="12">
        <v>42442</v>
      </c>
      <c r="J535" s="13">
        <f t="shared" si="19"/>
        <v>0</v>
      </c>
      <c r="K535" s="14"/>
      <c r="L535" s="14"/>
      <c r="M535" s="14">
        <v>300</v>
      </c>
      <c r="N535" s="14"/>
      <c r="O535" s="14"/>
      <c r="P535" s="14"/>
      <c r="Q535" s="14"/>
      <c r="R535" s="14"/>
      <c r="S535" s="14"/>
      <c r="T535" s="14"/>
      <c r="U535" s="14"/>
      <c r="V535" s="14"/>
      <c r="W535" s="15">
        <f t="shared" si="20"/>
        <v>300</v>
      </c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5"/>
      <c r="AK535" s="16"/>
    </row>
    <row r="536" spans="2:37" x14ac:dyDescent="0.2">
      <c r="B536" s="7" t="s">
        <v>73</v>
      </c>
      <c r="C536" s="8">
        <v>11299</v>
      </c>
      <c r="D536" s="9" t="s">
        <v>440</v>
      </c>
      <c r="E536" s="10" t="s">
        <v>441</v>
      </c>
      <c r="F536" s="10" t="s">
        <v>442</v>
      </c>
      <c r="G536" s="8">
        <v>1</v>
      </c>
      <c r="H536" s="11">
        <v>300</v>
      </c>
      <c r="I536" s="12">
        <v>42442</v>
      </c>
      <c r="J536" s="13">
        <f t="shared" si="19"/>
        <v>0</v>
      </c>
      <c r="K536" s="14"/>
      <c r="L536" s="14">
        <v>300</v>
      </c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5">
        <f t="shared" si="20"/>
        <v>300</v>
      </c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5"/>
      <c r="AK536" s="16"/>
    </row>
    <row r="537" spans="2:37" x14ac:dyDescent="0.2">
      <c r="B537" s="7" t="s">
        <v>69</v>
      </c>
      <c r="C537" s="8">
        <v>11300</v>
      </c>
      <c r="D537" s="9" t="s">
        <v>361</v>
      </c>
      <c r="E537" s="10" t="s">
        <v>362</v>
      </c>
      <c r="F537" s="10" t="s">
        <v>363</v>
      </c>
      <c r="G537" s="8">
        <v>1</v>
      </c>
      <c r="H537" s="11">
        <v>800</v>
      </c>
      <c r="I537" s="12">
        <v>42442</v>
      </c>
      <c r="J537" s="13">
        <f t="shared" si="19"/>
        <v>0</v>
      </c>
      <c r="K537" s="14"/>
      <c r="L537" s="14">
        <v>400</v>
      </c>
      <c r="M537" s="14">
        <v>400</v>
      </c>
      <c r="N537" s="14"/>
      <c r="O537" s="14"/>
      <c r="P537" s="14"/>
      <c r="Q537" s="14"/>
      <c r="R537" s="14"/>
      <c r="S537" s="14"/>
      <c r="T537" s="14"/>
      <c r="U537" s="14"/>
      <c r="V537" s="14"/>
      <c r="W537" s="15">
        <f t="shared" si="20"/>
        <v>800</v>
      </c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5"/>
      <c r="AK537" s="16"/>
    </row>
    <row r="538" spans="2:37" x14ac:dyDescent="0.2">
      <c r="B538" s="7" t="s">
        <v>93</v>
      </c>
      <c r="C538" s="8">
        <v>11301</v>
      </c>
      <c r="D538" s="9"/>
      <c r="E538" s="10" t="s">
        <v>93</v>
      </c>
      <c r="F538" s="10" t="s">
        <v>93</v>
      </c>
      <c r="G538" s="8">
        <v>8</v>
      </c>
      <c r="H538" s="11"/>
      <c r="I538" s="12"/>
      <c r="J538" s="13">
        <f t="shared" si="19"/>
        <v>0</v>
      </c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5">
        <f t="shared" si="20"/>
        <v>0</v>
      </c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5"/>
      <c r="AK538" s="16"/>
    </row>
    <row r="539" spans="2:37" x14ac:dyDescent="0.2">
      <c r="B539" s="7" t="s">
        <v>69</v>
      </c>
      <c r="C539" s="8">
        <v>11302</v>
      </c>
      <c r="D539" s="9" t="s">
        <v>868</v>
      </c>
      <c r="E539" s="10" t="s">
        <v>869</v>
      </c>
      <c r="F539" s="10" t="s">
        <v>870</v>
      </c>
      <c r="G539" s="8">
        <v>1</v>
      </c>
      <c r="H539" s="11">
        <v>1200</v>
      </c>
      <c r="I539" s="12">
        <v>42442</v>
      </c>
      <c r="J539" s="13">
        <f t="shared" si="19"/>
        <v>0</v>
      </c>
      <c r="K539" s="14">
        <v>400</v>
      </c>
      <c r="L539" s="14">
        <v>400</v>
      </c>
      <c r="M539" s="14">
        <v>400</v>
      </c>
      <c r="N539" s="14"/>
      <c r="O539" s="14"/>
      <c r="P539" s="14"/>
      <c r="Q539" s="14"/>
      <c r="R539" s="14"/>
      <c r="S539" s="14"/>
      <c r="T539" s="14"/>
      <c r="U539" s="14"/>
      <c r="V539" s="14"/>
      <c r="W539" s="15">
        <f t="shared" si="20"/>
        <v>1200</v>
      </c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5"/>
      <c r="AK539" s="16"/>
    </row>
    <row r="540" spans="2:37" x14ac:dyDescent="0.2">
      <c r="B540" s="7" t="s">
        <v>73</v>
      </c>
      <c r="C540" s="8">
        <v>11303</v>
      </c>
      <c r="D540" s="9" t="s">
        <v>277</v>
      </c>
      <c r="E540" s="10" t="s">
        <v>278</v>
      </c>
      <c r="F540" s="10" t="s">
        <v>279</v>
      </c>
      <c r="G540" s="8">
        <v>1</v>
      </c>
      <c r="H540" s="11">
        <v>200</v>
      </c>
      <c r="I540" s="12">
        <v>42442</v>
      </c>
      <c r="J540" s="13">
        <f t="shared" si="19"/>
        <v>0</v>
      </c>
      <c r="K540" s="14"/>
      <c r="L540" s="14"/>
      <c r="M540" s="14">
        <v>200</v>
      </c>
      <c r="N540" s="14"/>
      <c r="O540" s="14"/>
      <c r="P540" s="14"/>
      <c r="Q540" s="14"/>
      <c r="R540" s="14"/>
      <c r="S540" s="14"/>
      <c r="T540" s="14"/>
      <c r="U540" s="14"/>
      <c r="V540" s="14"/>
      <c r="W540" s="15">
        <f t="shared" si="20"/>
        <v>200</v>
      </c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5"/>
      <c r="AK540" s="16"/>
    </row>
    <row r="541" spans="2:37" x14ac:dyDescent="0.2">
      <c r="B541" s="7" t="s">
        <v>69</v>
      </c>
      <c r="C541" s="8">
        <v>11304</v>
      </c>
      <c r="D541" s="9" t="s">
        <v>678</v>
      </c>
      <c r="E541" s="10" t="s">
        <v>679</v>
      </c>
      <c r="F541" s="10" t="s">
        <v>680</v>
      </c>
      <c r="G541" s="8">
        <v>3</v>
      </c>
      <c r="H541" s="11">
        <v>160</v>
      </c>
      <c r="I541" s="12">
        <v>42442</v>
      </c>
      <c r="J541" s="13">
        <f t="shared" si="19"/>
        <v>0</v>
      </c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5">
        <f t="shared" si="20"/>
        <v>0</v>
      </c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5"/>
      <c r="AK541" s="16"/>
    </row>
    <row r="542" spans="2:37" x14ac:dyDescent="0.2">
      <c r="B542" s="7" t="s">
        <v>122</v>
      </c>
      <c r="C542" s="8">
        <v>11305</v>
      </c>
      <c r="D542" s="9" t="s">
        <v>331</v>
      </c>
      <c r="E542" s="10" t="s">
        <v>332</v>
      </c>
      <c r="F542" s="10" t="s">
        <v>333</v>
      </c>
      <c r="G542" s="8">
        <v>1</v>
      </c>
      <c r="H542" s="11">
        <v>400</v>
      </c>
      <c r="I542" s="12">
        <v>42442</v>
      </c>
      <c r="J542" s="13">
        <f t="shared" si="19"/>
        <v>0</v>
      </c>
      <c r="K542" s="14"/>
      <c r="L542" s="14"/>
      <c r="M542" s="14">
        <v>400</v>
      </c>
      <c r="N542" s="14"/>
      <c r="O542" s="14"/>
      <c r="P542" s="14"/>
      <c r="Q542" s="14"/>
      <c r="R542" s="14"/>
      <c r="S542" s="14"/>
      <c r="T542" s="14"/>
      <c r="U542" s="14"/>
      <c r="V542" s="14"/>
      <c r="W542" s="15">
        <f t="shared" si="20"/>
        <v>400</v>
      </c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5"/>
      <c r="AK542" s="16"/>
    </row>
    <row r="543" spans="2:37" x14ac:dyDescent="0.2">
      <c r="B543" s="7" t="s">
        <v>77</v>
      </c>
      <c r="C543" s="8">
        <v>11306</v>
      </c>
      <c r="D543" s="9" t="s">
        <v>159</v>
      </c>
      <c r="E543" s="10" t="s">
        <v>160</v>
      </c>
      <c r="F543" s="10" t="s">
        <v>161</v>
      </c>
      <c r="G543" s="8">
        <v>1</v>
      </c>
      <c r="H543" s="11">
        <v>400</v>
      </c>
      <c r="I543" s="12">
        <v>42442</v>
      </c>
      <c r="J543" s="13">
        <f t="shared" si="19"/>
        <v>0</v>
      </c>
      <c r="K543" s="14"/>
      <c r="L543" s="14"/>
      <c r="M543" s="14">
        <v>400</v>
      </c>
      <c r="N543" s="14"/>
      <c r="O543" s="14"/>
      <c r="P543" s="14"/>
      <c r="Q543" s="14"/>
      <c r="R543" s="14"/>
      <c r="S543" s="14"/>
      <c r="T543" s="14"/>
      <c r="U543" s="14"/>
      <c r="V543" s="14"/>
      <c r="W543" s="15">
        <f t="shared" si="20"/>
        <v>400</v>
      </c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5"/>
      <c r="AK543" s="16"/>
    </row>
    <row r="544" spans="2:37" x14ac:dyDescent="0.2">
      <c r="B544" s="7" t="s">
        <v>73</v>
      </c>
      <c r="C544" s="8">
        <v>11307</v>
      </c>
      <c r="D544" s="9" t="s">
        <v>458</v>
      </c>
      <c r="E544" s="10" t="s">
        <v>459</v>
      </c>
      <c r="F544" s="10" t="s">
        <v>460</v>
      </c>
      <c r="G544" s="8">
        <v>1</v>
      </c>
      <c r="H544" s="11">
        <v>400</v>
      </c>
      <c r="I544" s="12">
        <v>42442</v>
      </c>
      <c r="J544" s="13">
        <f t="shared" si="19"/>
        <v>0</v>
      </c>
      <c r="K544" s="14"/>
      <c r="L544" s="14"/>
      <c r="M544" s="14">
        <v>400</v>
      </c>
      <c r="N544" s="14"/>
      <c r="O544" s="14"/>
      <c r="P544" s="14"/>
      <c r="Q544" s="14"/>
      <c r="R544" s="14"/>
      <c r="S544" s="14"/>
      <c r="T544" s="14"/>
      <c r="U544" s="14"/>
      <c r="V544" s="14"/>
      <c r="W544" s="15">
        <f t="shared" si="20"/>
        <v>400</v>
      </c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5"/>
      <c r="AK544" s="16"/>
    </row>
    <row r="545" spans="2:37" x14ac:dyDescent="0.2">
      <c r="B545" s="7" t="s">
        <v>69</v>
      </c>
      <c r="C545" s="8">
        <v>11308</v>
      </c>
      <c r="D545" s="9" t="s">
        <v>871</v>
      </c>
      <c r="E545" s="10" t="s">
        <v>872</v>
      </c>
      <c r="F545" s="10" t="s">
        <v>873</v>
      </c>
      <c r="G545" s="8">
        <v>1</v>
      </c>
      <c r="H545" s="11">
        <v>0</v>
      </c>
      <c r="I545" s="12">
        <v>42442</v>
      </c>
      <c r="J545" s="13">
        <f t="shared" si="19"/>
        <v>0</v>
      </c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5">
        <f t="shared" si="20"/>
        <v>0</v>
      </c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5"/>
      <c r="AK545" s="16"/>
    </row>
    <row r="546" spans="2:37" x14ac:dyDescent="0.2">
      <c r="B546" s="7" t="s">
        <v>69</v>
      </c>
      <c r="C546" s="8">
        <v>11309</v>
      </c>
      <c r="D546" s="9" t="s">
        <v>625</v>
      </c>
      <c r="E546" s="10" t="s">
        <v>626</v>
      </c>
      <c r="F546" s="10" t="s">
        <v>627</v>
      </c>
      <c r="G546" s="8">
        <v>1</v>
      </c>
      <c r="H546" s="11">
        <v>400</v>
      </c>
      <c r="I546" s="12">
        <v>42442</v>
      </c>
      <c r="J546" s="13">
        <f t="shared" si="19"/>
        <v>0</v>
      </c>
      <c r="K546" s="14"/>
      <c r="L546" s="14"/>
      <c r="M546" s="14">
        <v>400</v>
      </c>
      <c r="N546" s="14"/>
      <c r="O546" s="14"/>
      <c r="P546" s="14"/>
      <c r="Q546" s="14"/>
      <c r="R546" s="14"/>
      <c r="S546" s="14"/>
      <c r="T546" s="14"/>
      <c r="U546" s="14"/>
      <c r="V546" s="14"/>
      <c r="W546" s="15">
        <f t="shared" si="20"/>
        <v>400</v>
      </c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5"/>
      <c r="AK546" s="16"/>
    </row>
    <row r="547" spans="2:37" x14ac:dyDescent="0.2">
      <c r="B547" s="7" t="s">
        <v>73</v>
      </c>
      <c r="C547" s="8">
        <v>11310</v>
      </c>
      <c r="D547" s="9" t="s">
        <v>763</v>
      </c>
      <c r="E547" s="10" t="s">
        <v>764</v>
      </c>
      <c r="F547" s="10" t="s">
        <v>765</v>
      </c>
      <c r="G547" s="8">
        <v>1</v>
      </c>
      <c r="H547" s="11">
        <v>400</v>
      </c>
      <c r="I547" s="12">
        <v>42442</v>
      </c>
      <c r="J547" s="13">
        <f t="shared" si="19"/>
        <v>0</v>
      </c>
      <c r="K547" s="14"/>
      <c r="L547" s="14">
        <v>400</v>
      </c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5">
        <f t="shared" si="20"/>
        <v>400</v>
      </c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5"/>
      <c r="AK547" s="16"/>
    </row>
    <row r="548" spans="2:37" x14ac:dyDescent="0.2">
      <c r="B548" s="7" t="s">
        <v>77</v>
      </c>
      <c r="C548" s="8">
        <v>11311</v>
      </c>
      <c r="D548" s="9" t="s">
        <v>874</v>
      </c>
      <c r="E548" s="10" t="s">
        <v>875</v>
      </c>
      <c r="F548" s="10" t="s">
        <v>493</v>
      </c>
      <c r="G548" s="8">
        <v>1</v>
      </c>
      <c r="H548" s="11">
        <v>600</v>
      </c>
      <c r="I548" s="12">
        <v>42442</v>
      </c>
      <c r="J548" s="13">
        <f t="shared" si="19"/>
        <v>0</v>
      </c>
      <c r="K548" s="14">
        <v>200</v>
      </c>
      <c r="L548" s="14">
        <v>200</v>
      </c>
      <c r="M548" s="14">
        <v>200</v>
      </c>
      <c r="N548" s="14"/>
      <c r="O548" s="14"/>
      <c r="P548" s="14"/>
      <c r="Q548" s="14"/>
      <c r="R548" s="14"/>
      <c r="S548" s="14"/>
      <c r="T548" s="14"/>
      <c r="U548" s="14"/>
      <c r="V548" s="14"/>
      <c r="W548" s="15">
        <f t="shared" si="20"/>
        <v>600</v>
      </c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5"/>
      <c r="AK548" s="16"/>
    </row>
    <row r="549" spans="2:37" x14ac:dyDescent="0.2">
      <c r="B549" s="7" t="s">
        <v>77</v>
      </c>
      <c r="C549" s="8">
        <v>11312</v>
      </c>
      <c r="D549" s="9" t="s">
        <v>666</v>
      </c>
      <c r="E549" s="10" t="s">
        <v>667</v>
      </c>
      <c r="F549" s="10" t="s">
        <v>668</v>
      </c>
      <c r="G549" s="8">
        <v>1</v>
      </c>
      <c r="H549" s="11">
        <v>200</v>
      </c>
      <c r="I549" s="12">
        <v>42445</v>
      </c>
      <c r="J549" s="13">
        <f t="shared" si="19"/>
        <v>0</v>
      </c>
      <c r="K549" s="14"/>
      <c r="L549" s="14">
        <v>200</v>
      </c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5">
        <f t="shared" si="20"/>
        <v>200</v>
      </c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5"/>
      <c r="AK549" s="16"/>
    </row>
    <row r="550" spans="2:37" x14ac:dyDescent="0.2">
      <c r="B550" s="7" t="s">
        <v>37</v>
      </c>
      <c r="C550" s="8">
        <v>11313</v>
      </c>
      <c r="D550" s="9" t="s">
        <v>494</v>
      </c>
      <c r="E550" s="10" t="s">
        <v>495</v>
      </c>
      <c r="F550" s="10" t="s">
        <v>496</v>
      </c>
      <c r="G550" s="8">
        <v>1</v>
      </c>
      <c r="H550" s="11">
        <v>150</v>
      </c>
      <c r="I550" s="12">
        <v>42446</v>
      </c>
      <c r="J550" s="13">
        <f t="shared" si="19"/>
        <v>0</v>
      </c>
      <c r="K550" s="14"/>
      <c r="L550" s="14"/>
      <c r="M550" s="14">
        <v>150</v>
      </c>
      <c r="N550" s="14"/>
      <c r="O550" s="14"/>
      <c r="P550" s="14"/>
      <c r="Q550" s="14"/>
      <c r="R550" s="14"/>
      <c r="S550" s="14"/>
      <c r="T550" s="14"/>
      <c r="U550" s="14"/>
      <c r="V550" s="14"/>
      <c r="W550" s="15">
        <f t="shared" si="20"/>
        <v>150</v>
      </c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5"/>
      <c r="AK550" s="16"/>
    </row>
    <row r="551" spans="2:37" x14ac:dyDescent="0.2">
      <c r="B551" s="7" t="s">
        <v>37</v>
      </c>
      <c r="C551" s="8">
        <v>11314</v>
      </c>
      <c r="D551" s="9" t="s">
        <v>503</v>
      </c>
      <c r="E551" s="10" t="s">
        <v>504</v>
      </c>
      <c r="F551" s="10" t="s">
        <v>505</v>
      </c>
      <c r="G551" s="8">
        <v>1</v>
      </c>
      <c r="H551" s="11">
        <v>300</v>
      </c>
      <c r="I551" s="12">
        <v>42447</v>
      </c>
      <c r="J551" s="13">
        <f t="shared" si="19"/>
        <v>0</v>
      </c>
      <c r="K551" s="14"/>
      <c r="L551" s="14"/>
      <c r="M551" s="14">
        <v>150</v>
      </c>
      <c r="N551" s="14">
        <v>150</v>
      </c>
      <c r="O551" s="14"/>
      <c r="P551" s="14"/>
      <c r="Q551" s="14"/>
      <c r="R551" s="14"/>
      <c r="S551" s="14"/>
      <c r="T551" s="14"/>
      <c r="U551" s="14"/>
      <c r="V551" s="14"/>
      <c r="W551" s="15">
        <f t="shared" si="20"/>
        <v>300</v>
      </c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5"/>
      <c r="AK551" s="16"/>
    </row>
    <row r="552" spans="2:37" x14ac:dyDescent="0.2">
      <c r="B552" s="7" t="s">
        <v>69</v>
      </c>
      <c r="C552" s="8">
        <v>11315</v>
      </c>
      <c r="D552" s="9" t="s">
        <v>602</v>
      </c>
      <c r="E552" s="10" t="s">
        <v>603</v>
      </c>
      <c r="F552" s="10" t="s">
        <v>604</v>
      </c>
      <c r="G552" s="8">
        <v>1</v>
      </c>
      <c r="H552" s="11">
        <v>400</v>
      </c>
      <c r="I552" s="12">
        <v>42449</v>
      </c>
      <c r="J552" s="13">
        <f t="shared" si="19"/>
        <v>0</v>
      </c>
      <c r="K552" s="14"/>
      <c r="L552" s="14">
        <v>200</v>
      </c>
      <c r="M552" s="14">
        <v>200</v>
      </c>
      <c r="N552" s="14"/>
      <c r="O552" s="14"/>
      <c r="P552" s="14"/>
      <c r="Q552" s="14"/>
      <c r="R552" s="14"/>
      <c r="S552" s="14"/>
      <c r="T552" s="14"/>
      <c r="U552" s="14"/>
      <c r="V552" s="14"/>
      <c r="W552" s="15">
        <f t="shared" si="20"/>
        <v>400</v>
      </c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5"/>
      <c r="AK552" s="16"/>
    </row>
    <row r="553" spans="2:37" x14ac:dyDescent="0.2">
      <c r="B553" s="7" t="s">
        <v>73</v>
      </c>
      <c r="C553" s="8">
        <v>11316</v>
      </c>
      <c r="D553" s="9" t="s">
        <v>109</v>
      </c>
      <c r="E553" s="10" t="s">
        <v>110</v>
      </c>
      <c r="F553" s="10" t="s">
        <v>111</v>
      </c>
      <c r="G553" s="8">
        <v>4</v>
      </c>
      <c r="H553" s="11">
        <v>160</v>
      </c>
      <c r="I553" s="12">
        <v>42449</v>
      </c>
      <c r="J553" s="13">
        <f t="shared" si="19"/>
        <v>0</v>
      </c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5">
        <f t="shared" si="20"/>
        <v>0</v>
      </c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5"/>
      <c r="AK553" s="16"/>
    </row>
    <row r="554" spans="2:37" x14ac:dyDescent="0.2">
      <c r="B554" s="7" t="s">
        <v>73</v>
      </c>
      <c r="C554" s="8">
        <v>11317</v>
      </c>
      <c r="D554" s="9" t="s">
        <v>523</v>
      </c>
      <c r="E554" s="10" t="s">
        <v>524</v>
      </c>
      <c r="F554" s="10" t="s">
        <v>525</v>
      </c>
      <c r="G554" s="8">
        <v>1</v>
      </c>
      <c r="H554" s="11">
        <v>800</v>
      </c>
      <c r="I554" s="12">
        <v>42449</v>
      </c>
      <c r="J554" s="13">
        <f t="shared" si="19"/>
        <v>0</v>
      </c>
      <c r="K554" s="14">
        <v>400</v>
      </c>
      <c r="L554" s="14">
        <v>400</v>
      </c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5">
        <f t="shared" si="20"/>
        <v>800</v>
      </c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5"/>
      <c r="AK554" s="16"/>
    </row>
    <row r="555" spans="2:37" x14ac:dyDescent="0.2">
      <c r="B555" s="7" t="s">
        <v>73</v>
      </c>
      <c r="C555" s="8">
        <v>11318</v>
      </c>
      <c r="D555" s="9" t="s">
        <v>544</v>
      </c>
      <c r="E555" s="10" t="s">
        <v>545</v>
      </c>
      <c r="F555" s="10" t="s">
        <v>546</v>
      </c>
      <c r="G555" s="8">
        <v>1</v>
      </c>
      <c r="H555" s="11">
        <v>400</v>
      </c>
      <c r="I555" s="12">
        <v>42449</v>
      </c>
      <c r="J555" s="13">
        <f t="shared" si="19"/>
        <v>0</v>
      </c>
      <c r="K555" s="14"/>
      <c r="L555" s="14"/>
      <c r="M555" s="14">
        <v>400</v>
      </c>
      <c r="N555" s="14"/>
      <c r="O555" s="14"/>
      <c r="P555" s="14"/>
      <c r="Q555" s="14"/>
      <c r="R555" s="14"/>
      <c r="S555" s="14"/>
      <c r="T555" s="14"/>
      <c r="U555" s="14"/>
      <c r="V555" s="14"/>
      <c r="W555" s="15">
        <f t="shared" si="20"/>
        <v>400</v>
      </c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5"/>
      <c r="AK555" s="16"/>
    </row>
    <row r="556" spans="2:37" x14ac:dyDescent="0.2">
      <c r="B556" s="7" t="s">
        <v>69</v>
      </c>
      <c r="C556" s="8">
        <v>11319</v>
      </c>
      <c r="D556" s="9" t="s">
        <v>413</v>
      </c>
      <c r="E556" s="10" t="s">
        <v>414</v>
      </c>
      <c r="F556" s="10" t="s">
        <v>415</v>
      </c>
      <c r="G556" s="8">
        <v>1</v>
      </c>
      <c r="H556" s="11">
        <v>1200</v>
      </c>
      <c r="I556" s="12">
        <v>42449</v>
      </c>
      <c r="J556" s="13">
        <f t="shared" si="19"/>
        <v>0</v>
      </c>
      <c r="K556" s="14"/>
      <c r="L556" s="14"/>
      <c r="M556" s="14"/>
      <c r="N556" s="14">
        <v>400</v>
      </c>
      <c r="O556" s="14">
        <v>400</v>
      </c>
      <c r="P556" s="14">
        <v>400</v>
      </c>
      <c r="Q556" s="14"/>
      <c r="R556" s="14"/>
      <c r="S556" s="14"/>
      <c r="T556" s="14"/>
      <c r="U556" s="14"/>
      <c r="V556" s="14"/>
      <c r="W556" s="15">
        <f t="shared" si="20"/>
        <v>1200</v>
      </c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5"/>
      <c r="AK556" s="16"/>
    </row>
    <row r="557" spans="2:37" x14ac:dyDescent="0.2">
      <c r="B557" s="7" t="s">
        <v>69</v>
      </c>
      <c r="C557" s="8">
        <v>11320</v>
      </c>
      <c r="D557" s="9" t="s">
        <v>343</v>
      </c>
      <c r="E557" s="10" t="s">
        <v>344</v>
      </c>
      <c r="F557" s="10" t="s">
        <v>345</v>
      </c>
      <c r="G557" s="8">
        <v>1</v>
      </c>
      <c r="H557" s="11">
        <v>400</v>
      </c>
      <c r="I557" s="12">
        <v>42449</v>
      </c>
      <c r="J557" s="13">
        <f t="shared" si="19"/>
        <v>0</v>
      </c>
      <c r="K557" s="14"/>
      <c r="L557" s="14"/>
      <c r="M557" s="14">
        <v>400</v>
      </c>
      <c r="N557" s="14"/>
      <c r="O557" s="14"/>
      <c r="P557" s="14"/>
      <c r="Q557" s="14"/>
      <c r="R557" s="14"/>
      <c r="S557" s="14"/>
      <c r="T557" s="14"/>
      <c r="U557" s="14"/>
      <c r="V557" s="14"/>
      <c r="W557" s="15">
        <f t="shared" si="20"/>
        <v>400</v>
      </c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5"/>
      <c r="AK557" s="16"/>
    </row>
    <row r="558" spans="2:37" x14ac:dyDescent="0.2">
      <c r="B558" s="7" t="s">
        <v>73</v>
      </c>
      <c r="C558" s="8">
        <v>11321</v>
      </c>
      <c r="D558" s="9" t="s">
        <v>195</v>
      </c>
      <c r="E558" s="10" t="s">
        <v>196</v>
      </c>
      <c r="F558" s="10" t="s">
        <v>197</v>
      </c>
      <c r="G558" s="8">
        <v>1</v>
      </c>
      <c r="H558" s="11">
        <v>800</v>
      </c>
      <c r="I558" s="12">
        <v>42449</v>
      </c>
      <c r="J558" s="13">
        <f t="shared" si="19"/>
        <v>0</v>
      </c>
      <c r="K558" s="14"/>
      <c r="L558" s="14">
        <v>400</v>
      </c>
      <c r="M558" s="14">
        <v>400</v>
      </c>
      <c r="N558" s="14"/>
      <c r="O558" s="14"/>
      <c r="P558" s="14"/>
      <c r="Q558" s="14"/>
      <c r="R558" s="14"/>
      <c r="S558" s="14"/>
      <c r="T558" s="14"/>
      <c r="U558" s="14"/>
      <c r="V558" s="14"/>
      <c r="W558" s="15">
        <f t="shared" si="20"/>
        <v>800</v>
      </c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5"/>
      <c r="AK558" s="16"/>
    </row>
    <row r="559" spans="2:37" x14ac:dyDescent="0.2">
      <c r="B559" s="7" t="s">
        <v>47</v>
      </c>
      <c r="C559" s="8">
        <v>11322</v>
      </c>
      <c r="D559" s="9" t="s">
        <v>103</v>
      </c>
      <c r="E559" s="10" t="s">
        <v>104</v>
      </c>
      <c r="F559" s="10" t="s">
        <v>105</v>
      </c>
      <c r="G559" s="8">
        <v>1</v>
      </c>
      <c r="H559" s="11">
        <v>400</v>
      </c>
      <c r="I559" s="12">
        <v>42449</v>
      </c>
      <c r="J559" s="13">
        <f t="shared" si="19"/>
        <v>0</v>
      </c>
      <c r="K559" s="14"/>
      <c r="L559" s="14"/>
      <c r="M559" s="14">
        <v>400</v>
      </c>
      <c r="N559" s="14"/>
      <c r="O559" s="14"/>
      <c r="P559" s="14"/>
      <c r="Q559" s="14"/>
      <c r="R559" s="14"/>
      <c r="S559" s="14"/>
      <c r="T559" s="14"/>
      <c r="U559" s="14"/>
      <c r="V559" s="14"/>
      <c r="W559" s="15">
        <f t="shared" si="20"/>
        <v>400</v>
      </c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5"/>
      <c r="AK559" s="16"/>
    </row>
    <row r="560" spans="2:37" x14ac:dyDescent="0.2">
      <c r="B560" s="7" t="s">
        <v>391</v>
      </c>
      <c r="C560" s="8">
        <v>11323</v>
      </c>
      <c r="D560" s="9" t="s">
        <v>876</v>
      </c>
      <c r="E560" s="10" t="s">
        <v>877</v>
      </c>
      <c r="F560" s="10" t="s">
        <v>878</v>
      </c>
      <c r="G560" s="8">
        <v>1</v>
      </c>
      <c r="H560" s="11">
        <v>200</v>
      </c>
      <c r="I560" s="12">
        <v>42449</v>
      </c>
      <c r="J560" s="13">
        <f t="shared" si="19"/>
        <v>0</v>
      </c>
      <c r="K560" s="14"/>
      <c r="L560" s="14"/>
      <c r="M560" s="14">
        <v>200</v>
      </c>
      <c r="N560" s="14"/>
      <c r="O560" s="14"/>
      <c r="P560" s="14"/>
      <c r="Q560" s="14"/>
      <c r="R560" s="14"/>
      <c r="S560" s="14"/>
      <c r="T560" s="14"/>
      <c r="U560" s="14"/>
      <c r="V560" s="14"/>
      <c r="W560" s="15">
        <f t="shared" si="20"/>
        <v>200</v>
      </c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5"/>
      <c r="AK560" s="16"/>
    </row>
    <row r="561" spans="2:37" x14ac:dyDescent="0.2">
      <c r="B561" s="7" t="s">
        <v>391</v>
      </c>
      <c r="C561" s="8">
        <v>11323</v>
      </c>
      <c r="D561" s="9" t="s">
        <v>876</v>
      </c>
      <c r="E561" s="10" t="s">
        <v>877</v>
      </c>
      <c r="F561" s="10" t="s">
        <v>878</v>
      </c>
      <c r="G561" s="8">
        <v>3</v>
      </c>
      <c r="H561" s="11">
        <v>160</v>
      </c>
      <c r="I561" s="12">
        <v>42449</v>
      </c>
      <c r="J561" s="13">
        <f t="shared" si="19"/>
        <v>0</v>
      </c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5">
        <f t="shared" si="20"/>
        <v>0</v>
      </c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5"/>
      <c r="AK561" s="16"/>
    </row>
    <row r="562" spans="2:37" x14ac:dyDescent="0.2">
      <c r="B562" s="7" t="s">
        <v>47</v>
      </c>
      <c r="C562" s="8">
        <v>11324</v>
      </c>
      <c r="D562" s="9" t="s">
        <v>235</v>
      </c>
      <c r="E562" s="10" t="s">
        <v>236</v>
      </c>
      <c r="F562" s="10" t="s">
        <v>237</v>
      </c>
      <c r="G562" s="8">
        <v>1</v>
      </c>
      <c r="H562" s="11">
        <v>800</v>
      </c>
      <c r="I562" s="12">
        <v>42449</v>
      </c>
      <c r="J562" s="13">
        <f t="shared" ref="J562:J588" si="21">IF(G562=1,SUM(W562,-H562),0)</f>
        <v>0</v>
      </c>
      <c r="K562" s="14"/>
      <c r="L562" s="14">
        <v>400</v>
      </c>
      <c r="M562" s="14">
        <v>400</v>
      </c>
      <c r="N562" s="14"/>
      <c r="O562" s="14"/>
      <c r="P562" s="14"/>
      <c r="Q562" s="14"/>
      <c r="R562" s="14"/>
      <c r="S562" s="14"/>
      <c r="T562" s="14"/>
      <c r="U562" s="14"/>
      <c r="V562" s="14"/>
      <c r="W562" s="15">
        <f t="shared" ref="W562:W586" si="22">SUM(K562:V562)</f>
        <v>800</v>
      </c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5"/>
      <c r="AK562" s="16"/>
    </row>
    <row r="563" spans="2:37" x14ac:dyDescent="0.2">
      <c r="B563" s="7" t="s">
        <v>391</v>
      </c>
      <c r="C563" s="8">
        <v>11325</v>
      </c>
      <c r="D563" s="9" t="s">
        <v>640</v>
      </c>
      <c r="E563" s="10" t="s">
        <v>641</v>
      </c>
      <c r="F563" s="10" t="s">
        <v>642</v>
      </c>
      <c r="G563" s="8">
        <v>1</v>
      </c>
      <c r="H563" s="11">
        <v>400</v>
      </c>
      <c r="I563" s="12">
        <v>42449</v>
      </c>
      <c r="J563" s="13">
        <f t="shared" si="21"/>
        <v>0</v>
      </c>
      <c r="K563" s="14"/>
      <c r="L563" s="14">
        <v>200</v>
      </c>
      <c r="M563" s="14">
        <v>200</v>
      </c>
      <c r="N563" s="14"/>
      <c r="O563" s="14"/>
      <c r="P563" s="14"/>
      <c r="Q563" s="14"/>
      <c r="R563" s="14"/>
      <c r="S563" s="14"/>
      <c r="T563" s="14"/>
      <c r="U563" s="14"/>
      <c r="V563" s="14"/>
      <c r="W563" s="15">
        <f t="shared" si="22"/>
        <v>400</v>
      </c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5"/>
      <c r="AK563" s="16"/>
    </row>
    <row r="564" spans="2:37" x14ac:dyDescent="0.2">
      <c r="B564" s="7" t="s">
        <v>391</v>
      </c>
      <c r="C564" s="8">
        <v>11326</v>
      </c>
      <c r="D564" s="9" t="s">
        <v>482</v>
      </c>
      <c r="E564" s="10" t="s">
        <v>483</v>
      </c>
      <c r="F564" s="10" t="s">
        <v>484</v>
      </c>
      <c r="G564" s="8">
        <v>4</v>
      </c>
      <c r="H564" s="11">
        <v>160</v>
      </c>
      <c r="I564" s="12">
        <v>42449</v>
      </c>
      <c r="J564" s="13">
        <f t="shared" si="21"/>
        <v>0</v>
      </c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5">
        <f t="shared" si="22"/>
        <v>0</v>
      </c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5"/>
      <c r="AK564" s="16"/>
    </row>
    <row r="565" spans="2:37" x14ac:dyDescent="0.2">
      <c r="B565" s="7" t="s">
        <v>391</v>
      </c>
      <c r="C565" s="8">
        <v>11327</v>
      </c>
      <c r="D565" s="9" t="s">
        <v>876</v>
      </c>
      <c r="E565" s="10" t="s">
        <v>877</v>
      </c>
      <c r="F565" s="10" t="s">
        <v>878</v>
      </c>
      <c r="G565" s="8">
        <v>4</v>
      </c>
      <c r="H565" s="11">
        <v>320</v>
      </c>
      <c r="I565" s="12">
        <v>42449</v>
      </c>
      <c r="J565" s="13">
        <f t="shared" si="21"/>
        <v>0</v>
      </c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5">
        <f t="shared" si="22"/>
        <v>0</v>
      </c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5"/>
      <c r="AK565" s="16"/>
    </row>
    <row r="566" spans="2:37" x14ac:dyDescent="0.2">
      <c r="B566" s="7" t="s">
        <v>37</v>
      </c>
      <c r="C566" s="8">
        <v>11328</v>
      </c>
      <c r="D566" s="9" t="s">
        <v>295</v>
      </c>
      <c r="E566" s="10" t="s">
        <v>296</v>
      </c>
      <c r="F566" s="10" t="s">
        <v>297</v>
      </c>
      <c r="G566" s="8">
        <v>1</v>
      </c>
      <c r="H566" s="11">
        <v>300</v>
      </c>
      <c r="I566" s="12">
        <v>42449</v>
      </c>
      <c r="J566" s="13">
        <f t="shared" si="21"/>
        <v>0</v>
      </c>
      <c r="K566" s="14"/>
      <c r="L566" s="14"/>
      <c r="M566" s="14">
        <v>300</v>
      </c>
      <c r="N566" s="14"/>
      <c r="O566" s="14"/>
      <c r="P566" s="14"/>
      <c r="Q566" s="14"/>
      <c r="R566" s="14"/>
      <c r="S566" s="14"/>
      <c r="T566" s="14"/>
      <c r="U566" s="14"/>
      <c r="V566" s="14"/>
      <c r="W566" s="15">
        <f t="shared" si="22"/>
        <v>300</v>
      </c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5"/>
      <c r="AK566" s="16"/>
    </row>
    <row r="567" spans="2:37" x14ac:dyDescent="0.2">
      <c r="B567" s="7" t="s">
        <v>47</v>
      </c>
      <c r="C567" s="8">
        <v>11329</v>
      </c>
      <c r="D567" s="9" t="s">
        <v>416</v>
      </c>
      <c r="E567" s="10" t="s">
        <v>417</v>
      </c>
      <c r="F567" s="10" t="s">
        <v>418</v>
      </c>
      <c r="G567" s="8">
        <v>1</v>
      </c>
      <c r="H567" s="11">
        <v>200</v>
      </c>
      <c r="I567" s="12">
        <v>42451</v>
      </c>
      <c r="J567" s="13">
        <f t="shared" si="21"/>
        <v>0</v>
      </c>
      <c r="K567" s="14"/>
      <c r="L567" s="14"/>
      <c r="M567" s="14">
        <v>200</v>
      </c>
      <c r="N567" s="14"/>
      <c r="O567" s="14"/>
      <c r="P567" s="14"/>
      <c r="Q567" s="14"/>
      <c r="R567" s="14"/>
      <c r="S567" s="14"/>
      <c r="T567" s="14"/>
      <c r="U567" s="14"/>
      <c r="V567" s="14"/>
      <c r="W567" s="15">
        <f t="shared" si="22"/>
        <v>200</v>
      </c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5"/>
      <c r="AK567" s="16"/>
    </row>
    <row r="568" spans="2:37" x14ac:dyDescent="0.2">
      <c r="B568" s="7" t="s">
        <v>391</v>
      </c>
      <c r="C568" s="8">
        <v>11330</v>
      </c>
      <c r="D568" s="9" t="s">
        <v>879</v>
      </c>
      <c r="E568" s="10" t="s">
        <v>880</v>
      </c>
      <c r="F568" s="10" t="s">
        <v>881</v>
      </c>
      <c r="G568" s="8">
        <v>1</v>
      </c>
      <c r="H568" s="11">
        <v>200</v>
      </c>
      <c r="I568" s="12">
        <v>42450</v>
      </c>
      <c r="J568" s="13">
        <f t="shared" si="21"/>
        <v>0</v>
      </c>
      <c r="K568" s="14"/>
      <c r="L568" s="14"/>
      <c r="M568" s="14">
        <v>200</v>
      </c>
      <c r="N568" s="14"/>
      <c r="O568" s="14"/>
      <c r="P568" s="14"/>
      <c r="Q568" s="14"/>
      <c r="R568" s="14"/>
      <c r="S568" s="14"/>
      <c r="T568" s="14"/>
      <c r="U568" s="14"/>
      <c r="V568" s="14"/>
      <c r="W568" s="15">
        <f t="shared" si="22"/>
        <v>200</v>
      </c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5"/>
      <c r="AK568" s="16"/>
    </row>
    <row r="569" spans="2:37" x14ac:dyDescent="0.2">
      <c r="B569" s="7" t="s">
        <v>37</v>
      </c>
      <c r="C569" s="8">
        <v>11331</v>
      </c>
      <c r="D569" s="9" t="s">
        <v>488</v>
      </c>
      <c r="E569" s="10" t="s">
        <v>489</v>
      </c>
      <c r="F569" s="10" t="s">
        <v>490</v>
      </c>
      <c r="G569" s="8">
        <v>1</v>
      </c>
      <c r="H569" s="11">
        <v>400</v>
      </c>
      <c r="I569" s="12">
        <v>42452</v>
      </c>
      <c r="J569" s="13">
        <f t="shared" si="21"/>
        <v>0</v>
      </c>
      <c r="K569" s="14"/>
      <c r="L569" s="14"/>
      <c r="M569" s="14">
        <v>400</v>
      </c>
      <c r="N569" s="14"/>
      <c r="O569" s="14"/>
      <c r="P569" s="14"/>
      <c r="Q569" s="14"/>
      <c r="R569" s="14"/>
      <c r="S569" s="14"/>
      <c r="T569" s="14"/>
      <c r="U569" s="14"/>
      <c r="V569" s="14"/>
      <c r="W569" s="15">
        <f t="shared" si="22"/>
        <v>400</v>
      </c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5"/>
      <c r="AK569" s="16"/>
    </row>
    <row r="570" spans="2:37" x14ac:dyDescent="0.2">
      <c r="B570" s="7" t="s">
        <v>47</v>
      </c>
      <c r="C570" s="8">
        <v>11332</v>
      </c>
      <c r="D570" s="9" t="s">
        <v>208</v>
      </c>
      <c r="E570" s="10" t="s">
        <v>209</v>
      </c>
      <c r="F570" s="10" t="s">
        <v>210</v>
      </c>
      <c r="G570" s="8"/>
      <c r="H570" s="11"/>
      <c r="I570" s="12"/>
      <c r="J570" s="13">
        <f t="shared" si="21"/>
        <v>0</v>
      </c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5">
        <f t="shared" si="22"/>
        <v>0</v>
      </c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5"/>
      <c r="AK570" s="16"/>
    </row>
    <row r="571" spans="2:37" x14ac:dyDescent="0.2">
      <c r="B571" s="7" t="s">
        <v>37</v>
      </c>
      <c r="C571" s="8">
        <v>11333</v>
      </c>
      <c r="D571" s="9" t="s">
        <v>268</v>
      </c>
      <c r="E571" s="10" t="s">
        <v>269</v>
      </c>
      <c r="F571" s="10" t="s">
        <v>270</v>
      </c>
      <c r="G571" s="8">
        <v>1</v>
      </c>
      <c r="H571" s="11">
        <v>300</v>
      </c>
      <c r="I571" s="12">
        <v>42456</v>
      </c>
      <c r="J571" s="13">
        <f t="shared" si="21"/>
        <v>0</v>
      </c>
      <c r="K571" s="14"/>
      <c r="L571" s="14"/>
      <c r="M571" s="14">
        <v>300</v>
      </c>
      <c r="N571" s="14"/>
      <c r="O571" s="14"/>
      <c r="P571" s="14"/>
      <c r="Q571" s="14"/>
      <c r="R571" s="14"/>
      <c r="S571" s="14"/>
      <c r="T571" s="14"/>
      <c r="U571" s="14"/>
      <c r="V571" s="14"/>
      <c r="W571" s="15">
        <f t="shared" si="22"/>
        <v>300</v>
      </c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5"/>
      <c r="AK571" s="16"/>
    </row>
    <row r="572" spans="2:37" x14ac:dyDescent="0.2">
      <c r="B572" s="7" t="s">
        <v>47</v>
      </c>
      <c r="C572" s="8">
        <v>11334</v>
      </c>
      <c r="D572" s="9" t="s">
        <v>497</v>
      </c>
      <c r="E572" s="10" t="s">
        <v>498</v>
      </c>
      <c r="F572" s="10" t="s">
        <v>499</v>
      </c>
      <c r="G572" s="8">
        <v>1</v>
      </c>
      <c r="H572" s="11">
        <v>400</v>
      </c>
      <c r="I572" s="12">
        <v>42456</v>
      </c>
      <c r="J572" s="13">
        <f t="shared" si="21"/>
        <v>0</v>
      </c>
      <c r="K572" s="14"/>
      <c r="L572" s="14"/>
      <c r="M572" s="14"/>
      <c r="N572" s="14">
        <v>400</v>
      </c>
      <c r="O572" s="14"/>
      <c r="P572" s="14"/>
      <c r="Q572" s="14"/>
      <c r="R572" s="14"/>
      <c r="S572" s="14"/>
      <c r="T572" s="14"/>
      <c r="U572" s="14"/>
      <c r="V572" s="14"/>
      <c r="W572" s="15">
        <f t="shared" si="22"/>
        <v>400</v>
      </c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5"/>
      <c r="AK572" s="16"/>
    </row>
    <row r="573" spans="2:37" x14ac:dyDescent="0.2">
      <c r="B573" s="7" t="s">
        <v>69</v>
      </c>
      <c r="C573" s="8">
        <v>11335</v>
      </c>
      <c r="D573" s="9" t="s">
        <v>882</v>
      </c>
      <c r="E573" s="10" t="s">
        <v>883</v>
      </c>
      <c r="F573" s="10" t="s">
        <v>884</v>
      </c>
      <c r="G573" s="8">
        <v>1</v>
      </c>
      <c r="H573" s="11">
        <v>600</v>
      </c>
      <c r="I573" s="12">
        <v>42456</v>
      </c>
      <c r="J573" s="13">
        <f t="shared" si="21"/>
        <v>0</v>
      </c>
      <c r="K573" s="14">
        <v>200</v>
      </c>
      <c r="L573" s="14">
        <v>200</v>
      </c>
      <c r="M573" s="14">
        <v>200</v>
      </c>
      <c r="N573" s="14"/>
      <c r="O573" s="14"/>
      <c r="P573" s="14"/>
      <c r="Q573" s="14"/>
      <c r="R573" s="14"/>
      <c r="S573" s="14"/>
      <c r="T573" s="14"/>
      <c r="U573" s="14"/>
      <c r="V573" s="14"/>
      <c r="W573" s="15">
        <f t="shared" si="22"/>
        <v>600</v>
      </c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5"/>
      <c r="AK573" s="16"/>
    </row>
    <row r="574" spans="2:37" x14ac:dyDescent="0.2">
      <c r="B574" s="7" t="s">
        <v>77</v>
      </c>
      <c r="C574" s="8">
        <v>11336</v>
      </c>
      <c r="D574" s="9" t="s">
        <v>820</v>
      </c>
      <c r="E574" s="10" t="s">
        <v>821</v>
      </c>
      <c r="F574" s="10" t="s">
        <v>822</v>
      </c>
      <c r="G574" s="8">
        <v>1</v>
      </c>
      <c r="H574" s="11">
        <v>300</v>
      </c>
      <c r="I574" s="12">
        <v>42456</v>
      </c>
      <c r="J574" s="13">
        <f t="shared" si="21"/>
        <v>0</v>
      </c>
      <c r="K574" s="14"/>
      <c r="L574" s="14"/>
      <c r="M574" s="14">
        <v>300</v>
      </c>
      <c r="N574" s="14"/>
      <c r="O574" s="14"/>
      <c r="P574" s="14"/>
      <c r="Q574" s="14"/>
      <c r="R574" s="14"/>
      <c r="S574" s="14"/>
      <c r="T574" s="14"/>
      <c r="U574" s="14"/>
      <c r="V574" s="14"/>
      <c r="W574" s="15">
        <f t="shared" si="22"/>
        <v>300</v>
      </c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5"/>
      <c r="AK574" s="16"/>
    </row>
    <row r="575" spans="2:37" x14ac:dyDescent="0.2">
      <c r="B575" s="7" t="s">
        <v>122</v>
      </c>
      <c r="C575" s="8">
        <v>11337</v>
      </c>
      <c r="D575" s="9" t="s">
        <v>256</v>
      </c>
      <c r="E575" s="10" t="s">
        <v>257</v>
      </c>
      <c r="F575" s="10" t="s">
        <v>258</v>
      </c>
      <c r="G575" s="8">
        <v>1</v>
      </c>
      <c r="H575" s="11">
        <v>300</v>
      </c>
      <c r="I575" s="12">
        <v>42456</v>
      </c>
      <c r="J575" s="13">
        <f t="shared" si="21"/>
        <v>0</v>
      </c>
      <c r="K575" s="14"/>
      <c r="L575" s="14"/>
      <c r="M575" s="14">
        <v>300</v>
      </c>
      <c r="N575" s="14"/>
      <c r="O575" s="14"/>
      <c r="P575" s="14"/>
      <c r="Q575" s="14"/>
      <c r="R575" s="14"/>
      <c r="S575" s="14"/>
      <c r="T575" s="14"/>
      <c r="U575" s="14"/>
      <c r="V575" s="14"/>
      <c r="W575" s="15">
        <f t="shared" si="22"/>
        <v>300</v>
      </c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5"/>
      <c r="AK575" s="16"/>
    </row>
    <row r="576" spans="2:37" x14ac:dyDescent="0.2">
      <c r="B576" s="7" t="s">
        <v>37</v>
      </c>
      <c r="C576" s="8">
        <v>11338</v>
      </c>
      <c r="D576" s="9" t="s">
        <v>538</v>
      </c>
      <c r="E576" s="10" t="s">
        <v>539</v>
      </c>
      <c r="F576" s="10" t="s">
        <v>540</v>
      </c>
      <c r="G576" s="8">
        <v>1</v>
      </c>
      <c r="H576" s="11">
        <v>400</v>
      </c>
      <c r="I576" s="12">
        <v>42456</v>
      </c>
      <c r="J576" s="13">
        <f t="shared" si="21"/>
        <v>0</v>
      </c>
      <c r="K576" s="14"/>
      <c r="L576" s="14"/>
      <c r="M576" s="14">
        <v>400</v>
      </c>
      <c r="N576" s="14"/>
      <c r="O576" s="14"/>
      <c r="P576" s="14"/>
      <c r="Q576" s="14"/>
      <c r="R576" s="14"/>
      <c r="S576" s="14"/>
      <c r="T576" s="14"/>
      <c r="U576" s="14"/>
      <c r="V576" s="14"/>
      <c r="W576" s="15">
        <f t="shared" si="22"/>
        <v>400</v>
      </c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5"/>
      <c r="AK576" s="16"/>
    </row>
    <row r="577" spans="1:37" x14ac:dyDescent="0.2">
      <c r="B577" s="7" t="s">
        <v>37</v>
      </c>
      <c r="C577" s="8">
        <v>11339</v>
      </c>
      <c r="D577" s="9" t="s">
        <v>794</v>
      </c>
      <c r="E577" s="10" t="s">
        <v>795</v>
      </c>
      <c r="F577" s="10" t="s">
        <v>796</v>
      </c>
      <c r="G577" s="8">
        <v>1</v>
      </c>
      <c r="H577" s="11">
        <v>300</v>
      </c>
      <c r="I577" s="12">
        <v>42456</v>
      </c>
      <c r="J577" s="13">
        <f t="shared" si="21"/>
        <v>0</v>
      </c>
      <c r="K577" s="14"/>
      <c r="L577" s="14"/>
      <c r="M577" s="14">
        <v>300</v>
      </c>
      <c r="N577" s="14"/>
      <c r="O577" s="14"/>
      <c r="P577" s="14"/>
      <c r="Q577" s="14"/>
      <c r="R577" s="14"/>
      <c r="S577" s="14"/>
      <c r="T577" s="14"/>
      <c r="U577" s="14"/>
      <c r="V577" s="14"/>
      <c r="W577" s="15">
        <f t="shared" si="22"/>
        <v>300</v>
      </c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5"/>
      <c r="AK577" s="16"/>
    </row>
    <row r="578" spans="1:37" x14ac:dyDescent="0.2">
      <c r="B578" s="7" t="s">
        <v>37</v>
      </c>
      <c r="C578" s="8">
        <v>11340</v>
      </c>
      <c r="D578" s="9" t="s">
        <v>526</v>
      </c>
      <c r="E578" s="10" t="s">
        <v>527</v>
      </c>
      <c r="F578" s="10" t="s">
        <v>528</v>
      </c>
      <c r="G578" s="8">
        <v>1</v>
      </c>
      <c r="H578" s="11">
        <v>400</v>
      </c>
      <c r="I578" s="12">
        <v>42456</v>
      </c>
      <c r="J578" s="13">
        <f t="shared" si="21"/>
        <v>0</v>
      </c>
      <c r="K578" s="14"/>
      <c r="L578" s="14"/>
      <c r="M578" s="14">
        <v>400</v>
      </c>
      <c r="N578" s="14"/>
      <c r="O578" s="14"/>
      <c r="P578" s="14"/>
      <c r="Q578" s="14"/>
      <c r="R578" s="14"/>
      <c r="S578" s="14"/>
      <c r="T578" s="14"/>
      <c r="U578" s="14"/>
      <c r="V578" s="14"/>
      <c r="W578" s="15">
        <f t="shared" si="22"/>
        <v>400</v>
      </c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5"/>
      <c r="AK578" s="16"/>
    </row>
    <row r="579" spans="1:37" x14ac:dyDescent="0.2">
      <c r="B579" s="7" t="s">
        <v>37</v>
      </c>
      <c r="C579" s="8">
        <v>11341</v>
      </c>
      <c r="D579" s="9" t="s">
        <v>628</v>
      </c>
      <c r="E579" s="10" t="s">
        <v>629</v>
      </c>
      <c r="F579" s="10" t="s">
        <v>630</v>
      </c>
      <c r="G579" s="8">
        <v>1</v>
      </c>
      <c r="H579" s="11">
        <v>400</v>
      </c>
      <c r="I579" s="12">
        <v>42456</v>
      </c>
      <c r="J579" s="13">
        <f t="shared" si="21"/>
        <v>0</v>
      </c>
      <c r="K579" s="14"/>
      <c r="L579" s="14"/>
      <c r="M579" s="14">
        <v>400</v>
      </c>
      <c r="N579" s="14"/>
      <c r="O579" s="14"/>
      <c r="P579" s="14"/>
      <c r="Q579" s="14"/>
      <c r="R579" s="14"/>
      <c r="S579" s="14"/>
      <c r="T579" s="14"/>
      <c r="U579" s="14"/>
      <c r="V579" s="14"/>
      <c r="W579" s="15">
        <f t="shared" si="22"/>
        <v>400</v>
      </c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5"/>
      <c r="AK579" s="16"/>
    </row>
    <row r="580" spans="1:37" x14ac:dyDescent="0.2">
      <c r="B580" s="7" t="s">
        <v>77</v>
      </c>
      <c r="C580" s="8">
        <v>11342</v>
      </c>
      <c r="D580" s="9" t="s">
        <v>652</v>
      </c>
      <c r="E580" s="10" t="s">
        <v>653</v>
      </c>
      <c r="F580" s="10" t="s">
        <v>654</v>
      </c>
      <c r="G580" s="8">
        <v>1</v>
      </c>
      <c r="H580" s="11">
        <v>800</v>
      </c>
      <c r="I580" s="12">
        <v>42456</v>
      </c>
      <c r="J580" s="13">
        <f t="shared" si="21"/>
        <v>0</v>
      </c>
      <c r="K580" s="14">
        <v>400</v>
      </c>
      <c r="L580" s="14">
        <v>400</v>
      </c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5">
        <f t="shared" si="22"/>
        <v>800</v>
      </c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5"/>
      <c r="AK580" s="16"/>
    </row>
    <row r="581" spans="1:37" x14ac:dyDescent="0.2">
      <c r="B581" s="7" t="s">
        <v>77</v>
      </c>
      <c r="C581" s="8">
        <v>11343</v>
      </c>
      <c r="D581" s="9" t="s">
        <v>322</v>
      </c>
      <c r="E581" s="10" t="s">
        <v>323</v>
      </c>
      <c r="F581" s="10" t="s">
        <v>324</v>
      </c>
      <c r="G581" s="8">
        <v>1</v>
      </c>
      <c r="H581" s="11">
        <v>400</v>
      </c>
      <c r="I581" s="12">
        <v>42456</v>
      </c>
      <c r="J581" s="13">
        <f t="shared" si="21"/>
        <v>0</v>
      </c>
      <c r="K581" s="14"/>
      <c r="L581" s="14">
        <v>400</v>
      </c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5">
        <f t="shared" si="22"/>
        <v>400</v>
      </c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5"/>
      <c r="AK581" s="16"/>
    </row>
    <row r="582" spans="1:37" x14ac:dyDescent="0.2">
      <c r="B582" s="7" t="s">
        <v>47</v>
      </c>
      <c r="C582" s="8">
        <v>11344</v>
      </c>
      <c r="D582" s="9" t="s">
        <v>250</v>
      </c>
      <c r="E582" s="10" t="s">
        <v>251</v>
      </c>
      <c r="F582" s="10" t="s">
        <v>252</v>
      </c>
      <c r="G582" s="8">
        <v>1</v>
      </c>
      <c r="H582" s="11">
        <v>800</v>
      </c>
      <c r="I582" s="12">
        <v>42456</v>
      </c>
      <c r="J582" s="13">
        <f t="shared" si="21"/>
        <v>0</v>
      </c>
      <c r="K582" s="14"/>
      <c r="L582" s="14">
        <v>400</v>
      </c>
      <c r="M582" s="14">
        <v>400</v>
      </c>
      <c r="N582" s="14"/>
      <c r="O582" s="14"/>
      <c r="P582" s="14"/>
      <c r="Q582" s="14"/>
      <c r="R582" s="14"/>
      <c r="S582" s="14"/>
      <c r="T582" s="14"/>
      <c r="U582" s="14"/>
      <c r="V582" s="14"/>
      <c r="W582" s="15">
        <f t="shared" si="22"/>
        <v>800</v>
      </c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5"/>
      <c r="AK582" s="16"/>
    </row>
    <row r="583" spans="1:37" x14ac:dyDescent="0.2">
      <c r="B583" s="7" t="s">
        <v>73</v>
      </c>
      <c r="C583" s="8"/>
      <c r="D583" s="9" t="s">
        <v>806</v>
      </c>
      <c r="E583" s="10" t="s">
        <v>885</v>
      </c>
      <c r="F583" s="10" t="s">
        <v>805</v>
      </c>
      <c r="G583" s="8">
        <v>1</v>
      </c>
      <c r="H583" s="11">
        <v>11000</v>
      </c>
      <c r="I583" s="12">
        <v>42795</v>
      </c>
      <c r="J583" s="13">
        <f t="shared" si="21"/>
        <v>0</v>
      </c>
      <c r="K583" s="14"/>
      <c r="L583" s="14">
        <v>11000</v>
      </c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5">
        <f t="shared" si="22"/>
        <v>11000</v>
      </c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5"/>
      <c r="AK583" s="16"/>
    </row>
    <row r="584" spans="1:37" x14ac:dyDescent="0.2">
      <c r="B584" s="7" t="s">
        <v>69</v>
      </c>
      <c r="C584" s="8">
        <v>11400</v>
      </c>
      <c r="D584" s="9" t="s">
        <v>211</v>
      </c>
      <c r="E584" s="10" t="s">
        <v>212</v>
      </c>
      <c r="F584" s="10" t="s">
        <v>213</v>
      </c>
      <c r="G584" s="8">
        <v>1</v>
      </c>
      <c r="H584" s="11">
        <v>300</v>
      </c>
      <c r="I584" s="12">
        <v>42431</v>
      </c>
      <c r="J584" s="13">
        <f t="shared" si="21"/>
        <v>0</v>
      </c>
      <c r="K584" s="14"/>
      <c r="L584" s="14">
        <v>300</v>
      </c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5">
        <f t="shared" si="22"/>
        <v>300</v>
      </c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5"/>
      <c r="AK584" s="16"/>
    </row>
    <row r="585" spans="1:37" x14ac:dyDescent="0.2">
      <c r="B585" s="7" t="s">
        <v>73</v>
      </c>
      <c r="C585" s="8">
        <v>11401</v>
      </c>
      <c r="D585" s="9" t="s">
        <v>598</v>
      </c>
      <c r="E585" s="10" t="s">
        <v>599</v>
      </c>
      <c r="F585" s="10" t="s">
        <v>886</v>
      </c>
      <c r="G585" s="8">
        <v>1</v>
      </c>
      <c r="H585" s="11">
        <v>-400</v>
      </c>
      <c r="I585" s="12">
        <v>42437</v>
      </c>
      <c r="J585" s="13">
        <f t="shared" si="21"/>
        <v>0</v>
      </c>
      <c r="K585" s="14">
        <v>-400</v>
      </c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5">
        <f t="shared" si="22"/>
        <v>-400</v>
      </c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5"/>
      <c r="AK585" s="16"/>
    </row>
    <row r="586" spans="1:37" x14ac:dyDescent="0.2">
      <c r="B586" s="7" t="s">
        <v>37</v>
      </c>
      <c r="C586" s="8">
        <v>11865</v>
      </c>
      <c r="D586" s="9" t="s">
        <v>119</v>
      </c>
      <c r="E586" s="10" t="s">
        <v>120</v>
      </c>
      <c r="F586" s="10" t="s">
        <v>121</v>
      </c>
      <c r="G586" s="8">
        <v>1</v>
      </c>
      <c r="H586" s="11">
        <v>400</v>
      </c>
      <c r="I586" s="12">
        <v>42447</v>
      </c>
      <c r="J586" s="13">
        <f t="shared" si="21"/>
        <v>0</v>
      </c>
      <c r="K586" s="14"/>
      <c r="L586" s="14"/>
      <c r="M586" s="14">
        <v>400</v>
      </c>
      <c r="N586" s="14"/>
      <c r="O586" s="14"/>
      <c r="P586" s="14"/>
      <c r="Q586" s="14"/>
      <c r="R586" s="14"/>
      <c r="S586" s="14"/>
      <c r="T586" s="14"/>
      <c r="U586" s="14"/>
      <c r="V586" s="14"/>
      <c r="W586" s="15">
        <f t="shared" si="22"/>
        <v>400</v>
      </c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5"/>
      <c r="AK586" s="16"/>
    </row>
    <row r="587" spans="1:37" x14ac:dyDescent="0.2">
      <c r="B587" s="7" t="s">
        <v>69</v>
      </c>
      <c r="C587" s="8">
        <v>11402</v>
      </c>
      <c r="D587" s="9" t="s">
        <v>211</v>
      </c>
      <c r="E587" s="10" t="s">
        <v>212</v>
      </c>
      <c r="F587" s="10" t="s">
        <v>213</v>
      </c>
      <c r="G587" s="8">
        <v>1</v>
      </c>
      <c r="H587" s="11">
        <v>300</v>
      </c>
      <c r="I587" s="12">
        <v>42437</v>
      </c>
      <c r="J587" s="13">
        <f t="shared" si="21"/>
        <v>0</v>
      </c>
      <c r="K587" s="14"/>
      <c r="L587" s="14"/>
      <c r="M587" s="14">
        <v>300</v>
      </c>
      <c r="N587" s="14"/>
      <c r="O587" s="14"/>
      <c r="P587" s="14"/>
      <c r="Q587" s="14"/>
      <c r="R587" s="14"/>
      <c r="S587" s="14"/>
      <c r="T587" s="14"/>
      <c r="U587" s="14"/>
      <c r="V587" s="14"/>
      <c r="W587" s="15">
        <f>SUM(K587:V587)</f>
        <v>300</v>
      </c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5"/>
      <c r="AK587" s="16"/>
    </row>
    <row r="588" spans="1:37" x14ac:dyDescent="0.2">
      <c r="B588" s="7" t="s">
        <v>47</v>
      </c>
      <c r="C588" s="8">
        <v>11403</v>
      </c>
      <c r="D588" s="9" t="s">
        <v>208</v>
      </c>
      <c r="E588" s="10" t="s">
        <v>209</v>
      </c>
      <c r="F588" s="10" t="s">
        <v>210</v>
      </c>
      <c r="G588" s="8">
        <v>1</v>
      </c>
      <c r="H588" s="11">
        <v>400</v>
      </c>
      <c r="I588" s="12">
        <v>42438</v>
      </c>
      <c r="J588" s="13">
        <f t="shared" si="21"/>
        <v>0</v>
      </c>
      <c r="K588" s="14"/>
      <c r="L588" s="14"/>
      <c r="M588" s="14">
        <v>400</v>
      </c>
      <c r="N588" s="14"/>
      <c r="O588" s="14"/>
      <c r="P588" s="14"/>
      <c r="Q588" s="14"/>
      <c r="R588" s="14"/>
      <c r="S588" s="14"/>
      <c r="T588" s="14"/>
      <c r="U588" s="14"/>
      <c r="V588" s="14"/>
      <c r="W588" s="15">
        <f>SUM(K588:V588)</f>
        <v>400</v>
      </c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5"/>
      <c r="AK588" s="16"/>
    </row>
    <row r="589" spans="1:37" x14ac:dyDescent="0.2">
      <c r="B589" s="48"/>
      <c r="C589" s="48"/>
      <c r="D589" s="48"/>
      <c r="E589" s="48"/>
      <c r="F589" s="48"/>
      <c r="G589" s="19">
        <v>1</v>
      </c>
      <c r="H589" s="21">
        <v>1000</v>
      </c>
      <c r="I589" s="26"/>
      <c r="J589" s="27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9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9"/>
      <c r="AK589" s="25"/>
    </row>
    <row r="590" spans="1:37" ht="22.5" x14ac:dyDescent="0.2">
      <c r="A590" s="2" t="s">
        <v>0</v>
      </c>
      <c r="B590" s="3" t="s">
        <v>1</v>
      </c>
      <c r="C590" s="3" t="s">
        <v>2</v>
      </c>
      <c r="D590" s="3" t="s">
        <v>3</v>
      </c>
      <c r="E590" s="3" t="s">
        <v>4</v>
      </c>
      <c r="F590" s="3" t="s">
        <v>5</v>
      </c>
      <c r="G590" s="3" t="s">
        <v>6</v>
      </c>
      <c r="H590" s="3" t="s">
        <v>7</v>
      </c>
      <c r="I590" s="3" t="s">
        <v>8</v>
      </c>
      <c r="J590" s="3" t="s">
        <v>9</v>
      </c>
      <c r="K590" s="4" t="s">
        <v>10</v>
      </c>
      <c r="L590" s="4" t="s">
        <v>11</v>
      </c>
      <c r="M590" s="4" t="s">
        <v>12</v>
      </c>
      <c r="N590" s="4" t="s">
        <v>13</v>
      </c>
      <c r="O590" s="4" t="s">
        <v>14</v>
      </c>
      <c r="P590" s="4" t="s">
        <v>15</v>
      </c>
      <c r="Q590" s="4" t="s">
        <v>16</v>
      </c>
      <c r="R590" s="4" t="s">
        <v>17</v>
      </c>
      <c r="S590" s="4" t="s">
        <v>18</v>
      </c>
      <c r="T590" s="4" t="s">
        <v>19</v>
      </c>
      <c r="U590" s="4" t="s">
        <v>20</v>
      </c>
      <c r="V590" s="4" t="s">
        <v>21</v>
      </c>
      <c r="W590" s="5" t="s">
        <v>22</v>
      </c>
      <c r="X590" s="4" t="s">
        <v>23</v>
      </c>
      <c r="Y590" s="4" t="s">
        <v>24</v>
      </c>
      <c r="Z590" s="4" t="s">
        <v>25</v>
      </c>
      <c r="AA590" s="4" t="s">
        <v>26</v>
      </c>
      <c r="AB590" s="4" t="s">
        <v>27</v>
      </c>
      <c r="AC590" s="4" t="s">
        <v>28</v>
      </c>
      <c r="AD590" s="4" t="s">
        <v>29</v>
      </c>
      <c r="AE590" s="4" t="s">
        <v>30</v>
      </c>
      <c r="AF590" s="4" t="s">
        <v>31</v>
      </c>
      <c r="AG590" s="4" t="s">
        <v>32</v>
      </c>
      <c r="AH590" s="4" t="s">
        <v>33</v>
      </c>
      <c r="AI590" s="4" t="s">
        <v>34</v>
      </c>
      <c r="AJ590" s="5" t="s">
        <v>35</v>
      </c>
      <c r="AK590" s="6" t="s">
        <v>36</v>
      </c>
    </row>
    <row r="591" spans="1:37" x14ac:dyDescent="0.2">
      <c r="B591" s="7" t="s">
        <v>37</v>
      </c>
      <c r="C591" s="8">
        <v>11345</v>
      </c>
      <c r="D591" s="9" t="s">
        <v>443</v>
      </c>
      <c r="E591" s="10" t="s">
        <v>444</v>
      </c>
      <c r="F591" s="10" t="s">
        <v>445</v>
      </c>
      <c r="G591" s="8">
        <v>3</v>
      </c>
      <c r="H591" s="11">
        <v>320</v>
      </c>
      <c r="I591" s="12">
        <v>42458</v>
      </c>
      <c r="J591" s="13">
        <f t="shared" ref="J591:J654" si="23">IF(G591=1,SUM(W591,-H591),0)</f>
        <v>0</v>
      </c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5">
        <f>SUM(K591:V591)</f>
        <v>0</v>
      </c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5"/>
      <c r="AK591" s="16"/>
    </row>
    <row r="592" spans="1:37" x14ac:dyDescent="0.2">
      <c r="B592" s="7" t="s">
        <v>73</v>
      </c>
      <c r="C592" s="8">
        <v>11346</v>
      </c>
      <c r="D592" s="9" t="s">
        <v>199</v>
      </c>
      <c r="E592" s="10" t="s">
        <v>200</v>
      </c>
      <c r="F592" s="10" t="s">
        <v>201</v>
      </c>
      <c r="G592" s="8">
        <v>1</v>
      </c>
      <c r="H592" s="11">
        <v>400</v>
      </c>
      <c r="I592" s="12">
        <v>42458</v>
      </c>
      <c r="J592" s="13">
        <f t="shared" si="23"/>
        <v>0</v>
      </c>
      <c r="K592" s="14"/>
      <c r="L592" s="14"/>
      <c r="M592" s="14">
        <v>400</v>
      </c>
      <c r="N592" s="14"/>
      <c r="O592" s="14"/>
      <c r="P592" s="14"/>
      <c r="Q592" s="14"/>
      <c r="R592" s="14"/>
      <c r="S592" s="14"/>
      <c r="T592" s="14"/>
      <c r="U592" s="14"/>
      <c r="V592" s="14"/>
      <c r="W592" s="15">
        <f>SUM(K592:V592)</f>
        <v>400</v>
      </c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5"/>
      <c r="AK592" s="16"/>
    </row>
    <row r="593" spans="2:37" x14ac:dyDescent="0.2">
      <c r="B593" s="7" t="s">
        <v>37</v>
      </c>
      <c r="C593" s="8">
        <v>11347</v>
      </c>
      <c r="D593" s="9" t="s">
        <v>226</v>
      </c>
      <c r="E593" s="10" t="s">
        <v>227</v>
      </c>
      <c r="F593" s="10" t="s">
        <v>228</v>
      </c>
      <c r="G593" s="8">
        <v>1</v>
      </c>
      <c r="H593" s="11">
        <v>200</v>
      </c>
      <c r="I593" s="12">
        <v>42460</v>
      </c>
      <c r="J593" s="13">
        <f t="shared" si="23"/>
        <v>0</v>
      </c>
      <c r="K593" s="14"/>
      <c r="L593" s="14">
        <v>200</v>
      </c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5">
        <f>SUM(K593:V593)</f>
        <v>200</v>
      </c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5"/>
      <c r="AK593" s="16"/>
    </row>
    <row r="594" spans="2:37" x14ac:dyDescent="0.2">
      <c r="B594" s="7" t="s">
        <v>47</v>
      </c>
      <c r="C594" s="8">
        <v>11856</v>
      </c>
      <c r="D594" s="9" t="s">
        <v>620</v>
      </c>
      <c r="E594" s="10" t="s">
        <v>621</v>
      </c>
      <c r="F594" s="10" t="s">
        <v>366</v>
      </c>
      <c r="G594" s="8">
        <v>1</v>
      </c>
      <c r="H594" s="11">
        <v>400</v>
      </c>
      <c r="I594" s="12">
        <v>42489</v>
      </c>
      <c r="J594" s="13">
        <f t="shared" si="23"/>
        <v>0</v>
      </c>
      <c r="K594" s="14"/>
      <c r="L594" s="14"/>
      <c r="M594" s="14"/>
      <c r="N594" s="14">
        <v>400</v>
      </c>
      <c r="O594" s="14"/>
      <c r="P594" s="14"/>
      <c r="Q594" s="14"/>
      <c r="R594" s="14"/>
      <c r="S594" s="14"/>
      <c r="T594" s="14"/>
      <c r="U594" s="14"/>
      <c r="V594" s="14"/>
      <c r="W594" s="15">
        <f>SUM(K594:V594)</f>
        <v>400</v>
      </c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5"/>
      <c r="AK594" s="16"/>
    </row>
    <row r="595" spans="2:37" x14ac:dyDescent="0.2">
      <c r="B595" s="7" t="s">
        <v>73</v>
      </c>
      <c r="C595" s="8">
        <v>11348</v>
      </c>
      <c r="D595" s="9" t="s">
        <v>806</v>
      </c>
      <c r="E595" s="10" t="s">
        <v>885</v>
      </c>
      <c r="F595" s="10" t="s">
        <v>805</v>
      </c>
      <c r="G595" s="8">
        <v>3</v>
      </c>
      <c r="H595" s="11">
        <v>160</v>
      </c>
      <c r="I595" s="12">
        <v>42461</v>
      </c>
      <c r="J595" s="13">
        <f t="shared" si="23"/>
        <v>0</v>
      </c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5">
        <f t="shared" ref="W595:W658" si="24">SUM(K595:V595)</f>
        <v>0</v>
      </c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5"/>
      <c r="AK595" s="16"/>
    </row>
    <row r="596" spans="2:37" x14ac:dyDescent="0.2">
      <c r="B596" s="7" t="s">
        <v>73</v>
      </c>
      <c r="C596" s="8">
        <v>11349</v>
      </c>
      <c r="D596" s="9" t="s">
        <v>806</v>
      </c>
      <c r="E596" s="10" t="s">
        <v>885</v>
      </c>
      <c r="F596" s="10" t="s">
        <v>805</v>
      </c>
      <c r="G596" s="8">
        <v>3</v>
      </c>
      <c r="H596" s="11">
        <v>160</v>
      </c>
      <c r="I596" s="12">
        <v>42461</v>
      </c>
      <c r="J596" s="13">
        <f t="shared" si="23"/>
        <v>0</v>
      </c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5">
        <f t="shared" si="24"/>
        <v>0</v>
      </c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5"/>
      <c r="AK596" s="16"/>
    </row>
    <row r="597" spans="2:37" x14ac:dyDescent="0.2">
      <c r="B597" s="7" t="s">
        <v>47</v>
      </c>
      <c r="C597" s="8">
        <v>11350</v>
      </c>
      <c r="D597" s="9" t="s">
        <v>752</v>
      </c>
      <c r="E597" s="10" t="s">
        <v>753</v>
      </c>
      <c r="F597" s="10" t="s">
        <v>754</v>
      </c>
      <c r="G597" s="8">
        <v>1</v>
      </c>
      <c r="H597" s="11">
        <v>400</v>
      </c>
      <c r="I597" s="12">
        <v>42461</v>
      </c>
      <c r="J597" s="13">
        <f t="shared" si="23"/>
        <v>0</v>
      </c>
      <c r="K597" s="14"/>
      <c r="L597" s="14"/>
      <c r="M597" s="14">
        <v>400</v>
      </c>
      <c r="N597" s="14"/>
      <c r="O597" s="14"/>
      <c r="P597" s="14"/>
      <c r="Q597" s="14"/>
      <c r="R597" s="14"/>
      <c r="S597" s="14"/>
      <c r="T597" s="14"/>
      <c r="U597" s="14"/>
      <c r="V597" s="14"/>
      <c r="W597" s="15">
        <f t="shared" si="24"/>
        <v>400</v>
      </c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5"/>
      <c r="AK597" s="16"/>
    </row>
    <row r="598" spans="2:37" x14ac:dyDescent="0.2">
      <c r="B598" s="7" t="s">
        <v>77</v>
      </c>
      <c r="C598" s="8">
        <v>11351</v>
      </c>
      <c r="D598" s="9" t="s">
        <v>156</v>
      </c>
      <c r="E598" s="10" t="s">
        <v>157</v>
      </c>
      <c r="F598" s="10" t="s">
        <v>158</v>
      </c>
      <c r="G598" s="8">
        <v>1</v>
      </c>
      <c r="H598" s="11">
        <v>300</v>
      </c>
      <c r="I598" s="12">
        <v>42463</v>
      </c>
      <c r="J598" s="13">
        <f t="shared" si="23"/>
        <v>0</v>
      </c>
      <c r="K598" s="14"/>
      <c r="L598" s="14"/>
      <c r="M598" s="14"/>
      <c r="N598" s="14">
        <v>300</v>
      </c>
      <c r="O598" s="14"/>
      <c r="P598" s="14"/>
      <c r="Q598" s="14"/>
      <c r="R598" s="14"/>
      <c r="S598" s="14"/>
      <c r="T598" s="14"/>
      <c r="U598" s="14"/>
      <c r="V598" s="14"/>
      <c r="W598" s="15">
        <f t="shared" si="24"/>
        <v>300</v>
      </c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5"/>
      <c r="AK598" s="16"/>
    </row>
    <row r="599" spans="2:37" x14ac:dyDescent="0.2">
      <c r="B599" s="7" t="s">
        <v>47</v>
      </c>
      <c r="C599" s="8">
        <v>11352</v>
      </c>
      <c r="D599" s="9" t="s">
        <v>238</v>
      </c>
      <c r="E599" s="10" t="s">
        <v>239</v>
      </c>
      <c r="F599" s="10" t="s">
        <v>240</v>
      </c>
      <c r="G599" s="8">
        <v>1</v>
      </c>
      <c r="H599" s="11">
        <v>125</v>
      </c>
      <c r="I599" s="12">
        <v>42463</v>
      </c>
      <c r="J599" s="13">
        <f t="shared" si="23"/>
        <v>0</v>
      </c>
      <c r="K599" s="14"/>
      <c r="L599" s="14"/>
      <c r="M599" s="14"/>
      <c r="N599" s="14">
        <v>125</v>
      </c>
      <c r="O599" s="14"/>
      <c r="P599" s="14"/>
      <c r="Q599" s="14"/>
      <c r="R599" s="14"/>
      <c r="S599" s="14"/>
      <c r="T599" s="14"/>
      <c r="U599" s="14"/>
      <c r="V599" s="14"/>
      <c r="W599" s="15">
        <f t="shared" si="24"/>
        <v>125</v>
      </c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5"/>
      <c r="AK599" s="16"/>
    </row>
    <row r="600" spans="2:37" x14ac:dyDescent="0.2">
      <c r="B600" s="7" t="s">
        <v>47</v>
      </c>
      <c r="C600" s="8">
        <v>11353</v>
      </c>
      <c r="D600" s="9" t="s">
        <v>97</v>
      </c>
      <c r="E600" s="10" t="s">
        <v>98</v>
      </c>
      <c r="F600" s="10" t="s">
        <v>99</v>
      </c>
      <c r="G600" s="8">
        <v>1</v>
      </c>
      <c r="H600" s="11">
        <v>400</v>
      </c>
      <c r="I600" s="12">
        <v>42463</v>
      </c>
      <c r="J600" s="13">
        <f t="shared" si="23"/>
        <v>0</v>
      </c>
      <c r="K600" s="14"/>
      <c r="L600" s="14"/>
      <c r="M600" s="14"/>
      <c r="N600" s="14">
        <v>400</v>
      </c>
      <c r="O600" s="14"/>
      <c r="P600" s="14"/>
      <c r="Q600" s="14"/>
      <c r="R600" s="14"/>
      <c r="S600" s="14"/>
      <c r="T600" s="14"/>
      <c r="U600" s="14"/>
      <c r="V600" s="14"/>
      <c r="W600" s="15">
        <f t="shared" si="24"/>
        <v>400</v>
      </c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5"/>
      <c r="AK600" s="16"/>
    </row>
    <row r="601" spans="2:37" x14ac:dyDescent="0.2">
      <c r="B601" s="7" t="s">
        <v>69</v>
      </c>
      <c r="C601" s="8">
        <v>11354</v>
      </c>
      <c r="D601" s="9" t="s">
        <v>678</v>
      </c>
      <c r="E601" s="10" t="s">
        <v>679</v>
      </c>
      <c r="F601" s="10" t="s">
        <v>680</v>
      </c>
      <c r="G601" s="8">
        <v>1</v>
      </c>
      <c r="H601" s="11">
        <v>400</v>
      </c>
      <c r="I601" s="12">
        <v>42463</v>
      </c>
      <c r="J601" s="13">
        <f t="shared" si="23"/>
        <v>0</v>
      </c>
      <c r="K601" s="14"/>
      <c r="L601" s="14"/>
      <c r="M601" s="14"/>
      <c r="N601" s="14">
        <v>400</v>
      </c>
      <c r="O601" s="14"/>
      <c r="P601" s="14"/>
      <c r="Q601" s="14"/>
      <c r="R601" s="14"/>
      <c r="S601" s="14"/>
      <c r="T601" s="14"/>
      <c r="U601" s="14"/>
      <c r="V601" s="14"/>
      <c r="W601" s="15">
        <f t="shared" si="24"/>
        <v>400</v>
      </c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5"/>
      <c r="AK601" s="16"/>
    </row>
    <row r="602" spans="2:37" x14ac:dyDescent="0.2">
      <c r="B602" s="7" t="s">
        <v>47</v>
      </c>
      <c r="C602" s="8">
        <v>11355</v>
      </c>
      <c r="D602" s="9" t="s">
        <v>84</v>
      </c>
      <c r="E602" s="10" t="s">
        <v>85</v>
      </c>
      <c r="F602" s="10" t="s">
        <v>86</v>
      </c>
      <c r="G602" s="8">
        <v>1</v>
      </c>
      <c r="H602" s="11">
        <v>200</v>
      </c>
      <c r="I602" s="12">
        <v>42463</v>
      </c>
      <c r="J602" s="13">
        <f t="shared" si="23"/>
        <v>0</v>
      </c>
      <c r="K602" s="14"/>
      <c r="L602" s="14"/>
      <c r="M602" s="14"/>
      <c r="N602" s="14">
        <v>200</v>
      </c>
      <c r="O602" s="14"/>
      <c r="P602" s="14"/>
      <c r="Q602" s="14"/>
      <c r="R602" s="14"/>
      <c r="S602" s="14"/>
      <c r="T602" s="14"/>
      <c r="U602" s="14"/>
      <c r="V602" s="14"/>
      <c r="W602" s="15">
        <f t="shared" si="24"/>
        <v>200</v>
      </c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5"/>
      <c r="AK602" s="16"/>
    </row>
    <row r="603" spans="2:37" x14ac:dyDescent="0.2">
      <c r="B603" s="7" t="s">
        <v>69</v>
      </c>
      <c r="C603" s="8">
        <v>11356</v>
      </c>
      <c r="D603" s="9" t="s">
        <v>634</v>
      </c>
      <c r="E603" s="10" t="s">
        <v>635</v>
      </c>
      <c r="F603" s="10" t="s">
        <v>636</v>
      </c>
      <c r="G603" s="8">
        <v>1</v>
      </c>
      <c r="H603" s="11">
        <v>600</v>
      </c>
      <c r="I603" s="12">
        <v>42463</v>
      </c>
      <c r="J603" s="13">
        <f t="shared" si="23"/>
        <v>0</v>
      </c>
      <c r="K603" s="14"/>
      <c r="L603" s="14"/>
      <c r="M603" s="14">
        <v>300</v>
      </c>
      <c r="N603" s="14">
        <v>300</v>
      </c>
      <c r="O603" s="14"/>
      <c r="P603" s="14"/>
      <c r="Q603" s="14"/>
      <c r="R603" s="14"/>
      <c r="S603" s="14"/>
      <c r="T603" s="14"/>
      <c r="U603" s="14"/>
      <c r="V603" s="14"/>
      <c r="W603" s="15">
        <f t="shared" si="24"/>
        <v>600</v>
      </c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5"/>
      <c r="AK603" s="16"/>
    </row>
    <row r="604" spans="2:37" x14ac:dyDescent="0.2">
      <c r="B604" s="7" t="s">
        <v>37</v>
      </c>
      <c r="C604" s="8">
        <v>11357</v>
      </c>
      <c r="D604" s="9" t="s">
        <v>94</v>
      </c>
      <c r="E604" s="10" t="s">
        <v>95</v>
      </c>
      <c r="F604" s="10" t="s">
        <v>96</v>
      </c>
      <c r="G604" s="8">
        <v>1</v>
      </c>
      <c r="H604" s="11">
        <v>400</v>
      </c>
      <c r="I604" s="12">
        <v>42463</v>
      </c>
      <c r="J604" s="13">
        <f t="shared" si="23"/>
        <v>0</v>
      </c>
      <c r="K604" s="14"/>
      <c r="L604" s="14"/>
      <c r="M604" s="14"/>
      <c r="N604" s="14">
        <v>400</v>
      </c>
      <c r="O604" s="14"/>
      <c r="P604" s="14"/>
      <c r="Q604" s="14"/>
      <c r="R604" s="14"/>
      <c r="S604" s="14"/>
      <c r="T604" s="14"/>
      <c r="U604" s="14"/>
      <c r="V604" s="14"/>
      <c r="W604" s="15">
        <f t="shared" si="24"/>
        <v>400</v>
      </c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5"/>
      <c r="AK604" s="16"/>
    </row>
    <row r="605" spans="2:37" x14ac:dyDescent="0.2">
      <c r="B605" s="7" t="s">
        <v>69</v>
      </c>
      <c r="C605" s="8">
        <v>11358</v>
      </c>
      <c r="D605" s="9" t="s">
        <v>186</v>
      </c>
      <c r="E605" s="10" t="s">
        <v>187</v>
      </c>
      <c r="F605" s="10" t="s">
        <v>188</v>
      </c>
      <c r="G605" s="8">
        <v>1</v>
      </c>
      <c r="H605" s="11">
        <v>400</v>
      </c>
      <c r="I605" s="12">
        <v>42463</v>
      </c>
      <c r="J605" s="13">
        <f t="shared" si="23"/>
        <v>0</v>
      </c>
      <c r="K605" s="14"/>
      <c r="L605" s="14"/>
      <c r="M605" s="14"/>
      <c r="N605" s="14">
        <v>400</v>
      </c>
      <c r="O605" s="14"/>
      <c r="P605" s="14"/>
      <c r="Q605" s="14"/>
      <c r="R605" s="14"/>
      <c r="S605" s="14"/>
      <c r="T605" s="14"/>
      <c r="U605" s="14"/>
      <c r="V605" s="14"/>
      <c r="W605" s="15">
        <f t="shared" si="24"/>
        <v>400</v>
      </c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5"/>
      <c r="AK605" s="16"/>
    </row>
    <row r="606" spans="2:37" x14ac:dyDescent="0.2">
      <c r="B606" s="7" t="s">
        <v>47</v>
      </c>
      <c r="C606" s="8">
        <v>11359</v>
      </c>
      <c r="D606" s="9" t="s">
        <v>328</v>
      </c>
      <c r="E606" s="10" t="s">
        <v>329</v>
      </c>
      <c r="F606" s="10" t="s">
        <v>330</v>
      </c>
      <c r="G606" s="8">
        <v>1</v>
      </c>
      <c r="H606" s="11">
        <v>400</v>
      </c>
      <c r="I606" s="12">
        <v>42463</v>
      </c>
      <c r="J606" s="13">
        <f t="shared" si="23"/>
        <v>0</v>
      </c>
      <c r="K606" s="14"/>
      <c r="L606" s="14"/>
      <c r="M606" s="14"/>
      <c r="N606" s="14">
        <v>400</v>
      </c>
      <c r="O606" s="14"/>
      <c r="P606" s="14"/>
      <c r="Q606" s="14"/>
      <c r="R606" s="14"/>
      <c r="S606" s="14"/>
      <c r="T606" s="14"/>
      <c r="U606" s="14"/>
      <c r="V606" s="14"/>
      <c r="W606" s="15">
        <f t="shared" si="24"/>
        <v>400</v>
      </c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5"/>
      <c r="AK606" s="16"/>
    </row>
    <row r="607" spans="2:37" x14ac:dyDescent="0.2">
      <c r="B607" s="7" t="s">
        <v>69</v>
      </c>
      <c r="C607" s="8">
        <v>11360</v>
      </c>
      <c r="D607" s="9" t="s">
        <v>100</v>
      </c>
      <c r="E607" s="10" t="s">
        <v>101</v>
      </c>
      <c r="F607" s="10" t="s">
        <v>102</v>
      </c>
      <c r="G607" s="8">
        <v>1</v>
      </c>
      <c r="H607" s="11">
        <v>400</v>
      </c>
      <c r="I607" s="12">
        <v>42463</v>
      </c>
      <c r="J607" s="13">
        <f t="shared" si="23"/>
        <v>0</v>
      </c>
      <c r="K607" s="14"/>
      <c r="L607" s="14"/>
      <c r="M607" s="14"/>
      <c r="N607" s="14">
        <v>400</v>
      </c>
      <c r="O607" s="14"/>
      <c r="P607" s="14"/>
      <c r="Q607" s="14"/>
      <c r="R607" s="14"/>
      <c r="S607" s="14"/>
      <c r="T607" s="14"/>
      <c r="U607" s="14"/>
      <c r="V607" s="14"/>
      <c r="W607" s="15">
        <f t="shared" si="24"/>
        <v>400</v>
      </c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5"/>
      <c r="AK607" s="16"/>
    </row>
    <row r="608" spans="2:37" x14ac:dyDescent="0.2">
      <c r="B608" s="7" t="s">
        <v>77</v>
      </c>
      <c r="C608" s="8">
        <v>11361</v>
      </c>
      <c r="D608" s="9" t="s">
        <v>479</v>
      </c>
      <c r="E608" s="10" t="s">
        <v>480</v>
      </c>
      <c r="F608" s="10" t="s">
        <v>481</v>
      </c>
      <c r="G608" s="8">
        <v>1</v>
      </c>
      <c r="H608" s="11">
        <v>300</v>
      </c>
      <c r="I608" s="12">
        <v>42463</v>
      </c>
      <c r="J608" s="13">
        <f t="shared" si="23"/>
        <v>0</v>
      </c>
      <c r="K608" s="14"/>
      <c r="L608" s="14"/>
      <c r="M608" s="14"/>
      <c r="N608" s="14">
        <v>300</v>
      </c>
      <c r="O608" s="14"/>
      <c r="P608" s="14"/>
      <c r="Q608" s="14"/>
      <c r="R608" s="14"/>
      <c r="S608" s="14"/>
      <c r="T608" s="14"/>
      <c r="U608" s="14"/>
      <c r="V608" s="14"/>
      <c r="W608" s="15">
        <f t="shared" si="24"/>
        <v>300</v>
      </c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5"/>
      <c r="AK608" s="16"/>
    </row>
    <row r="609" spans="2:37" x14ac:dyDescent="0.2">
      <c r="B609" s="7" t="s">
        <v>47</v>
      </c>
      <c r="C609" s="8">
        <v>11362</v>
      </c>
      <c r="D609" s="9" t="s">
        <v>150</v>
      </c>
      <c r="E609" s="10" t="s">
        <v>151</v>
      </c>
      <c r="F609" s="10" t="s">
        <v>152</v>
      </c>
      <c r="G609" s="8">
        <v>1</v>
      </c>
      <c r="H609" s="11">
        <v>400</v>
      </c>
      <c r="I609" s="12">
        <v>42463</v>
      </c>
      <c r="J609" s="13">
        <f t="shared" si="23"/>
        <v>0</v>
      </c>
      <c r="K609" s="14"/>
      <c r="L609" s="14"/>
      <c r="M609" s="14"/>
      <c r="N609" s="14">
        <v>400</v>
      </c>
      <c r="O609" s="14"/>
      <c r="P609" s="14"/>
      <c r="Q609" s="14"/>
      <c r="R609" s="14"/>
      <c r="S609" s="14"/>
      <c r="T609" s="14"/>
      <c r="U609" s="14"/>
      <c r="V609" s="14"/>
      <c r="W609" s="15">
        <f t="shared" si="24"/>
        <v>400</v>
      </c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5"/>
      <c r="AK609" s="16"/>
    </row>
    <row r="610" spans="2:37" x14ac:dyDescent="0.2">
      <c r="B610" s="7" t="s">
        <v>73</v>
      </c>
      <c r="C610" s="8">
        <v>11363</v>
      </c>
      <c r="D610" s="9" t="s">
        <v>109</v>
      </c>
      <c r="E610" s="10" t="s">
        <v>110</v>
      </c>
      <c r="F610" s="10" t="s">
        <v>111</v>
      </c>
      <c r="G610" s="8">
        <v>1</v>
      </c>
      <c r="H610" s="11">
        <v>400</v>
      </c>
      <c r="I610" s="12">
        <v>42463</v>
      </c>
      <c r="J610" s="13">
        <f t="shared" si="23"/>
        <v>0</v>
      </c>
      <c r="K610" s="14"/>
      <c r="L610" s="14"/>
      <c r="M610" s="14">
        <v>400</v>
      </c>
      <c r="N610" s="14"/>
      <c r="O610" s="14"/>
      <c r="P610" s="14"/>
      <c r="Q610" s="14"/>
      <c r="R610" s="14"/>
      <c r="S610" s="14"/>
      <c r="T610" s="14"/>
      <c r="U610" s="14"/>
      <c r="V610" s="14"/>
      <c r="W610" s="15">
        <f t="shared" si="24"/>
        <v>400</v>
      </c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5"/>
      <c r="AK610" s="16"/>
    </row>
    <row r="611" spans="2:37" x14ac:dyDescent="0.2">
      <c r="B611" s="7" t="s">
        <v>37</v>
      </c>
      <c r="C611" s="8">
        <v>11364</v>
      </c>
      <c r="D611" s="9" t="s">
        <v>180</v>
      </c>
      <c r="E611" s="10" t="s">
        <v>181</v>
      </c>
      <c r="F611" s="10" t="s">
        <v>182</v>
      </c>
      <c r="G611" s="8">
        <v>1</v>
      </c>
      <c r="H611" s="11">
        <v>400</v>
      </c>
      <c r="I611" s="12">
        <v>42463</v>
      </c>
      <c r="J611" s="13">
        <f t="shared" si="23"/>
        <v>0</v>
      </c>
      <c r="K611" s="14"/>
      <c r="L611" s="14"/>
      <c r="M611" s="14"/>
      <c r="N611" s="14">
        <v>400</v>
      </c>
      <c r="O611" s="14"/>
      <c r="P611" s="14"/>
      <c r="Q611" s="14"/>
      <c r="R611" s="14"/>
      <c r="S611" s="14"/>
      <c r="T611" s="14"/>
      <c r="U611" s="14"/>
      <c r="V611" s="14"/>
      <c r="W611" s="15">
        <f t="shared" si="24"/>
        <v>400</v>
      </c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5"/>
      <c r="AK611" s="16"/>
    </row>
    <row r="612" spans="2:37" x14ac:dyDescent="0.2">
      <c r="B612" s="7" t="s">
        <v>77</v>
      </c>
      <c r="C612" s="8">
        <v>11365</v>
      </c>
      <c r="D612" s="9" t="s">
        <v>129</v>
      </c>
      <c r="E612" s="10" t="s">
        <v>130</v>
      </c>
      <c r="F612" s="10" t="s">
        <v>131</v>
      </c>
      <c r="G612" s="8">
        <v>1</v>
      </c>
      <c r="H612" s="11">
        <v>400</v>
      </c>
      <c r="I612" s="12">
        <v>42463</v>
      </c>
      <c r="J612" s="13">
        <f t="shared" si="23"/>
        <v>0</v>
      </c>
      <c r="K612" s="14"/>
      <c r="L612" s="14"/>
      <c r="M612" s="14"/>
      <c r="N612" s="14">
        <v>400</v>
      </c>
      <c r="O612" s="14"/>
      <c r="P612" s="14"/>
      <c r="Q612" s="14"/>
      <c r="R612" s="14"/>
      <c r="S612" s="14"/>
      <c r="T612" s="14"/>
      <c r="U612" s="14"/>
      <c r="V612" s="14"/>
      <c r="W612" s="15">
        <f t="shared" si="24"/>
        <v>400</v>
      </c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5"/>
      <c r="AK612" s="16"/>
    </row>
    <row r="613" spans="2:37" x14ac:dyDescent="0.2">
      <c r="B613" s="7" t="s">
        <v>69</v>
      </c>
      <c r="C613" s="8">
        <v>11366</v>
      </c>
      <c r="D613" s="9" t="s">
        <v>461</v>
      </c>
      <c r="E613" s="10" t="s">
        <v>462</v>
      </c>
      <c r="F613" s="10" t="s">
        <v>463</v>
      </c>
      <c r="G613" s="8">
        <v>1</v>
      </c>
      <c r="H613" s="11">
        <v>400</v>
      </c>
      <c r="I613" s="12">
        <v>42463</v>
      </c>
      <c r="J613" s="13">
        <f t="shared" si="23"/>
        <v>0</v>
      </c>
      <c r="K613" s="14"/>
      <c r="L613" s="14">
        <v>400</v>
      </c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5">
        <f t="shared" si="24"/>
        <v>400</v>
      </c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5"/>
      <c r="AK613" s="16"/>
    </row>
    <row r="614" spans="2:37" x14ac:dyDescent="0.2">
      <c r="B614" s="7" t="s">
        <v>69</v>
      </c>
      <c r="C614" s="8">
        <v>11367</v>
      </c>
      <c r="D614" s="9" t="s">
        <v>461</v>
      </c>
      <c r="E614" s="10" t="s">
        <v>462</v>
      </c>
      <c r="F614" s="10" t="s">
        <v>463</v>
      </c>
      <c r="G614" s="8">
        <v>4</v>
      </c>
      <c r="H614" s="11">
        <v>160</v>
      </c>
      <c r="I614" s="12">
        <v>42463</v>
      </c>
      <c r="J614" s="13">
        <f t="shared" si="23"/>
        <v>0</v>
      </c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5">
        <f t="shared" si="24"/>
        <v>0</v>
      </c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5"/>
      <c r="AK614" s="7">
        <v>6566</v>
      </c>
    </row>
    <row r="615" spans="2:37" x14ac:dyDescent="0.2">
      <c r="B615" s="7" t="s">
        <v>69</v>
      </c>
      <c r="C615" s="8">
        <v>11368</v>
      </c>
      <c r="D615" s="9" t="s">
        <v>265</v>
      </c>
      <c r="E615" s="10" t="s">
        <v>266</v>
      </c>
      <c r="F615" s="10" t="s">
        <v>267</v>
      </c>
      <c r="G615" s="8">
        <v>1</v>
      </c>
      <c r="H615" s="11">
        <v>800</v>
      </c>
      <c r="I615" s="12">
        <v>42463</v>
      </c>
      <c r="J615" s="13">
        <f t="shared" si="23"/>
        <v>0</v>
      </c>
      <c r="K615" s="14"/>
      <c r="L615" s="14"/>
      <c r="M615" s="14">
        <v>400</v>
      </c>
      <c r="N615" s="14">
        <v>400</v>
      </c>
      <c r="O615" s="14"/>
      <c r="P615" s="14"/>
      <c r="Q615" s="14"/>
      <c r="R615" s="14"/>
      <c r="S615" s="14"/>
      <c r="T615" s="14"/>
      <c r="U615" s="14"/>
      <c r="V615" s="14"/>
      <c r="W615" s="15">
        <f t="shared" si="24"/>
        <v>800</v>
      </c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5"/>
      <c r="AK615" s="16"/>
    </row>
    <row r="616" spans="2:37" x14ac:dyDescent="0.2">
      <c r="B616" s="7" t="s">
        <v>69</v>
      </c>
      <c r="C616" s="8">
        <v>11369</v>
      </c>
      <c r="D616" s="9" t="s">
        <v>292</v>
      </c>
      <c r="E616" s="10" t="s">
        <v>293</v>
      </c>
      <c r="F616" s="10" t="s">
        <v>294</v>
      </c>
      <c r="G616" s="8">
        <v>1</v>
      </c>
      <c r="H616" s="11">
        <v>400</v>
      </c>
      <c r="I616" s="12">
        <v>42463</v>
      </c>
      <c r="J616" s="13">
        <f t="shared" si="23"/>
        <v>0</v>
      </c>
      <c r="K616" s="14"/>
      <c r="L616" s="14"/>
      <c r="M616" s="14"/>
      <c r="N616" s="14">
        <v>400</v>
      </c>
      <c r="O616" s="14"/>
      <c r="P616" s="14"/>
      <c r="Q616" s="14"/>
      <c r="R616" s="14"/>
      <c r="S616" s="14"/>
      <c r="T616" s="14"/>
      <c r="U616" s="14"/>
      <c r="V616" s="14"/>
      <c r="W616" s="15">
        <f t="shared" si="24"/>
        <v>400</v>
      </c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5"/>
      <c r="AK616" s="16"/>
    </row>
    <row r="617" spans="2:37" x14ac:dyDescent="0.2">
      <c r="B617" s="7" t="s">
        <v>47</v>
      </c>
      <c r="C617" s="8">
        <v>11370</v>
      </c>
      <c r="D617" s="9" t="s">
        <v>280</v>
      </c>
      <c r="E617" s="10" t="s">
        <v>281</v>
      </c>
      <c r="F617" s="10" t="s">
        <v>282</v>
      </c>
      <c r="G617" s="8">
        <v>1</v>
      </c>
      <c r="H617" s="11">
        <v>400</v>
      </c>
      <c r="I617" s="12">
        <v>42463</v>
      </c>
      <c r="J617" s="13">
        <f t="shared" si="23"/>
        <v>0</v>
      </c>
      <c r="K617" s="14"/>
      <c r="L617" s="14"/>
      <c r="M617" s="14"/>
      <c r="N617" s="14">
        <v>400</v>
      </c>
      <c r="O617" s="14"/>
      <c r="P617" s="14"/>
      <c r="Q617" s="14"/>
      <c r="R617" s="14"/>
      <c r="S617" s="14"/>
      <c r="T617" s="14"/>
      <c r="U617" s="14"/>
      <c r="V617" s="14"/>
      <c r="W617" s="15">
        <f t="shared" si="24"/>
        <v>400</v>
      </c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5"/>
      <c r="AK617" s="16"/>
    </row>
    <row r="618" spans="2:37" x14ac:dyDescent="0.2">
      <c r="B618" s="7" t="s">
        <v>69</v>
      </c>
      <c r="C618" s="8">
        <v>11371</v>
      </c>
      <c r="D618" s="9" t="s">
        <v>361</v>
      </c>
      <c r="E618" s="10" t="s">
        <v>362</v>
      </c>
      <c r="F618" s="10" t="s">
        <v>363</v>
      </c>
      <c r="G618" s="8">
        <v>1</v>
      </c>
      <c r="H618" s="11">
        <v>400</v>
      </c>
      <c r="I618" s="12">
        <v>42463</v>
      </c>
      <c r="J618" s="13">
        <f t="shared" si="23"/>
        <v>0</v>
      </c>
      <c r="K618" s="14"/>
      <c r="L618" s="14"/>
      <c r="M618" s="14"/>
      <c r="N618" s="14">
        <v>400</v>
      </c>
      <c r="O618" s="14"/>
      <c r="P618" s="14"/>
      <c r="Q618" s="14"/>
      <c r="R618" s="14"/>
      <c r="S618" s="14"/>
      <c r="T618" s="14"/>
      <c r="U618" s="14"/>
      <c r="V618" s="14"/>
      <c r="W618" s="15">
        <f t="shared" si="24"/>
        <v>400</v>
      </c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5"/>
      <c r="AK618" s="16"/>
    </row>
    <row r="619" spans="2:37" x14ac:dyDescent="0.2">
      <c r="B619" s="7" t="s">
        <v>47</v>
      </c>
      <c r="C619" s="8">
        <v>11372</v>
      </c>
      <c r="D619" s="9" t="s">
        <v>823</v>
      </c>
      <c r="E619" s="10" t="s">
        <v>824</v>
      </c>
      <c r="F619" s="10" t="s">
        <v>765</v>
      </c>
      <c r="G619" s="8">
        <v>1</v>
      </c>
      <c r="H619" s="11">
        <v>200</v>
      </c>
      <c r="I619" s="12">
        <v>42463</v>
      </c>
      <c r="J619" s="13">
        <f t="shared" si="23"/>
        <v>0</v>
      </c>
      <c r="K619" s="14"/>
      <c r="L619" s="14"/>
      <c r="M619" s="14"/>
      <c r="N619" s="14">
        <v>200</v>
      </c>
      <c r="O619" s="14"/>
      <c r="P619" s="14"/>
      <c r="Q619" s="14"/>
      <c r="R619" s="14"/>
      <c r="S619" s="14"/>
      <c r="T619" s="14"/>
      <c r="U619" s="14"/>
      <c r="V619" s="14"/>
      <c r="W619" s="15">
        <f t="shared" si="24"/>
        <v>200</v>
      </c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5"/>
      <c r="AK619" s="16"/>
    </row>
    <row r="620" spans="2:37" x14ac:dyDescent="0.2">
      <c r="B620" s="7" t="s">
        <v>47</v>
      </c>
      <c r="C620" s="8">
        <v>11372</v>
      </c>
      <c r="D620" s="9" t="s">
        <v>823</v>
      </c>
      <c r="E620" s="10" t="s">
        <v>824</v>
      </c>
      <c r="F620" s="10" t="s">
        <v>765</v>
      </c>
      <c r="G620" s="8">
        <v>4</v>
      </c>
      <c r="H620" s="11">
        <v>160</v>
      </c>
      <c r="I620" s="12">
        <v>42463</v>
      </c>
      <c r="J620" s="13">
        <f t="shared" si="23"/>
        <v>0</v>
      </c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5">
        <f t="shared" si="24"/>
        <v>0</v>
      </c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5"/>
      <c r="AK620" s="7">
        <v>6581</v>
      </c>
    </row>
    <row r="621" spans="2:37" x14ac:dyDescent="0.2">
      <c r="B621" s="7" t="s">
        <v>37</v>
      </c>
      <c r="C621" s="8">
        <v>11373</v>
      </c>
      <c r="D621" s="9" t="s">
        <v>177</v>
      </c>
      <c r="E621" s="10" t="s">
        <v>178</v>
      </c>
      <c r="F621" s="10" t="s">
        <v>179</v>
      </c>
      <c r="G621" s="8">
        <v>1</v>
      </c>
      <c r="H621" s="11">
        <v>400</v>
      </c>
      <c r="I621" s="12">
        <v>42463</v>
      </c>
      <c r="J621" s="13">
        <f t="shared" si="23"/>
        <v>0</v>
      </c>
      <c r="K621" s="14"/>
      <c r="L621" s="14"/>
      <c r="M621" s="14"/>
      <c r="N621" s="14">
        <v>400</v>
      </c>
      <c r="O621" s="14"/>
      <c r="P621" s="14"/>
      <c r="Q621" s="14"/>
      <c r="R621" s="14"/>
      <c r="S621" s="14"/>
      <c r="T621" s="14"/>
      <c r="U621" s="14"/>
      <c r="V621" s="14"/>
      <c r="W621" s="15">
        <f t="shared" si="24"/>
        <v>400</v>
      </c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5"/>
      <c r="AK621" s="16"/>
    </row>
    <row r="622" spans="2:37" x14ac:dyDescent="0.2">
      <c r="B622" s="7" t="s">
        <v>77</v>
      </c>
      <c r="C622" s="8">
        <v>11374</v>
      </c>
      <c r="D622" s="9" t="s">
        <v>455</v>
      </c>
      <c r="E622" s="10" t="s">
        <v>456</v>
      </c>
      <c r="F622" s="10" t="s">
        <v>457</v>
      </c>
      <c r="G622" s="8">
        <v>1</v>
      </c>
      <c r="H622" s="11">
        <v>1200</v>
      </c>
      <c r="I622" s="12">
        <v>42463</v>
      </c>
      <c r="J622" s="13">
        <f t="shared" si="23"/>
        <v>0</v>
      </c>
      <c r="K622" s="14"/>
      <c r="L622" s="14">
        <v>400</v>
      </c>
      <c r="M622" s="14">
        <v>400</v>
      </c>
      <c r="N622" s="14">
        <v>400</v>
      </c>
      <c r="O622" s="14"/>
      <c r="P622" s="14"/>
      <c r="Q622" s="14"/>
      <c r="R622" s="14"/>
      <c r="S622" s="14"/>
      <c r="T622" s="14"/>
      <c r="U622" s="14"/>
      <c r="V622" s="14"/>
      <c r="W622" s="15">
        <f t="shared" si="24"/>
        <v>1200</v>
      </c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5"/>
      <c r="AK622" s="16"/>
    </row>
    <row r="623" spans="2:37" x14ac:dyDescent="0.2">
      <c r="B623" s="7" t="s">
        <v>47</v>
      </c>
      <c r="C623" s="8">
        <v>11375</v>
      </c>
      <c r="D623" s="9" t="s">
        <v>425</v>
      </c>
      <c r="E623" s="10" t="s">
        <v>426</v>
      </c>
      <c r="F623" s="10" t="s">
        <v>427</v>
      </c>
      <c r="G623" s="8">
        <v>1</v>
      </c>
      <c r="H623" s="11">
        <v>400</v>
      </c>
      <c r="I623" s="12">
        <v>42463</v>
      </c>
      <c r="J623" s="13">
        <f t="shared" si="23"/>
        <v>0</v>
      </c>
      <c r="K623" s="14"/>
      <c r="L623" s="14"/>
      <c r="M623" s="14"/>
      <c r="N623" s="14">
        <v>400</v>
      </c>
      <c r="O623" s="14"/>
      <c r="P623" s="14"/>
      <c r="Q623" s="14"/>
      <c r="R623" s="14"/>
      <c r="S623" s="14"/>
      <c r="T623" s="14"/>
      <c r="U623" s="14"/>
      <c r="V623" s="14"/>
      <c r="W623" s="15">
        <f t="shared" si="24"/>
        <v>400</v>
      </c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5"/>
      <c r="AK623" s="16"/>
    </row>
    <row r="624" spans="2:37" x14ac:dyDescent="0.2">
      <c r="B624" s="7" t="s">
        <v>69</v>
      </c>
      <c r="C624" s="8">
        <v>11376</v>
      </c>
      <c r="D624" s="9" t="s">
        <v>325</v>
      </c>
      <c r="E624" s="10" t="s">
        <v>326</v>
      </c>
      <c r="F624" s="10" t="s">
        <v>327</v>
      </c>
      <c r="G624" s="8">
        <v>1</v>
      </c>
      <c r="H624" s="11">
        <v>400</v>
      </c>
      <c r="I624" s="12">
        <v>42463</v>
      </c>
      <c r="J624" s="13">
        <f t="shared" si="23"/>
        <v>0</v>
      </c>
      <c r="K624" s="14"/>
      <c r="L624" s="14"/>
      <c r="M624" s="14"/>
      <c r="N624" s="14">
        <v>400</v>
      </c>
      <c r="O624" s="14"/>
      <c r="P624" s="14"/>
      <c r="Q624" s="14"/>
      <c r="R624" s="14"/>
      <c r="S624" s="14"/>
      <c r="T624" s="14"/>
      <c r="U624" s="14"/>
      <c r="V624" s="14"/>
      <c r="W624" s="15">
        <f t="shared" si="24"/>
        <v>400</v>
      </c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5"/>
      <c r="AK624" s="16"/>
    </row>
    <row r="625" spans="2:37" x14ac:dyDescent="0.2">
      <c r="B625" s="7" t="s">
        <v>73</v>
      </c>
      <c r="C625" s="8">
        <v>11377</v>
      </c>
      <c r="D625" s="9" t="s">
        <v>649</v>
      </c>
      <c r="E625" s="10" t="s">
        <v>650</v>
      </c>
      <c r="F625" s="10" t="s">
        <v>651</v>
      </c>
      <c r="G625" s="8">
        <v>1</v>
      </c>
      <c r="H625" s="11">
        <v>300</v>
      </c>
      <c r="I625" s="12">
        <v>42463</v>
      </c>
      <c r="J625" s="13">
        <f t="shared" si="23"/>
        <v>0</v>
      </c>
      <c r="K625" s="14"/>
      <c r="L625" s="14"/>
      <c r="M625" s="14">
        <v>300</v>
      </c>
      <c r="N625" s="14"/>
      <c r="O625" s="14"/>
      <c r="P625" s="14"/>
      <c r="Q625" s="14"/>
      <c r="R625" s="14"/>
      <c r="S625" s="14"/>
      <c r="T625" s="14"/>
      <c r="U625" s="14"/>
      <c r="V625" s="14"/>
      <c r="W625" s="15">
        <f t="shared" si="24"/>
        <v>300</v>
      </c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5"/>
      <c r="AK625" s="16"/>
    </row>
    <row r="626" spans="2:37" x14ac:dyDescent="0.2">
      <c r="B626" s="7" t="s">
        <v>37</v>
      </c>
      <c r="C626" s="8">
        <v>11378</v>
      </c>
      <c r="D626" s="9" t="s">
        <v>395</v>
      </c>
      <c r="E626" s="10" t="s">
        <v>396</v>
      </c>
      <c r="F626" s="10" t="s">
        <v>397</v>
      </c>
      <c r="G626" s="8">
        <v>1</v>
      </c>
      <c r="H626" s="11">
        <v>150</v>
      </c>
      <c r="I626" s="12">
        <v>42463</v>
      </c>
      <c r="J626" s="13">
        <f t="shared" si="23"/>
        <v>0</v>
      </c>
      <c r="K626" s="14"/>
      <c r="L626" s="14"/>
      <c r="M626" s="14"/>
      <c r="N626" s="14">
        <v>150</v>
      </c>
      <c r="O626" s="14"/>
      <c r="P626" s="14"/>
      <c r="Q626" s="14"/>
      <c r="R626" s="14"/>
      <c r="S626" s="14"/>
      <c r="T626" s="14"/>
      <c r="U626" s="14"/>
      <c r="V626" s="14"/>
      <c r="W626" s="15">
        <f t="shared" si="24"/>
        <v>150</v>
      </c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5"/>
      <c r="AK626" s="16"/>
    </row>
    <row r="627" spans="2:37" x14ac:dyDescent="0.2">
      <c r="B627" s="7" t="s">
        <v>37</v>
      </c>
      <c r="C627" s="8">
        <v>11379</v>
      </c>
      <c r="D627" s="9" t="s">
        <v>661</v>
      </c>
      <c r="E627" s="10" t="s">
        <v>662</v>
      </c>
      <c r="F627" s="10" t="s">
        <v>624</v>
      </c>
      <c r="G627" s="8">
        <v>1</v>
      </c>
      <c r="H627" s="11">
        <v>800</v>
      </c>
      <c r="I627" s="12">
        <v>42463</v>
      </c>
      <c r="J627" s="13">
        <f t="shared" si="23"/>
        <v>0</v>
      </c>
      <c r="K627" s="14"/>
      <c r="L627" s="14"/>
      <c r="M627" s="14">
        <v>400</v>
      </c>
      <c r="N627" s="14">
        <v>400</v>
      </c>
      <c r="O627" s="14"/>
      <c r="P627" s="14"/>
      <c r="Q627" s="14"/>
      <c r="R627" s="14"/>
      <c r="S627" s="14"/>
      <c r="T627" s="14"/>
      <c r="U627" s="14"/>
      <c r="V627" s="14"/>
      <c r="W627" s="15">
        <f t="shared" si="24"/>
        <v>800</v>
      </c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5"/>
      <c r="AK627" s="16"/>
    </row>
    <row r="628" spans="2:37" x14ac:dyDescent="0.2">
      <c r="B628" s="7" t="s">
        <v>122</v>
      </c>
      <c r="C628" s="8">
        <v>11380</v>
      </c>
      <c r="D628" s="9" t="s">
        <v>262</v>
      </c>
      <c r="E628" s="10" t="s">
        <v>263</v>
      </c>
      <c r="F628" s="10" t="s">
        <v>264</v>
      </c>
      <c r="G628" s="8">
        <v>1</v>
      </c>
      <c r="H628" s="11">
        <v>300</v>
      </c>
      <c r="I628" s="12">
        <v>42463</v>
      </c>
      <c r="J628" s="13">
        <f t="shared" si="23"/>
        <v>0</v>
      </c>
      <c r="K628" s="14"/>
      <c r="L628" s="14"/>
      <c r="M628" s="14"/>
      <c r="N628" s="14">
        <v>300</v>
      </c>
      <c r="O628" s="14"/>
      <c r="P628" s="14"/>
      <c r="Q628" s="14"/>
      <c r="R628" s="14"/>
      <c r="S628" s="14"/>
      <c r="T628" s="14"/>
      <c r="U628" s="14"/>
      <c r="V628" s="14"/>
      <c r="W628" s="15">
        <f t="shared" si="24"/>
        <v>300</v>
      </c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5"/>
      <c r="AK628" s="16"/>
    </row>
    <row r="629" spans="2:37" x14ac:dyDescent="0.2">
      <c r="B629" s="7" t="s">
        <v>69</v>
      </c>
      <c r="C629" s="8">
        <v>11381</v>
      </c>
      <c r="D629" s="9" t="s">
        <v>174</v>
      </c>
      <c r="E629" s="10" t="s">
        <v>175</v>
      </c>
      <c r="F629" s="10" t="s">
        <v>176</v>
      </c>
      <c r="G629" s="8">
        <v>1</v>
      </c>
      <c r="H629" s="11">
        <v>300</v>
      </c>
      <c r="I629" s="12">
        <v>42463</v>
      </c>
      <c r="J629" s="13">
        <f t="shared" si="23"/>
        <v>0</v>
      </c>
      <c r="K629" s="14"/>
      <c r="L629" s="14"/>
      <c r="M629" s="14"/>
      <c r="N629" s="14">
        <v>300</v>
      </c>
      <c r="O629" s="14"/>
      <c r="P629" s="14"/>
      <c r="Q629" s="14"/>
      <c r="R629" s="14"/>
      <c r="S629" s="14"/>
      <c r="T629" s="14"/>
      <c r="U629" s="14"/>
      <c r="V629" s="14"/>
      <c r="W629" s="15">
        <f t="shared" si="24"/>
        <v>300</v>
      </c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5"/>
      <c r="AK629" s="16"/>
    </row>
    <row r="630" spans="2:37" x14ac:dyDescent="0.2">
      <c r="B630" s="7" t="s">
        <v>69</v>
      </c>
      <c r="C630" s="8">
        <v>11382</v>
      </c>
      <c r="D630" s="9" t="s">
        <v>476</v>
      </c>
      <c r="E630" s="10" t="s">
        <v>477</v>
      </c>
      <c r="F630" s="10" t="s">
        <v>478</v>
      </c>
      <c r="G630" s="8">
        <v>1</v>
      </c>
      <c r="H630" s="11">
        <v>400</v>
      </c>
      <c r="I630" s="12">
        <v>42463</v>
      </c>
      <c r="J630" s="13">
        <f t="shared" si="23"/>
        <v>0</v>
      </c>
      <c r="K630" s="14"/>
      <c r="L630" s="14"/>
      <c r="M630" s="14"/>
      <c r="N630" s="14">
        <v>400</v>
      </c>
      <c r="O630" s="14"/>
      <c r="P630" s="14"/>
      <c r="Q630" s="14"/>
      <c r="R630" s="14"/>
      <c r="S630" s="14"/>
      <c r="T630" s="14"/>
      <c r="U630" s="14"/>
      <c r="V630" s="14"/>
      <c r="W630" s="15">
        <f t="shared" si="24"/>
        <v>400</v>
      </c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5"/>
      <c r="AK630" s="16"/>
    </row>
    <row r="631" spans="2:37" x14ac:dyDescent="0.2">
      <c r="B631" s="7" t="s">
        <v>73</v>
      </c>
      <c r="C631" s="8">
        <v>11383</v>
      </c>
      <c r="D631" s="9" t="s">
        <v>398</v>
      </c>
      <c r="E631" s="10" t="s">
        <v>399</v>
      </c>
      <c r="F631" s="10" t="s">
        <v>400</v>
      </c>
      <c r="G631" s="8">
        <v>1</v>
      </c>
      <c r="H631" s="11">
        <v>400</v>
      </c>
      <c r="I631" s="12">
        <v>42463</v>
      </c>
      <c r="J631" s="13">
        <f t="shared" si="23"/>
        <v>0</v>
      </c>
      <c r="K631" s="14"/>
      <c r="L631" s="14"/>
      <c r="M631" s="14"/>
      <c r="N631" s="14">
        <v>400</v>
      </c>
      <c r="O631" s="14"/>
      <c r="P631" s="14"/>
      <c r="Q631" s="14"/>
      <c r="R631" s="14"/>
      <c r="S631" s="14"/>
      <c r="T631" s="14"/>
      <c r="U631" s="14"/>
      <c r="V631" s="14"/>
      <c r="W631" s="15">
        <f t="shared" si="24"/>
        <v>400</v>
      </c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5"/>
      <c r="AK631" s="16"/>
    </row>
    <row r="632" spans="2:37" x14ac:dyDescent="0.2">
      <c r="B632" s="7" t="s">
        <v>47</v>
      </c>
      <c r="C632" s="8">
        <v>11384</v>
      </c>
      <c r="D632" s="9" t="s">
        <v>138</v>
      </c>
      <c r="E632" s="10" t="s">
        <v>139</v>
      </c>
      <c r="F632" s="10" t="s">
        <v>140</v>
      </c>
      <c r="G632" s="8">
        <v>1</v>
      </c>
      <c r="H632" s="11">
        <v>800</v>
      </c>
      <c r="I632" s="12">
        <v>42463</v>
      </c>
      <c r="J632" s="13">
        <f t="shared" si="23"/>
        <v>0</v>
      </c>
      <c r="K632" s="14"/>
      <c r="L632" s="14">
        <v>400</v>
      </c>
      <c r="M632" s="14">
        <v>400</v>
      </c>
      <c r="N632" s="14"/>
      <c r="O632" s="14"/>
      <c r="P632" s="14"/>
      <c r="Q632" s="14"/>
      <c r="R632" s="14"/>
      <c r="S632" s="14"/>
      <c r="T632" s="14"/>
      <c r="U632" s="14"/>
      <c r="V632" s="14"/>
      <c r="W632" s="15">
        <f t="shared" si="24"/>
        <v>800</v>
      </c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5"/>
      <c r="AK632" s="16"/>
    </row>
    <row r="633" spans="2:37" x14ac:dyDescent="0.2">
      <c r="B633" s="7" t="s">
        <v>47</v>
      </c>
      <c r="C633" s="8">
        <v>11385</v>
      </c>
      <c r="D633" s="9" t="s">
        <v>171</v>
      </c>
      <c r="E633" s="10" t="s">
        <v>172</v>
      </c>
      <c r="F633" s="10" t="s">
        <v>173</v>
      </c>
      <c r="G633" s="8">
        <v>1</v>
      </c>
      <c r="H633" s="11">
        <v>400</v>
      </c>
      <c r="I633" s="12">
        <v>42463</v>
      </c>
      <c r="J633" s="13">
        <f t="shared" si="23"/>
        <v>0</v>
      </c>
      <c r="K633" s="14"/>
      <c r="L633" s="14"/>
      <c r="M633" s="14"/>
      <c r="N633" s="14">
        <v>400</v>
      </c>
      <c r="O633" s="14"/>
      <c r="P633" s="14"/>
      <c r="Q633" s="14"/>
      <c r="R633" s="14"/>
      <c r="S633" s="14"/>
      <c r="T633" s="14"/>
      <c r="U633" s="14"/>
      <c r="V633" s="14"/>
      <c r="W633" s="15">
        <f t="shared" si="24"/>
        <v>400</v>
      </c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5"/>
      <c r="AK633" s="16"/>
    </row>
    <row r="634" spans="2:37" x14ac:dyDescent="0.2">
      <c r="B634" s="7" t="s">
        <v>69</v>
      </c>
      <c r="C634" s="8">
        <v>11386</v>
      </c>
      <c r="D634" s="9" t="s">
        <v>301</v>
      </c>
      <c r="E634" s="10" t="s">
        <v>302</v>
      </c>
      <c r="F634" s="10" t="s">
        <v>303</v>
      </c>
      <c r="G634" s="8">
        <v>1</v>
      </c>
      <c r="H634" s="11">
        <v>200</v>
      </c>
      <c r="I634" s="12">
        <v>42463</v>
      </c>
      <c r="J634" s="13">
        <f t="shared" si="23"/>
        <v>0</v>
      </c>
      <c r="K634" s="14"/>
      <c r="L634" s="14"/>
      <c r="M634" s="14"/>
      <c r="N634" s="14">
        <v>200</v>
      </c>
      <c r="O634" s="14"/>
      <c r="P634" s="14"/>
      <c r="Q634" s="14"/>
      <c r="R634" s="14"/>
      <c r="S634" s="14"/>
      <c r="T634" s="14"/>
      <c r="U634" s="14"/>
      <c r="V634" s="14"/>
      <c r="W634" s="15">
        <f t="shared" si="24"/>
        <v>200</v>
      </c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5"/>
      <c r="AK634" s="16"/>
    </row>
    <row r="635" spans="2:37" x14ac:dyDescent="0.2">
      <c r="B635" s="7" t="s">
        <v>37</v>
      </c>
      <c r="C635" s="8">
        <v>11387</v>
      </c>
      <c r="D635" s="9" t="s">
        <v>814</v>
      </c>
      <c r="E635" s="10" t="s">
        <v>815</v>
      </c>
      <c r="F635" s="10" t="s">
        <v>816</v>
      </c>
      <c r="G635" s="8">
        <v>1</v>
      </c>
      <c r="H635" s="11">
        <v>400</v>
      </c>
      <c r="I635" s="12">
        <v>42463</v>
      </c>
      <c r="J635" s="13">
        <f t="shared" si="23"/>
        <v>0</v>
      </c>
      <c r="K635" s="14"/>
      <c r="L635" s="14"/>
      <c r="M635" s="14"/>
      <c r="N635" s="14">
        <v>400</v>
      </c>
      <c r="O635" s="14"/>
      <c r="P635" s="14"/>
      <c r="Q635" s="14"/>
      <c r="R635" s="14"/>
      <c r="S635" s="14"/>
      <c r="T635" s="14"/>
      <c r="U635" s="14"/>
      <c r="V635" s="14"/>
      <c r="W635" s="15">
        <f t="shared" si="24"/>
        <v>400</v>
      </c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5"/>
      <c r="AK635" s="16"/>
    </row>
    <row r="636" spans="2:37" x14ac:dyDescent="0.2">
      <c r="B636" s="7" t="s">
        <v>73</v>
      </c>
      <c r="C636" s="8">
        <v>11388</v>
      </c>
      <c r="D636" s="9" t="s">
        <v>112</v>
      </c>
      <c r="E636" s="10" t="s">
        <v>113</v>
      </c>
      <c r="F636" s="10" t="s">
        <v>114</v>
      </c>
      <c r="G636" s="8">
        <v>1</v>
      </c>
      <c r="H636" s="11">
        <v>250</v>
      </c>
      <c r="I636" s="12">
        <v>42463</v>
      </c>
      <c r="J636" s="13">
        <f t="shared" si="23"/>
        <v>0</v>
      </c>
      <c r="K636" s="14"/>
      <c r="L636" s="14"/>
      <c r="M636" s="14">
        <v>250</v>
      </c>
      <c r="N636" s="14"/>
      <c r="O636" s="14"/>
      <c r="P636" s="14"/>
      <c r="Q636" s="14"/>
      <c r="R636" s="14"/>
      <c r="S636" s="14"/>
      <c r="T636" s="14"/>
      <c r="U636" s="14"/>
      <c r="V636" s="14"/>
      <c r="W636" s="15">
        <f t="shared" si="24"/>
        <v>250</v>
      </c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5"/>
      <c r="AK636" s="16"/>
    </row>
    <row r="637" spans="2:37" x14ac:dyDescent="0.2">
      <c r="B637" s="7" t="s">
        <v>391</v>
      </c>
      <c r="C637" s="8">
        <v>11389</v>
      </c>
      <c r="D637" s="9" t="s">
        <v>887</v>
      </c>
      <c r="E637" s="10" t="s">
        <v>888</v>
      </c>
      <c r="F637" s="10" t="s">
        <v>889</v>
      </c>
      <c r="G637" s="8">
        <v>1</v>
      </c>
      <c r="H637" s="11">
        <v>200</v>
      </c>
      <c r="I637" s="12">
        <v>42463</v>
      </c>
      <c r="J637" s="13">
        <f t="shared" si="23"/>
        <v>0</v>
      </c>
      <c r="K637" s="14"/>
      <c r="L637" s="14"/>
      <c r="M637" s="14"/>
      <c r="N637" s="14">
        <v>200</v>
      </c>
      <c r="O637" s="14"/>
      <c r="P637" s="14"/>
      <c r="Q637" s="14"/>
      <c r="R637" s="14"/>
      <c r="S637" s="14"/>
      <c r="T637" s="14"/>
      <c r="U637" s="14"/>
      <c r="V637" s="14"/>
      <c r="W637" s="15">
        <f t="shared" si="24"/>
        <v>200</v>
      </c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5"/>
      <c r="AK637" s="16"/>
    </row>
    <row r="638" spans="2:37" x14ac:dyDescent="0.2">
      <c r="B638" s="7" t="s">
        <v>47</v>
      </c>
      <c r="C638" s="8">
        <v>11390</v>
      </c>
      <c r="D638" s="9" t="s">
        <v>313</v>
      </c>
      <c r="E638" s="10" t="s">
        <v>314</v>
      </c>
      <c r="F638" s="10" t="s">
        <v>315</v>
      </c>
      <c r="G638" s="8">
        <v>1</v>
      </c>
      <c r="H638" s="11">
        <v>400</v>
      </c>
      <c r="I638" s="12">
        <v>42463</v>
      </c>
      <c r="J638" s="13">
        <f t="shared" si="23"/>
        <v>0</v>
      </c>
      <c r="K638" s="14"/>
      <c r="L638" s="14"/>
      <c r="M638" s="14"/>
      <c r="N638" s="14">
        <v>400</v>
      </c>
      <c r="O638" s="14"/>
      <c r="P638" s="14"/>
      <c r="Q638" s="14"/>
      <c r="R638" s="14"/>
      <c r="S638" s="14"/>
      <c r="T638" s="14"/>
      <c r="U638" s="14"/>
      <c r="V638" s="14"/>
      <c r="W638" s="15">
        <f t="shared" si="24"/>
        <v>400</v>
      </c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5"/>
      <c r="AK638" s="16"/>
    </row>
    <row r="639" spans="2:37" x14ac:dyDescent="0.2">
      <c r="B639" s="7" t="s">
        <v>69</v>
      </c>
      <c r="C639" s="8">
        <v>11391</v>
      </c>
      <c r="D639" s="9" t="s">
        <v>135</v>
      </c>
      <c r="E639" s="10" t="s">
        <v>136</v>
      </c>
      <c r="F639" s="10" t="s">
        <v>137</v>
      </c>
      <c r="G639" s="8">
        <v>1</v>
      </c>
      <c r="H639" s="11">
        <v>300</v>
      </c>
      <c r="I639" s="12">
        <v>42463</v>
      </c>
      <c r="J639" s="13">
        <f t="shared" si="23"/>
        <v>0</v>
      </c>
      <c r="K639" s="14"/>
      <c r="L639" s="14"/>
      <c r="M639" s="14"/>
      <c r="N639" s="14">
        <v>300</v>
      </c>
      <c r="O639" s="14"/>
      <c r="P639" s="14"/>
      <c r="Q639" s="14"/>
      <c r="R639" s="14"/>
      <c r="S639" s="14"/>
      <c r="T639" s="14"/>
      <c r="U639" s="14"/>
      <c r="V639" s="14"/>
      <c r="W639" s="15">
        <f t="shared" si="24"/>
        <v>300</v>
      </c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5"/>
      <c r="AK639" s="16"/>
    </row>
    <row r="640" spans="2:37" x14ac:dyDescent="0.2">
      <c r="B640" s="7" t="s">
        <v>47</v>
      </c>
      <c r="C640" s="8">
        <v>11392</v>
      </c>
      <c r="D640" s="9" t="s">
        <v>183</v>
      </c>
      <c r="E640" s="10" t="s">
        <v>184</v>
      </c>
      <c r="F640" s="10" t="s">
        <v>185</v>
      </c>
      <c r="G640" s="8">
        <v>1</v>
      </c>
      <c r="H640" s="11">
        <v>400</v>
      </c>
      <c r="I640" s="12">
        <v>42463</v>
      </c>
      <c r="J640" s="13">
        <f t="shared" si="23"/>
        <v>0</v>
      </c>
      <c r="K640" s="14"/>
      <c r="L640" s="14"/>
      <c r="M640" s="14">
        <v>400</v>
      </c>
      <c r="N640" s="14"/>
      <c r="O640" s="14"/>
      <c r="P640" s="14"/>
      <c r="Q640" s="14"/>
      <c r="R640" s="14"/>
      <c r="S640" s="14"/>
      <c r="T640" s="14"/>
      <c r="U640" s="14"/>
      <c r="V640" s="14"/>
      <c r="W640" s="15">
        <f t="shared" si="24"/>
        <v>400</v>
      </c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5"/>
      <c r="AK640" s="16"/>
    </row>
    <row r="641" spans="2:37" x14ac:dyDescent="0.2">
      <c r="B641" s="7" t="s">
        <v>69</v>
      </c>
      <c r="C641" s="8">
        <v>11393</v>
      </c>
      <c r="D641" s="9" t="s">
        <v>890</v>
      </c>
      <c r="E641" s="10" t="s">
        <v>891</v>
      </c>
      <c r="F641" s="10" t="s">
        <v>892</v>
      </c>
      <c r="G641" s="8">
        <v>1</v>
      </c>
      <c r="H641" s="11">
        <v>800</v>
      </c>
      <c r="I641" s="12">
        <v>42463</v>
      </c>
      <c r="J641" s="13">
        <f t="shared" si="23"/>
        <v>0</v>
      </c>
      <c r="K641" s="14">
        <v>400</v>
      </c>
      <c r="L641" s="14">
        <v>400</v>
      </c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5">
        <f t="shared" si="24"/>
        <v>800</v>
      </c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5"/>
      <c r="AK641" s="16"/>
    </row>
    <row r="642" spans="2:37" x14ac:dyDescent="0.2">
      <c r="B642" s="7" t="s">
        <v>47</v>
      </c>
      <c r="C642" s="8">
        <v>11394</v>
      </c>
      <c r="D642" s="9" t="s">
        <v>153</v>
      </c>
      <c r="E642" s="10" t="s">
        <v>154</v>
      </c>
      <c r="F642" s="10" t="s">
        <v>155</v>
      </c>
      <c r="G642" s="8">
        <v>1</v>
      </c>
      <c r="H642" s="11">
        <v>400</v>
      </c>
      <c r="I642" s="12">
        <v>42463</v>
      </c>
      <c r="J642" s="13">
        <f t="shared" si="23"/>
        <v>0</v>
      </c>
      <c r="K642" s="14"/>
      <c r="L642" s="14"/>
      <c r="M642" s="14"/>
      <c r="N642" s="14">
        <v>400</v>
      </c>
      <c r="O642" s="14"/>
      <c r="P642" s="14"/>
      <c r="Q642" s="14"/>
      <c r="R642" s="14"/>
      <c r="S642" s="14"/>
      <c r="T642" s="14"/>
      <c r="U642" s="14"/>
      <c r="V642" s="14"/>
      <c r="W642" s="15">
        <f t="shared" si="24"/>
        <v>400</v>
      </c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5"/>
      <c r="AK642" s="16"/>
    </row>
    <row r="643" spans="2:37" x14ac:dyDescent="0.2">
      <c r="B643" s="7" t="s">
        <v>37</v>
      </c>
      <c r="C643" s="8">
        <v>11395</v>
      </c>
      <c r="D643" s="9" t="s">
        <v>446</v>
      </c>
      <c r="E643" s="10" t="s">
        <v>447</v>
      </c>
      <c r="F643" s="10" t="s">
        <v>448</v>
      </c>
      <c r="G643" s="8">
        <v>1</v>
      </c>
      <c r="H643" s="11">
        <v>150</v>
      </c>
      <c r="I643" s="12">
        <v>42464</v>
      </c>
      <c r="J643" s="13">
        <f t="shared" si="23"/>
        <v>0</v>
      </c>
      <c r="K643" s="14"/>
      <c r="L643" s="14"/>
      <c r="M643" s="14">
        <v>150</v>
      </c>
      <c r="N643" s="14"/>
      <c r="O643" s="14"/>
      <c r="P643" s="14"/>
      <c r="Q643" s="14"/>
      <c r="R643" s="14"/>
      <c r="S643" s="14"/>
      <c r="T643" s="14"/>
      <c r="U643" s="14"/>
      <c r="V643" s="14"/>
      <c r="W643" s="15">
        <f t="shared" si="24"/>
        <v>150</v>
      </c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5"/>
      <c r="AK643" s="16"/>
    </row>
    <row r="644" spans="2:37" x14ac:dyDescent="0.2">
      <c r="B644" s="7" t="s">
        <v>122</v>
      </c>
      <c r="C644" s="8">
        <v>11396</v>
      </c>
      <c r="D644" s="9" t="s">
        <v>217</v>
      </c>
      <c r="E644" s="10" t="s">
        <v>218</v>
      </c>
      <c r="F644" s="10" t="s">
        <v>219</v>
      </c>
      <c r="G644" s="8">
        <v>1</v>
      </c>
      <c r="H644" s="11">
        <v>600</v>
      </c>
      <c r="I644" s="12">
        <v>42464</v>
      </c>
      <c r="J644" s="13">
        <f t="shared" si="23"/>
        <v>0</v>
      </c>
      <c r="K644" s="14"/>
      <c r="L644" s="14"/>
      <c r="M644" s="14"/>
      <c r="N644" s="14">
        <v>300</v>
      </c>
      <c r="O644" s="14">
        <v>300</v>
      </c>
      <c r="P644" s="14"/>
      <c r="Q644" s="14"/>
      <c r="R644" s="14"/>
      <c r="S644" s="14"/>
      <c r="T644" s="14"/>
      <c r="U644" s="14"/>
      <c r="V644" s="14"/>
      <c r="W644" s="15">
        <f t="shared" si="24"/>
        <v>600</v>
      </c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5"/>
      <c r="AK644" s="16"/>
    </row>
    <row r="645" spans="2:37" x14ac:dyDescent="0.2">
      <c r="B645" s="7" t="s">
        <v>37</v>
      </c>
      <c r="C645" s="8">
        <v>11397</v>
      </c>
      <c r="D645" s="9" t="s">
        <v>205</v>
      </c>
      <c r="E645" s="10" t="s">
        <v>206</v>
      </c>
      <c r="F645" s="10" t="s">
        <v>207</v>
      </c>
      <c r="G645" s="8">
        <v>1</v>
      </c>
      <c r="H645" s="11">
        <v>600</v>
      </c>
      <c r="I645" s="12">
        <v>42464</v>
      </c>
      <c r="J645" s="13">
        <f t="shared" si="23"/>
        <v>0</v>
      </c>
      <c r="K645" s="14"/>
      <c r="L645" s="14"/>
      <c r="M645" s="14">
        <v>600</v>
      </c>
      <c r="N645" s="14"/>
      <c r="O645" s="14"/>
      <c r="P645" s="14"/>
      <c r="Q645" s="14"/>
      <c r="R645" s="14"/>
      <c r="S645" s="14"/>
      <c r="T645" s="14"/>
      <c r="U645" s="14"/>
      <c r="V645" s="14"/>
      <c r="W645" s="15">
        <f t="shared" si="24"/>
        <v>600</v>
      </c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5"/>
      <c r="AK645" s="16"/>
    </row>
    <row r="646" spans="2:37" x14ac:dyDescent="0.2">
      <c r="B646" s="7" t="s">
        <v>37</v>
      </c>
      <c r="C646" s="8">
        <v>11398</v>
      </c>
      <c r="D646" s="9" t="s">
        <v>716</v>
      </c>
      <c r="E646" s="10" t="s">
        <v>717</v>
      </c>
      <c r="F646" s="10" t="s">
        <v>718</v>
      </c>
      <c r="G646" s="8">
        <v>1</v>
      </c>
      <c r="H646" s="11">
        <v>300</v>
      </c>
      <c r="I646" s="12">
        <v>42467</v>
      </c>
      <c r="J646" s="13">
        <f t="shared" si="23"/>
        <v>0</v>
      </c>
      <c r="K646" s="14"/>
      <c r="L646" s="14"/>
      <c r="M646" s="14"/>
      <c r="N646" s="14">
        <v>300</v>
      </c>
      <c r="O646" s="14"/>
      <c r="P646" s="14"/>
      <c r="Q646" s="14"/>
      <c r="R646" s="14"/>
      <c r="S646" s="14"/>
      <c r="T646" s="14"/>
      <c r="U646" s="14"/>
      <c r="V646" s="14"/>
      <c r="W646" s="15">
        <f t="shared" si="24"/>
        <v>300</v>
      </c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5"/>
      <c r="AK646" s="16"/>
    </row>
    <row r="647" spans="2:37" x14ac:dyDescent="0.2">
      <c r="B647" s="7" t="s">
        <v>93</v>
      </c>
      <c r="C647" s="8">
        <v>11399</v>
      </c>
      <c r="D647" s="9"/>
      <c r="E647" s="10" t="s">
        <v>93</v>
      </c>
      <c r="F647" s="10" t="s">
        <v>93</v>
      </c>
      <c r="G647" s="8">
        <v>8</v>
      </c>
      <c r="H647" s="11"/>
      <c r="I647" s="12"/>
      <c r="J647" s="13">
        <f t="shared" si="23"/>
        <v>0</v>
      </c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5">
        <f t="shared" si="24"/>
        <v>0</v>
      </c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5"/>
      <c r="AK647" s="16"/>
    </row>
    <row r="648" spans="2:37" x14ac:dyDescent="0.2">
      <c r="B648" s="7" t="s">
        <v>69</v>
      </c>
      <c r="C648" s="8">
        <v>11400</v>
      </c>
      <c r="D648" s="9" t="s">
        <v>211</v>
      </c>
      <c r="E648" s="10" t="s">
        <v>212</v>
      </c>
      <c r="F648" s="10" t="s">
        <v>213</v>
      </c>
      <c r="G648" s="8"/>
      <c r="H648" s="11"/>
      <c r="I648" s="12">
        <v>42467</v>
      </c>
      <c r="J648" s="13">
        <f t="shared" si="23"/>
        <v>0</v>
      </c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5">
        <f t="shared" si="24"/>
        <v>0</v>
      </c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5"/>
      <c r="AK648" s="16"/>
    </row>
    <row r="649" spans="2:37" x14ac:dyDescent="0.2">
      <c r="B649" s="7" t="s">
        <v>73</v>
      </c>
      <c r="C649" s="8">
        <v>11401</v>
      </c>
      <c r="D649" s="9" t="s">
        <v>598</v>
      </c>
      <c r="E649" s="10" t="s">
        <v>599</v>
      </c>
      <c r="F649" s="10" t="s">
        <v>886</v>
      </c>
      <c r="G649" s="8"/>
      <c r="H649" s="11"/>
      <c r="I649" s="12">
        <v>42468</v>
      </c>
      <c r="J649" s="13">
        <f t="shared" si="23"/>
        <v>0</v>
      </c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5">
        <f t="shared" si="24"/>
        <v>0</v>
      </c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5"/>
      <c r="AK649" s="16"/>
    </row>
    <row r="650" spans="2:37" x14ac:dyDescent="0.2">
      <c r="B650" s="7" t="s">
        <v>69</v>
      </c>
      <c r="C650" s="8">
        <v>11402</v>
      </c>
      <c r="D650" s="9" t="s">
        <v>211</v>
      </c>
      <c r="E650" s="10" t="s">
        <v>212</v>
      </c>
      <c r="F650" s="10" t="s">
        <v>213</v>
      </c>
      <c r="G650" s="8"/>
      <c r="H650" s="11"/>
      <c r="I650" s="12">
        <v>42468</v>
      </c>
      <c r="J650" s="13">
        <f t="shared" si="23"/>
        <v>0</v>
      </c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5">
        <f t="shared" si="24"/>
        <v>0</v>
      </c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5"/>
      <c r="AK650" s="16"/>
    </row>
    <row r="651" spans="2:37" x14ac:dyDescent="0.2">
      <c r="B651" s="7" t="s">
        <v>47</v>
      </c>
      <c r="C651" s="8">
        <v>11403</v>
      </c>
      <c r="D651" s="9" t="s">
        <v>208</v>
      </c>
      <c r="E651" s="10" t="s">
        <v>209</v>
      </c>
      <c r="F651" s="10" t="s">
        <v>210</v>
      </c>
      <c r="G651" s="8"/>
      <c r="H651" s="11"/>
      <c r="I651" s="12">
        <v>42468</v>
      </c>
      <c r="J651" s="13">
        <f t="shared" si="23"/>
        <v>0</v>
      </c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5">
        <f t="shared" si="24"/>
        <v>0</v>
      </c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5"/>
      <c r="AK651" s="16"/>
    </row>
    <row r="652" spans="2:37" x14ac:dyDescent="0.2">
      <c r="B652" s="7" t="s">
        <v>61</v>
      </c>
      <c r="C652" s="8">
        <v>11404</v>
      </c>
      <c r="D652" s="9" t="s">
        <v>214</v>
      </c>
      <c r="E652" s="10" t="s">
        <v>215</v>
      </c>
      <c r="F652" s="10" t="s">
        <v>216</v>
      </c>
      <c r="G652" s="8">
        <v>1</v>
      </c>
      <c r="H652" s="11">
        <v>400</v>
      </c>
      <c r="I652" s="12">
        <v>42468</v>
      </c>
      <c r="J652" s="13">
        <f t="shared" si="23"/>
        <v>0</v>
      </c>
      <c r="K652" s="14">
        <v>200</v>
      </c>
      <c r="L652" s="14">
        <v>200</v>
      </c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5">
        <f t="shared" si="24"/>
        <v>400</v>
      </c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5"/>
      <c r="AK652" s="16"/>
    </row>
    <row r="653" spans="2:37" x14ac:dyDescent="0.2">
      <c r="B653" s="7" t="s">
        <v>122</v>
      </c>
      <c r="C653" s="8">
        <v>11405</v>
      </c>
      <c r="D653" s="9" t="s">
        <v>220</v>
      </c>
      <c r="E653" s="10" t="s">
        <v>221</v>
      </c>
      <c r="F653" s="10" t="s">
        <v>222</v>
      </c>
      <c r="G653" s="8">
        <v>1</v>
      </c>
      <c r="H653" s="11">
        <v>300</v>
      </c>
      <c r="I653" s="12">
        <v>42468</v>
      </c>
      <c r="J653" s="13">
        <f t="shared" si="23"/>
        <v>0</v>
      </c>
      <c r="K653" s="14"/>
      <c r="L653" s="14"/>
      <c r="M653" s="14">
        <v>300</v>
      </c>
      <c r="N653" s="14"/>
      <c r="O653" s="14"/>
      <c r="P653" s="14"/>
      <c r="Q653" s="14"/>
      <c r="R653" s="14"/>
      <c r="S653" s="14"/>
      <c r="T653" s="14"/>
      <c r="U653" s="14"/>
      <c r="V653" s="14"/>
      <c r="W653" s="15">
        <f t="shared" si="24"/>
        <v>300</v>
      </c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5"/>
      <c r="AK653" s="16"/>
    </row>
    <row r="654" spans="2:37" x14ac:dyDescent="0.2">
      <c r="B654" s="7" t="s">
        <v>47</v>
      </c>
      <c r="C654" s="8">
        <v>11406</v>
      </c>
      <c r="D654" s="9" t="s">
        <v>702</v>
      </c>
      <c r="E654" s="10" t="s">
        <v>703</v>
      </c>
      <c r="F654" s="10" t="s">
        <v>704</v>
      </c>
      <c r="G654" s="8">
        <v>4</v>
      </c>
      <c r="H654" s="11">
        <v>160</v>
      </c>
      <c r="I654" s="12">
        <v>42470</v>
      </c>
      <c r="J654" s="13">
        <f t="shared" si="23"/>
        <v>0</v>
      </c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5">
        <f t="shared" si="24"/>
        <v>0</v>
      </c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5"/>
      <c r="AK654" s="7">
        <v>19185</v>
      </c>
    </row>
    <row r="655" spans="2:37" x14ac:dyDescent="0.2">
      <c r="B655" s="7" t="s">
        <v>61</v>
      </c>
      <c r="C655" s="8">
        <v>11407</v>
      </c>
      <c r="D655" s="9" t="s">
        <v>693</v>
      </c>
      <c r="E655" s="10" t="s">
        <v>694</v>
      </c>
      <c r="F655" s="10" t="s">
        <v>695</v>
      </c>
      <c r="G655" s="8">
        <v>1</v>
      </c>
      <c r="H655" s="11">
        <v>300</v>
      </c>
      <c r="I655" s="12">
        <v>42470</v>
      </c>
      <c r="J655" s="13">
        <f t="shared" ref="J655:J718" si="25">IF(G655=1,SUM(W655,-H655),0)</f>
        <v>0</v>
      </c>
      <c r="K655" s="14"/>
      <c r="L655" s="14"/>
      <c r="M655" s="14">
        <v>150</v>
      </c>
      <c r="N655" s="14">
        <v>150</v>
      </c>
      <c r="O655" s="14"/>
      <c r="P655" s="14"/>
      <c r="Q655" s="14"/>
      <c r="R655" s="14"/>
      <c r="S655" s="14"/>
      <c r="T655" s="14"/>
      <c r="U655" s="14"/>
      <c r="V655" s="14"/>
      <c r="W655" s="15">
        <f t="shared" si="24"/>
        <v>300</v>
      </c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5"/>
      <c r="AK655" s="16"/>
    </row>
    <row r="656" spans="2:37" x14ac:dyDescent="0.2">
      <c r="B656" s="7" t="s">
        <v>69</v>
      </c>
      <c r="C656" s="8">
        <v>11408</v>
      </c>
      <c r="D656" s="9" t="s">
        <v>514</v>
      </c>
      <c r="E656" s="10" t="s">
        <v>515</v>
      </c>
      <c r="F656" s="10" t="s">
        <v>516</v>
      </c>
      <c r="G656" s="8">
        <v>1</v>
      </c>
      <c r="H656" s="11">
        <v>800</v>
      </c>
      <c r="I656" s="12">
        <v>42470</v>
      </c>
      <c r="J656" s="13">
        <f t="shared" si="25"/>
        <v>0</v>
      </c>
      <c r="K656" s="14"/>
      <c r="L656" s="14"/>
      <c r="M656" s="14">
        <v>400</v>
      </c>
      <c r="N656" s="14">
        <v>400</v>
      </c>
      <c r="O656" s="14"/>
      <c r="P656" s="14"/>
      <c r="Q656" s="14"/>
      <c r="R656" s="14"/>
      <c r="S656" s="14"/>
      <c r="T656" s="14"/>
      <c r="U656" s="14"/>
      <c r="V656" s="14"/>
      <c r="W656" s="15">
        <f t="shared" si="24"/>
        <v>800</v>
      </c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  <c r="AJ656" s="15"/>
      <c r="AK656" s="16"/>
    </row>
    <row r="657" spans="2:37" x14ac:dyDescent="0.2">
      <c r="B657" s="7" t="s">
        <v>73</v>
      </c>
      <c r="C657" s="8">
        <v>11409</v>
      </c>
      <c r="D657" s="9" t="s">
        <v>115</v>
      </c>
      <c r="E657" s="10" t="s">
        <v>116</v>
      </c>
      <c r="F657" s="10" t="s">
        <v>117</v>
      </c>
      <c r="G657" s="8">
        <v>1</v>
      </c>
      <c r="H657" s="11">
        <v>150</v>
      </c>
      <c r="I657" s="12">
        <v>42470</v>
      </c>
      <c r="J657" s="13">
        <f t="shared" si="25"/>
        <v>0</v>
      </c>
      <c r="K657" s="14"/>
      <c r="L657" s="14"/>
      <c r="M657" s="14"/>
      <c r="N657" s="14">
        <v>150</v>
      </c>
      <c r="O657" s="14"/>
      <c r="P657" s="14"/>
      <c r="Q657" s="14"/>
      <c r="R657" s="14"/>
      <c r="S657" s="14"/>
      <c r="T657" s="14"/>
      <c r="U657" s="14"/>
      <c r="V657" s="14"/>
      <c r="W657" s="15">
        <f t="shared" si="24"/>
        <v>150</v>
      </c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5"/>
      <c r="AK657" s="16"/>
    </row>
    <row r="658" spans="2:37" x14ac:dyDescent="0.2">
      <c r="B658" s="7" t="s">
        <v>37</v>
      </c>
      <c r="C658" s="8">
        <v>11410</v>
      </c>
      <c r="D658" s="9" t="s">
        <v>568</v>
      </c>
      <c r="E658" s="10" t="s">
        <v>569</v>
      </c>
      <c r="F658" s="10" t="s">
        <v>570</v>
      </c>
      <c r="G658" s="8">
        <v>1</v>
      </c>
      <c r="H658" s="11">
        <v>800</v>
      </c>
      <c r="I658" s="12">
        <v>42470</v>
      </c>
      <c r="J658" s="13">
        <f t="shared" si="25"/>
        <v>0</v>
      </c>
      <c r="K658" s="14"/>
      <c r="L658" s="14"/>
      <c r="M658" s="14">
        <v>400</v>
      </c>
      <c r="N658" s="14">
        <v>400</v>
      </c>
      <c r="O658" s="14"/>
      <c r="P658" s="14"/>
      <c r="Q658" s="14"/>
      <c r="R658" s="14"/>
      <c r="S658" s="14"/>
      <c r="T658" s="14"/>
      <c r="U658" s="14"/>
      <c r="V658" s="14"/>
      <c r="W658" s="15">
        <f t="shared" si="24"/>
        <v>800</v>
      </c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  <c r="AJ658" s="15"/>
      <c r="AK658" s="16"/>
    </row>
    <row r="659" spans="2:37" x14ac:dyDescent="0.2">
      <c r="B659" s="7" t="s">
        <v>122</v>
      </c>
      <c r="C659" s="8">
        <v>11411</v>
      </c>
      <c r="D659" s="9" t="s">
        <v>797</v>
      </c>
      <c r="E659" s="10" t="s">
        <v>798</v>
      </c>
      <c r="F659" s="10" t="s">
        <v>799</v>
      </c>
      <c r="G659" s="8">
        <v>1</v>
      </c>
      <c r="H659" s="11">
        <v>800</v>
      </c>
      <c r="I659" s="12">
        <v>42470</v>
      </c>
      <c r="J659" s="13">
        <f t="shared" si="25"/>
        <v>0</v>
      </c>
      <c r="K659" s="14"/>
      <c r="L659" s="14"/>
      <c r="M659" s="14">
        <v>400</v>
      </c>
      <c r="N659" s="14">
        <v>400</v>
      </c>
      <c r="O659" s="14"/>
      <c r="P659" s="14"/>
      <c r="Q659" s="14"/>
      <c r="R659" s="14"/>
      <c r="S659" s="14"/>
      <c r="T659" s="14"/>
      <c r="U659" s="14"/>
      <c r="V659" s="14"/>
      <c r="W659" s="15">
        <f t="shared" ref="W659:W722" si="26">SUM(K659:V659)</f>
        <v>800</v>
      </c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  <c r="AJ659" s="15"/>
      <c r="AK659" s="16"/>
    </row>
    <row r="660" spans="2:37" x14ac:dyDescent="0.2">
      <c r="B660" s="7" t="s">
        <v>122</v>
      </c>
      <c r="C660" s="8">
        <v>11412</v>
      </c>
      <c r="D660" s="9" t="s">
        <v>256</v>
      </c>
      <c r="E660" s="10" t="s">
        <v>257</v>
      </c>
      <c r="F660" s="10" t="s">
        <v>258</v>
      </c>
      <c r="G660" s="8">
        <v>1</v>
      </c>
      <c r="H660" s="11">
        <v>300</v>
      </c>
      <c r="I660" s="12">
        <v>42470</v>
      </c>
      <c r="J660" s="13">
        <f t="shared" si="25"/>
        <v>0</v>
      </c>
      <c r="K660" s="14"/>
      <c r="L660" s="14"/>
      <c r="M660" s="14"/>
      <c r="N660" s="14">
        <v>300</v>
      </c>
      <c r="O660" s="14"/>
      <c r="P660" s="14"/>
      <c r="Q660" s="14"/>
      <c r="R660" s="14"/>
      <c r="S660" s="14"/>
      <c r="T660" s="14"/>
      <c r="U660" s="14"/>
      <c r="V660" s="14"/>
      <c r="W660" s="15">
        <f t="shared" si="26"/>
        <v>300</v>
      </c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  <c r="AJ660" s="15"/>
      <c r="AK660" s="16"/>
    </row>
    <row r="661" spans="2:37" x14ac:dyDescent="0.2">
      <c r="B661" s="7" t="s">
        <v>93</v>
      </c>
      <c r="C661" s="8">
        <v>11413</v>
      </c>
      <c r="D661" s="9"/>
      <c r="E661" s="10" t="s">
        <v>93</v>
      </c>
      <c r="F661" s="10" t="s">
        <v>93</v>
      </c>
      <c r="G661" s="8">
        <v>8</v>
      </c>
      <c r="H661" s="11"/>
      <c r="I661" s="12"/>
      <c r="J661" s="13">
        <f t="shared" si="25"/>
        <v>0</v>
      </c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5">
        <f t="shared" si="26"/>
        <v>0</v>
      </c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5"/>
      <c r="AK661" s="16"/>
    </row>
    <row r="662" spans="2:37" x14ac:dyDescent="0.2">
      <c r="B662" s="7" t="s">
        <v>69</v>
      </c>
      <c r="C662" s="8">
        <v>11414</v>
      </c>
      <c r="D662" s="9" t="s">
        <v>893</v>
      </c>
      <c r="E662" s="10" t="s">
        <v>894</v>
      </c>
      <c r="F662" s="10" t="s">
        <v>895</v>
      </c>
      <c r="G662" s="8">
        <v>1</v>
      </c>
      <c r="H662" s="11">
        <v>1200</v>
      </c>
      <c r="I662" s="12">
        <v>42470</v>
      </c>
      <c r="J662" s="13">
        <f t="shared" si="25"/>
        <v>0</v>
      </c>
      <c r="K662" s="14">
        <v>400</v>
      </c>
      <c r="L662" s="14">
        <v>400</v>
      </c>
      <c r="M662" s="14">
        <v>400</v>
      </c>
      <c r="N662" s="14"/>
      <c r="O662" s="14"/>
      <c r="P662" s="14"/>
      <c r="Q662" s="14"/>
      <c r="R662" s="14"/>
      <c r="S662" s="14"/>
      <c r="T662" s="14"/>
      <c r="U662" s="14"/>
      <c r="V662" s="14"/>
      <c r="W662" s="15">
        <f t="shared" si="26"/>
        <v>1200</v>
      </c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  <c r="AJ662" s="15"/>
      <c r="AK662" s="16"/>
    </row>
    <row r="663" spans="2:37" x14ac:dyDescent="0.2">
      <c r="B663" s="7" t="s">
        <v>37</v>
      </c>
      <c r="C663" s="8">
        <v>11415</v>
      </c>
      <c r="D663" s="9" t="s">
        <v>51</v>
      </c>
      <c r="E663" s="10" t="s">
        <v>52</v>
      </c>
      <c r="F663" s="10" t="s">
        <v>53</v>
      </c>
      <c r="G663" s="8">
        <v>1</v>
      </c>
      <c r="H663" s="11">
        <v>500</v>
      </c>
      <c r="I663" s="12">
        <v>42470</v>
      </c>
      <c r="J663" s="13">
        <f t="shared" si="25"/>
        <v>0</v>
      </c>
      <c r="K663" s="14"/>
      <c r="L663" s="14"/>
      <c r="M663" s="14"/>
      <c r="N663" s="14">
        <v>250</v>
      </c>
      <c r="O663" s="14">
        <v>250</v>
      </c>
      <c r="P663" s="14"/>
      <c r="Q663" s="14"/>
      <c r="R663" s="14"/>
      <c r="S663" s="14"/>
      <c r="T663" s="14"/>
      <c r="U663" s="14"/>
      <c r="V663" s="14"/>
      <c r="W663" s="15">
        <f t="shared" si="26"/>
        <v>500</v>
      </c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  <c r="AJ663" s="15"/>
      <c r="AK663" s="16"/>
    </row>
    <row r="664" spans="2:37" x14ac:dyDescent="0.2">
      <c r="B664" s="7" t="s">
        <v>73</v>
      </c>
      <c r="C664" s="8">
        <v>11416</v>
      </c>
      <c r="D664" s="9" t="s">
        <v>763</v>
      </c>
      <c r="E664" s="10" t="s">
        <v>764</v>
      </c>
      <c r="F664" s="10" t="s">
        <v>765</v>
      </c>
      <c r="G664" s="8">
        <v>1</v>
      </c>
      <c r="H664" s="11">
        <v>400</v>
      </c>
      <c r="I664" s="12">
        <v>42470</v>
      </c>
      <c r="J664" s="13">
        <f t="shared" si="25"/>
        <v>0</v>
      </c>
      <c r="K664" s="14"/>
      <c r="L664" s="14"/>
      <c r="M664" s="14">
        <v>400</v>
      </c>
      <c r="N664" s="14"/>
      <c r="O664" s="14"/>
      <c r="P664" s="14"/>
      <c r="Q664" s="14"/>
      <c r="R664" s="14"/>
      <c r="S664" s="14"/>
      <c r="T664" s="14"/>
      <c r="U664" s="14"/>
      <c r="V664" s="14"/>
      <c r="W664" s="15">
        <f t="shared" si="26"/>
        <v>400</v>
      </c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  <c r="AJ664" s="15"/>
      <c r="AK664" s="16"/>
    </row>
    <row r="665" spans="2:37" x14ac:dyDescent="0.2">
      <c r="B665" s="7" t="s">
        <v>37</v>
      </c>
      <c r="C665" s="8">
        <v>11417</v>
      </c>
      <c r="D665" s="9" t="s">
        <v>307</v>
      </c>
      <c r="E665" s="10" t="s">
        <v>308</v>
      </c>
      <c r="F665" s="10" t="s">
        <v>309</v>
      </c>
      <c r="G665" s="8">
        <v>1</v>
      </c>
      <c r="H665" s="11">
        <v>350</v>
      </c>
      <c r="I665" s="12">
        <v>42470</v>
      </c>
      <c r="J665" s="13">
        <f t="shared" si="25"/>
        <v>0</v>
      </c>
      <c r="K665" s="14"/>
      <c r="L665" s="14"/>
      <c r="M665" s="14"/>
      <c r="N665" s="14">
        <v>350</v>
      </c>
      <c r="O665" s="14"/>
      <c r="P665" s="14"/>
      <c r="Q665" s="14"/>
      <c r="R665" s="14"/>
      <c r="S665" s="14"/>
      <c r="T665" s="14"/>
      <c r="U665" s="14"/>
      <c r="V665" s="14"/>
      <c r="W665" s="15">
        <f t="shared" si="26"/>
        <v>350</v>
      </c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5"/>
      <c r="AK665" s="16"/>
    </row>
    <row r="666" spans="2:37" x14ac:dyDescent="0.2">
      <c r="B666" s="7" t="s">
        <v>73</v>
      </c>
      <c r="C666" s="8">
        <v>11418</v>
      </c>
      <c r="D666" s="9" t="s">
        <v>719</v>
      </c>
      <c r="E666" s="10" t="s">
        <v>720</v>
      </c>
      <c r="F666" s="10" t="s">
        <v>867</v>
      </c>
      <c r="G666" s="8">
        <v>1</v>
      </c>
      <c r="H666" s="11">
        <v>400</v>
      </c>
      <c r="I666" s="12">
        <v>42470</v>
      </c>
      <c r="J666" s="13">
        <f t="shared" si="25"/>
        <v>0</v>
      </c>
      <c r="K666" s="14"/>
      <c r="L666" s="14"/>
      <c r="M666" s="14"/>
      <c r="N666" s="14">
        <v>400</v>
      </c>
      <c r="O666" s="14"/>
      <c r="P666" s="14"/>
      <c r="Q666" s="14"/>
      <c r="R666" s="14"/>
      <c r="S666" s="14"/>
      <c r="T666" s="14"/>
      <c r="U666" s="14"/>
      <c r="V666" s="14"/>
      <c r="W666" s="15">
        <f t="shared" si="26"/>
        <v>400</v>
      </c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  <c r="AJ666" s="15"/>
      <c r="AK666" s="16"/>
    </row>
    <row r="667" spans="2:37" x14ac:dyDescent="0.2">
      <c r="B667" s="7" t="s">
        <v>37</v>
      </c>
      <c r="C667" s="8">
        <v>11419</v>
      </c>
      <c r="D667" s="9" t="s">
        <v>268</v>
      </c>
      <c r="E667" s="10" t="s">
        <v>269</v>
      </c>
      <c r="F667" s="10" t="s">
        <v>270</v>
      </c>
      <c r="G667" s="8">
        <v>1</v>
      </c>
      <c r="H667" s="11">
        <v>300</v>
      </c>
      <c r="I667" s="12">
        <v>42470</v>
      </c>
      <c r="J667" s="13">
        <f t="shared" si="25"/>
        <v>0</v>
      </c>
      <c r="K667" s="14"/>
      <c r="L667" s="14"/>
      <c r="M667" s="14"/>
      <c r="N667" s="14">
        <v>300</v>
      </c>
      <c r="O667" s="14"/>
      <c r="P667" s="14"/>
      <c r="Q667" s="14"/>
      <c r="R667" s="14"/>
      <c r="S667" s="14"/>
      <c r="T667" s="14"/>
      <c r="U667" s="14"/>
      <c r="V667" s="14"/>
      <c r="W667" s="15">
        <f t="shared" si="26"/>
        <v>300</v>
      </c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5"/>
      <c r="AK667" s="16"/>
    </row>
    <row r="668" spans="2:37" x14ac:dyDescent="0.2">
      <c r="B668" s="7" t="s">
        <v>77</v>
      </c>
      <c r="C668" s="8">
        <v>11420</v>
      </c>
      <c r="D668" s="9" t="s">
        <v>617</v>
      </c>
      <c r="E668" s="10" t="s">
        <v>618</v>
      </c>
      <c r="F668" s="10" t="s">
        <v>619</v>
      </c>
      <c r="G668" s="8">
        <v>1</v>
      </c>
      <c r="H668" s="11">
        <v>400</v>
      </c>
      <c r="I668" s="12">
        <v>42470</v>
      </c>
      <c r="J668" s="13">
        <f t="shared" si="25"/>
        <v>0</v>
      </c>
      <c r="K668" s="14"/>
      <c r="L668" s="14">
        <v>400</v>
      </c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5">
        <f t="shared" si="26"/>
        <v>400</v>
      </c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  <c r="AJ668" s="15"/>
      <c r="AK668" s="16"/>
    </row>
    <row r="669" spans="2:37" x14ac:dyDescent="0.2">
      <c r="B669" s="7" t="s">
        <v>37</v>
      </c>
      <c r="C669" s="8">
        <v>11421</v>
      </c>
      <c r="D669" s="9" t="s">
        <v>646</v>
      </c>
      <c r="E669" s="10" t="s">
        <v>647</v>
      </c>
      <c r="F669" s="10" t="s">
        <v>648</v>
      </c>
      <c r="G669" s="8">
        <v>1</v>
      </c>
      <c r="H669" s="11">
        <v>800</v>
      </c>
      <c r="I669" s="12">
        <v>42470</v>
      </c>
      <c r="J669" s="13">
        <f t="shared" si="25"/>
        <v>0</v>
      </c>
      <c r="K669" s="14"/>
      <c r="L669" s="14">
        <v>400</v>
      </c>
      <c r="M669" s="14">
        <v>400</v>
      </c>
      <c r="N669" s="14"/>
      <c r="O669" s="14"/>
      <c r="P669" s="14"/>
      <c r="Q669" s="14"/>
      <c r="R669" s="14"/>
      <c r="S669" s="14"/>
      <c r="T669" s="14"/>
      <c r="U669" s="14"/>
      <c r="V669" s="14"/>
      <c r="W669" s="15">
        <f t="shared" si="26"/>
        <v>800</v>
      </c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5"/>
      <c r="AK669" s="16"/>
    </row>
    <row r="670" spans="2:37" x14ac:dyDescent="0.2">
      <c r="B670" s="7" t="s">
        <v>77</v>
      </c>
      <c r="C670" s="8">
        <v>11422</v>
      </c>
      <c r="D670" s="9" t="s">
        <v>565</v>
      </c>
      <c r="E670" s="10" t="s">
        <v>566</v>
      </c>
      <c r="F670" s="10" t="s">
        <v>567</v>
      </c>
      <c r="G670" s="8">
        <v>1</v>
      </c>
      <c r="H670" s="11">
        <v>750</v>
      </c>
      <c r="I670" s="12">
        <v>42470</v>
      </c>
      <c r="J670" s="13">
        <f t="shared" si="25"/>
        <v>0</v>
      </c>
      <c r="K670" s="14"/>
      <c r="L670" s="14">
        <v>250</v>
      </c>
      <c r="M670" s="14">
        <v>250</v>
      </c>
      <c r="N670" s="14">
        <v>250</v>
      </c>
      <c r="O670" s="14"/>
      <c r="P670" s="14"/>
      <c r="Q670" s="14"/>
      <c r="R670" s="14"/>
      <c r="S670" s="14"/>
      <c r="T670" s="14"/>
      <c r="U670" s="14"/>
      <c r="V670" s="14"/>
      <c r="W670" s="15">
        <f t="shared" si="26"/>
        <v>750</v>
      </c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  <c r="AJ670" s="15"/>
      <c r="AK670" s="16"/>
    </row>
    <row r="671" spans="2:37" x14ac:dyDescent="0.2">
      <c r="B671" s="7" t="s">
        <v>73</v>
      </c>
      <c r="C671" s="8">
        <v>11423</v>
      </c>
      <c r="D671" s="9" t="s">
        <v>485</v>
      </c>
      <c r="E671" s="10" t="s">
        <v>486</v>
      </c>
      <c r="F671" s="10" t="s">
        <v>487</v>
      </c>
      <c r="G671" s="8">
        <v>3</v>
      </c>
      <c r="H671" s="11">
        <v>160</v>
      </c>
      <c r="I671" s="12">
        <v>42470</v>
      </c>
      <c r="J671" s="13">
        <f t="shared" si="25"/>
        <v>0</v>
      </c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5">
        <f t="shared" si="26"/>
        <v>0</v>
      </c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5"/>
      <c r="AK671" s="16"/>
    </row>
    <row r="672" spans="2:37" x14ac:dyDescent="0.2">
      <c r="B672" s="7" t="s">
        <v>47</v>
      </c>
      <c r="C672" s="8">
        <v>11424</v>
      </c>
      <c r="D672" s="9" t="s">
        <v>896</v>
      </c>
      <c r="E672" s="10" t="s">
        <v>897</v>
      </c>
      <c r="F672" s="10" t="s">
        <v>898</v>
      </c>
      <c r="G672" s="8">
        <v>1</v>
      </c>
      <c r="H672" s="11">
        <v>400</v>
      </c>
      <c r="I672" s="12">
        <v>42470</v>
      </c>
      <c r="J672" s="13">
        <f t="shared" si="25"/>
        <v>0</v>
      </c>
      <c r="K672" s="14">
        <v>100</v>
      </c>
      <c r="L672" s="14">
        <v>100</v>
      </c>
      <c r="M672" s="14">
        <v>100</v>
      </c>
      <c r="N672" s="14">
        <v>100</v>
      </c>
      <c r="O672" s="14"/>
      <c r="P672" s="14"/>
      <c r="Q672" s="14"/>
      <c r="R672" s="14"/>
      <c r="S672" s="14"/>
      <c r="T672" s="14"/>
      <c r="U672" s="14"/>
      <c r="V672" s="14"/>
      <c r="W672" s="15">
        <f t="shared" si="26"/>
        <v>400</v>
      </c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  <c r="AJ672" s="15"/>
      <c r="AK672" s="16"/>
    </row>
    <row r="673" spans="2:37" x14ac:dyDescent="0.2">
      <c r="B673" s="7" t="s">
        <v>47</v>
      </c>
      <c r="C673" s="8">
        <v>11425</v>
      </c>
      <c r="D673" s="9" t="s">
        <v>48</v>
      </c>
      <c r="E673" s="10" t="s">
        <v>49</v>
      </c>
      <c r="F673" s="10" t="s">
        <v>50</v>
      </c>
      <c r="G673" s="8">
        <v>1</v>
      </c>
      <c r="H673" s="11">
        <v>400</v>
      </c>
      <c r="I673" s="12">
        <v>42470</v>
      </c>
      <c r="J673" s="13">
        <f t="shared" si="25"/>
        <v>0</v>
      </c>
      <c r="K673" s="14"/>
      <c r="L673" s="14"/>
      <c r="M673" s="14"/>
      <c r="N673" s="14">
        <v>400</v>
      </c>
      <c r="O673" s="14"/>
      <c r="P673" s="14"/>
      <c r="Q673" s="14"/>
      <c r="R673" s="14"/>
      <c r="S673" s="14"/>
      <c r="T673" s="14"/>
      <c r="U673" s="14"/>
      <c r="V673" s="14"/>
      <c r="W673" s="15">
        <f t="shared" si="26"/>
        <v>400</v>
      </c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5"/>
      <c r="AK673" s="16"/>
    </row>
    <row r="674" spans="2:37" x14ac:dyDescent="0.2">
      <c r="B674" s="7" t="s">
        <v>69</v>
      </c>
      <c r="C674" s="8">
        <v>11426</v>
      </c>
      <c r="D674" s="9" t="s">
        <v>714</v>
      </c>
      <c r="E674" s="10" t="s">
        <v>715</v>
      </c>
      <c r="F674" s="10" t="s">
        <v>487</v>
      </c>
      <c r="G674" s="8">
        <v>1</v>
      </c>
      <c r="H674" s="11">
        <v>800</v>
      </c>
      <c r="I674" s="12">
        <v>42470</v>
      </c>
      <c r="J674" s="13">
        <f t="shared" si="25"/>
        <v>0</v>
      </c>
      <c r="K674" s="14"/>
      <c r="L674" s="14">
        <v>400</v>
      </c>
      <c r="M674" s="14">
        <v>400</v>
      </c>
      <c r="N674" s="14"/>
      <c r="O674" s="14"/>
      <c r="P674" s="14"/>
      <c r="Q674" s="14"/>
      <c r="R674" s="14"/>
      <c r="S674" s="14"/>
      <c r="T674" s="14"/>
      <c r="U674" s="14"/>
      <c r="V674" s="14"/>
      <c r="W674" s="15">
        <f t="shared" si="26"/>
        <v>800</v>
      </c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  <c r="AJ674" s="15"/>
      <c r="AK674" s="16"/>
    </row>
    <row r="675" spans="2:37" x14ac:dyDescent="0.2">
      <c r="B675" s="7" t="s">
        <v>69</v>
      </c>
      <c r="C675" s="8">
        <v>11426</v>
      </c>
      <c r="D675" s="9" t="s">
        <v>714</v>
      </c>
      <c r="E675" s="10" t="s">
        <v>715</v>
      </c>
      <c r="F675" s="10" t="s">
        <v>487</v>
      </c>
      <c r="G675" s="8">
        <v>3</v>
      </c>
      <c r="H675" s="11">
        <v>160</v>
      </c>
      <c r="I675" s="12">
        <v>42470</v>
      </c>
      <c r="J675" s="13">
        <f t="shared" si="25"/>
        <v>0</v>
      </c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5">
        <f t="shared" si="26"/>
        <v>0</v>
      </c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  <c r="AJ675" s="15"/>
      <c r="AK675" s="16"/>
    </row>
    <row r="676" spans="2:37" x14ac:dyDescent="0.2">
      <c r="B676" s="7" t="s">
        <v>47</v>
      </c>
      <c r="C676" s="8">
        <v>11427</v>
      </c>
      <c r="D676" s="9" t="s">
        <v>189</v>
      </c>
      <c r="E676" s="10" t="s">
        <v>190</v>
      </c>
      <c r="F676" s="10" t="s">
        <v>191</v>
      </c>
      <c r="G676" s="8">
        <v>1</v>
      </c>
      <c r="H676" s="11">
        <v>800</v>
      </c>
      <c r="I676" s="12">
        <v>42470</v>
      </c>
      <c r="J676" s="13">
        <f t="shared" si="25"/>
        <v>0</v>
      </c>
      <c r="K676" s="14"/>
      <c r="L676" s="14">
        <v>400</v>
      </c>
      <c r="M676" s="14">
        <v>400</v>
      </c>
      <c r="N676" s="14"/>
      <c r="O676" s="14"/>
      <c r="P676" s="14"/>
      <c r="Q676" s="14"/>
      <c r="R676" s="14"/>
      <c r="S676" s="14"/>
      <c r="T676" s="14"/>
      <c r="U676" s="14"/>
      <c r="V676" s="14"/>
      <c r="W676" s="15">
        <f t="shared" si="26"/>
        <v>800</v>
      </c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  <c r="AJ676" s="15"/>
      <c r="AK676" s="16"/>
    </row>
    <row r="677" spans="2:37" x14ac:dyDescent="0.2">
      <c r="B677" s="7" t="s">
        <v>69</v>
      </c>
      <c r="C677" s="8">
        <v>11428</v>
      </c>
      <c r="D677" s="9" t="s">
        <v>165</v>
      </c>
      <c r="E677" s="10" t="s">
        <v>166</v>
      </c>
      <c r="F677" s="10" t="s">
        <v>167</v>
      </c>
      <c r="G677" s="8">
        <v>1</v>
      </c>
      <c r="H677" s="11">
        <v>350</v>
      </c>
      <c r="I677" s="12">
        <v>42470</v>
      </c>
      <c r="J677" s="13">
        <f t="shared" si="25"/>
        <v>0</v>
      </c>
      <c r="K677" s="14"/>
      <c r="L677" s="14"/>
      <c r="M677" s="14"/>
      <c r="N677" s="14">
        <v>350</v>
      </c>
      <c r="O677" s="14"/>
      <c r="P677" s="14"/>
      <c r="Q677" s="14"/>
      <c r="R677" s="14"/>
      <c r="S677" s="14"/>
      <c r="T677" s="14"/>
      <c r="U677" s="14"/>
      <c r="V677" s="14"/>
      <c r="W677" s="15">
        <f t="shared" si="26"/>
        <v>350</v>
      </c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5"/>
      <c r="AK677" s="16"/>
    </row>
    <row r="678" spans="2:37" x14ac:dyDescent="0.2">
      <c r="B678" s="7" t="s">
        <v>47</v>
      </c>
      <c r="C678" s="8">
        <v>11429</v>
      </c>
      <c r="D678" s="9" t="s">
        <v>449</v>
      </c>
      <c r="E678" s="10" t="s">
        <v>450</v>
      </c>
      <c r="F678" s="10" t="s">
        <v>451</v>
      </c>
      <c r="G678" s="8">
        <v>1</v>
      </c>
      <c r="H678" s="11">
        <v>900</v>
      </c>
      <c r="I678" s="12">
        <v>42470</v>
      </c>
      <c r="J678" s="13">
        <f t="shared" si="25"/>
        <v>0</v>
      </c>
      <c r="K678" s="14"/>
      <c r="L678" s="14">
        <v>300</v>
      </c>
      <c r="M678" s="14">
        <v>300</v>
      </c>
      <c r="N678" s="14">
        <v>300</v>
      </c>
      <c r="O678" s="14"/>
      <c r="P678" s="14"/>
      <c r="Q678" s="14"/>
      <c r="R678" s="14"/>
      <c r="S678" s="14"/>
      <c r="T678" s="14"/>
      <c r="U678" s="14"/>
      <c r="V678" s="14"/>
      <c r="W678" s="15">
        <f t="shared" si="26"/>
        <v>900</v>
      </c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  <c r="AJ678" s="15"/>
      <c r="AK678" s="16"/>
    </row>
    <row r="679" spans="2:37" x14ac:dyDescent="0.2">
      <c r="B679" s="7" t="s">
        <v>37</v>
      </c>
      <c r="C679" s="8">
        <v>11430</v>
      </c>
      <c r="D679" s="9" t="s">
        <v>899</v>
      </c>
      <c r="E679" s="10" t="s">
        <v>900</v>
      </c>
      <c r="F679" s="10" t="s">
        <v>901</v>
      </c>
      <c r="G679" s="8">
        <v>1</v>
      </c>
      <c r="H679" s="11">
        <v>500</v>
      </c>
      <c r="I679" s="12">
        <v>42470</v>
      </c>
      <c r="J679" s="13">
        <f t="shared" si="25"/>
        <v>0</v>
      </c>
      <c r="K679" s="14"/>
      <c r="L679" s="14"/>
      <c r="M679" s="14">
        <v>250</v>
      </c>
      <c r="N679" s="14">
        <v>250</v>
      </c>
      <c r="O679" s="14"/>
      <c r="P679" s="14"/>
      <c r="Q679" s="14"/>
      <c r="R679" s="14"/>
      <c r="S679" s="14"/>
      <c r="T679" s="14"/>
      <c r="U679" s="14"/>
      <c r="V679" s="14"/>
      <c r="W679" s="15">
        <f t="shared" si="26"/>
        <v>500</v>
      </c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  <c r="AJ679" s="15"/>
      <c r="AK679" s="16"/>
    </row>
    <row r="680" spans="2:37" x14ac:dyDescent="0.2">
      <c r="B680" s="7" t="s">
        <v>47</v>
      </c>
      <c r="C680" s="8">
        <v>11431</v>
      </c>
      <c r="D680" s="9" t="s">
        <v>583</v>
      </c>
      <c r="E680" s="10" t="s">
        <v>584</v>
      </c>
      <c r="F680" s="10" t="s">
        <v>585</v>
      </c>
      <c r="G680" s="8">
        <v>1</v>
      </c>
      <c r="H680" s="11">
        <v>200</v>
      </c>
      <c r="I680" s="12">
        <v>42470</v>
      </c>
      <c r="J680" s="13">
        <f t="shared" si="25"/>
        <v>0</v>
      </c>
      <c r="K680" s="14"/>
      <c r="L680" s="14"/>
      <c r="M680" s="14"/>
      <c r="N680" s="14">
        <v>200</v>
      </c>
      <c r="O680" s="14"/>
      <c r="P680" s="14"/>
      <c r="Q680" s="14"/>
      <c r="R680" s="14"/>
      <c r="S680" s="14"/>
      <c r="T680" s="14"/>
      <c r="U680" s="14"/>
      <c r="V680" s="14"/>
      <c r="W680" s="15">
        <f t="shared" si="26"/>
        <v>200</v>
      </c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  <c r="AJ680" s="15"/>
      <c r="AK680" s="16"/>
    </row>
    <row r="681" spans="2:37" x14ac:dyDescent="0.2">
      <c r="B681" s="7" t="s">
        <v>61</v>
      </c>
      <c r="C681" s="8">
        <v>11432</v>
      </c>
      <c r="D681" s="9" t="s">
        <v>62</v>
      </c>
      <c r="E681" s="10" t="s">
        <v>63</v>
      </c>
      <c r="F681" s="10" t="s">
        <v>64</v>
      </c>
      <c r="G681" s="8">
        <v>1</v>
      </c>
      <c r="H681" s="11">
        <v>400</v>
      </c>
      <c r="I681" s="12">
        <v>42470</v>
      </c>
      <c r="J681" s="13">
        <f t="shared" si="25"/>
        <v>0</v>
      </c>
      <c r="K681" s="14"/>
      <c r="L681" s="14"/>
      <c r="M681" s="14"/>
      <c r="N681" s="14"/>
      <c r="O681" s="14">
        <v>200</v>
      </c>
      <c r="P681" s="14">
        <v>200</v>
      </c>
      <c r="Q681" s="14"/>
      <c r="R681" s="14"/>
      <c r="S681" s="14"/>
      <c r="T681" s="14"/>
      <c r="U681" s="14"/>
      <c r="V681" s="14"/>
      <c r="W681" s="15">
        <f t="shared" si="26"/>
        <v>400</v>
      </c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  <c r="AJ681" s="15"/>
      <c r="AK681" s="16"/>
    </row>
    <row r="682" spans="2:37" x14ac:dyDescent="0.2">
      <c r="B682" s="7" t="s">
        <v>61</v>
      </c>
      <c r="C682" s="8">
        <v>11433</v>
      </c>
      <c r="D682" s="9" t="s">
        <v>902</v>
      </c>
      <c r="E682" s="10" t="s">
        <v>903</v>
      </c>
      <c r="F682" s="10" t="s">
        <v>904</v>
      </c>
      <c r="G682" s="8">
        <v>1</v>
      </c>
      <c r="H682" s="11">
        <v>2800</v>
      </c>
      <c r="I682" s="12">
        <v>42470</v>
      </c>
      <c r="J682" s="13">
        <f t="shared" si="25"/>
        <v>0</v>
      </c>
      <c r="K682" s="14">
        <v>400</v>
      </c>
      <c r="L682" s="14">
        <v>400</v>
      </c>
      <c r="M682" s="14">
        <v>400</v>
      </c>
      <c r="N682" s="14">
        <v>400</v>
      </c>
      <c r="O682" s="14">
        <v>400</v>
      </c>
      <c r="P682" s="14">
        <v>400</v>
      </c>
      <c r="Q682" s="14">
        <v>400</v>
      </c>
      <c r="R682" s="14"/>
      <c r="S682" s="14"/>
      <c r="T682" s="14"/>
      <c r="U682" s="14"/>
      <c r="V682" s="14"/>
      <c r="W682" s="15">
        <f t="shared" si="26"/>
        <v>2800</v>
      </c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  <c r="AJ682" s="15"/>
      <c r="AK682" s="16"/>
    </row>
    <row r="683" spans="2:37" x14ac:dyDescent="0.2">
      <c r="B683" s="7" t="s">
        <v>61</v>
      </c>
      <c r="C683" s="8">
        <v>11434</v>
      </c>
      <c r="D683" s="9" t="s">
        <v>902</v>
      </c>
      <c r="E683" s="10" t="s">
        <v>903</v>
      </c>
      <c r="F683" s="10" t="s">
        <v>904</v>
      </c>
      <c r="G683" s="8">
        <v>3</v>
      </c>
      <c r="H683" s="11">
        <v>160</v>
      </c>
      <c r="I683" s="12">
        <v>42470</v>
      </c>
      <c r="J683" s="13">
        <f t="shared" si="25"/>
        <v>0</v>
      </c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5">
        <f t="shared" si="26"/>
        <v>0</v>
      </c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  <c r="AJ683" s="15"/>
      <c r="AK683" s="16"/>
    </row>
    <row r="684" spans="2:37" x14ac:dyDescent="0.2">
      <c r="B684" s="7" t="s">
        <v>47</v>
      </c>
      <c r="C684" s="8">
        <v>11435</v>
      </c>
      <c r="D684" s="9" t="s">
        <v>404</v>
      </c>
      <c r="E684" s="10" t="s">
        <v>405</v>
      </c>
      <c r="F684" s="10" t="s">
        <v>406</v>
      </c>
      <c r="G684" s="8">
        <v>1</v>
      </c>
      <c r="H684" s="11">
        <v>400</v>
      </c>
      <c r="I684" s="12">
        <v>42470</v>
      </c>
      <c r="J684" s="13">
        <f t="shared" si="25"/>
        <v>0</v>
      </c>
      <c r="K684" s="14"/>
      <c r="L684" s="14"/>
      <c r="M684" s="14"/>
      <c r="N684" s="14">
        <v>400</v>
      </c>
      <c r="O684" s="14"/>
      <c r="P684" s="14"/>
      <c r="Q684" s="14"/>
      <c r="R684" s="14"/>
      <c r="S684" s="14"/>
      <c r="T684" s="14"/>
      <c r="U684" s="14"/>
      <c r="V684" s="14"/>
      <c r="W684" s="15">
        <f t="shared" si="26"/>
        <v>400</v>
      </c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  <c r="AJ684" s="15"/>
      <c r="AK684" s="16"/>
    </row>
    <row r="685" spans="2:37" x14ac:dyDescent="0.2">
      <c r="B685" s="7" t="s">
        <v>73</v>
      </c>
      <c r="C685" s="8">
        <v>11436</v>
      </c>
      <c r="D685" s="9" t="s">
        <v>541</v>
      </c>
      <c r="E685" s="10" t="s">
        <v>542</v>
      </c>
      <c r="F685" s="10" t="s">
        <v>543</v>
      </c>
      <c r="G685" s="8">
        <v>1</v>
      </c>
      <c r="H685" s="11">
        <v>800</v>
      </c>
      <c r="I685" s="12">
        <v>42470</v>
      </c>
      <c r="J685" s="13">
        <f t="shared" si="25"/>
        <v>0</v>
      </c>
      <c r="K685" s="14"/>
      <c r="L685" s="14"/>
      <c r="M685" s="14">
        <v>400</v>
      </c>
      <c r="N685" s="14">
        <v>400</v>
      </c>
      <c r="O685" s="14"/>
      <c r="P685" s="14"/>
      <c r="Q685" s="14"/>
      <c r="R685" s="14"/>
      <c r="S685" s="14"/>
      <c r="T685" s="14"/>
      <c r="U685" s="14"/>
      <c r="V685" s="14"/>
      <c r="W685" s="15">
        <f t="shared" si="26"/>
        <v>800</v>
      </c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5"/>
      <c r="AK685" s="16"/>
    </row>
    <row r="686" spans="2:37" x14ac:dyDescent="0.2">
      <c r="B686" s="7" t="s">
        <v>69</v>
      </c>
      <c r="C686" s="8">
        <v>11437</v>
      </c>
      <c r="D686" s="9" t="s">
        <v>168</v>
      </c>
      <c r="E686" s="10" t="s">
        <v>169</v>
      </c>
      <c r="F686" s="10" t="s">
        <v>170</v>
      </c>
      <c r="G686" s="8">
        <v>1</v>
      </c>
      <c r="H686" s="11">
        <v>200</v>
      </c>
      <c r="I686" s="12">
        <v>42470</v>
      </c>
      <c r="J686" s="13">
        <f t="shared" si="25"/>
        <v>0</v>
      </c>
      <c r="K686" s="14"/>
      <c r="L686" s="14">
        <v>200</v>
      </c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5">
        <f t="shared" si="26"/>
        <v>200</v>
      </c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  <c r="AJ686" s="15"/>
      <c r="AK686" s="16"/>
    </row>
    <row r="687" spans="2:37" x14ac:dyDescent="0.2">
      <c r="B687" s="7" t="s">
        <v>47</v>
      </c>
      <c r="C687" s="8">
        <v>11449</v>
      </c>
      <c r="D687" s="9" t="s">
        <v>349</v>
      </c>
      <c r="E687" s="10" t="s">
        <v>350</v>
      </c>
      <c r="F687" s="10" t="s">
        <v>351</v>
      </c>
      <c r="G687" s="8">
        <v>1</v>
      </c>
      <c r="H687" s="11">
        <v>600</v>
      </c>
      <c r="I687" s="12">
        <v>42470</v>
      </c>
      <c r="J687" s="13">
        <f t="shared" si="25"/>
        <v>0</v>
      </c>
      <c r="K687" s="14"/>
      <c r="L687" s="14"/>
      <c r="M687" s="14">
        <v>300</v>
      </c>
      <c r="N687" s="14">
        <v>300</v>
      </c>
      <c r="O687" s="14"/>
      <c r="P687" s="14"/>
      <c r="Q687" s="14"/>
      <c r="R687" s="14"/>
      <c r="S687" s="14"/>
      <c r="T687" s="14"/>
      <c r="U687" s="14"/>
      <c r="V687" s="14"/>
      <c r="W687" s="15">
        <f t="shared" si="26"/>
        <v>600</v>
      </c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  <c r="AJ687" s="15"/>
      <c r="AK687" s="16"/>
    </row>
    <row r="688" spans="2:37" x14ac:dyDescent="0.2">
      <c r="B688" s="7" t="s">
        <v>37</v>
      </c>
      <c r="C688" s="8">
        <v>11438</v>
      </c>
      <c r="D688" s="9" t="s">
        <v>905</v>
      </c>
      <c r="E688" s="10" t="s">
        <v>906</v>
      </c>
      <c r="F688" s="10" t="s">
        <v>907</v>
      </c>
      <c r="G688" s="8">
        <v>1</v>
      </c>
      <c r="H688" s="11">
        <v>200</v>
      </c>
      <c r="I688" s="12">
        <v>42471</v>
      </c>
      <c r="J688" s="13">
        <f t="shared" si="25"/>
        <v>0</v>
      </c>
      <c r="K688" s="14"/>
      <c r="L688" s="14"/>
      <c r="M688" s="14"/>
      <c r="N688" s="14">
        <v>200</v>
      </c>
      <c r="O688" s="14"/>
      <c r="P688" s="14"/>
      <c r="Q688" s="14"/>
      <c r="R688" s="14"/>
      <c r="S688" s="14"/>
      <c r="T688" s="14"/>
      <c r="U688" s="14"/>
      <c r="V688" s="14"/>
      <c r="W688" s="15">
        <f t="shared" si="26"/>
        <v>200</v>
      </c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  <c r="AJ688" s="15"/>
      <c r="AK688" s="16"/>
    </row>
    <row r="689" spans="2:37" x14ac:dyDescent="0.2">
      <c r="B689" s="7" t="s">
        <v>37</v>
      </c>
      <c r="C689" s="8">
        <v>11439</v>
      </c>
      <c r="D689" s="9" t="s">
        <v>905</v>
      </c>
      <c r="E689" s="10" t="s">
        <v>906</v>
      </c>
      <c r="F689" s="10" t="s">
        <v>907</v>
      </c>
      <c r="G689" s="8">
        <v>3</v>
      </c>
      <c r="H689" s="11">
        <v>160</v>
      </c>
      <c r="I689" s="12">
        <v>42471</v>
      </c>
      <c r="J689" s="13">
        <f t="shared" si="25"/>
        <v>0</v>
      </c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5">
        <f t="shared" si="26"/>
        <v>0</v>
      </c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  <c r="AJ689" s="15"/>
      <c r="AK689" s="16"/>
    </row>
    <row r="690" spans="2:37" x14ac:dyDescent="0.2">
      <c r="B690" s="7" t="s">
        <v>37</v>
      </c>
      <c r="C690" s="8">
        <v>11440</v>
      </c>
      <c r="D690" s="9" t="s">
        <v>681</v>
      </c>
      <c r="E690" s="10" t="s">
        <v>682</v>
      </c>
      <c r="F690" s="10" t="s">
        <v>683</v>
      </c>
      <c r="G690" s="8">
        <v>1</v>
      </c>
      <c r="H690" s="11">
        <v>300</v>
      </c>
      <c r="I690" s="12">
        <v>42471</v>
      </c>
      <c r="J690" s="13">
        <f t="shared" si="25"/>
        <v>0</v>
      </c>
      <c r="K690" s="14"/>
      <c r="L690" s="14"/>
      <c r="M690" s="14">
        <v>300</v>
      </c>
      <c r="N690" s="14"/>
      <c r="O690" s="14"/>
      <c r="P690" s="14"/>
      <c r="Q690" s="14"/>
      <c r="R690" s="14"/>
      <c r="S690" s="14"/>
      <c r="T690" s="14"/>
      <c r="U690" s="14"/>
      <c r="V690" s="14"/>
      <c r="W690" s="15">
        <f t="shared" si="26"/>
        <v>300</v>
      </c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  <c r="AJ690" s="15"/>
      <c r="AK690" s="16"/>
    </row>
    <row r="691" spans="2:37" x14ac:dyDescent="0.2">
      <c r="B691" s="7" t="s">
        <v>47</v>
      </c>
      <c r="C691" s="8">
        <v>11441</v>
      </c>
      <c r="D691" s="9" t="s">
        <v>589</v>
      </c>
      <c r="E691" s="10" t="s">
        <v>590</v>
      </c>
      <c r="F691" s="10" t="s">
        <v>591</v>
      </c>
      <c r="G691" s="8">
        <v>1</v>
      </c>
      <c r="H691" s="11">
        <v>800</v>
      </c>
      <c r="I691" s="12">
        <v>42472</v>
      </c>
      <c r="J691" s="13">
        <f t="shared" si="25"/>
        <v>0</v>
      </c>
      <c r="K691" s="14"/>
      <c r="L691" s="14"/>
      <c r="M691" s="14">
        <v>400</v>
      </c>
      <c r="N691" s="14">
        <v>400</v>
      </c>
      <c r="O691" s="14"/>
      <c r="P691" s="14"/>
      <c r="Q691" s="14"/>
      <c r="R691" s="14"/>
      <c r="S691" s="14"/>
      <c r="T691" s="14"/>
      <c r="U691" s="14"/>
      <c r="V691" s="14"/>
      <c r="W691" s="15">
        <f t="shared" si="26"/>
        <v>800</v>
      </c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5"/>
      <c r="AK691" s="16"/>
    </row>
    <row r="692" spans="2:37" x14ac:dyDescent="0.2">
      <c r="B692" s="7" t="s">
        <v>122</v>
      </c>
      <c r="C692" s="8">
        <v>11442</v>
      </c>
      <c r="D692" s="9" t="s">
        <v>256</v>
      </c>
      <c r="E692" s="10" t="s">
        <v>257</v>
      </c>
      <c r="F692" s="10" t="s">
        <v>258</v>
      </c>
      <c r="G692" s="8">
        <v>4</v>
      </c>
      <c r="H692" s="11">
        <v>320</v>
      </c>
      <c r="I692" s="12">
        <v>42472</v>
      </c>
      <c r="J692" s="13">
        <f t="shared" si="25"/>
        <v>0</v>
      </c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5">
        <f t="shared" si="26"/>
        <v>0</v>
      </c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  <c r="AJ692" s="15"/>
      <c r="AK692" s="16" t="s">
        <v>908</v>
      </c>
    </row>
    <row r="693" spans="2:37" x14ac:dyDescent="0.2">
      <c r="B693" s="7" t="s">
        <v>37</v>
      </c>
      <c r="C693" s="8">
        <v>11443</v>
      </c>
      <c r="D693" s="9" t="s">
        <v>443</v>
      </c>
      <c r="E693" s="10" t="s">
        <v>444</v>
      </c>
      <c r="F693" s="10" t="s">
        <v>445</v>
      </c>
      <c r="G693" s="8">
        <v>3</v>
      </c>
      <c r="H693" s="11">
        <v>160</v>
      </c>
      <c r="I693" s="12">
        <v>42472</v>
      </c>
      <c r="J693" s="13">
        <f t="shared" si="25"/>
        <v>0</v>
      </c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5">
        <f t="shared" si="26"/>
        <v>0</v>
      </c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5"/>
      <c r="AK693" s="16"/>
    </row>
    <row r="694" spans="2:37" x14ac:dyDescent="0.2">
      <c r="B694" s="7" t="s">
        <v>93</v>
      </c>
      <c r="C694" s="8">
        <v>11444</v>
      </c>
      <c r="D694" s="9"/>
      <c r="E694" s="10" t="s">
        <v>93</v>
      </c>
      <c r="F694" s="10" t="s">
        <v>93</v>
      </c>
      <c r="G694" s="8">
        <v>8</v>
      </c>
      <c r="H694" s="11"/>
      <c r="I694" s="12"/>
      <c r="J694" s="13">
        <f t="shared" si="25"/>
        <v>0</v>
      </c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5">
        <f t="shared" si="26"/>
        <v>0</v>
      </c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  <c r="AJ694" s="15"/>
      <c r="AK694" s="16"/>
    </row>
    <row r="695" spans="2:37" x14ac:dyDescent="0.2">
      <c r="B695" s="7" t="s">
        <v>37</v>
      </c>
      <c r="C695" s="8">
        <v>11445</v>
      </c>
      <c r="D695" s="9" t="s">
        <v>58</v>
      </c>
      <c r="E695" s="10" t="s">
        <v>59</v>
      </c>
      <c r="F695" s="10" t="s">
        <v>60</v>
      </c>
      <c r="G695" s="8">
        <v>1</v>
      </c>
      <c r="H695" s="11">
        <v>300</v>
      </c>
      <c r="I695" s="12">
        <v>42474</v>
      </c>
      <c r="J695" s="13">
        <f t="shared" si="25"/>
        <v>0</v>
      </c>
      <c r="K695" s="14"/>
      <c r="L695" s="14">
        <v>300</v>
      </c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5">
        <f t="shared" si="26"/>
        <v>300</v>
      </c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  <c r="AJ695" s="15"/>
      <c r="AK695" s="16"/>
    </row>
    <row r="696" spans="2:37" x14ac:dyDescent="0.2">
      <c r="B696" s="7" t="s">
        <v>37</v>
      </c>
      <c r="C696" s="8">
        <v>11445</v>
      </c>
      <c r="D696" s="9" t="s">
        <v>58</v>
      </c>
      <c r="E696" s="10" t="s">
        <v>59</v>
      </c>
      <c r="F696" s="10" t="s">
        <v>60</v>
      </c>
      <c r="G696" s="8">
        <v>3</v>
      </c>
      <c r="H696" s="11">
        <v>160</v>
      </c>
      <c r="I696" s="12">
        <v>42474</v>
      </c>
      <c r="J696" s="13">
        <f t="shared" si="25"/>
        <v>0</v>
      </c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5">
        <f t="shared" si="26"/>
        <v>0</v>
      </c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  <c r="AJ696" s="15"/>
      <c r="AK696" s="16"/>
    </row>
    <row r="697" spans="2:37" x14ac:dyDescent="0.2">
      <c r="B697" s="7" t="s">
        <v>77</v>
      </c>
      <c r="C697" s="8">
        <v>11446</v>
      </c>
      <c r="D697" s="9" t="s">
        <v>159</v>
      </c>
      <c r="E697" s="10" t="s">
        <v>160</v>
      </c>
      <c r="F697" s="10" t="s">
        <v>161</v>
      </c>
      <c r="G697" s="8">
        <v>1</v>
      </c>
      <c r="H697" s="11">
        <v>400</v>
      </c>
      <c r="I697" s="12">
        <v>42477</v>
      </c>
      <c r="J697" s="13">
        <f t="shared" si="25"/>
        <v>0</v>
      </c>
      <c r="K697" s="14"/>
      <c r="L697" s="14"/>
      <c r="M697" s="14"/>
      <c r="N697" s="14">
        <v>400</v>
      </c>
      <c r="O697" s="14"/>
      <c r="P697" s="14"/>
      <c r="Q697" s="14"/>
      <c r="R697" s="14"/>
      <c r="S697" s="14"/>
      <c r="T697" s="14"/>
      <c r="U697" s="14"/>
      <c r="V697" s="14"/>
      <c r="W697" s="15">
        <f t="shared" si="26"/>
        <v>400</v>
      </c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5"/>
      <c r="AK697" s="16"/>
    </row>
    <row r="698" spans="2:37" x14ac:dyDescent="0.2">
      <c r="B698" s="7" t="s">
        <v>73</v>
      </c>
      <c r="C698" s="8">
        <v>11447</v>
      </c>
      <c r="D698" s="9" t="s">
        <v>259</v>
      </c>
      <c r="E698" s="10" t="s">
        <v>260</v>
      </c>
      <c r="F698" s="10" t="s">
        <v>261</v>
      </c>
      <c r="G698" s="8">
        <v>1</v>
      </c>
      <c r="H698" s="11">
        <v>400</v>
      </c>
      <c r="I698" s="12">
        <v>42477</v>
      </c>
      <c r="J698" s="13">
        <f t="shared" si="25"/>
        <v>0</v>
      </c>
      <c r="K698" s="14"/>
      <c r="L698" s="14"/>
      <c r="M698" s="14"/>
      <c r="N698" s="14">
        <v>400</v>
      </c>
      <c r="O698" s="14"/>
      <c r="P698" s="14"/>
      <c r="Q698" s="14"/>
      <c r="R698" s="14"/>
      <c r="S698" s="14"/>
      <c r="T698" s="14"/>
      <c r="U698" s="14"/>
      <c r="V698" s="14"/>
      <c r="W698" s="15">
        <f t="shared" si="26"/>
        <v>400</v>
      </c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  <c r="AJ698" s="15"/>
      <c r="AK698" s="16"/>
    </row>
    <row r="699" spans="2:37" x14ac:dyDescent="0.2">
      <c r="B699" s="7" t="s">
        <v>47</v>
      </c>
      <c r="C699" s="8">
        <v>11448</v>
      </c>
      <c r="D699" s="9" t="s">
        <v>909</v>
      </c>
      <c r="E699" s="10" t="s">
        <v>910</v>
      </c>
      <c r="F699" s="10" t="s">
        <v>222</v>
      </c>
      <c r="G699" s="8">
        <v>1</v>
      </c>
      <c r="H699" s="11">
        <v>400</v>
      </c>
      <c r="I699" s="12">
        <v>42477</v>
      </c>
      <c r="J699" s="13">
        <f t="shared" si="25"/>
        <v>0</v>
      </c>
      <c r="K699" s="14">
        <v>100</v>
      </c>
      <c r="L699" s="14">
        <v>100</v>
      </c>
      <c r="M699" s="14">
        <v>100</v>
      </c>
      <c r="N699" s="14">
        <v>100</v>
      </c>
      <c r="O699" s="14"/>
      <c r="P699" s="14"/>
      <c r="Q699" s="14"/>
      <c r="R699" s="14"/>
      <c r="S699" s="14"/>
      <c r="T699" s="14"/>
      <c r="U699" s="14"/>
      <c r="V699" s="14"/>
      <c r="W699" s="15">
        <f t="shared" si="26"/>
        <v>400</v>
      </c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  <c r="AJ699" s="15"/>
      <c r="AK699" s="16"/>
    </row>
    <row r="700" spans="2:37" x14ac:dyDescent="0.2">
      <c r="B700" s="7" t="s">
        <v>47</v>
      </c>
      <c r="C700" s="8">
        <v>11449</v>
      </c>
      <c r="D700" s="9" t="s">
        <v>349</v>
      </c>
      <c r="E700" s="10" t="s">
        <v>350</v>
      </c>
      <c r="F700" s="10" t="s">
        <v>351</v>
      </c>
      <c r="G700" s="8"/>
      <c r="H700" s="11"/>
      <c r="I700" s="12"/>
      <c r="J700" s="13">
        <f t="shared" si="25"/>
        <v>0</v>
      </c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5">
        <f t="shared" si="26"/>
        <v>0</v>
      </c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  <c r="AJ700" s="15"/>
      <c r="AK700" s="16"/>
    </row>
    <row r="701" spans="2:37" x14ac:dyDescent="0.2">
      <c r="B701" s="7" t="s">
        <v>47</v>
      </c>
      <c r="C701" s="8">
        <v>11450</v>
      </c>
      <c r="D701" s="9" t="s">
        <v>746</v>
      </c>
      <c r="E701" s="10" t="s">
        <v>747</v>
      </c>
      <c r="F701" s="10" t="s">
        <v>748</v>
      </c>
      <c r="G701" s="8">
        <v>1</v>
      </c>
      <c r="H701" s="11">
        <v>300</v>
      </c>
      <c r="I701" s="12">
        <v>42477</v>
      </c>
      <c r="J701" s="13">
        <f t="shared" si="25"/>
        <v>0</v>
      </c>
      <c r="K701" s="14"/>
      <c r="L701" s="14"/>
      <c r="M701" s="14"/>
      <c r="N701" s="14">
        <v>300</v>
      </c>
      <c r="O701" s="14"/>
      <c r="P701" s="14"/>
      <c r="Q701" s="14"/>
      <c r="R701" s="14"/>
      <c r="S701" s="14"/>
      <c r="T701" s="14"/>
      <c r="U701" s="14"/>
      <c r="V701" s="14"/>
      <c r="W701" s="15">
        <f t="shared" si="26"/>
        <v>300</v>
      </c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5"/>
      <c r="AK701" s="16"/>
    </row>
    <row r="702" spans="2:37" x14ac:dyDescent="0.2">
      <c r="B702" s="7" t="s">
        <v>69</v>
      </c>
      <c r="C702" s="8">
        <v>11451</v>
      </c>
      <c r="D702" s="9" t="s">
        <v>437</v>
      </c>
      <c r="E702" s="10" t="s">
        <v>438</v>
      </c>
      <c r="F702" s="10" t="s">
        <v>439</v>
      </c>
      <c r="G702" s="8">
        <v>1</v>
      </c>
      <c r="H702" s="11">
        <v>400</v>
      </c>
      <c r="I702" s="12">
        <v>42477</v>
      </c>
      <c r="J702" s="13">
        <f t="shared" si="25"/>
        <v>0</v>
      </c>
      <c r="K702" s="14"/>
      <c r="L702" s="14"/>
      <c r="M702" s="14"/>
      <c r="N702" s="14">
        <v>400</v>
      </c>
      <c r="O702" s="14"/>
      <c r="P702" s="14"/>
      <c r="Q702" s="14"/>
      <c r="R702" s="14"/>
      <c r="S702" s="14"/>
      <c r="T702" s="14"/>
      <c r="U702" s="14"/>
      <c r="V702" s="14"/>
      <c r="W702" s="15">
        <f t="shared" si="26"/>
        <v>400</v>
      </c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  <c r="AJ702" s="15"/>
      <c r="AK702" s="16"/>
    </row>
    <row r="703" spans="2:37" x14ac:dyDescent="0.2">
      <c r="B703" s="7" t="s">
        <v>73</v>
      </c>
      <c r="C703" s="8">
        <v>11452</v>
      </c>
      <c r="D703" s="9" t="s">
        <v>911</v>
      </c>
      <c r="E703" s="10" t="s">
        <v>912</v>
      </c>
      <c r="F703" s="10" t="s">
        <v>397</v>
      </c>
      <c r="G703" s="8">
        <v>1</v>
      </c>
      <c r="H703" s="11">
        <v>800</v>
      </c>
      <c r="I703" s="12">
        <v>42477</v>
      </c>
      <c r="J703" s="13">
        <f t="shared" si="25"/>
        <v>0</v>
      </c>
      <c r="K703" s="14">
        <v>400</v>
      </c>
      <c r="L703" s="14">
        <v>400</v>
      </c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5">
        <f t="shared" si="26"/>
        <v>800</v>
      </c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5"/>
      <c r="AK703" s="16"/>
    </row>
    <row r="704" spans="2:37" x14ac:dyDescent="0.2">
      <c r="B704" s="7" t="s">
        <v>47</v>
      </c>
      <c r="C704" s="8">
        <v>11453</v>
      </c>
      <c r="D704" s="9" t="s">
        <v>416</v>
      </c>
      <c r="E704" s="10" t="s">
        <v>417</v>
      </c>
      <c r="F704" s="10" t="s">
        <v>418</v>
      </c>
      <c r="G704" s="8">
        <v>1</v>
      </c>
      <c r="H704" s="11">
        <v>200</v>
      </c>
      <c r="I704" s="12">
        <v>42477</v>
      </c>
      <c r="J704" s="13">
        <f t="shared" si="25"/>
        <v>0</v>
      </c>
      <c r="K704" s="14"/>
      <c r="L704" s="14"/>
      <c r="M704" s="14"/>
      <c r="N704" s="14">
        <v>200</v>
      </c>
      <c r="O704" s="14"/>
      <c r="P704" s="14"/>
      <c r="Q704" s="14"/>
      <c r="R704" s="14"/>
      <c r="S704" s="14"/>
      <c r="T704" s="14"/>
      <c r="U704" s="14"/>
      <c r="V704" s="14"/>
      <c r="W704" s="15">
        <f t="shared" si="26"/>
        <v>200</v>
      </c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  <c r="AJ704" s="15"/>
      <c r="AK704" s="16"/>
    </row>
    <row r="705" spans="2:37" x14ac:dyDescent="0.2">
      <c r="B705" s="7" t="s">
        <v>61</v>
      </c>
      <c r="C705" s="8">
        <v>11454</v>
      </c>
      <c r="D705" s="9" t="s">
        <v>631</v>
      </c>
      <c r="E705" s="10" t="s">
        <v>632</v>
      </c>
      <c r="F705" s="10" t="s">
        <v>633</v>
      </c>
      <c r="G705" s="8">
        <v>1</v>
      </c>
      <c r="H705" s="11">
        <v>300</v>
      </c>
      <c r="I705" s="12">
        <v>42477</v>
      </c>
      <c r="J705" s="13">
        <f t="shared" si="25"/>
        <v>0</v>
      </c>
      <c r="K705" s="14"/>
      <c r="L705" s="14"/>
      <c r="M705" s="14"/>
      <c r="N705" s="14">
        <v>300</v>
      </c>
      <c r="O705" s="14"/>
      <c r="P705" s="14"/>
      <c r="Q705" s="14"/>
      <c r="R705" s="14"/>
      <c r="S705" s="14"/>
      <c r="T705" s="14"/>
      <c r="U705" s="14"/>
      <c r="V705" s="14"/>
      <c r="W705" s="15">
        <f t="shared" si="26"/>
        <v>300</v>
      </c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  <c r="AJ705" s="15"/>
      <c r="AK705" s="16"/>
    </row>
    <row r="706" spans="2:37" x14ac:dyDescent="0.2">
      <c r="B706" s="7" t="s">
        <v>69</v>
      </c>
      <c r="C706" s="8">
        <v>11455</v>
      </c>
      <c r="D706" s="9" t="s">
        <v>292</v>
      </c>
      <c r="E706" s="10" t="s">
        <v>293</v>
      </c>
      <c r="F706" s="10" t="s">
        <v>294</v>
      </c>
      <c r="G706" s="8">
        <v>3</v>
      </c>
      <c r="H706" s="11">
        <v>160</v>
      </c>
      <c r="I706" s="12">
        <v>42477</v>
      </c>
      <c r="J706" s="13">
        <f t="shared" si="25"/>
        <v>0</v>
      </c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5">
        <f t="shared" si="26"/>
        <v>0</v>
      </c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  <c r="AJ706" s="15"/>
      <c r="AK706" s="16"/>
    </row>
    <row r="707" spans="2:37" x14ac:dyDescent="0.2">
      <c r="B707" s="7" t="s">
        <v>69</v>
      </c>
      <c r="C707" s="8">
        <v>11455</v>
      </c>
      <c r="D707" s="9" t="s">
        <v>292</v>
      </c>
      <c r="E707" s="10" t="s">
        <v>293</v>
      </c>
      <c r="F707" s="10" t="s">
        <v>294</v>
      </c>
      <c r="G707" s="8">
        <v>4</v>
      </c>
      <c r="H707" s="11">
        <v>160</v>
      </c>
      <c r="I707" s="12">
        <v>42477</v>
      </c>
      <c r="J707" s="13">
        <f t="shared" si="25"/>
        <v>0</v>
      </c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5">
        <f t="shared" si="26"/>
        <v>0</v>
      </c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  <c r="AJ707" s="15"/>
      <c r="AK707" s="7">
        <v>6583</v>
      </c>
    </row>
    <row r="708" spans="2:37" x14ac:dyDescent="0.2">
      <c r="B708" s="7" t="s">
        <v>69</v>
      </c>
      <c r="C708" s="8">
        <v>11456</v>
      </c>
      <c r="D708" s="9" t="s">
        <v>625</v>
      </c>
      <c r="E708" s="10" t="s">
        <v>626</v>
      </c>
      <c r="F708" s="10" t="s">
        <v>627</v>
      </c>
      <c r="G708" s="8">
        <v>1</v>
      </c>
      <c r="H708" s="11">
        <v>400</v>
      </c>
      <c r="I708" s="12">
        <v>42477</v>
      </c>
      <c r="J708" s="13">
        <f t="shared" si="25"/>
        <v>0</v>
      </c>
      <c r="K708" s="14"/>
      <c r="L708" s="14"/>
      <c r="M708" s="14"/>
      <c r="N708" s="14">
        <v>400</v>
      </c>
      <c r="O708" s="14"/>
      <c r="P708" s="14"/>
      <c r="Q708" s="14"/>
      <c r="R708" s="14"/>
      <c r="S708" s="14"/>
      <c r="T708" s="14"/>
      <c r="U708" s="14"/>
      <c r="V708" s="14"/>
      <c r="W708" s="15">
        <f t="shared" si="26"/>
        <v>400</v>
      </c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  <c r="AJ708" s="15"/>
      <c r="AK708" s="16"/>
    </row>
    <row r="709" spans="2:37" x14ac:dyDescent="0.2">
      <c r="B709" s="7" t="s">
        <v>69</v>
      </c>
      <c r="C709" s="8">
        <v>11457</v>
      </c>
      <c r="D709" s="9" t="s">
        <v>265</v>
      </c>
      <c r="E709" s="10" t="s">
        <v>266</v>
      </c>
      <c r="F709" s="10" t="s">
        <v>267</v>
      </c>
      <c r="G709" s="8">
        <v>4</v>
      </c>
      <c r="H709" s="11">
        <v>320</v>
      </c>
      <c r="I709" s="12">
        <v>42477</v>
      </c>
      <c r="J709" s="13">
        <f t="shared" si="25"/>
        <v>0</v>
      </c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5">
        <f t="shared" si="26"/>
        <v>0</v>
      </c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5"/>
      <c r="AK709" s="16" t="s">
        <v>913</v>
      </c>
    </row>
    <row r="710" spans="2:37" x14ac:dyDescent="0.2">
      <c r="B710" s="7" t="s">
        <v>47</v>
      </c>
      <c r="C710" s="8">
        <v>11458</v>
      </c>
      <c r="D710" s="9" t="s">
        <v>241</v>
      </c>
      <c r="E710" s="10" t="s">
        <v>242</v>
      </c>
      <c r="F710" s="10" t="s">
        <v>243</v>
      </c>
      <c r="G710" s="8">
        <v>1</v>
      </c>
      <c r="H710" s="11">
        <v>400</v>
      </c>
      <c r="I710" s="12">
        <v>42477</v>
      </c>
      <c r="J710" s="13">
        <f t="shared" si="25"/>
        <v>0</v>
      </c>
      <c r="K710" s="14"/>
      <c r="L710" s="14"/>
      <c r="M710" s="14"/>
      <c r="N710" s="14">
        <v>400</v>
      </c>
      <c r="O710" s="14"/>
      <c r="P710" s="14"/>
      <c r="Q710" s="14"/>
      <c r="R710" s="14"/>
      <c r="S710" s="14"/>
      <c r="T710" s="14"/>
      <c r="U710" s="14"/>
      <c r="V710" s="14"/>
      <c r="W710" s="15">
        <f t="shared" si="26"/>
        <v>400</v>
      </c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  <c r="AJ710" s="15"/>
      <c r="AK710" s="16"/>
    </row>
    <row r="711" spans="2:37" x14ac:dyDescent="0.2">
      <c r="B711" s="7" t="s">
        <v>69</v>
      </c>
      <c r="C711" s="8">
        <v>11459</v>
      </c>
      <c r="D711" s="9" t="s">
        <v>334</v>
      </c>
      <c r="E711" s="10" t="s">
        <v>335</v>
      </c>
      <c r="F711" s="10" t="s">
        <v>336</v>
      </c>
      <c r="G711" s="8">
        <v>1</v>
      </c>
      <c r="H711" s="11">
        <v>800</v>
      </c>
      <c r="I711" s="12">
        <v>42477</v>
      </c>
      <c r="J711" s="13">
        <f t="shared" si="25"/>
        <v>0</v>
      </c>
      <c r="K711" s="14"/>
      <c r="L711" s="14">
        <v>400</v>
      </c>
      <c r="M711" s="14">
        <v>400</v>
      </c>
      <c r="N711" s="14"/>
      <c r="O711" s="14"/>
      <c r="P711" s="14"/>
      <c r="Q711" s="14"/>
      <c r="R711" s="14"/>
      <c r="S711" s="14"/>
      <c r="T711" s="14"/>
      <c r="U711" s="14"/>
      <c r="V711" s="14"/>
      <c r="W711" s="15">
        <f t="shared" si="26"/>
        <v>800</v>
      </c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5"/>
      <c r="AK711" s="16"/>
    </row>
    <row r="712" spans="2:37" x14ac:dyDescent="0.2">
      <c r="B712" s="7" t="s">
        <v>73</v>
      </c>
      <c r="C712" s="8">
        <v>11460</v>
      </c>
      <c r="D712" s="9" t="s">
        <v>586</v>
      </c>
      <c r="E712" s="10" t="s">
        <v>587</v>
      </c>
      <c r="F712" s="10" t="s">
        <v>588</v>
      </c>
      <c r="G712" s="8">
        <v>1</v>
      </c>
      <c r="H712" s="11">
        <v>400</v>
      </c>
      <c r="I712" s="12">
        <v>42477</v>
      </c>
      <c r="J712" s="13">
        <f t="shared" si="25"/>
        <v>0</v>
      </c>
      <c r="K712" s="14">
        <v>200</v>
      </c>
      <c r="L712" s="14">
        <v>200</v>
      </c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5">
        <f t="shared" si="26"/>
        <v>400</v>
      </c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  <c r="AJ712" s="15"/>
      <c r="AK712" s="16"/>
    </row>
    <row r="713" spans="2:37" x14ac:dyDescent="0.2">
      <c r="B713" s="7" t="s">
        <v>47</v>
      </c>
      <c r="C713" s="8">
        <v>11461</v>
      </c>
      <c r="D713" s="9" t="s">
        <v>235</v>
      </c>
      <c r="E713" s="10" t="s">
        <v>236</v>
      </c>
      <c r="F713" s="10" t="s">
        <v>237</v>
      </c>
      <c r="G713" s="8">
        <v>1</v>
      </c>
      <c r="H713" s="11">
        <v>400</v>
      </c>
      <c r="I713" s="12">
        <v>42477</v>
      </c>
      <c r="J713" s="13">
        <f t="shared" si="25"/>
        <v>0</v>
      </c>
      <c r="K713" s="14"/>
      <c r="L713" s="14"/>
      <c r="M713" s="14"/>
      <c r="N713" s="14">
        <v>400</v>
      </c>
      <c r="O713" s="14"/>
      <c r="P713" s="14"/>
      <c r="Q713" s="14"/>
      <c r="R713" s="14"/>
      <c r="S713" s="14"/>
      <c r="T713" s="14"/>
      <c r="U713" s="14"/>
      <c r="V713" s="14"/>
      <c r="W713" s="15">
        <f t="shared" si="26"/>
        <v>400</v>
      </c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5"/>
      <c r="AK713" s="16"/>
    </row>
    <row r="714" spans="2:37" x14ac:dyDescent="0.2">
      <c r="B714" s="7" t="s">
        <v>122</v>
      </c>
      <c r="C714" s="8">
        <v>11462</v>
      </c>
      <c r="D714" s="9" t="s">
        <v>123</v>
      </c>
      <c r="E714" s="10" t="s">
        <v>124</v>
      </c>
      <c r="F714" s="10" t="s">
        <v>125</v>
      </c>
      <c r="G714" s="8">
        <v>1</v>
      </c>
      <c r="H714" s="11">
        <v>250</v>
      </c>
      <c r="I714" s="12">
        <v>42477</v>
      </c>
      <c r="J714" s="13">
        <f t="shared" si="25"/>
        <v>0</v>
      </c>
      <c r="K714" s="14"/>
      <c r="L714" s="14"/>
      <c r="M714" s="14"/>
      <c r="N714" s="14">
        <v>250</v>
      </c>
      <c r="O714" s="14"/>
      <c r="P714" s="14"/>
      <c r="Q714" s="14"/>
      <c r="R714" s="14"/>
      <c r="S714" s="14"/>
      <c r="T714" s="14"/>
      <c r="U714" s="14"/>
      <c r="V714" s="14"/>
      <c r="W714" s="15">
        <f t="shared" si="26"/>
        <v>250</v>
      </c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  <c r="AJ714" s="15"/>
      <c r="AK714" s="16"/>
    </row>
    <row r="715" spans="2:37" x14ac:dyDescent="0.2">
      <c r="B715" s="7" t="s">
        <v>37</v>
      </c>
      <c r="C715" s="8">
        <v>11463</v>
      </c>
      <c r="D715" s="9" t="s">
        <v>681</v>
      </c>
      <c r="E715" s="10" t="s">
        <v>682</v>
      </c>
      <c r="F715" s="10" t="s">
        <v>683</v>
      </c>
      <c r="G715" s="8">
        <v>1</v>
      </c>
      <c r="H715" s="11">
        <v>300</v>
      </c>
      <c r="I715" s="12">
        <v>42477</v>
      </c>
      <c r="J715" s="13">
        <f t="shared" si="25"/>
        <v>0</v>
      </c>
      <c r="K715" s="14"/>
      <c r="L715" s="14"/>
      <c r="M715" s="14"/>
      <c r="N715" s="14">
        <v>300</v>
      </c>
      <c r="O715" s="14"/>
      <c r="P715" s="14"/>
      <c r="Q715" s="14"/>
      <c r="R715" s="14"/>
      <c r="S715" s="14"/>
      <c r="T715" s="14"/>
      <c r="U715" s="14"/>
      <c r="V715" s="14"/>
      <c r="W715" s="15">
        <f t="shared" si="26"/>
        <v>300</v>
      </c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5"/>
      <c r="AK715" s="16"/>
    </row>
    <row r="716" spans="2:37" x14ac:dyDescent="0.2">
      <c r="B716" s="7" t="s">
        <v>47</v>
      </c>
      <c r="C716" s="8">
        <v>11464</v>
      </c>
      <c r="D716" s="9" t="s">
        <v>580</v>
      </c>
      <c r="E716" s="10" t="s">
        <v>581</v>
      </c>
      <c r="F716" s="10" t="s">
        <v>582</v>
      </c>
      <c r="G716" s="8">
        <v>1</v>
      </c>
      <c r="H716" s="11">
        <v>450</v>
      </c>
      <c r="I716" s="12">
        <v>42477</v>
      </c>
      <c r="J716" s="13">
        <f t="shared" si="25"/>
        <v>0</v>
      </c>
      <c r="K716" s="14"/>
      <c r="L716" s="14"/>
      <c r="M716" s="14"/>
      <c r="N716" s="14">
        <v>150</v>
      </c>
      <c r="O716" s="14">
        <v>150</v>
      </c>
      <c r="P716" s="14">
        <v>150</v>
      </c>
      <c r="Q716" s="14"/>
      <c r="R716" s="14"/>
      <c r="S716" s="14"/>
      <c r="T716" s="14"/>
      <c r="U716" s="14"/>
      <c r="V716" s="14"/>
      <c r="W716" s="15">
        <f t="shared" si="26"/>
        <v>450</v>
      </c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  <c r="AJ716" s="15"/>
      <c r="AK716" s="16"/>
    </row>
    <row r="717" spans="2:37" x14ac:dyDescent="0.2">
      <c r="B717" s="7" t="s">
        <v>77</v>
      </c>
      <c r="C717" s="8">
        <v>11465</v>
      </c>
      <c r="D717" s="9" t="s">
        <v>473</v>
      </c>
      <c r="E717" s="10" t="s">
        <v>474</v>
      </c>
      <c r="F717" s="10" t="s">
        <v>475</v>
      </c>
      <c r="G717" s="8">
        <v>1</v>
      </c>
      <c r="H717" s="11">
        <v>400</v>
      </c>
      <c r="I717" s="12">
        <v>42477</v>
      </c>
      <c r="J717" s="13">
        <f t="shared" si="25"/>
        <v>0</v>
      </c>
      <c r="K717" s="14"/>
      <c r="L717" s="14"/>
      <c r="M717" s="14"/>
      <c r="N717" s="14">
        <v>400</v>
      </c>
      <c r="O717" s="14"/>
      <c r="P717" s="14"/>
      <c r="Q717" s="14"/>
      <c r="R717" s="14"/>
      <c r="S717" s="14"/>
      <c r="T717" s="14"/>
      <c r="U717" s="14"/>
      <c r="V717" s="14"/>
      <c r="W717" s="15">
        <f t="shared" si="26"/>
        <v>400</v>
      </c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5"/>
      <c r="AK717" s="16"/>
    </row>
    <row r="718" spans="2:37" x14ac:dyDescent="0.2">
      <c r="B718" s="7" t="s">
        <v>69</v>
      </c>
      <c r="C718" s="8">
        <v>11466</v>
      </c>
      <c r="D718" s="9" t="s">
        <v>370</v>
      </c>
      <c r="E718" s="10" t="s">
        <v>371</v>
      </c>
      <c r="F718" s="10" t="s">
        <v>372</v>
      </c>
      <c r="G718" s="8">
        <v>1</v>
      </c>
      <c r="H718" s="11">
        <v>450</v>
      </c>
      <c r="I718" s="12">
        <v>42477</v>
      </c>
      <c r="J718" s="13">
        <f t="shared" si="25"/>
        <v>0</v>
      </c>
      <c r="K718" s="14"/>
      <c r="L718" s="14"/>
      <c r="M718" s="14">
        <v>150</v>
      </c>
      <c r="N718" s="14">
        <v>150</v>
      </c>
      <c r="O718" s="14">
        <v>150</v>
      </c>
      <c r="P718" s="14"/>
      <c r="Q718" s="14"/>
      <c r="R718" s="14"/>
      <c r="S718" s="14"/>
      <c r="T718" s="14"/>
      <c r="U718" s="14"/>
      <c r="V718" s="14"/>
      <c r="W718" s="15">
        <f t="shared" si="26"/>
        <v>450</v>
      </c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  <c r="AJ718" s="15"/>
      <c r="AK718" s="16"/>
    </row>
    <row r="719" spans="2:37" x14ac:dyDescent="0.2">
      <c r="B719" s="7" t="s">
        <v>73</v>
      </c>
      <c r="C719" s="8">
        <v>11467</v>
      </c>
      <c r="D719" s="9" t="s">
        <v>277</v>
      </c>
      <c r="E719" s="10" t="s">
        <v>278</v>
      </c>
      <c r="F719" s="10" t="s">
        <v>279</v>
      </c>
      <c r="G719" s="8">
        <v>1</v>
      </c>
      <c r="H719" s="11">
        <v>400</v>
      </c>
      <c r="I719" s="12">
        <v>42477</v>
      </c>
      <c r="J719" s="13">
        <f t="shared" ref="J719:J782" si="27">IF(G719=1,SUM(W719,-H719),0)</f>
        <v>0</v>
      </c>
      <c r="K719" s="14"/>
      <c r="L719" s="14"/>
      <c r="M719" s="14"/>
      <c r="N719" s="14">
        <v>200</v>
      </c>
      <c r="O719" s="14">
        <v>200</v>
      </c>
      <c r="P719" s="14"/>
      <c r="Q719" s="14"/>
      <c r="R719" s="14"/>
      <c r="S719" s="14"/>
      <c r="T719" s="14"/>
      <c r="U719" s="14"/>
      <c r="V719" s="14"/>
      <c r="W719" s="15">
        <f t="shared" si="26"/>
        <v>400</v>
      </c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5"/>
      <c r="AK719" s="16"/>
    </row>
    <row r="720" spans="2:37" x14ac:dyDescent="0.2">
      <c r="B720" s="7" t="s">
        <v>37</v>
      </c>
      <c r="C720" s="8">
        <v>11468</v>
      </c>
      <c r="D720" s="9" t="s">
        <v>766</v>
      </c>
      <c r="E720" s="10" t="s">
        <v>767</v>
      </c>
      <c r="F720" s="10" t="s">
        <v>768</v>
      </c>
      <c r="G720" s="8">
        <v>1</v>
      </c>
      <c r="H720" s="11">
        <v>800</v>
      </c>
      <c r="I720" s="12">
        <v>42477</v>
      </c>
      <c r="J720" s="13">
        <f t="shared" si="27"/>
        <v>0</v>
      </c>
      <c r="K720" s="14"/>
      <c r="L720" s="14"/>
      <c r="M720" s="14"/>
      <c r="N720" s="14">
        <v>400</v>
      </c>
      <c r="O720" s="14">
        <v>400</v>
      </c>
      <c r="P720" s="14"/>
      <c r="Q720" s="14"/>
      <c r="R720" s="14"/>
      <c r="S720" s="14"/>
      <c r="T720" s="14"/>
      <c r="U720" s="14"/>
      <c r="V720" s="14"/>
      <c r="W720" s="15">
        <f t="shared" si="26"/>
        <v>800</v>
      </c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  <c r="AJ720" s="15"/>
      <c r="AK720" s="16"/>
    </row>
    <row r="721" spans="2:37" x14ac:dyDescent="0.2">
      <c r="B721" s="7" t="s">
        <v>37</v>
      </c>
      <c r="C721" s="8">
        <v>11469</v>
      </c>
      <c r="D721" s="9" t="s">
        <v>766</v>
      </c>
      <c r="E721" s="10" t="s">
        <v>767</v>
      </c>
      <c r="F721" s="10" t="s">
        <v>768</v>
      </c>
      <c r="G721" s="8">
        <v>1</v>
      </c>
      <c r="H721" s="11">
        <v>400</v>
      </c>
      <c r="I721" s="12">
        <v>42477</v>
      </c>
      <c r="J721" s="13">
        <f t="shared" si="27"/>
        <v>0</v>
      </c>
      <c r="K721" s="14"/>
      <c r="L721" s="14"/>
      <c r="M721" s="14"/>
      <c r="N721" s="14"/>
      <c r="O721" s="14"/>
      <c r="P721" s="14">
        <v>400</v>
      </c>
      <c r="Q721" s="14"/>
      <c r="R721" s="14"/>
      <c r="S721" s="14"/>
      <c r="T721" s="14"/>
      <c r="U721" s="14"/>
      <c r="V721" s="14"/>
      <c r="W721" s="15">
        <f t="shared" si="26"/>
        <v>400</v>
      </c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5"/>
      <c r="AK721" s="16"/>
    </row>
    <row r="722" spans="2:37" x14ac:dyDescent="0.2">
      <c r="B722" s="7" t="s">
        <v>69</v>
      </c>
      <c r="C722" s="8">
        <v>11470</v>
      </c>
      <c r="D722" s="9" t="s">
        <v>714</v>
      </c>
      <c r="E722" s="10" t="s">
        <v>715</v>
      </c>
      <c r="F722" s="10" t="s">
        <v>487</v>
      </c>
      <c r="G722" s="8">
        <v>4</v>
      </c>
      <c r="H722" s="11">
        <v>160</v>
      </c>
      <c r="I722" s="12">
        <v>42477</v>
      </c>
      <c r="J722" s="13">
        <f t="shared" si="27"/>
        <v>0</v>
      </c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5">
        <f t="shared" si="26"/>
        <v>0</v>
      </c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  <c r="AJ722" s="15"/>
      <c r="AK722" s="7">
        <v>8414</v>
      </c>
    </row>
    <row r="723" spans="2:37" x14ac:dyDescent="0.2">
      <c r="B723" s="7" t="s">
        <v>37</v>
      </c>
      <c r="C723" s="8">
        <v>11471</v>
      </c>
      <c r="D723" s="9" t="s">
        <v>526</v>
      </c>
      <c r="E723" s="10" t="s">
        <v>527</v>
      </c>
      <c r="F723" s="10" t="s">
        <v>528</v>
      </c>
      <c r="G723" s="8">
        <v>1</v>
      </c>
      <c r="H723" s="11">
        <v>400</v>
      </c>
      <c r="I723" s="12">
        <v>42477</v>
      </c>
      <c r="J723" s="13">
        <f t="shared" si="27"/>
        <v>0</v>
      </c>
      <c r="K723" s="14"/>
      <c r="L723" s="14"/>
      <c r="M723" s="14"/>
      <c r="N723" s="14">
        <v>400</v>
      </c>
      <c r="O723" s="14"/>
      <c r="P723" s="14"/>
      <c r="Q723" s="14"/>
      <c r="R723" s="14"/>
      <c r="S723" s="14"/>
      <c r="T723" s="14"/>
      <c r="U723" s="14"/>
      <c r="V723" s="14"/>
      <c r="W723" s="15">
        <f t="shared" ref="W723:W783" si="28">SUM(K723:V723)</f>
        <v>400</v>
      </c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5"/>
      <c r="AK723" s="16"/>
    </row>
    <row r="724" spans="2:37" x14ac:dyDescent="0.2">
      <c r="B724" s="7" t="s">
        <v>73</v>
      </c>
      <c r="C724" s="8">
        <v>11472</v>
      </c>
      <c r="D724" s="9" t="s">
        <v>458</v>
      </c>
      <c r="E724" s="10" t="s">
        <v>459</v>
      </c>
      <c r="F724" s="10" t="s">
        <v>460</v>
      </c>
      <c r="G724" s="8">
        <v>1</v>
      </c>
      <c r="H724" s="11">
        <v>400</v>
      </c>
      <c r="I724" s="12">
        <v>42477</v>
      </c>
      <c r="J724" s="13">
        <f t="shared" si="27"/>
        <v>0</v>
      </c>
      <c r="K724" s="14"/>
      <c r="L724" s="14"/>
      <c r="M724" s="14"/>
      <c r="N724" s="14">
        <v>400</v>
      </c>
      <c r="O724" s="14"/>
      <c r="P724" s="14"/>
      <c r="Q724" s="14"/>
      <c r="R724" s="14"/>
      <c r="S724" s="14"/>
      <c r="T724" s="14"/>
      <c r="U724" s="14"/>
      <c r="V724" s="14"/>
      <c r="W724" s="15">
        <f t="shared" si="28"/>
        <v>400</v>
      </c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  <c r="AJ724" s="15"/>
      <c r="AK724" s="16"/>
    </row>
    <row r="725" spans="2:37" x14ac:dyDescent="0.2">
      <c r="B725" s="7" t="s">
        <v>122</v>
      </c>
      <c r="C725" s="8">
        <v>11473</v>
      </c>
      <c r="D725" s="9" t="s">
        <v>331</v>
      </c>
      <c r="E725" s="10" t="s">
        <v>332</v>
      </c>
      <c r="F725" s="10" t="s">
        <v>333</v>
      </c>
      <c r="G725" s="8">
        <v>1</v>
      </c>
      <c r="H725" s="11">
        <v>400</v>
      </c>
      <c r="I725" s="12">
        <v>42477</v>
      </c>
      <c r="J725" s="13">
        <f t="shared" si="27"/>
        <v>0</v>
      </c>
      <c r="K725" s="14"/>
      <c r="L725" s="14"/>
      <c r="M725" s="14"/>
      <c r="N725" s="14">
        <v>400</v>
      </c>
      <c r="O725" s="14"/>
      <c r="P725" s="14"/>
      <c r="Q725" s="14"/>
      <c r="R725" s="14"/>
      <c r="S725" s="14"/>
      <c r="T725" s="14"/>
      <c r="U725" s="14"/>
      <c r="V725" s="14"/>
      <c r="W725" s="15">
        <f t="shared" si="28"/>
        <v>400</v>
      </c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5"/>
      <c r="AK725" s="16"/>
    </row>
    <row r="726" spans="2:37" x14ac:dyDescent="0.2">
      <c r="B726" s="7" t="s">
        <v>37</v>
      </c>
      <c r="C726" s="8">
        <v>11474</v>
      </c>
      <c r="D726" s="9" t="s">
        <v>401</v>
      </c>
      <c r="E726" s="10" t="s">
        <v>402</v>
      </c>
      <c r="F726" s="10" t="s">
        <v>403</v>
      </c>
      <c r="G726" s="8">
        <v>1</v>
      </c>
      <c r="H726" s="11">
        <v>1600</v>
      </c>
      <c r="I726" s="12">
        <v>42477</v>
      </c>
      <c r="J726" s="13">
        <f t="shared" si="27"/>
        <v>0</v>
      </c>
      <c r="K726" s="14">
        <v>400</v>
      </c>
      <c r="L726" s="14">
        <v>400</v>
      </c>
      <c r="M726" s="14">
        <v>400</v>
      </c>
      <c r="N726" s="14">
        <v>400</v>
      </c>
      <c r="O726" s="14"/>
      <c r="P726" s="14"/>
      <c r="Q726" s="14"/>
      <c r="R726" s="14"/>
      <c r="S726" s="14"/>
      <c r="T726" s="14"/>
      <c r="U726" s="14"/>
      <c r="V726" s="14"/>
      <c r="W726" s="15">
        <f t="shared" si="28"/>
        <v>1600</v>
      </c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  <c r="AJ726" s="15"/>
      <c r="AK726" s="16" t="s">
        <v>914</v>
      </c>
    </row>
    <row r="727" spans="2:37" x14ac:dyDescent="0.2">
      <c r="B727" s="7" t="s">
        <v>47</v>
      </c>
      <c r="C727" s="8">
        <v>11475</v>
      </c>
      <c r="D727" s="9" t="s">
        <v>620</v>
      </c>
      <c r="E727" s="10" t="s">
        <v>621</v>
      </c>
      <c r="F727" s="10" t="s">
        <v>366</v>
      </c>
      <c r="G727" s="8">
        <v>1</v>
      </c>
      <c r="H727" s="11">
        <v>400</v>
      </c>
      <c r="I727" s="12">
        <v>42477</v>
      </c>
      <c r="J727" s="13">
        <f t="shared" si="27"/>
        <v>0</v>
      </c>
      <c r="K727" s="14"/>
      <c r="L727" s="14"/>
      <c r="M727" s="14">
        <v>400</v>
      </c>
      <c r="N727" s="14"/>
      <c r="O727" s="14"/>
      <c r="P727" s="14"/>
      <c r="Q727" s="14"/>
      <c r="R727" s="14"/>
      <c r="S727" s="14"/>
      <c r="T727" s="14"/>
      <c r="U727" s="14"/>
      <c r="V727" s="14"/>
      <c r="W727" s="15">
        <f t="shared" si="28"/>
        <v>400</v>
      </c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5"/>
      <c r="AK727" s="16"/>
    </row>
    <row r="728" spans="2:37" x14ac:dyDescent="0.2">
      <c r="B728" s="7" t="s">
        <v>122</v>
      </c>
      <c r="C728" s="8">
        <v>11476</v>
      </c>
      <c r="D728" s="9" t="s">
        <v>761</v>
      </c>
      <c r="E728" s="10" t="s">
        <v>762</v>
      </c>
      <c r="F728" s="10" t="s">
        <v>403</v>
      </c>
      <c r="G728" s="8">
        <v>1</v>
      </c>
      <c r="H728" s="11">
        <v>800</v>
      </c>
      <c r="I728" s="12">
        <v>42477</v>
      </c>
      <c r="J728" s="13">
        <f t="shared" si="27"/>
        <v>0</v>
      </c>
      <c r="K728" s="14"/>
      <c r="L728" s="14"/>
      <c r="M728" s="14">
        <v>400</v>
      </c>
      <c r="N728" s="14">
        <v>400</v>
      </c>
      <c r="O728" s="14"/>
      <c r="P728" s="14"/>
      <c r="Q728" s="14"/>
      <c r="R728" s="14"/>
      <c r="S728" s="14"/>
      <c r="T728" s="14"/>
      <c r="U728" s="14"/>
      <c r="V728" s="14"/>
      <c r="W728" s="15">
        <f t="shared" si="28"/>
        <v>800</v>
      </c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  <c r="AJ728" s="15"/>
      <c r="AK728" s="16"/>
    </row>
    <row r="729" spans="2:37" x14ac:dyDescent="0.2">
      <c r="B729" s="7" t="s">
        <v>37</v>
      </c>
      <c r="C729" s="8">
        <v>11477</v>
      </c>
      <c r="D729" s="9" t="s">
        <v>295</v>
      </c>
      <c r="E729" s="10" t="s">
        <v>296</v>
      </c>
      <c r="F729" s="10" t="s">
        <v>297</v>
      </c>
      <c r="G729" s="8">
        <v>1</v>
      </c>
      <c r="H729" s="11">
        <v>300</v>
      </c>
      <c r="I729" s="12">
        <v>42477</v>
      </c>
      <c r="J729" s="13">
        <f t="shared" si="27"/>
        <v>0</v>
      </c>
      <c r="K729" s="14"/>
      <c r="L729" s="14"/>
      <c r="M729" s="14"/>
      <c r="N729" s="14">
        <v>300</v>
      </c>
      <c r="O729" s="14"/>
      <c r="P729" s="14"/>
      <c r="Q729" s="14"/>
      <c r="R729" s="14"/>
      <c r="S729" s="14"/>
      <c r="T729" s="14"/>
      <c r="U729" s="14"/>
      <c r="V729" s="14"/>
      <c r="W729" s="15">
        <f t="shared" si="28"/>
        <v>300</v>
      </c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5"/>
      <c r="AK729" s="16"/>
    </row>
    <row r="730" spans="2:37" x14ac:dyDescent="0.2">
      <c r="B730" s="7" t="s">
        <v>69</v>
      </c>
      <c r="C730" s="8">
        <v>11478</v>
      </c>
      <c r="D730" s="9" t="s">
        <v>915</v>
      </c>
      <c r="E730" s="10" t="s">
        <v>916</v>
      </c>
      <c r="F730" s="10" t="s">
        <v>917</v>
      </c>
      <c r="G730" s="8">
        <v>1</v>
      </c>
      <c r="H730" s="11">
        <v>800</v>
      </c>
      <c r="I730" s="12">
        <v>42477</v>
      </c>
      <c r="J730" s="13">
        <f t="shared" si="27"/>
        <v>0</v>
      </c>
      <c r="K730" s="14">
        <v>200</v>
      </c>
      <c r="L730" s="14">
        <v>200</v>
      </c>
      <c r="M730" s="14">
        <v>200</v>
      </c>
      <c r="N730" s="14">
        <v>200</v>
      </c>
      <c r="O730" s="14"/>
      <c r="P730" s="14"/>
      <c r="Q730" s="14"/>
      <c r="R730" s="14"/>
      <c r="S730" s="14"/>
      <c r="T730" s="14"/>
      <c r="U730" s="14"/>
      <c r="V730" s="14"/>
      <c r="W730" s="15">
        <f t="shared" si="28"/>
        <v>800</v>
      </c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  <c r="AJ730" s="15"/>
      <c r="AK730" s="16"/>
    </row>
    <row r="731" spans="2:37" x14ac:dyDescent="0.2">
      <c r="B731" s="7" t="s">
        <v>77</v>
      </c>
      <c r="C731" s="8">
        <v>11479</v>
      </c>
      <c r="D731" s="9" t="s">
        <v>384</v>
      </c>
      <c r="E731" s="10" t="s">
        <v>385</v>
      </c>
      <c r="F731" s="10" t="s">
        <v>386</v>
      </c>
      <c r="G731" s="8">
        <v>1</v>
      </c>
      <c r="H731" s="11">
        <v>350</v>
      </c>
      <c r="I731" s="12">
        <v>42477</v>
      </c>
      <c r="J731" s="13">
        <f t="shared" si="27"/>
        <v>0</v>
      </c>
      <c r="K731" s="14"/>
      <c r="L731" s="14"/>
      <c r="M731" s="14"/>
      <c r="N731" s="14">
        <v>350</v>
      </c>
      <c r="O731" s="14"/>
      <c r="P731" s="14"/>
      <c r="Q731" s="14"/>
      <c r="R731" s="14"/>
      <c r="S731" s="14"/>
      <c r="T731" s="14"/>
      <c r="U731" s="14"/>
      <c r="V731" s="14"/>
      <c r="W731" s="15">
        <f t="shared" si="28"/>
        <v>350</v>
      </c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5"/>
      <c r="AK731" s="16"/>
    </row>
    <row r="732" spans="2:37" x14ac:dyDescent="0.2">
      <c r="B732" s="7" t="s">
        <v>47</v>
      </c>
      <c r="C732" s="8">
        <v>11480</v>
      </c>
      <c r="D732" s="9" t="s">
        <v>705</v>
      </c>
      <c r="E732" s="10" t="s">
        <v>706</v>
      </c>
      <c r="F732" s="10" t="s">
        <v>707</v>
      </c>
      <c r="G732" s="8">
        <v>1</v>
      </c>
      <c r="H732" s="11">
        <v>300</v>
      </c>
      <c r="I732" s="12">
        <v>42477</v>
      </c>
      <c r="J732" s="13">
        <f t="shared" si="27"/>
        <v>0</v>
      </c>
      <c r="K732" s="14"/>
      <c r="L732" s="14"/>
      <c r="M732" s="14"/>
      <c r="N732" s="14">
        <v>300</v>
      </c>
      <c r="O732" s="14"/>
      <c r="P732" s="14"/>
      <c r="Q732" s="14"/>
      <c r="R732" s="14"/>
      <c r="S732" s="14"/>
      <c r="T732" s="14"/>
      <c r="U732" s="14"/>
      <c r="V732" s="14"/>
      <c r="W732" s="15">
        <f t="shared" si="28"/>
        <v>300</v>
      </c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  <c r="AJ732" s="15"/>
      <c r="AK732" s="16"/>
    </row>
    <row r="733" spans="2:37" x14ac:dyDescent="0.2">
      <c r="B733" s="7" t="s">
        <v>37</v>
      </c>
      <c r="C733" s="8">
        <v>11481</v>
      </c>
      <c r="D733" s="9" t="s">
        <v>553</v>
      </c>
      <c r="E733" s="10" t="s">
        <v>554</v>
      </c>
      <c r="F733" s="10" t="s">
        <v>555</v>
      </c>
      <c r="G733" s="8">
        <v>1</v>
      </c>
      <c r="H733" s="11">
        <v>1200</v>
      </c>
      <c r="I733" s="12">
        <v>42477</v>
      </c>
      <c r="J733" s="13">
        <f t="shared" si="27"/>
        <v>0</v>
      </c>
      <c r="K733" s="14"/>
      <c r="L733" s="14">
        <v>400</v>
      </c>
      <c r="M733" s="14">
        <v>400</v>
      </c>
      <c r="N733" s="14">
        <v>400</v>
      </c>
      <c r="O733" s="14"/>
      <c r="P733" s="14"/>
      <c r="Q733" s="14"/>
      <c r="R733" s="14"/>
      <c r="S733" s="14"/>
      <c r="T733" s="14"/>
      <c r="U733" s="14"/>
      <c r="V733" s="14"/>
      <c r="W733" s="15">
        <f t="shared" si="28"/>
        <v>1200</v>
      </c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5"/>
      <c r="AK733" s="16"/>
    </row>
    <row r="734" spans="2:37" x14ac:dyDescent="0.2">
      <c r="B734" s="7" t="s">
        <v>69</v>
      </c>
      <c r="C734" s="8">
        <v>11482</v>
      </c>
      <c r="D734" s="9" t="s">
        <v>800</v>
      </c>
      <c r="E734" s="10" t="s">
        <v>801</v>
      </c>
      <c r="F734" s="10" t="s">
        <v>802</v>
      </c>
      <c r="G734" s="8">
        <v>1</v>
      </c>
      <c r="H734" s="11">
        <v>800</v>
      </c>
      <c r="I734" s="12">
        <v>42477</v>
      </c>
      <c r="J734" s="13">
        <f t="shared" si="27"/>
        <v>0</v>
      </c>
      <c r="K734" s="14"/>
      <c r="L734" s="14"/>
      <c r="M734" s="14">
        <v>400</v>
      </c>
      <c r="N734" s="14">
        <v>400</v>
      </c>
      <c r="O734" s="14"/>
      <c r="P734" s="14"/>
      <c r="Q734" s="14"/>
      <c r="R734" s="14"/>
      <c r="S734" s="14"/>
      <c r="T734" s="14"/>
      <c r="U734" s="14"/>
      <c r="V734" s="14"/>
      <c r="W734" s="15">
        <f t="shared" si="28"/>
        <v>800</v>
      </c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  <c r="AJ734" s="15"/>
      <c r="AK734" s="16"/>
    </row>
    <row r="735" spans="2:37" x14ac:dyDescent="0.2">
      <c r="B735" s="7" t="s">
        <v>47</v>
      </c>
      <c r="C735" s="8">
        <v>11483</v>
      </c>
      <c r="D735" s="9" t="s">
        <v>189</v>
      </c>
      <c r="E735" s="10" t="s">
        <v>190</v>
      </c>
      <c r="F735" s="10" t="s">
        <v>191</v>
      </c>
      <c r="G735" s="8">
        <v>1</v>
      </c>
      <c r="H735" s="11">
        <v>400</v>
      </c>
      <c r="I735" s="12">
        <v>42477</v>
      </c>
      <c r="J735" s="13">
        <f t="shared" si="27"/>
        <v>0</v>
      </c>
      <c r="K735" s="14"/>
      <c r="L735" s="14"/>
      <c r="M735" s="14"/>
      <c r="N735" s="14">
        <v>400</v>
      </c>
      <c r="O735" s="14"/>
      <c r="P735" s="14"/>
      <c r="Q735" s="14"/>
      <c r="R735" s="14"/>
      <c r="S735" s="14"/>
      <c r="T735" s="14"/>
      <c r="U735" s="14"/>
      <c r="V735" s="14"/>
      <c r="W735" s="15">
        <f t="shared" si="28"/>
        <v>400</v>
      </c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5"/>
      <c r="AK735" s="16"/>
    </row>
    <row r="736" spans="2:37" x14ac:dyDescent="0.2">
      <c r="B736" s="7" t="s">
        <v>73</v>
      </c>
      <c r="C736" s="8">
        <v>11484</v>
      </c>
      <c r="D736" s="9" t="s">
        <v>611</v>
      </c>
      <c r="E736" s="10" t="s">
        <v>612</v>
      </c>
      <c r="F736" s="10" t="s">
        <v>613</v>
      </c>
      <c r="G736" s="8">
        <v>1</v>
      </c>
      <c r="H736" s="11">
        <v>400</v>
      </c>
      <c r="I736" s="12">
        <v>42477</v>
      </c>
      <c r="J736" s="13">
        <f t="shared" si="27"/>
        <v>0</v>
      </c>
      <c r="K736" s="14"/>
      <c r="L736" s="14"/>
      <c r="M736" s="14"/>
      <c r="N736" s="14">
        <v>400</v>
      </c>
      <c r="O736" s="14"/>
      <c r="P736" s="14"/>
      <c r="Q736" s="14"/>
      <c r="R736" s="14"/>
      <c r="S736" s="14"/>
      <c r="T736" s="14"/>
      <c r="U736" s="14"/>
      <c r="V736" s="14"/>
      <c r="W736" s="15">
        <f t="shared" si="28"/>
        <v>400</v>
      </c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5"/>
      <c r="AK736" s="16"/>
    </row>
    <row r="737" spans="2:37" x14ac:dyDescent="0.2">
      <c r="B737" s="7" t="s">
        <v>73</v>
      </c>
      <c r="C737" s="8">
        <v>11485</v>
      </c>
      <c r="D737" s="9" t="s">
        <v>559</v>
      </c>
      <c r="E737" s="10" t="s">
        <v>560</v>
      </c>
      <c r="F737" s="10" t="s">
        <v>561</v>
      </c>
      <c r="G737" s="8">
        <v>3</v>
      </c>
      <c r="H737" s="11">
        <v>160</v>
      </c>
      <c r="I737" s="12">
        <v>42477</v>
      </c>
      <c r="J737" s="13">
        <f t="shared" si="27"/>
        <v>0</v>
      </c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5">
        <f t="shared" si="28"/>
        <v>0</v>
      </c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5"/>
      <c r="AK737" s="16"/>
    </row>
    <row r="738" spans="2:37" x14ac:dyDescent="0.2">
      <c r="B738" s="7" t="s">
        <v>47</v>
      </c>
      <c r="C738" s="8">
        <v>11486</v>
      </c>
      <c r="D738" s="9" t="s">
        <v>464</v>
      </c>
      <c r="E738" s="10" t="s">
        <v>465</v>
      </c>
      <c r="F738" s="10" t="s">
        <v>466</v>
      </c>
      <c r="G738" s="8">
        <v>1</v>
      </c>
      <c r="H738" s="11">
        <v>600</v>
      </c>
      <c r="I738" s="12">
        <v>42477</v>
      </c>
      <c r="J738" s="13">
        <f t="shared" si="27"/>
        <v>0</v>
      </c>
      <c r="K738" s="14"/>
      <c r="L738" s="14">
        <v>200</v>
      </c>
      <c r="M738" s="14">
        <v>200</v>
      </c>
      <c r="N738" s="14">
        <v>200</v>
      </c>
      <c r="O738" s="14"/>
      <c r="P738" s="14"/>
      <c r="Q738" s="14"/>
      <c r="R738" s="14"/>
      <c r="S738" s="14"/>
      <c r="T738" s="14"/>
      <c r="U738" s="14"/>
      <c r="V738" s="14"/>
      <c r="W738" s="15">
        <f t="shared" si="28"/>
        <v>600</v>
      </c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  <c r="AJ738" s="15"/>
      <c r="AK738" s="16"/>
    </row>
    <row r="739" spans="2:37" x14ac:dyDescent="0.2">
      <c r="B739" s="7" t="s">
        <v>77</v>
      </c>
      <c r="C739" s="8">
        <v>11487</v>
      </c>
      <c r="D739" s="9" t="s">
        <v>725</v>
      </c>
      <c r="E739" s="10" t="s">
        <v>726</v>
      </c>
      <c r="F739" s="10" t="s">
        <v>727</v>
      </c>
      <c r="G739" s="8">
        <v>1</v>
      </c>
      <c r="H739" s="11">
        <v>400</v>
      </c>
      <c r="I739" s="12">
        <v>42477</v>
      </c>
      <c r="J739" s="13">
        <f t="shared" si="27"/>
        <v>0</v>
      </c>
      <c r="K739" s="14"/>
      <c r="L739" s="14"/>
      <c r="M739" s="14">
        <v>400</v>
      </c>
      <c r="N739" s="14"/>
      <c r="O739" s="14"/>
      <c r="P739" s="14"/>
      <c r="Q739" s="14"/>
      <c r="R739" s="14"/>
      <c r="S739" s="14"/>
      <c r="T739" s="14"/>
      <c r="U739" s="14"/>
      <c r="V739" s="14"/>
      <c r="W739" s="15">
        <f t="shared" si="28"/>
        <v>400</v>
      </c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5"/>
      <c r="AK739" s="16"/>
    </row>
    <row r="740" spans="2:37" x14ac:dyDescent="0.2">
      <c r="B740" s="7" t="s">
        <v>37</v>
      </c>
      <c r="C740" s="8">
        <v>11488</v>
      </c>
      <c r="D740" s="9" t="s">
        <v>684</v>
      </c>
      <c r="E740" s="10" t="s">
        <v>685</v>
      </c>
      <c r="F740" s="10" t="s">
        <v>686</v>
      </c>
      <c r="G740" s="8">
        <v>1</v>
      </c>
      <c r="H740" s="11">
        <v>800</v>
      </c>
      <c r="I740" s="12">
        <v>42477</v>
      </c>
      <c r="J740" s="13">
        <f t="shared" si="27"/>
        <v>0</v>
      </c>
      <c r="K740" s="14"/>
      <c r="L740" s="14"/>
      <c r="M740" s="14">
        <v>400</v>
      </c>
      <c r="N740" s="14">
        <v>400</v>
      </c>
      <c r="O740" s="14"/>
      <c r="P740" s="14"/>
      <c r="Q740" s="14"/>
      <c r="R740" s="14"/>
      <c r="S740" s="14"/>
      <c r="T740" s="14"/>
      <c r="U740" s="14"/>
      <c r="V740" s="14"/>
      <c r="W740" s="15">
        <f t="shared" si="28"/>
        <v>800</v>
      </c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  <c r="AJ740" s="15"/>
      <c r="AK740" s="16"/>
    </row>
    <row r="741" spans="2:37" x14ac:dyDescent="0.2">
      <c r="B741" s="7" t="s">
        <v>37</v>
      </c>
      <c r="C741" s="8">
        <v>11489</v>
      </c>
      <c r="D741" s="9" t="s">
        <v>446</v>
      </c>
      <c r="E741" s="10" t="s">
        <v>447</v>
      </c>
      <c r="F741" s="10" t="s">
        <v>448</v>
      </c>
      <c r="G741" s="8">
        <v>1</v>
      </c>
      <c r="H741" s="11">
        <v>150</v>
      </c>
      <c r="I741" s="12">
        <v>42478</v>
      </c>
      <c r="J741" s="13">
        <f t="shared" si="27"/>
        <v>0</v>
      </c>
      <c r="K741" s="14"/>
      <c r="L741" s="14"/>
      <c r="M741" s="14"/>
      <c r="N741" s="14">
        <v>150</v>
      </c>
      <c r="O741" s="14"/>
      <c r="P741" s="14"/>
      <c r="Q741" s="14"/>
      <c r="R741" s="14"/>
      <c r="S741" s="14"/>
      <c r="T741" s="14"/>
      <c r="U741" s="14"/>
      <c r="V741" s="14"/>
      <c r="W741" s="15">
        <f t="shared" si="28"/>
        <v>150</v>
      </c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5"/>
      <c r="AK741" s="16"/>
    </row>
    <row r="742" spans="2:37" x14ac:dyDescent="0.2">
      <c r="B742" s="7" t="s">
        <v>73</v>
      </c>
      <c r="C742" s="8">
        <v>11490</v>
      </c>
      <c r="D742" s="9" t="s">
        <v>202</v>
      </c>
      <c r="E742" s="10" t="s">
        <v>203</v>
      </c>
      <c r="F742" s="10" t="s">
        <v>204</v>
      </c>
      <c r="G742" s="8">
        <v>1</v>
      </c>
      <c r="H742" s="11">
        <v>400</v>
      </c>
      <c r="I742" s="12">
        <v>42478</v>
      </c>
      <c r="J742" s="13">
        <f t="shared" si="27"/>
        <v>0</v>
      </c>
      <c r="K742" s="14"/>
      <c r="L742" s="14"/>
      <c r="M742" s="14"/>
      <c r="N742" s="14">
        <v>400</v>
      </c>
      <c r="O742" s="14"/>
      <c r="P742" s="14"/>
      <c r="Q742" s="14"/>
      <c r="R742" s="14"/>
      <c r="S742" s="14"/>
      <c r="T742" s="14"/>
      <c r="U742" s="14"/>
      <c r="V742" s="14"/>
      <c r="W742" s="15">
        <f t="shared" si="28"/>
        <v>400</v>
      </c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  <c r="AJ742" s="15"/>
      <c r="AK742" s="16"/>
    </row>
    <row r="743" spans="2:37" x14ac:dyDescent="0.2">
      <c r="B743" s="7" t="s">
        <v>122</v>
      </c>
      <c r="C743" s="8">
        <v>11491</v>
      </c>
      <c r="D743" s="9" t="s">
        <v>331</v>
      </c>
      <c r="E743" s="10" t="s">
        <v>332</v>
      </c>
      <c r="F743" s="10" t="s">
        <v>333</v>
      </c>
      <c r="G743" s="8">
        <v>4</v>
      </c>
      <c r="H743" s="11">
        <v>160</v>
      </c>
      <c r="I743" s="12">
        <v>42479</v>
      </c>
      <c r="J743" s="13">
        <f t="shared" si="27"/>
        <v>0</v>
      </c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5">
        <f t="shared" si="28"/>
        <v>0</v>
      </c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5"/>
      <c r="AK743" s="7">
        <v>19184</v>
      </c>
    </row>
    <row r="744" spans="2:37" x14ac:dyDescent="0.2">
      <c r="B744" s="7" t="s">
        <v>69</v>
      </c>
      <c r="C744" s="8">
        <v>11492</v>
      </c>
      <c r="D744" s="9" t="s">
        <v>361</v>
      </c>
      <c r="E744" s="10" t="s">
        <v>362</v>
      </c>
      <c r="F744" s="10" t="s">
        <v>363</v>
      </c>
      <c r="G744" s="8">
        <v>3</v>
      </c>
      <c r="H744" s="11">
        <v>160</v>
      </c>
      <c r="I744" s="12">
        <v>42481</v>
      </c>
      <c r="J744" s="13">
        <f t="shared" si="27"/>
        <v>0</v>
      </c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5">
        <f t="shared" si="28"/>
        <v>0</v>
      </c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  <c r="AJ744" s="15"/>
      <c r="AK744" s="16"/>
    </row>
    <row r="745" spans="2:37" x14ac:dyDescent="0.2">
      <c r="B745" s="7" t="s">
        <v>37</v>
      </c>
      <c r="C745" s="8">
        <v>11493</v>
      </c>
      <c r="D745" s="9" t="s">
        <v>840</v>
      </c>
      <c r="E745" s="10" t="s">
        <v>841</v>
      </c>
      <c r="F745" s="10" t="s">
        <v>842</v>
      </c>
      <c r="G745" s="8">
        <v>1</v>
      </c>
      <c r="H745" s="11">
        <v>800</v>
      </c>
      <c r="I745" s="12">
        <v>42484</v>
      </c>
      <c r="J745" s="13">
        <f t="shared" si="27"/>
        <v>0</v>
      </c>
      <c r="K745" s="14"/>
      <c r="L745" s="14"/>
      <c r="M745" s="14">
        <v>400</v>
      </c>
      <c r="N745" s="14">
        <v>400</v>
      </c>
      <c r="O745" s="14"/>
      <c r="P745" s="14"/>
      <c r="Q745" s="14"/>
      <c r="R745" s="14"/>
      <c r="S745" s="14"/>
      <c r="T745" s="14"/>
      <c r="U745" s="14"/>
      <c r="V745" s="14"/>
      <c r="W745" s="15">
        <f t="shared" si="28"/>
        <v>800</v>
      </c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5"/>
      <c r="AK745" s="16"/>
    </row>
    <row r="746" spans="2:37" x14ac:dyDescent="0.2">
      <c r="B746" s="7" t="s">
        <v>37</v>
      </c>
      <c r="C746" s="8">
        <v>11494</v>
      </c>
      <c r="D746" s="9" t="s">
        <v>814</v>
      </c>
      <c r="E746" s="10" t="s">
        <v>815</v>
      </c>
      <c r="F746" s="10" t="s">
        <v>816</v>
      </c>
      <c r="G746" s="8">
        <v>8</v>
      </c>
      <c r="H746" s="11"/>
      <c r="I746" s="12">
        <v>42484</v>
      </c>
      <c r="J746" s="13">
        <f t="shared" si="27"/>
        <v>0</v>
      </c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5">
        <f t="shared" si="28"/>
        <v>0</v>
      </c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  <c r="AJ746" s="15"/>
      <c r="AK746" s="16"/>
    </row>
    <row r="747" spans="2:37" x14ac:dyDescent="0.2">
      <c r="B747" s="7" t="s">
        <v>93</v>
      </c>
      <c r="C747" s="8">
        <v>11495</v>
      </c>
      <c r="D747" s="9"/>
      <c r="E747" s="10" t="s">
        <v>93</v>
      </c>
      <c r="F747" s="10" t="s">
        <v>93</v>
      </c>
      <c r="G747" s="8">
        <v>8</v>
      </c>
      <c r="H747" s="11"/>
      <c r="I747" s="12"/>
      <c r="J747" s="13">
        <f t="shared" si="27"/>
        <v>0</v>
      </c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5">
        <f t="shared" si="28"/>
        <v>0</v>
      </c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5"/>
      <c r="AK747" s="16"/>
    </row>
    <row r="748" spans="2:37" x14ac:dyDescent="0.2">
      <c r="B748" s="7" t="s">
        <v>37</v>
      </c>
      <c r="C748" s="8">
        <v>11496</v>
      </c>
      <c r="D748" s="9" t="s">
        <v>538</v>
      </c>
      <c r="E748" s="10" t="s">
        <v>539</v>
      </c>
      <c r="F748" s="10" t="s">
        <v>540</v>
      </c>
      <c r="G748" s="8">
        <v>1</v>
      </c>
      <c r="H748" s="11">
        <v>400</v>
      </c>
      <c r="I748" s="12">
        <v>42484</v>
      </c>
      <c r="J748" s="13">
        <f t="shared" si="27"/>
        <v>0</v>
      </c>
      <c r="K748" s="14"/>
      <c r="L748" s="14"/>
      <c r="M748" s="14"/>
      <c r="N748" s="14">
        <v>400</v>
      </c>
      <c r="O748" s="14"/>
      <c r="P748" s="14"/>
      <c r="Q748" s="14"/>
      <c r="R748" s="14"/>
      <c r="S748" s="14"/>
      <c r="T748" s="14"/>
      <c r="U748" s="14"/>
      <c r="V748" s="14"/>
      <c r="W748" s="15">
        <f t="shared" si="28"/>
        <v>400</v>
      </c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  <c r="AJ748" s="15"/>
      <c r="AK748" s="16"/>
    </row>
    <row r="749" spans="2:37" x14ac:dyDescent="0.2">
      <c r="B749" s="7" t="s">
        <v>47</v>
      </c>
      <c r="C749" s="8">
        <v>11497</v>
      </c>
      <c r="D749" s="9" t="s">
        <v>103</v>
      </c>
      <c r="E749" s="10" t="s">
        <v>104</v>
      </c>
      <c r="F749" s="10" t="s">
        <v>105</v>
      </c>
      <c r="G749" s="8">
        <v>1</v>
      </c>
      <c r="H749" s="11">
        <v>400</v>
      </c>
      <c r="I749" s="12">
        <v>42484</v>
      </c>
      <c r="J749" s="13">
        <f t="shared" si="27"/>
        <v>0</v>
      </c>
      <c r="K749" s="14"/>
      <c r="L749" s="14"/>
      <c r="M749" s="14"/>
      <c r="N749" s="14">
        <v>400</v>
      </c>
      <c r="O749" s="14"/>
      <c r="P749" s="14"/>
      <c r="Q749" s="14"/>
      <c r="R749" s="14"/>
      <c r="S749" s="14"/>
      <c r="T749" s="14"/>
      <c r="U749" s="14"/>
      <c r="V749" s="14"/>
      <c r="W749" s="15">
        <f t="shared" si="28"/>
        <v>400</v>
      </c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5"/>
      <c r="AK749" s="16"/>
    </row>
    <row r="750" spans="2:37" x14ac:dyDescent="0.2">
      <c r="B750" s="7" t="s">
        <v>69</v>
      </c>
      <c r="C750" s="8">
        <v>11498</v>
      </c>
      <c r="D750" s="9" t="s">
        <v>343</v>
      </c>
      <c r="E750" s="10" t="s">
        <v>344</v>
      </c>
      <c r="F750" s="10" t="s">
        <v>345</v>
      </c>
      <c r="G750" s="8">
        <v>1</v>
      </c>
      <c r="H750" s="11">
        <v>400</v>
      </c>
      <c r="I750" s="12">
        <v>42484</v>
      </c>
      <c r="J750" s="13">
        <f t="shared" si="27"/>
        <v>0</v>
      </c>
      <c r="K750" s="14"/>
      <c r="L750" s="14"/>
      <c r="M750" s="14"/>
      <c r="N750" s="14">
        <v>400</v>
      </c>
      <c r="O750" s="14"/>
      <c r="P750" s="14"/>
      <c r="Q750" s="14"/>
      <c r="R750" s="14"/>
      <c r="S750" s="14"/>
      <c r="T750" s="14"/>
      <c r="U750" s="14"/>
      <c r="V750" s="14"/>
      <c r="W750" s="15">
        <f t="shared" si="28"/>
        <v>400</v>
      </c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  <c r="AJ750" s="15"/>
      <c r="AK750" s="16"/>
    </row>
    <row r="751" spans="2:37" x14ac:dyDescent="0.2">
      <c r="B751" s="7" t="s">
        <v>61</v>
      </c>
      <c r="C751" s="8">
        <v>11499</v>
      </c>
      <c r="D751" s="9" t="s">
        <v>737</v>
      </c>
      <c r="E751" s="10" t="s">
        <v>738</v>
      </c>
      <c r="F751" s="10" t="s">
        <v>739</v>
      </c>
      <c r="G751" s="8">
        <v>1</v>
      </c>
      <c r="H751" s="11">
        <v>1200</v>
      </c>
      <c r="I751" s="12">
        <v>42484</v>
      </c>
      <c r="J751" s="13">
        <f t="shared" si="27"/>
        <v>0</v>
      </c>
      <c r="K751" s="14"/>
      <c r="L751" s="14"/>
      <c r="M751" s="14">
        <v>400</v>
      </c>
      <c r="N751" s="14">
        <v>400</v>
      </c>
      <c r="O751" s="14">
        <v>400</v>
      </c>
      <c r="P751" s="14"/>
      <c r="Q751" s="14"/>
      <c r="R751" s="14"/>
      <c r="S751" s="14"/>
      <c r="T751" s="14"/>
      <c r="U751" s="14"/>
      <c r="V751" s="14"/>
      <c r="W751" s="15">
        <f t="shared" si="28"/>
        <v>1200</v>
      </c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5"/>
      <c r="AK751" s="16"/>
    </row>
    <row r="752" spans="2:37" x14ac:dyDescent="0.2">
      <c r="B752" s="7" t="s">
        <v>69</v>
      </c>
      <c r="C752" s="8">
        <v>11500</v>
      </c>
      <c r="D752" s="9" t="s">
        <v>334</v>
      </c>
      <c r="E752" s="10" t="s">
        <v>335</v>
      </c>
      <c r="F752" s="10" t="s">
        <v>336</v>
      </c>
      <c r="G752" s="8">
        <v>3</v>
      </c>
      <c r="H752" s="11">
        <v>160</v>
      </c>
      <c r="I752" s="12">
        <v>42484</v>
      </c>
      <c r="J752" s="13">
        <f t="shared" si="27"/>
        <v>0</v>
      </c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5">
        <f t="shared" si="28"/>
        <v>0</v>
      </c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  <c r="AJ752" s="15"/>
      <c r="AK752" s="16"/>
    </row>
    <row r="753" spans="2:37" x14ac:dyDescent="0.2">
      <c r="B753" s="7" t="s">
        <v>69</v>
      </c>
      <c r="C753" s="8">
        <v>11501</v>
      </c>
      <c r="D753" s="9" t="s">
        <v>608</v>
      </c>
      <c r="E753" s="10" t="s">
        <v>609</v>
      </c>
      <c r="F753" s="10" t="s">
        <v>610</v>
      </c>
      <c r="G753" s="8">
        <v>1</v>
      </c>
      <c r="H753" s="11">
        <v>400</v>
      </c>
      <c r="I753" s="12">
        <v>42484</v>
      </c>
      <c r="J753" s="13">
        <f t="shared" si="27"/>
        <v>0</v>
      </c>
      <c r="K753" s="14"/>
      <c r="L753" s="14">
        <v>400</v>
      </c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5">
        <f t="shared" si="28"/>
        <v>400</v>
      </c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5"/>
      <c r="AK753" s="16"/>
    </row>
    <row r="754" spans="2:37" x14ac:dyDescent="0.2">
      <c r="B754" s="7" t="s">
        <v>37</v>
      </c>
      <c r="C754" s="8">
        <v>11502</v>
      </c>
      <c r="D754" s="9" t="s">
        <v>749</v>
      </c>
      <c r="E754" s="10" t="s">
        <v>750</v>
      </c>
      <c r="F754" s="10" t="s">
        <v>751</v>
      </c>
      <c r="G754" s="8">
        <v>1</v>
      </c>
      <c r="H754" s="11">
        <v>800</v>
      </c>
      <c r="I754" s="12">
        <v>42484</v>
      </c>
      <c r="J754" s="13">
        <f t="shared" si="27"/>
        <v>0</v>
      </c>
      <c r="K754" s="14"/>
      <c r="L754" s="14"/>
      <c r="M754" s="14">
        <v>400</v>
      </c>
      <c r="N754" s="14">
        <v>400</v>
      </c>
      <c r="O754" s="14"/>
      <c r="P754" s="14"/>
      <c r="Q754" s="14"/>
      <c r="R754" s="14"/>
      <c r="S754" s="14"/>
      <c r="T754" s="14"/>
      <c r="U754" s="14"/>
      <c r="V754" s="14"/>
      <c r="W754" s="15">
        <f t="shared" si="28"/>
        <v>800</v>
      </c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  <c r="AJ754" s="15"/>
      <c r="AK754" s="16"/>
    </row>
    <row r="755" spans="2:37" x14ac:dyDescent="0.2">
      <c r="B755" s="7" t="s">
        <v>47</v>
      </c>
      <c r="C755" s="8">
        <v>11503</v>
      </c>
      <c r="D755" s="9" t="s">
        <v>132</v>
      </c>
      <c r="E755" s="10" t="s">
        <v>133</v>
      </c>
      <c r="F755" s="10" t="s">
        <v>134</v>
      </c>
      <c r="G755" s="8">
        <v>1</v>
      </c>
      <c r="H755" s="11">
        <v>300</v>
      </c>
      <c r="I755" s="12">
        <v>42484</v>
      </c>
      <c r="J755" s="13">
        <f t="shared" si="27"/>
        <v>0</v>
      </c>
      <c r="K755" s="14"/>
      <c r="L755" s="14"/>
      <c r="M755" s="14"/>
      <c r="N755" s="14">
        <v>300</v>
      </c>
      <c r="O755" s="14"/>
      <c r="P755" s="14"/>
      <c r="Q755" s="14"/>
      <c r="R755" s="14"/>
      <c r="S755" s="14"/>
      <c r="T755" s="14"/>
      <c r="U755" s="14"/>
      <c r="V755" s="14"/>
      <c r="W755" s="15">
        <f t="shared" si="28"/>
        <v>300</v>
      </c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5"/>
      <c r="AK755" s="16"/>
    </row>
    <row r="756" spans="2:37" x14ac:dyDescent="0.2">
      <c r="B756" s="7" t="s">
        <v>77</v>
      </c>
      <c r="C756" s="8">
        <v>11504</v>
      </c>
      <c r="D756" s="9" t="s">
        <v>820</v>
      </c>
      <c r="E756" s="10" t="s">
        <v>821</v>
      </c>
      <c r="F756" s="10" t="s">
        <v>822</v>
      </c>
      <c r="G756" s="8">
        <v>1</v>
      </c>
      <c r="H756" s="11">
        <v>300</v>
      </c>
      <c r="I756" s="12">
        <v>42484</v>
      </c>
      <c r="J756" s="13">
        <f t="shared" si="27"/>
        <v>0</v>
      </c>
      <c r="K756" s="14"/>
      <c r="L756" s="14"/>
      <c r="M756" s="14"/>
      <c r="N756" s="14">
        <v>300</v>
      </c>
      <c r="O756" s="14"/>
      <c r="P756" s="14"/>
      <c r="Q756" s="14"/>
      <c r="R756" s="14"/>
      <c r="S756" s="14"/>
      <c r="T756" s="14"/>
      <c r="U756" s="14"/>
      <c r="V756" s="14"/>
      <c r="W756" s="15">
        <f t="shared" si="28"/>
        <v>300</v>
      </c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  <c r="AJ756" s="15"/>
      <c r="AK756" s="16"/>
    </row>
    <row r="757" spans="2:37" x14ac:dyDescent="0.2">
      <c r="B757" s="7" t="s">
        <v>73</v>
      </c>
      <c r="C757" s="8">
        <v>11505</v>
      </c>
      <c r="D757" s="9" t="s">
        <v>485</v>
      </c>
      <c r="E757" s="10" t="s">
        <v>486</v>
      </c>
      <c r="F757" s="10" t="s">
        <v>487</v>
      </c>
      <c r="G757" s="8">
        <v>1</v>
      </c>
      <c r="H757" s="11">
        <v>400</v>
      </c>
      <c r="I757" s="12">
        <v>42484</v>
      </c>
      <c r="J757" s="13">
        <f t="shared" si="27"/>
        <v>0</v>
      </c>
      <c r="K757" s="14"/>
      <c r="L757" s="14"/>
      <c r="M757" s="14">
        <v>400</v>
      </c>
      <c r="N757" s="14"/>
      <c r="O757" s="14"/>
      <c r="P757" s="14"/>
      <c r="Q757" s="14"/>
      <c r="R757" s="14"/>
      <c r="S757" s="14"/>
      <c r="T757" s="14"/>
      <c r="U757" s="14"/>
      <c r="V757" s="14"/>
      <c r="W757" s="15">
        <f t="shared" si="28"/>
        <v>400</v>
      </c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5"/>
      <c r="AK757" s="16"/>
    </row>
    <row r="758" spans="2:37" x14ac:dyDescent="0.2">
      <c r="B758" s="7" t="s">
        <v>69</v>
      </c>
      <c r="C758" s="8">
        <v>11506</v>
      </c>
      <c r="D758" s="9" t="s">
        <v>740</v>
      </c>
      <c r="E758" s="10" t="s">
        <v>741</v>
      </c>
      <c r="F758" s="10" t="s">
        <v>742</v>
      </c>
      <c r="G758" s="8">
        <v>1</v>
      </c>
      <c r="H758" s="11">
        <v>800</v>
      </c>
      <c r="I758" s="12">
        <v>42484</v>
      </c>
      <c r="J758" s="13">
        <f t="shared" si="27"/>
        <v>0</v>
      </c>
      <c r="K758" s="14"/>
      <c r="L758" s="14"/>
      <c r="M758" s="14">
        <v>400</v>
      </c>
      <c r="N758" s="14">
        <v>400</v>
      </c>
      <c r="O758" s="14"/>
      <c r="P758" s="14"/>
      <c r="Q758" s="14"/>
      <c r="R758" s="14"/>
      <c r="S758" s="14"/>
      <c r="T758" s="14"/>
      <c r="U758" s="14"/>
      <c r="V758" s="14"/>
      <c r="W758" s="15">
        <f t="shared" si="28"/>
        <v>800</v>
      </c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5"/>
      <c r="AK758" s="16"/>
    </row>
    <row r="759" spans="2:37" x14ac:dyDescent="0.2">
      <c r="B759" s="7" t="s">
        <v>73</v>
      </c>
      <c r="C759" s="8">
        <v>11507</v>
      </c>
      <c r="D759" s="9" t="s">
        <v>126</v>
      </c>
      <c r="E759" s="10" t="s">
        <v>127</v>
      </c>
      <c r="F759" s="10" t="s">
        <v>128</v>
      </c>
      <c r="G759" s="8">
        <v>3</v>
      </c>
      <c r="H759" s="11">
        <v>160</v>
      </c>
      <c r="I759" s="12">
        <v>42484</v>
      </c>
      <c r="J759" s="13">
        <f t="shared" si="27"/>
        <v>0</v>
      </c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5">
        <f t="shared" si="28"/>
        <v>0</v>
      </c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5"/>
      <c r="AK759" s="16"/>
    </row>
    <row r="760" spans="2:37" x14ac:dyDescent="0.2">
      <c r="B760" s="7" t="s">
        <v>69</v>
      </c>
      <c r="C760" s="8">
        <v>11508</v>
      </c>
      <c r="D760" s="9" t="s">
        <v>831</v>
      </c>
      <c r="E760" s="10" t="s">
        <v>832</v>
      </c>
      <c r="F760" s="10" t="s">
        <v>833</v>
      </c>
      <c r="G760" s="8">
        <v>1</v>
      </c>
      <c r="H760" s="11">
        <v>800</v>
      </c>
      <c r="I760" s="12">
        <v>42484</v>
      </c>
      <c r="J760" s="13">
        <f t="shared" si="27"/>
        <v>0</v>
      </c>
      <c r="K760" s="14"/>
      <c r="L760" s="14"/>
      <c r="M760" s="14"/>
      <c r="N760" s="14">
        <v>400</v>
      </c>
      <c r="O760" s="14">
        <v>400</v>
      </c>
      <c r="P760" s="14"/>
      <c r="Q760" s="14"/>
      <c r="R760" s="14"/>
      <c r="S760" s="14"/>
      <c r="T760" s="14"/>
      <c r="U760" s="14"/>
      <c r="V760" s="14"/>
      <c r="W760" s="15">
        <f t="shared" si="28"/>
        <v>800</v>
      </c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  <c r="AJ760" s="15"/>
      <c r="AK760" s="16"/>
    </row>
    <row r="761" spans="2:37" x14ac:dyDescent="0.2">
      <c r="B761" s="7" t="s">
        <v>77</v>
      </c>
      <c r="C761" s="8">
        <v>11509</v>
      </c>
      <c r="D761" s="9" t="s">
        <v>129</v>
      </c>
      <c r="E761" s="10" t="s">
        <v>130</v>
      </c>
      <c r="F761" s="10" t="s">
        <v>131</v>
      </c>
      <c r="G761" s="8">
        <v>4</v>
      </c>
      <c r="H761" s="11">
        <v>160</v>
      </c>
      <c r="I761" s="12">
        <v>42484</v>
      </c>
      <c r="J761" s="13">
        <f t="shared" si="27"/>
        <v>0</v>
      </c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5">
        <f t="shared" si="28"/>
        <v>0</v>
      </c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5"/>
      <c r="AK761" s="16"/>
    </row>
    <row r="762" spans="2:37" x14ac:dyDescent="0.2">
      <c r="B762" s="7" t="s">
        <v>77</v>
      </c>
      <c r="C762" s="8">
        <v>11510</v>
      </c>
      <c r="D762" s="9" t="s">
        <v>274</v>
      </c>
      <c r="E762" s="10" t="s">
        <v>275</v>
      </c>
      <c r="F762" s="10" t="s">
        <v>276</v>
      </c>
      <c r="G762" s="8">
        <v>1</v>
      </c>
      <c r="H762" s="11">
        <v>1200</v>
      </c>
      <c r="I762" s="12">
        <v>42484</v>
      </c>
      <c r="J762" s="13">
        <f t="shared" si="27"/>
        <v>0</v>
      </c>
      <c r="K762" s="14">
        <v>200</v>
      </c>
      <c r="L762" s="14">
        <v>200</v>
      </c>
      <c r="M762" s="14">
        <v>200</v>
      </c>
      <c r="N762" s="14">
        <v>200</v>
      </c>
      <c r="O762" s="14">
        <v>200</v>
      </c>
      <c r="P762" s="14">
        <v>200</v>
      </c>
      <c r="Q762" s="14"/>
      <c r="R762" s="14"/>
      <c r="S762" s="14"/>
      <c r="T762" s="14"/>
      <c r="U762" s="14"/>
      <c r="V762" s="14"/>
      <c r="W762" s="15">
        <f t="shared" si="28"/>
        <v>1200</v>
      </c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  <c r="AJ762" s="15"/>
      <c r="AK762" s="16"/>
    </row>
    <row r="763" spans="2:37" x14ac:dyDescent="0.2">
      <c r="B763" s="7" t="s">
        <v>77</v>
      </c>
      <c r="C763" s="8">
        <v>11511</v>
      </c>
      <c r="D763" s="9" t="s">
        <v>322</v>
      </c>
      <c r="E763" s="10" t="s">
        <v>323</v>
      </c>
      <c r="F763" s="10" t="s">
        <v>324</v>
      </c>
      <c r="G763" s="8">
        <v>1</v>
      </c>
      <c r="H763" s="11">
        <v>800</v>
      </c>
      <c r="I763" s="12">
        <v>42484</v>
      </c>
      <c r="J763" s="13">
        <f t="shared" si="27"/>
        <v>0</v>
      </c>
      <c r="K763" s="14"/>
      <c r="L763" s="14"/>
      <c r="M763" s="14">
        <v>400</v>
      </c>
      <c r="N763" s="14">
        <v>400</v>
      </c>
      <c r="O763" s="14"/>
      <c r="P763" s="14"/>
      <c r="Q763" s="14"/>
      <c r="R763" s="14"/>
      <c r="S763" s="14"/>
      <c r="T763" s="14"/>
      <c r="U763" s="14"/>
      <c r="V763" s="14"/>
      <c r="W763" s="15">
        <f t="shared" si="28"/>
        <v>800</v>
      </c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5"/>
      <c r="AK763" s="16"/>
    </row>
    <row r="764" spans="2:37" x14ac:dyDescent="0.2">
      <c r="B764" s="7" t="s">
        <v>391</v>
      </c>
      <c r="C764" s="8">
        <v>11512</v>
      </c>
      <c r="D764" s="9" t="s">
        <v>640</v>
      </c>
      <c r="E764" s="10" t="s">
        <v>641</v>
      </c>
      <c r="F764" s="10" t="s">
        <v>642</v>
      </c>
      <c r="G764" s="8">
        <v>1</v>
      </c>
      <c r="H764" s="11">
        <v>200</v>
      </c>
      <c r="I764" s="12">
        <v>42484</v>
      </c>
      <c r="J764" s="13">
        <f t="shared" si="27"/>
        <v>0</v>
      </c>
      <c r="K764" s="14"/>
      <c r="L764" s="14"/>
      <c r="M764" s="14"/>
      <c r="N764" s="14">
        <v>200</v>
      </c>
      <c r="O764" s="14"/>
      <c r="P764" s="14"/>
      <c r="Q764" s="14"/>
      <c r="R764" s="14"/>
      <c r="S764" s="14"/>
      <c r="T764" s="14"/>
      <c r="U764" s="14"/>
      <c r="V764" s="14"/>
      <c r="W764" s="15">
        <f t="shared" si="28"/>
        <v>200</v>
      </c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5"/>
      <c r="AK764" s="16"/>
    </row>
    <row r="765" spans="2:37" x14ac:dyDescent="0.2">
      <c r="B765" s="7" t="s">
        <v>93</v>
      </c>
      <c r="C765" s="8">
        <v>11513</v>
      </c>
      <c r="D765" s="9"/>
      <c r="E765" s="10" t="s">
        <v>93</v>
      </c>
      <c r="F765" s="10" t="s">
        <v>93</v>
      </c>
      <c r="G765" s="8">
        <v>8</v>
      </c>
      <c r="H765" s="11"/>
      <c r="I765" s="12"/>
      <c r="J765" s="13">
        <f t="shared" si="27"/>
        <v>0</v>
      </c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5">
        <f t="shared" si="28"/>
        <v>0</v>
      </c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5"/>
      <c r="AK765" s="16"/>
    </row>
    <row r="766" spans="2:37" x14ac:dyDescent="0.2">
      <c r="B766" s="7" t="s">
        <v>47</v>
      </c>
      <c r="C766" s="8">
        <v>11514</v>
      </c>
      <c r="D766" s="9" t="s">
        <v>349</v>
      </c>
      <c r="E766" s="10" t="s">
        <v>350</v>
      </c>
      <c r="F766" s="10" t="s">
        <v>351</v>
      </c>
      <c r="G766" s="8">
        <v>8</v>
      </c>
      <c r="H766" s="11"/>
      <c r="I766" s="12">
        <v>42484</v>
      </c>
      <c r="J766" s="13">
        <f t="shared" si="27"/>
        <v>0</v>
      </c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5">
        <f t="shared" si="28"/>
        <v>0</v>
      </c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  <c r="AJ766" s="15"/>
      <c r="AK766" s="16"/>
    </row>
    <row r="767" spans="2:37" x14ac:dyDescent="0.2">
      <c r="B767" s="7" t="s">
        <v>69</v>
      </c>
      <c r="C767" s="8">
        <v>11515</v>
      </c>
      <c r="D767" s="9" t="s">
        <v>893</v>
      </c>
      <c r="E767" s="10" t="s">
        <v>894</v>
      </c>
      <c r="F767" s="10" t="s">
        <v>895</v>
      </c>
      <c r="G767" s="8">
        <v>1</v>
      </c>
      <c r="H767" s="11">
        <v>400</v>
      </c>
      <c r="I767" s="12">
        <v>42484</v>
      </c>
      <c r="J767" s="13">
        <f t="shared" si="27"/>
        <v>0</v>
      </c>
      <c r="K767" s="14"/>
      <c r="L767" s="14"/>
      <c r="M767" s="14"/>
      <c r="N767" s="14">
        <v>400</v>
      </c>
      <c r="O767" s="14"/>
      <c r="P767" s="14"/>
      <c r="Q767" s="14"/>
      <c r="R767" s="14"/>
      <c r="S767" s="14"/>
      <c r="T767" s="14"/>
      <c r="U767" s="14"/>
      <c r="V767" s="14"/>
      <c r="W767" s="15">
        <f t="shared" si="28"/>
        <v>400</v>
      </c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5"/>
      <c r="AK767" s="16"/>
    </row>
    <row r="768" spans="2:37" x14ac:dyDescent="0.2">
      <c r="B768" s="7" t="s">
        <v>122</v>
      </c>
      <c r="C768" s="8">
        <v>11516</v>
      </c>
      <c r="D768" s="9" t="s">
        <v>788</v>
      </c>
      <c r="E768" s="10" t="s">
        <v>789</v>
      </c>
      <c r="F768" s="10" t="s">
        <v>790</v>
      </c>
      <c r="G768" s="8">
        <v>1</v>
      </c>
      <c r="H768" s="11">
        <v>400</v>
      </c>
      <c r="I768" s="12">
        <v>42484</v>
      </c>
      <c r="J768" s="13">
        <f t="shared" si="27"/>
        <v>0</v>
      </c>
      <c r="K768" s="14"/>
      <c r="L768" s="14"/>
      <c r="M768" s="14"/>
      <c r="N768" s="14">
        <v>400</v>
      </c>
      <c r="O768" s="14"/>
      <c r="P768" s="14"/>
      <c r="Q768" s="14"/>
      <c r="R768" s="14"/>
      <c r="S768" s="14"/>
      <c r="T768" s="14"/>
      <c r="U768" s="14"/>
      <c r="V768" s="14"/>
      <c r="W768" s="15">
        <f t="shared" si="28"/>
        <v>400</v>
      </c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5"/>
      <c r="AK768" s="16"/>
    </row>
    <row r="769" spans="2:37" x14ac:dyDescent="0.2">
      <c r="B769" s="7" t="s">
        <v>77</v>
      </c>
      <c r="C769" s="8">
        <v>11517</v>
      </c>
      <c r="D769" s="9" t="s">
        <v>87</v>
      </c>
      <c r="E769" s="10" t="s">
        <v>88</v>
      </c>
      <c r="F769" s="10" t="s">
        <v>89</v>
      </c>
      <c r="G769" s="8">
        <v>1</v>
      </c>
      <c r="H769" s="11">
        <v>800</v>
      </c>
      <c r="I769" s="12">
        <v>42484</v>
      </c>
      <c r="J769" s="13">
        <f t="shared" si="27"/>
        <v>0</v>
      </c>
      <c r="K769" s="14"/>
      <c r="L769" s="14"/>
      <c r="M769" s="14"/>
      <c r="N769" s="14">
        <v>400</v>
      </c>
      <c r="O769" s="14">
        <v>400</v>
      </c>
      <c r="P769" s="14"/>
      <c r="Q769" s="14"/>
      <c r="R769" s="14"/>
      <c r="S769" s="14"/>
      <c r="T769" s="14"/>
      <c r="U769" s="14"/>
      <c r="V769" s="14"/>
      <c r="W769" s="15">
        <f t="shared" si="28"/>
        <v>800</v>
      </c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5"/>
      <c r="AK769" s="16"/>
    </row>
    <row r="770" spans="2:37" x14ac:dyDescent="0.2">
      <c r="B770" s="7" t="s">
        <v>77</v>
      </c>
      <c r="C770" s="8">
        <v>11518</v>
      </c>
      <c r="D770" s="9" t="s">
        <v>652</v>
      </c>
      <c r="E770" s="10" t="s">
        <v>653</v>
      </c>
      <c r="F770" s="10" t="s">
        <v>654</v>
      </c>
      <c r="G770" s="8">
        <v>1</v>
      </c>
      <c r="H770" s="11">
        <v>400</v>
      </c>
      <c r="I770" s="12">
        <v>42484</v>
      </c>
      <c r="J770" s="13">
        <f t="shared" si="27"/>
        <v>0</v>
      </c>
      <c r="K770" s="14"/>
      <c r="L770" s="14"/>
      <c r="M770" s="14">
        <v>400</v>
      </c>
      <c r="N770" s="14"/>
      <c r="O770" s="14"/>
      <c r="P770" s="14"/>
      <c r="Q770" s="14"/>
      <c r="R770" s="14"/>
      <c r="S770" s="14"/>
      <c r="T770" s="14"/>
      <c r="U770" s="14"/>
      <c r="V770" s="14"/>
      <c r="W770" s="15">
        <f t="shared" si="28"/>
        <v>400</v>
      </c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5"/>
      <c r="AK770" s="16"/>
    </row>
    <row r="771" spans="2:37" x14ac:dyDescent="0.2">
      <c r="B771" s="7" t="s">
        <v>73</v>
      </c>
      <c r="C771" s="8">
        <v>11519</v>
      </c>
      <c r="D771" s="9" t="s">
        <v>911</v>
      </c>
      <c r="E771" s="10" t="s">
        <v>912</v>
      </c>
      <c r="F771" s="10" t="s">
        <v>397</v>
      </c>
      <c r="G771" s="8">
        <v>1</v>
      </c>
      <c r="H771" s="11">
        <v>400</v>
      </c>
      <c r="I771" s="12">
        <v>42484</v>
      </c>
      <c r="J771" s="13">
        <f t="shared" si="27"/>
        <v>0</v>
      </c>
      <c r="K771" s="14"/>
      <c r="L771" s="14"/>
      <c r="M771" s="14">
        <v>400</v>
      </c>
      <c r="N771" s="14"/>
      <c r="O771" s="14"/>
      <c r="P771" s="14"/>
      <c r="Q771" s="14"/>
      <c r="R771" s="14"/>
      <c r="S771" s="14"/>
      <c r="T771" s="14"/>
      <c r="U771" s="14"/>
      <c r="V771" s="14"/>
      <c r="W771" s="15">
        <f t="shared" si="28"/>
        <v>400</v>
      </c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5"/>
      <c r="AK771" s="16"/>
    </row>
    <row r="772" spans="2:37" x14ac:dyDescent="0.2">
      <c r="B772" s="7" t="s">
        <v>73</v>
      </c>
      <c r="C772" s="8">
        <v>11520</v>
      </c>
      <c r="D772" s="9" t="s">
        <v>532</v>
      </c>
      <c r="E772" s="10" t="s">
        <v>533</v>
      </c>
      <c r="F772" s="10" t="s">
        <v>534</v>
      </c>
      <c r="G772" s="8">
        <v>1</v>
      </c>
      <c r="H772" s="11">
        <v>800</v>
      </c>
      <c r="I772" s="12">
        <v>42484</v>
      </c>
      <c r="J772" s="13">
        <f t="shared" si="27"/>
        <v>0</v>
      </c>
      <c r="K772" s="14"/>
      <c r="L772" s="14"/>
      <c r="M772" s="14">
        <v>400</v>
      </c>
      <c r="N772" s="14">
        <v>400</v>
      </c>
      <c r="O772" s="14"/>
      <c r="P772" s="14"/>
      <c r="Q772" s="14"/>
      <c r="R772" s="14"/>
      <c r="S772" s="14"/>
      <c r="T772" s="14"/>
      <c r="U772" s="14"/>
      <c r="V772" s="14"/>
      <c r="W772" s="15">
        <f t="shared" si="28"/>
        <v>800</v>
      </c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5"/>
      <c r="AK772" s="16"/>
    </row>
    <row r="773" spans="2:37" x14ac:dyDescent="0.2">
      <c r="B773" s="7" t="s">
        <v>391</v>
      </c>
      <c r="C773" s="8">
        <v>11521</v>
      </c>
      <c r="D773" s="9" t="s">
        <v>918</v>
      </c>
      <c r="E773" s="10" t="s">
        <v>919</v>
      </c>
      <c r="F773" s="10" t="s">
        <v>920</v>
      </c>
      <c r="G773" s="8">
        <v>1</v>
      </c>
      <c r="H773" s="11">
        <v>250</v>
      </c>
      <c r="I773" s="12">
        <v>42484</v>
      </c>
      <c r="J773" s="13">
        <f t="shared" si="27"/>
        <v>0</v>
      </c>
      <c r="K773" s="14"/>
      <c r="L773" s="14"/>
      <c r="M773" s="14"/>
      <c r="N773" s="14"/>
      <c r="O773" s="14">
        <v>250</v>
      </c>
      <c r="P773" s="14"/>
      <c r="Q773" s="14"/>
      <c r="R773" s="14"/>
      <c r="S773" s="14"/>
      <c r="T773" s="14"/>
      <c r="U773" s="14"/>
      <c r="V773" s="14"/>
      <c r="W773" s="15">
        <f t="shared" si="28"/>
        <v>250</v>
      </c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5"/>
      <c r="AK773" s="16"/>
    </row>
    <row r="774" spans="2:37" x14ac:dyDescent="0.2">
      <c r="B774" s="7" t="s">
        <v>73</v>
      </c>
      <c r="C774" s="8">
        <v>11522</v>
      </c>
      <c r="D774" s="9" t="s">
        <v>571</v>
      </c>
      <c r="E774" s="10" t="s">
        <v>572</v>
      </c>
      <c r="F774" s="10" t="s">
        <v>573</v>
      </c>
      <c r="G774" s="8">
        <v>1</v>
      </c>
      <c r="H774" s="11">
        <v>600</v>
      </c>
      <c r="I774" s="12">
        <v>42484</v>
      </c>
      <c r="J774" s="13">
        <f t="shared" si="27"/>
        <v>0</v>
      </c>
      <c r="K774" s="14"/>
      <c r="L774" s="14"/>
      <c r="M774" s="14">
        <v>200</v>
      </c>
      <c r="N774" s="14">
        <v>200</v>
      </c>
      <c r="O774" s="14">
        <v>200</v>
      </c>
      <c r="P774" s="14"/>
      <c r="Q774" s="14"/>
      <c r="R774" s="14"/>
      <c r="S774" s="14"/>
      <c r="T774" s="14"/>
      <c r="U774" s="14"/>
      <c r="V774" s="14"/>
      <c r="W774" s="15">
        <f t="shared" si="28"/>
        <v>600</v>
      </c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5"/>
      <c r="AK774" s="16"/>
    </row>
    <row r="775" spans="2:37" x14ac:dyDescent="0.2">
      <c r="B775" s="7" t="s">
        <v>47</v>
      </c>
      <c r="C775" s="8">
        <v>11523</v>
      </c>
      <c r="D775" s="9" t="s">
        <v>658</v>
      </c>
      <c r="E775" s="10" t="s">
        <v>659</v>
      </c>
      <c r="F775" s="10" t="s">
        <v>921</v>
      </c>
      <c r="G775" s="8">
        <v>1</v>
      </c>
      <c r="H775" s="11">
        <v>700</v>
      </c>
      <c r="I775" s="12">
        <v>42484</v>
      </c>
      <c r="J775" s="13">
        <f t="shared" si="27"/>
        <v>0</v>
      </c>
      <c r="K775" s="14"/>
      <c r="L775" s="14"/>
      <c r="M775" s="14">
        <v>350</v>
      </c>
      <c r="N775" s="14">
        <v>350</v>
      </c>
      <c r="O775" s="14"/>
      <c r="P775" s="14"/>
      <c r="Q775" s="14"/>
      <c r="R775" s="14"/>
      <c r="S775" s="14"/>
      <c r="T775" s="14"/>
      <c r="U775" s="14"/>
      <c r="V775" s="14"/>
      <c r="W775" s="15">
        <f t="shared" si="28"/>
        <v>700</v>
      </c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5"/>
      <c r="AK775" s="16"/>
    </row>
    <row r="776" spans="2:37" x14ac:dyDescent="0.2">
      <c r="B776" s="7" t="s">
        <v>73</v>
      </c>
      <c r="C776" s="8">
        <v>11524</v>
      </c>
      <c r="D776" s="9" t="s">
        <v>109</v>
      </c>
      <c r="E776" s="10" t="s">
        <v>110</v>
      </c>
      <c r="F776" s="10" t="s">
        <v>111</v>
      </c>
      <c r="G776" s="8">
        <v>4</v>
      </c>
      <c r="H776" s="11">
        <v>320</v>
      </c>
      <c r="I776" s="12">
        <v>42484</v>
      </c>
      <c r="J776" s="13">
        <f t="shared" si="27"/>
        <v>0</v>
      </c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5">
        <f t="shared" si="28"/>
        <v>0</v>
      </c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5"/>
      <c r="AK776" s="16"/>
    </row>
    <row r="777" spans="2:37" x14ac:dyDescent="0.2">
      <c r="B777" s="7" t="s">
        <v>73</v>
      </c>
      <c r="C777" s="8">
        <v>11525</v>
      </c>
      <c r="D777" s="9" t="s">
        <v>922</v>
      </c>
      <c r="E777" s="10" t="s">
        <v>923</v>
      </c>
      <c r="F777" s="10" t="s">
        <v>924</v>
      </c>
      <c r="G777" s="8">
        <v>1</v>
      </c>
      <c r="H777" s="11">
        <v>1000</v>
      </c>
      <c r="I777" s="12">
        <v>42484</v>
      </c>
      <c r="J777" s="13">
        <f t="shared" si="27"/>
        <v>0</v>
      </c>
      <c r="K777" s="14">
        <v>250</v>
      </c>
      <c r="L777" s="14">
        <v>250</v>
      </c>
      <c r="M777" s="14">
        <v>250</v>
      </c>
      <c r="N777" s="14">
        <v>250</v>
      </c>
      <c r="O777" s="14"/>
      <c r="P777" s="14"/>
      <c r="Q777" s="14"/>
      <c r="R777" s="14"/>
      <c r="S777" s="14"/>
      <c r="T777" s="14"/>
      <c r="U777" s="14"/>
      <c r="V777" s="14"/>
      <c r="W777" s="15">
        <f t="shared" si="28"/>
        <v>1000</v>
      </c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5"/>
      <c r="AK777" s="16"/>
    </row>
    <row r="778" spans="2:37" x14ac:dyDescent="0.2">
      <c r="B778" s="7" t="s">
        <v>47</v>
      </c>
      <c r="C778" s="8">
        <v>11526</v>
      </c>
      <c r="D778" s="9" t="s">
        <v>803</v>
      </c>
      <c r="E778" s="10" t="s">
        <v>804</v>
      </c>
      <c r="F778" s="10" t="s">
        <v>312</v>
      </c>
      <c r="G778" s="8">
        <v>1</v>
      </c>
      <c r="H778" s="11">
        <v>800</v>
      </c>
      <c r="I778" s="12">
        <v>42484</v>
      </c>
      <c r="J778" s="13">
        <f t="shared" si="27"/>
        <v>0</v>
      </c>
      <c r="K778" s="14"/>
      <c r="L778" s="14"/>
      <c r="M778" s="14">
        <v>400</v>
      </c>
      <c r="N778" s="14">
        <v>400</v>
      </c>
      <c r="O778" s="14"/>
      <c r="P778" s="14"/>
      <c r="Q778" s="14"/>
      <c r="R778" s="14"/>
      <c r="S778" s="14"/>
      <c r="T778" s="14"/>
      <c r="U778" s="14"/>
      <c r="V778" s="14"/>
      <c r="W778" s="15">
        <f t="shared" si="28"/>
        <v>800</v>
      </c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5"/>
      <c r="AK778" s="16"/>
    </row>
    <row r="779" spans="2:37" x14ac:dyDescent="0.2">
      <c r="B779" s="7" t="s">
        <v>122</v>
      </c>
      <c r="C779" s="8">
        <v>11527</v>
      </c>
      <c r="D779" s="9" t="s">
        <v>422</v>
      </c>
      <c r="E779" s="10" t="s">
        <v>423</v>
      </c>
      <c r="F779" s="10" t="s">
        <v>424</v>
      </c>
      <c r="G779" s="8">
        <v>1</v>
      </c>
      <c r="H779" s="11">
        <v>1200</v>
      </c>
      <c r="I779" s="12">
        <v>42484</v>
      </c>
      <c r="J779" s="13">
        <f t="shared" si="27"/>
        <v>0</v>
      </c>
      <c r="K779" s="14"/>
      <c r="L779" s="14"/>
      <c r="M779" s="14"/>
      <c r="N779" s="14">
        <v>400</v>
      </c>
      <c r="O779" s="14">
        <v>400</v>
      </c>
      <c r="P779" s="14">
        <v>400</v>
      </c>
      <c r="Q779" s="14"/>
      <c r="R779" s="14"/>
      <c r="S779" s="14"/>
      <c r="T779" s="14"/>
      <c r="U779" s="14"/>
      <c r="V779" s="14"/>
      <c r="W779" s="15">
        <f t="shared" si="28"/>
        <v>1200</v>
      </c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5"/>
      <c r="AK779" s="16" t="s">
        <v>925</v>
      </c>
    </row>
    <row r="780" spans="2:37" x14ac:dyDescent="0.2">
      <c r="B780" s="7" t="s">
        <v>73</v>
      </c>
      <c r="C780" s="8"/>
      <c r="D780" s="9" t="s">
        <v>806</v>
      </c>
      <c r="E780" s="10" t="s">
        <v>885</v>
      </c>
      <c r="F780" s="10" t="s">
        <v>805</v>
      </c>
      <c r="G780" s="8">
        <v>1</v>
      </c>
      <c r="H780" s="11">
        <v>11000</v>
      </c>
      <c r="I780" s="12">
        <v>42465</v>
      </c>
      <c r="J780" s="13">
        <f t="shared" si="27"/>
        <v>0</v>
      </c>
      <c r="K780" s="14"/>
      <c r="L780" s="14"/>
      <c r="M780" s="14">
        <v>11000</v>
      </c>
      <c r="N780" s="14"/>
      <c r="O780" s="14"/>
      <c r="P780" s="14"/>
      <c r="Q780" s="14"/>
      <c r="R780" s="14"/>
      <c r="S780" s="14"/>
      <c r="T780" s="14"/>
      <c r="U780" s="14"/>
      <c r="V780" s="14"/>
      <c r="W780" s="15">
        <f t="shared" si="28"/>
        <v>11000</v>
      </c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5"/>
      <c r="AK780" s="16"/>
    </row>
    <row r="781" spans="2:37" x14ac:dyDescent="0.2">
      <c r="B781" s="7" t="s">
        <v>69</v>
      </c>
      <c r="C781" s="8">
        <v>11593</v>
      </c>
      <c r="D781" s="9" t="s">
        <v>211</v>
      </c>
      <c r="E781" s="10" t="s">
        <v>212</v>
      </c>
      <c r="F781" s="10" t="s">
        <v>213</v>
      </c>
      <c r="G781" s="8">
        <v>1</v>
      </c>
      <c r="H781" s="11">
        <v>300</v>
      </c>
      <c r="I781" s="12">
        <v>42480</v>
      </c>
      <c r="J781" s="13">
        <f t="shared" si="27"/>
        <v>0</v>
      </c>
      <c r="K781" s="14"/>
      <c r="L781" s="14"/>
      <c r="M781" s="14"/>
      <c r="N781" s="14">
        <v>300</v>
      </c>
      <c r="O781" s="14"/>
      <c r="P781" s="14"/>
      <c r="Q781" s="14"/>
      <c r="R781" s="14"/>
      <c r="S781" s="14"/>
      <c r="T781" s="14"/>
      <c r="U781" s="14"/>
      <c r="V781" s="14"/>
      <c r="W781" s="15">
        <f t="shared" si="28"/>
        <v>300</v>
      </c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5"/>
      <c r="AK781" s="16"/>
    </row>
    <row r="782" spans="2:37" x14ac:dyDescent="0.2">
      <c r="B782" s="7" t="s">
        <v>73</v>
      </c>
      <c r="C782" s="8"/>
      <c r="D782" s="9" t="s">
        <v>806</v>
      </c>
      <c r="E782" s="10" t="s">
        <v>885</v>
      </c>
      <c r="F782" s="10" t="s">
        <v>805</v>
      </c>
      <c r="G782" s="8">
        <v>1</v>
      </c>
      <c r="H782" s="11">
        <v>11000</v>
      </c>
      <c r="I782" s="12">
        <v>42486</v>
      </c>
      <c r="J782" s="13">
        <f t="shared" si="27"/>
        <v>0</v>
      </c>
      <c r="K782" s="14"/>
      <c r="L782" s="14"/>
      <c r="M782" s="14"/>
      <c r="N782" s="14">
        <v>11000</v>
      </c>
      <c r="O782" s="14"/>
      <c r="P782" s="14"/>
      <c r="Q782" s="14"/>
      <c r="R782" s="14"/>
      <c r="S782" s="14"/>
      <c r="T782" s="14"/>
      <c r="U782" s="14"/>
      <c r="V782" s="14"/>
      <c r="W782" s="15">
        <f t="shared" si="28"/>
        <v>11000</v>
      </c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5"/>
      <c r="AK782" s="16"/>
    </row>
    <row r="783" spans="2:37" x14ac:dyDescent="0.2">
      <c r="B783" s="7" t="s">
        <v>37</v>
      </c>
      <c r="C783" s="8">
        <v>11591</v>
      </c>
      <c r="D783" s="9" t="s">
        <v>814</v>
      </c>
      <c r="E783" s="10" t="s">
        <v>815</v>
      </c>
      <c r="F783" s="10" t="s">
        <v>816</v>
      </c>
      <c r="G783" s="8">
        <v>1</v>
      </c>
      <c r="H783" s="11">
        <v>800</v>
      </c>
      <c r="I783" s="12">
        <v>42484</v>
      </c>
      <c r="J783" s="13">
        <f>IF(G783=1,SUM(W783,-H783),0)</f>
        <v>0</v>
      </c>
      <c r="K783" s="14"/>
      <c r="L783" s="14"/>
      <c r="M783" s="14"/>
      <c r="N783" s="14"/>
      <c r="O783" s="14">
        <v>400</v>
      </c>
      <c r="P783" s="14">
        <v>400</v>
      </c>
      <c r="Q783" s="14"/>
      <c r="R783" s="14"/>
      <c r="S783" s="14"/>
      <c r="T783" s="14"/>
      <c r="U783" s="14"/>
      <c r="V783" s="14"/>
      <c r="W783" s="15">
        <f t="shared" si="28"/>
        <v>800</v>
      </c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5"/>
      <c r="AK783" s="16"/>
    </row>
    <row r="784" spans="2:37" x14ac:dyDescent="0.2">
      <c r="B784" s="30"/>
      <c r="C784" s="31"/>
      <c r="D784" s="32"/>
      <c r="E784" s="33"/>
      <c r="F784" s="33"/>
      <c r="G784" s="31"/>
      <c r="H784" s="34"/>
      <c r="I784" s="26"/>
      <c r="J784" s="13">
        <f>IF(G784=1,SUM(W784,-H784),0)</f>
        <v>0</v>
      </c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9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  <c r="AH784" s="28"/>
      <c r="AI784" s="28"/>
      <c r="AJ784" s="29"/>
      <c r="AK784" s="25"/>
    </row>
    <row r="785" spans="1:37" x14ac:dyDescent="0.2">
      <c r="B785" s="48"/>
      <c r="C785" s="48"/>
      <c r="D785" s="48"/>
      <c r="E785" s="48"/>
      <c r="F785" s="48"/>
      <c r="G785" s="19">
        <v>1</v>
      </c>
      <c r="H785" s="21">
        <v>1200</v>
      </c>
      <c r="I785" s="26"/>
      <c r="J785" s="27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9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  <c r="AI785" s="28"/>
      <c r="AJ785" s="29"/>
      <c r="AK785" s="25"/>
    </row>
    <row r="786" spans="1:37" ht="22.5" x14ac:dyDescent="0.2">
      <c r="A786" s="2" t="s">
        <v>0</v>
      </c>
      <c r="B786" s="3" t="s">
        <v>1</v>
      </c>
      <c r="C786" s="3" t="s">
        <v>2</v>
      </c>
      <c r="D786" s="3" t="s">
        <v>3</v>
      </c>
      <c r="E786" s="3" t="s">
        <v>4</v>
      </c>
      <c r="F786" s="3" t="s">
        <v>5</v>
      </c>
      <c r="G786" s="3" t="s">
        <v>6</v>
      </c>
      <c r="H786" s="3" t="s">
        <v>7</v>
      </c>
      <c r="I786" s="3" t="s">
        <v>8</v>
      </c>
      <c r="J786" s="3" t="s">
        <v>9</v>
      </c>
      <c r="K786" s="4" t="s">
        <v>10</v>
      </c>
      <c r="L786" s="4" t="s">
        <v>11</v>
      </c>
      <c r="M786" s="4" t="s">
        <v>12</v>
      </c>
      <c r="N786" s="4" t="s">
        <v>13</v>
      </c>
      <c r="O786" s="4" t="s">
        <v>14</v>
      </c>
      <c r="P786" s="4" t="s">
        <v>15</v>
      </c>
      <c r="Q786" s="4" t="s">
        <v>16</v>
      </c>
      <c r="R786" s="4" t="s">
        <v>17</v>
      </c>
      <c r="S786" s="4" t="s">
        <v>18</v>
      </c>
      <c r="T786" s="4" t="s">
        <v>19</v>
      </c>
      <c r="U786" s="4" t="s">
        <v>20</v>
      </c>
      <c r="V786" s="4" t="s">
        <v>21</v>
      </c>
      <c r="W786" s="5" t="s">
        <v>22</v>
      </c>
      <c r="X786" s="4" t="s">
        <v>23</v>
      </c>
      <c r="Y786" s="4" t="s">
        <v>24</v>
      </c>
      <c r="Z786" s="4" t="s">
        <v>25</v>
      </c>
      <c r="AA786" s="4" t="s">
        <v>26</v>
      </c>
      <c r="AB786" s="4" t="s">
        <v>27</v>
      </c>
      <c r="AC786" s="4" t="s">
        <v>28</v>
      </c>
      <c r="AD786" s="4" t="s">
        <v>29</v>
      </c>
      <c r="AE786" s="4" t="s">
        <v>30</v>
      </c>
      <c r="AF786" s="4" t="s">
        <v>31</v>
      </c>
      <c r="AG786" s="4" t="s">
        <v>32</v>
      </c>
      <c r="AH786" s="4" t="s">
        <v>33</v>
      </c>
      <c r="AI786" s="4" t="s">
        <v>34</v>
      </c>
      <c r="AJ786" s="5" t="s">
        <v>35</v>
      </c>
      <c r="AK786" s="6" t="s">
        <v>36</v>
      </c>
    </row>
    <row r="787" spans="1:37" x14ac:dyDescent="0.2">
      <c r="B787" s="7" t="s">
        <v>37</v>
      </c>
      <c r="C787" s="8">
        <v>11528</v>
      </c>
      <c r="D787" s="9" t="s">
        <v>488</v>
      </c>
      <c r="E787" s="10" t="s">
        <v>489</v>
      </c>
      <c r="F787" s="10" t="s">
        <v>490</v>
      </c>
      <c r="G787" s="8">
        <v>1</v>
      </c>
      <c r="H787" s="11">
        <v>400</v>
      </c>
      <c r="I787" s="12">
        <v>42485</v>
      </c>
      <c r="J787" s="13">
        <f t="shared" ref="J787:J850" si="29">IF(G787=1,SUM(W787,-H787),0)</f>
        <v>0</v>
      </c>
      <c r="K787" s="14"/>
      <c r="L787" s="14"/>
      <c r="M787" s="14"/>
      <c r="N787" s="14">
        <v>400</v>
      </c>
      <c r="O787" s="14"/>
      <c r="P787" s="14"/>
      <c r="Q787" s="14"/>
      <c r="R787" s="14"/>
      <c r="S787" s="14"/>
      <c r="T787" s="14"/>
      <c r="U787" s="14"/>
      <c r="V787" s="14"/>
      <c r="W787" s="15">
        <f t="shared" ref="W787:W850" si="30">SUM(K787:V787)</f>
        <v>400</v>
      </c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5"/>
      <c r="AK787" s="16"/>
    </row>
    <row r="788" spans="1:37" x14ac:dyDescent="0.2">
      <c r="B788" s="7" t="s">
        <v>37</v>
      </c>
      <c r="C788" s="8">
        <v>11529</v>
      </c>
      <c r="D788" s="9" t="s">
        <v>592</v>
      </c>
      <c r="E788" s="10" t="s">
        <v>593</v>
      </c>
      <c r="F788" s="10" t="s">
        <v>594</v>
      </c>
      <c r="G788" s="8">
        <v>1</v>
      </c>
      <c r="H788" s="11">
        <v>1200</v>
      </c>
      <c r="I788" s="12">
        <v>42486</v>
      </c>
      <c r="J788" s="13">
        <f t="shared" si="29"/>
        <v>0</v>
      </c>
      <c r="K788" s="14"/>
      <c r="L788" s="14"/>
      <c r="M788" s="14"/>
      <c r="N788" s="14">
        <v>400</v>
      </c>
      <c r="O788" s="14">
        <v>400</v>
      </c>
      <c r="P788" s="14">
        <v>400</v>
      </c>
      <c r="Q788" s="14"/>
      <c r="R788" s="14"/>
      <c r="S788" s="14"/>
      <c r="T788" s="14"/>
      <c r="U788" s="14"/>
      <c r="V788" s="14"/>
      <c r="W788" s="15">
        <f t="shared" si="30"/>
        <v>1200</v>
      </c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5"/>
      <c r="AK788" s="16"/>
    </row>
    <row r="789" spans="1:37" x14ac:dyDescent="0.2">
      <c r="B789" s="7" t="s">
        <v>47</v>
      </c>
      <c r="C789" s="8">
        <v>11530</v>
      </c>
      <c r="D789" s="9" t="s">
        <v>807</v>
      </c>
      <c r="E789" s="10" t="s">
        <v>808</v>
      </c>
      <c r="F789" s="10" t="s">
        <v>809</v>
      </c>
      <c r="G789" s="8">
        <v>1</v>
      </c>
      <c r="H789" s="11">
        <v>400</v>
      </c>
      <c r="I789" s="12">
        <v>42486</v>
      </c>
      <c r="J789" s="13">
        <f t="shared" si="29"/>
        <v>0</v>
      </c>
      <c r="K789" s="14"/>
      <c r="L789" s="14"/>
      <c r="M789" s="14">
        <v>200</v>
      </c>
      <c r="N789" s="14">
        <v>200</v>
      </c>
      <c r="O789" s="14"/>
      <c r="P789" s="14"/>
      <c r="Q789" s="14"/>
      <c r="R789" s="14"/>
      <c r="S789" s="14"/>
      <c r="T789" s="14"/>
      <c r="U789" s="14"/>
      <c r="V789" s="14"/>
      <c r="W789" s="15">
        <f t="shared" si="30"/>
        <v>400</v>
      </c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5"/>
      <c r="AK789" s="16"/>
    </row>
    <row r="790" spans="1:37" x14ac:dyDescent="0.2">
      <c r="B790" s="7" t="s">
        <v>77</v>
      </c>
      <c r="C790" s="8">
        <v>11531</v>
      </c>
      <c r="D790" s="9" t="s">
        <v>129</v>
      </c>
      <c r="E790" s="10" t="s">
        <v>130</v>
      </c>
      <c r="F790" s="10" t="s">
        <v>131</v>
      </c>
      <c r="G790" s="8">
        <v>1</v>
      </c>
      <c r="H790" s="11">
        <v>400</v>
      </c>
      <c r="I790" s="12">
        <v>42491</v>
      </c>
      <c r="J790" s="13">
        <f t="shared" si="29"/>
        <v>0</v>
      </c>
      <c r="K790" s="14"/>
      <c r="L790" s="14"/>
      <c r="M790" s="14"/>
      <c r="N790" s="14"/>
      <c r="O790" s="14">
        <v>400</v>
      </c>
      <c r="P790" s="14"/>
      <c r="Q790" s="14"/>
      <c r="R790" s="14"/>
      <c r="S790" s="14"/>
      <c r="T790" s="14"/>
      <c r="U790" s="14"/>
      <c r="V790" s="14"/>
      <c r="W790" s="15">
        <f t="shared" si="30"/>
        <v>400</v>
      </c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  <c r="AJ790" s="15"/>
      <c r="AK790" s="16"/>
    </row>
    <row r="791" spans="1:37" x14ac:dyDescent="0.2">
      <c r="B791" s="7" t="s">
        <v>69</v>
      </c>
      <c r="C791" s="8">
        <v>11532</v>
      </c>
      <c r="D791" s="9" t="s">
        <v>325</v>
      </c>
      <c r="E791" s="10" t="s">
        <v>326</v>
      </c>
      <c r="F791" s="10" t="s">
        <v>327</v>
      </c>
      <c r="G791" s="8">
        <v>1</v>
      </c>
      <c r="H791" s="11">
        <v>400</v>
      </c>
      <c r="I791" s="12">
        <v>42491</v>
      </c>
      <c r="J791" s="13">
        <f t="shared" si="29"/>
        <v>0</v>
      </c>
      <c r="K791" s="14"/>
      <c r="L791" s="14"/>
      <c r="M791" s="14"/>
      <c r="N791" s="14"/>
      <c r="O791" s="14">
        <v>400</v>
      </c>
      <c r="P791" s="14"/>
      <c r="Q791" s="14"/>
      <c r="R791" s="14"/>
      <c r="S791" s="14"/>
      <c r="T791" s="14"/>
      <c r="U791" s="14"/>
      <c r="V791" s="14"/>
      <c r="W791" s="15">
        <f t="shared" si="30"/>
        <v>400</v>
      </c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5"/>
      <c r="AK791" s="16"/>
    </row>
    <row r="792" spans="1:37" x14ac:dyDescent="0.2">
      <c r="B792" s="7" t="s">
        <v>69</v>
      </c>
      <c r="C792" s="8">
        <v>11533</v>
      </c>
      <c r="D792" s="9" t="s">
        <v>602</v>
      </c>
      <c r="E792" s="10" t="s">
        <v>603</v>
      </c>
      <c r="F792" s="10" t="s">
        <v>604</v>
      </c>
      <c r="G792" s="8">
        <v>1</v>
      </c>
      <c r="H792" s="11">
        <v>400</v>
      </c>
      <c r="I792" s="12">
        <v>42491</v>
      </c>
      <c r="J792" s="13">
        <f t="shared" si="29"/>
        <v>0</v>
      </c>
      <c r="K792" s="14"/>
      <c r="L792" s="14"/>
      <c r="M792" s="14"/>
      <c r="N792" s="14">
        <v>200</v>
      </c>
      <c r="O792" s="14">
        <v>200</v>
      </c>
      <c r="P792" s="14"/>
      <c r="Q792" s="14"/>
      <c r="R792" s="14"/>
      <c r="S792" s="14"/>
      <c r="T792" s="14"/>
      <c r="U792" s="14"/>
      <c r="V792" s="14"/>
      <c r="W792" s="15">
        <f t="shared" si="30"/>
        <v>400</v>
      </c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  <c r="AJ792" s="15"/>
      <c r="AK792" s="16"/>
    </row>
    <row r="793" spans="1:37" x14ac:dyDescent="0.2">
      <c r="B793" s="7" t="s">
        <v>69</v>
      </c>
      <c r="C793" s="8">
        <v>11534</v>
      </c>
      <c r="D793" s="9" t="s">
        <v>265</v>
      </c>
      <c r="E793" s="10" t="s">
        <v>266</v>
      </c>
      <c r="F793" s="10" t="s">
        <v>267</v>
      </c>
      <c r="G793" s="8">
        <v>1</v>
      </c>
      <c r="H793" s="11">
        <v>400</v>
      </c>
      <c r="I793" s="12">
        <v>42491</v>
      </c>
      <c r="J793" s="13">
        <f t="shared" si="29"/>
        <v>0</v>
      </c>
      <c r="K793" s="14"/>
      <c r="L793" s="14"/>
      <c r="M793" s="14"/>
      <c r="N793" s="14"/>
      <c r="O793" s="14">
        <v>400</v>
      </c>
      <c r="P793" s="14"/>
      <c r="Q793" s="14"/>
      <c r="R793" s="14"/>
      <c r="S793" s="14"/>
      <c r="T793" s="14"/>
      <c r="U793" s="14"/>
      <c r="V793" s="14"/>
      <c r="W793" s="15">
        <f t="shared" si="30"/>
        <v>400</v>
      </c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5"/>
      <c r="AK793" s="16"/>
    </row>
    <row r="794" spans="1:37" x14ac:dyDescent="0.2">
      <c r="B794" s="7" t="s">
        <v>69</v>
      </c>
      <c r="C794" s="8">
        <v>11535</v>
      </c>
      <c r="D794" s="9" t="s">
        <v>100</v>
      </c>
      <c r="E794" s="10" t="s">
        <v>101</v>
      </c>
      <c r="F794" s="10" t="s">
        <v>102</v>
      </c>
      <c r="G794" s="8">
        <v>1</v>
      </c>
      <c r="H794" s="11">
        <v>400</v>
      </c>
      <c r="I794" s="12">
        <v>42491</v>
      </c>
      <c r="J794" s="13">
        <f t="shared" si="29"/>
        <v>0</v>
      </c>
      <c r="K794" s="14"/>
      <c r="L794" s="14"/>
      <c r="M794" s="14"/>
      <c r="N794" s="14"/>
      <c r="O794" s="14">
        <v>400</v>
      </c>
      <c r="P794" s="14"/>
      <c r="Q794" s="14"/>
      <c r="R794" s="14"/>
      <c r="S794" s="14"/>
      <c r="T794" s="14"/>
      <c r="U794" s="14"/>
      <c r="V794" s="14"/>
      <c r="W794" s="15">
        <f t="shared" si="30"/>
        <v>400</v>
      </c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  <c r="AJ794" s="15"/>
      <c r="AK794" s="16"/>
    </row>
    <row r="795" spans="1:37" x14ac:dyDescent="0.2">
      <c r="B795" s="7" t="s">
        <v>73</v>
      </c>
      <c r="C795" s="8">
        <v>11536</v>
      </c>
      <c r="D795" s="9" t="s">
        <v>926</v>
      </c>
      <c r="E795" s="10" t="s">
        <v>927</v>
      </c>
      <c r="F795" s="10" t="s">
        <v>928</v>
      </c>
      <c r="G795" s="8">
        <v>1</v>
      </c>
      <c r="H795" s="11">
        <v>1350</v>
      </c>
      <c r="I795" s="12">
        <v>42491</v>
      </c>
      <c r="J795" s="13">
        <f t="shared" si="29"/>
        <v>-1350</v>
      </c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5">
        <f t="shared" si="30"/>
        <v>0</v>
      </c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5"/>
      <c r="AK795" s="16"/>
    </row>
    <row r="796" spans="1:37" x14ac:dyDescent="0.2">
      <c r="B796" s="7" t="s">
        <v>73</v>
      </c>
      <c r="C796" s="8">
        <v>11536</v>
      </c>
      <c r="D796" s="9" t="s">
        <v>929</v>
      </c>
      <c r="E796" s="10" t="s">
        <v>930</v>
      </c>
      <c r="F796" s="10" t="s">
        <v>931</v>
      </c>
      <c r="G796" s="8">
        <v>1</v>
      </c>
      <c r="H796" s="11">
        <v>1350</v>
      </c>
      <c r="I796" s="12">
        <v>42491</v>
      </c>
      <c r="J796" s="13">
        <f t="shared" si="29"/>
        <v>-1350</v>
      </c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5">
        <f t="shared" si="30"/>
        <v>0</v>
      </c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  <c r="AJ796" s="15"/>
      <c r="AK796" s="16"/>
    </row>
    <row r="797" spans="1:37" x14ac:dyDescent="0.2">
      <c r="B797" s="7" t="s">
        <v>73</v>
      </c>
      <c r="C797" s="8">
        <v>11537</v>
      </c>
      <c r="D797" s="9" t="s">
        <v>926</v>
      </c>
      <c r="E797" s="10" t="s">
        <v>927</v>
      </c>
      <c r="F797" s="10" t="s">
        <v>928</v>
      </c>
      <c r="G797" s="8">
        <v>1</v>
      </c>
      <c r="H797" s="11">
        <v>150</v>
      </c>
      <c r="I797" s="12">
        <v>42491</v>
      </c>
      <c r="J797" s="13">
        <f t="shared" si="29"/>
        <v>0</v>
      </c>
      <c r="K797" s="14">
        <v>150</v>
      </c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5">
        <f t="shared" si="30"/>
        <v>150</v>
      </c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5"/>
      <c r="AK797" s="16"/>
    </row>
    <row r="798" spans="1:37" x14ac:dyDescent="0.2">
      <c r="B798" s="7" t="s">
        <v>73</v>
      </c>
      <c r="C798" s="8">
        <v>11537</v>
      </c>
      <c r="D798" s="9" t="s">
        <v>929</v>
      </c>
      <c r="E798" s="10" t="s">
        <v>930</v>
      </c>
      <c r="F798" s="10" t="s">
        <v>931</v>
      </c>
      <c r="G798" s="8">
        <v>1</v>
      </c>
      <c r="H798" s="11">
        <v>150</v>
      </c>
      <c r="I798" s="12">
        <v>42491</v>
      </c>
      <c r="J798" s="13">
        <f t="shared" si="29"/>
        <v>0</v>
      </c>
      <c r="K798" s="14">
        <v>150</v>
      </c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5">
        <f t="shared" si="30"/>
        <v>150</v>
      </c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  <c r="AJ798" s="15"/>
      <c r="AK798" s="16"/>
    </row>
    <row r="799" spans="1:37" x14ac:dyDescent="0.2">
      <c r="B799" s="7" t="s">
        <v>47</v>
      </c>
      <c r="C799" s="8">
        <v>11538</v>
      </c>
      <c r="D799" s="9" t="s">
        <v>162</v>
      </c>
      <c r="E799" s="10" t="s">
        <v>163</v>
      </c>
      <c r="F799" s="10" t="s">
        <v>164</v>
      </c>
      <c r="G799" s="8">
        <v>1</v>
      </c>
      <c r="H799" s="11">
        <v>800</v>
      </c>
      <c r="I799" s="12">
        <v>42491</v>
      </c>
      <c r="J799" s="13">
        <f t="shared" si="29"/>
        <v>0</v>
      </c>
      <c r="K799" s="14"/>
      <c r="L799" s="14"/>
      <c r="M799" s="14"/>
      <c r="N799" s="14"/>
      <c r="O799" s="14">
        <v>400</v>
      </c>
      <c r="P799" s="14">
        <v>400</v>
      </c>
      <c r="Q799" s="14"/>
      <c r="R799" s="14"/>
      <c r="S799" s="14"/>
      <c r="T799" s="14"/>
      <c r="U799" s="14"/>
      <c r="V799" s="14"/>
      <c r="W799" s="15">
        <f t="shared" si="30"/>
        <v>800</v>
      </c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5"/>
      <c r="AK799" s="16"/>
    </row>
    <row r="800" spans="1:37" x14ac:dyDescent="0.2">
      <c r="B800" s="7" t="s">
        <v>69</v>
      </c>
      <c r="C800" s="8">
        <v>11539</v>
      </c>
      <c r="D800" s="9" t="s">
        <v>678</v>
      </c>
      <c r="E800" s="10" t="s">
        <v>679</v>
      </c>
      <c r="F800" s="10" t="s">
        <v>680</v>
      </c>
      <c r="G800" s="8">
        <v>1</v>
      </c>
      <c r="H800" s="11">
        <v>400</v>
      </c>
      <c r="I800" s="12">
        <v>42491</v>
      </c>
      <c r="J800" s="13">
        <f t="shared" si="29"/>
        <v>0</v>
      </c>
      <c r="K800" s="14"/>
      <c r="L800" s="14"/>
      <c r="M800" s="14"/>
      <c r="N800" s="14"/>
      <c r="O800" s="14">
        <v>400</v>
      </c>
      <c r="P800" s="14"/>
      <c r="Q800" s="14"/>
      <c r="R800" s="14"/>
      <c r="S800" s="14"/>
      <c r="T800" s="14"/>
      <c r="U800" s="14"/>
      <c r="V800" s="14"/>
      <c r="W800" s="15">
        <f t="shared" si="30"/>
        <v>400</v>
      </c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  <c r="AJ800" s="15"/>
      <c r="AK800" s="16"/>
    </row>
    <row r="801" spans="2:37" x14ac:dyDescent="0.2">
      <c r="B801" s="7" t="s">
        <v>69</v>
      </c>
      <c r="C801" s="8">
        <v>11540</v>
      </c>
      <c r="D801" s="9" t="s">
        <v>135</v>
      </c>
      <c r="E801" s="10" t="s">
        <v>136</v>
      </c>
      <c r="F801" s="10" t="s">
        <v>137</v>
      </c>
      <c r="G801" s="8">
        <v>1</v>
      </c>
      <c r="H801" s="11">
        <v>300</v>
      </c>
      <c r="I801" s="12">
        <v>42491</v>
      </c>
      <c r="J801" s="13">
        <f t="shared" si="29"/>
        <v>0</v>
      </c>
      <c r="K801" s="14"/>
      <c r="L801" s="14"/>
      <c r="M801" s="14"/>
      <c r="N801" s="14"/>
      <c r="O801" s="14">
        <v>300</v>
      </c>
      <c r="P801" s="14"/>
      <c r="Q801" s="14"/>
      <c r="R801" s="14"/>
      <c r="S801" s="14"/>
      <c r="T801" s="14"/>
      <c r="U801" s="14"/>
      <c r="V801" s="14"/>
      <c r="W801" s="15">
        <f t="shared" si="30"/>
        <v>300</v>
      </c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5"/>
      <c r="AK801" s="16"/>
    </row>
    <row r="802" spans="2:37" x14ac:dyDescent="0.2">
      <c r="B802" s="7" t="s">
        <v>77</v>
      </c>
      <c r="C802" s="8">
        <v>11541</v>
      </c>
      <c r="D802" s="9" t="s">
        <v>617</v>
      </c>
      <c r="E802" s="10" t="s">
        <v>618</v>
      </c>
      <c r="F802" s="10" t="s">
        <v>619</v>
      </c>
      <c r="G802" s="8">
        <v>1</v>
      </c>
      <c r="H802" s="11">
        <v>400</v>
      </c>
      <c r="I802" s="12">
        <v>42491</v>
      </c>
      <c r="J802" s="13">
        <f t="shared" si="29"/>
        <v>0</v>
      </c>
      <c r="K802" s="14"/>
      <c r="L802" s="14"/>
      <c r="M802" s="14">
        <v>400</v>
      </c>
      <c r="N802" s="14"/>
      <c r="O802" s="14"/>
      <c r="P802" s="14"/>
      <c r="Q802" s="14"/>
      <c r="R802" s="14"/>
      <c r="S802" s="14"/>
      <c r="T802" s="14"/>
      <c r="U802" s="14"/>
      <c r="V802" s="14"/>
      <c r="W802" s="15">
        <f t="shared" si="30"/>
        <v>400</v>
      </c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5"/>
      <c r="AK802" s="16"/>
    </row>
    <row r="803" spans="2:37" x14ac:dyDescent="0.2">
      <c r="B803" s="7" t="s">
        <v>47</v>
      </c>
      <c r="C803" s="8">
        <v>11542</v>
      </c>
      <c r="D803" s="9" t="s">
        <v>97</v>
      </c>
      <c r="E803" s="10" t="s">
        <v>98</v>
      </c>
      <c r="F803" s="10" t="s">
        <v>99</v>
      </c>
      <c r="G803" s="8">
        <v>1</v>
      </c>
      <c r="H803" s="11">
        <v>400</v>
      </c>
      <c r="I803" s="12">
        <v>42491</v>
      </c>
      <c r="J803" s="13">
        <f t="shared" si="29"/>
        <v>0</v>
      </c>
      <c r="K803" s="14"/>
      <c r="L803" s="14"/>
      <c r="M803" s="14"/>
      <c r="N803" s="14"/>
      <c r="O803" s="14">
        <v>400</v>
      </c>
      <c r="P803" s="14"/>
      <c r="Q803" s="14"/>
      <c r="R803" s="14"/>
      <c r="S803" s="14"/>
      <c r="T803" s="14"/>
      <c r="U803" s="14"/>
      <c r="V803" s="14"/>
      <c r="W803" s="15">
        <f t="shared" si="30"/>
        <v>400</v>
      </c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5"/>
      <c r="AK803" s="16"/>
    </row>
    <row r="804" spans="2:37" x14ac:dyDescent="0.2">
      <c r="B804" s="7" t="s">
        <v>69</v>
      </c>
      <c r="C804" s="8">
        <v>11543</v>
      </c>
      <c r="D804" s="9" t="s">
        <v>574</v>
      </c>
      <c r="E804" s="10" t="s">
        <v>575</v>
      </c>
      <c r="F804" s="10" t="s">
        <v>576</v>
      </c>
      <c r="G804" s="8">
        <v>1</v>
      </c>
      <c r="H804" s="11">
        <v>400</v>
      </c>
      <c r="I804" s="12">
        <v>42491</v>
      </c>
      <c r="J804" s="13">
        <f t="shared" si="29"/>
        <v>0</v>
      </c>
      <c r="K804" s="14"/>
      <c r="L804" s="14"/>
      <c r="M804" s="14">
        <v>400</v>
      </c>
      <c r="N804" s="14"/>
      <c r="O804" s="14"/>
      <c r="P804" s="14"/>
      <c r="Q804" s="14"/>
      <c r="R804" s="14"/>
      <c r="S804" s="14"/>
      <c r="T804" s="14"/>
      <c r="U804" s="14"/>
      <c r="V804" s="14"/>
      <c r="W804" s="15">
        <f t="shared" si="30"/>
        <v>400</v>
      </c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  <c r="AJ804" s="15"/>
      <c r="AK804" s="16"/>
    </row>
    <row r="805" spans="2:37" x14ac:dyDescent="0.2">
      <c r="B805" s="7" t="s">
        <v>47</v>
      </c>
      <c r="C805" s="8">
        <v>11544</v>
      </c>
      <c r="D805" s="9" t="s">
        <v>699</v>
      </c>
      <c r="E805" s="10" t="s">
        <v>700</v>
      </c>
      <c r="F805" s="10" t="s">
        <v>701</v>
      </c>
      <c r="G805" s="8">
        <v>1</v>
      </c>
      <c r="H805" s="11">
        <v>1200</v>
      </c>
      <c r="I805" s="12">
        <v>42491</v>
      </c>
      <c r="J805" s="13">
        <f t="shared" si="29"/>
        <v>0</v>
      </c>
      <c r="K805" s="14"/>
      <c r="L805" s="14"/>
      <c r="M805" s="14">
        <v>400</v>
      </c>
      <c r="N805" s="14">
        <v>400</v>
      </c>
      <c r="O805" s="14">
        <v>400</v>
      </c>
      <c r="P805" s="14"/>
      <c r="Q805" s="14"/>
      <c r="R805" s="14"/>
      <c r="S805" s="14"/>
      <c r="T805" s="14"/>
      <c r="U805" s="14"/>
      <c r="V805" s="14"/>
      <c r="W805" s="15">
        <f t="shared" si="30"/>
        <v>1200</v>
      </c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5"/>
      <c r="AK805" s="16"/>
    </row>
    <row r="806" spans="2:37" x14ac:dyDescent="0.2">
      <c r="B806" s="7" t="s">
        <v>73</v>
      </c>
      <c r="C806" s="8">
        <v>11545</v>
      </c>
      <c r="D806" s="9" t="s">
        <v>112</v>
      </c>
      <c r="E806" s="10" t="s">
        <v>113</v>
      </c>
      <c r="F806" s="10" t="s">
        <v>114</v>
      </c>
      <c r="G806" s="8">
        <v>1</v>
      </c>
      <c r="H806" s="11">
        <v>250</v>
      </c>
      <c r="I806" s="12">
        <v>42491</v>
      </c>
      <c r="J806" s="13">
        <f t="shared" si="29"/>
        <v>0</v>
      </c>
      <c r="K806" s="14"/>
      <c r="L806" s="14"/>
      <c r="M806" s="14"/>
      <c r="N806" s="14">
        <v>250</v>
      </c>
      <c r="O806" s="14"/>
      <c r="P806" s="14"/>
      <c r="Q806" s="14"/>
      <c r="R806" s="14"/>
      <c r="S806" s="14"/>
      <c r="T806" s="14"/>
      <c r="U806" s="14"/>
      <c r="V806" s="14"/>
      <c r="W806" s="15">
        <f t="shared" si="30"/>
        <v>250</v>
      </c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  <c r="AJ806" s="15"/>
      <c r="AK806" s="16"/>
    </row>
    <row r="807" spans="2:37" x14ac:dyDescent="0.2">
      <c r="B807" s="7" t="s">
        <v>47</v>
      </c>
      <c r="C807" s="8">
        <v>11546</v>
      </c>
      <c r="D807" s="9" t="s">
        <v>823</v>
      </c>
      <c r="E807" s="10" t="s">
        <v>824</v>
      </c>
      <c r="F807" s="10" t="s">
        <v>765</v>
      </c>
      <c r="G807" s="8">
        <v>1</v>
      </c>
      <c r="H807" s="11">
        <v>200</v>
      </c>
      <c r="I807" s="12">
        <v>42491</v>
      </c>
      <c r="J807" s="13">
        <f t="shared" si="29"/>
        <v>0</v>
      </c>
      <c r="K807" s="14"/>
      <c r="L807" s="14"/>
      <c r="M807" s="14"/>
      <c r="N807" s="14"/>
      <c r="O807" s="14">
        <v>200</v>
      </c>
      <c r="P807" s="14"/>
      <c r="Q807" s="14"/>
      <c r="R807" s="14"/>
      <c r="S807" s="14"/>
      <c r="T807" s="14"/>
      <c r="U807" s="14"/>
      <c r="V807" s="14"/>
      <c r="W807" s="15">
        <f t="shared" si="30"/>
        <v>200</v>
      </c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5"/>
      <c r="AK807" s="16"/>
    </row>
    <row r="808" spans="2:37" x14ac:dyDescent="0.2">
      <c r="B808" s="7" t="s">
        <v>47</v>
      </c>
      <c r="C808" s="8">
        <v>11547</v>
      </c>
      <c r="D808" s="9" t="s">
        <v>84</v>
      </c>
      <c r="E808" s="10" t="s">
        <v>85</v>
      </c>
      <c r="F808" s="10" t="s">
        <v>86</v>
      </c>
      <c r="G808" s="8">
        <v>1</v>
      </c>
      <c r="H808" s="11">
        <v>200</v>
      </c>
      <c r="I808" s="12">
        <v>42491</v>
      </c>
      <c r="J808" s="13">
        <f t="shared" si="29"/>
        <v>0</v>
      </c>
      <c r="K808" s="14"/>
      <c r="L808" s="14"/>
      <c r="M808" s="14"/>
      <c r="N808" s="14"/>
      <c r="O808" s="14">
        <v>200</v>
      </c>
      <c r="P808" s="14"/>
      <c r="Q808" s="14"/>
      <c r="R808" s="14"/>
      <c r="S808" s="14"/>
      <c r="T808" s="14"/>
      <c r="U808" s="14"/>
      <c r="V808" s="14"/>
      <c r="W808" s="15">
        <f t="shared" si="30"/>
        <v>200</v>
      </c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  <c r="AJ808" s="15"/>
      <c r="AK808" s="16"/>
    </row>
    <row r="809" spans="2:37" x14ac:dyDescent="0.2">
      <c r="B809" s="7" t="s">
        <v>69</v>
      </c>
      <c r="C809" s="8">
        <v>11548</v>
      </c>
      <c r="D809" s="9" t="s">
        <v>461</v>
      </c>
      <c r="E809" s="10" t="s">
        <v>462</v>
      </c>
      <c r="F809" s="10" t="s">
        <v>463</v>
      </c>
      <c r="G809" s="8">
        <v>1</v>
      </c>
      <c r="H809" s="11">
        <v>400</v>
      </c>
      <c r="I809" s="12">
        <v>42491</v>
      </c>
      <c r="J809" s="13">
        <f t="shared" si="29"/>
        <v>0</v>
      </c>
      <c r="K809" s="14"/>
      <c r="L809" s="14"/>
      <c r="M809" s="14">
        <v>400</v>
      </c>
      <c r="N809" s="14"/>
      <c r="O809" s="14"/>
      <c r="P809" s="14"/>
      <c r="Q809" s="14"/>
      <c r="R809" s="14"/>
      <c r="S809" s="14"/>
      <c r="T809" s="14"/>
      <c r="U809" s="14"/>
      <c r="V809" s="14"/>
      <c r="W809" s="15">
        <f t="shared" si="30"/>
        <v>400</v>
      </c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5"/>
      <c r="AK809" s="16"/>
    </row>
    <row r="810" spans="2:37" x14ac:dyDescent="0.2">
      <c r="B810" s="7" t="s">
        <v>73</v>
      </c>
      <c r="C810" s="8">
        <v>11549</v>
      </c>
      <c r="D810" s="9" t="s">
        <v>782</v>
      </c>
      <c r="E810" s="10" t="s">
        <v>783</v>
      </c>
      <c r="F810" s="10" t="s">
        <v>784</v>
      </c>
      <c r="G810" s="8">
        <v>3</v>
      </c>
      <c r="H810" s="11">
        <v>160</v>
      </c>
      <c r="I810" s="12">
        <v>42491</v>
      </c>
      <c r="J810" s="13">
        <f t="shared" si="29"/>
        <v>0</v>
      </c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5">
        <f t="shared" si="30"/>
        <v>0</v>
      </c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  <c r="AJ810" s="15"/>
      <c r="AK810" s="16"/>
    </row>
    <row r="811" spans="2:37" x14ac:dyDescent="0.2">
      <c r="B811" s="7" t="s">
        <v>69</v>
      </c>
      <c r="C811" s="8">
        <v>11550</v>
      </c>
      <c r="D811" s="9" t="s">
        <v>186</v>
      </c>
      <c r="E811" s="10" t="s">
        <v>187</v>
      </c>
      <c r="F811" s="10" t="s">
        <v>188</v>
      </c>
      <c r="G811" s="8">
        <v>1</v>
      </c>
      <c r="H811" s="11">
        <v>400</v>
      </c>
      <c r="I811" s="12">
        <v>42491</v>
      </c>
      <c r="J811" s="13">
        <f t="shared" si="29"/>
        <v>0</v>
      </c>
      <c r="K811" s="14"/>
      <c r="L811" s="14"/>
      <c r="M811" s="14"/>
      <c r="N811" s="14"/>
      <c r="O811" s="14">
        <v>400</v>
      </c>
      <c r="P811" s="14"/>
      <c r="Q811" s="14"/>
      <c r="R811" s="14"/>
      <c r="S811" s="14"/>
      <c r="T811" s="14"/>
      <c r="U811" s="14"/>
      <c r="V811" s="14"/>
      <c r="W811" s="15">
        <f t="shared" si="30"/>
        <v>400</v>
      </c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5"/>
      <c r="AK811" s="16"/>
    </row>
    <row r="812" spans="2:37" x14ac:dyDescent="0.2">
      <c r="B812" s="7" t="s">
        <v>77</v>
      </c>
      <c r="C812" s="8">
        <v>11551</v>
      </c>
      <c r="D812" s="9" t="s">
        <v>479</v>
      </c>
      <c r="E812" s="10" t="s">
        <v>480</v>
      </c>
      <c r="F812" s="10" t="s">
        <v>481</v>
      </c>
      <c r="G812" s="8">
        <v>1</v>
      </c>
      <c r="H812" s="11">
        <v>300</v>
      </c>
      <c r="I812" s="12">
        <v>42491</v>
      </c>
      <c r="J812" s="13">
        <f t="shared" si="29"/>
        <v>0</v>
      </c>
      <c r="K812" s="14"/>
      <c r="L812" s="14"/>
      <c r="M812" s="14"/>
      <c r="N812" s="14"/>
      <c r="O812" s="14">
        <v>300</v>
      </c>
      <c r="P812" s="14"/>
      <c r="Q812" s="14"/>
      <c r="R812" s="14"/>
      <c r="S812" s="14"/>
      <c r="T812" s="14"/>
      <c r="U812" s="14"/>
      <c r="V812" s="14"/>
      <c r="W812" s="15">
        <f t="shared" si="30"/>
        <v>300</v>
      </c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  <c r="AJ812" s="15"/>
      <c r="AK812" s="16"/>
    </row>
    <row r="813" spans="2:37" x14ac:dyDescent="0.2">
      <c r="B813" s="7" t="s">
        <v>37</v>
      </c>
      <c r="C813" s="8">
        <v>11552</v>
      </c>
      <c r="D813" s="9" t="s">
        <v>268</v>
      </c>
      <c r="E813" s="10" t="s">
        <v>269</v>
      </c>
      <c r="F813" s="10" t="s">
        <v>270</v>
      </c>
      <c r="G813" s="8">
        <v>1</v>
      </c>
      <c r="H813" s="11">
        <v>300</v>
      </c>
      <c r="I813" s="12">
        <v>42491</v>
      </c>
      <c r="J813" s="13">
        <f t="shared" si="29"/>
        <v>0</v>
      </c>
      <c r="K813" s="14"/>
      <c r="L813" s="14"/>
      <c r="M813" s="14"/>
      <c r="N813" s="14"/>
      <c r="O813" s="14">
        <v>300</v>
      </c>
      <c r="P813" s="14"/>
      <c r="Q813" s="14"/>
      <c r="R813" s="14"/>
      <c r="S813" s="14"/>
      <c r="T813" s="14"/>
      <c r="U813" s="14"/>
      <c r="V813" s="14"/>
      <c r="W813" s="15">
        <f t="shared" si="30"/>
        <v>300</v>
      </c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5"/>
      <c r="AK813" s="16"/>
    </row>
    <row r="814" spans="2:37" x14ac:dyDescent="0.2">
      <c r="B814" s="7" t="s">
        <v>37</v>
      </c>
      <c r="C814" s="8">
        <v>11552</v>
      </c>
      <c r="D814" s="9" t="s">
        <v>268</v>
      </c>
      <c r="E814" s="10" t="s">
        <v>269</v>
      </c>
      <c r="F814" s="10" t="s">
        <v>270</v>
      </c>
      <c r="G814" s="8">
        <v>3</v>
      </c>
      <c r="H814" s="11">
        <v>160</v>
      </c>
      <c r="I814" s="12">
        <v>42491</v>
      </c>
      <c r="J814" s="13">
        <f t="shared" si="29"/>
        <v>0</v>
      </c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5">
        <f t="shared" si="30"/>
        <v>0</v>
      </c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  <c r="AJ814" s="15"/>
      <c r="AK814" s="16"/>
    </row>
    <row r="815" spans="2:37" x14ac:dyDescent="0.2">
      <c r="B815" s="7" t="s">
        <v>93</v>
      </c>
      <c r="C815" s="8">
        <v>11553</v>
      </c>
      <c r="D815" s="9"/>
      <c r="E815" s="10" t="s">
        <v>93</v>
      </c>
      <c r="F815" s="10" t="s">
        <v>93</v>
      </c>
      <c r="G815" s="8">
        <v>8</v>
      </c>
      <c r="H815" s="11"/>
      <c r="I815" s="12"/>
      <c r="J815" s="13">
        <f t="shared" si="29"/>
        <v>0</v>
      </c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5">
        <f t="shared" si="30"/>
        <v>0</v>
      </c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5"/>
      <c r="AK815" s="16"/>
    </row>
    <row r="816" spans="2:37" x14ac:dyDescent="0.2">
      <c r="B816" s="7" t="s">
        <v>37</v>
      </c>
      <c r="C816" s="8">
        <v>11554</v>
      </c>
      <c r="D816" s="9" t="s">
        <v>271</v>
      </c>
      <c r="E816" s="10" t="s">
        <v>272</v>
      </c>
      <c r="F816" s="10" t="s">
        <v>273</v>
      </c>
      <c r="G816" s="8">
        <v>1</v>
      </c>
      <c r="H816" s="11">
        <v>800</v>
      </c>
      <c r="I816" s="12">
        <v>42491</v>
      </c>
      <c r="J816" s="13">
        <f t="shared" si="29"/>
        <v>0</v>
      </c>
      <c r="K816" s="14"/>
      <c r="L816" s="14"/>
      <c r="M816" s="14"/>
      <c r="N816" s="14">
        <v>400</v>
      </c>
      <c r="O816" s="14">
        <v>400</v>
      </c>
      <c r="P816" s="14"/>
      <c r="Q816" s="14"/>
      <c r="R816" s="14"/>
      <c r="S816" s="14"/>
      <c r="T816" s="14"/>
      <c r="U816" s="14"/>
      <c r="V816" s="14"/>
      <c r="W816" s="15">
        <f t="shared" si="30"/>
        <v>800</v>
      </c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  <c r="AJ816" s="15"/>
      <c r="AK816" s="16"/>
    </row>
    <row r="817" spans="2:37" x14ac:dyDescent="0.2">
      <c r="B817" s="7" t="s">
        <v>122</v>
      </c>
      <c r="C817" s="8">
        <v>11555</v>
      </c>
      <c r="D817" s="9" t="s">
        <v>123</v>
      </c>
      <c r="E817" s="10" t="s">
        <v>124</v>
      </c>
      <c r="F817" s="10" t="s">
        <v>125</v>
      </c>
      <c r="G817" s="8">
        <v>1</v>
      </c>
      <c r="H817" s="11">
        <v>250</v>
      </c>
      <c r="I817" s="12">
        <v>42491</v>
      </c>
      <c r="J817" s="13">
        <f t="shared" si="29"/>
        <v>0</v>
      </c>
      <c r="K817" s="14"/>
      <c r="L817" s="14"/>
      <c r="M817" s="14"/>
      <c r="N817" s="14"/>
      <c r="O817" s="14">
        <v>250</v>
      </c>
      <c r="P817" s="14"/>
      <c r="Q817" s="14"/>
      <c r="R817" s="14"/>
      <c r="S817" s="14"/>
      <c r="T817" s="14"/>
      <c r="U817" s="14"/>
      <c r="V817" s="14"/>
      <c r="W817" s="15">
        <f t="shared" si="30"/>
        <v>250</v>
      </c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5"/>
      <c r="AK817" s="16"/>
    </row>
    <row r="818" spans="2:37" x14ac:dyDescent="0.2">
      <c r="B818" s="7" t="s">
        <v>69</v>
      </c>
      <c r="C818" s="8">
        <v>11556</v>
      </c>
      <c r="D818" s="9" t="s">
        <v>292</v>
      </c>
      <c r="E818" s="10" t="s">
        <v>293</v>
      </c>
      <c r="F818" s="10" t="s">
        <v>294</v>
      </c>
      <c r="G818" s="8">
        <v>1</v>
      </c>
      <c r="H818" s="11">
        <v>400</v>
      </c>
      <c r="I818" s="12">
        <v>42491</v>
      </c>
      <c r="J818" s="13">
        <f t="shared" si="29"/>
        <v>0</v>
      </c>
      <c r="K818" s="14"/>
      <c r="L818" s="14"/>
      <c r="M818" s="14"/>
      <c r="N818" s="14"/>
      <c r="O818" s="14">
        <v>400</v>
      </c>
      <c r="P818" s="14"/>
      <c r="Q818" s="14"/>
      <c r="R818" s="14"/>
      <c r="S818" s="14"/>
      <c r="T818" s="14"/>
      <c r="U818" s="14"/>
      <c r="V818" s="14"/>
      <c r="W818" s="15">
        <f t="shared" si="30"/>
        <v>400</v>
      </c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5"/>
      <c r="AK818" s="16"/>
    </row>
    <row r="819" spans="2:37" x14ac:dyDescent="0.2">
      <c r="B819" s="7" t="s">
        <v>47</v>
      </c>
      <c r="C819" s="8">
        <v>11557</v>
      </c>
      <c r="D819" s="9" t="s">
        <v>404</v>
      </c>
      <c r="E819" s="10" t="s">
        <v>405</v>
      </c>
      <c r="F819" s="10" t="s">
        <v>406</v>
      </c>
      <c r="G819" s="8">
        <v>1</v>
      </c>
      <c r="H819" s="11">
        <v>400</v>
      </c>
      <c r="I819" s="12">
        <v>42491</v>
      </c>
      <c r="J819" s="13">
        <f t="shared" si="29"/>
        <v>0</v>
      </c>
      <c r="K819" s="14"/>
      <c r="L819" s="14"/>
      <c r="M819" s="14"/>
      <c r="N819" s="14"/>
      <c r="O819" s="14">
        <v>400</v>
      </c>
      <c r="P819" s="14"/>
      <c r="Q819" s="14"/>
      <c r="R819" s="14"/>
      <c r="S819" s="14"/>
      <c r="T819" s="14"/>
      <c r="U819" s="14"/>
      <c r="V819" s="14"/>
      <c r="W819" s="15">
        <f t="shared" si="30"/>
        <v>400</v>
      </c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5"/>
      <c r="AK819" s="16"/>
    </row>
    <row r="820" spans="2:37" x14ac:dyDescent="0.2">
      <c r="B820" s="7" t="s">
        <v>73</v>
      </c>
      <c r="C820" s="8">
        <v>11558</v>
      </c>
      <c r="D820" s="9" t="s">
        <v>763</v>
      </c>
      <c r="E820" s="10" t="s">
        <v>764</v>
      </c>
      <c r="F820" s="10" t="s">
        <v>765</v>
      </c>
      <c r="G820" s="8">
        <v>1</v>
      </c>
      <c r="H820" s="11">
        <v>400</v>
      </c>
      <c r="I820" s="12">
        <v>42491</v>
      </c>
      <c r="J820" s="13">
        <f t="shared" si="29"/>
        <v>0</v>
      </c>
      <c r="K820" s="14"/>
      <c r="L820" s="14"/>
      <c r="M820" s="14"/>
      <c r="N820" s="14">
        <v>400</v>
      </c>
      <c r="O820" s="14"/>
      <c r="P820" s="14"/>
      <c r="Q820" s="14"/>
      <c r="R820" s="14"/>
      <c r="S820" s="14"/>
      <c r="T820" s="14"/>
      <c r="U820" s="14"/>
      <c r="V820" s="14"/>
      <c r="W820" s="15">
        <f t="shared" si="30"/>
        <v>400</v>
      </c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  <c r="AJ820" s="15"/>
      <c r="AK820" s="16"/>
    </row>
    <row r="821" spans="2:37" x14ac:dyDescent="0.2">
      <c r="B821" s="7" t="s">
        <v>93</v>
      </c>
      <c r="C821" s="8">
        <v>11559</v>
      </c>
      <c r="D821" s="9"/>
      <c r="E821" s="10" t="s">
        <v>93</v>
      </c>
      <c r="F821" s="10" t="s">
        <v>93</v>
      </c>
      <c r="G821" s="8">
        <v>8</v>
      </c>
      <c r="H821" s="11"/>
      <c r="I821" s="12"/>
      <c r="J821" s="13">
        <f t="shared" si="29"/>
        <v>0</v>
      </c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5">
        <f t="shared" si="30"/>
        <v>0</v>
      </c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5"/>
      <c r="AK821" s="16"/>
    </row>
    <row r="822" spans="2:37" x14ac:dyDescent="0.2">
      <c r="B822" s="7" t="s">
        <v>73</v>
      </c>
      <c r="C822" s="8">
        <v>11560</v>
      </c>
      <c r="D822" s="9" t="s">
        <v>316</v>
      </c>
      <c r="E822" s="10" t="s">
        <v>317</v>
      </c>
      <c r="F822" s="10" t="s">
        <v>318</v>
      </c>
      <c r="G822" s="8">
        <v>1</v>
      </c>
      <c r="H822" s="11">
        <v>300</v>
      </c>
      <c r="I822" s="12">
        <v>42491</v>
      </c>
      <c r="J822" s="13">
        <f t="shared" si="29"/>
        <v>0</v>
      </c>
      <c r="K822" s="14">
        <v>100</v>
      </c>
      <c r="L822" s="14">
        <v>100</v>
      </c>
      <c r="M822" s="14">
        <v>100</v>
      </c>
      <c r="N822" s="14"/>
      <c r="O822" s="14"/>
      <c r="P822" s="14"/>
      <c r="Q822" s="14"/>
      <c r="R822" s="14"/>
      <c r="S822" s="14"/>
      <c r="T822" s="14"/>
      <c r="U822" s="14"/>
      <c r="V822" s="14"/>
      <c r="W822" s="15">
        <f t="shared" si="30"/>
        <v>300</v>
      </c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5"/>
      <c r="AK822" s="16"/>
    </row>
    <row r="823" spans="2:37" x14ac:dyDescent="0.2">
      <c r="B823" s="7" t="s">
        <v>73</v>
      </c>
      <c r="C823" s="8">
        <v>11561</v>
      </c>
      <c r="D823" s="9" t="s">
        <v>319</v>
      </c>
      <c r="E823" s="10" t="s">
        <v>320</v>
      </c>
      <c r="F823" s="10" t="s">
        <v>321</v>
      </c>
      <c r="G823" s="8">
        <v>1</v>
      </c>
      <c r="H823" s="11">
        <v>300</v>
      </c>
      <c r="I823" s="12">
        <v>42491</v>
      </c>
      <c r="J823" s="13">
        <f t="shared" si="29"/>
        <v>0</v>
      </c>
      <c r="K823" s="14">
        <v>100</v>
      </c>
      <c r="L823" s="14">
        <v>100</v>
      </c>
      <c r="M823" s="14">
        <v>100</v>
      </c>
      <c r="N823" s="14"/>
      <c r="O823" s="14"/>
      <c r="P823" s="14"/>
      <c r="Q823" s="14"/>
      <c r="R823" s="14"/>
      <c r="S823" s="14"/>
      <c r="T823" s="14"/>
      <c r="U823" s="14"/>
      <c r="V823" s="14"/>
      <c r="W823" s="15">
        <f t="shared" si="30"/>
        <v>300</v>
      </c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5"/>
      <c r="AK823" s="16"/>
    </row>
    <row r="824" spans="2:37" x14ac:dyDescent="0.2">
      <c r="B824" s="7" t="s">
        <v>69</v>
      </c>
      <c r="C824" s="8">
        <v>11562</v>
      </c>
      <c r="D824" s="9" t="s">
        <v>346</v>
      </c>
      <c r="E824" s="10" t="s">
        <v>347</v>
      </c>
      <c r="F824" s="10" t="s">
        <v>348</v>
      </c>
      <c r="G824" s="8">
        <v>1</v>
      </c>
      <c r="H824" s="11">
        <v>300</v>
      </c>
      <c r="I824" s="12">
        <v>42491</v>
      </c>
      <c r="J824" s="13">
        <f t="shared" si="29"/>
        <v>0</v>
      </c>
      <c r="K824" s="14"/>
      <c r="L824" s="14"/>
      <c r="M824" s="14">
        <v>300</v>
      </c>
      <c r="N824" s="14"/>
      <c r="O824" s="14"/>
      <c r="P824" s="14"/>
      <c r="Q824" s="14"/>
      <c r="R824" s="14"/>
      <c r="S824" s="14"/>
      <c r="T824" s="14"/>
      <c r="U824" s="14"/>
      <c r="V824" s="14"/>
      <c r="W824" s="15">
        <f t="shared" si="30"/>
        <v>300</v>
      </c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  <c r="AJ824" s="15"/>
      <c r="AK824" s="16"/>
    </row>
    <row r="825" spans="2:37" x14ac:dyDescent="0.2">
      <c r="B825" s="7" t="s">
        <v>37</v>
      </c>
      <c r="C825" s="8">
        <v>11563</v>
      </c>
      <c r="D825" s="9" t="s">
        <v>716</v>
      </c>
      <c r="E825" s="10" t="s">
        <v>717</v>
      </c>
      <c r="F825" s="10" t="s">
        <v>718</v>
      </c>
      <c r="G825" s="8">
        <v>1</v>
      </c>
      <c r="H825" s="11">
        <v>300</v>
      </c>
      <c r="I825" s="12">
        <v>42491</v>
      </c>
      <c r="J825" s="13">
        <f t="shared" si="29"/>
        <v>0</v>
      </c>
      <c r="K825" s="14"/>
      <c r="L825" s="14"/>
      <c r="M825" s="14"/>
      <c r="N825" s="14"/>
      <c r="O825" s="14">
        <v>300</v>
      </c>
      <c r="P825" s="14"/>
      <c r="Q825" s="14"/>
      <c r="R825" s="14"/>
      <c r="S825" s="14"/>
      <c r="T825" s="14"/>
      <c r="U825" s="14"/>
      <c r="V825" s="14"/>
      <c r="W825" s="15">
        <f t="shared" si="30"/>
        <v>300</v>
      </c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5"/>
      <c r="AK825" s="16"/>
    </row>
    <row r="826" spans="2:37" x14ac:dyDescent="0.2">
      <c r="B826" s="7" t="s">
        <v>37</v>
      </c>
      <c r="C826" s="8">
        <v>11564</v>
      </c>
      <c r="D826" s="9" t="s">
        <v>298</v>
      </c>
      <c r="E826" s="10" t="s">
        <v>299</v>
      </c>
      <c r="F826" s="10" t="s">
        <v>300</v>
      </c>
      <c r="G826" s="8">
        <v>1</v>
      </c>
      <c r="H826" s="11">
        <v>300</v>
      </c>
      <c r="I826" s="12">
        <v>42491</v>
      </c>
      <c r="J826" s="13">
        <f t="shared" si="29"/>
        <v>0</v>
      </c>
      <c r="K826" s="14"/>
      <c r="L826" s="14"/>
      <c r="M826" s="14">
        <v>150</v>
      </c>
      <c r="N826" s="14">
        <v>150</v>
      </c>
      <c r="O826" s="14"/>
      <c r="P826" s="14"/>
      <c r="Q826" s="14"/>
      <c r="R826" s="14"/>
      <c r="S826" s="14"/>
      <c r="T826" s="14"/>
      <c r="U826" s="14"/>
      <c r="V826" s="14"/>
      <c r="W826" s="15">
        <f t="shared" si="30"/>
        <v>300</v>
      </c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  <c r="AJ826" s="15"/>
      <c r="AK826" s="16"/>
    </row>
    <row r="827" spans="2:37" x14ac:dyDescent="0.2">
      <c r="B827" s="7" t="s">
        <v>122</v>
      </c>
      <c r="C827" s="8">
        <v>11565</v>
      </c>
      <c r="D827" s="9" t="s">
        <v>310</v>
      </c>
      <c r="E827" s="10" t="s">
        <v>311</v>
      </c>
      <c r="F827" s="10" t="s">
        <v>312</v>
      </c>
      <c r="G827" s="8">
        <v>1</v>
      </c>
      <c r="H827" s="11">
        <v>800</v>
      </c>
      <c r="I827" s="12">
        <v>42491</v>
      </c>
      <c r="J827" s="13">
        <f t="shared" si="29"/>
        <v>0</v>
      </c>
      <c r="K827" s="14"/>
      <c r="L827" s="14"/>
      <c r="M827" s="14"/>
      <c r="N827" s="14">
        <v>400</v>
      </c>
      <c r="O827" s="14">
        <v>400</v>
      </c>
      <c r="P827" s="14"/>
      <c r="Q827" s="14"/>
      <c r="R827" s="14"/>
      <c r="S827" s="14"/>
      <c r="T827" s="14"/>
      <c r="U827" s="14"/>
      <c r="V827" s="14"/>
      <c r="W827" s="15">
        <f t="shared" si="30"/>
        <v>800</v>
      </c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5"/>
      <c r="AK827" s="16"/>
    </row>
    <row r="828" spans="2:37" x14ac:dyDescent="0.2">
      <c r="B828" s="7" t="s">
        <v>73</v>
      </c>
      <c r="C828" s="8">
        <v>11566</v>
      </c>
      <c r="D828" s="9" t="s">
        <v>817</v>
      </c>
      <c r="E828" s="10" t="s">
        <v>818</v>
      </c>
      <c r="F828" s="10" t="s">
        <v>819</v>
      </c>
      <c r="G828" s="8">
        <v>3</v>
      </c>
      <c r="H828" s="11">
        <v>160</v>
      </c>
      <c r="I828" s="12">
        <v>42491</v>
      </c>
      <c r="J828" s="13">
        <f t="shared" si="29"/>
        <v>0</v>
      </c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5">
        <f t="shared" si="30"/>
        <v>0</v>
      </c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  <c r="AJ828" s="15"/>
      <c r="AK828" s="16"/>
    </row>
    <row r="829" spans="2:37" x14ac:dyDescent="0.2">
      <c r="B829" s="7" t="s">
        <v>69</v>
      </c>
      <c r="C829" s="8">
        <v>11567</v>
      </c>
      <c r="D829" s="9" t="s">
        <v>915</v>
      </c>
      <c r="E829" s="10" t="s">
        <v>916</v>
      </c>
      <c r="F829" s="10" t="s">
        <v>917</v>
      </c>
      <c r="G829" s="8">
        <v>1</v>
      </c>
      <c r="H829" s="11">
        <v>200</v>
      </c>
      <c r="I829" s="12">
        <v>42491</v>
      </c>
      <c r="J829" s="13">
        <f t="shared" si="29"/>
        <v>0</v>
      </c>
      <c r="K829" s="14"/>
      <c r="L829" s="14"/>
      <c r="M829" s="14"/>
      <c r="N829" s="14"/>
      <c r="O829" s="14">
        <v>200</v>
      </c>
      <c r="P829" s="14"/>
      <c r="Q829" s="14"/>
      <c r="R829" s="14"/>
      <c r="S829" s="14"/>
      <c r="T829" s="14"/>
      <c r="U829" s="14"/>
      <c r="V829" s="14"/>
      <c r="W829" s="15">
        <f t="shared" si="30"/>
        <v>200</v>
      </c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5"/>
      <c r="AK829" s="16"/>
    </row>
    <row r="830" spans="2:37" x14ac:dyDescent="0.2">
      <c r="B830" s="7" t="s">
        <v>69</v>
      </c>
      <c r="C830" s="8">
        <v>11567</v>
      </c>
      <c r="D830" s="9" t="s">
        <v>915</v>
      </c>
      <c r="E830" s="10" t="s">
        <v>916</v>
      </c>
      <c r="F830" s="10" t="s">
        <v>917</v>
      </c>
      <c r="G830" s="8">
        <v>3</v>
      </c>
      <c r="H830" s="11">
        <v>160</v>
      </c>
      <c r="I830" s="12">
        <v>42491</v>
      </c>
      <c r="J830" s="13">
        <f t="shared" si="29"/>
        <v>0</v>
      </c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5">
        <f t="shared" si="30"/>
        <v>0</v>
      </c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15"/>
      <c r="AK830" s="16"/>
    </row>
    <row r="831" spans="2:37" x14ac:dyDescent="0.2">
      <c r="B831" s="7" t="s">
        <v>73</v>
      </c>
      <c r="C831" s="8">
        <v>11568</v>
      </c>
      <c r="D831" s="9" t="s">
        <v>544</v>
      </c>
      <c r="E831" s="10" t="s">
        <v>545</v>
      </c>
      <c r="F831" s="10" t="s">
        <v>546</v>
      </c>
      <c r="G831" s="8">
        <v>1</v>
      </c>
      <c r="H831" s="11">
        <v>800</v>
      </c>
      <c r="I831" s="12">
        <v>42491</v>
      </c>
      <c r="J831" s="13">
        <f t="shared" si="29"/>
        <v>0</v>
      </c>
      <c r="K831" s="14"/>
      <c r="L831" s="14"/>
      <c r="M831" s="14"/>
      <c r="N831" s="14">
        <v>400</v>
      </c>
      <c r="O831" s="14">
        <v>400</v>
      </c>
      <c r="P831" s="14"/>
      <c r="Q831" s="14"/>
      <c r="R831" s="14"/>
      <c r="S831" s="14"/>
      <c r="T831" s="14"/>
      <c r="U831" s="14"/>
      <c r="V831" s="14"/>
      <c r="W831" s="15">
        <f t="shared" si="30"/>
        <v>800</v>
      </c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5"/>
      <c r="AK831" s="16"/>
    </row>
    <row r="832" spans="2:37" x14ac:dyDescent="0.2">
      <c r="B832" s="7" t="s">
        <v>47</v>
      </c>
      <c r="C832" s="8">
        <v>11569</v>
      </c>
      <c r="D832" s="9" t="s">
        <v>313</v>
      </c>
      <c r="E832" s="10" t="s">
        <v>314</v>
      </c>
      <c r="F832" s="10" t="s">
        <v>315</v>
      </c>
      <c r="G832" s="8">
        <v>1</v>
      </c>
      <c r="H832" s="11">
        <v>400</v>
      </c>
      <c r="I832" s="12">
        <v>42491</v>
      </c>
      <c r="J832" s="13">
        <f t="shared" si="29"/>
        <v>0</v>
      </c>
      <c r="K832" s="14"/>
      <c r="L832" s="14"/>
      <c r="M832" s="14"/>
      <c r="N832" s="14"/>
      <c r="O832" s="14">
        <v>400</v>
      </c>
      <c r="P832" s="14"/>
      <c r="Q832" s="14"/>
      <c r="R832" s="14"/>
      <c r="S832" s="14"/>
      <c r="T832" s="14"/>
      <c r="U832" s="14"/>
      <c r="V832" s="14"/>
      <c r="W832" s="15">
        <f t="shared" si="30"/>
        <v>400</v>
      </c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  <c r="AJ832" s="15"/>
      <c r="AK832" s="16"/>
    </row>
    <row r="833" spans="2:37" x14ac:dyDescent="0.2">
      <c r="B833" s="7" t="s">
        <v>37</v>
      </c>
      <c r="C833" s="8">
        <v>11570</v>
      </c>
      <c r="D833" s="9" t="s">
        <v>932</v>
      </c>
      <c r="E833" s="10" t="s">
        <v>933</v>
      </c>
      <c r="F833" s="10" t="s">
        <v>934</v>
      </c>
      <c r="G833" s="8">
        <v>1</v>
      </c>
      <c r="H833" s="11">
        <v>2000</v>
      </c>
      <c r="I833" s="12">
        <v>42491</v>
      </c>
      <c r="J833" s="13">
        <f t="shared" si="29"/>
        <v>0</v>
      </c>
      <c r="K833" s="14">
        <v>400</v>
      </c>
      <c r="L833" s="14">
        <v>400</v>
      </c>
      <c r="M833" s="14">
        <v>400</v>
      </c>
      <c r="N833" s="14">
        <v>400</v>
      </c>
      <c r="O833" s="14">
        <v>400</v>
      </c>
      <c r="P833" s="14"/>
      <c r="Q833" s="14"/>
      <c r="R833" s="14"/>
      <c r="S833" s="14"/>
      <c r="T833" s="14"/>
      <c r="U833" s="14"/>
      <c r="V833" s="14"/>
      <c r="W833" s="15">
        <f t="shared" si="30"/>
        <v>2000</v>
      </c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5"/>
      <c r="AK833" s="16"/>
    </row>
    <row r="834" spans="2:37" x14ac:dyDescent="0.2">
      <c r="B834" s="7" t="s">
        <v>37</v>
      </c>
      <c r="C834" s="8">
        <v>11571</v>
      </c>
      <c r="D834" s="9" t="s">
        <v>932</v>
      </c>
      <c r="E834" s="10" t="s">
        <v>933</v>
      </c>
      <c r="F834" s="10" t="s">
        <v>934</v>
      </c>
      <c r="G834" s="8">
        <v>4</v>
      </c>
      <c r="H834" s="11">
        <v>160</v>
      </c>
      <c r="I834" s="12">
        <v>42491</v>
      </c>
      <c r="J834" s="13">
        <f t="shared" si="29"/>
        <v>0</v>
      </c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5">
        <f t="shared" si="30"/>
        <v>0</v>
      </c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5"/>
      <c r="AK834" s="7">
        <v>178</v>
      </c>
    </row>
    <row r="835" spans="2:37" x14ac:dyDescent="0.2">
      <c r="B835" s="7" t="s">
        <v>73</v>
      </c>
      <c r="C835" s="8">
        <v>11572</v>
      </c>
      <c r="D835" s="9" t="s">
        <v>109</v>
      </c>
      <c r="E835" s="10" t="s">
        <v>110</v>
      </c>
      <c r="F835" s="10" t="s">
        <v>111</v>
      </c>
      <c r="G835" s="8">
        <v>1</v>
      </c>
      <c r="H835" s="11">
        <v>400</v>
      </c>
      <c r="I835" s="12">
        <v>42491</v>
      </c>
      <c r="J835" s="13">
        <f t="shared" si="29"/>
        <v>0</v>
      </c>
      <c r="K835" s="14"/>
      <c r="L835" s="14"/>
      <c r="M835" s="14"/>
      <c r="N835" s="14">
        <v>400</v>
      </c>
      <c r="O835" s="14"/>
      <c r="P835" s="14"/>
      <c r="Q835" s="14"/>
      <c r="R835" s="14"/>
      <c r="S835" s="14"/>
      <c r="T835" s="14"/>
      <c r="U835" s="14"/>
      <c r="V835" s="14"/>
      <c r="W835" s="15">
        <f t="shared" si="30"/>
        <v>400</v>
      </c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5"/>
      <c r="AK835" s="16"/>
    </row>
    <row r="836" spans="2:37" x14ac:dyDescent="0.2">
      <c r="B836" s="7" t="s">
        <v>47</v>
      </c>
      <c r="C836" s="8">
        <v>11573</v>
      </c>
      <c r="D836" s="9" t="s">
        <v>153</v>
      </c>
      <c r="E836" s="10" t="s">
        <v>154</v>
      </c>
      <c r="F836" s="10" t="s">
        <v>155</v>
      </c>
      <c r="G836" s="8">
        <v>1</v>
      </c>
      <c r="H836" s="11">
        <v>400</v>
      </c>
      <c r="I836" s="12">
        <v>42491</v>
      </c>
      <c r="J836" s="13">
        <f t="shared" si="29"/>
        <v>0</v>
      </c>
      <c r="K836" s="14"/>
      <c r="L836" s="14"/>
      <c r="M836" s="14"/>
      <c r="N836" s="14"/>
      <c r="O836" s="14">
        <v>400</v>
      </c>
      <c r="P836" s="14"/>
      <c r="Q836" s="14"/>
      <c r="R836" s="14"/>
      <c r="S836" s="14"/>
      <c r="T836" s="14"/>
      <c r="U836" s="14"/>
      <c r="V836" s="14"/>
      <c r="W836" s="15">
        <f t="shared" si="30"/>
        <v>400</v>
      </c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  <c r="AJ836" s="15"/>
      <c r="AK836" s="16"/>
    </row>
    <row r="837" spans="2:37" x14ac:dyDescent="0.2">
      <c r="B837" s="7" t="s">
        <v>69</v>
      </c>
      <c r="C837" s="8">
        <v>11574</v>
      </c>
      <c r="D837" s="9" t="s">
        <v>476</v>
      </c>
      <c r="E837" s="10" t="s">
        <v>477</v>
      </c>
      <c r="F837" s="10" t="s">
        <v>478</v>
      </c>
      <c r="G837" s="8">
        <v>1</v>
      </c>
      <c r="H837" s="11">
        <v>400</v>
      </c>
      <c r="I837" s="12">
        <v>42491</v>
      </c>
      <c r="J837" s="13">
        <f t="shared" si="29"/>
        <v>0</v>
      </c>
      <c r="K837" s="14"/>
      <c r="L837" s="14"/>
      <c r="M837" s="14"/>
      <c r="N837" s="14"/>
      <c r="O837" s="14">
        <v>400</v>
      </c>
      <c r="P837" s="14"/>
      <c r="Q837" s="14"/>
      <c r="R837" s="14"/>
      <c r="S837" s="14"/>
      <c r="T837" s="14"/>
      <c r="U837" s="14"/>
      <c r="V837" s="14"/>
      <c r="W837" s="15">
        <f t="shared" si="30"/>
        <v>400</v>
      </c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5"/>
      <c r="AK837" s="16"/>
    </row>
    <row r="838" spans="2:37" x14ac:dyDescent="0.2">
      <c r="B838" s="7" t="s">
        <v>69</v>
      </c>
      <c r="C838" s="8">
        <v>11575</v>
      </c>
      <c r="D838" s="9" t="s">
        <v>168</v>
      </c>
      <c r="E838" s="10" t="s">
        <v>169</v>
      </c>
      <c r="F838" s="10" t="s">
        <v>170</v>
      </c>
      <c r="G838" s="8">
        <v>1</v>
      </c>
      <c r="H838" s="11">
        <v>200</v>
      </c>
      <c r="I838" s="12">
        <v>42491</v>
      </c>
      <c r="J838" s="13">
        <f t="shared" si="29"/>
        <v>0</v>
      </c>
      <c r="K838" s="14"/>
      <c r="L838" s="14"/>
      <c r="M838" s="14">
        <v>200</v>
      </c>
      <c r="N838" s="14"/>
      <c r="O838" s="14"/>
      <c r="P838" s="14"/>
      <c r="Q838" s="14"/>
      <c r="R838" s="14"/>
      <c r="S838" s="14"/>
      <c r="T838" s="14"/>
      <c r="U838" s="14"/>
      <c r="V838" s="14"/>
      <c r="W838" s="15">
        <f t="shared" si="30"/>
        <v>200</v>
      </c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  <c r="AJ838" s="15"/>
      <c r="AK838" s="16"/>
    </row>
    <row r="839" spans="2:37" x14ac:dyDescent="0.2">
      <c r="B839" s="7" t="s">
        <v>73</v>
      </c>
      <c r="C839" s="8">
        <v>11576</v>
      </c>
      <c r="D839" s="9" t="s">
        <v>846</v>
      </c>
      <c r="E839" s="10" t="s">
        <v>847</v>
      </c>
      <c r="F839" s="10" t="s">
        <v>848</v>
      </c>
      <c r="G839" s="8">
        <v>1</v>
      </c>
      <c r="H839" s="11">
        <v>800</v>
      </c>
      <c r="I839" s="12">
        <v>42491</v>
      </c>
      <c r="J839" s="13">
        <f t="shared" si="29"/>
        <v>0</v>
      </c>
      <c r="K839" s="14"/>
      <c r="L839" s="14"/>
      <c r="M839" s="14"/>
      <c r="N839" s="14">
        <v>400</v>
      </c>
      <c r="O839" s="14">
        <v>400</v>
      </c>
      <c r="P839" s="14"/>
      <c r="Q839" s="14"/>
      <c r="R839" s="14"/>
      <c r="S839" s="14"/>
      <c r="T839" s="14"/>
      <c r="U839" s="14"/>
      <c r="V839" s="14"/>
      <c r="W839" s="15">
        <f t="shared" si="30"/>
        <v>800</v>
      </c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5"/>
      <c r="AK839" s="16"/>
    </row>
    <row r="840" spans="2:37" x14ac:dyDescent="0.2">
      <c r="B840" s="7" t="s">
        <v>47</v>
      </c>
      <c r="C840" s="8">
        <v>11577</v>
      </c>
      <c r="D840" s="9" t="s">
        <v>150</v>
      </c>
      <c r="E840" s="10" t="s">
        <v>151</v>
      </c>
      <c r="F840" s="10" t="s">
        <v>152</v>
      </c>
      <c r="G840" s="8">
        <v>1</v>
      </c>
      <c r="H840" s="11">
        <v>400</v>
      </c>
      <c r="I840" s="12">
        <v>42491</v>
      </c>
      <c r="J840" s="13">
        <f t="shared" si="29"/>
        <v>0</v>
      </c>
      <c r="K840" s="14"/>
      <c r="L840" s="14"/>
      <c r="M840" s="14"/>
      <c r="N840" s="14"/>
      <c r="O840" s="14">
        <v>400</v>
      </c>
      <c r="P840" s="14"/>
      <c r="Q840" s="14"/>
      <c r="R840" s="14"/>
      <c r="S840" s="14"/>
      <c r="T840" s="14"/>
      <c r="U840" s="14"/>
      <c r="V840" s="14"/>
      <c r="W840" s="15">
        <f t="shared" si="30"/>
        <v>400</v>
      </c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  <c r="AJ840" s="15"/>
      <c r="AK840" s="16"/>
    </row>
    <row r="841" spans="2:37" x14ac:dyDescent="0.2">
      <c r="B841" s="7" t="s">
        <v>47</v>
      </c>
      <c r="C841" s="8">
        <v>11578</v>
      </c>
      <c r="D841" s="9" t="s">
        <v>416</v>
      </c>
      <c r="E841" s="10" t="s">
        <v>417</v>
      </c>
      <c r="F841" s="10" t="s">
        <v>418</v>
      </c>
      <c r="G841" s="8">
        <v>1</v>
      </c>
      <c r="H841" s="11">
        <v>200</v>
      </c>
      <c r="I841" s="12">
        <v>42491</v>
      </c>
      <c r="J841" s="13">
        <f t="shared" si="29"/>
        <v>0</v>
      </c>
      <c r="K841" s="14"/>
      <c r="L841" s="14"/>
      <c r="M841" s="14"/>
      <c r="N841" s="14"/>
      <c r="O841" s="14">
        <v>200</v>
      </c>
      <c r="P841" s="14"/>
      <c r="Q841" s="14"/>
      <c r="R841" s="14"/>
      <c r="S841" s="14"/>
      <c r="T841" s="14"/>
      <c r="U841" s="14"/>
      <c r="V841" s="14"/>
      <c r="W841" s="15">
        <f t="shared" si="30"/>
        <v>200</v>
      </c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5"/>
      <c r="AK841" s="16"/>
    </row>
    <row r="842" spans="2:37" x14ac:dyDescent="0.2">
      <c r="B842" s="7" t="s">
        <v>47</v>
      </c>
      <c r="C842" s="8">
        <v>11579</v>
      </c>
      <c r="D842" s="9" t="s">
        <v>171</v>
      </c>
      <c r="E842" s="10" t="s">
        <v>172</v>
      </c>
      <c r="F842" s="10" t="s">
        <v>173</v>
      </c>
      <c r="G842" s="8">
        <v>1</v>
      </c>
      <c r="H842" s="11">
        <v>400</v>
      </c>
      <c r="I842" s="12">
        <v>42491</v>
      </c>
      <c r="J842" s="13">
        <f t="shared" si="29"/>
        <v>0</v>
      </c>
      <c r="K842" s="14"/>
      <c r="L842" s="14"/>
      <c r="M842" s="14"/>
      <c r="N842" s="14"/>
      <c r="O842" s="14">
        <v>400</v>
      </c>
      <c r="P842" s="14"/>
      <c r="Q842" s="14"/>
      <c r="R842" s="14"/>
      <c r="S842" s="14"/>
      <c r="T842" s="14"/>
      <c r="U842" s="14"/>
      <c r="V842" s="14"/>
      <c r="W842" s="15">
        <f t="shared" si="30"/>
        <v>400</v>
      </c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  <c r="AJ842" s="15"/>
      <c r="AK842" s="16"/>
    </row>
    <row r="843" spans="2:37" x14ac:dyDescent="0.2">
      <c r="B843" s="7" t="s">
        <v>47</v>
      </c>
      <c r="C843" s="8">
        <v>11580</v>
      </c>
      <c r="D843" s="9" t="s">
        <v>655</v>
      </c>
      <c r="E843" s="10" t="s">
        <v>656</v>
      </c>
      <c r="F843" s="10" t="s">
        <v>657</v>
      </c>
      <c r="G843" s="8">
        <v>1</v>
      </c>
      <c r="H843" s="11">
        <v>800</v>
      </c>
      <c r="I843" s="12">
        <v>42491</v>
      </c>
      <c r="J843" s="13">
        <f t="shared" si="29"/>
        <v>0</v>
      </c>
      <c r="K843" s="14">
        <v>400</v>
      </c>
      <c r="L843" s="14">
        <v>400</v>
      </c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5">
        <f t="shared" si="30"/>
        <v>800</v>
      </c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5"/>
      <c r="AK843" s="16"/>
    </row>
    <row r="844" spans="2:37" x14ac:dyDescent="0.2">
      <c r="B844" s="7" t="s">
        <v>37</v>
      </c>
      <c r="C844" s="8">
        <v>11581</v>
      </c>
      <c r="D844" s="9" t="s">
        <v>708</v>
      </c>
      <c r="E844" s="10" t="s">
        <v>709</v>
      </c>
      <c r="F844" s="10" t="s">
        <v>710</v>
      </c>
      <c r="G844" s="8">
        <v>1</v>
      </c>
      <c r="H844" s="11">
        <v>800</v>
      </c>
      <c r="I844" s="12">
        <v>42491</v>
      </c>
      <c r="J844" s="13">
        <f t="shared" si="29"/>
        <v>0</v>
      </c>
      <c r="K844" s="14"/>
      <c r="L844" s="14"/>
      <c r="M844" s="14">
        <v>400</v>
      </c>
      <c r="N844" s="14">
        <v>400</v>
      </c>
      <c r="O844" s="14"/>
      <c r="P844" s="14"/>
      <c r="Q844" s="14"/>
      <c r="R844" s="14"/>
      <c r="S844" s="14"/>
      <c r="T844" s="14"/>
      <c r="U844" s="14"/>
      <c r="V844" s="14"/>
      <c r="W844" s="15">
        <f t="shared" si="30"/>
        <v>800</v>
      </c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5"/>
      <c r="AK844" s="16"/>
    </row>
    <row r="845" spans="2:37" x14ac:dyDescent="0.2">
      <c r="B845" s="7" t="s">
        <v>37</v>
      </c>
      <c r="C845" s="8">
        <v>11582</v>
      </c>
      <c r="D845" s="9" t="s">
        <v>177</v>
      </c>
      <c r="E845" s="10" t="s">
        <v>178</v>
      </c>
      <c r="F845" s="10" t="s">
        <v>179</v>
      </c>
      <c r="G845" s="8">
        <v>1</v>
      </c>
      <c r="H845" s="11">
        <v>400</v>
      </c>
      <c r="I845" s="12">
        <v>42491</v>
      </c>
      <c r="J845" s="13">
        <f t="shared" si="29"/>
        <v>0</v>
      </c>
      <c r="K845" s="14"/>
      <c r="L845" s="14"/>
      <c r="M845" s="14"/>
      <c r="N845" s="14"/>
      <c r="O845" s="14">
        <v>400</v>
      </c>
      <c r="P845" s="14"/>
      <c r="Q845" s="14"/>
      <c r="R845" s="14"/>
      <c r="S845" s="14"/>
      <c r="T845" s="14"/>
      <c r="U845" s="14"/>
      <c r="V845" s="14"/>
      <c r="W845" s="15">
        <f t="shared" si="30"/>
        <v>400</v>
      </c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5"/>
      <c r="AK845" s="16"/>
    </row>
    <row r="846" spans="2:37" x14ac:dyDescent="0.2">
      <c r="B846" s="7" t="s">
        <v>47</v>
      </c>
      <c r="C846" s="8">
        <v>11583</v>
      </c>
      <c r="D846" s="9" t="s">
        <v>434</v>
      </c>
      <c r="E846" s="10" t="s">
        <v>435</v>
      </c>
      <c r="F846" s="10" t="s">
        <v>436</v>
      </c>
      <c r="G846" s="8">
        <v>1</v>
      </c>
      <c r="H846" s="11">
        <v>800</v>
      </c>
      <c r="I846" s="12">
        <v>42491</v>
      </c>
      <c r="J846" s="13">
        <f t="shared" si="29"/>
        <v>0</v>
      </c>
      <c r="K846" s="14"/>
      <c r="L846" s="14"/>
      <c r="M846" s="14"/>
      <c r="N846" s="14">
        <v>400</v>
      </c>
      <c r="O846" s="14">
        <v>400</v>
      </c>
      <c r="P846" s="14"/>
      <c r="Q846" s="14"/>
      <c r="R846" s="14"/>
      <c r="S846" s="14"/>
      <c r="T846" s="14"/>
      <c r="U846" s="14"/>
      <c r="V846" s="14"/>
      <c r="W846" s="15">
        <f t="shared" si="30"/>
        <v>800</v>
      </c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5"/>
      <c r="AK846" s="16"/>
    </row>
    <row r="847" spans="2:37" x14ac:dyDescent="0.2">
      <c r="B847" s="7" t="s">
        <v>37</v>
      </c>
      <c r="C847" s="8">
        <v>11584</v>
      </c>
      <c r="D847" s="9" t="s">
        <v>935</v>
      </c>
      <c r="E847" s="10" t="s">
        <v>936</v>
      </c>
      <c r="F847" s="10" t="s">
        <v>937</v>
      </c>
      <c r="G847" s="8">
        <v>1</v>
      </c>
      <c r="H847" s="11">
        <v>1000</v>
      </c>
      <c r="I847" s="12">
        <v>42491</v>
      </c>
      <c r="J847" s="13">
        <f t="shared" si="29"/>
        <v>0</v>
      </c>
      <c r="K847" s="14">
        <v>250</v>
      </c>
      <c r="L847" s="14">
        <v>250</v>
      </c>
      <c r="M847" s="14">
        <v>250</v>
      </c>
      <c r="N847" s="14">
        <v>250</v>
      </c>
      <c r="O847" s="14"/>
      <c r="P847" s="14"/>
      <c r="Q847" s="14"/>
      <c r="R847" s="14"/>
      <c r="S847" s="14"/>
      <c r="T847" s="14"/>
      <c r="U847" s="14"/>
      <c r="V847" s="14"/>
      <c r="W847" s="15">
        <f t="shared" si="30"/>
        <v>1000</v>
      </c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5"/>
      <c r="AK847" s="16"/>
    </row>
    <row r="848" spans="2:37" x14ac:dyDescent="0.2">
      <c r="B848" s="7" t="s">
        <v>37</v>
      </c>
      <c r="C848" s="8">
        <v>11585</v>
      </c>
      <c r="D848" s="9" t="s">
        <v>858</v>
      </c>
      <c r="E848" s="10" t="s">
        <v>859</v>
      </c>
      <c r="F848" s="10" t="s">
        <v>860</v>
      </c>
      <c r="G848" s="8">
        <v>4</v>
      </c>
      <c r="H848" s="11">
        <v>160</v>
      </c>
      <c r="I848" s="12">
        <v>42491</v>
      </c>
      <c r="J848" s="13">
        <f t="shared" si="29"/>
        <v>0</v>
      </c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5">
        <f t="shared" si="30"/>
        <v>0</v>
      </c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  <c r="AJ848" s="15"/>
      <c r="AK848" s="7">
        <v>181</v>
      </c>
    </row>
    <row r="849" spans="2:38" x14ac:dyDescent="0.2">
      <c r="B849" s="7" t="s">
        <v>69</v>
      </c>
      <c r="C849" s="8">
        <v>11586</v>
      </c>
      <c r="D849" s="9" t="s">
        <v>174</v>
      </c>
      <c r="E849" s="10" t="s">
        <v>175</v>
      </c>
      <c r="F849" s="10" t="s">
        <v>176</v>
      </c>
      <c r="G849" s="8">
        <v>1</v>
      </c>
      <c r="H849" s="321">
        <v>300</v>
      </c>
      <c r="I849" s="12">
        <v>42491</v>
      </c>
      <c r="J849" s="13">
        <f t="shared" si="29"/>
        <v>0</v>
      </c>
      <c r="K849" s="14"/>
      <c r="L849" s="14"/>
      <c r="M849" s="14"/>
      <c r="N849" s="14"/>
      <c r="O849" s="14">
        <v>300</v>
      </c>
      <c r="P849" s="14"/>
      <c r="Q849" s="14"/>
      <c r="R849" s="14"/>
      <c r="S849" s="14"/>
      <c r="T849" s="14"/>
      <c r="U849" s="14"/>
      <c r="V849" s="14"/>
      <c r="W849" s="15">
        <f t="shared" si="30"/>
        <v>300</v>
      </c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5"/>
      <c r="AK849" s="16"/>
      <c r="AL849" s="113">
        <f>SUM(H787:H849)</f>
        <v>29160</v>
      </c>
    </row>
    <row r="850" spans="2:38" x14ac:dyDescent="0.2">
      <c r="B850" s="7" t="s">
        <v>77</v>
      </c>
      <c r="C850" s="8">
        <v>11587</v>
      </c>
      <c r="D850" s="9" t="s">
        <v>286</v>
      </c>
      <c r="E850" s="10" t="s">
        <v>287</v>
      </c>
      <c r="F850" s="10" t="s">
        <v>288</v>
      </c>
      <c r="G850" s="8">
        <v>1</v>
      </c>
      <c r="H850" s="11">
        <v>400</v>
      </c>
      <c r="I850" s="12">
        <v>42492</v>
      </c>
      <c r="J850" s="13">
        <f t="shared" si="29"/>
        <v>0</v>
      </c>
      <c r="K850" s="14"/>
      <c r="L850" s="14"/>
      <c r="M850" s="14"/>
      <c r="N850" s="14">
        <v>400</v>
      </c>
      <c r="O850" s="14"/>
      <c r="P850" s="14"/>
      <c r="Q850" s="14"/>
      <c r="R850" s="14"/>
      <c r="S850" s="14"/>
      <c r="T850" s="14"/>
      <c r="U850" s="14"/>
      <c r="V850" s="14"/>
      <c r="W850" s="15">
        <f t="shared" si="30"/>
        <v>400</v>
      </c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  <c r="AJ850" s="15"/>
      <c r="AK850" s="16"/>
    </row>
    <row r="851" spans="2:38" x14ac:dyDescent="0.2">
      <c r="B851" s="7" t="s">
        <v>73</v>
      </c>
      <c r="C851" s="8">
        <v>11588</v>
      </c>
      <c r="D851" s="9" t="s">
        <v>938</v>
      </c>
      <c r="E851" s="10" t="s">
        <v>939</v>
      </c>
      <c r="F851" s="10" t="s">
        <v>940</v>
      </c>
      <c r="G851" s="8">
        <v>1</v>
      </c>
      <c r="H851" s="11">
        <v>800</v>
      </c>
      <c r="I851" s="12">
        <v>42492</v>
      </c>
      <c r="J851" s="13">
        <f t="shared" ref="J851:J914" si="31">IF(G851=1,SUM(W851,-H851),0)</f>
        <v>0</v>
      </c>
      <c r="K851" s="14"/>
      <c r="L851" s="14"/>
      <c r="M851" s="14"/>
      <c r="N851" s="14">
        <v>400</v>
      </c>
      <c r="O851" s="14">
        <v>400</v>
      </c>
      <c r="P851" s="14"/>
      <c r="Q851" s="14"/>
      <c r="R851" s="14"/>
      <c r="S851" s="14"/>
      <c r="T851" s="14"/>
      <c r="U851" s="14"/>
      <c r="V851" s="14"/>
      <c r="W851" s="15">
        <f t="shared" ref="W851:W914" si="32">SUM(K851:V851)</f>
        <v>800</v>
      </c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5"/>
      <c r="AK851" s="16"/>
    </row>
    <row r="852" spans="2:38" x14ac:dyDescent="0.2">
      <c r="B852" s="7" t="s">
        <v>73</v>
      </c>
      <c r="C852" s="8">
        <v>11588</v>
      </c>
      <c r="D852" s="9" t="s">
        <v>938</v>
      </c>
      <c r="E852" s="10" t="s">
        <v>939</v>
      </c>
      <c r="F852" s="10" t="s">
        <v>940</v>
      </c>
      <c r="G852" s="8">
        <v>4</v>
      </c>
      <c r="H852" s="11">
        <v>160</v>
      </c>
      <c r="I852" s="12">
        <v>42492</v>
      </c>
      <c r="J852" s="13">
        <f t="shared" si="31"/>
        <v>0</v>
      </c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5">
        <f t="shared" si="32"/>
        <v>0</v>
      </c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  <c r="AJ852" s="15"/>
      <c r="AK852" s="7">
        <v>19183</v>
      </c>
    </row>
    <row r="853" spans="2:38" x14ac:dyDescent="0.2">
      <c r="B853" s="7" t="s">
        <v>37</v>
      </c>
      <c r="C853" s="8">
        <v>11589</v>
      </c>
      <c r="D853" s="9" t="s">
        <v>226</v>
      </c>
      <c r="E853" s="10" t="s">
        <v>227</v>
      </c>
      <c r="F853" s="10" t="s">
        <v>228</v>
      </c>
      <c r="G853" s="8">
        <v>1</v>
      </c>
      <c r="H853" s="11">
        <v>400</v>
      </c>
      <c r="I853" s="12">
        <v>42492</v>
      </c>
      <c r="J853" s="13">
        <f t="shared" si="31"/>
        <v>0</v>
      </c>
      <c r="K853" s="14"/>
      <c r="L853" s="14"/>
      <c r="M853" s="14"/>
      <c r="N853" s="14">
        <v>200</v>
      </c>
      <c r="O853" s="14">
        <v>200</v>
      </c>
      <c r="P853" s="14"/>
      <c r="Q853" s="14"/>
      <c r="R853" s="14"/>
      <c r="S853" s="14"/>
      <c r="T853" s="14"/>
      <c r="U853" s="14"/>
      <c r="V853" s="14"/>
      <c r="W853" s="15">
        <f t="shared" si="32"/>
        <v>400</v>
      </c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5"/>
      <c r="AK853" s="16"/>
    </row>
    <row r="854" spans="2:38" x14ac:dyDescent="0.2">
      <c r="B854" s="7" t="s">
        <v>61</v>
      </c>
      <c r="C854" s="8">
        <v>11590</v>
      </c>
      <c r="D854" s="9" t="s">
        <v>214</v>
      </c>
      <c r="E854" s="10" t="s">
        <v>215</v>
      </c>
      <c r="F854" s="10" t="s">
        <v>216</v>
      </c>
      <c r="G854" s="8">
        <v>3</v>
      </c>
      <c r="H854" s="11">
        <v>150</v>
      </c>
      <c r="I854" s="12">
        <v>42492</v>
      </c>
      <c r="J854" s="13">
        <f t="shared" si="31"/>
        <v>0</v>
      </c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5">
        <f t="shared" si="32"/>
        <v>0</v>
      </c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  <c r="AJ854" s="15"/>
      <c r="AK854" s="16"/>
    </row>
    <row r="855" spans="2:38" x14ac:dyDescent="0.2">
      <c r="B855" s="7" t="s">
        <v>37</v>
      </c>
      <c r="C855" s="8">
        <v>11591</v>
      </c>
      <c r="D855" s="9" t="s">
        <v>814</v>
      </c>
      <c r="E855" s="10" t="s">
        <v>815</v>
      </c>
      <c r="F855" s="10" t="s">
        <v>816</v>
      </c>
      <c r="G855" s="8"/>
      <c r="H855" s="11"/>
      <c r="I855" s="12"/>
      <c r="J855" s="13">
        <f t="shared" si="31"/>
        <v>0</v>
      </c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5">
        <f t="shared" si="32"/>
        <v>0</v>
      </c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5"/>
      <c r="AK855" s="16"/>
    </row>
    <row r="856" spans="2:38" x14ac:dyDescent="0.2">
      <c r="B856" s="7" t="s">
        <v>391</v>
      </c>
      <c r="C856" s="8">
        <v>11592</v>
      </c>
      <c r="D856" s="9" t="s">
        <v>482</v>
      </c>
      <c r="E856" s="10" t="s">
        <v>483</v>
      </c>
      <c r="F856" s="10" t="s">
        <v>484</v>
      </c>
      <c r="G856" s="8">
        <v>1</v>
      </c>
      <c r="H856" s="11">
        <v>400</v>
      </c>
      <c r="I856" s="12">
        <v>42493</v>
      </c>
      <c r="J856" s="13">
        <f t="shared" si="31"/>
        <v>0</v>
      </c>
      <c r="K856" s="14"/>
      <c r="L856" s="14"/>
      <c r="M856" s="14">
        <v>200</v>
      </c>
      <c r="N856" s="14">
        <v>200</v>
      </c>
      <c r="O856" s="14"/>
      <c r="P856" s="14"/>
      <c r="Q856" s="14"/>
      <c r="R856" s="14"/>
      <c r="S856" s="14"/>
      <c r="T856" s="14"/>
      <c r="U856" s="14"/>
      <c r="V856" s="14"/>
      <c r="W856" s="15">
        <f t="shared" si="32"/>
        <v>400</v>
      </c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5"/>
      <c r="AK856" s="16"/>
    </row>
    <row r="857" spans="2:38" x14ac:dyDescent="0.2">
      <c r="B857" s="7" t="s">
        <v>69</v>
      </c>
      <c r="C857" s="8">
        <v>11593</v>
      </c>
      <c r="D857" s="9" t="s">
        <v>211</v>
      </c>
      <c r="E857" s="10" t="s">
        <v>212</v>
      </c>
      <c r="F857" s="10" t="s">
        <v>213</v>
      </c>
      <c r="G857" s="8"/>
      <c r="H857" s="11"/>
      <c r="I857" s="12"/>
      <c r="J857" s="13">
        <f t="shared" si="31"/>
        <v>0</v>
      </c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5">
        <f t="shared" si="32"/>
        <v>0</v>
      </c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5"/>
      <c r="AK857" s="16"/>
    </row>
    <row r="858" spans="2:38" x14ac:dyDescent="0.2">
      <c r="B858" s="7" t="s">
        <v>69</v>
      </c>
      <c r="C858" s="8">
        <v>11594</v>
      </c>
      <c r="D858" s="9" t="s">
        <v>211</v>
      </c>
      <c r="E858" s="10" t="s">
        <v>212</v>
      </c>
      <c r="F858" s="10" t="s">
        <v>213</v>
      </c>
      <c r="G858" s="8">
        <v>1</v>
      </c>
      <c r="H858" s="11">
        <v>300</v>
      </c>
      <c r="I858" s="12">
        <v>42493</v>
      </c>
      <c r="J858" s="13">
        <f t="shared" si="31"/>
        <v>0</v>
      </c>
      <c r="K858" s="14"/>
      <c r="L858" s="14"/>
      <c r="M858" s="14"/>
      <c r="N858" s="14"/>
      <c r="O858" s="14">
        <v>300</v>
      </c>
      <c r="P858" s="14"/>
      <c r="Q858" s="14"/>
      <c r="R858" s="14"/>
      <c r="S858" s="14"/>
      <c r="T858" s="14"/>
      <c r="U858" s="14"/>
      <c r="V858" s="14"/>
      <c r="W858" s="15">
        <f t="shared" si="32"/>
        <v>300</v>
      </c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  <c r="AJ858" s="15"/>
      <c r="AK858" s="16"/>
    </row>
    <row r="859" spans="2:38" x14ac:dyDescent="0.2">
      <c r="B859" s="7" t="s">
        <v>73</v>
      </c>
      <c r="C859" s="8">
        <v>11595</v>
      </c>
      <c r="D859" s="9" t="s">
        <v>938</v>
      </c>
      <c r="E859" s="10" t="s">
        <v>939</v>
      </c>
      <c r="F859" s="10" t="s">
        <v>940</v>
      </c>
      <c r="G859" s="8">
        <v>3</v>
      </c>
      <c r="H859" s="11">
        <v>480</v>
      </c>
      <c r="I859" s="12">
        <v>42495</v>
      </c>
      <c r="J859" s="13">
        <f t="shared" si="31"/>
        <v>0</v>
      </c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5">
        <f t="shared" si="32"/>
        <v>0</v>
      </c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  <c r="AJ859" s="15"/>
      <c r="AK859" s="16"/>
    </row>
    <row r="860" spans="2:38" x14ac:dyDescent="0.2">
      <c r="B860" s="7" t="s">
        <v>37</v>
      </c>
      <c r="C860" s="8">
        <v>11596</v>
      </c>
      <c r="D860" s="9" t="s">
        <v>553</v>
      </c>
      <c r="E860" s="10" t="s">
        <v>554</v>
      </c>
      <c r="F860" s="10" t="s">
        <v>555</v>
      </c>
      <c r="G860" s="8">
        <v>1</v>
      </c>
      <c r="H860" s="11">
        <v>400</v>
      </c>
      <c r="I860" s="12">
        <v>42498</v>
      </c>
      <c r="J860" s="13">
        <f t="shared" si="31"/>
        <v>0</v>
      </c>
      <c r="K860" s="14"/>
      <c r="L860" s="14"/>
      <c r="M860" s="14"/>
      <c r="N860" s="14"/>
      <c r="O860" s="14">
        <v>400</v>
      </c>
      <c r="P860" s="14"/>
      <c r="Q860" s="14"/>
      <c r="R860" s="14"/>
      <c r="S860" s="14"/>
      <c r="T860" s="14"/>
      <c r="U860" s="14"/>
      <c r="V860" s="14"/>
      <c r="W860" s="15">
        <f t="shared" si="32"/>
        <v>400</v>
      </c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  <c r="AJ860" s="15"/>
      <c r="AK860" s="16"/>
    </row>
    <row r="861" spans="2:38" x14ac:dyDescent="0.2">
      <c r="B861" s="7" t="s">
        <v>69</v>
      </c>
      <c r="C861" s="8">
        <v>11597</v>
      </c>
      <c r="D861" s="9" t="s">
        <v>714</v>
      </c>
      <c r="E861" s="10" t="s">
        <v>715</v>
      </c>
      <c r="F861" s="10" t="s">
        <v>487</v>
      </c>
      <c r="G861" s="8">
        <v>1</v>
      </c>
      <c r="H861" s="11">
        <v>400</v>
      </c>
      <c r="I861" s="12">
        <v>42498</v>
      </c>
      <c r="J861" s="13">
        <f t="shared" si="31"/>
        <v>0</v>
      </c>
      <c r="K861" s="14"/>
      <c r="L861" s="14"/>
      <c r="M861" s="14"/>
      <c r="N861" s="14">
        <v>400</v>
      </c>
      <c r="O861" s="14"/>
      <c r="P861" s="14"/>
      <c r="Q861" s="14"/>
      <c r="R861" s="14"/>
      <c r="S861" s="14"/>
      <c r="T861" s="14"/>
      <c r="U861" s="14"/>
      <c r="V861" s="14"/>
      <c r="W861" s="15">
        <f t="shared" si="32"/>
        <v>400</v>
      </c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5"/>
      <c r="AK861" s="16"/>
    </row>
    <row r="862" spans="2:38" x14ac:dyDescent="0.2">
      <c r="B862" s="7" t="s">
        <v>47</v>
      </c>
      <c r="C862" s="8">
        <v>11598</v>
      </c>
      <c r="D862" s="9" t="s">
        <v>241</v>
      </c>
      <c r="E862" s="10" t="s">
        <v>242</v>
      </c>
      <c r="F862" s="10" t="s">
        <v>243</v>
      </c>
      <c r="G862" s="8">
        <v>1</v>
      </c>
      <c r="H862" s="11">
        <v>400</v>
      </c>
      <c r="I862" s="12">
        <v>42498</v>
      </c>
      <c r="J862" s="13">
        <f t="shared" si="31"/>
        <v>0</v>
      </c>
      <c r="K862" s="14"/>
      <c r="L862" s="14"/>
      <c r="M862" s="14"/>
      <c r="N862" s="14"/>
      <c r="O862" s="14">
        <v>400</v>
      </c>
      <c r="P862" s="14"/>
      <c r="Q862" s="14"/>
      <c r="R862" s="14"/>
      <c r="S862" s="14"/>
      <c r="T862" s="14"/>
      <c r="U862" s="14"/>
      <c r="V862" s="14"/>
      <c r="W862" s="15">
        <f t="shared" si="32"/>
        <v>400</v>
      </c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  <c r="AJ862" s="15"/>
      <c r="AK862" s="16"/>
    </row>
    <row r="863" spans="2:38" x14ac:dyDescent="0.2">
      <c r="B863" s="7" t="s">
        <v>37</v>
      </c>
      <c r="C863" s="8">
        <v>11599</v>
      </c>
      <c r="D863" s="9" t="s">
        <v>94</v>
      </c>
      <c r="E863" s="10" t="s">
        <v>95</v>
      </c>
      <c r="F863" s="10" t="s">
        <v>96</v>
      </c>
      <c r="G863" s="8">
        <v>1</v>
      </c>
      <c r="H863" s="11">
        <v>400</v>
      </c>
      <c r="I863" s="12">
        <v>42498</v>
      </c>
      <c r="J863" s="13">
        <f t="shared" si="31"/>
        <v>0</v>
      </c>
      <c r="K863" s="14"/>
      <c r="L863" s="14"/>
      <c r="M863" s="14"/>
      <c r="N863" s="14"/>
      <c r="O863" s="14">
        <v>400</v>
      </c>
      <c r="P863" s="14"/>
      <c r="Q863" s="14"/>
      <c r="R863" s="14"/>
      <c r="S863" s="14"/>
      <c r="T863" s="14"/>
      <c r="U863" s="14"/>
      <c r="V863" s="14"/>
      <c r="W863" s="15">
        <f t="shared" si="32"/>
        <v>400</v>
      </c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5"/>
      <c r="AK863" s="16"/>
    </row>
    <row r="864" spans="2:38" x14ac:dyDescent="0.2">
      <c r="B864" s="7" t="s">
        <v>69</v>
      </c>
      <c r="C864" s="8">
        <v>11600</v>
      </c>
      <c r="D864" s="9" t="s">
        <v>834</v>
      </c>
      <c r="E864" s="10" t="s">
        <v>835</v>
      </c>
      <c r="F864" s="10" t="s">
        <v>836</v>
      </c>
      <c r="G864" s="8">
        <v>1</v>
      </c>
      <c r="H864" s="11">
        <v>300</v>
      </c>
      <c r="I864" s="12">
        <v>42498</v>
      </c>
      <c r="J864" s="13">
        <f t="shared" si="31"/>
        <v>0</v>
      </c>
      <c r="K864" s="14"/>
      <c r="L864" s="14"/>
      <c r="M864" s="14">
        <v>300</v>
      </c>
      <c r="N864" s="14"/>
      <c r="O864" s="14"/>
      <c r="P864" s="14"/>
      <c r="Q864" s="14"/>
      <c r="R864" s="14"/>
      <c r="S864" s="14"/>
      <c r="T864" s="14"/>
      <c r="U864" s="14"/>
      <c r="V864" s="14"/>
      <c r="W864" s="15">
        <f t="shared" si="32"/>
        <v>300</v>
      </c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  <c r="AJ864" s="15"/>
      <c r="AK864" s="16"/>
    </row>
    <row r="865" spans="2:37" x14ac:dyDescent="0.2">
      <c r="B865" s="7" t="s">
        <v>37</v>
      </c>
      <c r="C865" s="8">
        <v>11601</v>
      </c>
      <c r="D865" s="9" t="s">
        <v>307</v>
      </c>
      <c r="E865" s="10" t="s">
        <v>308</v>
      </c>
      <c r="F865" s="10" t="s">
        <v>309</v>
      </c>
      <c r="G865" s="8">
        <v>1</v>
      </c>
      <c r="H865" s="11">
        <v>350</v>
      </c>
      <c r="I865" s="12">
        <v>42498</v>
      </c>
      <c r="J865" s="13">
        <f t="shared" si="31"/>
        <v>0</v>
      </c>
      <c r="K865" s="14"/>
      <c r="L865" s="14"/>
      <c r="M865" s="14"/>
      <c r="N865" s="14"/>
      <c r="O865" s="14">
        <v>350</v>
      </c>
      <c r="P865" s="14"/>
      <c r="Q865" s="14"/>
      <c r="R865" s="14"/>
      <c r="S865" s="14"/>
      <c r="T865" s="14"/>
      <c r="U865" s="14"/>
      <c r="V865" s="14"/>
      <c r="W865" s="15">
        <f t="shared" si="32"/>
        <v>350</v>
      </c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5"/>
      <c r="AK865" s="16"/>
    </row>
    <row r="866" spans="2:37" x14ac:dyDescent="0.2">
      <c r="B866" s="7" t="s">
        <v>37</v>
      </c>
      <c r="C866" s="8">
        <v>11602</v>
      </c>
      <c r="D866" s="9" t="s">
        <v>550</v>
      </c>
      <c r="E866" s="10" t="s">
        <v>551</v>
      </c>
      <c r="F866" s="10" t="s">
        <v>552</v>
      </c>
      <c r="G866" s="8">
        <v>1</v>
      </c>
      <c r="H866" s="11">
        <v>300</v>
      </c>
      <c r="I866" s="12">
        <v>42498</v>
      </c>
      <c r="J866" s="13">
        <f t="shared" si="31"/>
        <v>0</v>
      </c>
      <c r="K866" s="14"/>
      <c r="L866" s="14"/>
      <c r="M866" s="14"/>
      <c r="N866" s="14">
        <v>300</v>
      </c>
      <c r="O866" s="14"/>
      <c r="P866" s="14"/>
      <c r="Q866" s="14"/>
      <c r="R866" s="14"/>
      <c r="S866" s="14"/>
      <c r="T866" s="14"/>
      <c r="U866" s="14"/>
      <c r="V866" s="14"/>
      <c r="W866" s="15">
        <f t="shared" si="32"/>
        <v>300</v>
      </c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  <c r="AJ866" s="15"/>
      <c r="AK866" s="16"/>
    </row>
    <row r="867" spans="2:37" x14ac:dyDescent="0.2">
      <c r="B867" s="7" t="s">
        <v>73</v>
      </c>
      <c r="C867" s="8">
        <v>11603</v>
      </c>
      <c r="D867" s="9" t="s">
        <v>141</v>
      </c>
      <c r="E867" s="10" t="s">
        <v>142</v>
      </c>
      <c r="F867" s="10" t="s">
        <v>143</v>
      </c>
      <c r="G867" s="8">
        <v>1</v>
      </c>
      <c r="H867" s="11">
        <v>1200</v>
      </c>
      <c r="I867" s="12">
        <v>42498</v>
      </c>
      <c r="J867" s="13">
        <f t="shared" si="31"/>
        <v>0</v>
      </c>
      <c r="K867" s="14"/>
      <c r="L867" s="14"/>
      <c r="M867" s="14"/>
      <c r="N867" s="14">
        <v>400</v>
      </c>
      <c r="O867" s="14">
        <v>400</v>
      </c>
      <c r="P867" s="14">
        <v>400</v>
      </c>
      <c r="Q867" s="14"/>
      <c r="R867" s="14"/>
      <c r="S867" s="14"/>
      <c r="T867" s="14"/>
      <c r="U867" s="14"/>
      <c r="V867" s="14"/>
      <c r="W867" s="15">
        <f t="shared" si="32"/>
        <v>1200</v>
      </c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  <c r="AJ867" s="15"/>
      <c r="AK867" s="16"/>
    </row>
    <row r="868" spans="2:37" x14ac:dyDescent="0.2">
      <c r="B868" s="7" t="s">
        <v>73</v>
      </c>
      <c r="C868" s="8">
        <v>11603</v>
      </c>
      <c r="D868" s="9" t="s">
        <v>141</v>
      </c>
      <c r="E868" s="10" t="s">
        <v>142</v>
      </c>
      <c r="F868" s="10" t="s">
        <v>143</v>
      </c>
      <c r="G868" s="8">
        <v>3</v>
      </c>
      <c r="H868" s="11">
        <v>160</v>
      </c>
      <c r="I868" s="12">
        <v>42498</v>
      </c>
      <c r="J868" s="13">
        <f t="shared" si="31"/>
        <v>0</v>
      </c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5">
        <f t="shared" si="32"/>
        <v>0</v>
      </c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  <c r="AJ868" s="15"/>
      <c r="AK868" s="16"/>
    </row>
    <row r="869" spans="2:37" x14ac:dyDescent="0.2">
      <c r="B869" s="7" t="s">
        <v>73</v>
      </c>
      <c r="C869" s="8">
        <v>11604</v>
      </c>
      <c r="D869" s="9" t="s">
        <v>259</v>
      </c>
      <c r="E869" s="10" t="s">
        <v>260</v>
      </c>
      <c r="F869" s="10" t="s">
        <v>261</v>
      </c>
      <c r="G869" s="8">
        <v>1</v>
      </c>
      <c r="H869" s="11">
        <v>400</v>
      </c>
      <c r="I869" s="12">
        <v>42498</v>
      </c>
      <c r="J869" s="13">
        <f t="shared" si="31"/>
        <v>0</v>
      </c>
      <c r="K869" s="14"/>
      <c r="L869" s="14"/>
      <c r="M869" s="14"/>
      <c r="N869" s="14"/>
      <c r="O869" s="14">
        <v>400</v>
      </c>
      <c r="P869" s="14"/>
      <c r="Q869" s="14"/>
      <c r="R869" s="14"/>
      <c r="S869" s="14"/>
      <c r="T869" s="14"/>
      <c r="U869" s="14"/>
      <c r="V869" s="14"/>
      <c r="W869" s="15">
        <f t="shared" si="32"/>
        <v>400</v>
      </c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  <c r="AJ869" s="15"/>
      <c r="AK869" s="16"/>
    </row>
    <row r="870" spans="2:37" x14ac:dyDescent="0.2">
      <c r="B870" s="7" t="s">
        <v>37</v>
      </c>
      <c r="C870" s="8">
        <v>11605</v>
      </c>
      <c r="D870" s="9" t="s">
        <v>247</v>
      </c>
      <c r="E870" s="10" t="s">
        <v>248</v>
      </c>
      <c r="F870" s="10" t="s">
        <v>249</v>
      </c>
      <c r="G870" s="8">
        <v>1</v>
      </c>
      <c r="H870" s="11">
        <v>800</v>
      </c>
      <c r="I870" s="12">
        <v>42498</v>
      </c>
      <c r="J870" s="13">
        <f t="shared" si="31"/>
        <v>0</v>
      </c>
      <c r="K870" s="14"/>
      <c r="L870" s="14"/>
      <c r="M870" s="14"/>
      <c r="N870" s="14"/>
      <c r="O870" s="14">
        <v>400</v>
      </c>
      <c r="P870" s="14">
        <v>400</v>
      </c>
      <c r="Q870" s="14"/>
      <c r="R870" s="14"/>
      <c r="S870" s="14"/>
      <c r="T870" s="14"/>
      <c r="U870" s="14"/>
      <c r="V870" s="14"/>
      <c r="W870" s="15">
        <f t="shared" si="32"/>
        <v>800</v>
      </c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  <c r="AJ870" s="15"/>
      <c r="AK870" s="16"/>
    </row>
    <row r="871" spans="2:37" x14ac:dyDescent="0.2">
      <c r="B871" s="7" t="s">
        <v>61</v>
      </c>
      <c r="C871" s="8">
        <v>11606</v>
      </c>
      <c r="D871" s="9" t="s">
        <v>663</v>
      </c>
      <c r="E871" s="10" t="s">
        <v>664</v>
      </c>
      <c r="F871" s="10" t="s">
        <v>665</v>
      </c>
      <c r="G871" s="8">
        <v>1</v>
      </c>
      <c r="H871" s="11">
        <v>800</v>
      </c>
      <c r="I871" s="12">
        <v>42498</v>
      </c>
      <c r="J871" s="13">
        <f t="shared" si="31"/>
        <v>0</v>
      </c>
      <c r="K871" s="14"/>
      <c r="L871" s="14"/>
      <c r="M871" s="14">
        <v>400</v>
      </c>
      <c r="N871" s="14">
        <v>400</v>
      </c>
      <c r="O871" s="14"/>
      <c r="P871" s="14"/>
      <c r="Q871" s="14"/>
      <c r="R871" s="14"/>
      <c r="S871" s="14"/>
      <c r="T871" s="14"/>
      <c r="U871" s="14"/>
      <c r="V871" s="14"/>
      <c r="W871" s="15">
        <f t="shared" si="32"/>
        <v>800</v>
      </c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5"/>
      <c r="AK871" s="16"/>
    </row>
    <row r="872" spans="2:37" x14ac:dyDescent="0.2">
      <c r="B872" s="7" t="s">
        <v>69</v>
      </c>
      <c r="C872" s="8">
        <v>11607</v>
      </c>
      <c r="D872" s="9" t="s">
        <v>696</v>
      </c>
      <c r="E872" s="10" t="s">
        <v>697</v>
      </c>
      <c r="F872" s="10" t="s">
        <v>698</v>
      </c>
      <c r="G872" s="8">
        <v>1</v>
      </c>
      <c r="H872" s="11">
        <v>300</v>
      </c>
      <c r="I872" s="12">
        <v>42498</v>
      </c>
      <c r="J872" s="13">
        <f t="shared" si="31"/>
        <v>0</v>
      </c>
      <c r="K872" s="14"/>
      <c r="L872" s="14"/>
      <c r="M872" s="14"/>
      <c r="N872" s="14">
        <v>300</v>
      </c>
      <c r="O872" s="14"/>
      <c r="P872" s="14"/>
      <c r="Q872" s="14"/>
      <c r="R872" s="14"/>
      <c r="S872" s="14"/>
      <c r="T872" s="14"/>
      <c r="U872" s="14"/>
      <c r="V872" s="14"/>
      <c r="W872" s="15">
        <f t="shared" si="32"/>
        <v>300</v>
      </c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  <c r="AJ872" s="15"/>
      <c r="AK872" s="16"/>
    </row>
    <row r="873" spans="2:37" x14ac:dyDescent="0.2">
      <c r="B873" s="7" t="s">
        <v>69</v>
      </c>
      <c r="C873" s="8">
        <v>11608</v>
      </c>
      <c r="D873" s="9" t="s">
        <v>696</v>
      </c>
      <c r="E873" s="10" t="s">
        <v>697</v>
      </c>
      <c r="F873" s="10" t="s">
        <v>698</v>
      </c>
      <c r="G873" s="8">
        <v>1</v>
      </c>
      <c r="H873" s="11">
        <v>300</v>
      </c>
      <c r="I873" s="12">
        <v>42498</v>
      </c>
      <c r="J873" s="13">
        <f t="shared" si="31"/>
        <v>0</v>
      </c>
      <c r="K873" s="14"/>
      <c r="L873" s="14"/>
      <c r="M873" s="14"/>
      <c r="N873" s="14"/>
      <c r="O873" s="14">
        <v>300</v>
      </c>
      <c r="P873" s="14"/>
      <c r="Q873" s="14"/>
      <c r="R873" s="14"/>
      <c r="S873" s="14"/>
      <c r="T873" s="14"/>
      <c r="U873" s="14"/>
      <c r="V873" s="14"/>
      <c r="W873" s="15">
        <f t="shared" si="32"/>
        <v>300</v>
      </c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5"/>
      <c r="AK873" s="16"/>
    </row>
    <row r="874" spans="2:37" x14ac:dyDescent="0.2">
      <c r="B874" s="7" t="s">
        <v>73</v>
      </c>
      <c r="C874" s="8">
        <v>11609</v>
      </c>
      <c r="D874" s="9" t="s">
        <v>458</v>
      </c>
      <c r="E874" s="10" t="s">
        <v>459</v>
      </c>
      <c r="F874" s="10" t="s">
        <v>460</v>
      </c>
      <c r="G874" s="8">
        <v>3</v>
      </c>
      <c r="H874" s="11">
        <v>160</v>
      </c>
      <c r="I874" s="12">
        <v>42498</v>
      </c>
      <c r="J874" s="13">
        <f t="shared" si="31"/>
        <v>0</v>
      </c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5">
        <f t="shared" si="32"/>
        <v>0</v>
      </c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  <c r="AJ874" s="15"/>
      <c r="AK874" s="16"/>
    </row>
    <row r="875" spans="2:37" x14ac:dyDescent="0.2">
      <c r="B875" s="7" t="s">
        <v>73</v>
      </c>
      <c r="C875" s="8">
        <v>11610</v>
      </c>
      <c r="D875" s="9" t="s">
        <v>523</v>
      </c>
      <c r="E875" s="10" t="s">
        <v>524</v>
      </c>
      <c r="F875" s="10" t="s">
        <v>525</v>
      </c>
      <c r="G875" s="8">
        <v>1</v>
      </c>
      <c r="H875" s="11">
        <v>400</v>
      </c>
      <c r="I875" s="12">
        <v>42498</v>
      </c>
      <c r="J875" s="13">
        <f t="shared" si="31"/>
        <v>0</v>
      </c>
      <c r="K875" s="14"/>
      <c r="L875" s="14"/>
      <c r="M875" s="14"/>
      <c r="N875" s="14">
        <v>400</v>
      </c>
      <c r="O875" s="14"/>
      <c r="P875" s="14"/>
      <c r="Q875" s="14"/>
      <c r="R875" s="14"/>
      <c r="S875" s="14"/>
      <c r="T875" s="14"/>
      <c r="U875" s="14"/>
      <c r="V875" s="14"/>
      <c r="W875" s="15">
        <f t="shared" si="32"/>
        <v>400</v>
      </c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5"/>
      <c r="AK875" s="16"/>
    </row>
    <row r="876" spans="2:37" x14ac:dyDescent="0.2">
      <c r="B876" s="7" t="s">
        <v>73</v>
      </c>
      <c r="C876" s="8">
        <v>11611</v>
      </c>
      <c r="D876" s="9" t="s">
        <v>529</v>
      </c>
      <c r="E876" s="10" t="s">
        <v>530</v>
      </c>
      <c r="F876" s="10" t="s">
        <v>531</v>
      </c>
      <c r="G876" s="8">
        <v>1</v>
      </c>
      <c r="H876" s="11">
        <v>1200</v>
      </c>
      <c r="I876" s="12">
        <v>42498</v>
      </c>
      <c r="J876" s="13">
        <f t="shared" si="31"/>
        <v>0</v>
      </c>
      <c r="K876" s="14"/>
      <c r="L876" s="14"/>
      <c r="M876" s="14"/>
      <c r="N876" s="14">
        <v>400</v>
      </c>
      <c r="O876" s="14">
        <v>400</v>
      </c>
      <c r="P876" s="14">
        <v>400</v>
      </c>
      <c r="Q876" s="14"/>
      <c r="R876" s="14"/>
      <c r="S876" s="14"/>
      <c r="T876" s="14"/>
      <c r="U876" s="14"/>
      <c r="V876" s="14"/>
      <c r="W876" s="15">
        <f t="shared" si="32"/>
        <v>1200</v>
      </c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  <c r="AJ876" s="15"/>
      <c r="AK876" s="16"/>
    </row>
    <row r="877" spans="2:37" x14ac:dyDescent="0.2">
      <c r="B877" s="7" t="s">
        <v>73</v>
      </c>
      <c r="C877" s="8">
        <v>11611</v>
      </c>
      <c r="D877" s="9" t="s">
        <v>529</v>
      </c>
      <c r="E877" s="10" t="s">
        <v>530</v>
      </c>
      <c r="F877" s="10" t="s">
        <v>531</v>
      </c>
      <c r="G877" s="8">
        <v>3</v>
      </c>
      <c r="H877" s="11">
        <v>160</v>
      </c>
      <c r="I877" s="12">
        <v>42498</v>
      </c>
      <c r="J877" s="13">
        <f t="shared" si="31"/>
        <v>0</v>
      </c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5">
        <f t="shared" si="32"/>
        <v>0</v>
      </c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  <c r="AJ877" s="15"/>
      <c r="AK877" s="16"/>
    </row>
    <row r="878" spans="2:37" x14ac:dyDescent="0.2">
      <c r="B878" s="7" t="s">
        <v>73</v>
      </c>
      <c r="C878" s="8">
        <v>11612</v>
      </c>
      <c r="D878" s="9" t="s">
        <v>611</v>
      </c>
      <c r="E878" s="10" t="s">
        <v>612</v>
      </c>
      <c r="F878" s="10" t="s">
        <v>613</v>
      </c>
      <c r="G878" s="8">
        <v>1</v>
      </c>
      <c r="H878" s="11">
        <v>400</v>
      </c>
      <c r="I878" s="12">
        <v>42498</v>
      </c>
      <c r="J878" s="13">
        <f t="shared" si="31"/>
        <v>0</v>
      </c>
      <c r="K878" s="14"/>
      <c r="L878" s="14"/>
      <c r="M878" s="14"/>
      <c r="N878" s="14"/>
      <c r="O878" s="14">
        <v>400</v>
      </c>
      <c r="P878" s="14"/>
      <c r="Q878" s="14"/>
      <c r="R878" s="14"/>
      <c r="S878" s="14"/>
      <c r="T878" s="14"/>
      <c r="U878" s="14"/>
      <c r="V878" s="14"/>
      <c r="W878" s="15">
        <f t="shared" si="32"/>
        <v>400</v>
      </c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  <c r="AJ878" s="15"/>
      <c r="AK878" s="16"/>
    </row>
    <row r="879" spans="2:37" x14ac:dyDescent="0.2">
      <c r="B879" s="7" t="s">
        <v>37</v>
      </c>
      <c r="C879" s="8">
        <v>11613</v>
      </c>
      <c r="D879" s="9" t="s">
        <v>180</v>
      </c>
      <c r="E879" s="10" t="s">
        <v>181</v>
      </c>
      <c r="F879" s="10" t="s">
        <v>182</v>
      </c>
      <c r="G879" s="8">
        <v>1</v>
      </c>
      <c r="H879" s="11">
        <v>400</v>
      </c>
      <c r="I879" s="12">
        <v>42498</v>
      </c>
      <c r="J879" s="13">
        <f t="shared" si="31"/>
        <v>0</v>
      </c>
      <c r="K879" s="14"/>
      <c r="L879" s="14"/>
      <c r="M879" s="14"/>
      <c r="N879" s="14"/>
      <c r="O879" s="14">
        <v>400</v>
      </c>
      <c r="P879" s="14"/>
      <c r="Q879" s="14"/>
      <c r="R879" s="14"/>
      <c r="S879" s="14"/>
      <c r="T879" s="14"/>
      <c r="U879" s="14"/>
      <c r="V879" s="14"/>
      <c r="W879" s="15">
        <f t="shared" si="32"/>
        <v>400</v>
      </c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  <c r="AJ879" s="15"/>
      <c r="AK879" s="16"/>
    </row>
    <row r="880" spans="2:37" x14ac:dyDescent="0.2">
      <c r="B880" s="7" t="s">
        <v>37</v>
      </c>
      <c r="C880" s="8">
        <v>11614</v>
      </c>
      <c r="D880" s="9" t="s">
        <v>180</v>
      </c>
      <c r="E880" s="10" t="s">
        <v>181</v>
      </c>
      <c r="F880" s="10" t="s">
        <v>182</v>
      </c>
      <c r="G880" s="8">
        <v>4</v>
      </c>
      <c r="H880" s="11">
        <v>160</v>
      </c>
      <c r="I880" s="12">
        <v>42498</v>
      </c>
      <c r="J880" s="13">
        <f t="shared" si="31"/>
        <v>0</v>
      </c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5">
        <f t="shared" si="32"/>
        <v>0</v>
      </c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  <c r="AJ880" s="15"/>
      <c r="AK880" s="7">
        <v>19175</v>
      </c>
    </row>
    <row r="881" spans="2:37" x14ac:dyDescent="0.2">
      <c r="B881" s="7" t="s">
        <v>37</v>
      </c>
      <c r="C881" s="8">
        <v>11615</v>
      </c>
      <c r="D881" s="9" t="s">
        <v>295</v>
      </c>
      <c r="E881" s="10" t="s">
        <v>296</v>
      </c>
      <c r="F881" s="10" t="s">
        <v>297</v>
      </c>
      <c r="G881" s="8">
        <v>1</v>
      </c>
      <c r="H881" s="11">
        <v>300</v>
      </c>
      <c r="I881" s="12">
        <v>42498</v>
      </c>
      <c r="J881" s="13">
        <f t="shared" si="31"/>
        <v>0</v>
      </c>
      <c r="K881" s="14"/>
      <c r="L881" s="14"/>
      <c r="M881" s="14"/>
      <c r="N881" s="14"/>
      <c r="O881" s="14">
        <v>300</v>
      </c>
      <c r="P881" s="14"/>
      <c r="Q881" s="14"/>
      <c r="R881" s="14"/>
      <c r="S881" s="14"/>
      <c r="T881" s="14"/>
      <c r="U881" s="14"/>
      <c r="V881" s="14"/>
      <c r="W881" s="15">
        <f t="shared" si="32"/>
        <v>300</v>
      </c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5"/>
      <c r="AK881" s="16"/>
    </row>
    <row r="882" spans="2:37" x14ac:dyDescent="0.2">
      <c r="B882" s="7" t="s">
        <v>73</v>
      </c>
      <c r="C882" s="8">
        <v>11616</v>
      </c>
      <c r="D882" s="9" t="s">
        <v>398</v>
      </c>
      <c r="E882" s="10" t="s">
        <v>399</v>
      </c>
      <c r="F882" s="10" t="s">
        <v>400</v>
      </c>
      <c r="G882" s="8">
        <v>1</v>
      </c>
      <c r="H882" s="11">
        <v>400</v>
      </c>
      <c r="I882" s="12">
        <v>42498</v>
      </c>
      <c r="J882" s="13">
        <f t="shared" si="31"/>
        <v>0</v>
      </c>
      <c r="K882" s="14"/>
      <c r="L882" s="14"/>
      <c r="M882" s="14"/>
      <c r="N882" s="14"/>
      <c r="O882" s="14">
        <v>400</v>
      </c>
      <c r="P882" s="14"/>
      <c r="Q882" s="14"/>
      <c r="R882" s="14"/>
      <c r="S882" s="14"/>
      <c r="T882" s="14"/>
      <c r="U882" s="14"/>
      <c r="V882" s="14"/>
      <c r="W882" s="15">
        <f t="shared" si="32"/>
        <v>400</v>
      </c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  <c r="AJ882" s="15"/>
      <c r="AK882" s="16"/>
    </row>
    <row r="883" spans="2:37" x14ac:dyDescent="0.2">
      <c r="B883" s="7" t="s">
        <v>37</v>
      </c>
      <c r="C883" s="8">
        <v>11617</v>
      </c>
      <c r="D883" s="9" t="s">
        <v>794</v>
      </c>
      <c r="E883" s="10" t="s">
        <v>795</v>
      </c>
      <c r="F883" s="10" t="s">
        <v>796</v>
      </c>
      <c r="G883" s="8">
        <v>1</v>
      </c>
      <c r="H883" s="11">
        <v>300</v>
      </c>
      <c r="I883" s="12">
        <v>42498</v>
      </c>
      <c r="J883" s="13">
        <f t="shared" si="31"/>
        <v>0</v>
      </c>
      <c r="K883" s="14"/>
      <c r="L883" s="14"/>
      <c r="M883" s="14"/>
      <c r="N883" s="14">
        <v>300</v>
      </c>
      <c r="O883" s="14"/>
      <c r="P883" s="14"/>
      <c r="Q883" s="14"/>
      <c r="R883" s="14"/>
      <c r="S883" s="14"/>
      <c r="T883" s="14"/>
      <c r="U883" s="14"/>
      <c r="V883" s="14"/>
      <c r="W883" s="15">
        <f t="shared" si="32"/>
        <v>300</v>
      </c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  <c r="AJ883" s="15"/>
      <c r="AK883" s="16"/>
    </row>
    <row r="884" spans="2:37" x14ac:dyDescent="0.2">
      <c r="B884" s="7" t="s">
        <v>69</v>
      </c>
      <c r="C884" s="8">
        <v>11618</v>
      </c>
      <c r="D884" s="9" t="s">
        <v>343</v>
      </c>
      <c r="E884" s="10" t="s">
        <v>344</v>
      </c>
      <c r="F884" s="10" t="s">
        <v>345</v>
      </c>
      <c r="G884" s="8">
        <v>1</v>
      </c>
      <c r="H884" s="11">
        <v>400</v>
      </c>
      <c r="I884" s="12">
        <v>42498</v>
      </c>
      <c r="J884" s="13">
        <f t="shared" si="31"/>
        <v>0</v>
      </c>
      <c r="K884" s="14"/>
      <c r="L884" s="14"/>
      <c r="M884" s="14"/>
      <c r="N884" s="14"/>
      <c r="O884" s="14">
        <v>400</v>
      </c>
      <c r="P884" s="14"/>
      <c r="Q884" s="14"/>
      <c r="R884" s="14"/>
      <c r="S884" s="14"/>
      <c r="T884" s="14"/>
      <c r="U884" s="14"/>
      <c r="V884" s="14"/>
      <c r="W884" s="15">
        <f t="shared" si="32"/>
        <v>400</v>
      </c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  <c r="AJ884" s="15"/>
      <c r="AK884" s="16"/>
    </row>
    <row r="885" spans="2:37" x14ac:dyDescent="0.2">
      <c r="B885" s="7" t="s">
        <v>37</v>
      </c>
      <c r="C885" s="8">
        <v>11619</v>
      </c>
      <c r="D885" s="9" t="s">
        <v>192</v>
      </c>
      <c r="E885" s="10" t="s">
        <v>193</v>
      </c>
      <c r="F885" s="10" t="s">
        <v>194</v>
      </c>
      <c r="G885" s="8">
        <v>1</v>
      </c>
      <c r="H885" s="11">
        <v>1200</v>
      </c>
      <c r="I885" s="12">
        <v>42498</v>
      </c>
      <c r="J885" s="13">
        <f t="shared" si="31"/>
        <v>0</v>
      </c>
      <c r="K885" s="14"/>
      <c r="L885" s="14"/>
      <c r="M885" s="14">
        <v>400</v>
      </c>
      <c r="N885" s="14">
        <v>400</v>
      </c>
      <c r="O885" s="14">
        <v>400</v>
      </c>
      <c r="P885" s="14"/>
      <c r="Q885" s="14"/>
      <c r="R885" s="14"/>
      <c r="S885" s="14"/>
      <c r="T885" s="14"/>
      <c r="U885" s="14"/>
      <c r="V885" s="14"/>
      <c r="W885" s="15">
        <f t="shared" si="32"/>
        <v>1200</v>
      </c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  <c r="AJ885" s="15"/>
      <c r="AK885" s="16"/>
    </row>
    <row r="886" spans="2:37" x14ac:dyDescent="0.2">
      <c r="B886" s="7" t="s">
        <v>391</v>
      </c>
      <c r="C886" s="8">
        <v>11620</v>
      </c>
      <c r="D886" s="9" t="s">
        <v>876</v>
      </c>
      <c r="E886" s="10" t="s">
        <v>877</v>
      </c>
      <c r="F886" s="10" t="s">
        <v>878</v>
      </c>
      <c r="G886" s="8">
        <v>1</v>
      </c>
      <c r="H886" s="11">
        <v>400</v>
      </c>
      <c r="I886" s="12">
        <v>42498</v>
      </c>
      <c r="J886" s="13">
        <f t="shared" si="31"/>
        <v>0</v>
      </c>
      <c r="K886" s="14"/>
      <c r="L886" s="14"/>
      <c r="M886" s="14"/>
      <c r="N886" s="14">
        <v>200</v>
      </c>
      <c r="O886" s="14">
        <v>200</v>
      </c>
      <c r="P886" s="14"/>
      <c r="Q886" s="14"/>
      <c r="R886" s="14"/>
      <c r="S886" s="14"/>
      <c r="T886" s="14"/>
      <c r="U886" s="14"/>
      <c r="V886" s="14"/>
      <c r="W886" s="15">
        <f t="shared" si="32"/>
        <v>400</v>
      </c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  <c r="AJ886" s="15"/>
      <c r="AK886" s="16"/>
    </row>
    <row r="887" spans="2:37" x14ac:dyDescent="0.2">
      <c r="B887" s="7" t="s">
        <v>47</v>
      </c>
      <c r="C887" s="8">
        <v>11621</v>
      </c>
      <c r="D887" s="9" t="s">
        <v>238</v>
      </c>
      <c r="E887" s="10" t="s">
        <v>239</v>
      </c>
      <c r="F887" s="10" t="s">
        <v>240</v>
      </c>
      <c r="G887" s="8">
        <v>1</v>
      </c>
      <c r="H887" s="11">
        <v>125</v>
      </c>
      <c r="I887" s="12">
        <v>42498</v>
      </c>
      <c r="J887" s="13">
        <f t="shared" si="31"/>
        <v>0</v>
      </c>
      <c r="K887" s="14"/>
      <c r="L887" s="14"/>
      <c r="M887" s="14"/>
      <c r="N887" s="14"/>
      <c r="O887" s="14">
        <v>125</v>
      </c>
      <c r="P887" s="14"/>
      <c r="Q887" s="14"/>
      <c r="R887" s="14"/>
      <c r="S887" s="14"/>
      <c r="T887" s="14"/>
      <c r="U887" s="14"/>
      <c r="V887" s="14"/>
      <c r="W887" s="15">
        <f t="shared" si="32"/>
        <v>125</v>
      </c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  <c r="AJ887" s="15"/>
      <c r="AK887" s="16"/>
    </row>
    <row r="888" spans="2:37" x14ac:dyDescent="0.2">
      <c r="B888" s="7" t="s">
        <v>73</v>
      </c>
      <c r="C888" s="8">
        <v>11622</v>
      </c>
      <c r="D888" s="9" t="s">
        <v>407</v>
      </c>
      <c r="E888" s="10" t="s">
        <v>408</v>
      </c>
      <c r="F888" s="10" t="s">
        <v>409</v>
      </c>
      <c r="G888" s="8">
        <v>1</v>
      </c>
      <c r="H888" s="11">
        <v>800</v>
      </c>
      <c r="I888" s="12">
        <v>42498</v>
      </c>
      <c r="J888" s="13">
        <f t="shared" si="31"/>
        <v>0</v>
      </c>
      <c r="K888" s="14"/>
      <c r="L888" s="14"/>
      <c r="M888" s="14"/>
      <c r="N888" s="14">
        <v>400</v>
      </c>
      <c r="O888" s="14">
        <v>400</v>
      </c>
      <c r="P888" s="14"/>
      <c r="Q888" s="14"/>
      <c r="R888" s="14"/>
      <c r="S888" s="14"/>
      <c r="T888" s="14"/>
      <c r="U888" s="14"/>
      <c r="V888" s="14"/>
      <c r="W888" s="15">
        <f t="shared" si="32"/>
        <v>800</v>
      </c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  <c r="AJ888" s="15"/>
      <c r="AK888" s="16"/>
    </row>
    <row r="889" spans="2:37" x14ac:dyDescent="0.2">
      <c r="B889" s="7" t="s">
        <v>37</v>
      </c>
      <c r="C889" s="8">
        <v>11623</v>
      </c>
      <c r="D889" s="9" t="s">
        <v>395</v>
      </c>
      <c r="E889" s="10" t="s">
        <v>396</v>
      </c>
      <c r="F889" s="10" t="s">
        <v>397</v>
      </c>
      <c r="G889" s="8">
        <v>1</v>
      </c>
      <c r="H889" s="11">
        <v>150</v>
      </c>
      <c r="I889" s="12">
        <v>42498</v>
      </c>
      <c r="J889" s="13">
        <f t="shared" si="31"/>
        <v>0</v>
      </c>
      <c r="K889" s="14"/>
      <c r="L889" s="14"/>
      <c r="M889" s="14"/>
      <c r="N889" s="14"/>
      <c r="O889" s="14">
        <v>150</v>
      </c>
      <c r="P889" s="14"/>
      <c r="Q889" s="14"/>
      <c r="R889" s="14"/>
      <c r="S889" s="14"/>
      <c r="T889" s="14"/>
      <c r="U889" s="14"/>
      <c r="V889" s="14"/>
      <c r="W889" s="15">
        <f t="shared" si="32"/>
        <v>150</v>
      </c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15"/>
      <c r="AK889" s="16"/>
    </row>
    <row r="890" spans="2:37" x14ac:dyDescent="0.2">
      <c r="B890" s="7" t="s">
        <v>77</v>
      </c>
      <c r="C890" s="8">
        <v>11624</v>
      </c>
      <c r="D890" s="9" t="s">
        <v>725</v>
      </c>
      <c r="E890" s="10" t="s">
        <v>726</v>
      </c>
      <c r="F890" s="10" t="s">
        <v>727</v>
      </c>
      <c r="G890" s="8">
        <v>1</v>
      </c>
      <c r="H890" s="11">
        <v>400</v>
      </c>
      <c r="I890" s="12">
        <v>42498</v>
      </c>
      <c r="J890" s="13">
        <f t="shared" si="31"/>
        <v>0</v>
      </c>
      <c r="K890" s="14"/>
      <c r="L890" s="14"/>
      <c r="M890" s="14"/>
      <c r="N890" s="14">
        <v>400</v>
      </c>
      <c r="O890" s="14"/>
      <c r="P890" s="14"/>
      <c r="Q890" s="14"/>
      <c r="R890" s="14"/>
      <c r="S890" s="14"/>
      <c r="T890" s="14"/>
      <c r="U890" s="14"/>
      <c r="V890" s="14"/>
      <c r="W890" s="15">
        <f t="shared" si="32"/>
        <v>400</v>
      </c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15"/>
      <c r="AK890" s="16"/>
    </row>
    <row r="891" spans="2:37" x14ac:dyDescent="0.2">
      <c r="B891" s="7" t="s">
        <v>37</v>
      </c>
      <c r="C891" s="8">
        <v>11625</v>
      </c>
      <c r="D891" s="9" t="s">
        <v>520</v>
      </c>
      <c r="E891" s="10" t="s">
        <v>521</v>
      </c>
      <c r="F891" s="10" t="s">
        <v>522</v>
      </c>
      <c r="G891" s="8">
        <v>1</v>
      </c>
      <c r="H891" s="11">
        <v>800</v>
      </c>
      <c r="I891" s="12">
        <v>42498</v>
      </c>
      <c r="J891" s="13">
        <f t="shared" si="31"/>
        <v>0</v>
      </c>
      <c r="K891" s="14"/>
      <c r="L891" s="14"/>
      <c r="M891" s="14"/>
      <c r="N891" s="14"/>
      <c r="O891" s="14">
        <v>400</v>
      </c>
      <c r="P891" s="14">
        <v>400</v>
      </c>
      <c r="Q891" s="14"/>
      <c r="R891" s="14"/>
      <c r="S891" s="14"/>
      <c r="T891" s="14"/>
      <c r="U891" s="14"/>
      <c r="V891" s="14"/>
      <c r="W891" s="15">
        <f t="shared" si="32"/>
        <v>800</v>
      </c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5"/>
      <c r="AK891" s="16"/>
    </row>
    <row r="892" spans="2:37" x14ac:dyDescent="0.2">
      <c r="B892" s="7" t="s">
        <v>37</v>
      </c>
      <c r="C892" s="8">
        <v>11625</v>
      </c>
      <c r="D892" s="9" t="s">
        <v>520</v>
      </c>
      <c r="E892" s="10" t="s">
        <v>521</v>
      </c>
      <c r="F892" s="10" t="s">
        <v>522</v>
      </c>
      <c r="G892" s="8">
        <v>3</v>
      </c>
      <c r="H892" s="11">
        <v>160</v>
      </c>
      <c r="I892" s="12">
        <v>42498</v>
      </c>
      <c r="J892" s="13">
        <f t="shared" si="31"/>
        <v>0</v>
      </c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5">
        <f t="shared" si="32"/>
        <v>0</v>
      </c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  <c r="AJ892" s="15"/>
      <c r="AK892" s="16"/>
    </row>
    <row r="893" spans="2:37" x14ac:dyDescent="0.2">
      <c r="B893" s="7" t="s">
        <v>77</v>
      </c>
      <c r="C893" s="8">
        <v>11626</v>
      </c>
      <c r="D893" s="9" t="s">
        <v>547</v>
      </c>
      <c r="E893" s="10" t="s">
        <v>548</v>
      </c>
      <c r="F893" s="10" t="s">
        <v>549</v>
      </c>
      <c r="G893" s="8">
        <v>1</v>
      </c>
      <c r="H893" s="11">
        <v>400</v>
      </c>
      <c r="I893" s="12">
        <v>42498</v>
      </c>
      <c r="J893" s="13">
        <f t="shared" si="31"/>
        <v>0</v>
      </c>
      <c r="K893" s="14"/>
      <c r="L893" s="14"/>
      <c r="M893" s="14">
        <v>200</v>
      </c>
      <c r="N893" s="14">
        <v>200</v>
      </c>
      <c r="O893" s="14"/>
      <c r="P893" s="14"/>
      <c r="Q893" s="14"/>
      <c r="R893" s="14"/>
      <c r="S893" s="14"/>
      <c r="T893" s="14"/>
      <c r="U893" s="14"/>
      <c r="V893" s="14"/>
      <c r="W893" s="15">
        <f t="shared" si="32"/>
        <v>400</v>
      </c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5"/>
      <c r="AK893" s="16"/>
    </row>
    <row r="894" spans="2:37" x14ac:dyDescent="0.2">
      <c r="B894" s="7" t="s">
        <v>77</v>
      </c>
      <c r="C894" s="8">
        <v>11627</v>
      </c>
      <c r="D894" s="9" t="s">
        <v>455</v>
      </c>
      <c r="E894" s="10" t="s">
        <v>456</v>
      </c>
      <c r="F894" s="10" t="s">
        <v>457</v>
      </c>
      <c r="G894" s="8">
        <v>1</v>
      </c>
      <c r="H894" s="11">
        <v>400</v>
      </c>
      <c r="I894" s="12">
        <v>42498</v>
      </c>
      <c r="J894" s="13">
        <f t="shared" si="31"/>
        <v>0</v>
      </c>
      <c r="K894" s="14"/>
      <c r="L894" s="14"/>
      <c r="M894" s="14"/>
      <c r="N894" s="14"/>
      <c r="O894" s="14">
        <v>400</v>
      </c>
      <c r="P894" s="14"/>
      <c r="Q894" s="14"/>
      <c r="R894" s="14"/>
      <c r="S894" s="14"/>
      <c r="T894" s="14"/>
      <c r="U894" s="14"/>
      <c r="V894" s="14"/>
      <c r="W894" s="15">
        <f t="shared" si="32"/>
        <v>400</v>
      </c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  <c r="AJ894" s="15"/>
      <c r="AK894" s="16"/>
    </row>
    <row r="895" spans="2:37" x14ac:dyDescent="0.2">
      <c r="B895" s="7" t="s">
        <v>122</v>
      </c>
      <c r="C895" s="8">
        <v>11628</v>
      </c>
      <c r="D895" s="9" t="s">
        <v>256</v>
      </c>
      <c r="E895" s="10" t="s">
        <v>257</v>
      </c>
      <c r="F895" s="10" t="s">
        <v>258</v>
      </c>
      <c r="G895" s="8">
        <v>1</v>
      </c>
      <c r="H895" s="11">
        <v>300</v>
      </c>
      <c r="I895" s="12">
        <v>42498</v>
      </c>
      <c r="J895" s="13">
        <f t="shared" si="31"/>
        <v>0</v>
      </c>
      <c r="K895" s="14"/>
      <c r="L895" s="14"/>
      <c r="M895" s="14"/>
      <c r="N895" s="14"/>
      <c r="O895" s="14">
        <v>300</v>
      </c>
      <c r="P895" s="14"/>
      <c r="Q895" s="14"/>
      <c r="R895" s="14"/>
      <c r="S895" s="14"/>
      <c r="T895" s="14"/>
      <c r="U895" s="14"/>
      <c r="V895" s="14"/>
      <c r="W895" s="15">
        <f t="shared" si="32"/>
        <v>300</v>
      </c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  <c r="AJ895" s="15"/>
      <c r="AK895" s="16"/>
    </row>
    <row r="896" spans="2:37" x14ac:dyDescent="0.2">
      <c r="B896" s="7" t="s">
        <v>73</v>
      </c>
      <c r="C896" s="8">
        <v>11629</v>
      </c>
      <c r="D896" s="9" t="s">
        <v>115</v>
      </c>
      <c r="E896" s="10" t="s">
        <v>116</v>
      </c>
      <c r="F896" s="10" t="s">
        <v>117</v>
      </c>
      <c r="G896" s="8">
        <v>1</v>
      </c>
      <c r="H896" s="11">
        <v>150</v>
      </c>
      <c r="I896" s="12">
        <v>42498</v>
      </c>
      <c r="J896" s="13">
        <f t="shared" si="31"/>
        <v>0</v>
      </c>
      <c r="K896" s="14"/>
      <c r="L896" s="14"/>
      <c r="M896" s="14"/>
      <c r="N896" s="14"/>
      <c r="O896" s="14">
        <v>150</v>
      </c>
      <c r="P896" s="14"/>
      <c r="Q896" s="14"/>
      <c r="R896" s="14"/>
      <c r="S896" s="14"/>
      <c r="T896" s="14"/>
      <c r="U896" s="14"/>
      <c r="V896" s="14"/>
      <c r="W896" s="15">
        <f t="shared" si="32"/>
        <v>150</v>
      </c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  <c r="AJ896" s="15"/>
      <c r="AK896" s="16"/>
    </row>
    <row r="897" spans="2:38" x14ac:dyDescent="0.2">
      <c r="B897" s="7" t="s">
        <v>73</v>
      </c>
      <c r="C897" s="8">
        <v>11629</v>
      </c>
      <c r="D897" s="9" t="s">
        <v>115</v>
      </c>
      <c r="E897" s="10" t="s">
        <v>116</v>
      </c>
      <c r="F897" s="10" t="s">
        <v>117</v>
      </c>
      <c r="G897" s="8">
        <v>3</v>
      </c>
      <c r="H897" s="11">
        <v>160</v>
      </c>
      <c r="I897" s="12">
        <v>42498</v>
      </c>
      <c r="J897" s="13">
        <f t="shared" si="31"/>
        <v>0</v>
      </c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5">
        <f t="shared" si="32"/>
        <v>0</v>
      </c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5"/>
      <c r="AK897" s="16"/>
    </row>
    <row r="898" spans="2:38" x14ac:dyDescent="0.2">
      <c r="B898" s="7" t="s">
        <v>69</v>
      </c>
      <c r="C898" s="8">
        <v>11630</v>
      </c>
      <c r="D898" s="9" t="s">
        <v>165</v>
      </c>
      <c r="E898" s="10" t="s">
        <v>166</v>
      </c>
      <c r="F898" s="10" t="s">
        <v>167</v>
      </c>
      <c r="G898" s="8">
        <v>1</v>
      </c>
      <c r="H898" s="11">
        <v>350</v>
      </c>
      <c r="I898" s="12">
        <v>42498</v>
      </c>
      <c r="J898" s="13">
        <f t="shared" si="31"/>
        <v>0</v>
      </c>
      <c r="K898" s="14"/>
      <c r="L898" s="14"/>
      <c r="M898" s="14"/>
      <c r="N898" s="14"/>
      <c r="O898" s="14">
        <v>350</v>
      </c>
      <c r="P898" s="14"/>
      <c r="Q898" s="14"/>
      <c r="R898" s="14"/>
      <c r="S898" s="14"/>
      <c r="T898" s="14"/>
      <c r="U898" s="14"/>
      <c r="V898" s="14"/>
      <c r="W898" s="15">
        <f t="shared" si="32"/>
        <v>350</v>
      </c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  <c r="AJ898" s="15"/>
      <c r="AK898" s="16"/>
    </row>
    <row r="899" spans="2:38" x14ac:dyDescent="0.2">
      <c r="B899" s="7" t="s">
        <v>69</v>
      </c>
      <c r="C899" s="8">
        <v>11631</v>
      </c>
      <c r="D899" s="9" t="s">
        <v>301</v>
      </c>
      <c r="E899" s="10" t="s">
        <v>302</v>
      </c>
      <c r="F899" s="10" t="s">
        <v>303</v>
      </c>
      <c r="G899" s="8">
        <v>1</v>
      </c>
      <c r="H899" s="11">
        <v>200</v>
      </c>
      <c r="I899" s="12">
        <v>42498</v>
      </c>
      <c r="J899" s="13">
        <f t="shared" si="31"/>
        <v>0</v>
      </c>
      <c r="K899" s="14"/>
      <c r="L899" s="14"/>
      <c r="M899" s="14"/>
      <c r="N899" s="14"/>
      <c r="O899" s="14">
        <v>200</v>
      </c>
      <c r="P899" s="14"/>
      <c r="Q899" s="14"/>
      <c r="R899" s="14"/>
      <c r="S899" s="14"/>
      <c r="T899" s="14"/>
      <c r="U899" s="14"/>
      <c r="V899" s="14"/>
      <c r="W899" s="15">
        <f t="shared" si="32"/>
        <v>200</v>
      </c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5"/>
      <c r="AK899" s="16"/>
    </row>
    <row r="900" spans="2:38" x14ac:dyDescent="0.2">
      <c r="B900" s="7" t="s">
        <v>47</v>
      </c>
      <c r="C900" s="8">
        <v>11632</v>
      </c>
      <c r="D900" s="9" t="s">
        <v>583</v>
      </c>
      <c r="E900" s="10" t="s">
        <v>584</v>
      </c>
      <c r="F900" s="10" t="s">
        <v>585</v>
      </c>
      <c r="G900" s="8">
        <v>1</v>
      </c>
      <c r="H900" s="11">
        <v>200</v>
      </c>
      <c r="I900" s="12">
        <v>42498</v>
      </c>
      <c r="J900" s="13">
        <f t="shared" si="31"/>
        <v>0</v>
      </c>
      <c r="K900" s="14"/>
      <c r="L900" s="14"/>
      <c r="M900" s="14"/>
      <c r="N900" s="14"/>
      <c r="O900" s="14">
        <v>200</v>
      </c>
      <c r="P900" s="14"/>
      <c r="Q900" s="14"/>
      <c r="R900" s="14"/>
      <c r="S900" s="14"/>
      <c r="T900" s="14"/>
      <c r="U900" s="14"/>
      <c r="V900" s="14"/>
      <c r="W900" s="15">
        <f t="shared" si="32"/>
        <v>200</v>
      </c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  <c r="AJ900" s="15"/>
      <c r="AK900" s="16"/>
    </row>
    <row r="901" spans="2:38" x14ac:dyDescent="0.2">
      <c r="B901" s="7" t="s">
        <v>37</v>
      </c>
      <c r="C901" s="8">
        <v>11633</v>
      </c>
      <c r="D901" s="9" t="s">
        <v>941</v>
      </c>
      <c r="E901" s="10" t="s">
        <v>942</v>
      </c>
      <c r="F901" s="10" t="s">
        <v>943</v>
      </c>
      <c r="G901" s="8">
        <v>1</v>
      </c>
      <c r="H901" s="321">
        <v>200</v>
      </c>
      <c r="I901" s="12">
        <v>42498</v>
      </c>
      <c r="J901" s="13">
        <f t="shared" si="31"/>
        <v>0</v>
      </c>
      <c r="K901" s="14"/>
      <c r="L901" s="14"/>
      <c r="M901" s="14"/>
      <c r="N901" s="14"/>
      <c r="O901" s="14">
        <v>200</v>
      </c>
      <c r="P901" s="14"/>
      <c r="Q901" s="14"/>
      <c r="R901" s="14"/>
      <c r="S901" s="14"/>
      <c r="T901" s="14"/>
      <c r="U901" s="14"/>
      <c r="V901" s="14"/>
      <c r="W901" s="15">
        <f t="shared" si="32"/>
        <v>200</v>
      </c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5"/>
      <c r="AK901" s="16"/>
      <c r="AL901" s="113">
        <f>SUM(H850:H901)</f>
        <v>20275</v>
      </c>
    </row>
    <row r="902" spans="2:38" x14ac:dyDescent="0.2">
      <c r="B902" s="7" t="s">
        <v>37</v>
      </c>
      <c r="C902" s="8">
        <v>11634</v>
      </c>
      <c r="D902" s="9" t="s">
        <v>205</v>
      </c>
      <c r="E902" s="10" t="s">
        <v>206</v>
      </c>
      <c r="F902" s="10" t="s">
        <v>207</v>
      </c>
      <c r="G902" s="8">
        <v>1</v>
      </c>
      <c r="H902" s="11">
        <v>600</v>
      </c>
      <c r="I902" s="12">
        <v>42501</v>
      </c>
      <c r="J902" s="13">
        <f t="shared" si="31"/>
        <v>0</v>
      </c>
      <c r="K902" s="14"/>
      <c r="L902" s="14"/>
      <c r="M902" s="14"/>
      <c r="N902" s="14">
        <v>600</v>
      </c>
      <c r="O902" s="14"/>
      <c r="P902" s="14"/>
      <c r="Q902" s="14"/>
      <c r="R902" s="14"/>
      <c r="S902" s="14"/>
      <c r="T902" s="14"/>
      <c r="U902" s="14"/>
      <c r="V902" s="14"/>
      <c r="W902" s="15">
        <f t="shared" si="32"/>
        <v>600</v>
      </c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  <c r="AJ902" s="15"/>
      <c r="AK902" s="16"/>
      <c r="AL902" s="326"/>
    </row>
    <row r="903" spans="2:38" x14ac:dyDescent="0.2">
      <c r="B903" s="7" t="s">
        <v>37</v>
      </c>
      <c r="C903" s="8">
        <v>11635</v>
      </c>
      <c r="D903" s="9" t="s">
        <v>58</v>
      </c>
      <c r="E903" s="10" t="s">
        <v>59</v>
      </c>
      <c r="F903" s="10" t="s">
        <v>60</v>
      </c>
      <c r="G903" s="8">
        <v>3</v>
      </c>
      <c r="H903" s="11">
        <v>160</v>
      </c>
      <c r="I903" s="12">
        <v>42501</v>
      </c>
      <c r="J903" s="13">
        <f t="shared" si="31"/>
        <v>0</v>
      </c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5">
        <f t="shared" si="32"/>
        <v>0</v>
      </c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  <c r="AJ903" s="15"/>
      <c r="AK903" s="16"/>
    </row>
    <row r="904" spans="2:38" x14ac:dyDescent="0.2">
      <c r="B904" s="7" t="s">
        <v>77</v>
      </c>
      <c r="C904" s="8">
        <v>11636</v>
      </c>
      <c r="D904" s="9" t="s">
        <v>380</v>
      </c>
      <c r="E904" s="10" t="s">
        <v>381</v>
      </c>
      <c r="F904" s="10" t="s">
        <v>382</v>
      </c>
      <c r="G904" s="8">
        <v>1</v>
      </c>
      <c r="H904" s="11">
        <v>1200</v>
      </c>
      <c r="I904" s="12">
        <v>42501</v>
      </c>
      <c r="J904" s="13">
        <f t="shared" si="31"/>
        <v>0</v>
      </c>
      <c r="K904" s="14"/>
      <c r="L904" s="14"/>
      <c r="M904" s="14"/>
      <c r="N904" s="14">
        <v>300</v>
      </c>
      <c r="O904" s="14">
        <v>300</v>
      </c>
      <c r="P904" s="14">
        <v>300</v>
      </c>
      <c r="Q904" s="14">
        <v>300</v>
      </c>
      <c r="R904" s="14"/>
      <c r="S904" s="14"/>
      <c r="T904" s="14"/>
      <c r="U904" s="14"/>
      <c r="V904" s="14"/>
      <c r="W904" s="15">
        <f t="shared" si="32"/>
        <v>1200</v>
      </c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5"/>
      <c r="AK904" s="16"/>
    </row>
    <row r="905" spans="2:38" x14ac:dyDescent="0.2">
      <c r="B905" s="7" t="s">
        <v>37</v>
      </c>
      <c r="C905" s="8">
        <v>11637</v>
      </c>
      <c r="D905" s="9" t="s">
        <v>491</v>
      </c>
      <c r="E905" s="10" t="s">
        <v>492</v>
      </c>
      <c r="F905" s="10" t="s">
        <v>493</v>
      </c>
      <c r="G905" s="8">
        <v>4</v>
      </c>
      <c r="H905" s="11">
        <v>160</v>
      </c>
      <c r="I905" s="12">
        <v>42501</v>
      </c>
      <c r="J905" s="13">
        <f t="shared" si="31"/>
        <v>0</v>
      </c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5">
        <f t="shared" si="32"/>
        <v>0</v>
      </c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5"/>
      <c r="AK905" s="7">
        <v>19172</v>
      </c>
    </row>
    <row r="906" spans="2:38" x14ac:dyDescent="0.2">
      <c r="B906" s="7" t="s">
        <v>77</v>
      </c>
      <c r="C906" s="8">
        <v>11638</v>
      </c>
      <c r="D906" s="9" t="s">
        <v>666</v>
      </c>
      <c r="E906" s="10" t="s">
        <v>667</v>
      </c>
      <c r="F906" s="10" t="s">
        <v>668</v>
      </c>
      <c r="G906" s="8">
        <v>1</v>
      </c>
      <c r="H906" s="11">
        <v>400</v>
      </c>
      <c r="I906" s="12">
        <v>42501</v>
      </c>
      <c r="J906" s="13">
        <f t="shared" si="31"/>
        <v>0</v>
      </c>
      <c r="K906" s="14"/>
      <c r="L906" s="14"/>
      <c r="M906" s="14">
        <v>200</v>
      </c>
      <c r="N906" s="14">
        <v>200</v>
      </c>
      <c r="O906" s="14"/>
      <c r="P906" s="14"/>
      <c r="Q906" s="14"/>
      <c r="R906" s="14"/>
      <c r="S906" s="14"/>
      <c r="T906" s="14"/>
      <c r="U906" s="14"/>
      <c r="V906" s="14"/>
      <c r="W906" s="15">
        <f t="shared" si="32"/>
        <v>400</v>
      </c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  <c r="AJ906" s="15"/>
      <c r="AK906" s="16"/>
    </row>
    <row r="907" spans="2:38" x14ac:dyDescent="0.2">
      <c r="B907" s="7" t="s">
        <v>391</v>
      </c>
      <c r="C907" s="8">
        <v>11639</v>
      </c>
      <c r="D907" s="9" t="s">
        <v>482</v>
      </c>
      <c r="E907" s="10" t="s">
        <v>483</v>
      </c>
      <c r="F907" s="10" t="s">
        <v>484</v>
      </c>
      <c r="G907" s="8">
        <v>1</v>
      </c>
      <c r="H907" s="11">
        <v>200</v>
      </c>
      <c r="I907" s="12">
        <v>42502</v>
      </c>
      <c r="J907" s="13">
        <f t="shared" si="31"/>
        <v>0</v>
      </c>
      <c r="K907" s="14"/>
      <c r="L907" s="14"/>
      <c r="M907" s="14"/>
      <c r="N907" s="14"/>
      <c r="O907" s="14">
        <v>200</v>
      </c>
      <c r="P907" s="14"/>
      <c r="Q907" s="14"/>
      <c r="R907" s="14"/>
      <c r="S907" s="14"/>
      <c r="T907" s="14"/>
      <c r="U907" s="14"/>
      <c r="V907" s="14"/>
      <c r="W907" s="15">
        <f t="shared" si="32"/>
        <v>200</v>
      </c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5"/>
      <c r="AK907" s="16"/>
    </row>
    <row r="908" spans="2:38" x14ac:dyDescent="0.2">
      <c r="B908" s="7" t="s">
        <v>391</v>
      </c>
      <c r="C908" s="8">
        <v>11640</v>
      </c>
      <c r="D908" s="9" t="s">
        <v>879</v>
      </c>
      <c r="E908" s="10" t="s">
        <v>880</v>
      </c>
      <c r="F908" s="10" t="s">
        <v>881</v>
      </c>
      <c r="G908" s="8">
        <v>1</v>
      </c>
      <c r="H908" s="11">
        <v>400</v>
      </c>
      <c r="I908" s="12">
        <v>42502</v>
      </c>
      <c r="J908" s="13">
        <f t="shared" si="31"/>
        <v>0</v>
      </c>
      <c r="K908" s="14"/>
      <c r="L908" s="14"/>
      <c r="M908" s="14"/>
      <c r="N908" s="14">
        <v>200</v>
      </c>
      <c r="O908" s="14">
        <v>200</v>
      </c>
      <c r="P908" s="14"/>
      <c r="Q908" s="14"/>
      <c r="R908" s="14"/>
      <c r="S908" s="14"/>
      <c r="T908" s="14"/>
      <c r="U908" s="14"/>
      <c r="V908" s="14"/>
      <c r="W908" s="15">
        <f t="shared" si="32"/>
        <v>400</v>
      </c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  <c r="AJ908" s="15"/>
      <c r="AK908" s="16"/>
    </row>
    <row r="909" spans="2:38" x14ac:dyDescent="0.2">
      <c r="B909" s="7" t="s">
        <v>391</v>
      </c>
      <c r="C909" s="8">
        <v>11640</v>
      </c>
      <c r="D909" s="9" t="s">
        <v>879</v>
      </c>
      <c r="E909" s="10" t="s">
        <v>880</v>
      </c>
      <c r="F909" s="10" t="s">
        <v>881</v>
      </c>
      <c r="G909" s="8">
        <v>3</v>
      </c>
      <c r="H909" s="11">
        <v>160</v>
      </c>
      <c r="I909" s="12">
        <v>42502</v>
      </c>
      <c r="J909" s="13">
        <f t="shared" si="31"/>
        <v>0</v>
      </c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5">
        <f t="shared" si="32"/>
        <v>0</v>
      </c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  <c r="AJ909" s="15"/>
      <c r="AK909" s="16"/>
    </row>
    <row r="910" spans="2:38" x14ac:dyDescent="0.2">
      <c r="B910" s="7" t="s">
        <v>391</v>
      </c>
      <c r="C910" s="8">
        <v>11640</v>
      </c>
      <c r="D910" s="9" t="s">
        <v>879</v>
      </c>
      <c r="E910" s="10" t="s">
        <v>880</v>
      </c>
      <c r="F910" s="10" t="s">
        <v>881</v>
      </c>
      <c r="G910" s="8">
        <v>4</v>
      </c>
      <c r="H910" s="11">
        <v>160</v>
      </c>
      <c r="I910" s="12">
        <v>42502</v>
      </c>
      <c r="J910" s="13">
        <f t="shared" si="31"/>
        <v>0</v>
      </c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5">
        <f t="shared" si="32"/>
        <v>0</v>
      </c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  <c r="AJ910" s="15"/>
      <c r="AK910" s="7">
        <v>19166</v>
      </c>
    </row>
    <row r="911" spans="2:38" x14ac:dyDescent="0.2">
      <c r="B911" s="7" t="s">
        <v>37</v>
      </c>
      <c r="C911" s="8">
        <v>11641</v>
      </c>
      <c r="D911" s="9" t="s">
        <v>669</v>
      </c>
      <c r="E911" s="10" t="s">
        <v>670</v>
      </c>
      <c r="F911" s="10" t="s">
        <v>671</v>
      </c>
      <c r="G911" s="8">
        <v>1</v>
      </c>
      <c r="H911" s="11">
        <v>800</v>
      </c>
      <c r="I911" s="12">
        <v>42503</v>
      </c>
      <c r="J911" s="13">
        <f t="shared" si="31"/>
        <v>0</v>
      </c>
      <c r="K911" s="14"/>
      <c r="L911" s="14"/>
      <c r="M911" s="14">
        <v>400</v>
      </c>
      <c r="N911" s="14">
        <v>400</v>
      </c>
      <c r="O911" s="14"/>
      <c r="P911" s="14"/>
      <c r="Q911" s="14"/>
      <c r="R911" s="14"/>
      <c r="S911" s="14"/>
      <c r="T911" s="14"/>
      <c r="U911" s="14"/>
      <c r="V911" s="14"/>
      <c r="W911" s="15">
        <f t="shared" si="32"/>
        <v>800</v>
      </c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5"/>
      <c r="AK911" s="16"/>
    </row>
    <row r="912" spans="2:38" x14ac:dyDescent="0.2">
      <c r="B912" s="7" t="s">
        <v>47</v>
      </c>
      <c r="C912" s="8">
        <v>11642</v>
      </c>
      <c r="D912" s="9" t="s">
        <v>497</v>
      </c>
      <c r="E912" s="10" t="s">
        <v>498</v>
      </c>
      <c r="F912" s="10" t="s">
        <v>499</v>
      </c>
      <c r="G912" s="8">
        <v>1</v>
      </c>
      <c r="H912" s="11">
        <v>800</v>
      </c>
      <c r="I912" s="12">
        <v>42505</v>
      </c>
      <c r="J912" s="13">
        <f t="shared" si="31"/>
        <v>0</v>
      </c>
      <c r="K912" s="14"/>
      <c r="L912" s="14"/>
      <c r="M912" s="14"/>
      <c r="N912" s="14"/>
      <c r="O912" s="14">
        <v>400</v>
      </c>
      <c r="P912" s="14">
        <v>400</v>
      </c>
      <c r="Q912" s="14"/>
      <c r="R912" s="14"/>
      <c r="S912" s="14"/>
      <c r="T912" s="14"/>
      <c r="U912" s="14"/>
      <c r="V912" s="14"/>
      <c r="W912" s="15">
        <f t="shared" si="32"/>
        <v>800</v>
      </c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5"/>
      <c r="AK912" s="16"/>
    </row>
    <row r="913" spans="2:37" x14ac:dyDescent="0.2">
      <c r="B913" s="7" t="s">
        <v>37</v>
      </c>
      <c r="C913" s="8">
        <v>11643</v>
      </c>
      <c r="D913" s="9" t="s">
        <v>568</v>
      </c>
      <c r="E913" s="10" t="s">
        <v>569</v>
      </c>
      <c r="F913" s="10" t="s">
        <v>570</v>
      </c>
      <c r="G913" s="8">
        <v>1</v>
      </c>
      <c r="H913" s="11">
        <v>400</v>
      </c>
      <c r="I913" s="12">
        <v>42505</v>
      </c>
      <c r="J913" s="13">
        <f t="shared" si="31"/>
        <v>0</v>
      </c>
      <c r="K913" s="14"/>
      <c r="L913" s="14"/>
      <c r="M913" s="14"/>
      <c r="N913" s="14"/>
      <c r="O913" s="14">
        <v>400</v>
      </c>
      <c r="P913" s="14"/>
      <c r="Q913" s="14"/>
      <c r="R913" s="14"/>
      <c r="S913" s="14"/>
      <c r="T913" s="14"/>
      <c r="U913" s="14"/>
      <c r="V913" s="14"/>
      <c r="W913" s="15">
        <f t="shared" si="32"/>
        <v>400</v>
      </c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5"/>
      <c r="AK913" s="16"/>
    </row>
    <row r="914" spans="2:37" x14ac:dyDescent="0.2">
      <c r="B914" s="7" t="s">
        <v>47</v>
      </c>
      <c r="C914" s="8">
        <v>11644</v>
      </c>
      <c r="D914" s="9" t="s">
        <v>425</v>
      </c>
      <c r="E914" s="10" t="s">
        <v>426</v>
      </c>
      <c r="F914" s="10" t="s">
        <v>427</v>
      </c>
      <c r="G914" s="8">
        <v>1</v>
      </c>
      <c r="H914" s="11">
        <v>400</v>
      </c>
      <c r="I914" s="12">
        <v>42505</v>
      </c>
      <c r="J914" s="13">
        <f t="shared" si="31"/>
        <v>0</v>
      </c>
      <c r="K914" s="14"/>
      <c r="L914" s="14"/>
      <c r="M914" s="14"/>
      <c r="N914" s="14"/>
      <c r="O914" s="14">
        <v>400</v>
      </c>
      <c r="P914" s="14"/>
      <c r="Q914" s="14"/>
      <c r="R914" s="14"/>
      <c r="S914" s="14"/>
      <c r="T914" s="14"/>
      <c r="U914" s="14"/>
      <c r="V914" s="14"/>
      <c r="W914" s="15">
        <f t="shared" si="32"/>
        <v>400</v>
      </c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5"/>
      <c r="AK914" s="16"/>
    </row>
    <row r="915" spans="2:37" x14ac:dyDescent="0.2">
      <c r="B915" s="7" t="s">
        <v>73</v>
      </c>
      <c r="C915" s="8">
        <v>11645</v>
      </c>
      <c r="D915" s="9" t="s">
        <v>586</v>
      </c>
      <c r="E915" s="10" t="s">
        <v>587</v>
      </c>
      <c r="F915" s="10" t="s">
        <v>588</v>
      </c>
      <c r="G915" s="8">
        <v>1</v>
      </c>
      <c r="H915" s="11">
        <v>400</v>
      </c>
      <c r="I915" s="12">
        <v>42505</v>
      </c>
      <c r="J915" s="13">
        <f t="shared" ref="J915:J978" si="33">IF(G915=1,SUM(W915,-H915),0)</f>
        <v>0</v>
      </c>
      <c r="K915" s="14"/>
      <c r="L915" s="14"/>
      <c r="M915" s="14">
        <v>200</v>
      </c>
      <c r="N915" s="14">
        <v>200</v>
      </c>
      <c r="O915" s="14"/>
      <c r="P915" s="14"/>
      <c r="Q915" s="14"/>
      <c r="R915" s="14"/>
      <c r="S915" s="14"/>
      <c r="T915" s="14"/>
      <c r="U915" s="14"/>
      <c r="V915" s="14"/>
      <c r="W915" s="15">
        <f t="shared" ref="W915:W978" si="34">SUM(K915:V915)</f>
        <v>400</v>
      </c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5"/>
      <c r="AK915" s="16"/>
    </row>
    <row r="916" spans="2:37" x14ac:dyDescent="0.2">
      <c r="B916" s="7" t="s">
        <v>77</v>
      </c>
      <c r="C916" s="8">
        <v>11646</v>
      </c>
      <c r="D916" s="9" t="s">
        <v>874</v>
      </c>
      <c r="E916" s="10" t="s">
        <v>875</v>
      </c>
      <c r="F916" s="10" t="s">
        <v>493</v>
      </c>
      <c r="G916" s="8">
        <v>1</v>
      </c>
      <c r="H916" s="11">
        <v>400</v>
      </c>
      <c r="I916" s="12">
        <v>42505</v>
      </c>
      <c r="J916" s="13">
        <f t="shared" si="33"/>
        <v>0</v>
      </c>
      <c r="K916" s="14"/>
      <c r="L916" s="14"/>
      <c r="M916" s="14"/>
      <c r="N916" s="14">
        <v>200</v>
      </c>
      <c r="O916" s="14">
        <v>200</v>
      </c>
      <c r="P916" s="14"/>
      <c r="Q916" s="14"/>
      <c r="R916" s="14"/>
      <c r="S916" s="14"/>
      <c r="T916" s="14"/>
      <c r="U916" s="14"/>
      <c r="V916" s="14"/>
      <c r="W916" s="15">
        <f t="shared" si="34"/>
        <v>400</v>
      </c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5"/>
      <c r="AK916" s="16"/>
    </row>
    <row r="917" spans="2:37" x14ac:dyDescent="0.2">
      <c r="B917" s="7" t="s">
        <v>122</v>
      </c>
      <c r="C917" s="8">
        <v>11647</v>
      </c>
      <c r="D917" s="9" t="s">
        <v>262</v>
      </c>
      <c r="E917" s="10" t="s">
        <v>263</v>
      </c>
      <c r="F917" s="10" t="s">
        <v>264</v>
      </c>
      <c r="G917" s="8">
        <v>1</v>
      </c>
      <c r="H917" s="11">
        <v>300</v>
      </c>
      <c r="I917" s="12">
        <v>42505</v>
      </c>
      <c r="J917" s="13">
        <f t="shared" si="33"/>
        <v>0</v>
      </c>
      <c r="K917" s="14"/>
      <c r="L917" s="14"/>
      <c r="M917" s="14"/>
      <c r="N917" s="14"/>
      <c r="O917" s="14">
        <v>300</v>
      </c>
      <c r="P917" s="14"/>
      <c r="Q917" s="14"/>
      <c r="R917" s="14"/>
      <c r="S917" s="14"/>
      <c r="T917" s="14"/>
      <c r="U917" s="14"/>
      <c r="V917" s="14"/>
      <c r="W917" s="15">
        <f t="shared" si="34"/>
        <v>300</v>
      </c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5"/>
      <c r="AK917" s="16"/>
    </row>
    <row r="918" spans="2:37" x14ac:dyDescent="0.2">
      <c r="B918" s="7" t="s">
        <v>69</v>
      </c>
      <c r="C918" s="8">
        <v>11648</v>
      </c>
      <c r="D918" s="9" t="s">
        <v>944</v>
      </c>
      <c r="E918" s="10" t="s">
        <v>945</v>
      </c>
      <c r="F918" s="10" t="s">
        <v>946</v>
      </c>
      <c r="G918" s="8">
        <v>3</v>
      </c>
      <c r="H918" s="11">
        <v>160</v>
      </c>
      <c r="I918" s="12">
        <v>42505</v>
      </c>
      <c r="J918" s="13">
        <f t="shared" si="33"/>
        <v>0</v>
      </c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5">
        <f t="shared" si="34"/>
        <v>0</v>
      </c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5"/>
      <c r="AK918" s="16"/>
    </row>
    <row r="919" spans="2:37" x14ac:dyDescent="0.2">
      <c r="B919" s="7" t="s">
        <v>122</v>
      </c>
      <c r="C919" s="8">
        <v>11649</v>
      </c>
      <c r="D919" s="9" t="s">
        <v>637</v>
      </c>
      <c r="E919" s="10" t="s">
        <v>638</v>
      </c>
      <c r="F919" s="10" t="s">
        <v>639</v>
      </c>
      <c r="G919" s="8">
        <v>1</v>
      </c>
      <c r="H919" s="11">
        <v>800</v>
      </c>
      <c r="I919" s="12">
        <v>42505</v>
      </c>
      <c r="J919" s="13">
        <f t="shared" si="33"/>
        <v>0</v>
      </c>
      <c r="K919" s="14"/>
      <c r="L919" s="14"/>
      <c r="M919" s="14"/>
      <c r="N919" s="14">
        <v>400</v>
      </c>
      <c r="O919" s="14">
        <v>400</v>
      </c>
      <c r="P919" s="14"/>
      <c r="Q919" s="14"/>
      <c r="R919" s="14"/>
      <c r="S919" s="14"/>
      <c r="T919" s="14"/>
      <c r="U919" s="14"/>
      <c r="V919" s="14"/>
      <c r="W919" s="15">
        <f t="shared" si="34"/>
        <v>800</v>
      </c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5"/>
      <c r="AK919" s="16"/>
    </row>
    <row r="920" spans="2:37" x14ac:dyDescent="0.2">
      <c r="B920" s="7" t="s">
        <v>47</v>
      </c>
      <c r="C920" s="8">
        <v>11650</v>
      </c>
      <c r="D920" s="9" t="s">
        <v>769</v>
      </c>
      <c r="E920" s="10" t="s">
        <v>770</v>
      </c>
      <c r="F920" s="10" t="s">
        <v>771</v>
      </c>
      <c r="G920" s="8">
        <v>1</v>
      </c>
      <c r="H920" s="11">
        <v>400</v>
      </c>
      <c r="I920" s="12">
        <v>42505</v>
      </c>
      <c r="J920" s="13">
        <f t="shared" si="33"/>
        <v>0</v>
      </c>
      <c r="K920" s="14"/>
      <c r="L920" s="14"/>
      <c r="M920" s="14"/>
      <c r="N920" s="14">
        <v>400</v>
      </c>
      <c r="O920" s="14"/>
      <c r="P920" s="14"/>
      <c r="Q920" s="14"/>
      <c r="R920" s="14"/>
      <c r="S920" s="14"/>
      <c r="T920" s="14"/>
      <c r="U920" s="14"/>
      <c r="V920" s="14"/>
      <c r="W920" s="15">
        <f t="shared" si="34"/>
        <v>400</v>
      </c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5"/>
      <c r="AK920" s="16"/>
    </row>
    <row r="921" spans="2:37" x14ac:dyDescent="0.2">
      <c r="B921" s="7" t="s">
        <v>37</v>
      </c>
      <c r="C921" s="8">
        <v>11651</v>
      </c>
      <c r="D921" s="9" t="s">
        <v>947</v>
      </c>
      <c r="E921" s="10" t="s">
        <v>948</v>
      </c>
      <c r="F921" s="10" t="s">
        <v>949</v>
      </c>
      <c r="G921" s="8">
        <v>1</v>
      </c>
      <c r="H921" s="11">
        <v>400</v>
      </c>
      <c r="I921" s="12">
        <v>42505</v>
      </c>
      <c r="J921" s="13">
        <f t="shared" si="33"/>
        <v>0</v>
      </c>
      <c r="K921" s="14"/>
      <c r="L921" s="14"/>
      <c r="M921" s="14"/>
      <c r="N921" s="14"/>
      <c r="O921" s="14">
        <v>400</v>
      </c>
      <c r="P921" s="14"/>
      <c r="Q921" s="14"/>
      <c r="R921" s="14"/>
      <c r="S921" s="14"/>
      <c r="T921" s="14"/>
      <c r="U921" s="14"/>
      <c r="V921" s="14"/>
      <c r="W921" s="15">
        <f t="shared" si="34"/>
        <v>400</v>
      </c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5"/>
      <c r="AK921" s="16"/>
    </row>
    <row r="922" spans="2:37" x14ac:dyDescent="0.2">
      <c r="B922" s="7" t="s">
        <v>37</v>
      </c>
      <c r="C922" s="8">
        <v>11652</v>
      </c>
      <c r="D922" s="9" t="s">
        <v>947</v>
      </c>
      <c r="E922" s="10" t="s">
        <v>948</v>
      </c>
      <c r="F922" s="10" t="s">
        <v>949</v>
      </c>
      <c r="G922" s="8">
        <v>3</v>
      </c>
      <c r="H922" s="11">
        <v>160</v>
      </c>
      <c r="I922" s="12">
        <v>42505</v>
      </c>
      <c r="J922" s="13">
        <f t="shared" si="33"/>
        <v>0</v>
      </c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5">
        <f t="shared" si="34"/>
        <v>0</v>
      </c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5"/>
      <c r="AK922" s="16"/>
    </row>
    <row r="923" spans="2:37" x14ac:dyDescent="0.2">
      <c r="B923" s="7" t="s">
        <v>47</v>
      </c>
      <c r="C923" s="8">
        <v>11653</v>
      </c>
      <c r="D923" s="9" t="s">
        <v>280</v>
      </c>
      <c r="E923" s="10" t="s">
        <v>281</v>
      </c>
      <c r="F923" s="10" t="s">
        <v>282</v>
      </c>
      <c r="G923" s="8">
        <v>1</v>
      </c>
      <c r="H923" s="11">
        <v>400</v>
      </c>
      <c r="I923" s="12">
        <v>42505</v>
      </c>
      <c r="J923" s="13">
        <f t="shared" si="33"/>
        <v>0</v>
      </c>
      <c r="K923" s="14"/>
      <c r="L923" s="14"/>
      <c r="M923" s="14"/>
      <c r="N923" s="14"/>
      <c r="O923" s="14">
        <v>400</v>
      </c>
      <c r="P923" s="14"/>
      <c r="Q923" s="14"/>
      <c r="R923" s="14"/>
      <c r="S923" s="14"/>
      <c r="T923" s="14"/>
      <c r="U923" s="14"/>
      <c r="V923" s="14"/>
      <c r="W923" s="15">
        <f t="shared" si="34"/>
        <v>400</v>
      </c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5"/>
      <c r="AK923" s="16"/>
    </row>
    <row r="924" spans="2:37" x14ac:dyDescent="0.2">
      <c r="B924" s="7" t="s">
        <v>77</v>
      </c>
      <c r="C924" s="8">
        <v>11654</v>
      </c>
      <c r="D924" s="9" t="s">
        <v>159</v>
      </c>
      <c r="E924" s="10" t="s">
        <v>160</v>
      </c>
      <c r="F924" s="10" t="s">
        <v>161</v>
      </c>
      <c r="G924" s="8">
        <v>1</v>
      </c>
      <c r="H924" s="11">
        <v>400</v>
      </c>
      <c r="I924" s="12">
        <v>42505</v>
      </c>
      <c r="J924" s="13">
        <f t="shared" si="33"/>
        <v>0</v>
      </c>
      <c r="K924" s="14"/>
      <c r="L924" s="14"/>
      <c r="M924" s="14"/>
      <c r="N924" s="14"/>
      <c r="O924" s="14">
        <v>400</v>
      </c>
      <c r="P924" s="14"/>
      <c r="Q924" s="14"/>
      <c r="R924" s="14"/>
      <c r="S924" s="14"/>
      <c r="T924" s="14"/>
      <c r="U924" s="14"/>
      <c r="V924" s="14"/>
      <c r="W924" s="15">
        <f t="shared" si="34"/>
        <v>400</v>
      </c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5"/>
      <c r="AK924" s="16"/>
    </row>
    <row r="925" spans="2:37" x14ac:dyDescent="0.2">
      <c r="B925" s="7" t="s">
        <v>73</v>
      </c>
      <c r="C925" s="8">
        <v>11655</v>
      </c>
      <c r="D925" s="9" t="s">
        <v>728</v>
      </c>
      <c r="E925" s="10" t="s">
        <v>729</v>
      </c>
      <c r="F925" s="10" t="s">
        <v>730</v>
      </c>
      <c r="G925" s="8">
        <v>1</v>
      </c>
      <c r="H925" s="11">
        <v>1200</v>
      </c>
      <c r="I925" s="12">
        <v>42505</v>
      </c>
      <c r="J925" s="13">
        <f t="shared" si="33"/>
        <v>0</v>
      </c>
      <c r="K925" s="14"/>
      <c r="L925" s="14">
        <v>400</v>
      </c>
      <c r="M925" s="14">
        <v>400</v>
      </c>
      <c r="N925" s="14">
        <v>400</v>
      </c>
      <c r="O925" s="14"/>
      <c r="P925" s="14"/>
      <c r="Q925" s="14"/>
      <c r="R925" s="14"/>
      <c r="S925" s="14"/>
      <c r="T925" s="14"/>
      <c r="U925" s="14"/>
      <c r="V925" s="14"/>
      <c r="W925" s="15">
        <f t="shared" si="34"/>
        <v>1200</v>
      </c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5"/>
      <c r="AK925" s="16"/>
    </row>
    <row r="926" spans="2:37" x14ac:dyDescent="0.2">
      <c r="B926" s="7" t="s">
        <v>69</v>
      </c>
      <c r="C926" s="8">
        <v>11656</v>
      </c>
      <c r="D926" s="9" t="s">
        <v>678</v>
      </c>
      <c r="E926" s="10" t="s">
        <v>679</v>
      </c>
      <c r="F926" s="10" t="s">
        <v>680</v>
      </c>
      <c r="G926" s="8">
        <v>4</v>
      </c>
      <c r="H926" s="11">
        <v>160</v>
      </c>
      <c r="I926" s="12">
        <v>42505</v>
      </c>
      <c r="J926" s="13">
        <f t="shared" si="33"/>
        <v>0</v>
      </c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5">
        <f t="shared" si="34"/>
        <v>0</v>
      </c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5"/>
      <c r="AK926" s="7">
        <v>19173</v>
      </c>
    </row>
    <row r="927" spans="2:37" x14ac:dyDescent="0.2">
      <c r="B927" s="7" t="s">
        <v>73</v>
      </c>
      <c r="C927" s="8">
        <v>11657</v>
      </c>
      <c r="D927" s="9" t="s">
        <v>649</v>
      </c>
      <c r="E927" s="10" t="s">
        <v>650</v>
      </c>
      <c r="F927" s="10" t="s">
        <v>651</v>
      </c>
      <c r="G927" s="8">
        <v>1</v>
      </c>
      <c r="H927" s="11">
        <v>600</v>
      </c>
      <c r="I927" s="12">
        <v>42505</v>
      </c>
      <c r="J927" s="13">
        <f t="shared" si="33"/>
        <v>0</v>
      </c>
      <c r="K927" s="14"/>
      <c r="L927" s="14"/>
      <c r="M927" s="14"/>
      <c r="N927" s="14">
        <v>300</v>
      </c>
      <c r="O927" s="14">
        <v>300</v>
      </c>
      <c r="P927" s="14"/>
      <c r="Q927" s="14"/>
      <c r="R927" s="14"/>
      <c r="S927" s="14"/>
      <c r="T927" s="14"/>
      <c r="U927" s="14"/>
      <c r="V927" s="14"/>
      <c r="W927" s="15">
        <f t="shared" si="34"/>
        <v>600</v>
      </c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5"/>
      <c r="AK927" s="16"/>
    </row>
    <row r="928" spans="2:37" x14ac:dyDescent="0.2">
      <c r="B928" s="7" t="s">
        <v>37</v>
      </c>
      <c r="C928" s="8">
        <v>11658</v>
      </c>
      <c r="D928" s="9" t="s">
        <v>840</v>
      </c>
      <c r="E928" s="10" t="s">
        <v>841</v>
      </c>
      <c r="F928" s="10" t="s">
        <v>842</v>
      </c>
      <c r="G928" s="8">
        <v>1</v>
      </c>
      <c r="H928" s="11">
        <v>400</v>
      </c>
      <c r="I928" s="12">
        <v>42505</v>
      </c>
      <c r="J928" s="13">
        <f t="shared" si="33"/>
        <v>0</v>
      </c>
      <c r="K928" s="14"/>
      <c r="L928" s="14"/>
      <c r="M928" s="14"/>
      <c r="N928" s="14"/>
      <c r="O928" s="14">
        <v>400</v>
      </c>
      <c r="P928" s="14"/>
      <c r="Q928" s="14"/>
      <c r="R928" s="14"/>
      <c r="S928" s="14"/>
      <c r="T928" s="14"/>
      <c r="U928" s="14"/>
      <c r="V928" s="14"/>
      <c r="W928" s="15">
        <f t="shared" si="34"/>
        <v>400</v>
      </c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5"/>
      <c r="AK928" s="16"/>
    </row>
    <row r="929" spans="2:38" x14ac:dyDescent="0.2">
      <c r="B929" s="7" t="s">
        <v>47</v>
      </c>
      <c r="C929" s="8">
        <v>11659</v>
      </c>
      <c r="D929" s="9" t="s">
        <v>132</v>
      </c>
      <c r="E929" s="10" t="s">
        <v>133</v>
      </c>
      <c r="F929" s="10" t="s">
        <v>134</v>
      </c>
      <c r="G929" s="8">
        <v>1</v>
      </c>
      <c r="H929" s="11">
        <v>300</v>
      </c>
      <c r="I929" s="12">
        <v>42505</v>
      </c>
      <c r="J929" s="13">
        <f t="shared" si="33"/>
        <v>0</v>
      </c>
      <c r="K929" s="14"/>
      <c r="L929" s="14"/>
      <c r="M929" s="14">
        <v>300</v>
      </c>
      <c r="N929" s="14"/>
      <c r="O929" s="14"/>
      <c r="P929" s="14"/>
      <c r="Q929" s="14"/>
      <c r="R929" s="14"/>
      <c r="S929" s="14"/>
      <c r="T929" s="14"/>
      <c r="U929" s="14"/>
      <c r="V929" s="14"/>
      <c r="W929" s="15">
        <f t="shared" si="34"/>
        <v>300</v>
      </c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5"/>
      <c r="AK929" s="16"/>
    </row>
    <row r="930" spans="2:38" x14ac:dyDescent="0.2">
      <c r="B930" s="7" t="s">
        <v>47</v>
      </c>
      <c r="C930" s="8">
        <v>11660</v>
      </c>
      <c r="D930" s="9" t="s">
        <v>132</v>
      </c>
      <c r="E930" s="10" t="s">
        <v>133</v>
      </c>
      <c r="F930" s="10" t="s">
        <v>134</v>
      </c>
      <c r="G930" s="8">
        <v>1</v>
      </c>
      <c r="H930" s="11">
        <v>300</v>
      </c>
      <c r="I930" s="12">
        <v>42505</v>
      </c>
      <c r="J930" s="13">
        <f t="shared" si="33"/>
        <v>0</v>
      </c>
      <c r="K930" s="14"/>
      <c r="L930" s="14"/>
      <c r="M930" s="14"/>
      <c r="N930" s="14"/>
      <c r="O930" s="14">
        <v>300</v>
      </c>
      <c r="P930" s="14"/>
      <c r="Q930" s="14"/>
      <c r="R930" s="14"/>
      <c r="S930" s="14"/>
      <c r="T930" s="14"/>
      <c r="U930" s="14"/>
      <c r="V930" s="14"/>
      <c r="W930" s="15">
        <f t="shared" si="34"/>
        <v>300</v>
      </c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  <c r="AJ930" s="15"/>
      <c r="AK930" s="16"/>
    </row>
    <row r="931" spans="2:38" x14ac:dyDescent="0.2">
      <c r="B931" s="7" t="s">
        <v>73</v>
      </c>
      <c r="C931" s="8">
        <v>11661</v>
      </c>
      <c r="D931" s="9" t="s">
        <v>672</v>
      </c>
      <c r="E931" s="10" t="s">
        <v>673</v>
      </c>
      <c r="F931" s="10" t="s">
        <v>674</v>
      </c>
      <c r="G931" s="8">
        <v>1</v>
      </c>
      <c r="H931" s="11">
        <v>600</v>
      </c>
      <c r="I931" s="12">
        <v>42505</v>
      </c>
      <c r="J931" s="13">
        <f t="shared" si="33"/>
        <v>0</v>
      </c>
      <c r="K931" s="14"/>
      <c r="L931" s="14"/>
      <c r="M931" s="14">
        <v>200</v>
      </c>
      <c r="N931" s="14">
        <v>200</v>
      </c>
      <c r="O931" s="14">
        <v>200</v>
      </c>
      <c r="P931" s="14"/>
      <c r="Q931" s="14"/>
      <c r="R931" s="14"/>
      <c r="S931" s="14"/>
      <c r="T931" s="14"/>
      <c r="U931" s="14"/>
      <c r="V931" s="14"/>
      <c r="W931" s="15">
        <f t="shared" si="34"/>
        <v>600</v>
      </c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  <c r="AJ931" s="15"/>
      <c r="AK931" s="16"/>
    </row>
    <row r="932" spans="2:38" x14ac:dyDescent="0.2">
      <c r="B932" s="7" t="s">
        <v>47</v>
      </c>
      <c r="C932" s="8">
        <v>11662</v>
      </c>
      <c r="D932" s="9" t="s">
        <v>328</v>
      </c>
      <c r="E932" s="10" t="s">
        <v>329</v>
      </c>
      <c r="F932" s="10" t="s">
        <v>330</v>
      </c>
      <c r="G932" s="8">
        <v>1</v>
      </c>
      <c r="H932" s="11">
        <v>400</v>
      </c>
      <c r="I932" s="12">
        <v>42505</v>
      </c>
      <c r="J932" s="13">
        <f t="shared" si="33"/>
        <v>0</v>
      </c>
      <c r="K932" s="14"/>
      <c r="L932" s="14"/>
      <c r="M932" s="14"/>
      <c r="N932" s="14"/>
      <c r="O932" s="14">
        <v>400</v>
      </c>
      <c r="P932" s="14"/>
      <c r="Q932" s="14"/>
      <c r="R932" s="14"/>
      <c r="S932" s="14"/>
      <c r="T932" s="14"/>
      <c r="U932" s="14"/>
      <c r="V932" s="14"/>
      <c r="W932" s="15">
        <f t="shared" si="34"/>
        <v>400</v>
      </c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  <c r="AJ932" s="15"/>
      <c r="AK932" s="16"/>
    </row>
    <row r="933" spans="2:38" x14ac:dyDescent="0.2">
      <c r="B933" s="7" t="s">
        <v>69</v>
      </c>
      <c r="C933" s="8">
        <v>11663</v>
      </c>
      <c r="D933" s="9" t="s">
        <v>868</v>
      </c>
      <c r="E933" s="10" t="s">
        <v>869</v>
      </c>
      <c r="F933" s="10" t="s">
        <v>870</v>
      </c>
      <c r="G933" s="8">
        <v>1</v>
      </c>
      <c r="H933" s="11">
        <v>1200</v>
      </c>
      <c r="I933" s="12">
        <v>42505</v>
      </c>
      <c r="J933" s="13">
        <f t="shared" si="33"/>
        <v>0</v>
      </c>
      <c r="K933" s="14"/>
      <c r="L933" s="14"/>
      <c r="M933" s="14"/>
      <c r="N933" s="14">
        <v>400</v>
      </c>
      <c r="O933" s="14">
        <v>400</v>
      </c>
      <c r="P933" s="14">
        <v>400</v>
      </c>
      <c r="Q933" s="14"/>
      <c r="R933" s="14"/>
      <c r="S933" s="14"/>
      <c r="T933" s="14"/>
      <c r="U933" s="14"/>
      <c r="V933" s="14"/>
      <c r="W933" s="15">
        <f t="shared" si="34"/>
        <v>1200</v>
      </c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5"/>
      <c r="AK933" s="16"/>
    </row>
    <row r="934" spans="2:38" x14ac:dyDescent="0.2">
      <c r="B934" s="7" t="s">
        <v>69</v>
      </c>
      <c r="C934" s="8">
        <v>11664</v>
      </c>
      <c r="D934" s="9" t="s">
        <v>868</v>
      </c>
      <c r="E934" s="10" t="s">
        <v>869</v>
      </c>
      <c r="F934" s="10" t="s">
        <v>870</v>
      </c>
      <c r="G934" s="8">
        <v>4</v>
      </c>
      <c r="H934" s="11">
        <v>160</v>
      </c>
      <c r="I934" s="12">
        <v>42505</v>
      </c>
      <c r="J934" s="13">
        <f t="shared" si="33"/>
        <v>0</v>
      </c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5">
        <f t="shared" si="34"/>
        <v>0</v>
      </c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  <c r="AJ934" s="15"/>
      <c r="AK934" s="7">
        <v>8411</v>
      </c>
    </row>
    <row r="935" spans="2:38" x14ac:dyDescent="0.2">
      <c r="B935" s="7" t="s">
        <v>69</v>
      </c>
      <c r="C935" s="8">
        <v>11665</v>
      </c>
      <c r="D935" s="9" t="s">
        <v>562</v>
      </c>
      <c r="E935" s="10" t="s">
        <v>563</v>
      </c>
      <c r="F935" s="10" t="s">
        <v>564</v>
      </c>
      <c r="G935" s="8">
        <v>1</v>
      </c>
      <c r="H935" s="11">
        <v>800</v>
      </c>
      <c r="I935" s="12">
        <v>42505</v>
      </c>
      <c r="J935" s="13">
        <f t="shared" si="33"/>
        <v>0</v>
      </c>
      <c r="K935" s="14"/>
      <c r="L935" s="14"/>
      <c r="M935" s="14"/>
      <c r="N935" s="14">
        <v>400</v>
      </c>
      <c r="O935" s="14">
        <v>400</v>
      </c>
      <c r="P935" s="14"/>
      <c r="Q935" s="14"/>
      <c r="R935" s="14"/>
      <c r="S935" s="14"/>
      <c r="T935" s="14"/>
      <c r="U935" s="14"/>
      <c r="V935" s="14"/>
      <c r="W935" s="15">
        <f t="shared" si="34"/>
        <v>800</v>
      </c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5"/>
      <c r="AK935" s="16"/>
    </row>
    <row r="936" spans="2:38" x14ac:dyDescent="0.2">
      <c r="B936" s="7" t="s">
        <v>69</v>
      </c>
      <c r="C936" s="8">
        <v>11666</v>
      </c>
      <c r="D936" s="9" t="s">
        <v>461</v>
      </c>
      <c r="E936" s="10" t="s">
        <v>462</v>
      </c>
      <c r="F936" s="10" t="s">
        <v>463</v>
      </c>
      <c r="G936" s="8">
        <v>1</v>
      </c>
      <c r="H936" s="11">
        <v>400</v>
      </c>
      <c r="I936" s="12">
        <v>42505</v>
      </c>
      <c r="J936" s="13">
        <f t="shared" si="33"/>
        <v>0</v>
      </c>
      <c r="K936" s="14"/>
      <c r="L936" s="14"/>
      <c r="M936" s="14"/>
      <c r="N936" s="14">
        <v>400</v>
      </c>
      <c r="O936" s="14"/>
      <c r="P936" s="14"/>
      <c r="Q936" s="14"/>
      <c r="R936" s="14"/>
      <c r="S936" s="14"/>
      <c r="T936" s="14"/>
      <c r="U936" s="14"/>
      <c r="V936" s="14"/>
      <c r="W936" s="15">
        <f t="shared" si="34"/>
        <v>400</v>
      </c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5"/>
      <c r="AK936" s="16"/>
    </row>
    <row r="937" spans="2:38" x14ac:dyDescent="0.2">
      <c r="B937" s="7" t="s">
        <v>77</v>
      </c>
      <c r="C937" s="8">
        <v>11667</v>
      </c>
      <c r="D937" s="9" t="s">
        <v>156</v>
      </c>
      <c r="E937" s="10" t="s">
        <v>157</v>
      </c>
      <c r="F937" s="10" t="s">
        <v>158</v>
      </c>
      <c r="G937" s="8">
        <v>1</v>
      </c>
      <c r="H937" s="11">
        <v>300</v>
      </c>
      <c r="I937" s="12">
        <v>42505</v>
      </c>
      <c r="J937" s="13">
        <f t="shared" si="33"/>
        <v>0</v>
      </c>
      <c r="K937" s="14"/>
      <c r="L937" s="14"/>
      <c r="M937" s="14"/>
      <c r="N937" s="14"/>
      <c r="O937" s="14">
        <v>300</v>
      </c>
      <c r="P937" s="14"/>
      <c r="Q937" s="14"/>
      <c r="R937" s="14"/>
      <c r="S937" s="14"/>
      <c r="T937" s="14"/>
      <c r="U937" s="14"/>
      <c r="V937" s="14"/>
      <c r="W937" s="15">
        <f t="shared" si="34"/>
        <v>300</v>
      </c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5"/>
      <c r="AK937" s="16"/>
    </row>
    <row r="938" spans="2:38" x14ac:dyDescent="0.2">
      <c r="B938" s="7" t="s">
        <v>47</v>
      </c>
      <c r="C938" s="8">
        <v>11668</v>
      </c>
      <c r="D938" s="9" t="s">
        <v>772</v>
      </c>
      <c r="E938" s="10" t="s">
        <v>773</v>
      </c>
      <c r="F938" s="10" t="s">
        <v>237</v>
      </c>
      <c r="G938" s="8">
        <v>1</v>
      </c>
      <c r="H938" s="11">
        <v>800</v>
      </c>
      <c r="I938" s="12">
        <v>42505</v>
      </c>
      <c r="J938" s="13">
        <f t="shared" si="33"/>
        <v>0</v>
      </c>
      <c r="K938" s="14"/>
      <c r="L938" s="14"/>
      <c r="M938" s="14">
        <v>200</v>
      </c>
      <c r="N938" s="14">
        <v>200</v>
      </c>
      <c r="O938" s="14">
        <v>200</v>
      </c>
      <c r="P938" s="14">
        <v>200</v>
      </c>
      <c r="Q938" s="14"/>
      <c r="R938" s="14"/>
      <c r="S938" s="14"/>
      <c r="T938" s="14"/>
      <c r="U938" s="14"/>
      <c r="V938" s="14"/>
      <c r="W938" s="15">
        <f t="shared" si="34"/>
        <v>800</v>
      </c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  <c r="AJ938" s="15"/>
      <c r="AK938" s="16"/>
    </row>
    <row r="939" spans="2:38" x14ac:dyDescent="0.2">
      <c r="B939" s="7" t="s">
        <v>47</v>
      </c>
      <c r="C939" s="8">
        <v>11668</v>
      </c>
      <c r="D939" s="9" t="s">
        <v>772</v>
      </c>
      <c r="E939" s="10" t="s">
        <v>773</v>
      </c>
      <c r="F939" s="10" t="s">
        <v>237</v>
      </c>
      <c r="G939" s="8">
        <v>4</v>
      </c>
      <c r="H939" s="11">
        <v>160</v>
      </c>
      <c r="I939" s="12">
        <v>42505</v>
      </c>
      <c r="J939" s="13">
        <f t="shared" si="33"/>
        <v>0</v>
      </c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5">
        <f t="shared" si="34"/>
        <v>0</v>
      </c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5"/>
      <c r="AK939" s="7">
        <v>8413</v>
      </c>
    </row>
    <row r="940" spans="2:38" x14ac:dyDescent="0.2">
      <c r="B940" s="7" t="s">
        <v>37</v>
      </c>
      <c r="C940" s="8">
        <v>11669</v>
      </c>
      <c r="D940" s="9" t="s">
        <v>708</v>
      </c>
      <c r="E940" s="10" t="s">
        <v>709</v>
      </c>
      <c r="F940" s="10" t="s">
        <v>710</v>
      </c>
      <c r="G940" s="8">
        <v>1</v>
      </c>
      <c r="H940" s="11">
        <v>400</v>
      </c>
      <c r="I940" s="12">
        <v>42505</v>
      </c>
      <c r="J940" s="13">
        <f t="shared" si="33"/>
        <v>0</v>
      </c>
      <c r="K940" s="14"/>
      <c r="L940" s="14"/>
      <c r="M940" s="14"/>
      <c r="N940" s="14"/>
      <c r="O940" s="14">
        <v>400</v>
      </c>
      <c r="P940" s="14"/>
      <c r="Q940" s="14"/>
      <c r="R940" s="14"/>
      <c r="S940" s="14"/>
      <c r="T940" s="14"/>
      <c r="U940" s="14"/>
      <c r="V940" s="14"/>
      <c r="W940" s="15">
        <f t="shared" si="34"/>
        <v>400</v>
      </c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  <c r="AJ940" s="15"/>
      <c r="AK940" s="16"/>
    </row>
    <row r="941" spans="2:38" x14ac:dyDescent="0.2">
      <c r="B941" s="7" t="s">
        <v>37</v>
      </c>
      <c r="C941" s="8">
        <v>11669</v>
      </c>
      <c r="D941" s="9" t="s">
        <v>708</v>
      </c>
      <c r="E941" s="10" t="s">
        <v>709</v>
      </c>
      <c r="F941" s="10" t="s">
        <v>710</v>
      </c>
      <c r="G941" s="8">
        <v>4</v>
      </c>
      <c r="H941" s="11">
        <v>160</v>
      </c>
      <c r="I941" s="12">
        <v>42505</v>
      </c>
      <c r="J941" s="13">
        <f t="shared" si="33"/>
        <v>0</v>
      </c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5">
        <f t="shared" si="34"/>
        <v>0</v>
      </c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5"/>
      <c r="AK941" s="7">
        <v>19174</v>
      </c>
    </row>
    <row r="942" spans="2:38" x14ac:dyDescent="0.2">
      <c r="B942" s="7" t="s">
        <v>47</v>
      </c>
      <c r="C942" s="8">
        <v>11670</v>
      </c>
      <c r="D942" s="9" t="s">
        <v>950</v>
      </c>
      <c r="E942" s="10" t="s">
        <v>951</v>
      </c>
      <c r="F942" s="10" t="s">
        <v>952</v>
      </c>
      <c r="G942" s="8">
        <v>4</v>
      </c>
      <c r="H942" s="321">
        <v>160</v>
      </c>
      <c r="I942" s="12">
        <v>42505</v>
      </c>
      <c r="J942" s="13">
        <f t="shared" si="33"/>
        <v>0</v>
      </c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5">
        <f t="shared" si="34"/>
        <v>0</v>
      </c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  <c r="AJ942" s="15"/>
      <c r="AK942" s="7">
        <v>19182</v>
      </c>
      <c r="AL942" s="113">
        <f>SUM(H902:H942)</f>
        <v>18160</v>
      </c>
    </row>
    <row r="943" spans="2:38" x14ac:dyDescent="0.2">
      <c r="B943" s="7" t="s">
        <v>37</v>
      </c>
      <c r="C943" s="8">
        <v>11671</v>
      </c>
      <c r="D943" s="9" t="s">
        <v>58</v>
      </c>
      <c r="E943" s="10" t="s">
        <v>59</v>
      </c>
      <c r="F943" s="10" t="s">
        <v>60</v>
      </c>
      <c r="G943" s="8">
        <v>1</v>
      </c>
      <c r="H943" s="11">
        <v>900</v>
      </c>
      <c r="I943" s="12">
        <v>42506</v>
      </c>
      <c r="J943" s="13">
        <f t="shared" si="33"/>
        <v>0</v>
      </c>
      <c r="K943" s="14"/>
      <c r="L943" s="14"/>
      <c r="M943" s="14">
        <v>300</v>
      </c>
      <c r="N943" s="14">
        <v>300</v>
      </c>
      <c r="O943" s="14">
        <v>300</v>
      </c>
      <c r="P943" s="14"/>
      <c r="Q943" s="14"/>
      <c r="R943" s="14"/>
      <c r="S943" s="14"/>
      <c r="T943" s="14"/>
      <c r="U943" s="14"/>
      <c r="V943" s="14"/>
      <c r="W943" s="15">
        <f t="shared" si="34"/>
        <v>900</v>
      </c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5"/>
      <c r="AK943" s="16"/>
    </row>
    <row r="944" spans="2:38" x14ac:dyDescent="0.2">
      <c r="B944" s="7" t="s">
        <v>122</v>
      </c>
      <c r="C944" s="8">
        <v>11672</v>
      </c>
      <c r="D944" s="9" t="s">
        <v>220</v>
      </c>
      <c r="E944" s="10" t="s">
        <v>221</v>
      </c>
      <c r="F944" s="10" t="s">
        <v>222</v>
      </c>
      <c r="G944" s="8">
        <v>1</v>
      </c>
      <c r="H944" s="11">
        <v>300</v>
      </c>
      <c r="I944" s="12">
        <v>42507</v>
      </c>
      <c r="J944" s="13">
        <f t="shared" si="33"/>
        <v>0</v>
      </c>
      <c r="K944" s="14"/>
      <c r="L944" s="14"/>
      <c r="M944" s="14"/>
      <c r="N944" s="14"/>
      <c r="O944" s="14">
        <v>300</v>
      </c>
      <c r="P944" s="14"/>
      <c r="Q944" s="14"/>
      <c r="R944" s="14"/>
      <c r="S944" s="14"/>
      <c r="T944" s="14"/>
      <c r="U944" s="14"/>
      <c r="V944" s="14"/>
      <c r="W944" s="15">
        <f t="shared" si="34"/>
        <v>300</v>
      </c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5"/>
      <c r="AK944" s="16"/>
    </row>
    <row r="945" spans="2:37" x14ac:dyDescent="0.2">
      <c r="B945" s="7" t="s">
        <v>122</v>
      </c>
      <c r="C945" s="8">
        <v>11673</v>
      </c>
      <c r="D945" s="9" t="s">
        <v>220</v>
      </c>
      <c r="E945" s="10" t="s">
        <v>221</v>
      </c>
      <c r="F945" s="10" t="s">
        <v>222</v>
      </c>
      <c r="G945" s="8">
        <v>1</v>
      </c>
      <c r="H945" s="11">
        <v>300</v>
      </c>
      <c r="I945" s="12">
        <v>42506</v>
      </c>
      <c r="J945" s="13">
        <f t="shared" si="33"/>
        <v>0</v>
      </c>
      <c r="K945" s="14"/>
      <c r="L945" s="14"/>
      <c r="M945" s="14"/>
      <c r="N945" s="14">
        <v>300</v>
      </c>
      <c r="O945" s="14"/>
      <c r="P945" s="14"/>
      <c r="Q945" s="14"/>
      <c r="R945" s="14"/>
      <c r="S945" s="14"/>
      <c r="T945" s="14"/>
      <c r="U945" s="14"/>
      <c r="V945" s="14"/>
      <c r="W945" s="15">
        <f t="shared" si="34"/>
        <v>300</v>
      </c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5"/>
      <c r="AK945" s="16"/>
    </row>
    <row r="946" spans="2:37" x14ac:dyDescent="0.2">
      <c r="B946" s="7" t="s">
        <v>122</v>
      </c>
      <c r="C946" s="8">
        <v>11673</v>
      </c>
      <c r="D946" s="9" t="s">
        <v>220</v>
      </c>
      <c r="E946" s="10" t="s">
        <v>221</v>
      </c>
      <c r="F946" s="10" t="s">
        <v>222</v>
      </c>
      <c r="G946" s="8">
        <v>4</v>
      </c>
      <c r="H946" s="11">
        <v>160</v>
      </c>
      <c r="I946" s="12">
        <v>42506</v>
      </c>
      <c r="J946" s="13">
        <f t="shared" si="33"/>
        <v>0</v>
      </c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5">
        <f t="shared" si="34"/>
        <v>0</v>
      </c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  <c r="AJ946" s="15"/>
      <c r="AK946" s="7">
        <v>19171</v>
      </c>
    </row>
    <row r="947" spans="2:37" x14ac:dyDescent="0.2">
      <c r="B947" s="7" t="s">
        <v>122</v>
      </c>
      <c r="C947" s="8">
        <v>11674</v>
      </c>
      <c r="D947" s="9" t="s">
        <v>331</v>
      </c>
      <c r="E947" s="10" t="s">
        <v>332</v>
      </c>
      <c r="F947" s="10" t="s">
        <v>333</v>
      </c>
      <c r="G947" s="8">
        <v>1</v>
      </c>
      <c r="H947" s="11">
        <v>400</v>
      </c>
      <c r="I947" s="12">
        <v>42508</v>
      </c>
      <c r="J947" s="13">
        <f t="shared" si="33"/>
        <v>0</v>
      </c>
      <c r="K947" s="14"/>
      <c r="L947" s="14"/>
      <c r="M947" s="14"/>
      <c r="N947" s="14"/>
      <c r="O947" s="14">
        <v>400</v>
      </c>
      <c r="P947" s="14"/>
      <c r="Q947" s="14"/>
      <c r="R947" s="14"/>
      <c r="S947" s="14"/>
      <c r="T947" s="14"/>
      <c r="U947" s="14"/>
      <c r="V947" s="14"/>
      <c r="W947" s="15">
        <f t="shared" si="34"/>
        <v>400</v>
      </c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  <c r="AJ947" s="15"/>
      <c r="AK947" s="16"/>
    </row>
    <row r="948" spans="2:37" x14ac:dyDescent="0.2">
      <c r="B948" s="7" t="s">
        <v>73</v>
      </c>
      <c r="C948" s="8">
        <v>11675</v>
      </c>
      <c r="D948" s="9" t="s">
        <v>199</v>
      </c>
      <c r="E948" s="10" t="s">
        <v>200</v>
      </c>
      <c r="F948" s="10" t="s">
        <v>201</v>
      </c>
      <c r="G948" s="8">
        <v>1</v>
      </c>
      <c r="H948" s="11">
        <v>400</v>
      </c>
      <c r="I948" s="12">
        <v>42509</v>
      </c>
      <c r="J948" s="13">
        <f t="shared" si="33"/>
        <v>0</v>
      </c>
      <c r="K948" s="14"/>
      <c r="L948" s="14"/>
      <c r="M948" s="14"/>
      <c r="N948" s="14">
        <v>400</v>
      </c>
      <c r="O948" s="14"/>
      <c r="P948" s="14"/>
      <c r="Q948" s="14"/>
      <c r="R948" s="14"/>
      <c r="S948" s="14"/>
      <c r="T948" s="14"/>
      <c r="U948" s="14"/>
      <c r="V948" s="14"/>
      <c r="W948" s="15">
        <f t="shared" si="34"/>
        <v>400</v>
      </c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  <c r="AJ948" s="15"/>
      <c r="AK948" s="16"/>
    </row>
    <row r="949" spans="2:37" x14ac:dyDescent="0.2">
      <c r="B949" s="7" t="s">
        <v>37</v>
      </c>
      <c r="C949" s="8">
        <v>11676</v>
      </c>
      <c r="D949" s="9" t="s">
        <v>94</v>
      </c>
      <c r="E949" s="10" t="s">
        <v>95</v>
      </c>
      <c r="F949" s="10" t="s">
        <v>96</v>
      </c>
      <c r="G949" s="8">
        <v>3</v>
      </c>
      <c r="H949" s="11">
        <v>160</v>
      </c>
      <c r="I949" s="12">
        <v>42510</v>
      </c>
      <c r="J949" s="13">
        <f t="shared" si="33"/>
        <v>0</v>
      </c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5">
        <f t="shared" si="34"/>
        <v>0</v>
      </c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5"/>
      <c r="AK949" s="16"/>
    </row>
    <row r="950" spans="2:37" x14ac:dyDescent="0.2">
      <c r="B950" s="7" t="s">
        <v>37</v>
      </c>
      <c r="C950" s="8">
        <v>11677</v>
      </c>
      <c r="D950" s="9" t="s">
        <v>494</v>
      </c>
      <c r="E950" s="10" t="s">
        <v>495</v>
      </c>
      <c r="F950" s="10" t="s">
        <v>496</v>
      </c>
      <c r="G950" s="8">
        <v>1</v>
      </c>
      <c r="H950" s="11">
        <v>300</v>
      </c>
      <c r="I950" s="12">
        <v>42510</v>
      </c>
      <c r="J950" s="13">
        <f t="shared" si="33"/>
        <v>0</v>
      </c>
      <c r="K950" s="14"/>
      <c r="L950" s="14"/>
      <c r="M950" s="14"/>
      <c r="N950" s="14">
        <v>150</v>
      </c>
      <c r="O950" s="14">
        <v>150</v>
      </c>
      <c r="P950" s="14"/>
      <c r="Q950" s="14"/>
      <c r="R950" s="14"/>
      <c r="S950" s="14"/>
      <c r="T950" s="14"/>
      <c r="U950" s="14"/>
      <c r="V950" s="14"/>
      <c r="W950" s="15">
        <f t="shared" si="34"/>
        <v>300</v>
      </c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5"/>
      <c r="AK950" s="16"/>
    </row>
    <row r="951" spans="2:37" x14ac:dyDescent="0.2">
      <c r="B951" s="7" t="s">
        <v>73</v>
      </c>
      <c r="C951" s="8">
        <v>11678</v>
      </c>
      <c r="D951" s="9" t="s">
        <v>598</v>
      </c>
      <c r="E951" s="10" t="s">
        <v>599</v>
      </c>
      <c r="F951" s="10" t="s">
        <v>886</v>
      </c>
      <c r="G951" s="8">
        <v>1</v>
      </c>
      <c r="H951" s="11">
        <v>400</v>
      </c>
      <c r="I951" s="12">
        <v>42511</v>
      </c>
      <c r="J951" s="13">
        <f t="shared" si="33"/>
        <v>0</v>
      </c>
      <c r="K951" s="14"/>
      <c r="L951" s="14"/>
      <c r="M951" s="14"/>
      <c r="N951" s="14"/>
      <c r="O951" s="14">
        <v>400</v>
      </c>
      <c r="P951" s="14"/>
      <c r="Q951" s="14"/>
      <c r="R951" s="14"/>
      <c r="S951" s="14"/>
      <c r="T951" s="14"/>
      <c r="U951" s="14"/>
      <c r="V951" s="14"/>
      <c r="W951" s="15">
        <f t="shared" si="34"/>
        <v>400</v>
      </c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  <c r="AJ951" s="15"/>
      <c r="AK951" s="16"/>
    </row>
    <row r="952" spans="2:37" x14ac:dyDescent="0.2">
      <c r="B952" s="7" t="s">
        <v>73</v>
      </c>
      <c r="C952" s="8">
        <v>11678</v>
      </c>
      <c r="D952" s="9" t="s">
        <v>598</v>
      </c>
      <c r="E952" s="10" t="s">
        <v>599</v>
      </c>
      <c r="F952" s="10" t="s">
        <v>886</v>
      </c>
      <c r="G952" s="8">
        <v>3</v>
      </c>
      <c r="H952" s="11">
        <v>480</v>
      </c>
      <c r="I952" s="12">
        <v>42511</v>
      </c>
      <c r="J952" s="13">
        <f t="shared" si="33"/>
        <v>0</v>
      </c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5">
        <f t="shared" si="34"/>
        <v>0</v>
      </c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  <c r="AJ952" s="15"/>
      <c r="AK952" s="16"/>
    </row>
    <row r="953" spans="2:37" x14ac:dyDescent="0.2">
      <c r="B953" s="7" t="s">
        <v>73</v>
      </c>
      <c r="C953" s="8">
        <v>11678</v>
      </c>
      <c r="D953" s="9" t="s">
        <v>598</v>
      </c>
      <c r="E953" s="10" t="s">
        <v>599</v>
      </c>
      <c r="F953" s="10" t="s">
        <v>886</v>
      </c>
      <c r="G953" s="8">
        <v>4</v>
      </c>
      <c r="H953" s="11">
        <v>800</v>
      </c>
      <c r="I953" s="12">
        <v>42511</v>
      </c>
      <c r="J953" s="13">
        <f t="shared" si="33"/>
        <v>0</v>
      </c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5">
        <f t="shared" si="34"/>
        <v>0</v>
      </c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  <c r="AJ953" s="15"/>
      <c r="AK953" s="16" t="s">
        <v>953</v>
      </c>
    </row>
    <row r="954" spans="2:37" x14ac:dyDescent="0.2">
      <c r="B954" s="7" t="s">
        <v>37</v>
      </c>
      <c r="C954" s="8">
        <v>11679</v>
      </c>
      <c r="D954" s="9" t="s">
        <v>954</v>
      </c>
      <c r="E954" s="10" t="s">
        <v>955</v>
      </c>
      <c r="F954" s="10" t="s">
        <v>956</v>
      </c>
      <c r="G954" s="8">
        <v>1</v>
      </c>
      <c r="H954" s="11">
        <v>800</v>
      </c>
      <c r="I954" s="12">
        <v>42511</v>
      </c>
      <c r="J954" s="13">
        <f t="shared" si="33"/>
        <v>0</v>
      </c>
      <c r="K954" s="14"/>
      <c r="L954" s="14"/>
      <c r="M954" s="14"/>
      <c r="N954" s="14"/>
      <c r="O954" s="14">
        <v>400</v>
      </c>
      <c r="P954" s="14">
        <v>400</v>
      </c>
      <c r="Q954" s="14"/>
      <c r="R954" s="14"/>
      <c r="S954" s="14"/>
      <c r="T954" s="14"/>
      <c r="U954" s="14"/>
      <c r="V954" s="14"/>
      <c r="W954" s="15">
        <f t="shared" si="34"/>
        <v>800</v>
      </c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  <c r="AJ954" s="15"/>
      <c r="AK954" s="16"/>
    </row>
    <row r="955" spans="2:37" x14ac:dyDescent="0.2">
      <c r="B955" s="7" t="s">
        <v>37</v>
      </c>
      <c r="C955" s="8">
        <v>11679</v>
      </c>
      <c r="D955" s="9" t="s">
        <v>954</v>
      </c>
      <c r="E955" s="10" t="s">
        <v>955</v>
      </c>
      <c r="F955" s="10" t="s">
        <v>956</v>
      </c>
      <c r="G955" s="8">
        <v>3</v>
      </c>
      <c r="H955" s="11">
        <v>160</v>
      </c>
      <c r="I955" s="12">
        <v>42511</v>
      </c>
      <c r="J955" s="13">
        <f t="shared" si="33"/>
        <v>0</v>
      </c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5">
        <f t="shared" si="34"/>
        <v>0</v>
      </c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  <c r="AJ955" s="15"/>
      <c r="AK955" s="16"/>
    </row>
    <row r="956" spans="2:37" x14ac:dyDescent="0.2">
      <c r="B956" s="7" t="s">
        <v>47</v>
      </c>
      <c r="C956" s="8">
        <v>11680</v>
      </c>
      <c r="D956" s="9" t="s">
        <v>909</v>
      </c>
      <c r="E956" s="10" t="s">
        <v>910</v>
      </c>
      <c r="F956" s="10" t="s">
        <v>222</v>
      </c>
      <c r="G956" s="8">
        <v>1</v>
      </c>
      <c r="H956" s="11">
        <v>100</v>
      </c>
      <c r="I956" s="12">
        <v>42512</v>
      </c>
      <c r="J956" s="13">
        <f t="shared" si="33"/>
        <v>0</v>
      </c>
      <c r="K956" s="14"/>
      <c r="L956" s="14"/>
      <c r="M956" s="14"/>
      <c r="N956" s="14"/>
      <c r="O956" s="14">
        <v>100</v>
      </c>
      <c r="P956" s="14"/>
      <c r="Q956" s="14"/>
      <c r="R956" s="14"/>
      <c r="S956" s="14"/>
      <c r="T956" s="14"/>
      <c r="U956" s="14"/>
      <c r="V956" s="14"/>
      <c r="W956" s="15">
        <f t="shared" si="34"/>
        <v>100</v>
      </c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  <c r="AJ956" s="15"/>
      <c r="AK956" s="16"/>
    </row>
    <row r="957" spans="2:37" x14ac:dyDescent="0.2">
      <c r="B957" s="7" t="s">
        <v>37</v>
      </c>
      <c r="C957" s="8">
        <v>11681</v>
      </c>
      <c r="D957" s="9" t="s">
        <v>488</v>
      </c>
      <c r="E957" s="10" t="s">
        <v>489</v>
      </c>
      <c r="F957" s="10" t="s">
        <v>490</v>
      </c>
      <c r="G957" s="8">
        <v>1</v>
      </c>
      <c r="H957" s="11">
        <v>400</v>
      </c>
      <c r="I957" s="12">
        <v>42512</v>
      </c>
      <c r="J957" s="13">
        <f t="shared" si="33"/>
        <v>0</v>
      </c>
      <c r="K957" s="14"/>
      <c r="L957" s="14"/>
      <c r="M957" s="14"/>
      <c r="N957" s="14"/>
      <c r="O957" s="14">
        <v>400</v>
      </c>
      <c r="P957" s="14"/>
      <c r="Q957" s="14"/>
      <c r="R957" s="14"/>
      <c r="S957" s="14"/>
      <c r="T957" s="14"/>
      <c r="U957" s="14"/>
      <c r="V957" s="14"/>
      <c r="W957" s="15">
        <f t="shared" si="34"/>
        <v>400</v>
      </c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  <c r="AJ957" s="15"/>
      <c r="AK957" s="16"/>
    </row>
    <row r="958" spans="2:37" x14ac:dyDescent="0.2">
      <c r="B958" s="7" t="s">
        <v>37</v>
      </c>
      <c r="C958" s="8">
        <v>11682</v>
      </c>
      <c r="D958" s="9" t="s">
        <v>794</v>
      </c>
      <c r="E958" s="10" t="s">
        <v>795</v>
      </c>
      <c r="F958" s="10" t="s">
        <v>796</v>
      </c>
      <c r="G958" s="8">
        <v>1</v>
      </c>
      <c r="H958" s="11">
        <v>300</v>
      </c>
      <c r="I958" s="12">
        <v>42512</v>
      </c>
      <c r="J958" s="13">
        <f t="shared" si="33"/>
        <v>0</v>
      </c>
      <c r="K958" s="14"/>
      <c r="L958" s="14"/>
      <c r="M958" s="14"/>
      <c r="N958" s="14"/>
      <c r="O958" s="14">
        <v>300</v>
      </c>
      <c r="P958" s="14"/>
      <c r="Q958" s="14"/>
      <c r="R958" s="14"/>
      <c r="S958" s="14"/>
      <c r="T958" s="14"/>
      <c r="U958" s="14"/>
      <c r="V958" s="14"/>
      <c r="W958" s="15">
        <f t="shared" si="34"/>
        <v>300</v>
      </c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  <c r="AJ958" s="15"/>
      <c r="AK958" s="16"/>
    </row>
    <row r="959" spans="2:37" x14ac:dyDescent="0.2">
      <c r="B959" s="7" t="s">
        <v>37</v>
      </c>
      <c r="C959" s="8">
        <v>11683</v>
      </c>
      <c r="D959" s="9" t="s">
        <v>526</v>
      </c>
      <c r="E959" s="10" t="s">
        <v>527</v>
      </c>
      <c r="F959" s="10" t="s">
        <v>528</v>
      </c>
      <c r="G959" s="8">
        <v>1</v>
      </c>
      <c r="H959" s="11">
        <v>400</v>
      </c>
      <c r="I959" s="12">
        <v>42512</v>
      </c>
      <c r="J959" s="13">
        <f t="shared" si="33"/>
        <v>0</v>
      </c>
      <c r="K959" s="14"/>
      <c r="L959" s="14"/>
      <c r="M959" s="14"/>
      <c r="N959" s="14"/>
      <c r="O959" s="14">
        <v>400</v>
      </c>
      <c r="P959" s="14"/>
      <c r="Q959" s="14"/>
      <c r="R959" s="14"/>
      <c r="S959" s="14"/>
      <c r="T959" s="14"/>
      <c r="U959" s="14"/>
      <c r="V959" s="14"/>
      <c r="W959" s="15">
        <f t="shared" si="34"/>
        <v>400</v>
      </c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  <c r="AJ959" s="15"/>
      <c r="AK959" s="16"/>
    </row>
    <row r="960" spans="2:37" x14ac:dyDescent="0.2">
      <c r="B960" s="7" t="s">
        <v>47</v>
      </c>
      <c r="C960" s="8">
        <v>11684</v>
      </c>
      <c r="D960" s="9" t="s">
        <v>957</v>
      </c>
      <c r="E960" s="10" t="s">
        <v>958</v>
      </c>
      <c r="F960" s="10" t="s">
        <v>959</v>
      </c>
      <c r="G960" s="8">
        <v>1</v>
      </c>
      <c r="H960" s="11">
        <v>2800</v>
      </c>
      <c r="I960" s="12">
        <v>42512</v>
      </c>
      <c r="J960" s="13">
        <f t="shared" si="33"/>
        <v>-800</v>
      </c>
      <c r="K960" s="14">
        <v>400</v>
      </c>
      <c r="L960" s="14">
        <v>400</v>
      </c>
      <c r="M960" s="14">
        <v>400</v>
      </c>
      <c r="N960" s="14">
        <v>400</v>
      </c>
      <c r="O960" s="14">
        <v>400</v>
      </c>
      <c r="P960" s="14"/>
      <c r="Q960" s="14"/>
      <c r="R960" s="14"/>
      <c r="S960" s="14"/>
      <c r="T960" s="14"/>
      <c r="U960" s="14"/>
      <c r="V960" s="14"/>
      <c r="W960" s="15">
        <f t="shared" si="34"/>
        <v>2000</v>
      </c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  <c r="AJ960" s="15"/>
      <c r="AK960" s="16"/>
    </row>
    <row r="961" spans="2:37" x14ac:dyDescent="0.2">
      <c r="B961" s="7" t="s">
        <v>73</v>
      </c>
      <c r="C961" s="8">
        <v>11685</v>
      </c>
      <c r="D961" s="9" t="s">
        <v>785</v>
      </c>
      <c r="E961" s="10" t="s">
        <v>786</v>
      </c>
      <c r="F961" s="10" t="s">
        <v>787</v>
      </c>
      <c r="G961" s="8">
        <v>1</v>
      </c>
      <c r="H961" s="11">
        <v>600</v>
      </c>
      <c r="I961" s="12">
        <v>42512</v>
      </c>
      <c r="J961" s="13">
        <f t="shared" si="33"/>
        <v>0</v>
      </c>
      <c r="K961" s="14"/>
      <c r="L961" s="14"/>
      <c r="M961" s="14">
        <v>200</v>
      </c>
      <c r="N961" s="14">
        <v>200</v>
      </c>
      <c r="O961" s="14">
        <v>200</v>
      </c>
      <c r="P961" s="14"/>
      <c r="Q961" s="14"/>
      <c r="R961" s="14"/>
      <c r="S961" s="14"/>
      <c r="T961" s="14"/>
      <c r="U961" s="14"/>
      <c r="V961" s="14"/>
      <c r="W961" s="15">
        <f t="shared" si="34"/>
        <v>600</v>
      </c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5"/>
      <c r="AK961" s="16"/>
    </row>
    <row r="962" spans="2:37" x14ac:dyDescent="0.2">
      <c r="B962" s="7" t="s">
        <v>37</v>
      </c>
      <c r="C962" s="8">
        <v>11686</v>
      </c>
      <c r="D962" s="9" t="s">
        <v>684</v>
      </c>
      <c r="E962" s="10" t="s">
        <v>685</v>
      </c>
      <c r="F962" s="10" t="s">
        <v>686</v>
      </c>
      <c r="G962" s="8">
        <v>1</v>
      </c>
      <c r="H962" s="11">
        <v>400</v>
      </c>
      <c r="I962" s="12">
        <v>42512</v>
      </c>
      <c r="J962" s="13">
        <f t="shared" si="33"/>
        <v>0</v>
      </c>
      <c r="K962" s="14"/>
      <c r="L962" s="14"/>
      <c r="M962" s="14"/>
      <c r="N962" s="14"/>
      <c r="O962" s="14">
        <v>400</v>
      </c>
      <c r="P962" s="14"/>
      <c r="Q962" s="14"/>
      <c r="R962" s="14"/>
      <c r="S962" s="14"/>
      <c r="T962" s="14"/>
      <c r="U962" s="14"/>
      <c r="V962" s="14"/>
      <c r="W962" s="15">
        <f t="shared" si="34"/>
        <v>400</v>
      </c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  <c r="AJ962" s="15"/>
      <c r="AK962" s="16"/>
    </row>
    <row r="963" spans="2:37" x14ac:dyDescent="0.2">
      <c r="B963" s="7" t="s">
        <v>37</v>
      </c>
      <c r="C963" s="8">
        <v>11687</v>
      </c>
      <c r="D963" s="9" t="s">
        <v>905</v>
      </c>
      <c r="E963" s="10" t="s">
        <v>906</v>
      </c>
      <c r="F963" s="10" t="s">
        <v>907</v>
      </c>
      <c r="G963" s="8">
        <v>1</v>
      </c>
      <c r="H963" s="11">
        <v>200</v>
      </c>
      <c r="I963" s="12">
        <v>42512</v>
      </c>
      <c r="J963" s="13">
        <f t="shared" si="33"/>
        <v>0</v>
      </c>
      <c r="K963" s="14"/>
      <c r="L963" s="14"/>
      <c r="M963" s="14"/>
      <c r="N963" s="14"/>
      <c r="O963" s="14">
        <v>200</v>
      </c>
      <c r="P963" s="14"/>
      <c r="Q963" s="14"/>
      <c r="R963" s="14"/>
      <c r="S963" s="14"/>
      <c r="T963" s="14"/>
      <c r="U963" s="14"/>
      <c r="V963" s="14"/>
      <c r="W963" s="15">
        <f t="shared" si="34"/>
        <v>200</v>
      </c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  <c r="AJ963" s="15"/>
      <c r="AK963" s="16"/>
    </row>
    <row r="964" spans="2:37" x14ac:dyDescent="0.2">
      <c r="B964" s="7" t="s">
        <v>73</v>
      </c>
      <c r="C964" s="8">
        <v>11688</v>
      </c>
      <c r="D964" s="9" t="s">
        <v>541</v>
      </c>
      <c r="E964" s="10" t="s">
        <v>542</v>
      </c>
      <c r="F964" s="10" t="s">
        <v>543</v>
      </c>
      <c r="G964" s="8">
        <v>1</v>
      </c>
      <c r="H964" s="11">
        <v>800</v>
      </c>
      <c r="I964" s="12">
        <v>42512</v>
      </c>
      <c r="J964" s="13">
        <f t="shared" si="33"/>
        <v>0</v>
      </c>
      <c r="K964" s="14"/>
      <c r="L964" s="14"/>
      <c r="M964" s="14"/>
      <c r="N964" s="14"/>
      <c r="O964" s="14">
        <v>400</v>
      </c>
      <c r="P964" s="14">
        <v>400</v>
      </c>
      <c r="Q964" s="14"/>
      <c r="R964" s="14"/>
      <c r="S964" s="14"/>
      <c r="T964" s="14"/>
      <c r="U964" s="14"/>
      <c r="V964" s="14"/>
      <c r="W964" s="15">
        <f t="shared" si="34"/>
        <v>800</v>
      </c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5"/>
      <c r="AK964" s="16"/>
    </row>
    <row r="965" spans="2:37" x14ac:dyDescent="0.2">
      <c r="B965" s="7" t="s">
        <v>47</v>
      </c>
      <c r="C965" s="8">
        <v>11689</v>
      </c>
      <c r="D965" s="9" t="s">
        <v>48</v>
      </c>
      <c r="E965" s="10" t="s">
        <v>49</v>
      </c>
      <c r="F965" s="10" t="s">
        <v>50</v>
      </c>
      <c r="G965" s="8">
        <v>1</v>
      </c>
      <c r="H965" s="11">
        <v>400</v>
      </c>
      <c r="I965" s="12">
        <v>42512</v>
      </c>
      <c r="J965" s="13">
        <f t="shared" si="33"/>
        <v>0</v>
      </c>
      <c r="K965" s="14"/>
      <c r="L965" s="14"/>
      <c r="M965" s="14"/>
      <c r="N965" s="14"/>
      <c r="O965" s="14">
        <v>400</v>
      </c>
      <c r="P965" s="14"/>
      <c r="Q965" s="14"/>
      <c r="R965" s="14"/>
      <c r="S965" s="14"/>
      <c r="T965" s="14"/>
      <c r="U965" s="14"/>
      <c r="V965" s="14"/>
      <c r="W965" s="15">
        <f t="shared" si="34"/>
        <v>400</v>
      </c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  <c r="AJ965" s="15"/>
      <c r="AK965" s="16"/>
    </row>
    <row r="966" spans="2:37" x14ac:dyDescent="0.2">
      <c r="B966" s="7" t="s">
        <v>37</v>
      </c>
      <c r="C966" s="8">
        <v>11690</v>
      </c>
      <c r="D966" s="9" t="s">
        <v>431</v>
      </c>
      <c r="E966" s="10" t="s">
        <v>432</v>
      </c>
      <c r="F966" s="10" t="s">
        <v>433</v>
      </c>
      <c r="G966" s="8">
        <v>1</v>
      </c>
      <c r="H966" s="11">
        <v>800</v>
      </c>
      <c r="I966" s="12">
        <v>42512</v>
      </c>
      <c r="J966" s="13">
        <f t="shared" si="33"/>
        <v>0</v>
      </c>
      <c r="K966" s="14"/>
      <c r="L966" s="14"/>
      <c r="M966" s="14">
        <v>400</v>
      </c>
      <c r="N966" s="14">
        <v>400</v>
      </c>
      <c r="O966" s="14"/>
      <c r="P966" s="14"/>
      <c r="Q966" s="14"/>
      <c r="R966" s="14"/>
      <c r="S966" s="14"/>
      <c r="T966" s="14"/>
      <c r="U966" s="14"/>
      <c r="V966" s="14"/>
      <c r="W966" s="15">
        <f t="shared" si="34"/>
        <v>800</v>
      </c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  <c r="AJ966" s="15"/>
      <c r="AK966" s="16"/>
    </row>
    <row r="967" spans="2:37" x14ac:dyDescent="0.2">
      <c r="B967" s="7" t="s">
        <v>69</v>
      </c>
      <c r="C967" s="8">
        <v>11691</v>
      </c>
      <c r="D967" s="9" t="s">
        <v>437</v>
      </c>
      <c r="E967" s="10" t="s">
        <v>438</v>
      </c>
      <c r="F967" s="10" t="s">
        <v>439</v>
      </c>
      <c r="G967" s="8">
        <v>1</v>
      </c>
      <c r="H967" s="11">
        <v>400</v>
      </c>
      <c r="I967" s="12">
        <v>42512</v>
      </c>
      <c r="J967" s="13">
        <f t="shared" si="33"/>
        <v>0</v>
      </c>
      <c r="K967" s="14"/>
      <c r="L967" s="14"/>
      <c r="M967" s="14"/>
      <c r="N967" s="14"/>
      <c r="O967" s="14">
        <v>400</v>
      </c>
      <c r="P967" s="14"/>
      <c r="Q967" s="14"/>
      <c r="R967" s="14"/>
      <c r="S967" s="14"/>
      <c r="T967" s="14"/>
      <c r="U967" s="14"/>
      <c r="V967" s="14"/>
      <c r="W967" s="15">
        <f t="shared" si="34"/>
        <v>400</v>
      </c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  <c r="AJ967" s="15"/>
      <c r="AK967" s="16"/>
    </row>
    <row r="968" spans="2:37" x14ac:dyDescent="0.2">
      <c r="B968" s="7" t="s">
        <v>73</v>
      </c>
      <c r="C968" s="8">
        <v>11692</v>
      </c>
      <c r="D968" s="9" t="s">
        <v>485</v>
      </c>
      <c r="E968" s="10" t="s">
        <v>486</v>
      </c>
      <c r="F968" s="10" t="s">
        <v>487</v>
      </c>
      <c r="G968" s="8">
        <v>1</v>
      </c>
      <c r="H968" s="11">
        <v>400</v>
      </c>
      <c r="I968" s="12">
        <v>42512</v>
      </c>
      <c r="J968" s="13">
        <f t="shared" si="33"/>
        <v>0</v>
      </c>
      <c r="K968" s="14"/>
      <c r="L968" s="14"/>
      <c r="M968" s="14"/>
      <c r="N968" s="14">
        <v>400</v>
      </c>
      <c r="O968" s="14"/>
      <c r="P968" s="14"/>
      <c r="Q968" s="14"/>
      <c r="R968" s="14"/>
      <c r="S968" s="14"/>
      <c r="T968" s="14"/>
      <c r="U968" s="14"/>
      <c r="V968" s="14"/>
      <c r="W968" s="15">
        <f t="shared" si="34"/>
        <v>400</v>
      </c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  <c r="AJ968" s="15"/>
      <c r="AK968" s="16"/>
    </row>
    <row r="969" spans="2:37" x14ac:dyDescent="0.2">
      <c r="B969" s="7" t="s">
        <v>77</v>
      </c>
      <c r="C969" s="8">
        <v>11693</v>
      </c>
      <c r="D969" s="9" t="s">
        <v>617</v>
      </c>
      <c r="E969" s="10" t="s">
        <v>618</v>
      </c>
      <c r="F969" s="10" t="s">
        <v>619</v>
      </c>
      <c r="G969" s="8">
        <v>1</v>
      </c>
      <c r="H969" s="11">
        <v>400</v>
      </c>
      <c r="I969" s="12">
        <v>42512</v>
      </c>
      <c r="J969" s="13">
        <f t="shared" si="33"/>
        <v>0</v>
      </c>
      <c r="K969" s="14"/>
      <c r="L969" s="14"/>
      <c r="M969" s="14"/>
      <c r="N969" s="14">
        <v>400</v>
      </c>
      <c r="O969" s="14"/>
      <c r="P969" s="14"/>
      <c r="Q969" s="14"/>
      <c r="R969" s="14"/>
      <c r="S969" s="14"/>
      <c r="T969" s="14"/>
      <c r="U969" s="14"/>
      <c r="V969" s="14"/>
      <c r="W969" s="15">
        <f t="shared" si="34"/>
        <v>400</v>
      </c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  <c r="AJ969" s="15"/>
      <c r="AK969" s="16"/>
    </row>
    <row r="970" spans="2:37" x14ac:dyDescent="0.2">
      <c r="B970" s="7" t="s">
        <v>47</v>
      </c>
      <c r="C970" s="8">
        <v>11694</v>
      </c>
      <c r="D970" s="9" t="s">
        <v>103</v>
      </c>
      <c r="E970" s="10" t="s">
        <v>104</v>
      </c>
      <c r="F970" s="10" t="s">
        <v>105</v>
      </c>
      <c r="G970" s="8">
        <v>1</v>
      </c>
      <c r="H970" s="11">
        <v>400</v>
      </c>
      <c r="I970" s="12">
        <v>42512</v>
      </c>
      <c r="J970" s="13">
        <f t="shared" si="33"/>
        <v>0</v>
      </c>
      <c r="K970" s="14"/>
      <c r="L970" s="14"/>
      <c r="M970" s="14"/>
      <c r="N970" s="14"/>
      <c r="O970" s="14">
        <v>400</v>
      </c>
      <c r="P970" s="14"/>
      <c r="Q970" s="14"/>
      <c r="R970" s="14"/>
      <c r="S970" s="14"/>
      <c r="T970" s="14"/>
      <c r="U970" s="14"/>
      <c r="V970" s="14"/>
      <c r="W970" s="15">
        <f t="shared" si="34"/>
        <v>400</v>
      </c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  <c r="AJ970" s="15"/>
      <c r="AK970" s="16"/>
    </row>
    <row r="971" spans="2:37" x14ac:dyDescent="0.2">
      <c r="B971" s="7" t="s">
        <v>73</v>
      </c>
      <c r="C971" s="8">
        <v>11695</v>
      </c>
      <c r="D971" s="9" t="s">
        <v>440</v>
      </c>
      <c r="E971" s="10" t="s">
        <v>441</v>
      </c>
      <c r="F971" s="10" t="s">
        <v>442</v>
      </c>
      <c r="G971" s="8">
        <v>1</v>
      </c>
      <c r="H971" s="11">
        <v>600</v>
      </c>
      <c r="I971" s="12">
        <v>42512</v>
      </c>
      <c r="J971" s="13">
        <f t="shared" si="33"/>
        <v>0</v>
      </c>
      <c r="K971" s="14"/>
      <c r="L971" s="14"/>
      <c r="M971" s="14"/>
      <c r="N971" s="14">
        <v>300</v>
      </c>
      <c r="O971" s="14">
        <v>300</v>
      </c>
      <c r="P971" s="14"/>
      <c r="Q971" s="14"/>
      <c r="R971" s="14"/>
      <c r="S971" s="14"/>
      <c r="T971" s="14"/>
      <c r="U971" s="14"/>
      <c r="V971" s="14"/>
      <c r="W971" s="15">
        <f t="shared" si="34"/>
        <v>600</v>
      </c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  <c r="AJ971" s="15"/>
      <c r="AK971" s="16"/>
    </row>
    <row r="972" spans="2:37" x14ac:dyDescent="0.2">
      <c r="B972" s="7" t="s">
        <v>37</v>
      </c>
      <c r="C972" s="8">
        <v>11696</v>
      </c>
      <c r="D972" s="9" t="s">
        <v>44</v>
      </c>
      <c r="E972" s="10" t="s">
        <v>45</v>
      </c>
      <c r="F972" s="10" t="s">
        <v>46</v>
      </c>
      <c r="G972" s="8">
        <v>1</v>
      </c>
      <c r="H972" s="11">
        <v>1200</v>
      </c>
      <c r="I972" s="12">
        <v>42512</v>
      </c>
      <c r="J972" s="13">
        <f t="shared" si="33"/>
        <v>0</v>
      </c>
      <c r="K972" s="14"/>
      <c r="L972" s="14"/>
      <c r="M972" s="14"/>
      <c r="N972" s="14"/>
      <c r="O972" s="14">
        <v>400</v>
      </c>
      <c r="P972" s="14">
        <v>400</v>
      </c>
      <c r="Q972" s="14">
        <v>400</v>
      </c>
      <c r="R972" s="14"/>
      <c r="S972" s="14"/>
      <c r="T972" s="14"/>
      <c r="U972" s="14"/>
      <c r="V972" s="14"/>
      <c r="W972" s="15">
        <f t="shared" si="34"/>
        <v>1200</v>
      </c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  <c r="AJ972" s="15"/>
      <c r="AK972" s="16"/>
    </row>
    <row r="973" spans="2:37" x14ac:dyDescent="0.2">
      <c r="B973" s="7" t="s">
        <v>69</v>
      </c>
      <c r="C973" s="8">
        <v>11697</v>
      </c>
      <c r="D973" s="9" t="s">
        <v>168</v>
      </c>
      <c r="E973" s="10" t="s">
        <v>169</v>
      </c>
      <c r="F973" s="10" t="s">
        <v>170</v>
      </c>
      <c r="G973" s="8">
        <v>1</v>
      </c>
      <c r="H973" s="11">
        <v>200</v>
      </c>
      <c r="I973" s="12">
        <v>42512</v>
      </c>
      <c r="J973" s="13">
        <f t="shared" si="33"/>
        <v>0</v>
      </c>
      <c r="K973" s="14"/>
      <c r="L973" s="14"/>
      <c r="M973" s="14"/>
      <c r="N973" s="14">
        <v>200</v>
      </c>
      <c r="O973" s="14"/>
      <c r="P973" s="14"/>
      <c r="Q973" s="14"/>
      <c r="R973" s="14"/>
      <c r="S973" s="14"/>
      <c r="T973" s="14"/>
      <c r="U973" s="14"/>
      <c r="V973" s="14"/>
      <c r="W973" s="15">
        <f t="shared" si="34"/>
        <v>200</v>
      </c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/>
      <c r="AJ973" s="15"/>
      <c r="AK973" s="16"/>
    </row>
    <row r="974" spans="2:37" x14ac:dyDescent="0.2">
      <c r="B974" s="7" t="s">
        <v>47</v>
      </c>
      <c r="C974" s="8">
        <v>11698</v>
      </c>
      <c r="D974" s="9" t="s">
        <v>183</v>
      </c>
      <c r="E974" s="10" t="s">
        <v>184</v>
      </c>
      <c r="F974" s="10" t="s">
        <v>185</v>
      </c>
      <c r="G974" s="8">
        <v>1</v>
      </c>
      <c r="H974" s="11">
        <v>800</v>
      </c>
      <c r="I974" s="12">
        <v>42512</v>
      </c>
      <c r="J974" s="13">
        <f t="shared" si="33"/>
        <v>0</v>
      </c>
      <c r="K974" s="14"/>
      <c r="L974" s="14"/>
      <c r="M974" s="14"/>
      <c r="N974" s="14">
        <v>400</v>
      </c>
      <c r="O974" s="14">
        <v>400</v>
      </c>
      <c r="P974" s="14"/>
      <c r="Q974" s="14"/>
      <c r="R974" s="14"/>
      <c r="S974" s="14"/>
      <c r="T974" s="14"/>
      <c r="U974" s="14"/>
      <c r="V974" s="14"/>
      <c r="W974" s="15">
        <f t="shared" si="34"/>
        <v>800</v>
      </c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  <c r="AJ974" s="15"/>
      <c r="AK974" s="16"/>
    </row>
    <row r="975" spans="2:37" x14ac:dyDescent="0.2">
      <c r="B975" s="7" t="s">
        <v>47</v>
      </c>
      <c r="C975" s="8">
        <v>11699</v>
      </c>
      <c r="D975" s="9" t="s">
        <v>803</v>
      </c>
      <c r="E975" s="10" t="s">
        <v>804</v>
      </c>
      <c r="F975" s="10" t="s">
        <v>312</v>
      </c>
      <c r="G975" s="8">
        <v>1</v>
      </c>
      <c r="H975" s="11">
        <v>400</v>
      </c>
      <c r="I975" s="12">
        <v>42512</v>
      </c>
      <c r="J975" s="13">
        <f t="shared" si="33"/>
        <v>0</v>
      </c>
      <c r="K975" s="14"/>
      <c r="L975" s="14"/>
      <c r="M975" s="14"/>
      <c r="N975" s="14"/>
      <c r="O975" s="14">
        <v>400</v>
      </c>
      <c r="P975" s="14"/>
      <c r="Q975" s="14"/>
      <c r="R975" s="14"/>
      <c r="S975" s="14"/>
      <c r="T975" s="14"/>
      <c r="U975" s="14"/>
      <c r="V975" s="14"/>
      <c r="W975" s="15">
        <f t="shared" si="34"/>
        <v>400</v>
      </c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  <c r="AJ975" s="15"/>
      <c r="AK975" s="16"/>
    </row>
    <row r="976" spans="2:37" x14ac:dyDescent="0.2">
      <c r="B976" s="7" t="s">
        <v>37</v>
      </c>
      <c r="C976" s="8">
        <v>11700</v>
      </c>
      <c r="D976" s="9" t="s">
        <v>550</v>
      </c>
      <c r="E976" s="10" t="s">
        <v>551</v>
      </c>
      <c r="F976" s="10" t="s">
        <v>552</v>
      </c>
      <c r="G976" s="8">
        <v>1</v>
      </c>
      <c r="H976" s="11">
        <v>300</v>
      </c>
      <c r="I976" s="12">
        <v>42512</v>
      </c>
      <c r="J976" s="13">
        <f t="shared" si="33"/>
        <v>0</v>
      </c>
      <c r="K976" s="14"/>
      <c r="L976" s="14"/>
      <c r="M976" s="14"/>
      <c r="N976" s="14"/>
      <c r="O976" s="14">
        <v>300</v>
      </c>
      <c r="P976" s="14"/>
      <c r="Q976" s="14"/>
      <c r="R976" s="14"/>
      <c r="S976" s="14"/>
      <c r="T976" s="14"/>
      <c r="U976" s="14"/>
      <c r="V976" s="14"/>
      <c r="W976" s="15">
        <f t="shared" si="34"/>
        <v>300</v>
      </c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  <c r="AJ976" s="15"/>
      <c r="AK976" s="16"/>
    </row>
    <row r="977" spans="2:38" x14ac:dyDescent="0.2">
      <c r="B977" s="7" t="s">
        <v>37</v>
      </c>
      <c r="C977" s="8">
        <v>11701</v>
      </c>
      <c r="D977" s="9" t="s">
        <v>960</v>
      </c>
      <c r="E977" s="10" t="s">
        <v>961</v>
      </c>
      <c r="F977" s="10" t="s">
        <v>962</v>
      </c>
      <c r="G977" s="8">
        <v>1</v>
      </c>
      <c r="H977" s="11">
        <v>2000</v>
      </c>
      <c r="I977" s="12">
        <v>42512</v>
      </c>
      <c r="J977" s="13">
        <f t="shared" si="33"/>
        <v>0</v>
      </c>
      <c r="K977" s="14">
        <v>400</v>
      </c>
      <c r="L977" s="14">
        <v>400</v>
      </c>
      <c r="M977" s="14">
        <v>400</v>
      </c>
      <c r="N977" s="14">
        <v>400</v>
      </c>
      <c r="O977" s="14">
        <v>400</v>
      </c>
      <c r="P977" s="14"/>
      <c r="Q977" s="14"/>
      <c r="R977" s="14"/>
      <c r="S977" s="14"/>
      <c r="T977" s="14"/>
      <c r="U977" s="14"/>
      <c r="V977" s="14"/>
      <c r="W977" s="15">
        <f t="shared" si="34"/>
        <v>2000</v>
      </c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  <c r="AJ977" s="15"/>
      <c r="AK977" s="16"/>
    </row>
    <row r="978" spans="2:38" x14ac:dyDescent="0.2">
      <c r="B978" s="7" t="s">
        <v>47</v>
      </c>
      <c r="C978" s="8">
        <v>11702</v>
      </c>
      <c r="D978" s="9" t="s">
        <v>963</v>
      </c>
      <c r="E978" s="10" t="s">
        <v>964</v>
      </c>
      <c r="F978" s="10" t="s">
        <v>460</v>
      </c>
      <c r="G978" s="8">
        <v>1</v>
      </c>
      <c r="H978" s="11">
        <v>1000</v>
      </c>
      <c r="I978" s="12">
        <v>42512</v>
      </c>
      <c r="J978" s="13">
        <f t="shared" si="33"/>
        <v>0</v>
      </c>
      <c r="K978" s="14"/>
      <c r="L978" s="14"/>
      <c r="M978" s="14">
        <v>200</v>
      </c>
      <c r="N978" s="14">
        <v>400</v>
      </c>
      <c r="O978" s="14">
        <v>400</v>
      </c>
      <c r="P978" s="14"/>
      <c r="Q978" s="14"/>
      <c r="R978" s="14"/>
      <c r="S978" s="14"/>
      <c r="T978" s="14"/>
      <c r="U978" s="14"/>
      <c r="V978" s="14"/>
      <c r="W978" s="15">
        <f t="shared" si="34"/>
        <v>1000</v>
      </c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  <c r="AJ978" s="15"/>
      <c r="AK978" s="16"/>
    </row>
    <row r="979" spans="2:38" x14ac:dyDescent="0.2">
      <c r="B979" s="7" t="s">
        <v>73</v>
      </c>
      <c r="C979" s="8">
        <v>11703</v>
      </c>
      <c r="D979" s="9" t="s">
        <v>837</v>
      </c>
      <c r="E979" s="10" t="s">
        <v>838</v>
      </c>
      <c r="F979" s="10" t="s">
        <v>839</v>
      </c>
      <c r="G979" s="8">
        <v>1</v>
      </c>
      <c r="H979" s="11">
        <v>1200</v>
      </c>
      <c r="I979" s="12">
        <v>42512</v>
      </c>
      <c r="J979" s="13">
        <f t="shared" ref="J979:J1017" si="35">IF(G979=1,SUM(W979,-H979),0)</f>
        <v>0</v>
      </c>
      <c r="K979" s="14"/>
      <c r="L979" s="14"/>
      <c r="M979" s="14"/>
      <c r="N979" s="14">
        <v>400</v>
      </c>
      <c r="O979" s="14">
        <v>400</v>
      </c>
      <c r="P979" s="14">
        <v>400</v>
      </c>
      <c r="Q979" s="14"/>
      <c r="R979" s="14"/>
      <c r="S979" s="14"/>
      <c r="T979" s="14"/>
      <c r="U979" s="14"/>
      <c r="V979" s="14"/>
      <c r="W979" s="15">
        <f t="shared" ref="W979:W1017" si="36">SUM(K979:V979)</f>
        <v>1200</v>
      </c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  <c r="AJ979" s="15"/>
      <c r="AK979" s="16"/>
    </row>
    <row r="980" spans="2:38" x14ac:dyDescent="0.2">
      <c r="B980" s="7" t="s">
        <v>47</v>
      </c>
      <c r="C980" s="8">
        <v>11704</v>
      </c>
      <c r="D980" s="9" t="s">
        <v>861</v>
      </c>
      <c r="E980" s="10" t="s">
        <v>862</v>
      </c>
      <c r="F980" s="10" t="s">
        <v>863</v>
      </c>
      <c r="G980" s="8">
        <v>1</v>
      </c>
      <c r="H980" s="11">
        <v>300</v>
      </c>
      <c r="I980" s="12">
        <v>42512</v>
      </c>
      <c r="J980" s="13">
        <f t="shared" si="35"/>
        <v>0</v>
      </c>
      <c r="K980" s="14"/>
      <c r="L980" s="14"/>
      <c r="M980" s="14"/>
      <c r="N980" s="14">
        <v>100</v>
      </c>
      <c r="O980" s="14">
        <v>100</v>
      </c>
      <c r="P980" s="14">
        <v>100</v>
      </c>
      <c r="Q980" s="14"/>
      <c r="R980" s="14"/>
      <c r="S980" s="14"/>
      <c r="T980" s="14"/>
      <c r="U980" s="14"/>
      <c r="V980" s="14"/>
      <c r="W980" s="15">
        <f t="shared" si="36"/>
        <v>300</v>
      </c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  <c r="AJ980" s="15"/>
      <c r="AK980" s="16"/>
    </row>
    <row r="981" spans="2:38" x14ac:dyDescent="0.2">
      <c r="B981" s="7" t="s">
        <v>69</v>
      </c>
      <c r="C981" s="8">
        <v>11705</v>
      </c>
      <c r="D981" s="9" t="s">
        <v>574</v>
      </c>
      <c r="E981" s="10" t="s">
        <v>575</v>
      </c>
      <c r="F981" s="10" t="s">
        <v>576</v>
      </c>
      <c r="G981" s="8">
        <v>1</v>
      </c>
      <c r="H981" s="11">
        <v>400</v>
      </c>
      <c r="I981" s="12">
        <v>42512</v>
      </c>
      <c r="J981" s="13">
        <f t="shared" si="35"/>
        <v>0</v>
      </c>
      <c r="K981" s="14"/>
      <c r="L981" s="14"/>
      <c r="M981" s="14"/>
      <c r="N981" s="14">
        <v>400</v>
      </c>
      <c r="O981" s="14"/>
      <c r="P981" s="14"/>
      <c r="Q981" s="14"/>
      <c r="R981" s="14"/>
      <c r="S981" s="14"/>
      <c r="T981" s="14"/>
      <c r="U981" s="14"/>
      <c r="V981" s="14"/>
      <c r="W981" s="15">
        <f t="shared" si="36"/>
        <v>400</v>
      </c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  <c r="AI981" s="14"/>
      <c r="AJ981" s="15"/>
      <c r="AK981" s="16"/>
    </row>
    <row r="982" spans="2:38" x14ac:dyDescent="0.2">
      <c r="B982" s="7" t="s">
        <v>69</v>
      </c>
      <c r="C982" s="8">
        <v>11705</v>
      </c>
      <c r="D982" s="9" t="s">
        <v>574</v>
      </c>
      <c r="E982" s="10" t="s">
        <v>575</v>
      </c>
      <c r="F982" s="10" t="s">
        <v>576</v>
      </c>
      <c r="G982" s="8">
        <v>3</v>
      </c>
      <c r="H982" s="11">
        <v>160</v>
      </c>
      <c r="I982" s="12">
        <v>42512</v>
      </c>
      <c r="J982" s="13">
        <f t="shared" si="35"/>
        <v>0</v>
      </c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5">
        <f t="shared" si="36"/>
        <v>0</v>
      </c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/>
      <c r="AJ982" s="15"/>
      <c r="AK982" s="16"/>
    </row>
    <row r="983" spans="2:38" x14ac:dyDescent="0.2">
      <c r="B983" s="7" t="s">
        <v>47</v>
      </c>
      <c r="C983" s="8">
        <v>11706</v>
      </c>
      <c r="D983" s="9" t="s">
        <v>861</v>
      </c>
      <c r="E983" s="10" t="s">
        <v>862</v>
      </c>
      <c r="F983" s="10" t="s">
        <v>863</v>
      </c>
      <c r="G983" s="8">
        <v>3</v>
      </c>
      <c r="H983" s="11">
        <v>160</v>
      </c>
      <c r="I983" s="12">
        <v>42512</v>
      </c>
      <c r="J983" s="13">
        <f t="shared" si="35"/>
        <v>0</v>
      </c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5">
        <f t="shared" si="36"/>
        <v>0</v>
      </c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  <c r="AI983" s="14"/>
      <c r="AJ983" s="15"/>
      <c r="AK983" s="16"/>
    </row>
    <row r="984" spans="2:38" x14ac:dyDescent="0.2">
      <c r="B984" s="7" t="s">
        <v>73</v>
      </c>
      <c r="C984" s="8">
        <v>11707</v>
      </c>
      <c r="D984" s="9" t="s">
        <v>731</v>
      </c>
      <c r="E984" s="10" t="s">
        <v>732</v>
      </c>
      <c r="F984" s="10" t="s">
        <v>733</v>
      </c>
      <c r="G984" s="8">
        <v>1</v>
      </c>
      <c r="H984" s="11">
        <v>600</v>
      </c>
      <c r="I984" s="12">
        <v>42512</v>
      </c>
      <c r="J984" s="13">
        <f t="shared" si="35"/>
        <v>0</v>
      </c>
      <c r="K984" s="14"/>
      <c r="L984" s="14"/>
      <c r="M984" s="14"/>
      <c r="N984" s="14">
        <v>300</v>
      </c>
      <c r="O984" s="14">
        <v>300</v>
      </c>
      <c r="P984" s="14"/>
      <c r="Q984" s="14"/>
      <c r="R984" s="14"/>
      <c r="S984" s="14"/>
      <c r="T984" s="14"/>
      <c r="U984" s="14"/>
      <c r="V984" s="14"/>
      <c r="W984" s="15">
        <f t="shared" si="36"/>
        <v>600</v>
      </c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  <c r="AJ984" s="15"/>
      <c r="AK984" s="16"/>
    </row>
    <row r="985" spans="2:38" x14ac:dyDescent="0.2">
      <c r="B985" s="7" t="s">
        <v>69</v>
      </c>
      <c r="C985" s="8">
        <v>11708</v>
      </c>
      <c r="D985" s="9" t="s">
        <v>634</v>
      </c>
      <c r="E985" s="10" t="s">
        <v>635</v>
      </c>
      <c r="F985" s="10" t="s">
        <v>636</v>
      </c>
      <c r="G985" s="8">
        <v>1</v>
      </c>
      <c r="H985" s="11">
        <v>300</v>
      </c>
      <c r="I985" s="12">
        <v>42512</v>
      </c>
      <c r="J985" s="13">
        <f t="shared" si="35"/>
        <v>0</v>
      </c>
      <c r="K985" s="14"/>
      <c r="L985" s="14"/>
      <c r="M985" s="14"/>
      <c r="N985" s="14"/>
      <c r="O985" s="14">
        <v>300</v>
      </c>
      <c r="P985" s="14"/>
      <c r="Q985" s="14"/>
      <c r="R985" s="14"/>
      <c r="S985" s="14"/>
      <c r="T985" s="14"/>
      <c r="U985" s="14"/>
      <c r="V985" s="14"/>
      <c r="W985" s="15">
        <f t="shared" si="36"/>
        <v>300</v>
      </c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/>
      <c r="AJ985" s="15"/>
      <c r="AK985" s="16"/>
    </row>
    <row r="986" spans="2:38" x14ac:dyDescent="0.2">
      <c r="B986" s="7" t="s">
        <v>47</v>
      </c>
      <c r="C986" s="8">
        <v>11709</v>
      </c>
      <c r="D986" s="9" t="s">
        <v>965</v>
      </c>
      <c r="E986" s="10" t="s">
        <v>966</v>
      </c>
      <c r="F986" s="10" t="s">
        <v>967</v>
      </c>
      <c r="G986" s="8">
        <v>1</v>
      </c>
      <c r="H986" s="11">
        <v>400</v>
      </c>
      <c r="I986" s="12">
        <v>42512</v>
      </c>
      <c r="J986" s="13">
        <f t="shared" si="35"/>
        <v>0</v>
      </c>
      <c r="K986" s="14"/>
      <c r="L986" s="14"/>
      <c r="M986" s="14"/>
      <c r="N986" s="14"/>
      <c r="O986" s="14">
        <v>400</v>
      </c>
      <c r="P986" s="14"/>
      <c r="Q986" s="14"/>
      <c r="R986" s="14"/>
      <c r="S986" s="14"/>
      <c r="T986" s="14"/>
      <c r="U986" s="14"/>
      <c r="V986" s="14"/>
      <c r="W986" s="15">
        <f t="shared" si="36"/>
        <v>400</v>
      </c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  <c r="AI986" s="14"/>
      <c r="AJ986" s="15"/>
      <c r="AK986" s="16"/>
    </row>
    <row r="987" spans="2:38" x14ac:dyDescent="0.2">
      <c r="B987" s="7" t="s">
        <v>69</v>
      </c>
      <c r="C987" s="8">
        <v>11710</v>
      </c>
      <c r="D987" s="9" t="s">
        <v>625</v>
      </c>
      <c r="E987" s="10" t="s">
        <v>626</v>
      </c>
      <c r="F987" s="10" t="s">
        <v>627</v>
      </c>
      <c r="G987" s="8">
        <v>1</v>
      </c>
      <c r="H987" s="11">
        <v>400</v>
      </c>
      <c r="I987" s="12">
        <v>42512</v>
      </c>
      <c r="J987" s="13">
        <f t="shared" si="35"/>
        <v>0</v>
      </c>
      <c r="K987" s="14"/>
      <c r="L987" s="14"/>
      <c r="M987" s="14"/>
      <c r="N987" s="14"/>
      <c r="O987" s="14">
        <v>400</v>
      </c>
      <c r="P987" s="14"/>
      <c r="Q987" s="14"/>
      <c r="R987" s="14"/>
      <c r="S987" s="14"/>
      <c r="T987" s="14"/>
      <c r="U987" s="14"/>
      <c r="V987" s="14"/>
      <c r="W987" s="15">
        <f t="shared" si="36"/>
        <v>400</v>
      </c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  <c r="AJ987" s="15"/>
      <c r="AK987" s="16"/>
    </row>
    <row r="988" spans="2:38" x14ac:dyDescent="0.2">
      <c r="B988" s="7" t="s">
        <v>73</v>
      </c>
      <c r="C988" s="8">
        <v>11711</v>
      </c>
      <c r="D988" s="9" t="s">
        <v>458</v>
      </c>
      <c r="E988" s="10" t="s">
        <v>459</v>
      </c>
      <c r="F988" s="10" t="s">
        <v>460</v>
      </c>
      <c r="G988" s="8">
        <v>1</v>
      </c>
      <c r="H988" s="11">
        <v>400</v>
      </c>
      <c r="I988" s="12">
        <v>42512</v>
      </c>
      <c r="J988" s="13">
        <f t="shared" si="35"/>
        <v>0</v>
      </c>
      <c r="K988" s="14"/>
      <c r="L988" s="14"/>
      <c r="M988" s="14"/>
      <c r="N988" s="14"/>
      <c r="O988" s="14">
        <v>400</v>
      </c>
      <c r="P988" s="14"/>
      <c r="Q988" s="14"/>
      <c r="R988" s="14"/>
      <c r="S988" s="14"/>
      <c r="T988" s="14"/>
      <c r="U988" s="14"/>
      <c r="V988" s="14"/>
      <c r="W988" s="15">
        <f t="shared" si="36"/>
        <v>400</v>
      </c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  <c r="AI988" s="14"/>
      <c r="AJ988" s="15"/>
      <c r="AK988" s="16"/>
    </row>
    <row r="989" spans="2:38" x14ac:dyDescent="0.2">
      <c r="B989" s="7" t="s">
        <v>93</v>
      </c>
      <c r="C989" s="8">
        <v>11712</v>
      </c>
      <c r="D989" s="9"/>
      <c r="E989" s="10" t="s">
        <v>93</v>
      </c>
      <c r="F989" s="10" t="s">
        <v>93</v>
      </c>
      <c r="G989" s="8">
        <v>8</v>
      </c>
      <c r="H989" s="11"/>
      <c r="I989" s="12"/>
      <c r="J989" s="13">
        <f t="shared" si="35"/>
        <v>0</v>
      </c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5">
        <f t="shared" si="36"/>
        <v>0</v>
      </c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  <c r="AI989" s="14"/>
      <c r="AJ989" s="15"/>
      <c r="AK989" s="16"/>
    </row>
    <row r="990" spans="2:38" x14ac:dyDescent="0.2">
      <c r="B990" s="7" t="s">
        <v>37</v>
      </c>
      <c r="C990" s="8">
        <v>11713</v>
      </c>
      <c r="D990" s="9" t="s">
        <v>298</v>
      </c>
      <c r="E990" s="10" t="s">
        <v>299</v>
      </c>
      <c r="F990" s="10" t="s">
        <v>300</v>
      </c>
      <c r="G990" s="8">
        <v>1</v>
      </c>
      <c r="H990" s="321">
        <v>300</v>
      </c>
      <c r="I990" s="12">
        <v>42512</v>
      </c>
      <c r="J990" s="13">
        <f t="shared" si="35"/>
        <v>0</v>
      </c>
      <c r="K990" s="14">
        <v>150</v>
      </c>
      <c r="L990" s="14">
        <v>150</v>
      </c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5">
        <f t="shared" si="36"/>
        <v>300</v>
      </c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  <c r="AJ990" s="15"/>
      <c r="AK990" s="16"/>
      <c r="AL990" s="113">
        <f>SUM(H943:H990)</f>
        <v>25480</v>
      </c>
    </row>
    <row r="991" spans="2:38" x14ac:dyDescent="0.2">
      <c r="B991" s="7" t="s">
        <v>73</v>
      </c>
      <c r="C991" s="8">
        <v>11714</v>
      </c>
      <c r="D991" s="9" t="s">
        <v>109</v>
      </c>
      <c r="E991" s="10" t="s">
        <v>110</v>
      </c>
      <c r="F991" s="10" t="s">
        <v>111</v>
      </c>
      <c r="G991" s="8">
        <v>1</v>
      </c>
      <c r="H991" s="11">
        <v>400</v>
      </c>
      <c r="I991" s="12">
        <v>42519</v>
      </c>
      <c r="J991" s="13">
        <f t="shared" si="35"/>
        <v>0</v>
      </c>
      <c r="K991" s="14"/>
      <c r="L991" s="14"/>
      <c r="M991" s="14"/>
      <c r="N991" s="14"/>
      <c r="O991" s="14">
        <v>400</v>
      </c>
      <c r="P991" s="14"/>
      <c r="Q991" s="14"/>
      <c r="R991" s="14"/>
      <c r="S991" s="14"/>
      <c r="T991" s="14"/>
      <c r="U991" s="14"/>
      <c r="V991" s="14"/>
      <c r="W991" s="15">
        <f t="shared" si="36"/>
        <v>400</v>
      </c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  <c r="AI991" s="14"/>
      <c r="AJ991" s="15"/>
      <c r="AK991" s="16"/>
    </row>
    <row r="992" spans="2:38" x14ac:dyDescent="0.2">
      <c r="B992" s="7" t="s">
        <v>73</v>
      </c>
      <c r="C992" s="8">
        <v>11714</v>
      </c>
      <c r="D992" s="9" t="s">
        <v>109</v>
      </c>
      <c r="E992" s="10" t="s">
        <v>110</v>
      </c>
      <c r="F992" s="10" t="s">
        <v>111</v>
      </c>
      <c r="G992" s="8">
        <v>3</v>
      </c>
      <c r="H992" s="11">
        <v>160</v>
      </c>
      <c r="I992" s="12">
        <v>42519</v>
      </c>
      <c r="J992" s="13">
        <f t="shared" si="35"/>
        <v>0</v>
      </c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5">
        <f t="shared" si="36"/>
        <v>0</v>
      </c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  <c r="AI992" s="14"/>
      <c r="AJ992" s="15"/>
      <c r="AK992" s="16"/>
    </row>
    <row r="993" spans="2:37" x14ac:dyDescent="0.2">
      <c r="B993" s="7" t="s">
        <v>69</v>
      </c>
      <c r="C993" s="8">
        <v>11715</v>
      </c>
      <c r="D993" s="9" t="s">
        <v>855</v>
      </c>
      <c r="E993" s="10" t="s">
        <v>856</v>
      </c>
      <c r="F993" s="10" t="s">
        <v>857</v>
      </c>
      <c r="G993" s="8">
        <v>1</v>
      </c>
      <c r="H993" s="11">
        <v>600</v>
      </c>
      <c r="I993" s="12">
        <v>42519</v>
      </c>
      <c r="J993" s="13">
        <f t="shared" si="35"/>
        <v>0</v>
      </c>
      <c r="K993" s="14"/>
      <c r="L993" s="14"/>
      <c r="M993" s="14"/>
      <c r="N993" s="14"/>
      <c r="O993" s="14"/>
      <c r="P993" s="14">
        <v>200</v>
      </c>
      <c r="Q993" s="14">
        <v>200</v>
      </c>
      <c r="R993" s="14">
        <v>200</v>
      </c>
      <c r="S993" s="14"/>
      <c r="T993" s="14"/>
      <c r="U993" s="14"/>
      <c r="V993" s="14"/>
      <c r="W993" s="15">
        <f t="shared" si="36"/>
        <v>600</v>
      </c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  <c r="AI993" s="14"/>
      <c r="AJ993" s="15"/>
      <c r="AK993" s="16"/>
    </row>
    <row r="994" spans="2:37" x14ac:dyDescent="0.2">
      <c r="B994" s="7" t="s">
        <v>47</v>
      </c>
      <c r="C994" s="8">
        <v>11716</v>
      </c>
      <c r="D994" s="9" t="s">
        <v>138</v>
      </c>
      <c r="E994" s="10" t="s">
        <v>139</v>
      </c>
      <c r="F994" s="10" t="s">
        <v>140</v>
      </c>
      <c r="G994" s="8">
        <v>1</v>
      </c>
      <c r="H994" s="11">
        <v>800</v>
      </c>
      <c r="I994" s="12">
        <v>42519</v>
      </c>
      <c r="J994" s="13">
        <f t="shared" si="35"/>
        <v>0</v>
      </c>
      <c r="K994" s="14"/>
      <c r="L994" s="14"/>
      <c r="M994" s="14"/>
      <c r="N994" s="14">
        <v>400</v>
      </c>
      <c r="O994" s="14">
        <v>400</v>
      </c>
      <c r="P994" s="14"/>
      <c r="Q994" s="14"/>
      <c r="R994" s="14"/>
      <c r="S994" s="14"/>
      <c r="T994" s="14"/>
      <c r="U994" s="14"/>
      <c r="V994" s="14"/>
      <c r="W994" s="15">
        <f t="shared" si="36"/>
        <v>800</v>
      </c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  <c r="AI994" s="14"/>
      <c r="AJ994" s="15"/>
      <c r="AK994" s="16"/>
    </row>
    <row r="995" spans="2:37" x14ac:dyDescent="0.2">
      <c r="B995" s="7" t="s">
        <v>73</v>
      </c>
      <c r="C995" s="8">
        <v>11717</v>
      </c>
      <c r="D995" s="9" t="s">
        <v>586</v>
      </c>
      <c r="E995" s="10" t="s">
        <v>587</v>
      </c>
      <c r="F995" s="10" t="s">
        <v>588</v>
      </c>
      <c r="G995" s="8">
        <v>1</v>
      </c>
      <c r="H995" s="11">
        <v>200</v>
      </c>
      <c r="I995" s="12">
        <v>42519</v>
      </c>
      <c r="J995" s="13">
        <f t="shared" si="35"/>
        <v>0</v>
      </c>
      <c r="K995" s="14"/>
      <c r="L995" s="14"/>
      <c r="M995" s="14"/>
      <c r="N995" s="14"/>
      <c r="O995" s="14">
        <v>200</v>
      </c>
      <c r="P995" s="14"/>
      <c r="Q995" s="14"/>
      <c r="R995" s="14"/>
      <c r="S995" s="14"/>
      <c r="T995" s="14"/>
      <c r="U995" s="14"/>
      <c r="V995" s="14"/>
      <c r="W995" s="15">
        <f t="shared" si="36"/>
        <v>200</v>
      </c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  <c r="AI995" s="14"/>
      <c r="AJ995" s="15"/>
      <c r="AK995" s="16"/>
    </row>
    <row r="996" spans="2:37" x14ac:dyDescent="0.2">
      <c r="B996" s="7" t="s">
        <v>37</v>
      </c>
      <c r="C996" s="8">
        <v>11718</v>
      </c>
      <c r="D996" s="9" t="s">
        <v>681</v>
      </c>
      <c r="E996" s="10" t="s">
        <v>682</v>
      </c>
      <c r="F996" s="10" t="s">
        <v>683</v>
      </c>
      <c r="G996" s="8">
        <v>1</v>
      </c>
      <c r="H996" s="11">
        <v>300</v>
      </c>
      <c r="I996" s="12">
        <v>42519</v>
      </c>
      <c r="J996" s="13">
        <f t="shared" si="35"/>
        <v>0</v>
      </c>
      <c r="K996" s="14"/>
      <c r="L996" s="14"/>
      <c r="M996" s="14"/>
      <c r="N996" s="14"/>
      <c r="O996" s="14">
        <v>300</v>
      </c>
      <c r="P996" s="14"/>
      <c r="Q996" s="14"/>
      <c r="R996" s="14"/>
      <c r="S996" s="14"/>
      <c r="T996" s="14"/>
      <c r="U996" s="14"/>
      <c r="V996" s="14"/>
      <c r="W996" s="15">
        <f t="shared" si="36"/>
        <v>300</v>
      </c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  <c r="AI996" s="14"/>
      <c r="AJ996" s="15"/>
      <c r="AK996" s="16"/>
    </row>
    <row r="997" spans="2:37" x14ac:dyDescent="0.2">
      <c r="B997" s="7" t="s">
        <v>69</v>
      </c>
      <c r="C997" s="8">
        <v>11719</v>
      </c>
      <c r="D997" s="9" t="s">
        <v>514</v>
      </c>
      <c r="E997" s="10" t="s">
        <v>515</v>
      </c>
      <c r="F997" s="10" t="s">
        <v>516</v>
      </c>
      <c r="G997" s="8">
        <v>1</v>
      </c>
      <c r="H997" s="11">
        <v>300</v>
      </c>
      <c r="I997" s="12">
        <v>42519</v>
      </c>
      <c r="J997" s="13">
        <f t="shared" si="35"/>
        <v>0</v>
      </c>
      <c r="K997" s="14"/>
      <c r="L997" s="14"/>
      <c r="M997" s="14"/>
      <c r="N997" s="14"/>
      <c r="O997" s="14">
        <v>300</v>
      </c>
      <c r="P997" s="14"/>
      <c r="Q997" s="14"/>
      <c r="R997" s="14"/>
      <c r="S997" s="14"/>
      <c r="T997" s="14"/>
      <c r="U997" s="14"/>
      <c r="V997" s="14"/>
      <c r="W997" s="15">
        <f t="shared" si="36"/>
        <v>300</v>
      </c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  <c r="AH997" s="14"/>
      <c r="AI997" s="14"/>
      <c r="AJ997" s="15"/>
      <c r="AK997" s="16"/>
    </row>
    <row r="998" spans="2:37" x14ac:dyDescent="0.2">
      <c r="B998" s="7" t="s">
        <v>69</v>
      </c>
      <c r="C998" s="8">
        <v>11720</v>
      </c>
      <c r="D998" s="9" t="s">
        <v>135</v>
      </c>
      <c r="E998" s="10" t="s">
        <v>136</v>
      </c>
      <c r="F998" s="10" t="s">
        <v>137</v>
      </c>
      <c r="G998" s="8">
        <v>1</v>
      </c>
      <c r="H998" s="11">
        <v>300</v>
      </c>
      <c r="I998" s="12">
        <v>42519</v>
      </c>
      <c r="J998" s="13">
        <f t="shared" si="35"/>
        <v>0</v>
      </c>
      <c r="K998" s="14"/>
      <c r="L998" s="14"/>
      <c r="M998" s="14"/>
      <c r="N998" s="14"/>
      <c r="O998" s="14"/>
      <c r="P998" s="14">
        <v>300</v>
      </c>
      <c r="Q998" s="14"/>
      <c r="R998" s="14"/>
      <c r="S998" s="14"/>
      <c r="T998" s="14"/>
      <c r="U998" s="14"/>
      <c r="V998" s="14"/>
      <c r="W998" s="15">
        <f t="shared" si="36"/>
        <v>300</v>
      </c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  <c r="AI998" s="14"/>
      <c r="AJ998" s="15"/>
      <c r="AK998" s="16"/>
    </row>
    <row r="999" spans="2:37" x14ac:dyDescent="0.2">
      <c r="B999" s="7" t="s">
        <v>122</v>
      </c>
      <c r="C999" s="8">
        <v>11721</v>
      </c>
      <c r="D999" s="9" t="s">
        <v>788</v>
      </c>
      <c r="E999" s="10" t="s">
        <v>789</v>
      </c>
      <c r="F999" s="10" t="s">
        <v>790</v>
      </c>
      <c r="G999" s="8">
        <v>1</v>
      </c>
      <c r="H999" s="11">
        <v>400</v>
      </c>
      <c r="I999" s="12">
        <v>42519</v>
      </c>
      <c r="J999" s="13">
        <f t="shared" si="35"/>
        <v>0</v>
      </c>
      <c r="K999" s="14"/>
      <c r="L999" s="14"/>
      <c r="M999" s="14"/>
      <c r="N999" s="14"/>
      <c r="O999" s="14">
        <v>400</v>
      </c>
      <c r="P999" s="14"/>
      <c r="Q999" s="14"/>
      <c r="R999" s="14"/>
      <c r="S999" s="14"/>
      <c r="T999" s="14"/>
      <c r="U999" s="14"/>
      <c r="V999" s="14"/>
      <c r="W999" s="15">
        <f t="shared" si="36"/>
        <v>400</v>
      </c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  <c r="AH999" s="14"/>
      <c r="AI999" s="14"/>
      <c r="AJ999" s="15"/>
      <c r="AK999" s="16"/>
    </row>
    <row r="1000" spans="2:37" x14ac:dyDescent="0.2">
      <c r="B1000" s="7" t="s">
        <v>122</v>
      </c>
      <c r="C1000" s="8">
        <v>11722</v>
      </c>
      <c r="D1000" s="9" t="s">
        <v>123</v>
      </c>
      <c r="E1000" s="10" t="s">
        <v>124</v>
      </c>
      <c r="F1000" s="10" t="s">
        <v>125</v>
      </c>
      <c r="G1000" s="8">
        <v>1</v>
      </c>
      <c r="H1000" s="11">
        <v>250</v>
      </c>
      <c r="I1000" s="12">
        <v>42519</v>
      </c>
      <c r="J1000" s="13">
        <f t="shared" si="35"/>
        <v>0</v>
      </c>
      <c r="K1000" s="14"/>
      <c r="L1000" s="14"/>
      <c r="M1000" s="14"/>
      <c r="N1000" s="14"/>
      <c r="O1000" s="14"/>
      <c r="P1000" s="14">
        <v>250</v>
      </c>
      <c r="Q1000" s="14"/>
      <c r="R1000" s="14"/>
      <c r="S1000" s="14"/>
      <c r="T1000" s="14"/>
      <c r="U1000" s="14"/>
      <c r="V1000" s="14"/>
      <c r="W1000" s="15">
        <f t="shared" si="36"/>
        <v>250</v>
      </c>
      <c r="X1000" s="14"/>
      <c r="Y1000" s="14"/>
      <c r="Z1000" s="14"/>
      <c r="AA1000" s="14"/>
      <c r="AB1000" s="14"/>
      <c r="AC1000" s="14"/>
      <c r="AD1000" s="14"/>
      <c r="AE1000" s="14"/>
      <c r="AF1000" s="14"/>
      <c r="AG1000" s="14"/>
      <c r="AH1000" s="14"/>
      <c r="AI1000" s="14"/>
      <c r="AJ1000" s="15"/>
      <c r="AK1000" s="16"/>
    </row>
    <row r="1001" spans="2:37" x14ac:dyDescent="0.2">
      <c r="B1001" s="7" t="s">
        <v>93</v>
      </c>
      <c r="C1001" s="8">
        <v>11723</v>
      </c>
      <c r="D1001" s="9"/>
      <c r="E1001" s="10" t="s">
        <v>93</v>
      </c>
      <c r="F1001" s="10" t="s">
        <v>93</v>
      </c>
      <c r="G1001" s="8">
        <v>8</v>
      </c>
      <c r="H1001" s="11"/>
      <c r="I1001" s="12"/>
      <c r="J1001" s="13">
        <f t="shared" si="35"/>
        <v>0</v>
      </c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5">
        <f t="shared" si="36"/>
        <v>0</v>
      </c>
      <c r="X1001" s="14"/>
      <c r="Y1001" s="14"/>
      <c r="Z1001" s="14"/>
      <c r="AA1001" s="14"/>
      <c r="AB1001" s="14"/>
      <c r="AC1001" s="14"/>
      <c r="AD1001" s="14"/>
      <c r="AE1001" s="14"/>
      <c r="AF1001" s="14"/>
      <c r="AG1001" s="14"/>
      <c r="AH1001" s="14"/>
      <c r="AI1001" s="14"/>
      <c r="AJ1001" s="15"/>
      <c r="AK1001" s="16"/>
    </row>
    <row r="1002" spans="2:37" x14ac:dyDescent="0.2">
      <c r="B1002" s="7" t="s">
        <v>37</v>
      </c>
      <c r="C1002" s="8">
        <v>11724</v>
      </c>
      <c r="D1002" s="9" t="s">
        <v>538</v>
      </c>
      <c r="E1002" s="10" t="s">
        <v>539</v>
      </c>
      <c r="F1002" s="10" t="s">
        <v>540</v>
      </c>
      <c r="G1002" s="8">
        <v>1</v>
      </c>
      <c r="H1002" s="11">
        <v>400</v>
      </c>
      <c r="I1002" s="12">
        <v>42519</v>
      </c>
      <c r="J1002" s="13">
        <f t="shared" si="35"/>
        <v>0</v>
      </c>
      <c r="K1002" s="14"/>
      <c r="L1002" s="14"/>
      <c r="M1002" s="14"/>
      <c r="N1002" s="14"/>
      <c r="O1002" s="14">
        <v>400</v>
      </c>
      <c r="P1002" s="14"/>
      <c r="Q1002" s="14"/>
      <c r="R1002" s="14"/>
      <c r="S1002" s="14"/>
      <c r="T1002" s="14"/>
      <c r="U1002" s="14"/>
      <c r="V1002" s="14"/>
      <c r="W1002" s="15">
        <f t="shared" si="36"/>
        <v>400</v>
      </c>
      <c r="X1002" s="14"/>
      <c r="Y1002" s="14"/>
      <c r="Z1002" s="14"/>
      <c r="AA1002" s="14"/>
      <c r="AB1002" s="14"/>
      <c r="AC1002" s="14"/>
      <c r="AD1002" s="14"/>
      <c r="AE1002" s="14"/>
      <c r="AF1002" s="14"/>
      <c r="AG1002" s="14"/>
      <c r="AH1002" s="14"/>
      <c r="AI1002" s="14"/>
      <c r="AJ1002" s="15"/>
      <c r="AK1002" s="16"/>
    </row>
    <row r="1003" spans="2:37" x14ac:dyDescent="0.2">
      <c r="B1003" s="7" t="s">
        <v>69</v>
      </c>
      <c r="C1003" s="8">
        <v>11725</v>
      </c>
      <c r="D1003" s="9" t="s">
        <v>882</v>
      </c>
      <c r="E1003" s="10" t="s">
        <v>883</v>
      </c>
      <c r="F1003" s="10" t="s">
        <v>884</v>
      </c>
      <c r="G1003" s="8">
        <v>1</v>
      </c>
      <c r="H1003" s="11">
        <v>600</v>
      </c>
      <c r="I1003" s="12">
        <v>42519</v>
      </c>
      <c r="J1003" s="13">
        <f t="shared" si="35"/>
        <v>0</v>
      </c>
      <c r="K1003" s="14"/>
      <c r="L1003" s="14"/>
      <c r="M1003" s="14"/>
      <c r="N1003" s="14">
        <v>200</v>
      </c>
      <c r="O1003" s="14">
        <v>200</v>
      </c>
      <c r="P1003" s="14">
        <v>200</v>
      </c>
      <c r="Q1003" s="14"/>
      <c r="R1003" s="14"/>
      <c r="S1003" s="14"/>
      <c r="T1003" s="14"/>
      <c r="U1003" s="14"/>
      <c r="V1003" s="14"/>
      <c r="W1003" s="15">
        <f t="shared" si="36"/>
        <v>600</v>
      </c>
      <c r="X1003" s="14"/>
      <c r="Y1003" s="14"/>
      <c r="Z1003" s="14"/>
      <c r="AA1003" s="14"/>
      <c r="AB1003" s="14"/>
      <c r="AC1003" s="14"/>
      <c r="AD1003" s="14"/>
      <c r="AE1003" s="14"/>
      <c r="AF1003" s="14"/>
      <c r="AG1003" s="14"/>
      <c r="AH1003" s="14"/>
      <c r="AI1003" s="14"/>
      <c r="AJ1003" s="15"/>
      <c r="AK1003" s="16"/>
    </row>
    <row r="1004" spans="2:37" x14ac:dyDescent="0.2">
      <c r="B1004" s="7" t="s">
        <v>77</v>
      </c>
      <c r="C1004" s="8">
        <v>11726</v>
      </c>
      <c r="D1004" s="9" t="s">
        <v>473</v>
      </c>
      <c r="E1004" s="10" t="s">
        <v>474</v>
      </c>
      <c r="F1004" s="10" t="s">
        <v>475</v>
      </c>
      <c r="G1004" s="8">
        <v>1</v>
      </c>
      <c r="H1004" s="11">
        <v>400</v>
      </c>
      <c r="I1004" s="12">
        <v>42519</v>
      </c>
      <c r="J1004" s="13">
        <f t="shared" si="35"/>
        <v>0</v>
      </c>
      <c r="K1004" s="14"/>
      <c r="L1004" s="14"/>
      <c r="M1004" s="14"/>
      <c r="N1004" s="14"/>
      <c r="O1004" s="14">
        <v>400</v>
      </c>
      <c r="P1004" s="14"/>
      <c r="Q1004" s="14"/>
      <c r="R1004" s="14"/>
      <c r="S1004" s="14"/>
      <c r="T1004" s="14"/>
      <c r="U1004" s="14"/>
      <c r="V1004" s="14"/>
      <c r="W1004" s="15">
        <f t="shared" si="36"/>
        <v>400</v>
      </c>
      <c r="X1004" s="14"/>
      <c r="Y1004" s="14"/>
      <c r="Z1004" s="14"/>
      <c r="AA1004" s="14"/>
      <c r="AB1004" s="14"/>
      <c r="AC1004" s="14"/>
      <c r="AD1004" s="14"/>
      <c r="AE1004" s="14"/>
      <c r="AF1004" s="14"/>
      <c r="AG1004" s="14"/>
      <c r="AH1004" s="14"/>
      <c r="AI1004" s="14"/>
      <c r="AJ1004" s="15"/>
      <c r="AK1004" s="16"/>
    </row>
    <row r="1005" spans="2:37" x14ac:dyDescent="0.2">
      <c r="B1005" s="7" t="s">
        <v>47</v>
      </c>
      <c r="C1005" s="8">
        <v>11727</v>
      </c>
      <c r="D1005" s="9" t="s">
        <v>84</v>
      </c>
      <c r="E1005" s="10" t="s">
        <v>85</v>
      </c>
      <c r="F1005" s="10" t="s">
        <v>86</v>
      </c>
      <c r="G1005" s="8">
        <v>3</v>
      </c>
      <c r="H1005" s="11">
        <v>160</v>
      </c>
      <c r="I1005" s="12">
        <v>42519</v>
      </c>
      <c r="J1005" s="13">
        <f t="shared" si="35"/>
        <v>0</v>
      </c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5">
        <f t="shared" si="36"/>
        <v>0</v>
      </c>
      <c r="X1005" s="14"/>
      <c r="Y1005" s="14"/>
      <c r="Z1005" s="14"/>
      <c r="AA1005" s="14"/>
      <c r="AB1005" s="14"/>
      <c r="AC1005" s="14"/>
      <c r="AD1005" s="14"/>
      <c r="AE1005" s="14"/>
      <c r="AF1005" s="14"/>
      <c r="AG1005" s="14"/>
      <c r="AH1005" s="14"/>
      <c r="AI1005" s="14"/>
      <c r="AJ1005" s="15"/>
      <c r="AK1005" s="16"/>
    </row>
    <row r="1006" spans="2:37" x14ac:dyDescent="0.2">
      <c r="B1006" s="7" t="s">
        <v>69</v>
      </c>
      <c r="C1006" s="8">
        <v>11728</v>
      </c>
      <c r="D1006" s="9" t="s">
        <v>361</v>
      </c>
      <c r="E1006" s="10" t="s">
        <v>362</v>
      </c>
      <c r="F1006" s="10" t="s">
        <v>363</v>
      </c>
      <c r="G1006" s="8">
        <v>1</v>
      </c>
      <c r="H1006" s="11">
        <v>400</v>
      </c>
      <c r="I1006" s="12">
        <v>42519</v>
      </c>
      <c r="J1006" s="13">
        <f t="shared" si="35"/>
        <v>0</v>
      </c>
      <c r="K1006" s="14"/>
      <c r="L1006" s="14"/>
      <c r="M1006" s="14"/>
      <c r="N1006" s="14"/>
      <c r="O1006" s="14">
        <v>400</v>
      </c>
      <c r="P1006" s="14"/>
      <c r="Q1006" s="14"/>
      <c r="R1006" s="14"/>
      <c r="S1006" s="14"/>
      <c r="T1006" s="14"/>
      <c r="U1006" s="14"/>
      <c r="V1006" s="14"/>
      <c r="W1006" s="15">
        <f t="shared" si="36"/>
        <v>400</v>
      </c>
      <c r="X1006" s="14"/>
      <c r="Y1006" s="14"/>
      <c r="Z1006" s="14"/>
      <c r="AA1006" s="14"/>
      <c r="AB1006" s="14"/>
      <c r="AC1006" s="14"/>
      <c r="AD1006" s="14"/>
      <c r="AE1006" s="14"/>
      <c r="AF1006" s="14"/>
      <c r="AG1006" s="14"/>
      <c r="AH1006" s="14"/>
      <c r="AI1006" s="14"/>
      <c r="AJ1006" s="15"/>
      <c r="AK1006" s="16"/>
    </row>
    <row r="1007" spans="2:37" x14ac:dyDescent="0.2">
      <c r="B1007" s="7" t="s">
        <v>69</v>
      </c>
      <c r="C1007" s="8">
        <v>11729</v>
      </c>
      <c r="D1007" s="9" t="s">
        <v>361</v>
      </c>
      <c r="E1007" s="10" t="s">
        <v>362</v>
      </c>
      <c r="F1007" s="10" t="s">
        <v>363</v>
      </c>
      <c r="G1007" s="8">
        <v>1</v>
      </c>
      <c r="H1007" s="11">
        <v>400</v>
      </c>
      <c r="I1007" s="12">
        <v>42519</v>
      </c>
      <c r="J1007" s="13">
        <f t="shared" si="35"/>
        <v>0</v>
      </c>
      <c r="K1007" s="14"/>
      <c r="L1007" s="14"/>
      <c r="M1007" s="14"/>
      <c r="N1007" s="14"/>
      <c r="O1007" s="14"/>
      <c r="P1007" s="14">
        <v>400</v>
      </c>
      <c r="Q1007" s="14"/>
      <c r="R1007" s="14"/>
      <c r="S1007" s="14"/>
      <c r="T1007" s="14"/>
      <c r="U1007" s="14"/>
      <c r="V1007" s="14"/>
      <c r="W1007" s="15">
        <f t="shared" si="36"/>
        <v>400</v>
      </c>
      <c r="X1007" s="14"/>
      <c r="Y1007" s="14"/>
      <c r="Z1007" s="14"/>
      <c r="AA1007" s="14"/>
      <c r="AB1007" s="14"/>
      <c r="AC1007" s="14"/>
      <c r="AD1007" s="14"/>
      <c r="AE1007" s="14"/>
      <c r="AF1007" s="14"/>
      <c r="AG1007" s="14"/>
      <c r="AH1007" s="14"/>
      <c r="AI1007" s="14"/>
      <c r="AJ1007" s="15"/>
      <c r="AK1007" s="16"/>
    </row>
    <row r="1008" spans="2:37" x14ac:dyDescent="0.2">
      <c r="B1008" s="7" t="s">
        <v>73</v>
      </c>
      <c r="C1008" s="8">
        <v>11730</v>
      </c>
      <c r="D1008" s="9" t="s">
        <v>523</v>
      </c>
      <c r="E1008" s="10" t="s">
        <v>524</v>
      </c>
      <c r="F1008" s="10" t="s">
        <v>525</v>
      </c>
      <c r="G1008" s="8">
        <v>1</v>
      </c>
      <c r="H1008" s="11">
        <v>400</v>
      </c>
      <c r="I1008" s="12">
        <v>42519</v>
      </c>
      <c r="J1008" s="13">
        <f t="shared" si="35"/>
        <v>0</v>
      </c>
      <c r="K1008" s="14"/>
      <c r="L1008" s="14"/>
      <c r="M1008" s="14">
        <v>400</v>
      </c>
      <c r="N1008" s="14"/>
      <c r="O1008" s="14"/>
      <c r="P1008" s="14"/>
      <c r="Q1008" s="14"/>
      <c r="R1008" s="14"/>
      <c r="S1008" s="14"/>
      <c r="T1008" s="14"/>
      <c r="U1008" s="14"/>
      <c r="V1008" s="14"/>
      <c r="W1008" s="15">
        <f t="shared" si="36"/>
        <v>400</v>
      </c>
      <c r="X1008" s="14"/>
      <c r="Y1008" s="14"/>
      <c r="Z1008" s="14"/>
      <c r="AA1008" s="14"/>
      <c r="AB1008" s="14"/>
      <c r="AC1008" s="14"/>
      <c r="AD1008" s="14"/>
      <c r="AE1008" s="14"/>
      <c r="AF1008" s="14"/>
      <c r="AG1008" s="14"/>
      <c r="AH1008" s="14"/>
      <c r="AI1008" s="14"/>
      <c r="AJ1008" s="15"/>
      <c r="AK1008" s="16"/>
    </row>
    <row r="1009" spans="1:38" x14ac:dyDescent="0.2">
      <c r="B1009" s="7" t="s">
        <v>93</v>
      </c>
      <c r="C1009" s="8">
        <v>11731</v>
      </c>
      <c r="D1009" s="9"/>
      <c r="E1009" s="10" t="s">
        <v>93</v>
      </c>
      <c r="F1009" s="10" t="s">
        <v>93</v>
      </c>
      <c r="G1009" s="8">
        <v>8</v>
      </c>
      <c r="H1009" s="11"/>
      <c r="I1009" s="12"/>
      <c r="J1009" s="13">
        <f t="shared" si="35"/>
        <v>0</v>
      </c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5">
        <f t="shared" si="36"/>
        <v>0</v>
      </c>
      <c r="X1009" s="14"/>
      <c r="Y1009" s="14"/>
      <c r="Z1009" s="14"/>
      <c r="AA1009" s="14"/>
      <c r="AB1009" s="14"/>
      <c r="AC1009" s="14"/>
      <c r="AD1009" s="14"/>
      <c r="AE1009" s="14"/>
      <c r="AF1009" s="14"/>
      <c r="AG1009" s="14"/>
      <c r="AH1009" s="14"/>
      <c r="AI1009" s="14"/>
      <c r="AJ1009" s="15"/>
      <c r="AK1009" s="16"/>
    </row>
    <row r="1010" spans="1:38" x14ac:dyDescent="0.2">
      <c r="B1010" s="7" t="s">
        <v>47</v>
      </c>
      <c r="C1010" s="8">
        <v>11732</v>
      </c>
      <c r="D1010" s="9" t="s">
        <v>349</v>
      </c>
      <c r="E1010" s="10" t="s">
        <v>350</v>
      </c>
      <c r="F1010" s="10" t="s">
        <v>351</v>
      </c>
      <c r="G1010" s="8">
        <v>1</v>
      </c>
      <c r="H1010" s="11">
        <v>300</v>
      </c>
      <c r="I1010" s="12">
        <v>42519</v>
      </c>
      <c r="J1010" s="13">
        <f t="shared" si="35"/>
        <v>0</v>
      </c>
      <c r="K1010" s="14"/>
      <c r="L1010" s="14"/>
      <c r="M1010" s="14"/>
      <c r="N1010" s="14"/>
      <c r="O1010" s="14"/>
      <c r="P1010" s="14">
        <v>300</v>
      </c>
      <c r="Q1010" s="14"/>
      <c r="R1010" s="14"/>
      <c r="S1010" s="14"/>
      <c r="T1010" s="14"/>
      <c r="U1010" s="14"/>
      <c r="V1010" s="14"/>
      <c r="W1010" s="15">
        <f t="shared" si="36"/>
        <v>300</v>
      </c>
      <c r="X1010" s="14"/>
      <c r="Y1010" s="14"/>
      <c r="Z1010" s="14"/>
      <c r="AA1010" s="14"/>
      <c r="AB1010" s="14"/>
      <c r="AC1010" s="14"/>
      <c r="AD1010" s="14"/>
      <c r="AE1010" s="14"/>
      <c r="AF1010" s="14"/>
      <c r="AG1010" s="14"/>
      <c r="AH1010" s="14"/>
      <c r="AI1010" s="14"/>
      <c r="AJ1010" s="15"/>
      <c r="AK1010" s="16"/>
    </row>
    <row r="1011" spans="1:38" x14ac:dyDescent="0.2">
      <c r="B1011" s="7" t="s">
        <v>69</v>
      </c>
      <c r="C1011" s="8">
        <v>11733</v>
      </c>
      <c r="D1011" s="9" t="s">
        <v>871</v>
      </c>
      <c r="E1011" s="10" t="s">
        <v>872</v>
      </c>
      <c r="F1011" s="10" t="s">
        <v>873</v>
      </c>
      <c r="G1011" s="8">
        <v>1</v>
      </c>
      <c r="H1011" s="11">
        <v>200</v>
      </c>
      <c r="I1011" s="12">
        <v>42519</v>
      </c>
      <c r="J1011" s="13">
        <f t="shared" si="35"/>
        <v>0</v>
      </c>
      <c r="K1011" s="14">
        <v>200</v>
      </c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5">
        <f t="shared" si="36"/>
        <v>200</v>
      </c>
      <c r="X1011" s="14"/>
      <c r="Y1011" s="14"/>
      <c r="Z1011" s="14"/>
      <c r="AA1011" s="14"/>
      <c r="AB1011" s="14"/>
      <c r="AC1011" s="14"/>
      <c r="AD1011" s="14"/>
      <c r="AE1011" s="14"/>
      <c r="AF1011" s="14"/>
      <c r="AG1011" s="14"/>
      <c r="AH1011" s="14"/>
      <c r="AI1011" s="14"/>
      <c r="AJ1011" s="15"/>
      <c r="AK1011" s="16"/>
    </row>
    <row r="1012" spans="1:38" x14ac:dyDescent="0.2">
      <c r="B1012" s="7" t="s">
        <v>69</v>
      </c>
      <c r="C1012" s="8">
        <v>11734</v>
      </c>
      <c r="D1012" s="9" t="s">
        <v>871</v>
      </c>
      <c r="E1012" s="10" t="s">
        <v>872</v>
      </c>
      <c r="F1012" s="10" t="s">
        <v>873</v>
      </c>
      <c r="G1012" s="8">
        <v>1</v>
      </c>
      <c r="H1012" s="11">
        <v>300</v>
      </c>
      <c r="I1012" s="12">
        <v>42519</v>
      </c>
      <c r="J1012" s="13">
        <f t="shared" si="35"/>
        <v>0</v>
      </c>
      <c r="K1012" s="14"/>
      <c r="L1012" s="14"/>
      <c r="M1012" s="14"/>
      <c r="N1012" s="14"/>
      <c r="O1012" s="14">
        <v>300</v>
      </c>
      <c r="P1012" s="14"/>
      <c r="Q1012" s="14"/>
      <c r="R1012" s="14"/>
      <c r="S1012" s="14"/>
      <c r="T1012" s="14"/>
      <c r="U1012" s="14"/>
      <c r="V1012" s="14"/>
      <c r="W1012" s="15">
        <f t="shared" si="36"/>
        <v>300</v>
      </c>
      <c r="X1012" s="14"/>
      <c r="Y1012" s="14"/>
      <c r="Z1012" s="14"/>
      <c r="AA1012" s="14"/>
      <c r="AB1012" s="14"/>
      <c r="AC1012" s="14"/>
      <c r="AD1012" s="14"/>
      <c r="AE1012" s="14"/>
      <c r="AF1012" s="14"/>
      <c r="AG1012" s="14"/>
      <c r="AH1012" s="14"/>
      <c r="AI1012" s="14"/>
      <c r="AJ1012" s="15"/>
      <c r="AK1012" s="16"/>
    </row>
    <row r="1013" spans="1:38" x14ac:dyDescent="0.2">
      <c r="B1013" s="7" t="s">
        <v>47</v>
      </c>
      <c r="C1013" s="8">
        <v>11735</v>
      </c>
      <c r="D1013" s="9" t="s">
        <v>577</v>
      </c>
      <c r="E1013" s="10" t="s">
        <v>578</v>
      </c>
      <c r="F1013" s="10" t="s">
        <v>579</v>
      </c>
      <c r="G1013" s="8">
        <v>1</v>
      </c>
      <c r="H1013" s="11">
        <v>1200</v>
      </c>
      <c r="I1013" s="12">
        <v>42519</v>
      </c>
      <c r="J1013" s="13">
        <f t="shared" si="35"/>
        <v>0</v>
      </c>
      <c r="K1013" s="14"/>
      <c r="L1013" s="14"/>
      <c r="M1013" s="14"/>
      <c r="N1013" s="14">
        <v>400</v>
      </c>
      <c r="O1013" s="14">
        <v>400</v>
      </c>
      <c r="P1013" s="14">
        <v>400</v>
      </c>
      <c r="Q1013" s="14"/>
      <c r="R1013" s="14"/>
      <c r="S1013" s="14"/>
      <c r="T1013" s="14"/>
      <c r="U1013" s="14"/>
      <c r="V1013" s="14"/>
      <c r="W1013" s="15">
        <f t="shared" si="36"/>
        <v>1200</v>
      </c>
      <c r="X1013" s="14"/>
      <c r="Y1013" s="14"/>
      <c r="Z1013" s="14"/>
      <c r="AA1013" s="14"/>
      <c r="AB1013" s="14"/>
      <c r="AC1013" s="14"/>
      <c r="AD1013" s="14"/>
      <c r="AE1013" s="14"/>
      <c r="AF1013" s="14"/>
      <c r="AG1013" s="14"/>
      <c r="AH1013" s="14"/>
      <c r="AI1013" s="14"/>
      <c r="AJ1013" s="15"/>
      <c r="AK1013" s="16"/>
    </row>
    <row r="1014" spans="1:38" x14ac:dyDescent="0.2">
      <c r="B1014" s="7" t="s">
        <v>47</v>
      </c>
      <c r="C1014" s="8">
        <v>11736</v>
      </c>
      <c r="D1014" s="9" t="s">
        <v>968</v>
      </c>
      <c r="E1014" s="10" t="s">
        <v>969</v>
      </c>
      <c r="F1014" s="10" t="s">
        <v>970</v>
      </c>
      <c r="G1014" s="8">
        <v>1</v>
      </c>
      <c r="H1014" s="11">
        <v>2400</v>
      </c>
      <c r="I1014" s="12">
        <v>42519</v>
      </c>
      <c r="J1014" s="13">
        <f t="shared" si="35"/>
        <v>0</v>
      </c>
      <c r="K1014" s="14">
        <v>400</v>
      </c>
      <c r="L1014" s="14">
        <v>400</v>
      </c>
      <c r="M1014" s="14">
        <v>400</v>
      </c>
      <c r="N1014" s="14">
        <v>400</v>
      </c>
      <c r="O1014" s="14">
        <v>400</v>
      </c>
      <c r="P1014" s="14">
        <v>400</v>
      </c>
      <c r="Q1014" s="14"/>
      <c r="R1014" s="14"/>
      <c r="S1014" s="14"/>
      <c r="T1014" s="14"/>
      <c r="U1014" s="14"/>
      <c r="V1014" s="14"/>
      <c r="W1014" s="15">
        <f t="shared" si="36"/>
        <v>2400</v>
      </c>
      <c r="X1014" s="14"/>
      <c r="Y1014" s="14"/>
      <c r="Z1014" s="14"/>
      <c r="AA1014" s="14"/>
      <c r="AB1014" s="14"/>
      <c r="AC1014" s="14"/>
      <c r="AD1014" s="14"/>
      <c r="AE1014" s="14"/>
      <c r="AF1014" s="14"/>
      <c r="AG1014" s="14"/>
      <c r="AH1014" s="14"/>
      <c r="AI1014" s="14"/>
      <c r="AJ1014" s="15"/>
      <c r="AK1014" s="16"/>
      <c r="AL1014" s="113">
        <f>SUM(H991:H1014)</f>
        <v>10870</v>
      </c>
    </row>
    <row r="1015" spans="1:38" x14ac:dyDescent="0.2">
      <c r="B1015" s="7" t="s">
        <v>73</v>
      </c>
      <c r="C1015" s="8"/>
      <c r="D1015" s="9" t="s">
        <v>806</v>
      </c>
      <c r="E1015" s="10" t="s">
        <v>885</v>
      </c>
      <c r="F1015" s="10" t="s">
        <v>805</v>
      </c>
      <c r="G1015" s="8">
        <v>1</v>
      </c>
      <c r="H1015" s="11">
        <v>11000</v>
      </c>
      <c r="I1015" s="12">
        <v>42508</v>
      </c>
      <c r="J1015" s="13">
        <f t="shared" si="35"/>
        <v>0</v>
      </c>
      <c r="K1015" s="14"/>
      <c r="L1015" s="14"/>
      <c r="M1015" s="14"/>
      <c r="N1015" s="14"/>
      <c r="O1015" s="14">
        <v>11000</v>
      </c>
      <c r="P1015" s="14"/>
      <c r="Q1015" s="14"/>
      <c r="R1015" s="14"/>
      <c r="S1015" s="14"/>
      <c r="T1015" s="14"/>
      <c r="U1015" s="14"/>
      <c r="V1015" s="14"/>
      <c r="W1015" s="15">
        <f t="shared" si="36"/>
        <v>11000</v>
      </c>
      <c r="X1015" s="14"/>
      <c r="Y1015" s="14"/>
      <c r="Z1015" s="14"/>
      <c r="AA1015" s="14"/>
      <c r="AB1015" s="14"/>
      <c r="AC1015" s="14"/>
      <c r="AD1015" s="14"/>
      <c r="AE1015" s="14"/>
      <c r="AF1015" s="14"/>
      <c r="AG1015" s="14"/>
      <c r="AH1015" s="14"/>
      <c r="AI1015" s="14"/>
      <c r="AJ1015" s="15"/>
      <c r="AK1015" s="16"/>
    </row>
    <row r="1016" spans="1:38" x14ac:dyDescent="0.2">
      <c r="B1016" s="7" t="s">
        <v>37</v>
      </c>
      <c r="C1016" s="8">
        <v>11867</v>
      </c>
      <c r="D1016" s="9" t="s">
        <v>119</v>
      </c>
      <c r="E1016" s="10" t="s">
        <v>120</v>
      </c>
      <c r="F1016" s="10" t="s">
        <v>121</v>
      </c>
      <c r="G1016" s="8">
        <v>1</v>
      </c>
      <c r="H1016" s="11">
        <v>800</v>
      </c>
      <c r="I1016" s="12">
        <v>42520</v>
      </c>
      <c r="J1016" s="13">
        <f t="shared" si="35"/>
        <v>0</v>
      </c>
      <c r="K1016" s="14"/>
      <c r="L1016" s="14"/>
      <c r="M1016" s="14"/>
      <c r="N1016" s="14">
        <v>400</v>
      </c>
      <c r="O1016" s="14">
        <v>400</v>
      </c>
      <c r="P1016" s="14"/>
      <c r="Q1016" s="14"/>
      <c r="R1016" s="14"/>
      <c r="S1016" s="14"/>
      <c r="T1016" s="14"/>
      <c r="U1016" s="14"/>
      <c r="V1016" s="14"/>
      <c r="W1016" s="15">
        <f t="shared" si="36"/>
        <v>800</v>
      </c>
      <c r="X1016" s="14"/>
      <c r="Y1016" s="14"/>
      <c r="Z1016" s="14"/>
      <c r="AA1016" s="14"/>
      <c r="AB1016" s="14"/>
      <c r="AC1016" s="14"/>
      <c r="AD1016" s="14"/>
      <c r="AE1016" s="14"/>
      <c r="AF1016" s="14"/>
      <c r="AG1016" s="14"/>
      <c r="AH1016" s="14"/>
      <c r="AI1016" s="14"/>
      <c r="AJ1016" s="15"/>
      <c r="AK1016" s="16"/>
    </row>
    <row r="1017" spans="1:38" x14ac:dyDescent="0.2">
      <c r="B1017" s="7" t="s">
        <v>47</v>
      </c>
      <c r="C1017" s="8">
        <v>11854</v>
      </c>
      <c r="D1017" s="9" t="s">
        <v>971</v>
      </c>
      <c r="E1017" s="10" t="s">
        <v>972</v>
      </c>
      <c r="F1017" s="10" t="s">
        <v>973</v>
      </c>
      <c r="G1017" s="8">
        <v>7</v>
      </c>
      <c r="H1017" s="11">
        <v>1300</v>
      </c>
      <c r="I1017" s="12">
        <v>42501</v>
      </c>
      <c r="J1017" s="13">
        <f t="shared" si="35"/>
        <v>0</v>
      </c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5">
        <f t="shared" si="36"/>
        <v>0</v>
      </c>
      <c r="X1017" s="14"/>
      <c r="Y1017" s="14"/>
      <c r="Z1017" s="14"/>
      <c r="AA1017" s="14"/>
      <c r="AB1017" s="14"/>
      <c r="AC1017" s="14"/>
      <c r="AD1017" s="14"/>
      <c r="AE1017" s="14"/>
      <c r="AF1017" s="14"/>
      <c r="AG1017" s="14"/>
      <c r="AH1017" s="14"/>
      <c r="AI1017" s="14"/>
      <c r="AJ1017" s="15"/>
      <c r="AK1017" s="16" t="s">
        <v>974</v>
      </c>
    </row>
    <row r="1018" spans="1:38" x14ac:dyDescent="0.2">
      <c r="B1018" s="48"/>
      <c r="C1018" s="48"/>
      <c r="D1018" s="48"/>
      <c r="E1018" s="48"/>
      <c r="F1018" s="48"/>
      <c r="G1018" s="19"/>
      <c r="H1018" s="21"/>
      <c r="I1018" s="26"/>
      <c r="J1018" s="27"/>
      <c r="K1018" s="28"/>
      <c r="L1018" s="28"/>
      <c r="M1018" s="28"/>
      <c r="N1018" s="28"/>
      <c r="O1018" s="28"/>
      <c r="P1018" s="28"/>
      <c r="Q1018" s="28"/>
      <c r="R1018" s="28"/>
      <c r="S1018" s="28"/>
      <c r="T1018" s="28"/>
      <c r="U1018" s="28"/>
      <c r="V1018" s="28"/>
      <c r="W1018" s="29"/>
      <c r="X1018" s="28"/>
      <c r="Y1018" s="28"/>
      <c r="Z1018" s="28"/>
      <c r="AA1018" s="28"/>
      <c r="AB1018" s="28"/>
      <c r="AC1018" s="28"/>
      <c r="AD1018" s="28"/>
      <c r="AE1018" s="28"/>
      <c r="AF1018" s="28"/>
      <c r="AG1018" s="28"/>
      <c r="AH1018" s="28"/>
      <c r="AI1018" s="28"/>
      <c r="AJ1018" s="29"/>
      <c r="AK1018" s="25"/>
      <c r="AL1018" s="113">
        <f>SUM(H787:H1017)</f>
        <v>117045</v>
      </c>
    </row>
    <row r="1019" spans="1:38" ht="22.5" x14ac:dyDescent="0.2">
      <c r="A1019" s="2" t="s">
        <v>0</v>
      </c>
      <c r="B1019" s="3" t="s">
        <v>1</v>
      </c>
      <c r="C1019" s="3" t="s">
        <v>2</v>
      </c>
      <c r="D1019" s="3" t="s">
        <v>3</v>
      </c>
      <c r="E1019" s="3" t="s">
        <v>4</v>
      </c>
      <c r="F1019" s="3" t="s">
        <v>5</v>
      </c>
      <c r="G1019" s="3" t="s">
        <v>6</v>
      </c>
      <c r="H1019" s="3" t="s">
        <v>7</v>
      </c>
      <c r="I1019" s="3" t="s">
        <v>8</v>
      </c>
      <c r="J1019" s="3" t="s">
        <v>9</v>
      </c>
      <c r="K1019" s="4" t="s">
        <v>10</v>
      </c>
      <c r="L1019" s="4" t="s">
        <v>11</v>
      </c>
      <c r="M1019" s="4" t="s">
        <v>12</v>
      </c>
      <c r="N1019" s="4" t="s">
        <v>13</v>
      </c>
      <c r="O1019" s="4" t="s">
        <v>14</v>
      </c>
      <c r="P1019" s="4" t="s">
        <v>15</v>
      </c>
      <c r="Q1019" s="4" t="s">
        <v>16</v>
      </c>
      <c r="R1019" s="4" t="s">
        <v>17</v>
      </c>
      <c r="S1019" s="4" t="s">
        <v>18</v>
      </c>
      <c r="T1019" s="4" t="s">
        <v>19</v>
      </c>
      <c r="U1019" s="4" t="s">
        <v>20</v>
      </c>
      <c r="V1019" s="4" t="s">
        <v>21</v>
      </c>
      <c r="W1019" s="5" t="s">
        <v>22</v>
      </c>
      <c r="X1019" s="4" t="s">
        <v>23</v>
      </c>
      <c r="Y1019" s="4" t="s">
        <v>24</v>
      </c>
      <c r="Z1019" s="4" t="s">
        <v>25</v>
      </c>
      <c r="AA1019" s="4" t="s">
        <v>26</v>
      </c>
      <c r="AB1019" s="4" t="s">
        <v>27</v>
      </c>
      <c r="AC1019" s="4" t="s">
        <v>28</v>
      </c>
      <c r="AD1019" s="4" t="s">
        <v>29</v>
      </c>
      <c r="AE1019" s="4" t="s">
        <v>30</v>
      </c>
      <c r="AF1019" s="4" t="s">
        <v>31</v>
      </c>
      <c r="AG1019" s="4" t="s">
        <v>32</v>
      </c>
      <c r="AH1019" s="4" t="s">
        <v>33</v>
      </c>
      <c r="AI1019" s="4" t="s">
        <v>34</v>
      </c>
      <c r="AJ1019" s="5" t="s">
        <v>35</v>
      </c>
      <c r="AK1019" s="6" t="s">
        <v>36</v>
      </c>
    </row>
    <row r="1020" spans="1:38" x14ac:dyDescent="0.2">
      <c r="B1020" s="7" t="s">
        <v>37</v>
      </c>
      <c r="C1020" s="8">
        <v>11737</v>
      </c>
      <c r="D1020" s="9" t="s">
        <v>446</v>
      </c>
      <c r="E1020" s="10" t="s">
        <v>447</v>
      </c>
      <c r="F1020" s="10" t="s">
        <v>448</v>
      </c>
      <c r="G1020" s="8">
        <v>1</v>
      </c>
      <c r="H1020" s="11">
        <v>200</v>
      </c>
      <c r="I1020" s="12">
        <v>42520</v>
      </c>
      <c r="J1020" s="13">
        <f t="shared" ref="J1020:J1083" si="37">IF(G1020=1,SUM(W1020,-H1020),0)</f>
        <v>0</v>
      </c>
      <c r="K1020" s="14"/>
      <c r="L1020" s="14"/>
      <c r="M1020" s="14"/>
      <c r="N1020" s="14"/>
      <c r="O1020" s="14">
        <v>200</v>
      </c>
      <c r="P1020" s="14"/>
      <c r="Q1020" s="14"/>
      <c r="R1020" s="14"/>
      <c r="S1020" s="14"/>
      <c r="T1020" s="14"/>
      <c r="U1020" s="14"/>
      <c r="V1020" s="14"/>
      <c r="W1020" s="15">
        <f t="shared" ref="W1020:W1083" si="38">SUM(K1020:V1020)</f>
        <v>200</v>
      </c>
      <c r="X1020" s="14"/>
      <c r="Y1020" s="14"/>
      <c r="Z1020" s="14"/>
      <c r="AA1020" s="14"/>
      <c r="AB1020" s="14"/>
      <c r="AC1020" s="14"/>
      <c r="AD1020" s="14"/>
      <c r="AE1020" s="14"/>
      <c r="AF1020" s="14"/>
      <c r="AG1020" s="14"/>
      <c r="AH1020" s="14"/>
      <c r="AI1020" s="14"/>
      <c r="AJ1020" s="15"/>
      <c r="AK1020" s="16"/>
    </row>
    <row r="1021" spans="1:38" x14ac:dyDescent="0.2">
      <c r="B1021" s="7" t="s">
        <v>69</v>
      </c>
      <c r="C1021" s="8">
        <v>11738</v>
      </c>
      <c r="D1021" s="9" t="s">
        <v>890</v>
      </c>
      <c r="E1021" s="10" t="s">
        <v>891</v>
      </c>
      <c r="F1021" s="10" t="s">
        <v>892</v>
      </c>
      <c r="G1021" s="8">
        <v>1</v>
      </c>
      <c r="H1021" s="11">
        <v>1200</v>
      </c>
      <c r="I1021" s="12">
        <v>42521</v>
      </c>
      <c r="J1021" s="13">
        <f t="shared" si="37"/>
        <v>0</v>
      </c>
      <c r="K1021" s="14"/>
      <c r="L1021" s="14"/>
      <c r="M1021" s="14">
        <v>400</v>
      </c>
      <c r="N1021" s="14">
        <v>400</v>
      </c>
      <c r="O1021" s="14">
        <v>400</v>
      </c>
      <c r="P1021" s="14"/>
      <c r="Q1021" s="14"/>
      <c r="R1021" s="14"/>
      <c r="S1021" s="14"/>
      <c r="T1021" s="14"/>
      <c r="U1021" s="14"/>
      <c r="V1021" s="14"/>
      <c r="W1021" s="15">
        <f t="shared" si="38"/>
        <v>1200</v>
      </c>
      <c r="X1021" s="14"/>
      <c r="Y1021" s="14"/>
      <c r="Z1021" s="14"/>
      <c r="AA1021" s="14"/>
      <c r="AB1021" s="14"/>
      <c r="AC1021" s="14"/>
      <c r="AD1021" s="14"/>
      <c r="AE1021" s="14"/>
      <c r="AF1021" s="14"/>
      <c r="AG1021" s="14"/>
      <c r="AH1021" s="14"/>
      <c r="AI1021" s="14"/>
      <c r="AJ1021" s="15"/>
      <c r="AK1021" s="16"/>
    </row>
    <row r="1022" spans="1:38" x14ac:dyDescent="0.2">
      <c r="B1022" s="7" t="s">
        <v>37</v>
      </c>
      <c r="C1022" s="8">
        <v>11739</v>
      </c>
      <c r="D1022" s="9" t="s">
        <v>975</v>
      </c>
      <c r="E1022" s="10" t="s">
        <v>976</v>
      </c>
      <c r="F1022" s="10" t="s">
        <v>573</v>
      </c>
      <c r="G1022" s="8">
        <v>1</v>
      </c>
      <c r="H1022" s="11">
        <v>400</v>
      </c>
      <c r="I1022" s="12">
        <v>42521</v>
      </c>
      <c r="J1022" s="13">
        <f t="shared" si="37"/>
        <v>0</v>
      </c>
      <c r="K1022" s="14"/>
      <c r="L1022" s="14"/>
      <c r="M1022" s="14"/>
      <c r="N1022" s="14"/>
      <c r="O1022" s="14"/>
      <c r="P1022" s="14">
        <v>400</v>
      </c>
      <c r="Q1022" s="14"/>
      <c r="R1022" s="14"/>
      <c r="S1022" s="14"/>
      <c r="T1022" s="14"/>
      <c r="U1022" s="14"/>
      <c r="V1022" s="14"/>
      <c r="W1022" s="15">
        <f t="shared" si="38"/>
        <v>400</v>
      </c>
      <c r="X1022" s="14"/>
      <c r="Y1022" s="14"/>
      <c r="Z1022" s="14"/>
      <c r="AA1022" s="14"/>
      <c r="AB1022" s="14"/>
      <c r="AC1022" s="14"/>
      <c r="AD1022" s="14"/>
      <c r="AE1022" s="14"/>
      <c r="AF1022" s="14"/>
      <c r="AG1022" s="14"/>
      <c r="AH1022" s="14"/>
      <c r="AI1022" s="14"/>
      <c r="AJ1022" s="15"/>
      <c r="AK1022" s="16"/>
    </row>
    <row r="1023" spans="1:38" x14ac:dyDescent="0.2">
      <c r="B1023" s="7" t="s">
        <v>47</v>
      </c>
      <c r="C1023" s="8">
        <v>11740</v>
      </c>
      <c r="D1023" s="9" t="s">
        <v>162</v>
      </c>
      <c r="E1023" s="10" t="s">
        <v>163</v>
      </c>
      <c r="F1023" s="10" t="s">
        <v>164</v>
      </c>
      <c r="G1023" s="8">
        <v>3</v>
      </c>
      <c r="H1023" s="11">
        <v>160</v>
      </c>
      <c r="I1023" s="12">
        <v>42521</v>
      </c>
      <c r="J1023" s="13">
        <f t="shared" si="37"/>
        <v>0</v>
      </c>
      <c r="K1023" s="14"/>
      <c r="L1023" s="14"/>
      <c r="M1023" s="14"/>
      <c r="N1023" s="14"/>
      <c r="O1023" s="14"/>
      <c r="P1023" s="14"/>
      <c r="Q1023" s="14"/>
      <c r="R1023" s="14"/>
      <c r="S1023" s="14"/>
      <c r="T1023" s="14"/>
      <c r="U1023" s="14"/>
      <c r="V1023" s="14"/>
      <c r="W1023" s="15">
        <f t="shared" si="38"/>
        <v>0</v>
      </c>
      <c r="X1023" s="14"/>
      <c r="Y1023" s="14"/>
      <c r="Z1023" s="14"/>
      <c r="AA1023" s="14"/>
      <c r="AB1023" s="14"/>
      <c r="AC1023" s="14"/>
      <c r="AD1023" s="14"/>
      <c r="AE1023" s="14"/>
      <c r="AF1023" s="14"/>
      <c r="AG1023" s="14"/>
      <c r="AH1023" s="14"/>
      <c r="AI1023" s="14"/>
      <c r="AJ1023" s="15"/>
      <c r="AK1023" s="16"/>
    </row>
    <row r="1024" spans="1:38" x14ac:dyDescent="0.2">
      <c r="B1024" s="7" t="s">
        <v>69</v>
      </c>
      <c r="C1024" s="8">
        <v>11741</v>
      </c>
      <c r="D1024" s="9" t="s">
        <v>346</v>
      </c>
      <c r="E1024" s="10" t="s">
        <v>347</v>
      </c>
      <c r="F1024" s="10" t="s">
        <v>348</v>
      </c>
      <c r="G1024" s="8">
        <v>1</v>
      </c>
      <c r="H1024" s="11">
        <v>300</v>
      </c>
      <c r="I1024" s="12">
        <v>42521</v>
      </c>
      <c r="J1024" s="13">
        <f t="shared" si="37"/>
        <v>0</v>
      </c>
      <c r="K1024" s="14"/>
      <c r="L1024" s="14"/>
      <c r="M1024" s="14"/>
      <c r="N1024" s="14">
        <v>300</v>
      </c>
      <c r="O1024" s="14"/>
      <c r="P1024" s="14"/>
      <c r="Q1024" s="14"/>
      <c r="R1024" s="14"/>
      <c r="S1024" s="14"/>
      <c r="T1024" s="14"/>
      <c r="U1024" s="14"/>
      <c r="V1024" s="14"/>
      <c r="W1024" s="15">
        <f t="shared" si="38"/>
        <v>300</v>
      </c>
      <c r="X1024" s="14"/>
      <c r="Y1024" s="14"/>
      <c r="Z1024" s="14"/>
      <c r="AA1024" s="14"/>
      <c r="AB1024" s="14"/>
      <c r="AC1024" s="14"/>
      <c r="AD1024" s="14"/>
      <c r="AE1024" s="14"/>
      <c r="AF1024" s="14"/>
      <c r="AG1024" s="14"/>
      <c r="AH1024" s="14"/>
      <c r="AI1024" s="14"/>
      <c r="AJ1024" s="15"/>
      <c r="AK1024" s="16"/>
    </row>
    <row r="1025" spans="2:37" x14ac:dyDescent="0.2">
      <c r="B1025" s="7" t="s">
        <v>37</v>
      </c>
      <c r="C1025" s="8">
        <v>11742</v>
      </c>
      <c r="D1025" s="9" t="s">
        <v>298</v>
      </c>
      <c r="E1025" s="10" t="s">
        <v>299</v>
      </c>
      <c r="F1025" s="10" t="s">
        <v>300</v>
      </c>
      <c r="G1025" s="8">
        <v>1</v>
      </c>
      <c r="H1025" s="11">
        <v>300</v>
      </c>
      <c r="I1025" s="12">
        <v>42522</v>
      </c>
      <c r="J1025" s="13">
        <f t="shared" si="37"/>
        <v>0</v>
      </c>
      <c r="K1025" s="14"/>
      <c r="L1025" s="14"/>
      <c r="M1025" s="14"/>
      <c r="N1025" s="14"/>
      <c r="O1025" s="14">
        <v>150</v>
      </c>
      <c r="P1025" s="14">
        <v>150</v>
      </c>
      <c r="Q1025" s="14"/>
      <c r="R1025" s="14"/>
      <c r="S1025" s="14"/>
      <c r="T1025" s="14"/>
      <c r="U1025" s="14"/>
      <c r="V1025" s="14"/>
      <c r="W1025" s="15">
        <f t="shared" si="38"/>
        <v>300</v>
      </c>
      <c r="X1025" s="14"/>
      <c r="Y1025" s="14"/>
      <c r="Z1025" s="14"/>
      <c r="AA1025" s="14"/>
      <c r="AB1025" s="14"/>
      <c r="AC1025" s="14"/>
      <c r="AD1025" s="14"/>
      <c r="AE1025" s="14"/>
      <c r="AF1025" s="14"/>
      <c r="AG1025" s="14"/>
      <c r="AH1025" s="14"/>
      <c r="AI1025" s="14"/>
      <c r="AJ1025" s="15"/>
      <c r="AK1025" s="16"/>
    </row>
    <row r="1026" spans="2:37" x14ac:dyDescent="0.2">
      <c r="B1026" s="7" t="s">
        <v>37</v>
      </c>
      <c r="C1026" s="8">
        <v>11743</v>
      </c>
      <c r="D1026" s="9" t="s">
        <v>977</v>
      </c>
      <c r="E1026" s="10" t="s">
        <v>978</v>
      </c>
      <c r="F1026" s="10" t="s">
        <v>979</v>
      </c>
      <c r="G1026" s="8">
        <v>1</v>
      </c>
      <c r="H1026" s="11">
        <v>250</v>
      </c>
      <c r="I1026" s="12">
        <v>42522</v>
      </c>
      <c r="J1026" s="13">
        <f t="shared" si="37"/>
        <v>0</v>
      </c>
      <c r="K1026" s="14"/>
      <c r="L1026" s="14"/>
      <c r="M1026" s="14"/>
      <c r="N1026" s="14"/>
      <c r="O1026" s="14"/>
      <c r="P1026" s="14">
        <v>250</v>
      </c>
      <c r="Q1026" s="14"/>
      <c r="R1026" s="14"/>
      <c r="S1026" s="14"/>
      <c r="T1026" s="14"/>
      <c r="U1026" s="14"/>
      <c r="V1026" s="14"/>
      <c r="W1026" s="15">
        <f t="shared" si="38"/>
        <v>250</v>
      </c>
      <c r="X1026" s="14"/>
      <c r="Y1026" s="14"/>
      <c r="Z1026" s="14"/>
      <c r="AA1026" s="14"/>
      <c r="AB1026" s="14"/>
      <c r="AC1026" s="14"/>
      <c r="AD1026" s="14"/>
      <c r="AE1026" s="14"/>
      <c r="AF1026" s="14"/>
      <c r="AG1026" s="14"/>
      <c r="AH1026" s="14"/>
      <c r="AI1026" s="14"/>
      <c r="AJ1026" s="15"/>
      <c r="AK1026" s="16"/>
    </row>
    <row r="1027" spans="2:37" x14ac:dyDescent="0.2">
      <c r="B1027" s="7" t="s">
        <v>47</v>
      </c>
      <c r="C1027" s="8">
        <v>11744</v>
      </c>
      <c r="D1027" s="9" t="s">
        <v>755</v>
      </c>
      <c r="E1027" s="10" t="s">
        <v>756</v>
      </c>
      <c r="F1027" s="10" t="s">
        <v>757</v>
      </c>
      <c r="G1027" s="8">
        <v>1</v>
      </c>
      <c r="H1027" s="11">
        <v>400</v>
      </c>
      <c r="I1027" s="12">
        <v>42523</v>
      </c>
      <c r="J1027" s="13">
        <f t="shared" si="37"/>
        <v>0</v>
      </c>
      <c r="K1027" s="14"/>
      <c r="L1027" s="14"/>
      <c r="M1027" s="14"/>
      <c r="N1027" s="14"/>
      <c r="O1027" s="14"/>
      <c r="P1027" s="14">
        <v>400</v>
      </c>
      <c r="Q1027" s="14"/>
      <c r="R1027" s="14"/>
      <c r="S1027" s="14"/>
      <c r="T1027" s="14"/>
      <c r="U1027" s="14"/>
      <c r="V1027" s="14"/>
      <c r="W1027" s="15">
        <f t="shared" si="38"/>
        <v>400</v>
      </c>
      <c r="X1027" s="14"/>
      <c r="Y1027" s="14"/>
      <c r="Z1027" s="14"/>
      <c r="AA1027" s="14"/>
      <c r="AB1027" s="14"/>
      <c r="AC1027" s="14"/>
      <c r="AD1027" s="14"/>
      <c r="AE1027" s="14"/>
      <c r="AF1027" s="14"/>
      <c r="AG1027" s="14"/>
      <c r="AH1027" s="14"/>
      <c r="AI1027" s="14"/>
      <c r="AJ1027" s="15"/>
      <c r="AK1027" s="16"/>
    </row>
    <row r="1028" spans="2:37" x14ac:dyDescent="0.2">
      <c r="B1028" s="7" t="s">
        <v>47</v>
      </c>
      <c r="C1028" s="8">
        <v>11744</v>
      </c>
      <c r="D1028" s="9" t="s">
        <v>755</v>
      </c>
      <c r="E1028" s="10" t="s">
        <v>756</v>
      </c>
      <c r="F1028" s="10" t="s">
        <v>757</v>
      </c>
      <c r="G1028" s="8">
        <v>3</v>
      </c>
      <c r="H1028" s="11">
        <v>160</v>
      </c>
      <c r="I1028" s="12">
        <v>42523</v>
      </c>
      <c r="J1028" s="13">
        <f t="shared" si="37"/>
        <v>0</v>
      </c>
      <c r="K1028" s="14"/>
      <c r="L1028" s="14"/>
      <c r="M1028" s="14"/>
      <c r="N1028" s="14"/>
      <c r="O1028" s="14"/>
      <c r="P1028" s="14"/>
      <c r="Q1028" s="14"/>
      <c r="R1028" s="14"/>
      <c r="S1028" s="14"/>
      <c r="T1028" s="14"/>
      <c r="U1028" s="14"/>
      <c r="V1028" s="14"/>
      <c r="W1028" s="15">
        <f t="shared" si="38"/>
        <v>0</v>
      </c>
      <c r="X1028" s="14"/>
      <c r="Y1028" s="14"/>
      <c r="Z1028" s="14"/>
      <c r="AA1028" s="14"/>
      <c r="AB1028" s="14"/>
      <c r="AC1028" s="14"/>
      <c r="AD1028" s="14"/>
      <c r="AE1028" s="14"/>
      <c r="AF1028" s="14"/>
      <c r="AG1028" s="14"/>
      <c r="AH1028" s="14"/>
      <c r="AI1028" s="14"/>
      <c r="AJ1028" s="15"/>
      <c r="AK1028" s="16"/>
    </row>
    <row r="1029" spans="2:37" x14ac:dyDescent="0.2">
      <c r="B1029" s="7" t="s">
        <v>47</v>
      </c>
      <c r="C1029" s="8">
        <v>11744</v>
      </c>
      <c r="D1029" s="9" t="s">
        <v>755</v>
      </c>
      <c r="E1029" s="10" t="s">
        <v>756</v>
      </c>
      <c r="F1029" s="10" t="s">
        <v>757</v>
      </c>
      <c r="G1029" s="8">
        <v>4</v>
      </c>
      <c r="H1029" s="11">
        <v>200</v>
      </c>
      <c r="I1029" s="12">
        <v>42523</v>
      </c>
      <c r="J1029" s="13">
        <f t="shared" si="37"/>
        <v>0</v>
      </c>
      <c r="K1029" s="14"/>
      <c r="L1029" s="14"/>
      <c r="M1029" s="14"/>
      <c r="N1029" s="14"/>
      <c r="O1029" s="14"/>
      <c r="P1029" s="14"/>
      <c r="Q1029" s="14"/>
      <c r="R1029" s="14"/>
      <c r="S1029" s="14"/>
      <c r="T1029" s="14"/>
      <c r="U1029" s="14"/>
      <c r="V1029" s="14"/>
      <c r="W1029" s="15">
        <f t="shared" si="38"/>
        <v>0</v>
      </c>
      <c r="X1029" s="14"/>
      <c r="Y1029" s="14"/>
      <c r="Z1029" s="14"/>
      <c r="AA1029" s="14"/>
      <c r="AB1029" s="14"/>
      <c r="AC1029" s="14"/>
      <c r="AD1029" s="14"/>
      <c r="AE1029" s="14"/>
      <c r="AF1029" s="14"/>
      <c r="AG1029" s="14"/>
      <c r="AH1029" s="14"/>
      <c r="AI1029" s="14"/>
      <c r="AJ1029" s="15"/>
      <c r="AK1029" s="7">
        <v>10422882</v>
      </c>
    </row>
    <row r="1030" spans="2:37" x14ac:dyDescent="0.2">
      <c r="B1030" s="7" t="s">
        <v>61</v>
      </c>
      <c r="C1030" s="8">
        <v>11745</v>
      </c>
      <c r="D1030" s="9" t="s">
        <v>693</v>
      </c>
      <c r="E1030" s="10" t="s">
        <v>694</v>
      </c>
      <c r="F1030" s="10" t="s">
        <v>695</v>
      </c>
      <c r="G1030" s="8">
        <v>1</v>
      </c>
      <c r="H1030" s="11">
        <v>300</v>
      </c>
      <c r="I1030" s="12">
        <v>42526</v>
      </c>
      <c r="J1030" s="13">
        <f t="shared" si="37"/>
        <v>0</v>
      </c>
      <c r="K1030" s="14"/>
      <c r="L1030" s="14"/>
      <c r="M1030" s="14"/>
      <c r="N1030" s="14"/>
      <c r="O1030" s="14">
        <v>150</v>
      </c>
      <c r="P1030" s="14">
        <v>150</v>
      </c>
      <c r="Q1030" s="14"/>
      <c r="R1030" s="14"/>
      <c r="S1030" s="14"/>
      <c r="T1030" s="14"/>
      <c r="U1030" s="14"/>
      <c r="V1030" s="14"/>
      <c r="W1030" s="15">
        <f t="shared" si="38"/>
        <v>300</v>
      </c>
      <c r="X1030" s="14"/>
      <c r="Y1030" s="14"/>
      <c r="Z1030" s="14"/>
      <c r="AA1030" s="14"/>
      <c r="AB1030" s="14"/>
      <c r="AC1030" s="14"/>
      <c r="AD1030" s="14"/>
      <c r="AE1030" s="14"/>
      <c r="AF1030" s="14"/>
      <c r="AG1030" s="14"/>
      <c r="AH1030" s="14"/>
      <c r="AI1030" s="14"/>
      <c r="AJ1030" s="15"/>
      <c r="AK1030" s="16"/>
    </row>
    <row r="1031" spans="2:37" x14ac:dyDescent="0.2">
      <c r="B1031" s="7" t="s">
        <v>69</v>
      </c>
      <c r="C1031" s="8">
        <v>11746</v>
      </c>
      <c r="D1031" s="9" t="s">
        <v>678</v>
      </c>
      <c r="E1031" s="10" t="s">
        <v>679</v>
      </c>
      <c r="F1031" s="10" t="s">
        <v>680</v>
      </c>
      <c r="G1031" s="8">
        <v>1</v>
      </c>
      <c r="H1031" s="11">
        <v>400</v>
      </c>
      <c r="I1031" s="12">
        <v>42526</v>
      </c>
      <c r="J1031" s="13">
        <f t="shared" si="37"/>
        <v>0</v>
      </c>
      <c r="K1031" s="14"/>
      <c r="L1031" s="14"/>
      <c r="M1031" s="14"/>
      <c r="N1031" s="14"/>
      <c r="O1031" s="14"/>
      <c r="P1031" s="14">
        <v>400</v>
      </c>
      <c r="Q1031" s="14"/>
      <c r="R1031" s="14"/>
      <c r="S1031" s="14"/>
      <c r="T1031" s="14"/>
      <c r="U1031" s="14"/>
      <c r="V1031" s="14"/>
      <c r="W1031" s="15">
        <f t="shared" si="38"/>
        <v>400</v>
      </c>
      <c r="X1031" s="14"/>
      <c r="Y1031" s="14"/>
      <c r="Z1031" s="14"/>
      <c r="AA1031" s="14"/>
      <c r="AB1031" s="14"/>
      <c r="AC1031" s="14"/>
      <c r="AD1031" s="14"/>
      <c r="AE1031" s="14"/>
      <c r="AF1031" s="14"/>
      <c r="AG1031" s="14"/>
      <c r="AH1031" s="14"/>
      <c r="AI1031" s="14"/>
      <c r="AJ1031" s="15"/>
      <c r="AK1031" s="16"/>
    </row>
    <row r="1032" spans="2:37" x14ac:dyDescent="0.2">
      <c r="B1032" s="7" t="s">
        <v>37</v>
      </c>
      <c r="C1032" s="8">
        <v>11747</v>
      </c>
      <c r="D1032" s="9" t="s">
        <v>94</v>
      </c>
      <c r="E1032" s="10" t="s">
        <v>95</v>
      </c>
      <c r="F1032" s="10" t="s">
        <v>96</v>
      </c>
      <c r="G1032" s="8">
        <v>1</v>
      </c>
      <c r="H1032" s="11">
        <v>400</v>
      </c>
      <c r="I1032" s="12">
        <v>42526</v>
      </c>
      <c r="J1032" s="13">
        <f t="shared" si="37"/>
        <v>0</v>
      </c>
      <c r="K1032" s="14"/>
      <c r="L1032" s="14"/>
      <c r="M1032" s="14"/>
      <c r="N1032" s="14"/>
      <c r="O1032" s="14"/>
      <c r="P1032" s="14">
        <v>400</v>
      </c>
      <c r="Q1032" s="14"/>
      <c r="R1032" s="14"/>
      <c r="S1032" s="14"/>
      <c r="T1032" s="14"/>
      <c r="U1032" s="14"/>
      <c r="V1032" s="14"/>
      <c r="W1032" s="15">
        <f t="shared" si="38"/>
        <v>400</v>
      </c>
      <c r="X1032" s="14"/>
      <c r="Y1032" s="14"/>
      <c r="Z1032" s="14"/>
      <c r="AA1032" s="14"/>
      <c r="AB1032" s="14"/>
      <c r="AC1032" s="14"/>
      <c r="AD1032" s="14"/>
      <c r="AE1032" s="14"/>
      <c r="AF1032" s="14"/>
      <c r="AG1032" s="14"/>
      <c r="AH1032" s="14"/>
      <c r="AI1032" s="14"/>
      <c r="AJ1032" s="15"/>
      <c r="AK1032" s="16"/>
    </row>
    <row r="1033" spans="2:37" x14ac:dyDescent="0.2">
      <c r="B1033" s="7" t="s">
        <v>47</v>
      </c>
      <c r="C1033" s="8">
        <v>11748</v>
      </c>
      <c r="D1033" s="9" t="s">
        <v>150</v>
      </c>
      <c r="E1033" s="10" t="s">
        <v>151</v>
      </c>
      <c r="F1033" s="10" t="s">
        <v>152</v>
      </c>
      <c r="G1033" s="8">
        <v>1</v>
      </c>
      <c r="H1033" s="11">
        <v>400</v>
      </c>
      <c r="I1033" s="12">
        <v>42526</v>
      </c>
      <c r="J1033" s="13">
        <f t="shared" si="37"/>
        <v>0</v>
      </c>
      <c r="K1033" s="14"/>
      <c r="L1033" s="14"/>
      <c r="M1033" s="14"/>
      <c r="N1033" s="14"/>
      <c r="O1033" s="14"/>
      <c r="P1033" s="14">
        <v>400</v>
      </c>
      <c r="Q1033" s="14"/>
      <c r="R1033" s="14"/>
      <c r="S1033" s="14"/>
      <c r="T1033" s="14"/>
      <c r="U1033" s="14"/>
      <c r="V1033" s="14"/>
      <c r="W1033" s="15">
        <f t="shared" si="38"/>
        <v>400</v>
      </c>
      <c r="X1033" s="14"/>
      <c r="Y1033" s="14"/>
      <c r="Z1033" s="14"/>
      <c r="AA1033" s="14"/>
      <c r="AB1033" s="14"/>
      <c r="AC1033" s="14"/>
      <c r="AD1033" s="14"/>
      <c r="AE1033" s="14"/>
      <c r="AF1033" s="14"/>
      <c r="AG1033" s="14"/>
      <c r="AH1033" s="14"/>
      <c r="AI1033" s="14"/>
      <c r="AJ1033" s="15"/>
      <c r="AK1033" s="16"/>
    </row>
    <row r="1034" spans="2:37" x14ac:dyDescent="0.2">
      <c r="B1034" s="7" t="s">
        <v>47</v>
      </c>
      <c r="C1034" s="8">
        <v>11749</v>
      </c>
      <c r="D1034" s="9" t="s">
        <v>404</v>
      </c>
      <c r="E1034" s="10" t="s">
        <v>405</v>
      </c>
      <c r="F1034" s="10" t="s">
        <v>406</v>
      </c>
      <c r="G1034" s="8">
        <v>1</v>
      </c>
      <c r="H1034" s="11">
        <v>400</v>
      </c>
      <c r="I1034" s="12">
        <v>42526</v>
      </c>
      <c r="J1034" s="13">
        <f t="shared" si="37"/>
        <v>0</v>
      </c>
      <c r="K1034" s="14"/>
      <c r="L1034" s="14"/>
      <c r="M1034" s="14"/>
      <c r="N1034" s="14"/>
      <c r="O1034" s="14"/>
      <c r="P1034" s="14">
        <v>400</v>
      </c>
      <c r="Q1034" s="14"/>
      <c r="R1034" s="14"/>
      <c r="S1034" s="14"/>
      <c r="T1034" s="14"/>
      <c r="U1034" s="14"/>
      <c r="V1034" s="14"/>
      <c r="W1034" s="15">
        <f t="shared" si="38"/>
        <v>400</v>
      </c>
      <c r="X1034" s="14"/>
      <c r="Y1034" s="14"/>
      <c r="Z1034" s="14"/>
      <c r="AA1034" s="14"/>
      <c r="AB1034" s="14"/>
      <c r="AC1034" s="14"/>
      <c r="AD1034" s="14"/>
      <c r="AE1034" s="14"/>
      <c r="AF1034" s="14"/>
      <c r="AG1034" s="14"/>
      <c r="AH1034" s="14"/>
      <c r="AI1034" s="14"/>
      <c r="AJ1034" s="15"/>
      <c r="AK1034" s="16"/>
    </row>
    <row r="1035" spans="2:37" x14ac:dyDescent="0.2">
      <c r="B1035" s="7" t="s">
        <v>77</v>
      </c>
      <c r="C1035" s="8">
        <v>11750</v>
      </c>
      <c r="D1035" s="9" t="s">
        <v>322</v>
      </c>
      <c r="E1035" s="10" t="s">
        <v>323</v>
      </c>
      <c r="F1035" s="10" t="s">
        <v>324</v>
      </c>
      <c r="G1035" s="8">
        <v>1</v>
      </c>
      <c r="H1035" s="11">
        <v>400</v>
      </c>
      <c r="I1035" s="12">
        <v>42526</v>
      </c>
      <c r="J1035" s="13">
        <f t="shared" si="37"/>
        <v>0</v>
      </c>
      <c r="K1035" s="14"/>
      <c r="L1035" s="14"/>
      <c r="M1035" s="14"/>
      <c r="N1035" s="14"/>
      <c r="O1035" s="14">
        <v>400</v>
      </c>
      <c r="P1035" s="14"/>
      <c r="Q1035" s="14"/>
      <c r="R1035" s="14"/>
      <c r="S1035" s="14"/>
      <c r="T1035" s="14"/>
      <c r="U1035" s="14"/>
      <c r="V1035" s="14"/>
      <c r="W1035" s="15">
        <f t="shared" si="38"/>
        <v>400</v>
      </c>
      <c r="X1035" s="14"/>
      <c r="Y1035" s="14"/>
      <c r="Z1035" s="14"/>
      <c r="AA1035" s="14"/>
      <c r="AB1035" s="14"/>
      <c r="AC1035" s="14"/>
      <c r="AD1035" s="14"/>
      <c r="AE1035" s="14"/>
      <c r="AF1035" s="14"/>
      <c r="AG1035" s="14"/>
      <c r="AH1035" s="14"/>
      <c r="AI1035" s="14"/>
      <c r="AJ1035" s="15"/>
      <c r="AK1035" s="16"/>
    </row>
    <row r="1036" spans="2:37" x14ac:dyDescent="0.2">
      <c r="B1036" s="7" t="s">
        <v>122</v>
      </c>
      <c r="C1036" s="8">
        <v>11751</v>
      </c>
      <c r="D1036" s="9" t="s">
        <v>797</v>
      </c>
      <c r="E1036" s="10" t="s">
        <v>798</v>
      </c>
      <c r="F1036" s="10" t="s">
        <v>799</v>
      </c>
      <c r="G1036" s="8">
        <v>1</v>
      </c>
      <c r="H1036" s="11">
        <v>800</v>
      </c>
      <c r="I1036" s="12">
        <v>42526</v>
      </c>
      <c r="J1036" s="13">
        <f t="shared" si="37"/>
        <v>0</v>
      </c>
      <c r="K1036" s="14"/>
      <c r="L1036" s="14"/>
      <c r="M1036" s="14"/>
      <c r="N1036" s="14"/>
      <c r="O1036" s="14">
        <v>400</v>
      </c>
      <c r="P1036" s="14">
        <v>400</v>
      </c>
      <c r="Q1036" s="14"/>
      <c r="R1036" s="14"/>
      <c r="S1036" s="14"/>
      <c r="T1036" s="14"/>
      <c r="U1036" s="14"/>
      <c r="V1036" s="14"/>
      <c r="W1036" s="15">
        <f t="shared" si="38"/>
        <v>800</v>
      </c>
      <c r="X1036" s="14"/>
      <c r="Y1036" s="14"/>
      <c r="Z1036" s="14"/>
      <c r="AA1036" s="14"/>
      <c r="AB1036" s="14"/>
      <c r="AC1036" s="14"/>
      <c r="AD1036" s="14"/>
      <c r="AE1036" s="14"/>
      <c r="AF1036" s="14"/>
      <c r="AG1036" s="14"/>
      <c r="AH1036" s="14"/>
      <c r="AI1036" s="14"/>
      <c r="AJ1036" s="15"/>
      <c r="AK1036" s="16"/>
    </row>
    <row r="1037" spans="2:37" x14ac:dyDescent="0.2">
      <c r="B1037" s="7" t="s">
        <v>47</v>
      </c>
      <c r="C1037" s="8">
        <v>11752</v>
      </c>
      <c r="D1037" s="9" t="s">
        <v>238</v>
      </c>
      <c r="E1037" s="10" t="s">
        <v>239</v>
      </c>
      <c r="F1037" s="10" t="s">
        <v>240</v>
      </c>
      <c r="G1037" s="8">
        <v>1</v>
      </c>
      <c r="H1037" s="11">
        <v>125</v>
      </c>
      <c r="I1037" s="12">
        <v>42526</v>
      </c>
      <c r="J1037" s="13">
        <f t="shared" si="37"/>
        <v>0</v>
      </c>
      <c r="K1037" s="14"/>
      <c r="L1037" s="14"/>
      <c r="M1037" s="14"/>
      <c r="N1037" s="14"/>
      <c r="O1037" s="14"/>
      <c r="P1037" s="14">
        <v>125</v>
      </c>
      <c r="Q1037" s="14"/>
      <c r="R1037" s="14"/>
      <c r="S1037" s="14"/>
      <c r="T1037" s="14"/>
      <c r="U1037" s="14"/>
      <c r="V1037" s="14"/>
      <c r="W1037" s="15">
        <f t="shared" si="38"/>
        <v>125</v>
      </c>
      <c r="X1037" s="14"/>
      <c r="Y1037" s="14"/>
      <c r="Z1037" s="14"/>
      <c r="AA1037" s="14"/>
      <c r="AB1037" s="14"/>
      <c r="AC1037" s="14"/>
      <c r="AD1037" s="14"/>
      <c r="AE1037" s="14"/>
      <c r="AF1037" s="14"/>
      <c r="AG1037" s="14"/>
      <c r="AH1037" s="14"/>
      <c r="AI1037" s="14"/>
      <c r="AJ1037" s="15"/>
      <c r="AK1037" s="16"/>
    </row>
    <row r="1038" spans="2:37" x14ac:dyDescent="0.2">
      <c r="B1038" s="7" t="s">
        <v>69</v>
      </c>
      <c r="C1038" s="8">
        <v>11753</v>
      </c>
      <c r="D1038" s="9" t="s">
        <v>100</v>
      </c>
      <c r="E1038" s="10" t="s">
        <v>101</v>
      </c>
      <c r="F1038" s="10" t="s">
        <v>102</v>
      </c>
      <c r="G1038" s="8">
        <v>1</v>
      </c>
      <c r="H1038" s="11">
        <v>400</v>
      </c>
      <c r="I1038" s="12">
        <v>42526</v>
      </c>
      <c r="J1038" s="13">
        <f t="shared" si="37"/>
        <v>0</v>
      </c>
      <c r="K1038" s="14"/>
      <c r="L1038" s="14"/>
      <c r="M1038" s="14"/>
      <c r="N1038" s="14"/>
      <c r="O1038" s="14"/>
      <c r="P1038" s="14">
        <v>400</v>
      </c>
      <c r="Q1038" s="14"/>
      <c r="R1038" s="14"/>
      <c r="S1038" s="14"/>
      <c r="T1038" s="14"/>
      <c r="U1038" s="14"/>
      <c r="V1038" s="14"/>
      <c r="W1038" s="15">
        <f t="shared" si="38"/>
        <v>400</v>
      </c>
      <c r="X1038" s="14"/>
      <c r="Y1038" s="14"/>
      <c r="Z1038" s="14"/>
      <c r="AA1038" s="14"/>
      <c r="AB1038" s="14"/>
      <c r="AC1038" s="14"/>
      <c r="AD1038" s="14"/>
      <c r="AE1038" s="14"/>
      <c r="AF1038" s="14"/>
      <c r="AG1038" s="14"/>
      <c r="AH1038" s="14"/>
      <c r="AI1038" s="14"/>
      <c r="AJ1038" s="15"/>
      <c r="AK1038" s="16"/>
    </row>
    <row r="1039" spans="2:37" x14ac:dyDescent="0.2">
      <c r="B1039" s="7" t="s">
        <v>47</v>
      </c>
      <c r="C1039" s="8">
        <v>11754</v>
      </c>
      <c r="D1039" s="9" t="s">
        <v>280</v>
      </c>
      <c r="E1039" s="10" t="s">
        <v>281</v>
      </c>
      <c r="F1039" s="10" t="s">
        <v>282</v>
      </c>
      <c r="G1039" s="8">
        <v>1</v>
      </c>
      <c r="H1039" s="11">
        <v>400</v>
      </c>
      <c r="I1039" s="12">
        <v>42526</v>
      </c>
      <c r="J1039" s="13">
        <f t="shared" si="37"/>
        <v>0</v>
      </c>
      <c r="K1039" s="14"/>
      <c r="L1039" s="14"/>
      <c r="M1039" s="14"/>
      <c r="N1039" s="14"/>
      <c r="O1039" s="14"/>
      <c r="P1039" s="14">
        <v>400</v>
      </c>
      <c r="Q1039" s="14"/>
      <c r="R1039" s="14"/>
      <c r="S1039" s="14"/>
      <c r="T1039" s="14"/>
      <c r="U1039" s="14"/>
      <c r="V1039" s="14"/>
      <c r="W1039" s="15">
        <f t="shared" si="38"/>
        <v>400</v>
      </c>
      <c r="X1039" s="14"/>
      <c r="Y1039" s="14"/>
      <c r="Z1039" s="14"/>
      <c r="AA1039" s="14"/>
      <c r="AB1039" s="14"/>
      <c r="AC1039" s="14"/>
      <c r="AD1039" s="14"/>
      <c r="AE1039" s="14"/>
      <c r="AF1039" s="14"/>
      <c r="AG1039" s="14"/>
      <c r="AH1039" s="14"/>
      <c r="AI1039" s="14"/>
      <c r="AJ1039" s="15"/>
      <c r="AK1039" s="16"/>
    </row>
    <row r="1040" spans="2:37" x14ac:dyDescent="0.2">
      <c r="B1040" s="7" t="s">
        <v>47</v>
      </c>
      <c r="C1040" s="8">
        <v>11755</v>
      </c>
      <c r="D1040" s="9" t="s">
        <v>620</v>
      </c>
      <c r="E1040" s="10" t="s">
        <v>621</v>
      </c>
      <c r="F1040" s="10" t="s">
        <v>366</v>
      </c>
      <c r="G1040" s="8">
        <v>1</v>
      </c>
      <c r="H1040" s="11">
        <v>400</v>
      </c>
      <c r="I1040" s="12">
        <v>42526</v>
      </c>
      <c r="J1040" s="13">
        <f t="shared" si="37"/>
        <v>0</v>
      </c>
      <c r="K1040" s="14"/>
      <c r="L1040" s="14"/>
      <c r="M1040" s="14"/>
      <c r="N1040" s="14"/>
      <c r="O1040" s="14">
        <v>400</v>
      </c>
      <c r="P1040" s="14"/>
      <c r="Q1040" s="14"/>
      <c r="R1040" s="14"/>
      <c r="S1040" s="14"/>
      <c r="T1040" s="14"/>
      <c r="U1040" s="14"/>
      <c r="V1040" s="14"/>
      <c r="W1040" s="15">
        <f t="shared" si="38"/>
        <v>400</v>
      </c>
      <c r="X1040" s="14"/>
      <c r="Y1040" s="14"/>
      <c r="Z1040" s="14"/>
      <c r="AA1040" s="14"/>
      <c r="AB1040" s="14"/>
      <c r="AC1040" s="14"/>
      <c r="AD1040" s="14"/>
      <c r="AE1040" s="14"/>
      <c r="AF1040" s="14"/>
      <c r="AG1040" s="14"/>
      <c r="AH1040" s="14"/>
      <c r="AI1040" s="14"/>
      <c r="AJ1040" s="15"/>
      <c r="AK1040" s="16"/>
    </row>
    <row r="1041" spans="2:37" x14ac:dyDescent="0.2">
      <c r="B1041" s="7" t="s">
        <v>69</v>
      </c>
      <c r="C1041" s="8">
        <v>11756</v>
      </c>
      <c r="D1041" s="9" t="s">
        <v>186</v>
      </c>
      <c r="E1041" s="10" t="s">
        <v>187</v>
      </c>
      <c r="F1041" s="10" t="s">
        <v>188</v>
      </c>
      <c r="G1041" s="8">
        <v>1</v>
      </c>
      <c r="H1041" s="11">
        <v>400</v>
      </c>
      <c r="I1041" s="12">
        <v>42526</v>
      </c>
      <c r="J1041" s="13">
        <f t="shared" si="37"/>
        <v>0</v>
      </c>
      <c r="K1041" s="14"/>
      <c r="L1041" s="14"/>
      <c r="M1041" s="14"/>
      <c r="N1041" s="14"/>
      <c r="O1041" s="14"/>
      <c r="P1041" s="14">
        <v>400</v>
      </c>
      <c r="Q1041" s="14"/>
      <c r="R1041" s="14"/>
      <c r="S1041" s="14"/>
      <c r="T1041" s="14"/>
      <c r="U1041" s="14"/>
      <c r="V1041" s="14"/>
      <c r="W1041" s="15">
        <f t="shared" si="38"/>
        <v>400</v>
      </c>
      <c r="X1041" s="14"/>
      <c r="Y1041" s="14"/>
      <c r="Z1041" s="14"/>
      <c r="AA1041" s="14"/>
      <c r="AB1041" s="14"/>
      <c r="AC1041" s="14"/>
      <c r="AD1041" s="14"/>
      <c r="AE1041" s="14"/>
      <c r="AF1041" s="14"/>
      <c r="AG1041" s="14"/>
      <c r="AH1041" s="14"/>
      <c r="AI1041" s="14"/>
      <c r="AJ1041" s="15"/>
      <c r="AK1041" s="16"/>
    </row>
    <row r="1042" spans="2:37" x14ac:dyDescent="0.2">
      <c r="B1042" s="7" t="s">
        <v>37</v>
      </c>
      <c r="C1042" s="8">
        <v>11757</v>
      </c>
      <c r="D1042" s="9" t="s">
        <v>271</v>
      </c>
      <c r="E1042" s="10" t="s">
        <v>272</v>
      </c>
      <c r="F1042" s="10" t="s">
        <v>273</v>
      </c>
      <c r="G1042" s="8">
        <v>1</v>
      </c>
      <c r="H1042" s="11">
        <v>400</v>
      </c>
      <c r="I1042" s="12">
        <v>42526</v>
      </c>
      <c r="J1042" s="13">
        <f t="shared" si="37"/>
        <v>0</v>
      </c>
      <c r="K1042" s="14"/>
      <c r="L1042" s="14"/>
      <c r="M1042" s="14"/>
      <c r="N1042" s="14"/>
      <c r="O1042" s="14"/>
      <c r="P1042" s="14">
        <v>400</v>
      </c>
      <c r="Q1042" s="14"/>
      <c r="R1042" s="14"/>
      <c r="S1042" s="14"/>
      <c r="T1042" s="14"/>
      <c r="U1042" s="14"/>
      <c r="V1042" s="14"/>
      <c r="W1042" s="15">
        <f t="shared" si="38"/>
        <v>400</v>
      </c>
      <c r="X1042" s="14"/>
      <c r="Y1042" s="14"/>
      <c r="Z1042" s="14"/>
      <c r="AA1042" s="14"/>
      <c r="AB1042" s="14"/>
      <c r="AC1042" s="14"/>
      <c r="AD1042" s="14"/>
      <c r="AE1042" s="14"/>
      <c r="AF1042" s="14"/>
      <c r="AG1042" s="14"/>
      <c r="AH1042" s="14"/>
      <c r="AI1042" s="14"/>
      <c r="AJ1042" s="15"/>
      <c r="AK1042" s="16"/>
    </row>
    <row r="1043" spans="2:37" x14ac:dyDescent="0.2">
      <c r="B1043" s="7" t="s">
        <v>47</v>
      </c>
      <c r="C1043" s="8">
        <v>11758</v>
      </c>
      <c r="D1043" s="9" t="s">
        <v>849</v>
      </c>
      <c r="E1043" s="10" t="s">
        <v>850</v>
      </c>
      <c r="F1043" s="10" t="s">
        <v>851</v>
      </c>
      <c r="G1043" s="8">
        <v>1</v>
      </c>
      <c r="H1043" s="11">
        <v>1200</v>
      </c>
      <c r="I1043" s="12">
        <v>42526</v>
      </c>
      <c r="J1043" s="13">
        <f t="shared" si="37"/>
        <v>0</v>
      </c>
      <c r="K1043" s="14"/>
      <c r="L1043" s="14"/>
      <c r="M1043" s="14"/>
      <c r="N1043" s="14">
        <v>400</v>
      </c>
      <c r="O1043" s="14">
        <v>400</v>
      </c>
      <c r="P1043" s="14">
        <v>400</v>
      </c>
      <c r="Q1043" s="14"/>
      <c r="R1043" s="14"/>
      <c r="S1043" s="14"/>
      <c r="T1043" s="14"/>
      <c r="U1043" s="14"/>
      <c r="V1043" s="14"/>
      <c r="W1043" s="15">
        <f t="shared" si="38"/>
        <v>1200</v>
      </c>
      <c r="X1043" s="14"/>
      <c r="Y1043" s="14"/>
      <c r="Z1043" s="14"/>
      <c r="AA1043" s="14"/>
      <c r="AB1043" s="14"/>
      <c r="AC1043" s="14"/>
      <c r="AD1043" s="14"/>
      <c r="AE1043" s="14"/>
      <c r="AF1043" s="14"/>
      <c r="AG1043" s="14"/>
      <c r="AH1043" s="14"/>
      <c r="AI1043" s="14"/>
      <c r="AJ1043" s="15"/>
      <c r="AK1043" s="16"/>
    </row>
    <row r="1044" spans="2:37" x14ac:dyDescent="0.2">
      <c r="B1044" s="7" t="s">
        <v>69</v>
      </c>
      <c r="C1044" s="8">
        <v>11759</v>
      </c>
      <c r="D1044" s="9" t="s">
        <v>301</v>
      </c>
      <c r="E1044" s="10" t="s">
        <v>302</v>
      </c>
      <c r="F1044" s="10" t="s">
        <v>303</v>
      </c>
      <c r="G1044" s="8">
        <v>1</v>
      </c>
      <c r="H1044" s="11">
        <v>200</v>
      </c>
      <c r="I1044" s="12">
        <v>42526</v>
      </c>
      <c r="J1044" s="13">
        <f t="shared" si="37"/>
        <v>0</v>
      </c>
      <c r="K1044" s="14"/>
      <c r="L1044" s="14"/>
      <c r="M1044" s="14"/>
      <c r="N1044" s="14"/>
      <c r="O1044" s="14"/>
      <c r="P1044" s="14">
        <v>200</v>
      </c>
      <c r="Q1044" s="14"/>
      <c r="R1044" s="14"/>
      <c r="S1044" s="14"/>
      <c r="T1044" s="14"/>
      <c r="U1044" s="14"/>
      <c r="V1044" s="14"/>
      <c r="W1044" s="15">
        <f t="shared" si="38"/>
        <v>200</v>
      </c>
      <c r="X1044" s="14"/>
      <c r="Y1044" s="14"/>
      <c r="Z1044" s="14"/>
      <c r="AA1044" s="14"/>
      <c r="AB1044" s="14"/>
      <c r="AC1044" s="14"/>
      <c r="AD1044" s="14"/>
      <c r="AE1044" s="14"/>
      <c r="AF1044" s="14"/>
      <c r="AG1044" s="14"/>
      <c r="AH1044" s="14"/>
      <c r="AI1044" s="14"/>
      <c r="AJ1044" s="15"/>
      <c r="AK1044" s="16"/>
    </row>
    <row r="1045" spans="2:37" x14ac:dyDescent="0.2">
      <c r="B1045" s="7" t="s">
        <v>77</v>
      </c>
      <c r="C1045" s="8">
        <v>11760</v>
      </c>
      <c r="D1045" s="9" t="s">
        <v>156</v>
      </c>
      <c r="E1045" s="10" t="s">
        <v>157</v>
      </c>
      <c r="F1045" s="10" t="s">
        <v>158</v>
      </c>
      <c r="G1045" s="8">
        <v>1</v>
      </c>
      <c r="H1045" s="11">
        <v>300</v>
      </c>
      <c r="I1045" s="12">
        <v>42526</v>
      </c>
      <c r="J1045" s="13">
        <f t="shared" si="37"/>
        <v>0</v>
      </c>
      <c r="K1045" s="14"/>
      <c r="L1045" s="14"/>
      <c r="M1045" s="14"/>
      <c r="N1045" s="14"/>
      <c r="O1045" s="14"/>
      <c r="P1045" s="14">
        <v>300</v>
      </c>
      <c r="Q1045" s="14"/>
      <c r="R1045" s="14"/>
      <c r="S1045" s="14"/>
      <c r="T1045" s="14"/>
      <c r="U1045" s="14"/>
      <c r="V1045" s="14"/>
      <c r="W1045" s="15">
        <f t="shared" si="38"/>
        <v>300</v>
      </c>
      <c r="X1045" s="14"/>
      <c r="Y1045" s="14"/>
      <c r="Z1045" s="14"/>
      <c r="AA1045" s="14"/>
      <c r="AB1045" s="14"/>
      <c r="AC1045" s="14"/>
      <c r="AD1045" s="14"/>
      <c r="AE1045" s="14"/>
      <c r="AF1045" s="14"/>
      <c r="AG1045" s="14"/>
      <c r="AH1045" s="14"/>
      <c r="AI1045" s="14"/>
      <c r="AJ1045" s="15"/>
      <c r="AK1045" s="16"/>
    </row>
    <row r="1046" spans="2:37" x14ac:dyDescent="0.2">
      <c r="B1046" s="7" t="s">
        <v>61</v>
      </c>
      <c r="C1046" s="8">
        <v>11761</v>
      </c>
      <c r="D1046" s="9" t="s">
        <v>62</v>
      </c>
      <c r="E1046" s="10" t="s">
        <v>63</v>
      </c>
      <c r="F1046" s="10" t="s">
        <v>64</v>
      </c>
      <c r="G1046" s="8">
        <v>1</v>
      </c>
      <c r="H1046" s="11">
        <v>400</v>
      </c>
      <c r="I1046" s="12">
        <v>42526</v>
      </c>
      <c r="J1046" s="13">
        <f t="shared" si="37"/>
        <v>0</v>
      </c>
      <c r="K1046" s="14"/>
      <c r="L1046" s="14"/>
      <c r="M1046" s="14"/>
      <c r="N1046" s="14"/>
      <c r="O1046" s="14"/>
      <c r="P1046" s="14"/>
      <c r="Q1046" s="14">
        <v>200</v>
      </c>
      <c r="R1046" s="14">
        <v>200</v>
      </c>
      <c r="S1046" s="14"/>
      <c r="T1046" s="14"/>
      <c r="U1046" s="14"/>
      <c r="V1046" s="14"/>
      <c r="W1046" s="15">
        <f t="shared" si="38"/>
        <v>400</v>
      </c>
      <c r="X1046" s="14"/>
      <c r="Y1046" s="14"/>
      <c r="Z1046" s="14"/>
      <c r="AA1046" s="14"/>
      <c r="AB1046" s="14"/>
      <c r="AC1046" s="14"/>
      <c r="AD1046" s="14"/>
      <c r="AE1046" s="14"/>
      <c r="AF1046" s="14"/>
      <c r="AG1046" s="14"/>
      <c r="AH1046" s="14"/>
      <c r="AI1046" s="14"/>
      <c r="AJ1046" s="15"/>
      <c r="AK1046" s="16"/>
    </row>
    <row r="1047" spans="2:37" x14ac:dyDescent="0.2">
      <c r="B1047" s="7" t="s">
        <v>47</v>
      </c>
      <c r="C1047" s="8">
        <v>11762</v>
      </c>
      <c r="D1047" s="9" t="s">
        <v>84</v>
      </c>
      <c r="E1047" s="10" t="s">
        <v>85</v>
      </c>
      <c r="F1047" s="10" t="s">
        <v>86</v>
      </c>
      <c r="G1047" s="8">
        <v>1</v>
      </c>
      <c r="H1047" s="11">
        <v>200</v>
      </c>
      <c r="I1047" s="12">
        <v>42526</v>
      </c>
      <c r="J1047" s="13">
        <f t="shared" si="37"/>
        <v>0</v>
      </c>
      <c r="K1047" s="14"/>
      <c r="L1047" s="14"/>
      <c r="M1047" s="14"/>
      <c r="N1047" s="14"/>
      <c r="O1047" s="14"/>
      <c r="P1047" s="14">
        <v>200</v>
      </c>
      <c r="Q1047" s="14"/>
      <c r="R1047" s="14"/>
      <c r="S1047" s="14"/>
      <c r="T1047" s="14"/>
      <c r="U1047" s="14"/>
      <c r="V1047" s="14"/>
      <c r="W1047" s="15">
        <f t="shared" si="38"/>
        <v>200</v>
      </c>
      <c r="X1047" s="14"/>
      <c r="Y1047" s="14"/>
      <c r="Z1047" s="14"/>
      <c r="AA1047" s="14"/>
      <c r="AB1047" s="14"/>
      <c r="AC1047" s="14"/>
      <c r="AD1047" s="14"/>
      <c r="AE1047" s="14"/>
      <c r="AF1047" s="14"/>
      <c r="AG1047" s="14"/>
      <c r="AH1047" s="14"/>
      <c r="AI1047" s="14"/>
      <c r="AJ1047" s="15"/>
      <c r="AK1047" s="16"/>
    </row>
    <row r="1048" spans="2:37" x14ac:dyDescent="0.2">
      <c r="B1048" s="7" t="s">
        <v>47</v>
      </c>
      <c r="C1048" s="8">
        <v>11763</v>
      </c>
      <c r="D1048" s="9" t="s">
        <v>235</v>
      </c>
      <c r="E1048" s="10" t="s">
        <v>236</v>
      </c>
      <c r="F1048" s="10" t="s">
        <v>237</v>
      </c>
      <c r="G1048" s="8">
        <v>1</v>
      </c>
      <c r="H1048" s="11">
        <v>400</v>
      </c>
      <c r="I1048" s="12">
        <v>42526</v>
      </c>
      <c r="J1048" s="13">
        <f t="shared" si="37"/>
        <v>0</v>
      </c>
      <c r="K1048" s="14"/>
      <c r="L1048" s="14"/>
      <c r="M1048" s="14"/>
      <c r="N1048" s="14"/>
      <c r="O1048" s="14"/>
      <c r="P1048" s="14">
        <v>400</v>
      </c>
      <c r="Q1048" s="14"/>
      <c r="R1048" s="14"/>
      <c r="S1048" s="14"/>
      <c r="T1048" s="14"/>
      <c r="U1048" s="14"/>
      <c r="V1048" s="14"/>
      <c r="W1048" s="15">
        <f t="shared" si="38"/>
        <v>400</v>
      </c>
      <c r="X1048" s="14"/>
      <c r="Y1048" s="14"/>
      <c r="Z1048" s="14"/>
      <c r="AA1048" s="14"/>
      <c r="AB1048" s="14"/>
      <c r="AC1048" s="14"/>
      <c r="AD1048" s="14"/>
      <c r="AE1048" s="14"/>
      <c r="AF1048" s="14"/>
      <c r="AG1048" s="14"/>
      <c r="AH1048" s="14"/>
      <c r="AI1048" s="14"/>
      <c r="AJ1048" s="15"/>
      <c r="AK1048" s="16"/>
    </row>
    <row r="1049" spans="2:37" x14ac:dyDescent="0.2">
      <c r="B1049" s="7" t="s">
        <v>69</v>
      </c>
      <c r="C1049" s="8">
        <v>11764</v>
      </c>
      <c r="D1049" s="9" t="s">
        <v>165</v>
      </c>
      <c r="E1049" s="10" t="s">
        <v>166</v>
      </c>
      <c r="F1049" s="10" t="s">
        <v>167</v>
      </c>
      <c r="G1049" s="8">
        <v>1</v>
      </c>
      <c r="H1049" s="11">
        <v>350</v>
      </c>
      <c r="I1049" s="12">
        <v>42526</v>
      </c>
      <c r="J1049" s="13">
        <f t="shared" si="37"/>
        <v>0</v>
      </c>
      <c r="K1049" s="14"/>
      <c r="L1049" s="14"/>
      <c r="M1049" s="14"/>
      <c r="N1049" s="14"/>
      <c r="O1049" s="14"/>
      <c r="P1049" s="14">
        <v>350</v>
      </c>
      <c r="Q1049" s="14"/>
      <c r="R1049" s="14"/>
      <c r="S1049" s="14"/>
      <c r="T1049" s="14"/>
      <c r="U1049" s="14"/>
      <c r="V1049" s="14"/>
      <c r="W1049" s="15">
        <f t="shared" si="38"/>
        <v>350</v>
      </c>
      <c r="X1049" s="14"/>
      <c r="Y1049" s="14"/>
      <c r="Z1049" s="14"/>
      <c r="AA1049" s="14"/>
      <c r="AB1049" s="14"/>
      <c r="AC1049" s="14"/>
      <c r="AD1049" s="14"/>
      <c r="AE1049" s="14"/>
      <c r="AF1049" s="14"/>
      <c r="AG1049" s="14"/>
      <c r="AH1049" s="14"/>
      <c r="AI1049" s="14"/>
      <c r="AJ1049" s="15"/>
      <c r="AK1049" s="16"/>
    </row>
    <row r="1050" spans="2:37" x14ac:dyDescent="0.2">
      <c r="B1050" s="7" t="s">
        <v>47</v>
      </c>
      <c r="C1050" s="8">
        <v>11765</v>
      </c>
      <c r="D1050" s="9" t="s">
        <v>434</v>
      </c>
      <c r="E1050" s="10" t="s">
        <v>435</v>
      </c>
      <c r="F1050" s="10" t="s">
        <v>436</v>
      </c>
      <c r="G1050" s="8">
        <v>1</v>
      </c>
      <c r="H1050" s="11">
        <v>400</v>
      </c>
      <c r="I1050" s="12">
        <v>42526</v>
      </c>
      <c r="J1050" s="13">
        <f t="shared" si="37"/>
        <v>0</v>
      </c>
      <c r="K1050" s="14"/>
      <c r="L1050" s="14"/>
      <c r="M1050" s="14"/>
      <c r="N1050" s="14"/>
      <c r="O1050" s="14"/>
      <c r="P1050" s="14">
        <v>400</v>
      </c>
      <c r="Q1050" s="14"/>
      <c r="R1050" s="14"/>
      <c r="S1050" s="14"/>
      <c r="T1050" s="14"/>
      <c r="U1050" s="14"/>
      <c r="V1050" s="14"/>
      <c r="W1050" s="15">
        <f t="shared" si="38"/>
        <v>400</v>
      </c>
      <c r="X1050" s="14"/>
      <c r="Y1050" s="14"/>
      <c r="Z1050" s="14"/>
      <c r="AA1050" s="14"/>
      <c r="AB1050" s="14"/>
      <c r="AC1050" s="14"/>
      <c r="AD1050" s="14"/>
      <c r="AE1050" s="14"/>
      <c r="AF1050" s="14"/>
      <c r="AG1050" s="14"/>
      <c r="AH1050" s="14"/>
      <c r="AI1050" s="14"/>
      <c r="AJ1050" s="15"/>
      <c r="AK1050" s="16"/>
    </row>
    <row r="1051" spans="2:37" x14ac:dyDescent="0.2">
      <c r="B1051" s="7" t="s">
        <v>69</v>
      </c>
      <c r="C1051" s="8">
        <v>11766</v>
      </c>
      <c r="D1051" s="9" t="s">
        <v>325</v>
      </c>
      <c r="E1051" s="10" t="s">
        <v>326</v>
      </c>
      <c r="F1051" s="10" t="s">
        <v>327</v>
      </c>
      <c r="G1051" s="8">
        <v>1</v>
      </c>
      <c r="H1051" s="11">
        <v>400</v>
      </c>
      <c r="I1051" s="12">
        <v>42526</v>
      </c>
      <c r="J1051" s="13">
        <f t="shared" si="37"/>
        <v>0</v>
      </c>
      <c r="K1051" s="14"/>
      <c r="L1051" s="14"/>
      <c r="M1051" s="14"/>
      <c r="N1051" s="14"/>
      <c r="O1051" s="14"/>
      <c r="P1051" s="14">
        <v>400</v>
      </c>
      <c r="Q1051" s="14"/>
      <c r="R1051" s="14"/>
      <c r="S1051" s="14"/>
      <c r="T1051" s="14"/>
      <c r="U1051" s="14"/>
      <c r="V1051" s="14"/>
      <c r="W1051" s="15">
        <f t="shared" si="38"/>
        <v>400</v>
      </c>
      <c r="X1051" s="14"/>
      <c r="Y1051" s="14"/>
      <c r="Z1051" s="14"/>
      <c r="AA1051" s="14"/>
      <c r="AB1051" s="14"/>
      <c r="AC1051" s="14"/>
      <c r="AD1051" s="14"/>
      <c r="AE1051" s="14"/>
      <c r="AF1051" s="14"/>
      <c r="AG1051" s="14"/>
      <c r="AH1051" s="14"/>
      <c r="AI1051" s="14"/>
      <c r="AJ1051" s="15"/>
      <c r="AK1051" s="16"/>
    </row>
    <row r="1052" spans="2:37" x14ac:dyDescent="0.2">
      <c r="B1052" s="7" t="s">
        <v>73</v>
      </c>
      <c r="C1052" s="8">
        <v>11767</v>
      </c>
      <c r="D1052" s="9" t="s">
        <v>112</v>
      </c>
      <c r="E1052" s="10" t="s">
        <v>113</v>
      </c>
      <c r="F1052" s="10" t="s">
        <v>114</v>
      </c>
      <c r="G1052" s="8">
        <v>1</v>
      </c>
      <c r="H1052" s="11">
        <v>250</v>
      </c>
      <c r="I1052" s="12">
        <v>42526</v>
      </c>
      <c r="J1052" s="13">
        <f t="shared" si="37"/>
        <v>0</v>
      </c>
      <c r="K1052" s="14"/>
      <c r="L1052" s="14"/>
      <c r="M1052" s="14"/>
      <c r="N1052" s="14"/>
      <c r="O1052" s="14">
        <v>250</v>
      </c>
      <c r="P1052" s="14"/>
      <c r="Q1052" s="14"/>
      <c r="R1052" s="14"/>
      <c r="S1052" s="14"/>
      <c r="T1052" s="14"/>
      <c r="U1052" s="14"/>
      <c r="V1052" s="14"/>
      <c r="W1052" s="15">
        <f t="shared" si="38"/>
        <v>250</v>
      </c>
      <c r="X1052" s="14"/>
      <c r="Y1052" s="14"/>
      <c r="Z1052" s="14"/>
      <c r="AA1052" s="14"/>
      <c r="AB1052" s="14"/>
      <c r="AC1052" s="14"/>
      <c r="AD1052" s="14"/>
      <c r="AE1052" s="14"/>
      <c r="AF1052" s="14"/>
      <c r="AG1052" s="14"/>
      <c r="AH1052" s="14"/>
      <c r="AI1052" s="14"/>
      <c r="AJ1052" s="15"/>
      <c r="AK1052" s="16"/>
    </row>
    <row r="1053" spans="2:37" x14ac:dyDescent="0.2">
      <c r="B1053" s="7" t="s">
        <v>73</v>
      </c>
      <c r="C1053" s="8">
        <v>11768</v>
      </c>
      <c r="D1053" s="9" t="s">
        <v>398</v>
      </c>
      <c r="E1053" s="10" t="s">
        <v>399</v>
      </c>
      <c r="F1053" s="10" t="s">
        <v>400</v>
      </c>
      <c r="G1053" s="8">
        <v>1</v>
      </c>
      <c r="H1053" s="11">
        <v>400</v>
      </c>
      <c r="I1053" s="12">
        <v>42526</v>
      </c>
      <c r="J1053" s="13">
        <f t="shared" si="37"/>
        <v>0</v>
      </c>
      <c r="K1053" s="14"/>
      <c r="L1053" s="14"/>
      <c r="M1053" s="14"/>
      <c r="N1053" s="14"/>
      <c r="O1053" s="14"/>
      <c r="P1053" s="14">
        <v>400</v>
      </c>
      <c r="Q1053" s="14"/>
      <c r="R1053" s="14"/>
      <c r="S1053" s="14"/>
      <c r="T1053" s="14"/>
      <c r="U1053" s="14"/>
      <c r="V1053" s="14"/>
      <c r="W1053" s="15">
        <f t="shared" si="38"/>
        <v>400</v>
      </c>
      <c r="X1053" s="14"/>
      <c r="Y1053" s="14"/>
      <c r="Z1053" s="14"/>
      <c r="AA1053" s="14"/>
      <c r="AB1053" s="14"/>
      <c r="AC1053" s="14"/>
      <c r="AD1053" s="14"/>
      <c r="AE1053" s="14"/>
      <c r="AF1053" s="14"/>
      <c r="AG1053" s="14"/>
      <c r="AH1053" s="14"/>
      <c r="AI1053" s="14"/>
      <c r="AJ1053" s="15"/>
      <c r="AK1053" s="16"/>
    </row>
    <row r="1054" spans="2:37" x14ac:dyDescent="0.2">
      <c r="B1054" s="7" t="s">
        <v>77</v>
      </c>
      <c r="C1054" s="8">
        <v>11769</v>
      </c>
      <c r="D1054" s="9" t="s">
        <v>617</v>
      </c>
      <c r="E1054" s="10" t="s">
        <v>618</v>
      </c>
      <c r="F1054" s="10" t="s">
        <v>619</v>
      </c>
      <c r="G1054" s="8">
        <v>1</v>
      </c>
      <c r="H1054" s="11">
        <v>400</v>
      </c>
      <c r="I1054" s="12">
        <v>42526</v>
      </c>
      <c r="J1054" s="13">
        <f t="shared" si="37"/>
        <v>0</v>
      </c>
      <c r="K1054" s="14"/>
      <c r="L1054" s="14"/>
      <c r="M1054" s="14"/>
      <c r="N1054" s="14"/>
      <c r="O1054" s="14"/>
      <c r="P1054" s="14">
        <v>400</v>
      </c>
      <c r="Q1054" s="14"/>
      <c r="R1054" s="14"/>
      <c r="S1054" s="14"/>
      <c r="T1054" s="14"/>
      <c r="U1054" s="14"/>
      <c r="V1054" s="14"/>
      <c r="W1054" s="15">
        <f t="shared" si="38"/>
        <v>400</v>
      </c>
      <c r="X1054" s="14"/>
      <c r="Y1054" s="14"/>
      <c r="Z1054" s="14"/>
      <c r="AA1054" s="14"/>
      <c r="AB1054" s="14"/>
      <c r="AC1054" s="14"/>
      <c r="AD1054" s="14"/>
      <c r="AE1054" s="14"/>
      <c r="AF1054" s="14"/>
      <c r="AG1054" s="14"/>
      <c r="AH1054" s="14"/>
      <c r="AI1054" s="14"/>
      <c r="AJ1054" s="15"/>
      <c r="AK1054" s="16"/>
    </row>
    <row r="1055" spans="2:37" x14ac:dyDescent="0.2">
      <c r="B1055" s="7" t="s">
        <v>37</v>
      </c>
      <c r="C1055" s="8">
        <v>11770</v>
      </c>
      <c r="D1055" s="9" t="s">
        <v>268</v>
      </c>
      <c r="E1055" s="10" t="s">
        <v>269</v>
      </c>
      <c r="F1055" s="10" t="s">
        <v>270</v>
      </c>
      <c r="G1055" s="8">
        <v>1</v>
      </c>
      <c r="H1055" s="11">
        <v>300</v>
      </c>
      <c r="I1055" s="12">
        <v>42526</v>
      </c>
      <c r="J1055" s="13">
        <f t="shared" si="37"/>
        <v>0</v>
      </c>
      <c r="K1055" s="14"/>
      <c r="L1055" s="14"/>
      <c r="M1055" s="14"/>
      <c r="N1055" s="14"/>
      <c r="O1055" s="14"/>
      <c r="P1055" s="14">
        <v>300</v>
      </c>
      <c r="Q1055" s="14"/>
      <c r="R1055" s="14"/>
      <c r="S1055" s="14"/>
      <c r="T1055" s="14"/>
      <c r="U1055" s="14"/>
      <c r="V1055" s="14"/>
      <c r="W1055" s="15">
        <f t="shared" si="38"/>
        <v>300</v>
      </c>
      <c r="X1055" s="14"/>
      <c r="Y1055" s="14"/>
      <c r="Z1055" s="14"/>
      <c r="AA1055" s="14"/>
      <c r="AB1055" s="14"/>
      <c r="AC1055" s="14"/>
      <c r="AD1055" s="14"/>
      <c r="AE1055" s="14"/>
      <c r="AF1055" s="14"/>
      <c r="AG1055" s="14"/>
      <c r="AH1055" s="14"/>
      <c r="AI1055" s="14"/>
      <c r="AJ1055" s="15"/>
      <c r="AK1055" s="16"/>
    </row>
    <row r="1056" spans="2:37" x14ac:dyDescent="0.2">
      <c r="B1056" s="7" t="s">
        <v>391</v>
      </c>
      <c r="C1056" s="8">
        <v>11771</v>
      </c>
      <c r="D1056" s="9" t="s">
        <v>640</v>
      </c>
      <c r="E1056" s="10" t="s">
        <v>641</v>
      </c>
      <c r="F1056" s="10" t="s">
        <v>642</v>
      </c>
      <c r="G1056" s="8">
        <v>1</v>
      </c>
      <c r="H1056" s="11">
        <v>200</v>
      </c>
      <c r="I1056" s="12">
        <v>42526</v>
      </c>
      <c r="J1056" s="13">
        <f t="shared" si="37"/>
        <v>0</v>
      </c>
      <c r="K1056" s="14"/>
      <c r="L1056" s="14"/>
      <c r="M1056" s="14"/>
      <c r="N1056" s="14"/>
      <c r="O1056" s="14">
        <v>200</v>
      </c>
      <c r="P1056" s="14"/>
      <c r="Q1056" s="14"/>
      <c r="R1056" s="14"/>
      <c r="S1056" s="14"/>
      <c r="T1056" s="14"/>
      <c r="U1056" s="14"/>
      <c r="V1056" s="14"/>
      <c r="W1056" s="15">
        <f t="shared" si="38"/>
        <v>200</v>
      </c>
      <c r="X1056" s="14"/>
      <c r="Y1056" s="14"/>
      <c r="Z1056" s="14"/>
      <c r="AA1056" s="14"/>
      <c r="AB1056" s="14"/>
      <c r="AC1056" s="14"/>
      <c r="AD1056" s="14"/>
      <c r="AE1056" s="14"/>
      <c r="AF1056" s="14"/>
      <c r="AG1056" s="14"/>
      <c r="AH1056" s="14"/>
      <c r="AI1056" s="14"/>
      <c r="AJ1056" s="15"/>
      <c r="AK1056" s="16"/>
    </row>
    <row r="1057" spans="2:37" x14ac:dyDescent="0.2">
      <c r="B1057" s="7" t="s">
        <v>77</v>
      </c>
      <c r="C1057" s="8">
        <v>11772</v>
      </c>
      <c r="D1057" s="9" t="s">
        <v>479</v>
      </c>
      <c r="E1057" s="10" t="s">
        <v>480</v>
      </c>
      <c r="F1057" s="10" t="s">
        <v>481</v>
      </c>
      <c r="G1057" s="8">
        <v>1</v>
      </c>
      <c r="H1057" s="11">
        <v>300</v>
      </c>
      <c r="I1057" s="12">
        <v>42526</v>
      </c>
      <c r="J1057" s="13">
        <f t="shared" si="37"/>
        <v>0</v>
      </c>
      <c r="K1057" s="14"/>
      <c r="L1057" s="14"/>
      <c r="M1057" s="14"/>
      <c r="N1057" s="14"/>
      <c r="O1057" s="14"/>
      <c r="P1057" s="14">
        <v>300</v>
      </c>
      <c r="Q1057" s="14"/>
      <c r="R1057" s="14"/>
      <c r="S1057" s="14"/>
      <c r="T1057" s="14"/>
      <c r="U1057" s="14"/>
      <c r="V1057" s="14"/>
      <c r="W1057" s="15">
        <f t="shared" si="38"/>
        <v>300</v>
      </c>
      <c r="X1057" s="14"/>
      <c r="Y1057" s="14"/>
      <c r="Z1057" s="14"/>
      <c r="AA1057" s="14"/>
      <c r="AB1057" s="14"/>
      <c r="AC1057" s="14"/>
      <c r="AD1057" s="14"/>
      <c r="AE1057" s="14"/>
      <c r="AF1057" s="14"/>
      <c r="AG1057" s="14"/>
      <c r="AH1057" s="14"/>
      <c r="AI1057" s="14"/>
      <c r="AJ1057" s="15"/>
      <c r="AK1057" s="16"/>
    </row>
    <row r="1058" spans="2:37" x14ac:dyDescent="0.2">
      <c r="B1058" s="7" t="s">
        <v>73</v>
      </c>
      <c r="C1058" s="8">
        <v>11773</v>
      </c>
      <c r="D1058" s="9" t="s">
        <v>980</v>
      </c>
      <c r="E1058" s="10" t="s">
        <v>981</v>
      </c>
      <c r="F1058" s="10" t="s">
        <v>982</v>
      </c>
      <c r="G1058" s="8">
        <v>1</v>
      </c>
      <c r="H1058" s="11">
        <v>400</v>
      </c>
      <c r="I1058" s="12">
        <v>42526</v>
      </c>
      <c r="J1058" s="13">
        <f t="shared" si="37"/>
        <v>0</v>
      </c>
      <c r="K1058" s="14"/>
      <c r="L1058" s="14"/>
      <c r="M1058" s="14"/>
      <c r="N1058" s="14"/>
      <c r="O1058" s="14"/>
      <c r="P1058" s="14">
        <v>400</v>
      </c>
      <c r="Q1058" s="14"/>
      <c r="R1058" s="14"/>
      <c r="S1058" s="14"/>
      <c r="T1058" s="14"/>
      <c r="U1058" s="14"/>
      <c r="V1058" s="14"/>
      <c r="W1058" s="15">
        <f t="shared" si="38"/>
        <v>400</v>
      </c>
      <c r="X1058" s="14"/>
      <c r="Y1058" s="14"/>
      <c r="Z1058" s="14"/>
      <c r="AA1058" s="14"/>
      <c r="AB1058" s="14"/>
      <c r="AC1058" s="14"/>
      <c r="AD1058" s="14"/>
      <c r="AE1058" s="14"/>
      <c r="AF1058" s="14"/>
      <c r="AG1058" s="14"/>
      <c r="AH1058" s="14"/>
      <c r="AI1058" s="14"/>
      <c r="AJ1058" s="15"/>
      <c r="AK1058" s="16"/>
    </row>
    <row r="1059" spans="2:37" x14ac:dyDescent="0.2">
      <c r="B1059" s="7" t="s">
        <v>37</v>
      </c>
      <c r="C1059" s="8">
        <v>11774</v>
      </c>
      <c r="D1059" s="9" t="s">
        <v>180</v>
      </c>
      <c r="E1059" s="10" t="s">
        <v>181</v>
      </c>
      <c r="F1059" s="10" t="s">
        <v>182</v>
      </c>
      <c r="G1059" s="8">
        <v>1</v>
      </c>
      <c r="H1059" s="11">
        <v>400</v>
      </c>
      <c r="I1059" s="12">
        <v>42526</v>
      </c>
      <c r="J1059" s="13">
        <f t="shared" si="37"/>
        <v>0</v>
      </c>
      <c r="K1059" s="14"/>
      <c r="L1059" s="14"/>
      <c r="M1059" s="14"/>
      <c r="N1059" s="14"/>
      <c r="O1059" s="14"/>
      <c r="P1059" s="14">
        <v>400</v>
      </c>
      <c r="Q1059" s="14"/>
      <c r="R1059" s="14"/>
      <c r="S1059" s="14"/>
      <c r="T1059" s="14"/>
      <c r="U1059" s="14"/>
      <c r="V1059" s="14"/>
      <c r="W1059" s="15">
        <f t="shared" si="38"/>
        <v>400</v>
      </c>
      <c r="X1059" s="14"/>
      <c r="Y1059" s="14"/>
      <c r="Z1059" s="14"/>
      <c r="AA1059" s="14"/>
      <c r="AB1059" s="14"/>
      <c r="AC1059" s="14"/>
      <c r="AD1059" s="14"/>
      <c r="AE1059" s="14"/>
      <c r="AF1059" s="14"/>
      <c r="AG1059" s="14"/>
      <c r="AH1059" s="14"/>
      <c r="AI1059" s="14"/>
      <c r="AJ1059" s="15"/>
      <c r="AK1059" s="16"/>
    </row>
    <row r="1060" spans="2:37" x14ac:dyDescent="0.2">
      <c r="B1060" s="7" t="s">
        <v>69</v>
      </c>
      <c r="C1060" s="8">
        <v>11775</v>
      </c>
      <c r="D1060" s="9" t="s">
        <v>174</v>
      </c>
      <c r="E1060" s="10" t="s">
        <v>175</v>
      </c>
      <c r="F1060" s="10" t="s">
        <v>176</v>
      </c>
      <c r="G1060" s="8">
        <v>1</v>
      </c>
      <c r="H1060" s="11">
        <v>300</v>
      </c>
      <c r="I1060" s="12">
        <v>42526</v>
      </c>
      <c r="J1060" s="13">
        <f t="shared" si="37"/>
        <v>0</v>
      </c>
      <c r="K1060" s="14"/>
      <c r="L1060" s="14"/>
      <c r="M1060" s="14"/>
      <c r="N1060" s="14"/>
      <c r="O1060" s="14"/>
      <c r="P1060" s="14">
        <v>300</v>
      </c>
      <c r="Q1060" s="14"/>
      <c r="R1060" s="14"/>
      <c r="S1060" s="14"/>
      <c r="T1060" s="14"/>
      <c r="U1060" s="14"/>
      <c r="V1060" s="14"/>
      <c r="W1060" s="15">
        <f t="shared" si="38"/>
        <v>300</v>
      </c>
      <c r="X1060" s="14"/>
      <c r="Y1060" s="14"/>
      <c r="Z1060" s="14"/>
      <c r="AA1060" s="14"/>
      <c r="AB1060" s="14"/>
      <c r="AC1060" s="14"/>
      <c r="AD1060" s="14"/>
      <c r="AE1060" s="14"/>
      <c r="AF1060" s="14"/>
      <c r="AG1060" s="14"/>
      <c r="AH1060" s="14"/>
      <c r="AI1060" s="14"/>
      <c r="AJ1060" s="15"/>
      <c r="AK1060" s="16"/>
    </row>
    <row r="1061" spans="2:37" x14ac:dyDescent="0.2">
      <c r="B1061" s="7" t="s">
        <v>37</v>
      </c>
      <c r="C1061" s="8">
        <v>11776</v>
      </c>
      <c r="D1061" s="9" t="s">
        <v>177</v>
      </c>
      <c r="E1061" s="10" t="s">
        <v>178</v>
      </c>
      <c r="F1061" s="10" t="s">
        <v>179</v>
      </c>
      <c r="G1061" s="8">
        <v>1</v>
      </c>
      <c r="H1061" s="11">
        <v>400</v>
      </c>
      <c r="I1061" s="12">
        <v>42526</v>
      </c>
      <c r="J1061" s="13">
        <f t="shared" si="37"/>
        <v>0</v>
      </c>
      <c r="K1061" s="14"/>
      <c r="L1061" s="14"/>
      <c r="M1061" s="14"/>
      <c r="N1061" s="14"/>
      <c r="O1061" s="14"/>
      <c r="P1061" s="14">
        <v>400</v>
      </c>
      <c r="Q1061" s="14"/>
      <c r="R1061" s="14"/>
      <c r="S1061" s="14"/>
      <c r="T1061" s="14"/>
      <c r="U1061" s="14"/>
      <c r="V1061" s="14"/>
      <c r="W1061" s="15">
        <f t="shared" si="38"/>
        <v>400</v>
      </c>
      <c r="X1061" s="14"/>
      <c r="Y1061" s="14"/>
      <c r="Z1061" s="14"/>
      <c r="AA1061" s="14"/>
      <c r="AB1061" s="14"/>
      <c r="AC1061" s="14"/>
      <c r="AD1061" s="14"/>
      <c r="AE1061" s="14"/>
      <c r="AF1061" s="14"/>
      <c r="AG1061" s="14"/>
      <c r="AH1061" s="14"/>
      <c r="AI1061" s="14"/>
      <c r="AJ1061" s="15"/>
      <c r="AK1061" s="16"/>
    </row>
    <row r="1062" spans="2:37" x14ac:dyDescent="0.2">
      <c r="B1062" s="7" t="s">
        <v>73</v>
      </c>
      <c r="C1062" s="8">
        <v>11777</v>
      </c>
      <c r="D1062" s="9" t="s">
        <v>544</v>
      </c>
      <c r="E1062" s="10" t="s">
        <v>545</v>
      </c>
      <c r="F1062" s="10" t="s">
        <v>546</v>
      </c>
      <c r="G1062" s="8">
        <v>1</v>
      </c>
      <c r="H1062" s="11">
        <v>400</v>
      </c>
      <c r="I1062" s="12">
        <v>42526</v>
      </c>
      <c r="J1062" s="13">
        <f t="shared" si="37"/>
        <v>0</v>
      </c>
      <c r="K1062" s="14"/>
      <c r="L1062" s="14"/>
      <c r="M1062" s="14"/>
      <c r="N1062" s="14"/>
      <c r="O1062" s="14"/>
      <c r="P1062" s="14">
        <v>400</v>
      </c>
      <c r="Q1062" s="14"/>
      <c r="R1062" s="14"/>
      <c r="S1062" s="14"/>
      <c r="T1062" s="14"/>
      <c r="U1062" s="14"/>
      <c r="V1062" s="14"/>
      <c r="W1062" s="15">
        <f t="shared" si="38"/>
        <v>400</v>
      </c>
      <c r="X1062" s="14"/>
      <c r="Y1062" s="14"/>
      <c r="Z1062" s="14"/>
      <c r="AA1062" s="14"/>
      <c r="AB1062" s="14"/>
      <c r="AC1062" s="14"/>
      <c r="AD1062" s="14"/>
      <c r="AE1062" s="14"/>
      <c r="AF1062" s="14"/>
      <c r="AG1062" s="14"/>
      <c r="AH1062" s="14"/>
      <c r="AI1062" s="14"/>
      <c r="AJ1062" s="15"/>
      <c r="AK1062" s="16"/>
    </row>
    <row r="1063" spans="2:37" x14ac:dyDescent="0.2">
      <c r="B1063" s="7" t="s">
        <v>69</v>
      </c>
      <c r="C1063" s="8">
        <v>11778</v>
      </c>
      <c r="D1063" s="9" t="s">
        <v>292</v>
      </c>
      <c r="E1063" s="10" t="s">
        <v>293</v>
      </c>
      <c r="F1063" s="10" t="s">
        <v>294</v>
      </c>
      <c r="G1063" s="8">
        <v>1</v>
      </c>
      <c r="H1063" s="11">
        <v>400</v>
      </c>
      <c r="I1063" s="12">
        <v>42526</v>
      </c>
      <c r="J1063" s="13">
        <f t="shared" si="37"/>
        <v>0</v>
      </c>
      <c r="K1063" s="14"/>
      <c r="L1063" s="14"/>
      <c r="M1063" s="14"/>
      <c r="N1063" s="14"/>
      <c r="O1063" s="14"/>
      <c r="P1063" s="14">
        <v>400</v>
      </c>
      <c r="Q1063" s="14"/>
      <c r="R1063" s="14"/>
      <c r="S1063" s="14"/>
      <c r="T1063" s="14"/>
      <c r="U1063" s="14"/>
      <c r="V1063" s="14"/>
      <c r="W1063" s="15">
        <f t="shared" si="38"/>
        <v>400</v>
      </c>
      <c r="X1063" s="14"/>
      <c r="Y1063" s="14"/>
      <c r="Z1063" s="14"/>
      <c r="AA1063" s="14"/>
      <c r="AB1063" s="14"/>
      <c r="AC1063" s="14"/>
      <c r="AD1063" s="14"/>
      <c r="AE1063" s="14"/>
      <c r="AF1063" s="14"/>
      <c r="AG1063" s="14"/>
      <c r="AH1063" s="14"/>
      <c r="AI1063" s="14"/>
      <c r="AJ1063" s="15"/>
      <c r="AK1063" s="16"/>
    </row>
    <row r="1064" spans="2:37" x14ac:dyDescent="0.2">
      <c r="B1064" s="7" t="s">
        <v>77</v>
      </c>
      <c r="C1064" s="8">
        <v>11779</v>
      </c>
      <c r="D1064" s="9" t="s">
        <v>565</v>
      </c>
      <c r="E1064" s="10" t="s">
        <v>566</v>
      </c>
      <c r="F1064" s="10" t="s">
        <v>567</v>
      </c>
      <c r="G1064" s="8">
        <v>1</v>
      </c>
      <c r="H1064" s="11">
        <v>500</v>
      </c>
      <c r="I1064" s="12">
        <v>42526</v>
      </c>
      <c r="J1064" s="13">
        <f t="shared" si="37"/>
        <v>0</v>
      </c>
      <c r="K1064" s="14"/>
      <c r="L1064" s="14"/>
      <c r="M1064" s="14"/>
      <c r="N1064" s="14"/>
      <c r="O1064" s="14">
        <v>250</v>
      </c>
      <c r="P1064" s="14">
        <v>250</v>
      </c>
      <c r="Q1064" s="14"/>
      <c r="R1064" s="14"/>
      <c r="S1064" s="14"/>
      <c r="T1064" s="14"/>
      <c r="U1064" s="14"/>
      <c r="V1064" s="14"/>
      <c r="W1064" s="15">
        <f t="shared" si="38"/>
        <v>500</v>
      </c>
      <c r="X1064" s="14"/>
      <c r="Y1064" s="14"/>
      <c r="Z1064" s="14"/>
      <c r="AA1064" s="14"/>
      <c r="AB1064" s="14"/>
      <c r="AC1064" s="14"/>
      <c r="AD1064" s="14"/>
      <c r="AE1064" s="14"/>
      <c r="AF1064" s="14"/>
      <c r="AG1064" s="14"/>
      <c r="AH1064" s="14"/>
      <c r="AI1064" s="14"/>
      <c r="AJ1064" s="15"/>
      <c r="AK1064" s="16"/>
    </row>
    <row r="1065" spans="2:37" x14ac:dyDescent="0.2">
      <c r="B1065" s="7" t="s">
        <v>69</v>
      </c>
      <c r="C1065" s="8">
        <v>11780</v>
      </c>
      <c r="D1065" s="9" t="s">
        <v>828</v>
      </c>
      <c r="E1065" s="10" t="s">
        <v>829</v>
      </c>
      <c r="F1065" s="10" t="s">
        <v>830</v>
      </c>
      <c r="G1065" s="8">
        <v>1</v>
      </c>
      <c r="H1065" s="11">
        <v>600</v>
      </c>
      <c r="I1065" s="12">
        <v>42526</v>
      </c>
      <c r="J1065" s="13">
        <f t="shared" si="37"/>
        <v>0</v>
      </c>
      <c r="K1065" s="14"/>
      <c r="L1065" s="14"/>
      <c r="M1065" s="14"/>
      <c r="N1065" s="14">
        <v>200</v>
      </c>
      <c r="O1065" s="14">
        <v>200</v>
      </c>
      <c r="P1065" s="14">
        <v>200</v>
      </c>
      <c r="Q1065" s="14"/>
      <c r="R1065" s="14"/>
      <c r="S1065" s="14"/>
      <c r="T1065" s="14"/>
      <c r="U1065" s="14"/>
      <c r="V1065" s="14"/>
      <c r="W1065" s="15">
        <f t="shared" si="38"/>
        <v>600</v>
      </c>
      <c r="X1065" s="14"/>
      <c r="Y1065" s="14"/>
      <c r="Z1065" s="14"/>
      <c r="AA1065" s="14"/>
      <c r="AB1065" s="14"/>
      <c r="AC1065" s="14"/>
      <c r="AD1065" s="14"/>
      <c r="AE1065" s="14"/>
      <c r="AF1065" s="14"/>
      <c r="AG1065" s="14"/>
      <c r="AH1065" s="14"/>
      <c r="AI1065" s="14"/>
      <c r="AJ1065" s="15"/>
      <c r="AK1065" s="16"/>
    </row>
    <row r="1066" spans="2:37" x14ac:dyDescent="0.2">
      <c r="B1066" s="7" t="s">
        <v>73</v>
      </c>
      <c r="C1066" s="8">
        <v>11781</v>
      </c>
      <c r="D1066" s="9" t="s">
        <v>672</v>
      </c>
      <c r="E1066" s="10" t="s">
        <v>673</v>
      </c>
      <c r="F1066" s="10" t="s">
        <v>674</v>
      </c>
      <c r="G1066" s="8">
        <v>1</v>
      </c>
      <c r="H1066" s="11">
        <v>200</v>
      </c>
      <c r="I1066" s="12">
        <v>42526</v>
      </c>
      <c r="J1066" s="13">
        <f t="shared" si="37"/>
        <v>0</v>
      </c>
      <c r="K1066" s="14"/>
      <c r="L1066" s="14"/>
      <c r="M1066" s="14"/>
      <c r="N1066" s="14"/>
      <c r="O1066" s="14"/>
      <c r="P1066" s="14">
        <v>200</v>
      </c>
      <c r="Q1066" s="14"/>
      <c r="R1066" s="14"/>
      <c r="S1066" s="14"/>
      <c r="T1066" s="14"/>
      <c r="U1066" s="14"/>
      <c r="V1066" s="14"/>
      <c r="W1066" s="15">
        <f t="shared" si="38"/>
        <v>200</v>
      </c>
      <c r="X1066" s="14"/>
      <c r="Y1066" s="14"/>
      <c r="Z1066" s="14"/>
      <c r="AA1066" s="14"/>
      <c r="AB1066" s="14"/>
      <c r="AC1066" s="14"/>
      <c r="AD1066" s="14"/>
      <c r="AE1066" s="14"/>
      <c r="AF1066" s="14"/>
      <c r="AG1066" s="14"/>
      <c r="AH1066" s="14"/>
      <c r="AI1066" s="14"/>
      <c r="AJ1066" s="15"/>
      <c r="AK1066" s="16"/>
    </row>
    <row r="1067" spans="2:37" x14ac:dyDescent="0.2">
      <c r="B1067" s="7" t="s">
        <v>37</v>
      </c>
      <c r="C1067" s="8">
        <v>11782</v>
      </c>
      <c r="D1067" s="9" t="s">
        <v>983</v>
      </c>
      <c r="E1067" s="10" t="s">
        <v>984</v>
      </c>
      <c r="F1067" s="10" t="s">
        <v>985</v>
      </c>
      <c r="G1067" s="8">
        <v>1</v>
      </c>
      <c r="H1067" s="11">
        <v>2400</v>
      </c>
      <c r="I1067" s="12">
        <v>42526</v>
      </c>
      <c r="J1067" s="13">
        <f t="shared" si="37"/>
        <v>0</v>
      </c>
      <c r="K1067" s="14">
        <v>400</v>
      </c>
      <c r="L1067" s="14">
        <v>400</v>
      </c>
      <c r="M1067" s="14">
        <v>400</v>
      </c>
      <c r="N1067" s="14">
        <v>400</v>
      </c>
      <c r="O1067" s="14">
        <v>400</v>
      </c>
      <c r="P1067" s="14">
        <v>400</v>
      </c>
      <c r="Q1067" s="14"/>
      <c r="R1067" s="14"/>
      <c r="S1067" s="14"/>
      <c r="T1067" s="14"/>
      <c r="U1067" s="14"/>
      <c r="V1067" s="14"/>
      <c r="W1067" s="15">
        <f t="shared" si="38"/>
        <v>2400</v>
      </c>
      <c r="X1067" s="14"/>
      <c r="Y1067" s="14"/>
      <c r="Z1067" s="14"/>
      <c r="AA1067" s="14"/>
      <c r="AB1067" s="14"/>
      <c r="AC1067" s="14"/>
      <c r="AD1067" s="14"/>
      <c r="AE1067" s="14"/>
      <c r="AF1067" s="14"/>
      <c r="AG1067" s="14"/>
      <c r="AH1067" s="14"/>
      <c r="AI1067" s="14"/>
      <c r="AJ1067" s="15"/>
      <c r="AK1067" s="16"/>
    </row>
    <row r="1068" spans="2:37" x14ac:dyDescent="0.2">
      <c r="B1068" s="7" t="s">
        <v>47</v>
      </c>
      <c r="C1068" s="8">
        <v>11783</v>
      </c>
      <c r="D1068" s="9" t="s">
        <v>823</v>
      </c>
      <c r="E1068" s="10" t="s">
        <v>824</v>
      </c>
      <c r="F1068" s="10" t="s">
        <v>765</v>
      </c>
      <c r="G1068" s="8">
        <v>1</v>
      </c>
      <c r="H1068" s="11">
        <v>200</v>
      </c>
      <c r="I1068" s="12">
        <v>42526</v>
      </c>
      <c r="J1068" s="13">
        <f t="shared" si="37"/>
        <v>0</v>
      </c>
      <c r="K1068" s="14"/>
      <c r="L1068" s="14"/>
      <c r="M1068" s="14"/>
      <c r="N1068" s="14"/>
      <c r="O1068" s="14"/>
      <c r="P1068" s="14">
        <v>200</v>
      </c>
      <c r="Q1068" s="14"/>
      <c r="R1068" s="14"/>
      <c r="S1068" s="14"/>
      <c r="T1068" s="14"/>
      <c r="U1068" s="14"/>
      <c r="V1068" s="14"/>
      <c r="W1068" s="15">
        <f t="shared" si="38"/>
        <v>200</v>
      </c>
      <c r="X1068" s="14"/>
      <c r="Y1068" s="14"/>
      <c r="Z1068" s="14"/>
      <c r="AA1068" s="14"/>
      <c r="AB1068" s="14"/>
      <c r="AC1068" s="14"/>
      <c r="AD1068" s="14"/>
      <c r="AE1068" s="14"/>
      <c r="AF1068" s="14"/>
      <c r="AG1068" s="14"/>
      <c r="AH1068" s="14"/>
      <c r="AI1068" s="14"/>
      <c r="AJ1068" s="15"/>
      <c r="AK1068" s="16"/>
    </row>
    <row r="1069" spans="2:37" x14ac:dyDescent="0.2">
      <c r="B1069" s="7" t="s">
        <v>77</v>
      </c>
      <c r="C1069" s="8">
        <v>11784</v>
      </c>
      <c r="D1069" s="9" t="s">
        <v>87</v>
      </c>
      <c r="E1069" s="10" t="s">
        <v>88</v>
      </c>
      <c r="F1069" s="10" t="s">
        <v>89</v>
      </c>
      <c r="G1069" s="8">
        <v>1</v>
      </c>
      <c r="H1069" s="11">
        <v>400</v>
      </c>
      <c r="I1069" s="12">
        <v>42526</v>
      </c>
      <c r="J1069" s="13">
        <f t="shared" si="37"/>
        <v>0</v>
      </c>
      <c r="K1069" s="14"/>
      <c r="L1069" s="14"/>
      <c r="M1069" s="14"/>
      <c r="N1069" s="14"/>
      <c r="O1069" s="14"/>
      <c r="P1069" s="14">
        <v>400</v>
      </c>
      <c r="Q1069" s="14"/>
      <c r="R1069" s="14"/>
      <c r="S1069" s="14"/>
      <c r="T1069" s="14"/>
      <c r="U1069" s="14"/>
      <c r="V1069" s="14"/>
      <c r="W1069" s="15">
        <f t="shared" si="38"/>
        <v>400</v>
      </c>
      <c r="X1069" s="14"/>
      <c r="Y1069" s="14"/>
      <c r="Z1069" s="14"/>
      <c r="AA1069" s="14"/>
      <c r="AB1069" s="14"/>
      <c r="AC1069" s="14"/>
      <c r="AD1069" s="14"/>
      <c r="AE1069" s="14"/>
      <c r="AF1069" s="14"/>
      <c r="AG1069" s="14"/>
      <c r="AH1069" s="14"/>
      <c r="AI1069" s="14"/>
      <c r="AJ1069" s="15"/>
      <c r="AK1069" s="16"/>
    </row>
    <row r="1070" spans="2:37" x14ac:dyDescent="0.2">
      <c r="B1070" s="7" t="s">
        <v>73</v>
      </c>
      <c r="C1070" s="8">
        <v>11785</v>
      </c>
      <c r="D1070" s="9" t="s">
        <v>598</v>
      </c>
      <c r="E1070" s="10" t="s">
        <v>599</v>
      </c>
      <c r="F1070" s="10" t="s">
        <v>886</v>
      </c>
      <c r="G1070" s="8">
        <v>1</v>
      </c>
      <c r="H1070" s="11">
        <v>400</v>
      </c>
      <c r="I1070" s="12">
        <v>42526</v>
      </c>
      <c r="J1070" s="13">
        <f t="shared" si="37"/>
        <v>0</v>
      </c>
      <c r="K1070" s="14"/>
      <c r="L1070" s="14"/>
      <c r="M1070" s="14"/>
      <c r="N1070" s="14"/>
      <c r="O1070" s="14"/>
      <c r="P1070" s="14">
        <v>400</v>
      </c>
      <c r="Q1070" s="14"/>
      <c r="R1070" s="14"/>
      <c r="S1070" s="14"/>
      <c r="T1070" s="14"/>
      <c r="U1070" s="14"/>
      <c r="V1070" s="14"/>
      <c r="W1070" s="15">
        <f t="shared" si="38"/>
        <v>400</v>
      </c>
      <c r="X1070" s="14"/>
      <c r="Y1070" s="14"/>
      <c r="Z1070" s="14"/>
      <c r="AA1070" s="14"/>
      <c r="AB1070" s="14"/>
      <c r="AC1070" s="14"/>
      <c r="AD1070" s="14"/>
      <c r="AE1070" s="14"/>
      <c r="AF1070" s="14"/>
      <c r="AG1070" s="14"/>
      <c r="AH1070" s="14"/>
      <c r="AI1070" s="14"/>
      <c r="AJ1070" s="15"/>
      <c r="AK1070" s="16"/>
    </row>
    <row r="1071" spans="2:37" x14ac:dyDescent="0.2">
      <c r="B1071" s="7" t="s">
        <v>73</v>
      </c>
      <c r="C1071" s="8">
        <v>11786</v>
      </c>
      <c r="D1071" s="9" t="s">
        <v>598</v>
      </c>
      <c r="E1071" s="10" t="s">
        <v>599</v>
      </c>
      <c r="F1071" s="10" t="s">
        <v>886</v>
      </c>
      <c r="G1071" s="8">
        <v>3</v>
      </c>
      <c r="H1071" s="11">
        <v>160</v>
      </c>
      <c r="I1071" s="12">
        <v>42526</v>
      </c>
      <c r="J1071" s="13">
        <f t="shared" si="37"/>
        <v>0</v>
      </c>
      <c r="K1071" s="14"/>
      <c r="L1071" s="14"/>
      <c r="M1071" s="14"/>
      <c r="N1071" s="14"/>
      <c r="O1071" s="14"/>
      <c r="P1071" s="14"/>
      <c r="Q1071" s="14"/>
      <c r="R1071" s="14"/>
      <c r="S1071" s="14"/>
      <c r="T1071" s="14"/>
      <c r="U1071" s="14"/>
      <c r="V1071" s="14"/>
      <c r="W1071" s="15">
        <f t="shared" si="38"/>
        <v>0</v>
      </c>
      <c r="X1071" s="14"/>
      <c r="Y1071" s="14"/>
      <c r="Z1071" s="14"/>
      <c r="AA1071" s="14"/>
      <c r="AB1071" s="14"/>
      <c r="AC1071" s="14"/>
      <c r="AD1071" s="14"/>
      <c r="AE1071" s="14"/>
      <c r="AF1071" s="14"/>
      <c r="AG1071" s="14"/>
      <c r="AH1071" s="14"/>
      <c r="AI1071" s="14"/>
      <c r="AJ1071" s="15"/>
      <c r="AK1071" s="16"/>
    </row>
    <row r="1072" spans="2:37" x14ac:dyDescent="0.2">
      <c r="B1072" s="7" t="s">
        <v>77</v>
      </c>
      <c r="C1072" s="8">
        <v>11787</v>
      </c>
      <c r="D1072" s="9" t="s">
        <v>129</v>
      </c>
      <c r="E1072" s="10" t="s">
        <v>130</v>
      </c>
      <c r="F1072" s="10" t="s">
        <v>131</v>
      </c>
      <c r="G1072" s="8">
        <v>1</v>
      </c>
      <c r="H1072" s="11">
        <v>400</v>
      </c>
      <c r="I1072" s="12">
        <v>42526</v>
      </c>
      <c r="J1072" s="13">
        <f t="shared" si="37"/>
        <v>0</v>
      </c>
      <c r="K1072" s="14"/>
      <c r="L1072" s="14"/>
      <c r="M1072" s="14"/>
      <c r="N1072" s="14"/>
      <c r="O1072" s="14"/>
      <c r="P1072" s="14">
        <v>400</v>
      </c>
      <c r="Q1072" s="14"/>
      <c r="R1072" s="14"/>
      <c r="S1072" s="14"/>
      <c r="T1072" s="14"/>
      <c r="U1072" s="14"/>
      <c r="V1072" s="14"/>
      <c r="W1072" s="15">
        <f t="shared" si="38"/>
        <v>400</v>
      </c>
      <c r="X1072" s="14"/>
      <c r="Y1072" s="14"/>
      <c r="Z1072" s="14"/>
      <c r="AA1072" s="14"/>
      <c r="AB1072" s="14"/>
      <c r="AC1072" s="14"/>
      <c r="AD1072" s="14"/>
      <c r="AE1072" s="14"/>
      <c r="AF1072" s="14"/>
      <c r="AG1072" s="14"/>
      <c r="AH1072" s="14"/>
      <c r="AI1072" s="14"/>
      <c r="AJ1072" s="15"/>
      <c r="AK1072" s="16"/>
    </row>
    <row r="1073" spans="2:37" x14ac:dyDescent="0.2">
      <c r="B1073" s="7" t="s">
        <v>47</v>
      </c>
      <c r="C1073" s="8">
        <v>11788</v>
      </c>
      <c r="D1073" s="9" t="s">
        <v>328</v>
      </c>
      <c r="E1073" s="10" t="s">
        <v>329</v>
      </c>
      <c r="F1073" s="10" t="s">
        <v>330</v>
      </c>
      <c r="G1073" s="8">
        <v>1</v>
      </c>
      <c r="H1073" s="11">
        <v>400</v>
      </c>
      <c r="I1073" s="12">
        <v>42526</v>
      </c>
      <c r="J1073" s="13">
        <f t="shared" si="37"/>
        <v>0</v>
      </c>
      <c r="K1073" s="14"/>
      <c r="L1073" s="14"/>
      <c r="M1073" s="14"/>
      <c r="N1073" s="14"/>
      <c r="O1073" s="14"/>
      <c r="P1073" s="14">
        <v>400</v>
      </c>
      <c r="Q1073" s="14"/>
      <c r="R1073" s="14"/>
      <c r="S1073" s="14"/>
      <c r="T1073" s="14"/>
      <c r="U1073" s="14"/>
      <c r="V1073" s="14"/>
      <c r="W1073" s="15">
        <f t="shared" si="38"/>
        <v>400</v>
      </c>
      <c r="X1073" s="14"/>
      <c r="Y1073" s="14"/>
      <c r="Z1073" s="14"/>
      <c r="AA1073" s="14"/>
      <c r="AB1073" s="14"/>
      <c r="AC1073" s="14"/>
      <c r="AD1073" s="14"/>
      <c r="AE1073" s="14"/>
      <c r="AF1073" s="14"/>
      <c r="AG1073" s="14"/>
      <c r="AH1073" s="14"/>
      <c r="AI1073" s="14"/>
      <c r="AJ1073" s="15"/>
      <c r="AK1073" s="16"/>
    </row>
    <row r="1074" spans="2:37" x14ac:dyDescent="0.2">
      <c r="B1074" s="7" t="s">
        <v>47</v>
      </c>
      <c r="C1074" s="8">
        <v>11789</v>
      </c>
      <c r="D1074" s="9" t="s">
        <v>171</v>
      </c>
      <c r="E1074" s="10" t="s">
        <v>172</v>
      </c>
      <c r="F1074" s="10" t="s">
        <v>173</v>
      </c>
      <c r="G1074" s="8">
        <v>1</v>
      </c>
      <c r="H1074" s="11">
        <v>400</v>
      </c>
      <c r="I1074" s="12">
        <v>42526</v>
      </c>
      <c r="J1074" s="13">
        <f t="shared" si="37"/>
        <v>0</v>
      </c>
      <c r="K1074" s="14"/>
      <c r="L1074" s="14"/>
      <c r="M1074" s="14"/>
      <c r="N1074" s="14"/>
      <c r="O1074" s="14"/>
      <c r="P1074" s="14">
        <v>400</v>
      </c>
      <c r="Q1074" s="14"/>
      <c r="R1074" s="14"/>
      <c r="S1074" s="14"/>
      <c r="T1074" s="14"/>
      <c r="U1074" s="14"/>
      <c r="V1074" s="14"/>
      <c r="W1074" s="15">
        <f t="shared" si="38"/>
        <v>400</v>
      </c>
      <c r="X1074" s="14"/>
      <c r="Y1074" s="14"/>
      <c r="Z1074" s="14"/>
      <c r="AA1074" s="14"/>
      <c r="AB1074" s="14"/>
      <c r="AC1074" s="14"/>
      <c r="AD1074" s="14"/>
      <c r="AE1074" s="14"/>
      <c r="AF1074" s="14"/>
      <c r="AG1074" s="14"/>
      <c r="AH1074" s="14"/>
      <c r="AI1074" s="14"/>
      <c r="AJ1074" s="15"/>
      <c r="AK1074" s="16"/>
    </row>
    <row r="1075" spans="2:37" x14ac:dyDescent="0.2">
      <c r="B1075" s="7" t="s">
        <v>47</v>
      </c>
      <c r="C1075" s="8">
        <v>11790</v>
      </c>
      <c r="D1075" s="9" t="s">
        <v>769</v>
      </c>
      <c r="E1075" s="10" t="s">
        <v>770</v>
      </c>
      <c r="F1075" s="10" t="s">
        <v>771</v>
      </c>
      <c r="G1075" s="8">
        <v>1</v>
      </c>
      <c r="H1075" s="11">
        <v>400</v>
      </c>
      <c r="I1075" s="12">
        <v>42526</v>
      </c>
      <c r="J1075" s="13">
        <f t="shared" si="37"/>
        <v>0</v>
      </c>
      <c r="K1075" s="14"/>
      <c r="L1075" s="14"/>
      <c r="M1075" s="14"/>
      <c r="N1075" s="14"/>
      <c r="O1075" s="14">
        <v>400</v>
      </c>
      <c r="P1075" s="14"/>
      <c r="Q1075" s="14"/>
      <c r="R1075" s="14"/>
      <c r="S1075" s="14"/>
      <c r="T1075" s="14"/>
      <c r="U1075" s="14"/>
      <c r="V1075" s="14"/>
      <c r="W1075" s="15">
        <f t="shared" si="38"/>
        <v>400</v>
      </c>
      <c r="X1075" s="14"/>
      <c r="Y1075" s="14"/>
      <c r="Z1075" s="14"/>
      <c r="AA1075" s="14"/>
      <c r="AB1075" s="14"/>
      <c r="AC1075" s="14"/>
      <c r="AD1075" s="14"/>
      <c r="AE1075" s="14"/>
      <c r="AF1075" s="14"/>
      <c r="AG1075" s="14"/>
      <c r="AH1075" s="14"/>
      <c r="AI1075" s="14"/>
      <c r="AJ1075" s="15"/>
      <c r="AK1075" s="16"/>
    </row>
    <row r="1076" spans="2:37" x14ac:dyDescent="0.2">
      <c r="B1076" s="7" t="s">
        <v>47</v>
      </c>
      <c r="C1076" s="8">
        <v>11791</v>
      </c>
      <c r="D1076" s="9" t="s">
        <v>583</v>
      </c>
      <c r="E1076" s="10" t="s">
        <v>584</v>
      </c>
      <c r="F1076" s="10" t="s">
        <v>585</v>
      </c>
      <c r="G1076" s="8">
        <v>1</v>
      </c>
      <c r="H1076" s="11">
        <v>200</v>
      </c>
      <c r="I1076" s="12">
        <v>42526</v>
      </c>
      <c r="J1076" s="13">
        <f t="shared" si="37"/>
        <v>0</v>
      </c>
      <c r="K1076" s="14"/>
      <c r="L1076" s="14"/>
      <c r="M1076" s="14"/>
      <c r="N1076" s="14"/>
      <c r="O1076" s="14"/>
      <c r="P1076" s="14">
        <v>200</v>
      </c>
      <c r="Q1076" s="14"/>
      <c r="R1076" s="14"/>
      <c r="S1076" s="14"/>
      <c r="T1076" s="14"/>
      <c r="U1076" s="14"/>
      <c r="V1076" s="14"/>
      <c r="W1076" s="15">
        <f t="shared" si="38"/>
        <v>200</v>
      </c>
      <c r="X1076" s="14"/>
      <c r="Y1076" s="14"/>
      <c r="Z1076" s="14"/>
      <c r="AA1076" s="14"/>
      <c r="AB1076" s="14"/>
      <c r="AC1076" s="14"/>
      <c r="AD1076" s="14"/>
      <c r="AE1076" s="14"/>
      <c r="AF1076" s="14"/>
      <c r="AG1076" s="14"/>
      <c r="AH1076" s="14"/>
      <c r="AI1076" s="14"/>
      <c r="AJ1076" s="15"/>
      <c r="AK1076" s="16"/>
    </row>
    <row r="1077" spans="2:37" x14ac:dyDescent="0.2">
      <c r="B1077" s="7" t="s">
        <v>122</v>
      </c>
      <c r="C1077" s="8">
        <v>11792</v>
      </c>
      <c r="D1077" s="9" t="s">
        <v>262</v>
      </c>
      <c r="E1077" s="10" t="s">
        <v>263</v>
      </c>
      <c r="F1077" s="10" t="s">
        <v>264</v>
      </c>
      <c r="G1077" s="8">
        <v>1</v>
      </c>
      <c r="H1077" s="11">
        <v>300</v>
      </c>
      <c r="I1077" s="12">
        <v>42526</v>
      </c>
      <c r="J1077" s="13">
        <f t="shared" si="37"/>
        <v>0</v>
      </c>
      <c r="K1077" s="14"/>
      <c r="L1077" s="14"/>
      <c r="M1077" s="14"/>
      <c r="N1077" s="14"/>
      <c r="O1077" s="14"/>
      <c r="P1077" s="14">
        <v>300</v>
      </c>
      <c r="Q1077" s="14"/>
      <c r="R1077" s="14"/>
      <c r="S1077" s="14"/>
      <c r="T1077" s="14"/>
      <c r="U1077" s="14"/>
      <c r="V1077" s="14"/>
      <c r="W1077" s="15">
        <f t="shared" si="38"/>
        <v>300</v>
      </c>
      <c r="X1077" s="14"/>
      <c r="Y1077" s="14"/>
      <c r="Z1077" s="14"/>
      <c r="AA1077" s="14"/>
      <c r="AB1077" s="14"/>
      <c r="AC1077" s="14"/>
      <c r="AD1077" s="14"/>
      <c r="AE1077" s="14"/>
      <c r="AF1077" s="14"/>
      <c r="AG1077" s="14"/>
      <c r="AH1077" s="14"/>
      <c r="AI1077" s="14"/>
      <c r="AJ1077" s="15"/>
      <c r="AK1077" s="16"/>
    </row>
    <row r="1078" spans="2:37" x14ac:dyDescent="0.2">
      <c r="B1078" s="7" t="s">
        <v>73</v>
      </c>
      <c r="C1078" s="8">
        <v>11793</v>
      </c>
      <c r="D1078" s="9" t="s">
        <v>458</v>
      </c>
      <c r="E1078" s="10" t="s">
        <v>459</v>
      </c>
      <c r="F1078" s="10" t="s">
        <v>460</v>
      </c>
      <c r="G1078" s="8">
        <v>1</v>
      </c>
      <c r="H1078" s="11">
        <v>400</v>
      </c>
      <c r="I1078" s="12">
        <v>42526</v>
      </c>
      <c r="J1078" s="13">
        <f t="shared" si="37"/>
        <v>0</v>
      </c>
      <c r="K1078" s="14"/>
      <c r="L1078" s="14"/>
      <c r="M1078" s="14"/>
      <c r="N1078" s="14"/>
      <c r="O1078" s="14"/>
      <c r="P1078" s="14">
        <v>400</v>
      </c>
      <c r="Q1078" s="14"/>
      <c r="R1078" s="14"/>
      <c r="S1078" s="14"/>
      <c r="T1078" s="14"/>
      <c r="U1078" s="14"/>
      <c r="V1078" s="14"/>
      <c r="W1078" s="15">
        <f t="shared" si="38"/>
        <v>400</v>
      </c>
      <c r="X1078" s="14"/>
      <c r="Y1078" s="14"/>
      <c r="Z1078" s="14"/>
      <c r="AA1078" s="14"/>
      <c r="AB1078" s="14"/>
      <c r="AC1078" s="14"/>
      <c r="AD1078" s="14"/>
      <c r="AE1078" s="14"/>
      <c r="AF1078" s="14"/>
      <c r="AG1078" s="14"/>
      <c r="AH1078" s="14"/>
      <c r="AI1078" s="14"/>
      <c r="AJ1078" s="15"/>
      <c r="AK1078" s="16"/>
    </row>
    <row r="1079" spans="2:37" x14ac:dyDescent="0.2">
      <c r="B1079" s="7" t="s">
        <v>37</v>
      </c>
      <c r="C1079" s="8">
        <v>11794</v>
      </c>
      <c r="D1079" s="9" t="s">
        <v>395</v>
      </c>
      <c r="E1079" s="10" t="s">
        <v>396</v>
      </c>
      <c r="F1079" s="10" t="s">
        <v>397</v>
      </c>
      <c r="G1079" s="8">
        <v>1</v>
      </c>
      <c r="H1079" s="11">
        <v>150</v>
      </c>
      <c r="I1079" s="12">
        <v>42526</v>
      </c>
      <c r="J1079" s="13">
        <f t="shared" si="37"/>
        <v>0</v>
      </c>
      <c r="K1079" s="14"/>
      <c r="L1079" s="14"/>
      <c r="M1079" s="14"/>
      <c r="N1079" s="14"/>
      <c r="O1079" s="14"/>
      <c r="P1079" s="14">
        <v>150</v>
      </c>
      <c r="Q1079" s="14"/>
      <c r="R1079" s="14"/>
      <c r="S1079" s="14"/>
      <c r="T1079" s="14"/>
      <c r="U1079" s="14"/>
      <c r="V1079" s="14"/>
      <c r="W1079" s="15">
        <f t="shared" si="38"/>
        <v>150</v>
      </c>
      <c r="X1079" s="14"/>
      <c r="Y1079" s="14"/>
      <c r="Z1079" s="14"/>
      <c r="AA1079" s="14"/>
      <c r="AB1079" s="14"/>
      <c r="AC1079" s="14"/>
      <c r="AD1079" s="14"/>
      <c r="AE1079" s="14"/>
      <c r="AF1079" s="14"/>
      <c r="AG1079" s="14"/>
      <c r="AH1079" s="14"/>
      <c r="AI1079" s="14"/>
      <c r="AJ1079" s="15"/>
      <c r="AK1079" s="16"/>
    </row>
    <row r="1080" spans="2:37" x14ac:dyDescent="0.2">
      <c r="B1080" s="7" t="s">
        <v>69</v>
      </c>
      <c r="C1080" s="8">
        <v>11795</v>
      </c>
      <c r="D1080" s="9" t="s">
        <v>574</v>
      </c>
      <c r="E1080" s="10" t="s">
        <v>575</v>
      </c>
      <c r="F1080" s="10" t="s">
        <v>576</v>
      </c>
      <c r="G1080" s="8">
        <v>1</v>
      </c>
      <c r="H1080" s="11">
        <v>400</v>
      </c>
      <c r="I1080" s="12">
        <v>42526</v>
      </c>
      <c r="J1080" s="13">
        <f t="shared" si="37"/>
        <v>0</v>
      </c>
      <c r="K1080" s="14"/>
      <c r="L1080" s="14"/>
      <c r="M1080" s="14"/>
      <c r="N1080" s="14"/>
      <c r="O1080" s="14">
        <v>400</v>
      </c>
      <c r="P1080" s="14"/>
      <c r="Q1080" s="14"/>
      <c r="R1080" s="14"/>
      <c r="S1080" s="14"/>
      <c r="T1080" s="14"/>
      <c r="U1080" s="14"/>
      <c r="V1080" s="14"/>
      <c r="W1080" s="15">
        <f t="shared" si="38"/>
        <v>400</v>
      </c>
      <c r="X1080" s="14"/>
      <c r="Y1080" s="14"/>
      <c r="Z1080" s="14"/>
      <c r="AA1080" s="14"/>
      <c r="AB1080" s="14"/>
      <c r="AC1080" s="14"/>
      <c r="AD1080" s="14"/>
      <c r="AE1080" s="14"/>
      <c r="AF1080" s="14"/>
      <c r="AG1080" s="14"/>
      <c r="AH1080" s="14"/>
      <c r="AI1080" s="14"/>
      <c r="AJ1080" s="15"/>
      <c r="AK1080" s="16"/>
    </row>
    <row r="1081" spans="2:37" x14ac:dyDescent="0.2">
      <c r="B1081" s="7" t="s">
        <v>69</v>
      </c>
      <c r="C1081" s="8">
        <v>11796</v>
      </c>
      <c r="D1081" s="9" t="s">
        <v>476</v>
      </c>
      <c r="E1081" s="10" t="s">
        <v>477</v>
      </c>
      <c r="F1081" s="10" t="s">
        <v>478</v>
      </c>
      <c r="G1081" s="8">
        <v>1</v>
      </c>
      <c r="H1081" s="11">
        <v>400</v>
      </c>
      <c r="I1081" s="12">
        <v>42526</v>
      </c>
      <c r="J1081" s="13">
        <f t="shared" si="37"/>
        <v>0</v>
      </c>
      <c r="K1081" s="14"/>
      <c r="L1081" s="14"/>
      <c r="M1081" s="14"/>
      <c r="N1081" s="14"/>
      <c r="O1081" s="14"/>
      <c r="P1081" s="14">
        <v>400</v>
      </c>
      <c r="Q1081" s="14"/>
      <c r="R1081" s="14"/>
      <c r="S1081" s="14"/>
      <c r="T1081" s="14"/>
      <c r="U1081" s="14"/>
      <c r="V1081" s="14"/>
      <c r="W1081" s="15">
        <f t="shared" si="38"/>
        <v>400</v>
      </c>
      <c r="X1081" s="14"/>
      <c r="Y1081" s="14"/>
      <c r="Z1081" s="14"/>
      <c r="AA1081" s="14"/>
      <c r="AB1081" s="14"/>
      <c r="AC1081" s="14"/>
      <c r="AD1081" s="14"/>
      <c r="AE1081" s="14"/>
      <c r="AF1081" s="14"/>
      <c r="AG1081" s="14"/>
      <c r="AH1081" s="14"/>
      <c r="AI1081" s="14"/>
      <c r="AJ1081" s="15"/>
      <c r="AK1081" s="16"/>
    </row>
    <row r="1082" spans="2:37" x14ac:dyDescent="0.2">
      <c r="B1082" s="7" t="s">
        <v>37</v>
      </c>
      <c r="C1082" s="8">
        <v>11797</v>
      </c>
      <c r="D1082" s="9" t="s">
        <v>51</v>
      </c>
      <c r="E1082" s="10" t="s">
        <v>52</v>
      </c>
      <c r="F1082" s="10" t="s">
        <v>53</v>
      </c>
      <c r="G1082" s="8">
        <v>1</v>
      </c>
      <c r="H1082" s="11">
        <v>500</v>
      </c>
      <c r="I1082" s="12">
        <v>42526</v>
      </c>
      <c r="J1082" s="13">
        <f t="shared" si="37"/>
        <v>0</v>
      </c>
      <c r="K1082" s="14"/>
      <c r="L1082" s="14"/>
      <c r="M1082" s="14"/>
      <c r="N1082" s="14"/>
      <c r="O1082" s="14"/>
      <c r="P1082" s="14">
        <v>250</v>
      </c>
      <c r="Q1082" s="14">
        <v>250</v>
      </c>
      <c r="R1082" s="14"/>
      <c r="S1082" s="14"/>
      <c r="T1082" s="14"/>
      <c r="U1082" s="14"/>
      <c r="V1082" s="14"/>
      <c r="W1082" s="15">
        <f t="shared" si="38"/>
        <v>500</v>
      </c>
      <c r="X1082" s="14"/>
      <c r="Y1082" s="14"/>
      <c r="Z1082" s="14"/>
      <c r="AA1082" s="14"/>
      <c r="AB1082" s="14"/>
      <c r="AC1082" s="14"/>
      <c r="AD1082" s="14"/>
      <c r="AE1082" s="14"/>
      <c r="AF1082" s="14"/>
      <c r="AG1082" s="14"/>
      <c r="AH1082" s="14"/>
      <c r="AI1082" s="14"/>
      <c r="AJ1082" s="15"/>
      <c r="AK1082" s="16"/>
    </row>
    <row r="1083" spans="2:37" x14ac:dyDescent="0.2">
      <c r="B1083" s="7" t="s">
        <v>37</v>
      </c>
      <c r="C1083" s="8">
        <v>11797</v>
      </c>
      <c r="D1083" s="9" t="s">
        <v>51</v>
      </c>
      <c r="E1083" s="10" t="s">
        <v>52</v>
      </c>
      <c r="F1083" s="10" t="s">
        <v>53</v>
      </c>
      <c r="G1083" s="8">
        <v>3</v>
      </c>
      <c r="H1083" s="11">
        <v>160</v>
      </c>
      <c r="I1083" s="12">
        <v>42526</v>
      </c>
      <c r="J1083" s="13">
        <f t="shared" si="37"/>
        <v>0</v>
      </c>
      <c r="K1083" s="14"/>
      <c r="L1083" s="14"/>
      <c r="M1083" s="14"/>
      <c r="N1083" s="14"/>
      <c r="O1083" s="14"/>
      <c r="P1083" s="14"/>
      <c r="Q1083" s="14"/>
      <c r="R1083" s="14"/>
      <c r="S1083" s="14"/>
      <c r="T1083" s="14"/>
      <c r="U1083" s="14"/>
      <c r="V1083" s="14"/>
      <c r="W1083" s="15">
        <f t="shared" si="38"/>
        <v>0</v>
      </c>
      <c r="X1083" s="14"/>
      <c r="Y1083" s="14"/>
      <c r="Z1083" s="14"/>
      <c r="AA1083" s="14"/>
      <c r="AB1083" s="14"/>
      <c r="AC1083" s="14"/>
      <c r="AD1083" s="14"/>
      <c r="AE1083" s="14"/>
      <c r="AF1083" s="14"/>
      <c r="AG1083" s="14"/>
      <c r="AH1083" s="14"/>
      <c r="AI1083" s="14"/>
      <c r="AJ1083" s="15"/>
      <c r="AK1083" s="16"/>
    </row>
    <row r="1084" spans="2:37" x14ac:dyDescent="0.2">
      <c r="B1084" s="7" t="s">
        <v>37</v>
      </c>
      <c r="C1084" s="8">
        <v>11798</v>
      </c>
      <c r="D1084" s="9" t="s">
        <v>716</v>
      </c>
      <c r="E1084" s="10" t="s">
        <v>717</v>
      </c>
      <c r="F1084" s="10" t="s">
        <v>718</v>
      </c>
      <c r="G1084" s="8">
        <v>1</v>
      </c>
      <c r="H1084" s="11">
        <v>300</v>
      </c>
      <c r="I1084" s="12">
        <v>42526</v>
      </c>
      <c r="J1084" s="13">
        <f t="shared" ref="J1084:J1147" si="39">IF(G1084=1,SUM(W1084,-H1084),0)</f>
        <v>0</v>
      </c>
      <c r="K1084" s="14"/>
      <c r="L1084" s="14"/>
      <c r="M1084" s="14"/>
      <c r="N1084" s="14"/>
      <c r="O1084" s="14"/>
      <c r="P1084" s="14">
        <v>300</v>
      </c>
      <c r="Q1084" s="14"/>
      <c r="R1084" s="14"/>
      <c r="S1084" s="14"/>
      <c r="T1084" s="14"/>
      <c r="U1084" s="14"/>
      <c r="V1084" s="14"/>
      <c r="W1084" s="15">
        <f t="shared" ref="W1084:W1147" si="40">SUM(K1084:V1084)</f>
        <v>300</v>
      </c>
      <c r="X1084" s="14"/>
      <c r="Y1084" s="14"/>
      <c r="Z1084" s="14"/>
      <c r="AA1084" s="14"/>
      <c r="AB1084" s="14"/>
      <c r="AC1084" s="14"/>
      <c r="AD1084" s="14"/>
      <c r="AE1084" s="14"/>
      <c r="AF1084" s="14"/>
      <c r="AG1084" s="14"/>
      <c r="AH1084" s="14"/>
      <c r="AI1084" s="14"/>
      <c r="AJ1084" s="15"/>
      <c r="AK1084" s="16"/>
    </row>
    <row r="1085" spans="2:37" x14ac:dyDescent="0.2">
      <c r="B1085" s="7" t="s">
        <v>69</v>
      </c>
      <c r="C1085" s="8">
        <v>11799</v>
      </c>
      <c r="D1085" s="9" t="s">
        <v>714</v>
      </c>
      <c r="E1085" s="10" t="s">
        <v>715</v>
      </c>
      <c r="F1085" s="10" t="s">
        <v>487</v>
      </c>
      <c r="G1085" s="8">
        <v>1</v>
      </c>
      <c r="H1085" s="11">
        <v>400</v>
      </c>
      <c r="I1085" s="12">
        <v>42526</v>
      </c>
      <c r="J1085" s="13">
        <f t="shared" si="39"/>
        <v>0</v>
      </c>
      <c r="K1085" s="14"/>
      <c r="L1085" s="14"/>
      <c r="M1085" s="14"/>
      <c r="N1085" s="14"/>
      <c r="O1085" s="14">
        <v>400</v>
      </c>
      <c r="P1085" s="14"/>
      <c r="Q1085" s="14"/>
      <c r="R1085" s="14"/>
      <c r="S1085" s="14"/>
      <c r="T1085" s="14"/>
      <c r="U1085" s="14"/>
      <c r="V1085" s="14"/>
      <c r="W1085" s="15">
        <f t="shared" si="40"/>
        <v>400</v>
      </c>
      <c r="X1085" s="14"/>
      <c r="Y1085" s="14"/>
      <c r="Z1085" s="14"/>
      <c r="AA1085" s="14"/>
      <c r="AB1085" s="14"/>
      <c r="AC1085" s="14"/>
      <c r="AD1085" s="14"/>
      <c r="AE1085" s="14"/>
      <c r="AF1085" s="14"/>
      <c r="AG1085" s="14"/>
      <c r="AH1085" s="14"/>
      <c r="AI1085" s="14"/>
      <c r="AJ1085" s="15"/>
      <c r="AK1085" s="16"/>
    </row>
    <row r="1086" spans="2:37" x14ac:dyDescent="0.2">
      <c r="B1086" s="7" t="s">
        <v>37</v>
      </c>
      <c r="C1086" s="8">
        <v>11800</v>
      </c>
      <c r="D1086" s="9" t="s">
        <v>899</v>
      </c>
      <c r="E1086" s="10" t="s">
        <v>900</v>
      </c>
      <c r="F1086" s="10" t="s">
        <v>901</v>
      </c>
      <c r="G1086" s="8">
        <v>1</v>
      </c>
      <c r="H1086" s="11">
        <v>500</v>
      </c>
      <c r="I1086" s="12">
        <v>42526</v>
      </c>
      <c r="J1086" s="13">
        <f t="shared" si="39"/>
        <v>0</v>
      </c>
      <c r="K1086" s="14"/>
      <c r="L1086" s="14"/>
      <c r="M1086" s="14"/>
      <c r="N1086" s="14"/>
      <c r="O1086" s="14">
        <v>250</v>
      </c>
      <c r="P1086" s="14">
        <v>250</v>
      </c>
      <c r="Q1086" s="14"/>
      <c r="R1086" s="14"/>
      <c r="S1086" s="14"/>
      <c r="T1086" s="14"/>
      <c r="U1086" s="14"/>
      <c r="V1086" s="14"/>
      <c r="W1086" s="15">
        <f t="shared" si="40"/>
        <v>500</v>
      </c>
      <c r="X1086" s="14"/>
      <c r="Y1086" s="14"/>
      <c r="Z1086" s="14"/>
      <c r="AA1086" s="14"/>
      <c r="AB1086" s="14"/>
      <c r="AC1086" s="14"/>
      <c r="AD1086" s="14"/>
      <c r="AE1086" s="14"/>
      <c r="AF1086" s="14"/>
      <c r="AG1086" s="14"/>
      <c r="AH1086" s="14"/>
      <c r="AI1086" s="14"/>
      <c r="AJ1086" s="15"/>
      <c r="AK1086" s="16"/>
    </row>
    <row r="1087" spans="2:37" x14ac:dyDescent="0.2">
      <c r="B1087" s="7" t="s">
        <v>47</v>
      </c>
      <c r="C1087" s="8">
        <v>11801</v>
      </c>
      <c r="D1087" s="9" t="s">
        <v>971</v>
      </c>
      <c r="E1087" s="10" t="s">
        <v>972</v>
      </c>
      <c r="F1087" s="10" t="s">
        <v>973</v>
      </c>
      <c r="G1087" s="8">
        <v>3</v>
      </c>
      <c r="H1087" s="11">
        <v>160</v>
      </c>
      <c r="I1087" s="12">
        <v>42526</v>
      </c>
      <c r="J1087" s="13">
        <f t="shared" si="39"/>
        <v>0</v>
      </c>
      <c r="K1087" s="14"/>
      <c r="L1087" s="14"/>
      <c r="M1087" s="14"/>
      <c r="N1087" s="14"/>
      <c r="O1087" s="14"/>
      <c r="P1087" s="14"/>
      <c r="Q1087" s="14"/>
      <c r="R1087" s="14"/>
      <c r="S1087" s="14"/>
      <c r="T1087" s="14"/>
      <c r="U1087" s="14"/>
      <c r="V1087" s="14"/>
      <c r="W1087" s="15">
        <f t="shared" si="40"/>
        <v>0</v>
      </c>
      <c r="X1087" s="14"/>
      <c r="Y1087" s="14"/>
      <c r="Z1087" s="14"/>
      <c r="AA1087" s="14"/>
      <c r="AB1087" s="14"/>
      <c r="AC1087" s="14"/>
      <c r="AD1087" s="14"/>
      <c r="AE1087" s="14"/>
      <c r="AF1087" s="14"/>
      <c r="AG1087" s="14"/>
      <c r="AH1087" s="14"/>
      <c r="AI1087" s="14"/>
      <c r="AJ1087" s="15"/>
      <c r="AK1087" s="16"/>
    </row>
    <row r="1088" spans="2:37" x14ac:dyDescent="0.2">
      <c r="B1088" s="7" t="s">
        <v>69</v>
      </c>
      <c r="C1088" s="8">
        <v>11802</v>
      </c>
      <c r="D1088" s="9" t="s">
        <v>562</v>
      </c>
      <c r="E1088" s="10" t="s">
        <v>563</v>
      </c>
      <c r="F1088" s="10" t="s">
        <v>564</v>
      </c>
      <c r="G1088" s="8">
        <v>1</v>
      </c>
      <c r="H1088" s="11">
        <v>400</v>
      </c>
      <c r="I1088" s="12">
        <v>42526</v>
      </c>
      <c r="J1088" s="13">
        <f t="shared" si="39"/>
        <v>0</v>
      </c>
      <c r="K1088" s="14"/>
      <c r="L1088" s="14"/>
      <c r="M1088" s="14"/>
      <c r="N1088" s="14"/>
      <c r="O1088" s="14"/>
      <c r="P1088" s="14">
        <v>400</v>
      </c>
      <c r="Q1088" s="14"/>
      <c r="R1088" s="14"/>
      <c r="S1088" s="14"/>
      <c r="T1088" s="14"/>
      <c r="U1088" s="14"/>
      <c r="V1088" s="14"/>
      <c r="W1088" s="15">
        <f t="shared" si="40"/>
        <v>400</v>
      </c>
      <c r="X1088" s="14"/>
      <c r="Y1088" s="14"/>
      <c r="Z1088" s="14"/>
      <c r="AA1088" s="14"/>
      <c r="AB1088" s="14"/>
      <c r="AC1088" s="14"/>
      <c r="AD1088" s="14"/>
      <c r="AE1088" s="14"/>
      <c r="AF1088" s="14"/>
      <c r="AG1088" s="14"/>
      <c r="AH1088" s="14"/>
      <c r="AI1088" s="14"/>
      <c r="AJ1088" s="15"/>
      <c r="AK1088" s="16"/>
    </row>
    <row r="1089" spans="2:37" x14ac:dyDescent="0.2">
      <c r="B1089" s="7" t="s">
        <v>77</v>
      </c>
      <c r="C1089" s="8">
        <v>11803</v>
      </c>
      <c r="D1089" s="9" t="s">
        <v>820</v>
      </c>
      <c r="E1089" s="10" t="s">
        <v>821</v>
      </c>
      <c r="F1089" s="10" t="s">
        <v>822</v>
      </c>
      <c r="G1089" s="8">
        <v>1</v>
      </c>
      <c r="H1089" s="11">
        <v>300</v>
      </c>
      <c r="I1089" s="12">
        <v>42526</v>
      </c>
      <c r="J1089" s="13">
        <f t="shared" si="39"/>
        <v>0</v>
      </c>
      <c r="K1089" s="14"/>
      <c r="L1089" s="14"/>
      <c r="M1089" s="14"/>
      <c r="N1089" s="14"/>
      <c r="O1089" s="14">
        <v>300</v>
      </c>
      <c r="P1089" s="14"/>
      <c r="Q1089" s="14"/>
      <c r="R1089" s="14"/>
      <c r="S1089" s="14"/>
      <c r="T1089" s="14"/>
      <c r="U1089" s="14"/>
      <c r="V1089" s="14"/>
      <c r="W1089" s="15">
        <f t="shared" si="40"/>
        <v>300</v>
      </c>
      <c r="X1089" s="14"/>
      <c r="Y1089" s="14"/>
      <c r="Z1089" s="14"/>
      <c r="AA1089" s="14"/>
      <c r="AB1089" s="14"/>
      <c r="AC1089" s="14"/>
      <c r="AD1089" s="14"/>
      <c r="AE1089" s="14"/>
      <c r="AF1089" s="14"/>
      <c r="AG1089" s="14"/>
      <c r="AH1089" s="14"/>
      <c r="AI1089" s="14"/>
      <c r="AJ1089" s="15"/>
      <c r="AK1089" s="16"/>
    </row>
    <row r="1090" spans="2:37" x14ac:dyDescent="0.2">
      <c r="B1090" s="7" t="s">
        <v>122</v>
      </c>
      <c r="C1090" s="8">
        <v>11804</v>
      </c>
      <c r="D1090" s="9" t="s">
        <v>217</v>
      </c>
      <c r="E1090" s="10" t="s">
        <v>218</v>
      </c>
      <c r="F1090" s="10" t="s">
        <v>219</v>
      </c>
      <c r="G1090" s="8">
        <v>1</v>
      </c>
      <c r="H1090" s="11">
        <v>600</v>
      </c>
      <c r="I1090" s="12">
        <v>42527</v>
      </c>
      <c r="J1090" s="13">
        <f t="shared" si="39"/>
        <v>0</v>
      </c>
      <c r="K1090" s="14"/>
      <c r="L1090" s="14"/>
      <c r="M1090" s="14"/>
      <c r="N1090" s="14"/>
      <c r="O1090" s="14"/>
      <c r="P1090" s="14">
        <v>300</v>
      </c>
      <c r="Q1090" s="14">
        <v>300</v>
      </c>
      <c r="R1090" s="14"/>
      <c r="S1090" s="14"/>
      <c r="T1090" s="14"/>
      <c r="U1090" s="14"/>
      <c r="V1090" s="14"/>
      <c r="W1090" s="15">
        <f t="shared" si="40"/>
        <v>600</v>
      </c>
      <c r="X1090" s="14"/>
      <c r="Y1090" s="14"/>
      <c r="Z1090" s="14"/>
      <c r="AA1090" s="14"/>
      <c r="AB1090" s="14"/>
      <c r="AC1090" s="14"/>
      <c r="AD1090" s="14"/>
      <c r="AE1090" s="14"/>
      <c r="AF1090" s="14"/>
      <c r="AG1090" s="14"/>
      <c r="AH1090" s="14"/>
      <c r="AI1090" s="14"/>
      <c r="AJ1090" s="15"/>
      <c r="AK1090" s="16"/>
    </row>
    <row r="1091" spans="2:37" x14ac:dyDescent="0.2">
      <c r="B1091" s="7" t="s">
        <v>37</v>
      </c>
      <c r="C1091" s="8">
        <v>11805</v>
      </c>
      <c r="D1091" s="9" t="s">
        <v>899</v>
      </c>
      <c r="E1091" s="10" t="s">
        <v>900</v>
      </c>
      <c r="F1091" s="10" t="s">
        <v>901</v>
      </c>
      <c r="G1091" s="8">
        <v>1</v>
      </c>
      <c r="H1091" s="11">
        <v>400</v>
      </c>
      <c r="I1091" s="12">
        <v>42530</v>
      </c>
      <c r="J1091" s="13">
        <f t="shared" si="39"/>
        <v>0</v>
      </c>
      <c r="K1091" s="14"/>
      <c r="L1091" s="14"/>
      <c r="M1091" s="14"/>
      <c r="N1091" s="14"/>
      <c r="O1091" s="14"/>
      <c r="P1091" s="14"/>
      <c r="Q1091" s="14">
        <v>400</v>
      </c>
      <c r="R1091" s="14"/>
      <c r="S1091" s="14"/>
      <c r="T1091" s="14"/>
      <c r="U1091" s="14"/>
      <c r="V1091" s="14"/>
      <c r="W1091" s="15">
        <f t="shared" si="40"/>
        <v>400</v>
      </c>
      <c r="X1091" s="14"/>
      <c r="Y1091" s="14"/>
      <c r="Z1091" s="14"/>
      <c r="AA1091" s="14"/>
      <c r="AB1091" s="14"/>
      <c r="AC1091" s="14"/>
      <c r="AD1091" s="14"/>
      <c r="AE1091" s="14"/>
      <c r="AF1091" s="14"/>
      <c r="AG1091" s="14"/>
      <c r="AH1091" s="14"/>
      <c r="AI1091" s="14"/>
      <c r="AJ1091" s="15"/>
      <c r="AK1091" s="16"/>
    </row>
    <row r="1092" spans="2:37" x14ac:dyDescent="0.2">
      <c r="B1092" s="7" t="s">
        <v>37</v>
      </c>
      <c r="C1092" s="8">
        <v>11805</v>
      </c>
      <c r="D1092" s="9" t="s">
        <v>899</v>
      </c>
      <c r="E1092" s="10" t="s">
        <v>900</v>
      </c>
      <c r="F1092" s="10" t="s">
        <v>901</v>
      </c>
      <c r="G1092" s="8">
        <v>3</v>
      </c>
      <c r="H1092" s="11">
        <v>320</v>
      </c>
      <c r="I1092" s="12">
        <v>42530</v>
      </c>
      <c r="J1092" s="13">
        <f t="shared" si="39"/>
        <v>0</v>
      </c>
      <c r="K1092" s="14"/>
      <c r="L1092" s="14"/>
      <c r="M1092" s="14"/>
      <c r="N1092" s="14"/>
      <c r="O1092" s="14"/>
      <c r="P1092" s="14"/>
      <c r="Q1092" s="14"/>
      <c r="R1092" s="14"/>
      <c r="S1092" s="14"/>
      <c r="T1092" s="14"/>
      <c r="U1092" s="14"/>
      <c r="V1092" s="14"/>
      <c r="W1092" s="15">
        <f t="shared" si="40"/>
        <v>0</v>
      </c>
      <c r="X1092" s="14"/>
      <c r="Y1092" s="14"/>
      <c r="Z1092" s="14"/>
      <c r="AA1092" s="14"/>
      <c r="AB1092" s="14"/>
      <c r="AC1092" s="14"/>
      <c r="AD1092" s="14"/>
      <c r="AE1092" s="14"/>
      <c r="AF1092" s="14"/>
      <c r="AG1092" s="14"/>
      <c r="AH1092" s="14"/>
      <c r="AI1092" s="14"/>
      <c r="AJ1092" s="15"/>
      <c r="AK1092" s="16"/>
    </row>
    <row r="1093" spans="2:37" x14ac:dyDescent="0.2">
      <c r="B1093" s="7" t="s">
        <v>37</v>
      </c>
      <c r="C1093" s="8">
        <v>11805</v>
      </c>
      <c r="D1093" s="9" t="s">
        <v>899</v>
      </c>
      <c r="E1093" s="10" t="s">
        <v>900</v>
      </c>
      <c r="F1093" s="10" t="s">
        <v>901</v>
      </c>
      <c r="G1093" s="8">
        <v>4</v>
      </c>
      <c r="H1093" s="11">
        <v>400</v>
      </c>
      <c r="I1093" s="12">
        <v>42530</v>
      </c>
      <c r="J1093" s="13">
        <f t="shared" si="39"/>
        <v>0</v>
      </c>
      <c r="K1093" s="14"/>
      <c r="L1093" s="14"/>
      <c r="M1093" s="14"/>
      <c r="N1093" s="14"/>
      <c r="O1093" s="14"/>
      <c r="P1093" s="14"/>
      <c r="Q1093" s="14"/>
      <c r="R1093" s="14"/>
      <c r="S1093" s="14"/>
      <c r="T1093" s="14"/>
      <c r="U1093" s="14"/>
      <c r="V1093" s="14"/>
      <c r="W1093" s="15">
        <f t="shared" si="40"/>
        <v>0</v>
      </c>
      <c r="X1093" s="14"/>
      <c r="Y1093" s="14"/>
      <c r="Z1093" s="14"/>
      <c r="AA1093" s="14"/>
      <c r="AB1093" s="14"/>
      <c r="AC1093" s="14"/>
      <c r="AD1093" s="14"/>
      <c r="AE1093" s="14"/>
      <c r="AF1093" s="14"/>
      <c r="AG1093" s="14"/>
      <c r="AH1093" s="14"/>
      <c r="AI1093" s="14"/>
      <c r="AJ1093" s="15"/>
      <c r="AK1093" s="7">
        <v>10422903</v>
      </c>
    </row>
    <row r="1094" spans="2:37" x14ac:dyDescent="0.2">
      <c r="B1094" s="7" t="s">
        <v>73</v>
      </c>
      <c r="C1094" s="8">
        <v>11806</v>
      </c>
      <c r="D1094" s="9" t="s">
        <v>458</v>
      </c>
      <c r="E1094" s="10" t="s">
        <v>459</v>
      </c>
      <c r="F1094" s="10" t="s">
        <v>460</v>
      </c>
      <c r="G1094" s="8">
        <v>4</v>
      </c>
      <c r="H1094" s="11">
        <v>400</v>
      </c>
      <c r="I1094" s="12">
        <v>42531</v>
      </c>
      <c r="J1094" s="13">
        <f t="shared" si="39"/>
        <v>0</v>
      </c>
      <c r="K1094" s="14"/>
      <c r="L1094" s="14"/>
      <c r="M1094" s="14"/>
      <c r="N1094" s="14"/>
      <c r="O1094" s="14"/>
      <c r="P1094" s="14"/>
      <c r="Q1094" s="14"/>
      <c r="R1094" s="14"/>
      <c r="S1094" s="14"/>
      <c r="T1094" s="14"/>
      <c r="U1094" s="14"/>
      <c r="V1094" s="14"/>
      <c r="W1094" s="15">
        <f t="shared" si="40"/>
        <v>0</v>
      </c>
      <c r="X1094" s="14"/>
      <c r="Y1094" s="14"/>
      <c r="Z1094" s="14"/>
      <c r="AA1094" s="14"/>
      <c r="AB1094" s="14"/>
      <c r="AC1094" s="14"/>
      <c r="AD1094" s="14"/>
      <c r="AE1094" s="14"/>
      <c r="AF1094" s="14"/>
      <c r="AG1094" s="14"/>
      <c r="AH1094" s="14"/>
      <c r="AI1094" s="14"/>
      <c r="AJ1094" s="15"/>
      <c r="AK1094" s="7" t="s">
        <v>986</v>
      </c>
    </row>
    <row r="1095" spans="2:37" x14ac:dyDescent="0.2">
      <c r="B1095" s="7" t="s">
        <v>47</v>
      </c>
      <c r="C1095" s="8">
        <v>11807</v>
      </c>
      <c r="D1095" s="9" t="s">
        <v>97</v>
      </c>
      <c r="E1095" s="10" t="s">
        <v>98</v>
      </c>
      <c r="F1095" s="10" t="s">
        <v>99</v>
      </c>
      <c r="G1095" s="8">
        <v>1</v>
      </c>
      <c r="H1095" s="11">
        <v>400</v>
      </c>
      <c r="I1095" s="12">
        <v>42533</v>
      </c>
      <c r="J1095" s="13">
        <f t="shared" si="39"/>
        <v>0</v>
      </c>
      <c r="K1095" s="14"/>
      <c r="L1095" s="14"/>
      <c r="M1095" s="14"/>
      <c r="N1095" s="14"/>
      <c r="O1095" s="14"/>
      <c r="P1095" s="14">
        <v>400</v>
      </c>
      <c r="Q1095" s="14"/>
      <c r="R1095" s="14"/>
      <c r="S1095" s="14"/>
      <c r="T1095" s="14"/>
      <c r="U1095" s="14"/>
      <c r="V1095" s="14"/>
      <c r="W1095" s="15">
        <f t="shared" si="40"/>
        <v>400</v>
      </c>
      <c r="X1095" s="14"/>
      <c r="Y1095" s="14"/>
      <c r="Z1095" s="14"/>
      <c r="AA1095" s="14"/>
      <c r="AB1095" s="14"/>
      <c r="AC1095" s="14"/>
      <c r="AD1095" s="14"/>
      <c r="AE1095" s="14"/>
      <c r="AF1095" s="14"/>
      <c r="AG1095" s="14"/>
      <c r="AH1095" s="14"/>
      <c r="AI1095" s="14"/>
      <c r="AJ1095" s="15"/>
      <c r="AK1095" s="16"/>
    </row>
    <row r="1096" spans="2:37" x14ac:dyDescent="0.2">
      <c r="B1096" s="7" t="s">
        <v>69</v>
      </c>
      <c r="C1096" s="8">
        <v>11808</v>
      </c>
      <c r="D1096" s="9" t="s">
        <v>625</v>
      </c>
      <c r="E1096" s="10" t="s">
        <v>626</v>
      </c>
      <c r="F1096" s="10" t="s">
        <v>627</v>
      </c>
      <c r="G1096" s="8">
        <v>1</v>
      </c>
      <c r="H1096" s="11">
        <v>400</v>
      </c>
      <c r="I1096" s="12">
        <v>42533</v>
      </c>
      <c r="J1096" s="13">
        <f t="shared" si="39"/>
        <v>0</v>
      </c>
      <c r="K1096" s="14"/>
      <c r="L1096" s="14"/>
      <c r="M1096" s="14"/>
      <c r="N1096" s="14"/>
      <c r="O1096" s="14"/>
      <c r="P1096" s="14">
        <v>400</v>
      </c>
      <c r="Q1096" s="14"/>
      <c r="R1096" s="14"/>
      <c r="S1096" s="14"/>
      <c r="T1096" s="14"/>
      <c r="U1096" s="14"/>
      <c r="V1096" s="14"/>
      <c r="W1096" s="15">
        <f t="shared" si="40"/>
        <v>400</v>
      </c>
      <c r="X1096" s="14"/>
      <c r="Y1096" s="14"/>
      <c r="Z1096" s="14"/>
      <c r="AA1096" s="14"/>
      <c r="AB1096" s="14"/>
      <c r="AC1096" s="14"/>
      <c r="AD1096" s="14"/>
      <c r="AE1096" s="14"/>
      <c r="AF1096" s="14"/>
      <c r="AG1096" s="14"/>
      <c r="AH1096" s="14"/>
      <c r="AI1096" s="14"/>
      <c r="AJ1096" s="15"/>
      <c r="AK1096" s="16"/>
    </row>
    <row r="1097" spans="2:37" x14ac:dyDescent="0.2">
      <c r="B1097" s="7" t="s">
        <v>93</v>
      </c>
      <c r="C1097" s="8">
        <v>11809</v>
      </c>
      <c r="D1097" s="9"/>
      <c r="E1097" s="10" t="s">
        <v>93</v>
      </c>
      <c r="F1097" s="10" t="s">
        <v>93</v>
      </c>
      <c r="G1097" s="8">
        <v>8</v>
      </c>
      <c r="H1097" s="11"/>
      <c r="I1097" s="12"/>
      <c r="J1097" s="13">
        <f t="shared" si="39"/>
        <v>0</v>
      </c>
      <c r="K1097" s="14"/>
      <c r="L1097" s="14"/>
      <c r="M1097" s="14"/>
      <c r="N1097" s="14"/>
      <c r="O1097" s="14"/>
      <c r="P1097" s="14"/>
      <c r="Q1097" s="14"/>
      <c r="R1097" s="14"/>
      <c r="S1097" s="14"/>
      <c r="T1097" s="14"/>
      <c r="U1097" s="14"/>
      <c r="V1097" s="14"/>
      <c r="W1097" s="15">
        <f t="shared" si="40"/>
        <v>0</v>
      </c>
      <c r="X1097" s="14"/>
      <c r="Y1097" s="14"/>
      <c r="Z1097" s="14"/>
      <c r="AA1097" s="14"/>
      <c r="AB1097" s="14"/>
      <c r="AC1097" s="14"/>
      <c r="AD1097" s="14"/>
      <c r="AE1097" s="14"/>
      <c r="AF1097" s="14"/>
      <c r="AG1097" s="14"/>
      <c r="AH1097" s="14"/>
      <c r="AI1097" s="14"/>
      <c r="AJ1097" s="15"/>
      <c r="AK1097" s="16"/>
    </row>
    <row r="1098" spans="2:37" x14ac:dyDescent="0.2">
      <c r="B1098" s="7" t="s">
        <v>69</v>
      </c>
      <c r="C1098" s="8">
        <v>11810</v>
      </c>
      <c r="D1098" s="9" t="s">
        <v>696</v>
      </c>
      <c r="E1098" s="10" t="s">
        <v>697</v>
      </c>
      <c r="F1098" s="10" t="s">
        <v>698</v>
      </c>
      <c r="G1098" s="8">
        <v>1</v>
      </c>
      <c r="H1098" s="11">
        <v>300</v>
      </c>
      <c r="I1098" s="12">
        <v>42533</v>
      </c>
      <c r="J1098" s="13">
        <f t="shared" si="39"/>
        <v>0</v>
      </c>
      <c r="K1098" s="14"/>
      <c r="L1098" s="14"/>
      <c r="M1098" s="14"/>
      <c r="N1098" s="14"/>
      <c r="O1098" s="14"/>
      <c r="P1098" s="14">
        <v>300</v>
      </c>
      <c r="Q1098" s="14"/>
      <c r="R1098" s="14"/>
      <c r="S1098" s="14"/>
      <c r="T1098" s="14"/>
      <c r="U1098" s="14"/>
      <c r="V1098" s="14"/>
      <c r="W1098" s="15">
        <f t="shared" si="40"/>
        <v>300</v>
      </c>
      <c r="X1098" s="14"/>
      <c r="Y1098" s="14"/>
      <c r="Z1098" s="14"/>
      <c r="AA1098" s="14"/>
      <c r="AB1098" s="14"/>
      <c r="AC1098" s="14"/>
      <c r="AD1098" s="14"/>
      <c r="AE1098" s="14"/>
      <c r="AF1098" s="14"/>
      <c r="AG1098" s="14"/>
      <c r="AH1098" s="14"/>
      <c r="AI1098" s="14"/>
      <c r="AJ1098" s="15"/>
      <c r="AK1098" s="16"/>
    </row>
    <row r="1099" spans="2:37" x14ac:dyDescent="0.2">
      <c r="B1099" s="7" t="s">
        <v>391</v>
      </c>
      <c r="C1099" s="8">
        <v>11811</v>
      </c>
      <c r="D1099" s="9" t="s">
        <v>887</v>
      </c>
      <c r="E1099" s="10" t="s">
        <v>888</v>
      </c>
      <c r="F1099" s="10" t="s">
        <v>889</v>
      </c>
      <c r="G1099" s="8">
        <v>1</v>
      </c>
      <c r="H1099" s="11">
        <v>1600</v>
      </c>
      <c r="I1099" s="12">
        <v>42533</v>
      </c>
      <c r="J1099" s="13">
        <f t="shared" si="39"/>
        <v>0</v>
      </c>
      <c r="K1099" s="14"/>
      <c r="L1099" s="14"/>
      <c r="M1099" s="14"/>
      <c r="N1099" s="14"/>
      <c r="O1099" s="14">
        <v>200</v>
      </c>
      <c r="P1099" s="14">
        <v>200</v>
      </c>
      <c r="Q1099" s="14">
        <v>200</v>
      </c>
      <c r="R1099" s="14">
        <v>200</v>
      </c>
      <c r="S1099" s="14">
        <v>200</v>
      </c>
      <c r="T1099" s="14">
        <v>200</v>
      </c>
      <c r="U1099" s="14">
        <v>200</v>
      </c>
      <c r="V1099" s="14">
        <v>200</v>
      </c>
      <c r="W1099" s="15">
        <f t="shared" si="40"/>
        <v>1600</v>
      </c>
      <c r="X1099" s="14"/>
      <c r="Y1099" s="14"/>
      <c r="Z1099" s="14"/>
      <c r="AA1099" s="14"/>
      <c r="AB1099" s="14"/>
      <c r="AC1099" s="14"/>
      <c r="AD1099" s="14"/>
      <c r="AE1099" s="14"/>
      <c r="AF1099" s="14"/>
      <c r="AG1099" s="14"/>
      <c r="AH1099" s="14"/>
      <c r="AI1099" s="14"/>
      <c r="AJ1099" s="15"/>
      <c r="AK1099" s="16"/>
    </row>
    <row r="1100" spans="2:37" x14ac:dyDescent="0.2">
      <c r="B1100" s="7" t="s">
        <v>61</v>
      </c>
      <c r="C1100" s="8">
        <v>11812</v>
      </c>
      <c r="D1100" s="9" t="s">
        <v>631</v>
      </c>
      <c r="E1100" s="10" t="s">
        <v>632</v>
      </c>
      <c r="F1100" s="10" t="s">
        <v>633</v>
      </c>
      <c r="G1100" s="8">
        <v>1</v>
      </c>
      <c r="H1100" s="11">
        <v>600</v>
      </c>
      <c r="I1100" s="12">
        <v>42533</v>
      </c>
      <c r="J1100" s="13">
        <f t="shared" si="39"/>
        <v>0</v>
      </c>
      <c r="K1100" s="14"/>
      <c r="L1100" s="14"/>
      <c r="M1100" s="14"/>
      <c r="N1100" s="14"/>
      <c r="O1100" s="14">
        <v>300</v>
      </c>
      <c r="P1100" s="14">
        <v>300</v>
      </c>
      <c r="Q1100" s="14"/>
      <c r="R1100" s="14"/>
      <c r="S1100" s="14"/>
      <c r="T1100" s="14"/>
      <c r="U1100" s="14"/>
      <c r="V1100" s="14"/>
      <c r="W1100" s="15">
        <f t="shared" si="40"/>
        <v>600</v>
      </c>
      <c r="X1100" s="14"/>
      <c r="Y1100" s="14"/>
      <c r="Z1100" s="14"/>
      <c r="AA1100" s="14"/>
      <c r="AB1100" s="14"/>
      <c r="AC1100" s="14"/>
      <c r="AD1100" s="14"/>
      <c r="AE1100" s="14"/>
      <c r="AF1100" s="14"/>
      <c r="AG1100" s="14"/>
      <c r="AH1100" s="14"/>
      <c r="AI1100" s="14"/>
      <c r="AJ1100" s="15"/>
      <c r="AK1100" s="16"/>
    </row>
    <row r="1101" spans="2:37" x14ac:dyDescent="0.2">
      <c r="B1101" s="7" t="s">
        <v>47</v>
      </c>
      <c r="C1101" s="8">
        <v>11813</v>
      </c>
      <c r="D1101" s="9" t="s">
        <v>241</v>
      </c>
      <c r="E1101" s="10" t="s">
        <v>242</v>
      </c>
      <c r="F1101" s="10" t="s">
        <v>243</v>
      </c>
      <c r="G1101" s="8">
        <v>1</v>
      </c>
      <c r="H1101" s="11">
        <v>400</v>
      </c>
      <c r="I1101" s="12">
        <v>42533</v>
      </c>
      <c r="J1101" s="13">
        <f t="shared" si="39"/>
        <v>0</v>
      </c>
      <c r="K1101" s="14"/>
      <c r="L1101" s="14"/>
      <c r="M1101" s="14"/>
      <c r="N1101" s="14"/>
      <c r="O1101" s="14"/>
      <c r="P1101" s="14">
        <v>400</v>
      </c>
      <c r="Q1101" s="14"/>
      <c r="R1101" s="14"/>
      <c r="S1101" s="14"/>
      <c r="T1101" s="14"/>
      <c r="U1101" s="14"/>
      <c r="V1101" s="14"/>
      <c r="W1101" s="15">
        <f t="shared" si="40"/>
        <v>400</v>
      </c>
      <c r="X1101" s="14"/>
      <c r="Y1101" s="14"/>
      <c r="Z1101" s="14"/>
      <c r="AA1101" s="14"/>
      <c r="AB1101" s="14"/>
      <c r="AC1101" s="14"/>
      <c r="AD1101" s="14"/>
      <c r="AE1101" s="14"/>
      <c r="AF1101" s="14"/>
      <c r="AG1101" s="14"/>
      <c r="AH1101" s="14"/>
      <c r="AI1101" s="14"/>
      <c r="AJ1101" s="15"/>
      <c r="AK1101" s="16"/>
    </row>
    <row r="1102" spans="2:37" x14ac:dyDescent="0.2">
      <c r="B1102" s="7" t="s">
        <v>73</v>
      </c>
      <c r="C1102" s="8">
        <v>11814</v>
      </c>
      <c r="D1102" s="9" t="s">
        <v>115</v>
      </c>
      <c r="E1102" s="10" t="s">
        <v>116</v>
      </c>
      <c r="F1102" s="10" t="s">
        <v>117</v>
      </c>
      <c r="G1102" s="8">
        <v>1</v>
      </c>
      <c r="H1102" s="11">
        <v>150</v>
      </c>
      <c r="I1102" s="12">
        <v>42533</v>
      </c>
      <c r="J1102" s="13">
        <f t="shared" si="39"/>
        <v>0</v>
      </c>
      <c r="K1102" s="14"/>
      <c r="L1102" s="14"/>
      <c r="M1102" s="14"/>
      <c r="N1102" s="14"/>
      <c r="O1102" s="14"/>
      <c r="P1102" s="14">
        <v>150</v>
      </c>
      <c r="Q1102" s="14"/>
      <c r="R1102" s="14"/>
      <c r="S1102" s="14"/>
      <c r="T1102" s="14"/>
      <c r="U1102" s="14"/>
      <c r="V1102" s="14"/>
      <c r="W1102" s="15">
        <f t="shared" si="40"/>
        <v>150</v>
      </c>
      <c r="X1102" s="14"/>
      <c r="Y1102" s="14"/>
      <c r="Z1102" s="14"/>
      <c r="AA1102" s="14"/>
      <c r="AB1102" s="14"/>
      <c r="AC1102" s="14"/>
      <c r="AD1102" s="14"/>
      <c r="AE1102" s="14"/>
      <c r="AF1102" s="14"/>
      <c r="AG1102" s="14"/>
      <c r="AH1102" s="14"/>
      <c r="AI1102" s="14"/>
      <c r="AJ1102" s="15"/>
      <c r="AK1102" s="16"/>
    </row>
    <row r="1103" spans="2:37" x14ac:dyDescent="0.2">
      <c r="B1103" s="7" t="s">
        <v>69</v>
      </c>
      <c r="C1103" s="8">
        <v>11815</v>
      </c>
      <c r="D1103" s="9" t="s">
        <v>265</v>
      </c>
      <c r="E1103" s="10" t="s">
        <v>266</v>
      </c>
      <c r="F1103" s="10" t="s">
        <v>267</v>
      </c>
      <c r="G1103" s="8">
        <v>1</v>
      </c>
      <c r="H1103" s="11">
        <v>400</v>
      </c>
      <c r="I1103" s="12">
        <v>42533</v>
      </c>
      <c r="J1103" s="13">
        <f t="shared" si="39"/>
        <v>0</v>
      </c>
      <c r="K1103" s="14"/>
      <c r="L1103" s="14"/>
      <c r="M1103" s="14"/>
      <c r="N1103" s="14"/>
      <c r="O1103" s="14"/>
      <c r="P1103" s="14">
        <v>400</v>
      </c>
      <c r="Q1103" s="14"/>
      <c r="R1103" s="14"/>
      <c r="S1103" s="14"/>
      <c r="T1103" s="14"/>
      <c r="U1103" s="14"/>
      <c r="V1103" s="14"/>
      <c r="W1103" s="15">
        <f t="shared" si="40"/>
        <v>400</v>
      </c>
      <c r="X1103" s="14"/>
      <c r="Y1103" s="14"/>
      <c r="Z1103" s="14"/>
      <c r="AA1103" s="14"/>
      <c r="AB1103" s="14"/>
      <c r="AC1103" s="14"/>
      <c r="AD1103" s="14"/>
      <c r="AE1103" s="14"/>
      <c r="AF1103" s="14"/>
      <c r="AG1103" s="14"/>
      <c r="AH1103" s="14"/>
      <c r="AI1103" s="14"/>
      <c r="AJ1103" s="15"/>
      <c r="AK1103" s="16"/>
    </row>
    <row r="1104" spans="2:37" x14ac:dyDescent="0.2">
      <c r="B1104" s="7" t="s">
        <v>47</v>
      </c>
      <c r="C1104" s="8">
        <v>11816</v>
      </c>
      <c r="D1104" s="9" t="s">
        <v>957</v>
      </c>
      <c r="E1104" s="10" t="s">
        <v>958</v>
      </c>
      <c r="F1104" s="10" t="s">
        <v>959</v>
      </c>
      <c r="G1104" s="8">
        <v>1</v>
      </c>
      <c r="H1104" s="11">
        <v>400</v>
      </c>
      <c r="I1104" s="12">
        <v>42533</v>
      </c>
      <c r="J1104" s="13">
        <f t="shared" si="39"/>
        <v>0</v>
      </c>
      <c r="K1104" s="14"/>
      <c r="L1104" s="14"/>
      <c r="M1104" s="14"/>
      <c r="N1104" s="14"/>
      <c r="O1104" s="14"/>
      <c r="P1104" s="14">
        <v>400</v>
      </c>
      <c r="Q1104" s="14"/>
      <c r="R1104" s="14"/>
      <c r="S1104" s="14"/>
      <c r="T1104" s="14"/>
      <c r="U1104" s="14"/>
      <c r="V1104" s="14"/>
      <c r="W1104" s="15">
        <f t="shared" si="40"/>
        <v>400</v>
      </c>
      <c r="X1104" s="14"/>
      <c r="Y1104" s="14"/>
      <c r="Z1104" s="14"/>
      <c r="AA1104" s="14"/>
      <c r="AB1104" s="14"/>
      <c r="AC1104" s="14"/>
      <c r="AD1104" s="14"/>
      <c r="AE1104" s="14"/>
      <c r="AF1104" s="14"/>
      <c r="AG1104" s="14"/>
      <c r="AH1104" s="14"/>
      <c r="AI1104" s="14"/>
      <c r="AJ1104" s="15"/>
      <c r="AK1104" s="16"/>
    </row>
    <row r="1105" spans="2:37" x14ac:dyDescent="0.2">
      <c r="B1105" s="7" t="s">
        <v>77</v>
      </c>
      <c r="C1105" s="8">
        <v>11817</v>
      </c>
      <c r="D1105" s="9" t="s">
        <v>987</v>
      </c>
      <c r="E1105" s="10" t="s">
        <v>988</v>
      </c>
      <c r="F1105" s="10" t="s">
        <v>989</v>
      </c>
      <c r="G1105" s="8">
        <v>1</v>
      </c>
      <c r="H1105" s="11">
        <v>800</v>
      </c>
      <c r="I1105" s="12">
        <v>42533</v>
      </c>
      <c r="J1105" s="13">
        <f t="shared" si="39"/>
        <v>0</v>
      </c>
      <c r="K1105" s="14">
        <v>200</v>
      </c>
      <c r="L1105" s="14">
        <v>200</v>
      </c>
      <c r="M1105" s="14">
        <v>200</v>
      </c>
      <c r="N1105" s="14">
        <v>200</v>
      </c>
      <c r="O1105" s="14"/>
      <c r="P1105" s="14"/>
      <c r="Q1105" s="14"/>
      <c r="R1105" s="14"/>
      <c r="S1105" s="14"/>
      <c r="T1105" s="14"/>
      <c r="U1105" s="14"/>
      <c r="V1105" s="14"/>
      <c r="W1105" s="15">
        <f t="shared" si="40"/>
        <v>800</v>
      </c>
      <c r="X1105" s="14"/>
      <c r="Y1105" s="14"/>
      <c r="Z1105" s="14"/>
      <c r="AA1105" s="14"/>
      <c r="AB1105" s="14"/>
      <c r="AC1105" s="14"/>
      <c r="AD1105" s="14"/>
      <c r="AE1105" s="14"/>
      <c r="AF1105" s="14"/>
      <c r="AG1105" s="14"/>
      <c r="AH1105" s="14"/>
      <c r="AI1105" s="14"/>
      <c r="AJ1105" s="15"/>
      <c r="AK1105" s="16"/>
    </row>
    <row r="1106" spans="2:37" x14ac:dyDescent="0.2">
      <c r="B1106" s="7" t="s">
        <v>73</v>
      </c>
      <c r="C1106" s="8">
        <v>11818</v>
      </c>
      <c r="D1106" s="9" t="s">
        <v>407</v>
      </c>
      <c r="E1106" s="10" t="s">
        <v>408</v>
      </c>
      <c r="F1106" s="10" t="s">
        <v>409</v>
      </c>
      <c r="G1106" s="8">
        <v>1</v>
      </c>
      <c r="H1106" s="11">
        <v>400</v>
      </c>
      <c r="I1106" s="12">
        <v>42533</v>
      </c>
      <c r="J1106" s="13">
        <f t="shared" si="39"/>
        <v>0</v>
      </c>
      <c r="K1106" s="14"/>
      <c r="L1106" s="14"/>
      <c r="M1106" s="14"/>
      <c r="N1106" s="14"/>
      <c r="O1106" s="14"/>
      <c r="P1106" s="14">
        <v>400</v>
      </c>
      <c r="Q1106" s="14"/>
      <c r="R1106" s="14"/>
      <c r="S1106" s="14"/>
      <c r="T1106" s="14"/>
      <c r="U1106" s="14"/>
      <c r="V1106" s="14"/>
      <c r="W1106" s="15">
        <f t="shared" si="40"/>
        <v>400</v>
      </c>
      <c r="X1106" s="14"/>
      <c r="Y1106" s="14"/>
      <c r="Z1106" s="14"/>
      <c r="AA1106" s="14"/>
      <c r="AB1106" s="14"/>
      <c r="AC1106" s="14"/>
      <c r="AD1106" s="14"/>
      <c r="AE1106" s="14"/>
      <c r="AF1106" s="14"/>
      <c r="AG1106" s="14"/>
      <c r="AH1106" s="14"/>
      <c r="AI1106" s="14"/>
      <c r="AJ1106" s="15"/>
      <c r="AK1106" s="16"/>
    </row>
    <row r="1107" spans="2:37" x14ac:dyDescent="0.2">
      <c r="B1107" s="7" t="s">
        <v>37</v>
      </c>
      <c r="C1107" s="8">
        <v>11819</v>
      </c>
      <c r="D1107" s="9" t="s">
        <v>295</v>
      </c>
      <c r="E1107" s="10" t="s">
        <v>296</v>
      </c>
      <c r="F1107" s="10" t="s">
        <v>297</v>
      </c>
      <c r="G1107" s="8">
        <v>1</v>
      </c>
      <c r="H1107" s="11">
        <v>300</v>
      </c>
      <c r="I1107" s="12">
        <v>42533</v>
      </c>
      <c r="J1107" s="13">
        <f t="shared" si="39"/>
        <v>0</v>
      </c>
      <c r="K1107" s="14"/>
      <c r="L1107" s="14"/>
      <c r="M1107" s="14"/>
      <c r="N1107" s="14"/>
      <c r="O1107" s="14"/>
      <c r="P1107" s="14">
        <v>300</v>
      </c>
      <c r="Q1107" s="14"/>
      <c r="R1107" s="14"/>
      <c r="S1107" s="14"/>
      <c r="T1107" s="14"/>
      <c r="U1107" s="14"/>
      <c r="V1107" s="14"/>
      <c r="W1107" s="15">
        <f t="shared" si="40"/>
        <v>300</v>
      </c>
      <c r="X1107" s="14"/>
      <c r="Y1107" s="14"/>
      <c r="Z1107" s="14"/>
      <c r="AA1107" s="14"/>
      <c r="AB1107" s="14"/>
      <c r="AC1107" s="14"/>
      <c r="AD1107" s="14"/>
      <c r="AE1107" s="14"/>
      <c r="AF1107" s="14"/>
      <c r="AG1107" s="14"/>
      <c r="AH1107" s="14"/>
      <c r="AI1107" s="14"/>
      <c r="AJ1107" s="15"/>
      <c r="AK1107" s="16"/>
    </row>
    <row r="1108" spans="2:37" x14ac:dyDescent="0.2">
      <c r="B1108" s="7" t="s">
        <v>47</v>
      </c>
      <c r="C1108" s="8">
        <v>11820</v>
      </c>
      <c r="D1108" s="9" t="s">
        <v>425</v>
      </c>
      <c r="E1108" s="10" t="s">
        <v>426</v>
      </c>
      <c r="F1108" s="10" t="s">
        <v>427</v>
      </c>
      <c r="G1108" s="8">
        <v>1</v>
      </c>
      <c r="H1108" s="11">
        <v>400</v>
      </c>
      <c r="I1108" s="12">
        <v>42533</v>
      </c>
      <c r="J1108" s="13">
        <f t="shared" si="39"/>
        <v>0</v>
      </c>
      <c r="K1108" s="14"/>
      <c r="L1108" s="14"/>
      <c r="M1108" s="14"/>
      <c r="N1108" s="14"/>
      <c r="O1108" s="14"/>
      <c r="P1108" s="14">
        <v>400</v>
      </c>
      <c r="Q1108" s="14"/>
      <c r="R1108" s="14"/>
      <c r="S1108" s="14"/>
      <c r="T1108" s="14"/>
      <c r="U1108" s="14"/>
      <c r="V1108" s="14"/>
      <c r="W1108" s="15">
        <f t="shared" si="40"/>
        <v>400</v>
      </c>
      <c r="X1108" s="14"/>
      <c r="Y1108" s="14"/>
      <c r="Z1108" s="14"/>
      <c r="AA1108" s="14"/>
      <c r="AB1108" s="14"/>
      <c r="AC1108" s="14"/>
      <c r="AD1108" s="14"/>
      <c r="AE1108" s="14"/>
      <c r="AF1108" s="14"/>
      <c r="AG1108" s="14"/>
      <c r="AH1108" s="14"/>
      <c r="AI1108" s="14"/>
      <c r="AJ1108" s="15"/>
      <c r="AK1108" s="16"/>
    </row>
    <row r="1109" spans="2:37" x14ac:dyDescent="0.2">
      <c r="B1109" s="7" t="s">
        <v>73</v>
      </c>
      <c r="C1109" s="8">
        <v>11821</v>
      </c>
      <c r="D1109" s="9" t="s">
        <v>649</v>
      </c>
      <c r="E1109" s="10" t="s">
        <v>650</v>
      </c>
      <c r="F1109" s="10" t="s">
        <v>651</v>
      </c>
      <c r="G1109" s="8">
        <v>1</v>
      </c>
      <c r="H1109" s="11">
        <v>300</v>
      </c>
      <c r="I1109" s="12">
        <v>42533</v>
      </c>
      <c r="J1109" s="13">
        <f t="shared" si="39"/>
        <v>0</v>
      </c>
      <c r="K1109" s="14"/>
      <c r="L1109" s="14"/>
      <c r="M1109" s="14"/>
      <c r="N1109" s="14"/>
      <c r="O1109" s="14"/>
      <c r="P1109" s="14">
        <v>300</v>
      </c>
      <c r="Q1109" s="14"/>
      <c r="R1109" s="14"/>
      <c r="S1109" s="14"/>
      <c r="T1109" s="14"/>
      <c r="U1109" s="14"/>
      <c r="V1109" s="14"/>
      <c r="W1109" s="15">
        <f t="shared" si="40"/>
        <v>300</v>
      </c>
      <c r="X1109" s="14"/>
      <c r="Y1109" s="14"/>
      <c r="Z1109" s="14"/>
      <c r="AA1109" s="14"/>
      <c r="AB1109" s="14"/>
      <c r="AC1109" s="14"/>
      <c r="AD1109" s="14"/>
      <c r="AE1109" s="14"/>
      <c r="AF1109" s="14"/>
      <c r="AG1109" s="14"/>
      <c r="AH1109" s="14"/>
      <c r="AI1109" s="14"/>
      <c r="AJ1109" s="15"/>
      <c r="AK1109" s="16"/>
    </row>
    <row r="1110" spans="2:37" x14ac:dyDescent="0.2">
      <c r="B1110" s="7" t="s">
        <v>122</v>
      </c>
      <c r="C1110" s="8">
        <v>11822</v>
      </c>
      <c r="D1110" s="9" t="s">
        <v>256</v>
      </c>
      <c r="E1110" s="10" t="s">
        <v>257</v>
      </c>
      <c r="F1110" s="10" t="s">
        <v>258</v>
      </c>
      <c r="G1110" s="8">
        <v>1</v>
      </c>
      <c r="H1110" s="11">
        <v>300</v>
      </c>
      <c r="I1110" s="12">
        <v>42533</v>
      </c>
      <c r="J1110" s="13">
        <f t="shared" si="39"/>
        <v>0</v>
      </c>
      <c r="K1110" s="14"/>
      <c r="L1110" s="14"/>
      <c r="M1110" s="14"/>
      <c r="N1110" s="14"/>
      <c r="O1110" s="14"/>
      <c r="P1110" s="14">
        <v>300</v>
      </c>
      <c r="Q1110" s="14"/>
      <c r="R1110" s="14"/>
      <c r="S1110" s="14"/>
      <c r="T1110" s="14"/>
      <c r="U1110" s="14"/>
      <c r="V1110" s="14"/>
      <c r="W1110" s="15">
        <f t="shared" si="40"/>
        <v>300</v>
      </c>
      <c r="X1110" s="14"/>
      <c r="Y1110" s="14"/>
      <c r="Z1110" s="14"/>
      <c r="AA1110" s="14"/>
      <c r="AB1110" s="14"/>
      <c r="AC1110" s="14"/>
      <c r="AD1110" s="14"/>
      <c r="AE1110" s="14"/>
      <c r="AF1110" s="14"/>
      <c r="AG1110" s="14"/>
      <c r="AH1110" s="14"/>
      <c r="AI1110" s="14"/>
      <c r="AJ1110" s="15"/>
      <c r="AK1110" s="16"/>
    </row>
    <row r="1111" spans="2:37" x14ac:dyDescent="0.2">
      <c r="B1111" s="7" t="s">
        <v>122</v>
      </c>
      <c r="C1111" s="8">
        <v>11823</v>
      </c>
      <c r="D1111" s="9" t="s">
        <v>331</v>
      </c>
      <c r="E1111" s="10" t="s">
        <v>332</v>
      </c>
      <c r="F1111" s="10" t="s">
        <v>333</v>
      </c>
      <c r="G1111" s="8">
        <v>1</v>
      </c>
      <c r="H1111" s="11">
        <v>400</v>
      </c>
      <c r="I1111" s="12">
        <v>42533</v>
      </c>
      <c r="J1111" s="13">
        <f t="shared" si="39"/>
        <v>0</v>
      </c>
      <c r="K1111" s="14"/>
      <c r="L1111" s="14"/>
      <c r="M1111" s="14"/>
      <c r="N1111" s="14"/>
      <c r="O1111" s="14"/>
      <c r="P1111" s="14">
        <v>400</v>
      </c>
      <c r="Q1111" s="14"/>
      <c r="R1111" s="14"/>
      <c r="S1111" s="14"/>
      <c r="T1111" s="14"/>
      <c r="U1111" s="14"/>
      <c r="V1111" s="14"/>
      <c r="W1111" s="15">
        <f t="shared" si="40"/>
        <v>400</v>
      </c>
      <c r="X1111" s="14"/>
      <c r="Y1111" s="14"/>
      <c r="Z1111" s="14"/>
      <c r="AA1111" s="14"/>
      <c r="AB1111" s="14"/>
      <c r="AC1111" s="14"/>
      <c r="AD1111" s="14"/>
      <c r="AE1111" s="14"/>
      <c r="AF1111" s="14"/>
      <c r="AG1111" s="14"/>
      <c r="AH1111" s="14"/>
      <c r="AI1111" s="14"/>
      <c r="AJ1111" s="15"/>
      <c r="AK1111" s="16"/>
    </row>
    <row r="1112" spans="2:37" x14ac:dyDescent="0.2">
      <c r="B1112" s="7" t="s">
        <v>73</v>
      </c>
      <c r="C1112" s="8">
        <v>11824</v>
      </c>
      <c r="D1112" s="9" t="s">
        <v>846</v>
      </c>
      <c r="E1112" s="10" t="s">
        <v>847</v>
      </c>
      <c r="F1112" s="10" t="s">
        <v>848</v>
      </c>
      <c r="G1112" s="8">
        <v>1</v>
      </c>
      <c r="H1112" s="11">
        <v>800</v>
      </c>
      <c r="I1112" s="12">
        <v>42533</v>
      </c>
      <c r="J1112" s="13">
        <f t="shared" si="39"/>
        <v>0</v>
      </c>
      <c r="K1112" s="14"/>
      <c r="L1112" s="14"/>
      <c r="M1112" s="14"/>
      <c r="N1112" s="14"/>
      <c r="O1112" s="14"/>
      <c r="P1112" s="14">
        <v>400</v>
      </c>
      <c r="Q1112" s="14">
        <v>400</v>
      </c>
      <c r="R1112" s="14"/>
      <c r="S1112" s="14"/>
      <c r="T1112" s="14"/>
      <c r="U1112" s="14"/>
      <c r="V1112" s="14"/>
      <c r="W1112" s="15">
        <f t="shared" si="40"/>
        <v>800</v>
      </c>
      <c r="X1112" s="14"/>
      <c r="Y1112" s="14"/>
      <c r="Z1112" s="14"/>
      <c r="AA1112" s="14"/>
      <c r="AB1112" s="14"/>
      <c r="AC1112" s="14"/>
      <c r="AD1112" s="14"/>
      <c r="AE1112" s="14"/>
      <c r="AF1112" s="14"/>
      <c r="AG1112" s="14"/>
      <c r="AH1112" s="14"/>
      <c r="AI1112" s="14"/>
      <c r="AJ1112" s="15"/>
      <c r="AK1112" s="16"/>
    </row>
    <row r="1113" spans="2:37" x14ac:dyDescent="0.2">
      <c r="B1113" s="7" t="s">
        <v>47</v>
      </c>
      <c r="C1113" s="8">
        <v>11825</v>
      </c>
      <c r="D1113" s="9" t="s">
        <v>990</v>
      </c>
      <c r="E1113" s="10" t="s">
        <v>991</v>
      </c>
      <c r="F1113" s="10" t="s">
        <v>992</v>
      </c>
      <c r="G1113" s="8">
        <v>1</v>
      </c>
      <c r="H1113" s="11">
        <v>400</v>
      </c>
      <c r="I1113" s="12">
        <v>42533</v>
      </c>
      <c r="J1113" s="13">
        <f t="shared" si="39"/>
        <v>0</v>
      </c>
      <c r="K1113" s="14"/>
      <c r="L1113" s="14"/>
      <c r="M1113" s="14"/>
      <c r="N1113" s="14"/>
      <c r="O1113" s="14"/>
      <c r="P1113" s="14">
        <v>200</v>
      </c>
      <c r="Q1113" s="14">
        <v>200</v>
      </c>
      <c r="R1113" s="14"/>
      <c r="S1113" s="14"/>
      <c r="T1113" s="14"/>
      <c r="U1113" s="14"/>
      <c r="V1113" s="14"/>
      <c r="W1113" s="15">
        <f t="shared" si="40"/>
        <v>400</v>
      </c>
      <c r="X1113" s="14"/>
      <c r="Y1113" s="14"/>
      <c r="Z1113" s="14"/>
      <c r="AA1113" s="14"/>
      <c r="AB1113" s="14"/>
      <c r="AC1113" s="14"/>
      <c r="AD1113" s="14"/>
      <c r="AE1113" s="14"/>
      <c r="AF1113" s="14"/>
      <c r="AG1113" s="14"/>
      <c r="AH1113" s="14"/>
      <c r="AI1113" s="14"/>
      <c r="AJ1113" s="15"/>
      <c r="AK1113" s="16"/>
    </row>
    <row r="1114" spans="2:37" x14ac:dyDescent="0.2">
      <c r="B1114" s="7" t="s">
        <v>77</v>
      </c>
      <c r="C1114" s="8">
        <v>11826</v>
      </c>
      <c r="D1114" s="9" t="s">
        <v>556</v>
      </c>
      <c r="E1114" s="10" t="s">
        <v>557</v>
      </c>
      <c r="F1114" s="10" t="s">
        <v>558</v>
      </c>
      <c r="G1114" s="8">
        <v>1</v>
      </c>
      <c r="H1114" s="11">
        <v>1200</v>
      </c>
      <c r="I1114" s="12">
        <v>42533</v>
      </c>
      <c r="J1114" s="13">
        <f t="shared" si="39"/>
        <v>0</v>
      </c>
      <c r="K1114" s="14"/>
      <c r="L1114" s="14">
        <v>400</v>
      </c>
      <c r="M1114" s="14">
        <v>400</v>
      </c>
      <c r="N1114" s="14">
        <v>400</v>
      </c>
      <c r="O1114" s="14"/>
      <c r="P1114" s="14"/>
      <c r="Q1114" s="14"/>
      <c r="R1114" s="14"/>
      <c r="S1114" s="14"/>
      <c r="T1114" s="14"/>
      <c r="U1114" s="14"/>
      <c r="V1114" s="14"/>
      <c r="W1114" s="15">
        <f t="shared" si="40"/>
        <v>1200</v>
      </c>
      <c r="X1114" s="14"/>
      <c r="Y1114" s="14"/>
      <c r="Z1114" s="14"/>
      <c r="AA1114" s="14"/>
      <c r="AB1114" s="14"/>
      <c r="AC1114" s="14"/>
      <c r="AD1114" s="14"/>
      <c r="AE1114" s="14"/>
      <c r="AF1114" s="14"/>
      <c r="AG1114" s="14"/>
      <c r="AH1114" s="14"/>
      <c r="AI1114" s="14"/>
      <c r="AJ1114" s="15"/>
      <c r="AK1114" s="16"/>
    </row>
    <row r="1115" spans="2:37" x14ac:dyDescent="0.2">
      <c r="B1115" s="7" t="s">
        <v>73</v>
      </c>
      <c r="C1115" s="8">
        <v>11827</v>
      </c>
      <c r="D1115" s="9" t="s">
        <v>785</v>
      </c>
      <c r="E1115" s="10" t="s">
        <v>786</v>
      </c>
      <c r="F1115" s="10" t="s">
        <v>787</v>
      </c>
      <c r="G1115" s="8">
        <v>1</v>
      </c>
      <c r="H1115" s="11">
        <v>200</v>
      </c>
      <c r="I1115" s="12">
        <v>42533</v>
      </c>
      <c r="J1115" s="13">
        <f t="shared" si="39"/>
        <v>0</v>
      </c>
      <c r="K1115" s="14"/>
      <c r="L1115" s="14"/>
      <c r="M1115" s="14"/>
      <c r="N1115" s="14"/>
      <c r="O1115" s="14"/>
      <c r="P1115" s="14">
        <v>200</v>
      </c>
      <c r="Q1115" s="14"/>
      <c r="R1115" s="14"/>
      <c r="S1115" s="14"/>
      <c r="T1115" s="14"/>
      <c r="U1115" s="14"/>
      <c r="V1115" s="14"/>
      <c r="W1115" s="15">
        <f t="shared" si="40"/>
        <v>200</v>
      </c>
      <c r="X1115" s="14"/>
      <c r="Y1115" s="14"/>
      <c r="Z1115" s="14"/>
      <c r="AA1115" s="14"/>
      <c r="AB1115" s="14"/>
      <c r="AC1115" s="14"/>
      <c r="AD1115" s="14"/>
      <c r="AE1115" s="14"/>
      <c r="AF1115" s="14"/>
      <c r="AG1115" s="14"/>
      <c r="AH1115" s="14"/>
      <c r="AI1115" s="14"/>
      <c r="AJ1115" s="15"/>
      <c r="AK1115" s="16"/>
    </row>
    <row r="1116" spans="2:37" x14ac:dyDescent="0.2">
      <c r="B1116" s="7" t="s">
        <v>37</v>
      </c>
      <c r="C1116" s="8">
        <v>11828</v>
      </c>
      <c r="D1116" s="9" t="s">
        <v>307</v>
      </c>
      <c r="E1116" s="10" t="s">
        <v>308</v>
      </c>
      <c r="F1116" s="10" t="s">
        <v>309</v>
      </c>
      <c r="G1116" s="8">
        <v>1</v>
      </c>
      <c r="H1116" s="11">
        <v>350</v>
      </c>
      <c r="I1116" s="12">
        <v>42533</v>
      </c>
      <c r="J1116" s="13">
        <f t="shared" si="39"/>
        <v>0</v>
      </c>
      <c r="K1116" s="14"/>
      <c r="L1116" s="14"/>
      <c r="M1116" s="14"/>
      <c r="N1116" s="14"/>
      <c r="O1116" s="14"/>
      <c r="P1116" s="14">
        <v>350</v>
      </c>
      <c r="Q1116" s="14"/>
      <c r="R1116" s="14"/>
      <c r="S1116" s="14"/>
      <c r="T1116" s="14"/>
      <c r="U1116" s="14"/>
      <c r="V1116" s="14"/>
      <c r="W1116" s="15">
        <f t="shared" si="40"/>
        <v>350</v>
      </c>
      <c r="X1116" s="14"/>
      <c r="Y1116" s="14"/>
      <c r="Z1116" s="14"/>
      <c r="AA1116" s="14"/>
      <c r="AB1116" s="14"/>
      <c r="AC1116" s="14"/>
      <c r="AD1116" s="14"/>
      <c r="AE1116" s="14"/>
      <c r="AF1116" s="14"/>
      <c r="AG1116" s="14"/>
      <c r="AH1116" s="14"/>
      <c r="AI1116" s="14"/>
      <c r="AJ1116" s="15"/>
      <c r="AK1116" s="16"/>
    </row>
    <row r="1117" spans="2:37" x14ac:dyDescent="0.2">
      <c r="B1117" s="7" t="s">
        <v>37</v>
      </c>
      <c r="C1117" s="8">
        <v>11829</v>
      </c>
      <c r="D1117" s="9" t="s">
        <v>38</v>
      </c>
      <c r="E1117" s="10" t="s">
        <v>993</v>
      </c>
      <c r="F1117" s="10" t="s">
        <v>994</v>
      </c>
      <c r="G1117" s="8">
        <v>1</v>
      </c>
      <c r="H1117" s="11">
        <v>900</v>
      </c>
      <c r="I1117" s="12">
        <v>42533</v>
      </c>
      <c r="J1117" s="13">
        <f t="shared" si="39"/>
        <v>0</v>
      </c>
      <c r="K1117" s="14"/>
      <c r="L1117" s="14"/>
      <c r="M1117" s="14"/>
      <c r="N1117" s="14"/>
      <c r="O1117" s="14"/>
      <c r="P1117" s="14"/>
      <c r="Q1117" s="14">
        <v>150</v>
      </c>
      <c r="R1117" s="14">
        <v>150</v>
      </c>
      <c r="S1117" s="14">
        <v>150</v>
      </c>
      <c r="T1117" s="14">
        <v>150</v>
      </c>
      <c r="U1117" s="14">
        <v>150</v>
      </c>
      <c r="V1117" s="14">
        <v>150</v>
      </c>
      <c r="W1117" s="15">
        <f t="shared" si="40"/>
        <v>900</v>
      </c>
      <c r="X1117" s="14"/>
      <c r="Y1117" s="14"/>
      <c r="Z1117" s="14"/>
      <c r="AA1117" s="14"/>
      <c r="AB1117" s="14"/>
      <c r="AC1117" s="14"/>
      <c r="AD1117" s="14"/>
      <c r="AE1117" s="14"/>
      <c r="AF1117" s="14"/>
      <c r="AG1117" s="14"/>
      <c r="AH1117" s="14"/>
      <c r="AI1117" s="14"/>
      <c r="AJ1117" s="15"/>
      <c r="AK1117" s="16"/>
    </row>
    <row r="1118" spans="2:37" x14ac:dyDescent="0.2">
      <c r="B1118" s="7" t="s">
        <v>47</v>
      </c>
      <c r="C1118" s="8">
        <v>11830</v>
      </c>
      <c r="D1118" s="9" t="s">
        <v>313</v>
      </c>
      <c r="E1118" s="10" t="s">
        <v>314</v>
      </c>
      <c r="F1118" s="10" t="s">
        <v>315</v>
      </c>
      <c r="G1118" s="8">
        <v>1</v>
      </c>
      <c r="H1118" s="11">
        <v>400</v>
      </c>
      <c r="I1118" s="12">
        <v>42533</v>
      </c>
      <c r="J1118" s="13">
        <f t="shared" si="39"/>
        <v>0</v>
      </c>
      <c r="K1118" s="14"/>
      <c r="L1118" s="14"/>
      <c r="M1118" s="14"/>
      <c r="N1118" s="14"/>
      <c r="O1118" s="14"/>
      <c r="P1118" s="14">
        <v>400</v>
      </c>
      <c r="Q1118" s="14"/>
      <c r="R1118" s="14"/>
      <c r="S1118" s="14"/>
      <c r="T1118" s="14"/>
      <c r="U1118" s="14"/>
      <c r="V1118" s="14"/>
      <c r="W1118" s="15">
        <f t="shared" si="40"/>
        <v>400</v>
      </c>
      <c r="X1118" s="14"/>
      <c r="Y1118" s="14"/>
      <c r="Z1118" s="14"/>
      <c r="AA1118" s="14"/>
      <c r="AB1118" s="14"/>
      <c r="AC1118" s="14"/>
      <c r="AD1118" s="14"/>
      <c r="AE1118" s="14"/>
      <c r="AF1118" s="14"/>
      <c r="AG1118" s="14"/>
      <c r="AH1118" s="14"/>
      <c r="AI1118" s="14"/>
      <c r="AJ1118" s="15"/>
      <c r="AK1118" s="16"/>
    </row>
    <row r="1119" spans="2:37" x14ac:dyDescent="0.2">
      <c r="B1119" s="7" t="s">
        <v>77</v>
      </c>
      <c r="C1119" s="8">
        <v>11831</v>
      </c>
      <c r="D1119" s="9" t="s">
        <v>725</v>
      </c>
      <c r="E1119" s="10" t="s">
        <v>726</v>
      </c>
      <c r="F1119" s="10" t="s">
        <v>727</v>
      </c>
      <c r="G1119" s="8">
        <v>1</v>
      </c>
      <c r="H1119" s="11">
        <v>800</v>
      </c>
      <c r="I1119" s="12">
        <v>42533</v>
      </c>
      <c r="J1119" s="13">
        <f t="shared" si="39"/>
        <v>0</v>
      </c>
      <c r="K1119" s="14"/>
      <c r="L1119" s="14"/>
      <c r="M1119" s="14"/>
      <c r="N1119" s="14"/>
      <c r="O1119" s="14">
        <v>400</v>
      </c>
      <c r="P1119" s="14">
        <v>400</v>
      </c>
      <c r="Q1119" s="14"/>
      <c r="R1119" s="14"/>
      <c r="S1119" s="14"/>
      <c r="T1119" s="14"/>
      <c r="U1119" s="14"/>
      <c r="V1119" s="14"/>
      <c r="W1119" s="15">
        <f t="shared" si="40"/>
        <v>800</v>
      </c>
      <c r="X1119" s="14"/>
      <c r="Y1119" s="14"/>
      <c r="Z1119" s="14"/>
      <c r="AA1119" s="14"/>
      <c r="AB1119" s="14"/>
      <c r="AC1119" s="14"/>
      <c r="AD1119" s="14"/>
      <c r="AE1119" s="14"/>
      <c r="AF1119" s="14"/>
      <c r="AG1119" s="14"/>
      <c r="AH1119" s="14"/>
      <c r="AI1119" s="14"/>
      <c r="AJ1119" s="15"/>
      <c r="AK1119" s="16"/>
    </row>
    <row r="1120" spans="2:37" x14ac:dyDescent="0.2">
      <c r="B1120" s="7" t="s">
        <v>69</v>
      </c>
      <c r="C1120" s="8">
        <v>11832</v>
      </c>
      <c r="D1120" s="9" t="s">
        <v>370</v>
      </c>
      <c r="E1120" s="10" t="s">
        <v>371</v>
      </c>
      <c r="F1120" s="10" t="s">
        <v>372</v>
      </c>
      <c r="G1120" s="8">
        <v>1</v>
      </c>
      <c r="H1120" s="11">
        <v>450</v>
      </c>
      <c r="I1120" s="12">
        <v>42533</v>
      </c>
      <c r="J1120" s="13">
        <f t="shared" si="39"/>
        <v>0</v>
      </c>
      <c r="K1120" s="14"/>
      <c r="L1120" s="14"/>
      <c r="M1120" s="14"/>
      <c r="N1120" s="14"/>
      <c r="O1120" s="14"/>
      <c r="P1120" s="14">
        <v>150</v>
      </c>
      <c r="Q1120" s="14">
        <v>150</v>
      </c>
      <c r="R1120" s="14">
        <v>150</v>
      </c>
      <c r="S1120" s="14"/>
      <c r="T1120" s="14"/>
      <c r="U1120" s="14"/>
      <c r="V1120" s="14"/>
      <c r="W1120" s="15">
        <f t="shared" si="40"/>
        <v>450</v>
      </c>
      <c r="X1120" s="14"/>
      <c r="Y1120" s="14"/>
      <c r="Z1120" s="14"/>
      <c r="AA1120" s="14"/>
      <c r="AB1120" s="14"/>
      <c r="AC1120" s="14"/>
      <c r="AD1120" s="14"/>
      <c r="AE1120" s="14"/>
      <c r="AF1120" s="14"/>
      <c r="AG1120" s="14"/>
      <c r="AH1120" s="14"/>
      <c r="AI1120" s="14"/>
      <c r="AJ1120" s="15"/>
      <c r="AK1120" s="16"/>
    </row>
    <row r="1121" spans="2:37" x14ac:dyDescent="0.2">
      <c r="B1121" s="7" t="s">
        <v>47</v>
      </c>
      <c r="C1121" s="8">
        <v>11833</v>
      </c>
      <c r="D1121" s="9" t="s">
        <v>990</v>
      </c>
      <c r="E1121" s="10" t="s">
        <v>991</v>
      </c>
      <c r="F1121" s="10" t="s">
        <v>992</v>
      </c>
      <c r="G1121" s="8">
        <v>3</v>
      </c>
      <c r="H1121" s="11">
        <v>160</v>
      </c>
      <c r="I1121" s="12">
        <v>42533</v>
      </c>
      <c r="J1121" s="13">
        <f t="shared" si="39"/>
        <v>0</v>
      </c>
      <c r="K1121" s="14"/>
      <c r="L1121" s="14"/>
      <c r="M1121" s="14"/>
      <c r="N1121" s="14"/>
      <c r="O1121" s="14"/>
      <c r="P1121" s="14"/>
      <c r="Q1121" s="14"/>
      <c r="R1121" s="14"/>
      <c r="S1121" s="14"/>
      <c r="T1121" s="14"/>
      <c r="U1121" s="14"/>
      <c r="V1121" s="14"/>
      <c r="W1121" s="15">
        <f t="shared" si="40"/>
        <v>0</v>
      </c>
      <c r="X1121" s="14"/>
      <c r="Y1121" s="14"/>
      <c r="Z1121" s="14"/>
      <c r="AA1121" s="14"/>
      <c r="AB1121" s="14"/>
      <c r="AC1121" s="14"/>
      <c r="AD1121" s="14"/>
      <c r="AE1121" s="14"/>
      <c r="AF1121" s="14"/>
      <c r="AG1121" s="14"/>
      <c r="AH1121" s="14"/>
      <c r="AI1121" s="14"/>
      <c r="AJ1121" s="15"/>
      <c r="AK1121" s="16"/>
    </row>
    <row r="1122" spans="2:37" x14ac:dyDescent="0.2">
      <c r="B1122" s="7" t="s">
        <v>47</v>
      </c>
      <c r="C1122" s="8">
        <v>11833</v>
      </c>
      <c r="D1122" s="9" t="s">
        <v>990</v>
      </c>
      <c r="E1122" s="10" t="s">
        <v>991</v>
      </c>
      <c r="F1122" s="10" t="s">
        <v>992</v>
      </c>
      <c r="G1122" s="8">
        <v>4</v>
      </c>
      <c r="H1122" s="11">
        <v>160</v>
      </c>
      <c r="I1122" s="12">
        <v>42533</v>
      </c>
      <c r="J1122" s="13">
        <f t="shared" si="39"/>
        <v>0</v>
      </c>
      <c r="K1122" s="14"/>
      <c r="L1122" s="14"/>
      <c r="M1122" s="14"/>
      <c r="N1122" s="14"/>
      <c r="O1122" s="14"/>
      <c r="P1122" s="14"/>
      <c r="Q1122" s="14"/>
      <c r="R1122" s="14"/>
      <c r="S1122" s="14"/>
      <c r="T1122" s="14"/>
      <c r="U1122" s="14"/>
      <c r="V1122" s="14"/>
      <c r="W1122" s="15">
        <f t="shared" si="40"/>
        <v>0</v>
      </c>
      <c r="X1122" s="14"/>
      <c r="Y1122" s="14"/>
      <c r="Z1122" s="14"/>
      <c r="AA1122" s="14"/>
      <c r="AB1122" s="14"/>
      <c r="AC1122" s="14"/>
      <c r="AD1122" s="14"/>
      <c r="AE1122" s="14"/>
      <c r="AF1122" s="14"/>
      <c r="AG1122" s="14"/>
      <c r="AH1122" s="14"/>
      <c r="AI1122" s="14"/>
      <c r="AJ1122" s="15"/>
      <c r="AK1122" s="7">
        <v>883</v>
      </c>
    </row>
    <row r="1123" spans="2:37" x14ac:dyDescent="0.2">
      <c r="B1123" s="7" t="s">
        <v>77</v>
      </c>
      <c r="C1123" s="8">
        <v>11834</v>
      </c>
      <c r="D1123" s="9" t="s">
        <v>725</v>
      </c>
      <c r="E1123" s="10" t="s">
        <v>726</v>
      </c>
      <c r="F1123" s="10" t="s">
        <v>727</v>
      </c>
      <c r="G1123" s="8">
        <v>3</v>
      </c>
      <c r="H1123" s="11">
        <v>160</v>
      </c>
      <c r="I1123" s="12">
        <v>42533</v>
      </c>
      <c r="J1123" s="13">
        <f t="shared" si="39"/>
        <v>0</v>
      </c>
      <c r="K1123" s="14"/>
      <c r="L1123" s="14"/>
      <c r="M1123" s="14"/>
      <c r="N1123" s="14"/>
      <c r="O1123" s="14"/>
      <c r="P1123" s="14"/>
      <c r="Q1123" s="14"/>
      <c r="R1123" s="14"/>
      <c r="S1123" s="14"/>
      <c r="T1123" s="14"/>
      <c r="U1123" s="14"/>
      <c r="V1123" s="14"/>
      <c r="W1123" s="15">
        <f t="shared" si="40"/>
        <v>0</v>
      </c>
      <c r="X1123" s="14"/>
      <c r="Y1123" s="14"/>
      <c r="Z1123" s="14"/>
      <c r="AA1123" s="14"/>
      <c r="AB1123" s="14"/>
      <c r="AC1123" s="14"/>
      <c r="AD1123" s="14"/>
      <c r="AE1123" s="14"/>
      <c r="AF1123" s="14"/>
      <c r="AG1123" s="14"/>
      <c r="AH1123" s="14"/>
      <c r="AI1123" s="14"/>
      <c r="AJ1123" s="15"/>
      <c r="AK1123" s="16"/>
    </row>
    <row r="1124" spans="2:37" x14ac:dyDescent="0.2">
      <c r="B1124" s="7" t="s">
        <v>93</v>
      </c>
      <c r="C1124" s="8">
        <v>11835</v>
      </c>
      <c r="D1124" s="9"/>
      <c r="E1124" s="10" t="s">
        <v>93</v>
      </c>
      <c r="F1124" s="10" t="s">
        <v>93</v>
      </c>
      <c r="G1124" s="8">
        <v>8</v>
      </c>
      <c r="H1124" s="11"/>
      <c r="I1124" s="12"/>
      <c r="J1124" s="13">
        <f t="shared" si="39"/>
        <v>0</v>
      </c>
      <c r="K1124" s="14"/>
      <c r="L1124" s="14"/>
      <c r="M1124" s="14"/>
      <c r="N1124" s="14"/>
      <c r="O1124" s="14"/>
      <c r="P1124" s="14"/>
      <c r="Q1124" s="14"/>
      <c r="R1124" s="14"/>
      <c r="S1124" s="14"/>
      <c r="T1124" s="14"/>
      <c r="U1124" s="14"/>
      <c r="V1124" s="14"/>
      <c r="W1124" s="15">
        <f t="shared" si="40"/>
        <v>0</v>
      </c>
      <c r="X1124" s="14"/>
      <c r="Y1124" s="14"/>
      <c r="Z1124" s="14"/>
      <c r="AA1124" s="14"/>
      <c r="AB1124" s="14"/>
      <c r="AC1124" s="14"/>
      <c r="AD1124" s="14"/>
      <c r="AE1124" s="14"/>
      <c r="AF1124" s="14"/>
      <c r="AG1124" s="14"/>
      <c r="AH1124" s="14"/>
      <c r="AI1124" s="14"/>
      <c r="AJ1124" s="15"/>
      <c r="AK1124" s="16"/>
    </row>
    <row r="1125" spans="2:37" x14ac:dyDescent="0.2">
      <c r="B1125" s="7" t="s">
        <v>69</v>
      </c>
      <c r="C1125" s="8">
        <v>11836</v>
      </c>
      <c r="D1125" s="9" t="s">
        <v>740</v>
      </c>
      <c r="E1125" s="10" t="s">
        <v>741</v>
      </c>
      <c r="F1125" s="10" t="s">
        <v>742</v>
      </c>
      <c r="G1125" s="8">
        <v>1</v>
      </c>
      <c r="H1125" s="11">
        <v>800</v>
      </c>
      <c r="I1125" s="12">
        <v>42533</v>
      </c>
      <c r="J1125" s="13">
        <f t="shared" si="39"/>
        <v>0</v>
      </c>
      <c r="K1125" s="14"/>
      <c r="L1125" s="14"/>
      <c r="M1125" s="14"/>
      <c r="N1125" s="14"/>
      <c r="O1125" s="14">
        <v>400</v>
      </c>
      <c r="P1125" s="14">
        <v>400</v>
      </c>
      <c r="Q1125" s="14"/>
      <c r="R1125" s="14"/>
      <c r="S1125" s="14"/>
      <c r="T1125" s="14"/>
      <c r="U1125" s="14"/>
      <c r="V1125" s="14"/>
      <c r="W1125" s="15">
        <f t="shared" si="40"/>
        <v>800</v>
      </c>
      <c r="X1125" s="14"/>
      <c r="Y1125" s="14"/>
      <c r="Z1125" s="14"/>
      <c r="AA1125" s="14"/>
      <c r="AB1125" s="14"/>
      <c r="AC1125" s="14"/>
      <c r="AD1125" s="14"/>
      <c r="AE1125" s="14"/>
      <c r="AF1125" s="14"/>
      <c r="AG1125" s="14"/>
      <c r="AH1125" s="14"/>
      <c r="AI1125" s="14"/>
      <c r="AJ1125" s="15"/>
      <c r="AK1125" s="16"/>
    </row>
    <row r="1126" spans="2:37" x14ac:dyDescent="0.2">
      <c r="B1126" s="7" t="s">
        <v>37</v>
      </c>
      <c r="C1126" s="8">
        <v>11837</v>
      </c>
      <c r="D1126" s="9" t="s">
        <v>431</v>
      </c>
      <c r="E1126" s="10" t="s">
        <v>432</v>
      </c>
      <c r="F1126" s="10" t="s">
        <v>433</v>
      </c>
      <c r="G1126" s="8">
        <v>1</v>
      </c>
      <c r="H1126" s="11">
        <v>400</v>
      </c>
      <c r="I1126" s="12">
        <v>42533</v>
      </c>
      <c r="J1126" s="13">
        <f t="shared" si="39"/>
        <v>0</v>
      </c>
      <c r="K1126" s="14"/>
      <c r="L1126" s="14"/>
      <c r="M1126" s="14"/>
      <c r="N1126" s="14"/>
      <c r="O1126" s="14">
        <v>400</v>
      </c>
      <c r="P1126" s="14"/>
      <c r="Q1126" s="14"/>
      <c r="R1126" s="14"/>
      <c r="S1126" s="14"/>
      <c r="T1126" s="14"/>
      <c r="U1126" s="14"/>
      <c r="V1126" s="14"/>
      <c r="W1126" s="15">
        <f t="shared" si="40"/>
        <v>400</v>
      </c>
      <c r="X1126" s="14"/>
      <c r="Y1126" s="14"/>
      <c r="Z1126" s="14"/>
      <c r="AA1126" s="14"/>
      <c r="AB1126" s="14"/>
      <c r="AC1126" s="14"/>
      <c r="AD1126" s="14"/>
      <c r="AE1126" s="14"/>
      <c r="AF1126" s="14"/>
      <c r="AG1126" s="14"/>
      <c r="AH1126" s="14"/>
      <c r="AI1126" s="14"/>
      <c r="AJ1126" s="15"/>
      <c r="AK1126" s="16"/>
    </row>
    <row r="1127" spans="2:37" x14ac:dyDescent="0.2">
      <c r="B1127" s="7" t="s">
        <v>73</v>
      </c>
      <c r="C1127" s="8">
        <v>11838</v>
      </c>
      <c r="D1127" s="9" t="s">
        <v>571</v>
      </c>
      <c r="E1127" s="10" t="s">
        <v>572</v>
      </c>
      <c r="F1127" s="10" t="s">
        <v>573</v>
      </c>
      <c r="G1127" s="8">
        <v>1</v>
      </c>
      <c r="H1127" s="11">
        <v>600</v>
      </c>
      <c r="I1127" s="12">
        <v>42533</v>
      </c>
      <c r="J1127" s="13">
        <f t="shared" si="39"/>
        <v>0</v>
      </c>
      <c r="K1127" s="14">
        <v>200</v>
      </c>
      <c r="L1127" s="14">
        <v>200</v>
      </c>
      <c r="M1127" s="14"/>
      <c r="N1127" s="14"/>
      <c r="O1127" s="14"/>
      <c r="P1127" s="14">
        <v>200</v>
      </c>
      <c r="Q1127" s="14"/>
      <c r="R1127" s="14"/>
      <c r="S1127" s="14"/>
      <c r="T1127" s="14"/>
      <c r="U1127" s="14"/>
      <c r="V1127" s="14"/>
      <c r="W1127" s="15">
        <f t="shared" si="40"/>
        <v>600</v>
      </c>
      <c r="X1127" s="14"/>
      <c r="Y1127" s="14"/>
      <c r="Z1127" s="14"/>
      <c r="AA1127" s="14"/>
      <c r="AB1127" s="14"/>
      <c r="AC1127" s="14"/>
      <c r="AD1127" s="14"/>
      <c r="AE1127" s="14"/>
      <c r="AF1127" s="14"/>
      <c r="AG1127" s="14"/>
      <c r="AH1127" s="14"/>
      <c r="AI1127" s="14"/>
      <c r="AJ1127" s="15"/>
      <c r="AK1127" s="16"/>
    </row>
    <row r="1128" spans="2:37" x14ac:dyDescent="0.2">
      <c r="B1128" s="7" t="s">
        <v>73</v>
      </c>
      <c r="C1128" s="8">
        <v>11839</v>
      </c>
      <c r="D1128" s="9" t="s">
        <v>259</v>
      </c>
      <c r="E1128" s="10" t="s">
        <v>260</v>
      </c>
      <c r="F1128" s="10" t="s">
        <v>261</v>
      </c>
      <c r="G1128" s="8">
        <v>1</v>
      </c>
      <c r="H1128" s="11">
        <v>400</v>
      </c>
      <c r="I1128" s="12">
        <v>42533</v>
      </c>
      <c r="J1128" s="13">
        <f t="shared" si="39"/>
        <v>0</v>
      </c>
      <c r="K1128" s="14"/>
      <c r="L1128" s="14"/>
      <c r="M1128" s="14"/>
      <c r="N1128" s="14"/>
      <c r="O1128" s="14"/>
      <c r="P1128" s="14">
        <v>400</v>
      </c>
      <c r="Q1128" s="14"/>
      <c r="R1128" s="14"/>
      <c r="S1128" s="14"/>
      <c r="T1128" s="14"/>
      <c r="U1128" s="14"/>
      <c r="V1128" s="14"/>
      <c r="W1128" s="15">
        <f t="shared" si="40"/>
        <v>400</v>
      </c>
      <c r="X1128" s="14"/>
      <c r="Y1128" s="14"/>
      <c r="Z1128" s="14"/>
      <c r="AA1128" s="14"/>
      <c r="AB1128" s="14"/>
      <c r="AC1128" s="14"/>
      <c r="AD1128" s="14"/>
      <c r="AE1128" s="14"/>
      <c r="AF1128" s="14"/>
      <c r="AG1128" s="14"/>
      <c r="AH1128" s="14"/>
      <c r="AI1128" s="14"/>
      <c r="AJ1128" s="15"/>
      <c r="AK1128" s="16"/>
    </row>
    <row r="1129" spans="2:37" x14ac:dyDescent="0.2">
      <c r="B1129" s="7" t="s">
        <v>47</v>
      </c>
      <c r="C1129" s="8">
        <v>11840</v>
      </c>
      <c r="D1129" s="9" t="s">
        <v>153</v>
      </c>
      <c r="E1129" s="10" t="s">
        <v>154</v>
      </c>
      <c r="F1129" s="10" t="s">
        <v>155</v>
      </c>
      <c r="G1129" s="8">
        <v>1</v>
      </c>
      <c r="H1129" s="11">
        <v>400</v>
      </c>
      <c r="I1129" s="12">
        <v>42533</v>
      </c>
      <c r="J1129" s="13">
        <f t="shared" si="39"/>
        <v>0</v>
      </c>
      <c r="K1129" s="14"/>
      <c r="L1129" s="14"/>
      <c r="M1129" s="14"/>
      <c r="N1129" s="14"/>
      <c r="O1129" s="14"/>
      <c r="P1129" s="14">
        <v>400</v>
      </c>
      <c r="Q1129" s="14"/>
      <c r="R1129" s="14"/>
      <c r="S1129" s="14"/>
      <c r="T1129" s="14"/>
      <c r="U1129" s="14"/>
      <c r="V1129" s="14"/>
      <c r="W1129" s="15">
        <f t="shared" si="40"/>
        <v>400</v>
      </c>
      <c r="X1129" s="14"/>
      <c r="Y1129" s="14"/>
      <c r="Z1129" s="14"/>
      <c r="AA1129" s="14"/>
      <c r="AB1129" s="14"/>
      <c r="AC1129" s="14"/>
      <c r="AD1129" s="14"/>
      <c r="AE1129" s="14"/>
      <c r="AF1129" s="14"/>
      <c r="AG1129" s="14"/>
      <c r="AH1129" s="14"/>
      <c r="AI1129" s="14"/>
      <c r="AJ1129" s="15"/>
      <c r="AK1129" s="16"/>
    </row>
    <row r="1130" spans="2:37" x14ac:dyDescent="0.2">
      <c r="B1130" s="7" t="s">
        <v>47</v>
      </c>
      <c r="C1130" s="8">
        <v>11841</v>
      </c>
      <c r="D1130" s="9" t="s">
        <v>189</v>
      </c>
      <c r="E1130" s="10" t="s">
        <v>190</v>
      </c>
      <c r="F1130" s="10" t="s">
        <v>191</v>
      </c>
      <c r="G1130" s="8">
        <v>1</v>
      </c>
      <c r="H1130" s="11">
        <v>400</v>
      </c>
      <c r="I1130" s="12">
        <v>42533</v>
      </c>
      <c r="J1130" s="13">
        <f t="shared" si="39"/>
        <v>0</v>
      </c>
      <c r="K1130" s="14"/>
      <c r="L1130" s="14"/>
      <c r="M1130" s="14"/>
      <c r="N1130" s="14"/>
      <c r="O1130" s="14">
        <v>400</v>
      </c>
      <c r="P1130" s="14"/>
      <c r="Q1130" s="14"/>
      <c r="R1130" s="14"/>
      <c r="S1130" s="14"/>
      <c r="T1130" s="14"/>
      <c r="U1130" s="14"/>
      <c r="V1130" s="14"/>
      <c r="W1130" s="15">
        <f t="shared" si="40"/>
        <v>400</v>
      </c>
      <c r="X1130" s="14"/>
      <c r="Y1130" s="14"/>
      <c r="Z1130" s="14"/>
      <c r="AA1130" s="14"/>
      <c r="AB1130" s="14"/>
      <c r="AC1130" s="14"/>
      <c r="AD1130" s="14"/>
      <c r="AE1130" s="14"/>
      <c r="AF1130" s="14"/>
      <c r="AG1130" s="14"/>
      <c r="AH1130" s="14"/>
      <c r="AI1130" s="14"/>
      <c r="AJ1130" s="15"/>
      <c r="AK1130" s="16"/>
    </row>
    <row r="1131" spans="2:37" x14ac:dyDescent="0.2">
      <c r="B1131" s="7" t="s">
        <v>73</v>
      </c>
      <c r="C1131" s="8">
        <v>11842</v>
      </c>
      <c r="D1131" s="9" t="s">
        <v>929</v>
      </c>
      <c r="E1131" s="10" t="s">
        <v>930</v>
      </c>
      <c r="F1131" s="10" t="s">
        <v>931</v>
      </c>
      <c r="G1131" s="8">
        <v>1</v>
      </c>
      <c r="H1131" s="11">
        <v>750</v>
      </c>
      <c r="I1131" s="12">
        <v>42533</v>
      </c>
      <c r="J1131" s="13">
        <f t="shared" si="39"/>
        <v>0</v>
      </c>
      <c r="K1131" s="14"/>
      <c r="L1131" s="14">
        <v>150</v>
      </c>
      <c r="M1131" s="14">
        <v>150</v>
      </c>
      <c r="N1131" s="14">
        <v>150</v>
      </c>
      <c r="O1131" s="14">
        <v>150</v>
      </c>
      <c r="P1131" s="14">
        <v>150</v>
      </c>
      <c r="Q1131" s="14"/>
      <c r="R1131" s="14"/>
      <c r="S1131" s="14"/>
      <c r="T1131" s="14"/>
      <c r="U1131" s="14"/>
      <c r="V1131" s="14"/>
      <c r="W1131" s="15">
        <f t="shared" si="40"/>
        <v>750</v>
      </c>
      <c r="X1131" s="14"/>
      <c r="Y1131" s="14"/>
      <c r="Z1131" s="14"/>
      <c r="AA1131" s="14"/>
      <c r="AB1131" s="14"/>
      <c r="AC1131" s="14"/>
      <c r="AD1131" s="14"/>
      <c r="AE1131" s="14"/>
      <c r="AF1131" s="14"/>
      <c r="AG1131" s="14"/>
      <c r="AH1131" s="14"/>
      <c r="AI1131" s="14"/>
      <c r="AJ1131" s="15"/>
      <c r="AK1131" s="16"/>
    </row>
    <row r="1132" spans="2:37" x14ac:dyDescent="0.2">
      <c r="B1132" s="7" t="s">
        <v>73</v>
      </c>
      <c r="C1132" s="8">
        <v>11843</v>
      </c>
      <c r="D1132" s="9" t="s">
        <v>926</v>
      </c>
      <c r="E1132" s="10" t="s">
        <v>927</v>
      </c>
      <c r="F1132" s="10" t="s">
        <v>928</v>
      </c>
      <c r="G1132" s="8">
        <v>1</v>
      </c>
      <c r="H1132" s="11">
        <v>750</v>
      </c>
      <c r="I1132" s="12">
        <v>42533</v>
      </c>
      <c r="J1132" s="13">
        <f t="shared" si="39"/>
        <v>0</v>
      </c>
      <c r="K1132" s="14"/>
      <c r="L1132" s="14">
        <v>150</v>
      </c>
      <c r="M1132" s="14">
        <v>150</v>
      </c>
      <c r="N1132" s="14">
        <v>150</v>
      </c>
      <c r="O1132" s="14">
        <v>150</v>
      </c>
      <c r="P1132" s="14">
        <v>150</v>
      </c>
      <c r="Q1132" s="14"/>
      <c r="R1132" s="14"/>
      <c r="S1132" s="14"/>
      <c r="T1132" s="14"/>
      <c r="U1132" s="14"/>
      <c r="V1132" s="14"/>
      <c r="W1132" s="15">
        <f t="shared" si="40"/>
        <v>750</v>
      </c>
      <c r="X1132" s="14"/>
      <c r="Y1132" s="14"/>
      <c r="Z1132" s="14"/>
      <c r="AA1132" s="14"/>
      <c r="AB1132" s="14"/>
      <c r="AC1132" s="14"/>
      <c r="AD1132" s="14"/>
      <c r="AE1132" s="14"/>
      <c r="AF1132" s="14"/>
      <c r="AG1132" s="14"/>
      <c r="AH1132" s="14"/>
      <c r="AI1132" s="14"/>
      <c r="AJ1132" s="15"/>
      <c r="AK1132" s="16"/>
    </row>
    <row r="1133" spans="2:37" x14ac:dyDescent="0.2">
      <c r="B1133" s="7" t="s">
        <v>73</v>
      </c>
      <c r="C1133" s="8">
        <v>11844</v>
      </c>
      <c r="D1133" s="9" t="s">
        <v>355</v>
      </c>
      <c r="E1133" s="10" t="s">
        <v>356</v>
      </c>
      <c r="F1133" s="10" t="s">
        <v>357</v>
      </c>
      <c r="G1133" s="8">
        <v>1</v>
      </c>
      <c r="H1133" s="11">
        <v>1200</v>
      </c>
      <c r="I1133" s="12">
        <v>42533</v>
      </c>
      <c r="J1133" s="13">
        <f t="shared" si="39"/>
        <v>0</v>
      </c>
      <c r="K1133" s="14"/>
      <c r="L1133" s="14"/>
      <c r="M1133" s="14"/>
      <c r="N1133" s="14">
        <v>300</v>
      </c>
      <c r="O1133" s="14">
        <v>300</v>
      </c>
      <c r="P1133" s="14">
        <v>300</v>
      </c>
      <c r="Q1133" s="14">
        <v>300</v>
      </c>
      <c r="R1133" s="14"/>
      <c r="S1133" s="14"/>
      <c r="T1133" s="14"/>
      <c r="U1133" s="14"/>
      <c r="V1133" s="14"/>
      <c r="W1133" s="15">
        <f t="shared" si="40"/>
        <v>1200</v>
      </c>
      <c r="X1133" s="14"/>
      <c r="Y1133" s="14"/>
      <c r="Z1133" s="14"/>
      <c r="AA1133" s="14"/>
      <c r="AB1133" s="14"/>
      <c r="AC1133" s="14"/>
      <c r="AD1133" s="14"/>
      <c r="AE1133" s="14"/>
      <c r="AF1133" s="14"/>
      <c r="AG1133" s="14"/>
      <c r="AH1133" s="14"/>
      <c r="AI1133" s="14"/>
      <c r="AJ1133" s="15"/>
      <c r="AK1133" s="16"/>
    </row>
    <row r="1134" spans="2:37" x14ac:dyDescent="0.2">
      <c r="B1134" s="7" t="s">
        <v>47</v>
      </c>
      <c r="C1134" s="8">
        <v>11845</v>
      </c>
      <c r="D1134" s="9" t="s">
        <v>54</v>
      </c>
      <c r="E1134" s="10" t="s">
        <v>55</v>
      </c>
      <c r="F1134" s="10" t="s">
        <v>56</v>
      </c>
      <c r="G1134" s="8">
        <v>3</v>
      </c>
      <c r="H1134" s="11">
        <v>160</v>
      </c>
      <c r="I1134" s="12">
        <v>42533</v>
      </c>
      <c r="J1134" s="13">
        <f t="shared" si="39"/>
        <v>0</v>
      </c>
      <c r="K1134" s="14"/>
      <c r="L1134" s="14"/>
      <c r="M1134" s="14"/>
      <c r="N1134" s="14"/>
      <c r="O1134" s="14"/>
      <c r="P1134" s="14"/>
      <c r="Q1134" s="14"/>
      <c r="R1134" s="14"/>
      <c r="S1134" s="14"/>
      <c r="T1134" s="14"/>
      <c r="U1134" s="14"/>
      <c r="V1134" s="14"/>
      <c r="W1134" s="15">
        <f t="shared" si="40"/>
        <v>0</v>
      </c>
      <c r="X1134" s="14"/>
      <c r="Y1134" s="14"/>
      <c r="Z1134" s="14"/>
      <c r="AA1134" s="14"/>
      <c r="AB1134" s="14"/>
      <c r="AC1134" s="14"/>
      <c r="AD1134" s="14"/>
      <c r="AE1134" s="14"/>
      <c r="AF1134" s="14"/>
      <c r="AG1134" s="14"/>
      <c r="AH1134" s="14"/>
      <c r="AI1134" s="14"/>
      <c r="AJ1134" s="15"/>
      <c r="AK1134" s="16"/>
    </row>
    <row r="1135" spans="2:37" x14ac:dyDescent="0.2">
      <c r="B1135" s="7" t="s">
        <v>47</v>
      </c>
      <c r="C1135" s="8">
        <v>11845</v>
      </c>
      <c r="D1135" s="9" t="s">
        <v>54</v>
      </c>
      <c r="E1135" s="10" t="s">
        <v>55</v>
      </c>
      <c r="F1135" s="10" t="s">
        <v>56</v>
      </c>
      <c r="G1135" s="8">
        <v>4</v>
      </c>
      <c r="H1135" s="11">
        <v>160</v>
      </c>
      <c r="I1135" s="12">
        <v>42533</v>
      </c>
      <c r="J1135" s="13">
        <f t="shared" si="39"/>
        <v>0</v>
      </c>
      <c r="K1135" s="14"/>
      <c r="L1135" s="14"/>
      <c r="M1135" s="14"/>
      <c r="N1135" s="14"/>
      <c r="O1135" s="14"/>
      <c r="P1135" s="14"/>
      <c r="Q1135" s="14"/>
      <c r="R1135" s="14"/>
      <c r="S1135" s="14"/>
      <c r="T1135" s="14"/>
      <c r="U1135" s="14"/>
      <c r="V1135" s="14"/>
      <c r="W1135" s="15">
        <f t="shared" si="40"/>
        <v>0</v>
      </c>
      <c r="X1135" s="14"/>
      <c r="Y1135" s="14"/>
      <c r="Z1135" s="14"/>
      <c r="AA1135" s="14"/>
      <c r="AB1135" s="14"/>
      <c r="AC1135" s="14"/>
      <c r="AD1135" s="14"/>
      <c r="AE1135" s="14"/>
      <c r="AF1135" s="14"/>
      <c r="AG1135" s="14"/>
      <c r="AH1135" s="14"/>
      <c r="AI1135" s="14"/>
      <c r="AJ1135" s="15"/>
      <c r="AK1135" s="7">
        <v>884</v>
      </c>
    </row>
    <row r="1136" spans="2:37" x14ac:dyDescent="0.2">
      <c r="B1136" s="7" t="s">
        <v>47</v>
      </c>
      <c r="C1136" s="8">
        <v>11846</v>
      </c>
      <c r="D1136" s="9" t="s">
        <v>132</v>
      </c>
      <c r="E1136" s="10" t="s">
        <v>133</v>
      </c>
      <c r="F1136" s="10" t="s">
        <v>134</v>
      </c>
      <c r="G1136" s="8">
        <v>1</v>
      </c>
      <c r="H1136" s="11">
        <v>300</v>
      </c>
      <c r="I1136" s="12">
        <v>42533</v>
      </c>
      <c r="J1136" s="13">
        <f t="shared" si="39"/>
        <v>0</v>
      </c>
      <c r="K1136" s="14"/>
      <c r="L1136" s="14"/>
      <c r="M1136" s="14"/>
      <c r="N1136" s="14"/>
      <c r="O1136" s="14"/>
      <c r="P1136" s="14">
        <v>300</v>
      </c>
      <c r="Q1136" s="14"/>
      <c r="R1136" s="14"/>
      <c r="S1136" s="14"/>
      <c r="T1136" s="14"/>
      <c r="U1136" s="14"/>
      <c r="V1136" s="14"/>
      <c r="W1136" s="15">
        <f t="shared" si="40"/>
        <v>300</v>
      </c>
      <c r="X1136" s="14"/>
      <c r="Y1136" s="14"/>
      <c r="Z1136" s="14"/>
      <c r="AA1136" s="14"/>
      <c r="AB1136" s="14"/>
      <c r="AC1136" s="14"/>
      <c r="AD1136" s="14"/>
      <c r="AE1136" s="14"/>
      <c r="AF1136" s="14"/>
      <c r="AG1136" s="14"/>
      <c r="AH1136" s="14"/>
      <c r="AI1136" s="14"/>
      <c r="AJ1136" s="15"/>
      <c r="AK1136" s="16"/>
    </row>
    <row r="1137" spans="2:37" x14ac:dyDescent="0.2">
      <c r="B1137" s="7" t="s">
        <v>69</v>
      </c>
      <c r="C1137" s="8">
        <v>11847</v>
      </c>
      <c r="D1137" s="9" t="s">
        <v>915</v>
      </c>
      <c r="E1137" s="10" t="s">
        <v>916</v>
      </c>
      <c r="F1137" s="10" t="s">
        <v>917</v>
      </c>
      <c r="G1137" s="8">
        <v>1</v>
      </c>
      <c r="H1137" s="11">
        <v>200</v>
      </c>
      <c r="I1137" s="12">
        <v>42533</v>
      </c>
      <c r="J1137" s="13">
        <f t="shared" si="39"/>
        <v>0</v>
      </c>
      <c r="K1137" s="14"/>
      <c r="L1137" s="14"/>
      <c r="M1137" s="14"/>
      <c r="N1137" s="14"/>
      <c r="O1137" s="14"/>
      <c r="P1137" s="14">
        <v>200</v>
      </c>
      <c r="Q1137" s="14"/>
      <c r="R1137" s="14"/>
      <c r="S1137" s="14"/>
      <c r="T1137" s="14"/>
      <c r="U1137" s="14"/>
      <c r="V1137" s="14"/>
      <c r="W1137" s="15">
        <f t="shared" si="40"/>
        <v>200</v>
      </c>
      <c r="X1137" s="14"/>
      <c r="Y1137" s="14"/>
      <c r="Z1137" s="14"/>
      <c r="AA1137" s="14"/>
      <c r="AB1137" s="14"/>
      <c r="AC1137" s="14"/>
      <c r="AD1137" s="14"/>
      <c r="AE1137" s="14"/>
      <c r="AF1137" s="14"/>
      <c r="AG1137" s="14"/>
      <c r="AH1137" s="14"/>
      <c r="AI1137" s="14"/>
      <c r="AJ1137" s="15"/>
      <c r="AK1137" s="16"/>
    </row>
    <row r="1138" spans="2:37" x14ac:dyDescent="0.2">
      <c r="B1138" s="7" t="s">
        <v>69</v>
      </c>
      <c r="C1138" s="8">
        <v>11848</v>
      </c>
      <c r="D1138" s="9" t="s">
        <v>634</v>
      </c>
      <c r="E1138" s="10" t="s">
        <v>635</v>
      </c>
      <c r="F1138" s="10" t="s">
        <v>636</v>
      </c>
      <c r="G1138" s="8">
        <v>1</v>
      </c>
      <c r="H1138" s="11">
        <v>300</v>
      </c>
      <c r="I1138" s="12">
        <v>42533</v>
      </c>
      <c r="J1138" s="13">
        <f t="shared" si="39"/>
        <v>0</v>
      </c>
      <c r="K1138" s="14"/>
      <c r="L1138" s="14"/>
      <c r="M1138" s="14"/>
      <c r="N1138" s="14"/>
      <c r="O1138" s="14"/>
      <c r="P1138" s="14">
        <v>300</v>
      </c>
      <c r="Q1138" s="14"/>
      <c r="R1138" s="14"/>
      <c r="S1138" s="14"/>
      <c r="T1138" s="14"/>
      <c r="U1138" s="14"/>
      <c r="V1138" s="14"/>
      <c r="W1138" s="15">
        <f t="shared" si="40"/>
        <v>300</v>
      </c>
      <c r="X1138" s="14"/>
      <c r="Y1138" s="14"/>
      <c r="Z1138" s="14"/>
      <c r="AA1138" s="14"/>
      <c r="AB1138" s="14"/>
      <c r="AC1138" s="14"/>
      <c r="AD1138" s="14"/>
      <c r="AE1138" s="14"/>
      <c r="AF1138" s="14"/>
      <c r="AG1138" s="14"/>
      <c r="AH1138" s="14"/>
      <c r="AI1138" s="14"/>
      <c r="AJ1138" s="15"/>
      <c r="AK1138" s="16"/>
    </row>
    <row r="1139" spans="2:37" x14ac:dyDescent="0.2">
      <c r="B1139" s="7" t="s">
        <v>73</v>
      </c>
      <c r="C1139" s="8">
        <v>11849</v>
      </c>
      <c r="D1139" s="9" t="s">
        <v>926</v>
      </c>
      <c r="E1139" s="10" t="s">
        <v>927</v>
      </c>
      <c r="F1139" s="10" t="s">
        <v>928</v>
      </c>
      <c r="G1139" s="8">
        <v>4</v>
      </c>
      <c r="H1139" s="11">
        <v>160</v>
      </c>
      <c r="I1139" s="12">
        <v>42533</v>
      </c>
      <c r="J1139" s="13">
        <f t="shared" si="39"/>
        <v>0</v>
      </c>
      <c r="K1139" s="14"/>
      <c r="L1139" s="14"/>
      <c r="M1139" s="14"/>
      <c r="N1139" s="14"/>
      <c r="O1139" s="14"/>
      <c r="P1139" s="14"/>
      <c r="Q1139" s="14"/>
      <c r="R1139" s="14"/>
      <c r="S1139" s="14"/>
      <c r="T1139" s="14"/>
      <c r="U1139" s="14"/>
      <c r="V1139" s="14"/>
      <c r="W1139" s="15">
        <f t="shared" si="40"/>
        <v>0</v>
      </c>
      <c r="X1139" s="14"/>
      <c r="Y1139" s="14"/>
      <c r="Z1139" s="14"/>
      <c r="AA1139" s="14"/>
      <c r="AB1139" s="14"/>
      <c r="AC1139" s="14"/>
      <c r="AD1139" s="14"/>
      <c r="AE1139" s="14"/>
      <c r="AF1139" s="14"/>
      <c r="AG1139" s="14"/>
      <c r="AH1139" s="14"/>
      <c r="AI1139" s="14"/>
      <c r="AJ1139" s="15"/>
      <c r="AK1139" s="7">
        <v>900</v>
      </c>
    </row>
    <row r="1140" spans="2:37" x14ac:dyDescent="0.2">
      <c r="B1140" s="7" t="s">
        <v>47</v>
      </c>
      <c r="C1140" s="8">
        <v>11850</v>
      </c>
      <c r="D1140" s="9" t="s">
        <v>705</v>
      </c>
      <c r="E1140" s="10" t="s">
        <v>706</v>
      </c>
      <c r="F1140" s="10" t="s">
        <v>707</v>
      </c>
      <c r="G1140" s="8">
        <v>1</v>
      </c>
      <c r="H1140" s="11">
        <v>600</v>
      </c>
      <c r="I1140" s="12">
        <v>42533</v>
      </c>
      <c r="J1140" s="13">
        <f t="shared" si="39"/>
        <v>0</v>
      </c>
      <c r="K1140" s="14"/>
      <c r="L1140" s="14"/>
      <c r="M1140" s="14"/>
      <c r="N1140" s="14"/>
      <c r="O1140" s="14">
        <v>300</v>
      </c>
      <c r="P1140" s="14">
        <v>300</v>
      </c>
      <c r="Q1140" s="14"/>
      <c r="R1140" s="14"/>
      <c r="S1140" s="14"/>
      <c r="T1140" s="14"/>
      <c r="U1140" s="14"/>
      <c r="V1140" s="14"/>
      <c r="W1140" s="15">
        <f t="shared" si="40"/>
        <v>600</v>
      </c>
      <c r="X1140" s="14"/>
      <c r="Y1140" s="14"/>
      <c r="Z1140" s="14"/>
      <c r="AA1140" s="14"/>
      <c r="AB1140" s="14"/>
      <c r="AC1140" s="14"/>
      <c r="AD1140" s="14"/>
      <c r="AE1140" s="14"/>
      <c r="AF1140" s="14"/>
      <c r="AG1140" s="14"/>
      <c r="AH1140" s="14"/>
      <c r="AI1140" s="14"/>
      <c r="AJ1140" s="15"/>
      <c r="AK1140" s="16"/>
    </row>
    <row r="1141" spans="2:37" x14ac:dyDescent="0.2">
      <c r="B1141" s="7" t="s">
        <v>47</v>
      </c>
      <c r="C1141" s="8">
        <v>11851</v>
      </c>
      <c r="D1141" s="9" t="s">
        <v>614</v>
      </c>
      <c r="E1141" s="10" t="s">
        <v>615</v>
      </c>
      <c r="F1141" s="10" t="s">
        <v>616</v>
      </c>
      <c r="G1141" s="8">
        <v>4</v>
      </c>
      <c r="H1141" s="11">
        <v>160</v>
      </c>
      <c r="I1141" s="12">
        <v>42533</v>
      </c>
      <c r="J1141" s="13">
        <f t="shared" si="39"/>
        <v>0</v>
      </c>
      <c r="K1141" s="14"/>
      <c r="L1141" s="14"/>
      <c r="M1141" s="14"/>
      <c r="N1141" s="14"/>
      <c r="O1141" s="14"/>
      <c r="P1141" s="14"/>
      <c r="Q1141" s="14"/>
      <c r="R1141" s="14"/>
      <c r="S1141" s="14"/>
      <c r="T1141" s="14"/>
      <c r="U1141" s="14"/>
      <c r="V1141" s="14"/>
      <c r="W1141" s="15">
        <f t="shared" si="40"/>
        <v>0</v>
      </c>
      <c r="X1141" s="14"/>
      <c r="Y1141" s="14"/>
      <c r="Z1141" s="14"/>
      <c r="AA1141" s="14"/>
      <c r="AB1141" s="14"/>
      <c r="AC1141" s="14"/>
      <c r="AD1141" s="14"/>
      <c r="AE1141" s="14"/>
      <c r="AF1141" s="14"/>
      <c r="AG1141" s="14"/>
      <c r="AH1141" s="14"/>
      <c r="AI1141" s="14"/>
      <c r="AJ1141" s="15"/>
      <c r="AK1141" s="7">
        <v>901</v>
      </c>
    </row>
    <row r="1142" spans="2:37" x14ac:dyDescent="0.2">
      <c r="B1142" s="7" t="s">
        <v>69</v>
      </c>
      <c r="C1142" s="8">
        <v>11852</v>
      </c>
      <c r="D1142" s="9" t="s">
        <v>343</v>
      </c>
      <c r="E1142" s="10" t="s">
        <v>344</v>
      </c>
      <c r="F1142" s="10" t="s">
        <v>345</v>
      </c>
      <c r="G1142" s="8">
        <v>1</v>
      </c>
      <c r="H1142" s="11">
        <v>400</v>
      </c>
      <c r="I1142" s="12">
        <v>42533</v>
      </c>
      <c r="J1142" s="13">
        <f t="shared" si="39"/>
        <v>0</v>
      </c>
      <c r="K1142" s="14"/>
      <c r="L1142" s="14"/>
      <c r="M1142" s="14"/>
      <c r="N1142" s="14"/>
      <c r="O1142" s="14"/>
      <c r="P1142" s="14">
        <v>400</v>
      </c>
      <c r="Q1142" s="14"/>
      <c r="R1142" s="14"/>
      <c r="S1142" s="14"/>
      <c r="T1142" s="14"/>
      <c r="U1142" s="14"/>
      <c r="V1142" s="14"/>
      <c r="W1142" s="15">
        <f t="shared" si="40"/>
        <v>400</v>
      </c>
      <c r="X1142" s="14"/>
      <c r="Y1142" s="14"/>
      <c r="Z1142" s="14"/>
      <c r="AA1142" s="14"/>
      <c r="AB1142" s="14"/>
      <c r="AC1142" s="14"/>
      <c r="AD1142" s="14"/>
      <c r="AE1142" s="14"/>
      <c r="AF1142" s="14"/>
      <c r="AG1142" s="14"/>
      <c r="AH1142" s="14"/>
      <c r="AI1142" s="14"/>
      <c r="AJ1142" s="15"/>
      <c r="AK1142" s="16"/>
    </row>
    <row r="1143" spans="2:37" x14ac:dyDescent="0.2">
      <c r="B1143" s="7" t="s">
        <v>73</v>
      </c>
      <c r="C1143" s="8">
        <v>11868</v>
      </c>
      <c r="D1143" s="9" t="s">
        <v>559</v>
      </c>
      <c r="E1143" s="10" t="s">
        <v>560</v>
      </c>
      <c r="F1143" s="10" t="s">
        <v>561</v>
      </c>
      <c r="G1143" s="8">
        <v>5</v>
      </c>
      <c r="H1143" s="11">
        <v>100</v>
      </c>
      <c r="I1143" s="12">
        <v>42533</v>
      </c>
      <c r="J1143" s="13">
        <f t="shared" si="39"/>
        <v>0</v>
      </c>
      <c r="K1143" s="14"/>
      <c r="L1143" s="14"/>
      <c r="M1143" s="14"/>
      <c r="N1143" s="14"/>
      <c r="O1143" s="14"/>
      <c r="P1143" s="14"/>
      <c r="Q1143" s="14"/>
      <c r="R1143" s="14"/>
      <c r="S1143" s="14"/>
      <c r="T1143" s="14"/>
      <c r="U1143" s="14"/>
      <c r="V1143" s="14"/>
      <c r="W1143" s="15">
        <f t="shared" si="40"/>
        <v>0</v>
      </c>
      <c r="X1143" s="14"/>
      <c r="Y1143" s="14"/>
      <c r="Z1143" s="14"/>
      <c r="AA1143" s="14"/>
      <c r="AB1143" s="14"/>
      <c r="AC1143" s="14"/>
      <c r="AD1143" s="14"/>
      <c r="AE1143" s="14"/>
      <c r="AF1143" s="14"/>
      <c r="AG1143" s="14"/>
      <c r="AH1143" s="14"/>
      <c r="AI1143" s="14"/>
      <c r="AJ1143" s="15"/>
      <c r="AK1143" s="16" t="s">
        <v>995</v>
      </c>
    </row>
    <row r="1144" spans="2:37" x14ac:dyDescent="0.2">
      <c r="B1144" s="7" t="s">
        <v>37</v>
      </c>
      <c r="C1144" s="8">
        <v>11869</v>
      </c>
      <c r="D1144" s="9" t="s">
        <v>669</v>
      </c>
      <c r="E1144" s="10" t="s">
        <v>670</v>
      </c>
      <c r="F1144" s="10" t="s">
        <v>671</v>
      </c>
      <c r="G1144" s="8">
        <v>5</v>
      </c>
      <c r="H1144" s="11">
        <v>100</v>
      </c>
      <c r="I1144" s="12">
        <v>42533</v>
      </c>
      <c r="J1144" s="13">
        <f t="shared" si="39"/>
        <v>0</v>
      </c>
      <c r="K1144" s="14"/>
      <c r="L1144" s="14"/>
      <c r="M1144" s="14"/>
      <c r="N1144" s="14"/>
      <c r="O1144" s="14"/>
      <c r="P1144" s="14"/>
      <c r="Q1144" s="14"/>
      <c r="R1144" s="14"/>
      <c r="S1144" s="14"/>
      <c r="T1144" s="14"/>
      <c r="U1144" s="14"/>
      <c r="V1144" s="14"/>
      <c r="W1144" s="15">
        <f t="shared" si="40"/>
        <v>0</v>
      </c>
      <c r="X1144" s="14"/>
      <c r="Y1144" s="14"/>
      <c r="Z1144" s="14"/>
      <c r="AA1144" s="14"/>
      <c r="AB1144" s="14"/>
      <c r="AC1144" s="14"/>
      <c r="AD1144" s="14"/>
      <c r="AE1144" s="14"/>
      <c r="AF1144" s="14"/>
      <c r="AG1144" s="14"/>
      <c r="AH1144" s="14"/>
      <c r="AI1144" s="14"/>
      <c r="AJ1144" s="15"/>
      <c r="AK1144" s="16"/>
    </row>
    <row r="1145" spans="2:37" x14ac:dyDescent="0.2">
      <c r="B1145" s="7" t="s">
        <v>61</v>
      </c>
      <c r="C1145" s="8">
        <v>11870</v>
      </c>
      <c r="D1145" s="9" t="s">
        <v>663</v>
      </c>
      <c r="E1145" s="10" t="s">
        <v>664</v>
      </c>
      <c r="F1145" s="10" t="s">
        <v>665</v>
      </c>
      <c r="G1145" s="8">
        <v>5</v>
      </c>
      <c r="H1145" s="11">
        <v>100</v>
      </c>
      <c r="I1145" s="12">
        <v>42533</v>
      </c>
      <c r="J1145" s="13">
        <f t="shared" si="39"/>
        <v>0</v>
      </c>
      <c r="K1145" s="14"/>
      <c r="L1145" s="14"/>
      <c r="M1145" s="14"/>
      <c r="N1145" s="14"/>
      <c r="O1145" s="14"/>
      <c r="P1145" s="14"/>
      <c r="Q1145" s="14"/>
      <c r="R1145" s="14"/>
      <c r="S1145" s="14"/>
      <c r="T1145" s="14"/>
      <c r="U1145" s="14"/>
      <c r="V1145" s="14"/>
      <c r="W1145" s="15">
        <f t="shared" si="40"/>
        <v>0</v>
      </c>
      <c r="X1145" s="14"/>
      <c r="Y1145" s="14"/>
      <c r="Z1145" s="14"/>
      <c r="AA1145" s="14"/>
      <c r="AB1145" s="14"/>
      <c r="AC1145" s="14"/>
      <c r="AD1145" s="14"/>
      <c r="AE1145" s="14"/>
      <c r="AF1145" s="14"/>
      <c r="AG1145" s="14"/>
      <c r="AH1145" s="14"/>
      <c r="AI1145" s="14"/>
      <c r="AJ1145" s="15"/>
      <c r="AK1145" s="16"/>
    </row>
    <row r="1146" spans="2:37" x14ac:dyDescent="0.2">
      <c r="B1146" s="7" t="s">
        <v>37</v>
      </c>
      <c r="C1146" s="8">
        <v>11871</v>
      </c>
      <c r="D1146" s="9" t="s">
        <v>553</v>
      </c>
      <c r="E1146" s="10" t="s">
        <v>554</v>
      </c>
      <c r="F1146" s="10" t="s">
        <v>555</v>
      </c>
      <c r="G1146" s="8">
        <v>1</v>
      </c>
      <c r="H1146" s="11">
        <v>400</v>
      </c>
      <c r="I1146" s="12">
        <v>42533</v>
      </c>
      <c r="J1146" s="13">
        <f t="shared" si="39"/>
        <v>0</v>
      </c>
      <c r="K1146" s="14"/>
      <c r="L1146" s="14"/>
      <c r="M1146" s="14"/>
      <c r="N1146" s="14"/>
      <c r="O1146" s="14"/>
      <c r="P1146" s="14">
        <v>400</v>
      </c>
      <c r="Q1146" s="14"/>
      <c r="R1146" s="14"/>
      <c r="S1146" s="14"/>
      <c r="T1146" s="14"/>
      <c r="U1146" s="14"/>
      <c r="V1146" s="14"/>
      <c r="W1146" s="15">
        <f t="shared" si="40"/>
        <v>400</v>
      </c>
      <c r="X1146" s="14"/>
      <c r="Y1146" s="14"/>
      <c r="Z1146" s="14"/>
      <c r="AA1146" s="14"/>
      <c r="AB1146" s="14"/>
      <c r="AC1146" s="14"/>
      <c r="AD1146" s="14"/>
      <c r="AE1146" s="14"/>
      <c r="AF1146" s="14"/>
      <c r="AG1146" s="14"/>
      <c r="AH1146" s="14"/>
      <c r="AI1146" s="14"/>
      <c r="AJ1146" s="15"/>
      <c r="AK1146" s="16"/>
    </row>
    <row r="1147" spans="2:37" x14ac:dyDescent="0.2">
      <c r="B1147" s="7" t="s">
        <v>37</v>
      </c>
      <c r="C1147" s="8">
        <v>11872</v>
      </c>
      <c r="D1147" s="9" t="s">
        <v>553</v>
      </c>
      <c r="E1147" s="10" t="s">
        <v>554</v>
      </c>
      <c r="F1147" s="10" t="s">
        <v>555</v>
      </c>
      <c r="G1147" s="8">
        <v>5</v>
      </c>
      <c r="H1147" s="11">
        <v>150</v>
      </c>
      <c r="I1147" s="12">
        <v>42533</v>
      </c>
      <c r="J1147" s="13">
        <f t="shared" si="39"/>
        <v>0</v>
      </c>
      <c r="K1147" s="14"/>
      <c r="L1147" s="14"/>
      <c r="M1147" s="14"/>
      <c r="N1147" s="14"/>
      <c r="O1147" s="14"/>
      <c r="P1147" s="14"/>
      <c r="Q1147" s="14"/>
      <c r="R1147" s="14"/>
      <c r="S1147" s="14"/>
      <c r="T1147" s="14"/>
      <c r="U1147" s="14"/>
      <c r="V1147" s="14"/>
      <c r="W1147" s="15">
        <f t="shared" si="40"/>
        <v>0</v>
      </c>
      <c r="X1147" s="14"/>
      <c r="Y1147" s="14"/>
      <c r="Z1147" s="14"/>
      <c r="AA1147" s="14"/>
      <c r="AB1147" s="14"/>
      <c r="AC1147" s="14"/>
      <c r="AD1147" s="14"/>
      <c r="AE1147" s="14"/>
      <c r="AF1147" s="14"/>
      <c r="AG1147" s="14"/>
      <c r="AH1147" s="14"/>
      <c r="AI1147" s="14"/>
      <c r="AJ1147" s="15"/>
      <c r="AK1147" s="16"/>
    </row>
    <row r="1148" spans="2:37" x14ac:dyDescent="0.2">
      <c r="B1148" s="7" t="s">
        <v>37</v>
      </c>
      <c r="C1148" s="8">
        <v>11873</v>
      </c>
      <c r="D1148" s="9" t="s">
        <v>247</v>
      </c>
      <c r="E1148" s="10" t="s">
        <v>248</v>
      </c>
      <c r="F1148" s="10" t="s">
        <v>249</v>
      </c>
      <c r="G1148" s="8">
        <v>5</v>
      </c>
      <c r="H1148" s="11">
        <v>100</v>
      </c>
      <c r="I1148" s="12">
        <v>42533</v>
      </c>
      <c r="J1148" s="13">
        <f t="shared" ref="J1148:J1211" si="41">IF(G1148=1,SUM(W1148,-H1148),0)</f>
        <v>0</v>
      </c>
      <c r="K1148" s="14"/>
      <c r="L1148" s="14"/>
      <c r="M1148" s="14"/>
      <c r="N1148" s="14"/>
      <c r="O1148" s="14"/>
      <c r="P1148" s="14"/>
      <c r="Q1148" s="14"/>
      <c r="R1148" s="14"/>
      <c r="S1148" s="14"/>
      <c r="T1148" s="14"/>
      <c r="U1148" s="14"/>
      <c r="V1148" s="14"/>
      <c r="W1148" s="15">
        <f t="shared" ref="W1148:W1211" si="42">SUM(K1148:V1148)</f>
        <v>0</v>
      </c>
      <c r="X1148" s="14"/>
      <c r="Y1148" s="14"/>
      <c r="Z1148" s="14"/>
      <c r="AA1148" s="14"/>
      <c r="AB1148" s="14"/>
      <c r="AC1148" s="14"/>
      <c r="AD1148" s="14"/>
      <c r="AE1148" s="14"/>
      <c r="AF1148" s="14"/>
      <c r="AG1148" s="14"/>
      <c r="AH1148" s="14"/>
      <c r="AI1148" s="14"/>
      <c r="AJ1148" s="15"/>
      <c r="AK1148" s="16"/>
    </row>
    <row r="1149" spans="2:37" x14ac:dyDescent="0.2">
      <c r="B1149" s="7" t="s">
        <v>47</v>
      </c>
      <c r="C1149" s="8">
        <v>11874</v>
      </c>
      <c r="D1149" s="9" t="s">
        <v>84</v>
      </c>
      <c r="E1149" s="10" t="s">
        <v>85</v>
      </c>
      <c r="F1149" s="10" t="s">
        <v>86</v>
      </c>
      <c r="G1149" s="8">
        <v>5</v>
      </c>
      <c r="H1149" s="11">
        <v>200</v>
      </c>
      <c r="I1149" s="12">
        <v>42533</v>
      </c>
      <c r="J1149" s="13">
        <f t="shared" si="41"/>
        <v>0</v>
      </c>
      <c r="K1149" s="14"/>
      <c r="L1149" s="14"/>
      <c r="M1149" s="14"/>
      <c r="N1149" s="14"/>
      <c r="O1149" s="14"/>
      <c r="P1149" s="14"/>
      <c r="Q1149" s="14"/>
      <c r="R1149" s="14"/>
      <c r="S1149" s="14"/>
      <c r="T1149" s="14"/>
      <c r="U1149" s="14"/>
      <c r="V1149" s="14"/>
      <c r="W1149" s="15">
        <f t="shared" si="42"/>
        <v>0</v>
      </c>
      <c r="X1149" s="14"/>
      <c r="Y1149" s="14"/>
      <c r="Z1149" s="14"/>
      <c r="AA1149" s="14"/>
      <c r="AB1149" s="14"/>
      <c r="AC1149" s="14"/>
      <c r="AD1149" s="14"/>
      <c r="AE1149" s="14"/>
      <c r="AF1149" s="14"/>
      <c r="AG1149" s="14"/>
      <c r="AH1149" s="14"/>
      <c r="AI1149" s="14"/>
      <c r="AJ1149" s="15"/>
      <c r="AK1149" s="16"/>
    </row>
    <row r="1150" spans="2:37" x14ac:dyDescent="0.2">
      <c r="B1150" s="7" t="s">
        <v>69</v>
      </c>
      <c r="C1150" s="8">
        <v>11875</v>
      </c>
      <c r="D1150" s="9" t="s">
        <v>100</v>
      </c>
      <c r="E1150" s="10" t="s">
        <v>101</v>
      </c>
      <c r="F1150" s="10" t="s">
        <v>102</v>
      </c>
      <c r="G1150" s="8">
        <v>5</v>
      </c>
      <c r="H1150" s="11">
        <v>100</v>
      </c>
      <c r="I1150" s="12">
        <v>42533</v>
      </c>
      <c r="J1150" s="13">
        <f t="shared" si="41"/>
        <v>0</v>
      </c>
      <c r="K1150" s="14"/>
      <c r="L1150" s="14"/>
      <c r="M1150" s="14"/>
      <c r="N1150" s="14"/>
      <c r="O1150" s="14"/>
      <c r="P1150" s="14"/>
      <c r="Q1150" s="14"/>
      <c r="R1150" s="14"/>
      <c r="S1150" s="14"/>
      <c r="T1150" s="14"/>
      <c r="U1150" s="14"/>
      <c r="V1150" s="14"/>
      <c r="W1150" s="15">
        <f t="shared" si="42"/>
        <v>0</v>
      </c>
      <c r="X1150" s="14"/>
      <c r="Y1150" s="14"/>
      <c r="Z1150" s="14"/>
      <c r="AA1150" s="14"/>
      <c r="AB1150" s="14"/>
      <c r="AC1150" s="14"/>
      <c r="AD1150" s="14"/>
      <c r="AE1150" s="14"/>
      <c r="AF1150" s="14"/>
      <c r="AG1150" s="14"/>
      <c r="AH1150" s="14"/>
      <c r="AI1150" s="14"/>
      <c r="AJ1150" s="15"/>
      <c r="AK1150" s="16"/>
    </row>
    <row r="1151" spans="2:37" x14ac:dyDescent="0.2">
      <c r="B1151" s="7" t="s">
        <v>69</v>
      </c>
      <c r="C1151" s="8">
        <v>11876</v>
      </c>
      <c r="D1151" s="9" t="s">
        <v>625</v>
      </c>
      <c r="E1151" s="10" t="s">
        <v>626</v>
      </c>
      <c r="F1151" s="10" t="s">
        <v>627</v>
      </c>
      <c r="G1151" s="8">
        <v>5</v>
      </c>
      <c r="H1151" s="11">
        <v>200</v>
      </c>
      <c r="I1151" s="12">
        <v>42533</v>
      </c>
      <c r="J1151" s="13">
        <f t="shared" si="41"/>
        <v>0</v>
      </c>
      <c r="K1151" s="14"/>
      <c r="L1151" s="14"/>
      <c r="M1151" s="14"/>
      <c r="N1151" s="14"/>
      <c r="O1151" s="14"/>
      <c r="P1151" s="14"/>
      <c r="Q1151" s="14"/>
      <c r="R1151" s="14"/>
      <c r="S1151" s="14"/>
      <c r="T1151" s="14"/>
      <c r="U1151" s="14"/>
      <c r="V1151" s="14"/>
      <c r="W1151" s="15">
        <f t="shared" si="42"/>
        <v>0</v>
      </c>
      <c r="X1151" s="14"/>
      <c r="Y1151" s="14"/>
      <c r="Z1151" s="14"/>
      <c r="AA1151" s="14"/>
      <c r="AB1151" s="14"/>
      <c r="AC1151" s="14"/>
      <c r="AD1151" s="14"/>
      <c r="AE1151" s="14"/>
      <c r="AF1151" s="14"/>
      <c r="AG1151" s="14"/>
      <c r="AH1151" s="14"/>
      <c r="AI1151" s="14"/>
      <c r="AJ1151" s="15"/>
      <c r="AK1151" s="16"/>
    </row>
    <row r="1152" spans="2:37" x14ac:dyDescent="0.2">
      <c r="B1152" s="7" t="s">
        <v>73</v>
      </c>
      <c r="C1152" s="8">
        <v>11877</v>
      </c>
      <c r="D1152" s="9" t="s">
        <v>837</v>
      </c>
      <c r="E1152" s="10" t="s">
        <v>838</v>
      </c>
      <c r="F1152" s="10" t="s">
        <v>839</v>
      </c>
      <c r="G1152" s="8">
        <v>5</v>
      </c>
      <c r="H1152" s="11">
        <v>250</v>
      </c>
      <c r="I1152" s="12">
        <v>42533</v>
      </c>
      <c r="J1152" s="13">
        <f t="shared" si="41"/>
        <v>0</v>
      </c>
      <c r="K1152" s="14"/>
      <c r="L1152" s="14"/>
      <c r="M1152" s="14"/>
      <c r="N1152" s="14"/>
      <c r="O1152" s="14"/>
      <c r="P1152" s="14"/>
      <c r="Q1152" s="14"/>
      <c r="R1152" s="14"/>
      <c r="S1152" s="14"/>
      <c r="T1152" s="14"/>
      <c r="U1152" s="14"/>
      <c r="V1152" s="14"/>
      <c r="W1152" s="15">
        <f t="shared" si="42"/>
        <v>0</v>
      </c>
      <c r="X1152" s="14"/>
      <c r="Y1152" s="14"/>
      <c r="Z1152" s="14"/>
      <c r="AA1152" s="14"/>
      <c r="AB1152" s="14"/>
      <c r="AC1152" s="14"/>
      <c r="AD1152" s="14"/>
      <c r="AE1152" s="14"/>
      <c r="AF1152" s="14"/>
      <c r="AG1152" s="14"/>
      <c r="AH1152" s="14"/>
      <c r="AI1152" s="14"/>
      <c r="AJ1152" s="15"/>
      <c r="AK1152" s="16"/>
    </row>
    <row r="1153" spans="2:37" x14ac:dyDescent="0.2">
      <c r="B1153" s="7" t="s">
        <v>69</v>
      </c>
      <c r="C1153" s="8">
        <v>11878</v>
      </c>
      <c r="D1153" s="9" t="s">
        <v>996</v>
      </c>
      <c r="E1153" s="10" t="s">
        <v>997</v>
      </c>
      <c r="F1153" s="10" t="s">
        <v>998</v>
      </c>
      <c r="G1153" s="8">
        <v>5</v>
      </c>
      <c r="H1153" s="11">
        <v>150</v>
      </c>
      <c r="I1153" s="12">
        <v>42533</v>
      </c>
      <c r="J1153" s="13">
        <f t="shared" si="41"/>
        <v>0</v>
      </c>
      <c r="K1153" s="14"/>
      <c r="L1153" s="14"/>
      <c r="M1153" s="14"/>
      <c r="N1153" s="14"/>
      <c r="O1153" s="14"/>
      <c r="P1153" s="14"/>
      <c r="Q1153" s="14"/>
      <c r="R1153" s="14"/>
      <c r="S1153" s="14"/>
      <c r="T1153" s="14"/>
      <c r="U1153" s="14"/>
      <c r="V1153" s="14"/>
      <c r="W1153" s="15">
        <f t="shared" si="42"/>
        <v>0</v>
      </c>
      <c r="X1153" s="14"/>
      <c r="Y1153" s="14"/>
      <c r="Z1153" s="14"/>
      <c r="AA1153" s="14"/>
      <c r="AB1153" s="14"/>
      <c r="AC1153" s="14"/>
      <c r="AD1153" s="14"/>
      <c r="AE1153" s="14"/>
      <c r="AF1153" s="14"/>
      <c r="AG1153" s="14"/>
      <c r="AH1153" s="14"/>
      <c r="AI1153" s="14"/>
      <c r="AJ1153" s="15"/>
      <c r="AK1153" s="16"/>
    </row>
    <row r="1154" spans="2:37" x14ac:dyDescent="0.2">
      <c r="B1154" s="7" t="s">
        <v>69</v>
      </c>
      <c r="C1154" s="8">
        <v>11879</v>
      </c>
      <c r="D1154" s="9" t="s">
        <v>211</v>
      </c>
      <c r="E1154" s="10" t="s">
        <v>212</v>
      </c>
      <c r="F1154" s="10" t="s">
        <v>213</v>
      </c>
      <c r="G1154" s="8">
        <v>5</v>
      </c>
      <c r="H1154" s="11">
        <v>150</v>
      </c>
      <c r="I1154" s="12">
        <v>42533</v>
      </c>
      <c r="J1154" s="13">
        <f t="shared" si="41"/>
        <v>0</v>
      </c>
      <c r="K1154" s="14"/>
      <c r="L1154" s="14"/>
      <c r="M1154" s="14"/>
      <c r="N1154" s="14"/>
      <c r="O1154" s="14"/>
      <c r="P1154" s="14"/>
      <c r="Q1154" s="14"/>
      <c r="R1154" s="14"/>
      <c r="S1154" s="14"/>
      <c r="T1154" s="14"/>
      <c r="U1154" s="14"/>
      <c r="V1154" s="14"/>
      <c r="W1154" s="15">
        <f t="shared" si="42"/>
        <v>0</v>
      </c>
      <c r="X1154" s="14"/>
      <c r="Y1154" s="14"/>
      <c r="Z1154" s="14"/>
      <c r="AA1154" s="14"/>
      <c r="AB1154" s="14"/>
      <c r="AC1154" s="14"/>
      <c r="AD1154" s="14"/>
      <c r="AE1154" s="14"/>
      <c r="AF1154" s="14"/>
      <c r="AG1154" s="14"/>
      <c r="AH1154" s="14"/>
      <c r="AI1154" s="14"/>
      <c r="AJ1154" s="15"/>
      <c r="AK1154" s="16"/>
    </row>
    <row r="1155" spans="2:37" x14ac:dyDescent="0.2">
      <c r="B1155" s="7" t="s">
        <v>47</v>
      </c>
      <c r="C1155" s="8">
        <v>11880</v>
      </c>
      <c r="D1155" s="9" t="s">
        <v>349</v>
      </c>
      <c r="E1155" s="10" t="s">
        <v>350</v>
      </c>
      <c r="F1155" s="10" t="s">
        <v>351</v>
      </c>
      <c r="G1155" s="8">
        <v>5</v>
      </c>
      <c r="H1155" s="11">
        <v>200</v>
      </c>
      <c r="I1155" s="12">
        <v>42533</v>
      </c>
      <c r="J1155" s="13">
        <f t="shared" si="41"/>
        <v>0</v>
      </c>
      <c r="K1155" s="14"/>
      <c r="L1155" s="14"/>
      <c r="M1155" s="14"/>
      <c r="N1155" s="14"/>
      <c r="O1155" s="14"/>
      <c r="P1155" s="14"/>
      <c r="Q1155" s="14"/>
      <c r="R1155" s="14"/>
      <c r="S1155" s="14"/>
      <c r="T1155" s="14"/>
      <c r="U1155" s="14"/>
      <c r="V1155" s="14"/>
      <c r="W1155" s="15">
        <f t="shared" si="42"/>
        <v>0</v>
      </c>
      <c r="X1155" s="14"/>
      <c r="Y1155" s="14"/>
      <c r="Z1155" s="14"/>
      <c r="AA1155" s="14"/>
      <c r="AB1155" s="14"/>
      <c r="AC1155" s="14"/>
      <c r="AD1155" s="14"/>
      <c r="AE1155" s="14"/>
      <c r="AF1155" s="14"/>
      <c r="AG1155" s="14"/>
      <c r="AH1155" s="14"/>
      <c r="AI1155" s="14"/>
      <c r="AJ1155" s="15"/>
      <c r="AK1155" s="16"/>
    </row>
    <row r="1156" spans="2:37" x14ac:dyDescent="0.2">
      <c r="B1156" s="7" t="s">
        <v>77</v>
      </c>
      <c r="C1156" s="8">
        <v>11881</v>
      </c>
      <c r="D1156" s="9" t="s">
        <v>156</v>
      </c>
      <c r="E1156" s="10" t="s">
        <v>157</v>
      </c>
      <c r="F1156" s="10" t="s">
        <v>158</v>
      </c>
      <c r="G1156" s="8">
        <v>5</v>
      </c>
      <c r="H1156" s="11">
        <v>150</v>
      </c>
      <c r="I1156" s="12">
        <v>42533</v>
      </c>
      <c r="J1156" s="13">
        <f t="shared" si="41"/>
        <v>0</v>
      </c>
      <c r="K1156" s="14"/>
      <c r="L1156" s="14"/>
      <c r="M1156" s="14"/>
      <c r="N1156" s="14"/>
      <c r="O1156" s="14"/>
      <c r="P1156" s="14"/>
      <c r="Q1156" s="14"/>
      <c r="R1156" s="14"/>
      <c r="S1156" s="14"/>
      <c r="T1156" s="14"/>
      <c r="U1156" s="14"/>
      <c r="V1156" s="14"/>
      <c r="W1156" s="15">
        <f t="shared" si="42"/>
        <v>0</v>
      </c>
      <c r="X1156" s="14"/>
      <c r="Y1156" s="14"/>
      <c r="Z1156" s="14"/>
      <c r="AA1156" s="14"/>
      <c r="AB1156" s="14"/>
      <c r="AC1156" s="14"/>
      <c r="AD1156" s="14"/>
      <c r="AE1156" s="14"/>
      <c r="AF1156" s="14"/>
      <c r="AG1156" s="14"/>
      <c r="AH1156" s="14"/>
      <c r="AI1156" s="14"/>
      <c r="AJ1156" s="15"/>
      <c r="AK1156" s="16"/>
    </row>
    <row r="1157" spans="2:37" x14ac:dyDescent="0.2">
      <c r="B1157" s="7" t="s">
        <v>391</v>
      </c>
      <c r="C1157" s="8">
        <v>11882</v>
      </c>
      <c r="D1157" s="9" t="s">
        <v>887</v>
      </c>
      <c r="E1157" s="10" t="s">
        <v>888</v>
      </c>
      <c r="F1157" s="10" t="s">
        <v>889</v>
      </c>
      <c r="G1157" s="8">
        <v>5</v>
      </c>
      <c r="H1157" s="11">
        <v>100</v>
      </c>
      <c r="I1157" s="12">
        <v>42533</v>
      </c>
      <c r="J1157" s="13">
        <f t="shared" si="41"/>
        <v>0</v>
      </c>
      <c r="K1157" s="14"/>
      <c r="L1157" s="14"/>
      <c r="M1157" s="14"/>
      <c r="N1157" s="14"/>
      <c r="O1157" s="14"/>
      <c r="P1157" s="14"/>
      <c r="Q1157" s="14"/>
      <c r="R1157" s="14"/>
      <c r="S1157" s="14"/>
      <c r="T1157" s="14"/>
      <c r="U1157" s="14"/>
      <c r="V1157" s="14"/>
      <c r="W1157" s="15">
        <f t="shared" si="42"/>
        <v>0</v>
      </c>
      <c r="X1157" s="14"/>
      <c r="Y1157" s="14"/>
      <c r="Z1157" s="14"/>
      <c r="AA1157" s="14"/>
      <c r="AB1157" s="14"/>
      <c r="AC1157" s="14"/>
      <c r="AD1157" s="14"/>
      <c r="AE1157" s="14"/>
      <c r="AF1157" s="14"/>
      <c r="AG1157" s="14"/>
      <c r="AH1157" s="14"/>
      <c r="AI1157" s="14"/>
      <c r="AJ1157" s="15"/>
      <c r="AK1157" s="16"/>
    </row>
    <row r="1158" spans="2:37" x14ac:dyDescent="0.2">
      <c r="B1158" s="7" t="s">
        <v>61</v>
      </c>
      <c r="C1158" s="8">
        <v>11883</v>
      </c>
      <c r="D1158" s="9" t="s">
        <v>631</v>
      </c>
      <c r="E1158" s="10" t="s">
        <v>632</v>
      </c>
      <c r="F1158" s="10" t="s">
        <v>633</v>
      </c>
      <c r="G1158" s="8">
        <v>5</v>
      </c>
      <c r="H1158" s="11">
        <v>50</v>
      </c>
      <c r="I1158" s="12">
        <v>42533</v>
      </c>
      <c r="J1158" s="13">
        <f t="shared" si="41"/>
        <v>0</v>
      </c>
      <c r="K1158" s="14"/>
      <c r="L1158" s="14"/>
      <c r="M1158" s="14"/>
      <c r="N1158" s="14"/>
      <c r="O1158" s="14"/>
      <c r="P1158" s="14"/>
      <c r="Q1158" s="14"/>
      <c r="R1158" s="14"/>
      <c r="S1158" s="14"/>
      <c r="T1158" s="14"/>
      <c r="U1158" s="14"/>
      <c r="V1158" s="14"/>
      <c r="W1158" s="15">
        <f t="shared" si="42"/>
        <v>0</v>
      </c>
      <c r="X1158" s="14"/>
      <c r="Y1158" s="14"/>
      <c r="Z1158" s="14"/>
      <c r="AA1158" s="14"/>
      <c r="AB1158" s="14"/>
      <c r="AC1158" s="14"/>
      <c r="AD1158" s="14"/>
      <c r="AE1158" s="14"/>
      <c r="AF1158" s="14"/>
      <c r="AG1158" s="14"/>
      <c r="AH1158" s="14"/>
      <c r="AI1158" s="14"/>
      <c r="AJ1158" s="15"/>
      <c r="AK1158" s="16"/>
    </row>
    <row r="1159" spans="2:37" x14ac:dyDescent="0.2">
      <c r="B1159" s="7" t="s">
        <v>47</v>
      </c>
      <c r="C1159" s="8">
        <v>11884</v>
      </c>
      <c r="D1159" s="9" t="s">
        <v>241</v>
      </c>
      <c r="E1159" s="10" t="s">
        <v>242</v>
      </c>
      <c r="F1159" s="10" t="s">
        <v>243</v>
      </c>
      <c r="G1159" s="8">
        <v>5</v>
      </c>
      <c r="H1159" s="11">
        <v>50</v>
      </c>
      <c r="I1159" s="12">
        <v>42533</v>
      </c>
      <c r="J1159" s="13">
        <f t="shared" si="41"/>
        <v>0</v>
      </c>
      <c r="K1159" s="14"/>
      <c r="L1159" s="14"/>
      <c r="M1159" s="14"/>
      <c r="N1159" s="14"/>
      <c r="O1159" s="14"/>
      <c r="P1159" s="14"/>
      <c r="Q1159" s="14"/>
      <c r="R1159" s="14"/>
      <c r="S1159" s="14"/>
      <c r="T1159" s="14"/>
      <c r="U1159" s="14"/>
      <c r="V1159" s="14"/>
      <c r="W1159" s="15">
        <f t="shared" si="42"/>
        <v>0</v>
      </c>
      <c r="X1159" s="14"/>
      <c r="Y1159" s="14"/>
      <c r="Z1159" s="14"/>
      <c r="AA1159" s="14"/>
      <c r="AB1159" s="14"/>
      <c r="AC1159" s="14"/>
      <c r="AD1159" s="14"/>
      <c r="AE1159" s="14"/>
      <c r="AF1159" s="14"/>
      <c r="AG1159" s="14"/>
      <c r="AH1159" s="14"/>
      <c r="AI1159" s="14"/>
      <c r="AJ1159" s="15"/>
      <c r="AK1159" s="16"/>
    </row>
    <row r="1160" spans="2:37" x14ac:dyDescent="0.2">
      <c r="B1160" s="7" t="s">
        <v>73</v>
      </c>
      <c r="C1160" s="8">
        <v>11885</v>
      </c>
      <c r="D1160" s="9" t="s">
        <v>115</v>
      </c>
      <c r="E1160" s="10" t="s">
        <v>116</v>
      </c>
      <c r="F1160" s="10" t="s">
        <v>117</v>
      </c>
      <c r="G1160" s="8">
        <v>5</v>
      </c>
      <c r="H1160" s="11">
        <v>100</v>
      </c>
      <c r="I1160" s="12">
        <v>42533</v>
      </c>
      <c r="J1160" s="13">
        <f t="shared" si="41"/>
        <v>0</v>
      </c>
      <c r="K1160" s="14"/>
      <c r="L1160" s="14"/>
      <c r="M1160" s="14"/>
      <c r="N1160" s="14"/>
      <c r="O1160" s="14"/>
      <c r="P1160" s="14"/>
      <c r="Q1160" s="14"/>
      <c r="R1160" s="14"/>
      <c r="S1160" s="14"/>
      <c r="T1160" s="14"/>
      <c r="U1160" s="14"/>
      <c r="V1160" s="14"/>
      <c r="W1160" s="15">
        <f t="shared" si="42"/>
        <v>0</v>
      </c>
      <c r="X1160" s="14"/>
      <c r="Y1160" s="14"/>
      <c r="Z1160" s="14"/>
      <c r="AA1160" s="14"/>
      <c r="AB1160" s="14"/>
      <c r="AC1160" s="14"/>
      <c r="AD1160" s="14"/>
      <c r="AE1160" s="14"/>
      <c r="AF1160" s="14"/>
      <c r="AG1160" s="14"/>
      <c r="AH1160" s="14"/>
      <c r="AI1160" s="14"/>
      <c r="AJ1160" s="15"/>
      <c r="AK1160" s="16"/>
    </row>
    <row r="1161" spans="2:37" x14ac:dyDescent="0.2">
      <c r="B1161" s="7" t="s">
        <v>69</v>
      </c>
      <c r="C1161" s="8">
        <v>11886</v>
      </c>
      <c r="D1161" s="9" t="s">
        <v>265</v>
      </c>
      <c r="E1161" s="10" t="s">
        <v>266</v>
      </c>
      <c r="F1161" s="10" t="s">
        <v>267</v>
      </c>
      <c r="G1161" s="8">
        <v>5</v>
      </c>
      <c r="H1161" s="11">
        <v>100</v>
      </c>
      <c r="I1161" s="12">
        <v>42533</v>
      </c>
      <c r="J1161" s="13">
        <f t="shared" si="41"/>
        <v>0</v>
      </c>
      <c r="K1161" s="14"/>
      <c r="L1161" s="14"/>
      <c r="M1161" s="14"/>
      <c r="N1161" s="14"/>
      <c r="O1161" s="14"/>
      <c r="P1161" s="14"/>
      <c r="Q1161" s="14"/>
      <c r="R1161" s="14"/>
      <c r="S1161" s="14"/>
      <c r="T1161" s="14"/>
      <c r="U1161" s="14"/>
      <c r="V1161" s="14"/>
      <c r="W1161" s="15">
        <f t="shared" si="42"/>
        <v>0</v>
      </c>
      <c r="X1161" s="14"/>
      <c r="Y1161" s="14"/>
      <c r="Z1161" s="14"/>
      <c r="AA1161" s="14"/>
      <c r="AB1161" s="14"/>
      <c r="AC1161" s="14"/>
      <c r="AD1161" s="14"/>
      <c r="AE1161" s="14"/>
      <c r="AF1161" s="14"/>
      <c r="AG1161" s="14"/>
      <c r="AH1161" s="14"/>
      <c r="AI1161" s="14"/>
      <c r="AJ1161" s="15"/>
      <c r="AK1161" s="16"/>
    </row>
    <row r="1162" spans="2:37" x14ac:dyDescent="0.2">
      <c r="B1162" s="7" t="s">
        <v>73</v>
      </c>
      <c r="C1162" s="8">
        <v>11887</v>
      </c>
      <c r="D1162" s="9" t="s">
        <v>115</v>
      </c>
      <c r="E1162" s="10" t="s">
        <v>116</v>
      </c>
      <c r="F1162" s="10" t="s">
        <v>117</v>
      </c>
      <c r="G1162" s="8">
        <v>5</v>
      </c>
      <c r="H1162" s="11">
        <v>100</v>
      </c>
      <c r="I1162" s="12">
        <v>42533</v>
      </c>
      <c r="J1162" s="13">
        <f t="shared" si="41"/>
        <v>0</v>
      </c>
      <c r="K1162" s="14"/>
      <c r="L1162" s="14"/>
      <c r="M1162" s="14"/>
      <c r="N1162" s="14"/>
      <c r="O1162" s="14"/>
      <c r="P1162" s="14"/>
      <c r="Q1162" s="14"/>
      <c r="R1162" s="14"/>
      <c r="S1162" s="14"/>
      <c r="T1162" s="14"/>
      <c r="U1162" s="14"/>
      <c r="V1162" s="14"/>
      <c r="W1162" s="15">
        <f t="shared" si="42"/>
        <v>0</v>
      </c>
      <c r="X1162" s="14"/>
      <c r="Y1162" s="14"/>
      <c r="Z1162" s="14"/>
      <c r="AA1162" s="14"/>
      <c r="AB1162" s="14"/>
      <c r="AC1162" s="14"/>
      <c r="AD1162" s="14"/>
      <c r="AE1162" s="14"/>
      <c r="AF1162" s="14"/>
      <c r="AG1162" s="14"/>
      <c r="AH1162" s="14"/>
      <c r="AI1162" s="14"/>
      <c r="AJ1162" s="15"/>
      <c r="AK1162" s="16"/>
    </row>
    <row r="1163" spans="2:37" x14ac:dyDescent="0.2">
      <c r="B1163" s="7" t="s">
        <v>47</v>
      </c>
      <c r="C1163" s="8">
        <v>11888</v>
      </c>
      <c r="D1163" s="9" t="s">
        <v>957</v>
      </c>
      <c r="E1163" s="10" t="s">
        <v>958</v>
      </c>
      <c r="F1163" s="10" t="s">
        <v>959</v>
      </c>
      <c r="G1163" s="8">
        <v>5</v>
      </c>
      <c r="H1163" s="11">
        <v>200</v>
      </c>
      <c r="I1163" s="12">
        <v>42533</v>
      </c>
      <c r="J1163" s="13">
        <f t="shared" si="41"/>
        <v>0</v>
      </c>
      <c r="K1163" s="14"/>
      <c r="L1163" s="14"/>
      <c r="M1163" s="14"/>
      <c r="N1163" s="14"/>
      <c r="O1163" s="14"/>
      <c r="P1163" s="14"/>
      <c r="Q1163" s="14"/>
      <c r="R1163" s="14"/>
      <c r="S1163" s="14"/>
      <c r="T1163" s="14"/>
      <c r="U1163" s="14"/>
      <c r="V1163" s="14"/>
      <c r="W1163" s="15">
        <f t="shared" si="42"/>
        <v>0</v>
      </c>
      <c r="X1163" s="14"/>
      <c r="Y1163" s="14"/>
      <c r="Z1163" s="14"/>
      <c r="AA1163" s="14"/>
      <c r="AB1163" s="14"/>
      <c r="AC1163" s="14"/>
      <c r="AD1163" s="14"/>
      <c r="AE1163" s="14"/>
      <c r="AF1163" s="14"/>
      <c r="AG1163" s="14"/>
      <c r="AH1163" s="14"/>
      <c r="AI1163" s="14"/>
      <c r="AJ1163" s="15"/>
      <c r="AK1163" s="16"/>
    </row>
    <row r="1164" spans="2:37" x14ac:dyDescent="0.2">
      <c r="B1164" s="7" t="s">
        <v>61</v>
      </c>
      <c r="C1164" s="8">
        <v>11889</v>
      </c>
      <c r="D1164" s="9" t="s">
        <v>631</v>
      </c>
      <c r="E1164" s="10" t="s">
        <v>632</v>
      </c>
      <c r="F1164" s="10" t="s">
        <v>633</v>
      </c>
      <c r="G1164" s="8">
        <v>5</v>
      </c>
      <c r="H1164" s="11">
        <v>50</v>
      </c>
      <c r="I1164" s="12">
        <v>42533</v>
      </c>
      <c r="J1164" s="13">
        <f t="shared" si="41"/>
        <v>0</v>
      </c>
      <c r="K1164" s="14"/>
      <c r="L1164" s="14"/>
      <c r="M1164" s="14"/>
      <c r="N1164" s="14"/>
      <c r="O1164" s="14"/>
      <c r="P1164" s="14"/>
      <c r="Q1164" s="14"/>
      <c r="R1164" s="14"/>
      <c r="S1164" s="14"/>
      <c r="T1164" s="14"/>
      <c r="U1164" s="14"/>
      <c r="V1164" s="14"/>
      <c r="W1164" s="15">
        <f t="shared" si="42"/>
        <v>0</v>
      </c>
      <c r="X1164" s="14"/>
      <c r="Y1164" s="14"/>
      <c r="Z1164" s="14"/>
      <c r="AA1164" s="14"/>
      <c r="AB1164" s="14"/>
      <c r="AC1164" s="14"/>
      <c r="AD1164" s="14"/>
      <c r="AE1164" s="14"/>
      <c r="AF1164" s="14"/>
      <c r="AG1164" s="14"/>
      <c r="AH1164" s="14"/>
      <c r="AI1164" s="14"/>
      <c r="AJ1164" s="15"/>
      <c r="AK1164" s="16"/>
    </row>
    <row r="1165" spans="2:37" x14ac:dyDescent="0.2">
      <c r="B1165" s="7" t="s">
        <v>37</v>
      </c>
      <c r="C1165" s="8">
        <v>11890</v>
      </c>
      <c r="D1165" s="9" t="s">
        <v>794</v>
      </c>
      <c r="E1165" s="10" t="s">
        <v>795</v>
      </c>
      <c r="F1165" s="10" t="s">
        <v>796</v>
      </c>
      <c r="G1165" s="8">
        <v>5</v>
      </c>
      <c r="H1165" s="11">
        <v>50</v>
      </c>
      <c r="I1165" s="12">
        <v>42533</v>
      </c>
      <c r="J1165" s="13">
        <f t="shared" si="41"/>
        <v>0</v>
      </c>
      <c r="K1165" s="14"/>
      <c r="L1165" s="14"/>
      <c r="M1165" s="14"/>
      <c r="N1165" s="14"/>
      <c r="O1165" s="14"/>
      <c r="P1165" s="14"/>
      <c r="Q1165" s="14"/>
      <c r="R1165" s="14"/>
      <c r="S1165" s="14"/>
      <c r="T1165" s="14"/>
      <c r="U1165" s="14"/>
      <c r="V1165" s="14"/>
      <c r="W1165" s="15">
        <f t="shared" si="42"/>
        <v>0</v>
      </c>
      <c r="X1165" s="14"/>
      <c r="Y1165" s="14"/>
      <c r="Z1165" s="14"/>
      <c r="AA1165" s="14"/>
      <c r="AB1165" s="14"/>
      <c r="AC1165" s="14"/>
      <c r="AD1165" s="14"/>
      <c r="AE1165" s="14"/>
      <c r="AF1165" s="14"/>
      <c r="AG1165" s="14"/>
      <c r="AH1165" s="14"/>
      <c r="AI1165" s="14"/>
      <c r="AJ1165" s="15"/>
      <c r="AK1165" s="16"/>
    </row>
    <row r="1166" spans="2:37" x14ac:dyDescent="0.2">
      <c r="B1166" s="7" t="s">
        <v>77</v>
      </c>
      <c r="C1166" s="8">
        <v>11891</v>
      </c>
      <c r="D1166" s="9" t="s">
        <v>987</v>
      </c>
      <c r="E1166" s="10" t="s">
        <v>988</v>
      </c>
      <c r="F1166" s="10" t="s">
        <v>989</v>
      </c>
      <c r="G1166" s="8">
        <v>5</v>
      </c>
      <c r="H1166" s="11">
        <v>100</v>
      </c>
      <c r="I1166" s="12">
        <v>42533</v>
      </c>
      <c r="J1166" s="13">
        <f t="shared" si="41"/>
        <v>0</v>
      </c>
      <c r="K1166" s="14"/>
      <c r="L1166" s="14"/>
      <c r="M1166" s="14"/>
      <c r="N1166" s="14"/>
      <c r="O1166" s="14"/>
      <c r="P1166" s="14"/>
      <c r="Q1166" s="14"/>
      <c r="R1166" s="14"/>
      <c r="S1166" s="14"/>
      <c r="T1166" s="14"/>
      <c r="U1166" s="14"/>
      <c r="V1166" s="14"/>
      <c r="W1166" s="15">
        <f t="shared" si="42"/>
        <v>0</v>
      </c>
      <c r="X1166" s="14"/>
      <c r="Y1166" s="14"/>
      <c r="Z1166" s="14"/>
      <c r="AA1166" s="14"/>
      <c r="AB1166" s="14"/>
      <c r="AC1166" s="14"/>
      <c r="AD1166" s="14"/>
      <c r="AE1166" s="14"/>
      <c r="AF1166" s="14"/>
      <c r="AG1166" s="14"/>
      <c r="AH1166" s="14"/>
      <c r="AI1166" s="14"/>
      <c r="AJ1166" s="15"/>
      <c r="AK1166" s="16"/>
    </row>
    <row r="1167" spans="2:37" x14ac:dyDescent="0.2">
      <c r="B1167" s="7" t="s">
        <v>73</v>
      </c>
      <c r="C1167" s="8">
        <v>11892</v>
      </c>
      <c r="D1167" s="9" t="s">
        <v>407</v>
      </c>
      <c r="E1167" s="10" t="s">
        <v>408</v>
      </c>
      <c r="F1167" s="10" t="s">
        <v>409</v>
      </c>
      <c r="G1167" s="8">
        <v>5</v>
      </c>
      <c r="H1167" s="11">
        <v>200</v>
      </c>
      <c r="I1167" s="12">
        <v>42533</v>
      </c>
      <c r="J1167" s="13">
        <f t="shared" si="41"/>
        <v>0</v>
      </c>
      <c r="K1167" s="14"/>
      <c r="L1167" s="14"/>
      <c r="M1167" s="14"/>
      <c r="N1167" s="14"/>
      <c r="O1167" s="14"/>
      <c r="P1167" s="14"/>
      <c r="Q1167" s="14"/>
      <c r="R1167" s="14"/>
      <c r="S1167" s="14"/>
      <c r="T1167" s="14"/>
      <c r="U1167" s="14"/>
      <c r="V1167" s="14"/>
      <c r="W1167" s="15">
        <f t="shared" si="42"/>
        <v>0</v>
      </c>
      <c r="X1167" s="14"/>
      <c r="Y1167" s="14"/>
      <c r="Z1167" s="14"/>
      <c r="AA1167" s="14"/>
      <c r="AB1167" s="14"/>
      <c r="AC1167" s="14"/>
      <c r="AD1167" s="14"/>
      <c r="AE1167" s="14"/>
      <c r="AF1167" s="14"/>
      <c r="AG1167" s="14"/>
      <c r="AH1167" s="14"/>
      <c r="AI1167" s="14"/>
      <c r="AJ1167" s="15"/>
      <c r="AK1167" s="16"/>
    </row>
    <row r="1168" spans="2:37" x14ac:dyDescent="0.2">
      <c r="B1168" s="7" t="s">
        <v>47</v>
      </c>
      <c r="C1168" s="8">
        <v>11893</v>
      </c>
      <c r="D1168" s="9" t="s">
        <v>425</v>
      </c>
      <c r="E1168" s="10" t="s">
        <v>426</v>
      </c>
      <c r="F1168" s="10" t="s">
        <v>427</v>
      </c>
      <c r="G1168" s="8">
        <v>5</v>
      </c>
      <c r="H1168" s="11">
        <v>150</v>
      </c>
      <c r="I1168" s="12">
        <v>42533</v>
      </c>
      <c r="J1168" s="13">
        <f t="shared" si="41"/>
        <v>0</v>
      </c>
      <c r="K1168" s="14"/>
      <c r="L1168" s="14"/>
      <c r="M1168" s="14"/>
      <c r="N1168" s="14"/>
      <c r="O1168" s="14"/>
      <c r="P1168" s="14"/>
      <c r="Q1168" s="14"/>
      <c r="R1168" s="14"/>
      <c r="S1168" s="14"/>
      <c r="T1168" s="14"/>
      <c r="U1168" s="14"/>
      <c r="V1168" s="14"/>
      <c r="W1168" s="15">
        <f t="shared" si="42"/>
        <v>0</v>
      </c>
      <c r="X1168" s="14"/>
      <c r="Y1168" s="14"/>
      <c r="Z1168" s="14"/>
      <c r="AA1168" s="14"/>
      <c r="AB1168" s="14"/>
      <c r="AC1168" s="14"/>
      <c r="AD1168" s="14"/>
      <c r="AE1168" s="14"/>
      <c r="AF1168" s="14"/>
      <c r="AG1168" s="14"/>
      <c r="AH1168" s="14"/>
      <c r="AI1168" s="14"/>
      <c r="AJ1168" s="15"/>
      <c r="AK1168" s="16"/>
    </row>
    <row r="1169" spans="2:37" x14ac:dyDescent="0.2">
      <c r="B1169" s="7" t="s">
        <v>77</v>
      </c>
      <c r="C1169" s="8">
        <v>11894</v>
      </c>
      <c r="D1169" s="9" t="s">
        <v>129</v>
      </c>
      <c r="E1169" s="10" t="s">
        <v>130</v>
      </c>
      <c r="F1169" s="10" t="s">
        <v>131</v>
      </c>
      <c r="G1169" s="8">
        <v>5</v>
      </c>
      <c r="H1169" s="11">
        <v>250</v>
      </c>
      <c r="I1169" s="12">
        <v>42533</v>
      </c>
      <c r="J1169" s="13">
        <f t="shared" si="41"/>
        <v>0</v>
      </c>
      <c r="K1169" s="14"/>
      <c r="L1169" s="14"/>
      <c r="M1169" s="14"/>
      <c r="N1169" s="14"/>
      <c r="O1169" s="14"/>
      <c r="P1169" s="14"/>
      <c r="Q1169" s="14"/>
      <c r="R1169" s="14"/>
      <c r="S1169" s="14"/>
      <c r="T1169" s="14"/>
      <c r="U1169" s="14"/>
      <c r="V1169" s="14"/>
      <c r="W1169" s="15">
        <f t="shared" si="42"/>
        <v>0</v>
      </c>
      <c r="X1169" s="14"/>
      <c r="Y1169" s="14"/>
      <c r="Z1169" s="14"/>
      <c r="AA1169" s="14"/>
      <c r="AB1169" s="14"/>
      <c r="AC1169" s="14"/>
      <c r="AD1169" s="14"/>
      <c r="AE1169" s="14"/>
      <c r="AF1169" s="14"/>
      <c r="AG1169" s="14"/>
      <c r="AH1169" s="14"/>
      <c r="AI1169" s="14"/>
      <c r="AJ1169" s="15"/>
      <c r="AK1169" s="16"/>
    </row>
    <row r="1170" spans="2:37" x14ac:dyDescent="0.2">
      <c r="B1170" s="7" t="s">
        <v>73</v>
      </c>
      <c r="C1170" s="8">
        <v>11895</v>
      </c>
      <c r="D1170" s="9" t="s">
        <v>649</v>
      </c>
      <c r="E1170" s="10" t="s">
        <v>650</v>
      </c>
      <c r="F1170" s="10" t="s">
        <v>651</v>
      </c>
      <c r="G1170" s="8">
        <v>5</v>
      </c>
      <c r="H1170" s="11">
        <v>50</v>
      </c>
      <c r="I1170" s="12">
        <v>42533</v>
      </c>
      <c r="J1170" s="13">
        <f t="shared" si="41"/>
        <v>0</v>
      </c>
      <c r="K1170" s="14"/>
      <c r="L1170" s="14"/>
      <c r="M1170" s="14"/>
      <c r="N1170" s="14"/>
      <c r="O1170" s="14"/>
      <c r="P1170" s="14"/>
      <c r="Q1170" s="14"/>
      <c r="R1170" s="14"/>
      <c r="S1170" s="14"/>
      <c r="T1170" s="14"/>
      <c r="U1170" s="14"/>
      <c r="V1170" s="14"/>
      <c r="W1170" s="15">
        <f t="shared" si="42"/>
        <v>0</v>
      </c>
      <c r="X1170" s="14"/>
      <c r="Y1170" s="14"/>
      <c r="Z1170" s="14"/>
      <c r="AA1170" s="14"/>
      <c r="AB1170" s="14"/>
      <c r="AC1170" s="14"/>
      <c r="AD1170" s="14"/>
      <c r="AE1170" s="14"/>
      <c r="AF1170" s="14"/>
      <c r="AG1170" s="14"/>
      <c r="AH1170" s="14"/>
      <c r="AI1170" s="14"/>
      <c r="AJ1170" s="15"/>
      <c r="AK1170" s="16"/>
    </row>
    <row r="1171" spans="2:37" x14ac:dyDescent="0.2">
      <c r="B1171" s="7" t="s">
        <v>93</v>
      </c>
      <c r="C1171" s="8">
        <v>11896</v>
      </c>
      <c r="D1171" s="9"/>
      <c r="E1171" s="10" t="s">
        <v>93</v>
      </c>
      <c r="F1171" s="10" t="s">
        <v>93</v>
      </c>
      <c r="G1171" s="8">
        <v>8</v>
      </c>
      <c r="H1171" s="11"/>
      <c r="I1171" s="12"/>
      <c r="J1171" s="13">
        <f t="shared" si="41"/>
        <v>0</v>
      </c>
      <c r="K1171" s="14"/>
      <c r="L1171" s="14"/>
      <c r="M1171" s="14"/>
      <c r="N1171" s="14"/>
      <c r="O1171" s="14"/>
      <c r="P1171" s="14"/>
      <c r="Q1171" s="14"/>
      <c r="R1171" s="14"/>
      <c r="S1171" s="14"/>
      <c r="T1171" s="14"/>
      <c r="U1171" s="14"/>
      <c r="V1171" s="14"/>
      <c r="W1171" s="15">
        <f t="shared" si="42"/>
        <v>0</v>
      </c>
      <c r="X1171" s="14"/>
      <c r="Y1171" s="14"/>
      <c r="Z1171" s="14"/>
      <c r="AA1171" s="14"/>
      <c r="AB1171" s="14"/>
      <c r="AC1171" s="14"/>
      <c r="AD1171" s="14"/>
      <c r="AE1171" s="14"/>
      <c r="AF1171" s="14"/>
      <c r="AG1171" s="14"/>
      <c r="AH1171" s="14"/>
      <c r="AI1171" s="14"/>
      <c r="AJ1171" s="15"/>
      <c r="AK1171" s="16"/>
    </row>
    <row r="1172" spans="2:37" x14ac:dyDescent="0.2">
      <c r="B1172" s="7" t="s">
        <v>122</v>
      </c>
      <c r="C1172" s="8">
        <v>11897</v>
      </c>
      <c r="D1172" s="9" t="s">
        <v>256</v>
      </c>
      <c r="E1172" s="10" t="s">
        <v>257</v>
      </c>
      <c r="F1172" s="10" t="s">
        <v>258</v>
      </c>
      <c r="G1172" s="8">
        <v>5</v>
      </c>
      <c r="H1172" s="11">
        <v>100</v>
      </c>
      <c r="I1172" s="12">
        <v>42533</v>
      </c>
      <c r="J1172" s="13">
        <f t="shared" si="41"/>
        <v>0</v>
      </c>
      <c r="K1172" s="14"/>
      <c r="L1172" s="14"/>
      <c r="M1172" s="14"/>
      <c r="N1172" s="14"/>
      <c r="O1172" s="14"/>
      <c r="P1172" s="14"/>
      <c r="Q1172" s="14"/>
      <c r="R1172" s="14"/>
      <c r="S1172" s="14"/>
      <c r="T1172" s="14"/>
      <c r="U1172" s="14"/>
      <c r="V1172" s="14"/>
      <c r="W1172" s="15">
        <f t="shared" si="42"/>
        <v>0</v>
      </c>
      <c r="X1172" s="14"/>
      <c r="Y1172" s="14"/>
      <c r="Z1172" s="14"/>
      <c r="AA1172" s="14"/>
      <c r="AB1172" s="14"/>
      <c r="AC1172" s="14"/>
      <c r="AD1172" s="14"/>
      <c r="AE1172" s="14"/>
      <c r="AF1172" s="14"/>
      <c r="AG1172" s="14"/>
      <c r="AH1172" s="14"/>
      <c r="AI1172" s="14"/>
      <c r="AJ1172" s="15"/>
      <c r="AK1172" s="16"/>
    </row>
    <row r="1173" spans="2:37" x14ac:dyDescent="0.2">
      <c r="B1173" s="7" t="s">
        <v>73</v>
      </c>
      <c r="C1173" s="8">
        <v>11898</v>
      </c>
      <c r="D1173" s="9" t="s">
        <v>846</v>
      </c>
      <c r="E1173" s="10" t="s">
        <v>847</v>
      </c>
      <c r="F1173" s="10" t="s">
        <v>848</v>
      </c>
      <c r="G1173" s="8">
        <v>5</v>
      </c>
      <c r="H1173" s="11">
        <v>150</v>
      </c>
      <c r="I1173" s="12">
        <v>42533</v>
      </c>
      <c r="J1173" s="13">
        <f t="shared" si="41"/>
        <v>0</v>
      </c>
      <c r="K1173" s="14"/>
      <c r="L1173" s="14"/>
      <c r="M1173" s="14"/>
      <c r="N1173" s="14"/>
      <c r="O1173" s="14"/>
      <c r="P1173" s="14"/>
      <c r="Q1173" s="14"/>
      <c r="R1173" s="14"/>
      <c r="S1173" s="14"/>
      <c r="T1173" s="14"/>
      <c r="U1173" s="14"/>
      <c r="V1173" s="14"/>
      <c r="W1173" s="15">
        <f t="shared" si="42"/>
        <v>0</v>
      </c>
      <c r="X1173" s="14"/>
      <c r="Y1173" s="14"/>
      <c r="Z1173" s="14"/>
      <c r="AA1173" s="14"/>
      <c r="AB1173" s="14"/>
      <c r="AC1173" s="14"/>
      <c r="AD1173" s="14"/>
      <c r="AE1173" s="14"/>
      <c r="AF1173" s="14"/>
      <c r="AG1173" s="14"/>
      <c r="AH1173" s="14"/>
      <c r="AI1173" s="14"/>
      <c r="AJ1173" s="15"/>
      <c r="AK1173" s="16"/>
    </row>
    <row r="1174" spans="2:37" x14ac:dyDescent="0.2">
      <c r="B1174" s="7" t="s">
        <v>61</v>
      </c>
      <c r="C1174" s="8">
        <v>11899</v>
      </c>
      <c r="D1174" s="9" t="s">
        <v>62</v>
      </c>
      <c r="E1174" s="10" t="s">
        <v>63</v>
      </c>
      <c r="F1174" s="10" t="s">
        <v>64</v>
      </c>
      <c r="G1174" s="8">
        <v>5</v>
      </c>
      <c r="H1174" s="11">
        <v>50</v>
      </c>
      <c r="I1174" s="12">
        <v>42533</v>
      </c>
      <c r="J1174" s="13">
        <f t="shared" si="41"/>
        <v>0</v>
      </c>
      <c r="K1174" s="14"/>
      <c r="L1174" s="14"/>
      <c r="M1174" s="14"/>
      <c r="N1174" s="14"/>
      <c r="O1174" s="14"/>
      <c r="P1174" s="14"/>
      <c r="Q1174" s="14"/>
      <c r="R1174" s="14"/>
      <c r="S1174" s="14"/>
      <c r="T1174" s="14"/>
      <c r="U1174" s="14"/>
      <c r="V1174" s="14"/>
      <c r="W1174" s="15">
        <f t="shared" si="42"/>
        <v>0</v>
      </c>
      <c r="X1174" s="14"/>
      <c r="Y1174" s="14"/>
      <c r="Z1174" s="14"/>
      <c r="AA1174" s="14"/>
      <c r="AB1174" s="14"/>
      <c r="AC1174" s="14"/>
      <c r="AD1174" s="14"/>
      <c r="AE1174" s="14"/>
      <c r="AF1174" s="14"/>
      <c r="AG1174" s="14"/>
      <c r="AH1174" s="14"/>
      <c r="AI1174" s="14"/>
      <c r="AJ1174" s="15"/>
      <c r="AK1174" s="16"/>
    </row>
    <row r="1175" spans="2:37" x14ac:dyDescent="0.2">
      <c r="B1175" s="7" t="s">
        <v>73</v>
      </c>
      <c r="C1175" s="8">
        <v>11900</v>
      </c>
      <c r="D1175" s="9" t="s">
        <v>785</v>
      </c>
      <c r="E1175" s="10" t="s">
        <v>786</v>
      </c>
      <c r="F1175" s="10" t="s">
        <v>787</v>
      </c>
      <c r="G1175" s="8">
        <v>5</v>
      </c>
      <c r="H1175" s="11">
        <v>150</v>
      </c>
      <c r="I1175" s="12">
        <v>42533</v>
      </c>
      <c r="J1175" s="13">
        <f t="shared" si="41"/>
        <v>0</v>
      </c>
      <c r="K1175" s="14"/>
      <c r="L1175" s="14"/>
      <c r="M1175" s="14"/>
      <c r="N1175" s="14"/>
      <c r="O1175" s="14"/>
      <c r="P1175" s="14"/>
      <c r="Q1175" s="14"/>
      <c r="R1175" s="14"/>
      <c r="S1175" s="14"/>
      <c r="T1175" s="14"/>
      <c r="U1175" s="14"/>
      <c r="V1175" s="14"/>
      <c r="W1175" s="15">
        <f t="shared" si="42"/>
        <v>0</v>
      </c>
      <c r="X1175" s="14"/>
      <c r="Y1175" s="14"/>
      <c r="Z1175" s="14"/>
      <c r="AA1175" s="14"/>
      <c r="AB1175" s="14"/>
      <c r="AC1175" s="14"/>
      <c r="AD1175" s="14"/>
      <c r="AE1175" s="14"/>
      <c r="AF1175" s="14"/>
      <c r="AG1175" s="14"/>
      <c r="AH1175" s="14"/>
      <c r="AI1175" s="14"/>
      <c r="AJ1175" s="15"/>
      <c r="AK1175" s="16"/>
    </row>
    <row r="1176" spans="2:37" x14ac:dyDescent="0.2">
      <c r="B1176" s="7" t="s">
        <v>47</v>
      </c>
      <c r="C1176" s="8">
        <v>11901</v>
      </c>
      <c r="D1176" s="9" t="s">
        <v>990</v>
      </c>
      <c r="E1176" s="10" t="s">
        <v>991</v>
      </c>
      <c r="F1176" s="10" t="s">
        <v>992</v>
      </c>
      <c r="G1176" s="8">
        <v>5</v>
      </c>
      <c r="H1176" s="11">
        <v>150</v>
      </c>
      <c r="I1176" s="12">
        <v>42533</v>
      </c>
      <c r="J1176" s="13">
        <f t="shared" si="41"/>
        <v>0</v>
      </c>
      <c r="K1176" s="14"/>
      <c r="L1176" s="14"/>
      <c r="M1176" s="14"/>
      <c r="N1176" s="14"/>
      <c r="O1176" s="14"/>
      <c r="P1176" s="14"/>
      <c r="Q1176" s="14"/>
      <c r="R1176" s="14"/>
      <c r="S1176" s="14"/>
      <c r="T1176" s="14"/>
      <c r="U1176" s="14"/>
      <c r="V1176" s="14"/>
      <c r="W1176" s="15">
        <f t="shared" si="42"/>
        <v>0</v>
      </c>
      <c r="X1176" s="14"/>
      <c r="Y1176" s="14"/>
      <c r="Z1176" s="14"/>
      <c r="AA1176" s="14"/>
      <c r="AB1176" s="14"/>
      <c r="AC1176" s="14"/>
      <c r="AD1176" s="14"/>
      <c r="AE1176" s="14"/>
      <c r="AF1176" s="14"/>
      <c r="AG1176" s="14"/>
      <c r="AH1176" s="14"/>
      <c r="AI1176" s="14"/>
      <c r="AJ1176" s="15"/>
      <c r="AK1176" s="16"/>
    </row>
    <row r="1177" spans="2:37" x14ac:dyDescent="0.2">
      <c r="B1177" s="7" t="s">
        <v>93</v>
      </c>
      <c r="C1177" s="8">
        <v>11902</v>
      </c>
      <c r="D1177" s="9"/>
      <c r="E1177" s="10" t="s">
        <v>93</v>
      </c>
      <c r="F1177" s="10" t="s">
        <v>93</v>
      </c>
      <c r="G1177" s="8">
        <v>8</v>
      </c>
      <c r="H1177" s="11"/>
      <c r="I1177" s="12"/>
      <c r="J1177" s="13">
        <f t="shared" si="41"/>
        <v>0</v>
      </c>
      <c r="K1177" s="14"/>
      <c r="L1177" s="14"/>
      <c r="M1177" s="14"/>
      <c r="N1177" s="14"/>
      <c r="O1177" s="14"/>
      <c r="P1177" s="14"/>
      <c r="Q1177" s="14"/>
      <c r="R1177" s="14"/>
      <c r="S1177" s="14"/>
      <c r="T1177" s="14"/>
      <c r="U1177" s="14"/>
      <c r="V1177" s="14"/>
      <c r="W1177" s="15">
        <f t="shared" si="42"/>
        <v>0</v>
      </c>
      <c r="X1177" s="14"/>
      <c r="Y1177" s="14"/>
      <c r="Z1177" s="14"/>
      <c r="AA1177" s="14"/>
      <c r="AB1177" s="14"/>
      <c r="AC1177" s="14"/>
      <c r="AD1177" s="14"/>
      <c r="AE1177" s="14"/>
      <c r="AF1177" s="14"/>
      <c r="AG1177" s="14"/>
      <c r="AH1177" s="14"/>
      <c r="AI1177" s="14"/>
      <c r="AJ1177" s="15"/>
      <c r="AK1177" s="16"/>
    </row>
    <row r="1178" spans="2:37" x14ac:dyDescent="0.2">
      <c r="B1178" s="7" t="s">
        <v>37</v>
      </c>
      <c r="C1178" s="8">
        <v>11903</v>
      </c>
      <c r="D1178" s="9" t="s">
        <v>520</v>
      </c>
      <c r="E1178" s="10" t="s">
        <v>521</v>
      </c>
      <c r="F1178" s="10" t="s">
        <v>522</v>
      </c>
      <c r="G1178" s="8">
        <v>5</v>
      </c>
      <c r="H1178" s="11">
        <v>150</v>
      </c>
      <c r="I1178" s="12">
        <v>42533</v>
      </c>
      <c r="J1178" s="13">
        <f t="shared" si="41"/>
        <v>0</v>
      </c>
      <c r="K1178" s="14"/>
      <c r="L1178" s="14"/>
      <c r="M1178" s="14"/>
      <c r="N1178" s="14"/>
      <c r="O1178" s="14"/>
      <c r="P1178" s="14"/>
      <c r="Q1178" s="14"/>
      <c r="R1178" s="14"/>
      <c r="S1178" s="14"/>
      <c r="T1178" s="14"/>
      <c r="U1178" s="14"/>
      <c r="V1178" s="14"/>
      <c r="W1178" s="15">
        <f t="shared" si="42"/>
        <v>0</v>
      </c>
      <c r="X1178" s="14"/>
      <c r="Y1178" s="14"/>
      <c r="Z1178" s="14"/>
      <c r="AA1178" s="14"/>
      <c r="AB1178" s="14"/>
      <c r="AC1178" s="14"/>
      <c r="AD1178" s="14"/>
      <c r="AE1178" s="14"/>
      <c r="AF1178" s="14"/>
      <c r="AG1178" s="14"/>
      <c r="AH1178" s="14"/>
      <c r="AI1178" s="14"/>
      <c r="AJ1178" s="15"/>
      <c r="AK1178" s="16"/>
    </row>
    <row r="1179" spans="2:37" x14ac:dyDescent="0.2">
      <c r="B1179" s="7" t="s">
        <v>77</v>
      </c>
      <c r="C1179" s="8">
        <v>11904</v>
      </c>
      <c r="D1179" s="9" t="s">
        <v>556</v>
      </c>
      <c r="E1179" s="10" t="s">
        <v>557</v>
      </c>
      <c r="F1179" s="10" t="s">
        <v>558</v>
      </c>
      <c r="G1179" s="8">
        <v>5</v>
      </c>
      <c r="H1179" s="11">
        <v>150</v>
      </c>
      <c r="I1179" s="12">
        <v>42533</v>
      </c>
      <c r="J1179" s="13">
        <f t="shared" si="41"/>
        <v>0</v>
      </c>
      <c r="K1179" s="14"/>
      <c r="L1179" s="14"/>
      <c r="M1179" s="14"/>
      <c r="N1179" s="14"/>
      <c r="O1179" s="14"/>
      <c r="P1179" s="14"/>
      <c r="Q1179" s="14"/>
      <c r="R1179" s="14"/>
      <c r="S1179" s="14"/>
      <c r="T1179" s="14"/>
      <c r="U1179" s="14"/>
      <c r="V1179" s="14"/>
      <c r="W1179" s="15">
        <f t="shared" si="42"/>
        <v>0</v>
      </c>
      <c r="X1179" s="14"/>
      <c r="Y1179" s="14"/>
      <c r="Z1179" s="14"/>
      <c r="AA1179" s="14"/>
      <c r="AB1179" s="14"/>
      <c r="AC1179" s="14"/>
      <c r="AD1179" s="14"/>
      <c r="AE1179" s="14"/>
      <c r="AF1179" s="14"/>
      <c r="AG1179" s="14"/>
      <c r="AH1179" s="14"/>
      <c r="AI1179" s="14"/>
      <c r="AJ1179" s="15"/>
      <c r="AK1179" s="16"/>
    </row>
    <row r="1180" spans="2:37" x14ac:dyDescent="0.2">
      <c r="B1180" s="7" t="s">
        <v>47</v>
      </c>
      <c r="C1180" s="8">
        <v>11905</v>
      </c>
      <c r="D1180" s="9" t="s">
        <v>999</v>
      </c>
      <c r="E1180" s="10" t="s">
        <v>1000</v>
      </c>
      <c r="F1180" s="10" t="s">
        <v>1001</v>
      </c>
      <c r="G1180" s="8">
        <v>5</v>
      </c>
      <c r="H1180" s="11">
        <v>100</v>
      </c>
      <c r="I1180" s="12">
        <v>42533</v>
      </c>
      <c r="J1180" s="13">
        <f t="shared" si="41"/>
        <v>0</v>
      </c>
      <c r="K1180" s="14"/>
      <c r="L1180" s="14"/>
      <c r="M1180" s="14"/>
      <c r="N1180" s="14"/>
      <c r="O1180" s="14"/>
      <c r="P1180" s="14"/>
      <c r="Q1180" s="14"/>
      <c r="R1180" s="14"/>
      <c r="S1180" s="14"/>
      <c r="T1180" s="14"/>
      <c r="U1180" s="14"/>
      <c r="V1180" s="14"/>
      <c r="W1180" s="15">
        <f t="shared" si="42"/>
        <v>0</v>
      </c>
      <c r="X1180" s="14"/>
      <c r="Y1180" s="14"/>
      <c r="Z1180" s="14"/>
      <c r="AA1180" s="14"/>
      <c r="AB1180" s="14"/>
      <c r="AC1180" s="14"/>
      <c r="AD1180" s="14"/>
      <c r="AE1180" s="14"/>
      <c r="AF1180" s="14"/>
      <c r="AG1180" s="14"/>
      <c r="AH1180" s="14"/>
      <c r="AI1180" s="14"/>
      <c r="AJ1180" s="15"/>
      <c r="AK1180" s="16"/>
    </row>
    <row r="1181" spans="2:37" x14ac:dyDescent="0.2">
      <c r="B1181" s="7" t="s">
        <v>69</v>
      </c>
      <c r="C1181" s="8">
        <v>11906</v>
      </c>
      <c r="D1181" s="9" t="s">
        <v>211</v>
      </c>
      <c r="E1181" s="10" t="s">
        <v>212</v>
      </c>
      <c r="F1181" s="10" t="s">
        <v>213</v>
      </c>
      <c r="G1181" s="8">
        <v>5</v>
      </c>
      <c r="H1181" s="11">
        <v>150</v>
      </c>
      <c r="I1181" s="12">
        <v>42533</v>
      </c>
      <c r="J1181" s="13">
        <f t="shared" si="41"/>
        <v>0</v>
      </c>
      <c r="K1181" s="14"/>
      <c r="L1181" s="14"/>
      <c r="M1181" s="14"/>
      <c r="N1181" s="14"/>
      <c r="O1181" s="14"/>
      <c r="P1181" s="14"/>
      <c r="Q1181" s="14"/>
      <c r="R1181" s="14"/>
      <c r="S1181" s="14"/>
      <c r="T1181" s="14"/>
      <c r="U1181" s="14"/>
      <c r="V1181" s="14"/>
      <c r="W1181" s="15">
        <f t="shared" si="42"/>
        <v>0</v>
      </c>
      <c r="X1181" s="14"/>
      <c r="Y1181" s="14"/>
      <c r="Z1181" s="14"/>
      <c r="AA1181" s="14"/>
      <c r="AB1181" s="14"/>
      <c r="AC1181" s="14"/>
      <c r="AD1181" s="14"/>
      <c r="AE1181" s="14"/>
      <c r="AF1181" s="14"/>
      <c r="AG1181" s="14"/>
      <c r="AH1181" s="14"/>
      <c r="AI1181" s="14"/>
      <c r="AJ1181" s="15"/>
      <c r="AK1181" s="16"/>
    </row>
    <row r="1182" spans="2:37" x14ac:dyDescent="0.2">
      <c r="B1182" s="7" t="s">
        <v>37</v>
      </c>
      <c r="C1182" s="8">
        <v>11907</v>
      </c>
      <c r="D1182" s="9" t="s">
        <v>307</v>
      </c>
      <c r="E1182" s="10" t="s">
        <v>308</v>
      </c>
      <c r="F1182" s="10" t="s">
        <v>309</v>
      </c>
      <c r="G1182" s="8">
        <v>5</v>
      </c>
      <c r="H1182" s="11">
        <v>100</v>
      </c>
      <c r="I1182" s="12">
        <v>42533</v>
      </c>
      <c r="J1182" s="13">
        <f t="shared" si="41"/>
        <v>0</v>
      </c>
      <c r="K1182" s="14"/>
      <c r="L1182" s="14"/>
      <c r="M1182" s="14"/>
      <c r="N1182" s="14"/>
      <c r="O1182" s="14"/>
      <c r="P1182" s="14"/>
      <c r="Q1182" s="14"/>
      <c r="R1182" s="14"/>
      <c r="S1182" s="14"/>
      <c r="T1182" s="14"/>
      <c r="U1182" s="14"/>
      <c r="V1182" s="14"/>
      <c r="W1182" s="15">
        <f t="shared" si="42"/>
        <v>0</v>
      </c>
      <c r="X1182" s="14"/>
      <c r="Y1182" s="14"/>
      <c r="Z1182" s="14"/>
      <c r="AA1182" s="14"/>
      <c r="AB1182" s="14"/>
      <c r="AC1182" s="14"/>
      <c r="AD1182" s="14"/>
      <c r="AE1182" s="14"/>
      <c r="AF1182" s="14"/>
      <c r="AG1182" s="14"/>
      <c r="AH1182" s="14"/>
      <c r="AI1182" s="14"/>
      <c r="AJ1182" s="15"/>
      <c r="AK1182" s="16"/>
    </row>
    <row r="1183" spans="2:37" x14ac:dyDescent="0.2">
      <c r="B1183" s="7" t="s">
        <v>69</v>
      </c>
      <c r="C1183" s="8">
        <v>11908</v>
      </c>
      <c r="D1183" s="9" t="s">
        <v>370</v>
      </c>
      <c r="E1183" s="10" t="s">
        <v>371</v>
      </c>
      <c r="F1183" s="10" t="s">
        <v>372</v>
      </c>
      <c r="G1183" s="8">
        <v>5</v>
      </c>
      <c r="H1183" s="11">
        <v>50</v>
      </c>
      <c r="I1183" s="12">
        <v>42533</v>
      </c>
      <c r="J1183" s="13">
        <f t="shared" si="41"/>
        <v>0</v>
      </c>
      <c r="K1183" s="14"/>
      <c r="L1183" s="14"/>
      <c r="M1183" s="14"/>
      <c r="N1183" s="14"/>
      <c r="O1183" s="14"/>
      <c r="P1183" s="14"/>
      <c r="Q1183" s="14"/>
      <c r="R1183" s="14"/>
      <c r="S1183" s="14"/>
      <c r="T1183" s="14"/>
      <c r="U1183" s="14"/>
      <c r="V1183" s="14"/>
      <c r="W1183" s="15">
        <f t="shared" si="42"/>
        <v>0</v>
      </c>
      <c r="X1183" s="14"/>
      <c r="Y1183" s="14"/>
      <c r="Z1183" s="14"/>
      <c r="AA1183" s="14"/>
      <c r="AB1183" s="14"/>
      <c r="AC1183" s="14"/>
      <c r="AD1183" s="14"/>
      <c r="AE1183" s="14"/>
      <c r="AF1183" s="14"/>
      <c r="AG1183" s="14"/>
      <c r="AH1183" s="14"/>
      <c r="AI1183" s="14"/>
      <c r="AJ1183" s="15"/>
      <c r="AK1183" s="16"/>
    </row>
    <row r="1184" spans="2:37" x14ac:dyDescent="0.2">
      <c r="B1184" s="7" t="s">
        <v>47</v>
      </c>
      <c r="C1184" s="8">
        <v>11909</v>
      </c>
      <c r="D1184" s="9" t="s">
        <v>313</v>
      </c>
      <c r="E1184" s="10" t="s">
        <v>314</v>
      </c>
      <c r="F1184" s="10" t="s">
        <v>315</v>
      </c>
      <c r="G1184" s="8">
        <v>5</v>
      </c>
      <c r="H1184" s="11">
        <v>50</v>
      </c>
      <c r="I1184" s="12">
        <v>42533</v>
      </c>
      <c r="J1184" s="13">
        <f t="shared" si="41"/>
        <v>0</v>
      </c>
      <c r="K1184" s="14"/>
      <c r="L1184" s="14"/>
      <c r="M1184" s="14"/>
      <c r="N1184" s="14"/>
      <c r="O1184" s="14"/>
      <c r="P1184" s="14"/>
      <c r="Q1184" s="14"/>
      <c r="R1184" s="14"/>
      <c r="S1184" s="14"/>
      <c r="T1184" s="14"/>
      <c r="U1184" s="14"/>
      <c r="V1184" s="14"/>
      <c r="W1184" s="15">
        <f t="shared" si="42"/>
        <v>0</v>
      </c>
      <c r="X1184" s="14"/>
      <c r="Y1184" s="14"/>
      <c r="Z1184" s="14"/>
      <c r="AA1184" s="14"/>
      <c r="AB1184" s="14"/>
      <c r="AC1184" s="14"/>
      <c r="AD1184" s="14"/>
      <c r="AE1184" s="14"/>
      <c r="AF1184" s="14"/>
      <c r="AG1184" s="14"/>
      <c r="AH1184" s="14"/>
      <c r="AI1184" s="14"/>
      <c r="AJ1184" s="15"/>
      <c r="AK1184" s="16"/>
    </row>
    <row r="1185" spans="2:37" x14ac:dyDescent="0.2">
      <c r="B1185" s="7" t="s">
        <v>77</v>
      </c>
      <c r="C1185" s="8">
        <v>11910</v>
      </c>
      <c r="D1185" s="9" t="s">
        <v>725</v>
      </c>
      <c r="E1185" s="10" t="s">
        <v>726</v>
      </c>
      <c r="F1185" s="10" t="s">
        <v>727</v>
      </c>
      <c r="G1185" s="8">
        <v>5</v>
      </c>
      <c r="H1185" s="11">
        <v>50</v>
      </c>
      <c r="I1185" s="12">
        <v>42533</v>
      </c>
      <c r="J1185" s="13">
        <f t="shared" si="41"/>
        <v>0</v>
      </c>
      <c r="K1185" s="14"/>
      <c r="L1185" s="14"/>
      <c r="M1185" s="14"/>
      <c r="N1185" s="14"/>
      <c r="O1185" s="14"/>
      <c r="P1185" s="14"/>
      <c r="Q1185" s="14"/>
      <c r="R1185" s="14"/>
      <c r="S1185" s="14"/>
      <c r="T1185" s="14"/>
      <c r="U1185" s="14"/>
      <c r="V1185" s="14"/>
      <c r="W1185" s="15">
        <f t="shared" si="42"/>
        <v>0</v>
      </c>
      <c r="X1185" s="14"/>
      <c r="Y1185" s="14"/>
      <c r="Z1185" s="14"/>
      <c r="AA1185" s="14"/>
      <c r="AB1185" s="14"/>
      <c r="AC1185" s="14"/>
      <c r="AD1185" s="14"/>
      <c r="AE1185" s="14"/>
      <c r="AF1185" s="14"/>
      <c r="AG1185" s="14"/>
      <c r="AH1185" s="14"/>
      <c r="AI1185" s="14"/>
      <c r="AJ1185" s="15"/>
      <c r="AK1185" s="16"/>
    </row>
    <row r="1186" spans="2:37" x14ac:dyDescent="0.2">
      <c r="B1186" s="7" t="s">
        <v>47</v>
      </c>
      <c r="C1186" s="8">
        <v>11911</v>
      </c>
      <c r="D1186" s="9" t="s">
        <v>235</v>
      </c>
      <c r="E1186" s="10" t="s">
        <v>236</v>
      </c>
      <c r="F1186" s="10" t="s">
        <v>237</v>
      </c>
      <c r="G1186" s="8">
        <v>5</v>
      </c>
      <c r="H1186" s="11">
        <v>100</v>
      </c>
      <c r="I1186" s="12">
        <v>42533</v>
      </c>
      <c r="J1186" s="13">
        <f t="shared" si="41"/>
        <v>0</v>
      </c>
      <c r="K1186" s="14"/>
      <c r="L1186" s="14"/>
      <c r="M1186" s="14"/>
      <c r="N1186" s="14"/>
      <c r="O1186" s="14"/>
      <c r="P1186" s="14"/>
      <c r="Q1186" s="14"/>
      <c r="R1186" s="14"/>
      <c r="S1186" s="14"/>
      <c r="T1186" s="14"/>
      <c r="U1186" s="14"/>
      <c r="V1186" s="14"/>
      <c r="W1186" s="15">
        <f t="shared" si="42"/>
        <v>0</v>
      </c>
      <c r="X1186" s="14"/>
      <c r="Y1186" s="14"/>
      <c r="Z1186" s="14"/>
      <c r="AA1186" s="14"/>
      <c r="AB1186" s="14"/>
      <c r="AC1186" s="14"/>
      <c r="AD1186" s="14"/>
      <c r="AE1186" s="14"/>
      <c r="AF1186" s="14"/>
      <c r="AG1186" s="14"/>
      <c r="AH1186" s="14"/>
      <c r="AI1186" s="14"/>
      <c r="AJ1186" s="15"/>
      <c r="AK1186" s="16"/>
    </row>
    <row r="1187" spans="2:37" x14ac:dyDescent="0.2">
      <c r="B1187" s="7" t="s">
        <v>69</v>
      </c>
      <c r="C1187" s="8">
        <v>11912</v>
      </c>
      <c r="D1187" s="9" t="s">
        <v>740</v>
      </c>
      <c r="E1187" s="10" t="s">
        <v>741</v>
      </c>
      <c r="F1187" s="10" t="s">
        <v>742</v>
      </c>
      <c r="G1187" s="8">
        <v>5</v>
      </c>
      <c r="H1187" s="11">
        <v>50</v>
      </c>
      <c r="I1187" s="12">
        <v>42533</v>
      </c>
      <c r="J1187" s="13">
        <f t="shared" si="41"/>
        <v>0</v>
      </c>
      <c r="K1187" s="14"/>
      <c r="L1187" s="14"/>
      <c r="M1187" s="14"/>
      <c r="N1187" s="14"/>
      <c r="O1187" s="14"/>
      <c r="P1187" s="14"/>
      <c r="Q1187" s="14"/>
      <c r="R1187" s="14"/>
      <c r="S1187" s="14"/>
      <c r="T1187" s="14"/>
      <c r="U1187" s="14"/>
      <c r="V1187" s="14"/>
      <c r="W1187" s="15">
        <f t="shared" si="42"/>
        <v>0</v>
      </c>
      <c r="X1187" s="14"/>
      <c r="Y1187" s="14"/>
      <c r="Z1187" s="14"/>
      <c r="AA1187" s="14"/>
      <c r="AB1187" s="14"/>
      <c r="AC1187" s="14"/>
      <c r="AD1187" s="14"/>
      <c r="AE1187" s="14"/>
      <c r="AF1187" s="14"/>
      <c r="AG1187" s="14"/>
      <c r="AH1187" s="14"/>
      <c r="AI1187" s="14"/>
      <c r="AJ1187" s="15"/>
      <c r="AK1187" s="16"/>
    </row>
    <row r="1188" spans="2:37" x14ac:dyDescent="0.2">
      <c r="B1188" s="7" t="s">
        <v>47</v>
      </c>
      <c r="C1188" s="8">
        <v>11913</v>
      </c>
      <c r="D1188" s="9" t="s">
        <v>280</v>
      </c>
      <c r="E1188" s="10" t="s">
        <v>281</v>
      </c>
      <c r="F1188" s="10" t="s">
        <v>282</v>
      </c>
      <c r="G1188" s="8">
        <v>5</v>
      </c>
      <c r="H1188" s="11">
        <v>200</v>
      </c>
      <c r="I1188" s="12">
        <v>42533</v>
      </c>
      <c r="J1188" s="13">
        <f t="shared" si="41"/>
        <v>0</v>
      </c>
      <c r="K1188" s="14"/>
      <c r="L1188" s="14"/>
      <c r="M1188" s="14"/>
      <c r="N1188" s="14"/>
      <c r="O1188" s="14"/>
      <c r="P1188" s="14"/>
      <c r="Q1188" s="14"/>
      <c r="R1188" s="14"/>
      <c r="S1188" s="14"/>
      <c r="T1188" s="14"/>
      <c r="U1188" s="14"/>
      <c r="V1188" s="14"/>
      <c r="W1188" s="15">
        <f t="shared" si="42"/>
        <v>0</v>
      </c>
      <c r="X1188" s="14"/>
      <c r="Y1188" s="14"/>
      <c r="Z1188" s="14"/>
      <c r="AA1188" s="14"/>
      <c r="AB1188" s="14"/>
      <c r="AC1188" s="14"/>
      <c r="AD1188" s="14"/>
      <c r="AE1188" s="14"/>
      <c r="AF1188" s="14"/>
      <c r="AG1188" s="14"/>
      <c r="AH1188" s="14"/>
      <c r="AI1188" s="14"/>
      <c r="AJ1188" s="15"/>
      <c r="AK1188" s="16"/>
    </row>
    <row r="1189" spans="2:37" x14ac:dyDescent="0.2">
      <c r="B1189" s="7" t="s">
        <v>47</v>
      </c>
      <c r="C1189" s="8">
        <v>11914</v>
      </c>
      <c r="D1189" s="9" t="s">
        <v>150</v>
      </c>
      <c r="E1189" s="10" t="s">
        <v>151</v>
      </c>
      <c r="F1189" s="10" t="s">
        <v>152</v>
      </c>
      <c r="G1189" s="8">
        <v>5</v>
      </c>
      <c r="H1189" s="11">
        <v>150</v>
      </c>
      <c r="I1189" s="12">
        <v>42533</v>
      </c>
      <c r="J1189" s="13">
        <f t="shared" si="41"/>
        <v>0</v>
      </c>
      <c r="K1189" s="14"/>
      <c r="L1189" s="14"/>
      <c r="M1189" s="14"/>
      <c r="N1189" s="14"/>
      <c r="O1189" s="14"/>
      <c r="P1189" s="14"/>
      <c r="Q1189" s="14"/>
      <c r="R1189" s="14"/>
      <c r="S1189" s="14"/>
      <c r="T1189" s="14"/>
      <c r="U1189" s="14"/>
      <c r="V1189" s="14"/>
      <c r="W1189" s="15">
        <f t="shared" si="42"/>
        <v>0</v>
      </c>
      <c r="X1189" s="14"/>
      <c r="Y1189" s="14"/>
      <c r="Z1189" s="14"/>
      <c r="AA1189" s="14"/>
      <c r="AB1189" s="14"/>
      <c r="AC1189" s="14"/>
      <c r="AD1189" s="14"/>
      <c r="AE1189" s="14"/>
      <c r="AF1189" s="14"/>
      <c r="AG1189" s="14"/>
      <c r="AH1189" s="14"/>
      <c r="AI1189" s="14"/>
      <c r="AJ1189" s="15"/>
      <c r="AK1189" s="16"/>
    </row>
    <row r="1190" spans="2:37" x14ac:dyDescent="0.2">
      <c r="B1190" s="7" t="s">
        <v>69</v>
      </c>
      <c r="C1190" s="8">
        <v>11915</v>
      </c>
      <c r="D1190" s="9" t="s">
        <v>1002</v>
      </c>
      <c r="E1190" s="10" t="s">
        <v>1003</v>
      </c>
      <c r="F1190" s="10" t="s">
        <v>931</v>
      </c>
      <c r="G1190" s="8">
        <v>5</v>
      </c>
      <c r="H1190" s="11">
        <v>50</v>
      </c>
      <c r="I1190" s="12">
        <v>42533</v>
      </c>
      <c r="J1190" s="13">
        <f t="shared" si="41"/>
        <v>0</v>
      </c>
      <c r="K1190" s="14"/>
      <c r="L1190" s="14"/>
      <c r="M1190" s="14"/>
      <c r="N1190" s="14"/>
      <c r="O1190" s="14"/>
      <c r="P1190" s="14"/>
      <c r="Q1190" s="14"/>
      <c r="R1190" s="14"/>
      <c r="S1190" s="14"/>
      <c r="T1190" s="14"/>
      <c r="U1190" s="14"/>
      <c r="V1190" s="14"/>
      <c r="W1190" s="15">
        <f t="shared" si="42"/>
        <v>0</v>
      </c>
      <c r="X1190" s="14"/>
      <c r="Y1190" s="14"/>
      <c r="Z1190" s="14"/>
      <c r="AA1190" s="14"/>
      <c r="AB1190" s="14"/>
      <c r="AC1190" s="14"/>
      <c r="AD1190" s="14"/>
      <c r="AE1190" s="14"/>
      <c r="AF1190" s="14"/>
      <c r="AG1190" s="14"/>
      <c r="AH1190" s="14"/>
      <c r="AI1190" s="14"/>
      <c r="AJ1190" s="15"/>
      <c r="AK1190" s="16"/>
    </row>
    <row r="1191" spans="2:37" x14ac:dyDescent="0.2">
      <c r="B1191" s="7" t="s">
        <v>69</v>
      </c>
      <c r="C1191" s="8">
        <v>11916</v>
      </c>
      <c r="D1191" s="9" t="s">
        <v>1002</v>
      </c>
      <c r="E1191" s="10" t="s">
        <v>1003</v>
      </c>
      <c r="F1191" s="10" t="s">
        <v>931</v>
      </c>
      <c r="G1191" s="8">
        <v>5</v>
      </c>
      <c r="H1191" s="11">
        <v>50</v>
      </c>
      <c r="I1191" s="12">
        <v>42533</v>
      </c>
      <c r="J1191" s="13">
        <f t="shared" si="41"/>
        <v>0</v>
      </c>
      <c r="K1191" s="14"/>
      <c r="L1191" s="14"/>
      <c r="M1191" s="14"/>
      <c r="N1191" s="14"/>
      <c r="O1191" s="14"/>
      <c r="P1191" s="14"/>
      <c r="Q1191" s="14"/>
      <c r="R1191" s="14"/>
      <c r="S1191" s="14"/>
      <c r="T1191" s="14"/>
      <c r="U1191" s="14"/>
      <c r="V1191" s="14"/>
      <c r="W1191" s="15">
        <f t="shared" si="42"/>
        <v>0</v>
      </c>
      <c r="X1191" s="14"/>
      <c r="Y1191" s="14"/>
      <c r="Z1191" s="14"/>
      <c r="AA1191" s="14"/>
      <c r="AB1191" s="14"/>
      <c r="AC1191" s="14"/>
      <c r="AD1191" s="14"/>
      <c r="AE1191" s="14"/>
      <c r="AF1191" s="14"/>
      <c r="AG1191" s="14"/>
      <c r="AH1191" s="14"/>
      <c r="AI1191" s="14"/>
      <c r="AJ1191" s="15"/>
      <c r="AK1191" s="16"/>
    </row>
    <row r="1192" spans="2:37" x14ac:dyDescent="0.2">
      <c r="B1192" s="7" t="s">
        <v>69</v>
      </c>
      <c r="C1192" s="8">
        <v>11917</v>
      </c>
      <c r="D1192" s="9" t="s">
        <v>1002</v>
      </c>
      <c r="E1192" s="10" t="s">
        <v>1003</v>
      </c>
      <c r="F1192" s="10" t="s">
        <v>931</v>
      </c>
      <c r="G1192" s="8">
        <v>5</v>
      </c>
      <c r="H1192" s="11">
        <v>50</v>
      </c>
      <c r="I1192" s="12">
        <v>42533</v>
      </c>
      <c r="J1192" s="13">
        <f t="shared" si="41"/>
        <v>0</v>
      </c>
      <c r="K1192" s="14"/>
      <c r="L1192" s="14"/>
      <c r="M1192" s="14"/>
      <c r="N1192" s="14"/>
      <c r="O1192" s="14"/>
      <c r="P1192" s="14"/>
      <c r="Q1192" s="14"/>
      <c r="R1192" s="14"/>
      <c r="S1192" s="14"/>
      <c r="T1192" s="14"/>
      <c r="U1192" s="14"/>
      <c r="V1192" s="14"/>
      <c r="W1192" s="15">
        <f t="shared" si="42"/>
        <v>0</v>
      </c>
      <c r="X1192" s="14"/>
      <c r="Y1192" s="14"/>
      <c r="Z1192" s="14"/>
      <c r="AA1192" s="14"/>
      <c r="AB1192" s="14"/>
      <c r="AC1192" s="14"/>
      <c r="AD1192" s="14"/>
      <c r="AE1192" s="14"/>
      <c r="AF1192" s="14"/>
      <c r="AG1192" s="14"/>
      <c r="AH1192" s="14"/>
      <c r="AI1192" s="14"/>
      <c r="AJ1192" s="15"/>
      <c r="AK1192" s="16"/>
    </row>
    <row r="1193" spans="2:37" x14ac:dyDescent="0.2">
      <c r="B1193" s="7" t="s">
        <v>73</v>
      </c>
      <c r="C1193" s="8">
        <v>11918</v>
      </c>
      <c r="D1193" s="9" t="s">
        <v>672</v>
      </c>
      <c r="E1193" s="10" t="s">
        <v>673</v>
      </c>
      <c r="F1193" s="10" t="s">
        <v>674</v>
      </c>
      <c r="G1193" s="8">
        <v>5</v>
      </c>
      <c r="H1193" s="11">
        <v>100</v>
      </c>
      <c r="I1193" s="12">
        <v>42533</v>
      </c>
      <c r="J1193" s="13">
        <f t="shared" si="41"/>
        <v>0</v>
      </c>
      <c r="K1193" s="14"/>
      <c r="L1193" s="14"/>
      <c r="M1193" s="14"/>
      <c r="N1193" s="14"/>
      <c r="O1193" s="14"/>
      <c r="P1193" s="14"/>
      <c r="Q1193" s="14"/>
      <c r="R1193" s="14"/>
      <c r="S1193" s="14"/>
      <c r="T1193" s="14"/>
      <c r="U1193" s="14"/>
      <c r="V1193" s="14"/>
      <c r="W1193" s="15">
        <f t="shared" si="42"/>
        <v>0</v>
      </c>
      <c r="X1193" s="14"/>
      <c r="Y1193" s="14"/>
      <c r="Z1193" s="14"/>
      <c r="AA1193" s="14"/>
      <c r="AB1193" s="14"/>
      <c r="AC1193" s="14"/>
      <c r="AD1193" s="14"/>
      <c r="AE1193" s="14"/>
      <c r="AF1193" s="14"/>
      <c r="AG1193" s="14"/>
      <c r="AH1193" s="14"/>
      <c r="AI1193" s="14"/>
      <c r="AJ1193" s="15"/>
      <c r="AK1193" s="16"/>
    </row>
    <row r="1194" spans="2:37" x14ac:dyDescent="0.2">
      <c r="B1194" s="7" t="s">
        <v>73</v>
      </c>
      <c r="C1194" s="8">
        <v>11919</v>
      </c>
      <c r="D1194" s="9" t="s">
        <v>109</v>
      </c>
      <c r="E1194" s="10" t="s">
        <v>110</v>
      </c>
      <c r="F1194" s="10" t="s">
        <v>111</v>
      </c>
      <c r="G1194" s="8">
        <v>5</v>
      </c>
      <c r="H1194" s="11">
        <v>200</v>
      </c>
      <c r="I1194" s="12">
        <v>42533</v>
      </c>
      <c r="J1194" s="13">
        <f t="shared" si="41"/>
        <v>0</v>
      </c>
      <c r="K1194" s="14"/>
      <c r="L1194" s="14"/>
      <c r="M1194" s="14"/>
      <c r="N1194" s="14"/>
      <c r="O1194" s="14"/>
      <c r="P1194" s="14"/>
      <c r="Q1194" s="14"/>
      <c r="R1194" s="14"/>
      <c r="S1194" s="14"/>
      <c r="T1194" s="14"/>
      <c r="U1194" s="14"/>
      <c r="V1194" s="14"/>
      <c r="W1194" s="15">
        <f t="shared" si="42"/>
        <v>0</v>
      </c>
      <c r="X1194" s="14"/>
      <c r="Y1194" s="14"/>
      <c r="Z1194" s="14"/>
      <c r="AA1194" s="14"/>
      <c r="AB1194" s="14"/>
      <c r="AC1194" s="14"/>
      <c r="AD1194" s="14"/>
      <c r="AE1194" s="14"/>
      <c r="AF1194" s="14"/>
      <c r="AG1194" s="14"/>
      <c r="AH1194" s="14"/>
      <c r="AI1194" s="14"/>
      <c r="AJ1194" s="15"/>
      <c r="AK1194" s="16"/>
    </row>
    <row r="1195" spans="2:37" x14ac:dyDescent="0.2">
      <c r="B1195" s="7" t="s">
        <v>37</v>
      </c>
      <c r="C1195" s="8">
        <v>11920</v>
      </c>
      <c r="D1195" s="9" t="s">
        <v>431</v>
      </c>
      <c r="E1195" s="10" t="s">
        <v>432</v>
      </c>
      <c r="F1195" s="10" t="s">
        <v>433</v>
      </c>
      <c r="G1195" s="8">
        <v>5</v>
      </c>
      <c r="H1195" s="11">
        <v>100</v>
      </c>
      <c r="I1195" s="12">
        <v>42533</v>
      </c>
      <c r="J1195" s="13">
        <f t="shared" si="41"/>
        <v>0</v>
      </c>
      <c r="K1195" s="14"/>
      <c r="L1195" s="14"/>
      <c r="M1195" s="14"/>
      <c r="N1195" s="14"/>
      <c r="O1195" s="14"/>
      <c r="P1195" s="14"/>
      <c r="Q1195" s="14"/>
      <c r="R1195" s="14"/>
      <c r="S1195" s="14"/>
      <c r="T1195" s="14"/>
      <c r="U1195" s="14"/>
      <c r="V1195" s="14"/>
      <c r="W1195" s="15">
        <f t="shared" si="42"/>
        <v>0</v>
      </c>
      <c r="X1195" s="14"/>
      <c r="Y1195" s="14"/>
      <c r="Z1195" s="14"/>
      <c r="AA1195" s="14"/>
      <c r="AB1195" s="14"/>
      <c r="AC1195" s="14"/>
      <c r="AD1195" s="14"/>
      <c r="AE1195" s="14"/>
      <c r="AF1195" s="14"/>
      <c r="AG1195" s="14"/>
      <c r="AH1195" s="14"/>
      <c r="AI1195" s="14"/>
      <c r="AJ1195" s="15"/>
      <c r="AK1195" s="16"/>
    </row>
    <row r="1196" spans="2:37" x14ac:dyDescent="0.2">
      <c r="B1196" s="7" t="s">
        <v>37</v>
      </c>
      <c r="C1196" s="8">
        <v>11921</v>
      </c>
      <c r="D1196" s="9" t="s">
        <v>38</v>
      </c>
      <c r="E1196" s="10" t="s">
        <v>993</v>
      </c>
      <c r="F1196" s="10" t="s">
        <v>994</v>
      </c>
      <c r="G1196" s="8">
        <v>5</v>
      </c>
      <c r="H1196" s="11">
        <v>100</v>
      </c>
      <c r="I1196" s="12">
        <v>42533</v>
      </c>
      <c r="J1196" s="13">
        <f t="shared" si="41"/>
        <v>0</v>
      </c>
      <c r="K1196" s="14"/>
      <c r="L1196" s="14"/>
      <c r="M1196" s="14"/>
      <c r="N1196" s="14"/>
      <c r="O1196" s="14"/>
      <c r="P1196" s="14"/>
      <c r="Q1196" s="14"/>
      <c r="R1196" s="14"/>
      <c r="S1196" s="14"/>
      <c r="T1196" s="14"/>
      <c r="U1196" s="14"/>
      <c r="V1196" s="14"/>
      <c r="W1196" s="15">
        <f t="shared" si="42"/>
        <v>0</v>
      </c>
      <c r="X1196" s="14"/>
      <c r="Y1196" s="14"/>
      <c r="Z1196" s="14"/>
      <c r="AA1196" s="14"/>
      <c r="AB1196" s="14"/>
      <c r="AC1196" s="14"/>
      <c r="AD1196" s="14"/>
      <c r="AE1196" s="14"/>
      <c r="AF1196" s="14"/>
      <c r="AG1196" s="14"/>
      <c r="AH1196" s="14"/>
      <c r="AI1196" s="14"/>
      <c r="AJ1196" s="15"/>
      <c r="AK1196" s="16"/>
    </row>
    <row r="1197" spans="2:37" x14ac:dyDescent="0.2">
      <c r="B1197" s="7" t="s">
        <v>73</v>
      </c>
      <c r="C1197" s="8">
        <v>11922</v>
      </c>
      <c r="D1197" s="9" t="s">
        <v>74</v>
      </c>
      <c r="E1197" s="10" t="s">
        <v>75</v>
      </c>
      <c r="F1197" s="10" t="s">
        <v>76</v>
      </c>
      <c r="G1197" s="8">
        <v>5</v>
      </c>
      <c r="H1197" s="11">
        <v>100</v>
      </c>
      <c r="I1197" s="12">
        <v>42533</v>
      </c>
      <c r="J1197" s="13">
        <f t="shared" si="41"/>
        <v>0</v>
      </c>
      <c r="K1197" s="14"/>
      <c r="L1197" s="14"/>
      <c r="M1197" s="14"/>
      <c r="N1197" s="14"/>
      <c r="O1197" s="14"/>
      <c r="P1197" s="14"/>
      <c r="Q1197" s="14"/>
      <c r="R1197" s="14"/>
      <c r="S1197" s="14"/>
      <c r="T1197" s="14"/>
      <c r="U1197" s="14"/>
      <c r="V1197" s="14"/>
      <c r="W1197" s="15">
        <f t="shared" si="42"/>
        <v>0</v>
      </c>
      <c r="X1197" s="14"/>
      <c r="Y1197" s="14"/>
      <c r="Z1197" s="14"/>
      <c r="AA1197" s="14"/>
      <c r="AB1197" s="14"/>
      <c r="AC1197" s="14"/>
      <c r="AD1197" s="14"/>
      <c r="AE1197" s="14"/>
      <c r="AF1197" s="14"/>
      <c r="AG1197" s="14"/>
      <c r="AH1197" s="14"/>
      <c r="AI1197" s="14"/>
      <c r="AJ1197" s="15"/>
      <c r="AK1197" s="16"/>
    </row>
    <row r="1198" spans="2:37" x14ac:dyDescent="0.2">
      <c r="B1198" s="7" t="s">
        <v>73</v>
      </c>
      <c r="C1198" s="8">
        <v>11923</v>
      </c>
      <c r="D1198" s="9" t="s">
        <v>259</v>
      </c>
      <c r="E1198" s="10" t="s">
        <v>260</v>
      </c>
      <c r="F1198" s="10" t="s">
        <v>261</v>
      </c>
      <c r="G1198" s="8">
        <v>5</v>
      </c>
      <c r="H1198" s="11">
        <v>100</v>
      </c>
      <c r="I1198" s="12">
        <v>42533</v>
      </c>
      <c r="J1198" s="13">
        <f t="shared" si="41"/>
        <v>0</v>
      </c>
      <c r="K1198" s="14"/>
      <c r="L1198" s="14"/>
      <c r="M1198" s="14"/>
      <c r="N1198" s="14"/>
      <c r="O1198" s="14"/>
      <c r="P1198" s="14"/>
      <c r="Q1198" s="14"/>
      <c r="R1198" s="14"/>
      <c r="S1198" s="14"/>
      <c r="T1198" s="14"/>
      <c r="U1198" s="14"/>
      <c r="V1198" s="14"/>
      <c r="W1198" s="15">
        <f t="shared" si="42"/>
        <v>0</v>
      </c>
      <c r="X1198" s="14"/>
      <c r="Y1198" s="14"/>
      <c r="Z1198" s="14"/>
      <c r="AA1198" s="14"/>
      <c r="AB1198" s="14"/>
      <c r="AC1198" s="14"/>
      <c r="AD1198" s="14"/>
      <c r="AE1198" s="14"/>
      <c r="AF1198" s="14"/>
      <c r="AG1198" s="14"/>
      <c r="AH1198" s="14"/>
      <c r="AI1198" s="14"/>
      <c r="AJ1198" s="15"/>
      <c r="AK1198" s="16"/>
    </row>
    <row r="1199" spans="2:37" x14ac:dyDescent="0.2">
      <c r="B1199" s="7" t="s">
        <v>73</v>
      </c>
      <c r="C1199" s="8">
        <v>11924</v>
      </c>
      <c r="D1199" s="9" t="s">
        <v>675</v>
      </c>
      <c r="E1199" s="10" t="s">
        <v>676</v>
      </c>
      <c r="F1199" s="10" t="s">
        <v>677</v>
      </c>
      <c r="G1199" s="8">
        <v>5</v>
      </c>
      <c r="H1199" s="11">
        <v>150</v>
      </c>
      <c r="I1199" s="12">
        <v>42533</v>
      </c>
      <c r="J1199" s="13">
        <f t="shared" si="41"/>
        <v>0</v>
      </c>
      <c r="K1199" s="14"/>
      <c r="L1199" s="14"/>
      <c r="M1199" s="14"/>
      <c r="N1199" s="14"/>
      <c r="O1199" s="14"/>
      <c r="P1199" s="14"/>
      <c r="Q1199" s="14"/>
      <c r="R1199" s="14"/>
      <c r="S1199" s="14"/>
      <c r="T1199" s="14"/>
      <c r="U1199" s="14"/>
      <c r="V1199" s="14"/>
      <c r="W1199" s="15">
        <f t="shared" si="42"/>
        <v>0</v>
      </c>
      <c r="X1199" s="14"/>
      <c r="Y1199" s="14"/>
      <c r="Z1199" s="14"/>
      <c r="AA1199" s="14"/>
      <c r="AB1199" s="14"/>
      <c r="AC1199" s="14"/>
      <c r="AD1199" s="14"/>
      <c r="AE1199" s="14"/>
      <c r="AF1199" s="14"/>
      <c r="AG1199" s="14"/>
      <c r="AH1199" s="14"/>
      <c r="AI1199" s="14"/>
      <c r="AJ1199" s="15"/>
      <c r="AK1199" s="16"/>
    </row>
    <row r="1200" spans="2:37" x14ac:dyDescent="0.2">
      <c r="B1200" s="7" t="s">
        <v>69</v>
      </c>
      <c r="C1200" s="8">
        <v>11925</v>
      </c>
      <c r="D1200" s="9" t="s">
        <v>562</v>
      </c>
      <c r="E1200" s="10" t="s">
        <v>563</v>
      </c>
      <c r="F1200" s="10" t="s">
        <v>564</v>
      </c>
      <c r="G1200" s="8">
        <v>5</v>
      </c>
      <c r="H1200" s="11">
        <v>100</v>
      </c>
      <c r="I1200" s="12">
        <v>42533</v>
      </c>
      <c r="J1200" s="13">
        <f t="shared" si="41"/>
        <v>0</v>
      </c>
      <c r="K1200" s="14"/>
      <c r="L1200" s="14"/>
      <c r="M1200" s="14"/>
      <c r="N1200" s="14"/>
      <c r="O1200" s="14"/>
      <c r="P1200" s="14"/>
      <c r="Q1200" s="14"/>
      <c r="R1200" s="14"/>
      <c r="S1200" s="14"/>
      <c r="T1200" s="14"/>
      <c r="U1200" s="14"/>
      <c r="V1200" s="14"/>
      <c r="W1200" s="15">
        <f t="shared" si="42"/>
        <v>0</v>
      </c>
      <c r="X1200" s="14"/>
      <c r="Y1200" s="14"/>
      <c r="Z1200" s="14"/>
      <c r="AA1200" s="14"/>
      <c r="AB1200" s="14"/>
      <c r="AC1200" s="14"/>
      <c r="AD1200" s="14"/>
      <c r="AE1200" s="14"/>
      <c r="AF1200" s="14"/>
      <c r="AG1200" s="14"/>
      <c r="AH1200" s="14"/>
      <c r="AI1200" s="14"/>
      <c r="AJ1200" s="15"/>
      <c r="AK1200" s="16"/>
    </row>
    <row r="1201" spans="2:37" x14ac:dyDescent="0.2">
      <c r="B1201" s="7" t="s">
        <v>47</v>
      </c>
      <c r="C1201" s="8">
        <v>11926</v>
      </c>
      <c r="D1201" s="9" t="s">
        <v>153</v>
      </c>
      <c r="E1201" s="10" t="s">
        <v>154</v>
      </c>
      <c r="F1201" s="10" t="s">
        <v>155</v>
      </c>
      <c r="G1201" s="8">
        <v>5</v>
      </c>
      <c r="H1201" s="11">
        <v>250</v>
      </c>
      <c r="I1201" s="12">
        <v>42533</v>
      </c>
      <c r="J1201" s="13">
        <f t="shared" si="41"/>
        <v>0</v>
      </c>
      <c r="K1201" s="14"/>
      <c r="L1201" s="14"/>
      <c r="M1201" s="14"/>
      <c r="N1201" s="14"/>
      <c r="O1201" s="14"/>
      <c r="P1201" s="14"/>
      <c r="Q1201" s="14"/>
      <c r="R1201" s="14"/>
      <c r="S1201" s="14"/>
      <c r="T1201" s="14"/>
      <c r="U1201" s="14"/>
      <c r="V1201" s="14"/>
      <c r="W1201" s="15">
        <f t="shared" si="42"/>
        <v>0</v>
      </c>
      <c r="X1201" s="14"/>
      <c r="Y1201" s="14"/>
      <c r="Z1201" s="14"/>
      <c r="AA1201" s="14"/>
      <c r="AB1201" s="14"/>
      <c r="AC1201" s="14"/>
      <c r="AD1201" s="14"/>
      <c r="AE1201" s="14"/>
      <c r="AF1201" s="14"/>
      <c r="AG1201" s="14"/>
      <c r="AH1201" s="14"/>
      <c r="AI1201" s="14"/>
      <c r="AJ1201" s="15"/>
      <c r="AK1201" s="16"/>
    </row>
    <row r="1202" spans="2:37" x14ac:dyDescent="0.2">
      <c r="B1202" s="7" t="s">
        <v>77</v>
      </c>
      <c r="C1202" s="8">
        <v>11927</v>
      </c>
      <c r="D1202" s="9" t="s">
        <v>479</v>
      </c>
      <c r="E1202" s="10" t="s">
        <v>480</v>
      </c>
      <c r="F1202" s="10" t="s">
        <v>481</v>
      </c>
      <c r="G1202" s="8">
        <v>5</v>
      </c>
      <c r="H1202" s="11">
        <v>150</v>
      </c>
      <c r="I1202" s="12">
        <v>42533</v>
      </c>
      <c r="J1202" s="13">
        <f t="shared" si="41"/>
        <v>0</v>
      </c>
      <c r="K1202" s="14"/>
      <c r="L1202" s="14"/>
      <c r="M1202" s="14"/>
      <c r="N1202" s="14"/>
      <c r="O1202" s="14"/>
      <c r="P1202" s="14"/>
      <c r="Q1202" s="14"/>
      <c r="R1202" s="14"/>
      <c r="S1202" s="14"/>
      <c r="T1202" s="14"/>
      <c r="U1202" s="14"/>
      <c r="V1202" s="14"/>
      <c r="W1202" s="15">
        <f t="shared" si="42"/>
        <v>0</v>
      </c>
      <c r="X1202" s="14"/>
      <c r="Y1202" s="14"/>
      <c r="Z1202" s="14"/>
      <c r="AA1202" s="14"/>
      <c r="AB1202" s="14"/>
      <c r="AC1202" s="14"/>
      <c r="AD1202" s="14"/>
      <c r="AE1202" s="14"/>
      <c r="AF1202" s="14"/>
      <c r="AG1202" s="14"/>
      <c r="AH1202" s="14"/>
      <c r="AI1202" s="14"/>
      <c r="AJ1202" s="15"/>
      <c r="AK1202" s="16"/>
    </row>
    <row r="1203" spans="2:37" x14ac:dyDescent="0.2">
      <c r="B1203" s="7" t="s">
        <v>73</v>
      </c>
      <c r="C1203" s="8">
        <v>11928</v>
      </c>
      <c r="D1203" s="9" t="s">
        <v>571</v>
      </c>
      <c r="E1203" s="10" t="s">
        <v>572</v>
      </c>
      <c r="F1203" s="10" t="s">
        <v>573</v>
      </c>
      <c r="G1203" s="8">
        <v>5</v>
      </c>
      <c r="H1203" s="11">
        <v>200</v>
      </c>
      <c r="I1203" s="12">
        <v>42533</v>
      </c>
      <c r="J1203" s="13">
        <f t="shared" si="41"/>
        <v>0</v>
      </c>
      <c r="K1203" s="14"/>
      <c r="L1203" s="14"/>
      <c r="M1203" s="14"/>
      <c r="N1203" s="14"/>
      <c r="O1203" s="14"/>
      <c r="P1203" s="14"/>
      <c r="Q1203" s="14"/>
      <c r="R1203" s="14"/>
      <c r="S1203" s="14"/>
      <c r="T1203" s="14"/>
      <c r="U1203" s="14"/>
      <c r="V1203" s="14"/>
      <c r="W1203" s="15">
        <f t="shared" si="42"/>
        <v>0</v>
      </c>
      <c r="X1203" s="14"/>
      <c r="Y1203" s="14"/>
      <c r="Z1203" s="14"/>
      <c r="AA1203" s="14"/>
      <c r="AB1203" s="14"/>
      <c r="AC1203" s="14"/>
      <c r="AD1203" s="14"/>
      <c r="AE1203" s="14"/>
      <c r="AF1203" s="14"/>
      <c r="AG1203" s="14"/>
      <c r="AH1203" s="14"/>
      <c r="AI1203" s="14"/>
      <c r="AJ1203" s="15"/>
      <c r="AK1203" s="16"/>
    </row>
    <row r="1204" spans="2:37" x14ac:dyDescent="0.2">
      <c r="B1204" s="7" t="s">
        <v>69</v>
      </c>
      <c r="C1204" s="8">
        <v>11929</v>
      </c>
      <c r="D1204" s="9" t="s">
        <v>174</v>
      </c>
      <c r="E1204" s="10" t="s">
        <v>175</v>
      </c>
      <c r="F1204" s="10" t="s">
        <v>176</v>
      </c>
      <c r="G1204" s="8">
        <v>5</v>
      </c>
      <c r="H1204" s="11">
        <v>100</v>
      </c>
      <c r="I1204" s="12">
        <v>42533</v>
      </c>
      <c r="J1204" s="13">
        <f t="shared" si="41"/>
        <v>0</v>
      </c>
      <c r="K1204" s="14"/>
      <c r="L1204" s="14"/>
      <c r="M1204" s="14"/>
      <c r="N1204" s="14"/>
      <c r="O1204" s="14"/>
      <c r="P1204" s="14"/>
      <c r="Q1204" s="14"/>
      <c r="R1204" s="14"/>
      <c r="S1204" s="14"/>
      <c r="T1204" s="14"/>
      <c r="U1204" s="14"/>
      <c r="V1204" s="14"/>
      <c r="W1204" s="15">
        <f t="shared" si="42"/>
        <v>0</v>
      </c>
      <c r="X1204" s="14"/>
      <c r="Y1204" s="14"/>
      <c r="Z1204" s="14"/>
      <c r="AA1204" s="14"/>
      <c r="AB1204" s="14"/>
      <c r="AC1204" s="14"/>
      <c r="AD1204" s="14"/>
      <c r="AE1204" s="14"/>
      <c r="AF1204" s="14"/>
      <c r="AG1204" s="14"/>
      <c r="AH1204" s="14"/>
      <c r="AI1204" s="14"/>
      <c r="AJ1204" s="15"/>
      <c r="AK1204" s="16"/>
    </row>
    <row r="1205" spans="2:37" x14ac:dyDescent="0.2">
      <c r="B1205" s="7" t="s">
        <v>47</v>
      </c>
      <c r="C1205" s="8">
        <v>11930</v>
      </c>
      <c r="D1205" s="9" t="s">
        <v>132</v>
      </c>
      <c r="E1205" s="10" t="s">
        <v>133</v>
      </c>
      <c r="F1205" s="10" t="s">
        <v>134</v>
      </c>
      <c r="G1205" s="8">
        <v>5</v>
      </c>
      <c r="H1205" s="11">
        <v>150</v>
      </c>
      <c r="I1205" s="12">
        <v>42533</v>
      </c>
      <c r="J1205" s="13">
        <f t="shared" si="41"/>
        <v>0</v>
      </c>
      <c r="K1205" s="14"/>
      <c r="L1205" s="14"/>
      <c r="M1205" s="14"/>
      <c r="N1205" s="14"/>
      <c r="O1205" s="14"/>
      <c r="P1205" s="14"/>
      <c r="Q1205" s="14"/>
      <c r="R1205" s="14"/>
      <c r="S1205" s="14"/>
      <c r="T1205" s="14"/>
      <c r="U1205" s="14"/>
      <c r="V1205" s="14"/>
      <c r="W1205" s="15">
        <f t="shared" si="42"/>
        <v>0</v>
      </c>
      <c r="X1205" s="14"/>
      <c r="Y1205" s="14"/>
      <c r="Z1205" s="14"/>
      <c r="AA1205" s="14"/>
      <c r="AB1205" s="14"/>
      <c r="AC1205" s="14"/>
      <c r="AD1205" s="14"/>
      <c r="AE1205" s="14"/>
      <c r="AF1205" s="14"/>
      <c r="AG1205" s="14"/>
      <c r="AH1205" s="14"/>
      <c r="AI1205" s="14"/>
      <c r="AJ1205" s="15"/>
      <c r="AK1205" s="16"/>
    </row>
    <row r="1206" spans="2:37" x14ac:dyDescent="0.2">
      <c r="B1206" s="7" t="s">
        <v>47</v>
      </c>
      <c r="C1206" s="8">
        <v>11931</v>
      </c>
      <c r="D1206" s="9" t="s">
        <v>162</v>
      </c>
      <c r="E1206" s="10" t="s">
        <v>163</v>
      </c>
      <c r="F1206" s="10" t="s">
        <v>164</v>
      </c>
      <c r="G1206" s="8">
        <v>5</v>
      </c>
      <c r="H1206" s="11">
        <v>150</v>
      </c>
      <c r="I1206" s="12">
        <v>42533</v>
      </c>
      <c r="J1206" s="13">
        <f t="shared" si="41"/>
        <v>0</v>
      </c>
      <c r="K1206" s="14"/>
      <c r="L1206" s="14"/>
      <c r="M1206" s="14"/>
      <c r="N1206" s="14"/>
      <c r="O1206" s="14"/>
      <c r="P1206" s="14"/>
      <c r="Q1206" s="14"/>
      <c r="R1206" s="14"/>
      <c r="S1206" s="14"/>
      <c r="T1206" s="14"/>
      <c r="U1206" s="14"/>
      <c r="V1206" s="14"/>
      <c r="W1206" s="15">
        <f t="shared" si="42"/>
        <v>0</v>
      </c>
      <c r="X1206" s="14"/>
      <c r="Y1206" s="14"/>
      <c r="Z1206" s="14"/>
      <c r="AA1206" s="14"/>
      <c r="AB1206" s="14"/>
      <c r="AC1206" s="14"/>
      <c r="AD1206" s="14"/>
      <c r="AE1206" s="14"/>
      <c r="AF1206" s="14"/>
      <c r="AG1206" s="14"/>
      <c r="AH1206" s="14"/>
      <c r="AI1206" s="14"/>
      <c r="AJ1206" s="15"/>
      <c r="AK1206" s="16"/>
    </row>
    <row r="1207" spans="2:37" x14ac:dyDescent="0.2">
      <c r="B1207" s="7" t="s">
        <v>47</v>
      </c>
      <c r="C1207" s="8">
        <v>11932</v>
      </c>
      <c r="D1207" s="9" t="s">
        <v>54</v>
      </c>
      <c r="E1207" s="10" t="s">
        <v>55</v>
      </c>
      <c r="F1207" s="10" t="s">
        <v>56</v>
      </c>
      <c r="G1207" s="8">
        <v>5</v>
      </c>
      <c r="H1207" s="11">
        <v>150</v>
      </c>
      <c r="I1207" s="12">
        <v>42533</v>
      </c>
      <c r="J1207" s="13">
        <f t="shared" si="41"/>
        <v>0</v>
      </c>
      <c r="K1207" s="14"/>
      <c r="L1207" s="14"/>
      <c r="M1207" s="14"/>
      <c r="N1207" s="14"/>
      <c r="O1207" s="14"/>
      <c r="P1207" s="14"/>
      <c r="Q1207" s="14"/>
      <c r="R1207" s="14"/>
      <c r="S1207" s="14"/>
      <c r="T1207" s="14"/>
      <c r="U1207" s="14"/>
      <c r="V1207" s="14"/>
      <c r="W1207" s="15">
        <f t="shared" si="42"/>
        <v>0</v>
      </c>
      <c r="X1207" s="14"/>
      <c r="Y1207" s="14"/>
      <c r="Z1207" s="14"/>
      <c r="AA1207" s="14"/>
      <c r="AB1207" s="14"/>
      <c r="AC1207" s="14"/>
      <c r="AD1207" s="14"/>
      <c r="AE1207" s="14"/>
      <c r="AF1207" s="14"/>
      <c r="AG1207" s="14"/>
      <c r="AH1207" s="14"/>
      <c r="AI1207" s="14"/>
      <c r="AJ1207" s="15"/>
      <c r="AK1207" s="16"/>
    </row>
    <row r="1208" spans="2:37" x14ac:dyDescent="0.2">
      <c r="B1208" s="7" t="s">
        <v>73</v>
      </c>
      <c r="C1208" s="8">
        <v>11933</v>
      </c>
      <c r="D1208" s="9" t="s">
        <v>926</v>
      </c>
      <c r="E1208" s="10" t="s">
        <v>927</v>
      </c>
      <c r="F1208" s="10" t="s">
        <v>928</v>
      </c>
      <c r="G1208" s="8">
        <v>5</v>
      </c>
      <c r="H1208" s="11">
        <v>100</v>
      </c>
      <c r="I1208" s="12">
        <v>42533</v>
      </c>
      <c r="J1208" s="13">
        <f t="shared" si="41"/>
        <v>0</v>
      </c>
      <c r="K1208" s="14"/>
      <c r="L1208" s="14"/>
      <c r="M1208" s="14"/>
      <c r="N1208" s="14"/>
      <c r="O1208" s="14"/>
      <c r="P1208" s="14"/>
      <c r="Q1208" s="14"/>
      <c r="R1208" s="14"/>
      <c r="S1208" s="14"/>
      <c r="T1208" s="14"/>
      <c r="U1208" s="14"/>
      <c r="V1208" s="14"/>
      <c r="W1208" s="15">
        <f t="shared" si="42"/>
        <v>0</v>
      </c>
      <c r="X1208" s="14"/>
      <c r="Y1208" s="14"/>
      <c r="Z1208" s="14"/>
      <c r="AA1208" s="14"/>
      <c r="AB1208" s="14"/>
      <c r="AC1208" s="14"/>
      <c r="AD1208" s="14"/>
      <c r="AE1208" s="14"/>
      <c r="AF1208" s="14"/>
      <c r="AG1208" s="14"/>
      <c r="AH1208" s="14"/>
      <c r="AI1208" s="14"/>
      <c r="AJ1208" s="15"/>
      <c r="AK1208" s="16"/>
    </row>
    <row r="1209" spans="2:37" x14ac:dyDescent="0.2">
      <c r="B1209" s="7" t="s">
        <v>73</v>
      </c>
      <c r="C1209" s="8">
        <v>11934</v>
      </c>
      <c r="D1209" s="9" t="s">
        <v>355</v>
      </c>
      <c r="E1209" s="10" t="s">
        <v>356</v>
      </c>
      <c r="F1209" s="10" t="s">
        <v>357</v>
      </c>
      <c r="G1209" s="8">
        <v>5</v>
      </c>
      <c r="H1209" s="11">
        <v>150</v>
      </c>
      <c r="I1209" s="12">
        <v>42533</v>
      </c>
      <c r="J1209" s="13">
        <f t="shared" si="41"/>
        <v>0</v>
      </c>
      <c r="K1209" s="14"/>
      <c r="L1209" s="14"/>
      <c r="M1209" s="14"/>
      <c r="N1209" s="14"/>
      <c r="O1209" s="14"/>
      <c r="P1209" s="14"/>
      <c r="Q1209" s="14"/>
      <c r="R1209" s="14"/>
      <c r="S1209" s="14"/>
      <c r="T1209" s="14"/>
      <c r="U1209" s="14"/>
      <c r="V1209" s="14"/>
      <c r="W1209" s="15">
        <f t="shared" si="42"/>
        <v>0</v>
      </c>
      <c r="X1209" s="14"/>
      <c r="Y1209" s="14"/>
      <c r="Z1209" s="14"/>
      <c r="AA1209" s="14"/>
      <c r="AB1209" s="14"/>
      <c r="AC1209" s="14"/>
      <c r="AD1209" s="14"/>
      <c r="AE1209" s="14"/>
      <c r="AF1209" s="14"/>
      <c r="AG1209" s="14"/>
      <c r="AH1209" s="14"/>
      <c r="AI1209" s="14"/>
      <c r="AJ1209" s="15"/>
      <c r="AK1209" s="16"/>
    </row>
    <row r="1210" spans="2:37" x14ac:dyDescent="0.2">
      <c r="B1210" s="7" t="s">
        <v>69</v>
      </c>
      <c r="C1210" s="8">
        <v>11935</v>
      </c>
      <c r="D1210" s="9" t="s">
        <v>634</v>
      </c>
      <c r="E1210" s="10" t="s">
        <v>635</v>
      </c>
      <c r="F1210" s="10" t="s">
        <v>636</v>
      </c>
      <c r="G1210" s="8">
        <v>5</v>
      </c>
      <c r="H1210" s="11">
        <v>200</v>
      </c>
      <c r="I1210" s="12">
        <v>42533</v>
      </c>
      <c r="J1210" s="13">
        <f t="shared" si="41"/>
        <v>0</v>
      </c>
      <c r="K1210" s="14"/>
      <c r="L1210" s="14"/>
      <c r="M1210" s="14"/>
      <c r="N1210" s="14"/>
      <c r="O1210" s="14"/>
      <c r="P1210" s="14"/>
      <c r="Q1210" s="14"/>
      <c r="R1210" s="14"/>
      <c r="S1210" s="14"/>
      <c r="T1210" s="14"/>
      <c r="U1210" s="14"/>
      <c r="V1210" s="14"/>
      <c r="W1210" s="15">
        <f t="shared" si="42"/>
        <v>0</v>
      </c>
      <c r="X1210" s="14"/>
      <c r="Y1210" s="14"/>
      <c r="Z1210" s="14"/>
      <c r="AA1210" s="14"/>
      <c r="AB1210" s="14"/>
      <c r="AC1210" s="14"/>
      <c r="AD1210" s="14"/>
      <c r="AE1210" s="14"/>
      <c r="AF1210" s="14"/>
      <c r="AG1210" s="14"/>
      <c r="AH1210" s="14"/>
      <c r="AI1210" s="14"/>
      <c r="AJ1210" s="15"/>
      <c r="AK1210" s="16"/>
    </row>
    <row r="1211" spans="2:37" x14ac:dyDescent="0.2">
      <c r="B1211" s="7" t="s">
        <v>69</v>
      </c>
      <c r="C1211" s="8">
        <v>11936</v>
      </c>
      <c r="D1211" s="9" t="s">
        <v>882</v>
      </c>
      <c r="E1211" s="10" t="s">
        <v>883</v>
      </c>
      <c r="F1211" s="10" t="s">
        <v>884</v>
      </c>
      <c r="G1211" s="8">
        <v>5</v>
      </c>
      <c r="H1211" s="11">
        <v>100</v>
      </c>
      <c r="I1211" s="12">
        <v>42533</v>
      </c>
      <c r="J1211" s="13">
        <f t="shared" si="41"/>
        <v>0</v>
      </c>
      <c r="K1211" s="14"/>
      <c r="L1211" s="14"/>
      <c r="M1211" s="14"/>
      <c r="N1211" s="14"/>
      <c r="O1211" s="14"/>
      <c r="P1211" s="14"/>
      <c r="Q1211" s="14"/>
      <c r="R1211" s="14"/>
      <c r="S1211" s="14"/>
      <c r="T1211" s="14"/>
      <c r="U1211" s="14"/>
      <c r="V1211" s="14"/>
      <c r="W1211" s="15">
        <f t="shared" si="42"/>
        <v>0</v>
      </c>
      <c r="X1211" s="14"/>
      <c r="Y1211" s="14"/>
      <c r="Z1211" s="14"/>
      <c r="AA1211" s="14"/>
      <c r="AB1211" s="14"/>
      <c r="AC1211" s="14"/>
      <c r="AD1211" s="14"/>
      <c r="AE1211" s="14"/>
      <c r="AF1211" s="14"/>
      <c r="AG1211" s="14"/>
      <c r="AH1211" s="14"/>
      <c r="AI1211" s="14"/>
      <c r="AJ1211" s="15"/>
      <c r="AK1211" s="16"/>
    </row>
    <row r="1212" spans="2:37" x14ac:dyDescent="0.2">
      <c r="B1212" s="7" t="s">
        <v>69</v>
      </c>
      <c r="C1212" s="8">
        <v>11937</v>
      </c>
      <c r="D1212" s="9" t="s">
        <v>868</v>
      </c>
      <c r="E1212" s="10" t="s">
        <v>869</v>
      </c>
      <c r="F1212" s="10" t="s">
        <v>870</v>
      </c>
      <c r="G1212" s="8">
        <v>5</v>
      </c>
      <c r="H1212" s="11">
        <v>150</v>
      </c>
      <c r="I1212" s="12">
        <v>42533</v>
      </c>
      <c r="J1212" s="13">
        <f t="shared" ref="J1212:J1275" si="43">IF(G1212=1,SUM(W1212,-H1212),0)</f>
        <v>0</v>
      </c>
      <c r="K1212" s="14"/>
      <c r="L1212" s="14"/>
      <c r="M1212" s="14"/>
      <c r="N1212" s="14"/>
      <c r="O1212" s="14"/>
      <c r="P1212" s="14"/>
      <c r="Q1212" s="14"/>
      <c r="R1212" s="14"/>
      <c r="S1212" s="14"/>
      <c r="T1212" s="14"/>
      <c r="U1212" s="14"/>
      <c r="V1212" s="14"/>
      <c r="W1212" s="15">
        <f t="shared" ref="W1212:W1275" si="44">SUM(K1212:V1212)</f>
        <v>0</v>
      </c>
      <c r="X1212" s="14"/>
      <c r="Y1212" s="14"/>
      <c r="Z1212" s="14"/>
      <c r="AA1212" s="14"/>
      <c r="AB1212" s="14"/>
      <c r="AC1212" s="14"/>
      <c r="AD1212" s="14"/>
      <c r="AE1212" s="14"/>
      <c r="AF1212" s="14"/>
      <c r="AG1212" s="14"/>
      <c r="AH1212" s="14"/>
      <c r="AI1212" s="14"/>
      <c r="AJ1212" s="15"/>
      <c r="AK1212" s="16"/>
    </row>
    <row r="1213" spans="2:37" x14ac:dyDescent="0.2">
      <c r="B1213" s="7" t="s">
        <v>47</v>
      </c>
      <c r="C1213" s="8">
        <v>11938</v>
      </c>
      <c r="D1213" s="9" t="s">
        <v>702</v>
      </c>
      <c r="E1213" s="10" t="s">
        <v>703</v>
      </c>
      <c r="F1213" s="10" t="s">
        <v>704</v>
      </c>
      <c r="G1213" s="8">
        <v>5</v>
      </c>
      <c r="H1213" s="11">
        <v>200</v>
      </c>
      <c r="I1213" s="12">
        <v>42533</v>
      </c>
      <c r="J1213" s="13">
        <f t="shared" si="43"/>
        <v>0</v>
      </c>
      <c r="K1213" s="14"/>
      <c r="L1213" s="14"/>
      <c r="M1213" s="14"/>
      <c r="N1213" s="14"/>
      <c r="O1213" s="14"/>
      <c r="P1213" s="14"/>
      <c r="Q1213" s="14"/>
      <c r="R1213" s="14"/>
      <c r="S1213" s="14"/>
      <c r="T1213" s="14"/>
      <c r="U1213" s="14"/>
      <c r="V1213" s="14"/>
      <c r="W1213" s="15">
        <f t="shared" si="44"/>
        <v>0</v>
      </c>
      <c r="X1213" s="14"/>
      <c r="Y1213" s="14"/>
      <c r="Z1213" s="14"/>
      <c r="AA1213" s="14"/>
      <c r="AB1213" s="14"/>
      <c r="AC1213" s="14"/>
      <c r="AD1213" s="14"/>
      <c r="AE1213" s="14"/>
      <c r="AF1213" s="14"/>
      <c r="AG1213" s="14"/>
      <c r="AH1213" s="14"/>
      <c r="AI1213" s="14"/>
      <c r="AJ1213" s="15"/>
      <c r="AK1213" s="16"/>
    </row>
    <row r="1214" spans="2:37" x14ac:dyDescent="0.2">
      <c r="B1214" s="7" t="s">
        <v>69</v>
      </c>
      <c r="C1214" s="8">
        <v>11939</v>
      </c>
      <c r="D1214" s="9" t="s">
        <v>343</v>
      </c>
      <c r="E1214" s="10" t="s">
        <v>344</v>
      </c>
      <c r="F1214" s="10" t="s">
        <v>345</v>
      </c>
      <c r="G1214" s="8">
        <v>5</v>
      </c>
      <c r="H1214" s="11">
        <v>50</v>
      </c>
      <c r="I1214" s="12">
        <v>42533</v>
      </c>
      <c r="J1214" s="13">
        <f t="shared" si="43"/>
        <v>0</v>
      </c>
      <c r="K1214" s="14"/>
      <c r="L1214" s="14"/>
      <c r="M1214" s="14"/>
      <c r="N1214" s="14"/>
      <c r="O1214" s="14"/>
      <c r="P1214" s="14"/>
      <c r="Q1214" s="14"/>
      <c r="R1214" s="14"/>
      <c r="S1214" s="14"/>
      <c r="T1214" s="14"/>
      <c r="U1214" s="14"/>
      <c r="V1214" s="14"/>
      <c r="W1214" s="15">
        <f t="shared" si="44"/>
        <v>0</v>
      </c>
      <c r="X1214" s="14"/>
      <c r="Y1214" s="14"/>
      <c r="Z1214" s="14"/>
      <c r="AA1214" s="14"/>
      <c r="AB1214" s="14"/>
      <c r="AC1214" s="14"/>
      <c r="AD1214" s="14"/>
      <c r="AE1214" s="14"/>
      <c r="AF1214" s="14"/>
      <c r="AG1214" s="14"/>
      <c r="AH1214" s="14"/>
      <c r="AI1214" s="14"/>
      <c r="AJ1214" s="15"/>
      <c r="AK1214" s="16"/>
    </row>
    <row r="1215" spans="2:37" x14ac:dyDescent="0.2">
      <c r="B1215" s="7" t="s">
        <v>37</v>
      </c>
      <c r="C1215" s="8">
        <v>11940</v>
      </c>
      <c r="D1215" s="9" t="s">
        <v>899</v>
      </c>
      <c r="E1215" s="10" t="s">
        <v>900</v>
      </c>
      <c r="F1215" s="10" t="s">
        <v>901</v>
      </c>
      <c r="G1215" s="8">
        <v>5</v>
      </c>
      <c r="H1215" s="11">
        <v>100</v>
      </c>
      <c r="I1215" s="12">
        <v>42533</v>
      </c>
      <c r="J1215" s="13">
        <f t="shared" si="43"/>
        <v>0</v>
      </c>
      <c r="K1215" s="14"/>
      <c r="L1215" s="14"/>
      <c r="M1215" s="14"/>
      <c r="N1215" s="14"/>
      <c r="O1215" s="14"/>
      <c r="P1215" s="14"/>
      <c r="Q1215" s="14"/>
      <c r="R1215" s="14"/>
      <c r="S1215" s="14"/>
      <c r="T1215" s="14"/>
      <c r="U1215" s="14"/>
      <c r="V1215" s="14"/>
      <c r="W1215" s="15">
        <f t="shared" si="44"/>
        <v>0</v>
      </c>
      <c r="X1215" s="14"/>
      <c r="Y1215" s="14"/>
      <c r="Z1215" s="14"/>
      <c r="AA1215" s="14"/>
      <c r="AB1215" s="14"/>
      <c r="AC1215" s="14"/>
      <c r="AD1215" s="14"/>
      <c r="AE1215" s="14"/>
      <c r="AF1215" s="14"/>
      <c r="AG1215" s="14"/>
      <c r="AH1215" s="14"/>
      <c r="AI1215" s="14"/>
      <c r="AJ1215" s="15"/>
      <c r="AK1215" s="16"/>
    </row>
    <row r="1216" spans="2:37" x14ac:dyDescent="0.2">
      <c r="B1216" s="7" t="s">
        <v>77</v>
      </c>
      <c r="C1216" s="8">
        <v>11941</v>
      </c>
      <c r="D1216" s="9" t="s">
        <v>777</v>
      </c>
      <c r="E1216" s="10" t="s">
        <v>778</v>
      </c>
      <c r="F1216" s="10" t="s">
        <v>779</v>
      </c>
      <c r="G1216" s="8">
        <v>5</v>
      </c>
      <c r="H1216" s="11">
        <v>300</v>
      </c>
      <c r="I1216" s="12">
        <v>42533</v>
      </c>
      <c r="J1216" s="13">
        <f t="shared" si="43"/>
        <v>0</v>
      </c>
      <c r="K1216" s="14"/>
      <c r="L1216" s="14"/>
      <c r="M1216" s="14"/>
      <c r="N1216" s="14"/>
      <c r="O1216" s="14"/>
      <c r="P1216" s="14"/>
      <c r="Q1216" s="14"/>
      <c r="R1216" s="14"/>
      <c r="S1216" s="14"/>
      <c r="T1216" s="14"/>
      <c r="U1216" s="14"/>
      <c r="V1216" s="14"/>
      <c r="W1216" s="15">
        <f t="shared" si="44"/>
        <v>0</v>
      </c>
      <c r="X1216" s="14"/>
      <c r="Y1216" s="14"/>
      <c r="Z1216" s="14"/>
      <c r="AA1216" s="14"/>
      <c r="AB1216" s="14"/>
      <c r="AC1216" s="14"/>
      <c r="AD1216" s="14"/>
      <c r="AE1216" s="14"/>
      <c r="AF1216" s="14"/>
      <c r="AG1216" s="14"/>
      <c r="AH1216" s="14"/>
      <c r="AI1216" s="14"/>
      <c r="AJ1216" s="15"/>
      <c r="AK1216" s="16"/>
    </row>
    <row r="1217" spans="2:37" x14ac:dyDescent="0.2">
      <c r="B1217" s="7" t="s">
        <v>47</v>
      </c>
      <c r="C1217" s="8">
        <v>11942</v>
      </c>
      <c r="D1217" s="9" t="s">
        <v>705</v>
      </c>
      <c r="E1217" s="10" t="s">
        <v>706</v>
      </c>
      <c r="F1217" s="10" t="s">
        <v>707</v>
      </c>
      <c r="G1217" s="8">
        <v>5</v>
      </c>
      <c r="H1217" s="11">
        <v>300</v>
      </c>
      <c r="I1217" s="12">
        <v>42533</v>
      </c>
      <c r="J1217" s="13">
        <f t="shared" si="43"/>
        <v>0</v>
      </c>
      <c r="K1217" s="14"/>
      <c r="L1217" s="14"/>
      <c r="M1217" s="14"/>
      <c r="N1217" s="14"/>
      <c r="O1217" s="14"/>
      <c r="P1217" s="14"/>
      <c r="Q1217" s="14"/>
      <c r="R1217" s="14"/>
      <c r="S1217" s="14"/>
      <c r="T1217" s="14"/>
      <c r="U1217" s="14"/>
      <c r="V1217" s="14"/>
      <c r="W1217" s="15">
        <f t="shared" si="44"/>
        <v>0</v>
      </c>
      <c r="X1217" s="14"/>
      <c r="Y1217" s="14"/>
      <c r="Z1217" s="14"/>
      <c r="AA1217" s="14"/>
      <c r="AB1217" s="14"/>
      <c r="AC1217" s="14"/>
      <c r="AD1217" s="14"/>
      <c r="AE1217" s="14"/>
      <c r="AF1217" s="14"/>
      <c r="AG1217" s="14"/>
      <c r="AH1217" s="14"/>
      <c r="AI1217" s="14"/>
      <c r="AJ1217" s="15"/>
      <c r="AK1217" s="16"/>
    </row>
    <row r="1218" spans="2:37" x14ac:dyDescent="0.2">
      <c r="B1218" s="7" t="s">
        <v>37</v>
      </c>
      <c r="C1218" s="8">
        <v>11943</v>
      </c>
      <c r="D1218" s="9" t="s">
        <v>395</v>
      </c>
      <c r="E1218" s="10" t="s">
        <v>396</v>
      </c>
      <c r="F1218" s="10" t="s">
        <v>397</v>
      </c>
      <c r="G1218" s="8">
        <v>5</v>
      </c>
      <c r="H1218" s="11">
        <v>50</v>
      </c>
      <c r="I1218" s="12">
        <v>42533</v>
      </c>
      <c r="J1218" s="13">
        <f t="shared" si="43"/>
        <v>0</v>
      </c>
      <c r="K1218" s="14"/>
      <c r="L1218" s="14"/>
      <c r="M1218" s="14"/>
      <c r="N1218" s="14"/>
      <c r="O1218" s="14"/>
      <c r="P1218" s="14"/>
      <c r="Q1218" s="14"/>
      <c r="R1218" s="14"/>
      <c r="S1218" s="14"/>
      <c r="T1218" s="14"/>
      <c r="U1218" s="14"/>
      <c r="V1218" s="14"/>
      <c r="W1218" s="15">
        <f t="shared" si="44"/>
        <v>0</v>
      </c>
      <c r="X1218" s="14"/>
      <c r="Y1218" s="14"/>
      <c r="Z1218" s="14"/>
      <c r="AA1218" s="14"/>
      <c r="AB1218" s="14"/>
      <c r="AC1218" s="14"/>
      <c r="AD1218" s="14"/>
      <c r="AE1218" s="14"/>
      <c r="AF1218" s="14"/>
      <c r="AG1218" s="14"/>
      <c r="AH1218" s="14"/>
      <c r="AI1218" s="14"/>
      <c r="AJ1218" s="15"/>
      <c r="AK1218" s="16"/>
    </row>
    <row r="1219" spans="2:37" x14ac:dyDescent="0.2">
      <c r="B1219" s="7" t="s">
        <v>47</v>
      </c>
      <c r="C1219" s="8">
        <v>11944</v>
      </c>
      <c r="D1219" s="9" t="s">
        <v>425</v>
      </c>
      <c r="E1219" s="10" t="s">
        <v>426</v>
      </c>
      <c r="F1219" s="10" t="s">
        <v>427</v>
      </c>
      <c r="G1219" s="8">
        <v>5</v>
      </c>
      <c r="H1219" s="11">
        <v>100</v>
      </c>
      <c r="I1219" s="12">
        <v>42533</v>
      </c>
      <c r="J1219" s="13">
        <f t="shared" si="43"/>
        <v>0</v>
      </c>
      <c r="K1219" s="14"/>
      <c r="L1219" s="14"/>
      <c r="M1219" s="14"/>
      <c r="N1219" s="14"/>
      <c r="O1219" s="14"/>
      <c r="P1219" s="14"/>
      <c r="Q1219" s="14"/>
      <c r="R1219" s="14"/>
      <c r="S1219" s="14"/>
      <c r="T1219" s="14"/>
      <c r="U1219" s="14"/>
      <c r="V1219" s="14"/>
      <c r="W1219" s="15">
        <f t="shared" si="44"/>
        <v>0</v>
      </c>
      <c r="X1219" s="14"/>
      <c r="Y1219" s="14"/>
      <c r="Z1219" s="14"/>
      <c r="AA1219" s="14"/>
      <c r="AB1219" s="14"/>
      <c r="AC1219" s="14"/>
      <c r="AD1219" s="14"/>
      <c r="AE1219" s="14"/>
      <c r="AF1219" s="14"/>
      <c r="AG1219" s="14"/>
      <c r="AH1219" s="14"/>
      <c r="AI1219" s="14"/>
      <c r="AJ1219" s="15"/>
      <c r="AK1219" s="16"/>
    </row>
    <row r="1220" spans="2:37" x14ac:dyDescent="0.2">
      <c r="B1220" s="7" t="s">
        <v>47</v>
      </c>
      <c r="C1220" s="8">
        <v>11945</v>
      </c>
      <c r="D1220" s="9" t="s">
        <v>171</v>
      </c>
      <c r="E1220" s="10" t="s">
        <v>172</v>
      </c>
      <c r="F1220" s="10" t="s">
        <v>173</v>
      </c>
      <c r="G1220" s="8">
        <v>5</v>
      </c>
      <c r="H1220" s="11">
        <v>150</v>
      </c>
      <c r="I1220" s="12">
        <v>42533</v>
      </c>
      <c r="J1220" s="13">
        <f t="shared" si="43"/>
        <v>0</v>
      </c>
      <c r="K1220" s="14"/>
      <c r="L1220" s="14"/>
      <c r="M1220" s="14"/>
      <c r="N1220" s="14"/>
      <c r="O1220" s="14"/>
      <c r="P1220" s="14"/>
      <c r="Q1220" s="14"/>
      <c r="R1220" s="14"/>
      <c r="S1220" s="14"/>
      <c r="T1220" s="14"/>
      <c r="U1220" s="14"/>
      <c r="V1220" s="14"/>
      <c r="W1220" s="15">
        <f t="shared" si="44"/>
        <v>0</v>
      </c>
      <c r="X1220" s="14"/>
      <c r="Y1220" s="14"/>
      <c r="Z1220" s="14"/>
      <c r="AA1220" s="14"/>
      <c r="AB1220" s="14"/>
      <c r="AC1220" s="14"/>
      <c r="AD1220" s="14"/>
      <c r="AE1220" s="14"/>
      <c r="AF1220" s="14"/>
      <c r="AG1220" s="14"/>
      <c r="AH1220" s="14"/>
      <c r="AI1220" s="14"/>
      <c r="AJ1220" s="15"/>
      <c r="AK1220" s="16"/>
    </row>
    <row r="1221" spans="2:37" x14ac:dyDescent="0.2">
      <c r="B1221" s="7" t="s">
        <v>77</v>
      </c>
      <c r="C1221" s="8">
        <v>11946</v>
      </c>
      <c r="D1221" s="9" t="s">
        <v>470</v>
      </c>
      <c r="E1221" s="10" t="s">
        <v>471</v>
      </c>
      <c r="F1221" s="10" t="s">
        <v>472</v>
      </c>
      <c r="G1221" s="8">
        <v>1</v>
      </c>
      <c r="H1221" s="11">
        <v>900</v>
      </c>
      <c r="I1221" s="12">
        <v>42533</v>
      </c>
      <c r="J1221" s="13">
        <f t="shared" si="43"/>
        <v>0</v>
      </c>
      <c r="K1221" s="14"/>
      <c r="L1221" s="14"/>
      <c r="M1221" s="14"/>
      <c r="N1221" s="14">
        <v>300</v>
      </c>
      <c r="O1221" s="14">
        <v>300</v>
      </c>
      <c r="P1221" s="14">
        <v>300</v>
      </c>
      <c r="Q1221" s="14"/>
      <c r="R1221" s="14"/>
      <c r="S1221" s="14"/>
      <c r="T1221" s="14"/>
      <c r="U1221" s="14"/>
      <c r="V1221" s="14"/>
      <c r="W1221" s="15">
        <f t="shared" si="44"/>
        <v>900</v>
      </c>
      <c r="X1221" s="14"/>
      <c r="Y1221" s="14"/>
      <c r="Z1221" s="14"/>
      <c r="AA1221" s="14"/>
      <c r="AB1221" s="14"/>
      <c r="AC1221" s="14"/>
      <c r="AD1221" s="14"/>
      <c r="AE1221" s="14"/>
      <c r="AF1221" s="14"/>
      <c r="AG1221" s="14"/>
      <c r="AH1221" s="14"/>
      <c r="AI1221" s="14"/>
      <c r="AJ1221" s="15"/>
      <c r="AK1221" s="16"/>
    </row>
    <row r="1222" spans="2:37" x14ac:dyDescent="0.2">
      <c r="B1222" s="7" t="s">
        <v>77</v>
      </c>
      <c r="C1222" s="8">
        <v>11946</v>
      </c>
      <c r="D1222" s="9" t="s">
        <v>470</v>
      </c>
      <c r="E1222" s="10" t="s">
        <v>471</v>
      </c>
      <c r="F1222" s="10" t="s">
        <v>472</v>
      </c>
      <c r="G1222" s="8">
        <v>5</v>
      </c>
      <c r="H1222" s="11">
        <v>100</v>
      </c>
      <c r="I1222" s="12">
        <v>42533</v>
      </c>
      <c r="J1222" s="13">
        <f t="shared" si="43"/>
        <v>0</v>
      </c>
      <c r="K1222" s="14"/>
      <c r="L1222" s="14"/>
      <c r="M1222" s="14"/>
      <c r="N1222" s="14"/>
      <c r="O1222" s="14"/>
      <c r="P1222" s="14"/>
      <c r="Q1222" s="14"/>
      <c r="R1222" s="14"/>
      <c r="S1222" s="14"/>
      <c r="T1222" s="14"/>
      <c r="U1222" s="14"/>
      <c r="V1222" s="14"/>
      <c r="W1222" s="15">
        <f t="shared" si="44"/>
        <v>0</v>
      </c>
      <c r="X1222" s="14"/>
      <c r="Y1222" s="14"/>
      <c r="Z1222" s="14"/>
      <c r="AA1222" s="14"/>
      <c r="AB1222" s="14"/>
      <c r="AC1222" s="14"/>
      <c r="AD1222" s="14"/>
      <c r="AE1222" s="14"/>
      <c r="AF1222" s="14"/>
      <c r="AG1222" s="14"/>
      <c r="AH1222" s="14"/>
      <c r="AI1222" s="14"/>
      <c r="AJ1222" s="15"/>
      <c r="AK1222" s="16"/>
    </row>
    <row r="1223" spans="2:37" x14ac:dyDescent="0.2">
      <c r="B1223" s="7" t="s">
        <v>47</v>
      </c>
      <c r="C1223" s="8">
        <v>11947</v>
      </c>
      <c r="D1223" s="9" t="s">
        <v>337</v>
      </c>
      <c r="E1223" s="10" t="s">
        <v>338</v>
      </c>
      <c r="F1223" s="10" t="s">
        <v>339</v>
      </c>
      <c r="G1223" s="8">
        <v>5</v>
      </c>
      <c r="H1223" s="11">
        <v>100</v>
      </c>
      <c r="I1223" s="12">
        <v>42533</v>
      </c>
      <c r="J1223" s="13">
        <f t="shared" si="43"/>
        <v>0</v>
      </c>
      <c r="K1223" s="14"/>
      <c r="L1223" s="14"/>
      <c r="M1223" s="14"/>
      <c r="N1223" s="14"/>
      <c r="O1223" s="14"/>
      <c r="P1223" s="14"/>
      <c r="Q1223" s="14"/>
      <c r="R1223" s="14"/>
      <c r="S1223" s="14"/>
      <c r="T1223" s="14"/>
      <c r="U1223" s="14"/>
      <c r="V1223" s="14"/>
      <c r="W1223" s="15">
        <f t="shared" si="44"/>
        <v>0</v>
      </c>
      <c r="X1223" s="14"/>
      <c r="Y1223" s="14"/>
      <c r="Z1223" s="14"/>
      <c r="AA1223" s="14"/>
      <c r="AB1223" s="14"/>
      <c r="AC1223" s="14"/>
      <c r="AD1223" s="14"/>
      <c r="AE1223" s="14"/>
      <c r="AF1223" s="14"/>
      <c r="AG1223" s="14"/>
      <c r="AH1223" s="14"/>
      <c r="AI1223" s="14"/>
      <c r="AJ1223" s="15"/>
      <c r="AK1223" s="16">
        <v>160</v>
      </c>
    </row>
    <row r="1224" spans="2:37" x14ac:dyDescent="0.2">
      <c r="B1224" s="7" t="s">
        <v>37</v>
      </c>
      <c r="C1224" s="8">
        <v>11853</v>
      </c>
      <c r="D1224" s="9" t="s">
        <v>205</v>
      </c>
      <c r="E1224" s="10" t="s">
        <v>206</v>
      </c>
      <c r="F1224" s="10" t="s">
        <v>207</v>
      </c>
      <c r="G1224" s="8">
        <v>1</v>
      </c>
      <c r="H1224" s="11">
        <v>600</v>
      </c>
      <c r="I1224" s="12">
        <v>42534</v>
      </c>
      <c r="J1224" s="13">
        <f t="shared" si="43"/>
        <v>0</v>
      </c>
      <c r="K1224" s="14"/>
      <c r="L1224" s="14"/>
      <c r="M1224" s="14"/>
      <c r="N1224" s="14"/>
      <c r="O1224" s="14">
        <v>600</v>
      </c>
      <c r="P1224" s="14"/>
      <c r="Q1224" s="14"/>
      <c r="R1224" s="14"/>
      <c r="S1224" s="14"/>
      <c r="T1224" s="14"/>
      <c r="U1224" s="14"/>
      <c r="V1224" s="14"/>
      <c r="W1224" s="15">
        <f t="shared" si="44"/>
        <v>600</v>
      </c>
      <c r="X1224" s="14"/>
      <c r="Y1224" s="14"/>
      <c r="Z1224" s="14"/>
      <c r="AA1224" s="14"/>
      <c r="AB1224" s="14"/>
      <c r="AC1224" s="14"/>
      <c r="AD1224" s="14"/>
      <c r="AE1224" s="14"/>
      <c r="AF1224" s="14"/>
      <c r="AG1224" s="14"/>
      <c r="AH1224" s="14"/>
      <c r="AI1224" s="14"/>
      <c r="AJ1224" s="15"/>
      <c r="AK1224" s="16" t="s">
        <v>1004</v>
      </c>
    </row>
    <row r="1225" spans="2:37" x14ac:dyDescent="0.2">
      <c r="B1225" s="7" t="s">
        <v>47</v>
      </c>
      <c r="C1225" s="8">
        <v>11854</v>
      </c>
      <c r="D1225" s="9" t="s">
        <v>971</v>
      </c>
      <c r="E1225" s="10" t="s">
        <v>972</v>
      </c>
      <c r="F1225" s="10" t="s">
        <v>973</v>
      </c>
      <c r="G1225" s="8">
        <v>7</v>
      </c>
      <c r="H1225" s="11"/>
      <c r="I1225" s="12">
        <v>42535</v>
      </c>
      <c r="J1225" s="13">
        <f t="shared" si="43"/>
        <v>0</v>
      </c>
      <c r="K1225" s="14"/>
      <c r="L1225" s="14"/>
      <c r="M1225" s="14"/>
      <c r="N1225" s="14"/>
      <c r="O1225" s="14"/>
      <c r="P1225" s="14"/>
      <c r="Q1225" s="14"/>
      <c r="R1225" s="14"/>
      <c r="S1225" s="14"/>
      <c r="T1225" s="14"/>
      <c r="U1225" s="14"/>
      <c r="V1225" s="14"/>
      <c r="W1225" s="15">
        <f t="shared" si="44"/>
        <v>0</v>
      </c>
      <c r="X1225" s="14"/>
      <c r="Y1225" s="14"/>
      <c r="Z1225" s="14"/>
      <c r="AA1225" s="14"/>
      <c r="AB1225" s="14"/>
      <c r="AC1225" s="14"/>
      <c r="AD1225" s="14"/>
      <c r="AE1225" s="14"/>
      <c r="AF1225" s="14"/>
      <c r="AG1225" s="14"/>
      <c r="AH1225" s="14"/>
      <c r="AI1225" s="14"/>
      <c r="AJ1225" s="15"/>
      <c r="AK1225" s="16" t="s">
        <v>1005</v>
      </c>
    </row>
    <row r="1226" spans="2:37" x14ac:dyDescent="0.2">
      <c r="B1226" s="7" t="s">
        <v>73</v>
      </c>
      <c r="C1226" s="8">
        <v>11855</v>
      </c>
      <c r="D1226" s="9" t="s">
        <v>1006</v>
      </c>
      <c r="E1226" s="10" t="s">
        <v>1007</v>
      </c>
      <c r="F1226" s="10" t="s">
        <v>1008</v>
      </c>
      <c r="G1226" s="8">
        <v>5</v>
      </c>
      <c r="H1226" s="11">
        <v>300</v>
      </c>
      <c r="I1226" s="12">
        <v>42535</v>
      </c>
      <c r="J1226" s="13">
        <f t="shared" si="43"/>
        <v>0</v>
      </c>
      <c r="K1226" s="14"/>
      <c r="L1226" s="14"/>
      <c r="M1226" s="14"/>
      <c r="N1226" s="14"/>
      <c r="O1226" s="14"/>
      <c r="P1226" s="14"/>
      <c r="Q1226" s="14"/>
      <c r="R1226" s="14"/>
      <c r="S1226" s="14"/>
      <c r="T1226" s="14"/>
      <c r="U1226" s="14"/>
      <c r="V1226" s="14"/>
      <c r="W1226" s="15">
        <f t="shared" si="44"/>
        <v>0</v>
      </c>
      <c r="X1226" s="14"/>
      <c r="Y1226" s="14"/>
      <c r="Z1226" s="14"/>
      <c r="AA1226" s="14"/>
      <c r="AB1226" s="14"/>
      <c r="AC1226" s="14"/>
      <c r="AD1226" s="14"/>
      <c r="AE1226" s="14"/>
      <c r="AF1226" s="14"/>
      <c r="AG1226" s="14"/>
      <c r="AH1226" s="14"/>
      <c r="AI1226" s="14"/>
      <c r="AJ1226" s="15"/>
      <c r="AK1226" s="16"/>
    </row>
    <row r="1227" spans="2:37" x14ac:dyDescent="0.2">
      <c r="B1227" s="7" t="s">
        <v>47</v>
      </c>
      <c r="C1227" s="8">
        <v>11856</v>
      </c>
      <c r="D1227" s="9" t="s">
        <v>620</v>
      </c>
      <c r="E1227" s="10" t="s">
        <v>621</v>
      </c>
      <c r="F1227" s="10" t="s">
        <v>366</v>
      </c>
      <c r="G1227" s="8">
        <v>1</v>
      </c>
      <c r="H1227" s="11"/>
      <c r="I1227" s="12">
        <v>42535</v>
      </c>
      <c r="J1227" s="13">
        <f t="shared" si="43"/>
        <v>0</v>
      </c>
      <c r="K1227" s="14"/>
      <c r="L1227" s="14"/>
      <c r="M1227" s="14"/>
      <c r="N1227" s="14"/>
      <c r="O1227" s="14"/>
      <c r="P1227" s="14"/>
      <c r="Q1227" s="14"/>
      <c r="R1227" s="14"/>
      <c r="S1227" s="14"/>
      <c r="T1227" s="14"/>
      <c r="U1227" s="14"/>
      <c r="V1227" s="14"/>
      <c r="W1227" s="15">
        <f t="shared" si="44"/>
        <v>0</v>
      </c>
      <c r="X1227" s="14"/>
      <c r="Y1227" s="14"/>
      <c r="Z1227" s="14"/>
      <c r="AA1227" s="14"/>
      <c r="AB1227" s="14"/>
      <c r="AC1227" s="14"/>
      <c r="AD1227" s="14"/>
      <c r="AE1227" s="14"/>
      <c r="AF1227" s="14"/>
      <c r="AG1227" s="14"/>
      <c r="AH1227" s="14"/>
      <c r="AI1227" s="14"/>
      <c r="AJ1227" s="15"/>
      <c r="AK1227" s="16" t="s">
        <v>1009</v>
      </c>
    </row>
    <row r="1228" spans="2:37" x14ac:dyDescent="0.2">
      <c r="B1228" s="7" t="s">
        <v>69</v>
      </c>
      <c r="C1228" s="8">
        <v>11857</v>
      </c>
      <c r="D1228" s="9" t="s">
        <v>373</v>
      </c>
      <c r="E1228" s="10" t="s">
        <v>374</v>
      </c>
      <c r="F1228" s="10" t="s">
        <v>375</v>
      </c>
      <c r="G1228" s="8">
        <v>1</v>
      </c>
      <c r="H1228" s="11">
        <v>1200</v>
      </c>
      <c r="I1228" s="12">
        <v>42536</v>
      </c>
      <c r="J1228" s="13">
        <f t="shared" si="43"/>
        <v>0</v>
      </c>
      <c r="K1228" s="14"/>
      <c r="L1228" s="14"/>
      <c r="M1228" s="14"/>
      <c r="N1228" s="14">
        <v>400</v>
      </c>
      <c r="O1228" s="14">
        <v>400</v>
      </c>
      <c r="P1228" s="14">
        <v>400</v>
      </c>
      <c r="Q1228" s="14"/>
      <c r="R1228" s="14"/>
      <c r="S1228" s="14"/>
      <c r="T1228" s="14"/>
      <c r="U1228" s="14"/>
      <c r="V1228" s="14"/>
      <c r="W1228" s="15">
        <f t="shared" si="44"/>
        <v>1200</v>
      </c>
      <c r="X1228" s="14"/>
      <c r="Y1228" s="14"/>
      <c r="Z1228" s="14"/>
      <c r="AA1228" s="14"/>
      <c r="AB1228" s="14"/>
      <c r="AC1228" s="14"/>
      <c r="AD1228" s="14"/>
      <c r="AE1228" s="14"/>
      <c r="AF1228" s="14"/>
      <c r="AG1228" s="14"/>
      <c r="AH1228" s="14"/>
      <c r="AI1228" s="14"/>
      <c r="AJ1228" s="15"/>
      <c r="AK1228" s="16"/>
    </row>
    <row r="1229" spans="2:37" x14ac:dyDescent="0.2">
      <c r="B1229" s="7" t="s">
        <v>69</v>
      </c>
      <c r="C1229" s="8">
        <v>11857</v>
      </c>
      <c r="D1229" s="9" t="s">
        <v>373</v>
      </c>
      <c r="E1229" s="10" t="s">
        <v>374</v>
      </c>
      <c r="F1229" s="10" t="s">
        <v>375</v>
      </c>
      <c r="G1229" s="8">
        <v>5</v>
      </c>
      <c r="H1229" s="11">
        <v>300</v>
      </c>
      <c r="I1229" s="12">
        <v>42536</v>
      </c>
      <c r="J1229" s="13">
        <f t="shared" si="43"/>
        <v>0</v>
      </c>
      <c r="K1229" s="14"/>
      <c r="L1229" s="14"/>
      <c r="M1229" s="14"/>
      <c r="N1229" s="14"/>
      <c r="O1229" s="14"/>
      <c r="P1229" s="14"/>
      <c r="Q1229" s="14"/>
      <c r="R1229" s="14"/>
      <c r="S1229" s="14"/>
      <c r="T1229" s="14"/>
      <c r="U1229" s="14"/>
      <c r="V1229" s="14"/>
      <c r="W1229" s="15">
        <f t="shared" si="44"/>
        <v>0</v>
      </c>
      <c r="X1229" s="14"/>
      <c r="Y1229" s="14"/>
      <c r="Z1229" s="14"/>
      <c r="AA1229" s="14"/>
      <c r="AB1229" s="14"/>
      <c r="AC1229" s="14"/>
      <c r="AD1229" s="14"/>
      <c r="AE1229" s="14"/>
      <c r="AF1229" s="14"/>
      <c r="AG1229" s="14"/>
      <c r="AH1229" s="14"/>
      <c r="AI1229" s="14"/>
      <c r="AJ1229" s="15"/>
      <c r="AK1229" s="16" t="s">
        <v>1010</v>
      </c>
    </row>
    <row r="1230" spans="2:37" x14ac:dyDescent="0.2">
      <c r="B1230" s="7" t="s">
        <v>69</v>
      </c>
      <c r="C1230" s="8">
        <v>11858</v>
      </c>
      <c r="D1230" s="9" t="s">
        <v>373</v>
      </c>
      <c r="E1230" s="10" t="s">
        <v>374</v>
      </c>
      <c r="F1230" s="10" t="s">
        <v>375</v>
      </c>
      <c r="G1230" s="8">
        <v>5</v>
      </c>
      <c r="H1230" s="11">
        <v>50</v>
      </c>
      <c r="I1230" s="12">
        <v>42536</v>
      </c>
      <c r="J1230" s="13">
        <f t="shared" si="43"/>
        <v>0</v>
      </c>
      <c r="K1230" s="14"/>
      <c r="L1230" s="14"/>
      <c r="M1230" s="14"/>
      <c r="N1230" s="14"/>
      <c r="O1230" s="14"/>
      <c r="P1230" s="14"/>
      <c r="Q1230" s="14"/>
      <c r="R1230" s="14"/>
      <c r="S1230" s="14"/>
      <c r="T1230" s="14"/>
      <c r="U1230" s="14"/>
      <c r="V1230" s="14"/>
      <c r="W1230" s="15">
        <f t="shared" si="44"/>
        <v>0</v>
      </c>
      <c r="X1230" s="14"/>
      <c r="Y1230" s="14"/>
      <c r="Z1230" s="14"/>
      <c r="AA1230" s="14"/>
      <c r="AB1230" s="14"/>
      <c r="AC1230" s="14"/>
      <c r="AD1230" s="14"/>
      <c r="AE1230" s="14"/>
      <c r="AF1230" s="14"/>
      <c r="AG1230" s="14"/>
      <c r="AH1230" s="14"/>
      <c r="AI1230" s="14"/>
      <c r="AJ1230" s="15"/>
      <c r="AK1230" s="16"/>
    </row>
    <row r="1231" spans="2:37" x14ac:dyDescent="0.2">
      <c r="B1231" s="7" t="s">
        <v>69</v>
      </c>
      <c r="C1231" s="8">
        <v>11859</v>
      </c>
      <c r="D1231" s="9" t="s">
        <v>346</v>
      </c>
      <c r="E1231" s="10" t="s">
        <v>347</v>
      </c>
      <c r="F1231" s="10" t="s">
        <v>348</v>
      </c>
      <c r="G1231" s="8">
        <v>1</v>
      </c>
      <c r="H1231" s="11">
        <v>300</v>
      </c>
      <c r="I1231" s="12">
        <v>42536</v>
      </c>
      <c r="J1231" s="13">
        <f t="shared" si="43"/>
        <v>0</v>
      </c>
      <c r="K1231" s="14"/>
      <c r="L1231" s="14"/>
      <c r="M1231" s="14"/>
      <c r="N1231" s="14"/>
      <c r="O1231" s="14">
        <v>300</v>
      </c>
      <c r="P1231" s="14"/>
      <c r="Q1231" s="14"/>
      <c r="R1231" s="14"/>
      <c r="S1231" s="14"/>
      <c r="T1231" s="14"/>
      <c r="U1231" s="14"/>
      <c r="V1231" s="14"/>
      <c r="W1231" s="15">
        <f t="shared" si="44"/>
        <v>300</v>
      </c>
      <c r="X1231" s="14"/>
      <c r="Y1231" s="14"/>
      <c r="Z1231" s="14"/>
      <c r="AA1231" s="14"/>
      <c r="AB1231" s="14"/>
      <c r="AC1231" s="14"/>
      <c r="AD1231" s="14"/>
      <c r="AE1231" s="14"/>
      <c r="AF1231" s="14"/>
      <c r="AG1231" s="14"/>
      <c r="AH1231" s="14"/>
      <c r="AI1231" s="14"/>
      <c r="AJ1231" s="15"/>
      <c r="AK1231" s="16"/>
    </row>
    <row r="1232" spans="2:37" x14ac:dyDescent="0.2">
      <c r="B1232" s="7" t="s">
        <v>37</v>
      </c>
      <c r="C1232" s="8">
        <v>11860</v>
      </c>
      <c r="D1232" s="9" t="s">
        <v>226</v>
      </c>
      <c r="E1232" s="10" t="s">
        <v>227</v>
      </c>
      <c r="F1232" s="10" t="s">
        <v>228</v>
      </c>
      <c r="G1232" s="8">
        <v>1</v>
      </c>
      <c r="H1232" s="11">
        <v>200</v>
      </c>
      <c r="I1232" s="12">
        <v>42537</v>
      </c>
      <c r="J1232" s="13">
        <f t="shared" si="43"/>
        <v>0</v>
      </c>
      <c r="K1232" s="14"/>
      <c r="L1232" s="14"/>
      <c r="M1232" s="14"/>
      <c r="N1232" s="14"/>
      <c r="O1232" s="14"/>
      <c r="P1232" s="14">
        <v>200</v>
      </c>
      <c r="Q1232" s="14"/>
      <c r="R1232" s="14"/>
      <c r="S1232" s="14"/>
      <c r="T1232" s="14"/>
      <c r="U1232" s="14"/>
      <c r="V1232" s="14"/>
      <c r="W1232" s="15">
        <f t="shared" si="44"/>
        <v>200</v>
      </c>
      <c r="X1232" s="14"/>
      <c r="Y1232" s="14"/>
      <c r="Z1232" s="14"/>
      <c r="AA1232" s="14"/>
      <c r="AB1232" s="14"/>
      <c r="AC1232" s="14"/>
      <c r="AD1232" s="14"/>
      <c r="AE1232" s="14"/>
      <c r="AF1232" s="14"/>
      <c r="AG1232" s="14"/>
      <c r="AH1232" s="14"/>
      <c r="AI1232" s="14"/>
      <c r="AJ1232" s="15"/>
      <c r="AK1232" s="16"/>
    </row>
    <row r="1233" spans="2:37" x14ac:dyDescent="0.2">
      <c r="B1233" s="7" t="s">
        <v>77</v>
      </c>
      <c r="C1233" s="8">
        <v>11861</v>
      </c>
      <c r="D1233" s="9" t="s">
        <v>78</v>
      </c>
      <c r="E1233" s="10" t="s">
        <v>79</v>
      </c>
      <c r="F1233" s="10" t="s">
        <v>80</v>
      </c>
      <c r="G1233" s="8">
        <v>7</v>
      </c>
      <c r="H1233" s="11">
        <v>300</v>
      </c>
      <c r="I1233" s="12">
        <v>42537</v>
      </c>
      <c r="J1233" s="13">
        <f t="shared" si="43"/>
        <v>0</v>
      </c>
      <c r="K1233" s="14"/>
      <c r="L1233" s="14"/>
      <c r="M1233" s="14"/>
      <c r="N1233" s="14"/>
      <c r="O1233" s="14"/>
      <c r="P1233" s="14"/>
      <c r="Q1233" s="14"/>
      <c r="R1233" s="14"/>
      <c r="S1233" s="14"/>
      <c r="T1233" s="14"/>
      <c r="U1233" s="14"/>
      <c r="V1233" s="14"/>
      <c r="W1233" s="15">
        <f t="shared" si="44"/>
        <v>0</v>
      </c>
      <c r="X1233" s="14"/>
      <c r="Y1233" s="14"/>
      <c r="Z1233" s="14"/>
      <c r="AA1233" s="14"/>
      <c r="AB1233" s="14"/>
      <c r="AC1233" s="14"/>
      <c r="AD1233" s="14"/>
      <c r="AE1233" s="14"/>
      <c r="AF1233" s="14"/>
      <c r="AG1233" s="14"/>
      <c r="AH1233" s="14"/>
      <c r="AI1233" s="14"/>
      <c r="AJ1233" s="15"/>
      <c r="AK1233" s="16" t="s">
        <v>1011</v>
      </c>
    </row>
    <row r="1234" spans="2:37" x14ac:dyDescent="0.2">
      <c r="B1234" s="7" t="s">
        <v>47</v>
      </c>
      <c r="C1234" s="8">
        <v>11862</v>
      </c>
      <c r="D1234" s="9" t="s">
        <v>517</v>
      </c>
      <c r="E1234" s="10" t="s">
        <v>518</v>
      </c>
      <c r="F1234" s="10" t="s">
        <v>519</v>
      </c>
      <c r="G1234" s="8">
        <v>5</v>
      </c>
      <c r="H1234" s="11">
        <v>100</v>
      </c>
      <c r="I1234" s="12">
        <v>42537</v>
      </c>
      <c r="J1234" s="13">
        <f t="shared" si="43"/>
        <v>0</v>
      </c>
      <c r="K1234" s="14"/>
      <c r="L1234" s="14"/>
      <c r="M1234" s="14"/>
      <c r="N1234" s="14"/>
      <c r="O1234" s="14"/>
      <c r="P1234" s="14"/>
      <c r="Q1234" s="14"/>
      <c r="R1234" s="14"/>
      <c r="S1234" s="14"/>
      <c r="T1234" s="14"/>
      <c r="U1234" s="14"/>
      <c r="V1234" s="14"/>
      <c r="W1234" s="15">
        <f t="shared" si="44"/>
        <v>0</v>
      </c>
      <c r="X1234" s="14"/>
      <c r="Y1234" s="14"/>
      <c r="Z1234" s="14"/>
      <c r="AA1234" s="14"/>
      <c r="AB1234" s="14"/>
      <c r="AC1234" s="14"/>
      <c r="AD1234" s="14"/>
      <c r="AE1234" s="14"/>
      <c r="AF1234" s="14"/>
      <c r="AG1234" s="14"/>
      <c r="AH1234" s="14"/>
      <c r="AI1234" s="14"/>
      <c r="AJ1234" s="15"/>
      <c r="AK1234" s="16"/>
    </row>
    <row r="1235" spans="2:37" x14ac:dyDescent="0.2">
      <c r="B1235" s="7" t="s">
        <v>391</v>
      </c>
      <c r="C1235" s="8">
        <v>11863</v>
      </c>
      <c r="D1235" s="9" t="s">
        <v>392</v>
      </c>
      <c r="E1235" s="10" t="s">
        <v>393</v>
      </c>
      <c r="F1235" s="10" t="s">
        <v>394</v>
      </c>
      <c r="G1235" s="8">
        <v>5</v>
      </c>
      <c r="H1235" s="11">
        <v>150</v>
      </c>
      <c r="I1235" s="12">
        <v>42537</v>
      </c>
      <c r="J1235" s="13">
        <f t="shared" si="43"/>
        <v>0</v>
      </c>
      <c r="K1235" s="14"/>
      <c r="L1235" s="14"/>
      <c r="M1235" s="14"/>
      <c r="N1235" s="14"/>
      <c r="O1235" s="14"/>
      <c r="P1235" s="14"/>
      <c r="Q1235" s="14"/>
      <c r="R1235" s="14"/>
      <c r="S1235" s="14"/>
      <c r="T1235" s="14"/>
      <c r="U1235" s="14"/>
      <c r="V1235" s="14"/>
      <c r="W1235" s="15">
        <f t="shared" si="44"/>
        <v>0</v>
      </c>
      <c r="X1235" s="14"/>
      <c r="Y1235" s="14"/>
      <c r="Z1235" s="14"/>
      <c r="AA1235" s="14"/>
      <c r="AB1235" s="14"/>
      <c r="AC1235" s="14"/>
      <c r="AD1235" s="14"/>
      <c r="AE1235" s="14"/>
      <c r="AF1235" s="14"/>
      <c r="AG1235" s="14"/>
      <c r="AH1235" s="14"/>
      <c r="AI1235" s="14"/>
      <c r="AJ1235" s="15"/>
      <c r="AK1235" s="16"/>
    </row>
    <row r="1236" spans="2:37" x14ac:dyDescent="0.2">
      <c r="B1236" s="7" t="s">
        <v>73</v>
      </c>
      <c r="C1236" s="8">
        <v>11864</v>
      </c>
      <c r="D1236" s="9" t="s">
        <v>559</v>
      </c>
      <c r="E1236" s="10" t="s">
        <v>560</v>
      </c>
      <c r="F1236" s="10" t="s">
        <v>561</v>
      </c>
      <c r="G1236" s="8">
        <v>3</v>
      </c>
      <c r="H1236" s="11">
        <v>160</v>
      </c>
      <c r="I1236" s="12">
        <v>42537</v>
      </c>
      <c r="J1236" s="13">
        <f t="shared" si="43"/>
        <v>0</v>
      </c>
      <c r="K1236" s="14"/>
      <c r="L1236" s="14"/>
      <c r="M1236" s="14"/>
      <c r="N1236" s="14"/>
      <c r="O1236" s="14"/>
      <c r="P1236" s="14"/>
      <c r="Q1236" s="14"/>
      <c r="R1236" s="14"/>
      <c r="S1236" s="14"/>
      <c r="T1236" s="14"/>
      <c r="U1236" s="14"/>
      <c r="V1236" s="14"/>
      <c r="W1236" s="15">
        <f t="shared" si="44"/>
        <v>0</v>
      </c>
      <c r="X1236" s="14"/>
      <c r="Y1236" s="14"/>
      <c r="Z1236" s="14"/>
      <c r="AA1236" s="14"/>
      <c r="AB1236" s="14"/>
      <c r="AC1236" s="14"/>
      <c r="AD1236" s="14"/>
      <c r="AE1236" s="14"/>
      <c r="AF1236" s="14"/>
      <c r="AG1236" s="14"/>
      <c r="AH1236" s="14"/>
      <c r="AI1236" s="14"/>
      <c r="AJ1236" s="15"/>
      <c r="AK1236" s="16"/>
    </row>
    <row r="1237" spans="2:37" x14ac:dyDescent="0.2">
      <c r="B1237" s="7" t="s">
        <v>37</v>
      </c>
      <c r="C1237" s="8">
        <v>11865</v>
      </c>
      <c r="D1237" s="9" t="s">
        <v>119</v>
      </c>
      <c r="E1237" s="10" t="s">
        <v>120</v>
      </c>
      <c r="F1237" s="10" t="s">
        <v>121</v>
      </c>
      <c r="G1237" s="8">
        <v>1</v>
      </c>
      <c r="H1237" s="11"/>
      <c r="I1237" s="12">
        <v>42538</v>
      </c>
      <c r="J1237" s="13">
        <f t="shared" si="43"/>
        <v>0</v>
      </c>
      <c r="K1237" s="14"/>
      <c r="L1237" s="14"/>
      <c r="M1237" s="14"/>
      <c r="N1237" s="14"/>
      <c r="O1237" s="14"/>
      <c r="P1237" s="14"/>
      <c r="Q1237" s="14"/>
      <c r="R1237" s="14"/>
      <c r="S1237" s="14"/>
      <c r="T1237" s="14"/>
      <c r="U1237" s="14"/>
      <c r="V1237" s="14"/>
      <c r="W1237" s="15">
        <f t="shared" si="44"/>
        <v>0</v>
      </c>
      <c r="X1237" s="14"/>
      <c r="Y1237" s="14"/>
      <c r="Z1237" s="14"/>
      <c r="AA1237" s="14"/>
      <c r="AB1237" s="14"/>
      <c r="AC1237" s="14"/>
      <c r="AD1237" s="14"/>
      <c r="AE1237" s="14"/>
      <c r="AF1237" s="14"/>
      <c r="AG1237" s="14"/>
      <c r="AH1237" s="14"/>
      <c r="AI1237" s="14"/>
      <c r="AJ1237" s="15"/>
      <c r="AK1237" s="16" t="s">
        <v>1012</v>
      </c>
    </row>
    <row r="1238" spans="2:37" x14ac:dyDescent="0.2">
      <c r="B1238" s="7" t="s">
        <v>73</v>
      </c>
      <c r="C1238" s="8">
        <v>11866</v>
      </c>
      <c r="D1238" s="9" t="s">
        <v>938</v>
      </c>
      <c r="E1238" s="10" t="s">
        <v>939</v>
      </c>
      <c r="F1238" s="10" t="s">
        <v>940</v>
      </c>
      <c r="G1238" s="8">
        <v>1</v>
      </c>
      <c r="H1238" s="11">
        <v>400</v>
      </c>
      <c r="I1238" s="12">
        <v>42538</v>
      </c>
      <c r="J1238" s="13">
        <f t="shared" si="43"/>
        <v>0</v>
      </c>
      <c r="K1238" s="14"/>
      <c r="L1238" s="14"/>
      <c r="M1238" s="14"/>
      <c r="N1238" s="14"/>
      <c r="O1238" s="14"/>
      <c r="P1238" s="14">
        <v>400</v>
      </c>
      <c r="Q1238" s="14"/>
      <c r="R1238" s="14"/>
      <c r="S1238" s="14"/>
      <c r="T1238" s="14"/>
      <c r="U1238" s="14"/>
      <c r="V1238" s="14"/>
      <c r="W1238" s="15">
        <f t="shared" si="44"/>
        <v>400</v>
      </c>
      <c r="X1238" s="14"/>
      <c r="Y1238" s="14"/>
      <c r="Z1238" s="14"/>
      <c r="AA1238" s="14"/>
      <c r="AB1238" s="14"/>
      <c r="AC1238" s="14"/>
      <c r="AD1238" s="14"/>
      <c r="AE1238" s="14"/>
      <c r="AF1238" s="14"/>
      <c r="AG1238" s="14"/>
      <c r="AH1238" s="14"/>
      <c r="AI1238" s="14"/>
      <c r="AJ1238" s="15"/>
      <c r="AK1238" s="16"/>
    </row>
    <row r="1239" spans="2:37" x14ac:dyDescent="0.2">
      <c r="B1239" s="7" t="s">
        <v>73</v>
      </c>
      <c r="C1239" s="8">
        <v>11866</v>
      </c>
      <c r="D1239" s="9" t="s">
        <v>938</v>
      </c>
      <c r="E1239" s="10" t="s">
        <v>939</v>
      </c>
      <c r="F1239" s="10" t="s">
        <v>940</v>
      </c>
      <c r="G1239" s="8">
        <v>3</v>
      </c>
      <c r="H1239" s="11">
        <v>160</v>
      </c>
      <c r="I1239" s="12">
        <v>42538</v>
      </c>
      <c r="J1239" s="13">
        <f t="shared" si="43"/>
        <v>0</v>
      </c>
      <c r="K1239" s="14"/>
      <c r="L1239" s="14"/>
      <c r="M1239" s="14"/>
      <c r="N1239" s="14"/>
      <c r="O1239" s="14"/>
      <c r="P1239" s="14"/>
      <c r="Q1239" s="14"/>
      <c r="R1239" s="14"/>
      <c r="S1239" s="14"/>
      <c r="T1239" s="14"/>
      <c r="U1239" s="14"/>
      <c r="V1239" s="14"/>
      <c r="W1239" s="15">
        <f t="shared" si="44"/>
        <v>0</v>
      </c>
      <c r="X1239" s="14"/>
      <c r="Y1239" s="14"/>
      <c r="Z1239" s="14"/>
      <c r="AA1239" s="14"/>
      <c r="AB1239" s="14"/>
      <c r="AC1239" s="14"/>
      <c r="AD1239" s="14"/>
      <c r="AE1239" s="14"/>
      <c r="AF1239" s="14"/>
      <c r="AG1239" s="14"/>
      <c r="AH1239" s="14"/>
      <c r="AI1239" s="14"/>
      <c r="AJ1239" s="15"/>
      <c r="AK1239" s="16"/>
    </row>
    <row r="1240" spans="2:37" x14ac:dyDescent="0.2">
      <c r="B1240" s="7" t="s">
        <v>73</v>
      </c>
      <c r="C1240" s="8">
        <v>11866</v>
      </c>
      <c r="D1240" s="9" t="s">
        <v>938</v>
      </c>
      <c r="E1240" s="10" t="s">
        <v>939</v>
      </c>
      <c r="F1240" s="10" t="s">
        <v>940</v>
      </c>
      <c r="G1240" s="8">
        <v>5</v>
      </c>
      <c r="H1240" s="11">
        <v>50</v>
      </c>
      <c r="I1240" s="12">
        <v>42538</v>
      </c>
      <c r="J1240" s="13">
        <f t="shared" si="43"/>
        <v>0</v>
      </c>
      <c r="K1240" s="14"/>
      <c r="L1240" s="14"/>
      <c r="M1240" s="14"/>
      <c r="N1240" s="14"/>
      <c r="O1240" s="14"/>
      <c r="P1240" s="14"/>
      <c r="Q1240" s="14"/>
      <c r="R1240" s="14"/>
      <c r="S1240" s="14"/>
      <c r="T1240" s="14"/>
      <c r="U1240" s="14"/>
      <c r="V1240" s="14"/>
      <c r="W1240" s="15">
        <f t="shared" si="44"/>
        <v>0</v>
      </c>
      <c r="X1240" s="14"/>
      <c r="Y1240" s="14"/>
      <c r="Z1240" s="14"/>
      <c r="AA1240" s="14"/>
      <c r="AB1240" s="14"/>
      <c r="AC1240" s="14"/>
      <c r="AD1240" s="14"/>
      <c r="AE1240" s="14"/>
      <c r="AF1240" s="14"/>
      <c r="AG1240" s="14"/>
      <c r="AH1240" s="14"/>
      <c r="AI1240" s="14"/>
      <c r="AJ1240" s="15"/>
      <c r="AK1240" s="16"/>
    </row>
    <row r="1241" spans="2:37" x14ac:dyDescent="0.2">
      <c r="B1241" s="7" t="s">
        <v>37</v>
      </c>
      <c r="C1241" s="8">
        <v>11867</v>
      </c>
      <c r="D1241" s="9" t="s">
        <v>119</v>
      </c>
      <c r="E1241" s="10" t="s">
        <v>120</v>
      </c>
      <c r="F1241" s="10" t="s">
        <v>121</v>
      </c>
      <c r="G1241" s="8">
        <v>1</v>
      </c>
      <c r="H1241" s="11"/>
      <c r="I1241" s="12">
        <v>42538</v>
      </c>
      <c r="J1241" s="13">
        <f t="shared" si="43"/>
        <v>0</v>
      </c>
      <c r="K1241" s="14"/>
      <c r="L1241" s="14"/>
      <c r="M1241" s="14"/>
      <c r="N1241" s="14"/>
      <c r="O1241" s="14"/>
      <c r="P1241" s="14"/>
      <c r="Q1241" s="14"/>
      <c r="R1241" s="14"/>
      <c r="S1241" s="14"/>
      <c r="T1241" s="14"/>
      <c r="U1241" s="14"/>
      <c r="V1241" s="14"/>
      <c r="W1241" s="15">
        <f t="shared" si="44"/>
        <v>0</v>
      </c>
      <c r="X1241" s="14"/>
      <c r="Y1241" s="14"/>
      <c r="Z1241" s="14"/>
      <c r="AA1241" s="14"/>
      <c r="AB1241" s="14"/>
      <c r="AC1241" s="14"/>
      <c r="AD1241" s="14"/>
      <c r="AE1241" s="14"/>
      <c r="AF1241" s="14"/>
      <c r="AG1241" s="14"/>
      <c r="AH1241" s="14"/>
      <c r="AI1241" s="14"/>
      <c r="AJ1241" s="15"/>
      <c r="AK1241" s="16" t="s">
        <v>1013</v>
      </c>
    </row>
    <row r="1242" spans="2:37" x14ac:dyDescent="0.2">
      <c r="B1242" s="7" t="s">
        <v>122</v>
      </c>
      <c r="C1242" s="8">
        <v>11948</v>
      </c>
      <c r="D1242" s="9" t="s">
        <v>797</v>
      </c>
      <c r="E1242" s="10" t="s">
        <v>798</v>
      </c>
      <c r="F1242" s="10" t="s">
        <v>799</v>
      </c>
      <c r="G1242" s="8">
        <v>5</v>
      </c>
      <c r="H1242" s="11">
        <v>100</v>
      </c>
      <c r="I1242" s="12">
        <v>42540</v>
      </c>
      <c r="J1242" s="13">
        <f t="shared" si="43"/>
        <v>0</v>
      </c>
      <c r="K1242" s="14"/>
      <c r="L1242" s="14"/>
      <c r="M1242" s="14"/>
      <c r="N1242" s="14"/>
      <c r="O1242" s="14"/>
      <c r="P1242" s="14"/>
      <c r="Q1242" s="14"/>
      <c r="R1242" s="14"/>
      <c r="S1242" s="14"/>
      <c r="T1242" s="14"/>
      <c r="U1242" s="14"/>
      <c r="V1242" s="14"/>
      <c r="W1242" s="15">
        <f t="shared" si="44"/>
        <v>0</v>
      </c>
      <c r="X1242" s="14"/>
      <c r="Y1242" s="14"/>
      <c r="Z1242" s="14"/>
      <c r="AA1242" s="14"/>
      <c r="AB1242" s="14"/>
      <c r="AC1242" s="14"/>
      <c r="AD1242" s="14"/>
      <c r="AE1242" s="14"/>
      <c r="AF1242" s="14"/>
      <c r="AG1242" s="14"/>
      <c r="AH1242" s="14"/>
      <c r="AI1242" s="14"/>
      <c r="AJ1242" s="15"/>
      <c r="AK1242" s="16"/>
    </row>
    <row r="1243" spans="2:37" x14ac:dyDescent="0.2">
      <c r="B1243" s="7" t="s">
        <v>69</v>
      </c>
      <c r="C1243" s="8">
        <v>11949</v>
      </c>
      <c r="D1243" s="9" t="s">
        <v>855</v>
      </c>
      <c r="E1243" s="10" t="s">
        <v>856</v>
      </c>
      <c r="F1243" s="10" t="s">
        <v>857</v>
      </c>
      <c r="G1243" s="8">
        <v>5</v>
      </c>
      <c r="H1243" s="11">
        <v>100</v>
      </c>
      <c r="I1243" s="12">
        <v>42540</v>
      </c>
      <c r="J1243" s="13">
        <f t="shared" si="43"/>
        <v>0</v>
      </c>
      <c r="K1243" s="14"/>
      <c r="L1243" s="14"/>
      <c r="M1243" s="14"/>
      <c r="N1243" s="14"/>
      <c r="O1243" s="14"/>
      <c r="P1243" s="14"/>
      <c r="Q1243" s="14"/>
      <c r="R1243" s="14"/>
      <c r="S1243" s="14"/>
      <c r="T1243" s="14"/>
      <c r="U1243" s="14"/>
      <c r="V1243" s="14"/>
      <c r="W1243" s="15">
        <f t="shared" si="44"/>
        <v>0</v>
      </c>
      <c r="X1243" s="14"/>
      <c r="Y1243" s="14"/>
      <c r="Z1243" s="14"/>
      <c r="AA1243" s="14"/>
      <c r="AB1243" s="14"/>
      <c r="AC1243" s="14"/>
      <c r="AD1243" s="14"/>
      <c r="AE1243" s="14"/>
      <c r="AF1243" s="14"/>
      <c r="AG1243" s="14"/>
      <c r="AH1243" s="14"/>
      <c r="AI1243" s="14"/>
      <c r="AJ1243" s="15"/>
      <c r="AK1243" s="16"/>
    </row>
    <row r="1244" spans="2:37" x14ac:dyDescent="0.2">
      <c r="B1244" s="7" t="s">
        <v>69</v>
      </c>
      <c r="C1244" s="8">
        <v>11950</v>
      </c>
      <c r="D1244" s="9" t="s">
        <v>265</v>
      </c>
      <c r="E1244" s="10" t="s">
        <v>266</v>
      </c>
      <c r="F1244" s="10" t="s">
        <v>267</v>
      </c>
      <c r="G1244" s="8">
        <v>5</v>
      </c>
      <c r="H1244" s="11">
        <v>50</v>
      </c>
      <c r="I1244" s="12">
        <v>42540</v>
      </c>
      <c r="J1244" s="13">
        <f t="shared" si="43"/>
        <v>0</v>
      </c>
      <c r="K1244" s="14"/>
      <c r="L1244" s="14"/>
      <c r="M1244" s="14"/>
      <c r="N1244" s="14"/>
      <c r="O1244" s="14"/>
      <c r="P1244" s="14"/>
      <c r="Q1244" s="14"/>
      <c r="R1244" s="14"/>
      <c r="S1244" s="14"/>
      <c r="T1244" s="14"/>
      <c r="U1244" s="14"/>
      <c r="V1244" s="14"/>
      <c r="W1244" s="15">
        <f t="shared" si="44"/>
        <v>0</v>
      </c>
      <c r="X1244" s="14"/>
      <c r="Y1244" s="14"/>
      <c r="Z1244" s="14"/>
      <c r="AA1244" s="14"/>
      <c r="AB1244" s="14"/>
      <c r="AC1244" s="14"/>
      <c r="AD1244" s="14"/>
      <c r="AE1244" s="14"/>
      <c r="AF1244" s="14"/>
      <c r="AG1244" s="14"/>
      <c r="AH1244" s="14"/>
      <c r="AI1244" s="14"/>
      <c r="AJ1244" s="15"/>
      <c r="AK1244" s="16"/>
    </row>
    <row r="1245" spans="2:37" x14ac:dyDescent="0.2">
      <c r="B1245" s="7" t="s">
        <v>47</v>
      </c>
      <c r="C1245" s="8">
        <v>11951</v>
      </c>
      <c r="D1245" s="9" t="s">
        <v>702</v>
      </c>
      <c r="E1245" s="10" t="s">
        <v>703</v>
      </c>
      <c r="F1245" s="10" t="s">
        <v>704</v>
      </c>
      <c r="G1245" s="8">
        <v>5</v>
      </c>
      <c r="H1245" s="11">
        <v>150</v>
      </c>
      <c r="I1245" s="12">
        <v>42540</v>
      </c>
      <c r="J1245" s="13">
        <f t="shared" si="43"/>
        <v>0</v>
      </c>
      <c r="K1245" s="14"/>
      <c r="L1245" s="14"/>
      <c r="M1245" s="14"/>
      <c r="N1245" s="14"/>
      <c r="O1245" s="14"/>
      <c r="P1245" s="14"/>
      <c r="Q1245" s="14"/>
      <c r="R1245" s="14"/>
      <c r="S1245" s="14"/>
      <c r="T1245" s="14"/>
      <c r="U1245" s="14"/>
      <c r="V1245" s="14"/>
      <c r="W1245" s="15">
        <f t="shared" si="44"/>
        <v>0</v>
      </c>
      <c r="X1245" s="14"/>
      <c r="Y1245" s="14"/>
      <c r="Z1245" s="14"/>
      <c r="AA1245" s="14"/>
      <c r="AB1245" s="14"/>
      <c r="AC1245" s="14"/>
      <c r="AD1245" s="14"/>
      <c r="AE1245" s="14"/>
      <c r="AF1245" s="14"/>
      <c r="AG1245" s="14"/>
      <c r="AH1245" s="14"/>
      <c r="AI1245" s="14"/>
      <c r="AJ1245" s="15"/>
      <c r="AK1245" s="16"/>
    </row>
    <row r="1246" spans="2:37" x14ac:dyDescent="0.2">
      <c r="B1246" s="7" t="s">
        <v>47</v>
      </c>
      <c r="C1246" s="8">
        <v>11952</v>
      </c>
      <c r="D1246" s="9" t="s">
        <v>702</v>
      </c>
      <c r="E1246" s="10" t="s">
        <v>703</v>
      </c>
      <c r="F1246" s="10" t="s">
        <v>704</v>
      </c>
      <c r="G1246" s="8">
        <v>5</v>
      </c>
      <c r="H1246" s="11">
        <v>50</v>
      </c>
      <c r="I1246" s="12">
        <v>42540</v>
      </c>
      <c r="J1246" s="13">
        <f t="shared" si="43"/>
        <v>0</v>
      </c>
      <c r="K1246" s="14"/>
      <c r="L1246" s="14"/>
      <c r="M1246" s="14"/>
      <c r="N1246" s="14"/>
      <c r="O1246" s="14"/>
      <c r="P1246" s="14"/>
      <c r="Q1246" s="14"/>
      <c r="R1246" s="14"/>
      <c r="S1246" s="14"/>
      <c r="T1246" s="14"/>
      <c r="U1246" s="14"/>
      <c r="V1246" s="14"/>
      <c r="W1246" s="15">
        <f t="shared" si="44"/>
        <v>0</v>
      </c>
      <c r="X1246" s="14"/>
      <c r="Y1246" s="14"/>
      <c r="Z1246" s="14"/>
      <c r="AA1246" s="14"/>
      <c r="AB1246" s="14"/>
      <c r="AC1246" s="14"/>
      <c r="AD1246" s="14"/>
      <c r="AE1246" s="14"/>
      <c r="AF1246" s="14"/>
      <c r="AG1246" s="14"/>
      <c r="AH1246" s="14"/>
      <c r="AI1246" s="14"/>
      <c r="AJ1246" s="15"/>
      <c r="AK1246" s="16"/>
    </row>
    <row r="1247" spans="2:37" x14ac:dyDescent="0.2">
      <c r="B1247" s="7" t="s">
        <v>73</v>
      </c>
      <c r="C1247" s="8">
        <v>11953</v>
      </c>
      <c r="D1247" s="9" t="s">
        <v>523</v>
      </c>
      <c r="E1247" s="10" t="s">
        <v>524</v>
      </c>
      <c r="F1247" s="10" t="s">
        <v>525</v>
      </c>
      <c r="G1247" s="8">
        <v>5</v>
      </c>
      <c r="H1247" s="11">
        <v>50</v>
      </c>
      <c r="I1247" s="12">
        <v>42540</v>
      </c>
      <c r="J1247" s="13">
        <f t="shared" si="43"/>
        <v>0</v>
      </c>
      <c r="K1247" s="14"/>
      <c r="L1247" s="14"/>
      <c r="M1247" s="14"/>
      <c r="N1247" s="14"/>
      <c r="O1247" s="14"/>
      <c r="P1247" s="14"/>
      <c r="Q1247" s="14"/>
      <c r="R1247" s="14"/>
      <c r="S1247" s="14"/>
      <c r="T1247" s="14"/>
      <c r="U1247" s="14"/>
      <c r="V1247" s="14"/>
      <c r="W1247" s="15">
        <f t="shared" si="44"/>
        <v>0</v>
      </c>
      <c r="X1247" s="14"/>
      <c r="Y1247" s="14"/>
      <c r="Z1247" s="14"/>
      <c r="AA1247" s="14"/>
      <c r="AB1247" s="14"/>
      <c r="AC1247" s="14"/>
      <c r="AD1247" s="14"/>
      <c r="AE1247" s="14"/>
      <c r="AF1247" s="14"/>
      <c r="AG1247" s="14"/>
      <c r="AH1247" s="14"/>
      <c r="AI1247" s="14"/>
      <c r="AJ1247" s="15"/>
      <c r="AK1247" s="16"/>
    </row>
    <row r="1248" spans="2:37" x14ac:dyDescent="0.2">
      <c r="B1248" s="7" t="s">
        <v>47</v>
      </c>
      <c r="C1248" s="8">
        <v>11954</v>
      </c>
      <c r="D1248" s="9" t="s">
        <v>699</v>
      </c>
      <c r="E1248" s="10" t="s">
        <v>700</v>
      </c>
      <c r="F1248" s="10" t="s">
        <v>701</v>
      </c>
      <c r="G1248" s="8">
        <v>5</v>
      </c>
      <c r="H1248" s="11">
        <v>100</v>
      </c>
      <c r="I1248" s="12">
        <v>42540</v>
      </c>
      <c r="J1248" s="13">
        <f t="shared" si="43"/>
        <v>0</v>
      </c>
      <c r="K1248" s="14"/>
      <c r="L1248" s="14"/>
      <c r="M1248" s="14"/>
      <c r="N1248" s="14"/>
      <c r="O1248" s="14"/>
      <c r="P1248" s="14"/>
      <c r="Q1248" s="14"/>
      <c r="R1248" s="14"/>
      <c r="S1248" s="14"/>
      <c r="T1248" s="14"/>
      <c r="U1248" s="14"/>
      <c r="V1248" s="14"/>
      <c r="W1248" s="15">
        <f t="shared" si="44"/>
        <v>0</v>
      </c>
      <c r="X1248" s="14"/>
      <c r="Y1248" s="14"/>
      <c r="Z1248" s="14"/>
      <c r="AA1248" s="14"/>
      <c r="AB1248" s="14"/>
      <c r="AC1248" s="14"/>
      <c r="AD1248" s="14"/>
      <c r="AE1248" s="14"/>
      <c r="AF1248" s="14"/>
      <c r="AG1248" s="14"/>
      <c r="AH1248" s="14"/>
      <c r="AI1248" s="14"/>
      <c r="AJ1248" s="15"/>
      <c r="AK1248" s="16"/>
    </row>
    <row r="1249" spans="2:37" x14ac:dyDescent="0.2">
      <c r="B1249" s="7" t="s">
        <v>73</v>
      </c>
      <c r="C1249" s="8">
        <v>11955</v>
      </c>
      <c r="D1249" s="9" t="s">
        <v>458</v>
      </c>
      <c r="E1249" s="10" t="s">
        <v>459</v>
      </c>
      <c r="F1249" s="10" t="s">
        <v>460</v>
      </c>
      <c r="G1249" s="8">
        <v>5</v>
      </c>
      <c r="H1249" s="11">
        <v>150</v>
      </c>
      <c r="I1249" s="12">
        <v>42540</v>
      </c>
      <c r="J1249" s="13">
        <f t="shared" si="43"/>
        <v>0</v>
      </c>
      <c r="K1249" s="14"/>
      <c r="L1249" s="14"/>
      <c r="M1249" s="14"/>
      <c r="N1249" s="14"/>
      <c r="O1249" s="14"/>
      <c r="P1249" s="14"/>
      <c r="Q1249" s="14"/>
      <c r="R1249" s="14"/>
      <c r="S1249" s="14"/>
      <c r="T1249" s="14"/>
      <c r="U1249" s="14"/>
      <c r="V1249" s="14"/>
      <c r="W1249" s="15">
        <f t="shared" si="44"/>
        <v>0</v>
      </c>
      <c r="X1249" s="14"/>
      <c r="Y1249" s="14"/>
      <c r="Z1249" s="14"/>
      <c r="AA1249" s="14"/>
      <c r="AB1249" s="14"/>
      <c r="AC1249" s="14"/>
      <c r="AD1249" s="14"/>
      <c r="AE1249" s="14"/>
      <c r="AF1249" s="14"/>
      <c r="AG1249" s="14"/>
      <c r="AH1249" s="14"/>
      <c r="AI1249" s="14"/>
      <c r="AJ1249" s="15"/>
      <c r="AK1249" s="16"/>
    </row>
    <row r="1250" spans="2:37" x14ac:dyDescent="0.2">
      <c r="B1250" s="7" t="s">
        <v>47</v>
      </c>
      <c r="C1250" s="8">
        <v>11956</v>
      </c>
      <c r="D1250" s="9" t="s">
        <v>208</v>
      </c>
      <c r="E1250" s="10" t="s">
        <v>209</v>
      </c>
      <c r="F1250" s="10" t="s">
        <v>210</v>
      </c>
      <c r="G1250" s="8">
        <v>5</v>
      </c>
      <c r="H1250" s="11">
        <v>300</v>
      </c>
      <c r="I1250" s="12">
        <v>42540</v>
      </c>
      <c r="J1250" s="13">
        <f t="shared" si="43"/>
        <v>0</v>
      </c>
      <c r="K1250" s="14"/>
      <c r="L1250" s="14"/>
      <c r="M1250" s="14"/>
      <c r="N1250" s="14"/>
      <c r="O1250" s="14"/>
      <c r="P1250" s="14"/>
      <c r="Q1250" s="14"/>
      <c r="R1250" s="14"/>
      <c r="S1250" s="14"/>
      <c r="T1250" s="14"/>
      <c r="U1250" s="14"/>
      <c r="V1250" s="14"/>
      <c r="W1250" s="15">
        <f t="shared" si="44"/>
        <v>0</v>
      </c>
      <c r="X1250" s="14"/>
      <c r="Y1250" s="14"/>
      <c r="Z1250" s="14"/>
      <c r="AA1250" s="14"/>
      <c r="AB1250" s="14"/>
      <c r="AC1250" s="14"/>
      <c r="AD1250" s="14"/>
      <c r="AE1250" s="14"/>
      <c r="AF1250" s="14"/>
      <c r="AG1250" s="14"/>
      <c r="AH1250" s="14"/>
      <c r="AI1250" s="14"/>
      <c r="AJ1250" s="15"/>
      <c r="AK1250" s="16"/>
    </row>
    <row r="1251" spans="2:37" x14ac:dyDescent="0.2">
      <c r="B1251" s="7" t="s">
        <v>47</v>
      </c>
      <c r="C1251" s="8">
        <v>11957</v>
      </c>
      <c r="D1251" s="9" t="s">
        <v>416</v>
      </c>
      <c r="E1251" s="10" t="s">
        <v>417</v>
      </c>
      <c r="F1251" s="10" t="s">
        <v>418</v>
      </c>
      <c r="G1251" s="8">
        <v>5</v>
      </c>
      <c r="H1251" s="11">
        <v>100</v>
      </c>
      <c r="I1251" s="12">
        <v>42540</v>
      </c>
      <c r="J1251" s="13">
        <f t="shared" si="43"/>
        <v>0</v>
      </c>
      <c r="K1251" s="14"/>
      <c r="L1251" s="14"/>
      <c r="M1251" s="14"/>
      <c r="N1251" s="14"/>
      <c r="O1251" s="14"/>
      <c r="P1251" s="14"/>
      <c r="Q1251" s="14"/>
      <c r="R1251" s="14"/>
      <c r="S1251" s="14"/>
      <c r="T1251" s="14"/>
      <c r="U1251" s="14"/>
      <c r="V1251" s="14"/>
      <c r="W1251" s="15">
        <f t="shared" si="44"/>
        <v>0</v>
      </c>
      <c r="X1251" s="14"/>
      <c r="Y1251" s="14"/>
      <c r="Z1251" s="14"/>
      <c r="AA1251" s="14"/>
      <c r="AB1251" s="14"/>
      <c r="AC1251" s="14"/>
      <c r="AD1251" s="14"/>
      <c r="AE1251" s="14"/>
      <c r="AF1251" s="14"/>
      <c r="AG1251" s="14"/>
      <c r="AH1251" s="14"/>
      <c r="AI1251" s="14"/>
      <c r="AJ1251" s="15"/>
      <c r="AK1251" s="16"/>
    </row>
    <row r="1252" spans="2:37" x14ac:dyDescent="0.2">
      <c r="B1252" s="7" t="s">
        <v>47</v>
      </c>
      <c r="C1252" s="8">
        <v>11958</v>
      </c>
      <c r="D1252" s="9" t="s">
        <v>769</v>
      </c>
      <c r="E1252" s="10" t="s">
        <v>770</v>
      </c>
      <c r="F1252" s="10" t="s">
        <v>771</v>
      </c>
      <c r="G1252" s="8">
        <v>5</v>
      </c>
      <c r="H1252" s="11">
        <v>200</v>
      </c>
      <c r="I1252" s="12">
        <v>42540</v>
      </c>
      <c r="J1252" s="13">
        <f t="shared" si="43"/>
        <v>0</v>
      </c>
      <c r="K1252" s="14"/>
      <c r="L1252" s="14"/>
      <c r="M1252" s="14"/>
      <c r="N1252" s="14"/>
      <c r="O1252" s="14"/>
      <c r="P1252" s="14"/>
      <c r="Q1252" s="14"/>
      <c r="R1252" s="14"/>
      <c r="S1252" s="14"/>
      <c r="T1252" s="14"/>
      <c r="U1252" s="14"/>
      <c r="V1252" s="14"/>
      <c r="W1252" s="15">
        <f t="shared" si="44"/>
        <v>0</v>
      </c>
      <c r="X1252" s="14"/>
      <c r="Y1252" s="14"/>
      <c r="Z1252" s="14"/>
      <c r="AA1252" s="14"/>
      <c r="AB1252" s="14"/>
      <c r="AC1252" s="14"/>
      <c r="AD1252" s="14"/>
      <c r="AE1252" s="14"/>
      <c r="AF1252" s="14"/>
      <c r="AG1252" s="14"/>
      <c r="AH1252" s="14"/>
      <c r="AI1252" s="14"/>
      <c r="AJ1252" s="15"/>
      <c r="AK1252" s="16"/>
    </row>
    <row r="1253" spans="2:37" x14ac:dyDescent="0.2">
      <c r="B1253" s="7" t="s">
        <v>77</v>
      </c>
      <c r="C1253" s="8">
        <v>11959</v>
      </c>
      <c r="D1253" s="9" t="s">
        <v>322</v>
      </c>
      <c r="E1253" s="10" t="s">
        <v>323</v>
      </c>
      <c r="F1253" s="10" t="s">
        <v>324</v>
      </c>
      <c r="G1253" s="8">
        <v>5</v>
      </c>
      <c r="H1253" s="11">
        <v>100</v>
      </c>
      <c r="I1253" s="12">
        <v>42540</v>
      </c>
      <c r="J1253" s="13">
        <f t="shared" si="43"/>
        <v>0</v>
      </c>
      <c r="K1253" s="14"/>
      <c r="L1253" s="14"/>
      <c r="M1253" s="14"/>
      <c r="N1253" s="14"/>
      <c r="O1253" s="14"/>
      <c r="P1253" s="14"/>
      <c r="Q1253" s="14"/>
      <c r="R1253" s="14"/>
      <c r="S1253" s="14"/>
      <c r="T1253" s="14"/>
      <c r="U1253" s="14"/>
      <c r="V1253" s="14"/>
      <c r="W1253" s="15">
        <f t="shared" si="44"/>
        <v>0</v>
      </c>
      <c r="X1253" s="14"/>
      <c r="Y1253" s="14"/>
      <c r="Z1253" s="14"/>
      <c r="AA1253" s="14"/>
      <c r="AB1253" s="14"/>
      <c r="AC1253" s="14"/>
      <c r="AD1253" s="14"/>
      <c r="AE1253" s="14"/>
      <c r="AF1253" s="14"/>
      <c r="AG1253" s="14"/>
      <c r="AH1253" s="14"/>
      <c r="AI1253" s="14"/>
      <c r="AJ1253" s="15"/>
      <c r="AK1253" s="16"/>
    </row>
    <row r="1254" spans="2:37" x14ac:dyDescent="0.2">
      <c r="B1254" s="7" t="s">
        <v>47</v>
      </c>
      <c r="C1254" s="8">
        <v>11960</v>
      </c>
      <c r="D1254" s="9" t="s">
        <v>509</v>
      </c>
      <c r="E1254" s="10" t="s">
        <v>510</v>
      </c>
      <c r="F1254" s="10" t="s">
        <v>511</v>
      </c>
      <c r="G1254" s="8">
        <v>5</v>
      </c>
      <c r="H1254" s="11">
        <v>50</v>
      </c>
      <c r="I1254" s="12">
        <v>42540</v>
      </c>
      <c r="J1254" s="13">
        <f t="shared" si="43"/>
        <v>0</v>
      </c>
      <c r="K1254" s="14"/>
      <c r="L1254" s="14"/>
      <c r="M1254" s="14"/>
      <c r="N1254" s="14"/>
      <c r="O1254" s="14"/>
      <c r="P1254" s="14"/>
      <c r="Q1254" s="14"/>
      <c r="R1254" s="14"/>
      <c r="S1254" s="14"/>
      <c r="T1254" s="14"/>
      <c r="U1254" s="14"/>
      <c r="V1254" s="14"/>
      <c r="W1254" s="15">
        <f t="shared" si="44"/>
        <v>0</v>
      </c>
      <c r="X1254" s="14"/>
      <c r="Y1254" s="14"/>
      <c r="Z1254" s="14"/>
      <c r="AA1254" s="14"/>
      <c r="AB1254" s="14"/>
      <c r="AC1254" s="14"/>
      <c r="AD1254" s="14"/>
      <c r="AE1254" s="14"/>
      <c r="AF1254" s="14"/>
      <c r="AG1254" s="14"/>
      <c r="AH1254" s="14"/>
      <c r="AI1254" s="14"/>
      <c r="AJ1254" s="15"/>
      <c r="AK1254" s="16"/>
    </row>
    <row r="1255" spans="2:37" x14ac:dyDescent="0.2">
      <c r="B1255" s="7" t="s">
        <v>37</v>
      </c>
      <c r="C1255" s="8">
        <v>11961</v>
      </c>
      <c r="D1255" s="9" t="s">
        <v>271</v>
      </c>
      <c r="E1255" s="10" t="s">
        <v>272</v>
      </c>
      <c r="F1255" s="10" t="s">
        <v>273</v>
      </c>
      <c r="G1255" s="8">
        <v>5</v>
      </c>
      <c r="H1255" s="11">
        <v>150</v>
      </c>
      <c r="I1255" s="12">
        <v>42540</v>
      </c>
      <c r="J1255" s="13">
        <f t="shared" si="43"/>
        <v>0</v>
      </c>
      <c r="K1255" s="14"/>
      <c r="L1255" s="14"/>
      <c r="M1255" s="14"/>
      <c r="N1255" s="14"/>
      <c r="O1255" s="14"/>
      <c r="P1255" s="14"/>
      <c r="Q1255" s="14"/>
      <c r="R1255" s="14"/>
      <c r="S1255" s="14"/>
      <c r="T1255" s="14"/>
      <c r="U1255" s="14"/>
      <c r="V1255" s="14"/>
      <c r="W1255" s="15">
        <f t="shared" si="44"/>
        <v>0</v>
      </c>
      <c r="X1255" s="14"/>
      <c r="Y1255" s="14"/>
      <c r="Z1255" s="14"/>
      <c r="AA1255" s="14"/>
      <c r="AB1255" s="14"/>
      <c r="AC1255" s="14"/>
      <c r="AD1255" s="14"/>
      <c r="AE1255" s="14"/>
      <c r="AF1255" s="14"/>
      <c r="AG1255" s="14"/>
      <c r="AH1255" s="14"/>
      <c r="AI1255" s="14"/>
      <c r="AJ1255" s="15"/>
      <c r="AK1255" s="16"/>
    </row>
    <row r="1256" spans="2:37" x14ac:dyDescent="0.2">
      <c r="B1256" s="7" t="s">
        <v>73</v>
      </c>
      <c r="C1256" s="8">
        <v>11962</v>
      </c>
      <c r="D1256" s="9" t="s">
        <v>485</v>
      </c>
      <c r="E1256" s="10" t="s">
        <v>486</v>
      </c>
      <c r="F1256" s="10" t="s">
        <v>487</v>
      </c>
      <c r="G1256" s="8">
        <v>5</v>
      </c>
      <c r="H1256" s="11">
        <v>200</v>
      </c>
      <c r="I1256" s="12">
        <v>42540</v>
      </c>
      <c r="J1256" s="13">
        <f t="shared" si="43"/>
        <v>0</v>
      </c>
      <c r="K1256" s="14"/>
      <c r="L1256" s="14"/>
      <c r="M1256" s="14"/>
      <c r="N1256" s="14"/>
      <c r="O1256" s="14"/>
      <c r="P1256" s="14"/>
      <c r="Q1256" s="14"/>
      <c r="R1256" s="14"/>
      <c r="S1256" s="14"/>
      <c r="T1256" s="14"/>
      <c r="U1256" s="14"/>
      <c r="V1256" s="14"/>
      <c r="W1256" s="15">
        <f t="shared" si="44"/>
        <v>0</v>
      </c>
      <c r="X1256" s="14"/>
      <c r="Y1256" s="14"/>
      <c r="Z1256" s="14"/>
      <c r="AA1256" s="14"/>
      <c r="AB1256" s="14"/>
      <c r="AC1256" s="14"/>
      <c r="AD1256" s="14"/>
      <c r="AE1256" s="14"/>
      <c r="AF1256" s="14"/>
      <c r="AG1256" s="14"/>
      <c r="AH1256" s="14"/>
      <c r="AI1256" s="14"/>
      <c r="AJ1256" s="15"/>
      <c r="AK1256" s="16"/>
    </row>
    <row r="1257" spans="2:37" x14ac:dyDescent="0.2">
      <c r="B1257" s="7" t="s">
        <v>69</v>
      </c>
      <c r="C1257" s="8">
        <v>11963</v>
      </c>
      <c r="D1257" s="9" t="s">
        <v>461</v>
      </c>
      <c r="E1257" s="10" t="s">
        <v>462</v>
      </c>
      <c r="F1257" s="10" t="s">
        <v>463</v>
      </c>
      <c r="G1257" s="8">
        <v>5</v>
      </c>
      <c r="H1257" s="11">
        <v>200</v>
      </c>
      <c r="I1257" s="12">
        <v>42540</v>
      </c>
      <c r="J1257" s="13">
        <f t="shared" si="43"/>
        <v>0</v>
      </c>
      <c r="K1257" s="14"/>
      <c r="L1257" s="14"/>
      <c r="M1257" s="14"/>
      <c r="N1257" s="14"/>
      <c r="O1257" s="14"/>
      <c r="P1257" s="14"/>
      <c r="Q1257" s="14"/>
      <c r="R1257" s="14"/>
      <c r="S1257" s="14"/>
      <c r="T1257" s="14"/>
      <c r="U1257" s="14"/>
      <c r="V1257" s="14"/>
      <c r="W1257" s="15">
        <f t="shared" si="44"/>
        <v>0</v>
      </c>
      <c r="X1257" s="14"/>
      <c r="Y1257" s="14"/>
      <c r="Z1257" s="14"/>
      <c r="AA1257" s="14"/>
      <c r="AB1257" s="14"/>
      <c r="AC1257" s="14"/>
      <c r="AD1257" s="14"/>
      <c r="AE1257" s="14"/>
      <c r="AF1257" s="14"/>
      <c r="AG1257" s="14"/>
      <c r="AH1257" s="14"/>
      <c r="AI1257" s="14"/>
      <c r="AJ1257" s="15"/>
      <c r="AK1257" s="16"/>
    </row>
    <row r="1258" spans="2:37" x14ac:dyDescent="0.2">
      <c r="B1258" s="7" t="s">
        <v>69</v>
      </c>
      <c r="C1258" s="8">
        <v>11964</v>
      </c>
      <c r="D1258" s="9" t="s">
        <v>410</v>
      </c>
      <c r="E1258" s="10" t="s">
        <v>411</v>
      </c>
      <c r="F1258" s="10" t="s">
        <v>412</v>
      </c>
      <c r="G1258" s="8">
        <v>5</v>
      </c>
      <c r="H1258" s="11">
        <v>150</v>
      </c>
      <c r="I1258" s="12">
        <v>42540</v>
      </c>
      <c r="J1258" s="13">
        <f t="shared" si="43"/>
        <v>0</v>
      </c>
      <c r="K1258" s="14"/>
      <c r="L1258" s="14"/>
      <c r="M1258" s="14"/>
      <c r="N1258" s="14"/>
      <c r="O1258" s="14"/>
      <c r="P1258" s="14"/>
      <c r="Q1258" s="14"/>
      <c r="R1258" s="14"/>
      <c r="S1258" s="14"/>
      <c r="T1258" s="14"/>
      <c r="U1258" s="14"/>
      <c r="V1258" s="14"/>
      <c r="W1258" s="15">
        <f t="shared" si="44"/>
        <v>0</v>
      </c>
      <c r="X1258" s="14"/>
      <c r="Y1258" s="14"/>
      <c r="Z1258" s="14"/>
      <c r="AA1258" s="14"/>
      <c r="AB1258" s="14"/>
      <c r="AC1258" s="14"/>
      <c r="AD1258" s="14"/>
      <c r="AE1258" s="14"/>
      <c r="AF1258" s="14"/>
      <c r="AG1258" s="14"/>
      <c r="AH1258" s="14"/>
      <c r="AI1258" s="14"/>
      <c r="AJ1258" s="15"/>
      <c r="AK1258" s="16"/>
    </row>
    <row r="1259" spans="2:37" x14ac:dyDescent="0.2">
      <c r="B1259" s="7" t="s">
        <v>47</v>
      </c>
      <c r="C1259" s="8">
        <v>11965</v>
      </c>
      <c r="D1259" s="9" t="s">
        <v>352</v>
      </c>
      <c r="E1259" s="10" t="s">
        <v>353</v>
      </c>
      <c r="F1259" s="10" t="s">
        <v>354</v>
      </c>
      <c r="G1259" s="8">
        <v>5</v>
      </c>
      <c r="H1259" s="11">
        <v>150</v>
      </c>
      <c r="I1259" s="12">
        <v>42540</v>
      </c>
      <c r="J1259" s="13">
        <f t="shared" si="43"/>
        <v>0</v>
      </c>
      <c r="K1259" s="14"/>
      <c r="L1259" s="14"/>
      <c r="M1259" s="14"/>
      <c r="N1259" s="14"/>
      <c r="O1259" s="14"/>
      <c r="P1259" s="14"/>
      <c r="Q1259" s="14"/>
      <c r="R1259" s="14"/>
      <c r="S1259" s="14"/>
      <c r="T1259" s="14"/>
      <c r="U1259" s="14"/>
      <c r="V1259" s="14"/>
      <c r="W1259" s="15">
        <f t="shared" si="44"/>
        <v>0</v>
      </c>
      <c r="X1259" s="14"/>
      <c r="Y1259" s="14"/>
      <c r="Z1259" s="14"/>
      <c r="AA1259" s="14"/>
      <c r="AB1259" s="14"/>
      <c r="AC1259" s="14"/>
      <c r="AD1259" s="14"/>
      <c r="AE1259" s="14"/>
      <c r="AF1259" s="14"/>
      <c r="AG1259" s="14"/>
      <c r="AH1259" s="14"/>
      <c r="AI1259" s="14"/>
      <c r="AJ1259" s="15"/>
      <c r="AK1259" s="16"/>
    </row>
    <row r="1260" spans="2:37" x14ac:dyDescent="0.2">
      <c r="B1260" s="7" t="s">
        <v>47</v>
      </c>
      <c r="C1260" s="8">
        <v>11966</v>
      </c>
      <c r="D1260" s="9" t="s">
        <v>235</v>
      </c>
      <c r="E1260" s="10" t="s">
        <v>236</v>
      </c>
      <c r="F1260" s="10" t="s">
        <v>237</v>
      </c>
      <c r="G1260" s="8">
        <v>5</v>
      </c>
      <c r="H1260" s="11">
        <v>50</v>
      </c>
      <c r="I1260" s="12">
        <v>42540</v>
      </c>
      <c r="J1260" s="13">
        <f t="shared" si="43"/>
        <v>0</v>
      </c>
      <c r="K1260" s="14"/>
      <c r="L1260" s="14"/>
      <c r="M1260" s="14"/>
      <c r="N1260" s="14"/>
      <c r="O1260" s="14"/>
      <c r="P1260" s="14"/>
      <c r="Q1260" s="14"/>
      <c r="R1260" s="14"/>
      <c r="S1260" s="14"/>
      <c r="T1260" s="14"/>
      <c r="U1260" s="14"/>
      <c r="V1260" s="14"/>
      <c r="W1260" s="15">
        <f t="shared" si="44"/>
        <v>0</v>
      </c>
      <c r="X1260" s="14"/>
      <c r="Y1260" s="14"/>
      <c r="Z1260" s="14"/>
      <c r="AA1260" s="14"/>
      <c r="AB1260" s="14"/>
      <c r="AC1260" s="14"/>
      <c r="AD1260" s="14"/>
      <c r="AE1260" s="14"/>
      <c r="AF1260" s="14"/>
      <c r="AG1260" s="14"/>
      <c r="AH1260" s="14"/>
      <c r="AI1260" s="14"/>
      <c r="AJ1260" s="15"/>
      <c r="AK1260" s="16"/>
    </row>
    <row r="1261" spans="2:37" x14ac:dyDescent="0.2">
      <c r="B1261" s="7" t="s">
        <v>37</v>
      </c>
      <c r="C1261" s="8">
        <v>11967</v>
      </c>
      <c r="D1261" s="9" t="s">
        <v>268</v>
      </c>
      <c r="E1261" s="10" t="s">
        <v>269</v>
      </c>
      <c r="F1261" s="10" t="s">
        <v>270</v>
      </c>
      <c r="G1261" s="8">
        <v>5</v>
      </c>
      <c r="H1261" s="11">
        <v>100</v>
      </c>
      <c r="I1261" s="12">
        <v>42540</v>
      </c>
      <c r="J1261" s="13">
        <f t="shared" si="43"/>
        <v>0</v>
      </c>
      <c r="K1261" s="14"/>
      <c r="L1261" s="14"/>
      <c r="M1261" s="14"/>
      <c r="N1261" s="14"/>
      <c r="O1261" s="14"/>
      <c r="P1261" s="14"/>
      <c r="Q1261" s="14"/>
      <c r="R1261" s="14"/>
      <c r="S1261" s="14"/>
      <c r="T1261" s="14"/>
      <c r="U1261" s="14"/>
      <c r="V1261" s="14"/>
      <c r="W1261" s="15">
        <f t="shared" si="44"/>
        <v>0</v>
      </c>
      <c r="X1261" s="14"/>
      <c r="Y1261" s="14"/>
      <c r="Z1261" s="14"/>
      <c r="AA1261" s="14"/>
      <c r="AB1261" s="14"/>
      <c r="AC1261" s="14"/>
      <c r="AD1261" s="14"/>
      <c r="AE1261" s="14"/>
      <c r="AF1261" s="14"/>
      <c r="AG1261" s="14"/>
      <c r="AH1261" s="14"/>
      <c r="AI1261" s="14"/>
      <c r="AJ1261" s="15"/>
      <c r="AK1261" s="16"/>
    </row>
    <row r="1262" spans="2:37" x14ac:dyDescent="0.2">
      <c r="B1262" s="7" t="s">
        <v>47</v>
      </c>
      <c r="C1262" s="8">
        <v>11968</v>
      </c>
      <c r="D1262" s="9" t="s">
        <v>404</v>
      </c>
      <c r="E1262" s="10" t="s">
        <v>405</v>
      </c>
      <c r="F1262" s="10" t="s">
        <v>406</v>
      </c>
      <c r="G1262" s="8">
        <v>5</v>
      </c>
      <c r="H1262" s="11">
        <v>100</v>
      </c>
      <c r="I1262" s="12">
        <v>42540</v>
      </c>
      <c r="J1262" s="13">
        <f t="shared" si="43"/>
        <v>0</v>
      </c>
      <c r="K1262" s="14"/>
      <c r="L1262" s="14"/>
      <c r="M1262" s="14"/>
      <c r="N1262" s="14"/>
      <c r="O1262" s="14"/>
      <c r="P1262" s="14"/>
      <c r="Q1262" s="14"/>
      <c r="R1262" s="14"/>
      <c r="S1262" s="14"/>
      <c r="T1262" s="14"/>
      <c r="U1262" s="14"/>
      <c r="V1262" s="14"/>
      <c r="W1262" s="15">
        <f t="shared" si="44"/>
        <v>0</v>
      </c>
      <c r="X1262" s="14"/>
      <c r="Y1262" s="14"/>
      <c r="Z1262" s="14"/>
      <c r="AA1262" s="14"/>
      <c r="AB1262" s="14"/>
      <c r="AC1262" s="14"/>
      <c r="AD1262" s="14"/>
      <c r="AE1262" s="14"/>
      <c r="AF1262" s="14"/>
      <c r="AG1262" s="14"/>
      <c r="AH1262" s="14"/>
      <c r="AI1262" s="14"/>
      <c r="AJ1262" s="15"/>
      <c r="AK1262" s="16"/>
    </row>
    <row r="1263" spans="2:37" x14ac:dyDescent="0.2">
      <c r="B1263" s="7" t="s">
        <v>37</v>
      </c>
      <c r="C1263" s="8">
        <v>11969</v>
      </c>
      <c r="D1263" s="9" t="s">
        <v>681</v>
      </c>
      <c r="E1263" s="10" t="s">
        <v>682</v>
      </c>
      <c r="F1263" s="10" t="s">
        <v>683</v>
      </c>
      <c r="G1263" s="8">
        <v>5</v>
      </c>
      <c r="H1263" s="11">
        <v>100</v>
      </c>
      <c r="I1263" s="12">
        <v>42540</v>
      </c>
      <c r="J1263" s="13">
        <f t="shared" si="43"/>
        <v>0</v>
      </c>
      <c r="K1263" s="14"/>
      <c r="L1263" s="14"/>
      <c r="M1263" s="14"/>
      <c r="N1263" s="14"/>
      <c r="O1263" s="14"/>
      <c r="P1263" s="14"/>
      <c r="Q1263" s="14"/>
      <c r="R1263" s="14"/>
      <c r="S1263" s="14"/>
      <c r="T1263" s="14"/>
      <c r="U1263" s="14"/>
      <c r="V1263" s="14"/>
      <c r="W1263" s="15">
        <f t="shared" si="44"/>
        <v>0</v>
      </c>
      <c r="X1263" s="14"/>
      <c r="Y1263" s="14"/>
      <c r="Z1263" s="14"/>
      <c r="AA1263" s="14"/>
      <c r="AB1263" s="14"/>
      <c r="AC1263" s="14"/>
      <c r="AD1263" s="14"/>
      <c r="AE1263" s="14"/>
      <c r="AF1263" s="14"/>
      <c r="AG1263" s="14"/>
      <c r="AH1263" s="14"/>
      <c r="AI1263" s="14"/>
      <c r="AJ1263" s="15"/>
      <c r="AK1263" s="16"/>
    </row>
    <row r="1264" spans="2:37" x14ac:dyDescent="0.2">
      <c r="B1264" s="7" t="s">
        <v>77</v>
      </c>
      <c r="C1264" s="8">
        <v>11970</v>
      </c>
      <c r="D1264" s="9" t="s">
        <v>565</v>
      </c>
      <c r="E1264" s="10" t="s">
        <v>566</v>
      </c>
      <c r="F1264" s="10" t="s">
        <v>567</v>
      </c>
      <c r="G1264" s="8">
        <v>5</v>
      </c>
      <c r="H1264" s="11">
        <v>200</v>
      </c>
      <c r="I1264" s="12">
        <v>42540</v>
      </c>
      <c r="J1264" s="13">
        <f t="shared" si="43"/>
        <v>0</v>
      </c>
      <c r="K1264" s="14"/>
      <c r="L1264" s="14"/>
      <c r="M1264" s="14"/>
      <c r="N1264" s="14"/>
      <c r="O1264" s="14"/>
      <c r="P1264" s="14"/>
      <c r="Q1264" s="14"/>
      <c r="R1264" s="14"/>
      <c r="S1264" s="14"/>
      <c r="T1264" s="14"/>
      <c r="U1264" s="14"/>
      <c r="V1264" s="14"/>
      <c r="W1264" s="15">
        <f t="shared" si="44"/>
        <v>0</v>
      </c>
      <c r="X1264" s="14"/>
      <c r="Y1264" s="14"/>
      <c r="Z1264" s="14"/>
      <c r="AA1264" s="14"/>
      <c r="AB1264" s="14"/>
      <c r="AC1264" s="14"/>
      <c r="AD1264" s="14"/>
      <c r="AE1264" s="14"/>
      <c r="AF1264" s="14"/>
      <c r="AG1264" s="14"/>
      <c r="AH1264" s="14"/>
      <c r="AI1264" s="14"/>
      <c r="AJ1264" s="15"/>
      <c r="AK1264" s="16"/>
    </row>
    <row r="1265" spans="2:37" x14ac:dyDescent="0.2">
      <c r="B1265" s="7" t="s">
        <v>73</v>
      </c>
      <c r="C1265" s="8">
        <v>11971</v>
      </c>
      <c r="D1265" s="9" t="s">
        <v>112</v>
      </c>
      <c r="E1265" s="10" t="s">
        <v>113</v>
      </c>
      <c r="F1265" s="10" t="s">
        <v>114</v>
      </c>
      <c r="G1265" s="8">
        <v>5</v>
      </c>
      <c r="H1265" s="11">
        <v>300</v>
      </c>
      <c r="I1265" s="12">
        <v>42540</v>
      </c>
      <c r="J1265" s="13">
        <f t="shared" si="43"/>
        <v>0</v>
      </c>
      <c r="K1265" s="14"/>
      <c r="L1265" s="14"/>
      <c r="M1265" s="14"/>
      <c r="N1265" s="14"/>
      <c r="O1265" s="14"/>
      <c r="P1265" s="14"/>
      <c r="Q1265" s="14"/>
      <c r="R1265" s="14"/>
      <c r="S1265" s="14"/>
      <c r="T1265" s="14"/>
      <c r="U1265" s="14"/>
      <c r="V1265" s="14"/>
      <c r="W1265" s="15">
        <f t="shared" si="44"/>
        <v>0</v>
      </c>
      <c r="X1265" s="14"/>
      <c r="Y1265" s="14"/>
      <c r="Z1265" s="14"/>
      <c r="AA1265" s="14"/>
      <c r="AB1265" s="14"/>
      <c r="AC1265" s="14"/>
      <c r="AD1265" s="14"/>
      <c r="AE1265" s="14"/>
      <c r="AF1265" s="14"/>
      <c r="AG1265" s="14"/>
      <c r="AH1265" s="14"/>
      <c r="AI1265" s="14"/>
      <c r="AJ1265" s="15"/>
      <c r="AK1265" s="16"/>
    </row>
    <row r="1266" spans="2:37" x14ac:dyDescent="0.2">
      <c r="B1266" s="7" t="s">
        <v>47</v>
      </c>
      <c r="C1266" s="8">
        <v>11972</v>
      </c>
      <c r="D1266" s="9" t="s">
        <v>1014</v>
      </c>
      <c r="E1266" s="10" t="s">
        <v>1015</v>
      </c>
      <c r="F1266" s="10" t="s">
        <v>1016</v>
      </c>
      <c r="G1266" s="8">
        <v>5</v>
      </c>
      <c r="H1266" s="11">
        <v>50</v>
      </c>
      <c r="I1266" s="12">
        <v>42540</v>
      </c>
      <c r="J1266" s="13">
        <f t="shared" si="43"/>
        <v>0</v>
      </c>
      <c r="K1266" s="14"/>
      <c r="L1266" s="14"/>
      <c r="M1266" s="14"/>
      <c r="N1266" s="14"/>
      <c r="O1266" s="14"/>
      <c r="P1266" s="14"/>
      <c r="Q1266" s="14"/>
      <c r="R1266" s="14"/>
      <c r="S1266" s="14"/>
      <c r="T1266" s="14"/>
      <c r="U1266" s="14"/>
      <c r="V1266" s="14"/>
      <c r="W1266" s="15">
        <f t="shared" si="44"/>
        <v>0</v>
      </c>
      <c r="X1266" s="14"/>
      <c r="Y1266" s="14"/>
      <c r="Z1266" s="14"/>
      <c r="AA1266" s="14"/>
      <c r="AB1266" s="14"/>
      <c r="AC1266" s="14"/>
      <c r="AD1266" s="14"/>
      <c r="AE1266" s="14"/>
      <c r="AF1266" s="14"/>
      <c r="AG1266" s="14"/>
      <c r="AH1266" s="14"/>
      <c r="AI1266" s="14"/>
      <c r="AJ1266" s="15"/>
      <c r="AK1266" s="16"/>
    </row>
    <row r="1267" spans="2:37" x14ac:dyDescent="0.2">
      <c r="B1267" s="7" t="s">
        <v>69</v>
      </c>
      <c r="C1267" s="8">
        <v>11973</v>
      </c>
      <c r="D1267" s="9" t="s">
        <v>165</v>
      </c>
      <c r="E1267" s="10" t="s">
        <v>166</v>
      </c>
      <c r="F1267" s="10" t="s">
        <v>167</v>
      </c>
      <c r="G1267" s="8">
        <v>5</v>
      </c>
      <c r="H1267" s="11">
        <v>150</v>
      </c>
      <c r="I1267" s="12">
        <v>42540</v>
      </c>
      <c r="J1267" s="13">
        <f t="shared" si="43"/>
        <v>0</v>
      </c>
      <c r="K1267" s="14"/>
      <c r="L1267" s="14"/>
      <c r="M1267" s="14"/>
      <c r="N1267" s="14"/>
      <c r="O1267" s="14"/>
      <c r="P1267" s="14"/>
      <c r="Q1267" s="14"/>
      <c r="R1267" s="14"/>
      <c r="S1267" s="14"/>
      <c r="T1267" s="14"/>
      <c r="U1267" s="14"/>
      <c r="V1267" s="14"/>
      <c r="W1267" s="15">
        <f t="shared" si="44"/>
        <v>0</v>
      </c>
      <c r="X1267" s="14"/>
      <c r="Y1267" s="14"/>
      <c r="Z1267" s="14"/>
      <c r="AA1267" s="14"/>
      <c r="AB1267" s="14"/>
      <c r="AC1267" s="14"/>
      <c r="AD1267" s="14"/>
      <c r="AE1267" s="14"/>
      <c r="AF1267" s="14"/>
      <c r="AG1267" s="14"/>
      <c r="AH1267" s="14"/>
      <c r="AI1267" s="14"/>
      <c r="AJ1267" s="15"/>
      <c r="AK1267" s="16"/>
    </row>
    <row r="1268" spans="2:37" x14ac:dyDescent="0.2">
      <c r="B1268" s="7" t="s">
        <v>73</v>
      </c>
      <c r="C1268" s="8">
        <v>11974</v>
      </c>
      <c r="D1268" s="9" t="s">
        <v>277</v>
      </c>
      <c r="E1268" s="10" t="s">
        <v>278</v>
      </c>
      <c r="F1268" s="10" t="s">
        <v>279</v>
      </c>
      <c r="G1268" s="8">
        <v>5</v>
      </c>
      <c r="H1268" s="11">
        <v>100</v>
      </c>
      <c r="I1268" s="12">
        <v>42540</v>
      </c>
      <c r="J1268" s="13">
        <f t="shared" si="43"/>
        <v>0</v>
      </c>
      <c r="K1268" s="14"/>
      <c r="L1268" s="14"/>
      <c r="M1268" s="14"/>
      <c r="N1268" s="14"/>
      <c r="O1268" s="14"/>
      <c r="P1268" s="14"/>
      <c r="Q1268" s="14"/>
      <c r="R1268" s="14"/>
      <c r="S1268" s="14"/>
      <c r="T1268" s="14"/>
      <c r="U1268" s="14"/>
      <c r="V1268" s="14"/>
      <c r="W1268" s="15">
        <f t="shared" si="44"/>
        <v>0</v>
      </c>
      <c r="X1268" s="14"/>
      <c r="Y1268" s="14"/>
      <c r="Z1268" s="14"/>
      <c r="AA1268" s="14"/>
      <c r="AB1268" s="14"/>
      <c r="AC1268" s="14"/>
      <c r="AD1268" s="14"/>
      <c r="AE1268" s="14"/>
      <c r="AF1268" s="14"/>
      <c r="AG1268" s="14"/>
      <c r="AH1268" s="14"/>
      <c r="AI1268" s="14"/>
      <c r="AJ1268" s="15"/>
      <c r="AK1268" s="16"/>
    </row>
    <row r="1269" spans="2:37" x14ac:dyDescent="0.2">
      <c r="B1269" s="7" t="s">
        <v>37</v>
      </c>
      <c r="C1269" s="8">
        <v>11975</v>
      </c>
      <c r="D1269" s="9" t="s">
        <v>180</v>
      </c>
      <c r="E1269" s="10" t="s">
        <v>181</v>
      </c>
      <c r="F1269" s="10" t="s">
        <v>182</v>
      </c>
      <c r="G1269" s="8">
        <v>5</v>
      </c>
      <c r="H1269" s="11">
        <v>200</v>
      </c>
      <c r="I1269" s="12">
        <v>42540</v>
      </c>
      <c r="J1269" s="13">
        <f t="shared" si="43"/>
        <v>0</v>
      </c>
      <c r="K1269" s="14"/>
      <c r="L1269" s="14"/>
      <c r="M1269" s="14"/>
      <c r="N1269" s="14"/>
      <c r="O1269" s="14"/>
      <c r="P1269" s="14"/>
      <c r="Q1269" s="14"/>
      <c r="R1269" s="14"/>
      <c r="S1269" s="14"/>
      <c r="T1269" s="14"/>
      <c r="U1269" s="14"/>
      <c r="V1269" s="14"/>
      <c r="W1269" s="15">
        <f t="shared" si="44"/>
        <v>0</v>
      </c>
      <c r="X1269" s="14"/>
      <c r="Y1269" s="14"/>
      <c r="Z1269" s="14"/>
      <c r="AA1269" s="14"/>
      <c r="AB1269" s="14"/>
      <c r="AC1269" s="14"/>
      <c r="AD1269" s="14"/>
      <c r="AE1269" s="14"/>
      <c r="AF1269" s="14"/>
      <c r="AG1269" s="14"/>
      <c r="AH1269" s="14"/>
      <c r="AI1269" s="14"/>
      <c r="AJ1269" s="15"/>
      <c r="AK1269" s="16"/>
    </row>
    <row r="1270" spans="2:37" x14ac:dyDescent="0.2">
      <c r="B1270" s="7" t="s">
        <v>69</v>
      </c>
      <c r="C1270" s="8">
        <v>11976</v>
      </c>
      <c r="D1270" s="9" t="s">
        <v>413</v>
      </c>
      <c r="E1270" s="10" t="s">
        <v>414</v>
      </c>
      <c r="F1270" s="10" t="s">
        <v>415</v>
      </c>
      <c r="G1270" s="8">
        <v>5</v>
      </c>
      <c r="H1270" s="11">
        <v>250</v>
      </c>
      <c r="I1270" s="12">
        <v>42540</v>
      </c>
      <c r="J1270" s="13">
        <f t="shared" si="43"/>
        <v>0</v>
      </c>
      <c r="K1270" s="14"/>
      <c r="L1270" s="14"/>
      <c r="M1270" s="14"/>
      <c r="N1270" s="14"/>
      <c r="O1270" s="14"/>
      <c r="P1270" s="14"/>
      <c r="Q1270" s="14"/>
      <c r="R1270" s="14"/>
      <c r="S1270" s="14"/>
      <c r="T1270" s="14"/>
      <c r="U1270" s="14"/>
      <c r="V1270" s="14"/>
      <c r="W1270" s="15">
        <f t="shared" si="44"/>
        <v>0</v>
      </c>
      <c r="X1270" s="14"/>
      <c r="Y1270" s="14"/>
      <c r="Z1270" s="14"/>
      <c r="AA1270" s="14"/>
      <c r="AB1270" s="14"/>
      <c r="AC1270" s="14"/>
      <c r="AD1270" s="14"/>
      <c r="AE1270" s="14"/>
      <c r="AF1270" s="14"/>
      <c r="AG1270" s="14"/>
      <c r="AH1270" s="14"/>
      <c r="AI1270" s="14"/>
      <c r="AJ1270" s="15"/>
      <c r="AK1270" s="16"/>
    </row>
    <row r="1271" spans="2:37" x14ac:dyDescent="0.2">
      <c r="B1271" s="7" t="s">
        <v>73</v>
      </c>
      <c r="C1271" s="8">
        <v>11977</v>
      </c>
      <c r="D1271" s="9" t="s">
        <v>90</v>
      </c>
      <c r="E1271" s="10" t="s">
        <v>91</v>
      </c>
      <c r="F1271" s="10" t="s">
        <v>92</v>
      </c>
      <c r="G1271" s="8">
        <v>5</v>
      </c>
      <c r="H1271" s="11">
        <v>200</v>
      </c>
      <c r="I1271" s="12">
        <v>42540</v>
      </c>
      <c r="J1271" s="13">
        <f t="shared" si="43"/>
        <v>0</v>
      </c>
      <c r="K1271" s="14"/>
      <c r="L1271" s="14"/>
      <c r="M1271" s="14"/>
      <c r="N1271" s="14"/>
      <c r="O1271" s="14"/>
      <c r="P1271" s="14"/>
      <c r="Q1271" s="14"/>
      <c r="R1271" s="14"/>
      <c r="S1271" s="14"/>
      <c r="T1271" s="14"/>
      <c r="U1271" s="14"/>
      <c r="V1271" s="14"/>
      <c r="W1271" s="15">
        <f t="shared" si="44"/>
        <v>0</v>
      </c>
      <c r="X1271" s="14"/>
      <c r="Y1271" s="14"/>
      <c r="Z1271" s="14"/>
      <c r="AA1271" s="14"/>
      <c r="AB1271" s="14"/>
      <c r="AC1271" s="14"/>
      <c r="AD1271" s="14"/>
      <c r="AE1271" s="14"/>
      <c r="AF1271" s="14"/>
      <c r="AG1271" s="14"/>
      <c r="AH1271" s="14"/>
      <c r="AI1271" s="14"/>
      <c r="AJ1271" s="15"/>
      <c r="AK1271" s="16"/>
    </row>
    <row r="1272" spans="2:37" x14ac:dyDescent="0.2">
      <c r="B1272" s="7" t="s">
        <v>37</v>
      </c>
      <c r="C1272" s="8">
        <v>11978</v>
      </c>
      <c r="D1272" s="9" t="s">
        <v>840</v>
      </c>
      <c r="E1272" s="10" t="s">
        <v>841</v>
      </c>
      <c r="F1272" s="10" t="s">
        <v>842</v>
      </c>
      <c r="G1272" s="8">
        <v>5</v>
      </c>
      <c r="H1272" s="11">
        <v>300</v>
      </c>
      <c r="I1272" s="12">
        <v>42540</v>
      </c>
      <c r="J1272" s="13">
        <f t="shared" si="43"/>
        <v>0</v>
      </c>
      <c r="K1272" s="14"/>
      <c r="L1272" s="14"/>
      <c r="M1272" s="14"/>
      <c r="N1272" s="14"/>
      <c r="O1272" s="14"/>
      <c r="P1272" s="14"/>
      <c r="Q1272" s="14"/>
      <c r="R1272" s="14"/>
      <c r="S1272" s="14"/>
      <c r="T1272" s="14"/>
      <c r="U1272" s="14"/>
      <c r="V1272" s="14"/>
      <c r="W1272" s="15">
        <f t="shared" si="44"/>
        <v>0</v>
      </c>
      <c r="X1272" s="14"/>
      <c r="Y1272" s="14"/>
      <c r="Z1272" s="14"/>
      <c r="AA1272" s="14"/>
      <c r="AB1272" s="14"/>
      <c r="AC1272" s="14"/>
      <c r="AD1272" s="14"/>
      <c r="AE1272" s="14"/>
      <c r="AF1272" s="14"/>
      <c r="AG1272" s="14"/>
      <c r="AH1272" s="14"/>
      <c r="AI1272" s="14"/>
      <c r="AJ1272" s="15"/>
      <c r="AK1272" s="16"/>
    </row>
    <row r="1273" spans="2:37" x14ac:dyDescent="0.2">
      <c r="B1273" s="7" t="s">
        <v>73</v>
      </c>
      <c r="C1273" s="8">
        <v>11979</v>
      </c>
      <c r="D1273" s="9" t="s">
        <v>541</v>
      </c>
      <c r="E1273" s="10" t="s">
        <v>542</v>
      </c>
      <c r="F1273" s="10" t="s">
        <v>543</v>
      </c>
      <c r="G1273" s="8">
        <v>5</v>
      </c>
      <c r="H1273" s="11">
        <v>150</v>
      </c>
      <c r="I1273" s="12">
        <v>42540</v>
      </c>
      <c r="J1273" s="13">
        <f t="shared" si="43"/>
        <v>0</v>
      </c>
      <c r="K1273" s="14"/>
      <c r="L1273" s="14"/>
      <c r="M1273" s="14"/>
      <c r="N1273" s="14"/>
      <c r="O1273" s="14"/>
      <c r="P1273" s="14"/>
      <c r="Q1273" s="14"/>
      <c r="R1273" s="14"/>
      <c r="S1273" s="14"/>
      <c r="T1273" s="14"/>
      <c r="U1273" s="14"/>
      <c r="V1273" s="14"/>
      <c r="W1273" s="15">
        <f t="shared" si="44"/>
        <v>0</v>
      </c>
      <c r="X1273" s="14"/>
      <c r="Y1273" s="14"/>
      <c r="Z1273" s="14"/>
      <c r="AA1273" s="14"/>
      <c r="AB1273" s="14"/>
      <c r="AC1273" s="14"/>
      <c r="AD1273" s="14"/>
      <c r="AE1273" s="14"/>
      <c r="AF1273" s="14"/>
      <c r="AG1273" s="14"/>
      <c r="AH1273" s="14"/>
      <c r="AI1273" s="14"/>
      <c r="AJ1273" s="15"/>
      <c r="AK1273" s="16"/>
    </row>
    <row r="1274" spans="2:37" x14ac:dyDescent="0.2">
      <c r="B1274" s="7" t="s">
        <v>37</v>
      </c>
      <c r="C1274" s="8">
        <v>11980</v>
      </c>
      <c r="D1274" s="9" t="s">
        <v>491</v>
      </c>
      <c r="E1274" s="10" t="s">
        <v>492</v>
      </c>
      <c r="F1274" s="10" t="s">
        <v>493</v>
      </c>
      <c r="G1274" s="8">
        <v>5</v>
      </c>
      <c r="H1274" s="11">
        <v>100</v>
      </c>
      <c r="I1274" s="12">
        <v>42540</v>
      </c>
      <c r="J1274" s="13">
        <f t="shared" si="43"/>
        <v>0</v>
      </c>
      <c r="K1274" s="14"/>
      <c r="L1274" s="14"/>
      <c r="M1274" s="14"/>
      <c r="N1274" s="14"/>
      <c r="O1274" s="14"/>
      <c r="P1274" s="14"/>
      <c r="Q1274" s="14"/>
      <c r="R1274" s="14"/>
      <c r="S1274" s="14"/>
      <c r="T1274" s="14"/>
      <c r="U1274" s="14"/>
      <c r="V1274" s="14"/>
      <c r="W1274" s="15">
        <f t="shared" si="44"/>
        <v>0</v>
      </c>
      <c r="X1274" s="14"/>
      <c r="Y1274" s="14"/>
      <c r="Z1274" s="14"/>
      <c r="AA1274" s="14"/>
      <c r="AB1274" s="14"/>
      <c r="AC1274" s="14"/>
      <c r="AD1274" s="14"/>
      <c r="AE1274" s="14"/>
      <c r="AF1274" s="14"/>
      <c r="AG1274" s="14"/>
      <c r="AH1274" s="14"/>
      <c r="AI1274" s="14"/>
      <c r="AJ1274" s="15"/>
      <c r="AK1274" s="16"/>
    </row>
    <row r="1275" spans="2:37" x14ac:dyDescent="0.2">
      <c r="B1275" s="7" t="s">
        <v>73</v>
      </c>
      <c r="C1275" s="8">
        <v>11981</v>
      </c>
      <c r="D1275" s="9" t="s">
        <v>728</v>
      </c>
      <c r="E1275" s="10" t="s">
        <v>729</v>
      </c>
      <c r="F1275" s="10" t="s">
        <v>730</v>
      </c>
      <c r="G1275" s="8">
        <v>5</v>
      </c>
      <c r="H1275" s="11">
        <v>200</v>
      </c>
      <c r="I1275" s="12">
        <v>42540</v>
      </c>
      <c r="J1275" s="13">
        <f t="shared" si="43"/>
        <v>0</v>
      </c>
      <c r="K1275" s="14"/>
      <c r="L1275" s="14"/>
      <c r="M1275" s="14"/>
      <c r="N1275" s="14"/>
      <c r="O1275" s="14"/>
      <c r="P1275" s="14"/>
      <c r="Q1275" s="14"/>
      <c r="R1275" s="14"/>
      <c r="S1275" s="14"/>
      <c r="T1275" s="14"/>
      <c r="U1275" s="14"/>
      <c r="V1275" s="14"/>
      <c r="W1275" s="15">
        <f t="shared" si="44"/>
        <v>0</v>
      </c>
      <c r="X1275" s="14"/>
      <c r="Y1275" s="14"/>
      <c r="Z1275" s="14"/>
      <c r="AA1275" s="14"/>
      <c r="AB1275" s="14"/>
      <c r="AC1275" s="14"/>
      <c r="AD1275" s="14"/>
      <c r="AE1275" s="14"/>
      <c r="AF1275" s="14"/>
      <c r="AG1275" s="14"/>
      <c r="AH1275" s="14"/>
      <c r="AI1275" s="14"/>
      <c r="AJ1275" s="15"/>
      <c r="AK1275" s="16"/>
    </row>
    <row r="1276" spans="2:37" x14ac:dyDescent="0.2">
      <c r="B1276" s="7" t="s">
        <v>47</v>
      </c>
      <c r="C1276" s="8">
        <v>11982</v>
      </c>
      <c r="D1276" s="9" t="s">
        <v>132</v>
      </c>
      <c r="E1276" s="10" t="s">
        <v>133</v>
      </c>
      <c r="F1276" s="10" t="s">
        <v>134</v>
      </c>
      <c r="G1276" s="8">
        <v>5</v>
      </c>
      <c r="H1276" s="11">
        <v>50</v>
      </c>
      <c r="I1276" s="12">
        <v>42540</v>
      </c>
      <c r="J1276" s="13">
        <f t="shared" ref="J1276:J1339" si="45">IF(G1276=1,SUM(W1276,-H1276),0)</f>
        <v>0</v>
      </c>
      <c r="K1276" s="14"/>
      <c r="L1276" s="14"/>
      <c r="M1276" s="14"/>
      <c r="N1276" s="14"/>
      <c r="O1276" s="14"/>
      <c r="P1276" s="14"/>
      <c r="Q1276" s="14"/>
      <c r="R1276" s="14"/>
      <c r="S1276" s="14"/>
      <c r="T1276" s="14"/>
      <c r="U1276" s="14"/>
      <c r="V1276" s="14"/>
      <c r="W1276" s="15">
        <f t="shared" ref="W1276:W1339" si="46">SUM(K1276:V1276)</f>
        <v>0</v>
      </c>
      <c r="X1276" s="14"/>
      <c r="Y1276" s="14"/>
      <c r="Z1276" s="14"/>
      <c r="AA1276" s="14"/>
      <c r="AB1276" s="14"/>
      <c r="AC1276" s="14"/>
      <c r="AD1276" s="14"/>
      <c r="AE1276" s="14"/>
      <c r="AF1276" s="14"/>
      <c r="AG1276" s="14"/>
      <c r="AH1276" s="14"/>
      <c r="AI1276" s="14"/>
      <c r="AJ1276" s="15"/>
      <c r="AK1276" s="16"/>
    </row>
    <row r="1277" spans="2:37" x14ac:dyDescent="0.2">
      <c r="B1277" s="7" t="s">
        <v>47</v>
      </c>
      <c r="C1277" s="8">
        <v>11983</v>
      </c>
      <c r="D1277" s="9" t="s">
        <v>337</v>
      </c>
      <c r="E1277" s="10" t="s">
        <v>338</v>
      </c>
      <c r="F1277" s="10" t="s">
        <v>339</v>
      </c>
      <c r="G1277" s="8">
        <v>5</v>
      </c>
      <c r="H1277" s="11">
        <v>200</v>
      </c>
      <c r="I1277" s="12">
        <v>42540</v>
      </c>
      <c r="J1277" s="13">
        <f t="shared" si="45"/>
        <v>0</v>
      </c>
      <c r="K1277" s="14"/>
      <c r="L1277" s="14"/>
      <c r="M1277" s="14"/>
      <c r="N1277" s="14"/>
      <c r="O1277" s="14"/>
      <c r="P1277" s="14"/>
      <c r="Q1277" s="14"/>
      <c r="R1277" s="14"/>
      <c r="S1277" s="14"/>
      <c r="T1277" s="14"/>
      <c r="U1277" s="14"/>
      <c r="V1277" s="14"/>
      <c r="W1277" s="15">
        <f t="shared" si="46"/>
        <v>0</v>
      </c>
      <c r="X1277" s="14"/>
      <c r="Y1277" s="14"/>
      <c r="Z1277" s="14"/>
      <c r="AA1277" s="14"/>
      <c r="AB1277" s="14"/>
      <c r="AC1277" s="14"/>
      <c r="AD1277" s="14"/>
      <c r="AE1277" s="14"/>
      <c r="AF1277" s="14"/>
      <c r="AG1277" s="14"/>
      <c r="AH1277" s="14"/>
      <c r="AI1277" s="14"/>
      <c r="AJ1277" s="15"/>
      <c r="AK1277" s="16"/>
    </row>
    <row r="1278" spans="2:37" x14ac:dyDescent="0.2">
      <c r="B1278" s="7" t="s">
        <v>73</v>
      </c>
      <c r="C1278" s="8">
        <v>11984</v>
      </c>
      <c r="D1278" s="9" t="s">
        <v>532</v>
      </c>
      <c r="E1278" s="10" t="s">
        <v>533</v>
      </c>
      <c r="F1278" s="10" t="s">
        <v>534</v>
      </c>
      <c r="G1278" s="8">
        <v>3</v>
      </c>
      <c r="H1278" s="11">
        <v>160</v>
      </c>
      <c r="I1278" s="12">
        <v>42540</v>
      </c>
      <c r="J1278" s="13">
        <f t="shared" si="45"/>
        <v>0</v>
      </c>
      <c r="K1278" s="14"/>
      <c r="L1278" s="14"/>
      <c r="M1278" s="14"/>
      <c r="N1278" s="14"/>
      <c r="O1278" s="14"/>
      <c r="P1278" s="14"/>
      <c r="Q1278" s="14"/>
      <c r="R1278" s="14"/>
      <c r="S1278" s="14"/>
      <c r="T1278" s="14"/>
      <c r="U1278" s="14"/>
      <c r="V1278" s="14"/>
      <c r="W1278" s="15">
        <f t="shared" si="46"/>
        <v>0</v>
      </c>
      <c r="X1278" s="14"/>
      <c r="Y1278" s="14"/>
      <c r="Z1278" s="14"/>
      <c r="AA1278" s="14"/>
      <c r="AB1278" s="14"/>
      <c r="AC1278" s="14"/>
      <c r="AD1278" s="14"/>
      <c r="AE1278" s="14"/>
      <c r="AF1278" s="14"/>
      <c r="AG1278" s="14"/>
      <c r="AH1278" s="14"/>
      <c r="AI1278" s="14"/>
      <c r="AJ1278" s="15"/>
      <c r="AK1278" s="16"/>
    </row>
    <row r="1279" spans="2:37" x14ac:dyDescent="0.2">
      <c r="B1279" s="7" t="s">
        <v>77</v>
      </c>
      <c r="C1279" s="8">
        <v>11985</v>
      </c>
      <c r="D1279" s="9" t="s">
        <v>286</v>
      </c>
      <c r="E1279" s="10" t="s">
        <v>287</v>
      </c>
      <c r="F1279" s="10" t="s">
        <v>288</v>
      </c>
      <c r="G1279" s="8">
        <v>1</v>
      </c>
      <c r="H1279" s="11">
        <v>800</v>
      </c>
      <c r="I1279" s="12">
        <v>42540</v>
      </c>
      <c r="J1279" s="13">
        <f t="shared" si="45"/>
        <v>0</v>
      </c>
      <c r="K1279" s="14"/>
      <c r="L1279" s="14"/>
      <c r="M1279" s="14"/>
      <c r="N1279" s="14"/>
      <c r="O1279" s="14">
        <v>400</v>
      </c>
      <c r="P1279" s="14">
        <v>400</v>
      </c>
      <c r="Q1279" s="14"/>
      <c r="R1279" s="14"/>
      <c r="S1279" s="14"/>
      <c r="T1279" s="14"/>
      <c r="U1279" s="14"/>
      <c r="V1279" s="14"/>
      <c r="W1279" s="15">
        <f t="shared" si="46"/>
        <v>800</v>
      </c>
      <c r="X1279" s="14"/>
      <c r="Y1279" s="14"/>
      <c r="Z1279" s="14"/>
      <c r="AA1279" s="14"/>
      <c r="AB1279" s="14"/>
      <c r="AC1279" s="14"/>
      <c r="AD1279" s="14"/>
      <c r="AE1279" s="14"/>
      <c r="AF1279" s="14"/>
      <c r="AG1279" s="14"/>
      <c r="AH1279" s="14"/>
      <c r="AI1279" s="14"/>
      <c r="AJ1279" s="15"/>
      <c r="AK1279" s="16"/>
    </row>
    <row r="1280" spans="2:37" x14ac:dyDescent="0.2">
      <c r="B1280" s="7" t="s">
        <v>73</v>
      </c>
      <c r="C1280" s="8">
        <v>11986</v>
      </c>
      <c r="D1280" s="9" t="s">
        <v>523</v>
      </c>
      <c r="E1280" s="10" t="s">
        <v>524</v>
      </c>
      <c r="F1280" s="10" t="s">
        <v>525</v>
      </c>
      <c r="G1280" s="8">
        <v>1</v>
      </c>
      <c r="H1280" s="11">
        <v>400</v>
      </c>
      <c r="I1280" s="12">
        <v>42540</v>
      </c>
      <c r="J1280" s="13">
        <f t="shared" si="45"/>
        <v>0</v>
      </c>
      <c r="K1280" s="14"/>
      <c r="L1280" s="14"/>
      <c r="M1280" s="14"/>
      <c r="N1280" s="14"/>
      <c r="O1280" s="14">
        <v>400</v>
      </c>
      <c r="P1280" s="14"/>
      <c r="Q1280" s="14"/>
      <c r="R1280" s="14"/>
      <c r="S1280" s="14"/>
      <c r="T1280" s="14"/>
      <c r="U1280" s="14"/>
      <c r="V1280" s="14"/>
      <c r="W1280" s="15">
        <f t="shared" si="46"/>
        <v>400</v>
      </c>
      <c r="X1280" s="14"/>
      <c r="Y1280" s="14"/>
      <c r="Z1280" s="14"/>
      <c r="AA1280" s="14"/>
      <c r="AB1280" s="14"/>
      <c r="AC1280" s="14"/>
      <c r="AD1280" s="14"/>
      <c r="AE1280" s="14"/>
      <c r="AF1280" s="14"/>
      <c r="AG1280" s="14"/>
      <c r="AH1280" s="14"/>
      <c r="AI1280" s="14"/>
      <c r="AJ1280" s="15"/>
      <c r="AK1280" s="16"/>
    </row>
    <row r="1281" spans="2:37" x14ac:dyDescent="0.2">
      <c r="B1281" s="7" t="s">
        <v>47</v>
      </c>
      <c r="C1281" s="8">
        <v>11987</v>
      </c>
      <c r="D1281" s="9" t="s">
        <v>699</v>
      </c>
      <c r="E1281" s="10" t="s">
        <v>700</v>
      </c>
      <c r="F1281" s="10" t="s">
        <v>701</v>
      </c>
      <c r="G1281" s="8">
        <v>1</v>
      </c>
      <c r="H1281" s="11">
        <v>400</v>
      </c>
      <c r="I1281" s="12">
        <v>42540</v>
      </c>
      <c r="J1281" s="13">
        <f t="shared" si="45"/>
        <v>0</v>
      </c>
      <c r="K1281" s="14"/>
      <c r="L1281" s="14"/>
      <c r="M1281" s="14"/>
      <c r="N1281" s="14"/>
      <c r="O1281" s="14"/>
      <c r="P1281" s="14">
        <v>400</v>
      </c>
      <c r="Q1281" s="14"/>
      <c r="R1281" s="14"/>
      <c r="S1281" s="14"/>
      <c r="T1281" s="14"/>
      <c r="U1281" s="14"/>
      <c r="V1281" s="14"/>
      <c r="W1281" s="15">
        <f t="shared" si="46"/>
        <v>400</v>
      </c>
      <c r="X1281" s="14"/>
      <c r="Y1281" s="14"/>
      <c r="Z1281" s="14"/>
      <c r="AA1281" s="14"/>
      <c r="AB1281" s="14"/>
      <c r="AC1281" s="14"/>
      <c r="AD1281" s="14"/>
      <c r="AE1281" s="14"/>
      <c r="AF1281" s="14"/>
      <c r="AG1281" s="14"/>
      <c r="AH1281" s="14"/>
      <c r="AI1281" s="14"/>
      <c r="AJ1281" s="15"/>
      <c r="AK1281" s="16"/>
    </row>
    <row r="1282" spans="2:37" x14ac:dyDescent="0.2">
      <c r="B1282" s="7" t="s">
        <v>73</v>
      </c>
      <c r="C1282" s="8">
        <v>11988</v>
      </c>
      <c r="D1282" s="9" t="s">
        <v>611</v>
      </c>
      <c r="E1282" s="10" t="s">
        <v>612</v>
      </c>
      <c r="F1282" s="10" t="s">
        <v>613</v>
      </c>
      <c r="G1282" s="8">
        <v>1</v>
      </c>
      <c r="H1282" s="11">
        <v>400</v>
      </c>
      <c r="I1282" s="12">
        <v>42540</v>
      </c>
      <c r="J1282" s="13">
        <f t="shared" si="45"/>
        <v>0</v>
      </c>
      <c r="K1282" s="14"/>
      <c r="L1282" s="14"/>
      <c r="M1282" s="14"/>
      <c r="N1282" s="14"/>
      <c r="O1282" s="14"/>
      <c r="P1282" s="14">
        <v>400</v>
      </c>
      <c r="Q1282" s="14"/>
      <c r="R1282" s="14"/>
      <c r="S1282" s="14"/>
      <c r="T1282" s="14"/>
      <c r="U1282" s="14"/>
      <c r="V1282" s="14"/>
      <c r="W1282" s="15">
        <f t="shared" si="46"/>
        <v>400</v>
      </c>
      <c r="X1282" s="14"/>
      <c r="Y1282" s="14"/>
      <c r="Z1282" s="14"/>
      <c r="AA1282" s="14"/>
      <c r="AB1282" s="14"/>
      <c r="AC1282" s="14"/>
      <c r="AD1282" s="14"/>
      <c r="AE1282" s="14"/>
      <c r="AF1282" s="14"/>
      <c r="AG1282" s="14"/>
      <c r="AH1282" s="14"/>
      <c r="AI1282" s="14"/>
      <c r="AJ1282" s="15"/>
      <c r="AK1282" s="16"/>
    </row>
    <row r="1283" spans="2:37" x14ac:dyDescent="0.2">
      <c r="B1283" s="7" t="s">
        <v>47</v>
      </c>
      <c r="C1283" s="8">
        <v>11989</v>
      </c>
      <c r="D1283" s="9" t="s">
        <v>416</v>
      </c>
      <c r="E1283" s="10" t="s">
        <v>417</v>
      </c>
      <c r="F1283" s="10" t="s">
        <v>418</v>
      </c>
      <c r="G1283" s="8">
        <v>1</v>
      </c>
      <c r="H1283" s="11">
        <v>200</v>
      </c>
      <c r="I1283" s="12">
        <v>42540</v>
      </c>
      <c r="J1283" s="13">
        <f t="shared" si="45"/>
        <v>0</v>
      </c>
      <c r="K1283" s="14"/>
      <c r="L1283" s="14"/>
      <c r="M1283" s="14"/>
      <c r="N1283" s="14"/>
      <c r="O1283" s="14"/>
      <c r="P1283" s="14">
        <v>200</v>
      </c>
      <c r="Q1283" s="14"/>
      <c r="R1283" s="14"/>
      <c r="S1283" s="14"/>
      <c r="T1283" s="14"/>
      <c r="U1283" s="14"/>
      <c r="V1283" s="14"/>
      <c r="W1283" s="15">
        <f t="shared" si="46"/>
        <v>200</v>
      </c>
      <c r="X1283" s="14"/>
      <c r="Y1283" s="14"/>
      <c r="Z1283" s="14"/>
      <c r="AA1283" s="14"/>
      <c r="AB1283" s="14"/>
      <c r="AC1283" s="14"/>
      <c r="AD1283" s="14"/>
      <c r="AE1283" s="14"/>
      <c r="AF1283" s="14"/>
      <c r="AG1283" s="14"/>
      <c r="AH1283" s="14"/>
      <c r="AI1283" s="14"/>
      <c r="AJ1283" s="15"/>
      <c r="AK1283" s="16"/>
    </row>
    <row r="1284" spans="2:37" x14ac:dyDescent="0.2">
      <c r="B1284" s="7" t="s">
        <v>47</v>
      </c>
      <c r="C1284" s="8">
        <v>11990</v>
      </c>
      <c r="D1284" s="9" t="s">
        <v>208</v>
      </c>
      <c r="E1284" s="10" t="s">
        <v>209</v>
      </c>
      <c r="F1284" s="10" t="s">
        <v>210</v>
      </c>
      <c r="G1284" s="8">
        <v>3</v>
      </c>
      <c r="H1284" s="11">
        <v>160</v>
      </c>
      <c r="I1284" s="12">
        <v>42540</v>
      </c>
      <c r="J1284" s="13">
        <f t="shared" si="45"/>
        <v>0</v>
      </c>
      <c r="K1284" s="14"/>
      <c r="L1284" s="14"/>
      <c r="M1284" s="14"/>
      <c r="N1284" s="14"/>
      <c r="O1284" s="14"/>
      <c r="P1284" s="14"/>
      <c r="Q1284" s="14"/>
      <c r="R1284" s="14"/>
      <c r="S1284" s="14"/>
      <c r="T1284" s="14"/>
      <c r="U1284" s="14"/>
      <c r="V1284" s="14"/>
      <c r="W1284" s="15">
        <f t="shared" si="46"/>
        <v>0</v>
      </c>
      <c r="X1284" s="14"/>
      <c r="Y1284" s="14"/>
      <c r="Z1284" s="14"/>
      <c r="AA1284" s="14"/>
      <c r="AB1284" s="14"/>
      <c r="AC1284" s="14"/>
      <c r="AD1284" s="14"/>
      <c r="AE1284" s="14"/>
      <c r="AF1284" s="14"/>
      <c r="AG1284" s="14"/>
      <c r="AH1284" s="14"/>
      <c r="AI1284" s="14"/>
      <c r="AJ1284" s="15"/>
      <c r="AK1284" s="16"/>
    </row>
    <row r="1285" spans="2:37" x14ac:dyDescent="0.2">
      <c r="B1285" s="7" t="s">
        <v>47</v>
      </c>
      <c r="C1285" s="8">
        <v>11991</v>
      </c>
      <c r="D1285" s="9" t="s">
        <v>769</v>
      </c>
      <c r="E1285" s="10" t="s">
        <v>770</v>
      </c>
      <c r="F1285" s="10" t="s">
        <v>771</v>
      </c>
      <c r="G1285" s="8">
        <v>1</v>
      </c>
      <c r="H1285" s="11">
        <v>400</v>
      </c>
      <c r="I1285" s="12">
        <v>42540</v>
      </c>
      <c r="J1285" s="13">
        <f t="shared" si="45"/>
        <v>0</v>
      </c>
      <c r="K1285" s="14"/>
      <c r="L1285" s="14"/>
      <c r="M1285" s="14"/>
      <c r="N1285" s="14"/>
      <c r="O1285" s="14"/>
      <c r="P1285" s="14">
        <v>400</v>
      </c>
      <c r="Q1285" s="14"/>
      <c r="R1285" s="14"/>
      <c r="S1285" s="14"/>
      <c r="T1285" s="14"/>
      <c r="U1285" s="14"/>
      <c r="V1285" s="14"/>
      <c r="W1285" s="15">
        <f t="shared" si="46"/>
        <v>400</v>
      </c>
      <c r="X1285" s="14"/>
      <c r="Y1285" s="14"/>
      <c r="Z1285" s="14"/>
      <c r="AA1285" s="14"/>
      <c r="AB1285" s="14"/>
      <c r="AC1285" s="14"/>
      <c r="AD1285" s="14"/>
      <c r="AE1285" s="14"/>
      <c r="AF1285" s="14"/>
      <c r="AG1285" s="14"/>
      <c r="AH1285" s="14"/>
      <c r="AI1285" s="14"/>
      <c r="AJ1285" s="15"/>
      <c r="AK1285" s="16"/>
    </row>
    <row r="1286" spans="2:37" x14ac:dyDescent="0.2">
      <c r="B1286" s="7" t="s">
        <v>47</v>
      </c>
      <c r="C1286" s="8">
        <v>11992</v>
      </c>
      <c r="D1286" s="9" t="s">
        <v>509</v>
      </c>
      <c r="E1286" s="10" t="s">
        <v>510</v>
      </c>
      <c r="F1286" s="10" t="s">
        <v>511</v>
      </c>
      <c r="G1286" s="8">
        <v>1</v>
      </c>
      <c r="H1286" s="11">
        <v>900</v>
      </c>
      <c r="I1286" s="12">
        <v>42540</v>
      </c>
      <c r="J1286" s="13">
        <f t="shared" si="45"/>
        <v>0</v>
      </c>
      <c r="K1286" s="14"/>
      <c r="L1286" s="14">
        <v>300</v>
      </c>
      <c r="M1286" s="14">
        <v>300</v>
      </c>
      <c r="N1286" s="14">
        <v>300</v>
      </c>
      <c r="O1286" s="14"/>
      <c r="P1286" s="14"/>
      <c r="Q1286" s="14"/>
      <c r="R1286" s="14"/>
      <c r="S1286" s="14"/>
      <c r="T1286" s="14"/>
      <c r="U1286" s="14"/>
      <c r="V1286" s="14"/>
      <c r="W1286" s="15">
        <f t="shared" si="46"/>
        <v>900</v>
      </c>
      <c r="X1286" s="14"/>
      <c r="Y1286" s="14"/>
      <c r="Z1286" s="14"/>
      <c r="AA1286" s="14"/>
      <c r="AB1286" s="14"/>
      <c r="AC1286" s="14"/>
      <c r="AD1286" s="14"/>
      <c r="AE1286" s="14"/>
      <c r="AF1286" s="14"/>
      <c r="AG1286" s="14"/>
      <c r="AH1286" s="14"/>
      <c r="AI1286" s="14"/>
      <c r="AJ1286" s="15"/>
      <c r="AK1286" s="16"/>
    </row>
    <row r="1287" spans="2:37" x14ac:dyDescent="0.2">
      <c r="B1287" s="7" t="s">
        <v>77</v>
      </c>
      <c r="C1287" s="8">
        <v>11993</v>
      </c>
      <c r="D1287" s="9" t="s">
        <v>322</v>
      </c>
      <c r="E1287" s="10" t="s">
        <v>323</v>
      </c>
      <c r="F1287" s="10" t="s">
        <v>324</v>
      </c>
      <c r="G1287" s="8">
        <v>1</v>
      </c>
      <c r="H1287" s="11">
        <v>400</v>
      </c>
      <c r="I1287" s="12">
        <v>42540</v>
      </c>
      <c r="J1287" s="13">
        <f t="shared" si="45"/>
        <v>0</v>
      </c>
      <c r="K1287" s="14"/>
      <c r="L1287" s="14"/>
      <c r="M1287" s="14"/>
      <c r="N1287" s="14"/>
      <c r="O1287" s="14"/>
      <c r="P1287" s="14">
        <v>400</v>
      </c>
      <c r="Q1287" s="14"/>
      <c r="R1287" s="14"/>
      <c r="S1287" s="14"/>
      <c r="T1287" s="14"/>
      <c r="U1287" s="14"/>
      <c r="V1287" s="14"/>
      <c r="W1287" s="15">
        <f t="shared" si="46"/>
        <v>400</v>
      </c>
      <c r="X1287" s="14"/>
      <c r="Y1287" s="14"/>
      <c r="Z1287" s="14"/>
      <c r="AA1287" s="14"/>
      <c r="AB1287" s="14"/>
      <c r="AC1287" s="14"/>
      <c r="AD1287" s="14"/>
      <c r="AE1287" s="14"/>
      <c r="AF1287" s="14"/>
      <c r="AG1287" s="14"/>
      <c r="AH1287" s="14"/>
      <c r="AI1287" s="14"/>
      <c r="AJ1287" s="15"/>
      <c r="AK1287" s="16"/>
    </row>
    <row r="1288" spans="2:37" x14ac:dyDescent="0.2">
      <c r="B1288" s="7" t="s">
        <v>69</v>
      </c>
      <c r="C1288" s="8">
        <v>11994</v>
      </c>
      <c r="D1288" s="9" t="s">
        <v>461</v>
      </c>
      <c r="E1288" s="10" t="s">
        <v>462</v>
      </c>
      <c r="F1288" s="10" t="s">
        <v>463</v>
      </c>
      <c r="G1288" s="8">
        <v>1</v>
      </c>
      <c r="H1288" s="11">
        <v>800</v>
      </c>
      <c r="I1288" s="12">
        <v>42540</v>
      </c>
      <c r="J1288" s="13">
        <f t="shared" si="45"/>
        <v>0</v>
      </c>
      <c r="K1288" s="14"/>
      <c r="L1288" s="14"/>
      <c r="M1288" s="14"/>
      <c r="N1288" s="14"/>
      <c r="O1288" s="14">
        <v>400</v>
      </c>
      <c r="P1288" s="14">
        <v>400</v>
      </c>
      <c r="Q1288" s="14"/>
      <c r="R1288" s="14"/>
      <c r="S1288" s="14"/>
      <c r="T1288" s="14"/>
      <c r="U1288" s="14"/>
      <c r="V1288" s="14"/>
      <c r="W1288" s="15">
        <f t="shared" si="46"/>
        <v>800</v>
      </c>
      <c r="X1288" s="14"/>
      <c r="Y1288" s="14"/>
      <c r="Z1288" s="14"/>
      <c r="AA1288" s="14"/>
      <c r="AB1288" s="14"/>
      <c r="AC1288" s="14"/>
      <c r="AD1288" s="14"/>
      <c r="AE1288" s="14"/>
      <c r="AF1288" s="14"/>
      <c r="AG1288" s="14"/>
      <c r="AH1288" s="14"/>
      <c r="AI1288" s="14"/>
      <c r="AJ1288" s="15"/>
      <c r="AK1288" s="16"/>
    </row>
    <row r="1289" spans="2:37" x14ac:dyDescent="0.2">
      <c r="B1289" s="7" t="s">
        <v>73</v>
      </c>
      <c r="C1289" s="8">
        <v>11995</v>
      </c>
      <c r="D1289" s="9" t="s">
        <v>763</v>
      </c>
      <c r="E1289" s="10" t="s">
        <v>764</v>
      </c>
      <c r="F1289" s="10" t="s">
        <v>765</v>
      </c>
      <c r="G1289" s="8">
        <v>1</v>
      </c>
      <c r="H1289" s="11">
        <v>800</v>
      </c>
      <c r="I1289" s="12">
        <v>42540</v>
      </c>
      <c r="J1289" s="13">
        <f t="shared" si="45"/>
        <v>0</v>
      </c>
      <c r="K1289" s="14"/>
      <c r="L1289" s="14"/>
      <c r="M1289" s="14"/>
      <c r="N1289" s="14"/>
      <c r="O1289" s="14">
        <v>400</v>
      </c>
      <c r="P1289" s="14">
        <v>400</v>
      </c>
      <c r="Q1289" s="14"/>
      <c r="R1289" s="14"/>
      <c r="S1289" s="14"/>
      <c r="T1289" s="14"/>
      <c r="U1289" s="14"/>
      <c r="V1289" s="14"/>
      <c r="W1289" s="15">
        <f t="shared" si="46"/>
        <v>800</v>
      </c>
      <c r="X1289" s="14"/>
      <c r="Y1289" s="14"/>
      <c r="Z1289" s="14"/>
      <c r="AA1289" s="14"/>
      <c r="AB1289" s="14"/>
      <c r="AC1289" s="14"/>
      <c r="AD1289" s="14"/>
      <c r="AE1289" s="14"/>
      <c r="AF1289" s="14"/>
      <c r="AG1289" s="14"/>
      <c r="AH1289" s="14"/>
      <c r="AI1289" s="14"/>
      <c r="AJ1289" s="15"/>
      <c r="AK1289" s="16"/>
    </row>
    <row r="1290" spans="2:37" x14ac:dyDescent="0.2">
      <c r="B1290" s="7" t="s">
        <v>69</v>
      </c>
      <c r="C1290" s="8">
        <v>11996</v>
      </c>
      <c r="D1290" s="9" t="s">
        <v>608</v>
      </c>
      <c r="E1290" s="10" t="s">
        <v>609</v>
      </c>
      <c r="F1290" s="10" t="s">
        <v>610</v>
      </c>
      <c r="G1290" s="8">
        <v>1</v>
      </c>
      <c r="H1290" s="11">
        <v>1600</v>
      </c>
      <c r="I1290" s="12">
        <v>42540</v>
      </c>
      <c r="J1290" s="13">
        <f t="shared" si="45"/>
        <v>0</v>
      </c>
      <c r="K1290" s="14"/>
      <c r="L1290" s="14"/>
      <c r="M1290" s="14">
        <v>400</v>
      </c>
      <c r="N1290" s="14">
        <v>400</v>
      </c>
      <c r="O1290" s="14">
        <v>400</v>
      </c>
      <c r="P1290" s="14">
        <v>400</v>
      </c>
      <c r="Q1290" s="14"/>
      <c r="R1290" s="14"/>
      <c r="S1290" s="14"/>
      <c r="T1290" s="14"/>
      <c r="U1290" s="14"/>
      <c r="V1290" s="14"/>
      <c r="W1290" s="15">
        <f t="shared" si="46"/>
        <v>1600</v>
      </c>
      <c r="X1290" s="14"/>
      <c r="Y1290" s="14"/>
      <c r="Z1290" s="14"/>
      <c r="AA1290" s="14"/>
      <c r="AB1290" s="14"/>
      <c r="AC1290" s="14"/>
      <c r="AD1290" s="14"/>
      <c r="AE1290" s="14"/>
      <c r="AF1290" s="14"/>
      <c r="AG1290" s="14"/>
      <c r="AH1290" s="14"/>
      <c r="AI1290" s="14"/>
      <c r="AJ1290" s="15"/>
      <c r="AK1290" s="16"/>
    </row>
    <row r="1291" spans="2:37" x14ac:dyDescent="0.2">
      <c r="B1291" s="7" t="s">
        <v>73</v>
      </c>
      <c r="C1291" s="8">
        <v>11997</v>
      </c>
      <c r="D1291" s="9" t="s">
        <v>485</v>
      </c>
      <c r="E1291" s="10" t="s">
        <v>486</v>
      </c>
      <c r="F1291" s="10" t="s">
        <v>487</v>
      </c>
      <c r="G1291" s="8">
        <v>1</v>
      </c>
      <c r="H1291" s="11">
        <v>400</v>
      </c>
      <c r="I1291" s="12">
        <v>42540</v>
      </c>
      <c r="J1291" s="13">
        <f t="shared" si="45"/>
        <v>0</v>
      </c>
      <c r="K1291" s="14"/>
      <c r="L1291" s="14"/>
      <c r="M1291" s="14"/>
      <c r="N1291" s="14"/>
      <c r="O1291" s="14">
        <v>400</v>
      </c>
      <c r="P1291" s="14"/>
      <c r="Q1291" s="14"/>
      <c r="R1291" s="14"/>
      <c r="S1291" s="14"/>
      <c r="T1291" s="14"/>
      <c r="U1291" s="14"/>
      <c r="V1291" s="14"/>
      <c r="W1291" s="15">
        <f t="shared" si="46"/>
        <v>400</v>
      </c>
      <c r="X1291" s="14"/>
      <c r="Y1291" s="14"/>
      <c r="Z1291" s="14"/>
      <c r="AA1291" s="14"/>
      <c r="AB1291" s="14"/>
      <c r="AC1291" s="14"/>
      <c r="AD1291" s="14"/>
      <c r="AE1291" s="14"/>
      <c r="AF1291" s="14"/>
      <c r="AG1291" s="14"/>
      <c r="AH1291" s="14"/>
      <c r="AI1291" s="14"/>
      <c r="AJ1291" s="15"/>
      <c r="AK1291" s="16"/>
    </row>
    <row r="1292" spans="2:37" x14ac:dyDescent="0.2">
      <c r="B1292" s="7" t="s">
        <v>69</v>
      </c>
      <c r="C1292" s="8">
        <v>11998</v>
      </c>
      <c r="D1292" s="9" t="s">
        <v>346</v>
      </c>
      <c r="E1292" s="10" t="s">
        <v>347</v>
      </c>
      <c r="F1292" s="10" t="s">
        <v>348</v>
      </c>
      <c r="G1292" s="8">
        <v>1</v>
      </c>
      <c r="H1292" s="11">
        <v>300</v>
      </c>
      <c r="I1292" s="12">
        <v>42540</v>
      </c>
      <c r="J1292" s="13">
        <f t="shared" si="45"/>
        <v>0</v>
      </c>
      <c r="K1292" s="14"/>
      <c r="L1292" s="14"/>
      <c r="M1292" s="14"/>
      <c r="N1292" s="14"/>
      <c r="O1292" s="14"/>
      <c r="P1292" s="14">
        <v>300</v>
      </c>
      <c r="Q1292" s="14"/>
      <c r="R1292" s="14"/>
      <c r="S1292" s="14"/>
      <c r="T1292" s="14"/>
      <c r="U1292" s="14"/>
      <c r="V1292" s="14"/>
      <c r="W1292" s="15">
        <f t="shared" si="46"/>
        <v>300</v>
      </c>
      <c r="X1292" s="14"/>
      <c r="Y1292" s="14"/>
      <c r="Z1292" s="14"/>
      <c r="AA1292" s="14"/>
      <c r="AB1292" s="14"/>
      <c r="AC1292" s="14"/>
      <c r="AD1292" s="14"/>
      <c r="AE1292" s="14"/>
      <c r="AF1292" s="14"/>
      <c r="AG1292" s="14"/>
      <c r="AH1292" s="14"/>
      <c r="AI1292" s="14"/>
      <c r="AJ1292" s="15"/>
      <c r="AK1292" s="16"/>
    </row>
    <row r="1293" spans="2:37" x14ac:dyDescent="0.2">
      <c r="B1293" s="7" t="s">
        <v>69</v>
      </c>
      <c r="C1293" s="8">
        <v>11999</v>
      </c>
      <c r="D1293" s="9" t="s">
        <v>410</v>
      </c>
      <c r="E1293" s="10" t="s">
        <v>411</v>
      </c>
      <c r="F1293" s="10" t="s">
        <v>412</v>
      </c>
      <c r="G1293" s="8">
        <v>3</v>
      </c>
      <c r="H1293" s="11">
        <v>160</v>
      </c>
      <c r="I1293" s="12">
        <v>42540</v>
      </c>
      <c r="J1293" s="13">
        <f t="shared" si="45"/>
        <v>0</v>
      </c>
      <c r="K1293" s="14"/>
      <c r="L1293" s="14"/>
      <c r="M1293" s="14"/>
      <c r="N1293" s="14"/>
      <c r="O1293" s="14"/>
      <c r="P1293" s="14"/>
      <c r="Q1293" s="14"/>
      <c r="R1293" s="14"/>
      <c r="S1293" s="14"/>
      <c r="T1293" s="14"/>
      <c r="U1293" s="14"/>
      <c r="V1293" s="14"/>
      <c r="W1293" s="15">
        <f t="shared" si="46"/>
        <v>0</v>
      </c>
      <c r="X1293" s="14"/>
      <c r="Y1293" s="14"/>
      <c r="Z1293" s="14"/>
      <c r="AA1293" s="14"/>
      <c r="AB1293" s="14"/>
      <c r="AC1293" s="14"/>
      <c r="AD1293" s="14"/>
      <c r="AE1293" s="14"/>
      <c r="AF1293" s="14"/>
      <c r="AG1293" s="14"/>
      <c r="AH1293" s="14"/>
      <c r="AI1293" s="14"/>
      <c r="AJ1293" s="15"/>
      <c r="AK1293" s="16"/>
    </row>
    <row r="1294" spans="2:37" x14ac:dyDescent="0.2">
      <c r="B1294" s="7" t="s">
        <v>47</v>
      </c>
      <c r="C1294" s="8">
        <v>12000</v>
      </c>
      <c r="D1294" s="9" t="s">
        <v>235</v>
      </c>
      <c r="E1294" s="10" t="s">
        <v>236</v>
      </c>
      <c r="F1294" s="10" t="s">
        <v>237</v>
      </c>
      <c r="G1294" s="8">
        <v>1</v>
      </c>
      <c r="H1294" s="11">
        <v>400</v>
      </c>
      <c r="I1294" s="12">
        <v>42540</v>
      </c>
      <c r="J1294" s="13">
        <f t="shared" si="45"/>
        <v>0</v>
      </c>
      <c r="K1294" s="14"/>
      <c r="L1294" s="14"/>
      <c r="M1294" s="14"/>
      <c r="N1294" s="14"/>
      <c r="O1294" s="14"/>
      <c r="P1294" s="14">
        <v>400</v>
      </c>
      <c r="Q1294" s="14"/>
      <c r="R1294" s="14"/>
      <c r="S1294" s="14"/>
      <c r="T1294" s="14"/>
      <c r="U1294" s="14"/>
      <c r="V1294" s="14"/>
      <c r="W1294" s="15">
        <f t="shared" si="46"/>
        <v>400</v>
      </c>
      <c r="X1294" s="14"/>
      <c r="Y1294" s="14"/>
      <c r="Z1294" s="14"/>
      <c r="AA1294" s="14"/>
      <c r="AB1294" s="14"/>
      <c r="AC1294" s="14"/>
      <c r="AD1294" s="14"/>
      <c r="AE1294" s="14"/>
      <c r="AF1294" s="14"/>
      <c r="AG1294" s="14"/>
      <c r="AH1294" s="14"/>
      <c r="AI1294" s="14"/>
      <c r="AJ1294" s="15"/>
      <c r="AK1294" s="16"/>
    </row>
    <row r="1295" spans="2:37" x14ac:dyDescent="0.2">
      <c r="B1295" s="7" t="s">
        <v>77</v>
      </c>
      <c r="C1295" s="8">
        <v>12001</v>
      </c>
      <c r="D1295" s="9" t="s">
        <v>384</v>
      </c>
      <c r="E1295" s="10" t="s">
        <v>385</v>
      </c>
      <c r="F1295" s="10" t="s">
        <v>386</v>
      </c>
      <c r="G1295" s="8">
        <v>1</v>
      </c>
      <c r="H1295" s="11">
        <v>700</v>
      </c>
      <c r="I1295" s="12">
        <v>42540</v>
      </c>
      <c r="J1295" s="13">
        <f t="shared" si="45"/>
        <v>0</v>
      </c>
      <c r="K1295" s="14"/>
      <c r="L1295" s="14"/>
      <c r="M1295" s="14"/>
      <c r="N1295" s="14"/>
      <c r="O1295" s="14">
        <v>350</v>
      </c>
      <c r="P1295" s="14">
        <v>350</v>
      </c>
      <c r="Q1295" s="14"/>
      <c r="R1295" s="14"/>
      <c r="S1295" s="14"/>
      <c r="T1295" s="14"/>
      <c r="U1295" s="14"/>
      <c r="V1295" s="14"/>
      <c r="W1295" s="15">
        <f t="shared" si="46"/>
        <v>700</v>
      </c>
      <c r="X1295" s="14"/>
      <c r="Y1295" s="14"/>
      <c r="Z1295" s="14"/>
      <c r="AA1295" s="14"/>
      <c r="AB1295" s="14"/>
      <c r="AC1295" s="14"/>
      <c r="AD1295" s="14"/>
      <c r="AE1295" s="14"/>
      <c r="AF1295" s="14"/>
      <c r="AG1295" s="14"/>
      <c r="AH1295" s="14"/>
      <c r="AI1295" s="14"/>
      <c r="AJ1295" s="15"/>
      <c r="AK1295" s="16"/>
    </row>
    <row r="1296" spans="2:37" x14ac:dyDescent="0.2">
      <c r="B1296" s="7" t="s">
        <v>37</v>
      </c>
      <c r="C1296" s="8">
        <v>12002</v>
      </c>
      <c r="D1296" s="9" t="s">
        <v>681</v>
      </c>
      <c r="E1296" s="10" t="s">
        <v>682</v>
      </c>
      <c r="F1296" s="10" t="s">
        <v>683</v>
      </c>
      <c r="G1296" s="8">
        <v>1</v>
      </c>
      <c r="H1296" s="11">
        <v>300</v>
      </c>
      <c r="I1296" s="12">
        <v>42540</v>
      </c>
      <c r="J1296" s="13">
        <f t="shared" si="45"/>
        <v>0</v>
      </c>
      <c r="K1296" s="14"/>
      <c r="L1296" s="14"/>
      <c r="M1296" s="14"/>
      <c r="N1296" s="14"/>
      <c r="O1296" s="14"/>
      <c r="P1296" s="14">
        <v>300</v>
      </c>
      <c r="Q1296" s="14"/>
      <c r="R1296" s="14"/>
      <c r="S1296" s="14"/>
      <c r="T1296" s="14"/>
      <c r="U1296" s="14"/>
      <c r="V1296" s="14"/>
      <c r="W1296" s="15">
        <f t="shared" si="46"/>
        <v>300</v>
      </c>
      <c r="X1296" s="14"/>
      <c r="Y1296" s="14"/>
      <c r="Z1296" s="14"/>
      <c r="AA1296" s="14"/>
      <c r="AB1296" s="14"/>
      <c r="AC1296" s="14"/>
      <c r="AD1296" s="14"/>
      <c r="AE1296" s="14"/>
      <c r="AF1296" s="14"/>
      <c r="AG1296" s="14"/>
      <c r="AH1296" s="14"/>
      <c r="AI1296" s="14"/>
      <c r="AJ1296" s="15"/>
      <c r="AK1296" s="16"/>
    </row>
    <row r="1297" spans="2:37" x14ac:dyDescent="0.2">
      <c r="B1297" s="7" t="s">
        <v>73</v>
      </c>
      <c r="C1297" s="8">
        <v>12003</v>
      </c>
      <c r="D1297" s="9" t="s">
        <v>112</v>
      </c>
      <c r="E1297" s="10" t="s">
        <v>113</v>
      </c>
      <c r="F1297" s="10" t="s">
        <v>114</v>
      </c>
      <c r="G1297" s="8">
        <v>1</v>
      </c>
      <c r="H1297" s="11">
        <v>250</v>
      </c>
      <c r="I1297" s="12">
        <v>42540</v>
      </c>
      <c r="J1297" s="13">
        <f t="shared" si="45"/>
        <v>0</v>
      </c>
      <c r="K1297" s="14"/>
      <c r="L1297" s="14"/>
      <c r="M1297" s="14"/>
      <c r="N1297" s="14"/>
      <c r="O1297" s="14"/>
      <c r="P1297" s="14">
        <v>250</v>
      </c>
      <c r="Q1297" s="14"/>
      <c r="R1297" s="14"/>
      <c r="S1297" s="14"/>
      <c r="T1297" s="14"/>
      <c r="U1297" s="14"/>
      <c r="V1297" s="14"/>
      <c r="W1297" s="15">
        <f t="shared" si="46"/>
        <v>250</v>
      </c>
      <c r="X1297" s="14"/>
      <c r="Y1297" s="14"/>
      <c r="Z1297" s="14"/>
      <c r="AA1297" s="14"/>
      <c r="AB1297" s="14"/>
      <c r="AC1297" s="14"/>
      <c r="AD1297" s="14"/>
      <c r="AE1297" s="14"/>
      <c r="AF1297" s="14"/>
      <c r="AG1297" s="14"/>
      <c r="AH1297" s="14"/>
      <c r="AI1297" s="14"/>
      <c r="AJ1297" s="15"/>
      <c r="AK1297" s="16"/>
    </row>
    <row r="1298" spans="2:37" x14ac:dyDescent="0.2">
      <c r="B1298" s="7" t="s">
        <v>47</v>
      </c>
      <c r="C1298" s="8">
        <v>12004</v>
      </c>
      <c r="D1298" s="9" t="s">
        <v>1014</v>
      </c>
      <c r="E1298" s="10" t="s">
        <v>1015</v>
      </c>
      <c r="F1298" s="10" t="s">
        <v>1016</v>
      </c>
      <c r="G1298" s="8">
        <v>1</v>
      </c>
      <c r="H1298" s="11">
        <v>3600</v>
      </c>
      <c r="I1298" s="12">
        <v>42540</v>
      </c>
      <c r="J1298" s="13">
        <f t="shared" si="45"/>
        <v>0</v>
      </c>
      <c r="K1298" s="14">
        <v>300</v>
      </c>
      <c r="L1298" s="14">
        <v>300</v>
      </c>
      <c r="M1298" s="14">
        <v>300</v>
      </c>
      <c r="N1298" s="14">
        <v>300</v>
      </c>
      <c r="O1298" s="14">
        <v>300</v>
      </c>
      <c r="P1298" s="14">
        <v>300</v>
      </c>
      <c r="Q1298" s="14">
        <v>300</v>
      </c>
      <c r="R1298" s="14">
        <v>300</v>
      </c>
      <c r="S1298" s="14">
        <v>300</v>
      </c>
      <c r="T1298" s="14">
        <v>300</v>
      </c>
      <c r="U1298" s="14">
        <v>300</v>
      </c>
      <c r="V1298" s="14">
        <v>300</v>
      </c>
      <c r="W1298" s="15">
        <f t="shared" si="46"/>
        <v>3600</v>
      </c>
      <c r="X1298" s="14"/>
      <c r="Y1298" s="14"/>
      <c r="Z1298" s="14"/>
      <c r="AA1298" s="14"/>
      <c r="AB1298" s="14"/>
      <c r="AC1298" s="14"/>
      <c r="AD1298" s="14"/>
      <c r="AE1298" s="14"/>
      <c r="AF1298" s="14"/>
      <c r="AG1298" s="14"/>
      <c r="AH1298" s="14"/>
      <c r="AI1298" s="14"/>
      <c r="AJ1298" s="15"/>
      <c r="AK1298" s="16"/>
    </row>
    <row r="1299" spans="2:37" x14ac:dyDescent="0.2">
      <c r="B1299" s="7" t="s">
        <v>69</v>
      </c>
      <c r="C1299" s="8">
        <v>12005</v>
      </c>
      <c r="D1299" s="9" t="s">
        <v>467</v>
      </c>
      <c r="E1299" s="10" t="s">
        <v>468</v>
      </c>
      <c r="F1299" s="10" t="s">
        <v>469</v>
      </c>
      <c r="G1299" s="8">
        <v>1</v>
      </c>
      <c r="H1299" s="11">
        <v>800</v>
      </c>
      <c r="I1299" s="12">
        <v>42540</v>
      </c>
      <c r="J1299" s="13">
        <f t="shared" si="45"/>
        <v>0</v>
      </c>
      <c r="K1299" s="14"/>
      <c r="L1299" s="14"/>
      <c r="M1299" s="14"/>
      <c r="N1299" s="14"/>
      <c r="O1299" s="14">
        <v>400</v>
      </c>
      <c r="P1299" s="14">
        <v>400</v>
      </c>
      <c r="Q1299" s="14"/>
      <c r="R1299" s="14"/>
      <c r="S1299" s="14"/>
      <c r="T1299" s="14"/>
      <c r="U1299" s="14"/>
      <c r="V1299" s="14"/>
      <c r="W1299" s="15">
        <f t="shared" si="46"/>
        <v>800</v>
      </c>
      <c r="X1299" s="14"/>
      <c r="Y1299" s="14"/>
      <c r="Z1299" s="14"/>
      <c r="AA1299" s="14"/>
      <c r="AB1299" s="14"/>
      <c r="AC1299" s="14"/>
      <c r="AD1299" s="14"/>
      <c r="AE1299" s="14"/>
      <c r="AF1299" s="14"/>
      <c r="AG1299" s="14"/>
      <c r="AH1299" s="14"/>
      <c r="AI1299" s="14"/>
      <c r="AJ1299" s="15"/>
      <c r="AK1299" s="16"/>
    </row>
    <row r="1300" spans="2:37" x14ac:dyDescent="0.2">
      <c r="B1300" s="7" t="s">
        <v>73</v>
      </c>
      <c r="C1300" s="8">
        <v>12006</v>
      </c>
      <c r="D1300" s="9" t="s">
        <v>277</v>
      </c>
      <c r="E1300" s="10" t="s">
        <v>278</v>
      </c>
      <c r="F1300" s="10" t="s">
        <v>279</v>
      </c>
      <c r="G1300" s="8">
        <v>1</v>
      </c>
      <c r="H1300" s="11">
        <v>200</v>
      </c>
      <c r="I1300" s="12">
        <v>42540</v>
      </c>
      <c r="J1300" s="13">
        <f t="shared" si="45"/>
        <v>0</v>
      </c>
      <c r="K1300" s="14"/>
      <c r="L1300" s="14"/>
      <c r="M1300" s="14"/>
      <c r="N1300" s="14"/>
      <c r="O1300" s="14"/>
      <c r="P1300" s="14">
        <v>200</v>
      </c>
      <c r="Q1300" s="14"/>
      <c r="R1300" s="14"/>
      <c r="S1300" s="14"/>
      <c r="T1300" s="14"/>
      <c r="U1300" s="14"/>
      <c r="V1300" s="14"/>
      <c r="W1300" s="15">
        <f t="shared" si="46"/>
        <v>200</v>
      </c>
      <c r="X1300" s="14"/>
      <c r="Y1300" s="14"/>
      <c r="Z1300" s="14"/>
      <c r="AA1300" s="14"/>
      <c r="AB1300" s="14"/>
      <c r="AC1300" s="14"/>
      <c r="AD1300" s="14"/>
      <c r="AE1300" s="14"/>
      <c r="AF1300" s="14"/>
      <c r="AG1300" s="14"/>
      <c r="AH1300" s="14"/>
      <c r="AI1300" s="14"/>
      <c r="AJ1300" s="15"/>
      <c r="AK1300" s="16"/>
    </row>
    <row r="1301" spans="2:37" x14ac:dyDescent="0.2">
      <c r="B1301" s="7" t="s">
        <v>47</v>
      </c>
      <c r="C1301" s="8">
        <v>12007</v>
      </c>
      <c r="D1301" s="9" t="s">
        <v>183</v>
      </c>
      <c r="E1301" s="10" t="s">
        <v>184</v>
      </c>
      <c r="F1301" s="10" t="s">
        <v>185</v>
      </c>
      <c r="G1301" s="8">
        <v>1</v>
      </c>
      <c r="H1301" s="11">
        <v>400</v>
      </c>
      <c r="I1301" s="12">
        <v>42540</v>
      </c>
      <c r="J1301" s="13">
        <f t="shared" si="45"/>
        <v>0</v>
      </c>
      <c r="K1301" s="14"/>
      <c r="L1301" s="14"/>
      <c r="M1301" s="14"/>
      <c r="N1301" s="14"/>
      <c r="O1301" s="14"/>
      <c r="P1301" s="14">
        <v>400</v>
      </c>
      <c r="Q1301" s="14"/>
      <c r="R1301" s="14"/>
      <c r="S1301" s="14"/>
      <c r="T1301" s="14"/>
      <c r="U1301" s="14"/>
      <c r="V1301" s="14"/>
      <c r="W1301" s="15">
        <f t="shared" si="46"/>
        <v>400</v>
      </c>
      <c r="X1301" s="14"/>
      <c r="Y1301" s="14"/>
      <c r="Z1301" s="14"/>
      <c r="AA1301" s="14"/>
      <c r="AB1301" s="14"/>
      <c r="AC1301" s="14"/>
      <c r="AD1301" s="14"/>
      <c r="AE1301" s="14"/>
      <c r="AF1301" s="14"/>
      <c r="AG1301" s="14"/>
      <c r="AH1301" s="14"/>
      <c r="AI1301" s="14"/>
      <c r="AJ1301" s="15"/>
      <c r="AK1301" s="16"/>
    </row>
    <row r="1302" spans="2:37" x14ac:dyDescent="0.2">
      <c r="B1302" s="7" t="s">
        <v>69</v>
      </c>
      <c r="C1302" s="8">
        <v>12008</v>
      </c>
      <c r="D1302" s="9" t="s">
        <v>413</v>
      </c>
      <c r="E1302" s="10" t="s">
        <v>414</v>
      </c>
      <c r="F1302" s="10" t="s">
        <v>415</v>
      </c>
      <c r="G1302" s="8">
        <v>1</v>
      </c>
      <c r="H1302" s="11">
        <v>1200</v>
      </c>
      <c r="I1302" s="12">
        <v>42540</v>
      </c>
      <c r="J1302" s="13">
        <f t="shared" si="45"/>
        <v>0</v>
      </c>
      <c r="K1302" s="14"/>
      <c r="L1302" s="14"/>
      <c r="M1302" s="14"/>
      <c r="N1302" s="14"/>
      <c r="O1302" s="14"/>
      <c r="P1302" s="14"/>
      <c r="Q1302" s="14">
        <v>400</v>
      </c>
      <c r="R1302" s="14">
        <v>400</v>
      </c>
      <c r="S1302" s="14">
        <v>400</v>
      </c>
      <c r="T1302" s="14"/>
      <c r="U1302" s="14"/>
      <c r="V1302" s="14"/>
      <c r="W1302" s="15">
        <f t="shared" si="46"/>
        <v>1200</v>
      </c>
      <c r="X1302" s="14"/>
      <c r="Y1302" s="14"/>
      <c r="Z1302" s="14"/>
      <c r="AA1302" s="14"/>
      <c r="AB1302" s="14"/>
      <c r="AC1302" s="14"/>
      <c r="AD1302" s="14"/>
      <c r="AE1302" s="14"/>
      <c r="AF1302" s="14"/>
      <c r="AG1302" s="14"/>
      <c r="AH1302" s="14"/>
      <c r="AI1302" s="14"/>
      <c r="AJ1302" s="15"/>
      <c r="AK1302" s="16"/>
    </row>
    <row r="1303" spans="2:37" x14ac:dyDescent="0.2">
      <c r="B1303" s="7" t="s">
        <v>391</v>
      </c>
      <c r="C1303" s="8">
        <v>12009</v>
      </c>
      <c r="D1303" s="9" t="s">
        <v>876</v>
      </c>
      <c r="E1303" s="10" t="s">
        <v>877</v>
      </c>
      <c r="F1303" s="10" t="s">
        <v>878</v>
      </c>
      <c r="G1303" s="8">
        <v>1</v>
      </c>
      <c r="H1303" s="11">
        <v>200</v>
      </c>
      <c r="I1303" s="12">
        <v>42540</v>
      </c>
      <c r="J1303" s="13">
        <f t="shared" si="45"/>
        <v>0</v>
      </c>
      <c r="K1303" s="14"/>
      <c r="L1303" s="14"/>
      <c r="M1303" s="14"/>
      <c r="N1303" s="14"/>
      <c r="O1303" s="14"/>
      <c r="P1303" s="14">
        <v>200</v>
      </c>
      <c r="Q1303" s="14"/>
      <c r="R1303" s="14"/>
      <c r="S1303" s="14"/>
      <c r="T1303" s="14"/>
      <c r="U1303" s="14"/>
      <c r="V1303" s="14"/>
      <c r="W1303" s="15">
        <f t="shared" si="46"/>
        <v>200</v>
      </c>
      <c r="X1303" s="14"/>
      <c r="Y1303" s="14"/>
      <c r="Z1303" s="14"/>
      <c r="AA1303" s="14"/>
      <c r="AB1303" s="14"/>
      <c r="AC1303" s="14"/>
      <c r="AD1303" s="14"/>
      <c r="AE1303" s="14"/>
      <c r="AF1303" s="14"/>
      <c r="AG1303" s="14"/>
      <c r="AH1303" s="14"/>
      <c r="AI1303" s="14"/>
      <c r="AJ1303" s="15"/>
      <c r="AK1303" s="16"/>
    </row>
    <row r="1304" spans="2:37" x14ac:dyDescent="0.2">
      <c r="B1304" s="7" t="s">
        <v>69</v>
      </c>
      <c r="C1304" s="8">
        <v>12010</v>
      </c>
      <c r="D1304" s="9" t="s">
        <v>437</v>
      </c>
      <c r="E1304" s="10" t="s">
        <v>438</v>
      </c>
      <c r="F1304" s="10" t="s">
        <v>439</v>
      </c>
      <c r="G1304" s="8">
        <v>1</v>
      </c>
      <c r="H1304" s="11">
        <v>400</v>
      </c>
      <c r="I1304" s="12">
        <v>42540</v>
      </c>
      <c r="J1304" s="13">
        <f t="shared" si="45"/>
        <v>0</v>
      </c>
      <c r="K1304" s="14"/>
      <c r="L1304" s="14"/>
      <c r="M1304" s="14"/>
      <c r="N1304" s="14"/>
      <c r="O1304" s="14"/>
      <c r="P1304" s="14">
        <v>400</v>
      </c>
      <c r="Q1304" s="14"/>
      <c r="R1304" s="14"/>
      <c r="S1304" s="14"/>
      <c r="T1304" s="14"/>
      <c r="U1304" s="14"/>
      <c r="V1304" s="14"/>
      <c r="W1304" s="15">
        <f t="shared" si="46"/>
        <v>400</v>
      </c>
      <c r="X1304" s="14"/>
      <c r="Y1304" s="14"/>
      <c r="Z1304" s="14"/>
      <c r="AA1304" s="14"/>
      <c r="AB1304" s="14"/>
      <c r="AC1304" s="14"/>
      <c r="AD1304" s="14"/>
      <c r="AE1304" s="14"/>
      <c r="AF1304" s="14"/>
      <c r="AG1304" s="14"/>
      <c r="AH1304" s="14"/>
      <c r="AI1304" s="14"/>
      <c r="AJ1304" s="15"/>
      <c r="AK1304" s="16"/>
    </row>
    <row r="1305" spans="2:37" x14ac:dyDescent="0.2">
      <c r="B1305" s="7" t="s">
        <v>37</v>
      </c>
      <c r="C1305" s="8">
        <v>12011</v>
      </c>
      <c r="D1305" s="9" t="s">
        <v>840</v>
      </c>
      <c r="E1305" s="10" t="s">
        <v>841</v>
      </c>
      <c r="F1305" s="10" t="s">
        <v>842</v>
      </c>
      <c r="G1305" s="8">
        <v>1</v>
      </c>
      <c r="H1305" s="11">
        <v>400</v>
      </c>
      <c r="I1305" s="12">
        <v>42540</v>
      </c>
      <c r="J1305" s="13">
        <f t="shared" si="45"/>
        <v>0</v>
      </c>
      <c r="K1305" s="14"/>
      <c r="L1305" s="14"/>
      <c r="M1305" s="14"/>
      <c r="N1305" s="14"/>
      <c r="O1305" s="14"/>
      <c r="P1305" s="14">
        <v>400</v>
      </c>
      <c r="Q1305" s="14"/>
      <c r="R1305" s="14"/>
      <c r="S1305" s="14"/>
      <c r="T1305" s="14"/>
      <c r="U1305" s="14"/>
      <c r="V1305" s="14"/>
      <c r="W1305" s="15">
        <f t="shared" si="46"/>
        <v>400</v>
      </c>
      <c r="X1305" s="14"/>
      <c r="Y1305" s="14"/>
      <c r="Z1305" s="14"/>
      <c r="AA1305" s="14"/>
      <c r="AB1305" s="14"/>
      <c r="AC1305" s="14"/>
      <c r="AD1305" s="14"/>
      <c r="AE1305" s="14"/>
      <c r="AF1305" s="14"/>
      <c r="AG1305" s="14"/>
      <c r="AH1305" s="14"/>
      <c r="AI1305" s="14"/>
      <c r="AJ1305" s="15"/>
      <c r="AK1305" s="16"/>
    </row>
    <row r="1306" spans="2:37" x14ac:dyDescent="0.2">
      <c r="B1306" s="7" t="s">
        <v>37</v>
      </c>
      <c r="C1306" s="8">
        <v>12012</v>
      </c>
      <c r="D1306" s="9" t="s">
        <v>491</v>
      </c>
      <c r="E1306" s="10" t="s">
        <v>492</v>
      </c>
      <c r="F1306" s="10" t="s">
        <v>493</v>
      </c>
      <c r="G1306" s="8">
        <v>1</v>
      </c>
      <c r="H1306" s="11">
        <v>600</v>
      </c>
      <c r="I1306" s="12">
        <v>42540</v>
      </c>
      <c r="J1306" s="13">
        <f t="shared" si="45"/>
        <v>0</v>
      </c>
      <c r="K1306" s="14"/>
      <c r="L1306" s="14"/>
      <c r="M1306" s="14"/>
      <c r="N1306" s="14"/>
      <c r="O1306" s="14"/>
      <c r="P1306" s="14"/>
      <c r="Q1306" s="14">
        <v>100</v>
      </c>
      <c r="R1306" s="14">
        <v>100</v>
      </c>
      <c r="S1306" s="14">
        <v>100</v>
      </c>
      <c r="T1306" s="14">
        <v>100</v>
      </c>
      <c r="U1306" s="14">
        <v>100</v>
      </c>
      <c r="V1306" s="14">
        <v>100</v>
      </c>
      <c r="W1306" s="15">
        <f t="shared" si="46"/>
        <v>600</v>
      </c>
      <c r="X1306" s="14"/>
      <c r="Y1306" s="14"/>
      <c r="Z1306" s="14"/>
      <c r="AA1306" s="14"/>
      <c r="AB1306" s="14"/>
      <c r="AC1306" s="14"/>
      <c r="AD1306" s="14"/>
      <c r="AE1306" s="14"/>
      <c r="AF1306" s="14"/>
      <c r="AG1306" s="14"/>
      <c r="AH1306" s="14"/>
      <c r="AI1306" s="14"/>
      <c r="AJ1306" s="15"/>
      <c r="AK1306" s="16"/>
    </row>
    <row r="1307" spans="2:37" x14ac:dyDescent="0.2">
      <c r="B1307" s="7" t="s">
        <v>47</v>
      </c>
      <c r="C1307" s="8">
        <v>12013</v>
      </c>
      <c r="D1307" s="9" t="s">
        <v>103</v>
      </c>
      <c r="E1307" s="10" t="s">
        <v>104</v>
      </c>
      <c r="F1307" s="10" t="s">
        <v>105</v>
      </c>
      <c r="G1307" s="8">
        <v>1</v>
      </c>
      <c r="H1307" s="11">
        <v>400</v>
      </c>
      <c r="I1307" s="12">
        <v>42540</v>
      </c>
      <c r="J1307" s="13">
        <f t="shared" si="45"/>
        <v>0</v>
      </c>
      <c r="K1307" s="14"/>
      <c r="L1307" s="14"/>
      <c r="M1307" s="14"/>
      <c r="N1307" s="14"/>
      <c r="O1307" s="14"/>
      <c r="P1307" s="14">
        <v>400</v>
      </c>
      <c r="Q1307" s="14"/>
      <c r="R1307" s="14"/>
      <c r="S1307" s="14"/>
      <c r="T1307" s="14"/>
      <c r="U1307" s="14"/>
      <c r="V1307" s="14"/>
      <c r="W1307" s="15">
        <f t="shared" si="46"/>
        <v>400</v>
      </c>
      <c r="X1307" s="14"/>
      <c r="Y1307" s="14"/>
      <c r="Z1307" s="14"/>
      <c r="AA1307" s="14"/>
      <c r="AB1307" s="14"/>
      <c r="AC1307" s="14"/>
      <c r="AD1307" s="14"/>
      <c r="AE1307" s="14"/>
      <c r="AF1307" s="14"/>
      <c r="AG1307" s="14"/>
      <c r="AH1307" s="14"/>
      <c r="AI1307" s="14"/>
      <c r="AJ1307" s="15"/>
      <c r="AK1307" s="16"/>
    </row>
    <row r="1308" spans="2:37" x14ac:dyDescent="0.2">
      <c r="B1308" s="7" t="s">
        <v>73</v>
      </c>
      <c r="C1308" s="8">
        <v>12014</v>
      </c>
      <c r="D1308" s="9" t="s">
        <v>728</v>
      </c>
      <c r="E1308" s="10" t="s">
        <v>729</v>
      </c>
      <c r="F1308" s="10" t="s">
        <v>730</v>
      </c>
      <c r="G1308" s="8">
        <v>1</v>
      </c>
      <c r="H1308" s="11">
        <v>800</v>
      </c>
      <c r="I1308" s="12">
        <v>42540</v>
      </c>
      <c r="J1308" s="13">
        <f t="shared" si="45"/>
        <v>0</v>
      </c>
      <c r="K1308" s="14"/>
      <c r="L1308" s="14"/>
      <c r="M1308" s="14"/>
      <c r="N1308" s="14"/>
      <c r="O1308" s="14">
        <v>400</v>
      </c>
      <c r="P1308" s="14">
        <v>400</v>
      </c>
      <c r="Q1308" s="14"/>
      <c r="R1308" s="14"/>
      <c r="S1308" s="14"/>
      <c r="T1308" s="14"/>
      <c r="U1308" s="14"/>
      <c r="V1308" s="14"/>
      <c r="W1308" s="15">
        <f t="shared" si="46"/>
        <v>800</v>
      </c>
      <c r="X1308" s="14"/>
      <c r="Y1308" s="14"/>
      <c r="Z1308" s="14"/>
      <c r="AA1308" s="14"/>
      <c r="AB1308" s="14"/>
      <c r="AC1308" s="14"/>
      <c r="AD1308" s="14"/>
      <c r="AE1308" s="14"/>
      <c r="AF1308" s="14"/>
      <c r="AG1308" s="14"/>
      <c r="AH1308" s="14"/>
      <c r="AI1308" s="14"/>
      <c r="AJ1308" s="15"/>
      <c r="AK1308" s="16"/>
    </row>
    <row r="1309" spans="2:37" x14ac:dyDescent="0.2">
      <c r="B1309" s="7" t="s">
        <v>47</v>
      </c>
      <c r="C1309" s="8">
        <v>12015</v>
      </c>
      <c r="D1309" s="9" t="s">
        <v>963</v>
      </c>
      <c r="E1309" s="10" t="s">
        <v>964</v>
      </c>
      <c r="F1309" s="10" t="s">
        <v>460</v>
      </c>
      <c r="G1309" s="8">
        <v>1</v>
      </c>
      <c r="H1309" s="11">
        <v>1000</v>
      </c>
      <c r="I1309" s="12">
        <v>42540</v>
      </c>
      <c r="J1309" s="13">
        <f t="shared" si="45"/>
        <v>0</v>
      </c>
      <c r="K1309" s="14">
        <v>400</v>
      </c>
      <c r="L1309" s="14">
        <v>400</v>
      </c>
      <c r="M1309" s="14">
        <v>200</v>
      </c>
      <c r="N1309" s="14"/>
      <c r="O1309" s="14"/>
      <c r="P1309" s="14"/>
      <c r="Q1309" s="14"/>
      <c r="R1309" s="14"/>
      <c r="S1309" s="14"/>
      <c r="T1309" s="14"/>
      <c r="U1309" s="14"/>
      <c r="V1309" s="14"/>
      <c r="W1309" s="15">
        <f t="shared" si="46"/>
        <v>1000</v>
      </c>
      <c r="X1309" s="14"/>
      <c r="Y1309" s="14"/>
      <c r="Z1309" s="14"/>
      <c r="AA1309" s="14"/>
      <c r="AB1309" s="14"/>
      <c r="AC1309" s="14"/>
      <c r="AD1309" s="14"/>
      <c r="AE1309" s="14"/>
      <c r="AF1309" s="14"/>
      <c r="AG1309" s="14"/>
      <c r="AH1309" s="14"/>
      <c r="AI1309" s="14"/>
      <c r="AJ1309" s="15"/>
      <c r="AK1309" s="16"/>
    </row>
    <row r="1310" spans="2:37" x14ac:dyDescent="0.2">
      <c r="B1310" s="7" t="s">
        <v>37</v>
      </c>
      <c r="C1310" s="8">
        <v>12016</v>
      </c>
      <c r="D1310" s="9" t="s">
        <v>814</v>
      </c>
      <c r="E1310" s="10" t="s">
        <v>815</v>
      </c>
      <c r="F1310" s="10" t="s">
        <v>816</v>
      </c>
      <c r="G1310" s="8">
        <v>1</v>
      </c>
      <c r="H1310" s="11">
        <v>800</v>
      </c>
      <c r="I1310" s="12">
        <v>42540</v>
      </c>
      <c r="J1310" s="13">
        <f t="shared" si="45"/>
        <v>0</v>
      </c>
      <c r="K1310" s="14"/>
      <c r="L1310" s="14"/>
      <c r="M1310" s="14"/>
      <c r="N1310" s="14"/>
      <c r="O1310" s="14"/>
      <c r="P1310" s="14"/>
      <c r="Q1310" s="14">
        <v>400</v>
      </c>
      <c r="R1310" s="14">
        <v>400</v>
      </c>
      <c r="S1310" s="14"/>
      <c r="T1310" s="14"/>
      <c r="U1310" s="14"/>
      <c r="V1310" s="14"/>
      <c r="W1310" s="15">
        <f t="shared" si="46"/>
        <v>800</v>
      </c>
      <c r="X1310" s="14"/>
      <c r="Y1310" s="14"/>
      <c r="Z1310" s="14"/>
      <c r="AA1310" s="14"/>
      <c r="AB1310" s="14"/>
      <c r="AC1310" s="14"/>
      <c r="AD1310" s="14"/>
      <c r="AE1310" s="14"/>
      <c r="AF1310" s="14"/>
      <c r="AG1310" s="14"/>
      <c r="AH1310" s="14"/>
      <c r="AI1310" s="14"/>
      <c r="AJ1310" s="15"/>
      <c r="AK1310" s="16"/>
    </row>
    <row r="1311" spans="2:37" x14ac:dyDescent="0.2">
      <c r="B1311" s="7" t="s">
        <v>47</v>
      </c>
      <c r="C1311" s="8">
        <v>12017</v>
      </c>
      <c r="D1311" s="9" t="s">
        <v>963</v>
      </c>
      <c r="E1311" s="10" t="s">
        <v>964</v>
      </c>
      <c r="F1311" s="10" t="s">
        <v>460</v>
      </c>
      <c r="G1311" s="8">
        <v>1</v>
      </c>
      <c r="H1311" s="11">
        <v>150</v>
      </c>
      <c r="I1311" s="12">
        <v>42540</v>
      </c>
      <c r="J1311" s="13">
        <f t="shared" si="45"/>
        <v>0</v>
      </c>
      <c r="K1311" s="14"/>
      <c r="L1311" s="14"/>
      <c r="M1311" s="14"/>
      <c r="N1311" s="14"/>
      <c r="O1311" s="14"/>
      <c r="P1311" s="14">
        <v>150</v>
      </c>
      <c r="Q1311" s="14"/>
      <c r="R1311" s="14"/>
      <c r="S1311" s="14"/>
      <c r="T1311" s="14"/>
      <c r="U1311" s="14"/>
      <c r="V1311" s="14"/>
      <c r="W1311" s="15">
        <f t="shared" si="46"/>
        <v>150</v>
      </c>
      <c r="X1311" s="14"/>
      <c r="Y1311" s="14"/>
      <c r="Z1311" s="14"/>
      <c r="AA1311" s="14"/>
      <c r="AB1311" s="14"/>
      <c r="AC1311" s="14"/>
      <c r="AD1311" s="14"/>
      <c r="AE1311" s="14"/>
      <c r="AF1311" s="14"/>
      <c r="AG1311" s="14"/>
      <c r="AH1311" s="14"/>
      <c r="AI1311" s="14"/>
      <c r="AJ1311" s="15"/>
      <c r="AK1311" s="16"/>
    </row>
    <row r="1312" spans="2:37" x14ac:dyDescent="0.2">
      <c r="B1312" s="7" t="s">
        <v>73</v>
      </c>
      <c r="C1312" s="8">
        <v>12018</v>
      </c>
      <c r="D1312" s="9" t="s">
        <v>195</v>
      </c>
      <c r="E1312" s="10" t="s">
        <v>196</v>
      </c>
      <c r="F1312" s="10" t="s">
        <v>197</v>
      </c>
      <c r="G1312" s="8">
        <v>1</v>
      </c>
      <c r="H1312" s="11">
        <v>1600</v>
      </c>
      <c r="I1312" s="12">
        <v>42540</v>
      </c>
      <c r="J1312" s="13">
        <f t="shared" si="45"/>
        <v>0</v>
      </c>
      <c r="K1312" s="14"/>
      <c r="L1312" s="14"/>
      <c r="M1312" s="14"/>
      <c r="N1312" s="14">
        <v>400</v>
      </c>
      <c r="O1312" s="14">
        <v>400</v>
      </c>
      <c r="P1312" s="14">
        <v>400</v>
      </c>
      <c r="Q1312" s="14">
        <v>400</v>
      </c>
      <c r="R1312" s="14"/>
      <c r="S1312" s="14"/>
      <c r="T1312" s="14"/>
      <c r="U1312" s="14"/>
      <c r="V1312" s="14"/>
      <c r="W1312" s="15">
        <f t="shared" si="46"/>
        <v>1600</v>
      </c>
      <c r="X1312" s="14"/>
      <c r="Y1312" s="14"/>
      <c r="Z1312" s="14"/>
      <c r="AA1312" s="14"/>
      <c r="AB1312" s="14"/>
      <c r="AC1312" s="14"/>
      <c r="AD1312" s="14"/>
      <c r="AE1312" s="14"/>
      <c r="AF1312" s="14"/>
      <c r="AG1312" s="14"/>
      <c r="AH1312" s="14"/>
      <c r="AI1312" s="14"/>
      <c r="AJ1312" s="15"/>
      <c r="AK1312" s="16"/>
    </row>
    <row r="1313" spans="2:37" x14ac:dyDescent="0.2">
      <c r="B1313" s="7" t="s">
        <v>73</v>
      </c>
      <c r="C1313" s="8">
        <v>12019</v>
      </c>
      <c r="D1313" s="9" t="s">
        <v>195</v>
      </c>
      <c r="E1313" s="10" t="s">
        <v>196</v>
      </c>
      <c r="F1313" s="10" t="s">
        <v>197</v>
      </c>
      <c r="G1313" s="8">
        <v>3</v>
      </c>
      <c r="H1313" s="11">
        <v>160</v>
      </c>
      <c r="I1313" s="12">
        <v>42540</v>
      </c>
      <c r="J1313" s="13">
        <f t="shared" si="45"/>
        <v>0</v>
      </c>
      <c r="K1313" s="14"/>
      <c r="L1313" s="14"/>
      <c r="M1313" s="14"/>
      <c r="N1313" s="14"/>
      <c r="O1313" s="14"/>
      <c r="P1313" s="14"/>
      <c r="Q1313" s="14"/>
      <c r="R1313" s="14"/>
      <c r="S1313" s="14"/>
      <c r="T1313" s="14"/>
      <c r="U1313" s="14"/>
      <c r="V1313" s="14"/>
      <c r="W1313" s="15">
        <f t="shared" si="46"/>
        <v>0</v>
      </c>
      <c r="X1313" s="14"/>
      <c r="Y1313" s="14"/>
      <c r="Z1313" s="14"/>
      <c r="AA1313" s="14"/>
      <c r="AB1313" s="14"/>
      <c r="AC1313" s="14"/>
      <c r="AD1313" s="14"/>
      <c r="AE1313" s="14"/>
      <c r="AF1313" s="14"/>
      <c r="AG1313" s="14"/>
      <c r="AH1313" s="14"/>
      <c r="AI1313" s="14"/>
      <c r="AJ1313" s="15"/>
      <c r="AK1313" s="16"/>
    </row>
    <row r="1314" spans="2:37" x14ac:dyDescent="0.2">
      <c r="B1314" s="7" t="s">
        <v>77</v>
      </c>
      <c r="C1314" s="8">
        <v>12020</v>
      </c>
      <c r="D1314" s="9" t="s">
        <v>617</v>
      </c>
      <c r="E1314" s="10" t="s">
        <v>618</v>
      </c>
      <c r="F1314" s="10" t="s">
        <v>619</v>
      </c>
      <c r="G1314" s="8">
        <v>1</v>
      </c>
      <c r="H1314" s="11">
        <v>400</v>
      </c>
      <c r="I1314" s="12">
        <v>42540</v>
      </c>
      <c r="J1314" s="13">
        <f t="shared" si="45"/>
        <v>0</v>
      </c>
      <c r="K1314" s="14"/>
      <c r="L1314" s="14"/>
      <c r="M1314" s="14"/>
      <c r="N1314" s="14"/>
      <c r="O1314" s="14"/>
      <c r="P1314" s="14">
        <v>400</v>
      </c>
      <c r="Q1314" s="14"/>
      <c r="R1314" s="14"/>
      <c r="S1314" s="14"/>
      <c r="T1314" s="14"/>
      <c r="U1314" s="14"/>
      <c r="V1314" s="14"/>
      <c r="W1314" s="15">
        <f t="shared" si="46"/>
        <v>400</v>
      </c>
      <c r="X1314" s="14"/>
      <c r="Y1314" s="14"/>
      <c r="Z1314" s="14"/>
      <c r="AA1314" s="14"/>
      <c r="AB1314" s="14"/>
      <c r="AC1314" s="14"/>
      <c r="AD1314" s="14"/>
      <c r="AE1314" s="14"/>
      <c r="AF1314" s="14"/>
      <c r="AG1314" s="14"/>
      <c r="AH1314" s="14"/>
      <c r="AI1314" s="14"/>
      <c r="AJ1314" s="15"/>
      <c r="AK1314" s="16"/>
    </row>
    <row r="1315" spans="2:37" x14ac:dyDescent="0.2">
      <c r="B1315" s="7" t="s">
        <v>69</v>
      </c>
      <c r="C1315" s="8">
        <v>12021</v>
      </c>
      <c r="D1315" s="9" t="s">
        <v>893</v>
      </c>
      <c r="E1315" s="10" t="s">
        <v>894</v>
      </c>
      <c r="F1315" s="10" t="s">
        <v>895</v>
      </c>
      <c r="G1315" s="8">
        <v>1</v>
      </c>
      <c r="H1315" s="11">
        <v>800</v>
      </c>
      <c r="I1315" s="12">
        <v>42540</v>
      </c>
      <c r="J1315" s="13">
        <f t="shared" si="45"/>
        <v>0</v>
      </c>
      <c r="K1315" s="14"/>
      <c r="L1315" s="14"/>
      <c r="M1315" s="14"/>
      <c r="N1315" s="14"/>
      <c r="O1315" s="14">
        <v>400</v>
      </c>
      <c r="P1315" s="14">
        <v>400</v>
      </c>
      <c r="Q1315" s="14"/>
      <c r="R1315" s="14"/>
      <c r="S1315" s="14"/>
      <c r="T1315" s="14"/>
      <c r="U1315" s="14"/>
      <c r="V1315" s="14"/>
      <c r="W1315" s="15">
        <f t="shared" si="46"/>
        <v>800</v>
      </c>
      <c r="X1315" s="14"/>
      <c r="Y1315" s="14"/>
      <c r="Z1315" s="14"/>
      <c r="AA1315" s="14"/>
      <c r="AB1315" s="14"/>
      <c r="AC1315" s="14"/>
      <c r="AD1315" s="14"/>
      <c r="AE1315" s="14"/>
      <c r="AF1315" s="14"/>
      <c r="AG1315" s="14"/>
      <c r="AH1315" s="14"/>
      <c r="AI1315" s="14"/>
      <c r="AJ1315" s="15"/>
      <c r="AK1315" s="16"/>
    </row>
    <row r="1316" spans="2:37" x14ac:dyDescent="0.2">
      <c r="B1316" s="7" t="s">
        <v>37</v>
      </c>
      <c r="C1316" s="8">
        <v>12022</v>
      </c>
      <c r="D1316" s="9" t="s">
        <v>192</v>
      </c>
      <c r="E1316" s="10" t="s">
        <v>193</v>
      </c>
      <c r="F1316" s="10" t="s">
        <v>194</v>
      </c>
      <c r="G1316" s="8">
        <v>1</v>
      </c>
      <c r="H1316" s="11">
        <v>400</v>
      </c>
      <c r="I1316" s="12">
        <v>42540</v>
      </c>
      <c r="J1316" s="13">
        <f t="shared" si="45"/>
        <v>0</v>
      </c>
      <c r="K1316" s="14"/>
      <c r="L1316" s="14"/>
      <c r="M1316" s="14"/>
      <c r="N1316" s="14"/>
      <c r="O1316" s="14"/>
      <c r="P1316" s="14">
        <v>400</v>
      </c>
      <c r="Q1316" s="14"/>
      <c r="R1316" s="14"/>
      <c r="S1316" s="14"/>
      <c r="T1316" s="14"/>
      <c r="U1316" s="14"/>
      <c r="V1316" s="14"/>
      <c r="W1316" s="15">
        <f t="shared" si="46"/>
        <v>400</v>
      </c>
      <c r="X1316" s="14"/>
      <c r="Y1316" s="14"/>
      <c r="Z1316" s="14"/>
      <c r="AA1316" s="14"/>
      <c r="AB1316" s="14"/>
      <c r="AC1316" s="14"/>
      <c r="AD1316" s="14"/>
      <c r="AE1316" s="14"/>
      <c r="AF1316" s="14"/>
      <c r="AG1316" s="14"/>
      <c r="AH1316" s="14"/>
      <c r="AI1316" s="14"/>
      <c r="AJ1316" s="15"/>
      <c r="AK1316" s="16"/>
    </row>
    <row r="1317" spans="2:37" x14ac:dyDescent="0.2">
      <c r="B1317" s="7" t="s">
        <v>69</v>
      </c>
      <c r="C1317" s="8">
        <v>12023</v>
      </c>
      <c r="D1317" s="9" t="s">
        <v>687</v>
      </c>
      <c r="E1317" s="10" t="s">
        <v>688</v>
      </c>
      <c r="F1317" s="10" t="s">
        <v>689</v>
      </c>
      <c r="G1317" s="8">
        <v>1</v>
      </c>
      <c r="H1317" s="11">
        <v>600</v>
      </c>
      <c r="I1317" s="12">
        <v>42540</v>
      </c>
      <c r="J1317" s="13">
        <f t="shared" si="45"/>
        <v>0</v>
      </c>
      <c r="K1317" s="14"/>
      <c r="L1317" s="14"/>
      <c r="M1317" s="14"/>
      <c r="N1317" s="14">
        <v>200</v>
      </c>
      <c r="O1317" s="14">
        <v>200</v>
      </c>
      <c r="P1317" s="14">
        <v>200</v>
      </c>
      <c r="Q1317" s="14"/>
      <c r="R1317" s="14"/>
      <c r="S1317" s="14"/>
      <c r="T1317" s="14"/>
      <c r="U1317" s="14"/>
      <c r="V1317" s="14"/>
      <c r="W1317" s="15">
        <f t="shared" si="46"/>
        <v>600</v>
      </c>
      <c r="X1317" s="14"/>
      <c r="Y1317" s="14"/>
      <c r="Z1317" s="14"/>
      <c r="AA1317" s="14"/>
      <c r="AB1317" s="14"/>
      <c r="AC1317" s="14"/>
      <c r="AD1317" s="14"/>
      <c r="AE1317" s="14"/>
      <c r="AF1317" s="14"/>
      <c r="AG1317" s="14"/>
      <c r="AH1317" s="14"/>
      <c r="AI1317" s="14"/>
      <c r="AJ1317" s="15"/>
      <c r="AK1317" s="16"/>
    </row>
    <row r="1318" spans="2:37" x14ac:dyDescent="0.2">
      <c r="B1318" s="7" t="s">
        <v>37</v>
      </c>
      <c r="C1318" s="8">
        <v>12024</v>
      </c>
      <c r="D1318" s="9" t="s">
        <v>192</v>
      </c>
      <c r="E1318" s="10" t="s">
        <v>193</v>
      </c>
      <c r="F1318" s="10" t="s">
        <v>194</v>
      </c>
      <c r="G1318" s="8">
        <v>4</v>
      </c>
      <c r="H1318" s="11">
        <v>200</v>
      </c>
      <c r="I1318" s="12">
        <v>42540</v>
      </c>
      <c r="J1318" s="13">
        <f t="shared" si="45"/>
        <v>0</v>
      </c>
      <c r="K1318" s="14"/>
      <c r="L1318" s="14"/>
      <c r="M1318" s="14"/>
      <c r="N1318" s="14"/>
      <c r="O1318" s="14"/>
      <c r="P1318" s="14"/>
      <c r="Q1318" s="14"/>
      <c r="R1318" s="14"/>
      <c r="S1318" s="14"/>
      <c r="T1318" s="14"/>
      <c r="U1318" s="14"/>
      <c r="V1318" s="14"/>
      <c r="W1318" s="15">
        <f t="shared" si="46"/>
        <v>0</v>
      </c>
      <c r="X1318" s="14"/>
      <c r="Y1318" s="14"/>
      <c r="Z1318" s="14"/>
      <c r="AA1318" s="14"/>
      <c r="AB1318" s="14"/>
      <c r="AC1318" s="14"/>
      <c r="AD1318" s="14"/>
      <c r="AE1318" s="14"/>
      <c r="AF1318" s="14"/>
      <c r="AG1318" s="14"/>
      <c r="AH1318" s="14"/>
      <c r="AI1318" s="14"/>
      <c r="AJ1318" s="15"/>
      <c r="AK1318" s="16"/>
    </row>
    <row r="1319" spans="2:37" x14ac:dyDescent="0.2">
      <c r="B1319" s="7" t="s">
        <v>69</v>
      </c>
      <c r="C1319" s="8">
        <v>12025</v>
      </c>
      <c r="D1319" s="9" t="s">
        <v>687</v>
      </c>
      <c r="E1319" s="10" t="s">
        <v>688</v>
      </c>
      <c r="F1319" s="10" t="s">
        <v>689</v>
      </c>
      <c r="G1319" s="8">
        <v>1</v>
      </c>
      <c r="H1319" s="11">
        <v>400</v>
      </c>
      <c r="I1319" s="12">
        <v>42540</v>
      </c>
      <c r="J1319" s="13">
        <f t="shared" si="45"/>
        <v>0</v>
      </c>
      <c r="K1319" s="14"/>
      <c r="L1319" s="14"/>
      <c r="M1319" s="14"/>
      <c r="N1319" s="14"/>
      <c r="O1319" s="14"/>
      <c r="P1319" s="14"/>
      <c r="Q1319" s="14">
        <v>200</v>
      </c>
      <c r="R1319" s="14">
        <v>200</v>
      </c>
      <c r="S1319" s="14"/>
      <c r="T1319" s="14"/>
      <c r="U1319" s="14"/>
      <c r="V1319" s="14"/>
      <c r="W1319" s="15">
        <f t="shared" si="46"/>
        <v>400</v>
      </c>
      <c r="X1319" s="14"/>
      <c r="Y1319" s="14"/>
      <c r="Z1319" s="14"/>
      <c r="AA1319" s="14"/>
      <c r="AB1319" s="14"/>
      <c r="AC1319" s="14"/>
      <c r="AD1319" s="14"/>
      <c r="AE1319" s="14"/>
      <c r="AF1319" s="14"/>
      <c r="AG1319" s="14"/>
      <c r="AH1319" s="14"/>
      <c r="AI1319" s="14"/>
      <c r="AJ1319" s="15"/>
      <c r="AK1319" s="16"/>
    </row>
    <row r="1320" spans="2:37" x14ac:dyDescent="0.2">
      <c r="B1320" s="7" t="s">
        <v>69</v>
      </c>
      <c r="C1320" s="8">
        <v>12026</v>
      </c>
      <c r="D1320" s="9" t="s">
        <v>687</v>
      </c>
      <c r="E1320" s="10" t="s">
        <v>688</v>
      </c>
      <c r="F1320" s="10" t="s">
        <v>689</v>
      </c>
      <c r="G1320" s="8">
        <v>5</v>
      </c>
      <c r="H1320" s="11">
        <v>100</v>
      </c>
      <c r="I1320" s="12">
        <v>42540</v>
      </c>
      <c r="J1320" s="13">
        <f t="shared" si="45"/>
        <v>0</v>
      </c>
      <c r="K1320" s="14"/>
      <c r="L1320" s="14"/>
      <c r="M1320" s="14"/>
      <c r="N1320" s="14"/>
      <c r="O1320" s="14"/>
      <c r="P1320" s="14"/>
      <c r="Q1320" s="14"/>
      <c r="R1320" s="14"/>
      <c r="S1320" s="14"/>
      <c r="T1320" s="14"/>
      <c r="U1320" s="14"/>
      <c r="V1320" s="14"/>
      <c r="W1320" s="15">
        <f t="shared" si="46"/>
        <v>0</v>
      </c>
      <c r="X1320" s="14"/>
      <c r="Y1320" s="14"/>
      <c r="Z1320" s="14"/>
      <c r="AA1320" s="14"/>
      <c r="AB1320" s="14"/>
      <c r="AC1320" s="14"/>
      <c r="AD1320" s="14"/>
      <c r="AE1320" s="14"/>
      <c r="AF1320" s="14"/>
      <c r="AG1320" s="14"/>
      <c r="AH1320" s="14"/>
      <c r="AI1320" s="14"/>
      <c r="AJ1320" s="15"/>
      <c r="AK1320" s="16"/>
    </row>
    <row r="1321" spans="2:37" x14ac:dyDescent="0.2">
      <c r="B1321" s="7" t="s">
        <v>37</v>
      </c>
      <c r="C1321" s="8">
        <v>12027</v>
      </c>
      <c r="D1321" s="9" t="s">
        <v>295</v>
      </c>
      <c r="E1321" s="10" t="s">
        <v>296</v>
      </c>
      <c r="F1321" s="10" t="s">
        <v>297</v>
      </c>
      <c r="G1321" s="8">
        <v>5</v>
      </c>
      <c r="H1321" s="11">
        <v>50</v>
      </c>
      <c r="I1321" s="12">
        <v>42540</v>
      </c>
      <c r="J1321" s="13">
        <f t="shared" si="45"/>
        <v>0</v>
      </c>
      <c r="K1321" s="14"/>
      <c r="L1321" s="14"/>
      <c r="M1321" s="14"/>
      <c r="N1321" s="14"/>
      <c r="O1321" s="14"/>
      <c r="P1321" s="14"/>
      <c r="Q1321" s="14"/>
      <c r="R1321" s="14"/>
      <c r="S1321" s="14"/>
      <c r="T1321" s="14"/>
      <c r="U1321" s="14"/>
      <c r="V1321" s="14"/>
      <c r="W1321" s="15">
        <f t="shared" si="46"/>
        <v>0</v>
      </c>
      <c r="X1321" s="14"/>
      <c r="Y1321" s="14"/>
      <c r="Z1321" s="14"/>
      <c r="AA1321" s="14"/>
      <c r="AB1321" s="14"/>
      <c r="AC1321" s="14"/>
      <c r="AD1321" s="14"/>
      <c r="AE1321" s="14"/>
      <c r="AF1321" s="14"/>
      <c r="AG1321" s="14"/>
      <c r="AH1321" s="14"/>
      <c r="AI1321" s="14"/>
      <c r="AJ1321" s="15"/>
      <c r="AK1321" s="16"/>
    </row>
    <row r="1322" spans="2:37" x14ac:dyDescent="0.2">
      <c r="B1322" s="7" t="s">
        <v>69</v>
      </c>
      <c r="C1322" s="8">
        <v>12028</v>
      </c>
      <c r="D1322" s="9" t="s">
        <v>893</v>
      </c>
      <c r="E1322" s="10" t="s">
        <v>894</v>
      </c>
      <c r="F1322" s="10" t="s">
        <v>895</v>
      </c>
      <c r="G1322" s="8">
        <v>5</v>
      </c>
      <c r="H1322" s="11">
        <v>50</v>
      </c>
      <c r="I1322" s="12">
        <v>42540</v>
      </c>
      <c r="J1322" s="13">
        <f t="shared" si="45"/>
        <v>0</v>
      </c>
      <c r="K1322" s="14"/>
      <c r="L1322" s="14"/>
      <c r="M1322" s="14"/>
      <c r="N1322" s="14"/>
      <c r="O1322" s="14"/>
      <c r="P1322" s="14"/>
      <c r="Q1322" s="14"/>
      <c r="R1322" s="14"/>
      <c r="S1322" s="14"/>
      <c r="T1322" s="14"/>
      <c r="U1322" s="14"/>
      <c r="V1322" s="14"/>
      <c r="W1322" s="15">
        <f t="shared" si="46"/>
        <v>0</v>
      </c>
      <c r="X1322" s="14"/>
      <c r="Y1322" s="14"/>
      <c r="Z1322" s="14"/>
      <c r="AA1322" s="14"/>
      <c r="AB1322" s="14"/>
      <c r="AC1322" s="14"/>
      <c r="AD1322" s="14"/>
      <c r="AE1322" s="14"/>
      <c r="AF1322" s="14"/>
      <c r="AG1322" s="14"/>
      <c r="AH1322" s="14"/>
      <c r="AI1322" s="14"/>
      <c r="AJ1322" s="15"/>
      <c r="AK1322" s="16"/>
    </row>
    <row r="1323" spans="2:37" x14ac:dyDescent="0.2">
      <c r="B1323" s="7" t="s">
        <v>69</v>
      </c>
      <c r="C1323" s="8">
        <v>12029</v>
      </c>
      <c r="D1323" s="9" t="s">
        <v>828</v>
      </c>
      <c r="E1323" s="10" t="s">
        <v>829</v>
      </c>
      <c r="F1323" s="10" t="s">
        <v>830</v>
      </c>
      <c r="G1323" s="8">
        <v>5</v>
      </c>
      <c r="H1323" s="11">
        <v>150</v>
      </c>
      <c r="I1323" s="12">
        <v>42540</v>
      </c>
      <c r="J1323" s="13">
        <f t="shared" si="45"/>
        <v>0</v>
      </c>
      <c r="K1323" s="14"/>
      <c r="L1323" s="14"/>
      <c r="M1323" s="14"/>
      <c r="N1323" s="14"/>
      <c r="O1323" s="14"/>
      <c r="P1323" s="14"/>
      <c r="Q1323" s="14"/>
      <c r="R1323" s="14"/>
      <c r="S1323" s="14"/>
      <c r="T1323" s="14"/>
      <c r="U1323" s="14"/>
      <c r="V1323" s="14"/>
      <c r="W1323" s="15">
        <f t="shared" si="46"/>
        <v>0</v>
      </c>
      <c r="X1323" s="14"/>
      <c r="Y1323" s="14"/>
      <c r="Z1323" s="14"/>
      <c r="AA1323" s="14"/>
      <c r="AB1323" s="14"/>
      <c r="AC1323" s="14"/>
      <c r="AD1323" s="14"/>
      <c r="AE1323" s="14"/>
      <c r="AF1323" s="14"/>
      <c r="AG1323" s="14"/>
      <c r="AH1323" s="14"/>
      <c r="AI1323" s="14"/>
      <c r="AJ1323" s="15"/>
      <c r="AK1323" s="16"/>
    </row>
    <row r="1324" spans="2:37" x14ac:dyDescent="0.2">
      <c r="B1324" s="7" t="s">
        <v>47</v>
      </c>
      <c r="C1324" s="8">
        <v>12030</v>
      </c>
      <c r="D1324" s="9" t="s">
        <v>963</v>
      </c>
      <c r="E1324" s="10" t="s">
        <v>964</v>
      </c>
      <c r="F1324" s="10" t="s">
        <v>460</v>
      </c>
      <c r="G1324" s="8">
        <v>5</v>
      </c>
      <c r="H1324" s="11">
        <v>150</v>
      </c>
      <c r="I1324" s="12">
        <v>42540</v>
      </c>
      <c r="J1324" s="13">
        <f t="shared" si="45"/>
        <v>0</v>
      </c>
      <c r="K1324" s="14"/>
      <c r="L1324" s="14"/>
      <c r="M1324" s="14"/>
      <c r="N1324" s="14"/>
      <c r="O1324" s="14"/>
      <c r="P1324" s="14"/>
      <c r="Q1324" s="14"/>
      <c r="R1324" s="14"/>
      <c r="S1324" s="14"/>
      <c r="T1324" s="14"/>
      <c r="U1324" s="14"/>
      <c r="V1324" s="14"/>
      <c r="W1324" s="15">
        <f t="shared" si="46"/>
        <v>0</v>
      </c>
      <c r="X1324" s="14"/>
      <c r="Y1324" s="14"/>
      <c r="Z1324" s="14"/>
      <c r="AA1324" s="14"/>
      <c r="AB1324" s="14"/>
      <c r="AC1324" s="14"/>
      <c r="AD1324" s="14"/>
      <c r="AE1324" s="14"/>
      <c r="AF1324" s="14"/>
      <c r="AG1324" s="14"/>
      <c r="AH1324" s="14"/>
      <c r="AI1324" s="14"/>
      <c r="AJ1324" s="15"/>
      <c r="AK1324" s="16"/>
    </row>
    <row r="1325" spans="2:37" x14ac:dyDescent="0.2">
      <c r="B1325" s="7" t="s">
        <v>37</v>
      </c>
      <c r="C1325" s="8">
        <v>12031</v>
      </c>
      <c r="D1325" s="9" t="s">
        <v>814</v>
      </c>
      <c r="E1325" s="10" t="s">
        <v>815</v>
      </c>
      <c r="F1325" s="10" t="s">
        <v>816</v>
      </c>
      <c r="G1325" s="8">
        <v>5</v>
      </c>
      <c r="H1325" s="11">
        <v>150</v>
      </c>
      <c r="I1325" s="12">
        <v>42540</v>
      </c>
      <c r="J1325" s="13">
        <f t="shared" si="45"/>
        <v>0</v>
      </c>
      <c r="K1325" s="14"/>
      <c r="L1325" s="14"/>
      <c r="M1325" s="14"/>
      <c r="N1325" s="14"/>
      <c r="O1325" s="14"/>
      <c r="P1325" s="14"/>
      <c r="Q1325" s="14"/>
      <c r="R1325" s="14"/>
      <c r="S1325" s="14"/>
      <c r="T1325" s="14"/>
      <c r="U1325" s="14"/>
      <c r="V1325" s="14"/>
      <c r="W1325" s="15">
        <f t="shared" si="46"/>
        <v>0</v>
      </c>
      <c r="X1325" s="14"/>
      <c r="Y1325" s="14"/>
      <c r="Z1325" s="14"/>
      <c r="AA1325" s="14"/>
      <c r="AB1325" s="14"/>
      <c r="AC1325" s="14"/>
      <c r="AD1325" s="14"/>
      <c r="AE1325" s="14"/>
      <c r="AF1325" s="14"/>
      <c r="AG1325" s="14"/>
      <c r="AH1325" s="14"/>
      <c r="AI1325" s="14"/>
      <c r="AJ1325" s="15"/>
      <c r="AK1325" s="16"/>
    </row>
    <row r="1326" spans="2:37" x14ac:dyDescent="0.2">
      <c r="B1326" s="7" t="s">
        <v>69</v>
      </c>
      <c r="C1326" s="8">
        <v>12032</v>
      </c>
      <c r="D1326" s="9" t="s">
        <v>476</v>
      </c>
      <c r="E1326" s="10" t="s">
        <v>477</v>
      </c>
      <c r="F1326" s="10" t="s">
        <v>478</v>
      </c>
      <c r="G1326" s="8">
        <v>5</v>
      </c>
      <c r="H1326" s="11">
        <v>200</v>
      </c>
      <c r="I1326" s="12">
        <v>42540</v>
      </c>
      <c r="J1326" s="13">
        <f t="shared" si="45"/>
        <v>0</v>
      </c>
      <c r="K1326" s="14"/>
      <c r="L1326" s="14"/>
      <c r="M1326" s="14"/>
      <c r="N1326" s="14"/>
      <c r="O1326" s="14"/>
      <c r="P1326" s="14"/>
      <c r="Q1326" s="14"/>
      <c r="R1326" s="14"/>
      <c r="S1326" s="14"/>
      <c r="T1326" s="14"/>
      <c r="U1326" s="14"/>
      <c r="V1326" s="14"/>
      <c r="W1326" s="15">
        <f t="shared" si="46"/>
        <v>0</v>
      </c>
      <c r="X1326" s="14"/>
      <c r="Y1326" s="14"/>
      <c r="Z1326" s="14"/>
      <c r="AA1326" s="14"/>
      <c r="AB1326" s="14"/>
      <c r="AC1326" s="14"/>
      <c r="AD1326" s="14"/>
      <c r="AE1326" s="14"/>
      <c r="AF1326" s="14"/>
      <c r="AG1326" s="14"/>
      <c r="AH1326" s="14"/>
      <c r="AI1326" s="14"/>
      <c r="AJ1326" s="15"/>
      <c r="AK1326" s="16"/>
    </row>
    <row r="1327" spans="2:37" x14ac:dyDescent="0.2">
      <c r="B1327" s="7" t="s">
        <v>73</v>
      </c>
      <c r="C1327" s="8">
        <v>12033</v>
      </c>
      <c r="D1327" s="9" t="s">
        <v>541</v>
      </c>
      <c r="E1327" s="10" t="s">
        <v>542</v>
      </c>
      <c r="F1327" s="10" t="s">
        <v>543</v>
      </c>
      <c r="G1327" s="8">
        <v>5</v>
      </c>
      <c r="H1327" s="11">
        <v>50</v>
      </c>
      <c r="I1327" s="12">
        <v>42540</v>
      </c>
      <c r="J1327" s="13">
        <f t="shared" si="45"/>
        <v>0</v>
      </c>
      <c r="K1327" s="14"/>
      <c r="L1327" s="14"/>
      <c r="M1327" s="14"/>
      <c r="N1327" s="14"/>
      <c r="O1327" s="14"/>
      <c r="P1327" s="14"/>
      <c r="Q1327" s="14"/>
      <c r="R1327" s="14"/>
      <c r="S1327" s="14"/>
      <c r="T1327" s="14"/>
      <c r="U1327" s="14"/>
      <c r="V1327" s="14"/>
      <c r="W1327" s="15">
        <f t="shared" si="46"/>
        <v>0</v>
      </c>
      <c r="X1327" s="14"/>
      <c r="Y1327" s="14"/>
      <c r="Z1327" s="14"/>
      <c r="AA1327" s="14"/>
      <c r="AB1327" s="14"/>
      <c r="AC1327" s="14"/>
      <c r="AD1327" s="14"/>
      <c r="AE1327" s="14"/>
      <c r="AF1327" s="14"/>
      <c r="AG1327" s="14"/>
      <c r="AH1327" s="14"/>
      <c r="AI1327" s="14"/>
      <c r="AJ1327" s="15"/>
      <c r="AK1327" s="16"/>
    </row>
    <row r="1328" spans="2:37" x14ac:dyDescent="0.2">
      <c r="B1328" s="7" t="s">
        <v>77</v>
      </c>
      <c r="C1328" s="8">
        <v>12034</v>
      </c>
      <c r="D1328" s="9" t="s">
        <v>617</v>
      </c>
      <c r="E1328" s="10" t="s">
        <v>618</v>
      </c>
      <c r="F1328" s="10" t="s">
        <v>619</v>
      </c>
      <c r="G1328" s="8">
        <v>5</v>
      </c>
      <c r="H1328" s="11">
        <v>100</v>
      </c>
      <c r="I1328" s="12">
        <v>42540</v>
      </c>
      <c r="J1328" s="13">
        <f t="shared" si="45"/>
        <v>0</v>
      </c>
      <c r="K1328" s="14"/>
      <c r="L1328" s="14"/>
      <c r="M1328" s="14"/>
      <c r="N1328" s="14"/>
      <c r="O1328" s="14"/>
      <c r="P1328" s="14"/>
      <c r="Q1328" s="14"/>
      <c r="R1328" s="14"/>
      <c r="S1328" s="14"/>
      <c r="T1328" s="14"/>
      <c r="U1328" s="14"/>
      <c r="V1328" s="14"/>
      <c r="W1328" s="15">
        <f t="shared" si="46"/>
        <v>0</v>
      </c>
      <c r="X1328" s="14"/>
      <c r="Y1328" s="14"/>
      <c r="Z1328" s="14"/>
      <c r="AA1328" s="14"/>
      <c r="AB1328" s="14"/>
      <c r="AC1328" s="14"/>
      <c r="AD1328" s="14"/>
      <c r="AE1328" s="14"/>
      <c r="AF1328" s="14"/>
      <c r="AG1328" s="14"/>
      <c r="AH1328" s="14"/>
      <c r="AI1328" s="14"/>
      <c r="AJ1328" s="15"/>
      <c r="AK1328" s="16"/>
    </row>
    <row r="1329" spans="2:37" x14ac:dyDescent="0.2">
      <c r="B1329" s="7" t="s">
        <v>37</v>
      </c>
      <c r="C1329" s="8">
        <v>12035</v>
      </c>
      <c r="D1329" s="9" t="s">
        <v>661</v>
      </c>
      <c r="E1329" s="10" t="s">
        <v>662</v>
      </c>
      <c r="F1329" s="10" t="s">
        <v>624</v>
      </c>
      <c r="G1329" s="8">
        <v>1</v>
      </c>
      <c r="H1329" s="11">
        <v>1200</v>
      </c>
      <c r="I1329" s="12">
        <v>42540</v>
      </c>
      <c r="J1329" s="13">
        <f t="shared" si="45"/>
        <v>0</v>
      </c>
      <c r="K1329" s="14"/>
      <c r="L1329" s="14"/>
      <c r="M1329" s="14"/>
      <c r="N1329" s="14"/>
      <c r="O1329" s="14">
        <v>400</v>
      </c>
      <c r="P1329" s="14">
        <v>400</v>
      </c>
      <c r="Q1329" s="14">
        <v>400</v>
      </c>
      <c r="R1329" s="14"/>
      <c r="S1329" s="14"/>
      <c r="T1329" s="14"/>
      <c r="U1329" s="14"/>
      <c r="V1329" s="14"/>
      <c r="W1329" s="15">
        <f t="shared" si="46"/>
        <v>1200</v>
      </c>
      <c r="X1329" s="14"/>
      <c r="Y1329" s="14"/>
      <c r="Z1329" s="14"/>
      <c r="AA1329" s="14"/>
      <c r="AB1329" s="14"/>
      <c r="AC1329" s="14"/>
      <c r="AD1329" s="14"/>
      <c r="AE1329" s="14"/>
      <c r="AF1329" s="14"/>
      <c r="AG1329" s="14"/>
      <c r="AH1329" s="14"/>
      <c r="AI1329" s="14"/>
      <c r="AJ1329" s="15"/>
      <c r="AK1329" s="16"/>
    </row>
    <row r="1330" spans="2:37" x14ac:dyDescent="0.2">
      <c r="B1330" s="7" t="s">
        <v>37</v>
      </c>
      <c r="C1330" s="8">
        <v>12036</v>
      </c>
      <c r="D1330" s="9" t="s">
        <v>298</v>
      </c>
      <c r="E1330" s="10" t="s">
        <v>299</v>
      </c>
      <c r="F1330" s="10" t="s">
        <v>300</v>
      </c>
      <c r="G1330" s="8">
        <v>1</v>
      </c>
      <c r="H1330" s="11">
        <v>150</v>
      </c>
      <c r="I1330" s="12">
        <v>42540</v>
      </c>
      <c r="J1330" s="13">
        <f t="shared" si="45"/>
        <v>0</v>
      </c>
      <c r="K1330" s="14"/>
      <c r="L1330" s="14"/>
      <c r="M1330" s="14"/>
      <c r="N1330" s="14"/>
      <c r="O1330" s="14"/>
      <c r="P1330" s="14"/>
      <c r="Q1330" s="14">
        <v>150</v>
      </c>
      <c r="R1330" s="14"/>
      <c r="S1330" s="14"/>
      <c r="T1330" s="14"/>
      <c r="U1330" s="14"/>
      <c r="V1330" s="14"/>
      <c r="W1330" s="15">
        <f t="shared" si="46"/>
        <v>150</v>
      </c>
      <c r="X1330" s="14"/>
      <c r="Y1330" s="14"/>
      <c r="Z1330" s="14"/>
      <c r="AA1330" s="14"/>
      <c r="AB1330" s="14"/>
      <c r="AC1330" s="14"/>
      <c r="AD1330" s="14"/>
      <c r="AE1330" s="14"/>
      <c r="AF1330" s="14"/>
      <c r="AG1330" s="14"/>
      <c r="AH1330" s="14"/>
      <c r="AI1330" s="14"/>
      <c r="AJ1330" s="15"/>
      <c r="AK1330" s="16"/>
    </row>
    <row r="1331" spans="2:37" x14ac:dyDescent="0.2">
      <c r="B1331" s="7" t="s">
        <v>73</v>
      </c>
      <c r="C1331" s="8">
        <v>12037</v>
      </c>
      <c r="D1331" s="9" t="s">
        <v>1017</v>
      </c>
      <c r="E1331" s="10" t="s">
        <v>1018</v>
      </c>
      <c r="F1331" s="10" t="s">
        <v>1019</v>
      </c>
      <c r="G1331" s="8">
        <v>1</v>
      </c>
      <c r="H1331" s="11">
        <v>400</v>
      </c>
      <c r="I1331" s="12">
        <v>42540</v>
      </c>
      <c r="J1331" s="13">
        <f t="shared" si="45"/>
        <v>0</v>
      </c>
      <c r="K1331" s="14"/>
      <c r="L1331" s="14"/>
      <c r="M1331" s="14"/>
      <c r="N1331" s="14"/>
      <c r="O1331" s="14">
        <v>200</v>
      </c>
      <c r="P1331" s="14">
        <v>200</v>
      </c>
      <c r="Q1331" s="14"/>
      <c r="R1331" s="14"/>
      <c r="S1331" s="14"/>
      <c r="T1331" s="14"/>
      <c r="U1331" s="14"/>
      <c r="V1331" s="14"/>
      <c r="W1331" s="15">
        <f t="shared" si="46"/>
        <v>400</v>
      </c>
      <c r="X1331" s="14"/>
      <c r="Y1331" s="14"/>
      <c r="Z1331" s="14"/>
      <c r="AA1331" s="14"/>
      <c r="AB1331" s="14"/>
      <c r="AC1331" s="14"/>
      <c r="AD1331" s="14"/>
      <c r="AE1331" s="14"/>
      <c r="AF1331" s="14"/>
      <c r="AG1331" s="14"/>
      <c r="AH1331" s="14"/>
      <c r="AI1331" s="14"/>
      <c r="AJ1331" s="15"/>
      <c r="AK1331" s="16"/>
    </row>
    <row r="1332" spans="2:37" x14ac:dyDescent="0.2">
      <c r="B1332" s="7" t="s">
        <v>69</v>
      </c>
      <c r="C1332" s="8">
        <v>12038</v>
      </c>
      <c r="D1332" s="9" t="s">
        <v>864</v>
      </c>
      <c r="E1332" s="10" t="s">
        <v>865</v>
      </c>
      <c r="F1332" s="10" t="s">
        <v>866</v>
      </c>
      <c r="G1332" s="8">
        <v>1</v>
      </c>
      <c r="H1332" s="11">
        <v>900</v>
      </c>
      <c r="I1332" s="12">
        <v>42540</v>
      </c>
      <c r="J1332" s="13">
        <f t="shared" si="45"/>
        <v>0</v>
      </c>
      <c r="K1332" s="14"/>
      <c r="L1332" s="14"/>
      <c r="M1332" s="14">
        <v>300</v>
      </c>
      <c r="N1332" s="14">
        <v>300</v>
      </c>
      <c r="O1332" s="14">
        <v>300</v>
      </c>
      <c r="P1332" s="14"/>
      <c r="Q1332" s="14"/>
      <c r="R1332" s="14"/>
      <c r="S1332" s="14"/>
      <c r="T1332" s="14"/>
      <c r="U1332" s="14"/>
      <c r="V1332" s="14"/>
      <c r="W1332" s="15">
        <f t="shared" si="46"/>
        <v>900</v>
      </c>
      <c r="X1332" s="14"/>
      <c r="Y1332" s="14"/>
      <c r="Z1332" s="14"/>
      <c r="AA1332" s="14"/>
      <c r="AB1332" s="14"/>
      <c r="AC1332" s="14"/>
      <c r="AD1332" s="14"/>
      <c r="AE1332" s="14"/>
      <c r="AF1332" s="14"/>
      <c r="AG1332" s="14"/>
      <c r="AH1332" s="14"/>
      <c r="AI1332" s="14"/>
      <c r="AJ1332" s="15"/>
      <c r="AK1332" s="16"/>
    </row>
    <row r="1333" spans="2:37" x14ac:dyDescent="0.2">
      <c r="B1333" s="7" t="s">
        <v>37</v>
      </c>
      <c r="C1333" s="8">
        <v>12069</v>
      </c>
      <c r="D1333" s="9" t="s">
        <v>661</v>
      </c>
      <c r="E1333" s="10" t="s">
        <v>662</v>
      </c>
      <c r="F1333" s="10" t="s">
        <v>624</v>
      </c>
      <c r="G1333" s="8">
        <v>5</v>
      </c>
      <c r="H1333" s="11">
        <v>150</v>
      </c>
      <c r="I1333" s="12">
        <v>42540</v>
      </c>
      <c r="J1333" s="13">
        <f t="shared" si="45"/>
        <v>0</v>
      </c>
      <c r="K1333" s="14"/>
      <c r="L1333" s="14"/>
      <c r="M1333" s="14"/>
      <c r="N1333" s="14"/>
      <c r="O1333" s="14"/>
      <c r="P1333" s="14"/>
      <c r="Q1333" s="14"/>
      <c r="R1333" s="14"/>
      <c r="S1333" s="14"/>
      <c r="T1333" s="14"/>
      <c r="U1333" s="14"/>
      <c r="V1333" s="14"/>
      <c r="W1333" s="15">
        <f t="shared" si="46"/>
        <v>0</v>
      </c>
      <c r="X1333" s="14"/>
      <c r="Y1333" s="14"/>
      <c r="Z1333" s="14"/>
      <c r="AA1333" s="14"/>
      <c r="AB1333" s="14"/>
      <c r="AC1333" s="14"/>
      <c r="AD1333" s="14"/>
      <c r="AE1333" s="14"/>
      <c r="AF1333" s="14"/>
      <c r="AG1333" s="14"/>
      <c r="AH1333" s="14"/>
      <c r="AI1333" s="14"/>
      <c r="AJ1333" s="15"/>
      <c r="AK1333" s="16"/>
    </row>
    <row r="1334" spans="2:37" x14ac:dyDescent="0.2">
      <c r="B1334" s="7" t="s">
        <v>37</v>
      </c>
      <c r="C1334" s="8">
        <v>12070</v>
      </c>
      <c r="D1334" s="9" t="s">
        <v>298</v>
      </c>
      <c r="E1334" s="10" t="s">
        <v>299</v>
      </c>
      <c r="F1334" s="10" t="s">
        <v>300</v>
      </c>
      <c r="G1334" s="8">
        <v>5</v>
      </c>
      <c r="H1334" s="11">
        <v>50</v>
      </c>
      <c r="I1334" s="12">
        <v>42540</v>
      </c>
      <c r="J1334" s="13">
        <f t="shared" si="45"/>
        <v>0</v>
      </c>
      <c r="K1334" s="14"/>
      <c r="L1334" s="14"/>
      <c r="M1334" s="14"/>
      <c r="N1334" s="14"/>
      <c r="O1334" s="14"/>
      <c r="P1334" s="14"/>
      <c r="Q1334" s="14"/>
      <c r="R1334" s="14"/>
      <c r="S1334" s="14"/>
      <c r="T1334" s="14"/>
      <c r="U1334" s="14"/>
      <c r="V1334" s="14"/>
      <c r="W1334" s="15">
        <f t="shared" si="46"/>
        <v>0</v>
      </c>
      <c r="X1334" s="14"/>
      <c r="Y1334" s="14"/>
      <c r="Z1334" s="14"/>
      <c r="AA1334" s="14"/>
      <c r="AB1334" s="14"/>
      <c r="AC1334" s="14"/>
      <c r="AD1334" s="14"/>
      <c r="AE1334" s="14"/>
      <c r="AF1334" s="14"/>
      <c r="AG1334" s="14"/>
      <c r="AH1334" s="14"/>
      <c r="AI1334" s="14"/>
      <c r="AJ1334" s="15"/>
      <c r="AK1334" s="16"/>
    </row>
    <row r="1335" spans="2:37" x14ac:dyDescent="0.2">
      <c r="B1335" s="7" t="s">
        <v>122</v>
      </c>
      <c r="C1335" s="8">
        <v>12071</v>
      </c>
      <c r="D1335" s="9" t="s">
        <v>262</v>
      </c>
      <c r="E1335" s="10" t="s">
        <v>263</v>
      </c>
      <c r="F1335" s="10" t="s">
        <v>264</v>
      </c>
      <c r="G1335" s="8">
        <v>5</v>
      </c>
      <c r="H1335" s="11">
        <v>50</v>
      </c>
      <c r="I1335" s="12">
        <v>42540</v>
      </c>
      <c r="J1335" s="13">
        <f t="shared" si="45"/>
        <v>0</v>
      </c>
      <c r="K1335" s="14"/>
      <c r="L1335" s="14"/>
      <c r="M1335" s="14"/>
      <c r="N1335" s="14"/>
      <c r="O1335" s="14"/>
      <c r="P1335" s="14"/>
      <c r="Q1335" s="14"/>
      <c r="R1335" s="14"/>
      <c r="S1335" s="14"/>
      <c r="T1335" s="14"/>
      <c r="U1335" s="14"/>
      <c r="V1335" s="14"/>
      <c r="W1335" s="15">
        <f t="shared" si="46"/>
        <v>0</v>
      </c>
      <c r="X1335" s="14"/>
      <c r="Y1335" s="14"/>
      <c r="Z1335" s="14"/>
      <c r="AA1335" s="14"/>
      <c r="AB1335" s="14"/>
      <c r="AC1335" s="14"/>
      <c r="AD1335" s="14"/>
      <c r="AE1335" s="14"/>
      <c r="AF1335" s="14"/>
      <c r="AG1335" s="14"/>
      <c r="AH1335" s="14"/>
      <c r="AI1335" s="14"/>
      <c r="AJ1335" s="15"/>
      <c r="AK1335" s="16"/>
    </row>
    <row r="1336" spans="2:37" x14ac:dyDescent="0.2">
      <c r="B1336" s="7" t="s">
        <v>69</v>
      </c>
      <c r="C1336" s="8">
        <v>12072</v>
      </c>
      <c r="D1336" s="9" t="s">
        <v>864</v>
      </c>
      <c r="E1336" s="10" t="s">
        <v>865</v>
      </c>
      <c r="F1336" s="10" t="s">
        <v>866</v>
      </c>
      <c r="G1336" s="8">
        <v>5</v>
      </c>
      <c r="H1336" s="11">
        <v>50</v>
      </c>
      <c r="I1336" s="12">
        <v>42540</v>
      </c>
      <c r="J1336" s="13">
        <f t="shared" si="45"/>
        <v>0</v>
      </c>
      <c r="K1336" s="14"/>
      <c r="L1336" s="14"/>
      <c r="M1336" s="14"/>
      <c r="N1336" s="14"/>
      <c r="O1336" s="14"/>
      <c r="P1336" s="14"/>
      <c r="Q1336" s="14"/>
      <c r="R1336" s="14"/>
      <c r="S1336" s="14"/>
      <c r="T1336" s="14"/>
      <c r="U1336" s="14"/>
      <c r="V1336" s="14"/>
      <c r="W1336" s="15">
        <f t="shared" si="46"/>
        <v>0</v>
      </c>
      <c r="X1336" s="14"/>
      <c r="Y1336" s="14"/>
      <c r="Z1336" s="14"/>
      <c r="AA1336" s="14"/>
      <c r="AB1336" s="14"/>
      <c r="AC1336" s="14"/>
      <c r="AD1336" s="14"/>
      <c r="AE1336" s="14"/>
      <c r="AF1336" s="14"/>
      <c r="AG1336" s="14"/>
      <c r="AH1336" s="14"/>
      <c r="AI1336" s="14"/>
      <c r="AJ1336" s="15"/>
      <c r="AK1336" s="16"/>
    </row>
    <row r="1337" spans="2:37" x14ac:dyDescent="0.2">
      <c r="B1337" s="7" t="s">
        <v>47</v>
      </c>
      <c r="C1337" s="8">
        <v>12073</v>
      </c>
      <c r="D1337" s="9" t="s">
        <v>580</v>
      </c>
      <c r="E1337" s="10" t="s">
        <v>581</v>
      </c>
      <c r="F1337" s="10" t="s">
        <v>582</v>
      </c>
      <c r="G1337" s="8">
        <v>5</v>
      </c>
      <c r="H1337" s="11">
        <v>200</v>
      </c>
      <c r="I1337" s="12">
        <v>42540</v>
      </c>
      <c r="J1337" s="13">
        <f t="shared" si="45"/>
        <v>0</v>
      </c>
      <c r="K1337" s="14"/>
      <c r="L1337" s="14"/>
      <c r="M1337" s="14"/>
      <c r="N1337" s="14"/>
      <c r="O1337" s="14"/>
      <c r="P1337" s="14"/>
      <c r="Q1337" s="14"/>
      <c r="R1337" s="14"/>
      <c r="S1337" s="14"/>
      <c r="T1337" s="14"/>
      <c r="U1337" s="14"/>
      <c r="V1337" s="14"/>
      <c r="W1337" s="15">
        <f t="shared" si="46"/>
        <v>0</v>
      </c>
      <c r="X1337" s="14"/>
      <c r="Y1337" s="14"/>
      <c r="Z1337" s="14"/>
      <c r="AA1337" s="14"/>
      <c r="AB1337" s="14"/>
      <c r="AC1337" s="14"/>
      <c r="AD1337" s="14"/>
      <c r="AE1337" s="14"/>
      <c r="AF1337" s="14"/>
      <c r="AG1337" s="14"/>
      <c r="AH1337" s="14"/>
      <c r="AI1337" s="14"/>
      <c r="AJ1337" s="15"/>
      <c r="AK1337" s="16"/>
    </row>
    <row r="1338" spans="2:37" x14ac:dyDescent="0.2">
      <c r="B1338" s="7" t="s">
        <v>69</v>
      </c>
      <c r="C1338" s="8">
        <v>12074</v>
      </c>
      <c r="D1338" s="9" t="s">
        <v>828</v>
      </c>
      <c r="E1338" s="10" t="s">
        <v>829</v>
      </c>
      <c r="F1338" s="10" t="s">
        <v>830</v>
      </c>
      <c r="G1338" s="8">
        <v>5</v>
      </c>
      <c r="H1338" s="11">
        <v>50</v>
      </c>
      <c r="I1338" s="12">
        <v>42540</v>
      </c>
      <c r="J1338" s="13">
        <f t="shared" si="45"/>
        <v>0</v>
      </c>
      <c r="K1338" s="14"/>
      <c r="L1338" s="14"/>
      <c r="M1338" s="14"/>
      <c r="N1338" s="14"/>
      <c r="O1338" s="14"/>
      <c r="P1338" s="14"/>
      <c r="Q1338" s="14"/>
      <c r="R1338" s="14"/>
      <c r="S1338" s="14"/>
      <c r="T1338" s="14"/>
      <c r="U1338" s="14"/>
      <c r="V1338" s="14"/>
      <c r="W1338" s="15">
        <f t="shared" si="46"/>
        <v>0</v>
      </c>
      <c r="X1338" s="14"/>
      <c r="Y1338" s="14"/>
      <c r="Z1338" s="14"/>
      <c r="AA1338" s="14"/>
      <c r="AB1338" s="14"/>
      <c r="AC1338" s="14"/>
      <c r="AD1338" s="14"/>
      <c r="AE1338" s="14"/>
      <c r="AF1338" s="14"/>
      <c r="AG1338" s="14"/>
      <c r="AH1338" s="14"/>
      <c r="AI1338" s="14"/>
      <c r="AJ1338" s="15"/>
      <c r="AK1338" s="16">
        <v>100</v>
      </c>
    </row>
    <row r="1339" spans="2:37" x14ac:dyDescent="0.2">
      <c r="B1339" s="7" t="s">
        <v>73</v>
      </c>
      <c r="C1339" s="8">
        <v>12039</v>
      </c>
      <c r="D1339" s="9" t="s">
        <v>598</v>
      </c>
      <c r="E1339" s="10" t="s">
        <v>599</v>
      </c>
      <c r="F1339" s="10" t="s">
        <v>886</v>
      </c>
      <c r="G1339" s="8">
        <v>4</v>
      </c>
      <c r="H1339" s="11">
        <v>200</v>
      </c>
      <c r="I1339" s="12">
        <v>42542</v>
      </c>
      <c r="J1339" s="13">
        <f t="shared" si="45"/>
        <v>0</v>
      </c>
      <c r="K1339" s="14"/>
      <c r="L1339" s="14"/>
      <c r="M1339" s="14"/>
      <c r="N1339" s="14"/>
      <c r="O1339" s="14"/>
      <c r="P1339" s="14"/>
      <c r="Q1339" s="14"/>
      <c r="R1339" s="14"/>
      <c r="S1339" s="14"/>
      <c r="T1339" s="14"/>
      <c r="U1339" s="14"/>
      <c r="V1339" s="14"/>
      <c r="W1339" s="15">
        <f t="shared" si="46"/>
        <v>0</v>
      </c>
      <c r="X1339" s="14"/>
      <c r="Y1339" s="14"/>
      <c r="Z1339" s="14"/>
      <c r="AA1339" s="14"/>
      <c r="AB1339" s="14"/>
      <c r="AC1339" s="14"/>
      <c r="AD1339" s="14"/>
      <c r="AE1339" s="14"/>
      <c r="AF1339" s="14"/>
      <c r="AG1339" s="14"/>
      <c r="AH1339" s="14"/>
      <c r="AI1339" s="14"/>
      <c r="AJ1339" s="15"/>
      <c r="AK1339" s="7">
        <v>10422899</v>
      </c>
    </row>
    <row r="1340" spans="2:37" x14ac:dyDescent="0.2">
      <c r="B1340" s="7" t="s">
        <v>37</v>
      </c>
      <c r="C1340" s="8">
        <v>12040</v>
      </c>
      <c r="D1340" s="9" t="s">
        <v>1020</v>
      </c>
      <c r="E1340" s="10" t="s">
        <v>1021</v>
      </c>
      <c r="F1340" s="10" t="s">
        <v>1022</v>
      </c>
      <c r="G1340" s="8">
        <v>1</v>
      </c>
      <c r="H1340" s="11">
        <v>1200</v>
      </c>
      <c r="I1340" s="12">
        <v>42544</v>
      </c>
      <c r="J1340" s="13">
        <f t="shared" ref="J1340:J1403" si="47">IF(G1340=1,SUM(W1340,-H1340),0)</f>
        <v>0</v>
      </c>
      <c r="K1340" s="14"/>
      <c r="L1340" s="14"/>
      <c r="M1340" s="14"/>
      <c r="N1340" s="14">
        <v>400</v>
      </c>
      <c r="O1340" s="14">
        <v>400</v>
      </c>
      <c r="P1340" s="14">
        <v>400</v>
      </c>
      <c r="Q1340" s="14"/>
      <c r="R1340" s="14"/>
      <c r="S1340" s="14"/>
      <c r="T1340" s="14"/>
      <c r="U1340" s="14"/>
      <c r="V1340" s="14"/>
      <c r="W1340" s="15">
        <f t="shared" ref="W1340:W1403" si="48">SUM(K1340:V1340)</f>
        <v>1200</v>
      </c>
      <c r="X1340" s="14"/>
      <c r="Y1340" s="14"/>
      <c r="Z1340" s="14"/>
      <c r="AA1340" s="14"/>
      <c r="AB1340" s="14"/>
      <c r="AC1340" s="14"/>
      <c r="AD1340" s="14"/>
      <c r="AE1340" s="14"/>
      <c r="AF1340" s="14"/>
      <c r="AG1340" s="14"/>
      <c r="AH1340" s="14"/>
      <c r="AI1340" s="14"/>
      <c r="AJ1340" s="15"/>
      <c r="AK1340" s="16"/>
    </row>
    <row r="1341" spans="2:37" x14ac:dyDescent="0.2">
      <c r="B1341" s="7" t="s">
        <v>69</v>
      </c>
      <c r="C1341" s="8">
        <v>12041</v>
      </c>
      <c r="D1341" s="9" t="s">
        <v>506</v>
      </c>
      <c r="E1341" s="10" t="s">
        <v>507</v>
      </c>
      <c r="F1341" s="10" t="s">
        <v>508</v>
      </c>
      <c r="G1341" s="8">
        <v>3</v>
      </c>
      <c r="H1341" s="11">
        <v>160</v>
      </c>
      <c r="I1341" s="12">
        <v>42547</v>
      </c>
      <c r="J1341" s="13">
        <f t="shared" si="47"/>
        <v>0</v>
      </c>
      <c r="K1341" s="14"/>
      <c r="L1341" s="14"/>
      <c r="M1341" s="14"/>
      <c r="N1341" s="14"/>
      <c r="O1341" s="14"/>
      <c r="P1341" s="14"/>
      <c r="Q1341" s="14"/>
      <c r="R1341" s="14"/>
      <c r="S1341" s="14"/>
      <c r="T1341" s="14"/>
      <c r="U1341" s="14"/>
      <c r="V1341" s="14"/>
      <c r="W1341" s="15">
        <f t="shared" si="48"/>
        <v>0</v>
      </c>
      <c r="X1341" s="14"/>
      <c r="Y1341" s="14"/>
      <c r="Z1341" s="14"/>
      <c r="AA1341" s="14"/>
      <c r="AB1341" s="14"/>
      <c r="AC1341" s="14"/>
      <c r="AD1341" s="14"/>
      <c r="AE1341" s="14"/>
      <c r="AF1341" s="14"/>
      <c r="AG1341" s="14"/>
      <c r="AH1341" s="14"/>
      <c r="AI1341" s="14"/>
      <c r="AJ1341" s="15"/>
      <c r="AK1341" s="16"/>
    </row>
    <row r="1342" spans="2:37" x14ac:dyDescent="0.2">
      <c r="B1342" s="7" t="s">
        <v>37</v>
      </c>
      <c r="C1342" s="8">
        <v>12042</v>
      </c>
      <c r="D1342" s="9" t="s">
        <v>568</v>
      </c>
      <c r="E1342" s="10" t="s">
        <v>569</v>
      </c>
      <c r="F1342" s="10" t="s">
        <v>570</v>
      </c>
      <c r="G1342" s="8">
        <v>1</v>
      </c>
      <c r="H1342" s="11">
        <v>400</v>
      </c>
      <c r="I1342" s="12">
        <v>42547</v>
      </c>
      <c r="J1342" s="13">
        <f t="shared" si="47"/>
        <v>0</v>
      </c>
      <c r="K1342" s="14"/>
      <c r="L1342" s="14"/>
      <c r="M1342" s="14"/>
      <c r="N1342" s="14"/>
      <c r="O1342" s="14"/>
      <c r="P1342" s="14">
        <v>400</v>
      </c>
      <c r="Q1342" s="14"/>
      <c r="R1342" s="14"/>
      <c r="S1342" s="14"/>
      <c r="T1342" s="14"/>
      <c r="U1342" s="14"/>
      <c r="V1342" s="14"/>
      <c r="W1342" s="15">
        <f t="shared" si="48"/>
        <v>400</v>
      </c>
      <c r="X1342" s="14"/>
      <c r="Y1342" s="14"/>
      <c r="Z1342" s="14"/>
      <c r="AA1342" s="14"/>
      <c r="AB1342" s="14"/>
      <c r="AC1342" s="14"/>
      <c r="AD1342" s="14"/>
      <c r="AE1342" s="14"/>
      <c r="AF1342" s="14"/>
      <c r="AG1342" s="14"/>
      <c r="AH1342" s="14"/>
      <c r="AI1342" s="14"/>
      <c r="AJ1342" s="15"/>
      <c r="AK1342" s="16"/>
    </row>
    <row r="1343" spans="2:37" x14ac:dyDescent="0.2">
      <c r="B1343" s="7" t="s">
        <v>47</v>
      </c>
      <c r="C1343" s="8">
        <v>12043</v>
      </c>
      <c r="D1343" s="9" t="s">
        <v>589</v>
      </c>
      <c r="E1343" s="10" t="s">
        <v>590</v>
      </c>
      <c r="F1343" s="10" t="s">
        <v>591</v>
      </c>
      <c r="G1343" s="8">
        <v>1</v>
      </c>
      <c r="H1343" s="11">
        <v>1200</v>
      </c>
      <c r="I1343" s="12">
        <v>42547</v>
      </c>
      <c r="J1343" s="13">
        <f t="shared" si="47"/>
        <v>0</v>
      </c>
      <c r="K1343" s="14"/>
      <c r="L1343" s="14"/>
      <c r="M1343" s="14"/>
      <c r="N1343" s="14"/>
      <c r="O1343" s="14">
        <v>400</v>
      </c>
      <c r="P1343" s="14">
        <v>400</v>
      </c>
      <c r="Q1343" s="14">
        <v>400</v>
      </c>
      <c r="R1343" s="14"/>
      <c r="S1343" s="14"/>
      <c r="T1343" s="14"/>
      <c r="U1343" s="14"/>
      <c r="V1343" s="14"/>
      <c r="W1343" s="15">
        <f t="shared" si="48"/>
        <v>1200</v>
      </c>
      <c r="X1343" s="14"/>
      <c r="Y1343" s="14"/>
      <c r="Z1343" s="14"/>
      <c r="AA1343" s="14"/>
      <c r="AB1343" s="14"/>
      <c r="AC1343" s="14"/>
      <c r="AD1343" s="14"/>
      <c r="AE1343" s="14"/>
      <c r="AF1343" s="14"/>
      <c r="AG1343" s="14"/>
      <c r="AH1343" s="14"/>
      <c r="AI1343" s="14"/>
      <c r="AJ1343" s="15"/>
      <c r="AK1343" s="16"/>
    </row>
    <row r="1344" spans="2:37" x14ac:dyDescent="0.2">
      <c r="B1344" s="7" t="s">
        <v>37</v>
      </c>
      <c r="C1344" s="8">
        <v>12044</v>
      </c>
      <c r="D1344" s="9" t="s">
        <v>628</v>
      </c>
      <c r="E1344" s="10" t="s">
        <v>629</v>
      </c>
      <c r="F1344" s="10" t="s">
        <v>630</v>
      </c>
      <c r="G1344" s="8">
        <v>1</v>
      </c>
      <c r="H1344" s="11">
        <v>1200</v>
      </c>
      <c r="I1344" s="12">
        <v>42547</v>
      </c>
      <c r="J1344" s="13">
        <f t="shared" si="47"/>
        <v>0</v>
      </c>
      <c r="K1344" s="14"/>
      <c r="L1344" s="14"/>
      <c r="M1344" s="14"/>
      <c r="N1344" s="14">
        <v>400</v>
      </c>
      <c r="O1344" s="14">
        <v>400</v>
      </c>
      <c r="P1344" s="14">
        <v>400</v>
      </c>
      <c r="Q1344" s="14"/>
      <c r="R1344" s="14"/>
      <c r="S1344" s="14"/>
      <c r="T1344" s="14"/>
      <c r="U1344" s="14"/>
      <c r="V1344" s="14"/>
      <c r="W1344" s="15">
        <f t="shared" si="48"/>
        <v>1200</v>
      </c>
      <c r="X1344" s="14"/>
      <c r="Y1344" s="14"/>
      <c r="Z1344" s="14"/>
      <c r="AA1344" s="14"/>
      <c r="AB1344" s="14"/>
      <c r="AC1344" s="14"/>
      <c r="AD1344" s="14"/>
      <c r="AE1344" s="14"/>
      <c r="AF1344" s="14"/>
      <c r="AG1344" s="14"/>
      <c r="AH1344" s="14"/>
      <c r="AI1344" s="14"/>
      <c r="AJ1344" s="15"/>
      <c r="AK1344" s="16"/>
    </row>
    <row r="1345" spans="2:37" x14ac:dyDescent="0.2">
      <c r="B1345" s="7" t="s">
        <v>69</v>
      </c>
      <c r="C1345" s="8">
        <v>12045</v>
      </c>
      <c r="D1345" s="9" t="s">
        <v>602</v>
      </c>
      <c r="E1345" s="10" t="s">
        <v>603</v>
      </c>
      <c r="F1345" s="10" t="s">
        <v>604</v>
      </c>
      <c r="G1345" s="8">
        <v>1</v>
      </c>
      <c r="H1345" s="11">
        <v>200</v>
      </c>
      <c r="I1345" s="12">
        <v>42547</v>
      </c>
      <c r="J1345" s="13">
        <f t="shared" si="47"/>
        <v>0</v>
      </c>
      <c r="K1345" s="14"/>
      <c r="L1345" s="14"/>
      <c r="M1345" s="14"/>
      <c r="N1345" s="14"/>
      <c r="O1345" s="14"/>
      <c r="P1345" s="14">
        <v>200</v>
      </c>
      <c r="Q1345" s="14"/>
      <c r="R1345" s="14"/>
      <c r="S1345" s="14"/>
      <c r="T1345" s="14"/>
      <c r="U1345" s="14"/>
      <c r="V1345" s="14"/>
      <c r="W1345" s="15">
        <f t="shared" si="48"/>
        <v>200</v>
      </c>
      <c r="X1345" s="14"/>
      <c r="Y1345" s="14"/>
      <c r="Z1345" s="14"/>
      <c r="AA1345" s="14"/>
      <c r="AB1345" s="14"/>
      <c r="AC1345" s="14"/>
      <c r="AD1345" s="14"/>
      <c r="AE1345" s="14"/>
      <c r="AF1345" s="14"/>
      <c r="AG1345" s="14"/>
      <c r="AH1345" s="14"/>
      <c r="AI1345" s="14"/>
      <c r="AJ1345" s="15"/>
      <c r="AK1345" s="16"/>
    </row>
    <row r="1346" spans="2:37" x14ac:dyDescent="0.2">
      <c r="B1346" s="7" t="s">
        <v>47</v>
      </c>
      <c r="C1346" s="8">
        <v>12046</v>
      </c>
      <c r="D1346" s="9" t="s">
        <v>138</v>
      </c>
      <c r="E1346" s="10" t="s">
        <v>139</v>
      </c>
      <c r="F1346" s="10" t="s">
        <v>140</v>
      </c>
      <c r="G1346" s="8">
        <v>1</v>
      </c>
      <c r="H1346" s="11">
        <v>400</v>
      </c>
      <c r="I1346" s="12">
        <v>42547</v>
      </c>
      <c r="J1346" s="13">
        <f t="shared" si="47"/>
        <v>0</v>
      </c>
      <c r="K1346" s="14"/>
      <c r="L1346" s="14"/>
      <c r="M1346" s="14"/>
      <c r="N1346" s="14"/>
      <c r="O1346" s="14"/>
      <c r="P1346" s="14">
        <v>400</v>
      </c>
      <c r="Q1346" s="14"/>
      <c r="R1346" s="14"/>
      <c r="S1346" s="14"/>
      <c r="T1346" s="14"/>
      <c r="U1346" s="14"/>
      <c r="V1346" s="14"/>
      <c r="W1346" s="15">
        <f t="shared" si="48"/>
        <v>400</v>
      </c>
      <c r="X1346" s="14"/>
      <c r="Y1346" s="14"/>
      <c r="Z1346" s="14"/>
      <c r="AA1346" s="14"/>
      <c r="AB1346" s="14"/>
      <c r="AC1346" s="14"/>
      <c r="AD1346" s="14"/>
      <c r="AE1346" s="14"/>
      <c r="AF1346" s="14"/>
      <c r="AG1346" s="14"/>
      <c r="AH1346" s="14"/>
      <c r="AI1346" s="14"/>
      <c r="AJ1346" s="15"/>
      <c r="AK1346" s="16"/>
    </row>
    <row r="1347" spans="2:37" x14ac:dyDescent="0.2">
      <c r="B1347" s="7" t="s">
        <v>47</v>
      </c>
      <c r="C1347" s="8">
        <v>12047</v>
      </c>
      <c r="D1347" s="9" t="s">
        <v>84</v>
      </c>
      <c r="E1347" s="10" t="s">
        <v>85</v>
      </c>
      <c r="F1347" s="10" t="s">
        <v>86</v>
      </c>
      <c r="G1347" s="8">
        <v>4</v>
      </c>
      <c r="H1347" s="11">
        <v>200</v>
      </c>
      <c r="I1347" s="12">
        <v>42547</v>
      </c>
      <c r="J1347" s="13">
        <f t="shared" si="47"/>
        <v>0</v>
      </c>
      <c r="K1347" s="14"/>
      <c r="L1347" s="14"/>
      <c r="M1347" s="14"/>
      <c r="N1347" s="14"/>
      <c r="O1347" s="14"/>
      <c r="P1347" s="14"/>
      <c r="Q1347" s="14"/>
      <c r="R1347" s="14"/>
      <c r="S1347" s="14"/>
      <c r="T1347" s="14"/>
      <c r="U1347" s="14"/>
      <c r="V1347" s="14"/>
      <c r="W1347" s="15">
        <f t="shared" si="48"/>
        <v>0</v>
      </c>
      <c r="X1347" s="14"/>
      <c r="Y1347" s="14"/>
      <c r="Z1347" s="14"/>
      <c r="AA1347" s="14"/>
      <c r="AB1347" s="14"/>
      <c r="AC1347" s="14"/>
      <c r="AD1347" s="14"/>
      <c r="AE1347" s="14"/>
      <c r="AF1347" s="14"/>
      <c r="AG1347" s="14"/>
      <c r="AH1347" s="14"/>
      <c r="AI1347" s="14"/>
      <c r="AJ1347" s="15"/>
      <c r="AK1347" s="16"/>
    </row>
    <row r="1348" spans="2:37" x14ac:dyDescent="0.2">
      <c r="B1348" s="7" t="s">
        <v>73</v>
      </c>
      <c r="C1348" s="8">
        <v>12048</v>
      </c>
      <c r="D1348" s="9" t="s">
        <v>1023</v>
      </c>
      <c r="E1348" s="10" t="s">
        <v>1024</v>
      </c>
      <c r="F1348" s="10" t="s">
        <v>1025</v>
      </c>
      <c r="G1348" s="8">
        <v>1</v>
      </c>
      <c r="H1348" s="11">
        <v>3600</v>
      </c>
      <c r="I1348" s="12">
        <v>42547</v>
      </c>
      <c r="J1348" s="13">
        <f t="shared" si="47"/>
        <v>0</v>
      </c>
      <c r="K1348" s="14">
        <v>300</v>
      </c>
      <c r="L1348" s="14">
        <v>300</v>
      </c>
      <c r="M1348" s="14">
        <v>300</v>
      </c>
      <c r="N1348" s="14">
        <v>300</v>
      </c>
      <c r="O1348" s="14">
        <v>300</v>
      </c>
      <c r="P1348" s="14">
        <v>300</v>
      </c>
      <c r="Q1348" s="14">
        <v>300</v>
      </c>
      <c r="R1348" s="14">
        <v>300</v>
      </c>
      <c r="S1348" s="14">
        <v>300</v>
      </c>
      <c r="T1348" s="14">
        <v>300</v>
      </c>
      <c r="U1348" s="14">
        <v>300</v>
      </c>
      <c r="V1348" s="14">
        <v>300</v>
      </c>
      <c r="W1348" s="15">
        <f t="shared" si="48"/>
        <v>3600</v>
      </c>
      <c r="X1348" s="14"/>
      <c r="Y1348" s="14"/>
      <c r="Z1348" s="14"/>
      <c r="AA1348" s="14"/>
      <c r="AB1348" s="14"/>
      <c r="AC1348" s="14"/>
      <c r="AD1348" s="14"/>
      <c r="AE1348" s="14"/>
      <c r="AF1348" s="14"/>
      <c r="AG1348" s="14"/>
      <c r="AH1348" s="14"/>
      <c r="AI1348" s="14"/>
      <c r="AJ1348" s="15"/>
      <c r="AK1348" s="16"/>
    </row>
    <row r="1349" spans="2:37" x14ac:dyDescent="0.2">
      <c r="B1349" s="7" t="s">
        <v>73</v>
      </c>
      <c r="C1349" s="8">
        <v>12049</v>
      </c>
      <c r="D1349" s="9" t="s">
        <v>1026</v>
      </c>
      <c r="E1349" s="10" t="s">
        <v>1027</v>
      </c>
      <c r="F1349" s="10" t="s">
        <v>1028</v>
      </c>
      <c r="G1349" s="8">
        <v>1</v>
      </c>
      <c r="H1349" s="11">
        <v>400</v>
      </c>
      <c r="I1349" s="12">
        <v>42547</v>
      </c>
      <c r="J1349" s="13">
        <f t="shared" si="47"/>
        <v>0</v>
      </c>
      <c r="K1349" s="14"/>
      <c r="L1349" s="14"/>
      <c r="M1349" s="14"/>
      <c r="N1349" s="14"/>
      <c r="O1349" s="14">
        <v>200</v>
      </c>
      <c r="P1349" s="14">
        <v>200</v>
      </c>
      <c r="Q1349" s="14"/>
      <c r="R1349" s="14"/>
      <c r="S1349" s="14"/>
      <c r="T1349" s="14"/>
      <c r="U1349" s="14"/>
      <c r="V1349" s="14"/>
      <c r="W1349" s="15">
        <f t="shared" si="48"/>
        <v>400</v>
      </c>
      <c r="X1349" s="14"/>
      <c r="Y1349" s="14"/>
      <c r="Z1349" s="14"/>
      <c r="AA1349" s="14"/>
      <c r="AB1349" s="14"/>
      <c r="AC1349" s="14"/>
      <c r="AD1349" s="14"/>
      <c r="AE1349" s="14"/>
      <c r="AF1349" s="14"/>
      <c r="AG1349" s="14"/>
      <c r="AH1349" s="14"/>
      <c r="AI1349" s="14"/>
      <c r="AJ1349" s="15"/>
      <c r="AK1349" s="16"/>
    </row>
    <row r="1350" spans="2:37" x14ac:dyDescent="0.2">
      <c r="B1350" s="7" t="s">
        <v>69</v>
      </c>
      <c r="C1350" s="8">
        <v>12050</v>
      </c>
      <c r="D1350" s="9" t="s">
        <v>514</v>
      </c>
      <c r="E1350" s="10" t="s">
        <v>515</v>
      </c>
      <c r="F1350" s="10" t="s">
        <v>516</v>
      </c>
      <c r="G1350" s="8">
        <v>1</v>
      </c>
      <c r="H1350" s="11">
        <v>400</v>
      </c>
      <c r="I1350" s="12">
        <v>42547</v>
      </c>
      <c r="J1350" s="13">
        <f t="shared" si="47"/>
        <v>0</v>
      </c>
      <c r="K1350" s="14"/>
      <c r="L1350" s="14"/>
      <c r="M1350" s="14"/>
      <c r="N1350" s="14"/>
      <c r="O1350" s="14"/>
      <c r="P1350" s="14">
        <v>400</v>
      </c>
      <c r="Q1350" s="14"/>
      <c r="R1350" s="14"/>
      <c r="S1350" s="14"/>
      <c r="T1350" s="14"/>
      <c r="U1350" s="14"/>
      <c r="V1350" s="14"/>
      <c r="W1350" s="15">
        <f t="shared" si="48"/>
        <v>400</v>
      </c>
      <c r="X1350" s="14"/>
      <c r="Y1350" s="14"/>
      <c r="Z1350" s="14"/>
      <c r="AA1350" s="14"/>
      <c r="AB1350" s="14"/>
      <c r="AC1350" s="14"/>
      <c r="AD1350" s="14"/>
      <c r="AE1350" s="14"/>
      <c r="AF1350" s="14"/>
      <c r="AG1350" s="14"/>
      <c r="AH1350" s="14"/>
      <c r="AI1350" s="14"/>
      <c r="AJ1350" s="15"/>
      <c r="AK1350" s="16"/>
    </row>
    <row r="1351" spans="2:37" x14ac:dyDescent="0.2">
      <c r="B1351" s="7" t="s">
        <v>69</v>
      </c>
      <c r="C1351" s="8">
        <v>12050</v>
      </c>
      <c r="D1351" s="9" t="s">
        <v>514</v>
      </c>
      <c r="E1351" s="10" t="s">
        <v>515</v>
      </c>
      <c r="F1351" s="10" t="s">
        <v>516</v>
      </c>
      <c r="G1351" s="8">
        <v>3</v>
      </c>
      <c r="H1351" s="11">
        <v>200</v>
      </c>
      <c r="I1351" s="12">
        <v>42547</v>
      </c>
      <c r="J1351" s="13">
        <f t="shared" si="47"/>
        <v>0</v>
      </c>
      <c r="K1351" s="14"/>
      <c r="L1351" s="14"/>
      <c r="M1351" s="14"/>
      <c r="N1351" s="14"/>
      <c r="O1351" s="14"/>
      <c r="P1351" s="14"/>
      <c r="Q1351" s="14"/>
      <c r="R1351" s="14"/>
      <c r="S1351" s="14"/>
      <c r="T1351" s="14"/>
      <c r="U1351" s="14"/>
      <c r="V1351" s="14"/>
      <c r="W1351" s="15">
        <f t="shared" si="48"/>
        <v>0</v>
      </c>
      <c r="X1351" s="14"/>
      <c r="Y1351" s="14"/>
      <c r="Z1351" s="14"/>
      <c r="AA1351" s="14"/>
      <c r="AB1351" s="14"/>
      <c r="AC1351" s="14"/>
      <c r="AD1351" s="14"/>
      <c r="AE1351" s="14"/>
      <c r="AF1351" s="14"/>
      <c r="AG1351" s="14"/>
      <c r="AH1351" s="14"/>
      <c r="AI1351" s="14"/>
      <c r="AJ1351" s="15"/>
      <c r="AK1351" s="16"/>
    </row>
    <row r="1352" spans="2:37" x14ac:dyDescent="0.2">
      <c r="B1352" s="7" t="s">
        <v>47</v>
      </c>
      <c r="C1352" s="8">
        <v>12051</v>
      </c>
      <c r="D1352" s="9" t="s">
        <v>162</v>
      </c>
      <c r="E1352" s="10" t="s">
        <v>163</v>
      </c>
      <c r="F1352" s="10" t="s">
        <v>164</v>
      </c>
      <c r="G1352" s="8">
        <v>1</v>
      </c>
      <c r="H1352" s="11">
        <v>800</v>
      </c>
      <c r="I1352" s="12">
        <v>42547</v>
      </c>
      <c r="J1352" s="13">
        <f t="shared" si="47"/>
        <v>0</v>
      </c>
      <c r="K1352" s="14"/>
      <c r="L1352" s="14"/>
      <c r="M1352" s="14"/>
      <c r="N1352" s="14"/>
      <c r="O1352" s="14"/>
      <c r="P1352" s="14"/>
      <c r="Q1352" s="14">
        <v>400</v>
      </c>
      <c r="R1352" s="14">
        <v>400</v>
      </c>
      <c r="S1352" s="14"/>
      <c r="T1352" s="14"/>
      <c r="U1352" s="14"/>
      <c r="V1352" s="14"/>
      <c r="W1352" s="15">
        <f t="shared" si="48"/>
        <v>800</v>
      </c>
      <c r="X1352" s="14"/>
      <c r="Y1352" s="14"/>
      <c r="Z1352" s="14"/>
      <c r="AA1352" s="14"/>
      <c r="AB1352" s="14"/>
      <c r="AC1352" s="14"/>
      <c r="AD1352" s="14"/>
      <c r="AE1352" s="14"/>
      <c r="AF1352" s="14"/>
      <c r="AG1352" s="14"/>
      <c r="AH1352" s="14"/>
      <c r="AI1352" s="14"/>
      <c r="AJ1352" s="15"/>
      <c r="AK1352" s="16"/>
    </row>
    <row r="1353" spans="2:37" x14ac:dyDescent="0.2">
      <c r="B1353" s="7" t="s">
        <v>47</v>
      </c>
      <c r="C1353" s="8">
        <v>12052</v>
      </c>
      <c r="D1353" s="9" t="s">
        <v>1029</v>
      </c>
      <c r="E1353" s="10" t="s">
        <v>1030</v>
      </c>
      <c r="F1353" s="10" t="s">
        <v>1031</v>
      </c>
      <c r="G1353" s="8">
        <v>1</v>
      </c>
      <c r="H1353" s="11">
        <v>800</v>
      </c>
      <c r="I1353" s="12">
        <v>42547</v>
      </c>
      <c r="J1353" s="13">
        <f t="shared" si="47"/>
        <v>0</v>
      </c>
      <c r="K1353" s="14">
        <v>400</v>
      </c>
      <c r="L1353" s="14">
        <v>400</v>
      </c>
      <c r="M1353" s="14"/>
      <c r="N1353" s="14"/>
      <c r="O1353" s="14"/>
      <c r="P1353" s="14"/>
      <c r="Q1353" s="14"/>
      <c r="R1353" s="14"/>
      <c r="S1353" s="14"/>
      <c r="T1353" s="14"/>
      <c r="U1353" s="14"/>
      <c r="V1353" s="14"/>
      <c r="W1353" s="15">
        <f t="shared" si="48"/>
        <v>800</v>
      </c>
      <c r="X1353" s="14"/>
      <c r="Y1353" s="14"/>
      <c r="Z1353" s="14"/>
      <c r="AA1353" s="14"/>
      <c r="AB1353" s="14"/>
      <c r="AC1353" s="14"/>
      <c r="AD1353" s="14"/>
      <c r="AE1353" s="14"/>
      <c r="AF1353" s="14"/>
      <c r="AG1353" s="14"/>
      <c r="AH1353" s="14"/>
      <c r="AI1353" s="14"/>
      <c r="AJ1353" s="15"/>
      <c r="AK1353" s="16"/>
    </row>
    <row r="1354" spans="2:37" x14ac:dyDescent="0.2">
      <c r="B1354" s="7" t="s">
        <v>47</v>
      </c>
      <c r="C1354" s="8">
        <v>12053</v>
      </c>
      <c r="D1354" s="9" t="s">
        <v>449</v>
      </c>
      <c r="E1354" s="10" t="s">
        <v>450</v>
      </c>
      <c r="F1354" s="10" t="s">
        <v>451</v>
      </c>
      <c r="G1354" s="8">
        <v>1</v>
      </c>
      <c r="H1354" s="11">
        <v>600</v>
      </c>
      <c r="I1354" s="12">
        <v>42547</v>
      </c>
      <c r="J1354" s="13">
        <f t="shared" si="47"/>
        <v>0</v>
      </c>
      <c r="K1354" s="14"/>
      <c r="L1354" s="14"/>
      <c r="M1354" s="14"/>
      <c r="N1354" s="14"/>
      <c r="O1354" s="14">
        <v>300</v>
      </c>
      <c r="P1354" s="14">
        <v>300</v>
      </c>
      <c r="Q1354" s="14"/>
      <c r="R1354" s="14"/>
      <c r="S1354" s="14"/>
      <c r="T1354" s="14"/>
      <c r="U1354" s="14"/>
      <c r="V1354" s="14"/>
      <c r="W1354" s="15">
        <f t="shared" si="48"/>
        <v>600</v>
      </c>
      <c r="X1354" s="14"/>
      <c r="Y1354" s="14"/>
      <c r="Z1354" s="14"/>
      <c r="AA1354" s="14"/>
      <c r="AB1354" s="14"/>
      <c r="AC1354" s="14"/>
      <c r="AD1354" s="14"/>
      <c r="AE1354" s="14"/>
      <c r="AF1354" s="14"/>
      <c r="AG1354" s="14"/>
      <c r="AH1354" s="14"/>
      <c r="AI1354" s="14"/>
      <c r="AJ1354" s="15"/>
      <c r="AK1354" s="16"/>
    </row>
    <row r="1355" spans="2:37" x14ac:dyDescent="0.2">
      <c r="B1355" s="7" t="s">
        <v>73</v>
      </c>
      <c r="C1355" s="8">
        <v>12054</v>
      </c>
      <c r="D1355" s="9" t="s">
        <v>571</v>
      </c>
      <c r="E1355" s="10" t="s">
        <v>572</v>
      </c>
      <c r="F1355" s="10" t="s">
        <v>573</v>
      </c>
      <c r="G1355" s="8">
        <v>5</v>
      </c>
      <c r="H1355" s="11">
        <v>200</v>
      </c>
      <c r="I1355" s="12">
        <v>42547</v>
      </c>
      <c r="J1355" s="13">
        <f t="shared" si="47"/>
        <v>0</v>
      </c>
      <c r="K1355" s="14"/>
      <c r="L1355" s="14"/>
      <c r="M1355" s="14"/>
      <c r="N1355" s="14"/>
      <c r="O1355" s="14"/>
      <c r="P1355" s="14"/>
      <c r="Q1355" s="14"/>
      <c r="R1355" s="14"/>
      <c r="S1355" s="14"/>
      <c r="T1355" s="14"/>
      <c r="U1355" s="14"/>
      <c r="V1355" s="14"/>
      <c r="W1355" s="15">
        <f t="shared" si="48"/>
        <v>0</v>
      </c>
      <c r="X1355" s="14"/>
      <c r="Y1355" s="14"/>
      <c r="Z1355" s="14"/>
      <c r="AA1355" s="14"/>
      <c r="AB1355" s="14"/>
      <c r="AC1355" s="14"/>
      <c r="AD1355" s="14"/>
      <c r="AE1355" s="14"/>
      <c r="AF1355" s="14"/>
      <c r="AG1355" s="14"/>
      <c r="AH1355" s="14"/>
      <c r="AI1355" s="14"/>
      <c r="AJ1355" s="15"/>
      <c r="AK1355" s="16"/>
    </row>
    <row r="1356" spans="2:37" x14ac:dyDescent="0.2">
      <c r="B1356" s="7" t="s">
        <v>122</v>
      </c>
      <c r="C1356" s="8">
        <v>12055</v>
      </c>
      <c r="D1356" s="9" t="s">
        <v>637</v>
      </c>
      <c r="E1356" s="10" t="s">
        <v>638</v>
      </c>
      <c r="F1356" s="10" t="s">
        <v>639</v>
      </c>
      <c r="G1356" s="8">
        <v>1</v>
      </c>
      <c r="H1356" s="11">
        <v>400</v>
      </c>
      <c r="I1356" s="12">
        <v>42547</v>
      </c>
      <c r="J1356" s="13">
        <f t="shared" si="47"/>
        <v>0</v>
      </c>
      <c r="K1356" s="14"/>
      <c r="L1356" s="14"/>
      <c r="M1356" s="14"/>
      <c r="N1356" s="14"/>
      <c r="O1356" s="14"/>
      <c r="P1356" s="14">
        <v>400</v>
      </c>
      <c r="Q1356" s="14"/>
      <c r="R1356" s="14"/>
      <c r="S1356" s="14"/>
      <c r="T1356" s="14"/>
      <c r="U1356" s="14"/>
      <c r="V1356" s="14"/>
      <c r="W1356" s="15">
        <f t="shared" si="48"/>
        <v>400</v>
      </c>
      <c r="X1356" s="14"/>
      <c r="Y1356" s="14"/>
      <c r="Z1356" s="14"/>
      <c r="AA1356" s="14"/>
      <c r="AB1356" s="14"/>
      <c r="AC1356" s="14"/>
      <c r="AD1356" s="14"/>
      <c r="AE1356" s="14"/>
      <c r="AF1356" s="14"/>
      <c r="AG1356" s="14"/>
      <c r="AH1356" s="14"/>
      <c r="AI1356" s="14"/>
      <c r="AJ1356" s="15"/>
      <c r="AK1356" s="16"/>
    </row>
    <row r="1357" spans="2:37" x14ac:dyDescent="0.2">
      <c r="B1357" s="7" t="s">
        <v>47</v>
      </c>
      <c r="C1357" s="8">
        <v>12056</v>
      </c>
      <c r="D1357" s="9" t="s">
        <v>48</v>
      </c>
      <c r="E1357" s="10" t="s">
        <v>49</v>
      </c>
      <c r="F1357" s="10" t="s">
        <v>50</v>
      </c>
      <c r="G1357" s="8">
        <v>1</v>
      </c>
      <c r="H1357" s="11">
        <v>400</v>
      </c>
      <c r="I1357" s="12">
        <v>42547</v>
      </c>
      <c r="J1357" s="13">
        <f t="shared" si="47"/>
        <v>0</v>
      </c>
      <c r="K1357" s="14"/>
      <c r="L1357" s="14"/>
      <c r="M1357" s="14"/>
      <c r="N1357" s="14"/>
      <c r="O1357" s="14"/>
      <c r="P1357" s="14">
        <v>400</v>
      </c>
      <c r="Q1357" s="14"/>
      <c r="R1357" s="14"/>
      <c r="S1357" s="14"/>
      <c r="T1357" s="14"/>
      <c r="U1357" s="14"/>
      <c r="V1357" s="14"/>
      <c r="W1357" s="15">
        <f t="shared" si="48"/>
        <v>400</v>
      </c>
      <c r="X1357" s="14"/>
      <c r="Y1357" s="14"/>
      <c r="Z1357" s="14"/>
      <c r="AA1357" s="14"/>
      <c r="AB1357" s="14"/>
      <c r="AC1357" s="14"/>
      <c r="AD1357" s="14"/>
      <c r="AE1357" s="14"/>
      <c r="AF1357" s="14"/>
      <c r="AG1357" s="14"/>
      <c r="AH1357" s="14"/>
      <c r="AI1357" s="14"/>
      <c r="AJ1357" s="15"/>
      <c r="AK1357" s="16"/>
    </row>
    <row r="1358" spans="2:37" x14ac:dyDescent="0.2">
      <c r="B1358" s="7" t="s">
        <v>77</v>
      </c>
      <c r="C1358" s="8">
        <v>12057</v>
      </c>
      <c r="D1358" s="9" t="s">
        <v>455</v>
      </c>
      <c r="E1358" s="10" t="s">
        <v>456</v>
      </c>
      <c r="F1358" s="10" t="s">
        <v>457</v>
      </c>
      <c r="G1358" s="8">
        <v>1</v>
      </c>
      <c r="H1358" s="11">
        <v>800</v>
      </c>
      <c r="I1358" s="12">
        <v>42547</v>
      </c>
      <c r="J1358" s="13">
        <f t="shared" si="47"/>
        <v>0</v>
      </c>
      <c r="K1358" s="14"/>
      <c r="L1358" s="14"/>
      <c r="M1358" s="14"/>
      <c r="N1358" s="14"/>
      <c r="O1358" s="14"/>
      <c r="P1358" s="14">
        <v>400</v>
      </c>
      <c r="Q1358" s="14">
        <v>400</v>
      </c>
      <c r="R1358" s="14"/>
      <c r="S1358" s="14"/>
      <c r="T1358" s="14"/>
      <c r="U1358" s="14"/>
      <c r="V1358" s="14"/>
      <c r="W1358" s="15">
        <f t="shared" si="48"/>
        <v>800</v>
      </c>
      <c r="X1358" s="14"/>
      <c r="Y1358" s="14"/>
      <c r="Z1358" s="14"/>
      <c r="AA1358" s="14"/>
      <c r="AB1358" s="14"/>
      <c r="AC1358" s="14"/>
      <c r="AD1358" s="14"/>
      <c r="AE1358" s="14"/>
      <c r="AF1358" s="14"/>
      <c r="AG1358" s="14"/>
      <c r="AH1358" s="14"/>
      <c r="AI1358" s="14"/>
      <c r="AJ1358" s="15"/>
      <c r="AK1358" s="16"/>
    </row>
    <row r="1359" spans="2:37" x14ac:dyDescent="0.2">
      <c r="B1359" s="7" t="s">
        <v>47</v>
      </c>
      <c r="C1359" s="8">
        <v>12058</v>
      </c>
      <c r="D1359" s="9" t="s">
        <v>746</v>
      </c>
      <c r="E1359" s="10" t="s">
        <v>747</v>
      </c>
      <c r="F1359" s="10" t="s">
        <v>748</v>
      </c>
      <c r="G1359" s="8">
        <v>1</v>
      </c>
      <c r="H1359" s="11">
        <v>900</v>
      </c>
      <c r="I1359" s="12">
        <v>42547</v>
      </c>
      <c r="J1359" s="13">
        <f t="shared" si="47"/>
        <v>0</v>
      </c>
      <c r="K1359" s="14"/>
      <c r="L1359" s="14"/>
      <c r="M1359" s="14"/>
      <c r="N1359" s="14"/>
      <c r="O1359" s="14">
        <v>300</v>
      </c>
      <c r="P1359" s="14">
        <v>300</v>
      </c>
      <c r="Q1359" s="14">
        <v>300</v>
      </c>
      <c r="R1359" s="14"/>
      <c r="S1359" s="14"/>
      <c r="T1359" s="14"/>
      <c r="U1359" s="14"/>
      <c r="V1359" s="14"/>
      <c r="W1359" s="15">
        <f t="shared" si="48"/>
        <v>900</v>
      </c>
      <c r="X1359" s="14"/>
      <c r="Y1359" s="14"/>
      <c r="Z1359" s="14"/>
      <c r="AA1359" s="14"/>
      <c r="AB1359" s="14"/>
      <c r="AC1359" s="14"/>
      <c r="AD1359" s="14"/>
      <c r="AE1359" s="14"/>
      <c r="AF1359" s="14"/>
      <c r="AG1359" s="14"/>
      <c r="AH1359" s="14"/>
      <c r="AI1359" s="14"/>
      <c r="AJ1359" s="15"/>
      <c r="AK1359" s="16"/>
    </row>
    <row r="1360" spans="2:37" x14ac:dyDescent="0.2">
      <c r="B1360" s="7" t="s">
        <v>77</v>
      </c>
      <c r="C1360" s="8">
        <v>12059</v>
      </c>
      <c r="D1360" s="9" t="s">
        <v>547</v>
      </c>
      <c r="E1360" s="10" t="s">
        <v>548</v>
      </c>
      <c r="F1360" s="10" t="s">
        <v>549</v>
      </c>
      <c r="G1360" s="8">
        <v>1</v>
      </c>
      <c r="H1360" s="11">
        <v>400</v>
      </c>
      <c r="I1360" s="12">
        <v>42547</v>
      </c>
      <c r="J1360" s="13">
        <f t="shared" si="47"/>
        <v>0</v>
      </c>
      <c r="K1360" s="14"/>
      <c r="L1360" s="14"/>
      <c r="M1360" s="14"/>
      <c r="N1360" s="14"/>
      <c r="O1360" s="14">
        <v>200</v>
      </c>
      <c r="P1360" s="14">
        <v>200</v>
      </c>
      <c r="Q1360" s="14"/>
      <c r="R1360" s="14"/>
      <c r="S1360" s="14"/>
      <c r="T1360" s="14"/>
      <c r="U1360" s="14"/>
      <c r="V1360" s="14"/>
      <c r="W1360" s="15">
        <f t="shared" si="48"/>
        <v>400</v>
      </c>
      <c r="X1360" s="14"/>
      <c r="Y1360" s="14"/>
      <c r="Z1360" s="14"/>
      <c r="AA1360" s="14"/>
      <c r="AB1360" s="14"/>
      <c r="AC1360" s="14"/>
      <c r="AD1360" s="14"/>
      <c r="AE1360" s="14"/>
      <c r="AF1360" s="14"/>
      <c r="AG1360" s="14"/>
      <c r="AH1360" s="14"/>
      <c r="AI1360" s="14"/>
      <c r="AJ1360" s="15"/>
      <c r="AK1360" s="16"/>
    </row>
    <row r="1361" spans="2:37" x14ac:dyDescent="0.2">
      <c r="B1361" s="7" t="s">
        <v>73</v>
      </c>
      <c r="C1361" s="8">
        <v>12060</v>
      </c>
      <c r="D1361" s="9" t="s">
        <v>440</v>
      </c>
      <c r="E1361" s="10" t="s">
        <v>441</v>
      </c>
      <c r="F1361" s="10" t="s">
        <v>442</v>
      </c>
      <c r="G1361" s="8">
        <v>1</v>
      </c>
      <c r="H1361" s="11">
        <v>300</v>
      </c>
      <c r="I1361" s="12">
        <v>42547</v>
      </c>
      <c r="J1361" s="13">
        <f t="shared" si="47"/>
        <v>0</v>
      </c>
      <c r="K1361" s="14"/>
      <c r="L1361" s="14"/>
      <c r="M1361" s="14"/>
      <c r="N1361" s="14"/>
      <c r="O1361" s="14"/>
      <c r="P1361" s="14">
        <v>300</v>
      </c>
      <c r="Q1361" s="14"/>
      <c r="R1361" s="14"/>
      <c r="S1361" s="14"/>
      <c r="T1361" s="14"/>
      <c r="U1361" s="14"/>
      <c r="V1361" s="14"/>
      <c r="W1361" s="15">
        <f t="shared" si="48"/>
        <v>300</v>
      </c>
      <c r="X1361" s="14"/>
      <c r="Y1361" s="14"/>
      <c r="Z1361" s="14"/>
      <c r="AA1361" s="14"/>
      <c r="AB1361" s="14"/>
      <c r="AC1361" s="14"/>
      <c r="AD1361" s="14"/>
      <c r="AE1361" s="14"/>
      <c r="AF1361" s="14"/>
      <c r="AG1361" s="14"/>
      <c r="AH1361" s="14"/>
      <c r="AI1361" s="14"/>
      <c r="AJ1361" s="15"/>
      <c r="AK1361" s="16"/>
    </row>
    <row r="1362" spans="2:37" x14ac:dyDescent="0.2">
      <c r="B1362" s="7" t="s">
        <v>73</v>
      </c>
      <c r="C1362" s="8">
        <v>12060</v>
      </c>
      <c r="D1362" s="9" t="s">
        <v>440</v>
      </c>
      <c r="E1362" s="10" t="s">
        <v>441</v>
      </c>
      <c r="F1362" s="10" t="s">
        <v>442</v>
      </c>
      <c r="G1362" s="8">
        <v>3</v>
      </c>
      <c r="H1362" s="11">
        <v>200</v>
      </c>
      <c r="I1362" s="12">
        <v>42547</v>
      </c>
      <c r="J1362" s="13">
        <f t="shared" si="47"/>
        <v>0</v>
      </c>
      <c r="K1362" s="14"/>
      <c r="L1362" s="14"/>
      <c r="M1362" s="14"/>
      <c r="N1362" s="14"/>
      <c r="O1362" s="14"/>
      <c r="P1362" s="14"/>
      <c r="Q1362" s="14"/>
      <c r="R1362" s="14"/>
      <c r="S1362" s="14"/>
      <c r="T1362" s="14"/>
      <c r="U1362" s="14"/>
      <c r="V1362" s="14"/>
      <c r="W1362" s="15">
        <f t="shared" si="48"/>
        <v>0</v>
      </c>
      <c r="X1362" s="14"/>
      <c r="Y1362" s="14"/>
      <c r="Z1362" s="14"/>
      <c r="AA1362" s="14"/>
      <c r="AB1362" s="14"/>
      <c r="AC1362" s="14"/>
      <c r="AD1362" s="14"/>
      <c r="AE1362" s="14"/>
      <c r="AF1362" s="14"/>
      <c r="AG1362" s="14"/>
      <c r="AH1362" s="14"/>
      <c r="AI1362" s="14"/>
      <c r="AJ1362" s="15"/>
      <c r="AK1362" s="16"/>
    </row>
    <row r="1363" spans="2:37" x14ac:dyDescent="0.2">
      <c r="B1363" s="7" t="s">
        <v>122</v>
      </c>
      <c r="C1363" s="8">
        <v>12061</v>
      </c>
      <c r="D1363" s="9" t="s">
        <v>622</v>
      </c>
      <c r="E1363" s="10" t="s">
        <v>623</v>
      </c>
      <c r="F1363" s="10" t="s">
        <v>624</v>
      </c>
      <c r="G1363" s="8">
        <v>1</v>
      </c>
      <c r="H1363" s="11">
        <v>1200</v>
      </c>
      <c r="I1363" s="12">
        <v>42547</v>
      </c>
      <c r="J1363" s="13">
        <f t="shared" si="47"/>
        <v>0</v>
      </c>
      <c r="K1363" s="14"/>
      <c r="L1363" s="14"/>
      <c r="M1363" s="14"/>
      <c r="N1363" s="14"/>
      <c r="O1363" s="14">
        <v>400</v>
      </c>
      <c r="P1363" s="14">
        <v>400</v>
      </c>
      <c r="Q1363" s="14">
        <v>400</v>
      </c>
      <c r="R1363" s="14"/>
      <c r="S1363" s="14"/>
      <c r="T1363" s="14"/>
      <c r="U1363" s="14"/>
      <c r="V1363" s="14"/>
      <c r="W1363" s="15">
        <f t="shared" si="48"/>
        <v>1200</v>
      </c>
      <c r="X1363" s="14"/>
      <c r="Y1363" s="14"/>
      <c r="Z1363" s="14"/>
      <c r="AA1363" s="14"/>
      <c r="AB1363" s="14"/>
      <c r="AC1363" s="14"/>
      <c r="AD1363" s="14"/>
      <c r="AE1363" s="14"/>
      <c r="AF1363" s="14"/>
      <c r="AG1363" s="14"/>
      <c r="AH1363" s="14"/>
      <c r="AI1363" s="14"/>
      <c r="AJ1363" s="15"/>
      <c r="AK1363" s="16"/>
    </row>
    <row r="1364" spans="2:37" x14ac:dyDescent="0.2">
      <c r="B1364" s="7" t="s">
        <v>73</v>
      </c>
      <c r="C1364" s="8">
        <v>12062</v>
      </c>
      <c r="D1364" s="9" t="s">
        <v>719</v>
      </c>
      <c r="E1364" s="10" t="s">
        <v>720</v>
      </c>
      <c r="F1364" s="10" t="s">
        <v>867</v>
      </c>
      <c r="G1364" s="8">
        <v>1</v>
      </c>
      <c r="H1364" s="11">
        <v>400</v>
      </c>
      <c r="I1364" s="12">
        <v>42547</v>
      </c>
      <c r="J1364" s="13">
        <f t="shared" si="47"/>
        <v>0</v>
      </c>
      <c r="K1364" s="14"/>
      <c r="L1364" s="14"/>
      <c r="M1364" s="14"/>
      <c r="N1364" s="14"/>
      <c r="O1364" s="14">
        <v>200</v>
      </c>
      <c r="P1364" s="14">
        <v>200</v>
      </c>
      <c r="Q1364" s="14"/>
      <c r="R1364" s="14"/>
      <c r="S1364" s="14"/>
      <c r="T1364" s="14"/>
      <c r="U1364" s="14"/>
      <c r="V1364" s="14"/>
      <c r="W1364" s="15">
        <f t="shared" si="48"/>
        <v>400</v>
      </c>
      <c r="X1364" s="14"/>
      <c r="Y1364" s="14"/>
      <c r="Z1364" s="14"/>
      <c r="AA1364" s="14"/>
      <c r="AB1364" s="14"/>
      <c r="AC1364" s="14"/>
      <c r="AD1364" s="14"/>
      <c r="AE1364" s="14"/>
      <c r="AF1364" s="14"/>
      <c r="AG1364" s="14"/>
      <c r="AH1364" s="14"/>
      <c r="AI1364" s="14"/>
      <c r="AJ1364" s="15"/>
      <c r="AK1364" s="16"/>
    </row>
    <row r="1365" spans="2:37" x14ac:dyDescent="0.2">
      <c r="B1365" s="7" t="s">
        <v>73</v>
      </c>
      <c r="C1365" s="8">
        <v>12063</v>
      </c>
      <c r="D1365" s="9" t="s">
        <v>1032</v>
      </c>
      <c r="E1365" s="10" t="s">
        <v>1033</v>
      </c>
      <c r="F1365" s="10" t="s">
        <v>1034</v>
      </c>
      <c r="G1365" s="8">
        <v>1</v>
      </c>
      <c r="H1365" s="11">
        <v>900</v>
      </c>
      <c r="I1365" s="12">
        <v>42547</v>
      </c>
      <c r="J1365" s="13">
        <f t="shared" si="47"/>
        <v>0</v>
      </c>
      <c r="K1365" s="14">
        <v>150</v>
      </c>
      <c r="L1365" s="14">
        <v>150</v>
      </c>
      <c r="M1365" s="14">
        <v>150</v>
      </c>
      <c r="N1365" s="14">
        <v>150</v>
      </c>
      <c r="O1365" s="14">
        <v>150</v>
      </c>
      <c r="P1365" s="14">
        <v>150</v>
      </c>
      <c r="Q1365" s="14"/>
      <c r="R1365" s="14"/>
      <c r="S1365" s="14"/>
      <c r="T1365" s="14"/>
      <c r="U1365" s="14"/>
      <c r="V1365" s="14"/>
      <c r="W1365" s="15">
        <f t="shared" si="48"/>
        <v>900</v>
      </c>
      <c r="X1365" s="14"/>
      <c r="Y1365" s="14"/>
      <c r="Z1365" s="14"/>
      <c r="AA1365" s="14"/>
      <c r="AB1365" s="14"/>
      <c r="AC1365" s="14"/>
      <c r="AD1365" s="14"/>
      <c r="AE1365" s="14"/>
      <c r="AF1365" s="14"/>
      <c r="AG1365" s="14"/>
      <c r="AH1365" s="14"/>
      <c r="AI1365" s="14"/>
      <c r="AJ1365" s="15"/>
      <c r="AK1365" s="16"/>
    </row>
    <row r="1366" spans="2:37" x14ac:dyDescent="0.2">
      <c r="B1366" s="7" t="s">
        <v>37</v>
      </c>
      <c r="C1366" s="8">
        <v>12064</v>
      </c>
      <c r="D1366" s="9" t="s">
        <v>749</v>
      </c>
      <c r="E1366" s="10" t="s">
        <v>750</v>
      </c>
      <c r="F1366" s="10" t="s">
        <v>751</v>
      </c>
      <c r="G1366" s="8">
        <v>1</v>
      </c>
      <c r="H1366" s="11">
        <v>800</v>
      </c>
      <c r="I1366" s="12">
        <v>42547</v>
      </c>
      <c r="J1366" s="13">
        <f t="shared" si="47"/>
        <v>0</v>
      </c>
      <c r="K1366" s="14"/>
      <c r="L1366" s="14"/>
      <c r="M1366" s="14"/>
      <c r="N1366" s="14"/>
      <c r="O1366" s="14">
        <v>400</v>
      </c>
      <c r="P1366" s="14">
        <v>400</v>
      </c>
      <c r="Q1366" s="14"/>
      <c r="R1366" s="14"/>
      <c r="S1366" s="14"/>
      <c r="T1366" s="14"/>
      <c r="U1366" s="14"/>
      <c r="V1366" s="14"/>
      <c r="W1366" s="15">
        <f t="shared" si="48"/>
        <v>800</v>
      </c>
      <c r="X1366" s="14"/>
      <c r="Y1366" s="14"/>
      <c r="Z1366" s="14"/>
      <c r="AA1366" s="14"/>
      <c r="AB1366" s="14"/>
      <c r="AC1366" s="14"/>
      <c r="AD1366" s="14"/>
      <c r="AE1366" s="14"/>
      <c r="AF1366" s="14"/>
      <c r="AG1366" s="14"/>
      <c r="AH1366" s="14"/>
      <c r="AI1366" s="14"/>
      <c r="AJ1366" s="15"/>
      <c r="AK1366" s="16"/>
    </row>
    <row r="1367" spans="2:37" x14ac:dyDescent="0.2">
      <c r="B1367" s="7" t="s">
        <v>37</v>
      </c>
      <c r="C1367" s="8">
        <v>12065</v>
      </c>
      <c r="D1367" s="9" t="s">
        <v>646</v>
      </c>
      <c r="E1367" s="10" t="s">
        <v>647</v>
      </c>
      <c r="F1367" s="10" t="s">
        <v>648</v>
      </c>
      <c r="G1367" s="8">
        <v>1</v>
      </c>
      <c r="H1367" s="11">
        <v>800</v>
      </c>
      <c r="I1367" s="12">
        <v>42547</v>
      </c>
      <c r="J1367" s="13">
        <f t="shared" si="47"/>
        <v>0</v>
      </c>
      <c r="K1367" s="14"/>
      <c r="L1367" s="14"/>
      <c r="M1367" s="14"/>
      <c r="N1367" s="14">
        <v>400</v>
      </c>
      <c r="O1367" s="14">
        <v>400</v>
      </c>
      <c r="P1367" s="14"/>
      <c r="Q1367" s="14"/>
      <c r="R1367" s="14"/>
      <c r="S1367" s="14"/>
      <c r="T1367" s="14"/>
      <c r="U1367" s="14"/>
      <c r="V1367" s="14"/>
      <c r="W1367" s="15">
        <f t="shared" si="48"/>
        <v>800</v>
      </c>
      <c r="X1367" s="14"/>
      <c r="Y1367" s="14"/>
      <c r="Z1367" s="14"/>
      <c r="AA1367" s="14"/>
      <c r="AB1367" s="14"/>
      <c r="AC1367" s="14"/>
      <c r="AD1367" s="14"/>
      <c r="AE1367" s="14"/>
      <c r="AF1367" s="14"/>
      <c r="AG1367" s="14"/>
      <c r="AH1367" s="14"/>
      <c r="AI1367" s="14"/>
      <c r="AJ1367" s="15"/>
      <c r="AK1367" s="16"/>
    </row>
    <row r="1368" spans="2:37" x14ac:dyDescent="0.2">
      <c r="B1368" s="7" t="s">
        <v>73</v>
      </c>
      <c r="C1368" s="8">
        <v>12066</v>
      </c>
      <c r="D1368" s="9" t="s">
        <v>911</v>
      </c>
      <c r="E1368" s="10" t="s">
        <v>912</v>
      </c>
      <c r="F1368" s="10" t="s">
        <v>397</v>
      </c>
      <c r="G1368" s="8">
        <v>1</v>
      </c>
      <c r="H1368" s="11">
        <v>800</v>
      </c>
      <c r="I1368" s="12">
        <v>42547</v>
      </c>
      <c r="J1368" s="13">
        <f t="shared" si="47"/>
        <v>0</v>
      </c>
      <c r="K1368" s="14"/>
      <c r="L1368" s="14"/>
      <c r="M1368" s="14"/>
      <c r="N1368" s="14">
        <v>400</v>
      </c>
      <c r="O1368" s="14">
        <v>400</v>
      </c>
      <c r="P1368" s="14"/>
      <c r="Q1368" s="14"/>
      <c r="R1368" s="14"/>
      <c r="S1368" s="14"/>
      <c r="T1368" s="14"/>
      <c r="U1368" s="14"/>
      <c r="V1368" s="14"/>
      <c r="W1368" s="15">
        <f t="shared" si="48"/>
        <v>800</v>
      </c>
      <c r="X1368" s="14"/>
      <c r="Y1368" s="14"/>
      <c r="Z1368" s="14"/>
      <c r="AA1368" s="14"/>
      <c r="AB1368" s="14"/>
      <c r="AC1368" s="14"/>
      <c r="AD1368" s="14"/>
      <c r="AE1368" s="14"/>
      <c r="AF1368" s="14"/>
      <c r="AG1368" s="14"/>
      <c r="AH1368" s="14"/>
      <c r="AI1368" s="14"/>
      <c r="AJ1368" s="15"/>
      <c r="AK1368" s="16"/>
    </row>
    <row r="1369" spans="2:37" x14ac:dyDescent="0.2">
      <c r="B1369" s="7" t="s">
        <v>122</v>
      </c>
      <c r="C1369" s="8">
        <v>12067</v>
      </c>
      <c r="D1369" s="9" t="s">
        <v>1035</v>
      </c>
      <c r="E1369" s="10" t="s">
        <v>789</v>
      </c>
      <c r="F1369" s="10" t="s">
        <v>790</v>
      </c>
      <c r="G1369" s="8">
        <v>1</v>
      </c>
      <c r="H1369" s="11">
        <v>400</v>
      </c>
      <c r="I1369" s="12">
        <v>42547</v>
      </c>
      <c r="J1369" s="13">
        <f t="shared" si="47"/>
        <v>0</v>
      </c>
      <c r="K1369" s="14"/>
      <c r="L1369" s="14"/>
      <c r="M1369" s="14"/>
      <c r="N1369" s="14"/>
      <c r="O1369" s="14"/>
      <c r="P1369" s="14">
        <v>400</v>
      </c>
      <c r="Q1369" s="14"/>
      <c r="R1369" s="14"/>
      <c r="S1369" s="14"/>
      <c r="T1369" s="14"/>
      <c r="U1369" s="14"/>
      <c r="V1369" s="14"/>
      <c r="W1369" s="15">
        <f t="shared" si="48"/>
        <v>400</v>
      </c>
      <c r="X1369" s="14"/>
      <c r="Y1369" s="14"/>
      <c r="Z1369" s="14"/>
      <c r="AA1369" s="14"/>
      <c r="AB1369" s="14"/>
      <c r="AC1369" s="14"/>
      <c r="AD1369" s="14"/>
      <c r="AE1369" s="14"/>
      <c r="AF1369" s="14"/>
      <c r="AG1369" s="14"/>
      <c r="AH1369" s="14"/>
      <c r="AI1369" s="14"/>
      <c r="AJ1369" s="15"/>
      <c r="AK1369" s="16"/>
    </row>
    <row r="1370" spans="2:37" x14ac:dyDescent="0.2">
      <c r="B1370" s="7" t="s">
        <v>73</v>
      </c>
      <c r="C1370" s="8">
        <v>12068</v>
      </c>
      <c r="D1370" s="9" t="s">
        <v>731</v>
      </c>
      <c r="E1370" s="10" t="s">
        <v>732</v>
      </c>
      <c r="F1370" s="10" t="s">
        <v>733</v>
      </c>
      <c r="G1370" s="8">
        <v>1</v>
      </c>
      <c r="H1370" s="11">
        <v>600</v>
      </c>
      <c r="I1370" s="12">
        <v>42547</v>
      </c>
      <c r="J1370" s="13">
        <f t="shared" si="47"/>
        <v>0</v>
      </c>
      <c r="K1370" s="14"/>
      <c r="L1370" s="14"/>
      <c r="M1370" s="14"/>
      <c r="N1370" s="14"/>
      <c r="O1370" s="14"/>
      <c r="P1370" s="14">
        <v>300</v>
      </c>
      <c r="Q1370" s="14">
        <v>300</v>
      </c>
      <c r="R1370" s="14"/>
      <c r="S1370" s="14"/>
      <c r="T1370" s="14"/>
      <c r="U1370" s="14"/>
      <c r="V1370" s="14"/>
      <c r="W1370" s="15">
        <f t="shared" si="48"/>
        <v>600</v>
      </c>
      <c r="X1370" s="14"/>
      <c r="Y1370" s="14"/>
      <c r="Z1370" s="14"/>
      <c r="AA1370" s="14"/>
      <c r="AB1370" s="14"/>
      <c r="AC1370" s="14"/>
      <c r="AD1370" s="14"/>
      <c r="AE1370" s="14"/>
      <c r="AF1370" s="14"/>
      <c r="AG1370" s="14"/>
      <c r="AH1370" s="14"/>
      <c r="AI1370" s="14"/>
      <c r="AJ1370" s="15"/>
      <c r="AK1370" s="16"/>
    </row>
    <row r="1371" spans="2:37" x14ac:dyDescent="0.2">
      <c r="B1371" s="7" t="s">
        <v>37</v>
      </c>
      <c r="C1371" s="8">
        <v>12075</v>
      </c>
      <c r="D1371" s="9" t="s">
        <v>983</v>
      </c>
      <c r="E1371" s="10" t="s">
        <v>984</v>
      </c>
      <c r="F1371" s="10" t="s">
        <v>985</v>
      </c>
      <c r="G1371" s="8">
        <v>5</v>
      </c>
      <c r="H1371" s="11">
        <v>150</v>
      </c>
      <c r="I1371" s="12">
        <v>42543</v>
      </c>
      <c r="J1371" s="13">
        <f t="shared" si="47"/>
        <v>0</v>
      </c>
      <c r="K1371" s="14"/>
      <c r="L1371" s="14"/>
      <c r="M1371" s="14"/>
      <c r="N1371" s="14"/>
      <c r="O1371" s="14"/>
      <c r="P1371" s="14"/>
      <c r="Q1371" s="14"/>
      <c r="R1371" s="14"/>
      <c r="S1371" s="14"/>
      <c r="T1371" s="14"/>
      <c r="U1371" s="14"/>
      <c r="V1371" s="14"/>
      <c r="W1371" s="15">
        <f t="shared" si="48"/>
        <v>0</v>
      </c>
      <c r="X1371" s="14"/>
      <c r="Y1371" s="14"/>
      <c r="Z1371" s="14"/>
      <c r="AA1371" s="14"/>
      <c r="AB1371" s="14"/>
      <c r="AC1371" s="14"/>
      <c r="AD1371" s="14"/>
      <c r="AE1371" s="14"/>
      <c r="AF1371" s="14"/>
      <c r="AG1371" s="14"/>
      <c r="AH1371" s="14"/>
      <c r="AI1371" s="14"/>
      <c r="AJ1371" s="15"/>
      <c r="AK1371" s="16"/>
    </row>
    <row r="1372" spans="2:37" x14ac:dyDescent="0.2">
      <c r="B1372" s="7" t="s">
        <v>47</v>
      </c>
      <c r="C1372" s="8">
        <v>12076</v>
      </c>
      <c r="D1372" s="9" t="s">
        <v>150</v>
      </c>
      <c r="E1372" s="10" t="s">
        <v>151</v>
      </c>
      <c r="F1372" s="10" t="s">
        <v>152</v>
      </c>
      <c r="G1372" s="8">
        <v>5</v>
      </c>
      <c r="H1372" s="11">
        <v>100</v>
      </c>
      <c r="I1372" s="12">
        <v>42543</v>
      </c>
      <c r="J1372" s="13">
        <f t="shared" si="47"/>
        <v>0</v>
      </c>
      <c r="K1372" s="14"/>
      <c r="L1372" s="14"/>
      <c r="M1372" s="14"/>
      <c r="N1372" s="14"/>
      <c r="O1372" s="14"/>
      <c r="P1372" s="14"/>
      <c r="Q1372" s="14"/>
      <c r="R1372" s="14"/>
      <c r="S1372" s="14"/>
      <c r="T1372" s="14"/>
      <c r="U1372" s="14"/>
      <c r="V1372" s="14"/>
      <c r="W1372" s="15">
        <f t="shared" si="48"/>
        <v>0</v>
      </c>
      <c r="X1372" s="14"/>
      <c r="Y1372" s="14"/>
      <c r="Z1372" s="14"/>
      <c r="AA1372" s="14"/>
      <c r="AB1372" s="14"/>
      <c r="AC1372" s="14"/>
      <c r="AD1372" s="14"/>
      <c r="AE1372" s="14"/>
      <c r="AF1372" s="14"/>
      <c r="AG1372" s="14"/>
      <c r="AH1372" s="14"/>
      <c r="AI1372" s="14"/>
      <c r="AJ1372" s="15"/>
      <c r="AK1372" s="16"/>
    </row>
    <row r="1373" spans="2:37" x14ac:dyDescent="0.2">
      <c r="B1373" s="7" t="s">
        <v>37</v>
      </c>
      <c r="C1373" s="8">
        <v>12077</v>
      </c>
      <c r="D1373" s="9" t="s">
        <v>443</v>
      </c>
      <c r="E1373" s="10" t="s">
        <v>444</v>
      </c>
      <c r="F1373" s="10" t="s">
        <v>445</v>
      </c>
      <c r="G1373" s="8">
        <v>5</v>
      </c>
      <c r="H1373" s="11">
        <v>300</v>
      </c>
      <c r="I1373" s="12">
        <v>42544</v>
      </c>
      <c r="J1373" s="13">
        <f t="shared" si="47"/>
        <v>0</v>
      </c>
      <c r="K1373" s="14"/>
      <c r="L1373" s="14"/>
      <c r="M1373" s="14"/>
      <c r="N1373" s="14"/>
      <c r="O1373" s="14"/>
      <c r="P1373" s="14"/>
      <c r="Q1373" s="14"/>
      <c r="R1373" s="14"/>
      <c r="S1373" s="14"/>
      <c r="T1373" s="14"/>
      <c r="U1373" s="14"/>
      <c r="V1373" s="14"/>
      <c r="W1373" s="15">
        <f t="shared" si="48"/>
        <v>0</v>
      </c>
      <c r="X1373" s="14"/>
      <c r="Y1373" s="14"/>
      <c r="Z1373" s="14"/>
      <c r="AA1373" s="14"/>
      <c r="AB1373" s="14"/>
      <c r="AC1373" s="14"/>
      <c r="AD1373" s="14"/>
      <c r="AE1373" s="14"/>
      <c r="AF1373" s="14"/>
      <c r="AG1373" s="14"/>
      <c r="AH1373" s="14"/>
      <c r="AI1373" s="14"/>
      <c r="AJ1373" s="15"/>
      <c r="AK1373" s="16"/>
    </row>
    <row r="1374" spans="2:37" x14ac:dyDescent="0.2">
      <c r="B1374" s="7" t="s">
        <v>122</v>
      </c>
      <c r="C1374" s="8">
        <v>12078</v>
      </c>
      <c r="D1374" s="9" t="s">
        <v>220</v>
      </c>
      <c r="E1374" s="10" t="s">
        <v>221</v>
      </c>
      <c r="F1374" s="10" t="s">
        <v>222</v>
      </c>
      <c r="G1374" s="8">
        <v>1</v>
      </c>
      <c r="H1374" s="11">
        <v>300</v>
      </c>
      <c r="I1374" s="12">
        <v>42544</v>
      </c>
      <c r="J1374" s="13">
        <f t="shared" si="47"/>
        <v>0</v>
      </c>
      <c r="K1374" s="14"/>
      <c r="L1374" s="14"/>
      <c r="M1374" s="14"/>
      <c r="N1374" s="14"/>
      <c r="O1374" s="14"/>
      <c r="P1374" s="14">
        <v>300</v>
      </c>
      <c r="Q1374" s="14"/>
      <c r="R1374" s="14"/>
      <c r="S1374" s="14"/>
      <c r="T1374" s="14"/>
      <c r="U1374" s="14"/>
      <c r="V1374" s="14"/>
      <c r="W1374" s="15">
        <f t="shared" si="48"/>
        <v>300</v>
      </c>
      <c r="X1374" s="14"/>
      <c r="Y1374" s="14"/>
      <c r="Z1374" s="14"/>
      <c r="AA1374" s="14"/>
      <c r="AB1374" s="14"/>
      <c r="AC1374" s="14"/>
      <c r="AD1374" s="14"/>
      <c r="AE1374" s="14"/>
      <c r="AF1374" s="14"/>
      <c r="AG1374" s="14"/>
      <c r="AH1374" s="14"/>
      <c r="AI1374" s="14"/>
      <c r="AJ1374" s="15"/>
      <c r="AK1374" s="16"/>
    </row>
    <row r="1375" spans="2:37" x14ac:dyDescent="0.2">
      <c r="B1375" s="7" t="s">
        <v>122</v>
      </c>
      <c r="C1375" s="8">
        <v>12078</v>
      </c>
      <c r="D1375" s="9" t="s">
        <v>220</v>
      </c>
      <c r="E1375" s="10" t="s">
        <v>221</v>
      </c>
      <c r="F1375" s="10" t="s">
        <v>222</v>
      </c>
      <c r="G1375" s="8">
        <v>5</v>
      </c>
      <c r="H1375" s="11">
        <v>100</v>
      </c>
      <c r="I1375" s="12">
        <v>42544</v>
      </c>
      <c r="J1375" s="13">
        <f t="shared" si="47"/>
        <v>0</v>
      </c>
      <c r="K1375" s="14"/>
      <c r="L1375" s="14"/>
      <c r="M1375" s="14"/>
      <c r="N1375" s="14"/>
      <c r="O1375" s="14"/>
      <c r="P1375" s="14"/>
      <c r="Q1375" s="14"/>
      <c r="R1375" s="14"/>
      <c r="S1375" s="14"/>
      <c r="T1375" s="14"/>
      <c r="U1375" s="14"/>
      <c r="V1375" s="14"/>
      <c r="W1375" s="15">
        <f t="shared" si="48"/>
        <v>0</v>
      </c>
      <c r="X1375" s="14"/>
      <c r="Y1375" s="14"/>
      <c r="Z1375" s="14"/>
      <c r="AA1375" s="14"/>
      <c r="AB1375" s="14"/>
      <c r="AC1375" s="14"/>
      <c r="AD1375" s="14"/>
      <c r="AE1375" s="14"/>
      <c r="AF1375" s="14"/>
      <c r="AG1375" s="14"/>
      <c r="AH1375" s="14"/>
      <c r="AI1375" s="14"/>
      <c r="AJ1375" s="15"/>
      <c r="AK1375" s="16"/>
    </row>
    <row r="1376" spans="2:37" x14ac:dyDescent="0.2">
      <c r="B1376" s="7" t="s">
        <v>122</v>
      </c>
      <c r="C1376" s="8">
        <v>12079</v>
      </c>
      <c r="D1376" s="9" t="s">
        <v>217</v>
      </c>
      <c r="E1376" s="10" t="s">
        <v>218</v>
      </c>
      <c r="F1376" s="10" t="s">
        <v>219</v>
      </c>
      <c r="G1376" s="8">
        <v>5</v>
      </c>
      <c r="H1376" s="11">
        <v>200</v>
      </c>
      <c r="I1376" s="12">
        <v>42545</v>
      </c>
      <c r="J1376" s="13">
        <f t="shared" si="47"/>
        <v>0</v>
      </c>
      <c r="K1376" s="14"/>
      <c r="L1376" s="14"/>
      <c r="M1376" s="14"/>
      <c r="N1376" s="14"/>
      <c r="O1376" s="14"/>
      <c r="P1376" s="14"/>
      <c r="Q1376" s="14"/>
      <c r="R1376" s="14"/>
      <c r="S1376" s="14"/>
      <c r="T1376" s="14"/>
      <c r="U1376" s="14"/>
      <c r="V1376" s="14"/>
      <c r="W1376" s="15">
        <f t="shared" si="48"/>
        <v>0</v>
      </c>
      <c r="X1376" s="14"/>
      <c r="Y1376" s="14"/>
      <c r="Z1376" s="14"/>
      <c r="AA1376" s="14"/>
      <c r="AB1376" s="14"/>
      <c r="AC1376" s="14"/>
      <c r="AD1376" s="14"/>
      <c r="AE1376" s="14"/>
      <c r="AF1376" s="14"/>
      <c r="AG1376" s="14"/>
      <c r="AH1376" s="14"/>
      <c r="AI1376" s="14"/>
      <c r="AJ1376" s="15"/>
      <c r="AK1376" s="16"/>
    </row>
    <row r="1377" spans="2:37" x14ac:dyDescent="0.2">
      <c r="B1377" s="7" t="s">
        <v>73</v>
      </c>
      <c r="C1377" s="8">
        <v>12080</v>
      </c>
      <c r="D1377" s="9" t="s">
        <v>458</v>
      </c>
      <c r="E1377" s="10" t="s">
        <v>459</v>
      </c>
      <c r="F1377" s="10" t="s">
        <v>460</v>
      </c>
      <c r="G1377" s="8">
        <v>5</v>
      </c>
      <c r="H1377" s="11">
        <v>100</v>
      </c>
      <c r="I1377" s="12">
        <v>42547</v>
      </c>
      <c r="J1377" s="13">
        <f t="shared" si="47"/>
        <v>0</v>
      </c>
      <c r="K1377" s="14"/>
      <c r="L1377" s="14"/>
      <c r="M1377" s="14"/>
      <c r="N1377" s="14"/>
      <c r="O1377" s="14"/>
      <c r="P1377" s="14"/>
      <c r="Q1377" s="14"/>
      <c r="R1377" s="14"/>
      <c r="S1377" s="14"/>
      <c r="T1377" s="14"/>
      <c r="U1377" s="14"/>
      <c r="V1377" s="14"/>
      <c r="W1377" s="15">
        <f t="shared" si="48"/>
        <v>0</v>
      </c>
      <c r="X1377" s="14"/>
      <c r="Y1377" s="14"/>
      <c r="Z1377" s="14"/>
      <c r="AA1377" s="14"/>
      <c r="AB1377" s="14"/>
      <c r="AC1377" s="14"/>
      <c r="AD1377" s="14"/>
      <c r="AE1377" s="14"/>
      <c r="AF1377" s="14"/>
      <c r="AG1377" s="14"/>
      <c r="AH1377" s="14"/>
      <c r="AI1377" s="14"/>
      <c r="AJ1377" s="15"/>
      <c r="AK1377" s="16"/>
    </row>
    <row r="1378" spans="2:37" x14ac:dyDescent="0.2">
      <c r="B1378" s="7" t="s">
        <v>37</v>
      </c>
      <c r="C1378" s="8">
        <v>12081</v>
      </c>
      <c r="D1378" s="9" t="s">
        <v>568</v>
      </c>
      <c r="E1378" s="10" t="s">
        <v>569</v>
      </c>
      <c r="F1378" s="10" t="s">
        <v>570</v>
      </c>
      <c r="G1378" s="8">
        <v>5</v>
      </c>
      <c r="H1378" s="11">
        <v>350</v>
      </c>
      <c r="I1378" s="12">
        <v>42547</v>
      </c>
      <c r="J1378" s="13">
        <f t="shared" si="47"/>
        <v>0</v>
      </c>
      <c r="K1378" s="14"/>
      <c r="L1378" s="14"/>
      <c r="M1378" s="14"/>
      <c r="N1378" s="14"/>
      <c r="O1378" s="14"/>
      <c r="P1378" s="14"/>
      <c r="Q1378" s="14"/>
      <c r="R1378" s="14"/>
      <c r="S1378" s="14"/>
      <c r="T1378" s="14"/>
      <c r="U1378" s="14"/>
      <c r="V1378" s="14"/>
      <c r="W1378" s="15">
        <f t="shared" si="48"/>
        <v>0</v>
      </c>
      <c r="X1378" s="14"/>
      <c r="Y1378" s="14"/>
      <c r="Z1378" s="14"/>
      <c r="AA1378" s="14"/>
      <c r="AB1378" s="14"/>
      <c r="AC1378" s="14"/>
      <c r="AD1378" s="14"/>
      <c r="AE1378" s="14"/>
      <c r="AF1378" s="14"/>
      <c r="AG1378" s="14"/>
      <c r="AH1378" s="14"/>
      <c r="AI1378" s="14"/>
      <c r="AJ1378" s="15"/>
      <c r="AK1378" s="16"/>
    </row>
    <row r="1379" spans="2:37" x14ac:dyDescent="0.2">
      <c r="B1379" s="7" t="s">
        <v>47</v>
      </c>
      <c r="C1379" s="8">
        <v>12082</v>
      </c>
      <c r="D1379" s="9" t="s">
        <v>589</v>
      </c>
      <c r="E1379" s="10" t="s">
        <v>590</v>
      </c>
      <c r="F1379" s="10" t="s">
        <v>591</v>
      </c>
      <c r="G1379" s="8">
        <v>5</v>
      </c>
      <c r="H1379" s="11">
        <v>150</v>
      </c>
      <c r="I1379" s="12">
        <v>42547</v>
      </c>
      <c r="J1379" s="13">
        <f t="shared" si="47"/>
        <v>0</v>
      </c>
      <c r="K1379" s="14"/>
      <c r="L1379" s="14"/>
      <c r="M1379" s="14"/>
      <c r="N1379" s="14"/>
      <c r="O1379" s="14"/>
      <c r="P1379" s="14"/>
      <c r="Q1379" s="14"/>
      <c r="R1379" s="14"/>
      <c r="S1379" s="14"/>
      <c r="T1379" s="14"/>
      <c r="U1379" s="14"/>
      <c r="V1379" s="14"/>
      <c r="W1379" s="15">
        <f t="shared" si="48"/>
        <v>0</v>
      </c>
      <c r="X1379" s="14"/>
      <c r="Y1379" s="14"/>
      <c r="Z1379" s="14"/>
      <c r="AA1379" s="14"/>
      <c r="AB1379" s="14"/>
      <c r="AC1379" s="14"/>
      <c r="AD1379" s="14"/>
      <c r="AE1379" s="14"/>
      <c r="AF1379" s="14"/>
      <c r="AG1379" s="14"/>
      <c r="AH1379" s="14"/>
      <c r="AI1379" s="14"/>
      <c r="AJ1379" s="15"/>
      <c r="AK1379" s="16"/>
    </row>
    <row r="1380" spans="2:37" x14ac:dyDescent="0.2">
      <c r="B1380" s="7" t="s">
        <v>69</v>
      </c>
      <c r="C1380" s="8">
        <v>12083</v>
      </c>
      <c r="D1380" s="9" t="s">
        <v>602</v>
      </c>
      <c r="E1380" s="10" t="s">
        <v>603</v>
      </c>
      <c r="F1380" s="10" t="s">
        <v>604</v>
      </c>
      <c r="G1380" s="8">
        <v>5</v>
      </c>
      <c r="H1380" s="11">
        <v>50</v>
      </c>
      <c r="I1380" s="12">
        <v>42547</v>
      </c>
      <c r="J1380" s="13">
        <f t="shared" si="47"/>
        <v>0</v>
      </c>
      <c r="K1380" s="14"/>
      <c r="L1380" s="14"/>
      <c r="M1380" s="14"/>
      <c r="N1380" s="14"/>
      <c r="O1380" s="14"/>
      <c r="P1380" s="14"/>
      <c r="Q1380" s="14"/>
      <c r="R1380" s="14"/>
      <c r="S1380" s="14"/>
      <c r="T1380" s="14"/>
      <c r="U1380" s="14"/>
      <c r="V1380" s="14"/>
      <c r="W1380" s="15">
        <f t="shared" si="48"/>
        <v>0</v>
      </c>
      <c r="X1380" s="14"/>
      <c r="Y1380" s="14"/>
      <c r="Z1380" s="14"/>
      <c r="AA1380" s="14"/>
      <c r="AB1380" s="14"/>
      <c r="AC1380" s="14"/>
      <c r="AD1380" s="14"/>
      <c r="AE1380" s="14"/>
      <c r="AF1380" s="14"/>
      <c r="AG1380" s="14"/>
      <c r="AH1380" s="14"/>
      <c r="AI1380" s="14"/>
      <c r="AJ1380" s="15"/>
      <c r="AK1380" s="16"/>
    </row>
    <row r="1381" spans="2:37" x14ac:dyDescent="0.2">
      <c r="B1381" s="7" t="s">
        <v>47</v>
      </c>
      <c r="C1381" s="8">
        <v>12084</v>
      </c>
      <c r="D1381" s="9" t="s">
        <v>138</v>
      </c>
      <c r="E1381" s="10" t="s">
        <v>139</v>
      </c>
      <c r="F1381" s="10" t="s">
        <v>140</v>
      </c>
      <c r="G1381" s="8">
        <v>5</v>
      </c>
      <c r="H1381" s="11">
        <v>50</v>
      </c>
      <c r="I1381" s="12">
        <v>42547</v>
      </c>
      <c r="J1381" s="13">
        <f t="shared" si="47"/>
        <v>0</v>
      </c>
      <c r="K1381" s="14"/>
      <c r="L1381" s="14"/>
      <c r="M1381" s="14"/>
      <c r="N1381" s="14"/>
      <c r="O1381" s="14"/>
      <c r="P1381" s="14"/>
      <c r="Q1381" s="14"/>
      <c r="R1381" s="14"/>
      <c r="S1381" s="14"/>
      <c r="T1381" s="14"/>
      <c r="U1381" s="14"/>
      <c r="V1381" s="14"/>
      <c r="W1381" s="15">
        <f t="shared" si="48"/>
        <v>0</v>
      </c>
      <c r="X1381" s="14"/>
      <c r="Y1381" s="14"/>
      <c r="Z1381" s="14"/>
      <c r="AA1381" s="14"/>
      <c r="AB1381" s="14"/>
      <c r="AC1381" s="14"/>
      <c r="AD1381" s="14"/>
      <c r="AE1381" s="14"/>
      <c r="AF1381" s="14"/>
      <c r="AG1381" s="14"/>
      <c r="AH1381" s="14"/>
      <c r="AI1381" s="14"/>
      <c r="AJ1381" s="15"/>
      <c r="AK1381" s="16"/>
    </row>
    <row r="1382" spans="2:37" x14ac:dyDescent="0.2">
      <c r="B1382" s="7" t="s">
        <v>37</v>
      </c>
      <c r="C1382" s="8">
        <v>12085</v>
      </c>
      <c r="D1382" s="9" t="s">
        <v>247</v>
      </c>
      <c r="E1382" s="10" t="s">
        <v>248</v>
      </c>
      <c r="F1382" s="10" t="s">
        <v>249</v>
      </c>
      <c r="G1382" s="8">
        <v>5</v>
      </c>
      <c r="H1382" s="11">
        <v>50</v>
      </c>
      <c r="I1382" s="12">
        <v>42547</v>
      </c>
      <c r="J1382" s="13">
        <f t="shared" si="47"/>
        <v>0</v>
      </c>
      <c r="K1382" s="14"/>
      <c r="L1382" s="14"/>
      <c r="M1382" s="14"/>
      <c r="N1382" s="14"/>
      <c r="O1382" s="14"/>
      <c r="P1382" s="14"/>
      <c r="Q1382" s="14"/>
      <c r="R1382" s="14"/>
      <c r="S1382" s="14"/>
      <c r="T1382" s="14"/>
      <c r="U1382" s="14"/>
      <c r="V1382" s="14"/>
      <c r="W1382" s="15">
        <f t="shared" si="48"/>
        <v>0</v>
      </c>
      <c r="X1382" s="14"/>
      <c r="Y1382" s="14"/>
      <c r="Z1382" s="14"/>
      <c r="AA1382" s="14"/>
      <c r="AB1382" s="14"/>
      <c r="AC1382" s="14"/>
      <c r="AD1382" s="14"/>
      <c r="AE1382" s="14"/>
      <c r="AF1382" s="14"/>
      <c r="AG1382" s="14"/>
      <c r="AH1382" s="14"/>
      <c r="AI1382" s="14"/>
      <c r="AJ1382" s="15"/>
      <c r="AK1382" s="16"/>
    </row>
    <row r="1383" spans="2:37" x14ac:dyDescent="0.2">
      <c r="B1383" s="7" t="s">
        <v>47</v>
      </c>
      <c r="C1383" s="8">
        <v>12086</v>
      </c>
      <c r="D1383" s="9" t="s">
        <v>84</v>
      </c>
      <c r="E1383" s="10" t="s">
        <v>85</v>
      </c>
      <c r="F1383" s="10" t="s">
        <v>86</v>
      </c>
      <c r="G1383" s="8">
        <v>5</v>
      </c>
      <c r="H1383" s="11">
        <v>100</v>
      </c>
      <c r="I1383" s="12">
        <v>42547</v>
      </c>
      <c r="J1383" s="13">
        <f t="shared" si="47"/>
        <v>0</v>
      </c>
      <c r="K1383" s="14"/>
      <c r="L1383" s="14"/>
      <c r="M1383" s="14"/>
      <c r="N1383" s="14"/>
      <c r="O1383" s="14"/>
      <c r="P1383" s="14"/>
      <c r="Q1383" s="14"/>
      <c r="R1383" s="14"/>
      <c r="S1383" s="14"/>
      <c r="T1383" s="14"/>
      <c r="U1383" s="14"/>
      <c r="V1383" s="14"/>
      <c r="W1383" s="15">
        <f t="shared" si="48"/>
        <v>0</v>
      </c>
      <c r="X1383" s="14"/>
      <c r="Y1383" s="14"/>
      <c r="Z1383" s="14"/>
      <c r="AA1383" s="14"/>
      <c r="AB1383" s="14"/>
      <c r="AC1383" s="14"/>
      <c r="AD1383" s="14"/>
      <c r="AE1383" s="14"/>
      <c r="AF1383" s="14"/>
      <c r="AG1383" s="14"/>
      <c r="AH1383" s="14"/>
      <c r="AI1383" s="14"/>
      <c r="AJ1383" s="15"/>
      <c r="AK1383" s="16"/>
    </row>
    <row r="1384" spans="2:37" x14ac:dyDescent="0.2">
      <c r="B1384" s="7" t="s">
        <v>47</v>
      </c>
      <c r="C1384" s="8">
        <v>12087</v>
      </c>
      <c r="D1384" s="9" t="s">
        <v>138</v>
      </c>
      <c r="E1384" s="10" t="s">
        <v>139</v>
      </c>
      <c r="F1384" s="10" t="s">
        <v>140</v>
      </c>
      <c r="G1384" s="8">
        <v>5</v>
      </c>
      <c r="H1384" s="11">
        <v>50</v>
      </c>
      <c r="I1384" s="12">
        <v>42547</v>
      </c>
      <c r="J1384" s="13">
        <f t="shared" si="47"/>
        <v>0</v>
      </c>
      <c r="K1384" s="14"/>
      <c r="L1384" s="14"/>
      <c r="M1384" s="14"/>
      <c r="N1384" s="14"/>
      <c r="O1384" s="14"/>
      <c r="P1384" s="14"/>
      <c r="Q1384" s="14"/>
      <c r="R1384" s="14"/>
      <c r="S1384" s="14"/>
      <c r="T1384" s="14"/>
      <c r="U1384" s="14"/>
      <c r="V1384" s="14"/>
      <c r="W1384" s="15">
        <f t="shared" si="48"/>
        <v>0</v>
      </c>
      <c r="X1384" s="14"/>
      <c r="Y1384" s="14"/>
      <c r="Z1384" s="14"/>
      <c r="AA1384" s="14"/>
      <c r="AB1384" s="14"/>
      <c r="AC1384" s="14"/>
      <c r="AD1384" s="14"/>
      <c r="AE1384" s="14"/>
      <c r="AF1384" s="14"/>
      <c r="AG1384" s="14"/>
      <c r="AH1384" s="14"/>
      <c r="AI1384" s="14"/>
      <c r="AJ1384" s="15"/>
      <c r="AK1384" s="16"/>
    </row>
    <row r="1385" spans="2:37" x14ac:dyDescent="0.2">
      <c r="B1385" s="7" t="s">
        <v>61</v>
      </c>
      <c r="C1385" s="8">
        <v>12088</v>
      </c>
      <c r="D1385" s="9" t="s">
        <v>693</v>
      </c>
      <c r="E1385" s="10" t="s">
        <v>694</v>
      </c>
      <c r="F1385" s="10" t="s">
        <v>695</v>
      </c>
      <c r="G1385" s="8">
        <v>5</v>
      </c>
      <c r="H1385" s="11">
        <v>100</v>
      </c>
      <c r="I1385" s="12">
        <v>42547</v>
      </c>
      <c r="J1385" s="13">
        <f t="shared" si="47"/>
        <v>0</v>
      </c>
      <c r="K1385" s="14"/>
      <c r="L1385" s="14"/>
      <c r="M1385" s="14"/>
      <c r="N1385" s="14"/>
      <c r="O1385" s="14"/>
      <c r="P1385" s="14"/>
      <c r="Q1385" s="14"/>
      <c r="R1385" s="14"/>
      <c r="S1385" s="14"/>
      <c r="T1385" s="14"/>
      <c r="U1385" s="14"/>
      <c r="V1385" s="14"/>
      <c r="W1385" s="15">
        <f t="shared" si="48"/>
        <v>0</v>
      </c>
      <c r="X1385" s="14"/>
      <c r="Y1385" s="14"/>
      <c r="Z1385" s="14"/>
      <c r="AA1385" s="14"/>
      <c r="AB1385" s="14"/>
      <c r="AC1385" s="14"/>
      <c r="AD1385" s="14"/>
      <c r="AE1385" s="14"/>
      <c r="AF1385" s="14"/>
      <c r="AG1385" s="14"/>
      <c r="AH1385" s="14"/>
      <c r="AI1385" s="14"/>
      <c r="AJ1385" s="15"/>
      <c r="AK1385" s="16"/>
    </row>
    <row r="1386" spans="2:37" x14ac:dyDescent="0.2">
      <c r="B1386" s="7" t="s">
        <v>69</v>
      </c>
      <c r="C1386" s="8">
        <v>12089</v>
      </c>
      <c r="D1386" s="9" t="s">
        <v>343</v>
      </c>
      <c r="E1386" s="10" t="s">
        <v>344</v>
      </c>
      <c r="F1386" s="10" t="s">
        <v>345</v>
      </c>
      <c r="G1386" s="8">
        <v>5</v>
      </c>
      <c r="H1386" s="11">
        <v>150</v>
      </c>
      <c r="I1386" s="12">
        <v>42547</v>
      </c>
      <c r="J1386" s="13">
        <f t="shared" si="47"/>
        <v>0</v>
      </c>
      <c r="K1386" s="14"/>
      <c r="L1386" s="14"/>
      <c r="M1386" s="14"/>
      <c r="N1386" s="14"/>
      <c r="O1386" s="14"/>
      <c r="P1386" s="14"/>
      <c r="Q1386" s="14"/>
      <c r="R1386" s="14"/>
      <c r="S1386" s="14"/>
      <c r="T1386" s="14"/>
      <c r="U1386" s="14"/>
      <c r="V1386" s="14"/>
      <c r="W1386" s="15">
        <f t="shared" si="48"/>
        <v>0</v>
      </c>
      <c r="X1386" s="14"/>
      <c r="Y1386" s="14"/>
      <c r="Z1386" s="14"/>
      <c r="AA1386" s="14"/>
      <c r="AB1386" s="14"/>
      <c r="AC1386" s="14"/>
      <c r="AD1386" s="14"/>
      <c r="AE1386" s="14"/>
      <c r="AF1386" s="14"/>
      <c r="AG1386" s="14"/>
      <c r="AH1386" s="14"/>
      <c r="AI1386" s="14"/>
      <c r="AJ1386" s="15"/>
      <c r="AK1386" s="16"/>
    </row>
    <row r="1387" spans="2:37" x14ac:dyDescent="0.2">
      <c r="B1387" s="7" t="s">
        <v>69</v>
      </c>
      <c r="C1387" s="8">
        <v>12090</v>
      </c>
      <c r="D1387" s="9" t="s">
        <v>292</v>
      </c>
      <c r="E1387" s="10" t="s">
        <v>293</v>
      </c>
      <c r="F1387" s="10" t="s">
        <v>294</v>
      </c>
      <c r="G1387" s="8">
        <v>5</v>
      </c>
      <c r="H1387" s="11">
        <v>150</v>
      </c>
      <c r="I1387" s="12">
        <v>42547</v>
      </c>
      <c r="J1387" s="13">
        <f t="shared" si="47"/>
        <v>0</v>
      </c>
      <c r="K1387" s="14"/>
      <c r="L1387" s="14"/>
      <c r="M1387" s="14"/>
      <c r="N1387" s="14"/>
      <c r="O1387" s="14"/>
      <c r="P1387" s="14"/>
      <c r="Q1387" s="14"/>
      <c r="R1387" s="14"/>
      <c r="S1387" s="14"/>
      <c r="T1387" s="14"/>
      <c r="U1387" s="14"/>
      <c r="V1387" s="14"/>
      <c r="W1387" s="15">
        <f t="shared" si="48"/>
        <v>0</v>
      </c>
      <c r="X1387" s="14"/>
      <c r="Y1387" s="14"/>
      <c r="Z1387" s="14"/>
      <c r="AA1387" s="14"/>
      <c r="AB1387" s="14"/>
      <c r="AC1387" s="14"/>
      <c r="AD1387" s="14"/>
      <c r="AE1387" s="14"/>
      <c r="AF1387" s="14"/>
      <c r="AG1387" s="14"/>
      <c r="AH1387" s="14"/>
      <c r="AI1387" s="14"/>
      <c r="AJ1387" s="15"/>
      <c r="AK1387" s="16"/>
    </row>
    <row r="1388" spans="2:37" x14ac:dyDescent="0.2">
      <c r="B1388" s="7" t="s">
        <v>69</v>
      </c>
      <c r="C1388" s="8">
        <v>12091</v>
      </c>
      <c r="D1388" s="9" t="s">
        <v>828</v>
      </c>
      <c r="E1388" s="10" t="s">
        <v>829</v>
      </c>
      <c r="F1388" s="10" t="s">
        <v>830</v>
      </c>
      <c r="G1388" s="8">
        <v>5</v>
      </c>
      <c r="H1388" s="11">
        <v>100</v>
      </c>
      <c r="I1388" s="12">
        <v>42547</v>
      </c>
      <c r="J1388" s="13">
        <f t="shared" si="47"/>
        <v>0</v>
      </c>
      <c r="K1388" s="14"/>
      <c r="L1388" s="14"/>
      <c r="M1388" s="14"/>
      <c r="N1388" s="14"/>
      <c r="O1388" s="14"/>
      <c r="P1388" s="14"/>
      <c r="Q1388" s="14"/>
      <c r="R1388" s="14"/>
      <c r="S1388" s="14"/>
      <c r="T1388" s="14"/>
      <c r="U1388" s="14"/>
      <c r="V1388" s="14"/>
      <c r="W1388" s="15">
        <f t="shared" si="48"/>
        <v>0</v>
      </c>
      <c r="X1388" s="14"/>
      <c r="Y1388" s="14"/>
      <c r="Z1388" s="14"/>
      <c r="AA1388" s="14"/>
      <c r="AB1388" s="14"/>
      <c r="AC1388" s="14"/>
      <c r="AD1388" s="14"/>
      <c r="AE1388" s="14"/>
      <c r="AF1388" s="14"/>
      <c r="AG1388" s="14"/>
      <c r="AH1388" s="14"/>
      <c r="AI1388" s="14"/>
      <c r="AJ1388" s="15"/>
      <c r="AK1388" s="16"/>
    </row>
    <row r="1389" spans="2:37" x14ac:dyDescent="0.2">
      <c r="B1389" s="7" t="s">
        <v>77</v>
      </c>
      <c r="C1389" s="8">
        <v>12092</v>
      </c>
      <c r="D1389" s="9" t="s">
        <v>470</v>
      </c>
      <c r="E1389" s="10" t="s">
        <v>471</v>
      </c>
      <c r="F1389" s="10" t="s">
        <v>472</v>
      </c>
      <c r="G1389" s="8">
        <v>5</v>
      </c>
      <c r="H1389" s="11">
        <v>100</v>
      </c>
      <c r="I1389" s="12">
        <v>42547</v>
      </c>
      <c r="J1389" s="13">
        <f t="shared" si="47"/>
        <v>0</v>
      </c>
      <c r="K1389" s="14"/>
      <c r="L1389" s="14"/>
      <c r="M1389" s="14"/>
      <c r="N1389" s="14"/>
      <c r="O1389" s="14"/>
      <c r="P1389" s="14"/>
      <c r="Q1389" s="14"/>
      <c r="R1389" s="14"/>
      <c r="S1389" s="14"/>
      <c r="T1389" s="14"/>
      <c r="U1389" s="14"/>
      <c r="V1389" s="14"/>
      <c r="W1389" s="15">
        <f t="shared" si="48"/>
        <v>0</v>
      </c>
      <c r="X1389" s="14"/>
      <c r="Y1389" s="14"/>
      <c r="Z1389" s="14"/>
      <c r="AA1389" s="14"/>
      <c r="AB1389" s="14"/>
      <c r="AC1389" s="14"/>
      <c r="AD1389" s="14"/>
      <c r="AE1389" s="14"/>
      <c r="AF1389" s="14"/>
      <c r="AG1389" s="14"/>
      <c r="AH1389" s="14"/>
      <c r="AI1389" s="14"/>
      <c r="AJ1389" s="15"/>
      <c r="AK1389" s="16"/>
    </row>
    <row r="1390" spans="2:37" x14ac:dyDescent="0.2">
      <c r="B1390" s="7" t="s">
        <v>47</v>
      </c>
      <c r="C1390" s="8">
        <v>12093</v>
      </c>
      <c r="D1390" s="9" t="s">
        <v>449</v>
      </c>
      <c r="E1390" s="10" t="s">
        <v>450</v>
      </c>
      <c r="F1390" s="10" t="s">
        <v>451</v>
      </c>
      <c r="G1390" s="8">
        <v>5</v>
      </c>
      <c r="H1390" s="11">
        <v>150</v>
      </c>
      <c r="I1390" s="12">
        <v>42547</v>
      </c>
      <c r="J1390" s="13">
        <f t="shared" si="47"/>
        <v>0</v>
      </c>
      <c r="K1390" s="14"/>
      <c r="L1390" s="14"/>
      <c r="M1390" s="14"/>
      <c r="N1390" s="14"/>
      <c r="O1390" s="14"/>
      <c r="P1390" s="14"/>
      <c r="Q1390" s="14"/>
      <c r="R1390" s="14"/>
      <c r="S1390" s="14"/>
      <c r="T1390" s="14"/>
      <c r="U1390" s="14"/>
      <c r="V1390" s="14"/>
      <c r="W1390" s="15">
        <f t="shared" si="48"/>
        <v>0</v>
      </c>
      <c r="X1390" s="14"/>
      <c r="Y1390" s="14"/>
      <c r="Z1390" s="14"/>
      <c r="AA1390" s="14"/>
      <c r="AB1390" s="14"/>
      <c r="AC1390" s="14"/>
      <c r="AD1390" s="14"/>
      <c r="AE1390" s="14"/>
      <c r="AF1390" s="14"/>
      <c r="AG1390" s="14"/>
      <c r="AH1390" s="14"/>
      <c r="AI1390" s="14"/>
      <c r="AJ1390" s="15"/>
      <c r="AK1390" s="16"/>
    </row>
    <row r="1391" spans="2:37" x14ac:dyDescent="0.2">
      <c r="B1391" s="7" t="s">
        <v>73</v>
      </c>
      <c r="C1391" s="8">
        <v>12094</v>
      </c>
      <c r="D1391" s="9" t="s">
        <v>1023</v>
      </c>
      <c r="E1391" s="10" t="s">
        <v>1024</v>
      </c>
      <c r="F1391" s="10" t="s">
        <v>1025</v>
      </c>
      <c r="G1391" s="8">
        <v>5</v>
      </c>
      <c r="H1391" s="11">
        <v>150</v>
      </c>
      <c r="I1391" s="12">
        <v>42547</v>
      </c>
      <c r="J1391" s="13">
        <f t="shared" si="47"/>
        <v>0</v>
      </c>
      <c r="K1391" s="14"/>
      <c r="L1391" s="14"/>
      <c r="M1391" s="14"/>
      <c r="N1391" s="14"/>
      <c r="O1391" s="14"/>
      <c r="P1391" s="14"/>
      <c r="Q1391" s="14"/>
      <c r="R1391" s="14"/>
      <c r="S1391" s="14"/>
      <c r="T1391" s="14"/>
      <c r="U1391" s="14"/>
      <c r="V1391" s="14"/>
      <c r="W1391" s="15">
        <f t="shared" si="48"/>
        <v>0</v>
      </c>
      <c r="X1391" s="14"/>
      <c r="Y1391" s="14"/>
      <c r="Z1391" s="14"/>
      <c r="AA1391" s="14"/>
      <c r="AB1391" s="14"/>
      <c r="AC1391" s="14"/>
      <c r="AD1391" s="14"/>
      <c r="AE1391" s="14"/>
      <c r="AF1391" s="14"/>
      <c r="AG1391" s="14"/>
      <c r="AH1391" s="14"/>
      <c r="AI1391" s="14"/>
      <c r="AJ1391" s="15"/>
      <c r="AK1391" s="16"/>
    </row>
    <row r="1392" spans="2:37" x14ac:dyDescent="0.2">
      <c r="B1392" s="7" t="s">
        <v>47</v>
      </c>
      <c r="C1392" s="8">
        <v>12095</v>
      </c>
      <c r="D1392" s="9" t="s">
        <v>106</v>
      </c>
      <c r="E1392" s="10" t="s">
        <v>107</v>
      </c>
      <c r="F1392" s="10" t="s">
        <v>108</v>
      </c>
      <c r="G1392" s="8">
        <v>5</v>
      </c>
      <c r="H1392" s="11">
        <v>100</v>
      </c>
      <c r="I1392" s="12">
        <v>42547</v>
      </c>
      <c r="J1392" s="13">
        <f t="shared" si="47"/>
        <v>0</v>
      </c>
      <c r="K1392" s="14"/>
      <c r="L1392" s="14"/>
      <c r="M1392" s="14"/>
      <c r="N1392" s="14"/>
      <c r="O1392" s="14"/>
      <c r="P1392" s="14"/>
      <c r="Q1392" s="14"/>
      <c r="R1392" s="14"/>
      <c r="S1392" s="14"/>
      <c r="T1392" s="14"/>
      <c r="U1392" s="14"/>
      <c r="V1392" s="14"/>
      <c r="W1392" s="15">
        <f t="shared" si="48"/>
        <v>0</v>
      </c>
      <c r="X1392" s="14"/>
      <c r="Y1392" s="14"/>
      <c r="Z1392" s="14"/>
      <c r="AA1392" s="14"/>
      <c r="AB1392" s="14"/>
      <c r="AC1392" s="14"/>
      <c r="AD1392" s="14"/>
      <c r="AE1392" s="14"/>
      <c r="AF1392" s="14"/>
      <c r="AG1392" s="14"/>
      <c r="AH1392" s="14"/>
      <c r="AI1392" s="14"/>
      <c r="AJ1392" s="15"/>
      <c r="AK1392" s="16"/>
    </row>
    <row r="1393" spans="2:37" x14ac:dyDescent="0.2">
      <c r="B1393" s="7" t="s">
        <v>47</v>
      </c>
      <c r="C1393" s="8">
        <v>12096</v>
      </c>
      <c r="D1393" s="9" t="s">
        <v>238</v>
      </c>
      <c r="E1393" s="10" t="s">
        <v>239</v>
      </c>
      <c r="F1393" s="10" t="s">
        <v>240</v>
      </c>
      <c r="G1393" s="8">
        <v>5</v>
      </c>
      <c r="H1393" s="11">
        <v>50</v>
      </c>
      <c r="I1393" s="12">
        <v>42547</v>
      </c>
      <c r="J1393" s="13">
        <f t="shared" si="47"/>
        <v>0</v>
      </c>
      <c r="K1393" s="14"/>
      <c r="L1393" s="14"/>
      <c r="M1393" s="14"/>
      <c r="N1393" s="14"/>
      <c r="O1393" s="14"/>
      <c r="P1393" s="14"/>
      <c r="Q1393" s="14"/>
      <c r="R1393" s="14"/>
      <c r="S1393" s="14"/>
      <c r="T1393" s="14"/>
      <c r="U1393" s="14"/>
      <c r="V1393" s="14"/>
      <c r="W1393" s="15">
        <f t="shared" si="48"/>
        <v>0</v>
      </c>
      <c r="X1393" s="14"/>
      <c r="Y1393" s="14"/>
      <c r="Z1393" s="14"/>
      <c r="AA1393" s="14"/>
      <c r="AB1393" s="14"/>
      <c r="AC1393" s="14"/>
      <c r="AD1393" s="14"/>
      <c r="AE1393" s="14"/>
      <c r="AF1393" s="14"/>
      <c r="AG1393" s="14"/>
      <c r="AH1393" s="14"/>
      <c r="AI1393" s="14"/>
      <c r="AJ1393" s="15"/>
      <c r="AK1393" s="16"/>
    </row>
    <row r="1394" spans="2:37" x14ac:dyDescent="0.2">
      <c r="B1394" s="7" t="s">
        <v>69</v>
      </c>
      <c r="C1394" s="8">
        <v>12097</v>
      </c>
      <c r="D1394" s="9" t="s">
        <v>304</v>
      </c>
      <c r="E1394" s="10" t="s">
        <v>305</v>
      </c>
      <c r="F1394" s="10" t="s">
        <v>306</v>
      </c>
      <c r="G1394" s="8">
        <v>5</v>
      </c>
      <c r="H1394" s="11">
        <v>100</v>
      </c>
      <c r="I1394" s="12">
        <v>42547</v>
      </c>
      <c r="J1394" s="13">
        <f t="shared" si="47"/>
        <v>0</v>
      </c>
      <c r="K1394" s="14"/>
      <c r="L1394" s="14"/>
      <c r="M1394" s="14"/>
      <c r="N1394" s="14"/>
      <c r="O1394" s="14"/>
      <c r="P1394" s="14"/>
      <c r="Q1394" s="14"/>
      <c r="R1394" s="14"/>
      <c r="S1394" s="14"/>
      <c r="T1394" s="14"/>
      <c r="U1394" s="14"/>
      <c r="V1394" s="14"/>
      <c r="W1394" s="15">
        <f t="shared" si="48"/>
        <v>0</v>
      </c>
      <c r="X1394" s="14"/>
      <c r="Y1394" s="14"/>
      <c r="Z1394" s="14"/>
      <c r="AA1394" s="14"/>
      <c r="AB1394" s="14"/>
      <c r="AC1394" s="14"/>
      <c r="AD1394" s="14"/>
      <c r="AE1394" s="14"/>
      <c r="AF1394" s="14"/>
      <c r="AG1394" s="14"/>
      <c r="AH1394" s="14"/>
      <c r="AI1394" s="14"/>
      <c r="AJ1394" s="15"/>
      <c r="AK1394" s="16"/>
    </row>
    <row r="1395" spans="2:37" x14ac:dyDescent="0.2">
      <c r="B1395" s="7" t="s">
        <v>69</v>
      </c>
      <c r="C1395" s="8">
        <v>12098</v>
      </c>
      <c r="D1395" s="9" t="s">
        <v>301</v>
      </c>
      <c r="E1395" s="10" t="s">
        <v>302</v>
      </c>
      <c r="F1395" s="10" t="s">
        <v>303</v>
      </c>
      <c r="G1395" s="8">
        <v>5</v>
      </c>
      <c r="H1395" s="11">
        <v>100</v>
      </c>
      <c r="I1395" s="12">
        <v>42547</v>
      </c>
      <c r="J1395" s="13">
        <f t="shared" si="47"/>
        <v>0</v>
      </c>
      <c r="K1395" s="14"/>
      <c r="L1395" s="14"/>
      <c r="M1395" s="14"/>
      <c r="N1395" s="14"/>
      <c r="O1395" s="14"/>
      <c r="P1395" s="14"/>
      <c r="Q1395" s="14"/>
      <c r="R1395" s="14"/>
      <c r="S1395" s="14"/>
      <c r="T1395" s="14"/>
      <c r="U1395" s="14"/>
      <c r="V1395" s="14"/>
      <c r="W1395" s="15">
        <f t="shared" si="48"/>
        <v>0</v>
      </c>
      <c r="X1395" s="14"/>
      <c r="Y1395" s="14"/>
      <c r="Z1395" s="14"/>
      <c r="AA1395" s="14"/>
      <c r="AB1395" s="14"/>
      <c r="AC1395" s="14"/>
      <c r="AD1395" s="14"/>
      <c r="AE1395" s="14"/>
      <c r="AF1395" s="14"/>
      <c r="AG1395" s="14"/>
      <c r="AH1395" s="14"/>
      <c r="AI1395" s="14"/>
      <c r="AJ1395" s="15"/>
      <c r="AK1395" s="16"/>
    </row>
    <row r="1396" spans="2:37" x14ac:dyDescent="0.2">
      <c r="B1396" s="7" t="s">
        <v>122</v>
      </c>
      <c r="C1396" s="8">
        <v>12099</v>
      </c>
      <c r="D1396" s="9" t="s">
        <v>637</v>
      </c>
      <c r="E1396" s="10" t="s">
        <v>638</v>
      </c>
      <c r="F1396" s="10" t="s">
        <v>639</v>
      </c>
      <c r="G1396" s="8">
        <v>5</v>
      </c>
      <c r="H1396" s="11">
        <v>300</v>
      </c>
      <c r="I1396" s="12">
        <v>42547</v>
      </c>
      <c r="J1396" s="13">
        <f t="shared" si="47"/>
        <v>0</v>
      </c>
      <c r="K1396" s="14"/>
      <c r="L1396" s="14"/>
      <c r="M1396" s="14"/>
      <c r="N1396" s="14"/>
      <c r="O1396" s="14"/>
      <c r="P1396" s="14"/>
      <c r="Q1396" s="14"/>
      <c r="R1396" s="14"/>
      <c r="S1396" s="14"/>
      <c r="T1396" s="14"/>
      <c r="U1396" s="14"/>
      <c r="V1396" s="14"/>
      <c r="W1396" s="15">
        <f t="shared" si="48"/>
        <v>0</v>
      </c>
      <c r="X1396" s="14"/>
      <c r="Y1396" s="14"/>
      <c r="Z1396" s="14"/>
      <c r="AA1396" s="14"/>
      <c r="AB1396" s="14"/>
      <c r="AC1396" s="14"/>
      <c r="AD1396" s="14"/>
      <c r="AE1396" s="14"/>
      <c r="AF1396" s="14"/>
      <c r="AG1396" s="14"/>
      <c r="AH1396" s="14"/>
      <c r="AI1396" s="14"/>
      <c r="AJ1396" s="15"/>
      <c r="AK1396" s="16"/>
    </row>
    <row r="1397" spans="2:37" x14ac:dyDescent="0.2">
      <c r="B1397" s="7" t="s">
        <v>122</v>
      </c>
      <c r="C1397" s="8">
        <v>12100</v>
      </c>
      <c r="D1397" s="9" t="s">
        <v>123</v>
      </c>
      <c r="E1397" s="10" t="s">
        <v>124</v>
      </c>
      <c r="F1397" s="10" t="s">
        <v>125</v>
      </c>
      <c r="G1397" s="8">
        <v>5</v>
      </c>
      <c r="H1397" s="11">
        <v>150</v>
      </c>
      <c r="I1397" s="12">
        <v>42547</v>
      </c>
      <c r="J1397" s="13">
        <f t="shared" si="47"/>
        <v>0</v>
      </c>
      <c r="K1397" s="14"/>
      <c r="L1397" s="14"/>
      <c r="M1397" s="14"/>
      <c r="N1397" s="14"/>
      <c r="O1397" s="14"/>
      <c r="P1397" s="14"/>
      <c r="Q1397" s="14"/>
      <c r="R1397" s="14"/>
      <c r="S1397" s="14"/>
      <c r="T1397" s="14"/>
      <c r="U1397" s="14"/>
      <c r="V1397" s="14"/>
      <c r="W1397" s="15">
        <f t="shared" si="48"/>
        <v>0</v>
      </c>
      <c r="X1397" s="14"/>
      <c r="Y1397" s="14"/>
      <c r="Z1397" s="14"/>
      <c r="AA1397" s="14"/>
      <c r="AB1397" s="14"/>
      <c r="AC1397" s="14"/>
      <c r="AD1397" s="14"/>
      <c r="AE1397" s="14"/>
      <c r="AF1397" s="14"/>
      <c r="AG1397" s="14"/>
      <c r="AH1397" s="14"/>
      <c r="AI1397" s="14"/>
      <c r="AJ1397" s="15"/>
      <c r="AK1397" s="16"/>
    </row>
    <row r="1398" spans="2:37" x14ac:dyDescent="0.2">
      <c r="B1398" s="7" t="s">
        <v>73</v>
      </c>
      <c r="C1398" s="8">
        <v>12101</v>
      </c>
      <c r="D1398" s="9" t="s">
        <v>458</v>
      </c>
      <c r="E1398" s="10" t="s">
        <v>459</v>
      </c>
      <c r="F1398" s="10" t="s">
        <v>460</v>
      </c>
      <c r="G1398" s="8">
        <v>5</v>
      </c>
      <c r="H1398" s="11">
        <v>250</v>
      </c>
      <c r="I1398" s="12">
        <v>42547</v>
      </c>
      <c r="J1398" s="13">
        <f t="shared" si="47"/>
        <v>0</v>
      </c>
      <c r="K1398" s="14"/>
      <c r="L1398" s="14"/>
      <c r="M1398" s="14"/>
      <c r="N1398" s="14"/>
      <c r="O1398" s="14"/>
      <c r="P1398" s="14"/>
      <c r="Q1398" s="14"/>
      <c r="R1398" s="14"/>
      <c r="S1398" s="14"/>
      <c r="T1398" s="14"/>
      <c r="U1398" s="14"/>
      <c r="V1398" s="14"/>
      <c r="W1398" s="15">
        <f t="shared" si="48"/>
        <v>0</v>
      </c>
      <c r="X1398" s="14"/>
      <c r="Y1398" s="14"/>
      <c r="Z1398" s="14"/>
      <c r="AA1398" s="14"/>
      <c r="AB1398" s="14"/>
      <c r="AC1398" s="14"/>
      <c r="AD1398" s="14"/>
      <c r="AE1398" s="14"/>
      <c r="AF1398" s="14"/>
      <c r="AG1398" s="14"/>
      <c r="AH1398" s="14"/>
      <c r="AI1398" s="14"/>
      <c r="AJ1398" s="15"/>
      <c r="AK1398" s="16"/>
    </row>
    <row r="1399" spans="2:37" x14ac:dyDescent="0.2">
      <c r="B1399" s="7" t="s">
        <v>77</v>
      </c>
      <c r="C1399" s="8">
        <v>12102</v>
      </c>
      <c r="D1399" s="9" t="s">
        <v>455</v>
      </c>
      <c r="E1399" s="10" t="s">
        <v>456</v>
      </c>
      <c r="F1399" s="10" t="s">
        <v>457</v>
      </c>
      <c r="G1399" s="8">
        <v>5</v>
      </c>
      <c r="H1399" s="11">
        <v>450</v>
      </c>
      <c r="I1399" s="12">
        <v>42547</v>
      </c>
      <c r="J1399" s="13">
        <f t="shared" si="47"/>
        <v>0</v>
      </c>
      <c r="K1399" s="14"/>
      <c r="L1399" s="14"/>
      <c r="M1399" s="14"/>
      <c r="N1399" s="14"/>
      <c r="O1399" s="14"/>
      <c r="P1399" s="14"/>
      <c r="Q1399" s="14"/>
      <c r="R1399" s="14"/>
      <c r="S1399" s="14"/>
      <c r="T1399" s="14"/>
      <c r="U1399" s="14"/>
      <c r="V1399" s="14"/>
      <c r="W1399" s="15">
        <f t="shared" si="48"/>
        <v>0</v>
      </c>
      <c r="X1399" s="14"/>
      <c r="Y1399" s="14"/>
      <c r="Z1399" s="14"/>
      <c r="AA1399" s="14"/>
      <c r="AB1399" s="14"/>
      <c r="AC1399" s="14"/>
      <c r="AD1399" s="14"/>
      <c r="AE1399" s="14"/>
      <c r="AF1399" s="14"/>
      <c r="AG1399" s="14"/>
      <c r="AH1399" s="14"/>
      <c r="AI1399" s="14"/>
      <c r="AJ1399" s="15"/>
      <c r="AK1399" s="16"/>
    </row>
    <row r="1400" spans="2:37" x14ac:dyDescent="0.2">
      <c r="B1400" s="7" t="s">
        <v>47</v>
      </c>
      <c r="C1400" s="8">
        <v>12103</v>
      </c>
      <c r="D1400" s="9" t="s">
        <v>746</v>
      </c>
      <c r="E1400" s="10" t="s">
        <v>747</v>
      </c>
      <c r="F1400" s="10" t="s">
        <v>748</v>
      </c>
      <c r="G1400" s="8">
        <v>5</v>
      </c>
      <c r="H1400" s="11">
        <v>150</v>
      </c>
      <c r="I1400" s="12">
        <v>42547</v>
      </c>
      <c r="J1400" s="13">
        <f t="shared" si="47"/>
        <v>0</v>
      </c>
      <c r="K1400" s="14"/>
      <c r="L1400" s="14"/>
      <c r="M1400" s="14"/>
      <c r="N1400" s="14"/>
      <c r="O1400" s="14"/>
      <c r="P1400" s="14"/>
      <c r="Q1400" s="14"/>
      <c r="R1400" s="14"/>
      <c r="S1400" s="14"/>
      <c r="T1400" s="14"/>
      <c r="U1400" s="14"/>
      <c r="V1400" s="14"/>
      <c r="W1400" s="15">
        <f t="shared" si="48"/>
        <v>0</v>
      </c>
      <c r="X1400" s="14"/>
      <c r="Y1400" s="14"/>
      <c r="Z1400" s="14"/>
      <c r="AA1400" s="14"/>
      <c r="AB1400" s="14"/>
      <c r="AC1400" s="14"/>
      <c r="AD1400" s="14"/>
      <c r="AE1400" s="14"/>
      <c r="AF1400" s="14"/>
      <c r="AG1400" s="14"/>
      <c r="AH1400" s="14"/>
      <c r="AI1400" s="14"/>
      <c r="AJ1400" s="15"/>
      <c r="AK1400" s="16"/>
    </row>
    <row r="1401" spans="2:37" x14ac:dyDescent="0.2">
      <c r="B1401" s="7" t="s">
        <v>77</v>
      </c>
      <c r="C1401" s="8">
        <v>12104</v>
      </c>
      <c r="D1401" s="9" t="s">
        <v>547</v>
      </c>
      <c r="E1401" s="10" t="s">
        <v>548</v>
      </c>
      <c r="F1401" s="10" t="s">
        <v>549</v>
      </c>
      <c r="G1401" s="8">
        <v>5</v>
      </c>
      <c r="H1401" s="11">
        <v>100</v>
      </c>
      <c r="I1401" s="12">
        <v>42547</v>
      </c>
      <c r="J1401" s="13">
        <f t="shared" si="47"/>
        <v>0</v>
      </c>
      <c r="K1401" s="14"/>
      <c r="L1401" s="14"/>
      <c r="M1401" s="14"/>
      <c r="N1401" s="14"/>
      <c r="O1401" s="14"/>
      <c r="P1401" s="14"/>
      <c r="Q1401" s="14"/>
      <c r="R1401" s="14"/>
      <c r="S1401" s="14"/>
      <c r="T1401" s="14"/>
      <c r="U1401" s="14"/>
      <c r="V1401" s="14"/>
      <c r="W1401" s="15">
        <f t="shared" si="48"/>
        <v>0</v>
      </c>
      <c r="X1401" s="14"/>
      <c r="Y1401" s="14"/>
      <c r="Z1401" s="14"/>
      <c r="AA1401" s="14"/>
      <c r="AB1401" s="14"/>
      <c r="AC1401" s="14"/>
      <c r="AD1401" s="14"/>
      <c r="AE1401" s="14"/>
      <c r="AF1401" s="14"/>
      <c r="AG1401" s="14"/>
      <c r="AH1401" s="14"/>
      <c r="AI1401" s="14"/>
      <c r="AJ1401" s="15"/>
      <c r="AK1401" s="16"/>
    </row>
    <row r="1402" spans="2:37" x14ac:dyDescent="0.2">
      <c r="B1402" s="7" t="s">
        <v>47</v>
      </c>
      <c r="C1402" s="8">
        <v>12105</v>
      </c>
      <c r="D1402" s="9" t="s">
        <v>367</v>
      </c>
      <c r="E1402" s="10" t="s">
        <v>368</v>
      </c>
      <c r="F1402" s="10" t="s">
        <v>369</v>
      </c>
      <c r="G1402" s="8">
        <v>5</v>
      </c>
      <c r="H1402" s="11">
        <v>200</v>
      </c>
      <c r="I1402" s="12">
        <v>42547</v>
      </c>
      <c r="J1402" s="13">
        <f t="shared" si="47"/>
        <v>0</v>
      </c>
      <c r="K1402" s="14"/>
      <c r="L1402" s="14"/>
      <c r="M1402" s="14"/>
      <c r="N1402" s="14"/>
      <c r="O1402" s="14"/>
      <c r="P1402" s="14"/>
      <c r="Q1402" s="14"/>
      <c r="R1402" s="14"/>
      <c r="S1402" s="14"/>
      <c r="T1402" s="14"/>
      <c r="U1402" s="14"/>
      <c r="V1402" s="14"/>
      <c r="W1402" s="15">
        <f t="shared" si="48"/>
        <v>0</v>
      </c>
      <c r="X1402" s="14"/>
      <c r="Y1402" s="14"/>
      <c r="Z1402" s="14"/>
      <c r="AA1402" s="14"/>
      <c r="AB1402" s="14"/>
      <c r="AC1402" s="14"/>
      <c r="AD1402" s="14"/>
      <c r="AE1402" s="14"/>
      <c r="AF1402" s="14"/>
      <c r="AG1402" s="14"/>
      <c r="AH1402" s="14"/>
      <c r="AI1402" s="14"/>
      <c r="AJ1402" s="15"/>
      <c r="AK1402" s="16"/>
    </row>
    <row r="1403" spans="2:37" x14ac:dyDescent="0.2">
      <c r="B1403" s="7" t="s">
        <v>47</v>
      </c>
      <c r="C1403" s="8">
        <v>12106</v>
      </c>
      <c r="D1403" s="9" t="s">
        <v>97</v>
      </c>
      <c r="E1403" s="10" t="s">
        <v>98</v>
      </c>
      <c r="F1403" s="10" t="s">
        <v>99</v>
      </c>
      <c r="G1403" s="8">
        <v>5</v>
      </c>
      <c r="H1403" s="11">
        <v>150</v>
      </c>
      <c r="I1403" s="12">
        <v>42547</v>
      </c>
      <c r="J1403" s="13">
        <f t="shared" si="47"/>
        <v>0</v>
      </c>
      <c r="K1403" s="14"/>
      <c r="L1403" s="14"/>
      <c r="M1403" s="14"/>
      <c r="N1403" s="14"/>
      <c r="O1403" s="14"/>
      <c r="P1403" s="14"/>
      <c r="Q1403" s="14"/>
      <c r="R1403" s="14"/>
      <c r="S1403" s="14"/>
      <c r="T1403" s="14"/>
      <c r="U1403" s="14"/>
      <c r="V1403" s="14"/>
      <c r="W1403" s="15">
        <f t="shared" si="48"/>
        <v>0</v>
      </c>
      <c r="X1403" s="14"/>
      <c r="Y1403" s="14"/>
      <c r="Z1403" s="14"/>
      <c r="AA1403" s="14"/>
      <c r="AB1403" s="14"/>
      <c r="AC1403" s="14"/>
      <c r="AD1403" s="14"/>
      <c r="AE1403" s="14"/>
      <c r="AF1403" s="14"/>
      <c r="AG1403" s="14"/>
      <c r="AH1403" s="14"/>
      <c r="AI1403" s="14"/>
      <c r="AJ1403" s="15"/>
      <c r="AK1403" s="16"/>
    </row>
    <row r="1404" spans="2:37" x14ac:dyDescent="0.2">
      <c r="B1404" s="7" t="s">
        <v>73</v>
      </c>
      <c r="C1404" s="8">
        <v>12107</v>
      </c>
      <c r="D1404" s="9" t="s">
        <v>398</v>
      </c>
      <c r="E1404" s="10" t="s">
        <v>399</v>
      </c>
      <c r="F1404" s="10" t="s">
        <v>400</v>
      </c>
      <c r="G1404" s="8">
        <v>5</v>
      </c>
      <c r="H1404" s="11">
        <v>250</v>
      </c>
      <c r="I1404" s="12">
        <v>42547</v>
      </c>
      <c r="J1404" s="13">
        <f t="shared" ref="J1404:J1422" si="49">IF(G1404=1,SUM(W1404,-H1404),0)</f>
        <v>0</v>
      </c>
      <c r="K1404" s="14"/>
      <c r="L1404" s="14"/>
      <c r="M1404" s="14"/>
      <c r="N1404" s="14"/>
      <c r="O1404" s="14"/>
      <c r="P1404" s="14"/>
      <c r="Q1404" s="14"/>
      <c r="R1404" s="14"/>
      <c r="S1404" s="14"/>
      <c r="T1404" s="14"/>
      <c r="U1404" s="14"/>
      <c r="V1404" s="14"/>
      <c r="W1404" s="15">
        <f t="shared" ref="W1404:W1422" si="50">SUM(K1404:V1404)</f>
        <v>0</v>
      </c>
      <c r="X1404" s="14"/>
      <c r="Y1404" s="14"/>
      <c r="Z1404" s="14"/>
      <c r="AA1404" s="14"/>
      <c r="AB1404" s="14"/>
      <c r="AC1404" s="14"/>
      <c r="AD1404" s="14"/>
      <c r="AE1404" s="14"/>
      <c r="AF1404" s="14"/>
      <c r="AG1404" s="14"/>
      <c r="AH1404" s="14"/>
      <c r="AI1404" s="14"/>
      <c r="AJ1404" s="15"/>
      <c r="AK1404" s="16"/>
    </row>
    <row r="1405" spans="2:37" x14ac:dyDescent="0.2">
      <c r="B1405" s="7" t="s">
        <v>77</v>
      </c>
      <c r="C1405" s="8">
        <v>12108</v>
      </c>
      <c r="D1405" s="9" t="s">
        <v>419</v>
      </c>
      <c r="E1405" s="10" t="s">
        <v>420</v>
      </c>
      <c r="F1405" s="10" t="s">
        <v>421</v>
      </c>
      <c r="G1405" s="8">
        <v>5</v>
      </c>
      <c r="H1405" s="11">
        <v>100</v>
      </c>
      <c r="I1405" s="12">
        <v>42547</v>
      </c>
      <c r="J1405" s="13">
        <f t="shared" si="49"/>
        <v>0</v>
      </c>
      <c r="K1405" s="14"/>
      <c r="L1405" s="14"/>
      <c r="M1405" s="14"/>
      <c r="N1405" s="14"/>
      <c r="O1405" s="14"/>
      <c r="P1405" s="14"/>
      <c r="Q1405" s="14"/>
      <c r="R1405" s="14"/>
      <c r="S1405" s="14"/>
      <c r="T1405" s="14"/>
      <c r="U1405" s="14"/>
      <c r="V1405" s="14"/>
      <c r="W1405" s="15">
        <f t="shared" si="50"/>
        <v>0</v>
      </c>
      <c r="X1405" s="14"/>
      <c r="Y1405" s="14"/>
      <c r="Z1405" s="14"/>
      <c r="AA1405" s="14"/>
      <c r="AB1405" s="14"/>
      <c r="AC1405" s="14"/>
      <c r="AD1405" s="14"/>
      <c r="AE1405" s="14"/>
      <c r="AF1405" s="14"/>
      <c r="AG1405" s="14"/>
      <c r="AH1405" s="14"/>
      <c r="AI1405" s="14"/>
      <c r="AJ1405" s="15"/>
      <c r="AK1405" s="16"/>
    </row>
    <row r="1406" spans="2:37" x14ac:dyDescent="0.2">
      <c r="B1406" s="7" t="s">
        <v>73</v>
      </c>
      <c r="C1406" s="8">
        <v>12109</v>
      </c>
      <c r="D1406" s="9" t="s">
        <v>719</v>
      </c>
      <c r="E1406" s="10" t="s">
        <v>720</v>
      </c>
      <c r="F1406" s="10" t="s">
        <v>867</v>
      </c>
      <c r="G1406" s="8">
        <v>5</v>
      </c>
      <c r="H1406" s="11">
        <v>100</v>
      </c>
      <c r="I1406" s="12">
        <v>42547</v>
      </c>
      <c r="J1406" s="13">
        <f t="shared" si="49"/>
        <v>0</v>
      </c>
      <c r="K1406" s="14"/>
      <c r="L1406" s="14"/>
      <c r="M1406" s="14"/>
      <c r="N1406" s="14"/>
      <c r="O1406" s="14"/>
      <c r="P1406" s="14"/>
      <c r="Q1406" s="14"/>
      <c r="R1406" s="14"/>
      <c r="S1406" s="14"/>
      <c r="T1406" s="14"/>
      <c r="U1406" s="14"/>
      <c r="V1406" s="14"/>
      <c r="W1406" s="15">
        <f t="shared" si="50"/>
        <v>0</v>
      </c>
      <c r="X1406" s="14"/>
      <c r="Y1406" s="14"/>
      <c r="Z1406" s="14"/>
      <c r="AA1406" s="14"/>
      <c r="AB1406" s="14"/>
      <c r="AC1406" s="14"/>
      <c r="AD1406" s="14"/>
      <c r="AE1406" s="14"/>
      <c r="AF1406" s="14"/>
      <c r="AG1406" s="14"/>
      <c r="AH1406" s="14"/>
      <c r="AI1406" s="14"/>
      <c r="AJ1406" s="15"/>
      <c r="AK1406" s="16"/>
    </row>
    <row r="1407" spans="2:37" x14ac:dyDescent="0.2">
      <c r="B1407" s="7" t="s">
        <v>47</v>
      </c>
      <c r="C1407" s="8">
        <v>12110</v>
      </c>
      <c r="D1407" s="9" t="s">
        <v>968</v>
      </c>
      <c r="E1407" s="10" t="s">
        <v>969</v>
      </c>
      <c r="F1407" s="10" t="s">
        <v>970</v>
      </c>
      <c r="G1407" s="8">
        <v>5</v>
      </c>
      <c r="H1407" s="11">
        <v>150</v>
      </c>
      <c r="I1407" s="12">
        <v>42547</v>
      </c>
      <c r="J1407" s="13">
        <f t="shared" si="49"/>
        <v>0</v>
      </c>
      <c r="K1407" s="14"/>
      <c r="L1407" s="14"/>
      <c r="M1407" s="14"/>
      <c r="N1407" s="14"/>
      <c r="O1407" s="14"/>
      <c r="P1407" s="14"/>
      <c r="Q1407" s="14"/>
      <c r="R1407" s="14"/>
      <c r="S1407" s="14"/>
      <c r="T1407" s="14"/>
      <c r="U1407" s="14"/>
      <c r="V1407" s="14"/>
      <c r="W1407" s="15">
        <f t="shared" si="50"/>
        <v>0</v>
      </c>
      <c r="X1407" s="14"/>
      <c r="Y1407" s="14"/>
      <c r="Z1407" s="14"/>
      <c r="AA1407" s="14"/>
      <c r="AB1407" s="14"/>
      <c r="AC1407" s="14"/>
      <c r="AD1407" s="14"/>
      <c r="AE1407" s="14"/>
      <c r="AF1407" s="14"/>
      <c r="AG1407" s="14"/>
      <c r="AH1407" s="14"/>
      <c r="AI1407" s="14"/>
      <c r="AJ1407" s="15"/>
      <c r="AK1407" s="16"/>
    </row>
    <row r="1408" spans="2:37" x14ac:dyDescent="0.2">
      <c r="B1408" s="7" t="s">
        <v>37</v>
      </c>
      <c r="C1408" s="8">
        <v>12111</v>
      </c>
      <c r="D1408" s="9" t="s">
        <v>749</v>
      </c>
      <c r="E1408" s="10" t="s">
        <v>750</v>
      </c>
      <c r="F1408" s="10" t="s">
        <v>751</v>
      </c>
      <c r="G1408" s="8">
        <v>5</v>
      </c>
      <c r="H1408" s="11">
        <v>150</v>
      </c>
      <c r="I1408" s="12">
        <v>42547</v>
      </c>
      <c r="J1408" s="13">
        <f t="shared" si="49"/>
        <v>0</v>
      </c>
      <c r="K1408" s="14"/>
      <c r="L1408" s="14"/>
      <c r="M1408" s="14"/>
      <c r="N1408" s="14"/>
      <c r="O1408" s="14"/>
      <c r="P1408" s="14"/>
      <c r="Q1408" s="14"/>
      <c r="R1408" s="14"/>
      <c r="S1408" s="14"/>
      <c r="T1408" s="14"/>
      <c r="U1408" s="14"/>
      <c r="V1408" s="14"/>
      <c r="W1408" s="15">
        <f t="shared" si="50"/>
        <v>0</v>
      </c>
      <c r="X1408" s="14"/>
      <c r="Y1408" s="14"/>
      <c r="Z1408" s="14"/>
      <c r="AA1408" s="14"/>
      <c r="AB1408" s="14"/>
      <c r="AC1408" s="14"/>
      <c r="AD1408" s="14"/>
      <c r="AE1408" s="14"/>
      <c r="AF1408" s="14"/>
      <c r="AG1408" s="14"/>
      <c r="AH1408" s="14"/>
      <c r="AI1408" s="14"/>
      <c r="AJ1408" s="15"/>
      <c r="AK1408" s="16"/>
    </row>
    <row r="1409" spans="1:37" x14ac:dyDescent="0.2">
      <c r="B1409" s="7" t="s">
        <v>37</v>
      </c>
      <c r="C1409" s="8">
        <v>12112</v>
      </c>
      <c r="D1409" s="9" t="s">
        <v>646</v>
      </c>
      <c r="E1409" s="10" t="s">
        <v>647</v>
      </c>
      <c r="F1409" s="10" t="s">
        <v>648</v>
      </c>
      <c r="G1409" s="8">
        <v>5</v>
      </c>
      <c r="H1409" s="11">
        <v>200</v>
      </c>
      <c r="I1409" s="12">
        <v>42547</v>
      </c>
      <c r="J1409" s="13">
        <f t="shared" si="49"/>
        <v>0</v>
      </c>
      <c r="K1409" s="14"/>
      <c r="L1409" s="14"/>
      <c r="M1409" s="14"/>
      <c r="N1409" s="14"/>
      <c r="O1409" s="14"/>
      <c r="P1409" s="14"/>
      <c r="Q1409" s="14"/>
      <c r="R1409" s="14"/>
      <c r="S1409" s="14"/>
      <c r="T1409" s="14"/>
      <c r="U1409" s="14"/>
      <c r="V1409" s="14"/>
      <c r="W1409" s="15">
        <f t="shared" si="50"/>
        <v>0</v>
      </c>
      <c r="X1409" s="14"/>
      <c r="Y1409" s="14"/>
      <c r="Z1409" s="14"/>
      <c r="AA1409" s="14"/>
      <c r="AB1409" s="14"/>
      <c r="AC1409" s="14"/>
      <c r="AD1409" s="14"/>
      <c r="AE1409" s="14"/>
      <c r="AF1409" s="14"/>
      <c r="AG1409" s="14"/>
      <c r="AH1409" s="14"/>
      <c r="AI1409" s="14"/>
      <c r="AJ1409" s="15"/>
      <c r="AK1409" s="16"/>
    </row>
    <row r="1410" spans="1:37" x14ac:dyDescent="0.2">
      <c r="B1410" s="7" t="s">
        <v>69</v>
      </c>
      <c r="C1410" s="8">
        <v>12113</v>
      </c>
      <c r="D1410" s="9" t="s">
        <v>452</v>
      </c>
      <c r="E1410" s="10" t="s">
        <v>453</v>
      </c>
      <c r="F1410" s="10" t="s">
        <v>454</v>
      </c>
      <c r="G1410" s="8">
        <v>5</v>
      </c>
      <c r="H1410" s="11">
        <v>250</v>
      </c>
      <c r="I1410" s="12">
        <v>42547</v>
      </c>
      <c r="J1410" s="13">
        <f t="shared" si="49"/>
        <v>0</v>
      </c>
      <c r="K1410" s="14"/>
      <c r="L1410" s="14"/>
      <c r="M1410" s="14"/>
      <c r="N1410" s="14"/>
      <c r="O1410" s="14"/>
      <c r="P1410" s="14"/>
      <c r="Q1410" s="14"/>
      <c r="R1410" s="14"/>
      <c r="S1410" s="14"/>
      <c r="T1410" s="14"/>
      <c r="U1410" s="14"/>
      <c r="V1410" s="14"/>
      <c r="W1410" s="15">
        <f t="shared" si="50"/>
        <v>0</v>
      </c>
      <c r="X1410" s="14"/>
      <c r="Y1410" s="14"/>
      <c r="Z1410" s="14"/>
      <c r="AA1410" s="14"/>
      <c r="AB1410" s="14"/>
      <c r="AC1410" s="14"/>
      <c r="AD1410" s="14"/>
      <c r="AE1410" s="14"/>
      <c r="AF1410" s="14"/>
      <c r="AG1410" s="14"/>
      <c r="AH1410" s="14"/>
      <c r="AI1410" s="14"/>
      <c r="AJ1410" s="15"/>
      <c r="AK1410" s="16"/>
    </row>
    <row r="1411" spans="1:37" x14ac:dyDescent="0.2">
      <c r="B1411" s="7" t="s">
        <v>47</v>
      </c>
      <c r="C1411" s="8">
        <v>12114</v>
      </c>
      <c r="D1411" s="9" t="s">
        <v>734</v>
      </c>
      <c r="E1411" s="10" t="s">
        <v>735</v>
      </c>
      <c r="F1411" s="10" t="s">
        <v>736</v>
      </c>
      <c r="G1411" s="8">
        <v>5</v>
      </c>
      <c r="H1411" s="11">
        <v>100</v>
      </c>
      <c r="I1411" s="12">
        <v>42547</v>
      </c>
      <c r="J1411" s="13">
        <f t="shared" si="49"/>
        <v>0</v>
      </c>
      <c r="K1411" s="14"/>
      <c r="L1411" s="14"/>
      <c r="M1411" s="14"/>
      <c r="N1411" s="14"/>
      <c r="O1411" s="14"/>
      <c r="P1411" s="14"/>
      <c r="Q1411" s="14"/>
      <c r="R1411" s="14"/>
      <c r="S1411" s="14"/>
      <c r="T1411" s="14"/>
      <c r="U1411" s="14"/>
      <c r="V1411" s="14"/>
      <c r="W1411" s="15">
        <f t="shared" si="50"/>
        <v>0</v>
      </c>
      <c r="X1411" s="14"/>
      <c r="Y1411" s="14"/>
      <c r="Z1411" s="14"/>
      <c r="AA1411" s="14"/>
      <c r="AB1411" s="14"/>
      <c r="AC1411" s="14"/>
      <c r="AD1411" s="14"/>
      <c r="AE1411" s="14"/>
      <c r="AF1411" s="14"/>
      <c r="AG1411" s="14"/>
      <c r="AH1411" s="14"/>
      <c r="AI1411" s="14"/>
      <c r="AJ1411" s="15"/>
      <c r="AK1411" s="16"/>
    </row>
    <row r="1412" spans="1:37" x14ac:dyDescent="0.2">
      <c r="B1412" s="7" t="s">
        <v>69</v>
      </c>
      <c r="C1412" s="8">
        <v>12115</v>
      </c>
      <c r="D1412" s="9" t="s">
        <v>452</v>
      </c>
      <c r="E1412" s="10" t="s">
        <v>453</v>
      </c>
      <c r="F1412" s="10" t="s">
        <v>454</v>
      </c>
      <c r="G1412" s="8">
        <v>5</v>
      </c>
      <c r="H1412" s="11">
        <v>50</v>
      </c>
      <c r="I1412" s="12">
        <v>42547</v>
      </c>
      <c r="J1412" s="13">
        <f t="shared" si="49"/>
        <v>0</v>
      </c>
      <c r="K1412" s="14"/>
      <c r="L1412" s="14"/>
      <c r="M1412" s="14"/>
      <c r="N1412" s="14"/>
      <c r="O1412" s="14"/>
      <c r="P1412" s="14"/>
      <c r="Q1412" s="14"/>
      <c r="R1412" s="14"/>
      <c r="S1412" s="14"/>
      <c r="T1412" s="14"/>
      <c r="U1412" s="14"/>
      <c r="V1412" s="14"/>
      <c r="W1412" s="15">
        <f t="shared" si="50"/>
        <v>0</v>
      </c>
      <c r="X1412" s="14"/>
      <c r="Y1412" s="14"/>
      <c r="Z1412" s="14"/>
      <c r="AA1412" s="14"/>
      <c r="AB1412" s="14"/>
      <c r="AC1412" s="14"/>
      <c r="AD1412" s="14"/>
      <c r="AE1412" s="14"/>
      <c r="AF1412" s="14"/>
      <c r="AG1412" s="14"/>
      <c r="AH1412" s="14"/>
      <c r="AI1412" s="14"/>
      <c r="AJ1412" s="15"/>
      <c r="AK1412" s="16"/>
    </row>
    <row r="1413" spans="1:37" x14ac:dyDescent="0.2">
      <c r="B1413" s="7" t="s">
        <v>69</v>
      </c>
      <c r="C1413" s="8">
        <v>12116</v>
      </c>
      <c r="D1413" s="9" t="s">
        <v>535</v>
      </c>
      <c r="E1413" s="10" t="s">
        <v>536</v>
      </c>
      <c r="F1413" s="10" t="s">
        <v>537</v>
      </c>
      <c r="G1413" s="8">
        <v>5</v>
      </c>
      <c r="H1413" s="11">
        <v>50</v>
      </c>
      <c r="I1413" s="12">
        <v>42547</v>
      </c>
      <c r="J1413" s="13">
        <f t="shared" si="49"/>
        <v>0</v>
      </c>
      <c r="K1413" s="14"/>
      <c r="L1413" s="14"/>
      <c r="M1413" s="14"/>
      <c r="N1413" s="14"/>
      <c r="O1413" s="14"/>
      <c r="P1413" s="14"/>
      <c r="Q1413" s="14"/>
      <c r="R1413" s="14"/>
      <c r="S1413" s="14"/>
      <c r="T1413" s="14"/>
      <c r="U1413" s="14"/>
      <c r="V1413" s="14"/>
      <c r="W1413" s="15">
        <f t="shared" si="50"/>
        <v>0</v>
      </c>
      <c r="X1413" s="14"/>
      <c r="Y1413" s="14"/>
      <c r="Z1413" s="14"/>
      <c r="AA1413" s="14"/>
      <c r="AB1413" s="14"/>
      <c r="AC1413" s="14"/>
      <c r="AD1413" s="14"/>
      <c r="AE1413" s="14"/>
      <c r="AF1413" s="14"/>
      <c r="AG1413" s="14"/>
      <c r="AH1413" s="14"/>
      <c r="AI1413" s="14"/>
      <c r="AJ1413" s="15"/>
      <c r="AK1413" s="16"/>
    </row>
    <row r="1414" spans="1:37" x14ac:dyDescent="0.2">
      <c r="B1414" s="7" t="s">
        <v>47</v>
      </c>
      <c r="C1414" s="8">
        <v>12117</v>
      </c>
      <c r="D1414" s="9" t="s">
        <v>144</v>
      </c>
      <c r="E1414" s="10" t="s">
        <v>145</v>
      </c>
      <c r="F1414" s="10" t="s">
        <v>146</v>
      </c>
      <c r="G1414" s="8">
        <v>5</v>
      </c>
      <c r="H1414" s="11">
        <v>50</v>
      </c>
      <c r="I1414" s="12">
        <v>42547</v>
      </c>
      <c r="J1414" s="13">
        <f t="shared" si="49"/>
        <v>0</v>
      </c>
      <c r="K1414" s="14"/>
      <c r="L1414" s="14"/>
      <c r="M1414" s="14"/>
      <c r="N1414" s="14"/>
      <c r="O1414" s="14"/>
      <c r="P1414" s="14"/>
      <c r="Q1414" s="14"/>
      <c r="R1414" s="14"/>
      <c r="S1414" s="14"/>
      <c r="T1414" s="14"/>
      <c r="U1414" s="14"/>
      <c r="V1414" s="14"/>
      <c r="W1414" s="15">
        <f t="shared" si="50"/>
        <v>0</v>
      </c>
      <c r="X1414" s="14"/>
      <c r="Y1414" s="14"/>
      <c r="Z1414" s="14"/>
      <c r="AA1414" s="14"/>
      <c r="AB1414" s="14"/>
      <c r="AC1414" s="14"/>
      <c r="AD1414" s="14"/>
      <c r="AE1414" s="14"/>
      <c r="AF1414" s="14"/>
      <c r="AG1414" s="14"/>
      <c r="AH1414" s="14"/>
      <c r="AI1414" s="14"/>
      <c r="AJ1414" s="15"/>
      <c r="AK1414" s="16"/>
    </row>
    <row r="1415" spans="1:37" x14ac:dyDescent="0.2">
      <c r="B1415" s="7" t="s">
        <v>122</v>
      </c>
      <c r="C1415" s="8">
        <v>12118</v>
      </c>
      <c r="D1415" s="9" t="s">
        <v>788</v>
      </c>
      <c r="E1415" s="10" t="s">
        <v>789</v>
      </c>
      <c r="F1415" s="10" t="s">
        <v>790</v>
      </c>
      <c r="G1415" s="8">
        <v>5</v>
      </c>
      <c r="H1415" s="11">
        <v>100</v>
      </c>
      <c r="I1415" s="12">
        <v>42547</v>
      </c>
      <c r="J1415" s="13">
        <f t="shared" si="49"/>
        <v>0</v>
      </c>
      <c r="K1415" s="14"/>
      <c r="L1415" s="14"/>
      <c r="M1415" s="14"/>
      <c r="N1415" s="14"/>
      <c r="O1415" s="14"/>
      <c r="P1415" s="14"/>
      <c r="Q1415" s="14"/>
      <c r="R1415" s="14"/>
      <c r="S1415" s="14"/>
      <c r="T1415" s="14"/>
      <c r="U1415" s="14"/>
      <c r="V1415" s="14"/>
      <c r="W1415" s="15">
        <f t="shared" si="50"/>
        <v>0</v>
      </c>
      <c r="X1415" s="14"/>
      <c r="Y1415" s="14"/>
      <c r="Z1415" s="14"/>
      <c r="AA1415" s="14"/>
      <c r="AB1415" s="14"/>
      <c r="AC1415" s="14"/>
      <c r="AD1415" s="14"/>
      <c r="AE1415" s="14"/>
      <c r="AF1415" s="14"/>
      <c r="AG1415" s="14"/>
      <c r="AH1415" s="14"/>
      <c r="AI1415" s="14"/>
      <c r="AJ1415" s="15"/>
      <c r="AK1415" s="16"/>
    </row>
    <row r="1416" spans="1:37" x14ac:dyDescent="0.2">
      <c r="B1416" s="7" t="s">
        <v>73</v>
      </c>
      <c r="C1416" s="8">
        <v>12119</v>
      </c>
      <c r="D1416" s="9" t="s">
        <v>731</v>
      </c>
      <c r="E1416" s="10" t="s">
        <v>732</v>
      </c>
      <c r="F1416" s="10" t="s">
        <v>733</v>
      </c>
      <c r="G1416" s="8">
        <v>5</v>
      </c>
      <c r="H1416" s="11">
        <v>150</v>
      </c>
      <c r="I1416" s="12">
        <v>42547</v>
      </c>
      <c r="J1416" s="13">
        <f t="shared" si="49"/>
        <v>0</v>
      </c>
      <c r="K1416" s="14"/>
      <c r="L1416" s="14"/>
      <c r="M1416" s="14"/>
      <c r="N1416" s="14"/>
      <c r="O1416" s="14"/>
      <c r="P1416" s="14"/>
      <c r="Q1416" s="14"/>
      <c r="R1416" s="14"/>
      <c r="S1416" s="14"/>
      <c r="T1416" s="14"/>
      <c r="U1416" s="14"/>
      <c r="V1416" s="14"/>
      <c r="W1416" s="15">
        <f t="shared" si="50"/>
        <v>0</v>
      </c>
      <c r="X1416" s="14"/>
      <c r="Y1416" s="14"/>
      <c r="Z1416" s="14"/>
      <c r="AA1416" s="14"/>
      <c r="AB1416" s="14"/>
      <c r="AC1416" s="14"/>
      <c r="AD1416" s="14"/>
      <c r="AE1416" s="14"/>
      <c r="AF1416" s="14"/>
      <c r="AG1416" s="14"/>
      <c r="AH1416" s="14"/>
      <c r="AI1416" s="14"/>
      <c r="AJ1416" s="15"/>
      <c r="AK1416" s="16"/>
    </row>
    <row r="1417" spans="1:37" x14ac:dyDescent="0.2">
      <c r="B1417" s="7" t="s">
        <v>47</v>
      </c>
      <c r="C1417" s="8">
        <v>12120</v>
      </c>
      <c r="D1417" s="9" t="s">
        <v>250</v>
      </c>
      <c r="E1417" s="10" t="s">
        <v>251</v>
      </c>
      <c r="F1417" s="10" t="s">
        <v>252</v>
      </c>
      <c r="G1417" s="8">
        <v>1</v>
      </c>
      <c r="H1417" s="11">
        <v>800</v>
      </c>
      <c r="I1417" s="12">
        <v>42547</v>
      </c>
      <c r="J1417" s="13">
        <f t="shared" si="49"/>
        <v>0</v>
      </c>
      <c r="K1417" s="14"/>
      <c r="L1417" s="14"/>
      <c r="M1417" s="14"/>
      <c r="N1417" s="14">
        <v>400</v>
      </c>
      <c r="O1417" s="14">
        <v>400</v>
      </c>
      <c r="P1417" s="14"/>
      <c r="Q1417" s="14"/>
      <c r="R1417" s="14"/>
      <c r="S1417" s="14"/>
      <c r="T1417" s="14"/>
      <c r="U1417" s="14"/>
      <c r="V1417" s="14"/>
      <c r="W1417" s="15">
        <f t="shared" si="50"/>
        <v>800</v>
      </c>
      <c r="X1417" s="14"/>
      <c r="Y1417" s="14"/>
      <c r="Z1417" s="14"/>
      <c r="AA1417" s="14"/>
      <c r="AB1417" s="14"/>
      <c r="AC1417" s="14"/>
      <c r="AD1417" s="14"/>
      <c r="AE1417" s="14"/>
      <c r="AF1417" s="14"/>
      <c r="AG1417" s="14"/>
      <c r="AH1417" s="14"/>
      <c r="AI1417" s="14"/>
      <c r="AJ1417" s="15"/>
      <c r="AK1417" s="16"/>
    </row>
    <row r="1418" spans="1:37" x14ac:dyDescent="0.2">
      <c r="B1418" s="7" t="s">
        <v>37</v>
      </c>
      <c r="C1418" s="8">
        <v>12121</v>
      </c>
      <c r="D1418" s="9" t="s">
        <v>1036</v>
      </c>
      <c r="E1418" s="10" t="s">
        <v>1037</v>
      </c>
      <c r="F1418" s="10" t="s">
        <v>1038</v>
      </c>
      <c r="G1418" s="8">
        <v>1</v>
      </c>
      <c r="H1418" s="11">
        <v>2400</v>
      </c>
      <c r="I1418" s="12">
        <v>42547</v>
      </c>
      <c r="J1418" s="13">
        <f t="shared" si="49"/>
        <v>0</v>
      </c>
      <c r="K1418" s="14"/>
      <c r="L1418" s="14"/>
      <c r="M1418" s="14"/>
      <c r="N1418" s="14"/>
      <c r="O1418" s="14"/>
      <c r="P1418" s="14"/>
      <c r="Q1418" s="14">
        <v>400</v>
      </c>
      <c r="R1418" s="14">
        <v>400</v>
      </c>
      <c r="S1418" s="14">
        <v>400</v>
      </c>
      <c r="T1418" s="14">
        <v>400</v>
      </c>
      <c r="U1418" s="14">
        <v>400</v>
      </c>
      <c r="V1418" s="14">
        <v>400</v>
      </c>
      <c r="W1418" s="15">
        <f t="shared" si="50"/>
        <v>2400</v>
      </c>
      <c r="X1418" s="14"/>
      <c r="Y1418" s="14"/>
      <c r="Z1418" s="14"/>
      <c r="AA1418" s="14"/>
      <c r="AB1418" s="14"/>
      <c r="AC1418" s="14"/>
      <c r="AD1418" s="14"/>
      <c r="AE1418" s="14"/>
      <c r="AF1418" s="14"/>
      <c r="AG1418" s="14"/>
      <c r="AH1418" s="14"/>
      <c r="AI1418" s="14"/>
      <c r="AJ1418" s="15"/>
      <c r="AK1418" s="16"/>
    </row>
    <row r="1419" spans="1:37" x14ac:dyDescent="0.2">
      <c r="B1419" s="7" t="s">
        <v>69</v>
      </c>
      <c r="C1419" s="8">
        <v>12124</v>
      </c>
      <c r="D1419" s="9" t="s">
        <v>211</v>
      </c>
      <c r="E1419" s="10" t="s">
        <v>212</v>
      </c>
      <c r="F1419" s="10" t="s">
        <v>213</v>
      </c>
      <c r="G1419" s="8">
        <v>1</v>
      </c>
      <c r="H1419" s="11">
        <v>300</v>
      </c>
      <c r="I1419" s="12">
        <v>42528</v>
      </c>
      <c r="J1419" s="13">
        <f t="shared" si="49"/>
        <v>0</v>
      </c>
      <c r="K1419" s="14"/>
      <c r="L1419" s="14"/>
      <c r="M1419" s="14"/>
      <c r="N1419" s="14"/>
      <c r="O1419" s="14"/>
      <c r="P1419" s="14">
        <v>300</v>
      </c>
      <c r="Q1419" s="14"/>
      <c r="R1419" s="14"/>
      <c r="S1419" s="14"/>
      <c r="T1419" s="14"/>
      <c r="U1419" s="14"/>
      <c r="V1419" s="14"/>
      <c r="W1419" s="15">
        <f t="shared" si="50"/>
        <v>300</v>
      </c>
      <c r="X1419" s="14"/>
      <c r="Y1419" s="14"/>
      <c r="Z1419" s="14"/>
      <c r="AA1419" s="14"/>
      <c r="AB1419" s="14"/>
      <c r="AC1419" s="14"/>
      <c r="AD1419" s="14"/>
      <c r="AE1419" s="14"/>
      <c r="AF1419" s="14"/>
      <c r="AG1419" s="14"/>
      <c r="AH1419" s="14"/>
      <c r="AI1419" s="14"/>
      <c r="AJ1419" s="15"/>
      <c r="AK1419" s="16"/>
    </row>
    <row r="1420" spans="1:37" x14ac:dyDescent="0.2">
      <c r="B1420" s="7" t="s">
        <v>73</v>
      </c>
      <c r="C1420" s="8"/>
      <c r="D1420" s="9" t="s">
        <v>806</v>
      </c>
      <c r="E1420" s="10" t="s">
        <v>885</v>
      </c>
      <c r="F1420" s="10" t="s">
        <v>805</v>
      </c>
      <c r="G1420" s="8">
        <v>1</v>
      </c>
      <c r="H1420" s="11">
        <v>11000</v>
      </c>
      <c r="I1420" s="12">
        <v>42549</v>
      </c>
      <c r="J1420" s="13">
        <f t="shared" si="49"/>
        <v>0</v>
      </c>
      <c r="K1420" s="14"/>
      <c r="L1420" s="14"/>
      <c r="M1420" s="14"/>
      <c r="N1420" s="14"/>
      <c r="O1420" s="14"/>
      <c r="P1420" s="14">
        <v>11000</v>
      </c>
      <c r="Q1420" s="14"/>
      <c r="R1420" s="14"/>
      <c r="S1420" s="14"/>
      <c r="T1420" s="14"/>
      <c r="U1420" s="14"/>
      <c r="V1420" s="14"/>
      <c r="W1420" s="15">
        <f t="shared" si="50"/>
        <v>11000</v>
      </c>
      <c r="X1420" s="14"/>
      <c r="Y1420" s="14"/>
      <c r="Z1420" s="14"/>
      <c r="AA1420" s="14"/>
      <c r="AB1420" s="14"/>
      <c r="AC1420" s="14"/>
      <c r="AD1420" s="14"/>
      <c r="AE1420" s="14"/>
      <c r="AF1420" s="14"/>
      <c r="AG1420" s="14"/>
      <c r="AH1420" s="14"/>
      <c r="AI1420" s="14"/>
      <c r="AJ1420" s="15"/>
      <c r="AK1420" s="16"/>
    </row>
    <row r="1421" spans="1:37" x14ac:dyDescent="0.2">
      <c r="B1421" s="7" t="s">
        <v>93</v>
      </c>
      <c r="C1421" s="8"/>
      <c r="D1421" s="9"/>
      <c r="E1421" s="10" t="s">
        <v>93</v>
      </c>
      <c r="F1421" s="10" t="s">
        <v>93</v>
      </c>
      <c r="G1421" s="8"/>
      <c r="H1421" s="11"/>
      <c r="I1421" s="12"/>
      <c r="J1421" s="13">
        <f t="shared" si="49"/>
        <v>0</v>
      </c>
      <c r="K1421" s="14"/>
      <c r="L1421" s="14"/>
      <c r="M1421" s="14"/>
      <c r="N1421" s="14"/>
      <c r="O1421" s="14"/>
      <c r="P1421" s="14"/>
      <c r="Q1421" s="14"/>
      <c r="R1421" s="14"/>
      <c r="S1421" s="14"/>
      <c r="T1421" s="14"/>
      <c r="U1421" s="14"/>
      <c r="V1421" s="14"/>
      <c r="W1421" s="15">
        <f t="shared" si="50"/>
        <v>0</v>
      </c>
      <c r="X1421" s="14"/>
      <c r="Y1421" s="14"/>
      <c r="Z1421" s="14"/>
      <c r="AA1421" s="14"/>
      <c r="AB1421" s="14"/>
      <c r="AC1421" s="14"/>
      <c r="AD1421" s="14"/>
      <c r="AE1421" s="14"/>
      <c r="AF1421" s="14"/>
      <c r="AG1421" s="14"/>
      <c r="AH1421" s="14"/>
      <c r="AI1421" s="14"/>
      <c r="AJ1421" s="15"/>
      <c r="AK1421" s="16"/>
    </row>
    <row r="1422" spans="1:37" x14ac:dyDescent="0.2">
      <c r="B1422" s="7" t="s">
        <v>93</v>
      </c>
      <c r="C1422" s="8"/>
      <c r="D1422" s="9"/>
      <c r="E1422" s="10" t="s">
        <v>93</v>
      </c>
      <c r="F1422" s="10" t="s">
        <v>93</v>
      </c>
      <c r="G1422" s="8"/>
      <c r="H1422" s="11"/>
      <c r="I1422" s="12"/>
      <c r="J1422" s="13">
        <f t="shared" si="49"/>
        <v>0</v>
      </c>
      <c r="K1422" s="14"/>
      <c r="L1422" s="14"/>
      <c r="M1422" s="14"/>
      <c r="N1422" s="14"/>
      <c r="O1422" s="14"/>
      <c r="P1422" s="14"/>
      <c r="Q1422" s="14"/>
      <c r="R1422" s="14"/>
      <c r="S1422" s="14"/>
      <c r="T1422" s="14"/>
      <c r="U1422" s="14"/>
      <c r="V1422" s="14"/>
      <c r="W1422" s="15">
        <f t="shared" si="50"/>
        <v>0</v>
      </c>
      <c r="X1422" s="14"/>
      <c r="Y1422" s="14"/>
      <c r="Z1422" s="14"/>
      <c r="AA1422" s="14"/>
      <c r="AB1422" s="14"/>
      <c r="AC1422" s="14"/>
      <c r="AD1422" s="14"/>
      <c r="AE1422" s="14"/>
      <c r="AF1422" s="14"/>
      <c r="AG1422" s="14"/>
      <c r="AH1422" s="14"/>
      <c r="AI1422" s="14"/>
      <c r="AJ1422" s="15"/>
      <c r="AK1422" s="16"/>
    </row>
    <row r="1423" spans="1:37" x14ac:dyDescent="0.2">
      <c r="B1423" s="48"/>
      <c r="C1423" s="48"/>
      <c r="D1423" s="48"/>
      <c r="E1423" s="48"/>
      <c r="F1423" s="48"/>
      <c r="G1423" s="19">
        <v>1</v>
      </c>
      <c r="H1423" s="21">
        <v>2550</v>
      </c>
      <c r="I1423" s="26"/>
      <c r="J1423" s="27"/>
      <c r="K1423" s="28"/>
      <c r="L1423" s="28"/>
      <c r="M1423" s="28"/>
      <c r="N1423" s="28"/>
      <c r="O1423" s="28"/>
      <c r="P1423" s="28"/>
      <c r="Q1423" s="28"/>
      <c r="R1423" s="28"/>
      <c r="S1423" s="28"/>
      <c r="T1423" s="28"/>
      <c r="U1423" s="28"/>
      <c r="V1423" s="28"/>
      <c r="W1423" s="29"/>
      <c r="X1423" s="28"/>
      <c r="Y1423" s="28"/>
      <c r="Z1423" s="28"/>
      <c r="AA1423" s="28"/>
      <c r="AB1423" s="28"/>
      <c r="AC1423" s="28"/>
      <c r="AD1423" s="28"/>
      <c r="AE1423" s="28"/>
      <c r="AF1423" s="28"/>
      <c r="AG1423" s="28"/>
      <c r="AH1423" s="28"/>
      <c r="AI1423" s="28"/>
      <c r="AJ1423" s="29"/>
      <c r="AK1423" s="25"/>
    </row>
    <row r="1424" spans="1:37" ht="22.5" x14ac:dyDescent="0.2">
      <c r="A1424" s="2" t="s">
        <v>0</v>
      </c>
      <c r="B1424" s="3" t="s">
        <v>1</v>
      </c>
      <c r="C1424" s="3" t="s">
        <v>2</v>
      </c>
      <c r="D1424" s="3" t="s">
        <v>3</v>
      </c>
      <c r="E1424" s="3" t="s">
        <v>4</v>
      </c>
      <c r="F1424" s="3" t="s">
        <v>5</v>
      </c>
      <c r="G1424" s="3" t="s">
        <v>6</v>
      </c>
      <c r="H1424" s="3" t="s">
        <v>7</v>
      </c>
      <c r="I1424" s="3" t="s">
        <v>8</v>
      </c>
      <c r="J1424" s="3" t="s">
        <v>9</v>
      </c>
      <c r="K1424" s="4" t="s">
        <v>10</v>
      </c>
      <c r="L1424" s="4" t="s">
        <v>11</v>
      </c>
      <c r="M1424" s="4" t="s">
        <v>12</v>
      </c>
      <c r="N1424" s="4" t="s">
        <v>13</v>
      </c>
      <c r="O1424" s="4" t="s">
        <v>14</v>
      </c>
      <c r="P1424" s="4" t="s">
        <v>15</v>
      </c>
      <c r="Q1424" s="4" t="s">
        <v>16</v>
      </c>
      <c r="R1424" s="4" t="s">
        <v>17</v>
      </c>
      <c r="S1424" s="4" t="s">
        <v>18</v>
      </c>
      <c r="T1424" s="4" t="s">
        <v>19</v>
      </c>
      <c r="U1424" s="4" t="s">
        <v>20</v>
      </c>
      <c r="V1424" s="4" t="s">
        <v>21</v>
      </c>
      <c r="W1424" s="5" t="s">
        <v>22</v>
      </c>
      <c r="X1424" s="4" t="s">
        <v>23</v>
      </c>
      <c r="Y1424" s="4" t="s">
        <v>24</v>
      </c>
      <c r="Z1424" s="4" t="s">
        <v>25</v>
      </c>
      <c r="AA1424" s="4" t="s">
        <v>26</v>
      </c>
      <c r="AB1424" s="4" t="s">
        <v>27</v>
      </c>
      <c r="AC1424" s="4" t="s">
        <v>28</v>
      </c>
      <c r="AD1424" s="4" t="s">
        <v>29</v>
      </c>
      <c r="AE1424" s="4" t="s">
        <v>30</v>
      </c>
      <c r="AF1424" s="4" t="s">
        <v>31</v>
      </c>
      <c r="AG1424" s="4" t="s">
        <v>32</v>
      </c>
      <c r="AH1424" s="4" t="s">
        <v>33</v>
      </c>
      <c r="AI1424" s="4" t="s">
        <v>34</v>
      </c>
      <c r="AJ1424" s="5" t="s">
        <v>35</v>
      </c>
      <c r="AK1424" s="6" t="s">
        <v>36</v>
      </c>
    </row>
    <row r="1425" spans="2:37" x14ac:dyDescent="0.2">
      <c r="B1425" s="7" t="s">
        <v>47</v>
      </c>
      <c r="C1425" s="8">
        <v>12122</v>
      </c>
      <c r="D1425" s="9" t="s">
        <v>852</v>
      </c>
      <c r="E1425" s="10" t="s">
        <v>853</v>
      </c>
      <c r="F1425" s="10" t="s">
        <v>854</v>
      </c>
      <c r="G1425" s="8">
        <v>1</v>
      </c>
      <c r="H1425" s="11">
        <v>900</v>
      </c>
      <c r="I1425" s="12">
        <v>42548</v>
      </c>
      <c r="J1425" s="13">
        <f t="shared" ref="J1425:J1488" si="51">IF(G1425=1,SUM(W1425,-H1425),0)</f>
        <v>0</v>
      </c>
      <c r="K1425" s="14"/>
      <c r="L1425" s="14"/>
      <c r="M1425" s="14"/>
      <c r="N1425" s="14">
        <v>300</v>
      </c>
      <c r="O1425" s="14">
        <v>300</v>
      </c>
      <c r="P1425" s="14">
        <v>300</v>
      </c>
      <c r="Q1425" s="14"/>
      <c r="R1425" s="14"/>
      <c r="S1425" s="14"/>
      <c r="T1425" s="14"/>
      <c r="U1425" s="14"/>
      <c r="V1425" s="14"/>
      <c r="W1425" s="15">
        <f t="shared" ref="W1425:W1488" si="52">SUM(K1425:V1425)</f>
        <v>900</v>
      </c>
      <c r="X1425" s="14"/>
      <c r="Y1425" s="14"/>
      <c r="Z1425" s="14"/>
      <c r="AA1425" s="14"/>
      <c r="AB1425" s="14"/>
      <c r="AC1425" s="14"/>
      <c r="AD1425" s="14"/>
      <c r="AE1425" s="14"/>
      <c r="AF1425" s="14"/>
      <c r="AG1425" s="14"/>
      <c r="AH1425" s="14"/>
      <c r="AI1425" s="14"/>
      <c r="AJ1425" s="15"/>
      <c r="AK1425" s="16"/>
    </row>
    <row r="1426" spans="2:37" x14ac:dyDescent="0.2">
      <c r="B1426" s="7" t="s">
        <v>47</v>
      </c>
      <c r="C1426" s="8">
        <v>12123</v>
      </c>
      <c r="D1426" s="9" t="s">
        <v>852</v>
      </c>
      <c r="E1426" s="10" t="s">
        <v>853</v>
      </c>
      <c r="F1426" s="10" t="s">
        <v>854</v>
      </c>
      <c r="G1426" s="8">
        <v>1</v>
      </c>
      <c r="H1426" s="11">
        <v>300</v>
      </c>
      <c r="I1426" s="12">
        <v>42548</v>
      </c>
      <c r="J1426" s="13">
        <f t="shared" si="51"/>
        <v>0</v>
      </c>
      <c r="K1426" s="14"/>
      <c r="L1426" s="14"/>
      <c r="M1426" s="14">
        <v>300</v>
      </c>
      <c r="N1426" s="14"/>
      <c r="O1426" s="14"/>
      <c r="P1426" s="14"/>
      <c r="Q1426" s="14"/>
      <c r="R1426" s="14"/>
      <c r="S1426" s="14"/>
      <c r="T1426" s="14"/>
      <c r="U1426" s="14"/>
      <c r="V1426" s="14"/>
      <c r="W1426" s="15">
        <f t="shared" si="52"/>
        <v>300</v>
      </c>
      <c r="X1426" s="14"/>
      <c r="Y1426" s="14"/>
      <c r="Z1426" s="14"/>
      <c r="AA1426" s="14"/>
      <c r="AB1426" s="14"/>
      <c r="AC1426" s="14"/>
      <c r="AD1426" s="14"/>
      <c r="AE1426" s="14"/>
      <c r="AF1426" s="14"/>
      <c r="AG1426" s="14"/>
      <c r="AH1426" s="14"/>
      <c r="AI1426" s="14"/>
      <c r="AJ1426" s="15"/>
      <c r="AK1426" s="16"/>
    </row>
    <row r="1427" spans="2:37" x14ac:dyDescent="0.2">
      <c r="B1427" s="7" t="s">
        <v>69</v>
      </c>
      <c r="C1427" s="8">
        <v>12124</v>
      </c>
      <c r="D1427" s="9" t="s">
        <v>211</v>
      </c>
      <c r="E1427" s="10" t="s">
        <v>212</v>
      </c>
      <c r="F1427" s="10" t="s">
        <v>213</v>
      </c>
      <c r="G1427" s="8"/>
      <c r="H1427" s="11"/>
      <c r="I1427" s="12"/>
      <c r="J1427" s="13">
        <f t="shared" si="51"/>
        <v>0</v>
      </c>
      <c r="K1427" s="14"/>
      <c r="L1427" s="14"/>
      <c r="M1427" s="14"/>
      <c r="N1427" s="14"/>
      <c r="O1427" s="14"/>
      <c r="P1427" s="14"/>
      <c r="Q1427" s="14"/>
      <c r="R1427" s="14"/>
      <c r="S1427" s="14"/>
      <c r="T1427" s="14"/>
      <c r="U1427" s="14"/>
      <c r="V1427" s="14"/>
      <c r="W1427" s="15">
        <f t="shared" si="52"/>
        <v>0</v>
      </c>
      <c r="X1427" s="14"/>
      <c r="Y1427" s="14"/>
      <c r="Z1427" s="14"/>
      <c r="AA1427" s="14"/>
      <c r="AB1427" s="14"/>
      <c r="AC1427" s="14"/>
      <c r="AD1427" s="14"/>
      <c r="AE1427" s="14"/>
      <c r="AF1427" s="14"/>
      <c r="AG1427" s="14"/>
      <c r="AH1427" s="14"/>
      <c r="AI1427" s="14"/>
      <c r="AJ1427" s="15"/>
      <c r="AK1427" s="16"/>
    </row>
    <row r="1428" spans="2:37" x14ac:dyDescent="0.2">
      <c r="B1428" s="7" t="s">
        <v>47</v>
      </c>
      <c r="C1428" s="8">
        <v>12125</v>
      </c>
      <c r="D1428" s="9" t="s">
        <v>950</v>
      </c>
      <c r="E1428" s="10" t="s">
        <v>951</v>
      </c>
      <c r="F1428" s="10" t="s">
        <v>952</v>
      </c>
      <c r="G1428" s="8">
        <v>1</v>
      </c>
      <c r="H1428" s="11">
        <v>2800</v>
      </c>
      <c r="I1428" s="12">
        <v>42549</v>
      </c>
      <c r="J1428" s="13">
        <f t="shared" si="51"/>
        <v>0</v>
      </c>
      <c r="K1428" s="14">
        <v>400</v>
      </c>
      <c r="L1428" s="14">
        <v>400</v>
      </c>
      <c r="M1428" s="14">
        <v>400</v>
      </c>
      <c r="N1428" s="14">
        <v>400</v>
      </c>
      <c r="O1428" s="14">
        <v>400</v>
      </c>
      <c r="P1428" s="14">
        <v>400</v>
      </c>
      <c r="Q1428" s="14">
        <v>400</v>
      </c>
      <c r="R1428" s="14"/>
      <c r="S1428" s="14"/>
      <c r="T1428" s="14"/>
      <c r="U1428" s="14"/>
      <c r="V1428" s="14"/>
      <c r="W1428" s="15">
        <f t="shared" si="52"/>
        <v>2800</v>
      </c>
      <c r="X1428" s="14"/>
      <c r="Y1428" s="14"/>
      <c r="Z1428" s="14"/>
      <c r="AA1428" s="14"/>
      <c r="AB1428" s="14"/>
      <c r="AC1428" s="14"/>
      <c r="AD1428" s="14"/>
      <c r="AE1428" s="14"/>
      <c r="AF1428" s="14"/>
      <c r="AG1428" s="14"/>
      <c r="AH1428" s="14"/>
      <c r="AI1428" s="14"/>
      <c r="AJ1428" s="15"/>
      <c r="AK1428" s="16"/>
    </row>
    <row r="1429" spans="2:37" x14ac:dyDescent="0.2">
      <c r="B1429" s="7" t="s">
        <v>73</v>
      </c>
      <c r="C1429" s="8">
        <v>12126</v>
      </c>
      <c r="D1429" s="9" t="s">
        <v>126</v>
      </c>
      <c r="E1429" s="10" t="s">
        <v>127</v>
      </c>
      <c r="F1429" s="10" t="s">
        <v>128</v>
      </c>
      <c r="G1429" s="8">
        <v>5</v>
      </c>
      <c r="H1429" s="11">
        <v>150</v>
      </c>
      <c r="I1429" s="12">
        <v>42552</v>
      </c>
      <c r="J1429" s="13">
        <f t="shared" si="51"/>
        <v>0</v>
      </c>
      <c r="K1429" s="14"/>
      <c r="L1429" s="14"/>
      <c r="M1429" s="14"/>
      <c r="N1429" s="14"/>
      <c r="O1429" s="14"/>
      <c r="P1429" s="14"/>
      <c r="Q1429" s="14"/>
      <c r="R1429" s="14"/>
      <c r="S1429" s="14"/>
      <c r="T1429" s="14"/>
      <c r="U1429" s="14"/>
      <c r="V1429" s="14"/>
      <c r="W1429" s="15">
        <f t="shared" si="52"/>
        <v>0</v>
      </c>
      <c r="X1429" s="14"/>
      <c r="Y1429" s="14"/>
      <c r="Z1429" s="14"/>
      <c r="AA1429" s="14"/>
      <c r="AB1429" s="14"/>
      <c r="AC1429" s="14"/>
      <c r="AD1429" s="14"/>
      <c r="AE1429" s="14"/>
      <c r="AF1429" s="14"/>
      <c r="AG1429" s="14"/>
      <c r="AH1429" s="14"/>
      <c r="AI1429" s="14"/>
      <c r="AJ1429" s="15"/>
      <c r="AK1429" s="16"/>
    </row>
    <row r="1430" spans="2:37" x14ac:dyDescent="0.2">
      <c r="B1430" s="7" t="s">
        <v>37</v>
      </c>
      <c r="C1430" s="8">
        <v>12127</v>
      </c>
      <c r="D1430" s="9" t="s">
        <v>494</v>
      </c>
      <c r="E1430" s="10" t="s">
        <v>495</v>
      </c>
      <c r="F1430" s="10" t="s">
        <v>496</v>
      </c>
      <c r="G1430" s="8">
        <v>1</v>
      </c>
      <c r="H1430" s="11">
        <v>150</v>
      </c>
      <c r="I1430" s="12">
        <v>42552</v>
      </c>
      <c r="J1430" s="13">
        <f t="shared" si="51"/>
        <v>0</v>
      </c>
      <c r="K1430" s="14"/>
      <c r="L1430" s="14"/>
      <c r="M1430" s="14"/>
      <c r="N1430" s="14"/>
      <c r="O1430" s="14"/>
      <c r="P1430" s="14"/>
      <c r="Q1430" s="14">
        <v>150</v>
      </c>
      <c r="R1430" s="14"/>
      <c r="S1430" s="14"/>
      <c r="T1430" s="14"/>
      <c r="U1430" s="14"/>
      <c r="V1430" s="14"/>
      <c r="W1430" s="15">
        <f t="shared" si="52"/>
        <v>150</v>
      </c>
      <c r="X1430" s="14"/>
      <c r="Y1430" s="14"/>
      <c r="Z1430" s="14"/>
      <c r="AA1430" s="14"/>
      <c r="AB1430" s="14"/>
      <c r="AC1430" s="14"/>
      <c r="AD1430" s="14"/>
      <c r="AE1430" s="14"/>
      <c r="AF1430" s="14"/>
      <c r="AG1430" s="14"/>
      <c r="AH1430" s="14"/>
      <c r="AI1430" s="14"/>
      <c r="AJ1430" s="15"/>
      <c r="AK1430" s="16"/>
    </row>
    <row r="1431" spans="2:37" x14ac:dyDescent="0.2">
      <c r="B1431" s="7" t="s">
        <v>37</v>
      </c>
      <c r="C1431" s="8">
        <v>12127</v>
      </c>
      <c r="D1431" s="9" t="s">
        <v>494</v>
      </c>
      <c r="E1431" s="10" t="s">
        <v>495</v>
      </c>
      <c r="F1431" s="10" t="s">
        <v>496</v>
      </c>
      <c r="G1431" s="8">
        <v>5</v>
      </c>
      <c r="H1431" s="11">
        <v>100</v>
      </c>
      <c r="I1431" s="12">
        <v>42552</v>
      </c>
      <c r="J1431" s="13">
        <f t="shared" si="51"/>
        <v>0</v>
      </c>
      <c r="K1431" s="14"/>
      <c r="L1431" s="14"/>
      <c r="M1431" s="14"/>
      <c r="N1431" s="14"/>
      <c r="O1431" s="14"/>
      <c r="P1431" s="14"/>
      <c r="Q1431" s="14"/>
      <c r="R1431" s="14"/>
      <c r="S1431" s="14"/>
      <c r="T1431" s="14"/>
      <c r="U1431" s="14"/>
      <c r="V1431" s="14"/>
      <c r="W1431" s="15">
        <f t="shared" si="52"/>
        <v>0</v>
      </c>
      <c r="X1431" s="14"/>
      <c r="Y1431" s="14"/>
      <c r="Z1431" s="14"/>
      <c r="AA1431" s="14"/>
      <c r="AB1431" s="14"/>
      <c r="AC1431" s="14"/>
      <c r="AD1431" s="14"/>
      <c r="AE1431" s="14"/>
      <c r="AF1431" s="14"/>
      <c r="AG1431" s="14"/>
      <c r="AH1431" s="14"/>
      <c r="AI1431" s="14"/>
      <c r="AJ1431" s="15"/>
      <c r="AK1431" s="16"/>
    </row>
    <row r="1432" spans="2:37" x14ac:dyDescent="0.2">
      <c r="B1432" s="7" t="s">
        <v>37</v>
      </c>
      <c r="C1432" s="8">
        <v>12128</v>
      </c>
      <c r="D1432" s="9" t="s">
        <v>205</v>
      </c>
      <c r="E1432" s="10" t="s">
        <v>206</v>
      </c>
      <c r="F1432" s="10" t="s">
        <v>207</v>
      </c>
      <c r="G1432" s="8">
        <v>5</v>
      </c>
      <c r="H1432" s="11">
        <v>150</v>
      </c>
      <c r="I1432" s="12">
        <v>42552</v>
      </c>
      <c r="J1432" s="13">
        <f t="shared" si="51"/>
        <v>0</v>
      </c>
      <c r="K1432" s="14"/>
      <c r="L1432" s="14"/>
      <c r="M1432" s="14"/>
      <c r="N1432" s="14"/>
      <c r="O1432" s="14"/>
      <c r="P1432" s="14"/>
      <c r="Q1432" s="14"/>
      <c r="R1432" s="14"/>
      <c r="S1432" s="14"/>
      <c r="T1432" s="14"/>
      <c r="U1432" s="14"/>
      <c r="V1432" s="14"/>
      <c r="W1432" s="15">
        <f t="shared" si="52"/>
        <v>0</v>
      </c>
      <c r="X1432" s="14"/>
      <c r="Y1432" s="14"/>
      <c r="Z1432" s="14"/>
      <c r="AA1432" s="14"/>
      <c r="AB1432" s="14"/>
      <c r="AC1432" s="14"/>
      <c r="AD1432" s="14"/>
      <c r="AE1432" s="14"/>
      <c r="AF1432" s="14"/>
      <c r="AG1432" s="14"/>
      <c r="AH1432" s="14"/>
      <c r="AI1432" s="14"/>
      <c r="AJ1432" s="15"/>
      <c r="AK1432" s="16"/>
    </row>
    <row r="1433" spans="2:37" x14ac:dyDescent="0.2">
      <c r="B1433" s="7" t="s">
        <v>37</v>
      </c>
      <c r="C1433" s="8">
        <v>12129</v>
      </c>
      <c r="D1433" s="9" t="s">
        <v>488</v>
      </c>
      <c r="E1433" s="10" t="s">
        <v>489</v>
      </c>
      <c r="F1433" s="10" t="s">
        <v>490</v>
      </c>
      <c r="G1433" s="8">
        <v>1</v>
      </c>
      <c r="H1433" s="11">
        <v>400</v>
      </c>
      <c r="I1433" s="12">
        <v>42552</v>
      </c>
      <c r="J1433" s="13">
        <f t="shared" si="51"/>
        <v>0</v>
      </c>
      <c r="K1433" s="14"/>
      <c r="L1433" s="14"/>
      <c r="M1433" s="14"/>
      <c r="N1433" s="14"/>
      <c r="O1433" s="14"/>
      <c r="P1433" s="14">
        <v>400</v>
      </c>
      <c r="Q1433" s="14"/>
      <c r="R1433" s="14"/>
      <c r="S1433" s="14"/>
      <c r="T1433" s="14"/>
      <c r="U1433" s="14"/>
      <c r="V1433" s="14"/>
      <c r="W1433" s="15">
        <f t="shared" si="52"/>
        <v>400</v>
      </c>
      <c r="X1433" s="14"/>
      <c r="Y1433" s="14"/>
      <c r="Z1433" s="14"/>
      <c r="AA1433" s="14"/>
      <c r="AB1433" s="14"/>
      <c r="AC1433" s="14"/>
      <c r="AD1433" s="14"/>
      <c r="AE1433" s="14"/>
      <c r="AF1433" s="14"/>
      <c r="AG1433" s="14"/>
      <c r="AH1433" s="14"/>
      <c r="AI1433" s="14"/>
      <c r="AJ1433" s="15"/>
      <c r="AK1433" s="16"/>
    </row>
    <row r="1434" spans="2:37" x14ac:dyDescent="0.2">
      <c r="B1434" s="7" t="s">
        <v>37</v>
      </c>
      <c r="C1434" s="8">
        <v>12129</v>
      </c>
      <c r="D1434" s="9" t="s">
        <v>488</v>
      </c>
      <c r="E1434" s="10" t="s">
        <v>489</v>
      </c>
      <c r="F1434" s="10" t="s">
        <v>490</v>
      </c>
      <c r="G1434" s="8">
        <v>5</v>
      </c>
      <c r="H1434" s="11">
        <v>100</v>
      </c>
      <c r="I1434" s="12">
        <v>42552</v>
      </c>
      <c r="J1434" s="13">
        <f t="shared" si="51"/>
        <v>0</v>
      </c>
      <c r="K1434" s="14"/>
      <c r="L1434" s="14"/>
      <c r="M1434" s="14"/>
      <c r="N1434" s="14"/>
      <c r="O1434" s="14"/>
      <c r="P1434" s="14"/>
      <c r="Q1434" s="14"/>
      <c r="R1434" s="14"/>
      <c r="S1434" s="14"/>
      <c r="T1434" s="14"/>
      <c r="U1434" s="14"/>
      <c r="V1434" s="14"/>
      <c r="W1434" s="15">
        <f t="shared" si="52"/>
        <v>0</v>
      </c>
      <c r="X1434" s="14"/>
      <c r="Y1434" s="14"/>
      <c r="Z1434" s="14"/>
      <c r="AA1434" s="14"/>
      <c r="AB1434" s="14"/>
      <c r="AC1434" s="14"/>
      <c r="AD1434" s="14"/>
      <c r="AE1434" s="14"/>
      <c r="AF1434" s="14"/>
      <c r="AG1434" s="14"/>
      <c r="AH1434" s="14"/>
      <c r="AI1434" s="14"/>
      <c r="AJ1434" s="15"/>
      <c r="AK1434" s="16"/>
    </row>
    <row r="1435" spans="2:37" x14ac:dyDescent="0.2">
      <c r="B1435" s="7" t="s">
        <v>47</v>
      </c>
      <c r="C1435" s="8">
        <v>12130</v>
      </c>
      <c r="D1435" s="9" t="s">
        <v>852</v>
      </c>
      <c r="E1435" s="10" t="s">
        <v>853</v>
      </c>
      <c r="F1435" s="10" t="s">
        <v>854</v>
      </c>
      <c r="G1435" s="8">
        <v>5</v>
      </c>
      <c r="H1435" s="11">
        <v>150</v>
      </c>
      <c r="I1435" s="12">
        <v>42554</v>
      </c>
      <c r="J1435" s="13">
        <f t="shared" si="51"/>
        <v>0</v>
      </c>
      <c r="K1435" s="14"/>
      <c r="L1435" s="14"/>
      <c r="M1435" s="14"/>
      <c r="N1435" s="14"/>
      <c r="O1435" s="14"/>
      <c r="P1435" s="14"/>
      <c r="Q1435" s="14"/>
      <c r="R1435" s="14"/>
      <c r="S1435" s="14"/>
      <c r="T1435" s="14"/>
      <c r="U1435" s="14"/>
      <c r="V1435" s="14"/>
      <c r="W1435" s="15">
        <f t="shared" si="52"/>
        <v>0</v>
      </c>
      <c r="X1435" s="14"/>
      <c r="Y1435" s="14"/>
      <c r="Z1435" s="14"/>
      <c r="AA1435" s="14"/>
      <c r="AB1435" s="14"/>
      <c r="AC1435" s="14"/>
      <c r="AD1435" s="14"/>
      <c r="AE1435" s="14"/>
      <c r="AF1435" s="14"/>
      <c r="AG1435" s="14"/>
      <c r="AH1435" s="14"/>
      <c r="AI1435" s="14"/>
      <c r="AJ1435" s="15"/>
      <c r="AK1435" s="16"/>
    </row>
    <row r="1436" spans="2:37" x14ac:dyDescent="0.2">
      <c r="B1436" s="7" t="s">
        <v>69</v>
      </c>
      <c r="C1436" s="8">
        <v>12131</v>
      </c>
      <c r="D1436" s="9" t="s">
        <v>890</v>
      </c>
      <c r="E1436" s="10" t="s">
        <v>891</v>
      </c>
      <c r="F1436" s="10" t="s">
        <v>892</v>
      </c>
      <c r="G1436" s="8">
        <v>5</v>
      </c>
      <c r="H1436" s="11">
        <v>50</v>
      </c>
      <c r="I1436" s="12">
        <v>42554</v>
      </c>
      <c r="J1436" s="13">
        <f t="shared" si="51"/>
        <v>0</v>
      </c>
      <c r="K1436" s="14"/>
      <c r="L1436" s="14"/>
      <c r="M1436" s="14"/>
      <c r="N1436" s="14"/>
      <c r="O1436" s="14"/>
      <c r="P1436" s="14"/>
      <c r="Q1436" s="14"/>
      <c r="R1436" s="14"/>
      <c r="S1436" s="14"/>
      <c r="T1436" s="14"/>
      <c r="U1436" s="14"/>
      <c r="V1436" s="14"/>
      <c r="W1436" s="15">
        <f t="shared" si="52"/>
        <v>0</v>
      </c>
      <c r="X1436" s="14"/>
      <c r="Y1436" s="14"/>
      <c r="Z1436" s="14"/>
      <c r="AA1436" s="14"/>
      <c r="AB1436" s="14"/>
      <c r="AC1436" s="14"/>
      <c r="AD1436" s="14"/>
      <c r="AE1436" s="14"/>
      <c r="AF1436" s="14"/>
      <c r="AG1436" s="14"/>
      <c r="AH1436" s="14"/>
      <c r="AI1436" s="14"/>
      <c r="AJ1436" s="15"/>
      <c r="AK1436" s="16"/>
    </row>
    <row r="1437" spans="2:37" x14ac:dyDescent="0.2">
      <c r="B1437" s="7" t="s">
        <v>69</v>
      </c>
      <c r="C1437" s="8">
        <v>12132</v>
      </c>
      <c r="D1437" s="9" t="s">
        <v>361</v>
      </c>
      <c r="E1437" s="10" t="s">
        <v>362</v>
      </c>
      <c r="F1437" s="10" t="s">
        <v>363</v>
      </c>
      <c r="G1437" s="8">
        <v>5</v>
      </c>
      <c r="H1437" s="11">
        <v>250</v>
      </c>
      <c r="I1437" s="12">
        <v>42554</v>
      </c>
      <c r="J1437" s="13">
        <f t="shared" si="51"/>
        <v>0</v>
      </c>
      <c r="K1437" s="14"/>
      <c r="L1437" s="14"/>
      <c r="M1437" s="14"/>
      <c r="N1437" s="14"/>
      <c r="O1437" s="14"/>
      <c r="P1437" s="14"/>
      <c r="Q1437" s="14"/>
      <c r="R1437" s="14"/>
      <c r="S1437" s="14"/>
      <c r="T1437" s="14"/>
      <c r="U1437" s="14"/>
      <c r="V1437" s="14"/>
      <c r="W1437" s="15">
        <f t="shared" si="52"/>
        <v>0</v>
      </c>
      <c r="X1437" s="14"/>
      <c r="Y1437" s="14"/>
      <c r="Z1437" s="14"/>
      <c r="AA1437" s="14"/>
      <c r="AB1437" s="14"/>
      <c r="AC1437" s="14"/>
      <c r="AD1437" s="14"/>
      <c r="AE1437" s="14"/>
      <c r="AF1437" s="14"/>
      <c r="AG1437" s="14"/>
      <c r="AH1437" s="14"/>
      <c r="AI1437" s="14"/>
      <c r="AJ1437" s="15"/>
      <c r="AK1437" s="16"/>
    </row>
    <row r="1438" spans="2:37" x14ac:dyDescent="0.2">
      <c r="B1438" s="7" t="s">
        <v>391</v>
      </c>
      <c r="C1438" s="8">
        <v>12133</v>
      </c>
      <c r="D1438" s="9" t="s">
        <v>876</v>
      </c>
      <c r="E1438" s="10" t="s">
        <v>877</v>
      </c>
      <c r="F1438" s="10" t="s">
        <v>878</v>
      </c>
      <c r="G1438" s="8">
        <v>5</v>
      </c>
      <c r="H1438" s="11">
        <v>50</v>
      </c>
      <c r="I1438" s="12">
        <v>42554</v>
      </c>
      <c r="J1438" s="13">
        <f t="shared" si="51"/>
        <v>0</v>
      </c>
      <c r="K1438" s="14"/>
      <c r="L1438" s="14"/>
      <c r="M1438" s="14"/>
      <c r="N1438" s="14"/>
      <c r="O1438" s="14"/>
      <c r="P1438" s="14"/>
      <c r="Q1438" s="14"/>
      <c r="R1438" s="14"/>
      <c r="S1438" s="14"/>
      <c r="T1438" s="14"/>
      <c r="U1438" s="14"/>
      <c r="V1438" s="14"/>
      <c r="W1438" s="15">
        <f t="shared" si="52"/>
        <v>0</v>
      </c>
      <c r="X1438" s="14"/>
      <c r="Y1438" s="14"/>
      <c r="Z1438" s="14"/>
      <c r="AA1438" s="14"/>
      <c r="AB1438" s="14"/>
      <c r="AC1438" s="14"/>
      <c r="AD1438" s="14"/>
      <c r="AE1438" s="14"/>
      <c r="AF1438" s="14"/>
      <c r="AG1438" s="14"/>
      <c r="AH1438" s="14"/>
      <c r="AI1438" s="14"/>
      <c r="AJ1438" s="15"/>
      <c r="AK1438" s="16"/>
    </row>
    <row r="1439" spans="2:37" x14ac:dyDescent="0.2">
      <c r="B1439" s="7" t="s">
        <v>73</v>
      </c>
      <c r="C1439" s="8">
        <v>12134</v>
      </c>
      <c r="D1439" s="9" t="s">
        <v>782</v>
      </c>
      <c r="E1439" s="10" t="s">
        <v>783</v>
      </c>
      <c r="F1439" s="10" t="s">
        <v>784</v>
      </c>
      <c r="G1439" s="8">
        <v>5</v>
      </c>
      <c r="H1439" s="11">
        <v>250</v>
      </c>
      <c r="I1439" s="12">
        <v>42554</v>
      </c>
      <c r="J1439" s="13">
        <f t="shared" si="51"/>
        <v>0</v>
      </c>
      <c r="K1439" s="14"/>
      <c r="L1439" s="14"/>
      <c r="M1439" s="14"/>
      <c r="N1439" s="14"/>
      <c r="O1439" s="14"/>
      <c r="P1439" s="14"/>
      <c r="Q1439" s="14"/>
      <c r="R1439" s="14"/>
      <c r="S1439" s="14"/>
      <c r="T1439" s="14"/>
      <c r="U1439" s="14"/>
      <c r="V1439" s="14"/>
      <c r="W1439" s="15">
        <f t="shared" si="52"/>
        <v>0</v>
      </c>
      <c r="X1439" s="14"/>
      <c r="Y1439" s="14"/>
      <c r="Z1439" s="14"/>
      <c r="AA1439" s="14"/>
      <c r="AB1439" s="14"/>
      <c r="AC1439" s="14"/>
      <c r="AD1439" s="14"/>
      <c r="AE1439" s="14"/>
      <c r="AF1439" s="14"/>
      <c r="AG1439" s="14"/>
      <c r="AH1439" s="14"/>
      <c r="AI1439" s="14"/>
      <c r="AJ1439" s="15"/>
      <c r="AK1439" s="16"/>
    </row>
    <row r="1440" spans="2:37" x14ac:dyDescent="0.2">
      <c r="B1440" s="7" t="s">
        <v>77</v>
      </c>
      <c r="C1440" s="8">
        <v>12135</v>
      </c>
      <c r="D1440" s="9" t="s">
        <v>874</v>
      </c>
      <c r="E1440" s="10" t="s">
        <v>875</v>
      </c>
      <c r="F1440" s="10" t="s">
        <v>493</v>
      </c>
      <c r="G1440" s="8">
        <v>5</v>
      </c>
      <c r="H1440" s="11">
        <v>50</v>
      </c>
      <c r="I1440" s="12">
        <v>42554</v>
      </c>
      <c r="J1440" s="13">
        <f t="shared" si="51"/>
        <v>0</v>
      </c>
      <c r="K1440" s="14"/>
      <c r="L1440" s="14"/>
      <c r="M1440" s="14"/>
      <c r="N1440" s="14"/>
      <c r="O1440" s="14"/>
      <c r="P1440" s="14"/>
      <c r="Q1440" s="14"/>
      <c r="R1440" s="14"/>
      <c r="S1440" s="14"/>
      <c r="T1440" s="14"/>
      <c r="U1440" s="14"/>
      <c r="V1440" s="14"/>
      <c r="W1440" s="15">
        <f t="shared" si="52"/>
        <v>0</v>
      </c>
      <c r="X1440" s="14"/>
      <c r="Y1440" s="14"/>
      <c r="Z1440" s="14"/>
      <c r="AA1440" s="14"/>
      <c r="AB1440" s="14"/>
      <c r="AC1440" s="14"/>
      <c r="AD1440" s="14"/>
      <c r="AE1440" s="14"/>
      <c r="AF1440" s="14"/>
      <c r="AG1440" s="14"/>
      <c r="AH1440" s="14"/>
      <c r="AI1440" s="14"/>
      <c r="AJ1440" s="15"/>
      <c r="AK1440" s="16"/>
    </row>
    <row r="1441" spans="2:37" x14ac:dyDescent="0.2">
      <c r="B1441" s="7" t="s">
        <v>47</v>
      </c>
      <c r="C1441" s="8">
        <v>12136</v>
      </c>
      <c r="D1441" s="9" t="s">
        <v>352</v>
      </c>
      <c r="E1441" s="10" t="s">
        <v>353</v>
      </c>
      <c r="F1441" s="10" t="s">
        <v>354</v>
      </c>
      <c r="G1441" s="8">
        <v>5</v>
      </c>
      <c r="H1441" s="11">
        <v>100</v>
      </c>
      <c r="I1441" s="12">
        <v>42554</v>
      </c>
      <c r="J1441" s="13">
        <f t="shared" si="51"/>
        <v>0</v>
      </c>
      <c r="K1441" s="14"/>
      <c r="L1441" s="14"/>
      <c r="M1441" s="14"/>
      <c r="N1441" s="14"/>
      <c r="O1441" s="14"/>
      <c r="P1441" s="14"/>
      <c r="Q1441" s="14"/>
      <c r="R1441" s="14"/>
      <c r="S1441" s="14"/>
      <c r="T1441" s="14"/>
      <c r="U1441" s="14"/>
      <c r="V1441" s="14"/>
      <c r="W1441" s="15">
        <f t="shared" si="52"/>
        <v>0</v>
      </c>
      <c r="X1441" s="14"/>
      <c r="Y1441" s="14"/>
      <c r="Z1441" s="14"/>
      <c r="AA1441" s="14"/>
      <c r="AB1441" s="14"/>
      <c r="AC1441" s="14"/>
      <c r="AD1441" s="14"/>
      <c r="AE1441" s="14"/>
      <c r="AF1441" s="14"/>
      <c r="AG1441" s="14"/>
      <c r="AH1441" s="14"/>
      <c r="AI1441" s="14"/>
      <c r="AJ1441" s="15"/>
      <c r="AK1441" s="16"/>
    </row>
    <row r="1442" spans="2:37" x14ac:dyDescent="0.2">
      <c r="B1442" s="7" t="s">
        <v>37</v>
      </c>
      <c r="C1442" s="8">
        <v>12137</v>
      </c>
      <c r="D1442" s="9" t="s">
        <v>488</v>
      </c>
      <c r="E1442" s="10" t="s">
        <v>489</v>
      </c>
      <c r="F1442" s="10" t="s">
        <v>490</v>
      </c>
      <c r="G1442" s="8">
        <v>5</v>
      </c>
      <c r="H1442" s="11">
        <v>50</v>
      </c>
      <c r="I1442" s="12">
        <v>42554</v>
      </c>
      <c r="J1442" s="13">
        <f t="shared" si="51"/>
        <v>0</v>
      </c>
      <c r="K1442" s="14"/>
      <c r="L1442" s="14"/>
      <c r="M1442" s="14"/>
      <c r="N1442" s="14"/>
      <c r="O1442" s="14"/>
      <c r="P1442" s="14"/>
      <c r="Q1442" s="14"/>
      <c r="R1442" s="14"/>
      <c r="S1442" s="14"/>
      <c r="T1442" s="14"/>
      <c r="U1442" s="14"/>
      <c r="V1442" s="14"/>
      <c r="W1442" s="15">
        <f t="shared" si="52"/>
        <v>0</v>
      </c>
      <c r="X1442" s="14"/>
      <c r="Y1442" s="14"/>
      <c r="Z1442" s="14"/>
      <c r="AA1442" s="14"/>
      <c r="AB1442" s="14"/>
      <c r="AC1442" s="14"/>
      <c r="AD1442" s="14"/>
      <c r="AE1442" s="14"/>
      <c r="AF1442" s="14"/>
      <c r="AG1442" s="14"/>
      <c r="AH1442" s="14"/>
      <c r="AI1442" s="14"/>
      <c r="AJ1442" s="15"/>
      <c r="AK1442" s="16"/>
    </row>
    <row r="1443" spans="2:37" x14ac:dyDescent="0.2">
      <c r="B1443" s="7" t="s">
        <v>69</v>
      </c>
      <c r="C1443" s="8">
        <v>12138</v>
      </c>
      <c r="D1443" s="9" t="s">
        <v>325</v>
      </c>
      <c r="E1443" s="10" t="s">
        <v>326</v>
      </c>
      <c r="F1443" s="10" t="s">
        <v>327</v>
      </c>
      <c r="G1443" s="8">
        <v>5</v>
      </c>
      <c r="H1443" s="11">
        <v>100</v>
      </c>
      <c r="I1443" s="12">
        <v>42554</v>
      </c>
      <c r="J1443" s="13">
        <f t="shared" si="51"/>
        <v>0</v>
      </c>
      <c r="K1443" s="14"/>
      <c r="L1443" s="14"/>
      <c r="M1443" s="14"/>
      <c r="N1443" s="14"/>
      <c r="O1443" s="14"/>
      <c r="P1443" s="14"/>
      <c r="Q1443" s="14"/>
      <c r="R1443" s="14"/>
      <c r="S1443" s="14"/>
      <c r="T1443" s="14"/>
      <c r="U1443" s="14"/>
      <c r="V1443" s="14"/>
      <c r="W1443" s="15">
        <f t="shared" si="52"/>
        <v>0</v>
      </c>
      <c r="X1443" s="14"/>
      <c r="Y1443" s="14"/>
      <c r="Z1443" s="14"/>
      <c r="AA1443" s="14"/>
      <c r="AB1443" s="14"/>
      <c r="AC1443" s="14"/>
      <c r="AD1443" s="14"/>
      <c r="AE1443" s="14"/>
      <c r="AF1443" s="14"/>
      <c r="AG1443" s="14"/>
      <c r="AH1443" s="14"/>
      <c r="AI1443" s="14"/>
      <c r="AJ1443" s="15"/>
      <c r="AK1443" s="16"/>
    </row>
    <row r="1444" spans="2:37" x14ac:dyDescent="0.2">
      <c r="B1444" s="7" t="s">
        <v>61</v>
      </c>
      <c r="C1444" s="8">
        <v>12139</v>
      </c>
      <c r="D1444" s="9" t="s">
        <v>902</v>
      </c>
      <c r="E1444" s="10" t="s">
        <v>903</v>
      </c>
      <c r="F1444" s="10" t="s">
        <v>904</v>
      </c>
      <c r="G1444" s="8">
        <v>5</v>
      </c>
      <c r="H1444" s="11">
        <v>100</v>
      </c>
      <c r="I1444" s="12">
        <v>42554</v>
      </c>
      <c r="J1444" s="13">
        <f t="shared" si="51"/>
        <v>0</v>
      </c>
      <c r="K1444" s="14"/>
      <c r="L1444" s="14"/>
      <c r="M1444" s="14"/>
      <c r="N1444" s="14"/>
      <c r="O1444" s="14"/>
      <c r="P1444" s="14"/>
      <c r="Q1444" s="14"/>
      <c r="R1444" s="14"/>
      <c r="S1444" s="14"/>
      <c r="T1444" s="14"/>
      <c r="U1444" s="14"/>
      <c r="V1444" s="14"/>
      <c r="W1444" s="15">
        <f t="shared" si="52"/>
        <v>0</v>
      </c>
      <c r="X1444" s="14"/>
      <c r="Y1444" s="14"/>
      <c r="Z1444" s="14"/>
      <c r="AA1444" s="14"/>
      <c r="AB1444" s="14"/>
      <c r="AC1444" s="14"/>
      <c r="AD1444" s="14"/>
      <c r="AE1444" s="14"/>
      <c r="AF1444" s="14"/>
      <c r="AG1444" s="14"/>
      <c r="AH1444" s="14"/>
      <c r="AI1444" s="14"/>
      <c r="AJ1444" s="15"/>
      <c r="AK1444" s="16"/>
    </row>
    <row r="1445" spans="2:37" x14ac:dyDescent="0.2">
      <c r="B1445" s="7" t="s">
        <v>93</v>
      </c>
      <c r="C1445" s="8">
        <v>12140</v>
      </c>
      <c r="D1445" s="9"/>
      <c r="E1445" s="10" t="s">
        <v>93</v>
      </c>
      <c r="F1445" s="10" t="s">
        <v>93</v>
      </c>
      <c r="G1445" s="8">
        <v>8</v>
      </c>
      <c r="H1445" s="11"/>
      <c r="I1445" s="12"/>
      <c r="J1445" s="13">
        <f t="shared" si="51"/>
        <v>0</v>
      </c>
      <c r="K1445" s="14"/>
      <c r="L1445" s="14"/>
      <c r="M1445" s="14"/>
      <c r="N1445" s="14"/>
      <c r="O1445" s="14"/>
      <c r="P1445" s="14"/>
      <c r="Q1445" s="14"/>
      <c r="R1445" s="14"/>
      <c r="S1445" s="14"/>
      <c r="T1445" s="14"/>
      <c r="U1445" s="14"/>
      <c r="V1445" s="14"/>
      <c r="W1445" s="15">
        <f t="shared" si="52"/>
        <v>0</v>
      </c>
      <c r="X1445" s="14"/>
      <c r="Y1445" s="14"/>
      <c r="Z1445" s="14"/>
      <c r="AA1445" s="14"/>
      <c r="AB1445" s="14"/>
      <c r="AC1445" s="14"/>
      <c r="AD1445" s="14"/>
      <c r="AE1445" s="14"/>
      <c r="AF1445" s="14"/>
      <c r="AG1445" s="14"/>
      <c r="AH1445" s="14"/>
      <c r="AI1445" s="14"/>
      <c r="AJ1445" s="15"/>
      <c r="AK1445" s="16"/>
    </row>
    <row r="1446" spans="2:37" x14ac:dyDescent="0.2">
      <c r="B1446" s="7" t="s">
        <v>73</v>
      </c>
      <c r="C1446" s="8">
        <v>12141</v>
      </c>
      <c r="D1446" s="9" t="s">
        <v>929</v>
      </c>
      <c r="E1446" s="10" t="s">
        <v>930</v>
      </c>
      <c r="F1446" s="10" t="s">
        <v>931</v>
      </c>
      <c r="G1446" s="8">
        <v>5</v>
      </c>
      <c r="H1446" s="11">
        <v>50</v>
      </c>
      <c r="I1446" s="12">
        <v>42554</v>
      </c>
      <c r="J1446" s="13">
        <f t="shared" si="51"/>
        <v>0</v>
      </c>
      <c r="K1446" s="14"/>
      <c r="L1446" s="14"/>
      <c r="M1446" s="14"/>
      <c r="N1446" s="14"/>
      <c r="O1446" s="14"/>
      <c r="P1446" s="14"/>
      <c r="Q1446" s="14"/>
      <c r="R1446" s="14"/>
      <c r="S1446" s="14"/>
      <c r="T1446" s="14"/>
      <c r="U1446" s="14"/>
      <c r="V1446" s="14"/>
      <c r="W1446" s="15">
        <f t="shared" si="52"/>
        <v>0</v>
      </c>
      <c r="X1446" s="14"/>
      <c r="Y1446" s="14"/>
      <c r="Z1446" s="14"/>
      <c r="AA1446" s="14"/>
      <c r="AB1446" s="14"/>
      <c r="AC1446" s="14"/>
      <c r="AD1446" s="14"/>
      <c r="AE1446" s="14"/>
      <c r="AF1446" s="14"/>
      <c r="AG1446" s="14"/>
      <c r="AH1446" s="14"/>
      <c r="AI1446" s="14"/>
      <c r="AJ1446" s="15"/>
      <c r="AK1446" s="16"/>
    </row>
    <row r="1447" spans="2:37" x14ac:dyDescent="0.2">
      <c r="B1447" s="7" t="s">
        <v>93</v>
      </c>
      <c r="C1447" s="8">
        <v>12142</v>
      </c>
      <c r="D1447" s="9"/>
      <c r="E1447" s="10" t="s">
        <v>93</v>
      </c>
      <c r="F1447" s="10" t="s">
        <v>93</v>
      </c>
      <c r="G1447" s="8">
        <v>8</v>
      </c>
      <c r="H1447" s="11"/>
      <c r="I1447" s="12"/>
      <c r="J1447" s="13">
        <f t="shared" si="51"/>
        <v>0</v>
      </c>
      <c r="K1447" s="14"/>
      <c r="L1447" s="14"/>
      <c r="M1447" s="14"/>
      <c r="N1447" s="14"/>
      <c r="O1447" s="14"/>
      <c r="P1447" s="14"/>
      <c r="Q1447" s="14"/>
      <c r="R1447" s="14"/>
      <c r="S1447" s="14"/>
      <c r="T1447" s="14"/>
      <c r="U1447" s="14"/>
      <c r="V1447" s="14"/>
      <c r="W1447" s="15">
        <f t="shared" si="52"/>
        <v>0</v>
      </c>
      <c r="X1447" s="14"/>
      <c r="Y1447" s="14"/>
      <c r="Z1447" s="14"/>
      <c r="AA1447" s="14"/>
      <c r="AB1447" s="14"/>
      <c r="AC1447" s="14"/>
      <c r="AD1447" s="14"/>
      <c r="AE1447" s="14"/>
      <c r="AF1447" s="14"/>
      <c r="AG1447" s="14"/>
      <c r="AH1447" s="14"/>
      <c r="AI1447" s="14"/>
      <c r="AJ1447" s="15"/>
      <c r="AK1447" s="16"/>
    </row>
    <row r="1448" spans="2:37" x14ac:dyDescent="0.2">
      <c r="B1448" s="7" t="s">
        <v>47</v>
      </c>
      <c r="C1448" s="8">
        <v>12143</v>
      </c>
      <c r="D1448" s="9" t="s">
        <v>103</v>
      </c>
      <c r="E1448" s="10" t="s">
        <v>104</v>
      </c>
      <c r="F1448" s="10" t="s">
        <v>105</v>
      </c>
      <c r="G1448" s="8">
        <v>5</v>
      </c>
      <c r="H1448" s="11">
        <v>250</v>
      </c>
      <c r="I1448" s="12">
        <v>42554</v>
      </c>
      <c r="J1448" s="13">
        <f t="shared" si="51"/>
        <v>0</v>
      </c>
      <c r="K1448" s="14"/>
      <c r="L1448" s="14"/>
      <c r="M1448" s="14"/>
      <c r="N1448" s="14"/>
      <c r="O1448" s="14"/>
      <c r="P1448" s="14"/>
      <c r="Q1448" s="14"/>
      <c r="R1448" s="14"/>
      <c r="S1448" s="14"/>
      <c r="T1448" s="14"/>
      <c r="U1448" s="14"/>
      <c r="V1448" s="14"/>
      <c r="W1448" s="15">
        <f t="shared" si="52"/>
        <v>0</v>
      </c>
      <c r="X1448" s="14"/>
      <c r="Y1448" s="14"/>
      <c r="Z1448" s="14"/>
      <c r="AA1448" s="14"/>
      <c r="AB1448" s="14"/>
      <c r="AC1448" s="14"/>
      <c r="AD1448" s="14"/>
      <c r="AE1448" s="14"/>
      <c r="AF1448" s="14"/>
      <c r="AG1448" s="14"/>
      <c r="AH1448" s="14"/>
      <c r="AI1448" s="14"/>
      <c r="AJ1448" s="15"/>
      <c r="AK1448" s="16"/>
    </row>
    <row r="1449" spans="2:37" x14ac:dyDescent="0.2">
      <c r="B1449" s="7" t="s">
        <v>61</v>
      </c>
      <c r="C1449" s="8">
        <v>12144</v>
      </c>
      <c r="D1449" s="9" t="s">
        <v>663</v>
      </c>
      <c r="E1449" s="10" t="s">
        <v>664</v>
      </c>
      <c r="F1449" s="10" t="s">
        <v>665</v>
      </c>
      <c r="G1449" s="8">
        <v>5</v>
      </c>
      <c r="H1449" s="11">
        <v>50</v>
      </c>
      <c r="I1449" s="12">
        <v>42554</v>
      </c>
      <c r="J1449" s="13">
        <f t="shared" si="51"/>
        <v>0</v>
      </c>
      <c r="K1449" s="14"/>
      <c r="L1449" s="14"/>
      <c r="M1449" s="14"/>
      <c r="N1449" s="14"/>
      <c r="O1449" s="14"/>
      <c r="P1449" s="14"/>
      <c r="Q1449" s="14"/>
      <c r="R1449" s="14"/>
      <c r="S1449" s="14"/>
      <c r="T1449" s="14"/>
      <c r="U1449" s="14"/>
      <c r="V1449" s="14"/>
      <c r="W1449" s="15">
        <f t="shared" si="52"/>
        <v>0</v>
      </c>
      <c r="X1449" s="14"/>
      <c r="Y1449" s="14"/>
      <c r="Z1449" s="14"/>
      <c r="AA1449" s="14"/>
      <c r="AB1449" s="14"/>
      <c r="AC1449" s="14"/>
      <c r="AD1449" s="14"/>
      <c r="AE1449" s="14"/>
      <c r="AF1449" s="14"/>
      <c r="AG1449" s="14"/>
      <c r="AH1449" s="14"/>
      <c r="AI1449" s="14"/>
      <c r="AJ1449" s="15"/>
      <c r="AK1449" s="16"/>
    </row>
    <row r="1450" spans="2:37" x14ac:dyDescent="0.2">
      <c r="B1450" s="7" t="s">
        <v>69</v>
      </c>
      <c r="C1450" s="8">
        <v>12145</v>
      </c>
      <c r="D1450" s="9" t="s">
        <v>743</v>
      </c>
      <c r="E1450" s="10" t="s">
        <v>744</v>
      </c>
      <c r="F1450" s="10" t="s">
        <v>745</v>
      </c>
      <c r="G1450" s="8">
        <v>5</v>
      </c>
      <c r="H1450" s="11">
        <v>100</v>
      </c>
      <c r="I1450" s="12">
        <v>42554</v>
      </c>
      <c r="J1450" s="13">
        <f t="shared" si="51"/>
        <v>0</v>
      </c>
      <c r="K1450" s="14"/>
      <c r="L1450" s="14"/>
      <c r="M1450" s="14"/>
      <c r="N1450" s="14"/>
      <c r="O1450" s="14"/>
      <c r="P1450" s="14"/>
      <c r="Q1450" s="14"/>
      <c r="R1450" s="14"/>
      <c r="S1450" s="14"/>
      <c r="T1450" s="14"/>
      <c r="U1450" s="14"/>
      <c r="V1450" s="14"/>
      <c r="W1450" s="15">
        <f t="shared" si="52"/>
        <v>0</v>
      </c>
      <c r="X1450" s="14"/>
      <c r="Y1450" s="14"/>
      <c r="Z1450" s="14"/>
      <c r="AA1450" s="14"/>
      <c r="AB1450" s="14"/>
      <c r="AC1450" s="14"/>
      <c r="AD1450" s="14"/>
      <c r="AE1450" s="14"/>
      <c r="AF1450" s="14"/>
      <c r="AG1450" s="14"/>
      <c r="AH1450" s="14"/>
      <c r="AI1450" s="14"/>
      <c r="AJ1450" s="15"/>
      <c r="AK1450" s="16"/>
    </row>
    <row r="1451" spans="2:37" x14ac:dyDescent="0.2">
      <c r="B1451" s="7" t="s">
        <v>47</v>
      </c>
      <c r="C1451" s="8">
        <v>12146</v>
      </c>
      <c r="D1451" s="9" t="s">
        <v>144</v>
      </c>
      <c r="E1451" s="10" t="s">
        <v>145</v>
      </c>
      <c r="F1451" s="10" t="s">
        <v>146</v>
      </c>
      <c r="G1451" s="8">
        <v>5</v>
      </c>
      <c r="H1451" s="11">
        <v>150</v>
      </c>
      <c r="I1451" s="12">
        <v>42554</v>
      </c>
      <c r="J1451" s="13">
        <f t="shared" si="51"/>
        <v>0</v>
      </c>
      <c r="K1451" s="14"/>
      <c r="L1451" s="14"/>
      <c r="M1451" s="14"/>
      <c r="N1451" s="14"/>
      <c r="O1451" s="14"/>
      <c r="P1451" s="14"/>
      <c r="Q1451" s="14"/>
      <c r="R1451" s="14"/>
      <c r="S1451" s="14"/>
      <c r="T1451" s="14"/>
      <c r="U1451" s="14"/>
      <c r="V1451" s="14"/>
      <c r="W1451" s="15">
        <f t="shared" si="52"/>
        <v>0</v>
      </c>
      <c r="X1451" s="14"/>
      <c r="Y1451" s="14"/>
      <c r="Z1451" s="14"/>
      <c r="AA1451" s="14"/>
      <c r="AB1451" s="14"/>
      <c r="AC1451" s="14"/>
      <c r="AD1451" s="14"/>
      <c r="AE1451" s="14"/>
      <c r="AF1451" s="14"/>
      <c r="AG1451" s="14"/>
      <c r="AH1451" s="14"/>
      <c r="AI1451" s="14"/>
      <c r="AJ1451" s="15"/>
      <c r="AK1451" s="16"/>
    </row>
    <row r="1452" spans="2:37" x14ac:dyDescent="0.2">
      <c r="B1452" s="7" t="s">
        <v>69</v>
      </c>
      <c r="C1452" s="8">
        <v>12147</v>
      </c>
      <c r="D1452" s="9" t="s">
        <v>1039</v>
      </c>
      <c r="E1452" s="10" t="s">
        <v>1040</v>
      </c>
      <c r="F1452" s="10" t="s">
        <v>1041</v>
      </c>
      <c r="G1452" s="8">
        <v>5</v>
      </c>
      <c r="H1452" s="11">
        <v>50</v>
      </c>
      <c r="I1452" s="12">
        <v>42554</v>
      </c>
      <c r="J1452" s="13">
        <f t="shared" si="51"/>
        <v>0</v>
      </c>
      <c r="K1452" s="14"/>
      <c r="L1452" s="14"/>
      <c r="M1452" s="14"/>
      <c r="N1452" s="14"/>
      <c r="O1452" s="14"/>
      <c r="P1452" s="14"/>
      <c r="Q1452" s="14"/>
      <c r="R1452" s="14"/>
      <c r="S1452" s="14"/>
      <c r="T1452" s="14"/>
      <c r="U1452" s="14"/>
      <c r="V1452" s="14"/>
      <c r="W1452" s="15">
        <f t="shared" si="52"/>
        <v>0</v>
      </c>
      <c r="X1452" s="14"/>
      <c r="Y1452" s="14"/>
      <c r="Z1452" s="14"/>
      <c r="AA1452" s="14"/>
      <c r="AB1452" s="14"/>
      <c r="AC1452" s="14"/>
      <c r="AD1452" s="14"/>
      <c r="AE1452" s="14"/>
      <c r="AF1452" s="14"/>
      <c r="AG1452" s="14"/>
      <c r="AH1452" s="14"/>
      <c r="AI1452" s="14"/>
      <c r="AJ1452" s="15"/>
      <c r="AK1452" s="16"/>
    </row>
    <row r="1453" spans="2:37" x14ac:dyDescent="0.2">
      <c r="B1453" s="7" t="s">
        <v>73</v>
      </c>
      <c r="C1453" s="8">
        <v>12148</v>
      </c>
      <c r="D1453" s="9" t="s">
        <v>458</v>
      </c>
      <c r="E1453" s="10" t="s">
        <v>459</v>
      </c>
      <c r="F1453" s="10" t="s">
        <v>460</v>
      </c>
      <c r="G1453" s="8">
        <v>5</v>
      </c>
      <c r="H1453" s="11">
        <v>200</v>
      </c>
      <c r="I1453" s="12">
        <v>42554</v>
      </c>
      <c r="J1453" s="13">
        <f t="shared" si="51"/>
        <v>0</v>
      </c>
      <c r="K1453" s="14"/>
      <c r="L1453" s="14"/>
      <c r="M1453" s="14"/>
      <c r="N1453" s="14"/>
      <c r="O1453" s="14"/>
      <c r="P1453" s="14"/>
      <c r="Q1453" s="14"/>
      <c r="R1453" s="14"/>
      <c r="S1453" s="14"/>
      <c r="T1453" s="14"/>
      <c r="U1453" s="14"/>
      <c r="V1453" s="14"/>
      <c r="W1453" s="15">
        <f t="shared" si="52"/>
        <v>0</v>
      </c>
      <c r="X1453" s="14"/>
      <c r="Y1453" s="14"/>
      <c r="Z1453" s="14"/>
      <c r="AA1453" s="14"/>
      <c r="AB1453" s="14"/>
      <c r="AC1453" s="14"/>
      <c r="AD1453" s="14"/>
      <c r="AE1453" s="14"/>
      <c r="AF1453" s="14"/>
      <c r="AG1453" s="14"/>
      <c r="AH1453" s="14"/>
      <c r="AI1453" s="14"/>
      <c r="AJ1453" s="15"/>
      <c r="AK1453" s="16"/>
    </row>
    <row r="1454" spans="2:37" x14ac:dyDescent="0.2">
      <c r="B1454" s="7" t="s">
        <v>47</v>
      </c>
      <c r="C1454" s="8">
        <v>12149</v>
      </c>
      <c r="D1454" s="9" t="s">
        <v>425</v>
      </c>
      <c r="E1454" s="10" t="s">
        <v>426</v>
      </c>
      <c r="F1454" s="10" t="s">
        <v>427</v>
      </c>
      <c r="G1454" s="8">
        <v>5</v>
      </c>
      <c r="H1454" s="11">
        <v>50</v>
      </c>
      <c r="I1454" s="12">
        <v>42554</v>
      </c>
      <c r="J1454" s="13">
        <f t="shared" si="51"/>
        <v>0</v>
      </c>
      <c r="K1454" s="14"/>
      <c r="L1454" s="14"/>
      <c r="M1454" s="14"/>
      <c r="N1454" s="14"/>
      <c r="O1454" s="14"/>
      <c r="P1454" s="14"/>
      <c r="Q1454" s="14"/>
      <c r="R1454" s="14"/>
      <c r="S1454" s="14"/>
      <c r="T1454" s="14"/>
      <c r="U1454" s="14"/>
      <c r="V1454" s="14"/>
      <c r="W1454" s="15">
        <f t="shared" si="52"/>
        <v>0</v>
      </c>
      <c r="X1454" s="14"/>
      <c r="Y1454" s="14"/>
      <c r="Z1454" s="14"/>
      <c r="AA1454" s="14"/>
      <c r="AB1454" s="14"/>
      <c r="AC1454" s="14"/>
      <c r="AD1454" s="14"/>
      <c r="AE1454" s="14"/>
      <c r="AF1454" s="14"/>
      <c r="AG1454" s="14"/>
      <c r="AH1454" s="14"/>
      <c r="AI1454" s="14"/>
      <c r="AJ1454" s="15"/>
      <c r="AK1454" s="16"/>
    </row>
    <row r="1455" spans="2:37" x14ac:dyDescent="0.2">
      <c r="B1455" s="7" t="s">
        <v>37</v>
      </c>
      <c r="C1455" s="8">
        <v>12150</v>
      </c>
      <c r="D1455" s="9" t="s">
        <v>932</v>
      </c>
      <c r="E1455" s="10" t="s">
        <v>933</v>
      </c>
      <c r="F1455" s="10" t="s">
        <v>934</v>
      </c>
      <c r="G1455" s="8">
        <v>5</v>
      </c>
      <c r="H1455" s="11">
        <v>150</v>
      </c>
      <c r="I1455" s="12">
        <v>42554</v>
      </c>
      <c r="J1455" s="13">
        <f t="shared" si="51"/>
        <v>0</v>
      </c>
      <c r="K1455" s="14"/>
      <c r="L1455" s="14"/>
      <c r="M1455" s="14"/>
      <c r="N1455" s="14"/>
      <c r="O1455" s="14"/>
      <c r="P1455" s="14"/>
      <c r="Q1455" s="14"/>
      <c r="R1455" s="14"/>
      <c r="S1455" s="14"/>
      <c r="T1455" s="14"/>
      <c r="U1455" s="14"/>
      <c r="V1455" s="14"/>
      <c r="W1455" s="15">
        <f t="shared" si="52"/>
        <v>0</v>
      </c>
      <c r="X1455" s="14"/>
      <c r="Y1455" s="14"/>
      <c r="Z1455" s="14"/>
      <c r="AA1455" s="14"/>
      <c r="AB1455" s="14"/>
      <c r="AC1455" s="14"/>
      <c r="AD1455" s="14"/>
      <c r="AE1455" s="14"/>
      <c r="AF1455" s="14"/>
      <c r="AG1455" s="14"/>
      <c r="AH1455" s="14"/>
      <c r="AI1455" s="14"/>
      <c r="AJ1455" s="15"/>
      <c r="AK1455" s="16"/>
    </row>
    <row r="1456" spans="2:37" x14ac:dyDescent="0.2">
      <c r="B1456" s="7" t="s">
        <v>47</v>
      </c>
      <c r="C1456" s="8">
        <v>12151</v>
      </c>
      <c r="D1456" s="9" t="s">
        <v>580</v>
      </c>
      <c r="E1456" s="10" t="s">
        <v>581</v>
      </c>
      <c r="F1456" s="10" t="s">
        <v>582</v>
      </c>
      <c r="G1456" s="8">
        <v>5</v>
      </c>
      <c r="H1456" s="11">
        <v>100</v>
      </c>
      <c r="I1456" s="12">
        <v>42554</v>
      </c>
      <c r="J1456" s="13">
        <f t="shared" si="51"/>
        <v>0</v>
      </c>
      <c r="K1456" s="14"/>
      <c r="L1456" s="14"/>
      <c r="M1456" s="14"/>
      <c r="N1456" s="14"/>
      <c r="O1456" s="14"/>
      <c r="P1456" s="14"/>
      <c r="Q1456" s="14"/>
      <c r="R1456" s="14"/>
      <c r="S1456" s="14"/>
      <c r="T1456" s="14"/>
      <c r="U1456" s="14"/>
      <c r="V1456" s="14"/>
      <c r="W1456" s="15">
        <f t="shared" si="52"/>
        <v>0</v>
      </c>
      <c r="X1456" s="14"/>
      <c r="Y1456" s="14"/>
      <c r="Z1456" s="14"/>
      <c r="AA1456" s="14"/>
      <c r="AB1456" s="14"/>
      <c r="AC1456" s="14"/>
      <c r="AD1456" s="14"/>
      <c r="AE1456" s="14"/>
      <c r="AF1456" s="14"/>
      <c r="AG1456" s="14"/>
      <c r="AH1456" s="14"/>
      <c r="AI1456" s="14"/>
      <c r="AJ1456" s="15"/>
      <c r="AK1456" s="16"/>
    </row>
    <row r="1457" spans="2:37" x14ac:dyDescent="0.2">
      <c r="B1457" s="7" t="s">
        <v>73</v>
      </c>
      <c r="C1457" s="8">
        <v>12152</v>
      </c>
      <c r="D1457" s="9" t="s">
        <v>458</v>
      </c>
      <c r="E1457" s="10" t="s">
        <v>459</v>
      </c>
      <c r="F1457" s="10" t="s">
        <v>460</v>
      </c>
      <c r="G1457" s="8">
        <v>3</v>
      </c>
      <c r="H1457" s="11">
        <v>200</v>
      </c>
      <c r="I1457" s="12">
        <v>42554</v>
      </c>
      <c r="J1457" s="13">
        <f t="shared" si="51"/>
        <v>0</v>
      </c>
      <c r="K1457" s="14"/>
      <c r="L1457" s="14"/>
      <c r="M1457" s="14"/>
      <c r="N1457" s="14"/>
      <c r="O1457" s="14"/>
      <c r="P1457" s="14"/>
      <c r="Q1457" s="14"/>
      <c r="R1457" s="14"/>
      <c r="S1457" s="14"/>
      <c r="T1457" s="14"/>
      <c r="U1457" s="14"/>
      <c r="V1457" s="14"/>
      <c r="W1457" s="15">
        <f t="shared" si="52"/>
        <v>0</v>
      </c>
      <c r="X1457" s="14"/>
      <c r="Y1457" s="14"/>
      <c r="Z1457" s="14"/>
      <c r="AA1457" s="14"/>
      <c r="AB1457" s="14"/>
      <c r="AC1457" s="14"/>
      <c r="AD1457" s="14"/>
      <c r="AE1457" s="14"/>
      <c r="AF1457" s="14"/>
      <c r="AG1457" s="14"/>
      <c r="AH1457" s="14"/>
      <c r="AI1457" s="14"/>
      <c r="AJ1457" s="15"/>
      <c r="AK1457" s="16"/>
    </row>
    <row r="1458" spans="2:37" x14ac:dyDescent="0.2">
      <c r="B1458" s="7" t="s">
        <v>69</v>
      </c>
      <c r="C1458" s="8">
        <v>12153</v>
      </c>
      <c r="D1458" s="9" t="s">
        <v>361</v>
      </c>
      <c r="E1458" s="10" t="s">
        <v>362</v>
      </c>
      <c r="F1458" s="10" t="s">
        <v>363</v>
      </c>
      <c r="G1458" s="8">
        <v>1</v>
      </c>
      <c r="H1458" s="11">
        <v>400</v>
      </c>
      <c r="I1458" s="12">
        <v>42554</v>
      </c>
      <c r="J1458" s="13">
        <f t="shared" si="51"/>
        <v>0</v>
      </c>
      <c r="K1458" s="14"/>
      <c r="L1458" s="14"/>
      <c r="M1458" s="14"/>
      <c r="N1458" s="14"/>
      <c r="O1458" s="14"/>
      <c r="P1458" s="14"/>
      <c r="Q1458" s="14">
        <v>400</v>
      </c>
      <c r="R1458" s="14"/>
      <c r="S1458" s="14"/>
      <c r="T1458" s="14"/>
      <c r="U1458" s="14"/>
      <c r="V1458" s="14"/>
      <c r="W1458" s="15">
        <f t="shared" si="52"/>
        <v>400</v>
      </c>
      <c r="X1458" s="14"/>
      <c r="Y1458" s="14"/>
      <c r="Z1458" s="14"/>
      <c r="AA1458" s="14"/>
      <c r="AB1458" s="14"/>
      <c r="AC1458" s="14"/>
      <c r="AD1458" s="14"/>
      <c r="AE1458" s="14"/>
      <c r="AF1458" s="14"/>
      <c r="AG1458" s="14"/>
      <c r="AH1458" s="14"/>
      <c r="AI1458" s="14"/>
      <c r="AJ1458" s="15"/>
      <c r="AK1458" s="16"/>
    </row>
    <row r="1459" spans="2:37" x14ac:dyDescent="0.2">
      <c r="B1459" s="7" t="s">
        <v>37</v>
      </c>
      <c r="C1459" s="8">
        <v>12154</v>
      </c>
      <c r="D1459" s="9" t="s">
        <v>794</v>
      </c>
      <c r="E1459" s="10" t="s">
        <v>795</v>
      </c>
      <c r="F1459" s="10" t="s">
        <v>796</v>
      </c>
      <c r="G1459" s="8">
        <v>1</v>
      </c>
      <c r="H1459" s="11">
        <v>300</v>
      </c>
      <c r="I1459" s="12">
        <v>42554</v>
      </c>
      <c r="J1459" s="13">
        <f t="shared" si="51"/>
        <v>0</v>
      </c>
      <c r="K1459" s="14"/>
      <c r="L1459" s="14"/>
      <c r="M1459" s="14"/>
      <c r="N1459" s="14"/>
      <c r="O1459" s="14"/>
      <c r="P1459" s="14"/>
      <c r="Q1459" s="14">
        <v>300</v>
      </c>
      <c r="R1459" s="14"/>
      <c r="S1459" s="14"/>
      <c r="T1459" s="14"/>
      <c r="U1459" s="14"/>
      <c r="V1459" s="14"/>
      <c r="W1459" s="15">
        <f t="shared" si="52"/>
        <v>300</v>
      </c>
      <c r="X1459" s="14"/>
      <c r="Y1459" s="14"/>
      <c r="Z1459" s="14"/>
      <c r="AA1459" s="14"/>
      <c r="AB1459" s="14"/>
      <c r="AC1459" s="14"/>
      <c r="AD1459" s="14"/>
      <c r="AE1459" s="14"/>
      <c r="AF1459" s="14"/>
      <c r="AG1459" s="14"/>
      <c r="AH1459" s="14"/>
      <c r="AI1459" s="14"/>
      <c r="AJ1459" s="15"/>
      <c r="AK1459" s="16"/>
    </row>
    <row r="1460" spans="2:37" x14ac:dyDescent="0.2">
      <c r="B1460" s="7" t="s">
        <v>73</v>
      </c>
      <c r="C1460" s="8">
        <v>12155</v>
      </c>
      <c r="D1460" s="9" t="s">
        <v>782</v>
      </c>
      <c r="E1460" s="10" t="s">
        <v>783</v>
      </c>
      <c r="F1460" s="10" t="s">
        <v>784</v>
      </c>
      <c r="G1460" s="8">
        <v>1</v>
      </c>
      <c r="H1460" s="11">
        <v>600</v>
      </c>
      <c r="I1460" s="12">
        <v>42554</v>
      </c>
      <c r="J1460" s="13">
        <f t="shared" si="51"/>
        <v>0</v>
      </c>
      <c r="K1460" s="14"/>
      <c r="L1460" s="14"/>
      <c r="M1460" s="14"/>
      <c r="N1460" s="14"/>
      <c r="O1460" s="14"/>
      <c r="P1460" s="14"/>
      <c r="Q1460" s="14">
        <v>200</v>
      </c>
      <c r="R1460" s="14">
        <v>200</v>
      </c>
      <c r="S1460" s="14">
        <v>200</v>
      </c>
      <c r="T1460" s="14"/>
      <c r="U1460" s="14"/>
      <c r="V1460" s="14"/>
      <c r="W1460" s="15">
        <f t="shared" si="52"/>
        <v>600</v>
      </c>
      <c r="X1460" s="14"/>
      <c r="Y1460" s="14"/>
      <c r="Z1460" s="14"/>
      <c r="AA1460" s="14"/>
      <c r="AB1460" s="14"/>
      <c r="AC1460" s="14"/>
      <c r="AD1460" s="14"/>
      <c r="AE1460" s="14"/>
      <c r="AF1460" s="14"/>
      <c r="AG1460" s="14"/>
      <c r="AH1460" s="14"/>
      <c r="AI1460" s="14"/>
      <c r="AJ1460" s="15"/>
      <c r="AK1460" s="16"/>
    </row>
    <row r="1461" spans="2:37" x14ac:dyDescent="0.2">
      <c r="B1461" s="7" t="s">
        <v>77</v>
      </c>
      <c r="C1461" s="8">
        <v>12156</v>
      </c>
      <c r="D1461" s="9" t="s">
        <v>874</v>
      </c>
      <c r="E1461" s="10" t="s">
        <v>875</v>
      </c>
      <c r="F1461" s="10" t="s">
        <v>493</v>
      </c>
      <c r="G1461" s="8">
        <v>1</v>
      </c>
      <c r="H1461" s="11">
        <v>400</v>
      </c>
      <c r="I1461" s="12">
        <v>42554</v>
      </c>
      <c r="J1461" s="13">
        <f t="shared" si="51"/>
        <v>0</v>
      </c>
      <c r="K1461" s="14"/>
      <c r="L1461" s="14"/>
      <c r="M1461" s="14"/>
      <c r="N1461" s="14"/>
      <c r="O1461" s="14"/>
      <c r="P1461" s="14">
        <v>200</v>
      </c>
      <c r="Q1461" s="14">
        <v>200</v>
      </c>
      <c r="R1461" s="14"/>
      <c r="S1461" s="14"/>
      <c r="T1461" s="14"/>
      <c r="U1461" s="14"/>
      <c r="V1461" s="14"/>
      <c r="W1461" s="15">
        <f t="shared" si="52"/>
        <v>400</v>
      </c>
      <c r="X1461" s="14"/>
      <c r="Y1461" s="14"/>
      <c r="Z1461" s="14"/>
      <c r="AA1461" s="14"/>
      <c r="AB1461" s="14"/>
      <c r="AC1461" s="14"/>
      <c r="AD1461" s="14"/>
      <c r="AE1461" s="14"/>
      <c r="AF1461" s="14"/>
      <c r="AG1461" s="14"/>
      <c r="AH1461" s="14"/>
      <c r="AI1461" s="14"/>
      <c r="AJ1461" s="15"/>
      <c r="AK1461" s="16"/>
    </row>
    <row r="1462" spans="2:37" x14ac:dyDescent="0.2">
      <c r="B1462" s="7" t="s">
        <v>37</v>
      </c>
      <c r="C1462" s="8">
        <v>12157</v>
      </c>
      <c r="D1462" s="9" t="s">
        <v>307</v>
      </c>
      <c r="E1462" s="10" t="s">
        <v>308</v>
      </c>
      <c r="F1462" s="10" t="s">
        <v>309</v>
      </c>
      <c r="G1462" s="8">
        <v>1</v>
      </c>
      <c r="H1462" s="11">
        <v>350</v>
      </c>
      <c r="I1462" s="12">
        <v>42554</v>
      </c>
      <c r="J1462" s="13">
        <f t="shared" si="51"/>
        <v>0</v>
      </c>
      <c r="K1462" s="14"/>
      <c r="L1462" s="14"/>
      <c r="M1462" s="14"/>
      <c r="N1462" s="14"/>
      <c r="O1462" s="14"/>
      <c r="P1462" s="14"/>
      <c r="Q1462" s="14">
        <v>350</v>
      </c>
      <c r="R1462" s="14"/>
      <c r="S1462" s="14"/>
      <c r="T1462" s="14"/>
      <c r="U1462" s="14"/>
      <c r="V1462" s="14"/>
      <c r="W1462" s="15">
        <f t="shared" si="52"/>
        <v>350</v>
      </c>
      <c r="X1462" s="14"/>
      <c r="Y1462" s="14"/>
      <c r="Z1462" s="14"/>
      <c r="AA1462" s="14"/>
      <c r="AB1462" s="14"/>
      <c r="AC1462" s="14"/>
      <c r="AD1462" s="14"/>
      <c r="AE1462" s="14"/>
      <c r="AF1462" s="14"/>
      <c r="AG1462" s="14"/>
      <c r="AH1462" s="14"/>
      <c r="AI1462" s="14"/>
      <c r="AJ1462" s="15"/>
      <c r="AK1462" s="16"/>
    </row>
    <row r="1463" spans="2:37" x14ac:dyDescent="0.2">
      <c r="B1463" s="7" t="s">
        <v>69</v>
      </c>
      <c r="C1463" s="8">
        <v>12158</v>
      </c>
      <c r="D1463" s="9" t="s">
        <v>325</v>
      </c>
      <c r="E1463" s="10" t="s">
        <v>326</v>
      </c>
      <c r="F1463" s="10" t="s">
        <v>327</v>
      </c>
      <c r="G1463" s="8">
        <v>1</v>
      </c>
      <c r="H1463" s="11">
        <v>400</v>
      </c>
      <c r="I1463" s="12">
        <v>42554</v>
      </c>
      <c r="J1463" s="13">
        <f t="shared" si="51"/>
        <v>0</v>
      </c>
      <c r="K1463" s="14"/>
      <c r="L1463" s="14"/>
      <c r="M1463" s="14"/>
      <c r="N1463" s="14"/>
      <c r="O1463" s="14"/>
      <c r="P1463" s="14"/>
      <c r="Q1463" s="14">
        <v>400</v>
      </c>
      <c r="R1463" s="14"/>
      <c r="S1463" s="14"/>
      <c r="T1463" s="14"/>
      <c r="U1463" s="14"/>
      <c r="V1463" s="14"/>
      <c r="W1463" s="15">
        <f t="shared" si="52"/>
        <v>400</v>
      </c>
      <c r="X1463" s="14"/>
      <c r="Y1463" s="14"/>
      <c r="Z1463" s="14"/>
      <c r="AA1463" s="14"/>
      <c r="AB1463" s="14"/>
      <c r="AC1463" s="14"/>
      <c r="AD1463" s="14"/>
      <c r="AE1463" s="14"/>
      <c r="AF1463" s="14"/>
      <c r="AG1463" s="14"/>
      <c r="AH1463" s="14"/>
      <c r="AI1463" s="14"/>
      <c r="AJ1463" s="15"/>
      <c r="AK1463" s="16"/>
    </row>
    <row r="1464" spans="2:37" x14ac:dyDescent="0.2">
      <c r="B1464" s="7" t="s">
        <v>61</v>
      </c>
      <c r="C1464" s="8">
        <v>12159</v>
      </c>
      <c r="D1464" s="9" t="s">
        <v>902</v>
      </c>
      <c r="E1464" s="10" t="s">
        <v>903</v>
      </c>
      <c r="F1464" s="10" t="s">
        <v>904</v>
      </c>
      <c r="G1464" s="8">
        <v>3</v>
      </c>
      <c r="H1464" s="11">
        <v>200</v>
      </c>
      <c r="I1464" s="12">
        <v>42554</v>
      </c>
      <c r="J1464" s="13">
        <f t="shared" si="51"/>
        <v>0</v>
      </c>
      <c r="K1464" s="14"/>
      <c r="L1464" s="14"/>
      <c r="M1464" s="14"/>
      <c r="N1464" s="14"/>
      <c r="O1464" s="14"/>
      <c r="P1464" s="14"/>
      <c r="Q1464" s="14"/>
      <c r="R1464" s="14"/>
      <c r="S1464" s="14"/>
      <c r="T1464" s="14"/>
      <c r="U1464" s="14"/>
      <c r="V1464" s="14"/>
      <c r="W1464" s="15">
        <f t="shared" si="52"/>
        <v>0</v>
      </c>
      <c r="X1464" s="14"/>
      <c r="Y1464" s="14"/>
      <c r="Z1464" s="14"/>
      <c r="AA1464" s="14"/>
      <c r="AB1464" s="14"/>
      <c r="AC1464" s="14"/>
      <c r="AD1464" s="14"/>
      <c r="AE1464" s="14"/>
      <c r="AF1464" s="14"/>
      <c r="AG1464" s="14"/>
      <c r="AH1464" s="14"/>
      <c r="AI1464" s="14"/>
      <c r="AJ1464" s="15"/>
      <c r="AK1464" s="16"/>
    </row>
    <row r="1465" spans="2:37" x14ac:dyDescent="0.2">
      <c r="B1465" s="7" t="s">
        <v>73</v>
      </c>
      <c r="C1465" s="8">
        <v>12160</v>
      </c>
      <c r="D1465" s="9" t="s">
        <v>115</v>
      </c>
      <c r="E1465" s="10" t="s">
        <v>116</v>
      </c>
      <c r="F1465" s="10" t="s">
        <v>117</v>
      </c>
      <c r="G1465" s="8">
        <v>1</v>
      </c>
      <c r="H1465" s="11">
        <v>150</v>
      </c>
      <c r="I1465" s="12">
        <v>42554</v>
      </c>
      <c r="J1465" s="13">
        <f t="shared" si="51"/>
        <v>0</v>
      </c>
      <c r="K1465" s="14"/>
      <c r="L1465" s="14"/>
      <c r="M1465" s="14"/>
      <c r="N1465" s="14"/>
      <c r="O1465" s="14"/>
      <c r="P1465" s="14"/>
      <c r="Q1465" s="14">
        <v>150</v>
      </c>
      <c r="R1465" s="14"/>
      <c r="S1465" s="14"/>
      <c r="T1465" s="14"/>
      <c r="U1465" s="14"/>
      <c r="V1465" s="14"/>
      <c r="W1465" s="15">
        <f t="shared" si="52"/>
        <v>150</v>
      </c>
      <c r="X1465" s="14"/>
      <c r="Y1465" s="14"/>
      <c r="Z1465" s="14"/>
      <c r="AA1465" s="14"/>
      <c r="AB1465" s="14"/>
      <c r="AC1465" s="14"/>
      <c r="AD1465" s="14"/>
      <c r="AE1465" s="14"/>
      <c r="AF1465" s="14"/>
      <c r="AG1465" s="14"/>
      <c r="AH1465" s="14"/>
      <c r="AI1465" s="14"/>
      <c r="AJ1465" s="15"/>
      <c r="AK1465" s="16"/>
    </row>
    <row r="1466" spans="2:37" x14ac:dyDescent="0.2">
      <c r="B1466" s="7" t="s">
        <v>69</v>
      </c>
      <c r="C1466" s="8">
        <v>12161</v>
      </c>
      <c r="D1466" s="9" t="s">
        <v>135</v>
      </c>
      <c r="E1466" s="10" t="s">
        <v>136</v>
      </c>
      <c r="F1466" s="10" t="s">
        <v>137</v>
      </c>
      <c r="G1466" s="8">
        <v>1</v>
      </c>
      <c r="H1466" s="11">
        <v>300</v>
      </c>
      <c r="I1466" s="12">
        <v>42554</v>
      </c>
      <c r="J1466" s="13">
        <f t="shared" si="51"/>
        <v>0</v>
      </c>
      <c r="K1466" s="14"/>
      <c r="L1466" s="14"/>
      <c r="M1466" s="14"/>
      <c r="N1466" s="14"/>
      <c r="O1466" s="14"/>
      <c r="P1466" s="14"/>
      <c r="Q1466" s="14">
        <v>300</v>
      </c>
      <c r="R1466" s="14"/>
      <c r="S1466" s="14"/>
      <c r="T1466" s="14"/>
      <c r="U1466" s="14"/>
      <c r="V1466" s="14"/>
      <c r="W1466" s="15">
        <f t="shared" si="52"/>
        <v>300</v>
      </c>
      <c r="X1466" s="14"/>
      <c r="Y1466" s="14"/>
      <c r="Z1466" s="14"/>
      <c r="AA1466" s="14"/>
      <c r="AB1466" s="14"/>
      <c r="AC1466" s="14"/>
      <c r="AD1466" s="14"/>
      <c r="AE1466" s="14"/>
      <c r="AF1466" s="14"/>
      <c r="AG1466" s="14"/>
      <c r="AH1466" s="14"/>
      <c r="AI1466" s="14"/>
      <c r="AJ1466" s="15"/>
      <c r="AK1466" s="16"/>
    </row>
    <row r="1467" spans="2:37" x14ac:dyDescent="0.2">
      <c r="B1467" s="7" t="s">
        <v>37</v>
      </c>
      <c r="C1467" s="8">
        <v>12162</v>
      </c>
      <c r="D1467" s="9" t="s">
        <v>94</v>
      </c>
      <c r="E1467" s="10" t="s">
        <v>95</v>
      </c>
      <c r="F1467" s="10" t="s">
        <v>96</v>
      </c>
      <c r="G1467" s="8">
        <v>1</v>
      </c>
      <c r="H1467" s="11">
        <v>400</v>
      </c>
      <c r="I1467" s="12">
        <v>42554</v>
      </c>
      <c r="J1467" s="13">
        <f t="shared" si="51"/>
        <v>0</v>
      </c>
      <c r="K1467" s="14"/>
      <c r="L1467" s="14"/>
      <c r="M1467" s="14"/>
      <c r="N1467" s="14"/>
      <c r="O1467" s="14"/>
      <c r="P1467" s="14"/>
      <c r="Q1467" s="14">
        <v>400</v>
      </c>
      <c r="R1467" s="14"/>
      <c r="S1467" s="14"/>
      <c r="T1467" s="14"/>
      <c r="U1467" s="14"/>
      <c r="V1467" s="14"/>
      <c r="W1467" s="15">
        <f t="shared" si="52"/>
        <v>400</v>
      </c>
      <c r="X1467" s="14"/>
      <c r="Y1467" s="14"/>
      <c r="Z1467" s="14"/>
      <c r="AA1467" s="14"/>
      <c r="AB1467" s="14"/>
      <c r="AC1467" s="14"/>
      <c r="AD1467" s="14"/>
      <c r="AE1467" s="14"/>
      <c r="AF1467" s="14"/>
      <c r="AG1467" s="14"/>
      <c r="AH1467" s="14"/>
      <c r="AI1467" s="14"/>
      <c r="AJ1467" s="15"/>
      <c r="AK1467" s="16"/>
    </row>
    <row r="1468" spans="2:37" x14ac:dyDescent="0.2">
      <c r="B1468" s="7" t="s">
        <v>77</v>
      </c>
      <c r="C1468" s="8">
        <v>12163</v>
      </c>
      <c r="D1468" s="9" t="s">
        <v>479</v>
      </c>
      <c r="E1468" s="10" t="s">
        <v>480</v>
      </c>
      <c r="F1468" s="10" t="s">
        <v>481</v>
      </c>
      <c r="G1468" s="8">
        <v>1</v>
      </c>
      <c r="H1468" s="11">
        <v>300</v>
      </c>
      <c r="I1468" s="12">
        <v>42554</v>
      </c>
      <c r="J1468" s="13">
        <f t="shared" si="51"/>
        <v>0</v>
      </c>
      <c r="K1468" s="14"/>
      <c r="L1468" s="14"/>
      <c r="M1468" s="14"/>
      <c r="N1468" s="14"/>
      <c r="O1468" s="14"/>
      <c r="P1468" s="14"/>
      <c r="Q1468" s="14">
        <v>300</v>
      </c>
      <c r="R1468" s="14"/>
      <c r="S1468" s="14"/>
      <c r="T1468" s="14"/>
      <c r="U1468" s="14"/>
      <c r="V1468" s="14"/>
      <c r="W1468" s="15">
        <f t="shared" si="52"/>
        <v>300</v>
      </c>
      <c r="X1468" s="14"/>
      <c r="Y1468" s="14"/>
      <c r="Z1468" s="14"/>
      <c r="AA1468" s="14"/>
      <c r="AB1468" s="14"/>
      <c r="AC1468" s="14"/>
      <c r="AD1468" s="14"/>
      <c r="AE1468" s="14"/>
      <c r="AF1468" s="14"/>
      <c r="AG1468" s="14"/>
      <c r="AH1468" s="14"/>
      <c r="AI1468" s="14"/>
      <c r="AJ1468" s="15"/>
      <c r="AK1468" s="16"/>
    </row>
    <row r="1469" spans="2:37" x14ac:dyDescent="0.2">
      <c r="B1469" s="7" t="s">
        <v>61</v>
      </c>
      <c r="C1469" s="8">
        <v>12164</v>
      </c>
      <c r="D1469" s="9" t="s">
        <v>663</v>
      </c>
      <c r="E1469" s="10" t="s">
        <v>664</v>
      </c>
      <c r="F1469" s="10" t="s">
        <v>665</v>
      </c>
      <c r="G1469" s="8">
        <v>1</v>
      </c>
      <c r="H1469" s="11">
        <v>800</v>
      </c>
      <c r="I1469" s="12">
        <v>42554</v>
      </c>
      <c r="J1469" s="13">
        <f t="shared" si="51"/>
        <v>0</v>
      </c>
      <c r="K1469" s="14"/>
      <c r="L1469" s="14"/>
      <c r="M1469" s="14"/>
      <c r="N1469" s="14"/>
      <c r="O1469" s="14">
        <v>400</v>
      </c>
      <c r="P1469" s="14">
        <v>400</v>
      </c>
      <c r="Q1469" s="14"/>
      <c r="R1469" s="14"/>
      <c r="S1469" s="14"/>
      <c r="T1469" s="14"/>
      <c r="U1469" s="14"/>
      <c r="V1469" s="14"/>
      <c r="W1469" s="15">
        <f t="shared" si="52"/>
        <v>800</v>
      </c>
      <c r="X1469" s="14"/>
      <c r="Y1469" s="14"/>
      <c r="Z1469" s="14"/>
      <c r="AA1469" s="14"/>
      <c r="AB1469" s="14"/>
      <c r="AC1469" s="14"/>
      <c r="AD1469" s="14"/>
      <c r="AE1469" s="14"/>
      <c r="AF1469" s="14"/>
      <c r="AG1469" s="14"/>
      <c r="AH1469" s="14"/>
      <c r="AI1469" s="14"/>
      <c r="AJ1469" s="15"/>
      <c r="AK1469" s="16"/>
    </row>
    <row r="1470" spans="2:37" x14ac:dyDescent="0.2">
      <c r="B1470" s="7" t="s">
        <v>37</v>
      </c>
      <c r="C1470" s="8">
        <v>12165</v>
      </c>
      <c r="D1470" s="9" t="s">
        <v>247</v>
      </c>
      <c r="E1470" s="10" t="s">
        <v>248</v>
      </c>
      <c r="F1470" s="10" t="s">
        <v>249</v>
      </c>
      <c r="G1470" s="8">
        <v>1</v>
      </c>
      <c r="H1470" s="11">
        <v>800</v>
      </c>
      <c r="I1470" s="12">
        <v>42554</v>
      </c>
      <c r="J1470" s="13">
        <f t="shared" si="51"/>
        <v>0</v>
      </c>
      <c r="K1470" s="14"/>
      <c r="L1470" s="14"/>
      <c r="M1470" s="14"/>
      <c r="N1470" s="14"/>
      <c r="O1470" s="14"/>
      <c r="P1470" s="14"/>
      <c r="Q1470" s="14">
        <v>400</v>
      </c>
      <c r="R1470" s="14">
        <v>400</v>
      </c>
      <c r="S1470" s="14"/>
      <c r="T1470" s="14"/>
      <c r="U1470" s="14"/>
      <c r="V1470" s="14"/>
      <c r="W1470" s="15">
        <f t="shared" si="52"/>
        <v>800</v>
      </c>
      <c r="X1470" s="14"/>
      <c r="Y1470" s="14"/>
      <c r="Z1470" s="14"/>
      <c r="AA1470" s="14"/>
      <c r="AB1470" s="14"/>
      <c r="AC1470" s="14"/>
      <c r="AD1470" s="14"/>
      <c r="AE1470" s="14"/>
      <c r="AF1470" s="14"/>
      <c r="AG1470" s="14"/>
      <c r="AH1470" s="14"/>
      <c r="AI1470" s="14"/>
      <c r="AJ1470" s="15"/>
      <c r="AK1470" s="16"/>
    </row>
    <row r="1471" spans="2:37" x14ac:dyDescent="0.2">
      <c r="B1471" s="7" t="s">
        <v>69</v>
      </c>
      <c r="C1471" s="8">
        <v>12166</v>
      </c>
      <c r="D1471" s="9" t="s">
        <v>100</v>
      </c>
      <c r="E1471" s="10" t="s">
        <v>101</v>
      </c>
      <c r="F1471" s="10" t="s">
        <v>102</v>
      </c>
      <c r="G1471" s="8">
        <v>1</v>
      </c>
      <c r="H1471" s="11">
        <v>400</v>
      </c>
      <c r="I1471" s="12">
        <v>42554</v>
      </c>
      <c r="J1471" s="13">
        <f t="shared" si="51"/>
        <v>0</v>
      </c>
      <c r="K1471" s="14"/>
      <c r="L1471" s="14"/>
      <c r="M1471" s="14"/>
      <c r="N1471" s="14"/>
      <c r="O1471" s="14"/>
      <c r="P1471" s="14"/>
      <c r="Q1471" s="14">
        <v>400</v>
      </c>
      <c r="R1471" s="14"/>
      <c r="S1471" s="14"/>
      <c r="T1471" s="14"/>
      <c r="U1471" s="14"/>
      <c r="V1471" s="14"/>
      <c r="W1471" s="15">
        <f t="shared" si="52"/>
        <v>400</v>
      </c>
      <c r="X1471" s="14"/>
      <c r="Y1471" s="14"/>
      <c r="Z1471" s="14"/>
      <c r="AA1471" s="14"/>
      <c r="AB1471" s="14"/>
      <c r="AC1471" s="14"/>
      <c r="AD1471" s="14"/>
      <c r="AE1471" s="14"/>
      <c r="AF1471" s="14"/>
      <c r="AG1471" s="14"/>
      <c r="AH1471" s="14"/>
      <c r="AI1471" s="14"/>
      <c r="AJ1471" s="15"/>
      <c r="AK1471" s="16"/>
    </row>
    <row r="1472" spans="2:37" x14ac:dyDescent="0.2">
      <c r="B1472" s="7" t="s">
        <v>69</v>
      </c>
      <c r="C1472" s="8">
        <v>12167</v>
      </c>
      <c r="D1472" s="9" t="s">
        <v>562</v>
      </c>
      <c r="E1472" s="10" t="s">
        <v>563</v>
      </c>
      <c r="F1472" s="10" t="s">
        <v>564</v>
      </c>
      <c r="G1472" s="8">
        <v>1</v>
      </c>
      <c r="H1472" s="11">
        <v>400</v>
      </c>
      <c r="I1472" s="12">
        <v>42554</v>
      </c>
      <c r="J1472" s="13">
        <f t="shared" si="51"/>
        <v>0</v>
      </c>
      <c r="K1472" s="14"/>
      <c r="L1472" s="14"/>
      <c r="M1472" s="14"/>
      <c r="N1472" s="14"/>
      <c r="O1472" s="14"/>
      <c r="P1472" s="14"/>
      <c r="Q1472" s="14">
        <v>400</v>
      </c>
      <c r="R1472" s="14"/>
      <c r="S1472" s="14"/>
      <c r="T1472" s="14"/>
      <c r="U1472" s="14"/>
      <c r="V1472" s="14"/>
      <c r="W1472" s="15">
        <f t="shared" si="52"/>
        <v>400</v>
      </c>
      <c r="X1472" s="14"/>
      <c r="Y1472" s="14"/>
      <c r="Z1472" s="14"/>
      <c r="AA1472" s="14"/>
      <c r="AB1472" s="14"/>
      <c r="AC1472" s="14"/>
      <c r="AD1472" s="14"/>
      <c r="AE1472" s="14"/>
      <c r="AF1472" s="14"/>
      <c r="AG1472" s="14"/>
      <c r="AH1472" s="14"/>
      <c r="AI1472" s="14"/>
      <c r="AJ1472" s="15"/>
      <c r="AK1472" s="16"/>
    </row>
    <row r="1473" spans="2:37" x14ac:dyDescent="0.2">
      <c r="B1473" s="7" t="s">
        <v>69</v>
      </c>
      <c r="C1473" s="8">
        <v>12168</v>
      </c>
      <c r="D1473" s="9" t="s">
        <v>743</v>
      </c>
      <c r="E1473" s="10" t="s">
        <v>744</v>
      </c>
      <c r="F1473" s="10" t="s">
        <v>745</v>
      </c>
      <c r="G1473" s="8">
        <v>1</v>
      </c>
      <c r="H1473" s="11">
        <v>1600</v>
      </c>
      <c r="I1473" s="12">
        <v>42554</v>
      </c>
      <c r="J1473" s="13">
        <f t="shared" si="51"/>
        <v>0</v>
      </c>
      <c r="K1473" s="14"/>
      <c r="L1473" s="14"/>
      <c r="M1473" s="14">
        <v>400</v>
      </c>
      <c r="N1473" s="14">
        <v>400</v>
      </c>
      <c r="O1473" s="14">
        <v>400</v>
      </c>
      <c r="P1473" s="14">
        <v>400</v>
      </c>
      <c r="Q1473" s="14"/>
      <c r="R1473" s="14"/>
      <c r="S1473" s="14"/>
      <c r="T1473" s="14"/>
      <c r="U1473" s="14"/>
      <c r="V1473" s="14"/>
      <c r="W1473" s="15">
        <f t="shared" si="52"/>
        <v>1600</v>
      </c>
      <c r="X1473" s="14"/>
      <c r="Y1473" s="14"/>
      <c r="Z1473" s="14"/>
      <c r="AA1473" s="14"/>
      <c r="AB1473" s="14"/>
      <c r="AC1473" s="14"/>
      <c r="AD1473" s="14"/>
      <c r="AE1473" s="14"/>
      <c r="AF1473" s="14"/>
      <c r="AG1473" s="14"/>
      <c r="AH1473" s="14"/>
      <c r="AI1473" s="14"/>
      <c r="AJ1473" s="15"/>
      <c r="AK1473" s="16"/>
    </row>
    <row r="1474" spans="2:37" x14ac:dyDescent="0.2">
      <c r="B1474" s="7" t="s">
        <v>122</v>
      </c>
      <c r="C1474" s="8">
        <v>12169</v>
      </c>
      <c r="D1474" s="9" t="s">
        <v>123</v>
      </c>
      <c r="E1474" s="10" t="s">
        <v>124</v>
      </c>
      <c r="F1474" s="10" t="s">
        <v>125</v>
      </c>
      <c r="G1474" s="8">
        <v>1</v>
      </c>
      <c r="H1474" s="11">
        <v>250</v>
      </c>
      <c r="I1474" s="12">
        <v>42554</v>
      </c>
      <c r="J1474" s="13">
        <f t="shared" si="51"/>
        <v>0</v>
      </c>
      <c r="K1474" s="14"/>
      <c r="L1474" s="14"/>
      <c r="M1474" s="14"/>
      <c r="N1474" s="14"/>
      <c r="O1474" s="14"/>
      <c r="P1474" s="14"/>
      <c r="Q1474" s="14">
        <v>250</v>
      </c>
      <c r="R1474" s="14"/>
      <c r="S1474" s="14"/>
      <c r="T1474" s="14"/>
      <c r="U1474" s="14"/>
      <c r="V1474" s="14"/>
      <c r="W1474" s="15">
        <f t="shared" si="52"/>
        <v>250</v>
      </c>
      <c r="X1474" s="14"/>
      <c r="Y1474" s="14"/>
      <c r="Z1474" s="14"/>
      <c r="AA1474" s="14"/>
      <c r="AB1474" s="14"/>
      <c r="AC1474" s="14"/>
      <c r="AD1474" s="14"/>
      <c r="AE1474" s="14"/>
      <c r="AF1474" s="14"/>
      <c r="AG1474" s="14"/>
      <c r="AH1474" s="14"/>
      <c r="AI1474" s="14"/>
      <c r="AJ1474" s="15"/>
      <c r="AK1474" s="16"/>
    </row>
    <row r="1475" spans="2:37" x14ac:dyDescent="0.2">
      <c r="B1475" s="7" t="s">
        <v>69</v>
      </c>
      <c r="C1475" s="8">
        <v>12170</v>
      </c>
      <c r="D1475" s="9" t="s">
        <v>1039</v>
      </c>
      <c r="E1475" s="10" t="s">
        <v>1040</v>
      </c>
      <c r="F1475" s="10" t="s">
        <v>1041</v>
      </c>
      <c r="G1475" s="8">
        <v>1</v>
      </c>
      <c r="H1475" s="11">
        <v>400</v>
      </c>
      <c r="I1475" s="12">
        <v>42554</v>
      </c>
      <c r="J1475" s="13">
        <f t="shared" si="51"/>
        <v>0</v>
      </c>
      <c r="K1475" s="14"/>
      <c r="L1475" s="14"/>
      <c r="M1475" s="14"/>
      <c r="N1475" s="14"/>
      <c r="O1475" s="14"/>
      <c r="P1475" s="14"/>
      <c r="Q1475" s="14">
        <v>400</v>
      </c>
      <c r="R1475" s="14"/>
      <c r="S1475" s="14"/>
      <c r="T1475" s="14"/>
      <c r="U1475" s="14"/>
      <c r="V1475" s="14"/>
      <c r="W1475" s="15">
        <f t="shared" si="52"/>
        <v>400</v>
      </c>
      <c r="X1475" s="14"/>
      <c r="Y1475" s="14"/>
      <c r="Z1475" s="14"/>
      <c r="AA1475" s="14"/>
      <c r="AB1475" s="14"/>
      <c r="AC1475" s="14"/>
      <c r="AD1475" s="14"/>
      <c r="AE1475" s="14"/>
      <c r="AF1475" s="14"/>
      <c r="AG1475" s="14"/>
      <c r="AH1475" s="14"/>
      <c r="AI1475" s="14"/>
      <c r="AJ1475" s="15"/>
      <c r="AK1475" s="16"/>
    </row>
    <row r="1476" spans="2:37" x14ac:dyDescent="0.2">
      <c r="B1476" s="7" t="s">
        <v>37</v>
      </c>
      <c r="C1476" s="8">
        <v>12171</v>
      </c>
      <c r="D1476" s="9" t="s">
        <v>1042</v>
      </c>
      <c r="E1476" s="10" t="s">
        <v>1043</v>
      </c>
      <c r="F1476" s="10" t="s">
        <v>1044</v>
      </c>
      <c r="G1476" s="8">
        <v>1</v>
      </c>
      <c r="H1476" s="11">
        <v>200</v>
      </c>
      <c r="I1476" s="12">
        <v>42554</v>
      </c>
      <c r="J1476" s="13">
        <f t="shared" si="51"/>
        <v>0</v>
      </c>
      <c r="K1476" s="14"/>
      <c r="L1476" s="14"/>
      <c r="M1476" s="14"/>
      <c r="N1476" s="14"/>
      <c r="O1476" s="14"/>
      <c r="P1476" s="14">
        <v>100</v>
      </c>
      <c r="Q1476" s="14">
        <v>100</v>
      </c>
      <c r="R1476" s="14"/>
      <c r="S1476" s="14"/>
      <c r="T1476" s="14"/>
      <c r="U1476" s="14"/>
      <c r="V1476" s="14"/>
      <c r="W1476" s="15">
        <f t="shared" si="52"/>
        <v>200</v>
      </c>
      <c r="X1476" s="14"/>
      <c r="Y1476" s="14"/>
      <c r="Z1476" s="14"/>
      <c r="AA1476" s="14"/>
      <c r="AB1476" s="14"/>
      <c r="AC1476" s="14"/>
      <c r="AD1476" s="14"/>
      <c r="AE1476" s="14"/>
      <c r="AF1476" s="14"/>
      <c r="AG1476" s="14"/>
      <c r="AH1476" s="14"/>
      <c r="AI1476" s="14"/>
      <c r="AJ1476" s="15"/>
      <c r="AK1476" s="16"/>
    </row>
    <row r="1477" spans="2:37" x14ac:dyDescent="0.2">
      <c r="B1477" s="7" t="s">
        <v>37</v>
      </c>
      <c r="C1477" s="8">
        <v>12171</v>
      </c>
      <c r="D1477" s="9" t="s">
        <v>1042</v>
      </c>
      <c r="E1477" s="10" t="s">
        <v>1043</v>
      </c>
      <c r="F1477" s="10" t="s">
        <v>1044</v>
      </c>
      <c r="G1477" s="8">
        <v>4</v>
      </c>
      <c r="H1477" s="11">
        <v>400</v>
      </c>
      <c r="I1477" s="12">
        <v>42554</v>
      </c>
      <c r="J1477" s="13">
        <f t="shared" si="51"/>
        <v>0</v>
      </c>
      <c r="K1477" s="14"/>
      <c r="L1477" s="14"/>
      <c r="M1477" s="14"/>
      <c r="N1477" s="14"/>
      <c r="O1477" s="14"/>
      <c r="P1477" s="14"/>
      <c r="Q1477" s="14"/>
      <c r="R1477" s="14"/>
      <c r="S1477" s="14"/>
      <c r="T1477" s="14"/>
      <c r="U1477" s="14"/>
      <c r="V1477" s="14"/>
      <c r="W1477" s="15">
        <f t="shared" si="52"/>
        <v>0</v>
      </c>
      <c r="X1477" s="14"/>
      <c r="Y1477" s="14"/>
      <c r="Z1477" s="14"/>
      <c r="AA1477" s="14"/>
      <c r="AB1477" s="14"/>
      <c r="AC1477" s="14"/>
      <c r="AD1477" s="14"/>
      <c r="AE1477" s="14"/>
      <c r="AF1477" s="14"/>
      <c r="AG1477" s="14"/>
      <c r="AH1477" s="14"/>
      <c r="AI1477" s="14"/>
      <c r="AJ1477" s="15"/>
      <c r="AK1477" s="7" t="s">
        <v>1045</v>
      </c>
    </row>
    <row r="1478" spans="2:37" x14ac:dyDescent="0.2">
      <c r="B1478" s="7" t="s">
        <v>61</v>
      </c>
      <c r="C1478" s="8">
        <v>12172</v>
      </c>
      <c r="D1478" s="9" t="s">
        <v>214</v>
      </c>
      <c r="E1478" s="10" t="s">
        <v>215</v>
      </c>
      <c r="F1478" s="10" t="s">
        <v>216</v>
      </c>
      <c r="G1478" s="8">
        <v>1</v>
      </c>
      <c r="H1478" s="11">
        <v>400</v>
      </c>
      <c r="I1478" s="12">
        <v>42554</v>
      </c>
      <c r="J1478" s="13">
        <f t="shared" si="51"/>
        <v>0</v>
      </c>
      <c r="K1478" s="14"/>
      <c r="L1478" s="14"/>
      <c r="M1478" s="14"/>
      <c r="N1478" s="14"/>
      <c r="O1478" s="14">
        <v>200</v>
      </c>
      <c r="P1478" s="14">
        <v>200</v>
      </c>
      <c r="Q1478" s="14"/>
      <c r="R1478" s="14"/>
      <c r="S1478" s="14"/>
      <c r="T1478" s="14"/>
      <c r="U1478" s="14"/>
      <c r="V1478" s="14"/>
      <c r="W1478" s="15">
        <f t="shared" si="52"/>
        <v>400</v>
      </c>
      <c r="X1478" s="14"/>
      <c r="Y1478" s="14"/>
      <c r="Z1478" s="14"/>
      <c r="AA1478" s="14"/>
      <c r="AB1478" s="14"/>
      <c r="AC1478" s="14"/>
      <c r="AD1478" s="14"/>
      <c r="AE1478" s="14"/>
      <c r="AF1478" s="14"/>
      <c r="AG1478" s="14"/>
      <c r="AH1478" s="14"/>
      <c r="AI1478" s="14"/>
      <c r="AJ1478" s="15"/>
      <c r="AK1478" s="16"/>
    </row>
    <row r="1479" spans="2:37" x14ac:dyDescent="0.2">
      <c r="B1479" s="7" t="s">
        <v>73</v>
      </c>
      <c r="C1479" s="8">
        <v>12173</v>
      </c>
      <c r="D1479" s="9" t="s">
        <v>458</v>
      </c>
      <c r="E1479" s="10" t="s">
        <v>459</v>
      </c>
      <c r="F1479" s="10" t="s">
        <v>460</v>
      </c>
      <c r="G1479" s="8">
        <v>4</v>
      </c>
      <c r="H1479" s="11">
        <v>200</v>
      </c>
      <c r="I1479" s="12">
        <v>42554</v>
      </c>
      <c r="J1479" s="13">
        <f t="shared" si="51"/>
        <v>0</v>
      </c>
      <c r="K1479" s="14"/>
      <c r="L1479" s="14"/>
      <c r="M1479" s="14"/>
      <c r="N1479" s="14"/>
      <c r="O1479" s="14"/>
      <c r="P1479" s="14"/>
      <c r="Q1479" s="14"/>
      <c r="R1479" s="14"/>
      <c r="S1479" s="14"/>
      <c r="T1479" s="14"/>
      <c r="U1479" s="14"/>
      <c r="V1479" s="14"/>
      <c r="W1479" s="15">
        <f t="shared" si="52"/>
        <v>0</v>
      </c>
      <c r="X1479" s="14"/>
      <c r="Y1479" s="14"/>
      <c r="Z1479" s="14"/>
      <c r="AA1479" s="14"/>
      <c r="AB1479" s="14"/>
      <c r="AC1479" s="14"/>
      <c r="AD1479" s="14"/>
      <c r="AE1479" s="14"/>
      <c r="AF1479" s="14"/>
      <c r="AG1479" s="14"/>
      <c r="AH1479" s="14"/>
      <c r="AI1479" s="14"/>
      <c r="AJ1479" s="15"/>
      <c r="AK1479" s="7">
        <v>10422906</v>
      </c>
    </row>
    <row r="1480" spans="2:37" x14ac:dyDescent="0.2">
      <c r="B1480" s="7" t="s">
        <v>73</v>
      </c>
      <c r="C1480" s="8">
        <v>12173</v>
      </c>
      <c r="D1480" s="9" t="s">
        <v>458</v>
      </c>
      <c r="E1480" s="10" t="s">
        <v>459</v>
      </c>
      <c r="F1480" s="10" t="s">
        <v>460</v>
      </c>
      <c r="G1480" s="8">
        <v>3</v>
      </c>
      <c r="H1480" s="11">
        <v>200</v>
      </c>
      <c r="I1480" s="12">
        <v>42554</v>
      </c>
      <c r="J1480" s="13">
        <f t="shared" si="51"/>
        <v>0</v>
      </c>
      <c r="K1480" s="14"/>
      <c r="L1480" s="14"/>
      <c r="M1480" s="14"/>
      <c r="N1480" s="14"/>
      <c r="O1480" s="14"/>
      <c r="P1480" s="14"/>
      <c r="Q1480" s="14"/>
      <c r="R1480" s="14"/>
      <c r="S1480" s="14"/>
      <c r="T1480" s="14"/>
      <c r="U1480" s="14"/>
      <c r="V1480" s="14"/>
      <c r="W1480" s="15">
        <f t="shared" si="52"/>
        <v>0</v>
      </c>
      <c r="X1480" s="14"/>
      <c r="Y1480" s="14"/>
      <c r="Z1480" s="14"/>
      <c r="AA1480" s="14"/>
      <c r="AB1480" s="14"/>
      <c r="AC1480" s="14"/>
      <c r="AD1480" s="14"/>
      <c r="AE1480" s="14"/>
      <c r="AF1480" s="14"/>
      <c r="AG1480" s="14"/>
      <c r="AH1480" s="14"/>
      <c r="AI1480" s="14"/>
      <c r="AJ1480" s="15"/>
      <c r="AK1480" s="16"/>
    </row>
    <row r="1481" spans="2:37" x14ac:dyDescent="0.2">
      <c r="B1481" s="7" t="s">
        <v>47</v>
      </c>
      <c r="C1481" s="8">
        <v>12174</v>
      </c>
      <c r="D1481" s="9" t="s">
        <v>238</v>
      </c>
      <c r="E1481" s="10" t="s">
        <v>239</v>
      </c>
      <c r="F1481" s="10" t="s">
        <v>240</v>
      </c>
      <c r="G1481" s="8">
        <v>1</v>
      </c>
      <c r="H1481" s="11">
        <v>125</v>
      </c>
      <c r="I1481" s="12">
        <v>42554</v>
      </c>
      <c r="J1481" s="13">
        <f t="shared" si="51"/>
        <v>0</v>
      </c>
      <c r="K1481" s="14"/>
      <c r="L1481" s="14"/>
      <c r="M1481" s="14"/>
      <c r="N1481" s="14"/>
      <c r="O1481" s="14"/>
      <c r="P1481" s="14"/>
      <c r="Q1481" s="14">
        <v>125</v>
      </c>
      <c r="R1481" s="14"/>
      <c r="S1481" s="14"/>
      <c r="T1481" s="14"/>
      <c r="U1481" s="14"/>
      <c r="V1481" s="14"/>
      <c r="W1481" s="15">
        <f t="shared" si="52"/>
        <v>125</v>
      </c>
      <c r="X1481" s="14"/>
      <c r="Y1481" s="14"/>
      <c r="Z1481" s="14"/>
      <c r="AA1481" s="14"/>
      <c r="AB1481" s="14"/>
      <c r="AC1481" s="14"/>
      <c r="AD1481" s="14"/>
      <c r="AE1481" s="14"/>
      <c r="AF1481" s="14"/>
      <c r="AG1481" s="14"/>
      <c r="AH1481" s="14"/>
      <c r="AI1481" s="14"/>
      <c r="AJ1481" s="15"/>
      <c r="AK1481" s="16"/>
    </row>
    <row r="1482" spans="2:37" x14ac:dyDescent="0.2">
      <c r="B1482" s="7" t="s">
        <v>47</v>
      </c>
      <c r="C1482" s="8">
        <v>12175</v>
      </c>
      <c r="D1482" s="9" t="s">
        <v>425</v>
      </c>
      <c r="E1482" s="10" t="s">
        <v>426</v>
      </c>
      <c r="F1482" s="10" t="s">
        <v>427</v>
      </c>
      <c r="G1482" s="8">
        <v>1</v>
      </c>
      <c r="H1482" s="11">
        <v>400</v>
      </c>
      <c r="I1482" s="12">
        <v>42554</v>
      </c>
      <c r="J1482" s="13">
        <f t="shared" si="51"/>
        <v>0</v>
      </c>
      <c r="K1482" s="14"/>
      <c r="L1482" s="14"/>
      <c r="M1482" s="14"/>
      <c r="N1482" s="14"/>
      <c r="O1482" s="14"/>
      <c r="P1482" s="14"/>
      <c r="Q1482" s="14">
        <v>400</v>
      </c>
      <c r="R1482" s="14"/>
      <c r="S1482" s="14"/>
      <c r="T1482" s="14"/>
      <c r="U1482" s="14"/>
      <c r="V1482" s="14"/>
      <c r="W1482" s="15">
        <f t="shared" si="52"/>
        <v>400</v>
      </c>
      <c r="X1482" s="14"/>
      <c r="Y1482" s="14"/>
      <c r="Z1482" s="14"/>
      <c r="AA1482" s="14"/>
      <c r="AB1482" s="14"/>
      <c r="AC1482" s="14"/>
      <c r="AD1482" s="14"/>
      <c r="AE1482" s="14"/>
      <c r="AF1482" s="14"/>
      <c r="AG1482" s="14"/>
      <c r="AH1482" s="14"/>
      <c r="AI1482" s="14"/>
      <c r="AJ1482" s="15"/>
      <c r="AK1482" s="16"/>
    </row>
    <row r="1483" spans="2:37" x14ac:dyDescent="0.2">
      <c r="B1483" s="7" t="s">
        <v>37</v>
      </c>
      <c r="C1483" s="8">
        <v>12176</v>
      </c>
      <c r="D1483" s="9" t="s">
        <v>932</v>
      </c>
      <c r="E1483" s="10" t="s">
        <v>933</v>
      </c>
      <c r="F1483" s="10" t="s">
        <v>934</v>
      </c>
      <c r="G1483" s="8">
        <v>1</v>
      </c>
      <c r="H1483" s="11">
        <v>800</v>
      </c>
      <c r="I1483" s="12">
        <v>42554</v>
      </c>
      <c r="J1483" s="13">
        <f t="shared" si="51"/>
        <v>0</v>
      </c>
      <c r="K1483" s="14"/>
      <c r="L1483" s="14"/>
      <c r="M1483" s="14"/>
      <c r="N1483" s="14"/>
      <c r="O1483" s="14"/>
      <c r="P1483" s="14">
        <v>400</v>
      </c>
      <c r="Q1483" s="14">
        <v>400</v>
      </c>
      <c r="R1483" s="14"/>
      <c r="S1483" s="14"/>
      <c r="T1483" s="14"/>
      <c r="U1483" s="14"/>
      <c r="V1483" s="14"/>
      <c r="W1483" s="15">
        <f t="shared" si="52"/>
        <v>800</v>
      </c>
      <c r="X1483" s="14"/>
      <c r="Y1483" s="14"/>
      <c r="Z1483" s="14"/>
      <c r="AA1483" s="14"/>
      <c r="AB1483" s="14"/>
      <c r="AC1483" s="14"/>
      <c r="AD1483" s="14"/>
      <c r="AE1483" s="14"/>
      <c r="AF1483" s="14"/>
      <c r="AG1483" s="14"/>
      <c r="AH1483" s="14"/>
      <c r="AI1483" s="14"/>
      <c r="AJ1483" s="15"/>
      <c r="AK1483" s="16"/>
    </row>
    <row r="1484" spans="2:37" x14ac:dyDescent="0.2">
      <c r="B1484" s="7" t="s">
        <v>69</v>
      </c>
      <c r="C1484" s="8">
        <v>12177</v>
      </c>
      <c r="D1484" s="9" t="s">
        <v>292</v>
      </c>
      <c r="E1484" s="10" t="s">
        <v>293</v>
      </c>
      <c r="F1484" s="10" t="s">
        <v>294</v>
      </c>
      <c r="G1484" s="8">
        <v>1</v>
      </c>
      <c r="H1484" s="11">
        <v>400</v>
      </c>
      <c r="I1484" s="12">
        <v>42554</v>
      </c>
      <c r="J1484" s="13">
        <f t="shared" si="51"/>
        <v>0</v>
      </c>
      <c r="K1484" s="14"/>
      <c r="L1484" s="14"/>
      <c r="M1484" s="14"/>
      <c r="N1484" s="14"/>
      <c r="O1484" s="14"/>
      <c r="P1484" s="14"/>
      <c r="Q1484" s="14">
        <v>400</v>
      </c>
      <c r="R1484" s="14"/>
      <c r="S1484" s="14"/>
      <c r="T1484" s="14"/>
      <c r="U1484" s="14"/>
      <c r="V1484" s="14"/>
      <c r="W1484" s="15">
        <f t="shared" si="52"/>
        <v>400</v>
      </c>
      <c r="X1484" s="14"/>
      <c r="Y1484" s="14"/>
      <c r="Z1484" s="14"/>
      <c r="AA1484" s="14"/>
      <c r="AB1484" s="14"/>
      <c r="AC1484" s="14"/>
      <c r="AD1484" s="14"/>
      <c r="AE1484" s="14"/>
      <c r="AF1484" s="14"/>
      <c r="AG1484" s="14"/>
      <c r="AH1484" s="14"/>
      <c r="AI1484" s="14"/>
      <c r="AJ1484" s="15"/>
      <c r="AK1484" s="16"/>
    </row>
    <row r="1485" spans="2:37" x14ac:dyDescent="0.2">
      <c r="B1485" s="7" t="s">
        <v>69</v>
      </c>
      <c r="C1485" s="8">
        <v>12178</v>
      </c>
      <c r="D1485" s="9" t="s">
        <v>831</v>
      </c>
      <c r="E1485" s="10" t="s">
        <v>832</v>
      </c>
      <c r="F1485" s="10" t="s">
        <v>833</v>
      </c>
      <c r="G1485" s="8">
        <v>1</v>
      </c>
      <c r="H1485" s="11">
        <v>800</v>
      </c>
      <c r="I1485" s="12">
        <v>42554</v>
      </c>
      <c r="J1485" s="13">
        <f t="shared" si="51"/>
        <v>0</v>
      </c>
      <c r="K1485" s="14"/>
      <c r="L1485" s="14"/>
      <c r="M1485" s="14"/>
      <c r="N1485" s="14"/>
      <c r="O1485" s="14"/>
      <c r="P1485" s="14">
        <v>400</v>
      </c>
      <c r="Q1485" s="14">
        <v>400</v>
      </c>
      <c r="R1485" s="14"/>
      <c r="S1485" s="14"/>
      <c r="T1485" s="14"/>
      <c r="U1485" s="14"/>
      <c r="V1485" s="14"/>
      <c r="W1485" s="15">
        <f t="shared" si="52"/>
        <v>800</v>
      </c>
      <c r="X1485" s="14"/>
      <c r="Y1485" s="14"/>
      <c r="Z1485" s="14"/>
      <c r="AA1485" s="14"/>
      <c r="AB1485" s="14"/>
      <c r="AC1485" s="14"/>
      <c r="AD1485" s="14"/>
      <c r="AE1485" s="14"/>
      <c r="AF1485" s="14"/>
      <c r="AG1485" s="14"/>
      <c r="AH1485" s="14"/>
      <c r="AI1485" s="14"/>
      <c r="AJ1485" s="15"/>
      <c r="AK1485" s="16"/>
    </row>
    <row r="1486" spans="2:37" x14ac:dyDescent="0.2">
      <c r="B1486" s="7" t="s">
        <v>37</v>
      </c>
      <c r="C1486" s="8">
        <v>12179</v>
      </c>
      <c r="D1486" s="9" t="s">
        <v>268</v>
      </c>
      <c r="E1486" s="10" t="s">
        <v>269</v>
      </c>
      <c r="F1486" s="10" t="s">
        <v>270</v>
      </c>
      <c r="G1486" s="8">
        <v>1</v>
      </c>
      <c r="H1486" s="11">
        <v>300</v>
      </c>
      <c r="I1486" s="12">
        <v>42554</v>
      </c>
      <c r="J1486" s="13">
        <f t="shared" si="51"/>
        <v>0</v>
      </c>
      <c r="K1486" s="14"/>
      <c r="L1486" s="14"/>
      <c r="M1486" s="14"/>
      <c r="N1486" s="14"/>
      <c r="O1486" s="14"/>
      <c r="P1486" s="14"/>
      <c r="Q1486" s="14">
        <v>300</v>
      </c>
      <c r="R1486" s="14"/>
      <c r="S1486" s="14"/>
      <c r="T1486" s="14"/>
      <c r="U1486" s="14"/>
      <c r="V1486" s="14"/>
      <c r="W1486" s="15">
        <f t="shared" si="52"/>
        <v>300</v>
      </c>
      <c r="X1486" s="14"/>
      <c r="Y1486" s="14"/>
      <c r="Z1486" s="14"/>
      <c r="AA1486" s="14"/>
      <c r="AB1486" s="14"/>
      <c r="AC1486" s="14"/>
      <c r="AD1486" s="14"/>
      <c r="AE1486" s="14"/>
      <c r="AF1486" s="14"/>
      <c r="AG1486" s="14"/>
      <c r="AH1486" s="14"/>
      <c r="AI1486" s="14"/>
      <c r="AJ1486" s="15"/>
      <c r="AK1486" s="16"/>
    </row>
    <row r="1487" spans="2:37" x14ac:dyDescent="0.2">
      <c r="B1487" s="7" t="s">
        <v>77</v>
      </c>
      <c r="C1487" s="8">
        <v>12180</v>
      </c>
      <c r="D1487" s="9" t="s">
        <v>1046</v>
      </c>
      <c r="E1487" s="10" t="s">
        <v>1047</v>
      </c>
      <c r="F1487" s="10" t="s">
        <v>1048</v>
      </c>
      <c r="G1487" s="8">
        <v>1</v>
      </c>
      <c r="H1487" s="11">
        <v>100</v>
      </c>
      <c r="I1487" s="12">
        <v>42554</v>
      </c>
      <c r="J1487" s="13">
        <f t="shared" si="51"/>
        <v>0</v>
      </c>
      <c r="K1487" s="14"/>
      <c r="L1487" s="14"/>
      <c r="M1487" s="14"/>
      <c r="N1487" s="14"/>
      <c r="O1487" s="14"/>
      <c r="P1487" s="14"/>
      <c r="Q1487" s="14">
        <v>100</v>
      </c>
      <c r="R1487" s="14"/>
      <c r="S1487" s="14"/>
      <c r="T1487" s="14"/>
      <c r="U1487" s="14"/>
      <c r="V1487" s="14"/>
      <c r="W1487" s="15">
        <f t="shared" si="52"/>
        <v>100</v>
      </c>
      <c r="X1487" s="14"/>
      <c r="Y1487" s="14"/>
      <c r="Z1487" s="14"/>
      <c r="AA1487" s="14"/>
      <c r="AB1487" s="14"/>
      <c r="AC1487" s="14"/>
      <c r="AD1487" s="14"/>
      <c r="AE1487" s="14"/>
      <c r="AF1487" s="14"/>
      <c r="AG1487" s="14"/>
      <c r="AH1487" s="14"/>
      <c r="AI1487" s="14"/>
      <c r="AJ1487" s="15"/>
      <c r="AK1487" s="16"/>
    </row>
    <row r="1488" spans="2:37" x14ac:dyDescent="0.2">
      <c r="B1488" s="7" t="s">
        <v>37</v>
      </c>
      <c r="C1488" s="8">
        <v>12181</v>
      </c>
      <c r="D1488" s="9" t="s">
        <v>177</v>
      </c>
      <c r="E1488" s="10" t="s">
        <v>178</v>
      </c>
      <c r="F1488" s="10" t="s">
        <v>179</v>
      </c>
      <c r="G1488" s="8">
        <v>1</v>
      </c>
      <c r="H1488" s="11">
        <v>400</v>
      </c>
      <c r="I1488" s="12">
        <v>42554</v>
      </c>
      <c r="J1488" s="13">
        <f t="shared" si="51"/>
        <v>0</v>
      </c>
      <c r="K1488" s="14"/>
      <c r="L1488" s="14"/>
      <c r="M1488" s="14"/>
      <c r="N1488" s="14"/>
      <c r="O1488" s="14"/>
      <c r="P1488" s="14"/>
      <c r="Q1488" s="14">
        <v>400</v>
      </c>
      <c r="R1488" s="14"/>
      <c r="S1488" s="14"/>
      <c r="T1488" s="14"/>
      <c r="U1488" s="14"/>
      <c r="V1488" s="14"/>
      <c r="W1488" s="15">
        <f t="shared" si="52"/>
        <v>400</v>
      </c>
      <c r="X1488" s="14"/>
      <c r="Y1488" s="14"/>
      <c r="Z1488" s="14"/>
      <c r="AA1488" s="14"/>
      <c r="AB1488" s="14"/>
      <c r="AC1488" s="14"/>
      <c r="AD1488" s="14"/>
      <c r="AE1488" s="14"/>
      <c r="AF1488" s="14"/>
      <c r="AG1488" s="14"/>
      <c r="AH1488" s="14"/>
      <c r="AI1488" s="14"/>
      <c r="AJ1488" s="15"/>
      <c r="AK1488" s="16"/>
    </row>
    <row r="1489" spans="2:37" x14ac:dyDescent="0.2">
      <c r="B1489" s="7" t="s">
        <v>73</v>
      </c>
      <c r="C1489" s="8">
        <v>12182</v>
      </c>
      <c r="D1489" s="9" t="s">
        <v>202</v>
      </c>
      <c r="E1489" s="10" t="s">
        <v>203</v>
      </c>
      <c r="F1489" s="10" t="s">
        <v>204</v>
      </c>
      <c r="G1489" s="8">
        <v>1</v>
      </c>
      <c r="H1489" s="11">
        <v>1200</v>
      </c>
      <c r="I1489" s="12">
        <v>42554</v>
      </c>
      <c r="J1489" s="13">
        <f t="shared" ref="J1489:J1552" si="53">IF(G1489=1,SUM(W1489,-H1489),0)</f>
        <v>0</v>
      </c>
      <c r="K1489" s="14"/>
      <c r="L1489" s="14"/>
      <c r="M1489" s="14"/>
      <c r="N1489" s="14"/>
      <c r="O1489" s="14">
        <v>400</v>
      </c>
      <c r="P1489" s="14">
        <v>400</v>
      </c>
      <c r="Q1489" s="14">
        <v>400</v>
      </c>
      <c r="R1489" s="14"/>
      <c r="S1489" s="14"/>
      <c r="T1489" s="14"/>
      <c r="U1489" s="14"/>
      <c r="V1489" s="14"/>
      <c r="W1489" s="15">
        <f t="shared" ref="W1489:W1552" si="54">SUM(K1489:V1489)</f>
        <v>1200</v>
      </c>
      <c r="X1489" s="14"/>
      <c r="Y1489" s="14"/>
      <c r="Z1489" s="14"/>
      <c r="AA1489" s="14"/>
      <c r="AB1489" s="14"/>
      <c r="AC1489" s="14"/>
      <c r="AD1489" s="14"/>
      <c r="AE1489" s="14"/>
      <c r="AF1489" s="14"/>
      <c r="AG1489" s="14"/>
      <c r="AH1489" s="14"/>
      <c r="AI1489" s="14"/>
      <c r="AJ1489" s="15"/>
      <c r="AK1489" s="16"/>
    </row>
    <row r="1490" spans="2:37" x14ac:dyDescent="0.2">
      <c r="B1490" s="7" t="s">
        <v>391</v>
      </c>
      <c r="C1490" s="8">
        <v>12183</v>
      </c>
      <c r="D1490" s="9" t="s">
        <v>640</v>
      </c>
      <c r="E1490" s="10" t="s">
        <v>641</v>
      </c>
      <c r="F1490" s="10" t="s">
        <v>642</v>
      </c>
      <c r="G1490" s="8">
        <v>1</v>
      </c>
      <c r="H1490" s="11">
        <v>200</v>
      </c>
      <c r="I1490" s="12">
        <v>42554</v>
      </c>
      <c r="J1490" s="13">
        <f t="shared" si="53"/>
        <v>0</v>
      </c>
      <c r="K1490" s="14"/>
      <c r="L1490" s="14"/>
      <c r="M1490" s="14"/>
      <c r="N1490" s="14"/>
      <c r="O1490" s="14"/>
      <c r="P1490" s="14">
        <v>200</v>
      </c>
      <c r="Q1490" s="14"/>
      <c r="R1490" s="14"/>
      <c r="S1490" s="14"/>
      <c r="T1490" s="14"/>
      <c r="U1490" s="14"/>
      <c r="V1490" s="14"/>
      <c r="W1490" s="15">
        <f t="shared" si="54"/>
        <v>200</v>
      </c>
      <c r="X1490" s="14"/>
      <c r="Y1490" s="14"/>
      <c r="Z1490" s="14"/>
      <c r="AA1490" s="14"/>
      <c r="AB1490" s="14"/>
      <c r="AC1490" s="14"/>
      <c r="AD1490" s="14"/>
      <c r="AE1490" s="14"/>
      <c r="AF1490" s="14"/>
      <c r="AG1490" s="14"/>
      <c r="AH1490" s="14"/>
      <c r="AI1490" s="14"/>
      <c r="AJ1490" s="15"/>
      <c r="AK1490" s="16"/>
    </row>
    <row r="1491" spans="2:37" x14ac:dyDescent="0.2">
      <c r="B1491" s="7" t="s">
        <v>77</v>
      </c>
      <c r="C1491" s="8">
        <v>12184</v>
      </c>
      <c r="D1491" s="9" t="s">
        <v>159</v>
      </c>
      <c r="E1491" s="10" t="s">
        <v>160</v>
      </c>
      <c r="F1491" s="10" t="s">
        <v>161</v>
      </c>
      <c r="G1491" s="8">
        <v>1</v>
      </c>
      <c r="H1491" s="11">
        <v>400</v>
      </c>
      <c r="I1491" s="12">
        <v>42554</v>
      </c>
      <c r="J1491" s="13">
        <f t="shared" si="53"/>
        <v>0</v>
      </c>
      <c r="K1491" s="14"/>
      <c r="L1491" s="14"/>
      <c r="M1491" s="14"/>
      <c r="N1491" s="14"/>
      <c r="O1491" s="14"/>
      <c r="P1491" s="14">
        <v>400</v>
      </c>
      <c r="Q1491" s="14"/>
      <c r="R1491" s="14"/>
      <c r="S1491" s="14"/>
      <c r="T1491" s="14"/>
      <c r="U1491" s="14"/>
      <c r="V1491" s="14"/>
      <c r="W1491" s="15">
        <f t="shared" si="54"/>
        <v>400</v>
      </c>
      <c r="X1491" s="14"/>
      <c r="Y1491" s="14"/>
      <c r="Z1491" s="14"/>
      <c r="AA1491" s="14"/>
      <c r="AB1491" s="14"/>
      <c r="AC1491" s="14"/>
      <c r="AD1491" s="14"/>
      <c r="AE1491" s="14"/>
      <c r="AF1491" s="14"/>
      <c r="AG1491" s="14"/>
      <c r="AH1491" s="14"/>
      <c r="AI1491" s="14"/>
      <c r="AJ1491" s="15"/>
      <c r="AK1491" s="16"/>
    </row>
    <row r="1492" spans="2:37" x14ac:dyDescent="0.2">
      <c r="B1492" s="7" t="s">
        <v>69</v>
      </c>
      <c r="C1492" s="8">
        <v>12185</v>
      </c>
      <c r="D1492" s="9" t="s">
        <v>186</v>
      </c>
      <c r="E1492" s="10" t="s">
        <v>187</v>
      </c>
      <c r="F1492" s="10" t="s">
        <v>188</v>
      </c>
      <c r="G1492" s="8">
        <v>1</v>
      </c>
      <c r="H1492" s="11">
        <v>400</v>
      </c>
      <c r="I1492" s="12">
        <v>42554</v>
      </c>
      <c r="J1492" s="13">
        <f t="shared" si="53"/>
        <v>0</v>
      </c>
      <c r="K1492" s="14"/>
      <c r="L1492" s="14"/>
      <c r="M1492" s="14"/>
      <c r="N1492" s="14"/>
      <c r="O1492" s="14"/>
      <c r="P1492" s="14"/>
      <c r="Q1492" s="14">
        <v>400</v>
      </c>
      <c r="R1492" s="14"/>
      <c r="S1492" s="14"/>
      <c r="T1492" s="14"/>
      <c r="U1492" s="14"/>
      <c r="V1492" s="14"/>
      <c r="W1492" s="15">
        <f t="shared" si="54"/>
        <v>400</v>
      </c>
      <c r="X1492" s="14"/>
      <c r="Y1492" s="14"/>
      <c r="Z1492" s="14"/>
      <c r="AA1492" s="14"/>
      <c r="AB1492" s="14"/>
      <c r="AC1492" s="14"/>
      <c r="AD1492" s="14"/>
      <c r="AE1492" s="14"/>
      <c r="AF1492" s="14"/>
      <c r="AG1492" s="14"/>
      <c r="AH1492" s="14"/>
      <c r="AI1492" s="14"/>
      <c r="AJ1492" s="15"/>
      <c r="AK1492" s="16"/>
    </row>
    <row r="1493" spans="2:37" x14ac:dyDescent="0.2">
      <c r="B1493" s="7" t="s">
        <v>47</v>
      </c>
      <c r="C1493" s="8">
        <v>12186</v>
      </c>
      <c r="D1493" s="9" t="s">
        <v>861</v>
      </c>
      <c r="E1493" s="10" t="s">
        <v>862</v>
      </c>
      <c r="F1493" s="10" t="s">
        <v>863</v>
      </c>
      <c r="G1493" s="8">
        <v>1</v>
      </c>
      <c r="H1493" s="11">
        <v>100</v>
      </c>
      <c r="I1493" s="12">
        <v>42554</v>
      </c>
      <c r="J1493" s="13">
        <f t="shared" si="53"/>
        <v>0</v>
      </c>
      <c r="K1493" s="14"/>
      <c r="L1493" s="14"/>
      <c r="M1493" s="14"/>
      <c r="N1493" s="14"/>
      <c r="O1493" s="14"/>
      <c r="P1493" s="14"/>
      <c r="Q1493" s="14">
        <v>100</v>
      </c>
      <c r="R1493" s="14"/>
      <c r="S1493" s="14"/>
      <c r="T1493" s="14"/>
      <c r="U1493" s="14"/>
      <c r="V1493" s="14"/>
      <c r="W1493" s="15">
        <f t="shared" si="54"/>
        <v>100</v>
      </c>
      <c r="X1493" s="14"/>
      <c r="Y1493" s="14"/>
      <c r="Z1493" s="14"/>
      <c r="AA1493" s="14"/>
      <c r="AB1493" s="14"/>
      <c r="AC1493" s="14"/>
      <c r="AD1493" s="14"/>
      <c r="AE1493" s="14"/>
      <c r="AF1493" s="14"/>
      <c r="AG1493" s="14"/>
      <c r="AH1493" s="14"/>
      <c r="AI1493" s="14"/>
      <c r="AJ1493" s="15"/>
      <c r="AK1493" s="16"/>
    </row>
    <row r="1494" spans="2:37" x14ac:dyDescent="0.2">
      <c r="B1494" s="7" t="s">
        <v>69</v>
      </c>
      <c r="C1494" s="8">
        <v>12187</v>
      </c>
      <c r="D1494" s="9" t="s">
        <v>1049</v>
      </c>
      <c r="E1494" s="10" t="s">
        <v>1050</v>
      </c>
      <c r="F1494" s="10" t="s">
        <v>1051</v>
      </c>
      <c r="G1494" s="8">
        <v>1</v>
      </c>
      <c r="H1494" s="11">
        <v>400</v>
      </c>
      <c r="I1494" s="12">
        <v>42554</v>
      </c>
      <c r="J1494" s="13">
        <f t="shared" si="53"/>
        <v>0</v>
      </c>
      <c r="K1494" s="14"/>
      <c r="L1494" s="14"/>
      <c r="M1494" s="14"/>
      <c r="N1494" s="14"/>
      <c r="O1494" s="14"/>
      <c r="P1494" s="14"/>
      <c r="Q1494" s="14">
        <v>400</v>
      </c>
      <c r="R1494" s="14"/>
      <c r="S1494" s="14"/>
      <c r="T1494" s="14"/>
      <c r="U1494" s="14"/>
      <c r="V1494" s="14"/>
      <c r="W1494" s="15">
        <f t="shared" si="54"/>
        <v>400</v>
      </c>
      <c r="X1494" s="14"/>
      <c r="Y1494" s="14"/>
      <c r="Z1494" s="14"/>
      <c r="AA1494" s="14"/>
      <c r="AB1494" s="14"/>
      <c r="AC1494" s="14"/>
      <c r="AD1494" s="14"/>
      <c r="AE1494" s="14"/>
      <c r="AF1494" s="14"/>
      <c r="AG1494" s="14"/>
      <c r="AH1494" s="14"/>
      <c r="AI1494" s="14"/>
      <c r="AJ1494" s="15"/>
      <c r="AK1494" s="16"/>
    </row>
    <row r="1495" spans="2:37" x14ac:dyDescent="0.2">
      <c r="B1495" s="7" t="s">
        <v>77</v>
      </c>
      <c r="C1495" s="8">
        <v>12188</v>
      </c>
      <c r="D1495" s="9" t="s">
        <v>1046</v>
      </c>
      <c r="E1495" s="10" t="s">
        <v>1047</v>
      </c>
      <c r="F1495" s="10" t="s">
        <v>1048</v>
      </c>
      <c r="G1495" s="8">
        <v>5</v>
      </c>
      <c r="H1495" s="11">
        <v>150</v>
      </c>
      <c r="I1495" s="12">
        <v>42554</v>
      </c>
      <c r="J1495" s="13">
        <f t="shared" si="53"/>
        <v>0</v>
      </c>
      <c r="K1495" s="14"/>
      <c r="L1495" s="14"/>
      <c r="M1495" s="14"/>
      <c r="N1495" s="14"/>
      <c r="O1495" s="14"/>
      <c r="P1495" s="14"/>
      <c r="Q1495" s="14"/>
      <c r="R1495" s="14"/>
      <c r="S1495" s="14"/>
      <c r="T1495" s="14"/>
      <c r="U1495" s="14"/>
      <c r="V1495" s="14"/>
      <c r="W1495" s="15">
        <f t="shared" si="54"/>
        <v>0</v>
      </c>
      <c r="X1495" s="14"/>
      <c r="Y1495" s="14"/>
      <c r="Z1495" s="14"/>
      <c r="AA1495" s="14"/>
      <c r="AB1495" s="14"/>
      <c r="AC1495" s="14"/>
      <c r="AD1495" s="14"/>
      <c r="AE1495" s="14"/>
      <c r="AF1495" s="14"/>
      <c r="AG1495" s="14"/>
      <c r="AH1495" s="14"/>
      <c r="AI1495" s="14"/>
      <c r="AJ1495" s="15"/>
      <c r="AK1495" s="16"/>
    </row>
    <row r="1496" spans="2:37" x14ac:dyDescent="0.2">
      <c r="B1496" s="7" t="s">
        <v>391</v>
      </c>
      <c r="C1496" s="8">
        <v>12189</v>
      </c>
      <c r="D1496" s="9" t="s">
        <v>876</v>
      </c>
      <c r="E1496" s="10" t="s">
        <v>877</v>
      </c>
      <c r="F1496" s="10" t="s">
        <v>878</v>
      </c>
      <c r="G1496" s="8">
        <v>5</v>
      </c>
      <c r="H1496" s="11">
        <v>50</v>
      </c>
      <c r="I1496" s="12">
        <v>42554</v>
      </c>
      <c r="J1496" s="13">
        <f t="shared" si="53"/>
        <v>0</v>
      </c>
      <c r="K1496" s="14"/>
      <c r="L1496" s="14"/>
      <c r="M1496" s="14"/>
      <c r="N1496" s="14"/>
      <c r="O1496" s="14"/>
      <c r="P1496" s="14"/>
      <c r="Q1496" s="14"/>
      <c r="R1496" s="14"/>
      <c r="S1496" s="14"/>
      <c r="T1496" s="14"/>
      <c r="U1496" s="14"/>
      <c r="V1496" s="14"/>
      <c r="W1496" s="15">
        <f t="shared" si="54"/>
        <v>0</v>
      </c>
      <c r="X1496" s="14"/>
      <c r="Y1496" s="14"/>
      <c r="Z1496" s="14"/>
      <c r="AA1496" s="14"/>
      <c r="AB1496" s="14"/>
      <c r="AC1496" s="14"/>
      <c r="AD1496" s="14"/>
      <c r="AE1496" s="14"/>
      <c r="AF1496" s="14"/>
      <c r="AG1496" s="14"/>
      <c r="AH1496" s="14"/>
      <c r="AI1496" s="14"/>
      <c r="AJ1496" s="15"/>
      <c r="AK1496" s="16"/>
    </row>
    <row r="1497" spans="2:37" x14ac:dyDescent="0.2">
      <c r="B1497" s="7" t="s">
        <v>73</v>
      </c>
      <c r="C1497" s="8">
        <v>12190</v>
      </c>
      <c r="D1497" s="9" t="s">
        <v>202</v>
      </c>
      <c r="E1497" s="10" t="s">
        <v>203</v>
      </c>
      <c r="F1497" s="10" t="s">
        <v>204</v>
      </c>
      <c r="G1497" s="8">
        <v>5</v>
      </c>
      <c r="H1497" s="11">
        <v>150</v>
      </c>
      <c r="I1497" s="12">
        <v>42554</v>
      </c>
      <c r="J1497" s="13">
        <f t="shared" si="53"/>
        <v>0</v>
      </c>
      <c r="K1497" s="14"/>
      <c r="L1497" s="14"/>
      <c r="M1497" s="14"/>
      <c r="N1497" s="14"/>
      <c r="O1497" s="14"/>
      <c r="P1497" s="14"/>
      <c r="Q1497" s="14"/>
      <c r="R1497" s="14"/>
      <c r="S1497" s="14"/>
      <c r="T1497" s="14"/>
      <c r="U1497" s="14"/>
      <c r="V1497" s="14"/>
      <c r="W1497" s="15">
        <f t="shared" si="54"/>
        <v>0</v>
      </c>
      <c r="X1497" s="14"/>
      <c r="Y1497" s="14"/>
      <c r="Z1497" s="14"/>
      <c r="AA1497" s="14"/>
      <c r="AB1497" s="14"/>
      <c r="AC1497" s="14"/>
      <c r="AD1497" s="14"/>
      <c r="AE1497" s="14"/>
      <c r="AF1497" s="14"/>
      <c r="AG1497" s="14"/>
      <c r="AH1497" s="14"/>
      <c r="AI1497" s="14"/>
      <c r="AJ1497" s="15"/>
      <c r="AK1497" s="16"/>
    </row>
    <row r="1498" spans="2:37" x14ac:dyDescent="0.2">
      <c r="B1498" s="7" t="s">
        <v>391</v>
      </c>
      <c r="C1498" s="8">
        <v>12191</v>
      </c>
      <c r="D1498" s="9" t="s">
        <v>640</v>
      </c>
      <c r="E1498" s="10" t="s">
        <v>641</v>
      </c>
      <c r="F1498" s="10" t="s">
        <v>642</v>
      </c>
      <c r="G1498" s="8">
        <v>5</v>
      </c>
      <c r="H1498" s="11">
        <v>50</v>
      </c>
      <c r="I1498" s="12">
        <v>42554</v>
      </c>
      <c r="J1498" s="13">
        <f t="shared" si="53"/>
        <v>0</v>
      </c>
      <c r="K1498" s="14"/>
      <c r="L1498" s="14"/>
      <c r="M1498" s="14"/>
      <c r="N1498" s="14"/>
      <c r="O1498" s="14"/>
      <c r="P1498" s="14"/>
      <c r="Q1498" s="14"/>
      <c r="R1498" s="14"/>
      <c r="S1498" s="14"/>
      <c r="T1498" s="14"/>
      <c r="U1498" s="14"/>
      <c r="V1498" s="14"/>
      <c r="W1498" s="15">
        <f t="shared" si="54"/>
        <v>0</v>
      </c>
      <c r="X1498" s="14"/>
      <c r="Y1498" s="14"/>
      <c r="Z1498" s="14"/>
      <c r="AA1498" s="14"/>
      <c r="AB1498" s="14"/>
      <c r="AC1498" s="14"/>
      <c r="AD1498" s="14"/>
      <c r="AE1498" s="14"/>
      <c r="AF1498" s="14"/>
      <c r="AG1498" s="14"/>
      <c r="AH1498" s="14"/>
      <c r="AI1498" s="14"/>
      <c r="AJ1498" s="15"/>
      <c r="AK1498" s="16"/>
    </row>
    <row r="1499" spans="2:37" x14ac:dyDescent="0.2">
      <c r="B1499" s="7" t="s">
        <v>77</v>
      </c>
      <c r="C1499" s="8">
        <v>12192</v>
      </c>
      <c r="D1499" s="9" t="s">
        <v>159</v>
      </c>
      <c r="E1499" s="10" t="s">
        <v>160</v>
      </c>
      <c r="F1499" s="10" t="s">
        <v>161</v>
      </c>
      <c r="G1499" s="8">
        <v>5</v>
      </c>
      <c r="H1499" s="11">
        <v>250</v>
      </c>
      <c r="I1499" s="12">
        <v>42554</v>
      </c>
      <c r="J1499" s="13">
        <f t="shared" si="53"/>
        <v>0</v>
      </c>
      <c r="K1499" s="14"/>
      <c r="L1499" s="14"/>
      <c r="M1499" s="14"/>
      <c r="N1499" s="14"/>
      <c r="O1499" s="14"/>
      <c r="P1499" s="14"/>
      <c r="Q1499" s="14"/>
      <c r="R1499" s="14"/>
      <c r="S1499" s="14"/>
      <c r="T1499" s="14"/>
      <c r="U1499" s="14"/>
      <c r="V1499" s="14"/>
      <c r="W1499" s="15">
        <f t="shared" si="54"/>
        <v>0</v>
      </c>
      <c r="X1499" s="14"/>
      <c r="Y1499" s="14"/>
      <c r="Z1499" s="14"/>
      <c r="AA1499" s="14"/>
      <c r="AB1499" s="14"/>
      <c r="AC1499" s="14"/>
      <c r="AD1499" s="14"/>
      <c r="AE1499" s="14"/>
      <c r="AF1499" s="14"/>
      <c r="AG1499" s="14"/>
      <c r="AH1499" s="14"/>
      <c r="AI1499" s="14"/>
      <c r="AJ1499" s="15"/>
      <c r="AK1499" s="16"/>
    </row>
    <row r="1500" spans="2:37" x14ac:dyDescent="0.2">
      <c r="B1500" s="7" t="s">
        <v>47</v>
      </c>
      <c r="C1500" s="8">
        <v>12193</v>
      </c>
      <c r="D1500" s="9" t="s">
        <v>861</v>
      </c>
      <c r="E1500" s="10" t="s">
        <v>862</v>
      </c>
      <c r="F1500" s="10" t="s">
        <v>863</v>
      </c>
      <c r="G1500" s="8">
        <v>5</v>
      </c>
      <c r="H1500" s="11">
        <v>100</v>
      </c>
      <c r="I1500" s="12">
        <v>42554</v>
      </c>
      <c r="J1500" s="13">
        <f t="shared" si="53"/>
        <v>0</v>
      </c>
      <c r="K1500" s="14"/>
      <c r="L1500" s="14"/>
      <c r="M1500" s="14"/>
      <c r="N1500" s="14"/>
      <c r="O1500" s="14"/>
      <c r="P1500" s="14"/>
      <c r="Q1500" s="14"/>
      <c r="R1500" s="14"/>
      <c r="S1500" s="14"/>
      <c r="T1500" s="14"/>
      <c r="U1500" s="14"/>
      <c r="V1500" s="14"/>
      <c r="W1500" s="15">
        <f t="shared" si="54"/>
        <v>0</v>
      </c>
      <c r="X1500" s="14"/>
      <c r="Y1500" s="14"/>
      <c r="Z1500" s="14"/>
      <c r="AA1500" s="14"/>
      <c r="AB1500" s="14"/>
      <c r="AC1500" s="14"/>
      <c r="AD1500" s="14"/>
      <c r="AE1500" s="14"/>
      <c r="AF1500" s="14"/>
      <c r="AG1500" s="14"/>
      <c r="AH1500" s="14"/>
      <c r="AI1500" s="14"/>
      <c r="AJ1500" s="15"/>
      <c r="AK1500" s="16"/>
    </row>
    <row r="1501" spans="2:37" x14ac:dyDescent="0.2">
      <c r="B1501" s="7" t="s">
        <v>73</v>
      </c>
      <c r="C1501" s="8">
        <v>12194</v>
      </c>
      <c r="D1501" s="9" t="s">
        <v>1052</v>
      </c>
      <c r="E1501" s="10" t="s">
        <v>1053</v>
      </c>
      <c r="F1501" s="10" t="s">
        <v>1054</v>
      </c>
      <c r="G1501" s="8">
        <v>5</v>
      </c>
      <c r="H1501" s="11">
        <v>200</v>
      </c>
      <c r="I1501" s="12">
        <v>42554</v>
      </c>
      <c r="J1501" s="13">
        <f t="shared" si="53"/>
        <v>0</v>
      </c>
      <c r="K1501" s="14"/>
      <c r="L1501" s="14"/>
      <c r="M1501" s="14"/>
      <c r="N1501" s="14"/>
      <c r="O1501" s="14"/>
      <c r="P1501" s="14"/>
      <c r="Q1501" s="14"/>
      <c r="R1501" s="14"/>
      <c r="S1501" s="14"/>
      <c r="T1501" s="14"/>
      <c r="U1501" s="14"/>
      <c r="V1501" s="14"/>
      <c r="W1501" s="15">
        <f t="shared" si="54"/>
        <v>0</v>
      </c>
      <c r="X1501" s="14"/>
      <c r="Y1501" s="14"/>
      <c r="Z1501" s="14"/>
      <c r="AA1501" s="14"/>
      <c r="AB1501" s="14"/>
      <c r="AC1501" s="14"/>
      <c r="AD1501" s="14"/>
      <c r="AE1501" s="14"/>
      <c r="AF1501" s="14"/>
      <c r="AG1501" s="14"/>
      <c r="AH1501" s="14"/>
      <c r="AI1501" s="14"/>
      <c r="AJ1501" s="15"/>
      <c r="AK1501" s="16"/>
    </row>
    <row r="1502" spans="2:37" x14ac:dyDescent="0.2">
      <c r="B1502" s="7" t="s">
        <v>37</v>
      </c>
      <c r="C1502" s="8">
        <v>12195</v>
      </c>
      <c r="D1502" s="9" t="s">
        <v>488</v>
      </c>
      <c r="E1502" s="10" t="s">
        <v>489</v>
      </c>
      <c r="F1502" s="10" t="s">
        <v>490</v>
      </c>
      <c r="G1502" s="8">
        <v>5</v>
      </c>
      <c r="H1502" s="11">
        <v>50</v>
      </c>
      <c r="I1502" s="12">
        <v>42554</v>
      </c>
      <c r="J1502" s="13">
        <f t="shared" si="53"/>
        <v>0</v>
      </c>
      <c r="K1502" s="14"/>
      <c r="L1502" s="14"/>
      <c r="M1502" s="14"/>
      <c r="N1502" s="14"/>
      <c r="O1502" s="14"/>
      <c r="P1502" s="14"/>
      <c r="Q1502" s="14"/>
      <c r="R1502" s="14"/>
      <c r="S1502" s="14"/>
      <c r="T1502" s="14"/>
      <c r="U1502" s="14"/>
      <c r="V1502" s="14"/>
      <c r="W1502" s="15">
        <f t="shared" si="54"/>
        <v>0</v>
      </c>
      <c r="X1502" s="14"/>
      <c r="Y1502" s="14"/>
      <c r="Z1502" s="14"/>
      <c r="AA1502" s="14"/>
      <c r="AB1502" s="14"/>
      <c r="AC1502" s="14"/>
      <c r="AD1502" s="14"/>
      <c r="AE1502" s="14"/>
      <c r="AF1502" s="14"/>
      <c r="AG1502" s="14"/>
      <c r="AH1502" s="14"/>
      <c r="AI1502" s="14"/>
      <c r="AJ1502" s="15"/>
      <c r="AK1502" s="16"/>
    </row>
    <row r="1503" spans="2:37" x14ac:dyDescent="0.2">
      <c r="B1503" s="7" t="s">
        <v>47</v>
      </c>
      <c r="C1503" s="8">
        <v>12196</v>
      </c>
      <c r="D1503" s="9" t="s">
        <v>183</v>
      </c>
      <c r="E1503" s="10" t="s">
        <v>184</v>
      </c>
      <c r="F1503" s="10" t="s">
        <v>185</v>
      </c>
      <c r="G1503" s="8">
        <v>5</v>
      </c>
      <c r="H1503" s="11">
        <v>150</v>
      </c>
      <c r="I1503" s="12">
        <v>42554</v>
      </c>
      <c r="J1503" s="13">
        <f t="shared" si="53"/>
        <v>0</v>
      </c>
      <c r="K1503" s="14"/>
      <c r="L1503" s="14"/>
      <c r="M1503" s="14"/>
      <c r="N1503" s="14"/>
      <c r="O1503" s="14"/>
      <c r="P1503" s="14"/>
      <c r="Q1503" s="14"/>
      <c r="R1503" s="14"/>
      <c r="S1503" s="14"/>
      <c r="T1503" s="14"/>
      <c r="U1503" s="14"/>
      <c r="V1503" s="14"/>
      <c r="W1503" s="15">
        <f t="shared" si="54"/>
        <v>0</v>
      </c>
      <c r="X1503" s="14"/>
      <c r="Y1503" s="14"/>
      <c r="Z1503" s="14"/>
      <c r="AA1503" s="14"/>
      <c r="AB1503" s="14"/>
      <c r="AC1503" s="14"/>
      <c r="AD1503" s="14"/>
      <c r="AE1503" s="14"/>
      <c r="AF1503" s="14"/>
      <c r="AG1503" s="14"/>
      <c r="AH1503" s="14"/>
      <c r="AI1503" s="14"/>
      <c r="AJ1503" s="15"/>
      <c r="AK1503" s="16"/>
    </row>
    <row r="1504" spans="2:37" x14ac:dyDescent="0.2">
      <c r="B1504" s="7" t="s">
        <v>47</v>
      </c>
      <c r="C1504" s="8">
        <v>12197</v>
      </c>
      <c r="D1504" s="9" t="s">
        <v>65</v>
      </c>
      <c r="E1504" s="10" t="s">
        <v>66</v>
      </c>
      <c r="F1504" s="10" t="s">
        <v>67</v>
      </c>
      <c r="G1504" s="8">
        <v>5</v>
      </c>
      <c r="H1504" s="11">
        <v>150</v>
      </c>
      <c r="I1504" s="12">
        <v>42554</v>
      </c>
      <c r="J1504" s="13">
        <f t="shared" si="53"/>
        <v>0</v>
      </c>
      <c r="K1504" s="14"/>
      <c r="L1504" s="14"/>
      <c r="M1504" s="14"/>
      <c r="N1504" s="14"/>
      <c r="O1504" s="14"/>
      <c r="P1504" s="14"/>
      <c r="Q1504" s="14"/>
      <c r="R1504" s="14"/>
      <c r="S1504" s="14"/>
      <c r="T1504" s="14"/>
      <c r="U1504" s="14"/>
      <c r="V1504" s="14"/>
      <c r="W1504" s="15">
        <f t="shared" si="54"/>
        <v>0</v>
      </c>
      <c r="X1504" s="14"/>
      <c r="Y1504" s="14"/>
      <c r="Z1504" s="14"/>
      <c r="AA1504" s="14"/>
      <c r="AB1504" s="14"/>
      <c r="AC1504" s="14"/>
      <c r="AD1504" s="14"/>
      <c r="AE1504" s="14"/>
      <c r="AF1504" s="14"/>
      <c r="AG1504" s="14"/>
      <c r="AH1504" s="14"/>
      <c r="AI1504" s="14"/>
      <c r="AJ1504" s="15"/>
      <c r="AK1504" s="16"/>
    </row>
    <row r="1505" spans="2:37" x14ac:dyDescent="0.2">
      <c r="B1505" s="7" t="s">
        <v>73</v>
      </c>
      <c r="C1505" s="8">
        <v>12198</v>
      </c>
      <c r="D1505" s="9" t="s">
        <v>1055</v>
      </c>
      <c r="E1505" s="10" t="s">
        <v>1056</v>
      </c>
      <c r="F1505" s="10" t="s">
        <v>1057</v>
      </c>
      <c r="G1505" s="8">
        <v>5</v>
      </c>
      <c r="H1505" s="11">
        <v>100</v>
      </c>
      <c r="I1505" s="12">
        <v>42554</v>
      </c>
      <c r="J1505" s="13">
        <f t="shared" si="53"/>
        <v>0</v>
      </c>
      <c r="K1505" s="14"/>
      <c r="L1505" s="14"/>
      <c r="M1505" s="14"/>
      <c r="N1505" s="14"/>
      <c r="O1505" s="14"/>
      <c r="P1505" s="14"/>
      <c r="Q1505" s="14"/>
      <c r="R1505" s="14"/>
      <c r="S1505" s="14"/>
      <c r="T1505" s="14"/>
      <c r="U1505" s="14"/>
      <c r="V1505" s="14"/>
      <c r="W1505" s="15">
        <f t="shared" si="54"/>
        <v>0</v>
      </c>
      <c r="X1505" s="14"/>
      <c r="Y1505" s="14"/>
      <c r="Z1505" s="14"/>
      <c r="AA1505" s="14"/>
      <c r="AB1505" s="14"/>
      <c r="AC1505" s="14"/>
      <c r="AD1505" s="14"/>
      <c r="AE1505" s="14"/>
      <c r="AF1505" s="14"/>
      <c r="AG1505" s="14"/>
      <c r="AH1505" s="14"/>
      <c r="AI1505" s="14"/>
      <c r="AJ1505" s="15"/>
      <c r="AK1505" s="16"/>
    </row>
    <row r="1506" spans="2:37" x14ac:dyDescent="0.2">
      <c r="B1506" s="7" t="s">
        <v>69</v>
      </c>
      <c r="C1506" s="8">
        <v>12199</v>
      </c>
      <c r="D1506" s="9" t="s">
        <v>678</v>
      </c>
      <c r="E1506" s="10" t="s">
        <v>679</v>
      </c>
      <c r="F1506" s="10" t="s">
        <v>680</v>
      </c>
      <c r="G1506" s="8">
        <v>5</v>
      </c>
      <c r="H1506" s="11">
        <v>100</v>
      </c>
      <c r="I1506" s="12">
        <v>42554</v>
      </c>
      <c r="J1506" s="13">
        <f t="shared" si="53"/>
        <v>0</v>
      </c>
      <c r="K1506" s="14"/>
      <c r="L1506" s="14"/>
      <c r="M1506" s="14"/>
      <c r="N1506" s="14"/>
      <c r="O1506" s="14"/>
      <c r="P1506" s="14"/>
      <c r="Q1506" s="14"/>
      <c r="R1506" s="14"/>
      <c r="S1506" s="14"/>
      <c r="T1506" s="14"/>
      <c r="U1506" s="14"/>
      <c r="V1506" s="14"/>
      <c r="W1506" s="15">
        <f t="shared" si="54"/>
        <v>0</v>
      </c>
      <c r="X1506" s="14"/>
      <c r="Y1506" s="14"/>
      <c r="Z1506" s="14"/>
      <c r="AA1506" s="14"/>
      <c r="AB1506" s="14"/>
      <c r="AC1506" s="14"/>
      <c r="AD1506" s="14"/>
      <c r="AE1506" s="14"/>
      <c r="AF1506" s="14"/>
      <c r="AG1506" s="14"/>
      <c r="AH1506" s="14"/>
      <c r="AI1506" s="14"/>
      <c r="AJ1506" s="15"/>
      <c r="AK1506" s="16"/>
    </row>
    <row r="1507" spans="2:37" x14ac:dyDescent="0.2">
      <c r="B1507" s="7" t="s">
        <v>47</v>
      </c>
      <c r="C1507" s="8">
        <v>12200</v>
      </c>
      <c r="D1507" s="9" t="s">
        <v>48</v>
      </c>
      <c r="E1507" s="10" t="s">
        <v>49</v>
      </c>
      <c r="F1507" s="10" t="s">
        <v>50</v>
      </c>
      <c r="G1507" s="8">
        <v>5</v>
      </c>
      <c r="H1507" s="11">
        <v>200</v>
      </c>
      <c r="I1507" s="12">
        <v>42554</v>
      </c>
      <c r="J1507" s="13">
        <f t="shared" si="53"/>
        <v>0</v>
      </c>
      <c r="K1507" s="14"/>
      <c r="L1507" s="14"/>
      <c r="M1507" s="14"/>
      <c r="N1507" s="14"/>
      <c r="O1507" s="14"/>
      <c r="P1507" s="14"/>
      <c r="Q1507" s="14"/>
      <c r="R1507" s="14"/>
      <c r="S1507" s="14"/>
      <c r="T1507" s="14"/>
      <c r="U1507" s="14"/>
      <c r="V1507" s="14"/>
      <c r="W1507" s="15">
        <f t="shared" si="54"/>
        <v>0</v>
      </c>
      <c r="X1507" s="14"/>
      <c r="Y1507" s="14"/>
      <c r="Z1507" s="14"/>
      <c r="AA1507" s="14"/>
      <c r="AB1507" s="14"/>
      <c r="AC1507" s="14"/>
      <c r="AD1507" s="14"/>
      <c r="AE1507" s="14"/>
      <c r="AF1507" s="14"/>
      <c r="AG1507" s="14"/>
      <c r="AH1507" s="14"/>
      <c r="AI1507" s="14"/>
      <c r="AJ1507" s="15"/>
      <c r="AK1507" s="16"/>
    </row>
    <row r="1508" spans="2:37" x14ac:dyDescent="0.2">
      <c r="B1508" s="7" t="s">
        <v>69</v>
      </c>
      <c r="C1508" s="8">
        <v>12201</v>
      </c>
      <c r="D1508" s="9" t="s">
        <v>437</v>
      </c>
      <c r="E1508" s="10" t="s">
        <v>438</v>
      </c>
      <c r="F1508" s="10" t="s">
        <v>439</v>
      </c>
      <c r="G1508" s="8">
        <v>5</v>
      </c>
      <c r="H1508" s="11">
        <v>50</v>
      </c>
      <c r="I1508" s="12">
        <v>42554</v>
      </c>
      <c r="J1508" s="13">
        <f t="shared" si="53"/>
        <v>0</v>
      </c>
      <c r="K1508" s="14"/>
      <c r="L1508" s="14"/>
      <c r="M1508" s="14"/>
      <c r="N1508" s="14"/>
      <c r="O1508" s="14"/>
      <c r="P1508" s="14"/>
      <c r="Q1508" s="14"/>
      <c r="R1508" s="14"/>
      <c r="S1508" s="14"/>
      <c r="T1508" s="14"/>
      <c r="U1508" s="14"/>
      <c r="V1508" s="14"/>
      <c r="W1508" s="15">
        <f t="shared" si="54"/>
        <v>0</v>
      </c>
      <c r="X1508" s="14"/>
      <c r="Y1508" s="14"/>
      <c r="Z1508" s="14"/>
      <c r="AA1508" s="14"/>
      <c r="AB1508" s="14"/>
      <c r="AC1508" s="14"/>
      <c r="AD1508" s="14"/>
      <c r="AE1508" s="14"/>
      <c r="AF1508" s="14"/>
      <c r="AG1508" s="14"/>
      <c r="AH1508" s="14"/>
      <c r="AI1508" s="14"/>
      <c r="AJ1508" s="15"/>
      <c r="AK1508" s="16"/>
    </row>
    <row r="1509" spans="2:37" x14ac:dyDescent="0.2">
      <c r="B1509" s="7" t="s">
        <v>47</v>
      </c>
      <c r="C1509" s="8">
        <v>12202</v>
      </c>
      <c r="D1509" s="9" t="s">
        <v>328</v>
      </c>
      <c r="E1509" s="10" t="s">
        <v>329</v>
      </c>
      <c r="F1509" s="10" t="s">
        <v>330</v>
      </c>
      <c r="G1509" s="8">
        <v>5</v>
      </c>
      <c r="H1509" s="11">
        <v>400</v>
      </c>
      <c r="I1509" s="12">
        <v>42554</v>
      </c>
      <c r="J1509" s="13">
        <f t="shared" si="53"/>
        <v>0</v>
      </c>
      <c r="K1509" s="14"/>
      <c r="L1509" s="14"/>
      <c r="M1509" s="14"/>
      <c r="N1509" s="14"/>
      <c r="O1509" s="14"/>
      <c r="P1509" s="14"/>
      <c r="Q1509" s="14"/>
      <c r="R1509" s="14"/>
      <c r="S1509" s="14"/>
      <c r="T1509" s="14"/>
      <c r="U1509" s="14"/>
      <c r="V1509" s="14"/>
      <c r="W1509" s="15">
        <f t="shared" si="54"/>
        <v>0</v>
      </c>
      <c r="X1509" s="14"/>
      <c r="Y1509" s="14"/>
      <c r="Z1509" s="14"/>
      <c r="AA1509" s="14"/>
      <c r="AB1509" s="14"/>
      <c r="AC1509" s="14"/>
      <c r="AD1509" s="14"/>
      <c r="AE1509" s="14"/>
      <c r="AF1509" s="14"/>
      <c r="AG1509" s="14"/>
      <c r="AH1509" s="14"/>
      <c r="AI1509" s="14"/>
      <c r="AJ1509" s="15"/>
      <c r="AK1509" s="16"/>
    </row>
    <row r="1510" spans="2:37" x14ac:dyDescent="0.2">
      <c r="B1510" s="7" t="s">
        <v>69</v>
      </c>
      <c r="C1510" s="8">
        <v>12201</v>
      </c>
      <c r="D1510" s="9" t="s">
        <v>147</v>
      </c>
      <c r="E1510" s="10" t="s">
        <v>148</v>
      </c>
      <c r="F1510" s="10" t="s">
        <v>149</v>
      </c>
      <c r="G1510" s="8">
        <v>5</v>
      </c>
      <c r="H1510" s="11">
        <v>200</v>
      </c>
      <c r="I1510" s="12">
        <v>42554</v>
      </c>
      <c r="J1510" s="13">
        <f t="shared" si="53"/>
        <v>0</v>
      </c>
      <c r="K1510" s="14"/>
      <c r="L1510" s="14"/>
      <c r="M1510" s="14"/>
      <c r="N1510" s="14"/>
      <c r="O1510" s="14"/>
      <c r="P1510" s="14"/>
      <c r="Q1510" s="14"/>
      <c r="R1510" s="14"/>
      <c r="S1510" s="14"/>
      <c r="T1510" s="14"/>
      <c r="U1510" s="14"/>
      <c r="V1510" s="14"/>
      <c r="W1510" s="15">
        <f t="shared" si="54"/>
        <v>0</v>
      </c>
      <c r="X1510" s="14"/>
      <c r="Y1510" s="14"/>
      <c r="Z1510" s="14"/>
      <c r="AA1510" s="14"/>
      <c r="AB1510" s="14"/>
      <c r="AC1510" s="14"/>
      <c r="AD1510" s="14"/>
      <c r="AE1510" s="14"/>
      <c r="AF1510" s="14"/>
      <c r="AG1510" s="14"/>
      <c r="AH1510" s="14"/>
      <c r="AI1510" s="14"/>
      <c r="AJ1510" s="15"/>
      <c r="AK1510" s="16"/>
    </row>
    <row r="1511" spans="2:37" x14ac:dyDescent="0.2">
      <c r="B1511" s="7" t="s">
        <v>47</v>
      </c>
      <c r="C1511" s="8">
        <v>12204</v>
      </c>
      <c r="D1511" s="9" t="s">
        <v>1058</v>
      </c>
      <c r="E1511" s="10" t="s">
        <v>1059</v>
      </c>
      <c r="F1511" s="10" t="s">
        <v>1060</v>
      </c>
      <c r="G1511" s="8">
        <v>5</v>
      </c>
      <c r="H1511" s="11">
        <v>100</v>
      </c>
      <c r="I1511" s="12">
        <v>42554</v>
      </c>
      <c r="J1511" s="13">
        <f t="shared" si="53"/>
        <v>0</v>
      </c>
      <c r="K1511" s="14"/>
      <c r="L1511" s="14"/>
      <c r="M1511" s="14"/>
      <c r="N1511" s="14"/>
      <c r="O1511" s="14"/>
      <c r="P1511" s="14"/>
      <c r="Q1511" s="14"/>
      <c r="R1511" s="14"/>
      <c r="S1511" s="14"/>
      <c r="T1511" s="14"/>
      <c r="U1511" s="14"/>
      <c r="V1511" s="14"/>
      <c r="W1511" s="15">
        <f t="shared" si="54"/>
        <v>0</v>
      </c>
      <c r="X1511" s="14"/>
      <c r="Y1511" s="14"/>
      <c r="Z1511" s="14"/>
      <c r="AA1511" s="14"/>
      <c r="AB1511" s="14"/>
      <c r="AC1511" s="14"/>
      <c r="AD1511" s="14"/>
      <c r="AE1511" s="14"/>
      <c r="AF1511" s="14"/>
      <c r="AG1511" s="14"/>
      <c r="AH1511" s="14"/>
      <c r="AI1511" s="14"/>
      <c r="AJ1511" s="15"/>
      <c r="AK1511" s="16"/>
    </row>
    <row r="1512" spans="2:37" x14ac:dyDescent="0.2">
      <c r="B1512" s="7" t="s">
        <v>37</v>
      </c>
      <c r="C1512" s="8">
        <v>12205</v>
      </c>
      <c r="D1512" s="9" t="s">
        <v>935</v>
      </c>
      <c r="E1512" s="10" t="s">
        <v>936</v>
      </c>
      <c r="F1512" s="10" t="s">
        <v>937</v>
      </c>
      <c r="G1512" s="8">
        <v>5</v>
      </c>
      <c r="H1512" s="11">
        <v>50</v>
      </c>
      <c r="I1512" s="12">
        <v>42554</v>
      </c>
      <c r="J1512" s="13">
        <f t="shared" si="53"/>
        <v>0</v>
      </c>
      <c r="K1512" s="14"/>
      <c r="L1512" s="14"/>
      <c r="M1512" s="14"/>
      <c r="N1512" s="14"/>
      <c r="O1512" s="14"/>
      <c r="P1512" s="14"/>
      <c r="Q1512" s="14"/>
      <c r="R1512" s="14"/>
      <c r="S1512" s="14"/>
      <c r="T1512" s="14"/>
      <c r="U1512" s="14"/>
      <c r="V1512" s="14"/>
      <c r="W1512" s="15">
        <f t="shared" si="54"/>
        <v>0</v>
      </c>
      <c r="X1512" s="14"/>
      <c r="Y1512" s="14"/>
      <c r="Z1512" s="14"/>
      <c r="AA1512" s="14"/>
      <c r="AB1512" s="14"/>
      <c r="AC1512" s="14"/>
      <c r="AD1512" s="14"/>
      <c r="AE1512" s="14"/>
      <c r="AF1512" s="14"/>
      <c r="AG1512" s="14"/>
      <c r="AH1512" s="14"/>
      <c r="AI1512" s="14"/>
      <c r="AJ1512" s="15"/>
      <c r="AK1512" s="16"/>
    </row>
    <row r="1513" spans="2:37" x14ac:dyDescent="0.2">
      <c r="B1513" s="7" t="s">
        <v>69</v>
      </c>
      <c r="C1513" s="8">
        <v>12206</v>
      </c>
      <c r="D1513" s="9" t="s">
        <v>791</v>
      </c>
      <c r="E1513" s="10" t="s">
        <v>792</v>
      </c>
      <c r="F1513" s="10" t="s">
        <v>793</v>
      </c>
      <c r="G1513" s="8">
        <v>5</v>
      </c>
      <c r="H1513" s="11">
        <v>150</v>
      </c>
      <c r="I1513" s="12">
        <v>42554</v>
      </c>
      <c r="J1513" s="13">
        <f t="shared" si="53"/>
        <v>0</v>
      </c>
      <c r="K1513" s="14"/>
      <c r="L1513" s="14"/>
      <c r="M1513" s="14"/>
      <c r="N1513" s="14"/>
      <c r="O1513" s="14"/>
      <c r="P1513" s="14"/>
      <c r="Q1513" s="14"/>
      <c r="R1513" s="14"/>
      <c r="S1513" s="14"/>
      <c r="T1513" s="14"/>
      <c r="U1513" s="14"/>
      <c r="V1513" s="14"/>
      <c r="W1513" s="15">
        <f t="shared" si="54"/>
        <v>0</v>
      </c>
      <c r="X1513" s="14"/>
      <c r="Y1513" s="14"/>
      <c r="Z1513" s="14"/>
      <c r="AA1513" s="14"/>
      <c r="AB1513" s="14"/>
      <c r="AC1513" s="14"/>
      <c r="AD1513" s="14"/>
      <c r="AE1513" s="14"/>
      <c r="AF1513" s="14"/>
      <c r="AG1513" s="14"/>
      <c r="AH1513" s="14"/>
      <c r="AI1513" s="14"/>
      <c r="AJ1513" s="15"/>
      <c r="AK1513" s="16"/>
    </row>
    <row r="1514" spans="2:37" x14ac:dyDescent="0.2">
      <c r="B1514" s="7" t="s">
        <v>69</v>
      </c>
      <c r="C1514" s="8">
        <v>12221</v>
      </c>
      <c r="D1514" s="9" t="s">
        <v>301</v>
      </c>
      <c r="E1514" s="10" t="s">
        <v>302</v>
      </c>
      <c r="F1514" s="10" t="s">
        <v>303</v>
      </c>
      <c r="G1514" s="8">
        <v>1</v>
      </c>
      <c r="H1514" s="11">
        <v>200</v>
      </c>
      <c r="I1514" s="12">
        <v>42554</v>
      </c>
      <c r="J1514" s="13">
        <f t="shared" si="53"/>
        <v>0</v>
      </c>
      <c r="K1514" s="14"/>
      <c r="L1514" s="14"/>
      <c r="M1514" s="14"/>
      <c r="N1514" s="14"/>
      <c r="O1514" s="14"/>
      <c r="P1514" s="14"/>
      <c r="Q1514" s="14">
        <v>200</v>
      </c>
      <c r="R1514" s="14"/>
      <c r="S1514" s="14"/>
      <c r="T1514" s="14"/>
      <c r="U1514" s="14"/>
      <c r="V1514" s="14"/>
      <c r="W1514" s="15">
        <f t="shared" si="54"/>
        <v>200</v>
      </c>
      <c r="X1514" s="14"/>
      <c r="Y1514" s="14"/>
      <c r="Z1514" s="14"/>
      <c r="AA1514" s="14"/>
      <c r="AB1514" s="14"/>
      <c r="AC1514" s="14"/>
      <c r="AD1514" s="14"/>
      <c r="AE1514" s="14"/>
      <c r="AF1514" s="14"/>
      <c r="AG1514" s="14"/>
      <c r="AH1514" s="14"/>
      <c r="AI1514" s="14"/>
      <c r="AJ1514" s="15"/>
      <c r="AK1514" s="16"/>
    </row>
    <row r="1515" spans="2:37" x14ac:dyDescent="0.2">
      <c r="B1515" s="7" t="s">
        <v>69</v>
      </c>
      <c r="C1515" s="8">
        <v>12222</v>
      </c>
      <c r="D1515" s="9" t="s">
        <v>165</v>
      </c>
      <c r="E1515" s="10" t="s">
        <v>166</v>
      </c>
      <c r="F1515" s="10" t="s">
        <v>167</v>
      </c>
      <c r="G1515" s="8">
        <v>1</v>
      </c>
      <c r="H1515" s="11">
        <v>350</v>
      </c>
      <c r="I1515" s="12">
        <v>42554</v>
      </c>
      <c r="J1515" s="13">
        <f t="shared" si="53"/>
        <v>0</v>
      </c>
      <c r="K1515" s="14"/>
      <c r="L1515" s="14"/>
      <c r="M1515" s="14"/>
      <c r="N1515" s="14"/>
      <c r="O1515" s="14"/>
      <c r="P1515" s="14"/>
      <c r="Q1515" s="14">
        <v>350</v>
      </c>
      <c r="R1515" s="14"/>
      <c r="S1515" s="14"/>
      <c r="T1515" s="14"/>
      <c r="U1515" s="14"/>
      <c r="V1515" s="14"/>
      <c r="W1515" s="15">
        <f t="shared" si="54"/>
        <v>350</v>
      </c>
      <c r="X1515" s="14"/>
      <c r="Y1515" s="14"/>
      <c r="Z1515" s="14"/>
      <c r="AA1515" s="14"/>
      <c r="AB1515" s="14"/>
      <c r="AC1515" s="14"/>
      <c r="AD1515" s="14"/>
      <c r="AE1515" s="14"/>
      <c r="AF1515" s="14"/>
      <c r="AG1515" s="14"/>
      <c r="AH1515" s="14"/>
      <c r="AI1515" s="14"/>
      <c r="AJ1515" s="15"/>
      <c r="AK1515" s="16"/>
    </row>
    <row r="1516" spans="2:37" x14ac:dyDescent="0.2">
      <c r="B1516" s="7" t="s">
        <v>73</v>
      </c>
      <c r="C1516" s="8">
        <v>12223</v>
      </c>
      <c r="D1516" s="9" t="s">
        <v>1055</v>
      </c>
      <c r="E1516" s="10" t="s">
        <v>1056</v>
      </c>
      <c r="F1516" s="10" t="s">
        <v>1057</v>
      </c>
      <c r="G1516" s="8">
        <v>1</v>
      </c>
      <c r="H1516" s="11">
        <v>600</v>
      </c>
      <c r="I1516" s="12">
        <v>42554</v>
      </c>
      <c r="J1516" s="13">
        <f t="shared" si="53"/>
        <v>0</v>
      </c>
      <c r="K1516" s="14"/>
      <c r="L1516" s="14"/>
      <c r="M1516" s="14"/>
      <c r="N1516" s="14"/>
      <c r="O1516" s="14">
        <v>200</v>
      </c>
      <c r="P1516" s="14">
        <v>200</v>
      </c>
      <c r="Q1516" s="14">
        <v>200</v>
      </c>
      <c r="R1516" s="14"/>
      <c r="S1516" s="14"/>
      <c r="T1516" s="14"/>
      <c r="U1516" s="14"/>
      <c r="V1516" s="14"/>
      <c r="W1516" s="15">
        <f t="shared" si="54"/>
        <v>600</v>
      </c>
      <c r="X1516" s="14"/>
      <c r="Y1516" s="14"/>
      <c r="Z1516" s="14"/>
      <c r="AA1516" s="14"/>
      <c r="AB1516" s="14"/>
      <c r="AC1516" s="14"/>
      <c r="AD1516" s="14"/>
      <c r="AE1516" s="14"/>
      <c r="AF1516" s="14"/>
      <c r="AG1516" s="14"/>
      <c r="AH1516" s="14"/>
      <c r="AI1516" s="14"/>
      <c r="AJ1516" s="15"/>
      <c r="AK1516" s="16"/>
    </row>
    <row r="1517" spans="2:37" x14ac:dyDescent="0.2">
      <c r="B1517" s="7" t="s">
        <v>37</v>
      </c>
      <c r="C1517" s="8">
        <v>12224</v>
      </c>
      <c r="D1517" s="9" t="s">
        <v>395</v>
      </c>
      <c r="E1517" s="10" t="s">
        <v>396</v>
      </c>
      <c r="F1517" s="10" t="s">
        <v>397</v>
      </c>
      <c r="G1517" s="8">
        <v>1</v>
      </c>
      <c r="H1517" s="11">
        <v>150</v>
      </c>
      <c r="I1517" s="12">
        <v>42554</v>
      </c>
      <c r="J1517" s="13">
        <f t="shared" si="53"/>
        <v>0</v>
      </c>
      <c r="K1517" s="14"/>
      <c r="L1517" s="14"/>
      <c r="M1517" s="14"/>
      <c r="N1517" s="14"/>
      <c r="O1517" s="14"/>
      <c r="P1517" s="14"/>
      <c r="Q1517" s="14">
        <v>150</v>
      </c>
      <c r="R1517" s="14"/>
      <c r="S1517" s="14"/>
      <c r="T1517" s="14"/>
      <c r="U1517" s="14"/>
      <c r="V1517" s="14"/>
      <c r="W1517" s="15">
        <f t="shared" si="54"/>
        <v>150</v>
      </c>
      <c r="X1517" s="14"/>
      <c r="Y1517" s="14"/>
      <c r="Z1517" s="14"/>
      <c r="AA1517" s="14"/>
      <c r="AB1517" s="14"/>
      <c r="AC1517" s="14"/>
      <c r="AD1517" s="14"/>
      <c r="AE1517" s="14"/>
      <c r="AF1517" s="14"/>
      <c r="AG1517" s="14"/>
      <c r="AH1517" s="14"/>
      <c r="AI1517" s="14"/>
      <c r="AJ1517" s="15"/>
      <c r="AK1517" s="16"/>
    </row>
    <row r="1518" spans="2:37" x14ac:dyDescent="0.2">
      <c r="B1518" s="7" t="s">
        <v>69</v>
      </c>
      <c r="C1518" s="8">
        <v>12225</v>
      </c>
      <c r="D1518" s="9" t="s">
        <v>678</v>
      </c>
      <c r="E1518" s="10" t="s">
        <v>679</v>
      </c>
      <c r="F1518" s="10" t="s">
        <v>680</v>
      </c>
      <c r="G1518" s="8">
        <v>1</v>
      </c>
      <c r="H1518" s="11">
        <v>400</v>
      </c>
      <c r="I1518" s="12">
        <v>42554</v>
      </c>
      <c r="J1518" s="13">
        <f t="shared" si="53"/>
        <v>0</v>
      </c>
      <c r="K1518" s="14"/>
      <c r="L1518" s="14"/>
      <c r="M1518" s="14"/>
      <c r="N1518" s="14"/>
      <c r="O1518" s="14"/>
      <c r="P1518" s="14"/>
      <c r="Q1518" s="14">
        <v>400</v>
      </c>
      <c r="R1518" s="14"/>
      <c r="S1518" s="14"/>
      <c r="T1518" s="14"/>
      <c r="U1518" s="14"/>
      <c r="V1518" s="14"/>
      <c r="W1518" s="15">
        <f t="shared" si="54"/>
        <v>400</v>
      </c>
      <c r="X1518" s="14"/>
      <c r="Y1518" s="14"/>
      <c r="Z1518" s="14"/>
      <c r="AA1518" s="14"/>
      <c r="AB1518" s="14"/>
      <c r="AC1518" s="14"/>
      <c r="AD1518" s="14"/>
      <c r="AE1518" s="14"/>
      <c r="AF1518" s="14"/>
      <c r="AG1518" s="14"/>
      <c r="AH1518" s="14"/>
      <c r="AI1518" s="14"/>
      <c r="AJ1518" s="15"/>
      <c r="AK1518" s="16"/>
    </row>
    <row r="1519" spans="2:37" x14ac:dyDescent="0.2">
      <c r="B1519" s="7" t="s">
        <v>47</v>
      </c>
      <c r="C1519" s="8">
        <v>12226</v>
      </c>
      <c r="D1519" s="9" t="s">
        <v>171</v>
      </c>
      <c r="E1519" s="10" t="s">
        <v>172</v>
      </c>
      <c r="F1519" s="10" t="s">
        <v>173</v>
      </c>
      <c r="G1519" s="8">
        <v>1</v>
      </c>
      <c r="H1519" s="11">
        <v>400</v>
      </c>
      <c r="I1519" s="12">
        <v>42554</v>
      </c>
      <c r="J1519" s="13">
        <f t="shared" si="53"/>
        <v>0</v>
      </c>
      <c r="K1519" s="14"/>
      <c r="L1519" s="14"/>
      <c r="M1519" s="14"/>
      <c r="N1519" s="14"/>
      <c r="O1519" s="14"/>
      <c r="P1519" s="14"/>
      <c r="Q1519" s="14">
        <v>400</v>
      </c>
      <c r="R1519" s="14"/>
      <c r="S1519" s="14"/>
      <c r="T1519" s="14"/>
      <c r="U1519" s="14"/>
      <c r="V1519" s="14"/>
      <c r="W1519" s="15">
        <f t="shared" si="54"/>
        <v>400</v>
      </c>
      <c r="X1519" s="14"/>
      <c r="Y1519" s="14"/>
      <c r="Z1519" s="14"/>
      <c r="AA1519" s="14"/>
      <c r="AB1519" s="14"/>
      <c r="AC1519" s="14"/>
      <c r="AD1519" s="14"/>
      <c r="AE1519" s="14"/>
      <c r="AF1519" s="14"/>
      <c r="AG1519" s="14"/>
      <c r="AH1519" s="14"/>
      <c r="AI1519" s="14"/>
      <c r="AJ1519" s="15"/>
      <c r="AK1519" s="16"/>
    </row>
    <row r="1520" spans="2:37" x14ac:dyDescent="0.2">
      <c r="B1520" s="7" t="s">
        <v>47</v>
      </c>
      <c r="C1520" s="8">
        <v>12227</v>
      </c>
      <c r="D1520" s="9" t="s">
        <v>48</v>
      </c>
      <c r="E1520" s="10" t="s">
        <v>49</v>
      </c>
      <c r="F1520" s="10" t="s">
        <v>50</v>
      </c>
      <c r="G1520" s="8">
        <v>1</v>
      </c>
      <c r="H1520" s="11">
        <v>400</v>
      </c>
      <c r="I1520" s="12">
        <v>42554</v>
      </c>
      <c r="J1520" s="13">
        <f t="shared" si="53"/>
        <v>0</v>
      </c>
      <c r="K1520" s="14"/>
      <c r="L1520" s="14"/>
      <c r="M1520" s="14"/>
      <c r="N1520" s="14"/>
      <c r="O1520" s="14"/>
      <c r="P1520" s="14"/>
      <c r="Q1520" s="14">
        <v>400</v>
      </c>
      <c r="R1520" s="14"/>
      <c r="S1520" s="14"/>
      <c r="T1520" s="14"/>
      <c r="U1520" s="14"/>
      <c r="V1520" s="14"/>
      <c r="W1520" s="15">
        <f t="shared" si="54"/>
        <v>400</v>
      </c>
      <c r="X1520" s="14"/>
      <c r="Y1520" s="14"/>
      <c r="Z1520" s="14"/>
      <c r="AA1520" s="14"/>
      <c r="AB1520" s="14"/>
      <c r="AC1520" s="14"/>
      <c r="AD1520" s="14"/>
      <c r="AE1520" s="14"/>
      <c r="AF1520" s="14"/>
      <c r="AG1520" s="14"/>
      <c r="AH1520" s="14"/>
      <c r="AI1520" s="14"/>
      <c r="AJ1520" s="15"/>
      <c r="AK1520" s="16"/>
    </row>
    <row r="1521" spans="2:37" x14ac:dyDescent="0.2">
      <c r="B1521" s="7" t="s">
        <v>47</v>
      </c>
      <c r="C1521" s="8">
        <v>12228</v>
      </c>
      <c r="D1521" s="9" t="s">
        <v>183</v>
      </c>
      <c r="E1521" s="10" t="s">
        <v>184</v>
      </c>
      <c r="F1521" s="10" t="s">
        <v>185</v>
      </c>
      <c r="G1521" s="8">
        <v>3</v>
      </c>
      <c r="H1521" s="11">
        <v>200</v>
      </c>
      <c r="I1521" s="12">
        <v>42554</v>
      </c>
      <c r="J1521" s="13">
        <f t="shared" si="53"/>
        <v>0</v>
      </c>
      <c r="K1521" s="14"/>
      <c r="L1521" s="14"/>
      <c r="M1521" s="14"/>
      <c r="N1521" s="14"/>
      <c r="O1521" s="14"/>
      <c r="P1521" s="14"/>
      <c r="Q1521" s="14"/>
      <c r="R1521" s="14"/>
      <c r="S1521" s="14"/>
      <c r="T1521" s="14"/>
      <c r="U1521" s="14"/>
      <c r="V1521" s="14"/>
      <c r="W1521" s="15">
        <f t="shared" si="54"/>
        <v>0</v>
      </c>
      <c r="X1521" s="14"/>
      <c r="Y1521" s="14"/>
      <c r="Z1521" s="14"/>
      <c r="AA1521" s="14"/>
      <c r="AB1521" s="14"/>
      <c r="AC1521" s="14"/>
      <c r="AD1521" s="14"/>
      <c r="AE1521" s="14"/>
      <c r="AF1521" s="14"/>
      <c r="AG1521" s="14"/>
      <c r="AH1521" s="14"/>
      <c r="AI1521" s="14"/>
      <c r="AJ1521" s="15"/>
      <c r="AK1521" s="16"/>
    </row>
    <row r="1522" spans="2:37" x14ac:dyDescent="0.2">
      <c r="B1522" s="7" t="s">
        <v>69</v>
      </c>
      <c r="C1522" s="8">
        <v>12229</v>
      </c>
      <c r="D1522" s="9" t="s">
        <v>437</v>
      </c>
      <c r="E1522" s="10" t="s">
        <v>438</v>
      </c>
      <c r="F1522" s="10" t="s">
        <v>439</v>
      </c>
      <c r="G1522" s="8">
        <v>1</v>
      </c>
      <c r="H1522" s="11">
        <v>400</v>
      </c>
      <c r="I1522" s="12">
        <v>42554</v>
      </c>
      <c r="J1522" s="13">
        <f t="shared" si="53"/>
        <v>0</v>
      </c>
      <c r="K1522" s="14"/>
      <c r="L1522" s="14"/>
      <c r="M1522" s="14"/>
      <c r="N1522" s="14"/>
      <c r="O1522" s="14"/>
      <c r="P1522" s="14"/>
      <c r="Q1522" s="14">
        <v>400</v>
      </c>
      <c r="R1522" s="14"/>
      <c r="S1522" s="14"/>
      <c r="T1522" s="14"/>
      <c r="U1522" s="14"/>
      <c r="V1522" s="14"/>
      <c r="W1522" s="15">
        <f t="shared" si="54"/>
        <v>400</v>
      </c>
      <c r="X1522" s="14"/>
      <c r="Y1522" s="14"/>
      <c r="Z1522" s="14"/>
      <c r="AA1522" s="14"/>
      <c r="AB1522" s="14"/>
      <c r="AC1522" s="14"/>
      <c r="AD1522" s="14"/>
      <c r="AE1522" s="14"/>
      <c r="AF1522" s="14"/>
      <c r="AG1522" s="14"/>
      <c r="AH1522" s="14"/>
      <c r="AI1522" s="14"/>
      <c r="AJ1522" s="15"/>
      <c r="AK1522" s="16"/>
    </row>
    <row r="1523" spans="2:37" x14ac:dyDescent="0.2">
      <c r="B1523" s="7" t="s">
        <v>37</v>
      </c>
      <c r="C1523" s="8">
        <v>12230</v>
      </c>
      <c r="D1523" s="9" t="s">
        <v>905</v>
      </c>
      <c r="E1523" s="10" t="s">
        <v>906</v>
      </c>
      <c r="F1523" s="10" t="s">
        <v>907</v>
      </c>
      <c r="G1523" s="8">
        <v>1</v>
      </c>
      <c r="H1523" s="11">
        <v>200</v>
      </c>
      <c r="I1523" s="12">
        <v>42554</v>
      </c>
      <c r="J1523" s="13">
        <f t="shared" si="53"/>
        <v>0</v>
      </c>
      <c r="K1523" s="14"/>
      <c r="L1523" s="14"/>
      <c r="M1523" s="14"/>
      <c r="N1523" s="14"/>
      <c r="O1523" s="14"/>
      <c r="P1523" s="14">
        <v>200</v>
      </c>
      <c r="Q1523" s="14"/>
      <c r="R1523" s="14"/>
      <c r="S1523" s="14"/>
      <c r="T1523" s="14"/>
      <c r="U1523" s="14"/>
      <c r="V1523" s="14"/>
      <c r="W1523" s="15">
        <f t="shared" si="54"/>
        <v>200</v>
      </c>
      <c r="X1523" s="14"/>
      <c r="Y1523" s="14"/>
      <c r="Z1523" s="14"/>
      <c r="AA1523" s="14"/>
      <c r="AB1523" s="14"/>
      <c r="AC1523" s="14"/>
      <c r="AD1523" s="14"/>
      <c r="AE1523" s="14"/>
      <c r="AF1523" s="14"/>
      <c r="AG1523" s="14"/>
      <c r="AH1523" s="14"/>
      <c r="AI1523" s="14"/>
      <c r="AJ1523" s="15"/>
      <c r="AK1523" s="16"/>
    </row>
    <row r="1524" spans="2:37" x14ac:dyDescent="0.2">
      <c r="B1524" s="7" t="s">
        <v>37</v>
      </c>
      <c r="C1524" s="8">
        <v>12231</v>
      </c>
      <c r="D1524" s="9" t="s">
        <v>526</v>
      </c>
      <c r="E1524" s="10" t="s">
        <v>527</v>
      </c>
      <c r="F1524" s="10" t="s">
        <v>528</v>
      </c>
      <c r="G1524" s="8">
        <v>1</v>
      </c>
      <c r="H1524" s="11">
        <v>400</v>
      </c>
      <c r="I1524" s="12">
        <v>42554</v>
      </c>
      <c r="J1524" s="13">
        <f t="shared" si="53"/>
        <v>0</v>
      </c>
      <c r="K1524" s="14"/>
      <c r="L1524" s="14"/>
      <c r="M1524" s="14"/>
      <c r="N1524" s="14"/>
      <c r="O1524" s="14"/>
      <c r="P1524" s="14">
        <v>400</v>
      </c>
      <c r="Q1524" s="14"/>
      <c r="R1524" s="14"/>
      <c r="S1524" s="14"/>
      <c r="T1524" s="14"/>
      <c r="U1524" s="14"/>
      <c r="V1524" s="14"/>
      <c r="W1524" s="15">
        <f t="shared" si="54"/>
        <v>400</v>
      </c>
      <c r="X1524" s="14"/>
      <c r="Y1524" s="14"/>
      <c r="Z1524" s="14"/>
      <c r="AA1524" s="14"/>
      <c r="AB1524" s="14"/>
      <c r="AC1524" s="14"/>
      <c r="AD1524" s="14"/>
      <c r="AE1524" s="14"/>
      <c r="AF1524" s="14"/>
      <c r="AG1524" s="14"/>
      <c r="AH1524" s="14"/>
      <c r="AI1524" s="14"/>
      <c r="AJ1524" s="15"/>
      <c r="AK1524" s="16"/>
    </row>
    <row r="1525" spans="2:37" x14ac:dyDescent="0.2">
      <c r="B1525" s="7" t="s">
        <v>47</v>
      </c>
      <c r="C1525" s="8">
        <v>12232</v>
      </c>
      <c r="D1525" s="9" t="s">
        <v>328</v>
      </c>
      <c r="E1525" s="10" t="s">
        <v>329</v>
      </c>
      <c r="F1525" s="10" t="s">
        <v>330</v>
      </c>
      <c r="G1525" s="8">
        <v>1</v>
      </c>
      <c r="H1525" s="11">
        <v>400</v>
      </c>
      <c r="I1525" s="12">
        <v>42554</v>
      </c>
      <c r="J1525" s="13">
        <f t="shared" si="53"/>
        <v>0</v>
      </c>
      <c r="K1525" s="14"/>
      <c r="L1525" s="14"/>
      <c r="M1525" s="14"/>
      <c r="N1525" s="14"/>
      <c r="O1525" s="14"/>
      <c r="P1525" s="14"/>
      <c r="Q1525" s="14">
        <v>400</v>
      </c>
      <c r="R1525" s="14"/>
      <c r="S1525" s="14"/>
      <c r="T1525" s="14"/>
      <c r="U1525" s="14"/>
      <c r="V1525" s="14"/>
      <c r="W1525" s="15">
        <f t="shared" si="54"/>
        <v>400</v>
      </c>
      <c r="X1525" s="14"/>
      <c r="Y1525" s="14"/>
      <c r="Z1525" s="14"/>
      <c r="AA1525" s="14"/>
      <c r="AB1525" s="14"/>
      <c r="AC1525" s="14"/>
      <c r="AD1525" s="14"/>
      <c r="AE1525" s="14"/>
      <c r="AF1525" s="14"/>
      <c r="AG1525" s="14"/>
      <c r="AH1525" s="14"/>
      <c r="AI1525" s="14"/>
      <c r="AJ1525" s="15"/>
      <c r="AK1525" s="16"/>
    </row>
    <row r="1526" spans="2:37" x14ac:dyDescent="0.2">
      <c r="B1526" s="7" t="s">
        <v>73</v>
      </c>
      <c r="C1526" s="8">
        <v>12233</v>
      </c>
      <c r="D1526" s="9" t="s">
        <v>611</v>
      </c>
      <c r="E1526" s="10" t="s">
        <v>612</v>
      </c>
      <c r="F1526" s="10" t="s">
        <v>613</v>
      </c>
      <c r="G1526" s="8">
        <v>1</v>
      </c>
      <c r="H1526" s="11">
        <v>400</v>
      </c>
      <c r="I1526" s="12">
        <v>42554</v>
      </c>
      <c r="J1526" s="13">
        <f t="shared" si="53"/>
        <v>0</v>
      </c>
      <c r="K1526" s="14"/>
      <c r="L1526" s="14"/>
      <c r="M1526" s="14"/>
      <c r="N1526" s="14"/>
      <c r="O1526" s="14"/>
      <c r="P1526" s="14"/>
      <c r="Q1526" s="14">
        <v>400</v>
      </c>
      <c r="R1526" s="14"/>
      <c r="S1526" s="14"/>
      <c r="T1526" s="14"/>
      <c r="U1526" s="14"/>
      <c r="V1526" s="14"/>
      <c r="W1526" s="15">
        <f t="shared" si="54"/>
        <v>400</v>
      </c>
      <c r="X1526" s="14"/>
      <c r="Y1526" s="14"/>
      <c r="Z1526" s="14"/>
      <c r="AA1526" s="14"/>
      <c r="AB1526" s="14"/>
      <c r="AC1526" s="14"/>
      <c r="AD1526" s="14"/>
      <c r="AE1526" s="14"/>
      <c r="AF1526" s="14"/>
      <c r="AG1526" s="14"/>
      <c r="AH1526" s="14"/>
      <c r="AI1526" s="14"/>
      <c r="AJ1526" s="15"/>
      <c r="AK1526" s="16"/>
    </row>
    <row r="1527" spans="2:37" x14ac:dyDescent="0.2">
      <c r="B1527" s="7" t="s">
        <v>47</v>
      </c>
      <c r="C1527" s="8">
        <v>12234</v>
      </c>
      <c r="D1527" s="9" t="s">
        <v>153</v>
      </c>
      <c r="E1527" s="10" t="s">
        <v>154</v>
      </c>
      <c r="F1527" s="10" t="s">
        <v>155</v>
      </c>
      <c r="G1527" s="8">
        <v>1</v>
      </c>
      <c r="H1527" s="11">
        <v>400</v>
      </c>
      <c r="I1527" s="12">
        <v>42554</v>
      </c>
      <c r="J1527" s="13">
        <f t="shared" si="53"/>
        <v>0</v>
      </c>
      <c r="K1527" s="14"/>
      <c r="L1527" s="14"/>
      <c r="M1527" s="14"/>
      <c r="N1527" s="14"/>
      <c r="O1527" s="14"/>
      <c r="P1527" s="14"/>
      <c r="Q1527" s="14">
        <v>400</v>
      </c>
      <c r="R1527" s="14"/>
      <c r="S1527" s="14"/>
      <c r="T1527" s="14"/>
      <c r="U1527" s="14"/>
      <c r="V1527" s="14"/>
      <c r="W1527" s="15">
        <f t="shared" si="54"/>
        <v>400</v>
      </c>
      <c r="X1527" s="14"/>
      <c r="Y1527" s="14"/>
      <c r="Z1527" s="14"/>
      <c r="AA1527" s="14"/>
      <c r="AB1527" s="14"/>
      <c r="AC1527" s="14"/>
      <c r="AD1527" s="14"/>
      <c r="AE1527" s="14"/>
      <c r="AF1527" s="14"/>
      <c r="AG1527" s="14"/>
      <c r="AH1527" s="14"/>
      <c r="AI1527" s="14"/>
      <c r="AJ1527" s="15"/>
      <c r="AK1527" s="16"/>
    </row>
    <row r="1528" spans="2:37" x14ac:dyDescent="0.2">
      <c r="B1528" s="7" t="s">
        <v>69</v>
      </c>
      <c r="C1528" s="8">
        <v>12235</v>
      </c>
      <c r="D1528" s="9" t="s">
        <v>147</v>
      </c>
      <c r="E1528" s="10" t="s">
        <v>148</v>
      </c>
      <c r="F1528" s="10" t="s">
        <v>149</v>
      </c>
      <c r="G1528" s="8">
        <v>3</v>
      </c>
      <c r="H1528" s="11">
        <v>200</v>
      </c>
      <c r="I1528" s="12">
        <v>42554</v>
      </c>
      <c r="J1528" s="13">
        <f t="shared" si="53"/>
        <v>0</v>
      </c>
      <c r="K1528" s="14"/>
      <c r="L1528" s="14"/>
      <c r="M1528" s="14"/>
      <c r="N1528" s="14"/>
      <c r="O1528" s="14"/>
      <c r="P1528" s="14"/>
      <c r="Q1528" s="14"/>
      <c r="R1528" s="14"/>
      <c r="S1528" s="14"/>
      <c r="T1528" s="14"/>
      <c r="U1528" s="14"/>
      <c r="V1528" s="14"/>
      <c r="W1528" s="15">
        <f t="shared" si="54"/>
        <v>0</v>
      </c>
      <c r="X1528" s="14"/>
      <c r="Y1528" s="14"/>
      <c r="Z1528" s="14"/>
      <c r="AA1528" s="14"/>
      <c r="AB1528" s="14"/>
      <c r="AC1528" s="14"/>
      <c r="AD1528" s="14"/>
      <c r="AE1528" s="14"/>
      <c r="AF1528" s="14"/>
      <c r="AG1528" s="14"/>
      <c r="AH1528" s="14"/>
      <c r="AI1528" s="14"/>
      <c r="AJ1528" s="15"/>
      <c r="AK1528" s="16"/>
    </row>
    <row r="1529" spans="2:37" x14ac:dyDescent="0.2">
      <c r="B1529" s="7" t="s">
        <v>73</v>
      </c>
      <c r="C1529" s="8">
        <v>12236</v>
      </c>
      <c r="D1529" s="9" t="s">
        <v>523</v>
      </c>
      <c r="E1529" s="10" t="s">
        <v>524</v>
      </c>
      <c r="F1529" s="10" t="s">
        <v>525</v>
      </c>
      <c r="G1529" s="8">
        <v>1</v>
      </c>
      <c r="H1529" s="11">
        <v>400</v>
      </c>
      <c r="I1529" s="12">
        <v>42554</v>
      </c>
      <c r="J1529" s="13">
        <f t="shared" si="53"/>
        <v>0</v>
      </c>
      <c r="K1529" s="14"/>
      <c r="L1529" s="14"/>
      <c r="M1529" s="14"/>
      <c r="N1529" s="14"/>
      <c r="O1529" s="14"/>
      <c r="P1529" s="14">
        <v>400</v>
      </c>
      <c r="Q1529" s="14"/>
      <c r="R1529" s="14"/>
      <c r="S1529" s="14"/>
      <c r="T1529" s="14"/>
      <c r="U1529" s="14"/>
      <c r="V1529" s="14"/>
      <c r="W1529" s="15">
        <f t="shared" si="54"/>
        <v>400</v>
      </c>
      <c r="X1529" s="14"/>
      <c r="Y1529" s="14"/>
      <c r="Z1529" s="14"/>
      <c r="AA1529" s="14"/>
      <c r="AB1529" s="14"/>
      <c r="AC1529" s="14"/>
      <c r="AD1529" s="14"/>
      <c r="AE1529" s="14"/>
      <c r="AF1529" s="14"/>
      <c r="AG1529" s="14"/>
      <c r="AH1529" s="14"/>
      <c r="AI1529" s="14"/>
      <c r="AJ1529" s="15"/>
      <c r="AK1529" s="16"/>
    </row>
    <row r="1530" spans="2:37" x14ac:dyDescent="0.2">
      <c r="B1530" s="7" t="s">
        <v>37</v>
      </c>
      <c r="C1530" s="8">
        <v>12237</v>
      </c>
      <c r="D1530" s="9" t="s">
        <v>935</v>
      </c>
      <c r="E1530" s="10" t="s">
        <v>936</v>
      </c>
      <c r="F1530" s="10" t="s">
        <v>937</v>
      </c>
      <c r="G1530" s="8">
        <v>1</v>
      </c>
      <c r="H1530" s="11">
        <v>500</v>
      </c>
      <c r="I1530" s="12">
        <v>42554</v>
      </c>
      <c r="J1530" s="13">
        <f t="shared" si="53"/>
        <v>0</v>
      </c>
      <c r="K1530" s="14"/>
      <c r="L1530" s="14"/>
      <c r="M1530" s="14"/>
      <c r="N1530" s="14"/>
      <c r="O1530" s="14">
        <v>250</v>
      </c>
      <c r="P1530" s="14">
        <v>250</v>
      </c>
      <c r="Q1530" s="14"/>
      <c r="R1530" s="14"/>
      <c r="S1530" s="14"/>
      <c r="T1530" s="14"/>
      <c r="U1530" s="14"/>
      <c r="V1530" s="14"/>
      <c r="W1530" s="15">
        <f t="shared" si="54"/>
        <v>500</v>
      </c>
      <c r="X1530" s="14"/>
      <c r="Y1530" s="14"/>
      <c r="Z1530" s="14"/>
      <c r="AA1530" s="14"/>
      <c r="AB1530" s="14"/>
      <c r="AC1530" s="14"/>
      <c r="AD1530" s="14"/>
      <c r="AE1530" s="14"/>
      <c r="AF1530" s="14"/>
      <c r="AG1530" s="14"/>
      <c r="AH1530" s="14"/>
      <c r="AI1530" s="14"/>
      <c r="AJ1530" s="15"/>
      <c r="AK1530" s="16"/>
    </row>
    <row r="1531" spans="2:37" x14ac:dyDescent="0.2">
      <c r="B1531" s="7" t="s">
        <v>47</v>
      </c>
      <c r="C1531" s="8">
        <v>12238</v>
      </c>
      <c r="D1531" s="9" t="s">
        <v>313</v>
      </c>
      <c r="E1531" s="10" t="s">
        <v>314</v>
      </c>
      <c r="F1531" s="10" t="s">
        <v>315</v>
      </c>
      <c r="G1531" s="8">
        <v>1</v>
      </c>
      <c r="H1531" s="11">
        <v>400</v>
      </c>
      <c r="I1531" s="12">
        <v>42554</v>
      </c>
      <c r="J1531" s="13">
        <f t="shared" si="53"/>
        <v>0</v>
      </c>
      <c r="K1531" s="14"/>
      <c r="L1531" s="14"/>
      <c r="M1531" s="14"/>
      <c r="N1531" s="14"/>
      <c r="O1531" s="14"/>
      <c r="P1531" s="14"/>
      <c r="Q1531" s="14">
        <v>400</v>
      </c>
      <c r="R1531" s="14"/>
      <c r="S1531" s="14"/>
      <c r="T1531" s="14"/>
      <c r="U1531" s="14"/>
      <c r="V1531" s="14"/>
      <c r="W1531" s="15">
        <f t="shared" si="54"/>
        <v>400</v>
      </c>
      <c r="X1531" s="14"/>
      <c r="Y1531" s="14"/>
      <c r="Z1531" s="14"/>
      <c r="AA1531" s="14"/>
      <c r="AB1531" s="14"/>
      <c r="AC1531" s="14"/>
      <c r="AD1531" s="14"/>
      <c r="AE1531" s="14"/>
      <c r="AF1531" s="14"/>
      <c r="AG1531" s="14"/>
      <c r="AH1531" s="14"/>
      <c r="AI1531" s="14"/>
      <c r="AJ1531" s="15"/>
      <c r="AK1531" s="16"/>
    </row>
    <row r="1532" spans="2:37" x14ac:dyDescent="0.2">
      <c r="B1532" s="7" t="s">
        <v>37</v>
      </c>
      <c r="C1532" s="8">
        <v>12239</v>
      </c>
      <c r="D1532" s="9" t="s">
        <v>520</v>
      </c>
      <c r="E1532" s="10" t="s">
        <v>521</v>
      </c>
      <c r="F1532" s="10" t="s">
        <v>522</v>
      </c>
      <c r="G1532" s="8">
        <v>1</v>
      </c>
      <c r="H1532" s="11">
        <v>800</v>
      </c>
      <c r="I1532" s="12">
        <v>42554</v>
      </c>
      <c r="J1532" s="13">
        <f t="shared" si="53"/>
        <v>0</v>
      </c>
      <c r="K1532" s="14"/>
      <c r="L1532" s="14"/>
      <c r="M1532" s="14"/>
      <c r="N1532" s="14"/>
      <c r="O1532" s="14"/>
      <c r="P1532" s="14"/>
      <c r="Q1532" s="14">
        <v>400</v>
      </c>
      <c r="R1532" s="14">
        <v>400</v>
      </c>
      <c r="S1532" s="14"/>
      <c r="T1532" s="14"/>
      <c r="U1532" s="14"/>
      <c r="V1532" s="14"/>
      <c r="W1532" s="15">
        <f t="shared" si="54"/>
        <v>800</v>
      </c>
      <c r="X1532" s="14"/>
      <c r="Y1532" s="14"/>
      <c r="Z1532" s="14"/>
      <c r="AA1532" s="14"/>
      <c r="AB1532" s="14"/>
      <c r="AC1532" s="14"/>
      <c r="AD1532" s="14"/>
      <c r="AE1532" s="14"/>
      <c r="AF1532" s="14"/>
      <c r="AG1532" s="14"/>
      <c r="AH1532" s="14"/>
      <c r="AI1532" s="14"/>
      <c r="AJ1532" s="15"/>
      <c r="AK1532" s="16"/>
    </row>
    <row r="1533" spans="2:37" x14ac:dyDescent="0.2">
      <c r="B1533" s="7" t="s">
        <v>77</v>
      </c>
      <c r="C1533" s="8">
        <v>12240</v>
      </c>
      <c r="D1533" s="9" t="s">
        <v>652</v>
      </c>
      <c r="E1533" s="10" t="s">
        <v>653</v>
      </c>
      <c r="F1533" s="10" t="s">
        <v>654</v>
      </c>
      <c r="G1533" s="8">
        <v>1</v>
      </c>
      <c r="H1533" s="11">
        <v>800</v>
      </c>
      <c r="I1533" s="12">
        <v>42554</v>
      </c>
      <c r="J1533" s="13">
        <f t="shared" si="53"/>
        <v>0</v>
      </c>
      <c r="K1533" s="14"/>
      <c r="L1533" s="14"/>
      <c r="M1533" s="14"/>
      <c r="N1533" s="14">
        <v>400</v>
      </c>
      <c r="O1533" s="14">
        <v>400</v>
      </c>
      <c r="P1533" s="14"/>
      <c r="Q1533" s="14"/>
      <c r="R1533" s="14"/>
      <c r="S1533" s="14"/>
      <c r="T1533" s="14"/>
      <c r="U1533" s="14"/>
      <c r="V1533" s="14"/>
      <c r="W1533" s="15">
        <f t="shared" si="54"/>
        <v>800</v>
      </c>
      <c r="X1533" s="14"/>
      <c r="Y1533" s="14"/>
      <c r="Z1533" s="14"/>
      <c r="AA1533" s="14"/>
      <c r="AB1533" s="14"/>
      <c r="AC1533" s="14"/>
      <c r="AD1533" s="14"/>
      <c r="AE1533" s="14"/>
      <c r="AF1533" s="14"/>
      <c r="AG1533" s="14"/>
      <c r="AH1533" s="14"/>
      <c r="AI1533" s="14"/>
      <c r="AJ1533" s="15"/>
      <c r="AK1533" s="16"/>
    </row>
    <row r="1534" spans="2:37" x14ac:dyDescent="0.2">
      <c r="B1534" s="7" t="s">
        <v>69</v>
      </c>
      <c r="C1534" s="8">
        <v>12241</v>
      </c>
      <c r="D1534" s="9" t="s">
        <v>791</v>
      </c>
      <c r="E1534" s="10" t="s">
        <v>792</v>
      </c>
      <c r="F1534" s="10" t="s">
        <v>793</v>
      </c>
      <c r="G1534" s="8">
        <v>1</v>
      </c>
      <c r="H1534" s="11">
        <v>1200</v>
      </c>
      <c r="I1534" s="12">
        <v>42554</v>
      </c>
      <c r="J1534" s="13">
        <f t="shared" si="53"/>
        <v>0</v>
      </c>
      <c r="K1534" s="14"/>
      <c r="L1534" s="14"/>
      <c r="M1534" s="14">
        <v>400</v>
      </c>
      <c r="N1534" s="14">
        <v>400</v>
      </c>
      <c r="O1534" s="14">
        <v>400</v>
      </c>
      <c r="P1534" s="14"/>
      <c r="Q1534" s="14"/>
      <c r="R1534" s="14"/>
      <c r="S1534" s="14"/>
      <c r="T1534" s="14"/>
      <c r="U1534" s="14"/>
      <c r="V1534" s="14"/>
      <c r="W1534" s="15">
        <f t="shared" si="54"/>
        <v>1200</v>
      </c>
      <c r="X1534" s="14"/>
      <c r="Y1534" s="14"/>
      <c r="Z1534" s="14"/>
      <c r="AA1534" s="14"/>
      <c r="AB1534" s="14"/>
      <c r="AC1534" s="14"/>
      <c r="AD1534" s="14"/>
      <c r="AE1534" s="14"/>
      <c r="AF1534" s="14"/>
      <c r="AG1534" s="14"/>
      <c r="AH1534" s="14"/>
      <c r="AI1534" s="14"/>
      <c r="AJ1534" s="15"/>
      <c r="AK1534" s="16"/>
    </row>
    <row r="1535" spans="2:37" x14ac:dyDescent="0.2">
      <c r="B1535" s="7" t="s">
        <v>37</v>
      </c>
      <c r="C1535" s="8">
        <v>12207</v>
      </c>
      <c r="D1535" s="9" t="s">
        <v>205</v>
      </c>
      <c r="E1535" s="10" t="s">
        <v>206</v>
      </c>
      <c r="F1535" s="10" t="s">
        <v>207</v>
      </c>
      <c r="G1535" s="8">
        <v>1</v>
      </c>
      <c r="H1535" s="11">
        <v>600</v>
      </c>
      <c r="I1535" s="12">
        <v>42554</v>
      </c>
      <c r="J1535" s="13">
        <f t="shared" si="53"/>
        <v>0</v>
      </c>
      <c r="K1535" s="14"/>
      <c r="L1535" s="14"/>
      <c r="M1535" s="14"/>
      <c r="N1535" s="14"/>
      <c r="O1535" s="14"/>
      <c r="P1535" s="14">
        <v>600</v>
      </c>
      <c r="Q1535" s="14"/>
      <c r="R1535" s="14"/>
      <c r="S1535" s="14"/>
      <c r="T1535" s="14"/>
      <c r="U1535" s="14"/>
      <c r="V1535" s="14"/>
      <c r="W1535" s="15">
        <f t="shared" si="54"/>
        <v>600</v>
      </c>
      <c r="X1535" s="14"/>
      <c r="Y1535" s="14"/>
      <c r="Z1535" s="14"/>
      <c r="AA1535" s="14"/>
      <c r="AB1535" s="14"/>
      <c r="AC1535" s="14"/>
      <c r="AD1535" s="14"/>
      <c r="AE1535" s="14"/>
      <c r="AF1535" s="14"/>
      <c r="AG1535" s="14"/>
      <c r="AH1535" s="14"/>
      <c r="AI1535" s="14"/>
      <c r="AJ1535" s="15"/>
      <c r="AK1535" s="16"/>
    </row>
    <row r="1536" spans="2:37" x14ac:dyDescent="0.2">
      <c r="B1536" s="7" t="s">
        <v>37</v>
      </c>
      <c r="C1536" s="8">
        <v>12207</v>
      </c>
      <c r="D1536" s="9" t="s">
        <v>205</v>
      </c>
      <c r="E1536" s="10" t="s">
        <v>206</v>
      </c>
      <c r="F1536" s="10" t="s">
        <v>207</v>
      </c>
      <c r="G1536" s="8">
        <v>5</v>
      </c>
      <c r="H1536" s="11">
        <v>250</v>
      </c>
      <c r="I1536" s="12">
        <v>42554</v>
      </c>
      <c r="J1536" s="13">
        <f t="shared" si="53"/>
        <v>0</v>
      </c>
      <c r="K1536" s="14"/>
      <c r="L1536" s="14"/>
      <c r="M1536" s="14"/>
      <c r="N1536" s="14"/>
      <c r="O1536" s="14"/>
      <c r="P1536" s="14"/>
      <c r="Q1536" s="14"/>
      <c r="R1536" s="14"/>
      <c r="S1536" s="14"/>
      <c r="T1536" s="14"/>
      <c r="U1536" s="14"/>
      <c r="V1536" s="14"/>
      <c r="W1536" s="15">
        <f t="shared" si="54"/>
        <v>0</v>
      </c>
      <c r="X1536" s="14"/>
      <c r="Y1536" s="14"/>
      <c r="Z1536" s="14"/>
      <c r="AA1536" s="14"/>
      <c r="AB1536" s="14"/>
      <c r="AC1536" s="14"/>
      <c r="AD1536" s="14"/>
      <c r="AE1536" s="14"/>
      <c r="AF1536" s="14"/>
      <c r="AG1536" s="14"/>
      <c r="AH1536" s="14"/>
      <c r="AI1536" s="14"/>
      <c r="AJ1536" s="15"/>
      <c r="AK1536" s="16"/>
    </row>
    <row r="1537" spans="2:37" x14ac:dyDescent="0.2">
      <c r="B1537" s="7" t="s">
        <v>77</v>
      </c>
      <c r="C1537" s="8">
        <v>12208</v>
      </c>
      <c r="D1537" s="9" t="s">
        <v>78</v>
      </c>
      <c r="E1537" s="10" t="s">
        <v>79</v>
      </c>
      <c r="F1537" s="10" t="s">
        <v>80</v>
      </c>
      <c r="G1537" s="8">
        <v>3</v>
      </c>
      <c r="H1537" s="11">
        <v>400</v>
      </c>
      <c r="I1537" s="12">
        <v>42555</v>
      </c>
      <c r="J1537" s="13">
        <f t="shared" si="53"/>
        <v>0</v>
      </c>
      <c r="K1537" s="14"/>
      <c r="L1537" s="14"/>
      <c r="M1537" s="14"/>
      <c r="N1537" s="14"/>
      <c r="O1537" s="14"/>
      <c r="P1537" s="14"/>
      <c r="Q1537" s="14"/>
      <c r="R1537" s="14"/>
      <c r="S1537" s="14"/>
      <c r="T1537" s="14"/>
      <c r="U1537" s="14"/>
      <c r="V1537" s="14"/>
      <c r="W1537" s="15">
        <f t="shared" si="54"/>
        <v>0</v>
      </c>
      <c r="X1537" s="14"/>
      <c r="Y1537" s="14"/>
      <c r="Z1537" s="14"/>
      <c r="AA1537" s="14"/>
      <c r="AB1537" s="14"/>
      <c r="AC1537" s="14"/>
      <c r="AD1537" s="14"/>
      <c r="AE1537" s="14"/>
      <c r="AF1537" s="14"/>
      <c r="AG1537" s="14"/>
      <c r="AH1537" s="14"/>
      <c r="AI1537" s="14"/>
      <c r="AJ1537" s="15"/>
      <c r="AK1537" s="16"/>
    </row>
    <row r="1538" spans="2:37" x14ac:dyDescent="0.2">
      <c r="B1538" s="7" t="s">
        <v>77</v>
      </c>
      <c r="C1538" s="8">
        <v>12208</v>
      </c>
      <c r="D1538" s="9" t="s">
        <v>78</v>
      </c>
      <c r="E1538" s="10" t="s">
        <v>79</v>
      </c>
      <c r="F1538" s="10" t="s">
        <v>80</v>
      </c>
      <c r="G1538" s="8">
        <v>4</v>
      </c>
      <c r="H1538" s="11">
        <v>200</v>
      </c>
      <c r="I1538" s="12">
        <v>42555</v>
      </c>
      <c r="J1538" s="13">
        <f t="shared" si="53"/>
        <v>0</v>
      </c>
      <c r="K1538" s="14"/>
      <c r="L1538" s="14"/>
      <c r="M1538" s="14"/>
      <c r="N1538" s="14"/>
      <c r="O1538" s="14"/>
      <c r="P1538" s="14"/>
      <c r="Q1538" s="14"/>
      <c r="R1538" s="14"/>
      <c r="S1538" s="14"/>
      <c r="T1538" s="14"/>
      <c r="U1538" s="14"/>
      <c r="V1538" s="14"/>
      <c r="W1538" s="15">
        <f t="shared" si="54"/>
        <v>0</v>
      </c>
      <c r="X1538" s="14"/>
      <c r="Y1538" s="14"/>
      <c r="Z1538" s="14"/>
      <c r="AA1538" s="14"/>
      <c r="AB1538" s="14"/>
      <c r="AC1538" s="14"/>
      <c r="AD1538" s="14"/>
      <c r="AE1538" s="14"/>
      <c r="AF1538" s="14"/>
      <c r="AG1538" s="14"/>
      <c r="AH1538" s="14"/>
      <c r="AI1538" s="14"/>
      <c r="AJ1538" s="15"/>
      <c r="AK1538" s="7">
        <v>10422916</v>
      </c>
    </row>
    <row r="1539" spans="2:37" x14ac:dyDescent="0.2">
      <c r="B1539" s="7" t="s">
        <v>77</v>
      </c>
      <c r="C1539" s="8">
        <v>12208</v>
      </c>
      <c r="D1539" s="9" t="s">
        <v>78</v>
      </c>
      <c r="E1539" s="10" t="s">
        <v>79</v>
      </c>
      <c r="F1539" s="10" t="s">
        <v>80</v>
      </c>
      <c r="G1539" s="8">
        <v>5</v>
      </c>
      <c r="H1539" s="11">
        <v>450</v>
      </c>
      <c r="I1539" s="12">
        <v>42555</v>
      </c>
      <c r="J1539" s="13">
        <f t="shared" si="53"/>
        <v>0</v>
      </c>
      <c r="K1539" s="14"/>
      <c r="L1539" s="14"/>
      <c r="M1539" s="14"/>
      <c r="N1539" s="14"/>
      <c r="O1539" s="14"/>
      <c r="P1539" s="14"/>
      <c r="Q1539" s="14"/>
      <c r="R1539" s="14"/>
      <c r="S1539" s="14"/>
      <c r="T1539" s="14"/>
      <c r="U1539" s="14"/>
      <c r="V1539" s="14"/>
      <c r="W1539" s="15">
        <f t="shared" si="54"/>
        <v>0</v>
      </c>
      <c r="X1539" s="14"/>
      <c r="Y1539" s="14"/>
      <c r="Z1539" s="14"/>
      <c r="AA1539" s="14"/>
      <c r="AB1539" s="14"/>
      <c r="AC1539" s="14"/>
      <c r="AD1539" s="14"/>
      <c r="AE1539" s="14"/>
      <c r="AF1539" s="14"/>
      <c r="AG1539" s="14"/>
      <c r="AH1539" s="14"/>
      <c r="AI1539" s="14"/>
      <c r="AJ1539" s="15"/>
      <c r="AK1539" s="16"/>
    </row>
    <row r="1540" spans="2:37" x14ac:dyDescent="0.2">
      <c r="B1540" s="7" t="s">
        <v>47</v>
      </c>
      <c r="C1540" s="8">
        <v>12209</v>
      </c>
      <c r="D1540" s="9" t="s">
        <v>464</v>
      </c>
      <c r="E1540" s="10" t="s">
        <v>465</v>
      </c>
      <c r="F1540" s="10" t="s">
        <v>466</v>
      </c>
      <c r="G1540" s="8">
        <v>1</v>
      </c>
      <c r="H1540" s="11">
        <v>600</v>
      </c>
      <c r="I1540" s="12">
        <v>42555</v>
      </c>
      <c r="J1540" s="13">
        <f t="shared" si="53"/>
        <v>0</v>
      </c>
      <c r="K1540" s="14"/>
      <c r="L1540" s="14"/>
      <c r="M1540" s="14"/>
      <c r="N1540" s="14"/>
      <c r="O1540" s="14">
        <v>200</v>
      </c>
      <c r="P1540" s="14">
        <v>200</v>
      </c>
      <c r="Q1540" s="14">
        <v>200</v>
      </c>
      <c r="R1540" s="14"/>
      <c r="S1540" s="14"/>
      <c r="T1540" s="14"/>
      <c r="U1540" s="14"/>
      <c r="V1540" s="14"/>
      <c r="W1540" s="15">
        <f t="shared" si="54"/>
        <v>600</v>
      </c>
      <c r="X1540" s="14"/>
      <c r="Y1540" s="14"/>
      <c r="Z1540" s="14"/>
      <c r="AA1540" s="14"/>
      <c r="AB1540" s="14"/>
      <c r="AC1540" s="14"/>
      <c r="AD1540" s="14"/>
      <c r="AE1540" s="14"/>
      <c r="AF1540" s="14"/>
      <c r="AG1540" s="14"/>
      <c r="AH1540" s="14"/>
      <c r="AI1540" s="14"/>
      <c r="AJ1540" s="15"/>
      <c r="AK1540" s="16"/>
    </row>
    <row r="1541" spans="2:37" x14ac:dyDescent="0.2">
      <c r="B1541" s="7" t="s">
        <v>47</v>
      </c>
      <c r="C1541" s="8">
        <v>12209</v>
      </c>
      <c r="D1541" s="9" t="s">
        <v>464</v>
      </c>
      <c r="E1541" s="10" t="s">
        <v>465</v>
      </c>
      <c r="F1541" s="10" t="s">
        <v>466</v>
      </c>
      <c r="G1541" s="8">
        <v>5</v>
      </c>
      <c r="H1541" s="11">
        <v>250</v>
      </c>
      <c r="I1541" s="12">
        <v>42555</v>
      </c>
      <c r="J1541" s="13">
        <f t="shared" si="53"/>
        <v>0</v>
      </c>
      <c r="K1541" s="14"/>
      <c r="L1541" s="14"/>
      <c r="M1541" s="14"/>
      <c r="N1541" s="14"/>
      <c r="O1541" s="14"/>
      <c r="P1541" s="14"/>
      <c r="Q1541" s="14"/>
      <c r="R1541" s="14"/>
      <c r="S1541" s="14"/>
      <c r="T1541" s="14"/>
      <c r="U1541" s="14"/>
      <c r="V1541" s="14"/>
      <c r="W1541" s="15">
        <f t="shared" si="54"/>
        <v>0</v>
      </c>
      <c r="X1541" s="14"/>
      <c r="Y1541" s="14"/>
      <c r="Z1541" s="14"/>
      <c r="AA1541" s="14"/>
      <c r="AB1541" s="14"/>
      <c r="AC1541" s="14"/>
      <c r="AD1541" s="14"/>
      <c r="AE1541" s="14"/>
      <c r="AF1541" s="14"/>
      <c r="AG1541" s="14"/>
      <c r="AH1541" s="14"/>
      <c r="AI1541" s="14"/>
      <c r="AJ1541" s="15"/>
      <c r="AK1541" s="16"/>
    </row>
    <row r="1542" spans="2:37" x14ac:dyDescent="0.2">
      <c r="B1542" s="7" t="s">
        <v>47</v>
      </c>
      <c r="C1542" s="8">
        <v>12210</v>
      </c>
      <c r="D1542" s="9" t="s">
        <v>464</v>
      </c>
      <c r="E1542" s="10" t="s">
        <v>465</v>
      </c>
      <c r="F1542" s="10" t="s">
        <v>466</v>
      </c>
      <c r="G1542" s="8">
        <v>3</v>
      </c>
      <c r="H1542" s="11">
        <v>200</v>
      </c>
      <c r="I1542" s="12">
        <v>42558</v>
      </c>
      <c r="J1542" s="13">
        <f t="shared" si="53"/>
        <v>0</v>
      </c>
      <c r="K1542" s="14"/>
      <c r="L1542" s="14"/>
      <c r="M1542" s="14"/>
      <c r="N1542" s="14"/>
      <c r="O1542" s="14"/>
      <c r="P1542" s="14"/>
      <c r="Q1542" s="14"/>
      <c r="R1542" s="14"/>
      <c r="S1542" s="14"/>
      <c r="T1542" s="14"/>
      <c r="U1542" s="14"/>
      <c r="V1542" s="14"/>
      <c r="W1542" s="15">
        <f t="shared" si="54"/>
        <v>0</v>
      </c>
      <c r="X1542" s="14"/>
      <c r="Y1542" s="14"/>
      <c r="Z1542" s="14"/>
      <c r="AA1542" s="14"/>
      <c r="AB1542" s="14"/>
      <c r="AC1542" s="14"/>
      <c r="AD1542" s="14"/>
      <c r="AE1542" s="14"/>
      <c r="AF1542" s="14"/>
      <c r="AG1542" s="14"/>
      <c r="AH1542" s="14"/>
      <c r="AI1542" s="14"/>
      <c r="AJ1542" s="15"/>
      <c r="AK1542" s="16"/>
    </row>
    <row r="1543" spans="2:37" x14ac:dyDescent="0.2">
      <c r="B1543" s="7" t="s">
        <v>73</v>
      </c>
      <c r="C1543" s="8">
        <v>12211</v>
      </c>
      <c r="D1543" s="9" t="s">
        <v>1061</v>
      </c>
      <c r="E1543" s="10" t="s">
        <v>1062</v>
      </c>
      <c r="F1543" s="10" t="s">
        <v>1063</v>
      </c>
      <c r="G1543" s="8">
        <v>1</v>
      </c>
      <c r="H1543" s="11">
        <v>200</v>
      </c>
      <c r="I1543" s="12">
        <v>42555</v>
      </c>
      <c r="J1543" s="13">
        <f t="shared" si="53"/>
        <v>0</v>
      </c>
      <c r="K1543" s="14"/>
      <c r="L1543" s="14"/>
      <c r="M1543" s="14"/>
      <c r="N1543" s="14"/>
      <c r="O1543" s="14"/>
      <c r="P1543" s="14"/>
      <c r="Q1543" s="14">
        <v>200</v>
      </c>
      <c r="R1543" s="14"/>
      <c r="S1543" s="14"/>
      <c r="T1543" s="14"/>
      <c r="U1543" s="14"/>
      <c r="V1543" s="14"/>
      <c r="W1543" s="15">
        <f t="shared" si="54"/>
        <v>200</v>
      </c>
      <c r="X1543" s="14"/>
      <c r="Y1543" s="14"/>
      <c r="Z1543" s="14"/>
      <c r="AA1543" s="14"/>
      <c r="AB1543" s="14"/>
      <c r="AC1543" s="14"/>
      <c r="AD1543" s="14"/>
      <c r="AE1543" s="14"/>
      <c r="AF1543" s="14"/>
      <c r="AG1543" s="14"/>
      <c r="AH1543" s="14"/>
      <c r="AI1543" s="14"/>
      <c r="AJ1543" s="15"/>
      <c r="AK1543" s="16"/>
    </row>
    <row r="1544" spans="2:37" x14ac:dyDescent="0.2">
      <c r="B1544" s="7" t="s">
        <v>73</v>
      </c>
      <c r="C1544" s="8">
        <v>12212</v>
      </c>
      <c r="D1544" s="9" t="s">
        <v>1064</v>
      </c>
      <c r="E1544" s="10" t="s">
        <v>1065</v>
      </c>
      <c r="F1544" s="10" t="s">
        <v>1066</v>
      </c>
      <c r="G1544" s="8">
        <v>1</v>
      </c>
      <c r="H1544" s="11">
        <v>100</v>
      </c>
      <c r="I1544" s="12">
        <v>42555</v>
      </c>
      <c r="J1544" s="13">
        <f t="shared" si="53"/>
        <v>0</v>
      </c>
      <c r="K1544" s="14"/>
      <c r="L1544" s="14"/>
      <c r="M1544" s="14"/>
      <c r="N1544" s="14"/>
      <c r="O1544" s="14"/>
      <c r="P1544" s="14"/>
      <c r="Q1544" s="14">
        <v>100</v>
      </c>
      <c r="R1544" s="14"/>
      <c r="S1544" s="14"/>
      <c r="T1544" s="14"/>
      <c r="U1544" s="14"/>
      <c r="V1544" s="14"/>
      <c r="W1544" s="15">
        <f t="shared" si="54"/>
        <v>100</v>
      </c>
      <c r="X1544" s="14"/>
      <c r="Y1544" s="14"/>
      <c r="Z1544" s="14"/>
      <c r="AA1544" s="14"/>
      <c r="AB1544" s="14"/>
      <c r="AC1544" s="14"/>
      <c r="AD1544" s="14"/>
      <c r="AE1544" s="14"/>
      <c r="AF1544" s="14"/>
      <c r="AG1544" s="14"/>
      <c r="AH1544" s="14"/>
      <c r="AI1544" s="14"/>
      <c r="AJ1544" s="15"/>
      <c r="AK1544" s="16"/>
    </row>
    <row r="1545" spans="2:37" x14ac:dyDescent="0.2">
      <c r="B1545" s="7" t="s">
        <v>73</v>
      </c>
      <c r="C1545" s="8">
        <v>12213</v>
      </c>
      <c r="D1545" s="9" t="s">
        <v>1064</v>
      </c>
      <c r="E1545" s="10" t="s">
        <v>1065</v>
      </c>
      <c r="F1545" s="10" t="s">
        <v>1066</v>
      </c>
      <c r="G1545" s="8">
        <v>5</v>
      </c>
      <c r="H1545" s="11">
        <v>100</v>
      </c>
      <c r="I1545" s="12">
        <v>42555</v>
      </c>
      <c r="J1545" s="13">
        <f t="shared" si="53"/>
        <v>0</v>
      </c>
      <c r="K1545" s="14"/>
      <c r="L1545" s="14"/>
      <c r="M1545" s="14"/>
      <c r="N1545" s="14"/>
      <c r="O1545" s="14"/>
      <c r="P1545" s="14"/>
      <c r="Q1545" s="14"/>
      <c r="R1545" s="14"/>
      <c r="S1545" s="14"/>
      <c r="T1545" s="14"/>
      <c r="U1545" s="14"/>
      <c r="V1545" s="14"/>
      <c r="W1545" s="15">
        <f t="shared" si="54"/>
        <v>0</v>
      </c>
      <c r="X1545" s="14"/>
      <c r="Y1545" s="14"/>
      <c r="Z1545" s="14"/>
      <c r="AA1545" s="14"/>
      <c r="AB1545" s="14"/>
      <c r="AC1545" s="14"/>
      <c r="AD1545" s="14"/>
      <c r="AE1545" s="14"/>
      <c r="AF1545" s="14"/>
      <c r="AG1545" s="14"/>
      <c r="AH1545" s="14"/>
      <c r="AI1545" s="14"/>
      <c r="AJ1545" s="15"/>
      <c r="AK1545" s="16"/>
    </row>
    <row r="1546" spans="2:37" x14ac:dyDescent="0.2">
      <c r="B1546" s="7" t="s">
        <v>47</v>
      </c>
      <c r="C1546" s="8">
        <v>12214</v>
      </c>
      <c r="D1546" s="9" t="s">
        <v>807</v>
      </c>
      <c r="E1546" s="10" t="s">
        <v>808</v>
      </c>
      <c r="F1546" s="10" t="s">
        <v>809</v>
      </c>
      <c r="G1546" s="8">
        <v>1</v>
      </c>
      <c r="H1546" s="11">
        <v>400</v>
      </c>
      <c r="I1546" s="12">
        <v>42559</v>
      </c>
      <c r="J1546" s="13">
        <f t="shared" si="53"/>
        <v>0</v>
      </c>
      <c r="K1546" s="14"/>
      <c r="L1546" s="14"/>
      <c r="M1546" s="14"/>
      <c r="N1546" s="14"/>
      <c r="O1546" s="14">
        <v>200</v>
      </c>
      <c r="P1546" s="14">
        <v>200</v>
      </c>
      <c r="Q1546" s="14"/>
      <c r="R1546" s="14"/>
      <c r="S1546" s="14"/>
      <c r="T1546" s="14"/>
      <c r="U1546" s="14"/>
      <c r="V1546" s="14"/>
      <c r="W1546" s="15">
        <f t="shared" si="54"/>
        <v>400</v>
      </c>
      <c r="X1546" s="14"/>
      <c r="Y1546" s="14"/>
      <c r="Z1546" s="14"/>
      <c r="AA1546" s="14"/>
      <c r="AB1546" s="14"/>
      <c r="AC1546" s="14"/>
      <c r="AD1546" s="14"/>
      <c r="AE1546" s="14"/>
      <c r="AF1546" s="14"/>
      <c r="AG1546" s="14"/>
      <c r="AH1546" s="14"/>
      <c r="AI1546" s="14"/>
      <c r="AJ1546" s="15"/>
      <c r="AK1546" s="16"/>
    </row>
    <row r="1547" spans="2:37" x14ac:dyDescent="0.2">
      <c r="B1547" s="7" t="s">
        <v>37</v>
      </c>
      <c r="C1547" s="8">
        <v>12215</v>
      </c>
      <c r="D1547" s="9" t="s">
        <v>669</v>
      </c>
      <c r="E1547" s="10" t="s">
        <v>670</v>
      </c>
      <c r="F1547" s="10" t="s">
        <v>671</v>
      </c>
      <c r="G1547" s="8">
        <v>1</v>
      </c>
      <c r="H1547" s="11">
        <v>400</v>
      </c>
      <c r="I1547" s="12">
        <v>42559</v>
      </c>
      <c r="J1547" s="13">
        <f t="shared" si="53"/>
        <v>0</v>
      </c>
      <c r="K1547" s="14"/>
      <c r="L1547" s="14"/>
      <c r="M1547" s="14"/>
      <c r="N1547" s="14"/>
      <c r="O1547" s="14">
        <v>400</v>
      </c>
      <c r="P1547" s="14"/>
      <c r="Q1547" s="14"/>
      <c r="R1547" s="14"/>
      <c r="S1547" s="14"/>
      <c r="T1547" s="14"/>
      <c r="U1547" s="14"/>
      <c r="V1547" s="14"/>
      <c r="W1547" s="15">
        <f t="shared" si="54"/>
        <v>400</v>
      </c>
      <c r="X1547" s="14"/>
      <c r="Y1547" s="14"/>
      <c r="Z1547" s="14"/>
      <c r="AA1547" s="14"/>
      <c r="AB1547" s="14"/>
      <c r="AC1547" s="14"/>
      <c r="AD1547" s="14"/>
      <c r="AE1547" s="14"/>
      <c r="AF1547" s="14"/>
      <c r="AG1547" s="14"/>
      <c r="AH1547" s="14"/>
      <c r="AI1547" s="14"/>
      <c r="AJ1547" s="15"/>
      <c r="AK1547" s="16"/>
    </row>
    <row r="1548" spans="2:37" x14ac:dyDescent="0.2">
      <c r="B1548" s="7" t="s">
        <v>69</v>
      </c>
      <c r="C1548" s="8">
        <v>12216</v>
      </c>
      <c r="D1548" s="9" t="s">
        <v>1067</v>
      </c>
      <c r="E1548" s="10" t="s">
        <v>1068</v>
      </c>
      <c r="F1548" s="10" t="s">
        <v>1069</v>
      </c>
      <c r="G1548" s="8">
        <v>1</v>
      </c>
      <c r="H1548" s="11">
        <v>200</v>
      </c>
      <c r="I1548" s="12">
        <v>42559</v>
      </c>
      <c r="J1548" s="13">
        <f t="shared" si="53"/>
        <v>0</v>
      </c>
      <c r="K1548" s="14"/>
      <c r="L1548" s="14"/>
      <c r="M1548" s="14"/>
      <c r="N1548" s="14"/>
      <c r="O1548" s="14"/>
      <c r="P1548" s="14"/>
      <c r="Q1548" s="14">
        <v>200</v>
      </c>
      <c r="R1548" s="14"/>
      <c r="S1548" s="14"/>
      <c r="T1548" s="14"/>
      <c r="U1548" s="14"/>
      <c r="V1548" s="14"/>
      <c r="W1548" s="15">
        <f t="shared" si="54"/>
        <v>200</v>
      </c>
      <c r="X1548" s="14"/>
      <c r="Y1548" s="14"/>
      <c r="Z1548" s="14"/>
      <c r="AA1548" s="14"/>
      <c r="AB1548" s="14"/>
      <c r="AC1548" s="14"/>
      <c r="AD1548" s="14"/>
      <c r="AE1548" s="14"/>
      <c r="AF1548" s="14"/>
      <c r="AG1548" s="14"/>
      <c r="AH1548" s="14"/>
      <c r="AI1548" s="14"/>
      <c r="AJ1548" s="15"/>
      <c r="AK1548" s="16"/>
    </row>
    <row r="1549" spans="2:37" x14ac:dyDescent="0.2">
      <c r="B1549" s="7" t="s">
        <v>69</v>
      </c>
      <c r="C1549" s="8">
        <v>12216</v>
      </c>
      <c r="D1549" s="9" t="s">
        <v>1067</v>
      </c>
      <c r="E1549" s="10" t="s">
        <v>1068</v>
      </c>
      <c r="F1549" s="10" t="s">
        <v>1069</v>
      </c>
      <c r="G1549" s="8">
        <v>5</v>
      </c>
      <c r="H1549" s="11">
        <v>150</v>
      </c>
      <c r="I1549" s="12">
        <v>42559</v>
      </c>
      <c r="J1549" s="13">
        <f t="shared" si="53"/>
        <v>0</v>
      </c>
      <c r="K1549" s="14"/>
      <c r="L1549" s="14"/>
      <c r="M1549" s="14"/>
      <c r="N1549" s="14"/>
      <c r="O1549" s="14"/>
      <c r="P1549" s="14"/>
      <c r="Q1549" s="14"/>
      <c r="R1549" s="14"/>
      <c r="S1549" s="14"/>
      <c r="T1549" s="14"/>
      <c r="U1549" s="14"/>
      <c r="V1549" s="14"/>
      <c r="W1549" s="15">
        <f t="shared" si="54"/>
        <v>0</v>
      </c>
      <c r="X1549" s="14"/>
      <c r="Y1549" s="14"/>
      <c r="Z1549" s="14"/>
      <c r="AA1549" s="14"/>
      <c r="AB1549" s="14"/>
      <c r="AC1549" s="14"/>
      <c r="AD1549" s="14"/>
      <c r="AE1549" s="14"/>
      <c r="AF1549" s="14"/>
      <c r="AG1549" s="14"/>
      <c r="AH1549" s="14"/>
      <c r="AI1549" s="14"/>
      <c r="AJ1549" s="15"/>
      <c r="AK1549" s="16"/>
    </row>
    <row r="1550" spans="2:37" x14ac:dyDescent="0.2">
      <c r="B1550" s="7" t="s">
        <v>47</v>
      </c>
      <c r="C1550" s="8">
        <v>12217</v>
      </c>
      <c r="D1550" s="9" t="s">
        <v>810</v>
      </c>
      <c r="E1550" s="10" t="s">
        <v>811</v>
      </c>
      <c r="F1550" s="10" t="s">
        <v>812</v>
      </c>
      <c r="G1550" s="8">
        <v>1</v>
      </c>
      <c r="H1550" s="11">
        <v>800</v>
      </c>
      <c r="I1550" s="12">
        <v>42559</v>
      </c>
      <c r="J1550" s="13">
        <f t="shared" si="53"/>
        <v>0</v>
      </c>
      <c r="K1550" s="14"/>
      <c r="L1550" s="14"/>
      <c r="M1550" s="14">
        <v>200</v>
      </c>
      <c r="N1550" s="14">
        <v>200</v>
      </c>
      <c r="O1550" s="14">
        <v>200</v>
      </c>
      <c r="P1550" s="14">
        <v>200</v>
      </c>
      <c r="Q1550" s="14"/>
      <c r="R1550" s="14"/>
      <c r="S1550" s="14"/>
      <c r="T1550" s="14"/>
      <c r="U1550" s="14"/>
      <c r="V1550" s="14"/>
      <c r="W1550" s="15">
        <f t="shared" si="54"/>
        <v>800</v>
      </c>
      <c r="X1550" s="14"/>
      <c r="Y1550" s="14"/>
      <c r="Z1550" s="14"/>
      <c r="AA1550" s="14"/>
      <c r="AB1550" s="14"/>
      <c r="AC1550" s="14"/>
      <c r="AD1550" s="14"/>
      <c r="AE1550" s="14"/>
      <c r="AF1550" s="14"/>
      <c r="AG1550" s="14"/>
      <c r="AH1550" s="14"/>
      <c r="AI1550" s="14"/>
      <c r="AJ1550" s="15"/>
      <c r="AK1550" s="16"/>
    </row>
    <row r="1551" spans="2:37" x14ac:dyDescent="0.2">
      <c r="B1551" s="7" t="s">
        <v>47</v>
      </c>
      <c r="C1551" s="8">
        <v>12218</v>
      </c>
      <c r="D1551" s="9" t="s">
        <v>1070</v>
      </c>
      <c r="E1551" s="10" t="s">
        <v>1071</v>
      </c>
      <c r="F1551" s="10" t="s">
        <v>1072</v>
      </c>
      <c r="G1551" s="8">
        <v>5</v>
      </c>
      <c r="H1551" s="11">
        <v>200</v>
      </c>
      <c r="I1551" s="12">
        <v>42559</v>
      </c>
      <c r="J1551" s="13">
        <f t="shared" si="53"/>
        <v>0</v>
      </c>
      <c r="K1551" s="14"/>
      <c r="L1551" s="14"/>
      <c r="M1551" s="14"/>
      <c r="N1551" s="14"/>
      <c r="O1551" s="14"/>
      <c r="P1551" s="14"/>
      <c r="Q1551" s="14"/>
      <c r="R1551" s="14"/>
      <c r="S1551" s="14"/>
      <c r="T1551" s="14"/>
      <c r="U1551" s="14"/>
      <c r="V1551" s="14"/>
      <c r="W1551" s="15">
        <f t="shared" si="54"/>
        <v>0</v>
      </c>
      <c r="X1551" s="14"/>
      <c r="Y1551" s="14"/>
      <c r="Z1551" s="14"/>
      <c r="AA1551" s="14"/>
      <c r="AB1551" s="14"/>
      <c r="AC1551" s="14"/>
      <c r="AD1551" s="14"/>
      <c r="AE1551" s="14"/>
      <c r="AF1551" s="14"/>
      <c r="AG1551" s="14"/>
      <c r="AH1551" s="14"/>
      <c r="AI1551" s="14"/>
      <c r="AJ1551" s="15"/>
      <c r="AK1551" s="16"/>
    </row>
    <row r="1552" spans="2:37" x14ac:dyDescent="0.2">
      <c r="B1552" s="7" t="s">
        <v>37</v>
      </c>
      <c r="C1552" s="8">
        <v>12219</v>
      </c>
      <c r="D1552" s="9" t="s">
        <v>192</v>
      </c>
      <c r="E1552" s="10" t="s">
        <v>193</v>
      </c>
      <c r="F1552" s="10" t="s">
        <v>194</v>
      </c>
      <c r="G1552" s="8">
        <v>5</v>
      </c>
      <c r="H1552" s="11">
        <v>50</v>
      </c>
      <c r="I1552" s="12">
        <v>42559</v>
      </c>
      <c r="J1552" s="13">
        <f t="shared" si="53"/>
        <v>0</v>
      </c>
      <c r="K1552" s="14"/>
      <c r="L1552" s="14"/>
      <c r="M1552" s="14"/>
      <c r="N1552" s="14"/>
      <c r="O1552" s="14"/>
      <c r="P1552" s="14"/>
      <c r="Q1552" s="14"/>
      <c r="R1552" s="14"/>
      <c r="S1552" s="14"/>
      <c r="T1552" s="14"/>
      <c r="U1552" s="14"/>
      <c r="V1552" s="14"/>
      <c r="W1552" s="15">
        <f t="shared" si="54"/>
        <v>0</v>
      </c>
      <c r="X1552" s="14"/>
      <c r="Y1552" s="14"/>
      <c r="Z1552" s="14"/>
      <c r="AA1552" s="14"/>
      <c r="AB1552" s="14"/>
      <c r="AC1552" s="14"/>
      <c r="AD1552" s="14"/>
      <c r="AE1552" s="14"/>
      <c r="AF1552" s="14"/>
      <c r="AG1552" s="14"/>
      <c r="AH1552" s="14"/>
      <c r="AI1552" s="14"/>
      <c r="AJ1552" s="15"/>
      <c r="AK1552" s="16"/>
    </row>
    <row r="1553" spans="2:37" x14ac:dyDescent="0.2">
      <c r="B1553" s="7" t="s">
        <v>47</v>
      </c>
      <c r="C1553" s="8">
        <v>12220</v>
      </c>
      <c r="D1553" s="9" t="s">
        <v>434</v>
      </c>
      <c r="E1553" s="10" t="s">
        <v>435</v>
      </c>
      <c r="F1553" s="10" t="s">
        <v>436</v>
      </c>
      <c r="G1553" s="8">
        <v>5</v>
      </c>
      <c r="H1553" s="11">
        <v>100</v>
      </c>
      <c r="I1553" s="12">
        <v>42561</v>
      </c>
      <c r="J1553" s="13">
        <f t="shared" ref="J1553:J1616" si="55">IF(G1553=1,SUM(W1553,-H1553),0)</f>
        <v>0</v>
      </c>
      <c r="K1553" s="14"/>
      <c r="L1553" s="14"/>
      <c r="M1553" s="14"/>
      <c r="N1553" s="14"/>
      <c r="O1553" s="14"/>
      <c r="P1553" s="14"/>
      <c r="Q1553" s="14"/>
      <c r="R1553" s="14"/>
      <c r="S1553" s="14"/>
      <c r="T1553" s="14"/>
      <c r="U1553" s="14"/>
      <c r="V1553" s="14"/>
      <c r="W1553" s="15">
        <f t="shared" ref="W1553:W1616" si="56">SUM(K1553:V1553)</f>
        <v>0</v>
      </c>
      <c r="X1553" s="14"/>
      <c r="Y1553" s="14"/>
      <c r="Z1553" s="14"/>
      <c r="AA1553" s="14"/>
      <c r="AB1553" s="14"/>
      <c r="AC1553" s="14"/>
      <c r="AD1553" s="14"/>
      <c r="AE1553" s="14"/>
      <c r="AF1553" s="14"/>
      <c r="AG1553" s="14"/>
      <c r="AH1553" s="14"/>
      <c r="AI1553" s="14"/>
      <c r="AJ1553" s="15"/>
      <c r="AK1553" s="16"/>
    </row>
    <row r="1554" spans="2:37" x14ac:dyDescent="0.2">
      <c r="B1554" s="7" t="s">
        <v>37</v>
      </c>
      <c r="C1554" s="8">
        <v>12242</v>
      </c>
      <c r="D1554" s="9" t="s">
        <v>446</v>
      </c>
      <c r="E1554" s="10" t="s">
        <v>447</v>
      </c>
      <c r="F1554" s="10" t="s">
        <v>448</v>
      </c>
      <c r="G1554" s="8">
        <v>5</v>
      </c>
      <c r="H1554" s="11">
        <v>150</v>
      </c>
      <c r="I1554" s="12">
        <v>42561</v>
      </c>
      <c r="J1554" s="13">
        <f t="shared" si="55"/>
        <v>0</v>
      </c>
      <c r="K1554" s="14"/>
      <c r="L1554" s="14"/>
      <c r="M1554" s="14"/>
      <c r="N1554" s="14"/>
      <c r="O1554" s="14"/>
      <c r="P1554" s="14"/>
      <c r="Q1554" s="14"/>
      <c r="R1554" s="14"/>
      <c r="S1554" s="14"/>
      <c r="T1554" s="14"/>
      <c r="U1554" s="14"/>
      <c r="V1554" s="14"/>
      <c r="W1554" s="15">
        <f t="shared" si="56"/>
        <v>0</v>
      </c>
      <c r="X1554" s="14"/>
      <c r="Y1554" s="14"/>
      <c r="Z1554" s="14"/>
      <c r="AA1554" s="14"/>
      <c r="AB1554" s="14"/>
      <c r="AC1554" s="14"/>
      <c r="AD1554" s="14"/>
      <c r="AE1554" s="14"/>
      <c r="AF1554" s="14"/>
      <c r="AG1554" s="14"/>
      <c r="AH1554" s="14"/>
      <c r="AI1554" s="14"/>
      <c r="AJ1554" s="15"/>
      <c r="AK1554" s="16"/>
    </row>
    <row r="1555" spans="2:37" x14ac:dyDescent="0.2">
      <c r="B1555" s="7" t="s">
        <v>47</v>
      </c>
      <c r="C1555" s="8">
        <v>12243</v>
      </c>
      <c r="D1555" s="9" t="s">
        <v>823</v>
      </c>
      <c r="E1555" s="10" t="s">
        <v>824</v>
      </c>
      <c r="F1555" s="10" t="s">
        <v>765</v>
      </c>
      <c r="G1555" s="8">
        <v>5</v>
      </c>
      <c r="H1555" s="11">
        <v>200</v>
      </c>
      <c r="I1555" s="12">
        <v>42561</v>
      </c>
      <c r="J1555" s="13">
        <f t="shared" si="55"/>
        <v>0</v>
      </c>
      <c r="K1555" s="14"/>
      <c r="L1555" s="14"/>
      <c r="M1555" s="14"/>
      <c r="N1555" s="14"/>
      <c r="O1555" s="14"/>
      <c r="P1555" s="14"/>
      <c r="Q1555" s="14"/>
      <c r="R1555" s="14"/>
      <c r="S1555" s="14"/>
      <c r="T1555" s="14"/>
      <c r="U1555" s="14"/>
      <c r="V1555" s="14"/>
      <c r="W1555" s="15">
        <f t="shared" si="56"/>
        <v>0</v>
      </c>
      <c r="X1555" s="14"/>
      <c r="Y1555" s="14"/>
      <c r="Z1555" s="14"/>
      <c r="AA1555" s="14"/>
      <c r="AB1555" s="14"/>
      <c r="AC1555" s="14"/>
      <c r="AD1555" s="14"/>
      <c r="AE1555" s="14"/>
      <c r="AF1555" s="14"/>
      <c r="AG1555" s="14"/>
      <c r="AH1555" s="14"/>
      <c r="AI1555" s="14"/>
      <c r="AJ1555" s="15"/>
      <c r="AK1555" s="16"/>
    </row>
    <row r="1556" spans="2:37" x14ac:dyDescent="0.2">
      <c r="B1556" s="7" t="s">
        <v>73</v>
      </c>
      <c r="C1556" s="8">
        <v>12244</v>
      </c>
      <c r="D1556" s="9" t="s">
        <v>532</v>
      </c>
      <c r="E1556" s="10" t="s">
        <v>533</v>
      </c>
      <c r="F1556" s="10" t="s">
        <v>534</v>
      </c>
      <c r="G1556" s="8">
        <v>5</v>
      </c>
      <c r="H1556" s="11">
        <v>150</v>
      </c>
      <c r="I1556" s="12">
        <v>42561</v>
      </c>
      <c r="J1556" s="13">
        <f t="shared" si="55"/>
        <v>0</v>
      </c>
      <c r="K1556" s="14"/>
      <c r="L1556" s="14"/>
      <c r="M1556" s="14"/>
      <c r="N1556" s="14"/>
      <c r="O1556" s="14"/>
      <c r="P1556" s="14"/>
      <c r="Q1556" s="14"/>
      <c r="R1556" s="14"/>
      <c r="S1556" s="14"/>
      <c r="T1556" s="14"/>
      <c r="U1556" s="14"/>
      <c r="V1556" s="14"/>
      <c r="W1556" s="15">
        <f t="shared" si="56"/>
        <v>0</v>
      </c>
      <c r="X1556" s="14"/>
      <c r="Y1556" s="14"/>
      <c r="Z1556" s="14"/>
      <c r="AA1556" s="14"/>
      <c r="AB1556" s="14"/>
      <c r="AC1556" s="14"/>
      <c r="AD1556" s="14"/>
      <c r="AE1556" s="14"/>
      <c r="AF1556" s="14"/>
      <c r="AG1556" s="14"/>
      <c r="AH1556" s="14"/>
      <c r="AI1556" s="14"/>
      <c r="AJ1556" s="15"/>
      <c r="AK1556" s="16"/>
    </row>
    <row r="1557" spans="2:37" x14ac:dyDescent="0.2">
      <c r="B1557" s="7" t="s">
        <v>391</v>
      </c>
      <c r="C1557" s="8">
        <v>12245</v>
      </c>
      <c r="D1557" s="9" t="s">
        <v>482</v>
      </c>
      <c r="E1557" s="10" t="s">
        <v>483</v>
      </c>
      <c r="F1557" s="10" t="s">
        <v>484</v>
      </c>
      <c r="G1557" s="8">
        <v>5</v>
      </c>
      <c r="H1557" s="11">
        <v>100</v>
      </c>
      <c r="I1557" s="12">
        <v>42561</v>
      </c>
      <c r="J1557" s="13">
        <f t="shared" si="55"/>
        <v>0</v>
      </c>
      <c r="K1557" s="14"/>
      <c r="L1557" s="14"/>
      <c r="M1557" s="14"/>
      <c r="N1557" s="14"/>
      <c r="O1557" s="14"/>
      <c r="P1557" s="14"/>
      <c r="Q1557" s="14"/>
      <c r="R1557" s="14"/>
      <c r="S1557" s="14"/>
      <c r="T1557" s="14"/>
      <c r="U1557" s="14"/>
      <c r="V1557" s="14"/>
      <c r="W1557" s="15">
        <f t="shared" si="56"/>
        <v>0</v>
      </c>
      <c r="X1557" s="14"/>
      <c r="Y1557" s="14"/>
      <c r="Z1557" s="14"/>
      <c r="AA1557" s="14"/>
      <c r="AB1557" s="14"/>
      <c r="AC1557" s="14"/>
      <c r="AD1557" s="14"/>
      <c r="AE1557" s="14"/>
      <c r="AF1557" s="14"/>
      <c r="AG1557" s="14"/>
      <c r="AH1557" s="14"/>
      <c r="AI1557" s="14"/>
      <c r="AJ1557" s="15"/>
      <c r="AK1557" s="16"/>
    </row>
    <row r="1558" spans="2:37" x14ac:dyDescent="0.2">
      <c r="B1558" s="7" t="s">
        <v>73</v>
      </c>
      <c r="C1558" s="8">
        <v>12246</v>
      </c>
      <c r="D1558" s="9" t="s">
        <v>316</v>
      </c>
      <c r="E1558" s="10" t="s">
        <v>317</v>
      </c>
      <c r="F1558" s="10" t="s">
        <v>318</v>
      </c>
      <c r="G1558" s="8">
        <v>5</v>
      </c>
      <c r="H1558" s="11">
        <v>50</v>
      </c>
      <c r="I1558" s="12">
        <v>42561</v>
      </c>
      <c r="J1558" s="13">
        <f t="shared" si="55"/>
        <v>0</v>
      </c>
      <c r="K1558" s="14"/>
      <c r="L1558" s="14"/>
      <c r="M1558" s="14"/>
      <c r="N1558" s="14"/>
      <c r="O1558" s="14"/>
      <c r="P1558" s="14"/>
      <c r="Q1558" s="14"/>
      <c r="R1558" s="14"/>
      <c r="S1558" s="14"/>
      <c r="T1558" s="14"/>
      <c r="U1558" s="14"/>
      <c r="V1558" s="14"/>
      <c r="W1558" s="15">
        <f t="shared" si="56"/>
        <v>0</v>
      </c>
      <c r="X1558" s="14"/>
      <c r="Y1558" s="14"/>
      <c r="Z1558" s="14"/>
      <c r="AA1558" s="14"/>
      <c r="AB1558" s="14"/>
      <c r="AC1558" s="14"/>
      <c r="AD1558" s="14"/>
      <c r="AE1558" s="14"/>
      <c r="AF1558" s="14"/>
      <c r="AG1558" s="14"/>
      <c r="AH1558" s="14"/>
      <c r="AI1558" s="14"/>
      <c r="AJ1558" s="15"/>
      <c r="AK1558" s="16"/>
    </row>
    <row r="1559" spans="2:37" x14ac:dyDescent="0.2">
      <c r="B1559" s="7" t="s">
        <v>37</v>
      </c>
      <c r="C1559" s="8">
        <v>12247</v>
      </c>
      <c r="D1559" s="9" t="s">
        <v>708</v>
      </c>
      <c r="E1559" s="10" t="s">
        <v>709</v>
      </c>
      <c r="F1559" s="10" t="s">
        <v>710</v>
      </c>
      <c r="G1559" s="8">
        <v>5</v>
      </c>
      <c r="H1559" s="11">
        <v>200</v>
      </c>
      <c r="I1559" s="12">
        <v>42561</v>
      </c>
      <c r="J1559" s="13">
        <f t="shared" si="55"/>
        <v>0</v>
      </c>
      <c r="K1559" s="14"/>
      <c r="L1559" s="14"/>
      <c r="M1559" s="14"/>
      <c r="N1559" s="14"/>
      <c r="O1559" s="14"/>
      <c r="P1559" s="14"/>
      <c r="Q1559" s="14"/>
      <c r="R1559" s="14"/>
      <c r="S1559" s="14"/>
      <c r="T1559" s="14"/>
      <c r="U1559" s="14"/>
      <c r="V1559" s="14"/>
      <c r="W1559" s="15">
        <f t="shared" si="56"/>
        <v>0</v>
      </c>
      <c r="X1559" s="14"/>
      <c r="Y1559" s="14"/>
      <c r="Z1559" s="14"/>
      <c r="AA1559" s="14"/>
      <c r="AB1559" s="14"/>
      <c r="AC1559" s="14"/>
      <c r="AD1559" s="14"/>
      <c r="AE1559" s="14"/>
      <c r="AF1559" s="14"/>
      <c r="AG1559" s="14"/>
      <c r="AH1559" s="14"/>
      <c r="AI1559" s="14"/>
      <c r="AJ1559" s="15"/>
      <c r="AK1559" s="16"/>
    </row>
    <row r="1560" spans="2:37" x14ac:dyDescent="0.2">
      <c r="B1560" s="7" t="s">
        <v>69</v>
      </c>
      <c r="C1560" s="8">
        <v>12248</v>
      </c>
      <c r="D1560" s="9" t="s">
        <v>834</v>
      </c>
      <c r="E1560" s="10" t="s">
        <v>835</v>
      </c>
      <c r="F1560" s="10" t="s">
        <v>836</v>
      </c>
      <c r="G1560" s="8">
        <v>5</v>
      </c>
      <c r="H1560" s="11">
        <v>100</v>
      </c>
      <c r="I1560" s="12">
        <v>42561</v>
      </c>
      <c r="J1560" s="13">
        <f t="shared" si="55"/>
        <v>0</v>
      </c>
      <c r="K1560" s="14"/>
      <c r="L1560" s="14"/>
      <c r="M1560" s="14"/>
      <c r="N1560" s="14"/>
      <c r="O1560" s="14"/>
      <c r="P1560" s="14"/>
      <c r="Q1560" s="14"/>
      <c r="R1560" s="14"/>
      <c r="S1560" s="14"/>
      <c r="T1560" s="14"/>
      <c r="U1560" s="14"/>
      <c r="V1560" s="14"/>
      <c r="W1560" s="15">
        <f t="shared" si="56"/>
        <v>0</v>
      </c>
      <c r="X1560" s="14"/>
      <c r="Y1560" s="14"/>
      <c r="Z1560" s="14"/>
      <c r="AA1560" s="14"/>
      <c r="AB1560" s="14"/>
      <c r="AC1560" s="14"/>
      <c r="AD1560" s="14"/>
      <c r="AE1560" s="14"/>
      <c r="AF1560" s="14"/>
      <c r="AG1560" s="14"/>
      <c r="AH1560" s="14"/>
      <c r="AI1560" s="14"/>
      <c r="AJ1560" s="15"/>
      <c r="AK1560" s="16"/>
    </row>
    <row r="1561" spans="2:37" x14ac:dyDescent="0.2">
      <c r="B1561" s="7" t="s">
        <v>47</v>
      </c>
      <c r="C1561" s="8">
        <v>12249</v>
      </c>
      <c r="D1561" s="9" t="s">
        <v>48</v>
      </c>
      <c r="E1561" s="10" t="s">
        <v>49</v>
      </c>
      <c r="F1561" s="10" t="s">
        <v>50</v>
      </c>
      <c r="G1561" s="8">
        <v>5</v>
      </c>
      <c r="H1561" s="11">
        <v>50</v>
      </c>
      <c r="I1561" s="12">
        <v>42561</v>
      </c>
      <c r="J1561" s="13">
        <f t="shared" si="55"/>
        <v>0</v>
      </c>
      <c r="K1561" s="14"/>
      <c r="L1561" s="14"/>
      <c r="M1561" s="14"/>
      <c r="N1561" s="14"/>
      <c r="O1561" s="14"/>
      <c r="P1561" s="14"/>
      <c r="Q1561" s="14"/>
      <c r="R1561" s="14"/>
      <c r="S1561" s="14"/>
      <c r="T1561" s="14"/>
      <c r="U1561" s="14"/>
      <c r="V1561" s="14"/>
      <c r="W1561" s="15">
        <f t="shared" si="56"/>
        <v>0</v>
      </c>
      <c r="X1561" s="14"/>
      <c r="Y1561" s="14"/>
      <c r="Z1561" s="14"/>
      <c r="AA1561" s="14"/>
      <c r="AB1561" s="14"/>
      <c r="AC1561" s="14"/>
      <c r="AD1561" s="14"/>
      <c r="AE1561" s="14"/>
      <c r="AF1561" s="14"/>
      <c r="AG1561" s="14"/>
      <c r="AH1561" s="14"/>
      <c r="AI1561" s="14"/>
      <c r="AJ1561" s="15"/>
      <c r="AK1561" s="16"/>
    </row>
    <row r="1562" spans="2:37" x14ac:dyDescent="0.2">
      <c r="B1562" s="7" t="s">
        <v>93</v>
      </c>
      <c r="C1562" s="8">
        <v>12250</v>
      </c>
      <c r="D1562" s="9"/>
      <c r="E1562" s="10" t="s">
        <v>93</v>
      </c>
      <c r="F1562" s="10" t="s">
        <v>93</v>
      </c>
      <c r="G1562" s="8">
        <v>8</v>
      </c>
      <c r="H1562" s="11"/>
      <c r="I1562" s="12"/>
      <c r="J1562" s="13">
        <f t="shared" si="55"/>
        <v>0</v>
      </c>
      <c r="K1562" s="14"/>
      <c r="L1562" s="14"/>
      <c r="M1562" s="14"/>
      <c r="N1562" s="14"/>
      <c r="O1562" s="14"/>
      <c r="P1562" s="14"/>
      <c r="Q1562" s="14"/>
      <c r="R1562" s="14"/>
      <c r="S1562" s="14"/>
      <c r="T1562" s="14"/>
      <c r="U1562" s="14"/>
      <c r="V1562" s="14"/>
      <c r="W1562" s="15">
        <f t="shared" si="56"/>
        <v>0</v>
      </c>
      <c r="X1562" s="14"/>
      <c r="Y1562" s="14"/>
      <c r="Z1562" s="14"/>
      <c r="AA1562" s="14"/>
      <c r="AB1562" s="14"/>
      <c r="AC1562" s="14"/>
      <c r="AD1562" s="14"/>
      <c r="AE1562" s="14"/>
      <c r="AF1562" s="14"/>
      <c r="AG1562" s="14"/>
      <c r="AH1562" s="14"/>
      <c r="AI1562" s="14"/>
      <c r="AJ1562" s="15"/>
      <c r="AK1562" s="16"/>
    </row>
    <row r="1563" spans="2:37" x14ac:dyDescent="0.2">
      <c r="B1563" s="7" t="s">
        <v>37</v>
      </c>
      <c r="C1563" s="8">
        <v>12251</v>
      </c>
      <c r="D1563" s="9" t="s">
        <v>1036</v>
      </c>
      <c r="E1563" s="10" t="s">
        <v>1037</v>
      </c>
      <c r="F1563" s="10" t="s">
        <v>1038</v>
      </c>
      <c r="G1563" s="8">
        <v>5</v>
      </c>
      <c r="H1563" s="11">
        <v>50</v>
      </c>
      <c r="I1563" s="12">
        <v>42561</v>
      </c>
      <c r="J1563" s="13">
        <f t="shared" si="55"/>
        <v>0</v>
      </c>
      <c r="K1563" s="14"/>
      <c r="L1563" s="14"/>
      <c r="M1563" s="14"/>
      <c r="N1563" s="14"/>
      <c r="O1563" s="14"/>
      <c r="P1563" s="14"/>
      <c r="Q1563" s="14"/>
      <c r="R1563" s="14"/>
      <c r="S1563" s="14"/>
      <c r="T1563" s="14"/>
      <c r="U1563" s="14"/>
      <c r="V1563" s="14"/>
      <c r="W1563" s="15">
        <f t="shared" si="56"/>
        <v>0</v>
      </c>
      <c r="X1563" s="14"/>
      <c r="Y1563" s="14"/>
      <c r="Z1563" s="14"/>
      <c r="AA1563" s="14"/>
      <c r="AB1563" s="14"/>
      <c r="AC1563" s="14"/>
      <c r="AD1563" s="14"/>
      <c r="AE1563" s="14"/>
      <c r="AF1563" s="14"/>
      <c r="AG1563" s="14"/>
      <c r="AH1563" s="14"/>
      <c r="AI1563" s="14"/>
      <c r="AJ1563" s="15"/>
      <c r="AK1563" s="16"/>
    </row>
    <row r="1564" spans="2:37" x14ac:dyDescent="0.2">
      <c r="B1564" s="7" t="s">
        <v>69</v>
      </c>
      <c r="C1564" s="8">
        <v>12252</v>
      </c>
      <c r="D1564" s="9" t="s">
        <v>428</v>
      </c>
      <c r="E1564" s="10" t="s">
        <v>429</v>
      </c>
      <c r="F1564" s="10" t="s">
        <v>430</v>
      </c>
      <c r="G1564" s="8">
        <v>5</v>
      </c>
      <c r="H1564" s="11">
        <v>100</v>
      </c>
      <c r="I1564" s="12">
        <v>42561</v>
      </c>
      <c r="J1564" s="13">
        <f t="shared" si="55"/>
        <v>0</v>
      </c>
      <c r="K1564" s="14"/>
      <c r="L1564" s="14"/>
      <c r="M1564" s="14"/>
      <c r="N1564" s="14"/>
      <c r="O1564" s="14"/>
      <c r="P1564" s="14"/>
      <c r="Q1564" s="14"/>
      <c r="R1564" s="14"/>
      <c r="S1564" s="14"/>
      <c r="T1564" s="14"/>
      <c r="U1564" s="14"/>
      <c r="V1564" s="14"/>
      <c r="W1564" s="15">
        <f t="shared" si="56"/>
        <v>0</v>
      </c>
      <c r="X1564" s="14"/>
      <c r="Y1564" s="14"/>
      <c r="Z1564" s="14"/>
      <c r="AA1564" s="14"/>
      <c r="AB1564" s="14"/>
      <c r="AC1564" s="14"/>
      <c r="AD1564" s="14"/>
      <c r="AE1564" s="14"/>
      <c r="AF1564" s="14"/>
      <c r="AG1564" s="14"/>
      <c r="AH1564" s="14"/>
      <c r="AI1564" s="14"/>
      <c r="AJ1564" s="15"/>
      <c r="AK1564" s="16"/>
    </row>
    <row r="1565" spans="2:37" x14ac:dyDescent="0.2">
      <c r="B1565" s="7" t="s">
        <v>37</v>
      </c>
      <c r="C1565" s="8">
        <v>12253</v>
      </c>
      <c r="D1565" s="9" t="s">
        <v>232</v>
      </c>
      <c r="E1565" s="10" t="s">
        <v>233</v>
      </c>
      <c r="F1565" s="10" t="s">
        <v>234</v>
      </c>
      <c r="G1565" s="8">
        <v>5</v>
      </c>
      <c r="H1565" s="11">
        <v>100</v>
      </c>
      <c r="I1565" s="12">
        <v>42561</v>
      </c>
      <c r="J1565" s="13">
        <f t="shared" si="55"/>
        <v>0</v>
      </c>
      <c r="K1565" s="14"/>
      <c r="L1565" s="14"/>
      <c r="M1565" s="14"/>
      <c r="N1565" s="14"/>
      <c r="O1565" s="14"/>
      <c r="P1565" s="14"/>
      <c r="Q1565" s="14"/>
      <c r="R1565" s="14"/>
      <c r="S1565" s="14"/>
      <c r="T1565" s="14"/>
      <c r="U1565" s="14"/>
      <c r="V1565" s="14"/>
      <c r="W1565" s="15">
        <f t="shared" si="56"/>
        <v>0</v>
      </c>
      <c r="X1565" s="14"/>
      <c r="Y1565" s="14"/>
      <c r="Z1565" s="14"/>
      <c r="AA1565" s="14"/>
      <c r="AB1565" s="14"/>
      <c r="AC1565" s="14"/>
      <c r="AD1565" s="14"/>
      <c r="AE1565" s="14"/>
      <c r="AF1565" s="14"/>
      <c r="AG1565" s="14"/>
      <c r="AH1565" s="14"/>
      <c r="AI1565" s="14"/>
      <c r="AJ1565" s="15"/>
      <c r="AK1565" s="16"/>
    </row>
    <row r="1566" spans="2:37" x14ac:dyDescent="0.2">
      <c r="B1566" s="7" t="s">
        <v>69</v>
      </c>
      <c r="C1566" s="8">
        <v>12254</v>
      </c>
      <c r="D1566" s="9" t="s">
        <v>437</v>
      </c>
      <c r="E1566" s="10" t="s">
        <v>438</v>
      </c>
      <c r="F1566" s="10" t="s">
        <v>439</v>
      </c>
      <c r="G1566" s="8">
        <v>5</v>
      </c>
      <c r="H1566" s="11">
        <v>250</v>
      </c>
      <c r="I1566" s="12">
        <v>42561</v>
      </c>
      <c r="J1566" s="13">
        <f t="shared" si="55"/>
        <v>0</v>
      </c>
      <c r="K1566" s="14"/>
      <c r="L1566" s="14"/>
      <c r="M1566" s="14"/>
      <c r="N1566" s="14"/>
      <c r="O1566" s="14"/>
      <c r="P1566" s="14"/>
      <c r="Q1566" s="14"/>
      <c r="R1566" s="14"/>
      <c r="S1566" s="14"/>
      <c r="T1566" s="14"/>
      <c r="U1566" s="14"/>
      <c r="V1566" s="14"/>
      <c r="W1566" s="15">
        <f t="shared" si="56"/>
        <v>0</v>
      </c>
      <c r="X1566" s="14"/>
      <c r="Y1566" s="14"/>
      <c r="Z1566" s="14"/>
      <c r="AA1566" s="14"/>
      <c r="AB1566" s="14"/>
      <c r="AC1566" s="14"/>
      <c r="AD1566" s="14"/>
      <c r="AE1566" s="14"/>
      <c r="AF1566" s="14"/>
      <c r="AG1566" s="14"/>
      <c r="AH1566" s="14"/>
      <c r="AI1566" s="14"/>
      <c r="AJ1566" s="15"/>
      <c r="AK1566" s="16"/>
    </row>
    <row r="1567" spans="2:37" x14ac:dyDescent="0.2">
      <c r="B1567" s="7" t="s">
        <v>37</v>
      </c>
      <c r="C1567" s="8">
        <v>12255</v>
      </c>
      <c r="D1567" s="9" t="s">
        <v>780</v>
      </c>
      <c r="E1567" s="10" t="s">
        <v>781</v>
      </c>
      <c r="F1567" s="10" t="s">
        <v>493</v>
      </c>
      <c r="G1567" s="8">
        <v>5</v>
      </c>
      <c r="H1567" s="11">
        <v>50</v>
      </c>
      <c r="I1567" s="12">
        <v>42561</v>
      </c>
      <c r="J1567" s="13">
        <f t="shared" si="55"/>
        <v>0</v>
      </c>
      <c r="K1567" s="14"/>
      <c r="L1567" s="14"/>
      <c r="M1567" s="14"/>
      <c r="N1567" s="14"/>
      <c r="O1567" s="14"/>
      <c r="P1567" s="14"/>
      <c r="Q1567" s="14"/>
      <c r="R1567" s="14"/>
      <c r="S1567" s="14"/>
      <c r="T1567" s="14"/>
      <c r="U1567" s="14"/>
      <c r="V1567" s="14"/>
      <c r="W1567" s="15">
        <f t="shared" si="56"/>
        <v>0</v>
      </c>
      <c r="X1567" s="14"/>
      <c r="Y1567" s="14"/>
      <c r="Z1567" s="14"/>
      <c r="AA1567" s="14"/>
      <c r="AB1567" s="14"/>
      <c r="AC1567" s="14"/>
      <c r="AD1567" s="14"/>
      <c r="AE1567" s="14"/>
      <c r="AF1567" s="14"/>
      <c r="AG1567" s="14"/>
      <c r="AH1567" s="14"/>
      <c r="AI1567" s="14"/>
      <c r="AJ1567" s="15"/>
      <c r="AK1567" s="16"/>
    </row>
    <row r="1568" spans="2:37" x14ac:dyDescent="0.2">
      <c r="B1568" s="7" t="s">
        <v>77</v>
      </c>
      <c r="C1568" s="8">
        <v>12256</v>
      </c>
      <c r="D1568" s="9" t="s">
        <v>820</v>
      </c>
      <c r="E1568" s="10" t="s">
        <v>821</v>
      </c>
      <c r="F1568" s="10" t="s">
        <v>822</v>
      </c>
      <c r="G1568" s="8">
        <v>5</v>
      </c>
      <c r="H1568" s="11">
        <v>50</v>
      </c>
      <c r="I1568" s="12">
        <v>42561</v>
      </c>
      <c r="J1568" s="13">
        <f t="shared" si="55"/>
        <v>0</v>
      </c>
      <c r="K1568" s="14"/>
      <c r="L1568" s="14"/>
      <c r="M1568" s="14"/>
      <c r="N1568" s="14"/>
      <c r="O1568" s="14"/>
      <c r="P1568" s="14"/>
      <c r="Q1568" s="14"/>
      <c r="R1568" s="14"/>
      <c r="S1568" s="14"/>
      <c r="T1568" s="14"/>
      <c r="U1568" s="14"/>
      <c r="V1568" s="14"/>
      <c r="W1568" s="15">
        <f t="shared" si="56"/>
        <v>0</v>
      </c>
      <c r="X1568" s="14"/>
      <c r="Y1568" s="14"/>
      <c r="Z1568" s="14"/>
      <c r="AA1568" s="14"/>
      <c r="AB1568" s="14"/>
      <c r="AC1568" s="14"/>
      <c r="AD1568" s="14"/>
      <c r="AE1568" s="14"/>
      <c r="AF1568" s="14"/>
      <c r="AG1568" s="14"/>
      <c r="AH1568" s="14"/>
      <c r="AI1568" s="14"/>
      <c r="AJ1568" s="15"/>
      <c r="AK1568" s="16"/>
    </row>
    <row r="1569" spans="2:37" x14ac:dyDescent="0.2">
      <c r="B1569" s="7" t="s">
        <v>37</v>
      </c>
      <c r="C1569" s="8">
        <v>12257</v>
      </c>
      <c r="D1569" s="9" t="s">
        <v>180</v>
      </c>
      <c r="E1569" s="10" t="s">
        <v>181</v>
      </c>
      <c r="F1569" s="10" t="s">
        <v>182</v>
      </c>
      <c r="G1569" s="8">
        <v>5</v>
      </c>
      <c r="H1569" s="11">
        <v>50</v>
      </c>
      <c r="I1569" s="12">
        <v>42561</v>
      </c>
      <c r="J1569" s="13">
        <f t="shared" si="55"/>
        <v>0</v>
      </c>
      <c r="K1569" s="14"/>
      <c r="L1569" s="14"/>
      <c r="M1569" s="14"/>
      <c r="N1569" s="14"/>
      <c r="O1569" s="14"/>
      <c r="P1569" s="14"/>
      <c r="Q1569" s="14"/>
      <c r="R1569" s="14"/>
      <c r="S1569" s="14"/>
      <c r="T1569" s="14"/>
      <c r="U1569" s="14"/>
      <c r="V1569" s="14"/>
      <c r="W1569" s="15">
        <f t="shared" si="56"/>
        <v>0</v>
      </c>
      <c r="X1569" s="14"/>
      <c r="Y1569" s="14"/>
      <c r="Z1569" s="14"/>
      <c r="AA1569" s="14"/>
      <c r="AB1569" s="14"/>
      <c r="AC1569" s="14"/>
      <c r="AD1569" s="14"/>
      <c r="AE1569" s="14"/>
      <c r="AF1569" s="14"/>
      <c r="AG1569" s="14"/>
      <c r="AH1569" s="14"/>
      <c r="AI1569" s="14"/>
      <c r="AJ1569" s="15"/>
      <c r="AK1569" s="16"/>
    </row>
    <row r="1570" spans="2:37" x14ac:dyDescent="0.2">
      <c r="B1570" s="7" t="s">
        <v>47</v>
      </c>
      <c r="C1570" s="8">
        <v>12268</v>
      </c>
      <c r="D1570" s="9" t="s">
        <v>497</v>
      </c>
      <c r="E1570" s="10" t="s">
        <v>498</v>
      </c>
      <c r="F1570" s="10" t="s">
        <v>499</v>
      </c>
      <c r="G1570" s="8">
        <v>1</v>
      </c>
      <c r="H1570" s="11">
        <v>400</v>
      </c>
      <c r="I1570" s="12">
        <v>42561</v>
      </c>
      <c r="J1570" s="13">
        <f t="shared" si="55"/>
        <v>0</v>
      </c>
      <c r="K1570" s="14"/>
      <c r="L1570" s="14"/>
      <c r="M1570" s="14"/>
      <c r="N1570" s="14"/>
      <c r="O1570" s="14"/>
      <c r="P1570" s="14"/>
      <c r="Q1570" s="14">
        <v>400</v>
      </c>
      <c r="R1570" s="14"/>
      <c r="S1570" s="14"/>
      <c r="T1570" s="14"/>
      <c r="U1570" s="14"/>
      <c r="V1570" s="14"/>
      <c r="W1570" s="15">
        <f t="shared" si="56"/>
        <v>400</v>
      </c>
      <c r="X1570" s="14"/>
      <c r="Y1570" s="14"/>
      <c r="Z1570" s="14"/>
      <c r="AA1570" s="14"/>
      <c r="AB1570" s="14"/>
      <c r="AC1570" s="14"/>
      <c r="AD1570" s="14"/>
      <c r="AE1570" s="14"/>
      <c r="AF1570" s="14"/>
      <c r="AG1570" s="14"/>
      <c r="AH1570" s="14"/>
      <c r="AI1570" s="14"/>
      <c r="AJ1570" s="15"/>
      <c r="AK1570" s="16"/>
    </row>
    <row r="1571" spans="2:37" x14ac:dyDescent="0.2">
      <c r="B1571" s="7" t="s">
        <v>69</v>
      </c>
      <c r="C1571" s="8">
        <v>12269</v>
      </c>
      <c r="D1571" s="9" t="s">
        <v>265</v>
      </c>
      <c r="E1571" s="10" t="s">
        <v>266</v>
      </c>
      <c r="F1571" s="10" t="s">
        <v>267</v>
      </c>
      <c r="G1571" s="8">
        <v>1</v>
      </c>
      <c r="H1571" s="11">
        <v>400</v>
      </c>
      <c r="I1571" s="12">
        <v>42561</v>
      </c>
      <c r="J1571" s="13">
        <f t="shared" si="55"/>
        <v>0</v>
      </c>
      <c r="K1571" s="14"/>
      <c r="L1571" s="14"/>
      <c r="M1571" s="14"/>
      <c r="N1571" s="14"/>
      <c r="O1571" s="14"/>
      <c r="P1571" s="14"/>
      <c r="Q1571" s="14">
        <v>400</v>
      </c>
      <c r="R1571" s="14"/>
      <c r="S1571" s="14"/>
      <c r="T1571" s="14"/>
      <c r="U1571" s="14"/>
      <c r="V1571" s="14"/>
      <c r="W1571" s="15">
        <f t="shared" si="56"/>
        <v>400</v>
      </c>
      <c r="X1571" s="14"/>
      <c r="Y1571" s="14"/>
      <c r="Z1571" s="14"/>
      <c r="AA1571" s="14"/>
      <c r="AB1571" s="14"/>
      <c r="AC1571" s="14"/>
      <c r="AD1571" s="14"/>
      <c r="AE1571" s="14"/>
      <c r="AF1571" s="14"/>
      <c r="AG1571" s="14"/>
      <c r="AH1571" s="14"/>
      <c r="AI1571" s="14"/>
      <c r="AJ1571" s="15"/>
      <c r="AK1571" s="16"/>
    </row>
    <row r="1572" spans="2:37" x14ac:dyDescent="0.2">
      <c r="B1572" s="7" t="s">
        <v>47</v>
      </c>
      <c r="C1572" s="8">
        <v>12270</v>
      </c>
      <c r="D1572" s="9" t="s">
        <v>1070</v>
      </c>
      <c r="E1572" s="10" t="s">
        <v>1071</v>
      </c>
      <c r="F1572" s="10" t="s">
        <v>1072</v>
      </c>
      <c r="G1572" s="8">
        <v>1</v>
      </c>
      <c r="H1572" s="11">
        <v>1000</v>
      </c>
      <c r="I1572" s="12">
        <v>42561</v>
      </c>
      <c r="J1572" s="13">
        <f t="shared" si="55"/>
        <v>0</v>
      </c>
      <c r="K1572" s="14"/>
      <c r="L1572" s="14"/>
      <c r="M1572" s="14"/>
      <c r="N1572" s="14"/>
      <c r="O1572" s="14"/>
      <c r="P1572" s="14"/>
      <c r="Q1572" s="14"/>
      <c r="R1572" s="14">
        <v>200</v>
      </c>
      <c r="S1572" s="14">
        <v>200</v>
      </c>
      <c r="T1572" s="14">
        <v>200</v>
      </c>
      <c r="U1572" s="14">
        <v>200</v>
      </c>
      <c r="V1572" s="14">
        <v>200</v>
      </c>
      <c r="W1572" s="15">
        <f t="shared" si="56"/>
        <v>1000</v>
      </c>
      <c r="X1572" s="14"/>
      <c r="Y1572" s="14"/>
      <c r="Z1572" s="14"/>
      <c r="AA1572" s="14"/>
      <c r="AB1572" s="14"/>
      <c r="AC1572" s="14"/>
      <c r="AD1572" s="14"/>
      <c r="AE1572" s="14"/>
      <c r="AF1572" s="14"/>
      <c r="AG1572" s="14"/>
      <c r="AH1572" s="14"/>
      <c r="AI1572" s="14"/>
      <c r="AJ1572" s="15"/>
      <c r="AK1572" s="16"/>
    </row>
    <row r="1573" spans="2:37" x14ac:dyDescent="0.2">
      <c r="B1573" s="7" t="s">
        <v>77</v>
      </c>
      <c r="C1573" s="8">
        <v>12271</v>
      </c>
      <c r="D1573" s="9" t="s">
        <v>384</v>
      </c>
      <c r="E1573" s="10" t="s">
        <v>385</v>
      </c>
      <c r="F1573" s="10" t="s">
        <v>386</v>
      </c>
      <c r="G1573" s="8">
        <v>1</v>
      </c>
      <c r="H1573" s="11">
        <v>350</v>
      </c>
      <c r="I1573" s="12">
        <v>42561</v>
      </c>
      <c r="J1573" s="13">
        <f t="shared" si="55"/>
        <v>0</v>
      </c>
      <c r="K1573" s="14"/>
      <c r="L1573" s="14"/>
      <c r="M1573" s="14"/>
      <c r="N1573" s="14"/>
      <c r="O1573" s="14"/>
      <c r="P1573" s="14"/>
      <c r="Q1573" s="14">
        <v>350</v>
      </c>
      <c r="R1573" s="14"/>
      <c r="S1573" s="14"/>
      <c r="T1573" s="14"/>
      <c r="U1573" s="14"/>
      <c r="V1573" s="14"/>
      <c r="W1573" s="15">
        <f t="shared" si="56"/>
        <v>350</v>
      </c>
      <c r="X1573" s="14"/>
      <c r="Y1573" s="14"/>
      <c r="Z1573" s="14"/>
      <c r="AA1573" s="14"/>
      <c r="AB1573" s="14"/>
      <c r="AC1573" s="14"/>
      <c r="AD1573" s="14"/>
      <c r="AE1573" s="14"/>
      <c r="AF1573" s="14"/>
      <c r="AG1573" s="14"/>
      <c r="AH1573" s="14"/>
      <c r="AI1573" s="14"/>
      <c r="AJ1573" s="15"/>
      <c r="AK1573" s="16"/>
    </row>
    <row r="1574" spans="2:37" x14ac:dyDescent="0.2">
      <c r="B1574" s="7" t="s">
        <v>47</v>
      </c>
      <c r="C1574" s="8">
        <v>12272</v>
      </c>
      <c r="D1574" s="9" t="s">
        <v>434</v>
      </c>
      <c r="E1574" s="10" t="s">
        <v>435</v>
      </c>
      <c r="F1574" s="10" t="s">
        <v>436</v>
      </c>
      <c r="G1574" s="8">
        <v>1</v>
      </c>
      <c r="H1574" s="11">
        <v>200</v>
      </c>
      <c r="I1574" s="12">
        <v>42561</v>
      </c>
      <c r="J1574" s="13">
        <f t="shared" si="55"/>
        <v>0</v>
      </c>
      <c r="K1574" s="14"/>
      <c r="L1574" s="14"/>
      <c r="M1574" s="14"/>
      <c r="N1574" s="14"/>
      <c r="O1574" s="14"/>
      <c r="P1574" s="14"/>
      <c r="Q1574" s="14">
        <v>200</v>
      </c>
      <c r="R1574" s="14"/>
      <c r="S1574" s="14"/>
      <c r="T1574" s="14"/>
      <c r="U1574" s="14"/>
      <c r="V1574" s="14"/>
      <c r="W1574" s="15">
        <f t="shared" si="56"/>
        <v>200</v>
      </c>
      <c r="X1574" s="14"/>
      <c r="Y1574" s="14"/>
      <c r="Z1574" s="14"/>
      <c r="AA1574" s="14"/>
      <c r="AB1574" s="14"/>
      <c r="AC1574" s="14"/>
      <c r="AD1574" s="14"/>
      <c r="AE1574" s="14"/>
      <c r="AF1574" s="14"/>
      <c r="AG1574" s="14"/>
      <c r="AH1574" s="14"/>
      <c r="AI1574" s="14"/>
      <c r="AJ1574" s="15"/>
      <c r="AK1574" s="16"/>
    </row>
    <row r="1575" spans="2:37" x14ac:dyDescent="0.2">
      <c r="B1575" s="7" t="s">
        <v>69</v>
      </c>
      <c r="C1575" s="8">
        <v>12273</v>
      </c>
      <c r="D1575" s="9" t="s">
        <v>476</v>
      </c>
      <c r="E1575" s="10" t="s">
        <v>477</v>
      </c>
      <c r="F1575" s="10" t="s">
        <v>478</v>
      </c>
      <c r="G1575" s="8">
        <v>1</v>
      </c>
      <c r="H1575" s="11">
        <v>400</v>
      </c>
      <c r="I1575" s="12">
        <v>42561</v>
      </c>
      <c r="J1575" s="13">
        <f t="shared" si="55"/>
        <v>0</v>
      </c>
      <c r="K1575" s="14"/>
      <c r="L1575" s="14"/>
      <c r="M1575" s="14"/>
      <c r="N1575" s="14"/>
      <c r="O1575" s="14"/>
      <c r="P1575" s="14"/>
      <c r="Q1575" s="14">
        <v>400</v>
      </c>
      <c r="R1575" s="14"/>
      <c r="S1575" s="14"/>
      <c r="T1575" s="14"/>
      <c r="U1575" s="14"/>
      <c r="V1575" s="14"/>
      <c r="W1575" s="15">
        <f t="shared" si="56"/>
        <v>400</v>
      </c>
      <c r="X1575" s="14"/>
      <c r="Y1575" s="14"/>
      <c r="Z1575" s="14"/>
      <c r="AA1575" s="14"/>
      <c r="AB1575" s="14"/>
      <c r="AC1575" s="14"/>
      <c r="AD1575" s="14"/>
      <c r="AE1575" s="14"/>
      <c r="AF1575" s="14"/>
      <c r="AG1575" s="14"/>
      <c r="AH1575" s="14"/>
      <c r="AI1575" s="14"/>
      <c r="AJ1575" s="15"/>
      <c r="AK1575" s="16"/>
    </row>
    <row r="1576" spans="2:37" x14ac:dyDescent="0.2">
      <c r="B1576" s="7" t="s">
        <v>69</v>
      </c>
      <c r="C1576" s="8">
        <v>12273</v>
      </c>
      <c r="D1576" s="9" t="s">
        <v>476</v>
      </c>
      <c r="E1576" s="10" t="s">
        <v>477</v>
      </c>
      <c r="F1576" s="10" t="s">
        <v>478</v>
      </c>
      <c r="G1576" s="8">
        <v>4</v>
      </c>
      <c r="H1576" s="11">
        <v>200</v>
      </c>
      <c r="I1576" s="12">
        <v>42561</v>
      </c>
      <c r="J1576" s="13">
        <f t="shared" si="55"/>
        <v>0</v>
      </c>
      <c r="K1576" s="14"/>
      <c r="L1576" s="14"/>
      <c r="M1576" s="14"/>
      <c r="N1576" s="14"/>
      <c r="O1576" s="14"/>
      <c r="P1576" s="14"/>
      <c r="Q1576" s="14"/>
      <c r="R1576" s="14"/>
      <c r="S1576" s="14"/>
      <c r="T1576" s="14"/>
      <c r="U1576" s="14"/>
      <c r="V1576" s="14"/>
      <c r="W1576" s="15">
        <f t="shared" si="56"/>
        <v>0</v>
      </c>
      <c r="X1576" s="14"/>
      <c r="Y1576" s="14"/>
      <c r="Z1576" s="14"/>
      <c r="AA1576" s="14"/>
      <c r="AB1576" s="14"/>
      <c r="AC1576" s="14"/>
      <c r="AD1576" s="14"/>
      <c r="AE1576" s="14"/>
      <c r="AF1576" s="14"/>
      <c r="AG1576" s="14"/>
      <c r="AH1576" s="14"/>
      <c r="AI1576" s="14"/>
      <c r="AJ1576" s="15"/>
      <c r="AK1576" s="16"/>
    </row>
    <row r="1577" spans="2:37" x14ac:dyDescent="0.2">
      <c r="B1577" s="7" t="s">
        <v>47</v>
      </c>
      <c r="C1577" s="8">
        <v>12274</v>
      </c>
      <c r="D1577" s="9" t="s">
        <v>823</v>
      </c>
      <c r="E1577" s="10" t="s">
        <v>824</v>
      </c>
      <c r="F1577" s="10" t="s">
        <v>765</v>
      </c>
      <c r="G1577" s="8">
        <v>1</v>
      </c>
      <c r="H1577" s="11">
        <v>200</v>
      </c>
      <c r="I1577" s="12">
        <v>42561</v>
      </c>
      <c r="J1577" s="13">
        <f t="shared" si="55"/>
        <v>0</v>
      </c>
      <c r="K1577" s="14"/>
      <c r="L1577" s="14"/>
      <c r="M1577" s="14"/>
      <c r="N1577" s="14"/>
      <c r="O1577" s="14"/>
      <c r="P1577" s="14"/>
      <c r="Q1577" s="14">
        <v>200</v>
      </c>
      <c r="R1577" s="14"/>
      <c r="S1577" s="14"/>
      <c r="T1577" s="14"/>
      <c r="U1577" s="14"/>
      <c r="V1577" s="14"/>
      <c r="W1577" s="15">
        <f t="shared" si="56"/>
        <v>200</v>
      </c>
      <c r="X1577" s="14"/>
      <c r="Y1577" s="14"/>
      <c r="Z1577" s="14"/>
      <c r="AA1577" s="14"/>
      <c r="AB1577" s="14"/>
      <c r="AC1577" s="14"/>
      <c r="AD1577" s="14"/>
      <c r="AE1577" s="14"/>
      <c r="AF1577" s="14"/>
      <c r="AG1577" s="14"/>
      <c r="AH1577" s="14"/>
      <c r="AI1577" s="14"/>
      <c r="AJ1577" s="15"/>
      <c r="AK1577" s="16"/>
    </row>
    <row r="1578" spans="2:37" x14ac:dyDescent="0.2">
      <c r="B1578" s="7" t="s">
        <v>69</v>
      </c>
      <c r="C1578" s="8">
        <v>12275</v>
      </c>
      <c r="D1578" s="9" t="s">
        <v>834</v>
      </c>
      <c r="E1578" s="10" t="s">
        <v>835</v>
      </c>
      <c r="F1578" s="10" t="s">
        <v>836</v>
      </c>
      <c r="G1578" s="8">
        <v>1</v>
      </c>
      <c r="H1578" s="11">
        <v>1200</v>
      </c>
      <c r="I1578" s="12">
        <v>42561</v>
      </c>
      <c r="J1578" s="13">
        <f t="shared" si="55"/>
        <v>0</v>
      </c>
      <c r="K1578" s="14"/>
      <c r="L1578" s="14"/>
      <c r="M1578" s="14"/>
      <c r="N1578" s="14">
        <v>300</v>
      </c>
      <c r="O1578" s="14">
        <v>300</v>
      </c>
      <c r="P1578" s="14">
        <v>300</v>
      </c>
      <c r="Q1578" s="14">
        <v>300</v>
      </c>
      <c r="R1578" s="14"/>
      <c r="S1578" s="14"/>
      <c r="T1578" s="14"/>
      <c r="U1578" s="14"/>
      <c r="V1578" s="14"/>
      <c r="W1578" s="15">
        <f t="shared" si="56"/>
        <v>1200</v>
      </c>
      <c r="X1578" s="14"/>
      <c r="Y1578" s="14"/>
      <c r="Z1578" s="14"/>
      <c r="AA1578" s="14"/>
      <c r="AB1578" s="14"/>
      <c r="AC1578" s="14"/>
      <c r="AD1578" s="14"/>
      <c r="AE1578" s="14"/>
      <c r="AF1578" s="14"/>
      <c r="AG1578" s="14"/>
      <c r="AH1578" s="14"/>
      <c r="AI1578" s="14"/>
      <c r="AJ1578" s="15"/>
      <c r="AK1578" s="16"/>
    </row>
    <row r="1579" spans="2:37" x14ac:dyDescent="0.2">
      <c r="B1579" s="7" t="s">
        <v>69</v>
      </c>
      <c r="C1579" s="8">
        <v>12275</v>
      </c>
      <c r="D1579" s="9" t="s">
        <v>834</v>
      </c>
      <c r="E1579" s="10" t="s">
        <v>835</v>
      </c>
      <c r="F1579" s="10" t="s">
        <v>836</v>
      </c>
      <c r="G1579" s="8">
        <v>4</v>
      </c>
      <c r="H1579" s="11">
        <v>200</v>
      </c>
      <c r="I1579" s="12">
        <v>42561</v>
      </c>
      <c r="J1579" s="13">
        <f t="shared" si="55"/>
        <v>0</v>
      </c>
      <c r="K1579" s="14"/>
      <c r="L1579" s="14"/>
      <c r="M1579" s="14"/>
      <c r="N1579" s="14"/>
      <c r="O1579" s="14"/>
      <c r="P1579" s="14"/>
      <c r="Q1579" s="14"/>
      <c r="R1579" s="14"/>
      <c r="S1579" s="14"/>
      <c r="T1579" s="14"/>
      <c r="U1579" s="14"/>
      <c r="V1579" s="14"/>
      <c r="W1579" s="15">
        <f t="shared" si="56"/>
        <v>0</v>
      </c>
      <c r="X1579" s="14"/>
      <c r="Y1579" s="14"/>
      <c r="Z1579" s="14"/>
      <c r="AA1579" s="14"/>
      <c r="AB1579" s="14"/>
      <c r="AC1579" s="14"/>
      <c r="AD1579" s="14"/>
      <c r="AE1579" s="14"/>
      <c r="AF1579" s="14"/>
      <c r="AG1579" s="14"/>
      <c r="AH1579" s="14"/>
      <c r="AI1579" s="14"/>
      <c r="AJ1579" s="15"/>
      <c r="AK1579" s="16"/>
    </row>
    <row r="1580" spans="2:37" x14ac:dyDescent="0.2">
      <c r="B1580" s="7" t="s">
        <v>47</v>
      </c>
      <c r="C1580" s="8">
        <v>12276</v>
      </c>
      <c r="D1580" s="9" t="s">
        <v>416</v>
      </c>
      <c r="E1580" s="10" t="s">
        <v>417</v>
      </c>
      <c r="F1580" s="10" t="s">
        <v>418</v>
      </c>
      <c r="G1580" s="8">
        <v>1</v>
      </c>
      <c r="H1580" s="11">
        <v>200</v>
      </c>
      <c r="I1580" s="12">
        <v>42561</v>
      </c>
      <c r="J1580" s="13">
        <f t="shared" si="55"/>
        <v>0</v>
      </c>
      <c r="K1580" s="14"/>
      <c r="L1580" s="14"/>
      <c r="M1580" s="14"/>
      <c r="N1580" s="14"/>
      <c r="O1580" s="14"/>
      <c r="P1580" s="14"/>
      <c r="Q1580" s="14">
        <v>200</v>
      </c>
      <c r="R1580" s="14"/>
      <c r="S1580" s="14"/>
      <c r="T1580" s="14"/>
      <c r="U1580" s="14"/>
      <c r="V1580" s="14"/>
      <c r="W1580" s="15">
        <f t="shared" si="56"/>
        <v>200</v>
      </c>
      <c r="X1580" s="14"/>
      <c r="Y1580" s="14"/>
      <c r="Z1580" s="14"/>
      <c r="AA1580" s="14"/>
      <c r="AB1580" s="14"/>
      <c r="AC1580" s="14"/>
      <c r="AD1580" s="14"/>
      <c r="AE1580" s="14"/>
      <c r="AF1580" s="14"/>
      <c r="AG1580" s="14"/>
      <c r="AH1580" s="14"/>
      <c r="AI1580" s="14"/>
      <c r="AJ1580" s="15"/>
      <c r="AK1580" s="16"/>
    </row>
    <row r="1581" spans="2:37" x14ac:dyDescent="0.2">
      <c r="B1581" s="7" t="s">
        <v>73</v>
      </c>
      <c r="C1581" s="8">
        <v>12277</v>
      </c>
      <c r="D1581" s="9" t="s">
        <v>407</v>
      </c>
      <c r="E1581" s="10" t="s">
        <v>408</v>
      </c>
      <c r="F1581" s="10" t="s">
        <v>409</v>
      </c>
      <c r="G1581" s="8">
        <v>1</v>
      </c>
      <c r="H1581" s="11">
        <v>400</v>
      </c>
      <c r="I1581" s="12">
        <v>42561</v>
      </c>
      <c r="J1581" s="13">
        <f t="shared" si="55"/>
        <v>0</v>
      </c>
      <c r="K1581" s="14"/>
      <c r="L1581" s="14"/>
      <c r="M1581" s="14"/>
      <c r="N1581" s="14"/>
      <c r="O1581" s="14"/>
      <c r="P1581" s="14"/>
      <c r="Q1581" s="14">
        <v>400</v>
      </c>
      <c r="R1581" s="14"/>
      <c r="S1581" s="14"/>
      <c r="T1581" s="14"/>
      <c r="U1581" s="14"/>
      <c r="V1581" s="14"/>
      <c r="W1581" s="15">
        <f t="shared" si="56"/>
        <v>400</v>
      </c>
      <c r="X1581" s="14"/>
      <c r="Y1581" s="14"/>
      <c r="Z1581" s="14"/>
      <c r="AA1581" s="14"/>
      <c r="AB1581" s="14"/>
      <c r="AC1581" s="14"/>
      <c r="AD1581" s="14"/>
      <c r="AE1581" s="14"/>
      <c r="AF1581" s="14"/>
      <c r="AG1581" s="14"/>
      <c r="AH1581" s="14"/>
      <c r="AI1581" s="14"/>
      <c r="AJ1581" s="15"/>
      <c r="AK1581" s="16"/>
    </row>
    <row r="1582" spans="2:37" x14ac:dyDescent="0.2">
      <c r="B1582" s="7" t="s">
        <v>73</v>
      </c>
      <c r="C1582" s="8">
        <v>12278</v>
      </c>
      <c r="D1582" s="9" t="s">
        <v>532</v>
      </c>
      <c r="E1582" s="10" t="s">
        <v>533</v>
      </c>
      <c r="F1582" s="10" t="s">
        <v>534</v>
      </c>
      <c r="G1582" s="8">
        <v>1</v>
      </c>
      <c r="H1582" s="11">
        <v>800</v>
      </c>
      <c r="I1582" s="12">
        <v>42561</v>
      </c>
      <c r="J1582" s="13">
        <f t="shared" si="55"/>
        <v>0</v>
      </c>
      <c r="K1582" s="14"/>
      <c r="L1582" s="14"/>
      <c r="M1582" s="14"/>
      <c r="N1582" s="14"/>
      <c r="O1582" s="14">
        <v>400</v>
      </c>
      <c r="P1582" s="14">
        <v>400</v>
      </c>
      <c r="Q1582" s="14"/>
      <c r="R1582" s="14"/>
      <c r="S1582" s="14"/>
      <c r="T1582" s="14"/>
      <c r="U1582" s="14"/>
      <c r="V1582" s="14"/>
      <c r="W1582" s="15">
        <f t="shared" si="56"/>
        <v>800</v>
      </c>
      <c r="X1582" s="14"/>
      <c r="Y1582" s="14"/>
      <c r="Z1582" s="14"/>
      <c r="AA1582" s="14"/>
      <c r="AB1582" s="14"/>
      <c r="AC1582" s="14"/>
      <c r="AD1582" s="14"/>
      <c r="AE1582" s="14"/>
      <c r="AF1582" s="14"/>
      <c r="AG1582" s="14"/>
      <c r="AH1582" s="14"/>
      <c r="AI1582" s="14"/>
      <c r="AJ1582" s="15"/>
      <c r="AK1582" s="16"/>
    </row>
    <row r="1583" spans="2:37" x14ac:dyDescent="0.2">
      <c r="B1583" s="7" t="s">
        <v>391</v>
      </c>
      <c r="C1583" s="8">
        <v>12279</v>
      </c>
      <c r="D1583" s="9" t="s">
        <v>482</v>
      </c>
      <c r="E1583" s="10" t="s">
        <v>483</v>
      </c>
      <c r="F1583" s="10" t="s">
        <v>484</v>
      </c>
      <c r="G1583" s="8">
        <v>1</v>
      </c>
      <c r="H1583" s="11">
        <v>400</v>
      </c>
      <c r="I1583" s="12">
        <v>42561</v>
      </c>
      <c r="J1583" s="13">
        <f t="shared" si="55"/>
        <v>0</v>
      </c>
      <c r="K1583" s="14"/>
      <c r="L1583" s="14"/>
      <c r="M1583" s="14"/>
      <c r="N1583" s="14"/>
      <c r="O1583" s="14"/>
      <c r="P1583" s="14">
        <v>200</v>
      </c>
      <c r="Q1583" s="14">
        <v>200</v>
      </c>
      <c r="R1583" s="14"/>
      <c r="S1583" s="14"/>
      <c r="T1583" s="14"/>
      <c r="U1583" s="14"/>
      <c r="V1583" s="14"/>
      <c r="W1583" s="15">
        <f t="shared" si="56"/>
        <v>400</v>
      </c>
      <c r="X1583" s="14"/>
      <c r="Y1583" s="14"/>
      <c r="Z1583" s="14"/>
      <c r="AA1583" s="14"/>
      <c r="AB1583" s="14"/>
      <c r="AC1583" s="14"/>
      <c r="AD1583" s="14"/>
      <c r="AE1583" s="14"/>
      <c r="AF1583" s="14"/>
      <c r="AG1583" s="14"/>
      <c r="AH1583" s="14"/>
      <c r="AI1583" s="14"/>
      <c r="AJ1583" s="15"/>
      <c r="AK1583" s="16"/>
    </row>
    <row r="1584" spans="2:37" x14ac:dyDescent="0.2">
      <c r="B1584" s="7" t="s">
        <v>73</v>
      </c>
      <c r="C1584" s="8">
        <v>12280</v>
      </c>
      <c r="D1584" s="9" t="s">
        <v>316</v>
      </c>
      <c r="E1584" s="10" t="s">
        <v>317</v>
      </c>
      <c r="F1584" s="10" t="s">
        <v>318</v>
      </c>
      <c r="G1584" s="8">
        <v>1</v>
      </c>
      <c r="H1584" s="11">
        <v>300</v>
      </c>
      <c r="I1584" s="12">
        <v>42561</v>
      </c>
      <c r="J1584" s="13">
        <f t="shared" si="55"/>
        <v>0</v>
      </c>
      <c r="K1584" s="14"/>
      <c r="L1584" s="14"/>
      <c r="M1584" s="14"/>
      <c r="N1584" s="14">
        <v>100</v>
      </c>
      <c r="O1584" s="14">
        <v>100</v>
      </c>
      <c r="P1584" s="14">
        <v>100</v>
      </c>
      <c r="Q1584" s="14"/>
      <c r="R1584" s="14"/>
      <c r="S1584" s="14"/>
      <c r="T1584" s="14"/>
      <c r="U1584" s="14"/>
      <c r="V1584" s="14"/>
      <c r="W1584" s="15">
        <f t="shared" si="56"/>
        <v>300</v>
      </c>
      <c r="X1584" s="14"/>
      <c r="Y1584" s="14"/>
      <c r="Z1584" s="14"/>
      <c r="AA1584" s="14"/>
      <c r="AB1584" s="14"/>
      <c r="AC1584" s="14"/>
      <c r="AD1584" s="14"/>
      <c r="AE1584" s="14"/>
      <c r="AF1584" s="14"/>
      <c r="AG1584" s="14"/>
      <c r="AH1584" s="14"/>
      <c r="AI1584" s="14"/>
      <c r="AJ1584" s="15"/>
      <c r="AK1584" s="16"/>
    </row>
    <row r="1585" spans="2:37" x14ac:dyDescent="0.2">
      <c r="B1585" s="7" t="s">
        <v>73</v>
      </c>
      <c r="C1585" s="8">
        <v>12281</v>
      </c>
      <c r="D1585" s="9" t="s">
        <v>319</v>
      </c>
      <c r="E1585" s="10" t="s">
        <v>320</v>
      </c>
      <c r="F1585" s="10" t="s">
        <v>321</v>
      </c>
      <c r="G1585" s="8">
        <v>1</v>
      </c>
      <c r="H1585" s="11">
        <v>300</v>
      </c>
      <c r="I1585" s="12">
        <v>42561</v>
      </c>
      <c r="J1585" s="13">
        <f t="shared" si="55"/>
        <v>0</v>
      </c>
      <c r="K1585" s="14"/>
      <c r="L1585" s="14"/>
      <c r="M1585" s="14"/>
      <c r="N1585" s="14">
        <v>100</v>
      </c>
      <c r="O1585" s="14">
        <v>100</v>
      </c>
      <c r="P1585" s="14">
        <v>100</v>
      </c>
      <c r="Q1585" s="14"/>
      <c r="R1585" s="14"/>
      <c r="S1585" s="14"/>
      <c r="T1585" s="14"/>
      <c r="U1585" s="14"/>
      <c r="V1585" s="14"/>
      <c r="W1585" s="15">
        <f t="shared" si="56"/>
        <v>300</v>
      </c>
      <c r="X1585" s="14"/>
      <c r="Y1585" s="14"/>
      <c r="Z1585" s="14"/>
      <c r="AA1585" s="14"/>
      <c r="AB1585" s="14"/>
      <c r="AC1585" s="14"/>
      <c r="AD1585" s="14"/>
      <c r="AE1585" s="14"/>
      <c r="AF1585" s="14"/>
      <c r="AG1585" s="14"/>
      <c r="AH1585" s="14"/>
      <c r="AI1585" s="14"/>
      <c r="AJ1585" s="15"/>
      <c r="AK1585" s="16"/>
    </row>
    <row r="1586" spans="2:37" x14ac:dyDescent="0.2">
      <c r="B1586" s="7" t="s">
        <v>122</v>
      </c>
      <c r="C1586" s="8">
        <v>12282</v>
      </c>
      <c r="D1586" s="9" t="s">
        <v>256</v>
      </c>
      <c r="E1586" s="10" t="s">
        <v>257</v>
      </c>
      <c r="F1586" s="10" t="s">
        <v>258</v>
      </c>
      <c r="G1586" s="8">
        <v>1</v>
      </c>
      <c r="H1586" s="11">
        <v>300</v>
      </c>
      <c r="I1586" s="12">
        <v>42561</v>
      </c>
      <c r="J1586" s="13">
        <f t="shared" si="55"/>
        <v>0</v>
      </c>
      <c r="K1586" s="14"/>
      <c r="L1586" s="14"/>
      <c r="M1586" s="14"/>
      <c r="N1586" s="14"/>
      <c r="O1586" s="14"/>
      <c r="P1586" s="14"/>
      <c r="Q1586" s="14">
        <v>300</v>
      </c>
      <c r="R1586" s="14"/>
      <c r="S1586" s="14"/>
      <c r="T1586" s="14"/>
      <c r="U1586" s="14"/>
      <c r="V1586" s="14"/>
      <c r="W1586" s="15">
        <f t="shared" si="56"/>
        <v>300</v>
      </c>
      <c r="X1586" s="14"/>
      <c r="Y1586" s="14"/>
      <c r="Z1586" s="14"/>
      <c r="AA1586" s="14"/>
      <c r="AB1586" s="14"/>
      <c r="AC1586" s="14"/>
      <c r="AD1586" s="14"/>
      <c r="AE1586" s="14"/>
      <c r="AF1586" s="14"/>
      <c r="AG1586" s="14"/>
      <c r="AH1586" s="14"/>
      <c r="AI1586" s="14"/>
      <c r="AJ1586" s="15"/>
      <c r="AK1586" s="16"/>
    </row>
    <row r="1587" spans="2:37" x14ac:dyDescent="0.2">
      <c r="B1587" s="7" t="s">
        <v>37</v>
      </c>
      <c r="C1587" s="8">
        <v>12283</v>
      </c>
      <c r="D1587" s="9" t="s">
        <v>708</v>
      </c>
      <c r="E1587" s="10" t="s">
        <v>709</v>
      </c>
      <c r="F1587" s="10" t="s">
        <v>710</v>
      </c>
      <c r="G1587" s="8">
        <v>1</v>
      </c>
      <c r="H1587" s="11">
        <v>800</v>
      </c>
      <c r="I1587" s="12">
        <v>42561</v>
      </c>
      <c r="J1587" s="13">
        <f t="shared" si="55"/>
        <v>0</v>
      </c>
      <c r="K1587" s="14"/>
      <c r="L1587" s="14"/>
      <c r="M1587" s="14"/>
      <c r="N1587" s="14"/>
      <c r="O1587" s="14"/>
      <c r="P1587" s="14"/>
      <c r="Q1587" s="14">
        <v>400</v>
      </c>
      <c r="R1587" s="14">
        <v>400</v>
      </c>
      <c r="S1587" s="14"/>
      <c r="T1587" s="14"/>
      <c r="U1587" s="14"/>
      <c r="V1587" s="14"/>
      <c r="W1587" s="15">
        <f t="shared" si="56"/>
        <v>800</v>
      </c>
      <c r="X1587" s="14"/>
      <c r="Y1587" s="14"/>
      <c r="Z1587" s="14"/>
      <c r="AA1587" s="14"/>
      <c r="AB1587" s="14"/>
      <c r="AC1587" s="14"/>
      <c r="AD1587" s="14"/>
      <c r="AE1587" s="14"/>
      <c r="AF1587" s="14"/>
      <c r="AG1587" s="14"/>
      <c r="AH1587" s="14"/>
      <c r="AI1587" s="14"/>
      <c r="AJ1587" s="15"/>
      <c r="AK1587" s="16"/>
    </row>
    <row r="1588" spans="2:37" x14ac:dyDescent="0.2">
      <c r="B1588" s="7" t="s">
        <v>37</v>
      </c>
      <c r="C1588" s="8">
        <v>12284</v>
      </c>
      <c r="D1588" s="9" t="s">
        <v>684</v>
      </c>
      <c r="E1588" s="10" t="s">
        <v>685</v>
      </c>
      <c r="F1588" s="10" t="s">
        <v>686</v>
      </c>
      <c r="G1588" s="8">
        <v>1</v>
      </c>
      <c r="H1588" s="11">
        <v>800</v>
      </c>
      <c r="I1588" s="12">
        <v>42561</v>
      </c>
      <c r="J1588" s="13">
        <f t="shared" si="55"/>
        <v>0</v>
      </c>
      <c r="K1588" s="14"/>
      <c r="L1588" s="14"/>
      <c r="M1588" s="14"/>
      <c r="N1588" s="14"/>
      <c r="O1588" s="14"/>
      <c r="P1588" s="14"/>
      <c r="Q1588" s="14">
        <v>400</v>
      </c>
      <c r="R1588" s="14">
        <v>400</v>
      </c>
      <c r="S1588" s="14"/>
      <c r="T1588" s="14"/>
      <c r="U1588" s="14"/>
      <c r="V1588" s="14"/>
      <c r="W1588" s="15">
        <f t="shared" si="56"/>
        <v>800</v>
      </c>
      <c r="X1588" s="14"/>
      <c r="Y1588" s="14"/>
      <c r="Z1588" s="14"/>
      <c r="AA1588" s="14"/>
      <c r="AB1588" s="14"/>
      <c r="AC1588" s="14"/>
      <c r="AD1588" s="14"/>
      <c r="AE1588" s="14"/>
      <c r="AF1588" s="14"/>
      <c r="AG1588" s="14"/>
      <c r="AH1588" s="14"/>
      <c r="AI1588" s="14"/>
      <c r="AJ1588" s="15"/>
      <c r="AK1588" s="16"/>
    </row>
    <row r="1589" spans="2:37" x14ac:dyDescent="0.2">
      <c r="B1589" s="7" t="s">
        <v>122</v>
      </c>
      <c r="C1589" s="8">
        <v>12285</v>
      </c>
      <c r="D1589" s="9" t="s">
        <v>331</v>
      </c>
      <c r="E1589" s="10" t="s">
        <v>332</v>
      </c>
      <c r="F1589" s="10" t="s">
        <v>333</v>
      </c>
      <c r="G1589" s="8">
        <v>1</v>
      </c>
      <c r="H1589" s="11">
        <v>400</v>
      </c>
      <c r="I1589" s="12">
        <v>42561</v>
      </c>
      <c r="J1589" s="13">
        <f t="shared" si="55"/>
        <v>0</v>
      </c>
      <c r="K1589" s="14"/>
      <c r="L1589" s="14"/>
      <c r="M1589" s="14"/>
      <c r="N1589" s="14"/>
      <c r="O1589" s="14"/>
      <c r="P1589" s="14"/>
      <c r="Q1589" s="14">
        <v>400</v>
      </c>
      <c r="R1589" s="14"/>
      <c r="S1589" s="14"/>
      <c r="T1589" s="14"/>
      <c r="U1589" s="14"/>
      <c r="V1589" s="14"/>
      <c r="W1589" s="15">
        <f t="shared" si="56"/>
        <v>400</v>
      </c>
      <c r="X1589" s="14"/>
      <c r="Y1589" s="14"/>
      <c r="Z1589" s="14"/>
      <c r="AA1589" s="14"/>
      <c r="AB1589" s="14"/>
      <c r="AC1589" s="14"/>
      <c r="AD1589" s="14"/>
      <c r="AE1589" s="14"/>
      <c r="AF1589" s="14"/>
      <c r="AG1589" s="14"/>
      <c r="AH1589" s="14"/>
      <c r="AI1589" s="14"/>
      <c r="AJ1589" s="15"/>
      <c r="AK1589" s="16"/>
    </row>
    <row r="1590" spans="2:37" x14ac:dyDescent="0.2">
      <c r="B1590" s="7" t="s">
        <v>47</v>
      </c>
      <c r="C1590" s="8">
        <v>12286</v>
      </c>
      <c r="D1590" s="9" t="s">
        <v>655</v>
      </c>
      <c r="E1590" s="10" t="s">
        <v>656</v>
      </c>
      <c r="F1590" s="10" t="s">
        <v>657</v>
      </c>
      <c r="G1590" s="8">
        <v>1</v>
      </c>
      <c r="H1590" s="11">
        <v>400</v>
      </c>
      <c r="I1590" s="12">
        <v>42561</v>
      </c>
      <c r="J1590" s="13">
        <f t="shared" si="55"/>
        <v>0</v>
      </c>
      <c r="K1590" s="14"/>
      <c r="L1590" s="14"/>
      <c r="M1590" s="14">
        <v>400</v>
      </c>
      <c r="N1590" s="14"/>
      <c r="O1590" s="14"/>
      <c r="P1590" s="14"/>
      <c r="Q1590" s="14"/>
      <c r="R1590" s="14"/>
      <c r="S1590" s="14"/>
      <c r="T1590" s="14"/>
      <c r="U1590" s="14"/>
      <c r="V1590" s="14"/>
      <c r="W1590" s="15">
        <f t="shared" si="56"/>
        <v>400</v>
      </c>
      <c r="X1590" s="14"/>
      <c r="Y1590" s="14"/>
      <c r="Z1590" s="14"/>
      <c r="AA1590" s="14"/>
      <c r="AB1590" s="14"/>
      <c r="AC1590" s="14"/>
      <c r="AD1590" s="14"/>
      <c r="AE1590" s="14"/>
      <c r="AF1590" s="14"/>
      <c r="AG1590" s="14"/>
      <c r="AH1590" s="14"/>
      <c r="AI1590" s="14"/>
      <c r="AJ1590" s="15"/>
      <c r="AK1590" s="16"/>
    </row>
    <row r="1591" spans="2:37" x14ac:dyDescent="0.2">
      <c r="B1591" s="7" t="s">
        <v>61</v>
      </c>
      <c r="C1591" s="8">
        <v>12287</v>
      </c>
      <c r="D1591" s="9" t="s">
        <v>737</v>
      </c>
      <c r="E1591" s="10" t="s">
        <v>738</v>
      </c>
      <c r="F1591" s="10" t="s">
        <v>739</v>
      </c>
      <c r="G1591" s="8">
        <v>1</v>
      </c>
      <c r="H1591" s="11">
        <v>800</v>
      </c>
      <c r="I1591" s="12">
        <v>42561</v>
      </c>
      <c r="J1591" s="13">
        <f t="shared" si="55"/>
        <v>0</v>
      </c>
      <c r="K1591" s="14"/>
      <c r="L1591" s="14"/>
      <c r="M1591" s="14"/>
      <c r="N1591" s="14"/>
      <c r="O1591" s="14"/>
      <c r="P1591" s="14">
        <v>400</v>
      </c>
      <c r="Q1591" s="14">
        <v>400</v>
      </c>
      <c r="R1591" s="14"/>
      <c r="S1591" s="14"/>
      <c r="T1591" s="14"/>
      <c r="U1591" s="14"/>
      <c r="V1591" s="14"/>
      <c r="W1591" s="15">
        <f t="shared" si="56"/>
        <v>800</v>
      </c>
      <c r="X1591" s="14"/>
      <c r="Y1591" s="14"/>
      <c r="Z1591" s="14"/>
      <c r="AA1591" s="14"/>
      <c r="AB1591" s="14"/>
      <c r="AC1591" s="14"/>
      <c r="AD1591" s="14"/>
      <c r="AE1591" s="14"/>
      <c r="AF1591" s="14"/>
      <c r="AG1591" s="14"/>
      <c r="AH1591" s="14"/>
      <c r="AI1591" s="14"/>
      <c r="AJ1591" s="15"/>
      <c r="AK1591" s="16"/>
    </row>
    <row r="1592" spans="2:37" x14ac:dyDescent="0.2">
      <c r="B1592" s="7" t="s">
        <v>47</v>
      </c>
      <c r="C1592" s="8">
        <v>12288</v>
      </c>
      <c r="D1592" s="9" t="s">
        <v>150</v>
      </c>
      <c r="E1592" s="10" t="s">
        <v>151</v>
      </c>
      <c r="F1592" s="10" t="s">
        <v>152</v>
      </c>
      <c r="G1592" s="8">
        <v>1</v>
      </c>
      <c r="H1592" s="11">
        <v>400</v>
      </c>
      <c r="I1592" s="12">
        <v>42561</v>
      </c>
      <c r="J1592" s="13">
        <f t="shared" si="55"/>
        <v>0</v>
      </c>
      <c r="K1592" s="14"/>
      <c r="L1592" s="14"/>
      <c r="M1592" s="14"/>
      <c r="N1592" s="14"/>
      <c r="O1592" s="14"/>
      <c r="P1592" s="14"/>
      <c r="Q1592" s="14">
        <v>400</v>
      </c>
      <c r="R1592" s="14"/>
      <c r="S1592" s="14"/>
      <c r="T1592" s="14"/>
      <c r="U1592" s="14"/>
      <c r="V1592" s="14"/>
      <c r="W1592" s="15">
        <f t="shared" si="56"/>
        <v>400</v>
      </c>
      <c r="X1592" s="14"/>
      <c r="Y1592" s="14"/>
      <c r="Z1592" s="14"/>
      <c r="AA1592" s="14"/>
      <c r="AB1592" s="14"/>
      <c r="AC1592" s="14"/>
      <c r="AD1592" s="14"/>
      <c r="AE1592" s="14"/>
      <c r="AF1592" s="14"/>
      <c r="AG1592" s="14"/>
      <c r="AH1592" s="14"/>
      <c r="AI1592" s="14"/>
      <c r="AJ1592" s="15"/>
      <c r="AK1592" s="16"/>
    </row>
    <row r="1593" spans="2:37" x14ac:dyDescent="0.2">
      <c r="B1593" s="7" t="s">
        <v>77</v>
      </c>
      <c r="C1593" s="8">
        <v>12289</v>
      </c>
      <c r="D1593" s="9" t="s">
        <v>473</v>
      </c>
      <c r="E1593" s="10" t="s">
        <v>474</v>
      </c>
      <c r="F1593" s="10" t="s">
        <v>475</v>
      </c>
      <c r="G1593" s="8">
        <v>1</v>
      </c>
      <c r="H1593" s="11">
        <v>800</v>
      </c>
      <c r="I1593" s="12">
        <v>42561</v>
      </c>
      <c r="J1593" s="13">
        <f t="shared" si="55"/>
        <v>0</v>
      </c>
      <c r="K1593" s="14"/>
      <c r="L1593" s="14"/>
      <c r="M1593" s="14">
        <v>400</v>
      </c>
      <c r="N1593" s="14"/>
      <c r="O1593" s="14"/>
      <c r="P1593" s="14">
        <v>400</v>
      </c>
      <c r="Q1593" s="14"/>
      <c r="R1593" s="14"/>
      <c r="S1593" s="14"/>
      <c r="T1593" s="14"/>
      <c r="U1593" s="14"/>
      <c r="V1593" s="14"/>
      <c r="W1593" s="15">
        <f t="shared" si="56"/>
        <v>800</v>
      </c>
      <c r="X1593" s="14"/>
      <c r="Y1593" s="14"/>
      <c r="Z1593" s="14"/>
      <c r="AA1593" s="14"/>
      <c r="AB1593" s="14"/>
      <c r="AC1593" s="14"/>
      <c r="AD1593" s="14"/>
      <c r="AE1593" s="14"/>
      <c r="AF1593" s="14"/>
      <c r="AG1593" s="14"/>
      <c r="AH1593" s="14"/>
      <c r="AI1593" s="14"/>
      <c r="AJ1593" s="15"/>
      <c r="AK1593" s="16"/>
    </row>
    <row r="1594" spans="2:37" x14ac:dyDescent="0.2">
      <c r="B1594" s="7" t="s">
        <v>73</v>
      </c>
      <c r="C1594" s="8">
        <v>12290</v>
      </c>
      <c r="D1594" s="9" t="s">
        <v>109</v>
      </c>
      <c r="E1594" s="10" t="s">
        <v>110</v>
      </c>
      <c r="F1594" s="10" t="s">
        <v>111</v>
      </c>
      <c r="G1594" s="8">
        <v>1</v>
      </c>
      <c r="H1594" s="11">
        <v>400</v>
      </c>
      <c r="I1594" s="12">
        <v>42561</v>
      </c>
      <c r="J1594" s="13">
        <f t="shared" si="55"/>
        <v>0</v>
      </c>
      <c r="K1594" s="14"/>
      <c r="L1594" s="14"/>
      <c r="M1594" s="14"/>
      <c r="N1594" s="14"/>
      <c r="O1594" s="14"/>
      <c r="P1594" s="14">
        <v>400</v>
      </c>
      <c r="Q1594" s="14"/>
      <c r="R1594" s="14"/>
      <c r="S1594" s="14"/>
      <c r="T1594" s="14"/>
      <c r="U1594" s="14"/>
      <c r="V1594" s="14"/>
      <c r="W1594" s="15">
        <f t="shared" si="56"/>
        <v>400</v>
      </c>
      <c r="X1594" s="14"/>
      <c r="Y1594" s="14"/>
      <c r="Z1594" s="14"/>
      <c r="AA1594" s="14"/>
      <c r="AB1594" s="14"/>
      <c r="AC1594" s="14"/>
      <c r="AD1594" s="14"/>
      <c r="AE1594" s="14"/>
      <c r="AF1594" s="14"/>
      <c r="AG1594" s="14"/>
      <c r="AH1594" s="14"/>
      <c r="AI1594" s="14"/>
      <c r="AJ1594" s="15"/>
      <c r="AK1594" s="16"/>
    </row>
    <row r="1595" spans="2:37" x14ac:dyDescent="0.2">
      <c r="B1595" s="7" t="s">
        <v>69</v>
      </c>
      <c r="C1595" s="8">
        <v>12291</v>
      </c>
      <c r="D1595" s="9" t="s">
        <v>696</v>
      </c>
      <c r="E1595" s="10" t="s">
        <v>697</v>
      </c>
      <c r="F1595" s="10" t="s">
        <v>698</v>
      </c>
      <c r="G1595" s="8">
        <v>1</v>
      </c>
      <c r="H1595" s="11">
        <v>300</v>
      </c>
      <c r="I1595" s="12">
        <v>42561</v>
      </c>
      <c r="J1595" s="13">
        <f t="shared" si="55"/>
        <v>0</v>
      </c>
      <c r="K1595" s="14"/>
      <c r="L1595" s="14"/>
      <c r="M1595" s="14"/>
      <c r="N1595" s="14"/>
      <c r="O1595" s="14"/>
      <c r="P1595" s="14"/>
      <c r="Q1595" s="14">
        <v>300</v>
      </c>
      <c r="R1595" s="14"/>
      <c r="S1595" s="14"/>
      <c r="T1595" s="14"/>
      <c r="U1595" s="14"/>
      <c r="V1595" s="14"/>
      <c r="W1595" s="15">
        <f t="shared" si="56"/>
        <v>300</v>
      </c>
      <c r="X1595" s="14"/>
      <c r="Y1595" s="14"/>
      <c r="Z1595" s="14"/>
      <c r="AA1595" s="14"/>
      <c r="AB1595" s="14"/>
      <c r="AC1595" s="14"/>
      <c r="AD1595" s="14"/>
      <c r="AE1595" s="14"/>
      <c r="AF1595" s="14"/>
      <c r="AG1595" s="14"/>
      <c r="AH1595" s="14"/>
      <c r="AI1595" s="14"/>
      <c r="AJ1595" s="15"/>
      <c r="AK1595" s="16"/>
    </row>
    <row r="1596" spans="2:37" x14ac:dyDescent="0.2">
      <c r="B1596" s="7" t="s">
        <v>122</v>
      </c>
      <c r="C1596" s="8">
        <v>12292</v>
      </c>
      <c r="D1596" s="9" t="s">
        <v>797</v>
      </c>
      <c r="E1596" s="10" t="s">
        <v>798</v>
      </c>
      <c r="F1596" s="10" t="s">
        <v>799</v>
      </c>
      <c r="G1596" s="8">
        <v>1</v>
      </c>
      <c r="H1596" s="11">
        <v>400</v>
      </c>
      <c r="I1596" s="12">
        <v>42561</v>
      </c>
      <c r="J1596" s="13">
        <f t="shared" si="55"/>
        <v>0</v>
      </c>
      <c r="K1596" s="14"/>
      <c r="L1596" s="14"/>
      <c r="M1596" s="14"/>
      <c r="N1596" s="14"/>
      <c r="O1596" s="14"/>
      <c r="P1596" s="14"/>
      <c r="Q1596" s="14">
        <v>400</v>
      </c>
      <c r="R1596" s="14"/>
      <c r="S1596" s="14"/>
      <c r="T1596" s="14"/>
      <c r="U1596" s="14"/>
      <c r="V1596" s="14"/>
      <c r="W1596" s="15">
        <f t="shared" si="56"/>
        <v>400</v>
      </c>
      <c r="X1596" s="14"/>
      <c r="Y1596" s="14"/>
      <c r="Z1596" s="14"/>
      <c r="AA1596" s="14"/>
      <c r="AB1596" s="14"/>
      <c r="AC1596" s="14"/>
      <c r="AD1596" s="14"/>
      <c r="AE1596" s="14"/>
      <c r="AF1596" s="14"/>
      <c r="AG1596" s="14"/>
      <c r="AH1596" s="14"/>
      <c r="AI1596" s="14"/>
      <c r="AJ1596" s="15"/>
      <c r="AK1596" s="16"/>
    </row>
    <row r="1597" spans="2:37" x14ac:dyDescent="0.2">
      <c r="B1597" s="7" t="s">
        <v>37</v>
      </c>
      <c r="C1597" s="8">
        <v>12293</v>
      </c>
      <c r="D1597" s="9" t="s">
        <v>899</v>
      </c>
      <c r="E1597" s="10" t="s">
        <v>900</v>
      </c>
      <c r="F1597" s="10" t="s">
        <v>901</v>
      </c>
      <c r="G1597" s="8">
        <v>1</v>
      </c>
      <c r="H1597" s="11">
        <v>400</v>
      </c>
      <c r="I1597" s="12">
        <v>42561</v>
      </c>
      <c r="J1597" s="13">
        <f t="shared" si="55"/>
        <v>0</v>
      </c>
      <c r="K1597" s="14"/>
      <c r="L1597" s="14"/>
      <c r="M1597" s="14"/>
      <c r="N1597" s="14"/>
      <c r="O1597" s="14"/>
      <c r="P1597" s="14"/>
      <c r="Q1597" s="14"/>
      <c r="R1597" s="14">
        <v>400</v>
      </c>
      <c r="S1597" s="14"/>
      <c r="T1597" s="14"/>
      <c r="U1597" s="14"/>
      <c r="V1597" s="14"/>
      <c r="W1597" s="15">
        <f t="shared" si="56"/>
        <v>400</v>
      </c>
      <c r="X1597" s="14"/>
      <c r="Y1597" s="14"/>
      <c r="Z1597" s="14"/>
      <c r="AA1597" s="14"/>
      <c r="AB1597" s="14"/>
      <c r="AC1597" s="14"/>
      <c r="AD1597" s="14"/>
      <c r="AE1597" s="14"/>
      <c r="AF1597" s="14"/>
      <c r="AG1597" s="14"/>
      <c r="AH1597" s="14"/>
      <c r="AI1597" s="14"/>
      <c r="AJ1597" s="15"/>
      <c r="AK1597" s="16"/>
    </row>
    <row r="1598" spans="2:37" x14ac:dyDescent="0.2">
      <c r="B1598" s="7" t="s">
        <v>73</v>
      </c>
      <c r="C1598" s="8">
        <v>12294</v>
      </c>
      <c r="D1598" s="9" t="s">
        <v>277</v>
      </c>
      <c r="E1598" s="10" t="s">
        <v>278</v>
      </c>
      <c r="F1598" s="10" t="s">
        <v>279</v>
      </c>
      <c r="G1598" s="8">
        <v>1</v>
      </c>
      <c r="H1598" s="11">
        <v>200</v>
      </c>
      <c r="I1598" s="12">
        <v>42561</v>
      </c>
      <c r="J1598" s="13">
        <f t="shared" si="55"/>
        <v>0</v>
      </c>
      <c r="K1598" s="14"/>
      <c r="L1598" s="14"/>
      <c r="M1598" s="14"/>
      <c r="N1598" s="14"/>
      <c r="O1598" s="14"/>
      <c r="P1598" s="14"/>
      <c r="Q1598" s="14">
        <v>200</v>
      </c>
      <c r="R1598" s="14"/>
      <c r="S1598" s="14"/>
      <c r="T1598" s="14"/>
      <c r="U1598" s="14"/>
      <c r="V1598" s="14"/>
      <c r="W1598" s="15">
        <f t="shared" si="56"/>
        <v>200</v>
      </c>
      <c r="X1598" s="14"/>
      <c r="Y1598" s="14"/>
      <c r="Z1598" s="14"/>
      <c r="AA1598" s="14"/>
      <c r="AB1598" s="14"/>
      <c r="AC1598" s="14"/>
      <c r="AD1598" s="14"/>
      <c r="AE1598" s="14"/>
      <c r="AF1598" s="14"/>
      <c r="AG1598" s="14"/>
      <c r="AH1598" s="14"/>
      <c r="AI1598" s="14"/>
      <c r="AJ1598" s="15"/>
      <c r="AK1598" s="16"/>
    </row>
    <row r="1599" spans="2:37" x14ac:dyDescent="0.2">
      <c r="B1599" s="7" t="s">
        <v>73</v>
      </c>
      <c r="C1599" s="8">
        <v>12295</v>
      </c>
      <c r="D1599" s="9" t="s">
        <v>259</v>
      </c>
      <c r="E1599" s="10" t="s">
        <v>260</v>
      </c>
      <c r="F1599" s="10" t="s">
        <v>261</v>
      </c>
      <c r="G1599" s="8">
        <v>1</v>
      </c>
      <c r="H1599" s="11">
        <v>400</v>
      </c>
      <c r="I1599" s="12">
        <v>42561</v>
      </c>
      <c r="J1599" s="13">
        <f t="shared" si="55"/>
        <v>0</v>
      </c>
      <c r="K1599" s="14"/>
      <c r="L1599" s="14"/>
      <c r="M1599" s="14"/>
      <c r="N1599" s="14"/>
      <c r="O1599" s="14"/>
      <c r="P1599" s="14"/>
      <c r="Q1599" s="14">
        <v>400</v>
      </c>
      <c r="R1599" s="14"/>
      <c r="S1599" s="14"/>
      <c r="T1599" s="14"/>
      <c r="U1599" s="14"/>
      <c r="V1599" s="14"/>
      <c r="W1599" s="15">
        <f t="shared" si="56"/>
        <v>400</v>
      </c>
      <c r="X1599" s="14"/>
      <c r="Y1599" s="14"/>
      <c r="Z1599" s="14"/>
      <c r="AA1599" s="14"/>
      <c r="AB1599" s="14"/>
      <c r="AC1599" s="14"/>
      <c r="AD1599" s="14"/>
      <c r="AE1599" s="14"/>
      <c r="AF1599" s="14"/>
      <c r="AG1599" s="14"/>
      <c r="AH1599" s="14"/>
      <c r="AI1599" s="14"/>
      <c r="AJ1599" s="15"/>
      <c r="AK1599" s="16"/>
    </row>
    <row r="1600" spans="2:37" x14ac:dyDescent="0.2">
      <c r="B1600" s="7" t="s">
        <v>47</v>
      </c>
      <c r="C1600" s="8">
        <v>12296</v>
      </c>
      <c r="D1600" s="9" t="s">
        <v>280</v>
      </c>
      <c r="E1600" s="10" t="s">
        <v>281</v>
      </c>
      <c r="F1600" s="10" t="s">
        <v>282</v>
      </c>
      <c r="G1600" s="8">
        <v>1</v>
      </c>
      <c r="H1600" s="11">
        <v>400</v>
      </c>
      <c r="I1600" s="12">
        <v>42561</v>
      </c>
      <c r="J1600" s="13">
        <f t="shared" si="55"/>
        <v>0</v>
      </c>
      <c r="K1600" s="14"/>
      <c r="L1600" s="14"/>
      <c r="M1600" s="14"/>
      <c r="N1600" s="14"/>
      <c r="O1600" s="14"/>
      <c r="P1600" s="14"/>
      <c r="Q1600" s="14">
        <v>400</v>
      </c>
      <c r="R1600" s="14"/>
      <c r="S1600" s="14"/>
      <c r="T1600" s="14"/>
      <c r="U1600" s="14"/>
      <c r="V1600" s="14"/>
      <c r="W1600" s="15">
        <f t="shared" si="56"/>
        <v>400</v>
      </c>
      <c r="X1600" s="14"/>
      <c r="Y1600" s="14"/>
      <c r="Z1600" s="14"/>
      <c r="AA1600" s="14"/>
      <c r="AB1600" s="14"/>
      <c r="AC1600" s="14"/>
      <c r="AD1600" s="14"/>
      <c r="AE1600" s="14"/>
      <c r="AF1600" s="14"/>
      <c r="AG1600" s="14"/>
      <c r="AH1600" s="14"/>
      <c r="AI1600" s="14"/>
      <c r="AJ1600" s="15"/>
      <c r="AK1600" s="16"/>
    </row>
    <row r="1601" spans="2:37" x14ac:dyDescent="0.2">
      <c r="B1601" s="7" t="s">
        <v>47</v>
      </c>
      <c r="C1601" s="8">
        <v>12297</v>
      </c>
      <c r="D1601" s="9" t="s">
        <v>97</v>
      </c>
      <c r="E1601" s="10" t="s">
        <v>98</v>
      </c>
      <c r="F1601" s="10" t="s">
        <v>99</v>
      </c>
      <c r="G1601" s="8">
        <v>1</v>
      </c>
      <c r="H1601" s="11">
        <v>400</v>
      </c>
      <c r="I1601" s="12">
        <v>42561</v>
      </c>
      <c r="J1601" s="13">
        <f t="shared" si="55"/>
        <v>0</v>
      </c>
      <c r="K1601" s="14"/>
      <c r="L1601" s="14"/>
      <c r="M1601" s="14"/>
      <c r="N1601" s="14"/>
      <c r="O1601" s="14"/>
      <c r="P1601" s="14"/>
      <c r="Q1601" s="14">
        <v>400</v>
      </c>
      <c r="R1601" s="14"/>
      <c r="S1601" s="14"/>
      <c r="T1601" s="14"/>
      <c r="U1601" s="14"/>
      <c r="V1601" s="14"/>
      <c r="W1601" s="15">
        <f t="shared" si="56"/>
        <v>400</v>
      </c>
      <c r="X1601" s="14"/>
      <c r="Y1601" s="14"/>
      <c r="Z1601" s="14"/>
      <c r="AA1601" s="14"/>
      <c r="AB1601" s="14"/>
      <c r="AC1601" s="14"/>
      <c r="AD1601" s="14"/>
      <c r="AE1601" s="14"/>
      <c r="AF1601" s="14"/>
      <c r="AG1601" s="14"/>
      <c r="AH1601" s="14"/>
      <c r="AI1601" s="14"/>
      <c r="AJ1601" s="15"/>
      <c r="AK1601" s="16"/>
    </row>
    <row r="1602" spans="2:37" x14ac:dyDescent="0.2">
      <c r="B1602" s="7" t="s">
        <v>37</v>
      </c>
      <c r="C1602" s="8">
        <v>12298</v>
      </c>
      <c r="D1602" s="9" t="s">
        <v>780</v>
      </c>
      <c r="E1602" s="10" t="s">
        <v>781</v>
      </c>
      <c r="F1602" s="10" t="s">
        <v>493</v>
      </c>
      <c r="G1602" s="8">
        <v>1</v>
      </c>
      <c r="H1602" s="11">
        <v>600</v>
      </c>
      <c r="I1602" s="12">
        <v>42561</v>
      </c>
      <c r="J1602" s="13">
        <f t="shared" si="55"/>
        <v>0</v>
      </c>
      <c r="K1602" s="14"/>
      <c r="L1602" s="14"/>
      <c r="M1602" s="14"/>
      <c r="N1602" s="14"/>
      <c r="O1602" s="14"/>
      <c r="P1602" s="14"/>
      <c r="Q1602" s="14">
        <v>100</v>
      </c>
      <c r="R1602" s="14">
        <v>100</v>
      </c>
      <c r="S1602" s="14">
        <v>100</v>
      </c>
      <c r="T1602" s="14">
        <v>100</v>
      </c>
      <c r="U1602" s="14">
        <v>100</v>
      </c>
      <c r="V1602" s="14">
        <v>100</v>
      </c>
      <c r="W1602" s="15">
        <f t="shared" si="56"/>
        <v>600</v>
      </c>
      <c r="X1602" s="14"/>
      <c r="Y1602" s="14"/>
      <c r="Z1602" s="14"/>
      <c r="AA1602" s="14"/>
      <c r="AB1602" s="14"/>
      <c r="AC1602" s="14"/>
      <c r="AD1602" s="14"/>
      <c r="AE1602" s="14"/>
      <c r="AF1602" s="14"/>
      <c r="AG1602" s="14"/>
      <c r="AH1602" s="14"/>
      <c r="AI1602" s="14"/>
      <c r="AJ1602" s="15"/>
      <c r="AK1602" s="16"/>
    </row>
    <row r="1603" spans="2:37" x14ac:dyDescent="0.2">
      <c r="B1603" s="7" t="s">
        <v>69</v>
      </c>
      <c r="C1603" s="8">
        <v>12299</v>
      </c>
      <c r="D1603" s="9" t="s">
        <v>174</v>
      </c>
      <c r="E1603" s="10" t="s">
        <v>175</v>
      </c>
      <c r="F1603" s="10" t="s">
        <v>176</v>
      </c>
      <c r="G1603" s="8">
        <v>1</v>
      </c>
      <c r="H1603" s="11">
        <v>300</v>
      </c>
      <c r="I1603" s="12">
        <v>42561</v>
      </c>
      <c r="J1603" s="13">
        <f t="shared" si="55"/>
        <v>0</v>
      </c>
      <c r="K1603" s="14"/>
      <c r="L1603" s="14"/>
      <c r="M1603" s="14"/>
      <c r="N1603" s="14"/>
      <c r="O1603" s="14"/>
      <c r="P1603" s="14"/>
      <c r="Q1603" s="14">
        <v>300</v>
      </c>
      <c r="R1603" s="14"/>
      <c r="S1603" s="14"/>
      <c r="T1603" s="14"/>
      <c r="U1603" s="14"/>
      <c r="V1603" s="14"/>
      <c r="W1603" s="15">
        <f t="shared" si="56"/>
        <v>300</v>
      </c>
      <c r="X1603" s="14"/>
      <c r="Y1603" s="14"/>
      <c r="Z1603" s="14"/>
      <c r="AA1603" s="14"/>
      <c r="AB1603" s="14"/>
      <c r="AC1603" s="14"/>
      <c r="AD1603" s="14"/>
      <c r="AE1603" s="14"/>
      <c r="AF1603" s="14"/>
      <c r="AG1603" s="14"/>
      <c r="AH1603" s="14"/>
      <c r="AI1603" s="14"/>
      <c r="AJ1603" s="15"/>
      <c r="AK1603" s="16"/>
    </row>
    <row r="1604" spans="2:37" x14ac:dyDescent="0.2">
      <c r="B1604" s="7" t="s">
        <v>77</v>
      </c>
      <c r="C1604" s="8">
        <v>12300</v>
      </c>
      <c r="D1604" s="9" t="s">
        <v>820</v>
      </c>
      <c r="E1604" s="10" t="s">
        <v>821</v>
      </c>
      <c r="F1604" s="10" t="s">
        <v>822</v>
      </c>
      <c r="G1604" s="8">
        <v>1</v>
      </c>
      <c r="H1604" s="11">
        <v>300</v>
      </c>
      <c r="I1604" s="12">
        <v>42561</v>
      </c>
      <c r="J1604" s="13">
        <f t="shared" si="55"/>
        <v>0</v>
      </c>
      <c r="K1604" s="14"/>
      <c r="L1604" s="14"/>
      <c r="M1604" s="14"/>
      <c r="N1604" s="14"/>
      <c r="O1604" s="14"/>
      <c r="P1604" s="14">
        <v>300</v>
      </c>
      <c r="Q1604" s="14"/>
      <c r="R1604" s="14"/>
      <c r="S1604" s="14"/>
      <c r="T1604" s="14"/>
      <c r="U1604" s="14"/>
      <c r="V1604" s="14"/>
      <c r="W1604" s="15">
        <f t="shared" si="56"/>
        <v>300</v>
      </c>
      <c r="X1604" s="14"/>
      <c r="Y1604" s="14"/>
      <c r="Z1604" s="14"/>
      <c r="AA1604" s="14"/>
      <c r="AB1604" s="14"/>
      <c r="AC1604" s="14"/>
      <c r="AD1604" s="14"/>
      <c r="AE1604" s="14"/>
      <c r="AF1604" s="14"/>
      <c r="AG1604" s="14"/>
      <c r="AH1604" s="14"/>
      <c r="AI1604" s="14"/>
      <c r="AJ1604" s="15"/>
      <c r="AK1604" s="16"/>
    </row>
    <row r="1605" spans="2:37" x14ac:dyDescent="0.2">
      <c r="B1605" s="7" t="s">
        <v>37</v>
      </c>
      <c r="C1605" s="8">
        <v>12301</v>
      </c>
      <c r="D1605" s="9" t="s">
        <v>180</v>
      </c>
      <c r="E1605" s="10" t="s">
        <v>181</v>
      </c>
      <c r="F1605" s="10" t="s">
        <v>182</v>
      </c>
      <c r="G1605" s="8">
        <v>1</v>
      </c>
      <c r="H1605" s="11">
        <v>400</v>
      </c>
      <c r="I1605" s="12">
        <v>42561</v>
      </c>
      <c r="J1605" s="13">
        <f t="shared" si="55"/>
        <v>0</v>
      </c>
      <c r="K1605" s="14"/>
      <c r="L1605" s="14"/>
      <c r="M1605" s="14"/>
      <c r="N1605" s="14"/>
      <c r="O1605" s="14"/>
      <c r="P1605" s="14"/>
      <c r="Q1605" s="14">
        <v>400</v>
      </c>
      <c r="R1605" s="14"/>
      <c r="S1605" s="14"/>
      <c r="T1605" s="14"/>
      <c r="U1605" s="14"/>
      <c r="V1605" s="14"/>
      <c r="W1605" s="15">
        <f t="shared" si="56"/>
        <v>400</v>
      </c>
      <c r="X1605" s="14"/>
      <c r="Y1605" s="14"/>
      <c r="Z1605" s="14"/>
      <c r="AA1605" s="14"/>
      <c r="AB1605" s="14"/>
      <c r="AC1605" s="14"/>
      <c r="AD1605" s="14"/>
      <c r="AE1605" s="14"/>
      <c r="AF1605" s="14"/>
      <c r="AG1605" s="14"/>
      <c r="AH1605" s="14"/>
      <c r="AI1605" s="14"/>
      <c r="AJ1605" s="15"/>
      <c r="AK1605" s="16"/>
    </row>
    <row r="1606" spans="2:37" x14ac:dyDescent="0.2">
      <c r="B1606" s="7" t="s">
        <v>77</v>
      </c>
      <c r="C1606" s="8">
        <v>12258</v>
      </c>
      <c r="D1606" s="9" t="s">
        <v>380</v>
      </c>
      <c r="E1606" s="10" t="s">
        <v>381</v>
      </c>
      <c r="F1606" s="10" t="s">
        <v>382</v>
      </c>
      <c r="G1606" s="8">
        <v>5</v>
      </c>
      <c r="H1606" s="11">
        <v>100</v>
      </c>
      <c r="I1606" s="12">
        <v>42563</v>
      </c>
      <c r="J1606" s="13">
        <f t="shared" si="55"/>
        <v>0</v>
      </c>
      <c r="K1606" s="14"/>
      <c r="L1606" s="14"/>
      <c r="M1606" s="14"/>
      <c r="N1606" s="14"/>
      <c r="O1606" s="14"/>
      <c r="P1606" s="14"/>
      <c r="Q1606" s="14"/>
      <c r="R1606" s="14"/>
      <c r="S1606" s="14"/>
      <c r="T1606" s="14"/>
      <c r="U1606" s="14"/>
      <c r="V1606" s="14"/>
      <c r="W1606" s="15">
        <f t="shared" si="56"/>
        <v>0</v>
      </c>
      <c r="X1606" s="14"/>
      <c r="Y1606" s="14"/>
      <c r="Z1606" s="14"/>
      <c r="AA1606" s="14"/>
      <c r="AB1606" s="14"/>
      <c r="AC1606" s="14"/>
      <c r="AD1606" s="14"/>
      <c r="AE1606" s="14"/>
      <c r="AF1606" s="14"/>
      <c r="AG1606" s="14"/>
      <c r="AH1606" s="14"/>
      <c r="AI1606" s="14"/>
      <c r="AJ1606" s="15"/>
      <c r="AK1606" s="16"/>
    </row>
    <row r="1607" spans="2:37" x14ac:dyDescent="0.2">
      <c r="B1607" s="7" t="s">
        <v>73</v>
      </c>
      <c r="C1607" s="8">
        <v>12259</v>
      </c>
      <c r="D1607" s="9" t="s">
        <v>611</v>
      </c>
      <c r="E1607" s="10" t="s">
        <v>612</v>
      </c>
      <c r="F1607" s="10" t="s">
        <v>613</v>
      </c>
      <c r="G1607" s="8">
        <v>5</v>
      </c>
      <c r="H1607" s="11">
        <v>200</v>
      </c>
      <c r="I1607" s="12">
        <v>42563</v>
      </c>
      <c r="J1607" s="13">
        <f t="shared" si="55"/>
        <v>0</v>
      </c>
      <c r="K1607" s="14"/>
      <c r="L1607" s="14"/>
      <c r="M1607" s="14"/>
      <c r="N1607" s="14"/>
      <c r="O1607" s="14"/>
      <c r="P1607" s="14"/>
      <c r="Q1607" s="14"/>
      <c r="R1607" s="14"/>
      <c r="S1607" s="14"/>
      <c r="T1607" s="14"/>
      <c r="U1607" s="14"/>
      <c r="V1607" s="14"/>
      <c r="W1607" s="15">
        <f t="shared" si="56"/>
        <v>0</v>
      </c>
      <c r="X1607" s="14"/>
      <c r="Y1607" s="14"/>
      <c r="Z1607" s="14"/>
      <c r="AA1607" s="14"/>
      <c r="AB1607" s="14"/>
      <c r="AC1607" s="14"/>
      <c r="AD1607" s="14"/>
      <c r="AE1607" s="14"/>
      <c r="AF1607" s="14"/>
      <c r="AG1607" s="14"/>
      <c r="AH1607" s="14"/>
      <c r="AI1607" s="14"/>
      <c r="AJ1607" s="15"/>
      <c r="AK1607" s="16"/>
    </row>
    <row r="1608" spans="2:37" x14ac:dyDescent="0.2">
      <c r="B1608" s="7" t="s">
        <v>37</v>
      </c>
      <c r="C1608" s="8">
        <v>12260</v>
      </c>
      <c r="D1608" s="9" t="s">
        <v>960</v>
      </c>
      <c r="E1608" s="10" t="s">
        <v>961</v>
      </c>
      <c r="F1608" s="10" t="s">
        <v>962</v>
      </c>
      <c r="G1608" s="8">
        <v>1</v>
      </c>
      <c r="H1608" s="11">
        <v>800</v>
      </c>
      <c r="I1608" s="12">
        <v>42563</v>
      </c>
      <c r="J1608" s="13">
        <f t="shared" si="55"/>
        <v>0</v>
      </c>
      <c r="K1608" s="14"/>
      <c r="L1608" s="14"/>
      <c r="M1608" s="14"/>
      <c r="N1608" s="14"/>
      <c r="O1608" s="14"/>
      <c r="P1608" s="14">
        <v>400</v>
      </c>
      <c r="Q1608" s="14">
        <v>400</v>
      </c>
      <c r="R1608" s="14"/>
      <c r="S1608" s="14"/>
      <c r="T1608" s="14"/>
      <c r="U1608" s="14"/>
      <c r="V1608" s="14"/>
      <c r="W1608" s="15">
        <f t="shared" si="56"/>
        <v>800</v>
      </c>
      <c r="X1608" s="14"/>
      <c r="Y1608" s="14"/>
      <c r="Z1608" s="14"/>
      <c r="AA1608" s="14"/>
      <c r="AB1608" s="14"/>
      <c r="AC1608" s="14"/>
      <c r="AD1608" s="14"/>
      <c r="AE1608" s="14"/>
      <c r="AF1608" s="14"/>
      <c r="AG1608" s="14"/>
      <c r="AH1608" s="14"/>
      <c r="AI1608" s="14"/>
      <c r="AJ1608" s="15"/>
      <c r="AK1608" s="16"/>
    </row>
    <row r="1609" spans="2:37" x14ac:dyDescent="0.2">
      <c r="B1609" s="7" t="s">
        <v>37</v>
      </c>
      <c r="C1609" s="8">
        <v>12260</v>
      </c>
      <c r="D1609" s="9" t="s">
        <v>960</v>
      </c>
      <c r="E1609" s="10" t="s">
        <v>961</v>
      </c>
      <c r="F1609" s="10" t="s">
        <v>962</v>
      </c>
      <c r="G1609" s="8">
        <v>5</v>
      </c>
      <c r="H1609" s="11">
        <v>50</v>
      </c>
      <c r="I1609" s="12">
        <v>42563</v>
      </c>
      <c r="J1609" s="13">
        <f t="shared" si="55"/>
        <v>0</v>
      </c>
      <c r="K1609" s="14"/>
      <c r="L1609" s="14"/>
      <c r="M1609" s="14"/>
      <c r="N1609" s="14"/>
      <c r="O1609" s="14"/>
      <c r="P1609" s="14"/>
      <c r="Q1609" s="14"/>
      <c r="R1609" s="14"/>
      <c r="S1609" s="14"/>
      <c r="T1609" s="14"/>
      <c r="U1609" s="14"/>
      <c r="V1609" s="14"/>
      <c r="W1609" s="15">
        <f t="shared" si="56"/>
        <v>0</v>
      </c>
      <c r="X1609" s="14"/>
      <c r="Y1609" s="14"/>
      <c r="Z1609" s="14"/>
      <c r="AA1609" s="14"/>
      <c r="AB1609" s="14"/>
      <c r="AC1609" s="14"/>
      <c r="AD1609" s="14"/>
      <c r="AE1609" s="14"/>
      <c r="AF1609" s="14"/>
      <c r="AG1609" s="14"/>
      <c r="AH1609" s="14"/>
      <c r="AI1609" s="14"/>
      <c r="AJ1609" s="15"/>
      <c r="AK1609" s="16"/>
    </row>
    <row r="1610" spans="2:37" x14ac:dyDescent="0.2">
      <c r="B1610" s="7" t="s">
        <v>37</v>
      </c>
      <c r="C1610" s="8">
        <v>12261</v>
      </c>
      <c r="D1610" s="9" t="s">
        <v>960</v>
      </c>
      <c r="E1610" s="10" t="s">
        <v>961</v>
      </c>
      <c r="F1610" s="10" t="s">
        <v>962</v>
      </c>
      <c r="G1610" s="8">
        <v>4</v>
      </c>
      <c r="H1610" s="11">
        <v>200</v>
      </c>
      <c r="I1610" s="12">
        <v>42563</v>
      </c>
      <c r="J1610" s="13">
        <f t="shared" si="55"/>
        <v>0</v>
      </c>
      <c r="K1610" s="14"/>
      <c r="L1610" s="14"/>
      <c r="M1610" s="14"/>
      <c r="N1610" s="14"/>
      <c r="O1610" s="14"/>
      <c r="P1610" s="14"/>
      <c r="Q1610" s="14"/>
      <c r="R1610" s="14"/>
      <c r="S1610" s="14"/>
      <c r="T1610" s="14"/>
      <c r="U1610" s="14"/>
      <c r="V1610" s="14"/>
      <c r="W1610" s="15">
        <f t="shared" si="56"/>
        <v>0</v>
      </c>
      <c r="X1610" s="14"/>
      <c r="Y1610" s="14"/>
      <c r="Z1610" s="14"/>
      <c r="AA1610" s="14"/>
      <c r="AB1610" s="14"/>
      <c r="AC1610" s="14"/>
      <c r="AD1610" s="14"/>
      <c r="AE1610" s="14"/>
      <c r="AF1610" s="14"/>
      <c r="AG1610" s="14"/>
      <c r="AH1610" s="14"/>
      <c r="AI1610" s="14"/>
      <c r="AJ1610" s="15"/>
      <c r="AK1610" s="7">
        <v>1042289</v>
      </c>
    </row>
    <row r="1611" spans="2:37" x14ac:dyDescent="0.2">
      <c r="B1611" s="7" t="s">
        <v>69</v>
      </c>
      <c r="C1611" s="8">
        <v>12262</v>
      </c>
      <c r="D1611" s="9" t="s">
        <v>168</v>
      </c>
      <c r="E1611" s="10" t="s">
        <v>169</v>
      </c>
      <c r="F1611" s="10" t="s">
        <v>170</v>
      </c>
      <c r="G1611" s="8">
        <v>1</v>
      </c>
      <c r="H1611" s="11">
        <v>200</v>
      </c>
      <c r="I1611" s="12">
        <v>42565</v>
      </c>
      <c r="J1611" s="13">
        <f t="shared" si="55"/>
        <v>0</v>
      </c>
      <c r="K1611" s="14"/>
      <c r="L1611" s="14"/>
      <c r="M1611" s="14"/>
      <c r="N1611" s="14"/>
      <c r="O1611" s="14"/>
      <c r="P1611" s="14">
        <v>200</v>
      </c>
      <c r="Q1611" s="14"/>
      <c r="R1611" s="14"/>
      <c r="S1611" s="14"/>
      <c r="T1611" s="14"/>
      <c r="U1611" s="14"/>
      <c r="V1611" s="14"/>
      <c r="W1611" s="15">
        <f t="shared" si="56"/>
        <v>200</v>
      </c>
      <c r="X1611" s="14"/>
      <c r="Y1611" s="14"/>
      <c r="Z1611" s="14"/>
      <c r="AA1611" s="14"/>
      <c r="AB1611" s="14"/>
      <c r="AC1611" s="14"/>
      <c r="AD1611" s="14"/>
      <c r="AE1611" s="14"/>
      <c r="AF1611" s="14"/>
      <c r="AG1611" s="14"/>
      <c r="AH1611" s="14"/>
      <c r="AI1611" s="14"/>
      <c r="AJ1611" s="15"/>
      <c r="AK1611" s="16"/>
    </row>
    <row r="1612" spans="2:37" x14ac:dyDescent="0.2">
      <c r="B1612" s="7" t="s">
        <v>69</v>
      </c>
      <c r="C1612" s="8">
        <v>12262</v>
      </c>
      <c r="D1612" s="9" t="s">
        <v>168</v>
      </c>
      <c r="E1612" s="10" t="s">
        <v>169</v>
      </c>
      <c r="F1612" s="10" t="s">
        <v>170</v>
      </c>
      <c r="G1612" s="8">
        <v>5</v>
      </c>
      <c r="H1612" s="11">
        <v>300</v>
      </c>
      <c r="I1612" s="12">
        <v>42565</v>
      </c>
      <c r="J1612" s="13">
        <f t="shared" si="55"/>
        <v>0</v>
      </c>
      <c r="K1612" s="14"/>
      <c r="L1612" s="14"/>
      <c r="M1612" s="14"/>
      <c r="N1612" s="14"/>
      <c r="O1612" s="14"/>
      <c r="P1612" s="14"/>
      <c r="Q1612" s="14"/>
      <c r="R1612" s="14"/>
      <c r="S1612" s="14"/>
      <c r="T1612" s="14"/>
      <c r="U1612" s="14"/>
      <c r="V1612" s="14"/>
      <c r="W1612" s="15">
        <f t="shared" si="56"/>
        <v>0</v>
      </c>
      <c r="X1612" s="14"/>
      <c r="Y1612" s="14"/>
      <c r="Z1612" s="14"/>
      <c r="AA1612" s="14"/>
      <c r="AB1612" s="14"/>
      <c r="AC1612" s="14"/>
      <c r="AD1612" s="14"/>
      <c r="AE1612" s="14"/>
      <c r="AF1612" s="14"/>
      <c r="AG1612" s="14"/>
      <c r="AH1612" s="14"/>
      <c r="AI1612" s="14"/>
      <c r="AJ1612" s="15"/>
      <c r="AK1612" s="16"/>
    </row>
    <row r="1613" spans="2:37" x14ac:dyDescent="0.2">
      <c r="B1613" s="7" t="s">
        <v>73</v>
      </c>
      <c r="C1613" s="8">
        <v>12263</v>
      </c>
      <c r="D1613" s="9" t="s">
        <v>199</v>
      </c>
      <c r="E1613" s="10" t="s">
        <v>200</v>
      </c>
      <c r="F1613" s="10" t="s">
        <v>201</v>
      </c>
      <c r="G1613" s="8">
        <v>1</v>
      </c>
      <c r="H1613" s="11">
        <v>400</v>
      </c>
      <c r="I1613" s="12">
        <v>42565</v>
      </c>
      <c r="J1613" s="13">
        <f t="shared" si="55"/>
        <v>0</v>
      </c>
      <c r="K1613" s="14"/>
      <c r="L1613" s="14"/>
      <c r="M1613" s="14"/>
      <c r="N1613" s="14"/>
      <c r="O1613" s="14">
        <v>400</v>
      </c>
      <c r="P1613" s="14"/>
      <c r="Q1613" s="14"/>
      <c r="R1613" s="14"/>
      <c r="S1613" s="14"/>
      <c r="T1613" s="14"/>
      <c r="U1613" s="14"/>
      <c r="V1613" s="14"/>
      <c r="W1613" s="15">
        <f t="shared" si="56"/>
        <v>400</v>
      </c>
      <c r="X1613" s="14"/>
      <c r="Y1613" s="14"/>
      <c r="Z1613" s="14"/>
      <c r="AA1613" s="14"/>
      <c r="AB1613" s="14"/>
      <c r="AC1613" s="14"/>
      <c r="AD1613" s="14"/>
      <c r="AE1613" s="14"/>
      <c r="AF1613" s="14"/>
      <c r="AG1613" s="14"/>
      <c r="AH1613" s="14"/>
      <c r="AI1613" s="14"/>
      <c r="AJ1613" s="15"/>
      <c r="AK1613" s="16"/>
    </row>
    <row r="1614" spans="2:37" x14ac:dyDescent="0.2">
      <c r="B1614" s="7" t="s">
        <v>37</v>
      </c>
      <c r="C1614" s="8">
        <v>12264</v>
      </c>
      <c r="D1614" s="9" t="s">
        <v>364</v>
      </c>
      <c r="E1614" s="10" t="s">
        <v>365</v>
      </c>
      <c r="F1614" s="10" t="s">
        <v>366</v>
      </c>
      <c r="G1614" s="8">
        <v>1</v>
      </c>
      <c r="H1614" s="11">
        <v>900</v>
      </c>
      <c r="I1614" s="12">
        <v>42565</v>
      </c>
      <c r="J1614" s="13">
        <f t="shared" si="55"/>
        <v>0</v>
      </c>
      <c r="K1614" s="14"/>
      <c r="L1614" s="14"/>
      <c r="M1614" s="14"/>
      <c r="N1614" s="14"/>
      <c r="O1614" s="14">
        <v>300</v>
      </c>
      <c r="P1614" s="14">
        <v>300</v>
      </c>
      <c r="Q1614" s="14">
        <v>300</v>
      </c>
      <c r="R1614" s="14"/>
      <c r="S1614" s="14"/>
      <c r="T1614" s="14"/>
      <c r="U1614" s="14"/>
      <c r="V1614" s="14"/>
      <c r="W1614" s="15">
        <f t="shared" si="56"/>
        <v>900</v>
      </c>
      <c r="X1614" s="14"/>
      <c r="Y1614" s="14"/>
      <c r="Z1614" s="14"/>
      <c r="AA1614" s="14"/>
      <c r="AB1614" s="14"/>
      <c r="AC1614" s="14"/>
      <c r="AD1614" s="14"/>
      <c r="AE1614" s="14"/>
      <c r="AF1614" s="14"/>
      <c r="AG1614" s="14"/>
      <c r="AH1614" s="14"/>
      <c r="AI1614" s="14"/>
      <c r="AJ1614" s="15"/>
      <c r="AK1614" s="16"/>
    </row>
    <row r="1615" spans="2:37" x14ac:dyDescent="0.2">
      <c r="B1615" s="7" t="s">
        <v>37</v>
      </c>
      <c r="C1615" s="8">
        <v>12264</v>
      </c>
      <c r="D1615" s="9" t="s">
        <v>364</v>
      </c>
      <c r="E1615" s="10" t="s">
        <v>365</v>
      </c>
      <c r="F1615" s="10" t="s">
        <v>366</v>
      </c>
      <c r="G1615" s="8">
        <v>5</v>
      </c>
      <c r="H1615" s="11">
        <v>150</v>
      </c>
      <c r="I1615" s="12">
        <v>42565</v>
      </c>
      <c r="J1615" s="13">
        <f t="shared" si="55"/>
        <v>0</v>
      </c>
      <c r="K1615" s="14"/>
      <c r="L1615" s="14"/>
      <c r="M1615" s="14"/>
      <c r="N1615" s="14"/>
      <c r="O1615" s="14"/>
      <c r="P1615" s="14"/>
      <c r="Q1615" s="14"/>
      <c r="R1615" s="14"/>
      <c r="S1615" s="14"/>
      <c r="T1615" s="14"/>
      <c r="U1615" s="14"/>
      <c r="V1615" s="14"/>
      <c r="W1615" s="15">
        <f t="shared" si="56"/>
        <v>0</v>
      </c>
      <c r="X1615" s="14"/>
      <c r="Y1615" s="14"/>
      <c r="Z1615" s="14"/>
      <c r="AA1615" s="14"/>
      <c r="AB1615" s="14"/>
      <c r="AC1615" s="14"/>
      <c r="AD1615" s="14"/>
      <c r="AE1615" s="14"/>
      <c r="AF1615" s="14"/>
      <c r="AG1615" s="14"/>
      <c r="AH1615" s="14"/>
      <c r="AI1615" s="14"/>
      <c r="AJ1615" s="15"/>
      <c r="AK1615" s="16"/>
    </row>
    <row r="1616" spans="2:37" x14ac:dyDescent="0.2">
      <c r="B1616" s="7" t="s">
        <v>37</v>
      </c>
      <c r="C1616" s="8">
        <v>12265</v>
      </c>
      <c r="D1616" s="9" t="s">
        <v>364</v>
      </c>
      <c r="E1616" s="10" t="s">
        <v>365</v>
      </c>
      <c r="F1616" s="10" t="s">
        <v>366</v>
      </c>
      <c r="G1616" s="8">
        <v>1</v>
      </c>
      <c r="H1616" s="11">
        <v>300</v>
      </c>
      <c r="I1616" s="12">
        <v>42565</v>
      </c>
      <c r="J1616" s="13">
        <f t="shared" si="55"/>
        <v>0</v>
      </c>
      <c r="K1616" s="14"/>
      <c r="L1616" s="14"/>
      <c r="M1616" s="14"/>
      <c r="N1616" s="14">
        <v>300</v>
      </c>
      <c r="O1616" s="14"/>
      <c r="P1616" s="14"/>
      <c r="Q1616" s="14"/>
      <c r="R1616" s="14"/>
      <c r="S1616" s="14"/>
      <c r="T1616" s="14"/>
      <c r="U1616" s="14"/>
      <c r="V1616" s="14"/>
      <c r="W1616" s="15">
        <f t="shared" si="56"/>
        <v>300</v>
      </c>
      <c r="X1616" s="14"/>
      <c r="Y1616" s="14"/>
      <c r="Z1616" s="14"/>
      <c r="AA1616" s="14"/>
      <c r="AB1616" s="14"/>
      <c r="AC1616" s="14"/>
      <c r="AD1616" s="14"/>
      <c r="AE1616" s="14"/>
      <c r="AF1616" s="14"/>
      <c r="AG1616" s="14"/>
      <c r="AH1616" s="14"/>
      <c r="AI1616" s="14"/>
      <c r="AJ1616" s="15"/>
      <c r="AK1616" s="16"/>
    </row>
    <row r="1617" spans="2:37" x14ac:dyDescent="0.2">
      <c r="B1617" s="7" t="s">
        <v>61</v>
      </c>
      <c r="C1617" s="8">
        <v>12266</v>
      </c>
      <c r="D1617" s="9" t="s">
        <v>631</v>
      </c>
      <c r="E1617" s="10" t="s">
        <v>632</v>
      </c>
      <c r="F1617" s="10" t="s">
        <v>633</v>
      </c>
      <c r="G1617" s="8">
        <v>1</v>
      </c>
      <c r="H1617" s="11">
        <v>300</v>
      </c>
      <c r="I1617" s="12">
        <v>42568</v>
      </c>
      <c r="J1617" s="13">
        <f t="shared" ref="J1617:J1680" si="57">IF(G1617=1,SUM(W1617,-H1617),0)</f>
        <v>0</v>
      </c>
      <c r="K1617" s="14"/>
      <c r="L1617" s="14"/>
      <c r="M1617" s="14"/>
      <c r="N1617" s="14"/>
      <c r="O1617" s="14"/>
      <c r="P1617" s="14"/>
      <c r="Q1617" s="14">
        <v>300</v>
      </c>
      <c r="R1617" s="14"/>
      <c r="S1617" s="14"/>
      <c r="T1617" s="14"/>
      <c r="U1617" s="14"/>
      <c r="V1617" s="14"/>
      <c r="W1617" s="15">
        <f t="shared" ref="W1617:W1680" si="58">SUM(K1617:V1617)</f>
        <v>300</v>
      </c>
      <c r="X1617" s="14"/>
      <c r="Y1617" s="14"/>
      <c r="Z1617" s="14"/>
      <c r="AA1617" s="14"/>
      <c r="AB1617" s="14"/>
      <c r="AC1617" s="14"/>
      <c r="AD1617" s="14"/>
      <c r="AE1617" s="14"/>
      <c r="AF1617" s="14"/>
      <c r="AG1617" s="14"/>
      <c r="AH1617" s="14"/>
      <c r="AI1617" s="14"/>
      <c r="AJ1617" s="15"/>
      <c r="AK1617" s="16"/>
    </row>
    <row r="1618" spans="2:37" x14ac:dyDescent="0.2">
      <c r="B1618" s="7" t="s">
        <v>37</v>
      </c>
      <c r="C1618" s="8">
        <v>12267</v>
      </c>
      <c r="D1618" s="9" t="s">
        <v>538</v>
      </c>
      <c r="E1618" s="10" t="s">
        <v>539</v>
      </c>
      <c r="F1618" s="10" t="s">
        <v>540</v>
      </c>
      <c r="G1618" s="8">
        <v>1</v>
      </c>
      <c r="H1618" s="11">
        <v>800</v>
      </c>
      <c r="I1618" s="12">
        <v>42568</v>
      </c>
      <c r="J1618" s="13">
        <f t="shared" si="57"/>
        <v>0</v>
      </c>
      <c r="K1618" s="14"/>
      <c r="L1618" s="14"/>
      <c r="M1618" s="14"/>
      <c r="N1618" s="14"/>
      <c r="O1618" s="14"/>
      <c r="P1618" s="14">
        <v>400</v>
      </c>
      <c r="Q1618" s="14">
        <v>400</v>
      </c>
      <c r="R1618" s="14"/>
      <c r="S1618" s="14"/>
      <c r="T1618" s="14"/>
      <c r="U1618" s="14"/>
      <c r="V1618" s="14"/>
      <c r="W1618" s="15">
        <f t="shared" si="58"/>
        <v>800</v>
      </c>
      <c r="X1618" s="14"/>
      <c r="Y1618" s="14"/>
      <c r="Z1618" s="14"/>
      <c r="AA1618" s="14"/>
      <c r="AB1618" s="14"/>
      <c r="AC1618" s="14"/>
      <c r="AD1618" s="14"/>
      <c r="AE1618" s="14"/>
      <c r="AF1618" s="14"/>
      <c r="AG1618" s="14"/>
      <c r="AH1618" s="14"/>
      <c r="AI1618" s="14"/>
      <c r="AJ1618" s="15"/>
      <c r="AK1618" s="16"/>
    </row>
    <row r="1619" spans="2:37" x14ac:dyDescent="0.2">
      <c r="B1619" s="7" t="s">
        <v>37</v>
      </c>
      <c r="C1619" s="8">
        <v>12302</v>
      </c>
      <c r="D1619" s="9" t="s">
        <v>488</v>
      </c>
      <c r="E1619" s="10" t="s">
        <v>489</v>
      </c>
      <c r="F1619" s="10" t="s">
        <v>490</v>
      </c>
      <c r="G1619" s="8">
        <v>1</v>
      </c>
      <c r="H1619" s="11">
        <v>400</v>
      </c>
      <c r="I1619" s="12">
        <v>42568</v>
      </c>
      <c r="J1619" s="13">
        <f t="shared" si="57"/>
        <v>0</v>
      </c>
      <c r="K1619" s="14"/>
      <c r="L1619" s="14"/>
      <c r="M1619" s="14"/>
      <c r="N1619" s="14"/>
      <c r="O1619" s="14"/>
      <c r="P1619" s="14"/>
      <c r="Q1619" s="14">
        <v>400</v>
      </c>
      <c r="R1619" s="14"/>
      <c r="S1619" s="14"/>
      <c r="T1619" s="14"/>
      <c r="U1619" s="14"/>
      <c r="V1619" s="14"/>
      <c r="W1619" s="15">
        <f t="shared" si="58"/>
        <v>400</v>
      </c>
      <c r="X1619" s="14"/>
      <c r="Y1619" s="14"/>
      <c r="Z1619" s="14"/>
      <c r="AA1619" s="14"/>
      <c r="AB1619" s="14"/>
      <c r="AC1619" s="14"/>
      <c r="AD1619" s="14"/>
      <c r="AE1619" s="14"/>
      <c r="AF1619" s="14"/>
      <c r="AG1619" s="14"/>
      <c r="AH1619" s="14"/>
      <c r="AI1619" s="14"/>
      <c r="AJ1619" s="15"/>
      <c r="AK1619" s="16"/>
    </row>
    <row r="1620" spans="2:37" x14ac:dyDescent="0.2">
      <c r="B1620" s="7" t="s">
        <v>37</v>
      </c>
      <c r="C1620" s="8">
        <v>12303</v>
      </c>
      <c r="D1620" s="9" t="s">
        <v>538</v>
      </c>
      <c r="E1620" s="10" t="s">
        <v>539</v>
      </c>
      <c r="F1620" s="10" t="s">
        <v>540</v>
      </c>
      <c r="G1620" s="8">
        <v>5</v>
      </c>
      <c r="H1620" s="11">
        <v>200</v>
      </c>
      <c r="I1620" s="12">
        <v>42568</v>
      </c>
      <c r="J1620" s="13">
        <f t="shared" si="57"/>
        <v>0</v>
      </c>
      <c r="K1620" s="14"/>
      <c r="L1620" s="14"/>
      <c r="M1620" s="14"/>
      <c r="N1620" s="14"/>
      <c r="O1620" s="14"/>
      <c r="P1620" s="14"/>
      <c r="Q1620" s="14"/>
      <c r="R1620" s="14"/>
      <c r="S1620" s="14"/>
      <c r="T1620" s="14"/>
      <c r="U1620" s="14"/>
      <c r="V1620" s="14"/>
      <c r="W1620" s="15">
        <f t="shared" si="58"/>
        <v>0</v>
      </c>
      <c r="X1620" s="14"/>
      <c r="Y1620" s="14"/>
      <c r="Z1620" s="14"/>
      <c r="AA1620" s="14"/>
      <c r="AB1620" s="14"/>
      <c r="AC1620" s="14"/>
      <c r="AD1620" s="14"/>
      <c r="AE1620" s="14"/>
      <c r="AF1620" s="14"/>
      <c r="AG1620" s="14"/>
      <c r="AH1620" s="14"/>
      <c r="AI1620" s="14"/>
      <c r="AJ1620" s="15"/>
      <c r="AK1620" s="16"/>
    </row>
    <row r="1621" spans="2:37" x14ac:dyDescent="0.2">
      <c r="B1621" s="7" t="s">
        <v>73</v>
      </c>
      <c r="C1621" s="8">
        <v>12304</v>
      </c>
      <c r="D1621" s="9" t="s">
        <v>81</v>
      </c>
      <c r="E1621" s="10" t="s">
        <v>82</v>
      </c>
      <c r="F1621" s="10" t="s">
        <v>83</v>
      </c>
      <c r="G1621" s="8">
        <v>5</v>
      </c>
      <c r="H1621" s="11">
        <v>250</v>
      </c>
      <c r="I1621" s="12">
        <v>42568</v>
      </c>
      <c r="J1621" s="13">
        <f t="shared" si="57"/>
        <v>0</v>
      </c>
      <c r="K1621" s="14"/>
      <c r="L1621" s="14"/>
      <c r="M1621" s="14"/>
      <c r="N1621" s="14"/>
      <c r="O1621" s="14"/>
      <c r="P1621" s="14"/>
      <c r="Q1621" s="14"/>
      <c r="R1621" s="14"/>
      <c r="S1621" s="14"/>
      <c r="T1621" s="14"/>
      <c r="U1621" s="14"/>
      <c r="V1621" s="14"/>
      <c r="W1621" s="15">
        <f t="shared" si="58"/>
        <v>0</v>
      </c>
      <c r="X1621" s="14"/>
      <c r="Y1621" s="14"/>
      <c r="Z1621" s="14"/>
      <c r="AA1621" s="14"/>
      <c r="AB1621" s="14"/>
      <c r="AC1621" s="14"/>
      <c r="AD1621" s="14"/>
      <c r="AE1621" s="14"/>
      <c r="AF1621" s="14"/>
      <c r="AG1621" s="14"/>
      <c r="AH1621" s="14"/>
      <c r="AI1621" s="14"/>
      <c r="AJ1621" s="15"/>
      <c r="AK1621" s="16"/>
    </row>
    <row r="1622" spans="2:37" x14ac:dyDescent="0.2">
      <c r="B1622" s="7" t="s">
        <v>37</v>
      </c>
      <c r="C1622" s="8">
        <v>12305</v>
      </c>
      <c r="D1622" s="9" t="s">
        <v>553</v>
      </c>
      <c r="E1622" s="10" t="s">
        <v>554</v>
      </c>
      <c r="F1622" s="10" t="s">
        <v>555</v>
      </c>
      <c r="G1622" s="8">
        <v>1</v>
      </c>
      <c r="H1622" s="11">
        <v>400</v>
      </c>
      <c r="I1622" s="12">
        <v>42568</v>
      </c>
      <c r="J1622" s="13">
        <f t="shared" si="57"/>
        <v>0</v>
      </c>
      <c r="K1622" s="14"/>
      <c r="L1622" s="14"/>
      <c r="M1622" s="14"/>
      <c r="N1622" s="14"/>
      <c r="O1622" s="14"/>
      <c r="P1622" s="14"/>
      <c r="Q1622" s="14">
        <v>400</v>
      </c>
      <c r="R1622" s="14"/>
      <c r="S1622" s="14"/>
      <c r="T1622" s="14"/>
      <c r="U1622" s="14"/>
      <c r="V1622" s="14"/>
      <c r="W1622" s="15">
        <f t="shared" si="58"/>
        <v>400</v>
      </c>
      <c r="X1622" s="14"/>
      <c r="Y1622" s="14"/>
      <c r="Z1622" s="14"/>
      <c r="AA1622" s="14"/>
      <c r="AB1622" s="14"/>
      <c r="AC1622" s="14"/>
      <c r="AD1622" s="14"/>
      <c r="AE1622" s="14"/>
      <c r="AF1622" s="14"/>
      <c r="AG1622" s="14"/>
      <c r="AH1622" s="14"/>
      <c r="AI1622" s="14"/>
      <c r="AJ1622" s="15"/>
      <c r="AK1622" s="16"/>
    </row>
    <row r="1623" spans="2:37" x14ac:dyDescent="0.2">
      <c r="B1623" s="7" t="s">
        <v>77</v>
      </c>
      <c r="C1623" s="8">
        <v>12306</v>
      </c>
      <c r="D1623" s="9" t="s">
        <v>384</v>
      </c>
      <c r="E1623" s="10" t="s">
        <v>385</v>
      </c>
      <c r="F1623" s="10" t="s">
        <v>386</v>
      </c>
      <c r="G1623" s="8">
        <v>3</v>
      </c>
      <c r="H1623" s="11">
        <v>200</v>
      </c>
      <c r="I1623" s="12">
        <v>42568</v>
      </c>
      <c r="J1623" s="13">
        <f t="shared" si="57"/>
        <v>0</v>
      </c>
      <c r="K1623" s="14"/>
      <c r="L1623" s="14"/>
      <c r="M1623" s="14"/>
      <c r="N1623" s="14"/>
      <c r="O1623" s="14"/>
      <c r="P1623" s="14"/>
      <c r="Q1623" s="14"/>
      <c r="R1623" s="14"/>
      <c r="S1623" s="14"/>
      <c r="T1623" s="14"/>
      <c r="U1623" s="14"/>
      <c r="V1623" s="14"/>
      <c r="W1623" s="15">
        <f t="shared" si="58"/>
        <v>0</v>
      </c>
      <c r="X1623" s="14"/>
      <c r="Y1623" s="14"/>
      <c r="Z1623" s="14"/>
      <c r="AA1623" s="14"/>
      <c r="AB1623" s="14"/>
      <c r="AC1623" s="14"/>
      <c r="AD1623" s="14"/>
      <c r="AE1623" s="14"/>
      <c r="AF1623" s="14"/>
      <c r="AG1623" s="14"/>
      <c r="AH1623" s="14"/>
      <c r="AI1623" s="14"/>
      <c r="AJ1623" s="15"/>
      <c r="AK1623" s="16"/>
    </row>
    <row r="1624" spans="2:37" x14ac:dyDescent="0.2">
      <c r="B1624" s="7" t="s">
        <v>77</v>
      </c>
      <c r="C1624" s="8">
        <v>12306</v>
      </c>
      <c r="D1624" s="9" t="s">
        <v>384</v>
      </c>
      <c r="E1624" s="10" t="s">
        <v>385</v>
      </c>
      <c r="F1624" s="10" t="s">
        <v>386</v>
      </c>
      <c r="G1624" s="8">
        <v>5</v>
      </c>
      <c r="H1624" s="11">
        <v>100</v>
      </c>
      <c r="I1624" s="12">
        <v>42568</v>
      </c>
      <c r="J1624" s="13">
        <f t="shared" si="57"/>
        <v>0</v>
      </c>
      <c r="K1624" s="14"/>
      <c r="L1624" s="14"/>
      <c r="M1624" s="14"/>
      <c r="N1624" s="14"/>
      <c r="O1624" s="14"/>
      <c r="P1624" s="14"/>
      <c r="Q1624" s="14"/>
      <c r="R1624" s="14"/>
      <c r="S1624" s="14"/>
      <c r="T1624" s="14"/>
      <c r="U1624" s="14"/>
      <c r="V1624" s="14"/>
      <c r="W1624" s="15">
        <f t="shared" si="58"/>
        <v>0</v>
      </c>
      <c r="X1624" s="14"/>
      <c r="Y1624" s="14"/>
      <c r="Z1624" s="14"/>
      <c r="AA1624" s="14"/>
      <c r="AB1624" s="14"/>
      <c r="AC1624" s="14"/>
      <c r="AD1624" s="14"/>
      <c r="AE1624" s="14"/>
      <c r="AF1624" s="14"/>
      <c r="AG1624" s="14"/>
      <c r="AH1624" s="14"/>
      <c r="AI1624" s="14"/>
      <c r="AJ1624" s="15"/>
      <c r="AK1624" s="16"/>
    </row>
    <row r="1625" spans="2:37" x14ac:dyDescent="0.2">
      <c r="B1625" s="7" t="s">
        <v>37</v>
      </c>
      <c r="C1625" s="8">
        <v>12307</v>
      </c>
      <c r="D1625" s="9" t="s">
        <v>295</v>
      </c>
      <c r="E1625" s="10" t="s">
        <v>296</v>
      </c>
      <c r="F1625" s="10" t="s">
        <v>297</v>
      </c>
      <c r="G1625" s="8">
        <v>1</v>
      </c>
      <c r="H1625" s="11">
        <v>300</v>
      </c>
      <c r="I1625" s="12">
        <v>42568</v>
      </c>
      <c r="J1625" s="13">
        <f t="shared" si="57"/>
        <v>0</v>
      </c>
      <c r="K1625" s="14"/>
      <c r="L1625" s="14"/>
      <c r="M1625" s="14"/>
      <c r="N1625" s="14"/>
      <c r="O1625" s="14"/>
      <c r="P1625" s="14"/>
      <c r="Q1625" s="14">
        <v>300</v>
      </c>
      <c r="R1625" s="14"/>
      <c r="S1625" s="14"/>
      <c r="T1625" s="14"/>
      <c r="U1625" s="14"/>
      <c r="V1625" s="14"/>
      <c r="W1625" s="15">
        <f t="shared" si="58"/>
        <v>300</v>
      </c>
      <c r="X1625" s="14"/>
      <c r="Y1625" s="14"/>
      <c r="Z1625" s="14"/>
      <c r="AA1625" s="14"/>
      <c r="AB1625" s="14"/>
      <c r="AC1625" s="14"/>
      <c r="AD1625" s="14"/>
      <c r="AE1625" s="14"/>
      <c r="AF1625" s="14"/>
      <c r="AG1625" s="14"/>
      <c r="AH1625" s="14"/>
      <c r="AI1625" s="14"/>
      <c r="AJ1625" s="15"/>
      <c r="AK1625" s="16"/>
    </row>
    <row r="1626" spans="2:37" x14ac:dyDescent="0.2">
      <c r="B1626" s="7" t="s">
        <v>47</v>
      </c>
      <c r="C1626" s="8">
        <v>12308</v>
      </c>
      <c r="D1626" s="9" t="s">
        <v>583</v>
      </c>
      <c r="E1626" s="10" t="s">
        <v>584</v>
      </c>
      <c r="F1626" s="10" t="s">
        <v>585</v>
      </c>
      <c r="G1626" s="8">
        <v>1</v>
      </c>
      <c r="H1626" s="11">
        <v>200</v>
      </c>
      <c r="I1626" s="12">
        <v>42568</v>
      </c>
      <c r="J1626" s="13">
        <f t="shared" si="57"/>
        <v>0</v>
      </c>
      <c r="K1626" s="14"/>
      <c r="L1626" s="14"/>
      <c r="M1626" s="14"/>
      <c r="N1626" s="14"/>
      <c r="O1626" s="14"/>
      <c r="P1626" s="14"/>
      <c r="Q1626" s="14">
        <v>200</v>
      </c>
      <c r="R1626" s="14"/>
      <c r="S1626" s="14"/>
      <c r="T1626" s="14"/>
      <c r="U1626" s="14"/>
      <c r="V1626" s="14"/>
      <c r="W1626" s="15">
        <f t="shared" si="58"/>
        <v>200</v>
      </c>
      <c r="X1626" s="14"/>
      <c r="Y1626" s="14"/>
      <c r="Z1626" s="14"/>
      <c r="AA1626" s="14"/>
      <c r="AB1626" s="14"/>
      <c r="AC1626" s="14"/>
      <c r="AD1626" s="14"/>
      <c r="AE1626" s="14"/>
      <c r="AF1626" s="14"/>
      <c r="AG1626" s="14"/>
      <c r="AH1626" s="14"/>
      <c r="AI1626" s="14"/>
      <c r="AJ1626" s="15"/>
      <c r="AK1626" s="16"/>
    </row>
    <row r="1627" spans="2:37" x14ac:dyDescent="0.2">
      <c r="B1627" s="7" t="s">
        <v>73</v>
      </c>
      <c r="C1627" s="8">
        <v>12309</v>
      </c>
      <c r="D1627" s="9" t="s">
        <v>398</v>
      </c>
      <c r="E1627" s="10" t="s">
        <v>399</v>
      </c>
      <c r="F1627" s="10" t="s">
        <v>400</v>
      </c>
      <c r="G1627" s="8">
        <v>1</v>
      </c>
      <c r="H1627" s="11">
        <v>400</v>
      </c>
      <c r="I1627" s="12">
        <v>42568</v>
      </c>
      <c r="J1627" s="13">
        <f t="shared" si="57"/>
        <v>0</v>
      </c>
      <c r="K1627" s="14"/>
      <c r="L1627" s="14"/>
      <c r="M1627" s="14"/>
      <c r="N1627" s="14"/>
      <c r="O1627" s="14"/>
      <c r="P1627" s="14"/>
      <c r="Q1627" s="14">
        <v>400</v>
      </c>
      <c r="R1627" s="14"/>
      <c r="S1627" s="14"/>
      <c r="T1627" s="14"/>
      <c r="U1627" s="14"/>
      <c r="V1627" s="14"/>
      <c r="W1627" s="15">
        <f t="shared" si="58"/>
        <v>400</v>
      </c>
      <c r="X1627" s="14"/>
      <c r="Y1627" s="14"/>
      <c r="Z1627" s="14"/>
      <c r="AA1627" s="14"/>
      <c r="AB1627" s="14"/>
      <c r="AC1627" s="14"/>
      <c r="AD1627" s="14"/>
      <c r="AE1627" s="14"/>
      <c r="AF1627" s="14"/>
      <c r="AG1627" s="14"/>
      <c r="AH1627" s="14"/>
      <c r="AI1627" s="14"/>
      <c r="AJ1627" s="15"/>
      <c r="AK1627" s="16"/>
    </row>
    <row r="1628" spans="2:37" x14ac:dyDescent="0.2">
      <c r="B1628" s="7" t="s">
        <v>37</v>
      </c>
      <c r="C1628" s="8">
        <v>12310</v>
      </c>
      <c r="D1628" s="9" t="s">
        <v>503</v>
      </c>
      <c r="E1628" s="10" t="s">
        <v>504</v>
      </c>
      <c r="F1628" s="10" t="s">
        <v>505</v>
      </c>
      <c r="G1628" s="8">
        <v>1</v>
      </c>
      <c r="H1628" s="11">
        <v>450</v>
      </c>
      <c r="I1628" s="12">
        <v>42568</v>
      </c>
      <c r="J1628" s="13">
        <f t="shared" si="57"/>
        <v>0</v>
      </c>
      <c r="K1628" s="14"/>
      <c r="L1628" s="14"/>
      <c r="M1628" s="14"/>
      <c r="N1628" s="14"/>
      <c r="O1628" s="14">
        <v>150</v>
      </c>
      <c r="P1628" s="14">
        <v>150</v>
      </c>
      <c r="Q1628" s="14">
        <v>150</v>
      </c>
      <c r="R1628" s="14"/>
      <c r="S1628" s="14"/>
      <c r="T1628" s="14"/>
      <c r="U1628" s="14"/>
      <c r="V1628" s="14"/>
      <c r="W1628" s="15">
        <f t="shared" si="58"/>
        <v>450</v>
      </c>
      <c r="X1628" s="14"/>
      <c r="Y1628" s="14"/>
      <c r="Z1628" s="14"/>
      <c r="AA1628" s="14"/>
      <c r="AB1628" s="14"/>
      <c r="AC1628" s="14"/>
      <c r="AD1628" s="14"/>
      <c r="AE1628" s="14"/>
      <c r="AF1628" s="14"/>
      <c r="AG1628" s="14"/>
      <c r="AH1628" s="14"/>
      <c r="AI1628" s="14"/>
      <c r="AJ1628" s="15"/>
      <c r="AK1628" s="16"/>
    </row>
    <row r="1629" spans="2:37" x14ac:dyDescent="0.2">
      <c r="B1629" s="7" t="s">
        <v>37</v>
      </c>
      <c r="C1629" s="8">
        <v>12311</v>
      </c>
      <c r="D1629" s="9" t="s">
        <v>766</v>
      </c>
      <c r="E1629" s="10" t="s">
        <v>767</v>
      </c>
      <c r="F1629" s="10" t="s">
        <v>768</v>
      </c>
      <c r="G1629" s="8">
        <v>1</v>
      </c>
      <c r="H1629" s="11">
        <v>1200</v>
      </c>
      <c r="I1629" s="12">
        <v>42568</v>
      </c>
      <c r="J1629" s="13">
        <f t="shared" si="57"/>
        <v>0</v>
      </c>
      <c r="K1629" s="14"/>
      <c r="L1629" s="14"/>
      <c r="M1629" s="14"/>
      <c r="N1629" s="14"/>
      <c r="O1629" s="14"/>
      <c r="P1629" s="14"/>
      <c r="Q1629" s="14">
        <v>400</v>
      </c>
      <c r="R1629" s="14">
        <v>400</v>
      </c>
      <c r="S1629" s="14">
        <v>400</v>
      </c>
      <c r="T1629" s="14"/>
      <c r="U1629" s="14"/>
      <c r="V1629" s="14"/>
      <c r="W1629" s="15">
        <f t="shared" si="58"/>
        <v>1200</v>
      </c>
      <c r="X1629" s="14"/>
      <c r="Y1629" s="14"/>
      <c r="Z1629" s="14"/>
      <c r="AA1629" s="14"/>
      <c r="AB1629" s="14"/>
      <c r="AC1629" s="14"/>
      <c r="AD1629" s="14"/>
      <c r="AE1629" s="14"/>
      <c r="AF1629" s="14"/>
      <c r="AG1629" s="14"/>
      <c r="AH1629" s="14"/>
      <c r="AI1629" s="14"/>
      <c r="AJ1629" s="15"/>
      <c r="AK1629" s="16"/>
    </row>
    <row r="1630" spans="2:37" x14ac:dyDescent="0.2">
      <c r="B1630" s="7" t="s">
        <v>69</v>
      </c>
      <c r="C1630" s="8">
        <v>12312</v>
      </c>
      <c r="D1630" s="9" t="s">
        <v>1073</v>
      </c>
      <c r="E1630" s="10" t="s">
        <v>1074</v>
      </c>
      <c r="F1630" s="10" t="s">
        <v>1075</v>
      </c>
      <c r="G1630" s="8">
        <v>1</v>
      </c>
      <c r="H1630" s="11">
        <v>2800</v>
      </c>
      <c r="I1630" s="12">
        <v>42568</v>
      </c>
      <c r="J1630" s="13">
        <f t="shared" si="57"/>
        <v>0</v>
      </c>
      <c r="K1630" s="14">
        <v>400</v>
      </c>
      <c r="L1630" s="14">
        <v>400</v>
      </c>
      <c r="M1630" s="14">
        <v>400</v>
      </c>
      <c r="N1630" s="14">
        <v>400</v>
      </c>
      <c r="O1630" s="14">
        <v>400</v>
      </c>
      <c r="P1630" s="14">
        <v>400</v>
      </c>
      <c r="Q1630" s="14">
        <v>400</v>
      </c>
      <c r="R1630" s="14"/>
      <c r="S1630" s="14"/>
      <c r="T1630" s="14"/>
      <c r="U1630" s="14"/>
      <c r="V1630" s="14"/>
      <c r="W1630" s="15">
        <f t="shared" si="58"/>
        <v>2800</v>
      </c>
      <c r="X1630" s="14"/>
      <c r="Y1630" s="14"/>
      <c r="Z1630" s="14"/>
      <c r="AA1630" s="14"/>
      <c r="AB1630" s="14"/>
      <c r="AC1630" s="14"/>
      <c r="AD1630" s="14"/>
      <c r="AE1630" s="14"/>
      <c r="AF1630" s="14"/>
      <c r="AG1630" s="14"/>
      <c r="AH1630" s="14"/>
      <c r="AI1630" s="14"/>
      <c r="AJ1630" s="15"/>
      <c r="AK1630" s="16"/>
    </row>
    <row r="1631" spans="2:37" x14ac:dyDescent="0.2">
      <c r="B1631" s="7"/>
      <c r="C1631" s="8">
        <v>12312</v>
      </c>
      <c r="D1631" s="9" t="s">
        <v>1073</v>
      </c>
      <c r="E1631" s="10" t="str">
        <f>IF(D1631=0,"",VLOOKUP(D1631,BASE,2,FALSE))</f>
        <v>Rancho Upácuaro No. 96</v>
      </c>
      <c r="F1631" s="10" t="str">
        <f>IF(D1631=0,"",VLOOKUP(D1631,BASE,3,FALSE))</f>
        <v>Daza Gutiérrez</v>
      </c>
      <c r="G1631" s="8">
        <v>5</v>
      </c>
      <c r="H1631" s="11">
        <v>100</v>
      </c>
      <c r="I1631" s="12">
        <v>42568</v>
      </c>
      <c r="J1631" s="13">
        <f t="shared" si="57"/>
        <v>0</v>
      </c>
      <c r="K1631" s="14"/>
      <c r="L1631" s="14"/>
      <c r="M1631" s="14"/>
      <c r="N1631" s="14"/>
      <c r="O1631" s="14"/>
      <c r="P1631" s="14"/>
      <c r="Q1631" s="14"/>
      <c r="R1631" s="14"/>
      <c r="S1631" s="14"/>
      <c r="T1631" s="14"/>
      <c r="U1631" s="14"/>
      <c r="V1631" s="14"/>
      <c r="W1631" s="15">
        <f t="shared" si="58"/>
        <v>0</v>
      </c>
      <c r="X1631" s="14"/>
      <c r="Y1631" s="14"/>
      <c r="Z1631" s="14"/>
      <c r="AA1631" s="14"/>
      <c r="AB1631" s="14"/>
      <c r="AC1631" s="14"/>
      <c r="AD1631" s="14"/>
      <c r="AE1631" s="14"/>
      <c r="AF1631" s="14"/>
      <c r="AG1631" s="14"/>
      <c r="AH1631" s="14"/>
      <c r="AI1631" s="14"/>
      <c r="AJ1631" s="15"/>
      <c r="AK1631" s="16"/>
    </row>
    <row r="1632" spans="2:37" x14ac:dyDescent="0.2">
      <c r="B1632" s="7" t="s">
        <v>391</v>
      </c>
      <c r="C1632" s="8">
        <v>12313</v>
      </c>
      <c r="D1632" s="9" t="s">
        <v>879</v>
      </c>
      <c r="E1632" s="10" t="s">
        <v>880</v>
      </c>
      <c r="F1632" s="10" t="s">
        <v>881</v>
      </c>
      <c r="G1632" s="8">
        <v>1</v>
      </c>
      <c r="H1632" s="11">
        <v>200</v>
      </c>
      <c r="I1632" s="12">
        <v>42568</v>
      </c>
      <c r="J1632" s="13">
        <f t="shared" si="57"/>
        <v>0</v>
      </c>
      <c r="K1632" s="14"/>
      <c r="L1632" s="14"/>
      <c r="M1632" s="14"/>
      <c r="N1632" s="14"/>
      <c r="O1632" s="14"/>
      <c r="P1632" s="14"/>
      <c r="Q1632" s="14">
        <v>200</v>
      </c>
      <c r="R1632" s="14"/>
      <c r="S1632" s="14"/>
      <c r="T1632" s="14"/>
      <c r="U1632" s="14"/>
      <c r="V1632" s="14"/>
      <c r="W1632" s="15">
        <f t="shared" si="58"/>
        <v>200</v>
      </c>
      <c r="X1632" s="14"/>
      <c r="Y1632" s="14"/>
      <c r="Z1632" s="14"/>
      <c r="AA1632" s="14"/>
      <c r="AB1632" s="14"/>
      <c r="AC1632" s="14"/>
      <c r="AD1632" s="14"/>
      <c r="AE1632" s="14"/>
      <c r="AF1632" s="14"/>
      <c r="AG1632" s="14"/>
      <c r="AH1632" s="14"/>
      <c r="AI1632" s="14"/>
      <c r="AJ1632" s="15"/>
      <c r="AK1632" s="16"/>
    </row>
    <row r="1633" spans="2:37" x14ac:dyDescent="0.2">
      <c r="B1633" s="7" t="s">
        <v>391</v>
      </c>
      <c r="C1633" s="8">
        <v>12313</v>
      </c>
      <c r="D1633" s="9" t="s">
        <v>879</v>
      </c>
      <c r="E1633" s="10" t="s">
        <v>880</v>
      </c>
      <c r="F1633" s="10" t="s">
        <v>881</v>
      </c>
      <c r="G1633" s="8">
        <v>5</v>
      </c>
      <c r="H1633" s="11">
        <v>50</v>
      </c>
      <c r="I1633" s="12">
        <v>42568</v>
      </c>
      <c r="J1633" s="13">
        <f t="shared" si="57"/>
        <v>0</v>
      </c>
      <c r="K1633" s="14"/>
      <c r="L1633" s="14"/>
      <c r="M1633" s="14"/>
      <c r="N1633" s="14"/>
      <c r="O1633" s="14"/>
      <c r="P1633" s="14"/>
      <c r="Q1633" s="14"/>
      <c r="R1633" s="14"/>
      <c r="S1633" s="14"/>
      <c r="T1633" s="14"/>
      <c r="U1633" s="14"/>
      <c r="V1633" s="14"/>
      <c r="W1633" s="15">
        <f t="shared" si="58"/>
        <v>0</v>
      </c>
      <c r="X1633" s="14"/>
      <c r="Y1633" s="14"/>
      <c r="Z1633" s="14"/>
      <c r="AA1633" s="14"/>
      <c r="AB1633" s="14"/>
      <c r="AC1633" s="14"/>
      <c r="AD1633" s="14"/>
      <c r="AE1633" s="14"/>
      <c r="AF1633" s="14"/>
      <c r="AG1633" s="14"/>
      <c r="AH1633" s="14"/>
      <c r="AI1633" s="14"/>
      <c r="AJ1633" s="15"/>
      <c r="AK1633" s="16"/>
    </row>
    <row r="1634" spans="2:37" x14ac:dyDescent="0.2">
      <c r="B1634" s="7" t="s">
        <v>47</v>
      </c>
      <c r="C1634" s="8">
        <v>12314</v>
      </c>
      <c r="D1634" s="9" t="s">
        <v>823</v>
      </c>
      <c r="E1634" s="10" t="s">
        <v>824</v>
      </c>
      <c r="F1634" s="10" t="s">
        <v>765</v>
      </c>
      <c r="G1634" s="8">
        <v>5</v>
      </c>
      <c r="H1634" s="11">
        <v>50</v>
      </c>
      <c r="I1634" s="12">
        <v>42568</v>
      </c>
      <c r="J1634" s="13">
        <f t="shared" si="57"/>
        <v>0</v>
      </c>
      <c r="K1634" s="14"/>
      <c r="L1634" s="14"/>
      <c r="M1634" s="14"/>
      <c r="N1634" s="14"/>
      <c r="O1634" s="14"/>
      <c r="P1634" s="14"/>
      <c r="Q1634" s="14"/>
      <c r="R1634" s="14"/>
      <c r="S1634" s="14"/>
      <c r="T1634" s="14"/>
      <c r="U1634" s="14"/>
      <c r="V1634" s="14"/>
      <c r="W1634" s="15">
        <f t="shared" si="58"/>
        <v>0</v>
      </c>
      <c r="X1634" s="14"/>
      <c r="Y1634" s="14"/>
      <c r="Z1634" s="14"/>
      <c r="AA1634" s="14"/>
      <c r="AB1634" s="14"/>
      <c r="AC1634" s="14"/>
      <c r="AD1634" s="14"/>
      <c r="AE1634" s="14"/>
      <c r="AF1634" s="14"/>
      <c r="AG1634" s="14"/>
      <c r="AH1634" s="14"/>
      <c r="AI1634" s="14"/>
      <c r="AJ1634" s="15"/>
      <c r="AK1634" s="16"/>
    </row>
    <row r="1635" spans="2:37" x14ac:dyDescent="0.2">
      <c r="B1635" s="7" t="s">
        <v>47</v>
      </c>
      <c r="C1635" s="8">
        <v>12315</v>
      </c>
      <c r="D1635" s="9" t="s">
        <v>241</v>
      </c>
      <c r="E1635" s="10" t="s">
        <v>242</v>
      </c>
      <c r="F1635" s="10" t="s">
        <v>243</v>
      </c>
      <c r="G1635" s="8">
        <v>1</v>
      </c>
      <c r="H1635" s="11">
        <v>400</v>
      </c>
      <c r="I1635" s="12">
        <v>42568</v>
      </c>
      <c r="J1635" s="13">
        <f t="shared" si="57"/>
        <v>0</v>
      </c>
      <c r="K1635" s="14"/>
      <c r="L1635" s="14"/>
      <c r="M1635" s="14"/>
      <c r="N1635" s="14"/>
      <c r="O1635" s="14"/>
      <c r="P1635" s="14"/>
      <c r="Q1635" s="14">
        <v>400</v>
      </c>
      <c r="R1635" s="14"/>
      <c r="S1635" s="14"/>
      <c r="T1635" s="14"/>
      <c r="U1635" s="14"/>
      <c r="V1635" s="14"/>
      <c r="W1635" s="15">
        <f t="shared" si="58"/>
        <v>400</v>
      </c>
      <c r="X1635" s="14"/>
      <c r="Y1635" s="14"/>
      <c r="Z1635" s="14"/>
      <c r="AA1635" s="14"/>
      <c r="AB1635" s="14"/>
      <c r="AC1635" s="14"/>
      <c r="AD1635" s="14"/>
      <c r="AE1635" s="14"/>
      <c r="AF1635" s="14"/>
      <c r="AG1635" s="14"/>
      <c r="AH1635" s="14"/>
      <c r="AI1635" s="14"/>
      <c r="AJ1635" s="15"/>
      <c r="AK1635" s="16"/>
    </row>
    <row r="1636" spans="2:37" x14ac:dyDescent="0.2">
      <c r="B1636" s="7" t="s">
        <v>37</v>
      </c>
      <c r="C1636" s="8">
        <v>12316</v>
      </c>
      <c r="D1636" s="9" t="s">
        <v>271</v>
      </c>
      <c r="E1636" s="10" t="s">
        <v>272</v>
      </c>
      <c r="F1636" s="10" t="s">
        <v>273</v>
      </c>
      <c r="G1636" s="8">
        <v>1</v>
      </c>
      <c r="H1636" s="11">
        <v>400</v>
      </c>
      <c r="I1636" s="12">
        <v>42568</v>
      </c>
      <c r="J1636" s="13">
        <f t="shared" si="57"/>
        <v>0</v>
      </c>
      <c r="K1636" s="14"/>
      <c r="L1636" s="14"/>
      <c r="M1636" s="14"/>
      <c r="N1636" s="14"/>
      <c r="O1636" s="14"/>
      <c r="P1636" s="14"/>
      <c r="Q1636" s="14">
        <v>400</v>
      </c>
      <c r="R1636" s="14"/>
      <c r="S1636" s="14"/>
      <c r="T1636" s="14"/>
      <c r="U1636" s="14"/>
      <c r="V1636" s="14"/>
      <c r="W1636" s="15">
        <f t="shared" si="58"/>
        <v>400</v>
      </c>
      <c r="X1636" s="14"/>
      <c r="Y1636" s="14"/>
      <c r="Z1636" s="14"/>
      <c r="AA1636" s="14"/>
      <c r="AB1636" s="14"/>
      <c r="AC1636" s="14"/>
      <c r="AD1636" s="14"/>
      <c r="AE1636" s="14"/>
      <c r="AF1636" s="14"/>
      <c r="AG1636" s="14"/>
      <c r="AH1636" s="14"/>
      <c r="AI1636" s="14"/>
      <c r="AJ1636" s="15"/>
      <c r="AK1636" s="16"/>
    </row>
    <row r="1637" spans="2:37" x14ac:dyDescent="0.2">
      <c r="B1637" s="7" t="s">
        <v>73</v>
      </c>
      <c r="C1637" s="8">
        <v>12317</v>
      </c>
      <c r="D1637" s="9" t="s">
        <v>532</v>
      </c>
      <c r="E1637" s="10" t="s">
        <v>533</v>
      </c>
      <c r="F1637" s="10" t="s">
        <v>534</v>
      </c>
      <c r="G1637" s="8">
        <v>4</v>
      </c>
      <c r="H1637" s="11">
        <v>200</v>
      </c>
      <c r="I1637" s="12">
        <v>42568</v>
      </c>
      <c r="J1637" s="13">
        <f t="shared" si="57"/>
        <v>0</v>
      </c>
      <c r="K1637" s="14"/>
      <c r="L1637" s="14"/>
      <c r="M1637" s="14"/>
      <c r="N1637" s="14"/>
      <c r="O1637" s="14"/>
      <c r="P1637" s="14"/>
      <c r="Q1637" s="14"/>
      <c r="R1637" s="14"/>
      <c r="S1637" s="14"/>
      <c r="T1637" s="14"/>
      <c r="U1637" s="14"/>
      <c r="V1637" s="14"/>
      <c r="W1637" s="15">
        <f t="shared" si="58"/>
        <v>0</v>
      </c>
      <c r="X1637" s="14"/>
      <c r="Y1637" s="14"/>
      <c r="Z1637" s="14"/>
      <c r="AA1637" s="14"/>
      <c r="AB1637" s="14"/>
      <c r="AC1637" s="14"/>
      <c r="AD1637" s="14"/>
      <c r="AE1637" s="14"/>
      <c r="AF1637" s="14"/>
      <c r="AG1637" s="14"/>
      <c r="AH1637" s="14"/>
      <c r="AI1637" s="14"/>
      <c r="AJ1637" s="15"/>
      <c r="AK1637" s="7">
        <v>10422895</v>
      </c>
    </row>
    <row r="1638" spans="2:37" x14ac:dyDescent="0.2">
      <c r="B1638" s="7" t="s">
        <v>122</v>
      </c>
      <c r="C1638" s="8">
        <v>12318</v>
      </c>
      <c r="D1638" s="9" t="s">
        <v>262</v>
      </c>
      <c r="E1638" s="10" t="s">
        <v>263</v>
      </c>
      <c r="F1638" s="10" t="s">
        <v>264</v>
      </c>
      <c r="G1638" s="8">
        <v>1</v>
      </c>
      <c r="H1638" s="11">
        <v>300</v>
      </c>
      <c r="I1638" s="12">
        <v>42568</v>
      </c>
      <c r="J1638" s="13">
        <f t="shared" si="57"/>
        <v>0</v>
      </c>
      <c r="K1638" s="14"/>
      <c r="L1638" s="14"/>
      <c r="M1638" s="14"/>
      <c r="N1638" s="14"/>
      <c r="O1638" s="14"/>
      <c r="P1638" s="14"/>
      <c r="Q1638" s="14">
        <v>300</v>
      </c>
      <c r="R1638" s="14"/>
      <c r="S1638" s="14"/>
      <c r="T1638" s="14"/>
      <c r="U1638" s="14"/>
      <c r="V1638" s="14"/>
      <c r="W1638" s="15">
        <f t="shared" si="58"/>
        <v>300</v>
      </c>
      <c r="X1638" s="14"/>
      <c r="Y1638" s="14"/>
      <c r="Z1638" s="14"/>
      <c r="AA1638" s="14"/>
      <c r="AB1638" s="14"/>
      <c r="AC1638" s="14"/>
      <c r="AD1638" s="14"/>
      <c r="AE1638" s="14"/>
      <c r="AF1638" s="14"/>
      <c r="AG1638" s="14"/>
      <c r="AH1638" s="14"/>
      <c r="AI1638" s="14"/>
      <c r="AJ1638" s="15"/>
      <c r="AK1638" s="16"/>
    </row>
    <row r="1639" spans="2:37" x14ac:dyDescent="0.2">
      <c r="B1639" s="7" t="s">
        <v>122</v>
      </c>
      <c r="C1639" s="8">
        <v>12319</v>
      </c>
      <c r="D1639" s="9" t="s">
        <v>622</v>
      </c>
      <c r="E1639" s="10" t="s">
        <v>623</v>
      </c>
      <c r="F1639" s="10" t="s">
        <v>624</v>
      </c>
      <c r="G1639" s="8">
        <v>5</v>
      </c>
      <c r="H1639" s="11">
        <v>50</v>
      </c>
      <c r="I1639" s="12">
        <v>42568</v>
      </c>
      <c r="J1639" s="13">
        <f t="shared" si="57"/>
        <v>0</v>
      </c>
      <c r="K1639" s="14"/>
      <c r="L1639" s="14"/>
      <c r="M1639" s="14"/>
      <c r="N1639" s="14"/>
      <c r="O1639" s="14"/>
      <c r="P1639" s="14"/>
      <c r="Q1639" s="14"/>
      <c r="R1639" s="14"/>
      <c r="S1639" s="14"/>
      <c r="T1639" s="14"/>
      <c r="U1639" s="14"/>
      <c r="V1639" s="14"/>
      <c r="W1639" s="15">
        <f t="shared" si="58"/>
        <v>0</v>
      </c>
      <c r="X1639" s="14"/>
      <c r="Y1639" s="14"/>
      <c r="Z1639" s="14"/>
      <c r="AA1639" s="14"/>
      <c r="AB1639" s="14"/>
      <c r="AC1639" s="14"/>
      <c r="AD1639" s="14"/>
      <c r="AE1639" s="14"/>
      <c r="AF1639" s="14"/>
      <c r="AG1639" s="14"/>
      <c r="AH1639" s="14"/>
      <c r="AI1639" s="14"/>
      <c r="AJ1639" s="15"/>
      <c r="AK1639" s="16"/>
    </row>
    <row r="1640" spans="2:37" x14ac:dyDescent="0.2">
      <c r="B1640" s="7" t="s">
        <v>47</v>
      </c>
      <c r="C1640" s="8">
        <v>12320</v>
      </c>
      <c r="D1640" s="9" t="s">
        <v>404</v>
      </c>
      <c r="E1640" s="10" t="s">
        <v>405</v>
      </c>
      <c r="F1640" s="10" t="s">
        <v>406</v>
      </c>
      <c r="G1640" s="8">
        <v>1</v>
      </c>
      <c r="H1640" s="11">
        <v>400</v>
      </c>
      <c r="I1640" s="12">
        <v>42568</v>
      </c>
      <c r="J1640" s="13">
        <f t="shared" si="57"/>
        <v>0</v>
      </c>
      <c r="K1640" s="14"/>
      <c r="L1640" s="14"/>
      <c r="M1640" s="14"/>
      <c r="N1640" s="14"/>
      <c r="O1640" s="14"/>
      <c r="P1640" s="14"/>
      <c r="Q1640" s="14">
        <v>400</v>
      </c>
      <c r="R1640" s="14"/>
      <c r="S1640" s="14"/>
      <c r="T1640" s="14"/>
      <c r="U1640" s="14"/>
      <c r="V1640" s="14"/>
      <c r="W1640" s="15">
        <f t="shared" si="58"/>
        <v>400</v>
      </c>
      <c r="X1640" s="14"/>
      <c r="Y1640" s="14"/>
      <c r="Z1640" s="14"/>
      <c r="AA1640" s="14"/>
      <c r="AB1640" s="14"/>
      <c r="AC1640" s="14"/>
      <c r="AD1640" s="14"/>
      <c r="AE1640" s="14"/>
      <c r="AF1640" s="14"/>
      <c r="AG1640" s="14"/>
      <c r="AH1640" s="14"/>
      <c r="AI1640" s="14"/>
      <c r="AJ1640" s="15"/>
      <c r="AK1640" s="16"/>
    </row>
    <row r="1641" spans="2:37" x14ac:dyDescent="0.2">
      <c r="B1641" s="7" t="s">
        <v>47</v>
      </c>
      <c r="C1641" s="8">
        <v>12321</v>
      </c>
      <c r="D1641" s="9" t="s">
        <v>132</v>
      </c>
      <c r="E1641" s="10" t="s">
        <v>133</v>
      </c>
      <c r="F1641" s="10" t="s">
        <v>134</v>
      </c>
      <c r="G1641" s="8">
        <v>1</v>
      </c>
      <c r="H1641" s="11">
        <v>300</v>
      </c>
      <c r="I1641" s="12">
        <v>42568</v>
      </c>
      <c r="J1641" s="13">
        <f t="shared" si="57"/>
        <v>0</v>
      </c>
      <c r="K1641" s="14"/>
      <c r="L1641" s="14"/>
      <c r="M1641" s="14"/>
      <c r="N1641" s="14"/>
      <c r="O1641" s="14"/>
      <c r="P1641" s="14"/>
      <c r="Q1641" s="14">
        <v>300</v>
      </c>
      <c r="R1641" s="14"/>
      <c r="S1641" s="14"/>
      <c r="T1641" s="14"/>
      <c r="U1641" s="14"/>
      <c r="V1641" s="14"/>
      <c r="W1641" s="15">
        <f t="shared" si="58"/>
        <v>300</v>
      </c>
      <c r="X1641" s="14"/>
      <c r="Y1641" s="14"/>
      <c r="Z1641" s="14"/>
      <c r="AA1641" s="14"/>
      <c r="AB1641" s="14"/>
      <c r="AC1641" s="14"/>
      <c r="AD1641" s="14"/>
      <c r="AE1641" s="14"/>
      <c r="AF1641" s="14"/>
      <c r="AG1641" s="14"/>
      <c r="AH1641" s="14"/>
      <c r="AI1641" s="14"/>
      <c r="AJ1641" s="15"/>
      <c r="AK1641" s="16"/>
    </row>
    <row r="1642" spans="2:37" x14ac:dyDescent="0.2">
      <c r="B1642" s="7" t="s">
        <v>69</v>
      </c>
      <c r="C1642" s="8">
        <v>12322</v>
      </c>
      <c r="D1642" s="9" t="s">
        <v>343</v>
      </c>
      <c r="E1642" s="10" t="s">
        <v>344</v>
      </c>
      <c r="F1642" s="10" t="s">
        <v>345</v>
      </c>
      <c r="G1642" s="8">
        <v>1</v>
      </c>
      <c r="H1642" s="11">
        <v>400</v>
      </c>
      <c r="I1642" s="12">
        <v>42568</v>
      </c>
      <c r="J1642" s="13">
        <f t="shared" si="57"/>
        <v>0</v>
      </c>
      <c r="K1642" s="14"/>
      <c r="L1642" s="14"/>
      <c r="M1642" s="14"/>
      <c r="N1642" s="14"/>
      <c r="O1642" s="14"/>
      <c r="P1642" s="14"/>
      <c r="Q1642" s="14">
        <v>400</v>
      </c>
      <c r="R1642" s="14"/>
      <c r="S1642" s="14"/>
      <c r="T1642" s="14"/>
      <c r="U1642" s="14"/>
      <c r="V1642" s="14"/>
      <c r="W1642" s="15">
        <f t="shared" si="58"/>
        <v>400</v>
      </c>
      <c r="X1642" s="14"/>
      <c r="Y1642" s="14"/>
      <c r="Z1642" s="14"/>
      <c r="AA1642" s="14"/>
      <c r="AB1642" s="14"/>
      <c r="AC1642" s="14"/>
      <c r="AD1642" s="14"/>
      <c r="AE1642" s="14"/>
      <c r="AF1642" s="14"/>
      <c r="AG1642" s="14"/>
      <c r="AH1642" s="14"/>
      <c r="AI1642" s="14"/>
      <c r="AJ1642" s="15"/>
      <c r="AK1642" s="16"/>
    </row>
    <row r="1643" spans="2:37" x14ac:dyDescent="0.2">
      <c r="B1643" s="7" t="s">
        <v>122</v>
      </c>
      <c r="C1643" s="8">
        <v>12323</v>
      </c>
      <c r="D1643" s="9" t="s">
        <v>622</v>
      </c>
      <c r="E1643" s="10" t="s">
        <v>623</v>
      </c>
      <c r="F1643" s="10" t="s">
        <v>624</v>
      </c>
      <c r="G1643" s="8">
        <v>5</v>
      </c>
      <c r="H1643" s="11">
        <v>250</v>
      </c>
      <c r="I1643" s="12">
        <v>42568</v>
      </c>
      <c r="J1643" s="13">
        <f t="shared" si="57"/>
        <v>0</v>
      </c>
      <c r="K1643" s="14"/>
      <c r="L1643" s="14"/>
      <c r="M1643" s="14"/>
      <c r="N1643" s="14"/>
      <c r="O1643" s="14"/>
      <c r="P1643" s="14"/>
      <c r="Q1643" s="14"/>
      <c r="R1643" s="14"/>
      <c r="S1643" s="14"/>
      <c r="T1643" s="14"/>
      <c r="U1643" s="14"/>
      <c r="V1643" s="14"/>
      <c r="W1643" s="15">
        <f t="shared" si="58"/>
        <v>0</v>
      </c>
      <c r="X1643" s="14"/>
      <c r="Y1643" s="14"/>
      <c r="Z1643" s="14"/>
      <c r="AA1643" s="14"/>
      <c r="AB1643" s="14"/>
      <c r="AC1643" s="14"/>
      <c r="AD1643" s="14"/>
      <c r="AE1643" s="14"/>
      <c r="AF1643" s="14"/>
      <c r="AG1643" s="14"/>
      <c r="AH1643" s="14"/>
      <c r="AI1643" s="14"/>
      <c r="AJ1643" s="15"/>
      <c r="AK1643" s="16"/>
    </row>
    <row r="1644" spans="2:37" x14ac:dyDescent="0.2">
      <c r="B1644" s="7" t="s">
        <v>37</v>
      </c>
      <c r="C1644" s="8">
        <v>12324</v>
      </c>
      <c r="D1644" s="9" t="s">
        <v>766</v>
      </c>
      <c r="E1644" s="10" t="s">
        <v>767</v>
      </c>
      <c r="F1644" s="10" t="s">
        <v>768</v>
      </c>
      <c r="G1644" s="8">
        <v>5</v>
      </c>
      <c r="H1644" s="11">
        <v>200</v>
      </c>
      <c r="I1644" s="12">
        <v>42568</v>
      </c>
      <c r="J1644" s="13">
        <f t="shared" si="57"/>
        <v>0</v>
      </c>
      <c r="K1644" s="14"/>
      <c r="L1644" s="14"/>
      <c r="M1644" s="14"/>
      <c r="N1644" s="14"/>
      <c r="O1644" s="14"/>
      <c r="P1644" s="14"/>
      <c r="Q1644" s="14"/>
      <c r="R1644" s="14"/>
      <c r="S1644" s="14"/>
      <c r="T1644" s="14"/>
      <c r="U1644" s="14"/>
      <c r="V1644" s="14"/>
      <c r="W1644" s="15">
        <f t="shared" si="58"/>
        <v>0</v>
      </c>
      <c r="X1644" s="14"/>
      <c r="Y1644" s="14"/>
      <c r="Z1644" s="14"/>
      <c r="AA1644" s="14"/>
      <c r="AB1644" s="14"/>
      <c r="AC1644" s="14"/>
      <c r="AD1644" s="14"/>
      <c r="AE1644" s="14"/>
      <c r="AF1644" s="14"/>
      <c r="AG1644" s="14"/>
      <c r="AH1644" s="14"/>
      <c r="AI1644" s="14"/>
      <c r="AJ1644" s="15"/>
      <c r="AK1644" s="16"/>
    </row>
    <row r="1645" spans="2:37" x14ac:dyDescent="0.2">
      <c r="B1645" s="7" t="s">
        <v>69</v>
      </c>
      <c r="C1645" s="8">
        <v>12325</v>
      </c>
      <c r="D1645" s="9" t="s">
        <v>714</v>
      </c>
      <c r="E1645" s="10" t="s">
        <v>715</v>
      </c>
      <c r="F1645" s="10" t="s">
        <v>487</v>
      </c>
      <c r="G1645" s="8">
        <v>1</v>
      </c>
      <c r="H1645" s="11">
        <v>400</v>
      </c>
      <c r="I1645" s="12">
        <v>42568</v>
      </c>
      <c r="J1645" s="13">
        <f t="shared" si="57"/>
        <v>0</v>
      </c>
      <c r="K1645" s="14"/>
      <c r="L1645" s="14"/>
      <c r="M1645" s="14"/>
      <c r="N1645" s="14"/>
      <c r="O1645" s="14"/>
      <c r="P1645" s="14">
        <v>400</v>
      </c>
      <c r="Q1645" s="14"/>
      <c r="R1645" s="14"/>
      <c r="S1645" s="14"/>
      <c r="T1645" s="14"/>
      <c r="U1645" s="14"/>
      <c r="V1645" s="14"/>
      <c r="W1645" s="15">
        <f t="shared" si="58"/>
        <v>400</v>
      </c>
      <c r="X1645" s="14"/>
      <c r="Y1645" s="14"/>
      <c r="Z1645" s="14"/>
      <c r="AA1645" s="14"/>
      <c r="AB1645" s="14"/>
      <c r="AC1645" s="14"/>
      <c r="AD1645" s="14"/>
      <c r="AE1645" s="14"/>
      <c r="AF1645" s="14"/>
      <c r="AG1645" s="14"/>
      <c r="AH1645" s="14"/>
      <c r="AI1645" s="14"/>
      <c r="AJ1645" s="15"/>
      <c r="AK1645" s="16"/>
    </row>
    <row r="1646" spans="2:37" x14ac:dyDescent="0.2">
      <c r="B1646" s="7" t="s">
        <v>69</v>
      </c>
      <c r="C1646" s="8">
        <v>12326</v>
      </c>
      <c r="D1646" s="9" t="s">
        <v>893</v>
      </c>
      <c r="E1646" s="10" t="s">
        <v>894</v>
      </c>
      <c r="F1646" s="10" t="s">
        <v>895</v>
      </c>
      <c r="G1646" s="8">
        <v>1</v>
      </c>
      <c r="H1646" s="11">
        <v>400</v>
      </c>
      <c r="I1646" s="12">
        <v>42568</v>
      </c>
      <c r="J1646" s="13">
        <f t="shared" si="57"/>
        <v>0</v>
      </c>
      <c r="K1646" s="14"/>
      <c r="L1646" s="14"/>
      <c r="M1646" s="14"/>
      <c r="N1646" s="14"/>
      <c r="O1646" s="14"/>
      <c r="P1646" s="14"/>
      <c r="Q1646" s="14">
        <v>400</v>
      </c>
      <c r="R1646" s="14"/>
      <c r="S1646" s="14"/>
      <c r="T1646" s="14"/>
      <c r="U1646" s="14"/>
      <c r="V1646" s="14"/>
      <c r="W1646" s="15">
        <f t="shared" si="58"/>
        <v>400</v>
      </c>
      <c r="X1646" s="14"/>
      <c r="Y1646" s="14"/>
      <c r="Z1646" s="14"/>
      <c r="AA1646" s="14"/>
      <c r="AB1646" s="14"/>
      <c r="AC1646" s="14"/>
      <c r="AD1646" s="14"/>
      <c r="AE1646" s="14"/>
      <c r="AF1646" s="14"/>
      <c r="AG1646" s="14"/>
      <c r="AH1646" s="14"/>
      <c r="AI1646" s="14"/>
      <c r="AJ1646" s="15"/>
      <c r="AK1646" s="16"/>
    </row>
    <row r="1647" spans="2:37" x14ac:dyDescent="0.2">
      <c r="B1647" s="7" t="s">
        <v>73</v>
      </c>
      <c r="C1647" s="8">
        <v>12327</v>
      </c>
      <c r="D1647" s="9" t="s">
        <v>817</v>
      </c>
      <c r="E1647" s="10" t="s">
        <v>818</v>
      </c>
      <c r="F1647" s="10" t="s">
        <v>819</v>
      </c>
      <c r="G1647" s="8">
        <v>5</v>
      </c>
      <c r="H1647" s="11">
        <v>100</v>
      </c>
      <c r="I1647" s="12">
        <v>42568</v>
      </c>
      <c r="J1647" s="13">
        <f t="shared" si="57"/>
        <v>0</v>
      </c>
      <c r="K1647" s="14"/>
      <c r="L1647" s="14"/>
      <c r="M1647" s="14"/>
      <c r="N1647" s="14"/>
      <c r="O1647" s="14"/>
      <c r="P1647" s="14"/>
      <c r="Q1647" s="14"/>
      <c r="R1647" s="14"/>
      <c r="S1647" s="14"/>
      <c r="T1647" s="14"/>
      <c r="U1647" s="14"/>
      <c r="V1647" s="14"/>
      <c r="W1647" s="15">
        <f t="shared" si="58"/>
        <v>0</v>
      </c>
      <c r="X1647" s="14"/>
      <c r="Y1647" s="14"/>
      <c r="Z1647" s="14"/>
      <c r="AA1647" s="14"/>
      <c r="AB1647" s="14"/>
      <c r="AC1647" s="14"/>
      <c r="AD1647" s="14"/>
      <c r="AE1647" s="14"/>
      <c r="AF1647" s="14"/>
      <c r="AG1647" s="14"/>
      <c r="AH1647" s="14"/>
      <c r="AI1647" s="14"/>
      <c r="AJ1647" s="15"/>
      <c r="AK1647" s="16"/>
    </row>
    <row r="1648" spans="2:37" x14ac:dyDescent="0.2">
      <c r="B1648" s="7" t="s">
        <v>73</v>
      </c>
      <c r="C1648" s="8">
        <v>12328</v>
      </c>
      <c r="D1648" s="9" t="s">
        <v>817</v>
      </c>
      <c r="E1648" s="10" t="s">
        <v>818</v>
      </c>
      <c r="F1648" s="10" t="s">
        <v>819</v>
      </c>
      <c r="G1648" s="8">
        <v>4</v>
      </c>
      <c r="H1648" s="11">
        <v>200</v>
      </c>
      <c r="I1648" s="12">
        <v>42568</v>
      </c>
      <c r="J1648" s="13">
        <f t="shared" si="57"/>
        <v>0</v>
      </c>
      <c r="K1648" s="14"/>
      <c r="L1648" s="14"/>
      <c r="M1648" s="14"/>
      <c r="N1648" s="14"/>
      <c r="O1648" s="14"/>
      <c r="P1648" s="14"/>
      <c r="Q1648" s="14"/>
      <c r="R1648" s="14"/>
      <c r="S1648" s="14"/>
      <c r="T1648" s="14"/>
      <c r="U1648" s="14"/>
      <c r="V1648" s="14"/>
      <c r="W1648" s="15">
        <f t="shared" si="58"/>
        <v>0</v>
      </c>
      <c r="X1648" s="14"/>
      <c r="Y1648" s="14"/>
      <c r="Z1648" s="14"/>
      <c r="AA1648" s="14"/>
      <c r="AB1648" s="14"/>
      <c r="AC1648" s="14"/>
      <c r="AD1648" s="14"/>
      <c r="AE1648" s="14"/>
      <c r="AF1648" s="14"/>
      <c r="AG1648" s="14"/>
      <c r="AH1648" s="14"/>
      <c r="AI1648" s="14"/>
      <c r="AJ1648" s="15"/>
      <c r="AK1648" s="7">
        <v>10422896</v>
      </c>
    </row>
    <row r="1649" spans="2:37" x14ac:dyDescent="0.2">
      <c r="B1649" s="7" t="s">
        <v>47</v>
      </c>
      <c r="C1649" s="8">
        <v>12329</v>
      </c>
      <c r="D1649" s="9" t="s">
        <v>705</v>
      </c>
      <c r="E1649" s="10" t="s">
        <v>706</v>
      </c>
      <c r="F1649" s="10" t="s">
        <v>707</v>
      </c>
      <c r="G1649" s="8">
        <v>1</v>
      </c>
      <c r="H1649" s="11">
        <v>300</v>
      </c>
      <c r="I1649" s="12">
        <v>42568</v>
      </c>
      <c r="J1649" s="13">
        <f t="shared" si="57"/>
        <v>0</v>
      </c>
      <c r="K1649" s="14"/>
      <c r="L1649" s="14"/>
      <c r="M1649" s="14"/>
      <c r="N1649" s="14"/>
      <c r="O1649" s="14"/>
      <c r="P1649" s="14"/>
      <c r="Q1649" s="14">
        <v>300</v>
      </c>
      <c r="R1649" s="14"/>
      <c r="S1649" s="14"/>
      <c r="T1649" s="14"/>
      <c r="U1649" s="14"/>
      <c r="V1649" s="14"/>
      <c r="W1649" s="15">
        <f t="shared" si="58"/>
        <v>300</v>
      </c>
      <c r="X1649" s="14"/>
      <c r="Y1649" s="14"/>
      <c r="Z1649" s="14"/>
      <c r="AA1649" s="14"/>
      <c r="AB1649" s="14"/>
      <c r="AC1649" s="14"/>
      <c r="AD1649" s="14"/>
      <c r="AE1649" s="14"/>
      <c r="AF1649" s="14"/>
      <c r="AG1649" s="14"/>
      <c r="AH1649" s="14"/>
      <c r="AI1649" s="14"/>
      <c r="AJ1649" s="15"/>
      <c r="AK1649" s="16"/>
    </row>
    <row r="1650" spans="2:37" x14ac:dyDescent="0.2">
      <c r="B1650" s="7" t="s">
        <v>69</v>
      </c>
      <c r="C1650" s="8">
        <v>12330</v>
      </c>
      <c r="D1650" s="9" t="s">
        <v>915</v>
      </c>
      <c r="E1650" s="10" t="s">
        <v>916</v>
      </c>
      <c r="F1650" s="10" t="s">
        <v>917</v>
      </c>
      <c r="G1650" s="8">
        <v>1</v>
      </c>
      <c r="H1650" s="11">
        <v>200</v>
      </c>
      <c r="I1650" s="12">
        <v>42568</v>
      </c>
      <c r="J1650" s="13">
        <f t="shared" si="57"/>
        <v>0</v>
      </c>
      <c r="K1650" s="14"/>
      <c r="L1650" s="14"/>
      <c r="M1650" s="14"/>
      <c r="N1650" s="14"/>
      <c r="O1650" s="14"/>
      <c r="P1650" s="14"/>
      <c r="Q1650" s="14">
        <v>200</v>
      </c>
      <c r="R1650" s="14"/>
      <c r="S1650" s="14"/>
      <c r="T1650" s="14"/>
      <c r="U1650" s="14"/>
      <c r="V1650" s="14"/>
      <c r="W1650" s="15">
        <f t="shared" si="58"/>
        <v>200</v>
      </c>
      <c r="X1650" s="14"/>
      <c r="Y1650" s="14"/>
      <c r="Z1650" s="14"/>
      <c r="AA1650" s="14"/>
      <c r="AB1650" s="14"/>
      <c r="AC1650" s="14"/>
      <c r="AD1650" s="14"/>
      <c r="AE1650" s="14"/>
      <c r="AF1650" s="14"/>
      <c r="AG1650" s="14"/>
      <c r="AH1650" s="14"/>
      <c r="AI1650" s="14"/>
      <c r="AJ1650" s="15"/>
      <c r="AK1650" s="16"/>
    </row>
    <row r="1651" spans="2:37" x14ac:dyDescent="0.2">
      <c r="B1651" s="7" t="s">
        <v>69</v>
      </c>
      <c r="C1651" s="8">
        <v>12330</v>
      </c>
      <c r="D1651" s="9" t="s">
        <v>915</v>
      </c>
      <c r="E1651" s="10" t="s">
        <v>916</v>
      </c>
      <c r="F1651" s="10" t="s">
        <v>917</v>
      </c>
      <c r="G1651" s="8">
        <v>5</v>
      </c>
      <c r="H1651" s="11">
        <v>150</v>
      </c>
      <c r="I1651" s="12">
        <v>42568</v>
      </c>
      <c r="J1651" s="13">
        <f t="shared" si="57"/>
        <v>0</v>
      </c>
      <c r="K1651" s="14"/>
      <c r="L1651" s="14"/>
      <c r="M1651" s="14"/>
      <c r="N1651" s="14"/>
      <c r="O1651" s="14"/>
      <c r="P1651" s="14"/>
      <c r="Q1651" s="14"/>
      <c r="R1651" s="14"/>
      <c r="S1651" s="14"/>
      <c r="T1651" s="14"/>
      <c r="U1651" s="14"/>
      <c r="V1651" s="14"/>
      <c r="W1651" s="15">
        <f t="shared" si="58"/>
        <v>0</v>
      </c>
      <c r="X1651" s="14"/>
      <c r="Y1651" s="14"/>
      <c r="Z1651" s="14"/>
      <c r="AA1651" s="14"/>
      <c r="AB1651" s="14"/>
      <c r="AC1651" s="14"/>
      <c r="AD1651" s="14"/>
      <c r="AE1651" s="14"/>
      <c r="AF1651" s="14"/>
      <c r="AG1651" s="14"/>
      <c r="AH1651" s="14"/>
      <c r="AI1651" s="14"/>
      <c r="AJ1651" s="15"/>
      <c r="AK1651" s="16"/>
    </row>
    <row r="1652" spans="2:37" x14ac:dyDescent="0.2">
      <c r="B1652" s="7" t="s">
        <v>122</v>
      </c>
      <c r="C1652" s="8">
        <v>12331</v>
      </c>
      <c r="D1652" s="9" t="s">
        <v>761</v>
      </c>
      <c r="E1652" s="10" t="s">
        <v>762</v>
      </c>
      <c r="F1652" s="10" t="s">
        <v>403</v>
      </c>
      <c r="G1652" s="8">
        <v>1</v>
      </c>
      <c r="H1652" s="11">
        <v>800</v>
      </c>
      <c r="I1652" s="12">
        <v>42568</v>
      </c>
      <c r="J1652" s="13">
        <f t="shared" si="57"/>
        <v>0</v>
      </c>
      <c r="K1652" s="14"/>
      <c r="L1652" s="14"/>
      <c r="M1652" s="14"/>
      <c r="N1652" s="14"/>
      <c r="O1652" s="14">
        <v>400</v>
      </c>
      <c r="P1652" s="14">
        <v>400</v>
      </c>
      <c r="Q1652" s="14"/>
      <c r="R1652" s="14"/>
      <c r="S1652" s="14"/>
      <c r="T1652" s="14"/>
      <c r="U1652" s="14"/>
      <c r="V1652" s="14"/>
      <c r="W1652" s="15">
        <f t="shared" si="58"/>
        <v>800</v>
      </c>
      <c r="X1652" s="14"/>
      <c r="Y1652" s="14"/>
      <c r="Z1652" s="14"/>
      <c r="AA1652" s="14"/>
      <c r="AB1652" s="14"/>
      <c r="AC1652" s="14"/>
      <c r="AD1652" s="14"/>
      <c r="AE1652" s="14"/>
      <c r="AF1652" s="14"/>
      <c r="AG1652" s="14"/>
      <c r="AH1652" s="14"/>
      <c r="AI1652" s="14"/>
      <c r="AJ1652" s="15"/>
      <c r="AK1652" s="16"/>
    </row>
    <row r="1653" spans="2:37" x14ac:dyDescent="0.2">
      <c r="B1653" s="7" t="s">
        <v>47</v>
      </c>
      <c r="C1653" s="8">
        <v>12332</v>
      </c>
      <c r="D1653" s="9" t="s">
        <v>655</v>
      </c>
      <c r="E1653" s="10" t="s">
        <v>656</v>
      </c>
      <c r="F1653" s="10" t="s">
        <v>657</v>
      </c>
      <c r="G1653" s="8">
        <v>1</v>
      </c>
      <c r="H1653" s="11">
        <v>400</v>
      </c>
      <c r="I1653" s="12">
        <v>42568</v>
      </c>
      <c r="J1653" s="13">
        <f t="shared" si="57"/>
        <v>0</v>
      </c>
      <c r="K1653" s="14"/>
      <c r="L1653" s="14"/>
      <c r="M1653" s="14"/>
      <c r="N1653" s="14">
        <v>400</v>
      </c>
      <c r="O1653" s="14"/>
      <c r="P1653" s="14"/>
      <c r="Q1653" s="14"/>
      <c r="R1653" s="14"/>
      <c r="S1653" s="14"/>
      <c r="T1653" s="14"/>
      <c r="U1653" s="14"/>
      <c r="V1653" s="14"/>
      <c r="W1653" s="15">
        <f t="shared" si="58"/>
        <v>400</v>
      </c>
      <c r="X1653" s="14"/>
      <c r="Y1653" s="14"/>
      <c r="Z1653" s="14"/>
      <c r="AA1653" s="14"/>
      <c r="AB1653" s="14"/>
      <c r="AC1653" s="14"/>
      <c r="AD1653" s="14"/>
      <c r="AE1653" s="14"/>
      <c r="AF1653" s="14"/>
      <c r="AG1653" s="14"/>
      <c r="AH1653" s="14"/>
      <c r="AI1653" s="14"/>
      <c r="AJ1653" s="15"/>
      <c r="AK1653" s="16"/>
    </row>
    <row r="1654" spans="2:37" x14ac:dyDescent="0.2">
      <c r="B1654" s="7" t="s">
        <v>73</v>
      </c>
      <c r="C1654" s="8">
        <v>12333</v>
      </c>
      <c r="D1654" s="9" t="s">
        <v>911</v>
      </c>
      <c r="E1654" s="10" t="s">
        <v>912</v>
      </c>
      <c r="F1654" s="10" t="s">
        <v>397</v>
      </c>
      <c r="G1654" s="8">
        <v>1</v>
      </c>
      <c r="H1654" s="11">
        <v>800</v>
      </c>
      <c r="I1654" s="12">
        <v>42568</v>
      </c>
      <c r="J1654" s="13">
        <f t="shared" si="57"/>
        <v>0</v>
      </c>
      <c r="K1654" s="14"/>
      <c r="L1654" s="14"/>
      <c r="M1654" s="14"/>
      <c r="N1654" s="14"/>
      <c r="O1654" s="14"/>
      <c r="P1654" s="14">
        <v>400</v>
      </c>
      <c r="Q1654" s="14">
        <v>400</v>
      </c>
      <c r="R1654" s="14"/>
      <c r="S1654" s="14"/>
      <c r="T1654" s="14"/>
      <c r="U1654" s="14"/>
      <c r="V1654" s="14"/>
      <c r="W1654" s="15">
        <f t="shared" si="58"/>
        <v>800</v>
      </c>
      <c r="X1654" s="14"/>
      <c r="Y1654" s="14"/>
      <c r="Z1654" s="14"/>
      <c r="AA1654" s="14"/>
      <c r="AB1654" s="14"/>
      <c r="AC1654" s="14"/>
      <c r="AD1654" s="14"/>
      <c r="AE1654" s="14"/>
      <c r="AF1654" s="14"/>
      <c r="AG1654" s="14"/>
      <c r="AH1654" s="14"/>
      <c r="AI1654" s="14"/>
      <c r="AJ1654" s="15"/>
      <c r="AK1654" s="16"/>
    </row>
    <row r="1655" spans="2:37" x14ac:dyDescent="0.2">
      <c r="B1655" s="7" t="s">
        <v>37</v>
      </c>
      <c r="C1655" s="8">
        <v>12334</v>
      </c>
      <c r="D1655" s="9" t="s">
        <v>843</v>
      </c>
      <c r="E1655" s="10" t="s">
        <v>844</v>
      </c>
      <c r="F1655" s="10" t="s">
        <v>845</v>
      </c>
      <c r="G1655" s="8">
        <v>1</v>
      </c>
      <c r="H1655" s="11">
        <v>800</v>
      </c>
      <c r="I1655" s="12">
        <v>42568</v>
      </c>
      <c r="J1655" s="13">
        <f t="shared" si="57"/>
        <v>0</v>
      </c>
      <c r="K1655" s="14"/>
      <c r="L1655" s="14"/>
      <c r="M1655" s="14"/>
      <c r="N1655" s="14">
        <v>200</v>
      </c>
      <c r="O1655" s="14">
        <v>200</v>
      </c>
      <c r="P1655" s="14">
        <v>200</v>
      </c>
      <c r="Q1655" s="14">
        <v>200</v>
      </c>
      <c r="R1655" s="14"/>
      <c r="S1655" s="14"/>
      <c r="T1655" s="14"/>
      <c r="U1655" s="14"/>
      <c r="V1655" s="14"/>
      <c r="W1655" s="15">
        <f t="shared" si="58"/>
        <v>800</v>
      </c>
      <c r="X1655" s="14"/>
      <c r="Y1655" s="14"/>
      <c r="Z1655" s="14"/>
      <c r="AA1655" s="14"/>
      <c r="AB1655" s="14"/>
      <c r="AC1655" s="14"/>
      <c r="AD1655" s="14"/>
      <c r="AE1655" s="14"/>
      <c r="AF1655" s="14"/>
      <c r="AG1655" s="14"/>
      <c r="AH1655" s="14"/>
      <c r="AI1655" s="14"/>
      <c r="AJ1655" s="15"/>
      <c r="AK1655" s="16"/>
    </row>
    <row r="1656" spans="2:37" x14ac:dyDescent="0.2">
      <c r="B1656" s="7" t="s">
        <v>37</v>
      </c>
      <c r="C1656" s="8">
        <v>12334</v>
      </c>
      <c r="D1656" s="9" t="s">
        <v>843</v>
      </c>
      <c r="E1656" s="10" t="s">
        <v>844</v>
      </c>
      <c r="F1656" s="10" t="s">
        <v>845</v>
      </c>
      <c r="G1656" s="8">
        <v>5</v>
      </c>
      <c r="H1656" s="11">
        <v>150</v>
      </c>
      <c r="I1656" s="12">
        <v>42568</v>
      </c>
      <c r="J1656" s="13">
        <f t="shared" si="57"/>
        <v>0</v>
      </c>
      <c r="K1656" s="14"/>
      <c r="L1656" s="14"/>
      <c r="M1656" s="14"/>
      <c r="N1656" s="14"/>
      <c r="O1656" s="14"/>
      <c r="P1656" s="14"/>
      <c r="Q1656" s="14"/>
      <c r="R1656" s="14"/>
      <c r="S1656" s="14"/>
      <c r="T1656" s="14"/>
      <c r="U1656" s="14"/>
      <c r="V1656" s="14"/>
      <c r="W1656" s="15">
        <f t="shared" si="58"/>
        <v>0</v>
      </c>
      <c r="X1656" s="14"/>
      <c r="Y1656" s="14"/>
      <c r="Z1656" s="14"/>
      <c r="AA1656" s="14"/>
      <c r="AB1656" s="14"/>
      <c r="AC1656" s="14"/>
      <c r="AD1656" s="14"/>
      <c r="AE1656" s="14"/>
      <c r="AF1656" s="14"/>
      <c r="AG1656" s="14"/>
      <c r="AH1656" s="14"/>
      <c r="AI1656" s="14"/>
      <c r="AJ1656" s="15"/>
      <c r="AK1656" s="16"/>
    </row>
    <row r="1657" spans="2:37" x14ac:dyDescent="0.2">
      <c r="B1657" s="7" t="s">
        <v>37</v>
      </c>
      <c r="C1657" s="8">
        <v>12335</v>
      </c>
      <c r="D1657" s="9" t="s">
        <v>1020</v>
      </c>
      <c r="E1657" s="10" t="s">
        <v>1021</v>
      </c>
      <c r="F1657" s="10" t="s">
        <v>1022</v>
      </c>
      <c r="G1657" s="8">
        <v>1</v>
      </c>
      <c r="H1657" s="11">
        <v>400</v>
      </c>
      <c r="I1657" s="12">
        <v>42568</v>
      </c>
      <c r="J1657" s="13">
        <f t="shared" si="57"/>
        <v>0</v>
      </c>
      <c r="K1657" s="14"/>
      <c r="L1657" s="14"/>
      <c r="M1657" s="14"/>
      <c r="N1657" s="14"/>
      <c r="O1657" s="14"/>
      <c r="P1657" s="14"/>
      <c r="Q1657" s="14">
        <v>400</v>
      </c>
      <c r="R1657" s="14"/>
      <c r="S1657" s="14"/>
      <c r="T1657" s="14"/>
      <c r="U1657" s="14"/>
      <c r="V1657" s="14"/>
      <c r="W1657" s="15">
        <f t="shared" si="58"/>
        <v>400</v>
      </c>
      <c r="X1657" s="14"/>
      <c r="Y1657" s="14"/>
      <c r="Z1657" s="14"/>
      <c r="AA1657" s="14"/>
      <c r="AB1657" s="14"/>
      <c r="AC1657" s="14"/>
      <c r="AD1657" s="14"/>
      <c r="AE1657" s="14"/>
      <c r="AF1657" s="14"/>
      <c r="AG1657" s="14"/>
      <c r="AH1657" s="14"/>
      <c r="AI1657" s="14"/>
      <c r="AJ1657" s="15"/>
      <c r="AK1657" s="16"/>
    </row>
    <row r="1658" spans="2:37" x14ac:dyDescent="0.2">
      <c r="B1658" s="7" t="s">
        <v>37</v>
      </c>
      <c r="C1658" s="8">
        <v>12335</v>
      </c>
      <c r="D1658" s="9" t="s">
        <v>1020</v>
      </c>
      <c r="E1658" s="10" t="s">
        <v>1021</v>
      </c>
      <c r="F1658" s="10" t="s">
        <v>1022</v>
      </c>
      <c r="G1658" s="8">
        <v>3</v>
      </c>
      <c r="H1658" s="11">
        <v>200</v>
      </c>
      <c r="I1658" s="12">
        <v>42568</v>
      </c>
      <c r="J1658" s="13">
        <f t="shared" si="57"/>
        <v>0</v>
      </c>
      <c r="K1658" s="14"/>
      <c r="L1658" s="14"/>
      <c r="M1658" s="14"/>
      <c r="N1658" s="14"/>
      <c r="O1658" s="14"/>
      <c r="P1658" s="14"/>
      <c r="Q1658" s="14"/>
      <c r="R1658" s="14"/>
      <c r="S1658" s="14"/>
      <c r="T1658" s="14"/>
      <c r="U1658" s="14"/>
      <c r="V1658" s="14"/>
      <c r="W1658" s="15">
        <f t="shared" si="58"/>
        <v>0</v>
      </c>
      <c r="X1658" s="14"/>
      <c r="Y1658" s="14"/>
      <c r="Z1658" s="14"/>
      <c r="AA1658" s="14"/>
      <c r="AB1658" s="14"/>
      <c r="AC1658" s="14"/>
      <c r="AD1658" s="14"/>
      <c r="AE1658" s="14"/>
      <c r="AF1658" s="14"/>
      <c r="AG1658" s="14"/>
      <c r="AH1658" s="14"/>
      <c r="AI1658" s="14"/>
      <c r="AJ1658" s="15"/>
      <c r="AK1658" s="16"/>
    </row>
    <row r="1659" spans="2:37" x14ac:dyDescent="0.2">
      <c r="B1659" s="7" t="s">
        <v>37</v>
      </c>
      <c r="C1659" s="8">
        <v>12335</v>
      </c>
      <c r="D1659" s="9" t="s">
        <v>1020</v>
      </c>
      <c r="E1659" s="10" t="s">
        <v>1021</v>
      </c>
      <c r="F1659" s="10" t="s">
        <v>1022</v>
      </c>
      <c r="G1659" s="8">
        <v>4</v>
      </c>
      <c r="H1659" s="11">
        <v>200</v>
      </c>
      <c r="I1659" s="12">
        <v>42568</v>
      </c>
      <c r="J1659" s="13">
        <f t="shared" si="57"/>
        <v>0</v>
      </c>
      <c r="K1659" s="14"/>
      <c r="L1659" s="14"/>
      <c r="M1659" s="14"/>
      <c r="N1659" s="14"/>
      <c r="O1659" s="14"/>
      <c r="P1659" s="14"/>
      <c r="Q1659" s="14"/>
      <c r="R1659" s="14"/>
      <c r="S1659" s="14"/>
      <c r="T1659" s="14"/>
      <c r="U1659" s="14"/>
      <c r="V1659" s="14"/>
      <c r="W1659" s="15">
        <f t="shared" si="58"/>
        <v>0</v>
      </c>
      <c r="X1659" s="14"/>
      <c r="Y1659" s="14"/>
      <c r="Z1659" s="14"/>
      <c r="AA1659" s="14"/>
      <c r="AB1659" s="14"/>
      <c r="AC1659" s="14"/>
      <c r="AD1659" s="14"/>
      <c r="AE1659" s="14"/>
      <c r="AF1659" s="14"/>
      <c r="AG1659" s="14"/>
      <c r="AH1659" s="14"/>
      <c r="AI1659" s="14"/>
      <c r="AJ1659" s="15"/>
      <c r="AK1659" s="16"/>
    </row>
    <row r="1660" spans="2:37" x14ac:dyDescent="0.2">
      <c r="B1660" s="7" t="s">
        <v>37</v>
      </c>
      <c r="C1660" s="8">
        <v>12335</v>
      </c>
      <c r="D1660" s="9" t="s">
        <v>1020</v>
      </c>
      <c r="E1660" s="10" t="s">
        <v>1021</v>
      </c>
      <c r="F1660" s="10" t="s">
        <v>1022</v>
      </c>
      <c r="G1660" s="8">
        <v>5</v>
      </c>
      <c r="H1660" s="11">
        <v>50</v>
      </c>
      <c r="I1660" s="12">
        <v>42568</v>
      </c>
      <c r="J1660" s="13">
        <f t="shared" si="57"/>
        <v>0</v>
      </c>
      <c r="K1660" s="14"/>
      <c r="L1660" s="14"/>
      <c r="M1660" s="14"/>
      <c r="N1660" s="14"/>
      <c r="O1660" s="14"/>
      <c r="P1660" s="14"/>
      <c r="Q1660" s="14"/>
      <c r="R1660" s="14"/>
      <c r="S1660" s="14"/>
      <c r="T1660" s="14"/>
      <c r="U1660" s="14"/>
      <c r="V1660" s="14"/>
      <c r="W1660" s="15">
        <f t="shared" si="58"/>
        <v>0</v>
      </c>
      <c r="X1660" s="14"/>
      <c r="Y1660" s="14"/>
      <c r="Z1660" s="14"/>
      <c r="AA1660" s="14"/>
      <c r="AB1660" s="14"/>
      <c r="AC1660" s="14"/>
      <c r="AD1660" s="14"/>
      <c r="AE1660" s="14"/>
      <c r="AF1660" s="14"/>
      <c r="AG1660" s="14"/>
      <c r="AH1660" s="14"/>
      <c r="AI1660" s="14"/>
      <c r="AJ1660" s="15"/>
      <c r="AK1660" s="16"/>
    </row>
    <row r="1661" spans="2:37" x14ac:dyDescent="0.2">
      <c r="B1661" s="7" t="s">
        <v>37</v>
      </c>
      <c r="C1661" s="8">
        <v>12336</v>
      </c>
      <c r="D1661" s="9" t="s">
        <v>401</v>
      </c>
      <c r="E1661" s="10" t="s">
        <v>402</v>
      </c>
      <c r="F1661" s="10" t="s">
        <v>403</v>
      </c>
      <c r="G1661" s="8">
        <v>1</v>
      </c>
      <c r="H1661" s="11">
        <v>800</v>
      </c>
      <c r="I1661" s="12">
        <v>42568</v>
      </c>
      <c r="J1661" s="13">
        <f t="shared" si="57"/>
        <v>0</v>
      </c>
      <c r="K1661" s="14"/>
      <c r="L1661" s="14"/>
      <c r="M1661" s="14"/>
      <c r="N1661" s="14"/>
      <c r="O1661" s="14">
        <v>400</v>
      </c>
      <c r="P1661" s="14">
        <v>400</v>
      </c>
      <c r="Q1661" s="14"/>
      <c r="R1661" s="14"/>
      <c r="S1661" s="14"/>
      <c r="T1661" s="14"/>
      <c r="U1661" s="14"/>
      <c r="V1661" s="14"/>
      <c r="W1661" s="15">
        <f t="shared" si="58"/>
        <v>800</v>
      </c>
      <c r="X1661" s="14"/>
      <c r="Y1661" s="14"/>
      <c r="Z1661" s="14"/>
      <c r="AA1661" s="14"/>
      <c r="AB1661" s="14"/>
      <c r="AC1661" s="14"/>
      <c r="AD1661" s="14"/>
      <c r="AE1661" s="14"/>
      <c r="AF1661" s="14"/>
      <c r="AG1661" s="14"/>
      <c r="AH1661" s="14"/>
      <c r="AI1661" s="14"/>
      <c r="AJ1661" s="15"/>
      <c r="AK1661" s="16"/>
    </row>
    <row r="1662" spans="2:37" x14ac:dyDescent="0.2">
      <c r="B1662" s="7" t="s">
        <v>73</v>
      </c>
      <c r="C1662" s="8">
        <v>12337</v>
      </c>
      <c r="D1662" s="9" t="s">
        <v>922</v>
      </c>
      <c r="E1662" s="10" t="s">
        <v>923</v>
      </c>
      <c r="F1662" s="10" t="s">
        <v>924</v>
      </c>
      <c r="G1662" s="8">
        <v>1</v>
      </c>
      <c r="H1662" s="11">
        <v>500</v>
      </c>
      <c r="I1662" s="12">
        <v>42568</v>
      </c>
      <c r="J1662" s="13">
        <f t="shared" si="57"/>
        <v>0</v>
      </c>
      <c r="K1662" s="14"/>
      <c r="L1662" s="14"/>
      <c r="M1662" s="14"/>
      <c r="N1662" s="14"/>
      <c r="O1662" s="14">
        <v>250</v>
      </c>
      <c r="P1662" s="14">
        <v>250</v>
      </c>
      <c r="Q1662" s="14"/>
      <c r="R1662" s="14"/>
      <c r="S1662" s="14"/>
      <c r="T1662" s="14"/>
      <c r="U1662" s="14"/>
      <c r="V1662" s="14"/>
      <c r="W1662" s="15">
        <f t="shared" si="58"/>
        <v>500</v>
      </c>
      <c r="X1662" s="14"/>
      <c r="Y1662" s="14"/>
      <c r="Z1662" s="14"/>
      <c r="AA1662" s="14"/>
      <c r="AB1662" s="14"/>
      <c r="AC1662" s="14"/>
      <c r="AD1662" s="14"/>
      <c r="AE1662" s="14"/>
      <c r="AF1662" s="14"/>
      <c r="AG1662" s="14"/>
      <c r="AH1662" s="14"/>
      <c r="AI1662" s="14"/>
      <c r="AJ1662" s="15"/>
      <c r="AK1662" s="16"/>
    </row>
    <row r="1663" spans="2:37" x14ac:dyDescent="0.2">
      <c r="B1663" s="7" t="s">
        <v>73</v>
      </c>
      <c r="C1663" s="8">
        <v>12337</v>
      </c>
      <c r="D1663" s="9" t="s">
        <v>922</v>
      </c>
      <c r="E1663" s="10" t="s">
        <v>923</v>
      </c>
      <c r="F1663" s="10" t="s">
        <v>924</v>
      </c>
      <c r="G1663" s="8">
        <v>5</v>
      </c>
      <c r="H1663" s="11">
        <v>100</v>
      </c>
      <c r="I1663" s="12">
        <v>42568</v>
      </c>
      <c r="J1663" s="13">
        <f t="shared" si="57"/>
        <v>0</v>
      </c>
      <c r="K1663" s="14"/>
      <c r="L1663" s="14"/>
      <c r="M1663" s="14"/>
      <c r="N1663" s="14"/>
      <c r="O1663" s="14"/>
      <c r="P1663" s="14"/>
      <c r="Q1663" s="14"/>
      <c r="R1663" s="14"/>
      <c r="S1663" s="14"/>
      <c r="T1663" s="14"/>
      <c r="U1663" s="14"/>
      <c r="V1663" s="14"/>
      <c r="W1663" s="15">
        <f t="shared" si="58"/>
        <v>0</v>
      </c>
      <c r="X1663" s="14"/>
      <c r="Y1663" s="14"/>
      <c r="Z1663" s="14"/>
      <c r="AA1663" s="14"/>
      <c r="AB1663" s="14"/>
      <c r="AC1663" s="14"/>
      <c r="AD1663" s="14"/>
      <c r="AE1663" s="14"/>
      <c r="AF1663" s="14"/>
      <c r="AG1663" s="14"/>
      <c r="AH1663" s="14"/>
      <c r="AI1663" s="14"/>
      <c r="AJ1663" s="15"/>
      <c r="AK1663" s="16"/>
    </row>
    <row r="1664" spans="2:37" x14ac:dyDescent="0.2">
      <c r="B1664" s="7" t="s">
        <v>69</v>
      </c>
      <c r="C1664" s="8">
        <v>12338</v>
      </c>
      <c r="D1664" s="9" t="s">
        <v>410</v>
      </c>
      <c r="E1664" s="10" t="s">
        <v>411</v>
      </c>
      <c r="F1664" s="10" t="s">
        <v>412</v>
      </c>
      <c r="G1664" s="8">
        <v>3</v>
      </c>
      <c r="H1664" s="11">
        <v>200</v>
      </c>
      <c r="I1664" s="12">
        <v>42568</v>
      </c>
      <c r="J1664" s="13">
        <f t="shared" si="57"/>
        <v>0</v>
      </c>
      <c r="K1664" s="14"/>
      <c r="L1664" s="14"/>
      <c r="M1664" s="14"/>
      <c r="N1664" s="14"/>
      <c r="O1664" s="14"/>
      <c r="P1664" s="14"/>
      <c r="Q1664" s="14"/>
      <c r="R1664" s="14"/>
      <c r="S1664" s="14"/>
      <c r="T1664" s="14"/>
      <c r="U1664" s="14"/>
      <c r="V1664" s="14"/>
      <c r="W1664" s="15">
        <f t="shared" si="58"/>
        <v>0</v>
      </c>
      <c r="X1664" s="14"/>
      <c r="Y1664" s="14"/>
      <c r="Z1664" s="14"/>
      <c r="AA1664" s="14"/>
      <c r="AB1664" s="14"/>
      <c r="AC1664" s="14"/>
      <c r="AD1664" s="14"/>
      <c r="AE1664" s="14"/>
      <c r="AF1664" s="14"/>
      <c r="AG1664" s="14"/>
      <c r="AH1664" s="14"/>
      <c r="AI1664" s="14"/>
      <c r="AJ1664" s="15"/>
      <c r="AK1664" s="16"/>
    </row>
    <row r="1665" spans="2:37" x14ac:dyDescent="0.2">
      <c r="B1665" s="7" t="s">
        <v>37</v>
      </c>
      <c r="C1665" s="8">
        <v>12339</v>
      </c>
      <c r="D1665" s="9" t="s">
        <v>716</v>
      </c>
      <c r="E1665" s="10" t="s">
        <v>717</v>
      </c>
      <c r="F1665" s="10" t="s">
        <v>718</v>
      </c>
      <c r="G1665" s="8">
        <v>1</v>
      </c>
      <c r="H1665" s="11">
        <v>600</v>
      </c>
      <c r="I1665" s="12">
        <v>42568</v>
      </c>
      <c r="J1665" s="13">
        <f t="shared" si="57"/>
        <v>0</v>
      </c>
      <c r="K1665" s="14"/>
      <c r="L1665" s="14"/>
      <c r="M1665" s="14"/>
      <c r="N1665" s="14"/>
      <c r="O1665" s="14"/>
      <c r="P1665" s="14"/>
      <c r="Q1665" s="14">
        <v>300</v>
      </c>
      <c r="R1665" s="14">
        <v>300</v>
      </c>
      <c r="S1665" s="14"/>
      <c r="T1665" s="14"/>
      <c r="U1665" s="14"/>
      <c r="V1665" s="14"/>
      <c r="W1665" s="15">
        <f t="shared" si="58"/>
        <v>600</v>
      </c>
      <c r="X1665" s="14"/>
      <c r="Y1665" s="14"/>
      <c r="Z1665" s="14"/>
      <c r="AA1665" s="14"/>
      <c r="AB1665" s="14"/>
      <c r="AC1665" s="14"/>
      <c r="AD1665" s="14"/>
      <c r="AE1665" s="14"/>
      <c r="AF1665" s="14"/>
      <c r="AG1665" s="14"/>
      <c r="AH1665" s="14"/>
      <c r="AI1665" s="14"/>
      <c r="AJ1665" s="15"/>
      <c r="AK1665" s="16"/>
    </row>
    <row r="1666" spans="2:37" x14ac:dyDescent="0.2">
      <c r="B1666" s="7" t="s">
        <v>37</v>
      </c>
      <c r="C1666" s="8">
        <v>12340</v>
      </c>
      <c r="D1666" s="9" t="s">
        <v>716</v>
      </c>
      <c r="E1666" s="10" t="s">
        <v>717</v>
      </c>
      <c r="F1666" s="10" t="s">
        <v>718</v>
      </c>
      <c r="G1666" s="8">
        <v>5</v>
      </c>
      <c r="H1666" s="11">
        <v>50</v>
      </c>
      <c r="I1666" s="12">
        <v>42568</v>
      </c>
      <c r="J1666" s="13">
        <f t="shared" si="57"/>
        <v>0</v>
      </c>
      <c r="K1666" s="14"/>
      <c r="L1666" s="14"/>
      <c r="M1666" s="14"/>
      <c r="N1666" s="14"/>
      <c r="O1666" s="14"/>
      <c r="P1666" s="14"/>
      <c r="Q1666" s="14"/>
      <c r="R1666" s="14"/>
      <c r="S1666" s="14"/>
      <c r="T1666" s="14"/>
      <c r="U1666" s="14"/>
      <c r="V1666" s="14"/>
      <c r="W1666" s="15">
        <f t="shared" si="58"/>
        <v>0</v>
      </c>
      <c r="X1666" s="14"/>
      <c r="Y1666" s="14"/>
      <c r="Z1666" s="14"/>
      <c r="AA1666" s="14"/>
      <c r="AB1666" s="14"/>
      <c r="AC1666" s="14"/>
      <c r="AD1666" s="14"/>
      <c r="AE1666" s="14"/>
      <c r="AF1666" s="14"/>
      <c r="AG1666" s="14"/>
      <c r="AH1666" s="14"/>
      <c r="AI1666" s="14"/>
      <c r="AJ1666" s="15"/>
      <c r="AK1666" s="16"/>
    </row>
    <row r="1667" spans="2:37" x14ac:dyDescent="0.2">
      <c r="B1667" s="7" t="s">
        <v>77</v>
      </c>
      <c r="C1667" s="8">
        <v>12341</v>
      </c>
      <c r="D1667" s="9" t="s">
        <v>156</v>
      </c>
      <c r="E1667" s="10" t="s">
        <v>157</v>
      </c>
      <c r="F1667" s="10" t="s">
        <v>158</v>
      </c>
      <c r="G1667" s="8">
        <v>1</v>
      </c>
      <c r="H1667" s="11">
        <v>300</v>
      </c>
      <c r="I1667" s="12">
        <v>42568</v>
      </c>
      <c r="J1667" s="13">
        <f t="shared" si="57"/>
        <v>0</v>
      </c>
      <c r="K1667" s="14"/>
      <c r="L1667" s="14"/>
      <c r="M1667" s="14"/>
      <c r="N1667" s="14"/>
      <c r="O1667" s="14"/>
      <c r="P1667" s="14"/>
      <c r="Q1667" s="14">
        <v>300</v>
      </c>
      <c r="R1667" s="14"/>
      <c r="S1667" s="14"/>
      <c r="T1667" s="14"/>
      <c r="U1667" s="14"/>
      <c r="V1667" s="14"/>
      <c r="W1667" s="15">
        <f t="shared" si="58"/>
        <v>300</v>
      </c>
      <c r="X1667" s="14"/>
      <c r="Y1667" s="14"/>
      <c r="Z1667" s="14"/>
      <c r="AA1667" s="14"/>
      <c r="AB1667" s="14"/>
      <c r="AC1667" s="14"/>
      <c r="AD1667" s="14"/>
      <c r="AE1667" s="14"/>
      <c r="AF1667" s="14"/>
      <c r="AG1667" s="14"/>
      <c r="AH1667" s="14"/>
      <c r="AI1667" s="14"/>
      <c r="AJ1667" s="15"/>
      <c r="AK1667" s="16"/>
    </row>
    <row r="1668" spans="2:37" x14ac:dyDescent="0.2">
      <c r="B1668" s="7" t="s">
        <v>61</v>
      </c>
      <c r="C1668" s="8">
        <v>12342</v>
      </c>
      <c r="D1668" s="9" t="s">
        <v>214</v>
      </c>
      <c r="E1668" s="10" t="s">
        <v>215</v>
      </c>
      <c r="F1668" s="10" t="s">
        <v>216</v>
      </c>
      <c r="G1668" s="8">
        <v>1</v>
      </c>
      <c r="H1668" s="11">
        <v>600</v>
      </c>
      <c r="I1668" s="12">
        <v>42568</v>
      </c>
      <c r="J1668" s="13">
        <f t="shared" si="57"/>
        <v>0</v>
      </c>
      <c r="K1668" s="14"/>
      <c r="L1668" s="14"/>
      <c r="M1668" s="14"/>
      <c r="N1668" s="14"/>
      <c r="O1668" s="14">
        <v>200</v>
      </c>
      <c r="P1668" s="14">
        <v>200</v>
      </c>
      <c r="Q1668" s="14">
        <v>200</v>
      </c>
      <c r="R1668" s="14"/>
      <c r="S1668" s="14"/>
      <c r="T1668" s="14"/>
      <c r="U1668" s="14"/>
      <c r="V1668" s="14"/>
      <c r="W1668" s="15">
        <f t="shared" si="58"/>
        <v>600</v>
      </c>
      <c r="X1668" s="14"/>
      <c r="Y1668" s="14"/>
      <c r="Z1668" s="14"/>
      <c r="AA1668" s="14"/>
      <c r="AB1668" s="14"/>
      <c r="AC1668" s="14"/>
      <c r="AD1668" s="14"/>
      <c r="AE1668" s="14"/>
      <c r="AF1668" s="14"/>
      <c r="AG1668" s="14"/>
      <c r="AH1668" s="14"/>
      <c r="AI1668" s="14"/>
      <c r="AJ1668" s="15"/>
      <c r="AK1668" s="16"/>
    </row>
    <row r="1669" spans="2:37" x14ac:dyDescent="0.2">
      <c r="B1669" s="7" t="s">
        <v>69</v>
      </c>
      <c r="C1669" s="8">
        <v>12343</v>
      </c>
      <c r="D1669" s="9" t="s">
        <v>643</v>
      </c>
      <c r="E1669" s="10" t="s">
        <v>644</v>
      </c>
      <c r="F1669" s="10" t="s">
        <v>645</v>
      </c>
      <c r="G1669" s="8">
        <v>1</v>
      </c>
      <c r="H1669" s="11">
        <v>1000</v>
      </c>
      <c r="I1669" s="12">
        <v>42570</v>
      </c>
      <c r="J1669" s="13">
        <f t="shared" si="57"/>
        <v>0</v>
      </c>
      <c r="K1669" s="14"/>
      <c r="L1669" s="14"/>
      <c r="M1669" s="14">
        <v>200</v>
      </c>
      <c r="N1669" s="14">
        <v>200</v>
      </c>
      <c r="O1669" s="14">
        <v>200</v>
      </c>
      <c r="P1669" s="14">
        <v>200</v>
      </c>
      <c r="Q1669" s="14">
        <v>200</v>
      </c>
      <c r="R1669" s="14"/>
      <c r="S1669" s="14"/>
      <c r="T1669" s="14"/>
      <c r="U1669" s="14"/>
      <c r="V1669" s="14"/>
      <c r="W1669" s="15">
        <f t="shared" si="58"/>
        <v>1000</v>
      </c>
      <c r="X1669" s="14"/>
      <c r="Y1669" s="14"/>
      <c r="Z1669" s="14"/>
      <c r="AA1669" s="14"/>
      <c r="AB1669" s="14"/>
      <c r="AC1669" s="14"/>
      <c r="AD1669" s="14"/>
      <c r="AE1669" s="14"/>
      <c r="AF1669" s="14"/>
      <c r="AG1669" s="14"/>
      <c r="AH1669" s="14"/>
      <c r="AI1669" s="14"/>
      <c r="AJ1669" s="15"/>
      <c r="AK1669" s="16"/>
    </row>
    <row r="1670" spans="2:37" x14ac:dyDescent="0.2">
      <c r="B1670" s="7" t="s">
        <v>69</v>
      </c>
      <c r="C1670" s="8">
        <v>12344</v>
      </c>
      <c r="D1670" s="9" t="s">
        <v>643</v>
      </c>
      <c r="E1670" s="10" t="s">
        <v>644</v>
      </c>
      <c r="F1670" s="10" t="s">
        <v>645</v>
      </c>
      <c r="G1670" s="8">
        <v>5</v>
      </c>
      <c r="H1670" s="11">
        <v>50</v>
      </c>
      <c r="I1670" s="12">
        <v>42570</v>
      </c>
      <c r="J1670" s="13">
        <f t="shared" si="57"/>
        <v>0</v>
      </c>
      <c r="K1670" s="14"/>
      <c r="L1670" s="14"/>
      <c r="M1670" s="14"/>
      <c r="N1670" s="14"/>
      <c r="O1670" s="14"/>
      <c r="P1670" s="14"/>
      <c r="Q1670" s="14"/>
      <c r="R1670" s="14"/>
      <c r="S1670" s="14"/>
      <c r="T1670" s="14"/>
      <c r="U1670" s="14"/>
      <c r="V1670" s="14"/>
      <c r="W1670" s="15">
        <f t="shared" si="58"/>
        <v>0</v>
      </c>
      <c r="X1670" s="14"/>
      <c r="Y1670" s="14"/>
      <c r="Z1670" s="14"/>
      <c r="AA1670" s="14"/>
      <c r="AB1670" s="14"/>
      <c r="AC1670" s="14"/>
      <c r="AD1670" s="14"/>
      <c r="AE1670" s="14"/>
      <c r="AF1670" s="14"/>
      <c r="AG1670" s="14"/>
      <c r="AH1670" s="14"/>
      <c r="AI1670" s="14"/>
      <c r="AJ1670" s="15"/>
      <c r="AK1670" s="16"/>
    </row>
    <row r="1671" spans="2:37" x14ac:dyDescent="0.2">
      <c r="B1671" s="7" t="s">
        <v>47</v>
      </c>
      <c r="C1671" s="8">
        <v>12345</v>
      </c>
      <c r="D1671" s="9" t="s">
        <v>971</v>
      </c>
      <c r="E1671" s="10" t="s">
        <v>972</v>
      </c>
      <c r="F1671" s="10" t="s">
        <v>973</v>
      </c>
      <c r="G1671" s="8">
        <v>1</v>
      </c>
      <c r="H1671" s="11">
        <v>4400</v>
      </c>
      <c r="I1671" s="12">
        <v>42570</v>
      </c>
      <c r="J1671" s="13">
        <f t="shared" si="57"/>
        <v>0</v>
      </c>
      <c r="K1671" s="14">
        <v>400</v>
      </c>
      <c r="L1671" s="14">
        <v>400</v>
      </c>
      <c r="M1671" s="14">
        <v>400</v>
      </c>
      <c r="N1671" s="14">
        <v>400</v>
      </c>
      <c r="O1671" s="14">
        <v>400</v>
      </c>
      <c r="P1671" s="14">
        <v>400</v>
      </c>
      <c r="Q1671" s="14">
        <v>400</v>
      </c>
      <c r="R1671" s="14">
        <v>400</v>
      </c>
      <c r="S1671" s="14">
        <v>400</v>
      </c>
      <c r="T1671" s="14">
        <v>400</v>
      </c>
      <c r="U1671" s="14">
        <v>400</v>
      </c>
      <c r="V1671" s="14"/>
      <c r="W1671" s="15">
        <f t="shared" si="58"/>
        <v>4400</v>
      </c>
      <c r="X1671" s="14"/>
      <c r="Y1671" s="14"/>
      <c r="Z1671" s="14"/>
      <c r="AA1671" s="14"/>
      <c r="AB1671" s="14"/>
      <c r="AC1671" s="14"/>
      <c r="AD1671" s="14"/>
      <c r="AE1671" s="14"/>
      <c r="AF1671" s="14"/>
      <c r="AG1671" s="14"/>
      <c r="AH1671" s="14"/>
      <c r="AI1671" s="14"/>
      <c r="AJ1671" s="15"/>
      <c r="AK1671" s="16"/>
    </row>
    <row r="1672" spans="2:37" x14ac:dyDescent="0.2">
      <c r="B1672" s="7" t="s">
        <v>47</v>
      </c>
      <c r="C1672" s="8">
        <v>12345</v>
      </c>
      <c r="D1672" s="9" t="s">
        <v>971</v>
      </c>
      <c r="E1672" s="10" t="s">
        <v>972</v>
      </c>
      <c r="F1672" s="10" t="s">
        <v>973</v>
      </c>
      <c r="G1672" s="8">
        <v>5</v>
      </c>
      <c r="H1672" s="11">
        <v>100</v>
      </c>
      <c r="I1672" s="12">
        <v>42570</v>
      </c>
      <c r="J1672" s="13">
        <f t="shared" si="57"/>
        <v>0</v>
      </c>
      <c r="K1672" s="14"/>
      <c r="L1672" s="14"/>
      <c r="M1672" s="14"/>
      <c r="N1672" s="14"/>
      <c r="O1672" s="14"/>
      <c r="P1672" s="14"/>
      <c r="Q1672" s="14"/>
      <c r="R1672" s="14"/>
      <c r="S1672" s="14"/>
      <c r="T1672" s="14"/>
      <c r="U1672" s="14"/>
      <c r="V1672" s="14"/>
      <c r="W1672" s="15">
        <f t="shared" si="58"/>
        <v>0</v>
      </c>
      <c r="X1672" s="14"/>
      <c r="Y1672" s="14"/>
      <c r="Z1672" s="14"/>
      <c r="AA1672" s="14"/>
      <c r="AB1672" s="14"/>
      <c r="AC1672" s="14"/>
      <c r="AD1672" s="14"/>
      <c r="AE1672" s="14"/>
      <c r="AF1672" s="14"/>
      <c r="AG1672" s="14"/>
      <c r="AH1672" s="14"/>
      <c r="AI1672" s="14"/>
      <c r="AJ1672" s="15"/>
      <c r="AK1672" s="16"/>
    </row>
    <row r="1673" spans="2:37" x14ac:dyDescent="0.2">
      <c r="B1673" s="7" t="s">
        <v>69</v>
      </c>
      <c r="C1673" s="8">
        <v>12346</v>
      </c>
      <c r="D1673" s="9" t="s">
        <v>373</v>
      </c>
      <c r="E1673" s="10" t="s">
        <v>374</v>
      </c>
      <c r="F1673" s="10" t="s">
        <v>375</v>
      </c>
      <c r="G1673" s="8">
        <v>1</v>
      </c>
      <c r="H1673" s="11">
        <v>400</v>
      </c>
      <c r="I1673" s="12">
        <v>42573</v>
      </c>
      <c r="J1673" s="13">
        <f t="shared" si="57"/>
        <v>0</v>
      </c>
      <c r="K1673" s="14"/>
      <c r="L1673" s="14"/>
      <c r="M1673" s="14"/>
      <c r="N1673" s="14"/>
      <c r="O1673" s="14"/>
      <c r="P1673" s="14"/>
      <c r="Q1673" s="14">
        <v>400</v>
      </c>
      <c r="R1673" s="14"/>
      <c r="S1673" s="14"/>
      <c r="T1673" s="14"/>
      <c r="U1673" s="14"/>
      <c r="V1673" s="14"/>
      <c r="W1673" s="15">
        <f t="shared" si="58"/>
        <v>400</v>
      </c>
      <c r="X1673" s="14"/>
      <c r="Y1673" s="14"/>
      <c r="Z1673" s="14"/>
      <c r="AA1673" s="14"/>
      <c r="AB1673" s="14"/>
      <c r="AC1673" s="14"/>
      <c r="AD1673" s="14"/>
      <c r="AE1673" s="14"/>
      <c r="AF1673" s="14"/>
      <c r="AG1673" s="14"/>
      <c r="AH1673" s="14"/>
      <c r="AI1673" s="14"/>
      <c r="AJ1673" s="15"/>
      <c r="AK1673" s="16"/>
    </row>
    <row r="1674" spans="2:37" x14ac:dyDescent="0.2">
      <c r="B1674" s="7" t="s">
        <v>37</v>
      </c>
      <c r="C1674" s="8">
        <v>12347</v>
      </c>
      <c r="D1674" s="9" t="s">
        <v>503</v>
      </c>
      <c r="E1674" s="10" t="s">
        <v>504</v>
      </c>
      <c r="F1674" s="10" t="s">
        <v>505</v>
      </c>
      <c r="G1674" s="8">
        <v>7</v>
      </c>
      <c r="H1674" s="11">
        <v>350</v>
      </c>
      <c r="I1674" s="12">
        <v>42573</v>
      </c>
      <c r="J1674" s="13">
        <f t="shared" si="57"/>
        <v>0</v>
      </c>
      <c r="K1674" s="14"/>
      <c r="L1674" s="14"/>
      <c r="M1674" s="14"/>
      <c r="N1674" s="14"/>
      <c r="O1674" s="14"/>
      <c r="P1674" s="14"/>
      <c r="Q1674" s="14"/>
      <c r="R1674" s="14"/>
      <c r="S1674" s="14"/>
      <c r="T1674" s="14"/>
      <c r="U1674" s="14"/>
      <c r="V1674" s="14"/>
      <c r="W1674" s="15">
        <f t="shared" si="58"/>
        <v>0</v>
      </c>
      <c r="X1674" s="14"/>
      <c r="Y1674" s="14"/>
      <c r="Z1674" s="14"/>
      <c r="AA1674" s="14"/>
      <c r="AB1674" s="14"/>
      <c r="AC1674" s="14"/>
      <c r="AD1674" s="14"/>
      <c r="AE1674" s="14"/>
      <c r="AF1674" s="14"/>
      <c r="AG1674" s="14"/>
      <c r="AH1674" s="14"/>
      <c r="AI1674" s="14"/>
      <c r="AJ1674" s="15"/>
      <c r="AK1674" s="16"/>
    </row>
    <row r="1675" spans="2:37" x14ac:dyDescent="0.2">
      <c r="B1675" s="7" t="s">
        <v>47</v>
      </c>
      <c r="C1675" s="8">
        <v>12348</v>
      </c>
      <c r="D1675" s="9" t="s">
        <v>971</v>
      </c>
      <c r="E1675" s="10" t="s">
        <v>972</v>
      </c>
      <c r="F1675" s="10" t="s">
        <v>973</v>
      </c>
      <c r="G1675" s="8">
        <v>5</v>
      </c>
      <c r="H1675" s="11">
        <v>100</v>
      </c>
      <c r="I1675" s="12">
        <v>42573</v>
      </c>
      <c r="J1675" s="13">
        <f t="shared" si="57"/>
        <v>0</v>
      </c>
      <c r="K1675" s="14"/>
      <c r="L1675" s="14"/>
      <c r="M1675" s="14"/>
      <c r="N1675" s="14"/>
      <c r="O1675" s="14"/>
      <c r="P1675" s="14"/>
      <c r="Q1675" s="14"/>
      <c r="R1675" s="14"/>
      <c r="S1675" s="14"/>
      <c r="T1675" s="14"/>
      <c r="U1675" s="14"/>
      <c r="V1675" s="14"/>
      <c r="W1675" s="15">
        <f t="shared" si="58"/>
        <v>0</v>
      </c>
      <c r="X1675" s="14"/>
      <c r="Y1675" s="14"/>
      <c r="Z1675" s="14"/>
      <c r="AA1675" s="14"/>
      <c r="AB1675" s="14"/>
      <c r="AC1675" s="14"/>
      <c r="AD1675" s="14"/>
      <c r="AE1675" s="14"/>
      <c r="AF1675" s="14"/>
      <c r="AG1675" s="14"/>
      <c r="AH1675" s="14"/>
      <c r="AI1675" s="14"/>
      <c r="AJ1675" s="15"/>
      <c r="AK1675" s="16"/>
    </row>
    <row r="1676" spans="2:37" x14ac:dyDescent="0.2">
      <c r="B1676" s="7" t="s">
        <v>47</v>
      </c>
      <c r="C1676" s="8">
        <v>12349</v>
      </c>
      <c r="D1676" s="9" t="s">
        <v>1076</v>
      </c>
      <c r="E1676" s="10" t="s">
        <v>1077</v>
      </c>
      <c r="F1676" s="10" t="s">
        <v>1078</v>
      </c>
      <c r="G1676" s="8">
        <v>1</v>
      </c>
      <c r="H1676" s="11">
        <v>400</v>
      </c>
      <c r="I1676" s="12">
        <v>42575</v>
      </c>
      <c r="J1676" s="13">
        <f t="shared" si="57"/>
        <v>0</v>
      </c>
      <c r="K1676" s="14"/>
      <c r="L1676" s="14"/>
      <c r="M1676" s="14"/>
      <c r="N1676" s="14"/>
      <c r="O1676" s="14"/>
      <c r="P1676" s="14"/>
      <c r="Q1676" s="14">
        <v>400</v>
      </c>
      <c r="R1676" s="14"/>
      <c r="S1676" s="14"/>
      <c r="T1676" s="14"/>
      <c r="U1676" s="14"/>
      <c r="V1676" s="14"/>
      <c r="W1676" s="15">
        <f t="shared" si="58"/>
        <v>400</v>
      </c>
      <c r="X1676" s="14"/>
      <c r="Y1676" s="14"/>
      <c r="Z1676" s="14"/>
      <c r="AA1676" s="14"/>
      <c r="AB1676" s="14"/>
      <c r="AC1676" s="14"/>
      <c r="AD1676" s="14"/>
      <c r="AE1676" s="14"/>
      <c r="AF1676" s="14"/>
      <c r="AG1676" s="14"/>
      <c r="AH1676" s="14"/>
      <c r="AI1676" s="14"/>
      <c r="AJ1676" s="15"/>
      <c r="AK1676" s="16"/>
    </row>
    <row r="1677" spans="2:37" x14ac:dyDescent="0.2">
      <c r="B1677" s="7" t="s">
        <v>47</v>
      </c>
      <c r="C1677" s="8">
        <v>12350</v>
      </c>
      <c r="D1677" s="9" t="s">
        <v>1076</v>
      </c>
      <c r="E1677" s="10" t="s">
        <v>1077</v>
      </c>
      <c r="F1677" s="10" t="s">
        <v>1078</v>
      </c>
      <c r="G1677" s="8">
        <v>5</v>
      </c>
      <c r="H1677" s="11">
        <v>150</v>
      </c>
      <c r="I1677" s="12">
        <v>42575</v>
      </c>
      <c r="J1677" s="13">
        <f t="shared" si="57"/>
        <v>0</v>
      </c>
      <c r="K1677" s="14"/>
      <c r="L1677" s="14"/>
      <c r="M1677" s="14"/>
      <c r="N1677" s="14"/>
      <c r="O1677" s="14"/>
      <c r="P1677" s="14"/>
      <c r="Q1677" s="14"/>
      <c r="R1677" s="14"/>
      <c r="S1677" s="14"/>
      <c r="T1677" s="14"/>
      <c r="U1677" s="14"/>
      <c r="V1677" s="14"/>
      <c r="W1677" s="15">
        <f t="shared" si="58"/>
        <v>0</v>
      </c>
      <c r="X1677" s="14"/>
      <c r="Y1677" s="14"/>
      <c r="Z1677" s="14"/>
      <c r="AA1677" s="14"/>
      <c r="AB1677" s="14"/>
      <c r="AC1677" s="14"/>
      <c r="AD1677" s="14"/>
      <c r="AE1677" s="14"/>
      <c r="AF1677" s="14"/>
      <c r="AG1677" s="14"/>
      <c r="AH1677" s="14"/>
      <c r="AI1677" s="14"/>
      <c r="AJ1677" s="15"/>
      <c r="AK1677" s="16"/>
    </row>
    <row r="1678" spans="2:37" x14ac:dyDescent="0.2">
      <c r="B1678" s="7" t="s">
        <v>37</v>
      </c>
      <c r="C1678" s="8">
        <v>12351</v>
      </c>
      <c r="D1678" s="9" t="s">
        <v>681</v>
      </c>
      <c r="E1678" s="10" t="s">
        <v>682</v>
      </c>
      <c r="F1678" s="10" t="s">
        <v>683</v>
      </c>
      <c r="G1678" s="8">
        <v>1</v>
      </c>
      <c r="H1678" s="11">
        <v>300</v>
      </c>
      <c r="I1678" s="12">
        <v>42575</v>
      </c>
      <c r="J1678" s="13">
        <f t="shared" si="57"/>
        <v>0</v>
      </c>
      <c r="K1678" s="14"/>
      <c r="L1678" s="14"/>
      <c r="M1678" s="14"/>
      <c r="N1678" s="14"/>
      <c r="O1678" s="14"/>
      <c r="P1678" s="14"/>
      <c r="Q1678" s="14">
        <v>300</v>
      </c>
      <c r="R1678" s="14"/>
      <c r="S1678" s="14"/>
      <c r="T1678" s="14"/>
      <c r="U1678" s="14"/>
      <c r="V1678" s="14"/>
      <c r="W1678" s="15">
        <f t="shared" si="58"/>
        <v>300</v>
      </c>
      <c r="X1678" s="14"/>
      <c r="Y1678" s="14"/>
      <c r="Z1678" s="14"/>
      <c r="AA1678" s="14"/>
      <c r="AB1678" s="14"/>
      <c r="AC1678" s="14"/>
      <c r="AD1678" s="14"/>
      <c r="AE1678" s="14"/>
      <c r="AF1678" s="14"/>
      <c r="AG1678" s="14"/>
      <c r="AH1678" s="14"/>
      <c r="AI1678" s="14"/>
      <c r="AJ1678" s="15"/>
      <c r="AK1678" s="16"/>
    </row>
    <row r="1679" spans="2:37" x14ac:dyDescent="0.2">
      <c r="B1679" s="7" t="s">
        <v>37</v>
      </c>
      <c r="C1679" s="8">
        <v>12352</v>
      </c>
      <c r="D1679" s="9" t="s">
        <v>119</v>
      </c>
      <c r="E1679" s="10" t="s">
        <v>120</v>
      </c>
      <c r="F1679" s="10" t="s">
        <v>121</v>
      </c>
      <c r="G1679" s="8">
        <v>1</v>
      </c>
      <c r="H1679" s="11">
        <v>800</v>
      </c>
      <c r="I1679" s="12">
        <v>42575</v>
      </c>
      <c r="J1679" s="13">
        <f t="shared" si="57"/>
        <v>0</v>
      </c>
      <c r="K1679" s="14"/>
      <c r="L1679" s="14"/>
      <c r="M1679" s="14"/>
      <c r="N1679" s="14"/>
      <c r="O1679" s="14"/>
      <c r="P1679" s="14">
        <v>400</v>
      </c>
      <c r="Q1679" s="14">
        <v>400</v>
      </c>
      <c r="R1679" s="14"/>
      <c r="S1679" s="14"/>
      <c r="T1679" s="14"/>
      <c r="U1679" s="14"/>
      <c r="V1679" s="14"/>
      <c r="W1679" s="15">
        <f t="shared" si="58"/>
        <v>800</v>
      </c>
      <c r="X1679" s="14"/>
      <c r="Y1679" s="14"/>
      <c r="Z1679" s="14"/>
      <c r="AA1679" s="14"/>
      <c r="AB1679" s="14"/>
      <c r="AC1679" s="14"/>
      <c r="AD1679" s="14"/>
      <c r="AE1679" s="14"/>
      <c r="AF1679" s="14"/>
      <c r="AG1679" s="14"/>
      <c r="AH1679" s="14"/>
      <c r="AI1679" s="14"/>
      <c r="AJ1679" s="15"/>
      <c r="AK1679" s="16"/>
    </row>
    <row r="1680" spans="2:37" x14ac:dyDescent="0.2">
      <c r="B1680" s="7" t="s">
        <v>37</v>
      </c>
      <c r="C1680" s="8">
        <v>12353</v>
      </c>
      <c r="D1680" s="9" t="s">
        <v>119</v>
      </c>
      <c r="E1680" s="10" t="s">
        <v>120</v>
      </c>
      <c r="F1680" s="10" t="s">
        <v>121</v>
      </c>
      <c r="G1680" s="8">
        <v>5</v>
      </c>
      <c r="H1680" s="11">
        <v>200</v>
      </c>
      <c r="I1680" s="12">
        <v>42575</v>
      </c>
      <c r="J1680" s="13">
        <f t="shared" si="57"/>
        <v>0</v>
      </c>
      <c r="K1680" s="14"/>
      <c r="L1680" s="14"/>
      <c r="M1680" s="14"/>
      <c r="N1680" s="14"/>
      <c r="O1680" s="14"/>
      <c r="P1680" s="14"/>
      <c r="Q1680" s="14"/>
      <c r="R1680" s="14"/>
      <c r="S1680" s="14"/>
      <c r="T1680" s="14"/>
      <c r="U1680" s="14"/>
      <c r="V1680" s="14"/>
      <c r="W1680" s="15">
        <f t="shared" si="58"/>
        <v>0</v>
      </c>
      <c r="X1680" s="14"/>
      <c r="Y1680" s="14"/>
      <c r="Z1680" s="14"/>
      <c r="AA1680" s="14"/>
      <c r="AB1680" s="14"/>
      <c r="AC1680" s="14"/>
      <c r="AD1680" s="14"/>
      <c r="AE1680" s="14"/>
      <c r="AF1680" s="14"/>
      <c r="AG1680" s="14"/>
      <c r="AH1680" s="14"/>
      <c r="AI1680" s="14"/>
      <c r="AJ1680" s="15"/>
      <c r="AK1680" s="16"/>
    </row>
    <row r="1681" spans="2:37" x14ac:dyDescent="0.2">
      <c r="B1681" s="7" t="s">
        <v>47</v>
      </c>
      <c r="C1681" s="8">
        <v>12354</v>
      </c>
      <c r="D1681" s="9" t="s">
        <v>803</v>
      </c>
      <c r="E1681" s="10" t="s">
        <v>804</v>
      </c>
      <c r="F1681" s="10" t="s">
        <v>312</v>
      </c>
      <c r="G1681" s="8">
        <v>1</v>
      </c>
      <c r="H1681" s="11">
        <v>800</v>
      </c>
      <c r="I1681" s="12">
        <v>42575</v>
      </c>
      <c r="J1681" s="13">
        <f t="shared" ref="J1681:J1744" si="59">IF(G1681=1,SUM(W1681,-H1681),0)</f>
        <v>0</v>
      </c>
      <c r="K1681" s="14"/>
      <c r="L1681" s="14"/>
      <c r="M1681" s="14"/>
      <c r="N1681" s="14"/>
      <c r="O1681" s="14"/>
      <c r="P1681" s="14">
        <v>400</v>
      </c>
      <c r="Q1681" s="14">
        <v>400</v>
      </c>
      <c r="R1681" s="14"/>
      <c r="S1681" s="14"/>
      <c r="T1681" s="14"/>
      <c r="U1681" s="14"/>
      <c r="V1681" s="14"/>
      <c r="W1681" s="15">
        <f t="shared" ref="W1681:W1744" si="60">SUM(K1681:V1681)</f>
        <v>800</v>
      </c>
      <c r="X1681" s="14"/>
      <c r="Y1681" s="14"/>
      <c r="Z1681" s="14"/>
      <c r="AA1681" s="14"/>
      <c r="AB1681" s="14"/>
      <c r="AC1681" s="14"/>
      <c r="AD1681" s="14"/>
      <c r="AE1681" s="14"/>
      <c r="AF1681" s="14"/>
      <c r="AG1681" s="14"/>
      <c r="AH1681" s="14"/>
      <c r="AI1681" s="14"/>
      <c r="AJ1681" s="15"/>
      <c r="AK1681" s="16"/>
    </row>
    <row r="1682" spans="2:37" x14ac:dyDescent="0.2">
      <c r="B1682" s="7" t="s">
        <v>47</v>
      </c>
      <c r="C1682" s="8">
        <v>12354</v>
      </c>
      <c r="D1682" s="9" t="s">
        <v>803</v>
      </c>
      <c r="E1682" s="10" t="s">
        <v>804</v>
      </c>
      <c r="F1682" s="10" t="s">
        <v>312</v>
      </c>
      <c r="G1682" s="8">
        <v>4</v>
      </c>
      <c r="H1682" s="11">
        <v>200</v>
      </c>
      <c r="I1682" s="12">
        <v>42575</v>
      </c>
      <c r="J1682" s="13">
        <f t="shared" si="59"/>
        <v>0</v>
      </c>
      <c r="K1682" s="14"/>
      <c r="L1682" s="14"/>
      <c r="M1682" s="14"/>
      <c r="N1682" s="14"/>
      <c r="O1682" s="14"/>
      <c r="P1682" s="14"/>
      <c r="Q1682" s="14"/>
      <c r="R1682" s="14"/>
      <c r="S1682" s="14"/>
      <c r="T1682" s="14"/>
      <c r="U1682" s="14"/>
      <c r="V1682" s="14"/>
      <c r="W1682" s="15">
        <f t="shared" si="60"/>
        <v>0</v>
      </c>
      <c r="X1682" s="14"/>
      <c r="Y1682" s="14"/>
      <c r="Z1682" s="14"/>
      <c r="AA1682" s="14"/>
      <c r="AB1682" s="14"/>
      <c r="AC1682" s="14"/>
      <c r="AD1682" s="14"/>
      <c r="AE1682" s="14"/>
      <c r="AF1682" s="14"/>
      <c r="AG1682" s="14"/>
      <c r="AH1682" s="14"/>
      <c r="AI1682" s="14"/>
      <c r="AJ1682" s="15"/>
      <c r="AK1682" s="16"/>
    </row>
    <row r="1683" spans="2:37" x14ac:dyDescent="0.2">
      <c r="B1683" s="7" t="s">
        <v>47</v>
      </c>
      <c r="C1683" s="8">
        <v>12355</v>
      </c>
      <c r="D1683" s="9" t="s">
        <v>189</v>
      </c>
      <c r="E1683" s="10" t="s">
        <v>190</v>
      </c>
      <c r="F1683" s="10" t="s">
        <v>191</v>
      </c>
      <c r="G1683" s="8">
        <v>1</v>
      </c>
      <c r="H1683" s="11">
        <v>800</v>
      </c>
      <c r="I1683" s="12">
        <v>42575</v>
      </c>
      <c r="J1683" s="13">
        <f t="shared" si="59"/>
        <v>0</v>
      </c>
      <c r="K1683" s="14"/>
      <c r="L1683" s="14"/>
      <c r="M1683" s="14"/>
      <c r="N1683" s="14"/>
      <c r="O1683" s="14"/>
      <c r="P1683" s="14">
        <v>400</v>
      </c>
      <c r="Q1683" s="14">
        <v>400</v>
      </c>
      <c r="R1683" s="14"/>
      <c r="S1683" s="14"/>
      <c r="T1683" s="14"/>
      <c r="U1683" s="14"/>
      <c r="V1683" s="14"/>
      <c r="W1683" s="15">
        <f t="shared" si="60"/>
        <v>800</v>
      </c>
      <c r="X1683" s="14"/>
      <c r="Y1683" s="14"/>
      <c r="Z1683" s="14"/>
      <c r="AA1683" s="14"/>
      <c r="AB1683" s="14"/>
      <c r="AC1683" s="14"/>
      <c r="AD1683" s="14"/>
      <c r="AE1683" s="14"/>
      <c r="AF1683" s="14"/>
      <c r="AG1683" s="14"/>
      <c r="AH1683" s="14"/>
      <c r="AI1683" s="14"/>
      <c r="AJ1683" s="15"/>
      <c r="AK1683" s="16"/>
    </row>
    <row r="1684" spans="2:37" x14ac:dyDescent="0.2">
      <c r="B1684" s="7" t="s">
        <v>37</v>
      </c>
      <c r="C1684" s="8">
        <v>12356</v>
      </c>
      <c r="D1684" s="9" t="s">
        <v>94</v>
      </c>
      <c r="E1684" s="10" t="s">
        <v>95</v>
      </c>
      <c r="F1684" s="10" t="s">
        <v>96</v>
      </c>
      <c r="G1684" s="8">
        <v>5</v>
      </c>
      <c r="H1684" s="11">
        <v>50</v>
      </c>
      <c r="I1684" s="12">
        <v>42575</v>
      </c>
      <c r="J1684" s="13">
        <f t="shared" si="59"/>
        <v>0</v>
      </c>
      <c r="K1684" s="14"/>
      <c r="L1684" s="14"/>
      <c r="M1684" s="14"/>
      <c r="N1684" s="14"/>
      <c r="O1684" s="14"/>
      <c r="P1684" s="14"/>
      <c r="Q1684" s="14"/>
      <c r="R1684" s="14"/>
      <c r="S1684" s="14"/>
      <c r="T1684" s="14"/>
      <c r="U1684" s="14"/>
      <c r="V1684" s="14"/>
      <c r="W1684" s="15">
        <f t="shared" si="60"/>
        <v>0</v>
      </c>
      <c r="X1684" s="14"/>
      <c r="Y1684" s="14"/>
      <c r="Z1684" s="14"/>
      <c r="AA1684" s="14"/>
      <c r="AB1684" s="14"/>
      <c r="AC1684" s="14"/>
      <c r="AD1684" s="14"/>
      <c r="AE1684" s="14"/>
      <c r="AF1684" s="14"/>
      <c r="AG1684" s="14"/>
      <c r="AH1684" s="14"/>
      <c r="AI1684" s="14"/>
      <c r="AJ1684" s="15"/>
      <c r="AK1684" s="16"/>
    </row>
    <row r="1685" spans="2:37" x14ac:dyDescent="0.2">
      <c r="B1685" s="7" t="s">
        <v>47</v>
      </c>
      <c r="C1685" s="8">
        <v>12357</v>
      </c>
      <c r="D1685" s="9" t="s">
        <v>803</v>
      </c>
      <c r="E1685" s="10" t="s">
        <v>804</v>
      </c>
      <c r="F1685" s="10" t="s">
        <v>312</v>
      </c>
      <c r="G1685" s="8">
        <v>3</v>
      </c>
      <c r="H1685" s="11">
        <v>200</v>
      </c>
      <c r="I1685" s="12">
        <v>42575</v>
      </c>
      <c r="J1685" s="13">
        <f t="shared" si="59"/>
        <v>0</v>
      </c>
      <c r="K1685" s="14"/>
      <c r="L1685" s="14"/>
      <c r="M1685" s="14"/>
      <c r="N1685" s="14"/>
      <c r="O1685" s="14"/>
      <c r="P1685" s="14"/>
      <c r="Q1685" s="14"/>
      <c r="R1685" s="14"/>
      <c r="S1685" s="14"/>
      <c r="T1685" s="14"/>
      <c r="U1685" s="14"/>
      <c r="V1685" s="14"/>
      <c r="W1685" s="15">
        <f t="shared" si="60"/>
        <v>0</v>
      </c>
      <c r="X1685" s="14"/>
      <c r="Y1685" s="14"/>
      <c r="Z1685" s="14"/>
      <c r="AA1685" s="14"/>
      <c r="AB1685" s="14"/>
      <c r="AC1685" s="14"/>
      <c r="AD1685" s="14"/>
      <c r="AE1685" s="14"/>
      <c r="AF1685" s="14"/>
      <c r="AG1685" s="14"/>
      <c r="AH1685" s="14"/>
      <c r="AI1685" s="14"/>
      <c r="AJ1685" s="15"/>
      <c r="AK1685" s="16"/>
    </row>
    <row r="1686" spans="2:37" x14ac:dyDescent="0.2">
      <c r="B1686" s="7" t="s">
        <v>122</v>
      </c>
      <c r="C1686" s="8">
        <v>12358</v>
      </c>
      <c r="D1686" s="9" t="s">
        <v>310</v>
      </c>
      <c r="E1686" s="10" t="s">
        <v>311</v>
      </c>
      <c r="F1686" s="10" t="s">
        <v>312</v>
      </c>
      <c r="G1686" s="8">
        <v>1</v>
      </c>
      <c r="H1686" s="11">
        <v>800</v>
      </c>
      <c r="I1686" s="12">
        <v>42575</v>
      </c>
      <c r="J1686" s="13">
        <f t="shared" si="59"/>
        <v>0</v>
      </c>
      <c r="K1686" s="14"/>
      <c r="L1686" s="14"/>
      <c r="M1686" s="14"/>
      <c r="N1686" s="14"/>
      <c r="O1686" s="14"/>
      <c r="P1686" s="14">
        <v>400</v>
      </c>
      <c r="Q1686" s="14">
        <v>400</v>
      </c>
      <c r="R1686" s="14"/>
      <c r="S1686" s="14"/>
      <c r="T1686" s="14"/>
      <c r="U1686" s="14"/>
      <c r="V1686" s="14"/>
      <c r="W1686" s="15">
        <f t="shared" si="60"/>
        <v>800</v>
      </c>
      <c r="X1686" s="14"/>
      <c r="Y1686" s="14"/>
      <c r="Z1686" s="14"/>
      <c r="AA1686" s="14"/>
      <c r="AB1686" s="14"/>
      <c r="AC1686" s="14"/>
      <c r="AD1686" s="14"/>
      <c r="AE1686" s="14"/>
      <c r="AF1686" s="14"/>
      <c r="AG1686" s="14"/>
      <c r="AH1686" s="14"/>
      <c r="AI1686" s="14"/>
      <c r="AJ1686" s="15"/>
      <c r="AK1686" s="16"/>
    </row>
    <row r="1687" spans="2:37" x14ac:dyDescent="0.2">
      <c r="B1687" s="7" t="s">
        <v>47</v>
      </c>
      <c r="C1687" s="8">
        <v>12359</v>
      </c>
      <c r="D1687" s="9" t="s">
        <v>658</v>
      </c>
      <c r="E1687" s="10" t="s">
        <v>659</v>
      </c>
      <c r="F1687" s="10" t="s">
        <v>921</v>
      </c>
      <c r="G1687" s="8">
        <v>1</v>
      </c>
      <c r="H1687" s="11">
        <v>1200</v>
      </c>
      <c r="I1687" s="12">
        <v>42575</v>
      </c>
      <c r="J1687" s="13">
        <f t="shared" si="59"/>
        <v>0</v>
      </c>
      <c r="K1687" s="14"/>
      <c r="L1687" s="14"/>
      <c r="M1687" s="14"/>
      <c r="N1687" s="14"/>
      <c r="O1687" s="14">
        <v>400</v>
      </c>
      <c r="P1687" s="14">
        <v>400</v>
      </c>
      <c r="Q1687" s="14">
        <v>400</v>
      </c>
      <c r="R1687" s="14"/>
      <c r="S1687" s="14"/>
      <c r="T1687" s="14"/>
      <c r="U1687" s="14"/>
      <c r="V1687" s="14"/>
      <c r="W1687" s="15">
        <f t="shared" si="60"/>
        <v>1200</v>
      </c>
      <c r="X1687" s="14"/>
      <c r="Y1687" s="14"/>
      <c r="Z1687" s="14"/>
      <c r="AA1687" s="14"/>
      <c r="AB1687" s="14"/>
      <c r="AC1687" s="14"/>
      <c r="AD1687" s="14"/>
      <c r="AE1687" s="14"/>
      <c r="AF1687" s="14"/>
      <c r="AG1687" s="14"/>
      <c r="AH1687" s="14"/>
      <c r="AI1687" s="14"/>
      <c r="AJ1687" s="15"/>
      <c r="AK1687" s="16"/>
    </row>
    <row r="1688" spans="2:37" x14ac:dyDescent="0.2">
      <c r="B1688" s="7" t="s">
        <v>47</v>
      </c>
      <c r="C1688" s="8">
        <v>12360</v>
      </c>
      <c r="D1688" s="9" t="s">
        <v>658</v>
      </c>
      <c r="E1688" s="10" t="s">
        <v>659</v>
      </c>
      <c r="F1688" s="10" t="s">
        <v>921</v>
      </c>
      <c r="G1688" s="8">
        <v>5</v>
      </c>
      <c r="H1688" s="11">
        <v>150</v>
      </c>
      <c r="I1688" s="12">
        <v>42575</v>
      </c>
      <c r="J1688" s="13">
        <f t="shared" si="59"/>
        <v>0</v>
      </c>
      <c r="K1688" s="14"/>
      <c r="L1688" s="14"/>
      <c r="M1688" s="14"/>
      <c r="N1688" s="14"/>
      <c r="O1688" s="14"/>
      <c r="P1688" s="14"/>
      <c r="Q1688" s="14"/>
      <c r="R1688" s="14"/>
      <c r="S1688" s="14"/>
      <c r="T1688" s="14"/>
      <c r="U1688" s="14"/>
      <c r="V1688" s="14"/>
      <c r="W1688" s="15">
        <f t="shared" si="60"/>
        <v>0</v>
      </c>
      <c r="X1688" s="14"/>
      <c r="Y1688" s="14"/>
      <c r="Z1688" s="14"/>
      <c r="AA1688" s="14"/>
      <c r="AB1688" s="14"/>
      <c r="AC1688" s="14"/>
      <c r="AD1688" s="14"/>
      <c r="AE1688" s="14"/>
      <c r="AF1688" s="14"/>
      <c r="AG1688" s="14"/>
      <c r="AH1688" s="14"/>
      <c r="AI1688" s="14"/>
      <c r="AJ1688" s="15"/>
      <c r="AK1688" s="16"/>
    </row>
    <row r="1689" spans="2:37" x14ac:dyDescent="0.2">
      <c r="B1689" s="7" t="s">
        <v>37</v>
      </c>
      <c r="C1689" s="8">
        <v>12361</v>
      </c>
      <c r="D1689" s="9" t="s">
        <v>192</v>
      </c>
      <c r="E1689" s="10" t="s">
        <v>193</v>
      </c>
      <c r="F1689" s="10" t="s">
        <v>194</v>
      </c>
      <c r="G1689" s="8">
        <v>1</v>
      </c>
      <c r="H1689" s="11">
        <v>400</v>
      </c>
      <c r="I1689" s="12">
        <v>42575</v>
      </c>
      <c r="J1689" s="13">
        <f t="shared" si="59"/>
        <v>0</v>
      </c>
      <c r="K1689" s="14"/>
      <c r="L1689" s="14"/>
      <c r="M1689" s="14"/>
      <c r="N1689" s="14"/>
      <c r="O1689" s="14"/>
      <c r="P1689" s="14"/>
      <c r="Q1689" s="14">
        <v>400</v>
      </c>
      <c r="R1689" s="14"/>
      <c r="S1689" s="14"/>
      <c r="T1689" s="14"/>
      <c r="U1689" s="14"/>
      <c r="V1689" s="14"/>
      <c r="W1689" s="15">
        <f t="shared" si="60"/>
        <v>400</v>
      </c>
      <c r="X1689" s="14"/>
      <c r="Y1689" s="14"/>
      <c r="Z1689" s="14"/>
      <c r="AA1689" s="14"/>
      <c r="AB1689" s="14"/>
      <c r="AC1689" s="14"/>
      <c r="AD1689" s="14"/>
      <c r="AE1689" s="14"/>
      <c r="AF1689" s="14"/>
      <c r="AG1689" s="14"/>
      <c r="AH1689" s="14"/>
      <c r="AI1689" s="14"/>
      <c r="AJ1689" s="15"/>
      <c r="AK1689" s="16"/>
    </row>
    <row r="1690" spans="2:37" x14ac:dyDescent="0.2">
      <c r="B1690" s="7" t="s">
        <v>37</v>
      </c>
      <c r="C1690" s="8">
        <v>12362</v>
      </c>
      <c r="D1690" s="9" t="s">
        <v>192</v>
      </c>
      <c r="E1690" s="10" t="s">
        <v>193</v>
      </c>
      <c r="F1690" s="10" t="s">
        <v>194</v>
      </c>
      <c r="G1690" s="8">
        <v>5</v>
      </c>
      <c r="H1690" s="11">
        <v>100</v>
      </c>
      <c r="I1690" s="12">
        <v>42575</v>
      </c>
      <c r="J1690" s="13">
        <f t="shared" si="59"/>
        <v>0</v>
      </c>
      <c r="K1690" s="14"/>
      <c r="L1690" s="14"/>
      <c r="M1690" s="14"/>
      <c r="N1690" s="14"/>
      <c r="O1690" s="14"/>
      <c r="P1690" s="14"/>
      <c r="Q1690" s="14"/>
      <c r="R1690" s="14"/>
      <c r="S1690" s="14"/>
      <c r="T1690" s="14"/>
      <c r="U1690" s="14"/>
      <c r="V1690" s="14"/>
      <c r="W1690" s="15">
        <f t="shared" si="60"/>
        <v>0</v>
      </c>
      <c r="X1690" s="14"/>
      <c r="Y1690" s="14"/>
      <c r="Z1690" s="14"/>
      <c r="AA1690" s="14"/>
      <c r="AB1690" s="14"/>
      <c r="AC1690" s="14"/>
      <c r="AD1690" s="14"/>
      <c r="AE1690" s="14"/>
      <c r="AF1690" s="14"/>
      <c r="AG1690" s="14"/>
      <c r="AH1690" s="14"/>
      <c r="AI1690" s="14"/>
      <c r="AJ1690" s="15"/>
      <c r="AK1690" s="16"/>
    </row>
    <row r="1691" spans="2:37" x14ac:dyDescent="0.2">
      <c r="B1691" s="7" t="s">
        <v>122</v>
      </c>
      <c r="C1691" s="8">
        <v>12363</v>
      </c>
      <c r="D1691" s="9" t="s">
        <v>310</v>
      </c>
      <c r="E1691" s="10" t="s">
        <v>311</v>
      </c>
      <c r="F1691" s="10" t="s">
        <v>312</v>
      </c>
      <c r="G1691" s="8">
        <v>5</v>
      </c>
      <c r="H1691" s="11">
        <v>50</v>
      </c>
      <c r="I1691" s="12">
        <v>42575</v>
      </c>
      <c r="J1691" s="13">
        <f t="shared" si="59"/>
        <v>0</v>
      </c>
      <c r="K1691" s="14"/>
      <c r="L1691" s="14"/>
      <c r="M1691" s="14"/>
      <c r="N1691" s="14"/>
      <c r="O1691" s="14"/>
      <c r="P1691" s="14"/>
      <c r="Q1691" s="14"/>
      <c r="R1691" s="14"/>
      <c r="S1691" s="14"/>
      <c r="T1691" s="14"/>
      <c r="U1691" s="14"/>
      <c r="V1691" s="14"/>
      <c r="W1691" s="15">
        <f t="shared" si="60"/>
        <v>0</v>
      </c>
      <c r="X1691" s="14"/>
      <c r="Y1691" s="14"/>
      <c r="Z1691" s="14"/>
      <c r="AA1691" s="14"/>
      <c r="AB1691" s="14"/>
      <c r="AC1691" s="14"/>
      <c r="AD1691" s="14"/>
      <c r="AE1691" s="14"/>
      <c r="AF1691" s="14"/>
      <c r="AG1691" s="14"/>
      <c r="AH1691" s="14"/>
      <c r="AI1691" s="14"/>
      <c r="AJ1691" s="15"/>
      <c r="AK1691" s="16"/>
    </row>
    <row r="1692" spans="2:37" x14ac:dyDescent="0.2">
      <c r="B1692" s="7" t="s">
        <v>37</v>
      </c>
      <c r="C1692" s="8">
        <v>12364</v>
      </c>
      <c r="D1692" s="9" t="s">
        <v>684</v>
      </c>
      <c r="E1692" s="10" t="s">
        <v>685</v>
      </c>
      <c r="F1692" s="10" t="s">
        <v>686</v>
      </c>
      <c r="G1692" s="8">
        <v>5</v>
      </c>
      <c r="H1692" s="11">
        <v>100</v>
      </c>
      <c r="I1692" s="12">
        <v>42575</v>
      </c>
      <c r="J1692" s="13">
        <f t="shared" si="59"/>
        <v>0</v>
      </c>
      <c r="K1692" s="14"/>
      <c r="L1692" s="14"/>
      <c r="M1692" s="14"/>
      <c r="N1692" s="14"/>
      <c r="O1692" s="14"/>
      <c r="P1692" s="14"/>
      <c r="Q1692" s="14"/>
      <c r="R1692" s="14"/>
      <c r="S1692" s="14"/>
      <c r="T1692" s="14"/>
      <c r="U1692" s="14"/>
      <c r="V1692" s="14"/>
      <c r="W1692" s="15">
        <f t="shared" si="60"/>
        <v>0</v>
      </c>
      <c r="X1692" s="14"/>
      <c r="Y1692" s="14"/>
      <c r="Z1692" s="14"/>
      <c r="AA1692" s="14"/>
      <c r="AB1692" s="14"/>
      <c r="AC1692" s="14"/>
      <c r="AD1692" s="14"/>
      <c r="AE1692" s="14"/>
      <c r="AF1692" s="14"/>
      <c r="AG1692" s="14"/>
      <c r="AH1692" s="14"/>
      <c r="AI1692" s="14"/>
      <c r="AJ1692" s="15"/>
      <c r="AK1692" s="16"/>
    </row>
    <row r="1693" spans="2:37" x14ac:dyDescent="0.2">
      <c r="B1693" s="7" t="s">
        <v>122</v>
      </c>
      <c r="C1693" s="8">
        <v>12365</v>
      </c>
      <c r="D1693" s="9" t="s">
        <v>788</v>
      </c>
      <c r="E1693" s="10" t="s">
        <v>789</v>
      </c>
      <c r="F1693" s="10" t="s">
        <v>790</v>
      </c>
      <c r="G1693" s="8">
        <v>1</v>
      </c>
      <c r="H1693" s="11">
        <v>400</v>
      </c>
      <c r="I1693" s="12">
        <v>42575</v>
      </c>
      <c r="J1693" s="13">
        <f t="shared" si="59"/>
        <v>0</v>
      </c>
      <c r="K1693" s="14"/>
      <c r="L1693" s="14"/>
      <c r="M1693" s="14"/>
      <c r="N1693" s="14"/>
      <c r="O1693" s="14"/>
      <c r="P1693" s="14"/>
      <c r="Q1693" s="14">
        <v>400</v>
      </c>
      <c r="R1693" s="14"/>
      <c r="S1693" s="14"/>
      <c r="T1693" s="14"/>
      <c r="U1693" s="14"/>
      <c r="V1693" s="14"/>
      <c r="W1693" s="15">
        <f t="shared" si="60"/>
        <v>400</v>
      </c>
      <c r="X1693" s="14"/>
      <c r="Y1693" s="14"/>
      <c r="Z1693" s="14"/>
      <c r="AA1693" s="14"/>
      <c r="AB1693" s="14"/>
      <c r="AC1693" s="14"/>
      <c r="AD1693" s="14"/>
      <c r="AE1693" s="14"/>
      <c r="AF1693" s="14"/>
      <c r="AG1693" s="14"/>
      <c r="AH1693" s="14"/>
      <c r="AI1693" s="14"/>
      <c r="AJ1693" s="15"/>
      <c r="AK1693" s="16"/>
    </row>
    <row r="1694" spans="2:37" x14ac:dyDescent="0.2">
      <c r="B1694" s="7" t="s">
        <v>47</v>
      </c>
      <c r="C1694" s="8">
        <v>12366</v>
      </c>
      <c r="D1694" s="9" t="s">
        <v>404</v>
      </c>
      <c r="E1694" s="10" t="s">
        <v>405</v>
      </c>
      <c r="F1694" s="10" t="s">
        <v>406</v>
      </c>
      <c r="G1694" s="8">
        <v>5</v>
      </c>
      <c r="H1694" s="11">
        <v>50</v>
      </c>
      <c r="I1694" s="12">
        <v>42575</v>
      </c>
      <c r="J1694" s="13">
        <f t="shared" si="59"/>
        <v>0</v>
      </c>
      <c r="K1694" s="14"/>
      <c r="L1694" s="14"/>
      <c r="M1694" s="14"/>
      <c r="N1694" s="14"/>
      <c r="O1694" s="14"/>
      <c r="P1694" s="14"/>
      <c r="Q1694" s="14"/>
      <c r="R1694" s="14"/>
      <c r="S1694" s="14"/>
      <c r="T1694" s="14"/>
      <c r="U1694" s="14"/>
      <c r="V1694" s="14"/>
      <c r="W1694" s="15">
        <f t="shared" si="60"/>
        <v>0</v>
      </c>
      <c r="X1694" s="14"/>
      <c r="Y1694" s="14"/>
      <c r="Z1694" s="14"/>
      <c r="AA1694" s="14"/>
      <c r="AB1694" s="14"/>
      <c r="AC1694" s="14"/>
      <c r="AD1694" s="14"/>
      <c r="AE1694" s="14"/>
      <c r="AF1694" s="14"/>
      <c r="AG1694" s="14"/>
      <c r="AH1694" s="14"/>
      <c r="AI1694" s="14"/>
      <c r="AJ1694" s="15"/>
      <c r="AK1694" s="16"/>
    </row>
    <row r="1695" spans="2:37" x14ac:dyDescent="0.2">
      <c r="B1695" s="7" t="s">
        <v>47</v>
      </c>
      <c r="C1695" s="8">
        <v>12367</v>
      </c>
      <c r="D1695" s="9" t="s">
        <v>153</v>
      </c>
      <c r="E1695" s="10" t="s">
        <v>154</v>
      </c>
      <c r="F1695" s="10" t="s">
        <v>155</v>
      </c>
      <c r="G1695" s="8">
        <v>5</v>
      </c>
      <c r="H1695" s="11">
        <v>50</v>
      </c>
      <c r="I1695" s="12">
        <v>42575</v>
      </c>
      <c r="J1695" s="13">
        <f t="shared" si="59"/>
        <v>0</v>
      </c>
      <c r="K1695" s="14"/>
      <c r="L1695" s="14"/>
      <c r="M1695" s="14"/>
      <c r="N1695" s="14"/>
      <c r="O1695" s="14"/>
      <c r="P1695" s="14"/>
      <c r="Q1695" s="14"/>
      <c r="R1695" s="14"/>
      <c r="S1695" s="14"/>
      <c r="T1695" s="14"/>
      <c r="U1695" s="14"/>
      <c r="V1695" s="14"/>
      <c r="W1695" s="15">
        <f t="shared" si="60"/>
        <v>0</v>
      </c>
      <c r="X1695" s="14"/>
      <c r="Y1695" s="14"/>
      <c r="Z1695" s="14"/>
      <c r="AA1695" s="14"/>
      <c r="AB1695" s="14"/>
      <c r="AC1695" s="14"/>
      <c r="AD1695" s="14"/>
      <c r="AE1695" s="14"/>
      <c r="AF1695" s="14"/>
      <c r="AG1695" s="14"/>
      <c r="AH1695" s="14"/>
      <c r="AI1695" s="14"/>
      <c r="AJ1695" s="15"/>
      <c r="AK1695" s="16"/>
    </row>
    <row r="1696" spans="2:37" x14ac:dyDescent="0.2">
      <c r="B1696" s="7" t="s">
        <v>69</v>
      </c>
      <c r="C1696" s="8">
        <v>12368</v>
      </c>
      <c r="D1696" s="9" t="s">
        <v>514</v>
      </c>
      <c r="E1696" s="10" t="s">
        <v>515</v>
      </c>
      <c r="F1696" s="10" t="s">
        <v>516</v>
      </c>
      <c r="G1696" s="8">
        <v>1</v>
      </c>
      <c r="H1696" s="11">
        <v>400</v>
      </c>
      <c r="I1696" s="12">
        <v>42575</v>
      </c>
      <c r="J1696" s="13">
        <f t="shared" si="59"/>
        <v>0</v>
      </c>
      <c r="K1696" s="14"/>
      <c r="L1696" s="14"/>
      <c r="M1696" s="14"/>
      <c r="N1696" s="14"/>
      <c r="O1696" s="14"/>
      <c r="P1696" s="14"/>
      <c r="Q1696" s="14">
        <v>400</v>
      </c>
      <c r="R1696" s="14"/>
      <c r="S1696" s="14"/>
      <c r="T1696" s="14"/>
      <c r="U1696" s="14"/>
      <c r="V1696" s="14"/>
      <c r="W1696" s="15">
        <f t="shared" si="60"/>
        <v>400</v>
      </c>
      <c r="X1696" s="14"/>
      <c r="Y1696" s="14"/>
      <c r="Z1696" s="14"/>
      <c r="AA1696" s="14"/>
      <c r="AB1696" s="14"/>
      <c r="AC1696" s="14"/>
      <c r="AD1696" s="14"/>
      <c r="AE1696" s="14"/>
      <c r="AF1696" s="14"/>
      <c r="AG1696" s="14"/>
      <c r="AH1696" s="14"/>
      <c r="AI1696" s="14"/>
      <c r="AJ1696" s="15"/>
      <c r="AK1696" s="16"/>
    </row>
    <row r="1697" spans="2:37" x14ac:dyDescent="0.2">
      <c r="B1697" s="7" t="s">
        <v>69</v>
      </c>
      <c r="C1697" s="8">
        <v>12369</v>
      </c>
      <c r="D1697" s="9" t="s">
        <v>514</v>
      </c>
      <c r="E1697" s="10" t="s">
        <v>515</v>
      </c>
      <c r="F1697" s="10" t="s">
        <v>516</v>
      </c>
      <c r="G1697" s="8">
        <v>5</v>
      </c>
      <c r="H1697" s="11">
        <v>250</v>
      </c>
      <c r="I1697" s="12">
        <v>42575</v>
      </c>
      <c r="J1697" s="13">
        <f t="shared" si="59"/>
        <v>0</v>
      </c>
      <c r="K1697" s="14"/>
      <c r="L1697" s="14"/>
      <c r="M1697" s="14"/>
      <c r="N1697" s="14"/>
      <c r="O1697" s="14"/>
      <c r="P1697" s="14"/>
      <c r="Q1697" s="14"/>
      <c r="R1697" s="14"/>
      <c r="S1697" s="14"/>
      <c r="T1697" s="14"/>
      <c r="U1697" s="14"/>
      <c r="V1697" s="14"/>
      <c r="W1697" s="15">
        <f t="shared" si="60"/>
        <v>0</v>
      </c>
      <c r="X1697" s="14"/>
      <c r="Y1697" s="14"/>
      <c r="Z1697" s="14"/>
      <c r="AA1697" s="14"/>
      <c r="AB1697" s="14"/>
      <c r="AC1697" s="14"/>
      <c r="AD1697" s="14"/>
      <c r="AE1697" s="14"/>
      <c r="AF1697" s="14"/>
      <c r="AG1697" s="14"/>
      <c r="AH1697" s="14"/>
      <c r="AI1697" s="14"/>
      <c r="AJ1697" s="15"/>
      <c r="AK1697" s="16"/>
    </row>
    <row r="1698" spans="2:37" x14ac:dyDescent="0.2">
      <c r="B1698" s="7" t="s">
        <v>69</v>
      </c>
      <c r="C1698" s="8">
        <v>12370</v>
      </c>
      <c r="D1698" s="9" t="s">
        <v>1049</v>
      </c>
      <c r="E1698" s="10" t="s">
        <v>1050</v>
      </c>
      <c r="F1698" s="10" t="s">
        <v>1051</v>
      </c>
      <c r="G1698" s="8">
        <v>5</v>
      </c>
      <c r="H1698" s="11">
        <v>50</v>
      </c>
      <c r="I1698" s="12">
        <v>42575</v>
      </c>
      <c r="J1698" s="13">
        <f t="shared" si="59"/>
        <v>0</v>
      </c>
      <c r="K1698" s="14"/>
      <c r="L1698" s="14"/>
      <c r="M1698" s="14"/>
      <c r="N1698" s="14"/>
      <c r="O1698" s="14"/>
      <c r="P1698" s="14"/>
      <c r="Q1698" s="14"/>
      <c r="R1698" s="14"/>
      <c r="S1698" s="14"/>
      <c r="T1698" s="14"/>
      <c r="U1698" s="14"/>
      <c r="V1698" s="14"/>
      <c r="W1698" s="15">
        <f t="shared" si="60"/>
        <v>0</v>
      </c>
      <c r="X1698" s="14"/>
      <c r="Y1698" s="14"/>
      <c r="Z1698" s="14"/>
      <c r="AA1698" s="14"/>
      <c r="AB1698" s="14"/>
      <c r="AC1698" s="14"/>
      <c r="AD1698" s="14"/>
      <c r="AE1698" s="14"/>
      <c r="AF1698" s="14"/>
      <c r="AG1698" s="14"/>
      <c r="AH1698" s="14"/>
      <c r="AI1698" s="14"/>
      <c r="AJ1698" s="15"/>
      <c r="AK1698" s="16"/>
    </row>
    <row r="1699" spans="2:37" x14ac:dyDescent="0.2">
      <c r="B1699" s="7" t="s">
        <v>73</v>
      </c>
      <c r="C1699" s="8">
        <v>12371</v>
      </c>
      <c r="D1699" s="9" t="s">
        <v>722</v>
      </c>
      <c r="E1699" s="10" t="s">
        <v>723</v>
      </c>
      <c r="F1699" s="10" t="s">
        <v>724</v>
      </c>
      <c r="G1699" s="8">
        <v>5</v>
      </c>
      <c r="H1699" s="11">
        <v>200</v>
      </c>
      <c r="I1699" s="12">
        <v>42575</v>
      </c>
      <c r="J1699" s="13">
        <f t="shared" si="59"/>
        <v>0</v>
      </c>
      <c r="K1699" s="14"/>
      <c r="L1699" s="14"/>
      <c r="M1699" s="14"/>
      <c r="N1699" s="14"/>
      <c r="O1699" s="14"/>
      <c r="P1699" s="14"/>
      <c r="Q1699" s="14"/>
      <c r="R1699" s="14"/>
      <c r="S1699" s="14"/>
      <c r="T1699" s="14"/>
      <c r="U1699" s="14"/>
      <c r="V1699" s="14"/>
      <c r="W1699" s="15">
        <f t="shared" si="60"/>
        <v>0</v>
      </c>
      <c r="X1699" s="14"/>
      <c r="Y1699" s="14"/>
      <c r="Z1699" s="14"/>
      <c r="AA1699" s="14"/>
      <c r="AB1699" s="14"/>
      <c r="AC1699" s="14"/>
      <c r="AD1699" s="14"/>
      <c r="AE1699" s="14"/>
      <c r="AF1699" s="14"/>
      <c r="AG1699" s="14"/>
      <c r="AH1699" s="14"/>
      <c r="AI1699" s="14"/>
      <c r="AJ1699" s="15"/>
      <c r="AK1699" s="16"/>
    </row>
    <row r="1700" spans="2:37" x14ac:dyDescent="0.2">
      <c r="B1700" s="7" t="s">
        <v>37</v>
      </c>
      <c r="C1700" s="8">
        <v>12372</v>
      </c>
      <c r="D1700" s="9" t="s">
        <v>814</v>
      </c>
      <c r="E1700" s="10" t="s">
        <v>815</v>
      </c>
      <c r="F1700" s="10" t="s">
        <v>816</v>
      </c>
      <c r="G1700" s="8">
        <v>5</v>
      </c>
      <c r="H1700" s="11">
        <v>50</v>
      </c>
      <c r="I1700" s="12">
        <v>42575</v>
      </c>
      <c r="J1700" s="13">
        <f t="shared" si="59"/>
        <v>0</v>
      </c>
      <c r="K1700" s="14"/>
      <c r="L1700" s="14"/>
      <c r="M1700" s="14"/>
      <c r="N1700" s="14"/>
      <c r="O1700" s="14"/>
      <c r="P1700" s="14"/>
      <c r="Q1700" s="14"/>
      <c r="R1700" s="14"/>
      <c r="S1700" s="14"/>
      <c r="T1700" s="14"/>
      <c r="U1700" s="14"/>
      <c r="V1700" s="14"/>
      <c r="W1700" s="15">
        <f t="shared" si="60"/>
        <v>0</v>
      </c>
      <c r="X1700" s="14"/>
      <c r="Y1700" s="14"/>
      <c r="Z1700" s="14"/>
      <c r="AA1700" s="14"/>
      <c r="AB1700" s="14"/>
      <c r="AC1700" s="14"/>
      <c r="AD1700" s="14"/>
      <c r="AE1700" s="14"/>
      <c r="AF1700" s="14"/>
      <c r="AG1700" s="14"/>
      <c r="AH1700" s="14"/>
      <c r="AI1700" s="14"/>
      <c r="AJ1700" s="15"/>
      <c r="AK1700" s="16"/>
    </row>
    <row r="1701" spans="2:37" x14ac:dyDescent="0.2">
      <c r="B1701" s="7" t="s">
        <v>122</v>
      </c>
      <c r="C1701" s="8">
        <v>12373</v>
      </c>
      <c r="D1701" s="9" t="s">
        <v>331</v>
      </c>
      <c r="E1701" s="10" t="s">
        <v>332</v>
      </c>
      <c r="F1701" s="10" t="s">
        <v>333</v>
      </c>
      <c r="G1701" s="8">
        <v>5</v>
      </c>
      <c r="H1701" s="11">
        <v>150</v>
      </c>
      <c r="I1701" s="12">
        <v>42575</v>
      </c>
      <c r="J1701" s="13">
        <f t="shared" si="59"/>
        <v>0</v>
      </c>
      <c r="K1701" s="14"/>
      <c r="L1701" s="14"/>
      <c r="M1701" s="14"/>
      <c r="N1701" s="14"/>
      <c r="O1701" s="14"/>
      <c r="P1701" s="14"/>
      <c r="Q1701" s="14"/>
      <c r="R1701" s="14"/>
      <c r="S1701" s="14"/>
      <c r="T1701" s="14"/>
      <c r="U1701" s="14"/>
      <c r="V1701" s="14"/>
      <c r="W1701" s="15">
        <f t="shared" si="60"/>
        <v>0</v>
      </c>
      <c r="X1701" s="14"/>
      <c r="Y1701" s="14"/>
      <c r="Z1701" s="14"/>
      <c r="AA1701" s="14"/>
      <c r="AB1701" s="14"/>
      <c r="AC1701" s="14"/>
      <c r="AD1701" s="14"/>
      <c r="AE1701" s="14"/>
      <c r="AF1701" s="14"/>
      <c r="AG1701" s="14"/>
      <c r="AH1701" s="14"/>
      <c r="AI1701" s="14"/>
      <c r="AJ1701" s="15"/>
      <c r="AK1701" s="16"/>
    </row>
    <row r="1702" spans="2:37" x14ac:dyDescent="0.2">
      <c r="B1702" s="7" t="s">
        <v>69</v>
      </c>
      <c r="C1702" s="8">
        <v>12374</v>
      </c>
      <c r="D1702" s="9" t="s">
        <v>871</v>
      </c>
      <c r="E1702" s="10" t="s">
        <v>872</v>
      </c>
      <c r="F1702" s="10" t="s">
        <v>873</v>
      </c>
      <c r="G1702" s="8">
        <v>1</v>
      </c>
      <c r="H1702" s="11">
        <v>400</v>
      </c>
      <c r="I1702" s="12">
        <v>42575</v>
      </c>
      <c r="J1702" s="13">
        <f t="shared" si="59"/>
        <v>0</v>
      </c>
      <c r="K1702" s="14"/>
      <c r="L1702" s="14">
        <v>200</v>
      </c>
      <c r="M1702" s="14"/>
      <c r="N1702" s="14"/>
      <c r="O1702" s="14"/>
      <c r="P1702" s="14">
        <v>200</v>
      </c>
      <c r="Q1702" s="14"/>
      <c r="R1702" s="14"/>
      <c r="S1702" s="14"/>
      <c r="T1702" s="14"/>
      <c r="U1702" s="14"/>
      <c r="V1702" s="14"/>
      <c r="W1702" s="15">
        <f t="shared" si="60"/>
        <v>400</v>
      </c>
      <c r="X1702" s="14"/>
      <c r="Y1702" s="14"/>
      <c r="Z1702" s="14"/>
      <c r="AA1702" s="14"/>
      <c r="AB1702" s="14"/>
      <c r="AC1702" s="14"/>
      <c r="AD1702" s="14"/>
      <c r="AE1702" s="14"/>
      <c r="AF1702" s="14"/>
      <c r="AG1702" s="14"/>
      <c r="AH1702" s="14"/>
      <c r="AI1702" s="14"/>
      <c r="AJ1702" s="15"/>
      <c r="AK1702" s="16"/>
    </row>
    <row r="1703" spans="2:37" x14ac:dyDescent="0.2">
      <c r="B1703" s="7" t="s">
        <v>122</v>
      </c>
      <c r="C1703" s="8">
        <v>12375</v>
      </c>
      <c r="D1703" s="9" t="s">
        <v>637</v>
      </c>
      <c r="E1703" s="10" t="s">
        <v>638</v>
      </c>
      <c r="F1703" s="10" t="s">
        <v>639</v>
      </c>
      <c r="G1703" s="8">
        <v>1</v>
      </c>
      <c r="H1703" s="11">
        <v>400</v>
      </c>
      <c r="I1703" s="12">
        <v>42575</v>
      </c>
      <c r="J1703" s="13">
        <f t="shared" si="59"/>
        <v>0</v>
      </c>
      <c r="K1703" s="14"/>
      <c r="L1703" s="14"/>
      <c r="M1703" s="14"/>
      <c r="N1703" s="14"/>
      <c r="O1703" s="14"/>
      <c r="P1703" s="14"/>
      <c r="Q1703" s="14">
        <v>400</v>
      </c>
      <c r="R1703" s="14"/>
      <c r="S1703" s="14"/>
      <c r="T1703" s="14"/>
      <c r="U1703" s="14"/>
      <c r="V1703" s="14"/>
      <c r="W1703" s="15">
        <f t="shared" si="60"/>
        <v>400</v>
      </c>
      <c r="X1703" s="14"/>
      <c r="Y1703" s="14"/>
      <c r="Z1703" s="14"/>
      <c r="AA1703" s="14"/>
      <c r="AB1703" s="14"/>
      <c r="AC1703" s="14"/>
      <c r="AD1703" s="14"/>
      <c r="AE1703" s="14"/>
      <c r="AF1703" s="14"/>
      <c r="AG1703" s="14"/>
      <c r="AH1703" s="14"/>
      <c r="AI1703" s="14"/>
      <c r="AJ1703" s="15"/>
      <c r="AK1703" s="16"/>
    </row>
    <row r="1704" spans="2:37" x14ac:dyDescent="0.2">
      <c r="B1704" s="7" t="s">
        <v>77</v>
      </c>
      <c r="C1704" s="8">
        <v>12376</v>
      </c>
      <c r="D1704" s="9" t="s">
        <v>274</v>
      </c>
      <c r="E1704" s="10" t="s">
        <v>275</v>
      </c>
      <c r="F1704" s="10" t="s">
        <v>276</v>
      </c>
      <c r="G1704" s="8">
        <v>1</v>
      </c>
      <c r="H1704" s="11">
        <v>600</v>
      </c>
      <c r="I1704" s="12">
        <v>42575</v>
      </c>
      <c r="J1704" s="13">
        <f t="shared" si="59"/>
        <v>0</v>
      </c>
      <c r="K1704" s="14"/>
      <c r="L1704" s="14"/>
      <c r="M1704" s="14"/>
      <c r="N1704" s="14"/>
      <c r="O1704" s="14"/>
      <c r="P1704" s="14"/>
      <c r="Q1704" s="14">
        <v>200</v>
      </c>
      <c r="R1704" s="14">
        <v>200</v>
      </c>
      <c r="S1704" s="14">
        <v>200</v>
      </c>
      <c r="T1704" s="14"/>
      <c r="U1704" s="14"/>
      <c r="V1704" s="14"/>
      <c r="W1704" s="15">
        <f t="shared" si="60"/>
        <v>600</v>
      </c>
      <c r="X1704" s="14"/>
      <c r="Y1704" s="14"/>
      <c r="Z1704" s="14"/>
      <c r="AA1704" s="14"/>
      <c r="AB1704" s="14"/>
      <c r="AC1704" s="14"/>
      <c r="AD1704" s="14"/>
      <c r="AE1704" s="14"/>
      <c r="AF1704" s="14"/>
      <c r="AG1704" s="14"/>
      <c r="AH1704" s="14"/>
      <c r="AI1704" s="14"/>
      <c r="AJ1704" s="15"/>
      <c r="AK1704" s="16"/>
    </row>
    <row r="1705" spans="2:37" x14ac:dyDescent="0.2">
      <c r="B1705" s="7" t="s">
        <v>69</v>
      </c>
      <c r="C1705" s="8">
        <v>12377</v>
      </c>
      <c r="D1705" s="9" t="s">
        <v>871</v>
      </c>
      <c r="E1705" s="10" t="s">
        <v>872</v>
      </c>
      <c r="F1705" s="10" t="s">
        <v>873</v>
      </c>
      <c r="G1705" s="8">
        <v>4</v>
      </c>
      <c r="H1705" s="11">
        <v>200</v>
      </c>
      <c r="I1705" s="12">
        <v>42575</v>
      </c>
      <c r="J1705" s="13">
        <f t="shared" si="59"/>
        <v>0</v>
      </c>
      <c r="K1705" s="14"/>
      <c r="L1705" s="14"/>
      <c r="M1705" s="14"/>
      <c r="N1705" s="14"/>
      <c r="O1705" s="14"/>
      <c r="P1705" s="14"/>
      <c r="Q1705" s="14"/>
      <c r="R1705" s="14"/>
      <c r="S1705" s="14"/>
      <c r="T1705" s="14"/>
      <c r="U1705" s="14"/>
      <c r="V1705" s="14"/>
      <c r="W1705" s="15">
        <f t="shared" si="60"/>
        <v>0</v>
      </c>
      <c r="X1705" s="14"/>
      <c r="Y1705" s="14"/>
      <c r="Z1705" s="14"/>
      <c r="AA1705" s="14"/>
      <c r="AB1705" s="14"/>
      <c r="AC1705" s="14"/>
      <c r="AD1705" s="14"/>
      <c r="AE1705" s="14"/>
      <c r="AF1705" s="14"/>
      <c r="AG1705" s="14"/>
      <c r="AH1705" s="14"/>
      <c r="AI1705" s="14"/>
      <c r="AJ1705" s="15"/>
      <c r="AK1705" s="7">
        <v>10457880</v>
      </c>
    </row>
    <row r="1706" spans="2:37" x14ac:dyDescent="0.2">
      <c r="B1706" s="7" t="s">
        <v>69</v>
      </c>
      <c r="C1706" s="8">
        <v>12378</v>
      </c>
      <c r="D1706" s="9" t="s">
        <v>871</v>
      </c>
      <c r="E1706" s="10" t="s">
        <v>872</v>
      </c>
      <c r="F1706" s="10" t="s">
        <v>873</v>
      </c>
      <c r="G1706" s="8">
        <v>5</v>
      </c>
      <c r="H1706" s="11">
        <v>150</v>
      </c>
      <c r="I1706" s="12">
        <v>42575</v>
      </c>
      <c r="J1706" s="13">
        <f t="shared" si="59"/>
        <v>0</v>
      </c>
      <c r="K1706" s="14"/>
      <c r="L1706" s="14"/>
      <c r="M1706" s="14"/>
      <c r="N1706" s="14"/>
      <c r="O1706" s="14"/>
      <c r="P1706" s="14"/>
      <c r="Q1706" s="14"/>
      <c r="R1706" s="14"/>
      <c r="S1706" s="14"/>
      <c r="T1706" s="14"/>
      <c r="U1706" s="14"/>
      <c r="V1706" s="14"/>
      <c r="W1706" s="15">
        <f t="shared" si="60"/>
        <v>0</v>
      </c>
      <c r="X1706" s="14"/>
      <c r="Y1706" s="14"/>
      <c r="Z1706" s="14"/>
      <c r="AA1706" s="14"/>
      <c r="AB1706" s="14"/>
      <c r="AC1706" s="14"/>
      <c r="AD1706" s="14"/>
      <c r="AE1706" s="14"/>
      <c r="AF1706" s="14"/>
      <c r="AG1706" s="14"/>
      <c r="AH1706" s="14"/>
      <c r="AI1706" s="14"/>
      <c r="AJ1706" s="15"/>
      <c r="AK1706" s="16"/>
    </row>
    <row r="1707" spans="2:37" x14ac:dyDescent="0.2">
      <c r="B1707" s="7" t="s">
        <v>69</v>
      </c>
      <c r="C1707" s="8">
        <v>12379</v>
      </c>
      <c r="D1707" s="9" t="s">
        <v>831</v>
      </c>
      <c r="E1707" s="10" t="s">
        <v>832</v>
      </c>
      <c r="F1707" s="10" t="s">
        <v>833</v>
      </c>
      <c r="G1707" s="8">
        <v>5</v>
      </c>
      <c r="H1707" s="11">
        <v>350</v>
      </c>
      <c r="I1707" s="12">
        <v>42575</v>
      </c>
      <c r="J1707" s="13">
        <f t="shared" si="59"/>
        <v>0</v>
      </c>
      <c r="K1707" s="14"/>
      <c r="L1707" s="14"/>
      <c r="M1707" s="14"/>
      <c r="N1707" s="14"/>
      <c r="O1707" s="14"/>
      <c r="P1707" s="14"/>
      <c r="Q1707" s="14"/>
      <c r="R1707" s="14"/>
      <c r="S1707" s="14"/>
      <c r="T1707" s="14"/>
      <c r="U1707" s="14"/>
      <c r="V1707" s="14"/>
      <c r="W1707" s="15">
        <f t="shared" si="60"/>
        <v>0</v>
      </c>
      <c r="X1707" s="14"/>
      <c r="Y1707" s="14"/>
      <c r="Z1707" s="14"/>
      <c r="AA1707" s="14"/>
      <c r="AB1707" s="14"/>
      <c r="AC1707" s="14"/>
      <c r="AD1707" s="14"/>
      <c r="AE1707" s="14"/>
      <c r="AF1707" s="14"/>
      <c r="AG1707" s="14"/>
      <c r="AH1707" s="14"/>
      <c r="AI1707" s="14"/>
      <c r="AJ1707" s="15"/>
      <c r="AK1707" s="16"/>
    </row>
    <row r="1708" spans="2:37" x14ac:dyDescent="0.2">
      <c r="B1708" s="7" t="s">
        <v>73</v>
      </c>
      <c r="C1708" s="8">
        <v>12380</v>
      </c>
      <c r="D1708" s="9" t="s">
        <v>649</v>
      </c>
      <c r="E1708" s="10" t="s">
        <v>650</v>
      </c>
      <c r="F1708" s="10" t="s">
        <v>651</v>
      </c>
      <c r="G1708" s="8">
        <v>5</v>
      </c>
      <c r="H1708" s="11">
        <v>100</v>
      </c>
      <c r="I1708" s="12">
        <v>42575</v>
      </c>
      <c r="J1708" s="13">
        <f t="shared" si="59"/>
        <v>0</v>
      </c>
      <c r="K1708" s="14"/>
      <c r="L1708" s="14"/>
      <c r="M1708" s="14"/>
      <c r="N1708" s="14"/>
      <c r="O1708" s="14"/>
      <c r="P1708" s="14"/>
      <c r="Q1708" s="14"/>
      <c r="R1708" s="14"/>
      <c r="S1708" s="14"/>
      <c r="T1708" s="14"/>
      <c r="U1708" s="14"/>
      <c r="V1708" s="14"/>
      <c r="W1708" s="15">
        <f t="shared" si="60"/>
        <v>0</v>
      </c>
      <c r="X1708" s="14"/>
      <c r="Y1708" s="14"/>
      <c r="Z1708" s="14"/>
      <c r="AA1708" s="14"/>
      <c r="AB1708" s="14"/>
      <c r="AC1708" s="14"/>
      <c r="AD1708" s="14"/>
      <c r="AE1708" s="14"/>
      <c r="AF1708" s="14"/>
      <c r="AG1708" s="14"/>
      <c r="AH1708" s="14"/>
      <c r="AI1708" s="14"/>
      <c r="AJ1708" s="15"/>
      <c r="AK1708" s="16"/>
    </row>
    <row r="1709" spans="2:37" x14ac:dyDescent="0.2">
      <c r="B1709" s="7" t="s">
        <v>37</v>
      </c>
      <c r="C1709" s="8">
        <v>12381</v>
      </c>
      <c r="D1709" s="9" t="s">
        <v>681</v>
      </c>
      <c r="E1709" s="10" t="s">
        <v>682</v>
      </c>
      <c r="F1709" s="10" t="s">
        <v>683</v>
      </c>
      <c r="G1709" s="8">
        <v>5</v>
      </c>
      <c r="H1709" s="11">
        <v>50</v>
      </c>
      <c r="I1709" s="12">
        <v>42575</v>
      </c>
      <c r="J1709" s="13">
        <f t="shared" si="59"/>
        <v>0</v>
      </c>
      <c r="K1709" s="14"/>
      <c r="L1709" s="14"/>
      <c r="M1709" s="14"/>
      <c r="N1709" s="14"/>
      <c r="O1709" s="14"/>
      <c r="P1709" s="14"/>
      <c r="Q1709" s="14"/>
      <c r="R1709" s="14"/>
      <c r="S1709" s="14"/>
      <c r="T1709" s="14"/>
      <c r="U1709" s="14"/>
      <c r="V1709" s="14"/>
      <c r="W1709" s="15">
        <f t="shared" si="60"/>
        <v>0</v>
      </c>
      <c r="X1709" s="14"/>
      <c r="Y1709" s="14"/>
      <c r="Z1709" s="14"/>
      <c r="AA1709" s="14"/>
      <c r="AB1709" s="14"/>
      <c r="AC1709" s="14"/>
      <c r="AD1709" s="14"/>
      <c r="AE1709" s="14"/>
      <c r="AF1709" s="14"/>
      <c r="AG1709" s="14"/>
      <c r="AH1709" s="14"/>
      <c r="AI1709" s="14"/>
      <c r="AJ1709" s="15"/>
      <c r="AK1709" s="16"/>
    </row>
    <row r="1710" spans="2:37" x14ac:dyDescent="0.2">
      <c r="B1710" s="7" t="s">
        <v>122</v>
      </c>
      <c r="C1710" s="8">
        <v>12382</v>
      </c>
      <c r="D1710" s="9" t="s">
        <v>331</v>
      </c>
      <c r="E1710" s="10" t="s">
        <v>332</v>
      </c>
      <c r="F1710" s="10" t="s">
        <v>333</v>
      </c>
      <c r="G1710" s="8">
        <v>5</v>
      </c>
      <c r="H1710" s="11">
        <v>50</v>
      </c>
      <c r="I1710" s="12">
        <v>42575</v>
      </c>
      <c r="J1710" s="13">
        <f t="shared" si="59"/>
        <v>0</v>
      </c>
      <c r="K1710" s="14"/>
      <c r="L1710" s="14"/>
      <c r="M1710" s="14"/>
      <c r="N1710" s="14"/>
      <c r="O1710" s="14"/>
      <c r="P1710" s="14"/>
      <c r="Q1710" s="14"/>
      <c r="R1710" s="14"/>
      <c r="S1710" s="14"/>
      <c r="T1710" s="14"/>
      <c r="U1710" s="14"/>
      <c r="V1710" s="14"/>
      <c r="W1710" s="15">
        <f t="shared" si="60"/>
        <v>0</v>
      </c>
      <c r="X1710" s="14"/>
      <c r="Y1710" s="14"/>
      <c r="Z1710" s="14"/>
      <c r="AA1710" s="14"/>
      <c r="AB1710" s="14"/>
      <c r="AC1710" s="14"/>
      <c r="AD1710" s="14"/>
      <c r="AE1710" s="14"/>
      <c r="AF1710" s="14"/>
      <c r="AG1710" s="14"/>
      <c r="AH1710" s="14"/>
      <c r="AI1710" s="14"/>
      <c r="AJ1710" s="15"/>
      <c r="AK1710" s="16"/>
    </row>
    <row r="1711" spans="2:37" x14ac:dyDescent="0.2">
      <c r="B1711" s="7" t="s">
        <v>47</v>
      </c>
      <c r="C1711" s="8">
        <v>12383</v>
      </c>
      <c r="D1711" s="9" t="s">
        <v>580</v>
      </c>
      <c r="E1711" s="10" t="s">
        <v>581</v>
      </c>
      <c r="F1711" s="10" t="s">
        <v>582</v>
      </c>
      <c r="G1711" s="8">
        <v>5</v>
      </c>
      <c r="H1711" s="11">
        <v>50</v>
      </c>
      <c r="I1711" s="12">
        <v>42575</v>
      </c>
      <c r="J1711" s="13">
        <f t="shared" si="59"/>
        <v>0</v>
      </c>
      <c r="K1711" s="14"/>
      <c r="L1711" s="14"/>
      <c r="M1711" s="14"/>
      <c r="N1711" s="14"/>
      <c r="O1711" s="14"/>
      <c r="P1711" s="14"/>
      <c r="Q1711" s="14"/>
      <c r="R1711" s="14"/>
      <c r="S1711" s="14"/>
      <c r="T1711" s="14"/>
      <c r="U1711" s="14"/>
      <c r="V1711" s="14"/>
      <c r="W1711" s="15">
        <f t="shared" si="60"/>
        <v>0</v>
      </c>
      <c r="X1711" s="14"/>
      <c r="Y1711" s="14"/>
      <c r="Z1711" s="14"/>
      <c r="AA1711" s="14"/>
      <c r="AB1711" s="14"/>
      <c r="AC1711" s="14"/>
      <c r="AD1711" s="14"/>
      <c r="AE1711" s="14"/>
      <c r="AF1711" s="14"/>
      <c r="AG1711" s="14"/>
      <c r="AH1711" s="14"/>
      <c r="AI1711" s="14"/>
      <c r="AJ1711" s="15"/>
      <c r="AK1711" s="16"/>
    </row>
    <row r="1712" spans="2:37" x14ac:dyDescent="0.2">
      <c r="B1712" s="7" t="s">
        <v>47</v>
      </c>
      <c r="C1712" s="8">
        <v>12384</v>
      </c>
      <c r="D1712" s="9" t="s">
        <v>189</v>
      </c>
      <c r="E1712" s="10" t="s">
        <v>190</v>
      </c>
      <c r="F1712" s="10" t="s">
        <v>191</v>
      </c>
      <c r="G1712" s="8">
        <v>5</v>
      </c>
      <c r="H1712" s="11">
        <v>200</v>
      </c>
      <c r="I1712" s="12">
        <v>42575</v>
      </c>
      <c r="J1712" s="13">
        <f t="shared" si="59"/>
        <v>0</v>
      </c>
      <c r="K1712" s="14"/>
      <c r="L1712" s="14"/>
      <c r="M1712" s="14"/>
      <c r="N1712" s="14"/>
      <c r="O1712" s="14"/>
      <c r="P1712" s="14"/>
      <c r="Q1712" s="14"/>
      <c r="R1712" s="14"/>
      <c r="S1712" s="14"/>
      <c r="T1712" s="14"/>
      <c r="U1712" s="14"/>
      <c r="V1712" s="14"/>
      <c r="W1712" s="15">
        <f t="shared" si="60"/>
        <v>0</v>
      </c>
      <c r="X1712" s="14"/>
      <c r="Y1712" s="14"/>
      <c r="Z1712" s="14"/>
      <c r="AA1712" s="14"/>
      <c r="AB1712" s="14"/>
      <c r="AC1712" s="14"/>
      <c r="AD1712" s="14"/>
      <c r="AE1712" s="14"/>
      <c r="AF1712" s="14"/>
      <c r="AG1712" s="14"/>
      <c r="AH1712" s="14"/>
      <c r="AI1712" s="14"/>
      <c r="AJ1712" s="15"/>
      <c r="AK1712" s="16"/>
    </row>
    <row r="1713" spans="2:37" x14ac:dyDescent="0.2">
      <c r="B1713" s="7" t="s">
        <v>47</v>
      </c>
      <c r="C1713" s="8">
        <v>12385</v>
      </c>
      <c r="D1713" s="9" t="s">
        <v>1079</v>
      </c>
      <c r="E1713" s="10" t="s">
        <v>1080</v>
      </c>
      <c r="F1713" s="10" t="s">
        <v>1081</v>
      </c>
      <c r="G1713" s="8">
        <v>5</v>
      </c>
      <c r="H1713" s="11">
        <v>50</v>
      </c>
      <c r="I1713" s="12">
        <v>42575</v>
      </c>
      <c r="J1713" s="13">
        <f t="shared" si="59"/>
        <v>0</v>
      </c>
      <c r="K1713" s="14"/>
      <c r="L1713" s="14"/>
      <c r="M1713" s="14"/>
      <c r="N1713" s="14"/>
      <c r="O1713" s="14"/>
      <c r="P1713" s="14"/>
      <c r="Q1713" s="14"/>
      <c r="R1713" s="14"/>
      <c r="S1713" s="14"/>
      <c r="T1713" s="14"/>
      <c r="U1713" s="14"/>
      <c r="V1713" s="14"/>
      <c r="W1713" s="15">
        <f t="shared" si="60"/>
        <v>0</v>
      </c>
      <c r="X1713" s="14"/>
      <c r="Y1713" s="14"/>
      <c r="Z1713" s="14"/>
      <c r="AA1713" s="14"/>
      <c r="AB1713" s="14"/>
      <c r="AC1713" s="14"/>
      <c r="AD1713" s="14"/>
      <c r="AE1713" s="14"/>
      <c r="AF1713" s="14"/>
      <c r="AG1713" s="14"/>
      <c r="AH1713" s="14"/>
      <c r="AI1713" s="14"/>
      <c r="AJ1713" s="15"/>
      <c r="AK1713" s="16"/>
    </row>
    <row r="1714" spans="2:37" x14ac:dyDescent="0.2">
      <c r="B1714" s="7" t="s">
        <v>47</v>
      </c>
      <c r="C1714" s="8">
        <v>12386</v>
      </c>
      <c r="D1714" s="9" t="s">
        <v>352</v>
      </c>
      <c r="E1714" s="10" t="s">
        <v>353</v>
      </c>
      <c r="F1714" s="10" t="s">
        <v>354</v>
      </c>
      <c r="G1714" s="8">
        <v>5</v>
      </c>
      <c r="H1714" s="11">
        <v>50</v>
      </c>
      <c r="I1714" s="12">
        <v>42575</v>
      </c>
      <c r="J1714" s="13">
        <f t="shared" si="59"/>
        <v>0</v>
      </c>
      <c r="K1714" s="14"/>
      <c r="L1714" s="14"/>
      <c r="M1714" s="14"/>
      <c r="N1714" s="14"/>
      <c r="O1714" s="14"/>
      <c r="P1714" s="14"/>
      <c r="Q1714" s="14"/>
      <c r="R1714" s="14"/>
      <c r="S1714" s="14"/>
      <c r="T1714" s="14"/>
      <c r="U1714" s="14"/>
      <c r="V1714" s="14"/>
      <c r="W1714" s="15">
        <f t="shared" si="60"/>
        <v>0</v>
      </c>
      <c r="X1714" s="14"/>
      <c r="Y1714" s="14"/>
      <c r="Z1714" s="14"/>
      <c r="AA1714" s="14"/>
      <c r="AB1714" s="14"/>
      <c r="AC1714" s="14"/>
      <c r="AD1714" s="14"/>
      <c r="AE1714" s="14"/>
      <c r="AF1714" s="14"/>
      <c r="AG1714" s="14"/>
      <c r="AH1714" s="14"/>
      <c r="AI1714" s="14"/>
      <c r="AJ1714" s="15"/>
      <c r="AK1714" s="16"/>
    </row>
    <row r="1715" spans="2:37" x14ac:dyDescent="0.2">
      <c r="B1715" s="7" t="s">
        <v>69</v>
      </c>
      <c r="C1715" s="8">
        <v>12387</v>
      </c>
      <c r="D1715" s="9" t="s">
        <v>1082</v>
      </c>
      <c r="E1715" s="10" t="s">
        <v>1083</v>
      </c>
      <c r="F1715" s="10" t="s">
        <v>1084</v>
      </c>
      <c r="G1715" s="8">
        <v>5</v>
      </c>
      <c r="H1715" s="11">
        <v>50</v>
      </c>
      <c r="I1715" s="12">
        <v>42575</v>
      </c>
      <c r="J1715" s="13">
        <f t="shared" si="59"/>
        <v>0</v>
      </c>
      <c r="K1715" s="14"/>
      <c r="L1715" s="14"/>
      <c r="M1715" s="14"/>
      <c r="N1715" s="14"/>
      <c r="O1715" s="14"/>
      <c r="P1715" s="14"/>
      <c r="Q1715" s="14"/>
      <c r="R1715" s="14"/>
      <c r="S1715" s="14"/>
      <c r="T1715" s="14"/>
      <c r="U1715" s="14"/>
      <c r="V1715" s="14"/>
      <c r="W1715" s="15">
        <f t="shared" si="60"/>
        <v>0</v>
      </c>
      <c r="X1715" s="14"/>
      <c r="Y1715" s="14"/>
      <c r="Z1715" s="14"/>
      <c r="AA1715" s="14"/>
      <c r="AB1715" s="14"/>
      <c r="AC1715" s="14"/>
      <c r="AD1715" s="14"/>
      <c r="AE1715" s="14"/>
      <c r="AF1715" s="14"/>
      <c r="AG1715" s="14"/>
      <c r="AH1715" s="14"/>
      <c r="AI1715" s="14"/>
      <c r="AJ1715" s="15"/>
      <c r="AK1715" s="16"/>
    </row>
    <row r="1716" spans="2:37" x14ac:dyDescent="0.2">
      <c r="B1716" s="7" t="s">
        <v>122</v>
      </c>
      <c r="C1716" s="8">
        <v>12388</v>
      </c>
      <c r="D1716" s="9" t="s">
        <v>310</v>
      </c>
      <c r="E1716" s="10" t="s">
        <v>311</v>
      </c>
      <c r="F1716" s="10" t="s">
        <v>312</v>
      </c>
      <c r="G1716" s="8">
        <v>5</v>
      </c>
      <c r="H1716" s="11">
        <v>50</v>
      </c>
      <c r="I1716" s="12">
        <v>42575</v>
      </c>
      <c r="J1716" s="13">
        <f t="shared" si="59"/>
        <v>0</v>
      </c>
      <c r="K1716" s="14"/>
      <c r="L1716" s="14"/>
      <c r="M1716" s="14"/>
      <c r="N1716" s="14"/>
      <c r="O1716" s="14"/>
      <c r="P1716" s="14"/>
      <c r="Q1716" s="14"/>
      <c r="R1716" s="14"/>
      <c r="S1716" s="14"/>
      <c r="T1716" s="14"/>
      <c r="U1716" s="14"/>
      <c r="V1716" s="14"/>
      <c r="W1716" s="15">
        <f t="shared" si="60"/>
        <v>0</v>
      </c>
      <c r="X1716" s="14"/>
      <c r="Y1716" s="14"/>
      <c r="Z1716" s="14"/>
      <c r="AA1716" s="14"/>
      <c r="AB1716" s="14"/>
      <c r="AC1716" s="14"/>
      <c r="AD1716" s="14"/>
      <c r="AE1716" s="14"/>
      <c r="AF1716" s="14"/>
      <c r="AG1716" s="14"/>
      <c r="AH1716" s="14"/>
      <c r="AI1716" s="14"/>
      <c r="AJ1716" s="15"/>
      <c r="AK1716" s="16"/>
    </row>
    <row r="1717" spans="2:37" x14ac:dyDescent="0.2">
      <c r="B1717" s="7" t="s">
        <v>37</v>
      </c>
      <c r="C1717" s="8">
        <v>12389</v>
      </c>
      <c r="D1717" s="9" t="s">
        <v>1085</v>
      </c>
      <c r="E1717" s="10" t="s">
        <v>1086</v>
      </c>
      <c r="F1717" s="10" t="s">
        <v>1087</v>
      </c>
      <c r="G1717" s="8">
        <v>5</v>
      </c>
      <c r="H1717" s="11">
        <v>100</v>
      </c>
      <c r="I1717" s="12">
        <v>42575</v>
      </c>
      <c r="J1717" s="13">
        <f t="shared" si="59"/>
        <v>0</v>
      </c>
      <c r="K1717" s="14"/>
      <c r="L1717" s="14"/>
      <c r="M1717" s="14"/>
      <c r="N1717" s="14"/>
      <c r="O1717" s="14"/>
      <c r="P1717" s="14"/>
      <c r="Q1717" s="14"/>
      <c r="R1717" s="14"/>
      <c r="S1717" s="14"/>
      <c r="T1717" s="14"/>
      <c r="U1717" s="14"/>
      <c r="V1717" s="14"/>
      <c r="W1717" s="15">
        <f t="shared" si="60"/>
        <v>0</v>
      </c>
      <c r="X1717" s="14"/>
      <c r="Y1717" s="14"/>
      <c r="Z1717" s="14"/>
      <c r="AA1717" s="14"/>
      <c r="AB1717" s="14"/>
      <c r="AC1717" s="14"/>
      <c r="AD1717" s="14"/>
      <c r="AE1717" s="14"/>
      <c r="AF1717" s="14"/>
      <c r="AG1717" s="14"/>
      <c r="AH1717" s="14"/>
      <c r="AI1717" s="14"/>
      <c r="AJ1717" s="15"/>
      <c r="AK1717" s="16"/>
    </row>
    <row r="1718" spans="2:37" x14ac:dyDescent="0.2">
      <c r="B1718" s="7" t="s">
        <v>69</v>
      </c>
      <c r="C1718" s="8">
        <v>12390</v>
      </c>
      <c r="D1718" s="9" t="s">
        <v>864</v>
      </c>
      <c r="E1718" s="10" t="s">
        <v>865</v>
      </c>
      <c r="F1718" s="10" t="s">
        <v>866</v>
      </c>
      <c r="G1718" s="8">
        <v>1</v>
      </c>
      <c r="H1718" s="11">
        <v>300</v>
      </c>
      <c r="I1718" s="12">
        <v>42575</v>
      </c>
      <c r="J1718" s="13">
        <f t="shared" si="59"/>
        <v>0</v>
      </c>
      <c r="K1718" s="14"/>
      <c r="L1718" s="14"/>
      <c r="M1718" s="14"/>
      <c r="N1718" s="14"/>
      <c r="O1718" s="14"/>
      <c r="P1718" s="14">
        <v>300</v>
      </c>
      <c r="Q1718" s="14"/>
      <c r="R1718" s="14"/>
      <c r="S1718" s="14"/>
      <c r="T1718" s="14"/>
      <c r="U1718" s="14"/>
      <c r="V1718" s="14"/>
      <c r="W1718" s="15">
        <f t="shared" si="60"/>
        <v>300</v>
      </c>
      <c r="X1718" s="14"/>
      <c r="Y1718" s="14"/>
      <c r="Z1718" s="14"/>
      <c r="AA1718" s="14"/>
      <c r="AB1718" s="14"/>
      <c r="AC1718" s="14"/>
      <c r="AD1718" s="14"/>
      <c r="AE1718" s="14"/>
      <c r="AF1718" s="14"/>
      <c r="AG1718" s="14"/>
      <c r="AH1718" s="14"/>
      <c r="AI1718" s="14"/>
      <c r="AJ1718" s="15"/>
      <c r="AK1718" s="16"/>
    </row>
    <row r="1719" spans="2:37" x14ac:dyDescent="0.2">
      <c r="B1719" s="7" t="s">
        <v>69</v>
      </c>
      <c r="C1719" s="8">
        <v>12391</v>
      </c>
      <c r="D1719" s="9" t="s">
        <v>864</v>
      </c>
      <c r="E1719" s="10" t="s">
        <v>865</v>
      </c>
      <c r="F1719" s="10" t="s">
        <v>866</v>
      </c>
      <c r="G1719" s="8">
        <v>5</v>
      </c>
      <c r="H1719" s="11">
        <v>150</v>
      </c>
      <c r="I1719" s="12">
        <v>42575</v>
      </c>
      <c r="J1719" s="13">
        <f t="shared" si="59"/>
        <v>0</v>
      </c>
      <c r="K1719" s="14"/>
      <c r="L1719" s="14"/>
      <c r="M1719" s="14"/>
      <c r="N1719" s="14"/>
      <c r="O1719" s="14"/>
      <c r="P1719" s="14"/>
      <c r="Q1719" s="14"/>
      <c r="R1719" s="14"/>
      <c r="S1719" s="14"/>
      <c r="T1719" s="14"/>
      <c r="U1719" s="14"/>
      <c r="V1719" s="14"/>
      <c r="W1719" s="15">
        <f t="shared" si="60"/>
        <v>0</v>
      </c>
      <c r="X1719" s="14"/>
      <c r="Y1719" s="14"/>
      <c r="Z1719" s="14"/>
      <c r="AA1719" s="14"/>
      <c r="AB1719" s="14"/>
      <c r="AC1719" s="14"/>
      <c r="AD1719" s="14"/>
      <c r="AE1719" s="14"/>
      <c r="AF1719" s="14"/>
      <c r="AG1719" s="14"/>
      <c r="AH1719" s="14"/>
      <c r="AI1719" s="14"/>
      <c r="AJ1719" s="15"/>
      <c r="AK1719" s="16"/>
    </row>
    <row r="1720" spans="2:37" x14ac:dyDescent="0.2">
      <c r="B1720" s="7" t="s">
        <v>47</v>
      </c>
      <c r="C1720" s="8">
        <v>12392</v>
      </c>
      <c r="D1720" s="9" t="s">
        <v>577</v>
      </c>
      <c r="E1720" s="10" t="s">
        <v>578</v>
      </c>
      <c r="F1720" s="10" t="s">
        <v>579</v>
      </c>
      <c r="G1720" s="8">
        <v>1</v>
      </c>
      <c r="H1720" s="11">
        <v>1200</v>
      </c>
      <c r="I1720" s="12">
        <v>42575</v>
      </c>
      <c r="J1720" s="13">
        <f t="shared" si="59"/>
        <v>0</v>
      </c>
      <c r="K1720" s="14"/>
      <c r="L1720" s="14"/>
      <c r="M1720" s="14"/>
      <c r="N1720" s="14"/>
      <c r="O1720" s="14"/>
      <c r="P1720" s="14"/>
      <c r="Q1720" s="14">
        <v>400</v>
      </c>
      <c r="R1720" s="14">
        <v>400</v>
      </c>
      <c r="S1720" s="14">
        <v>400</v>
      </c>
      <c r="T1720" s="14"/>
      <c r="U1720" s="14"/>
      <c r="V1720" s="14"/>
      <c r="W1720" s="15">
        <f t="shared" si="60"/>
        <v>1200</v>
      </c>
      <c r="X1720" s="14"/>
      <c r="Y1720" s="14"/>
      <c r="Z1720" s="14"/>
      <c r="AA1720" s="14"/>
      <c r="AB1720" s="14"/>
      <c r="AC1720" s="14"/>
      <c r="AD1720" s="14"/>
      <c r="AE1720" s="14"/>
      <c r="AF1720" s="14"/>
      <c r="AG1720" s="14"/>
      <c r="AH1720" s="14"/>
      <c r="AI1720" s="14"/>
      <c r="AJ1720" s="15"/>
      <c r="AK1720" s="16"/>
    </row>
    <row r="1721" spans="2:37" x14ac:dyDescent="0.2">
      <c r="B1721" s="7" t="s">
        <v>37</v>
      </c>
      <c r="C1721" s="8">
        <v>12393</v>
      </c>
      <c r="D1721" s="9" t="s">
        <v>774</v>
      </c>
      <c r="E1721" s="10" t="s">
        <v>775</v>
      </c>
      <c r="F1721" s="10" t="s">
        <v>776</v>
      </c>
      <c r="G1721" s="8">
        <v>1</v>
      </c>
      <c r="H1721" s="11">
        <v>1200</v>
      </c>
      <c r="I1721" s="12">
        <v>42575</v>
      </c>
      <c r="J1721" s="13">
        <f t="shared" si="59"/>
        <v>0</v>
      </c>
      <c r="K1721" s="14"/>
      <c r="L1721" s="14"/>
      <c r="M1721" s="14">
        <v>400</v>
      </c>
      <c r="N1721" s="14">
        <v>400</v>
      </c>
      <c r="O1721" s="14">
        <v>400</v>
      </c>
      <c r="P1721" s="14"/>
      <c r="Q1721" s="14"/>
      <c r="R1721" s="14"/>
      <c r="S1721" s="14"/>
      <c r="T1721" s="14"/>
      <c r="U1721" s="14"/>
      <c r="V1721" s="14"/>
      <c r="W1721" s="15">
        <f t="shared" si="60"/>
        <v>1200</v>
      </c>
      <c r="X1721" s="14"/>
      <c r="Y1721" s="14"/>
      <c r="Z1721" s="14"/>
      <c r="AA1721" s="14"/>
      <c r="AB1721" s="14"/>
      <c r="AC1721" s="14"/>
      <c r="AD1721" s="14"/>
      <c r="AE1721" s="14"/>
      <c r="AF1721" s="14"/>
      <c r="AG1721" s="14"/>
      <c r="AH1721" s="14"/>
      <c r="AI1721" s="14"/>
      <c r="AJ1721" s="15"/>
      <c r="AK1721" s="16"/>
    </row>
    <row r="1722" spans="2:37" x14ac:dyDescent="0.2">
      <c r="B1722" s="7" t="s">
        <v>37</v>
      </c>
      <c r="C1722" s="8">
        <v>12394</v>
      </c>
      <c r="D1722" s="9" t="s">
        <v>774</v>
      </c>
      <c r="E1722" s="10" t="s">
        <v>775</v>
      </c>
      <c r="F1722" s="10" t="s">
        <v>776</v>
      </c>
      <c r="G1722" s="8">
        <v>5</v>
      </c>
      <c r="H1722" s="11">
        <v>100</v>
      </c>
      <c r="I1722" s="12">
        <v>42575</v>
      </c>
      <c r="J1722" s="13">
        <f t="shared" si="59"/>
        <v>0</v>
      </c>
      <c r="K1722" s="14"/>
      <c r="L1722" s="14"/>
      <c r="M1722" s="14"/>
      <c r="N1722" s="14"/>
      <c r="O1722" s="14"/>
      <c r="P1722" s="14"/>
      <c r="Q1722" s="14"/>
      <c r="R1722" s="14"/>
      <c r="S1722" s="14"/>
      <c r="T1722" s="14"/>
      <c r="U1722" s="14"/>
      <c r="V1722" s="14"/>
      <c r="W1722" s="15">
        <f t="shared" si="60"/>
        <v>0</v>
      </c>
      <c r="X1722" s="14"/>
      <c r="Y1722" s="14"/>
      <c r="Z1722" s="14"/>
      <c r="AA1722" s="14"/>
      <c r="AB1722" s="14"/>
      <c r="AC1722" s="14"/>
      <c r="AD1722" s="14"/>
      <c r="AE1722" s="14"/>
      <c r="AF1722" s="14"/>
      <c r="AG1722" s="14"/>
      <c r="AH1722" s="14"/>
      <c r="AI1722" s="14"/>
      <c r="AJ1722" s="15"/>
      <c r="AK1722" s="16"/>
    </row>
    <row r="1723" spans="2:37" x14ac:dyDescent="0.2">
      <c r="B1723" s="7" t="s">
        <v>47</v>
      </c>
      <c r="C1723" s="8">
        <v>12395</v>
      </c>
      <c r="D1723" s="9" t="s">
        <v>1029</v>
      </c>
      <c r="E1723" s="10" t="s">
        <v>1030</v>
      </c>
      <c r="F1723" s="10" t="s">
        <v>1031</v>
      </c>
      <c r="G1723" s="8">
        <v>1</v>
      </c>
      <c r="H1723" s="11">
        <v>1600</v>
      </c>
      <c r="I1723" s="12">
        <v>42575</v>
      </c>
      <c r="J1723" s="13">
        <f t="shared" si="59"/>
        <v>0</v>
      </c>
      <c r="K1723" s="14"/>
      <c r="L1723" s="14"/>
      <c r="M1723" s="14">
        <v>400</v>
      </c>
      <c r="N1723" s="14">
        <v>400</v>
      </c>
      <c r="O1723" s="14">
        <v>400</v>
      </c>
      <c r="P1723" s="14">
        <v>400</v>
      </c>
      <c r="Q1723" s="14"/>
      <c r="R1723" s="14"/>
      <c r="S1723" s="14"/>
      <c r="T1723" s="14"/>
      <c r="U1723" s="14"/>
      <c r="V1723" s="14"/>
      <c r="W1723" s="15">
        <f t="shared" si="60"/>
        <v>1600</v>
      </c>
      <c r="X1723" s="14"/>
      <c r="Y1723" s="14"/>
      <c r="Z1723" s="14"/>
      <c r="AA1723" s="14"/>
      <c r="AB1723" s="14"/>
      <c r="AC1723" s="14"/>
      <c r="AD1723" s="14"/>
      <c r="AE1723" s="14"/>
      <c r="AF1723" s="14"/>
      <c r="AG1723" s="14"/>
      <c r="AH1723" s="14"/>
      <c r="AI1723" s="14"/>
      <c r="AJ1723" s="15"/>
      <c r="AK1723" s="16" t="s">
        <v>1088</v>
      </c>
    </row>
    <row r="1724" spans="2:37" x14ac:dyDescent="0.2">
      <c r="B1724" s="7" t="s">
        <v>69</v>
      </c>
      <c r="C1724" s="8">
        <v>12396</v>
      </c>
      <c r="D1724" s="9" t="s">
        <v>1089</v>
      </c>
      <c r="E1724" s="10" t="s">
        <v>1090</v>
      </c>
      <c r="F1724" s="10" t="s">
        <v>1091</v>
      </c>
      <c r="G1724" s="8">
        <v>5</v>
      </c>
      <c r="H1724" s="11">
        <v>100</v>
      </c>
      <c r="I1724" s="12">
        <v>42575</v>
      </c>
      <c r="J1724" s="13">
        <f t="shared" si="59"/>
        <v>0</v>
      </c>
      <c r="K1724" s="14"/>
      <c r="L1724" s="14"/>
      <c r="M1724" s="14"/>
      <c r="N1724" s="14"/>
      <c r="O1724" s="14"/>
      <c r="P1724" s="14"/>
      <c r="Q1724" s="14"/>
      <c r="R1724" s="14"/>
      <c r="S1724" s="14"/>
      <c r="T1724" s="14"/>
      <c r="U1724" s="14"/>
      <c r="V1724" s="14"/>
      <c r="W1724" s="15">
        <f t="shared" si="60"/>
        <v>0</v>
      </c>
      <c r="X1724" s="14"/>
      <c r="Y1724" s="14"/>
      <c r="Z1724" s="14"/>
      <c r="AA1724" s="14"/>
      <c r="AB1724" s="14"/>
      <c r="AC1724" s="14"/>
      <c r="AD1724" s="14"/>
      <c r="AE1724" s="14"/>
      <c r="AF1724" s="14"/>
      <c r="AG1724" s="14"/>
      <c r="AH1724" s="14"/>
      <c r="AI1724" s="14"/>
      <c r="AJ1724" s="15"/>
      <c r="AK1724" s="16"/>
    </row>
    <row r="1725" spans="2:37" x14ac:dyDescent="0.2">
      <c r="B1725" s="7" t="s">
        <v>47</v>
      </c>
      <c r="C1725" s="8">
        <v>12397</v>
      </c>
      <c r="D1725" s="9" t="s">
        <v>1029</v>
      </c>
      <c r="E1725" s="10" t="s">
        <v>1030</v>
      </c>
      <c r="F1725" s="10" t="s">
        <v>1031</v>
      </c>
      <c r="G1725" s="8">
        <v>5</v>
      </c>
      <c r="H1725" s="11">
        <v>150</v>
      </c>
      <c r="I1725" s="12">
        <v>42575</v>
      </c>
      <c r="J1725" s="13">
        <f t="shared" si="59"/>
        <v>0</v>
      </c>
      <c r="K1725" s="14"/>
      <c r="L1725" s="14"/>
      <c r="M1725" s="14"/>
      <c r="N1725" s="14"/>
      <c r="O1725" s="14"/>
      <c r="P1725" s="14"/>
      <c r="Q1725" s="14"/>
      <c r="R1725" s="14"/>
      <c r="S1725" s="14"/>
      <c r="T1725" s="14"/>
      <c r="U1725" s="14"/>
      <c r="V1725" s="14"/>
      <c r="W1725" s="15">
        <f t="shared" si="60"/>
        <v>0</v>
      </c>
      <c r="X1725" s="14"/>
      <c r="Y1725" s="14"/>
      <c r="Z1725" s="14"/>
      <c r="AA1725" s="14"/>
      <c r="AB1725" s="14"/>
      <c r="AC1725" s="14"/>
      <c r="AD1725" s="14"/>
      <c r="AE1725" s="14"/>
      <c r="AF1725" s="14"/>
      <c r="AG1725" s="14"/>
      <c r="AH1725" s="14"/>
      <c r="AI1725" s="14"/>
      <c r="AJ1725" s="15"/>
      <c r="AK1725" s="16"/>
    </row>
    <row r="1726" spans="2:37" x14ac:dyDescent="0.2">
      <c r="B1726" s="7" t="s">
        <v>77</v>
      </c>
      <c r="C1726" s="8">
        <v>12398</v>
      </c>
      <c r="D1726" s="9" t="s">
        <v>286</v>
      </c>
      <c r="E1726" s="10" t="s">
        <v>287</v>
      </c>
      <c r="F1726" s="10" t="s">
        <v>288</v>
      </c>
      <c r="G1726" s="8">
        <v>5</v>
      </c>
      <c r="H1726" s="11">
        <v>100</v>
      </c>
      <c r="I1726" s="12">
        <v>42575</v>
      </c>
      <c r="J1726" s="13">
        <f t="shared" si="59"/>
        <v>0</v>
      </c>
      <c r="K1726" s="14"/>
      <c r="L1726" s="14"/>
      <c r="M1726" s="14"/>
      <c r="N1726" s="14"/>
      <c r="O1726" s="14"/>
      <c r="P1726" s="14"/>
      <c r="Q1726" s="14"/>
      <c r="R1726" s="14"/>
      <c r="S1726" s="14"/>
      <c r="T1726" s="14"/>
      <c r="U1726" s="14"/>
      <c r="V1726" s="14"/>
      <c r="W1726" s="15">
        <f t="shared" si="60"/>
        <v>0</v>
      </c>
      <c r="X1726" s="14"/>
      <c r="Y1726" s="14"/>
      <c r="Z1726" s="14"/>
      <c r="AA1726" s="14"/>
      <c r="AB1726" s="14"/>
      <c r="AC1726" s="14"/>
      <c r="AD1726" s="14"/>
      <c r="AE1726" s="14"/>
      <c r="AF1726" s="14"/>
      <c r="AG1726" s="14"/>
      <c r="AH1726" s="14"/>
      <c r="AI1726" s="14"/>
      <c r="AJ1726" s="15"/>
      <c r="AK1726" s="16"/>
    </row>
    <row r="1727" spans="2:37" x14ac:dyDescent="0.2">
      <c r="B1727" s="7" t="s">
        <v>37</v>
      </c>
      <c r="C1727" s="8">
        <v>12399</v>
      </c>
      <c r="D1727" s="9" t="s">
        <v>975</v>
      </c>
      <c r="E1727" s="10" t="s">
        <v>976</v>
      </c>
      <c r="F1727" s="10" t="s">
        <v>573</v>
      </c>
      <c r="G1727" s="8">
        <v>1</v>
      </c>
      <c r="H1727" s="11">
        <v>400</v>
      </c>
      <c r="I1727" s="12">
        <v>42575</v>
      </c>
      <c r="J1727" s="13">
        <f t="shared" si="59"/>
        <v>0</v>
      </c>
      <c r="K1727" s="14"/>
      <c r="L1727" s="14"/>
      <c r="M1727" s="14"/>
      <c r="N1727" s="14"/>
      <c r="O1727" s="14"/>
      <c r="P1727" s="14"/>
      <c r="Q1727" s="14">
        <v>400</v>
      </c>
      <c r="R1727" s="14"/>
      <c r="S1727" s="14"/>
      <c r="T1727" s="14"/>
      <c r="U1727" s="14"/>
      <c r="V1727" s="14"/>
      <c r="W1727" s="15">
        <f t="shared" si="60"/>
        <v>400</v>
      </c>
      <c r="X1727" s="14"/>
      <c r="Y1727" s="14"/>
      <c r="Z1727" s="14"/>
      <c r="AA1727" s="14"/>
      <c r="AB1727" s="14"/>
      <c r="AC1727" s="14"/>
      <c r="AD1727" s="14"/>
      <c r="AE1727" s="14"/>
      <c r="AF1727" s="14"/>
      <c r="AG1727" s="14"/>
      <c r="AH1727" s="14"/>
      <c r="AI1727" s="14"/>
      <c r="AJ1727" s="15"/>
      <c r="AK1727" s="16"/>
    </row>
    <row r="1728" spans="2:37" x14ac:dyDescent="0.2">
      <c r="B1728" s="7" t="s">
        <v>37</v>
      </c>
      <c r="C1728" s="8">
        <v>12400</v>
      </c>
      <c r="D1728" s="9" t="s">
        <v>975</v>
      </c>
      <c r="E1728" s="10" t="s">
        <v>976</v>
      </c>
      <c r="F1728" s="10" t="s">
        <v>573</v>
      </c>
      <c r="G1728" s="8">
        <v>5</v>
      </c>
      <c r="H1728" s="11">
        <v>150</v>
      </c>
      <c r="I1728" s="12">
        <v>42575</v>
      </c>
      <c r="J1728" s="13">
        <f t="shared" si="59"/>
        <v>0</v>
      </c>
      <c r="K1728" s="14"/>
      <c r="L1728" s="14"/>
      <c r="M1728" s="14"/>
      <c r="N1728" s="14"/>
      <c r="O1728" s="14"/>
      <c r="P1728" s="14"/>
      <c r="Q1728" s="14"/>
      <c r="R1728" s="14"/>
      <c r="S1728" s="14"/>
      <c r="T1728" s="14"/>
      <c r="U1728" s="14"/>
      <c r="V1728" s="14"/>
      <c r="W1728" s="15">
        <f t="shared" si="60"/>
        <v>0</v>
      </c>
      <c r="X1728" s="14"/>
      <c r="Y1728" s="14"/>
      <c r="Z1728" s="14"/>
      <c r="AA1728" s="14"/>
      <c r="AB1728" s="14"/>
      <c r="AC1728" s="14"/>
      <c r="AD1728" s="14"/>
      <c r="AE1728" s="14"/>
      <c r="AF1728" s="14"/>
      <c r="AG1728" s="14"/>
      <c r="AH1728" s="14"/>
      <c r="AI1728" s="14"/>
      <c r="AJ1728" s="15"/>
      <c r="AK1728" s="16"/>
    </row>
    <row r="1729" spans="2:37" x14ac:dyDescent="0.2">
      <c r="B1729" s="7" t="s">
        <v>69</v>
      </c>
      <c r="C1729" s="8">
        <v>12401</v>
      </c>
      <c r="D1729" s="9" t="s">
        <v>1082</v>
      </c>
      <c r="E1729" s="10" t="s">
        <v>1083</v>
      </c>
      <c r="F1729" s="10" t="s">
        <v>1084</v>
      </c>
      <c r="G1729" s="8">
        <v>5</v>
      </c>
      <c r="H1729" s="11">
        <v>50</v>
      </c>
      <c r="I1729" s="12">
        <v>42575</v>
      </c>
      <c r="J1729" s="13">
        <f t="shared" si="59"/>
        <v>0</v>
      </c>
      <c r="K1729" s="14"/>
      <c r="L1729" s="14"/>
      <c r="M1729" s="14"/>
      <c r="N1729" s="14"/>
      <c r="O1729" s="14"/>
      <c r="P1729" s="14"/>
      <c r="Q1729" s="14"/>
      <c r="R1729" s="14"/>
      <c r="S1729" s="14"/>
      <c r="T1729" s="14"/>
      <c r="U1729" s="14"/>
      <c r="V1729" s="14"/>
      <c r="W1729" s="15">
        <f t="shared" si="60"/>
        <v>0</v>
      </c>
      <c r="X1729" s="14"/>
      <c r="Y1729" s="14"/>
      <c r="Z1729" s="14"/>
      <c r="AA1729" s="14"/>
      <c r="AB1729" s="14"/>
      <c r="AC1729" s="14"/>
      <c r="AD1729" s="14"/>
      <c r="AE1729" s="14"/>
      <c r="AF1729" s="14"/>
      <c r="AG1729" s="14"/>
      <c r="AH1729" s="14"/>
      <c r="AI1729" s="14"/>
      <c r="AJ1729" s="15"/>
      <c r="AK1729" s="16"/>
    </row>
    <row r="1730" spans="2:37" x14ac:dyDescent="0.2">
      <c r="B1730" s="7" t="s">
        <v>73</v>
      </c>
      <c r="C1730" s="8">
        <v>12402</v>
      </c>
      <c r="D1730" s="9" t="s">
        <v>1092</v>
      </c>
      <c r="E1730" s="10" t="s">
        <v>1093</v>
      </c>
      <c r="F1730" s="10" t="s">
        <v>1094</v>
      </c>
      <c r="G1730" s="8">
        <v>1</v>
      </c>
      <c r="H1730" s="11">
        <v>200</v>
      </c>
      <c r="I1730" s="12">
        <v>42575</v>
      </c>
      <c r="J1730" s="13">
        <f t="shared" si="59"/>
        <v>0</v>
      </c>
      <c r="K1730" s="14"/>
      <c r="L1730" s="14"/>
      <c r="M1730" s="14"/>
      <c r="N1730" s="14"/>
      <c r="O1730" s="14"/>
      <c r="P1730" s="14"/>
      <c r="Q1730" s="14">
        <v>200</v>
      </c>
      <c r="R1730" s="14"/>
      <c r="S1730" s="14"/>
      <c r="T1730" s="14"/>
      <c r="U1730" s="14"/>
      <c r="V1730" s="14"/>
      <c r="W1730" s="15">
        <f t="shared" si="60"/>
        <v>200</v>
      </c>
      <c r="X1730" s="14"/>
      <c r="Y1730" s="14"/>
      <c r="Z1730" s="14"/>
      <c r="AA1730" s="14"/>
      <c r="AB1730" s="14"/>
      <c r="AC1730" s="14"/>
      <c r="AD1730" s="14"/>
      <c r="AE1730" s="14"/>
      <c r="AF1730" s="14"/>
      <c r="AG1730" s="14"/>
      <c r="AH1730" s="14"/>
      <c r="AI1730" s="14"/>
      <c r="AJ1730" s="15"/>
      <c r="AK1730" s="16"/>
    </row>
    <row r="1731" spans="2:37" x14ac:dyDescent="0.2">
      <c r="B1731" s="7" t="s">
        <v>37</v>
      </c>
      <c r="C1731" s="8">
        <v>12403</v>
      </c>
      <c r="D1731" s="9" t="s">
        <v>935</v>
      </c>
      <c r="E1731" s="10" t="s">
        <v>936</v>
      </c>
      <c r="F1731" s="10" t="s">
        <v>937</v>
      </c>
      <c r="G1731" s="8">
        <v>1</v>
      </c>
      <c r="H1731" s="11">
        <v>250</v>
      </c>
      <c r="I1731" s="12">
        <v>42575</v>
      </c>
      <c r="J1731" s="13">
        <f t="shared" si="59"/>
        <v>0</v>
      </c>
      <c r="K1731" s="14"/>
      <c r="L1731" s="14"/>
      <c r="M1731" s="14"/>
      <c r="N1731" s="14"/>
      <c r="O1731" s="14"/>
      <c r="P1731" s="14"/>
      <c r="Q1731" s="14">
        <v>250</v>
      </c>
      <c r="R1731" s="14"/>
      <c r="S1731" s="14"/>
      <c r="T1731" s="14"/>
      <c r="U1731" s="14"/>
      <c r="V1731" s="14"/>
      <c r="W1731" s="15">
        <f t="shared" si="60"/>
        <v>250</v>
      </c>
      <c r="X1731" s="14"/>
      <c r="Y1731" s="14"/>
      <c r="Z1731" s="14"/>
      <c r="AA1731" s="14"/>
      <c r="AB1731" s="14"/>
      <c r="AC1731" s="14"/>
      <c r="AD1731" s="14"/>
      <c r="AE1731" s="14"/>
      <c r="AF1731" s="14"/>
      <c r="AG1731" s="14"/>
      <c r="AH1731" s="14"/>
      <c r="AI1731" s="14"/>
      <c r="AJ1731" s="15"/>
      <c r="AK1731" s="16"/>
    </row>
    <row r="1732" spans="2:37" x14ac:dyDescent="0.2">
      <c r="B1732" s="7" t="s">
        <v>37</v>
      </c>
      <c r="C1732" s="8">
        <v>12404</v>
      </c>
      <c r="D1732" s="9" t="s">
        <v>935</v>
      </c>
      <c r="E1732" s="10" t="s">
        <v>936</v>
      </c>
      <c r="F1732" s="10" t="s">
        <v>937</v>
      </c>
      <c r="G1732" s="8">
        <v>5</v>
      </c>
      <c r="H1732" s="11">
        <v>50</v>
      </c>
      <c r="I1732" s="12">
        <v>42575</v>
      </c>
      <c r="J1732" s="13">
        <f t="shared" si="59"/>
        <v>0</v>
      </c>
      <c r="K1732" s="14"/>
      <c r="L1732" s="14"/>
      <c r="M1732" s="14"/>
      <c r="N1732" s="14"/>
      <c r="O1732" s="14"/>
      <c r="P1732" s="14"/>
      <c r="Q1732" s="14"/>
      <c r="R1732" s="14"/>
      <c r="S1732" s="14"/>
      <c r="T1732" s="14"/>
      <c r="U1732" s="14"/>
      <c r="V1732" s="14"/>
      <c r="W1732" s="15">
        <f t="shared" si="60"/>
        <v>0</v>
      </c>
      <c r="X1732" s="14"/>
      <c r="Y1732" s="14"/>
      <c r="Z1732" s="14"/>
      <c r="AA1732" s="14"/>
      <c r="AB1732" s="14"/>
      <c r="AC1732" s="14"/>
      <c r="AD1732" s="14"/>
      <c r="AE1732" s="14"/>
      <c r="AF1732" s="14"/>
      <c r="AG1732" s="14"/>
      <c r="AH1732" s="14"/>
      <c r="AI1732" s="14"/>
      <c r="AJ1732" s="15"/>
      <c r="AK1732" s="16"/>
    </row>
    <row r="1733" spans="2:37" x14ac:dyDescent="0.2">
      <c r="B1733" s="7" t="s">
        <v>47</v>
      </c>
      <c r="C1733" s="8">
        <v>12405</v>
      </c>
      <c r="D1733" s="9" t="s">
        <v>658</v>
      </c>
      <c r="E1733" s="10" t="s">
        <v>659</v>
      </c>
      <c r="F1733" s="10" t="s">
        <v>921</v>
      </c>
      <c r="G1733" s="8">
        <v>3</v>
      </c>
      <c r="H1733" s="11">
        <v>200</v>
      </c>
      <c r="I1733" s="12">
        <v>42575</v>
      </c>
      <c r="J1733" s="13">
        <f t="shared" si="59"/>
        <v>0</v>
      </c>
      <c r="K1733" s="14"/>
      <c r="L1733" s="14"/>
      <c r="M1733" s="14"/>
      <c r="N1733" s="14"/>
      <c r="O1733" s="14"/>
      <c r="P1733" s="14"/>
      <c r="Q1733" s="14"/>
      <c r="R1733" s="14"/>
      <c r="S1733" s="14"/>
      <c r="T1733" s="14"/>
      <c r="U1733" s="14"/>
      <c r="V1733" s="14"/>
      <c r="W1733" s="15">
        <f t="shared" si="60"/>
        <v>0</v>
      </c>
      <c r="X1733" s="14"/>
      <c r="Y1733" s="14"/>
      <c r="Z1733" s="14"/>
      <c r="AA1733" s="14"/>
      <c r="AB1733" s="14"/>
      <c r="AC1733" s="14"/>
      <c r="AD1733" s="14"/>
      <c r="AE1733" s="14"/>
      <c r="AF1733" s="14"/>
      <c r="AG1733" s="14"/>
      <c r="AH1733" s="14"/>
      <c r="AI1733" s="14"/>
      <c r="AJ1733" s="15"/>
      <c r="AK1733" s="16"/>
    </row>
    <row r="1734" spans="2:37" x14ac:dyDescent="0.2">
      <c r="B1734" s="7" t="s">
        <v>37</v>
      </c>
      <c r="C1734" s="8">
        <v>12406</v>
      </c>
      <c r="D1734" s="9" t="s">
        <v>794</v>
      </c>
      <c r="E1734" s="10" t="s">
        <v>795</v>
      </c>
      <c r="F1734" s="10" t="s">
        <v>796</v>
      </c>
      <c r="G1734" s="8">
        <v>1</v>
      </c>
      <c r="H1734" s="11">
        <v>300</v>
      </c>
      <c r="I1734" s="12">
        <v>42575</v>
      </c>
      <c r="J1734" s="13">
        <f t="shared" si="59"/>
        <v>0</v>
      </c>
      <c r="K1734" s="14"/>
      <c r="L1734" s="14"/>
      <c r="M1734" s="14"/>
      <c r="N1734" s="14"/>
      <c r="O1734" s="14"/>
      <c r="P1734" s="14"/>
      <c r="Q1734" s="14">
        <v>300</v>
      </c>
      <c r="R1734" s="14"/>
      <c r="S1734" s="14"/>
      <c r="T1734" s="14"/>
      <c r="U1734" s="14"/>
      <c r="V1734" s="14"/>
      <c r="W1734" s="15">
        <f t="shared" si="60"/>
        <v>300</v>
      </c>
      <c r="X1734" s="14"/>
      <c r="Y1734" s="14"/>
      <c r="Z1734" s="14"/>
      <c r="AA1734" s="14"/>
      <c r="AB1734" s="14"/>
      <c r="AC1734" s="14"/>
      <c r="AD1734" s="14"/>
      <c r="AE1734" s="14"/>
      <c r="AF1734" s="14"/>
      <c r="AG1734" s="14"/>
      <c r="AH1734" s="14"/>
      <c r="AI1734" s="14"/>
      <c r="AJ1734" s="15"/>
      <c r="AK1734" s="16"/>
    </row>
    <row r="1735" spans="2:37" x14ac:dyDescent="0.2">
      <c r="B1735" s="7" t="s">
        <v>73</v>
      </c>
      <c r="C1735" s="8">
        <v>12407</v>
      </c>
      <c r="D1735" s="9" t="s">
        <v>1092</v>
      </c>
      <c r="E1735" s="10" t="s">
        <v>1093</v>
      </c>
      <c r="F1735" s="10" t="s">
        <v>1094</v>
      </c>
      <c r="G1735" s="8">
        <v>5</v>
      </c>
      <c r="H1735" s="11">
        <v>100</v>
      </c>
      <c r="I1735" s="12">
        <v>42575</v>
      </c>
      <c r="J1735" s="13">
        <f t="shared" si="59"/>
        <v>0</v>
      </c>
      <c r="K1735" s="14"/>
      <c r="L1735" s="14"/>
      <c r="M1735" s="14"/>
      <c r="N1735" s="14"/>
      <c r="O1735" s="14"/>
      <c r="P1735" s="14"/>
      <c r="Q1735" s="14"/>
      <c r="R1735" s="14"/>
      <c r="S1735" s="14"/>
      <c r="T1735" s="14"/>
      <c r="U1735" s="14"/>
      <c r="V1735" s="14"/>
      <c r="W1735" s="15">
        <f t="shared" si="60"/>
        <v>0</v>
      </c>
      <c r="X1735" s="14"/>
      <c r="Y1735" s="14"/>
      <c r="Z1735" s="14"/>
      <c r="AA1735" s="14"/>
      <c r="AB1735" s="14"/>
      <c r="AC1735" s="14"/>
      <c r="AD1735" s="14"/>
      <c r="AE1735" s="14"/>
      <c r="AF1735" s="14"/>
      <c r="AG1735" s="14"/>
      <c r="AH1735" s="14"/>
      <c r="AI1735" s="14"/>
      <c r="AJ1735" s="15"/>
      <c r="AK1735" s="16"/>
    </row>
    <row r="1736" spans="2:37" x14ac:dyDescent="0.2">
      <c r="B1736" s="7" t="s">
        <v>37</v>
      </c>
      <c r="C1736" s="8">
        <v>12408</v>
      </c>
      <c r="D1736" s="9" t="s">
        <v>1036</v>
      </c>
      <c r="E1736" s="10" t="s">
        <v>1037</v>
      </c>
      <c r="F1736" s="10" t="s">
        <v>1038</v>
      </c>
      <c r="G1736" s="8">
        <v>5</v>
      </c>
      <c r="H1736" s="11">
        <v>100</v>
      </c>
      <c r="I1736" s="12">
        <v>42575</v>
      </c>
      <c r="J1736" s="13">
        <f t="shared" si="59"/>
        <v>0</v>
      </c>
      <c r="K1736" s="14"/>
      <c r="L1736" s="14"/>
      <c r="M1736" s="14"/>
      <c r="N1736" s="14"/>
      <c r="O1736" s="14"/>
      <c r="P1736" s="14"/>
      <c r="Q1736" s="14"/>
      <c r="R1736" s="14"/>
      <c r="S1736" s="14"/>
      <c r="T1736" s="14"/>
      <c r="U1736" s="14"/>
      <c r="V1736" s="14"/>
      <c r="W1736" s="15">
        <f t="shared" si="60"/>
        <v>0</v>
      </c>
      <c r="X1736" s="14"/>
      <c r="Y1736" s="14"/>
      <c r="Z1736" s="14"/>
      <c r="AA1736" s="14"/>
      <c r="AB1736" s="14"/>
      <c r="AC1736" s="14"/>
      <c r="AD1736" s="14"/>
      <c r="AE1736" s="14"/>
      <c r="AF1736" s="14"/>
      <c r="AG1736" s="14"/>
      <c r="AH1736" s="14"/>
      <c r="AI1736" s="14"/>
      <c r="AJ1736" s="15"/>
      <c r="AK1736" s="16"/>
    </row>
    <row r="1737" spans="2:37" x14ac:dyDescent="0.2">
      <c r="B1737" s="7" t="s">
        <v>69</v>
      </c>
      <c r="C1737" s="8">
        <v>12409</v>
      </c>
      <c r="D1737" s="9" t="s">
        <v>343</v>
      </c>
      <c r="E1737" s="10" t="s">
        <v>344</v>
      </c>
      <c r="F1737" s="10" t="s">
        <v>345</v>
      </c>
      <c r="G1737" s="8">
        <v>5</v>
      </c>
      <c r="H1737" s="11">
        <v>50</v>
      </c>
      <c r="I1737" s="12">
        <v>42575</v>
      </c>
      <c r="J1737" s="13">
        <f t="shared" si="59"/>
        <v>0</v>
      </c>
      <c r="K1737" s="14"/>
      <c r="L1737" s="14"/>
      <c r="M1737" s="14"/>
      <c r="N1737" s="14"/>
      <c r="O1737" s="14"/>
      <c r="P1737" s="14"/>
      <c r="Q1737" s="14"/>
      <c r="R1737" s="14"/>
      <c r="S1737" s="14"/>
      <c r="T1737" s="14"/>
      <c r="U1737" s="14"/>
      <c r="V1737" s="14"/>
      <c r="W1737" s="15">
        <f t="shared" si="60"/>
        <v>0</v>
      </c>
      <c r="X1737" s="14"/>
      <c r="Y1737" s="14"/>
      <c r="Z1737" s="14"/>
      <c r="AA1737" s="14"/>
      <c r="AB1737" s="14"/>
      <c r="AC1737" s="14"/>
      <c r="AD1737" s="14"/>
      <c r="AE1737" s="14"/>
      <c r="AF1737" s="14"/>
      <c r="AG1737" s="14"/>
      <c r="AH1737" s="14"/>
      <c r="AI1737" s="14"/>
      <c r="AJ1737" s="15"/>
      <c r="AK1737" s="16"/>
    </row>
    <row r="1738" spans="2:37" x14ac:dyDescent="0.2">
      <c r="B1738" s="7" t="s">
        <v>47</v>
      </c>
      <c r="C1738" s="8">
        <v>12410</v>
      </c>
      <c r="D1738" s="9" t="s">
        <v>614</v>
      </c>
      <c r="E1738" s="10" t="s">
        <v>615</v>
      </c>
      <c r="F1738" s="10" t="s">
        <v>616</v>
      </c>
      <c r="G1738" s="8">
        <v>5</v>
      </c>
      <c r="H1738" s="11">
        <v>100</v>
      </c>
      <c r="I1738" s="12">
        <v>42575</v>
      </c>
      <c r="J1738" s="13">
        <f t="shared" si="59"/>
        <v>0</v>
      </c>
      <c r="K1738" s="14"/>
      <c r="L1738" s="14"/>
      <c r="M1738" s="14"/>
      <c r="N1738" s="14"/>
      <c r="O1738" s="14"/>
      <c r="P1738" s="14"/>
      <c r="Q1738" s="14"/>
      <c r="R1738" s="14"/>
      <c r="S1738" s="14"/>
      <c r="T1738" s="14"/>
      <c r="U1738" s="14"/>
      <c r="V1738" s="14"/>
      <c r="W1738" s="15">
        <f t="shared" si="60"/>
        <v>0</v>
      </c>
      <c r="X1738" s="14"/>
      <c r="Y1738" s="14"/>
      <c r="Z1738" s="14"/>
      <c r="AA1738" s="14"/>
      <c r="AB1738" s="14"/>
      <c r="AC1738" s="14"/>
      <c r="AD1738" s="14"/>
      <c r="AE1738" s="14"/>
      <c r="AF1738" s="14"/>
      <c r="AG1738" s="14"/>
      <c r="AH1738" s="14"/>
      <c r="AI1738" s="14"/>
      <c r="AJ1738" s="15"/>
      <c r="AK1738" s="16"/>
    </row>
    <row r="1739" spans="2:37" x14ac:dyDescent="0.2">
      <c r="B1739" s="7" t="s">
        <v>37</v>
      </c>
      <c r="C1739" s="8">
        <v>12411</v>
      </c>
      <c r="D1739" s="9" t="s">
        <v>840</v>
      </c>
      <c r="E1739" s="10" t="s">
        <v>841</v>
      </c>
      <c r="F1739" s="10" t="s">
        <v>842</v>
      </c>
      <c r="G1739" s="8">
        <v>5</v>
      </c>
      <c r="H1739" s="11">
        <v>50</v>
      </c>
      <c r="I1739" s="12">
        <v>42575</v>
      </c>
      <c r="J1739" s="13">
        <f t="shared" si="59"/>
        <v>0</v>
      </c>
      <c r="K1739" s="14"/>
      <c r="L1739" s="14"/>
      <c r="M1739" s="14"/>
      <c r="N1739" s="14"/>
      <c r="O1739" s="14"/>
      <c r="P1739" s="14"/>
      <c r="Q1739" s="14"/>
      <c r="R1739" s="14"/>
      <c r="S1739" s="14"/>
      <c r="T1739" s="14"/>
      <c r="U1739" s="14"/>
      <c r="V1739" s="14"/>
      <c r="W1739" s="15">
        <f t="shared" si="60"/>
        <v>0</v>
      </c>
      <c r="X1739" s="14"/>
      <c r="Y1739" s="14"/>
      <c r="Z1739" s="14"/>
      <c r="AA1739" s="14"/>
      <c r="AB1739" s="14"/>
      <c r="AC1739" s="14"/>
      <c r="AD1739" s="14"/>
      <c r="AE1739" s="14"/>
      <c r="AF1739" s="14"/>
      <c r="AG1739" s="14"/>
      <c r="AH1739" s="14"/>
      <c r="AI1739" s="14"/>
      <c r="AJ1739" s="15"/>
      <c r="AK1739" s="16"/>
    </row>
    <row r="1740" spans="2:37" x14ac:dyDescent="0.2">
      <c r="B1740" s="7" t="s">
        <v>77</v>
      </c>
      <c r="C1740" s="8">
        <v>12412</v>
      </c>
      <c r="D1740" s="9" t="s">
        <v>556</v>
      </c>
      <c r="E1740" s="10" t="s">
        <v>557</v>
      </c>
      <c r="F1740" s="10" t="s">
        <v>558</v>
      </c>
      <c r="G1740" s="8">
        <v>1</v>
      </c>
      <c r="H1740" s="11">
        <v>400</v>
      </c>
      <c r="I1740" s="12">
        <v>42575</v>
      </c>
      <c r="J1740" s="13">
        <f t="shared" si="59"/>
        <v>0</v>
      </c>
      <c r="K1740" s="14"/>
      <c r="L1740" s="14"/>
      <c r="M1740" s="14"/>
      <c r="N1740" s="14"/>
      <c r="O1740" s="14">
        <v>400</v>
      </c>
      <c r="P1740" s="14"/>
      <c r="Q1740" s="14"/>
      <c r="R1740" s="14"/>
      <c r="S1740" s="14"/>
      <c r="T1740" s="14"/>
      <c r="U1740" s="14"/>
      <c r="V1740" s="14"/>
      <c r="W1740" s="15">
        <f t="shared" si="60"/>
        <v>400</v>
      </c>
      <c r="X1740" s="14"/>
      <c r="Y1740" s="14"/>
      <c r="Z1740" s="14"/>
      <c r="AA1740" s="14"/>
      <c r="AB1740" s="14"/>
      <c r="AC1740" s="14"/>
      <c r="AD1740" s="14"/>
      <c r="AE1740" s="14"/>
      <c r="AF1740" s="14"/>
      <c r="AG1740" s="14"/>
      <c r="AH1740" s="14"/>
      <c r="AI1740" s="14"/>
      <c r="AJ1740" s="15"/>
      <c r="AK1740" s="16"/>
    </row>
    <row r="1741" spans="2:37" x14ac:dyDescent="0.2">
      <c r="B1741" s="7" t="s">
        <v>77</v>
      </c>
      <c r="C1741" s="8">
        <v>12413</v>
      </c>
      <c r="D1741" s="9" t="s">
        <v>617</v>
      </c>
      <c r="E1741" s="10" t="s">
        <v>618</v>
      </c>
      <c r="F1741" s="10" t="s">
        <v>619</v>
      </c>
      <c r="G1741" s="8">
        <v>1</v>
      </c>
      <c r="H1741" s="11">
        <v>400</v>
      </c>
      <c r="I1741" s="12">
        <v>42575</v>
      </c>
      <c r="J1741" s="13">
        <f t="shared" si="59"/>
        <v>0</v>
      </c>
      <c r="K1741" s="14"/>
      <c r="L1741" s="14"/>
      <c r="M1741" s="14"/>
      <c r="N1741" s="14"/>
      <c r="O1741" s="14"/>
      <c r="P1741" s="14"/>
      <c r="Q1741" s="14">
        <v>400</v>
      </c>
      <c r="R1741" s="14"/>
      <c r="S1741" s="14"/>
      <c r="T1741" s="14"/>
      <c r="U1741" s="14"/>
      <c r="V1741" s="14"/>
      <c r="W1741" s="15">
        <f t="shared" si="60"/>
        <v>400</v>
      </c>
      <c r="X1741" s="14"/>
      <c r="Y1741" s="14"/>
      <c r="Z1741" s="14"/>
      <c r="AA1741" s="14"/>
      <c r="AB1741" s="14"/>
      <c r="AC1741" s="14"/>
      <c r="AD1741" s="14"/>
      <c r="AE1741" s="14"/>
      <c r="AF1741" s="14"/>
      <c r="AG1741" s="14"/>
      <c r="AH1741" s="14"/>
      <c r="AI1741" s="14"/>
      <c r="AJ1741" s="15"/>
      <c r="AK1741" s="16"/>
    </row>
    <row r="1742" spans="2:37" x14ac:dyDescent="0.2">
      <c r="B1742" s="7" t="s">
        <v>37</v>
      </c>
      <c r="C1742" s="8">
        <v>12414</v>
      </c>
      <c r="D1742" s="9" t="s">
        <v>177</v>
      </c>
      <c r="E1742" s="10" t="s">
        <v>178</v>
      </c>
      <c r="F1742" s="10" t="s">
        <v>179</v>
      </c>
      <c r="G1742" s="8">
        <v>5</v>
      </c>
      <c r="H1742" s="11">
        <v>50</v>
      </c>
      <c r="I1742" s="12">
        <v>42575</v>
      </c>
      <c r="J1742" s="13">
        <f t="shared" si="59"/>
        <v>0</v>
      </c>
      <c r="K1742" s="14"/>
      <c r="L1742" s="14"/>
      <c r="M1742" s="14"/>
      <c r="N1742" s="14"/>
      <c r="O1742" s="14"/>
      <c r="P1742" s="14"/>
      <c r="Q1742" s="14"/>
      <c r="R1742" s="14"/>
      <c r="S1742" s="14"/>
      <c r="T1742" s="14"/>
      <c r="U1742" s="14"/>
      <c r="V1742" s="14"/>
      <c r="W1742" s="15">
        <f t="shared" si="60"/>
        <v>0</v>
      </c>
      <c r="X1742" s="14"/>
      <c r="Y1742" s="14"/>
      <c r="Z1742" s="14"/>
      <c r="AA1742" s="14"/>
      <c r="AB1742" s="14"/>
      <c r="AC1742" s="14"/>
      <c r="AD1742" s="14"/>
      <c r="AE1742" s="14"/>
      <c r="AF1742" s="14"/>
      <c r="AG1742" s="14"/>
      <c r="AH1742" s="14"/>
      <c r="AI1742" s="14"/>
      <c r="AJ1742" s="15"/>
      <c r="AK1742" s="16"/>
    </row>
    <row r="1743" spans="2:37" x14ac:dyDescent="0.2">
      <c r="B1743" s="7" t="s">
        <v>47</v>
      </c>
      <c r="C1743" s="8">
        <v>12415</v>
      </c>
      <c r="D1743" s="9" t="s">
        <v>171</v>
      </c>
      <c r="E1743" s="10" t="s">
        <v>172</v>
      </c>
      <c r="F1743" s="10" t="s">
        <v>173</v>
      </c>
      <c r="G1743" s="8">
        <v>5</v>
      </c>
      <c r="H1743" s="11">
        <v>50</v>
      </c>
      <c r="I1743" s="12">
        <v>42575</v>
      </c>
      <c r="J1743" s="13">
        <f t="shared" si="59"/>
        <v>0</v>
      </c>
      <c r="K1743" s="14"/>
      <c r="L1743" s="14"/>
      <c r="M1743" s="14"/>
      <c r="N1743" s="14"/>
      <c r="O1743" s="14"/>
      <c r="P1743" s="14"/>
      <c r="Q1743" s="14"/>
      <c r="R1743" s="14"/>
      <c r="S1743" s="14"/>
      <c r="T1743" s="14"/>
      <c r="U1743" s="14"/>
      <c r="V1743" s="14"/>
      <c r="W1743" s="15">
        <f t="shared" si="60"/>
        <v>0</v>
      </c>
      <c r="X1743" s="14"/>
      <c r="Y1743" s="14"/>
      <c r="Z1743" s="14"/>
      <c r="AA1743" s="14"/>
      <c r="AB1743" s="14"/>
      <c r="AC1743" s="14"/>
      <c r="AD1743" s="14"/>
      <c r="AE1743" s="14"/>
      <c r="AF1743" s="14"/>
      <c r="AG1743" s="14"/>
      <c r="AH1743" s="14"/>
      <c r="AI1743" s="14"/>
      <c r="AJ1743" s="15"/>
      <c r="AK1743" s="16"/>
    </row>
    <row r="1744" spans="2:37" x14ac:dyDescent="0.2">
      <c r="B1744" s="7" t="s">
        <v>47</v>
      </c>
      <c r="C1744" s="8">
        <v>12416</v>
      </c>
      <c r="D1744" s="9" t="s">
        <v>1095</v>
      </c>
      <c r="E1744" s="10" t="s">
        <v>1096</v>
      </c>
      <c r="F1744" s="10" t="s">
        <v>765</v>
      </c>
      <c r="G1744" s="8">
        <v>1</v>
      </c>
      <c r="H1744" s="11">
        <v>250</v>
      </c>
      <c r="I1744" s="12">
        <v>42575</v>
      </c>
      <c r="J1744" s="13">
        <f t="shared" si="59"/>
        <v>0</v>
      </c>
      <c r="K1744" s="14"/>
      <c r="L1744" s="14"/>
      <c r="M1744" s="14"/>
      <c r="N1744" s="14"/>
      <c r="O1744" s="14"/>
      <c r="P1744" s="14"/>
      <c r="Q1744" s="14"/>
      <c r="R1744" s="14">
        <v>250</v>
      </c>
      <c r="S1744" s="14"/>
      <c r="T1744" s="14"/>
      <c r="U1744" s="14"/>
      <c r="V1744" s="14"/>
      <c r="W1744" s="15">
        <f t="shared" si="60"/>
        <v>250</v>
      </c>
      <c r="X1744" s="14"/>
      <c r="Y1744" s="14"/>
      <c r="Z1744" s="14"/>
      <c r="AA1744" s="14"/>
      <c r="AB1744" s="14"/>
      <c r="AC1744" s="14"/>
      <c r="AD1744" s="14"/>
      <c r="AE1744" s="14"/>
      <c r="AF1744" s="14"/>
      <c r="AG1744" s="14"/>
      <c r="AH1744" s="14"/>
      <c r="AI1744" s="14"/>
      <c r="AJ1744" s="15"/>
      <c r="AK1744" s="16"/>
    </row>
    <row r="1745" spans="2:37" x14ac:dyDescent="0.2">
      <c r="B1745" s="7" t="s">
        <v>47</v>
      </c>
      <c r="C1745" s="8">
        <v>12417</v>
      </c>
      <c r="D1745" s="9" t="s">
        <v>1095</v>
      </c>
      <c r="E1745" s="10" t="s">
        <v>1096</v>
      </c>
      <c r="F1745" s="10" t="s">
        <v>765</v>
      </c>
      <c r="G1745" s="8">
        <v>5</v>
      </c>
      <c r="H1745" s="11">
        <v>100</v>
      </c>
      <c r="I1745" s="12">
        <v>42575</v>
      </c>
      <c r="J1745" s="13">
        <f t="shared" ref="J1745:J1805" si="61">IF(G1745=1,SUM(W1745,-H1745),0)</f>
        <v>0</v>
      </c>
      <c r="K1745" s="14"/>
      <c r="L1745" s="14"/>
      <c r="M1745" s="14"/>
      <c r="N1745" s="14"/>
      <c r="O1745" s="14"/>
      <c r="P1745" s="14"/>
      <c r="Q1745" s="14"/>
      <c r="R1745" s="14"/>
      <c r="S1745" s="14"/>
      <c r="T1745" s="14"/>
      <c r="U1745" s="14"/>
      <c r="V1745" s="14"/>
      <c r="W1745" s="15">
        <f t="shared" ref="W1745:W1805" si="62">SUM(K1745:V1745)</f>
        <v>0</v>
      </c>
      <c r="X1745" s="14"/>
      <c r="Y1745" s="14"/>
      <c r="Z1745" s="14"/>
      <c r="AA1745" s="14"/>
      <c r="AB1745" s="14"/>
      <c r="AC1745" s="14"/>
      <c r="AD1745" s="14"/>
      <c r="AE1745" s="14"/>
      <c r="AF1745" s="14"/>
      <c r="AG1745" s="14"/>
      <c r="AH1745" s="14"/>
      <c r="AI1745" s="14"/>
      <c r="AJ1745" s="15"/>
      <c r="AK1745" s="16"/>
    </row>
    <row r="1746" spans="2:37" x14ac:dyDescent="0.2">
      <c r="B1746" s="7" t="s">
        <v>47</v>
      </c>
      <c r="C1746" s="8">
        <v>12418</v>
      </c>
      <c r="D1746" s="9" t="s">
        <v>183</v>
      </c>
      <c r="E1746" s="10" t="s">
        <v>184</v>
      </c>
      <c r="F1746" s="10" t="s">
        <v>185</v>
      </c>
      <c r="G1746" s="8">
        <v>1</v>
      </c>
      <c r="H1746" s="11">
        <v>400</v>
      </c>
      <c r="I1746" s="12">
        <v>42575</v>
      </c>
      <c r="J1746" s="13">
        <f t="shared" si="61"/>
        <v>0</v>
      </c>
      <c r="K1746" s="14"/>
      <c r="L1746" s="14"/>
      <c r="M1746" s="14"/>
      <c r="N1746" s="14"/>
      <c r="O1746" s="14"/>
      <c r="P1746" s="14"/>
      <c r="Q1746" s="14">
        <v>400</v>
      </c>
      <c r="R1746" s="14"/>
      <c r="S1746" s="14"/>
      <c r="T1746" s="14"/>
      <c r="U1746" s="14"/>
      <c r="V1746" s="14"/>
      <c r="W1746" s="15">
        <f t="shared" si="62"/>
        <v>400</v>
      </c>
      <c r="X1746" s="14"/>
      <c r="Y1746" s="14"/>
      <c r="Z1746" s="14"/>
      <c r="AA1746" s="14"/>
      <c r="AB1746" s="14"/>
      <c r="AC1746" s="14"/>
      <c r="AD1746" s="14"/>
      <c r="AE1746" s="14"/>
      <c r="AF1746" s="14"/>
      <c r="AG1746" s="14"/>
      <c r="AH1746" s="14"/>
      <c r="AI1746" s="14"/>
      <c r="AJ1746" s="15"/>
      <c r="AK1746" s="16"/>
    </row>
    <row r="1747" spans="2:37" x14ac:dyDescent="0.2">
      <c r="B1747" s="7" t="s">
        <v>37</v>
      </c>
      <c r="C1747" s="8">
        <v>12419</v>
      </c>
      <c r="D1747" s="9" t="s">
        <v>669</v>
      </c>
      <c r="E1747" s="10" t="s">
        <v>670</v>
      </c>
      <c r="F1747" s="10" t="s">
        <v>671</v>
      </c>
      <c r="G1747" s="8">
        <v>3</v>
      </c>
      <c r="H1747" s="11">
        <v>200</v>
      </c>
      <c r="I1747" s="12">
        <v>42575</v>
      </c>
      <c r="J1747" s="13">
        <f t="shared" si="61"/>
        <v>0</v>
      </c>
      <c r="K1747" s="14"/>
      <c r="L1747" s="14"/>
      <c r="M1747" s="14"/>
      <c r="N1747" s="14"/>
      <c r="O1747" s="14"/>
      <c r="P1747" s="14"/>
      <c r="Q1747" s="14"/>
      <c r="R1747" s="14"/>
      <c r="S1747" s="14"/>
      <c r="T1747" s="14"/>
      <c r="U1747" s="14"/>
      <c r="V1747" s="14"/>
      <c r="W1747" s="15">
        <f t="shared" si="62"/>
        <v>0</v>
      </c>
      <c r="X1747" s="14"/>
      <c r="Y1747" s="14"/>
      <c r="Z1747" s="14"/>
      <c r="AA1747" s="14"/>
      <c r="AB1747" s="14"/>
      <c r="AC1747" s="14"/>
      <c r="AD1747" s="14"/>
      <c r="AE1747" s="14"/>
      <c r="AF1747" s="14"/>
      <c r="AG1747" s="14"/>
      <c r="AH1747" s="14"/>
      <c r="AI1747" s="14"/>
      <c r="AJ1747" s="15"/>
      <c r="AK1747" s="16"/>
    </row>
    <row r="1748" spans="2:37" x14ac:dyDescent="0.2">
      <c r="B1748" s="7" t="s">
        <v>69</v>
      </c>
      <c r="C1748" s="8">
        <v>12420</v>
      </c>
      <c r="D1748" s="9" t="s">
        <v>1097</v>
      </c>
      <c r="E1748" s="10" t="s">
        <v>1098</v>
      </c>
      <c r="F1748" s="10" t="s">
        <v>1099</v>
      </c>
      <c r="G1748" s="8">
        <v>1</v>
      </c>
      <c r="H1748" s="11">
        <v>200</v>
      </c>
      <c r="I1748" s="12">
        <v>42575</v>
      </c>
      <c r="J1748" s="13">
        <f t="shared" si="61"/>
        <v>0</v>
      </c>
      <c r="K1748" s="14"/>
      <c r="L1748" s="14"/>
      <c r="M1748" s="14"/>
      <c r="N1748" s="14"/>
      <c r="O1748" s="14"/>
      <c r="P1748" s="14"/>
      <c r="Q1748" s="14"/>
      <c r="R1748" s="14">
        <v>200</v>
      </c>
      <c r="S1748" s="14"/>
      <c r="T1748" s="14"/>
      <c r="U1748" s="14"/>
      <c r="V1748" s="14"/>
      <c r="W1748" s="15">
        <f t="shared" si="62"/>
        <v>200</v>
      </c>
      <c r="X1748" s="14"/>
      <c r="Y1748" s="14"/>
      <c r="Z1748" s="14"/>
      <c r="AA1748" s="14"/>
      <c r="AB1748" s="14"/>
      <c r="AC1748" s="14"/>
      <c r="AD1748" s="14"/>
      <c r="AE1748" s="14"/>
      <c r="AF1748" s="14"/>
      <c r="AG1748" s="14"/>
      <c r="AH1748" s="14"/>
      <c r="AI1748" s="14"/>
      <c r="AJ1748" s="15"/>
      <c r="AK1748" s="16"/>
    </row>
    <row r="1749" spans="2:37" x14ac:dyDescent="0.2">
      <c r="B1749" s="7" t="s">
        <v>69</v>
      </c>
      <c r="C1749" s="8">
        <v>12420</v>
      </c>
      <c r="D1749" s="9" t="s">
        <v>1097</v>
      </c>
      <c r="E1749" s="10" t="s">
        <v>1098</v>
      </c>
      <c r="F1749" s="10" t="s">
        <v>1099</v>
      </c>
      <c r="G1749" s="8">
        <v>5</v>
      </c>
      <c r="H1749" s="11">
        <v>50</v>
      </c>
      <c r="I1749" s="12">
        <v>42575</v>
      </c>
      <c r="J1749" s="13">
        <f t="shared" si="61"/>
        <v>0</v>
      </c>
      <c r="K1749" s="14"/>
      <c r="L1749" s="14"/>
      <c r="M1749" s="14"/>
      <c r="N1749" s="14"/>
      <c r="O1749" s="14"/>
      <c r="P1749" s="14"/>
      <c r="Q1749" s="14"/>
      <c r="R1749" s="14"/>
      <c r="S1749" s="14"/>
      <c r="T1749" s="14"/>
      <c r="U1749" s="14"/>
      <c r="V1749" s="14"/>
      <c r="W1749" s="15">
        <f t="shared" si="62"/>
        <v>0</v>
      </c>
      <c r="X1749" s="14"/>
      <c r="Y1749" s="14"/>
      <c r="Z1749" s="14"/>
      <c r="AA1749" s="14"/>
      <c r="AB1749" s="14"/>
      <c r="AC1749" s="14"/>
      <c r="AD1749" s="14"/>
      <c r="AE1749" s="14"/>
      <c r="AF1749" s="14"/>
      <c r="AG1749" s="14"/>
      <c r="AH1749" s="14"/>
      <c r="AI1749" s="14"/>
      <c r="AJ1749" s="15"/>
      <c r="AK1749" s="16"/>
    </row>
    <row r="1750" spans="2:37" x14ac:dyDescent="0.2">
      <c r="B1750" s="7" t="s">
        <v>69</v>
      </c>
      <c r="C1750" s="8">
        <v>12421</v>
      </c>
      <c r="D1750" s="9" t="s">
        <v>1100</v>
      </c>
      <c r="E1750" s="10" t="s">
        <v>1101</v>
      </c>
      <c r="F1750" s="10" t="s">
        <v>1102</v>
      </c>
      <c r="G1750" s="8">
        <v>1</v>
      </c>
      <c r="H1750" s="11">
        <v>500</v>
      </c>
      <c r="I1750" s="12">
        <v>42577</v>
      </c>
      <c r="J1750" s="13">
        <f t="shared" si="61"/>
        <v>0</v>
      </c>
      <c r="K1750" s="14"/>
      <c r="L1750" s="14"/>
      <c r="M1750" s="14">
        <v>100</v>
      </c>
      <c r="N1750" s="14">
        <v>100</v>
      </c>
      <c r="O1750" s="14">
        <v>100</v>
      </c>
      <c r="P1750" s="14">
        <v>100</v>
      </c>
      <c r="Q1750" s="14">
        <v>100</v>
      </c>
      <c r="R1750" s="14"/>
      <c r="S1750" s="14"/>
      <c r="T1750" s="14"/>
      <c r="U1750" s="14"/>
      <c r="V1750" s="14"/>
      <c r="W1750" s="15">
        <f t="shared" si="62"/>
        <v>500</v>
      </c>
      <c r="X1750" s="14"/>
      <c r="Y1750" s="14"/>
      <c r="Z1750" s="14"/>
      <c r="AA1750" s="14"/>
      <c r="AB1750" s="14"/>
      <c r="AC1750" s="14"/>
      <c r="AD1750" s="14"/>
      <c r="AE1750" s="14"/>
      <c r="AF1750" s="14"/>
      <c r="AG1750" s="14"/>
      <c r="AH1750" s="14"/>
      <c r="AI1750" s="14"/>
      <c r="AJ1750" s="15"/>
      <c r="AK1750" s="16"/>
    </row>
    <row r="1751" spans="2:37" x14ac:dyDescent="0.2">
      <c r="B1751" s="7" t="s">
        <v>69</v>
      </c>
      <c r="C1751" s="8">
        <v>12422</v>
      </c>
      <c r="D1751" s="9" t="s">
        <v>1089</v>
      </c>
      <c r="E1751" s="10" t="s">
        <v>1090</v>
      </c>
      <c r="F1751" s="10" t="s">
        <v>1091</v>
      </c>
      <c r="G1751" s="8">
        <v>1</v>
      </c>
      <c r="H1751" s="11">
        <v>250</v>
      </c>
      <c r="I1751" s="12">
        <v>42578</v>
      </c>
      <c r="J1751" s="13">
        <f t="shared" si="61"/>
        <v>0</v>
      </c>
      <c r="K1751" s="14"/>
      <c r="L1751" s="14"/>
      <c r="M1751" s="14"/>
      <c r="N1751" s="14"/>
      <c r="O1751" s="14"/>
      <c r="P1751" s="14"/>
      <c r="Q1751" s="14">
        <v>250</v>
      </c>
      <c r="R1751" s="14"/>
      <c r="S1751" s="14"/>
      <c r="T1751" s="14"/>
      <c r="U1751" s="14"/>
      <c r="V1751" s="14"/>
      <c r="W1751" s="15">
        <f t="shared" si="62"/>
        <v>250</v>
      </c>
      <c r="X1751" s="14"/>
      <c r="Y1751" s="14"/>
      <c r="Z1751" s="14"/>
      <c r="AA1751" s="14"/>
      <c r="AB1751" s="14"/>
      <c r="AC1751" s="14"/>
      <c r="AD1751" s="14"/>
      <c r="AE1751" s="14"/>
      <c r="AF1751" s="14"/>
      <c r="AG1751" s="14"/>
      <c r="AH1751" s="14"/>
      <c r="AI1751" s="14"/>
      <c r="AJ1751" s="15"/>
      <c r="AK1751" s="16"/>
    </row>
    <row r="1752" spans="2:37" x14ac:dyDescent="0.2">
      <c r="B1752" s="7" t="s">
        <v>122</v>
      </c>
      <c r="C1752" s="8">
        <v>12423</v>
      </c>
      <c r="D1752" s="9" t="s">
        <v>220</v>
      </c>
      <c r="E1752" s="10" t="s">
        <v>221</v>
      </c>
      <c r="F1752" s="10" t="s">
        <v>222</v>
      </c>
      <c r="G1752" s="8">
        <v>1</v>
      </c>
      <c r="H1752" s="11">
        <v>300</v>
      </c>
      <c r="I1752" s="12">
        <v>42578</v>
      </c>
      <c r="J1752" s="13">
        <f t="shared" si="61"/>
        <v>0</v>
      </c>
      <c r="K1752" s="14"/>
      <c r="L1752" s="14"/>
      <c r="M1752" s="14"/>
      <c r="N1752" s="14"/>
      <c r="O1752" s="14"/>
      <c r="P1752" s="14"/>
      <c r="Q1752" s="14">
        <v>300</v>
      </c>
      <c r="R1752" s="14"/>
      <c r="S1752" s="14"/>
      <c r="T1752" s="14"/>
      <c r="U1752" s="14"/>
      <c r="V1752" s="14"/>
      <c r="W1752" s="15">
        <f t="shared" si="62"/>
        <v>300</v>
      </c>
      <c r="X1752" s="14"/>
      <c r="Y1752" s="14"/>
      <c r="Z1752" s="14"/>
      <c r="AA1752" s="14"/>
      <c r="AB1752" s="14"/>
      <c r="AC1752" s="14"/>
      <c r="AD1752" s="14"/>
      <c r="AE1752" s="14"/>
      <c r="AF1752" s="14"/>
      <c r="AG1752" s="14"/>
      <c r="AH1752" s="14"/>
      <c r="AI1752" s="14"/>
      <c r="AJ1752" s="15"/>
      <c r="AK1752" s="16"/>
    </row>
    <row r="1753" spans="2:37" x14ac:dyDescent="0.2">
      <c r="B1753" s="7" t="s">
        <v>73</v>
      </c>
      <c r="C1753" s="8">
        <v>12424</v>
      </c>
      <c r="D1753" s="9" t="s">
        <v>485</v>
      </c>
      <c r="E1753" s="10" t="s">
        <v>486</v>
      </c>
      <c r="F1753" s="10" t="s">
        <v>487</v>
      </c>
      <c r="G1753" s="8">
        <v>1</v>
      </c>
      <c r="H1753" s="11">
        <v>800</v>
      </c>
      <c r="I1753" s="12">
        <v>42579</v>
      </c>
      <c r="J1753" s="13">
        <f t="shared" si="61"/>
        <v>0</v>
      </c>
      <c r="K1753" s="14"/>
      <c r="L1753" s="14"/>
      <c r="M1753" s="14"/>
      <c r="N1753" s="14"/>
      <c r="O1753" s="14"/>
      <c r="P1753" s="14">
        <v>400</v>
      </c>
      <c r="Q1753" s="14">
        <v>400</v>
      </c>
      <c r="R1753" s="14"/>
      <c r="S1753" s="14"/>
      <c r="T1753" s="14"/>
      <c r="U1753" s="14"/>
      <c r="V1753" s="14"/>
      <c r="W1753" s="15">
        <f t="shared" si="62"/>
        <v>800</v>
      </c>
      <c r="X1753" s="14"/>
      <c r="Y1753" s="14"/>
      <c r="Z1753" s="14"/>
      <c r="AA1753" s="14"/>
      <c r="AB1753" s="14"/>
      <c r="AC1753" s="14"/>
      <c r="AD1753" s="14"/>
      <c r="AE1753" s="14"/>
      <c r="AF1753" s="14"/>
      <c r="AG1753" s="14"/>
      <c r="AH1753" s="14"/>
      <c r="AI1753" s="14"/>
      <c r="AJ1753" s="15"/>
      <c r="AK1753" s="16"/>
    </row>
    <row r="1754" spans="2:37" x14ac:dyDescent="0.2">
      <c r="B1754" s="7" t="s">
        <v>77</v>
      </c>
      <c r="C1754" s="8">
        <v>12425</v>
      </c>
      <c r="D1754" s="9" t="s">
        <v>479</v>
      </c>
      <c r="E1754" s="10" t="s">
        <v>480</v>
      </c>
      <c r="F1754" s="10" t="s">
        <v>481</v>
      </c>
      <c r="G1754" s="8">
        <v>1</v>
      </c>
      <c r="H1754" s="11">
        <v>300</v>
      </c>
      <c r="I1754" s="12">
        <v>42579</v>
      </c>
      <c r="J1754" s="13">
        <f t="shared" si="61"/>
        <v>0</v>
      </c>
      <c r="K1754" s="14"/>
      <c r="L1754" s="14"/>
      <c r="M1754" s="14"/>
      <c r="N1754" s="14"/>
      <c r="O1754" s="14"/>
      <c r="P1754" s="14"/>
      <c r="Q1754" s="14"/>
      <c r="R1754" s="14">
        <v>300</v>
      </c>
      <c r="S1754" s="14"/>
      <c r="T1754" s="14"/>
      <c r="U1754" s="14"/>
      <c r="V1754" s="14"/>
      <c r="W1754" s="15">
        <f t="shared" si="62"/>
        <v>300</v>
      </c>
      <c r="X1754" s="14"/>
      <c r="Y1754" s="14"/>
      <c r="Z1754" s="14"/>
      <c r="AA1754" s="14"/>
      <c r="AB1754" s="14"/>
      <c r="AC1754" s="14"/>
      <c r="AD1754" s="14"/>
      <c r="AE1754" s="14"/>
      <c r="AF1754" s="14"/>
      <c r="AG1754" s="14"/>
      <c r="AH1754" s="14"/>
      <c r="AI1754" s="14"/>
      <c r="AJ1754" s="15"/>
      <c r="AK1754" s="16"/>
    </row>
    <row r="1755" spans="2:37" x14ac:dyDescent="0.2">
      <c r="B1755" s="7" t="s">
        <v>69</v>
      </c>
      <c r="C1755" s="8">
        <v>12426</v>
      </c>
      <c r="D1755" s="9" t="s">
        <v>346</v>
      </c>
      <c r="E1755" s="10" t="s">
        <v>347</v>
      </c>
      <c r="F1755" s="10" t="s">
        <v>348</v>
      </c>
      <c r="G1755" s="8">
        <v>1</v>
      </c>
      <c r="H1755" s="11">
        <v>300</v>
      </c>
      <c r="I1755" s="12">
        <v>42582</v>
      </c>
      <c r="J1755" s="13">
        <f t="shared" si="61"/>
        <v>0</v>
      </c>
      <c r="K1755" s="14"/>
      <c r="L1755" s="14"/>
      <c r="M1755" s="14"/>
      <c r="N1755" s="14"/>
      <c r="O1755" s="14"/>
      <c r="P1755" s="14"/>
      <c r="Q1755" s="14">
        <v>300</v>
      </c>
      <c r="R1755" s="14"/>
      <c r="S1755" s="14"/>
      <c r="T1755" s="14"/>
      <c r="U1755" s="14"/>
      <c r="V1755" s="14"/>
      <c r="W1755" s="15">
        <f t="shared" si="62"/>
        <v>300</v>
      </c>
      <c r="X1755" s="14"/>
      <c r="Y1755" s="14"/>
      <c r="Z1755" s="14"/>
      <c r="AA1755" s="14"/>
      <c r="AB1755" s="14"/>
      <c r="AC1755" s="14"/>
      <c r="AD1755" s="14"/>
      <c r="AE1755" s="14"/>
      <c r="AF1755" s="14"/>
      <c r="AG1755" s="14"/>
      <c r="AH1755" s="14"/>
      <c r="AI1755" s="14"/>
      <c r="AJ1755" s="15"/>
      <c r="AK1755" s="16"/>
    </row>
    <row r="1756" spans="2:37" x14ac:dyDescent="0.2">
      <c r="B1756" s="7" t="s">
        <v>73</v>
      </c>
      <c r="C1756" s="8">
        <v>12427</v>
      </c>
      <c r="D1756" s="9" t="s">
        <v>672</v>
      </c>
      <c r="E1756" s="10" t="s">
        <v>673</v>
      </c>
      <c r="F1756" s="10" t="s">
        <v>674</v>
      </c>
      <c r="G1756" s="8">
        <v>1</v>
      </c>
      <c r="H1756" s="11">
        <v>200</v>
      </c>
      <c r="I1756" s="12">
        <v>42582</v>
      </c>
      <c r="J1756" s="13">
        <f t="shared" si="61"/>
        <v>0</v>
      </c>
      <c r="K1756" s="14"/>
      <c r="L1756" s="14"/>
      <c r="M1756" s="14"/>
      <c r="N1756" s="14"/>
      <c r="O1756" s="14"/>
      <c r="P1756" s="14"/>
      <c r="Q1756" s="14">
        <v>200</v>
      </c>
      <c r="R1756" s="14"/>
      <c r="S1756" s="14"/>
      <c r="T1756" s="14"/>
      <c r="U1756" s="14"/>
      <c r="V1756" s="14"/>
      <c r="W1756" s="15">
        <f t="shared" si="62"/>
        <v>200</v>
      </c>
      <c r="X1756" s="14"/>
      <c r="Y1756" s="14"/>
      <c r="Z1756" s="14"/>
      <c r="AA1756" s="14"/>
      <c r="AB1756" s="14"/>
      <c r="AC1756" s="14"/>
      <c r="AD1756" s="14"/>
      <c r="AE1756" s="14"/>
      <c r="AF1756" s="14"/>
      <c r="AG1756" s="14"/>
      <c r="AH1756" s="14"/>
      <c r="AI1756" s="14"/>
      <c r="AJ1756" s="15"/>
      <c r="AK1756" s="16"/>
    </row>
    <row r="1757" spans="2:37" x14ac:dyDescent="0.2">
      <c r="B1757" s="7" t="s">
        <v>93</v>
      </c>
      <c r="C1757" s="8">
        <v>12428</v>
      </c>
      <c r="D1757" s="9"/>
      <c r="E1757" s="10" t="s">
        <v>93</v>
      </c>
      <c r="F1757" s="10" t="s">
        <v>93</v>
      </c>
      <c r="G1757" s="8">
        <v>8</v>
      </c>
      <c r="H1757" s="11"/>
      <c r="I1757" s="12"/>
      <c r="J1757" s="13">
        <f t="shared" si="61"/>
        <v>0</v>
      </c>
      <c r="K1757" s="14"/>
      <c r="L1757" s="14"/>
      <c r="M1757" s="14"/>
      <c r="N1757" s="14"/>
      <c r="O1757" s="14"/>
      <c r="P1757" s="14"/>
      <c r="Q1757" s="14"/>
      <c r="R1757" s="14"/>
      <c r="S1757" s="14"/>
      <c r="T1757" s="14"/>
      <c r="U1757" s="14"/>
      <c r="V1757" s="14"/>
      <c r="W1757" s="15">
        <f t="shared" si="62"/>
        <v>0</v>
      </c>
      <c r="X1757" s="14"/>
      <c r="Y1757" s="14"/>
      <c r="Z1757" s="14"/>
      <c r="AA1757" s="14"/>
      <c r="AB1757" s="14"/>
      <c r="AC1757" s="14"/>
      <c r="AD1757" s="14"/>
      <c r="AE1757" s="14"/>
      <c r="AF1757" s="14"/>
      <c r="AG1757" s="14"/>
      <c r="AH1757" s="14"/>
      <c r="AI1757" s="14"/>
      <c r="AJ1757" s="15"/>
      <c r="AK1757" s="16"/>
    </row>
    <row r="1758" spans="2:37" x14ac:dyDescent="0.2">
      <c r="B1758" s="7" t="s">
        <v>391</v>
      </c>
      <c r="C1758" s="8">
        <v>12429</v>
      </c>
      <c r="D1758" s="9" t="s">
        <v>876</v>
      </c>
      <c r="E1758" s="10" t="s">
        <v>877</v>
      </c>
      <c r="F1758" s="10" t="s">
        <v>878</v>
      </c>
      <c r="G1758" s="8">
        <v>1</v>
      </c>
      <c r="H1758" s="11">
        <v>600</v>
      </c>
      <c r="I1758" s="12">
        <v>42582</v>
      </c>
      <c r="J1758" s="13">
        <f t="shared" si="61"/>
        <v>0</v>
      </c>
      <c r="K1758" s="14"/>
      <c r="L1758" s="14"/>
      <c r="M1758" s="14"/>
      <c r="N1758" s="14"/>
      <c r="O1758" s="14"/>
      <c r="P1758" s="14"/>
      <c r="Q1758" s="14">
        <v>200</v>
      </c>
      <c r="R1758" s="14">
        <v>200</v>
      </c>
      <c r="S1758" s="14">
        <v>200</v>
      </c>
      <c r="T1758" s="14"/>
      <c r="U1758" s="14"/>
      <c r="V1758" s="14"/>
      <c r="W1758" s="15">
        <f t="shared" si="62"/>
        <v>600</v>
      </c>
      <c r="X1758" s="14"/>
      <c r="Y1758" s="14"/>
      <c r="Z1758" s="14"/>
      <c r="AA1758" s="14"/>
      <c r="AB1758" s="14"/>
      <c r="AC1758" s="14"/>
      <c r="AD1758" s="14"/>
      <c r="AE1758" s="14"/>
      <c r="AF1758" s="14"/>
      <c r="AG1758" s="14"/>
      <c r="AH1758" s="14"/>
      <c r="AI1758" s="14"/>
      <c r="AJ1758" s="15"/>
      <c r="AK1758" s="16"/>
    </row>
    <row r="1759" spans="2:37" x14ac:dyDescent="0.2">
      <c r="B1759" s="7" t="s">
        <v>37</v>
      </c>
      <c r="C1759" s="8">
        <v>12430</v>
      </c>
      <c r="D1759" s="9" t="s">
        <v>1103</v>
      </c>
      <c r="E1759" s="10" t="s">
        <v>1104</v>
      </c>
      <c r="F1759" s="10" t="s">
        <v>1105</v>
      </c>
      <c r="G1759" s="8">
        <v>1</v>
      </c>
      <c r="H1759" s="11">
        <v>3000</v>
      </c>
      <c r="I1759" s="12">
        <v>42582</v>
      </c>
      <c r="J1759" s="13">
        <f t="shared" si="61"/>
        <v>0</v>
      </c>
      <c r="K1759" s="14">
        <v>400</v>
      </c>
      <c r="L1759" s="14">
        <v>400</v>
      </c>
      <c r="M1759" s="14">
        <v>400</v>
      </c>
      <c r="N1759" s="14">
        <v>400</v>
      </c>
      <c r="O1759" s="14">
        <v>400</v>
      </c>
      <c r="P1759" s="14">
        <v>400</v>
      </c>
      <c r="Q1759" s="14">
        <v>400</v>
      </c>
      <c r="R1759" s="14">
        <v>200</v>
      </c>
      <c r="S1759" s="14"/>
      <c r="T1759" s="14"/>
      <c r="U1759" s="14"/>
      <c r="V1759" s="14"/>
      <c r="W1759" s="15">
        <f t="shared" si="62"/>
        <v>3000</v>
      </c>
      <c r="X1759" s="14"/>
      <c r="Y1759" s="14"/>
      <c r="Z1759" s="14"/>
      <c r="AA1759" s="14"/>
      <c r="AB1759" s="14"/>
      <c r="AC1759" s="14"/>
      <c r="AD1759" s="14"/>
      <c r="AE1759" s="14"/>
      <c r="AF1759" s="14"/>
      <c r="AG1759" s="14"/>
      <c r="AH1759" s="14"/>
      <c r="AI1759" s="14"/>
      <c r="AJ1759" s="15"/>
      <c r="AK1759" s="16"/>
    </row>
    <row r="1760" spans="2:37" x14ac:dyDescent="0.2">
      <c r="B1760" s="7" t="s">
        <v>37</v>
      </c>
      <c r="C1760" s="8">
        <v>12431</v>
      </c>
      <c r="D1760" s="9" t="s">
        <v>1103</v>
      </c>
      <c r="E1760" s="10" t="s">
        <v>1104</v>
      </c>
      <c r="F1760" s="10" t="s">
        <v>1105</v>
      </c>
      <c r="G1760" s="8">
        <v>5</v>
      </c>
      <c r="H1760" s="11">
        <v>100</v>
      </c>
      <c r="I1760" s="12">
        <v>42582</v>
      </c>
      <c r="J1760" s="13">
        <f t="shared" si="61"/>
        <v>0</v>
      </c>
      <c r="K1760" s="14"/>
      <c r="L1760" s="14"/>
      <c r="M1760" s="14"/>
      <c r="N1760" s="14"/>
      <c r="O1760" s="14"/>
      <c r="P1760" s="14"/>
      <c r="Q1760" s="14"/>
      <c r="R1760" s="14"/>
      <c r="S1760" s="14"/>
      <c r="T1760" s="14"/>
      <c r="U1760" s="14"/>
      <c r="V1760" s="14"/>
      <c r="W1760" s="15">
        <f t="shared" si="62"/>
        <v>0</v>
      </c>
      <c r="X1760" s="14"/>
      <c r="Y1760" s="14"/>
      <c r="Z1760" s="14"/>
      <c r="AA1760" s="14"/>
      <c r="AB1760" s="14"/>
      <c r="AC1760" s="14"/>
      <c r="AD1760" s="14"/>
      <c r="AE1760" s="14"/>
      <c r="AF1760" s="14"/>
      <c r="AG1760" s="14"/>
      <c r="AH1760" s="14"/>
      <c r="AI1760" s="14"/>
      <c r="AJ1760" s="15"/>
      <c r="AK1760" s="16"/>
    </row>
    <row r="1761" spans="2:37" x14ac:dyDescent="0.2">
      <c r="B1761" s="7" t="s">
        <v>47</v>
      </c>
      <c r="C1761" s="8">
        <v>12432</v>
      </c>
      <c r="D1761" s="9" t="s">
        <v>229</v>
      </c>
      <c r="E1761" s="10" t="s">
        <v>230</v>
      </c>
      <c r="F1761" s="10" t="s">
        <v>231</v>
      </c>
      <c r="G1761" s="8">
        <v>5</v>
      </c>
      <c r="H1761" s="11">
        <v>200</v>
      </c>
      <c r="I1761" s="12">
        <v>42582</v>
      </c>
      <c r="J1761" s="13">
        <f t="shared" si="61"/>
        <v>0</v>
      </c>
      <c r="K1761" s="14"/>
      <c r="L1761" s="14"/>
      <c r="M1761" s="14"/>
      <c r="N1761" s="14"/>
      <c r="O1761" s="14"/>
      <c r="P1761" s="14"/>
      <c r="Q1761" s="14"/>
      <c r="R1761" s="14"/>
      <c r="S1761" s="14"/>
      <c r="T1761" s="14"/>
      <c r="U1761" s="14"/>
      <c r="V1761" s="14"/>
      <c r="W1761" s="15">
        <f t="shared" si="62"/>
        <v>0</v>
      </c>
      <c r="X1761" s="14"/>
      <c r="Y1761" s="14"/>
      <c r="Z1761" s="14"/>
      <c r="AA1761" s="14"/>
      <c r="AB1761" s="14"/>
      <c r="AC1761" s="14"/>
      <c r="AD1761" s="14"/>
      <c r="AE1761" s="14"/>
      <c r="AF1761" s="14"/>
      <c r="AG1761" s="14"/>
      <c r="AH1761" s="14"/>
      <c r="AI1761" s="14"/>
      <c r="AJ1761" s="15"/>
      <c r="AK1761" s="16"/>
    </row>
    <row r="1762" spans="2:37" x14ac:dyDescent="0.2">
      <c r="B1762" s="7" t="s">
        <v>69</v>
      </c>
      <c r="C1762" s="8">
        <v>12433</v>
      </c>
      <c r="D1762" s="9" t="s">
        <v>100</v>
      </c>
      <c r="E1762" s="10" t="s">
        <v>101</v>
      </c>
      <c r="F1762" s="10" t="s">
        <v>102</v>
      </c>
      <c r="G1762" s="8">
        <v>1</v>
      </c>
      <c r="H1762" s="11">
        <v>400</v>
      </c>
      <c r="I1762" s="12">
        <v>42582</v>
      </c>
      <c r="J1762" s="13">
        <f t="shared" si="61"/>
        <v>0</v>
      </c>
      <c r="K1762" s="14"/>
      <c r="L1762" s="14"/>
      <c r="M1762" s="14"/>
      <c r="N1762" s="14"/>
      <c r="O1762" s="14"/>
      <c r="P1762" s="14"/>
      <c r="Q1762" s="14"/>
      <c r="R1762" s="14">
        <v>400</v>
      </c>
      <c r="S1762" s="14"/>
      <c r="T1762" s="14"/>
      <c r="U1762" s="14"/>
      <c r="V1762" s="14"/>
      <c r="W1762" s="15">
        <f t="shared" si="62"/>
        <v>400</v>
      </c>
      <c r="X1762" s="14"/>
      <c r="Y1762" s="14"/>
      <c r="Z1762" s="14"/>
      <c r="AA1762" s="14"/>
      <c r="AB1762" s="14"/>
      <c r="AC1762" s="14"/>
      <c r="AD1762" s="14"/>
      <c r="AE1762" s="14"/>
      <c r="AF1762" s="14"/>
      <c r="AG1762" s="14"/>
      <c r="AH1762" s="14"/>
      <c r="AI1762" s="14"/>
      <c r="AJ1762" s="15"/>
      <c r="AK1762" s="16"/>
    </row>
    <row r="1763" spans="2:37" x14ac:dyDescent="0.2">
      <c r="B1763" s="7" t="s">
        <v>47</v>
      </c>
      <c r="C1763" s="8">
        <v>12434</v>
      </c>
      <c r="D1763" s="9" t="s">
        <v>84</v>
      </c>
      <c r="E1763" s="10" t="s">
        <v>85</v>
      </c>
      <c r="F1763" s="10" t="s">
        <v>86</v>
      </c>
      <c r="G1763" s="8">
        <v>1</v>
      </c>
      <c r="H1763" s="11">
        <v>200</v>
      </c>
      <c r="I1763" s="12">
        <v>42582</v>
      </c>
      <c r="J1763" s="13">
        <f t="shared" si="61"/>
        <v>0</v>
      </c>
      <c r="K1763" s="14"/>
      <c r="L1763" s="14"/>
      <c r="M1763" s="14"/>
      <c r="N1763" s="14"/>
      <c r="O1763" s="14"/>
      <c r="P1763" s="14"/>
      <c r="Q1763" s="14"/>
      <c r="R1763" s="14">
        <v>200</v>
      </c>
      <c r="S1763" s="14"/>
      <c r="T1763" s="14"/>
      <c r="U1763" s="14"/>
      <c r="V1763" s="14"/>
      <c r="W1763" s="15">
        <f t="shared" si="62"/>
        <v>200</v>
      </c>
      <c r="X1763" s="14"/>
      <c r="Y1763" s="14"/>
      <c r="Z1763" s="14"/>
      <c r="AA1763" s="14"/>
      <c r="AB1763" s="14"/>
      <c r="AC1763" s="14"/>
      <c r="AD1763" s="14"/>
      <c r="AE1763" s="14"/>
      <c r="AF1763" s="14"/>
      <c r="AG1763" s="14"/>
      <c r="AH1763" s="14"/>
      <c r="AI1763" s="14"/>
      <c r="AJ1763" s="15"/>
      <c r="AK1763" s="16"/>
    </row>
    <row r="1764" spans="2:37" x14ac:dyDescent="0.2">
      <c r="B1764" s="7" t="s">
        <v>122</v>
      </c>
      <c r="C1764" s="8">
        <v>12435</v>
      </c>
      <c r="D1764" s="9" t="s">
        <v>331</v>
      </c>
      <c r="E1764" s="10" t="s">
        <v>332</v>
      </c>
      <c r="F1764" s="10" t="s">
        <v>333</v>
      </c>
      <c r="G1764" s="8">
        <v>5</v>
      </c>
      <c r="H1764" s="11">
        <v>50</v>
      </c>
      <c r="I1764" s="12">
        <v>42582</v>
      </c>
      <c r="J1764" s="13">
        <f t="shared" si="61"/>
        <v>0</v>
      </c>
      <c r="K1764" s="14"/>
      <c r="L1764" s="14"/>
      <c r="M1764" s="14"/>
      <c r="N1764" s="14"/>
      <c r="O1764" s="14"/>
      <c r="P1764" s="14"/>
      <c r="Q1764" s="14"/>
      <c r="R1764" s="14"/>
      <c r="S1764" s="14"/>
      <c r="T1764" s="14"/>
      <c r="U1764" s="14"/>
      <c r="V1764" s="14"/>
      <c r="W1764" s="15">
        <f t="shared" si="62"/>
        <v>0</v>
      </c>
      <c r="X1764" s="14"/>
      <c r="Y1764" s="14"/>
      <c r="Z1764" s="14"/>
      <c r="AA1764" s="14"/>
      <c r="AB1764" s="14"/>
      <c r="AC1764" s="14"/>
      <c r="AD1764" s="14"/>
      <c r="AE1764" s="14"/>
      <c r="AF1764" s="14"/>
      <c r="AG1764" s="14"/>
      <c r="AH1764" s="14"/>
      <c r="AI1764" s="14"/>
      <c r="AJ1764" s="15"/>
      <c r="AK1764" s="16"/>
    </row>
    <row r="1765" spans="2:37" x14ac:dyDescent="0.2">
      <c r="B1765" s="7" t="s">
        <v>47</v>
      </c>
      <c r="C1765" s="8">
        <v>12436</v>
      </c>
      <c r="D1765" s="9" t="s">
        <v>106</v>
      </c>
      <c r="E1765" s="10" t="s">
        <v>107</v>
      </c>
      <c r="F1765" s="10" t="s">
        <v>108</v>
      </c>
      <c r="G1765" s="8">
        <v>5</v>
      </c>
      <c r="H1765" s="11">
        <v>50</v>
      </c>
      <c r="I1765" s="12">
        <v>42582</v>
      </c>
      <c r="J1765" s="13">
        <f t="shared" si="61"/>
        <v>0</v>
      </c>
      <c r="K1765" s="14"/>
      <c r="L1765" s="14"/>
      <c r="M1765" s="14"/>
      <c r="N1765" s="14"/>
      <c r="O1765" s="14"/>
      <c r="P1765" s="14"/>
      <c r="Q1765" s="14"/>
      <c r="R1765" s="14"/>
      <c r="S1765" s="14"/>
      <c r="T1765" s="14"/>
      <c r="U1765" s="14"/>
      <c r="V1765" s="14"/>
      <c r="W1765" s="15">
        <f t="shared" si="62"/>
        <v>0</v>
      </c>
      <c r="X1765" s="14"/>
      <c r="Y1765" s="14"/>
      <c r="Z1765" s="14"/>
      <c r="AA1765" s="14"/>
      <c r="AB1765" s="14"/>
      <c r="AC1765" s="14"/>
      <c r="AD1765" s="14"/>
      <c r="AE1765" s="14"/>
      <c r="AF1765" s="14"/>
      <c r="AG1765" s="14"/>
      <c r="AH1765" s="14"/>
      <c r="AI1765" s="14"/>
      <c r="AJ1765" s="15"/>
      <c r="AK1765" s="16"/>
    </row>
    <row r="1766" spans="2:37" x14ac:dyDescent="0.2">
      <c r="B1766" s="7" t="s">
        <v>73</v>
      </c>
      <c r="C1766" s="8">
        <v>12437</v>
      </c>
      <c r="D1766" s="9" t="s">
        <v>109</v>
      </c>
      <c r="E1766" s="10" t="s">
        <v>110</v>
      </c>
      <c r="F1766" s="10" t="s">
        <v>111</v>
      </c>
      <c r="G1766" s="8">
        <v>1</v>
      </c>
      <c r="H1766" s="11">
        <v>400</v>
      </c>
      <c r="I1766" s="12">
        <v>42582</v>
      </c>
      <c r="J1766" s="13">
        <f t="shared" si="61"/>
        <v>0</v>
      </c>
      <c r="K1766" s="14"/>
      <c r="L1766" s="14"/>
      <c r="M1766" s="14"/>
      <c r="N1766" s="14"/>
      <c r="O1766" s="14"/>
      <c r="P1766" s="14"/>
      <c r="Q1766" s="14">
        <v>400</v>
      </c>
      <c r="R1766" s="14"/>
      <c r="S1766" s="14"/>
      <c r="T1766" s="14"/>
      <c r="U1766" s="14"/>
      <c r="V1766" s="14"/>
      <c r="W1766" s="15">
        <f t="shared" si="62"/>
        <v>400</v>
      </c>
      <c r="X1766" s="14"/>
      <c r="Y1766" s="14"/>
      <c r="Z1766" s="14"/>
      <c r="AA1766" s="14"/>
      <c r="AB1766" s="14"/>
      <c r="AC1766" s="14"/>
      <c r="AD1766" s="14"/>
      <c r="AE1766" s="14"/>
      <c r="AF1766" s="14"/>
      <c r="AG1766" s="14"/>
      <c r="AH1766" s="14"/>
      <c r="AI1766" s="14"/>
      <c r="AJ1766" s="15"/>
      <c r="AK1766" s="16"/>
    </row>
    <row r="1767" spans="2:37" x14ac:dyDescent="0.2">
      <c r="B1767" s="7" t="s">
        <v>69</v>
      </c>
      <c r="C1767" s="8">
        <v>12438</v>
      </c>
      <c r="D1767" s="9" t="s">
        <v>678</v>
      </c>
      <c r="E1767" s="10" t="s">
        <v>679</v>
      </c>
      <c r="F1767" s="10" t="s">
        <v>680</v>
      </c>
      <c r="G1767" s="8">
        <v>3</v>
      </c>
      <c r="H1767" s="11">
        <v>200</v>
      </c>
      <c r="I1767" s="12">
        <v>42582</v>
      </c>
      <c r="J1767" s="13">
        <f t="shared" si="61"/>
        <v>0</v>
      </c>
      <c r="K1767" s="14"/>
      <c r="L1767" s="14"/>
      <c r="M1767" s="14"/>
      <c r="N1767" s="14"/>
      <c r="O1767" s="14"/>
      <c r="P1767" s="14"/>
      <c r="Q1767" s="14"/>
      <c r="R1767" s="14"/>
      <c r="S1767" s="14"/>
      <c r="T1767" s="14"/>
      <c r="U1767" s="14"/>
      <c r="V1767" s="14"/>
      <c r="W1767" s="15">
        <f t="shared" si="62"/>
        <v>0</v>
      </c>
      <c r="X1767" s="14"/>
      <c r="Y1767" s="14"/>
      <c r="Z1767" s="14"/>
      <c r="AA1767" s="14"/>
      <c r="AB1767" s="14"/>
      <c r="AC1767" s="14"/>
      <c r="AD1767" s="14"/>
      <c r="AE1767" s="14"/>
      <c r="AF1767" s="14"/>
      <c r="AG1767" s="14"/>
      <c r="AH1767" s="14"/>
      <c r="AI1767" s="14"/>
      <c r="AJ1767" s="15"/>
      <c r="AK1767" s="16"/>
    </row>
    <row r="1768" spans="2:37" x14ac:dyDescent="0.2">
      <c r="B1768" s="7" t="s">
        <v>69</v>
      </c>
      <c r="C1768" s="8">
        <v>12438</v>
      </c>
      <c r="D1768" s="9" t="s">
        <v>678</v>
      </c>
      <c r="E1768" s="10" t="s">
        <v>679</v>
      </c>
      <c r="F1768" s="10" t="s">
        <v>680</v>
      </c>
      <c r="G1768" s="8">
        <v>5</v>
      </c>
      <c r="H1768" s="11">
        <v>150</v>
      </c>
      <c r="I1768" s="12">
        <v>42582</v>
      </c>
      <c r="J1768" s="13">
        <f t="shared" si="61"/>
        <v>0</v>
      </c>
      <c r="K1768" s="14"/>
      <c r="L1768" s="14"/>
      <c r="M1768" s="14"/>
      <c r="N1768" s="14"/>
      <c r="O1768" s="14"/>
      <c r="P1768" s="14"/>
      <c r="Q1768" s="14"/>
      <c r="R1768" s="14"/>
      <c r="S1768" s="14"/>
      <c r="T1768" s="14"/>
      <c r="U1768" s="14"/>
      <c r="V1768" s="14"/>
      <c r="W1768" s="15">
        <f t="shared" si="62"/>
        <v>0</v>
      </c>
      <c r="X1768" s="14"/>
      <c r="Y1768" s="14"/>
      <c r="Z1768" s="14"/>
      <c r="AA1768" s="14"/>
      <c r="AB1768" s="14"/>
      <c r="AC1768" s="14"/>
      <c r="AD1768" s="14"/>
      <c r="AE1768" s="14"/>
      <c r="AF1768" s="14"/>
      <c r="AG1768" s="14"/>
      <c r="AH1768" s="14"/>
      <c r="AI1768" s="14"/>
      <c r="AJ1768" s="15"/>
      <c r="AK1768" s="16"/>
    </row>
    <row r="1769" spans="2:37" x14ac:dyDescent="0.2">
      <c r="B1769" s="7" t="s">
        <v>69</v>
      </c>
      <c r="C1769" s="8">
        <v>12439</v>
      </c>
      <c r="D1769" s="9" t="s">
        <v>678</v>
      </c>
      <c r="E1769" s="10" t="s">
        <v>679</v>
      </c>
      <c r="F1769" s="10" t="s">
        <v>680</v>
      </c>
      <c r="G1769" s="8">
        <v>1</v>
      </c>
      <c r="H1769" s="11">
        <v>400</v>
      </c>
      <c r="I1769" s="12">
        <v>42582</v>
      </c>
      <c r="J1769" s="13">
        <f t="shared" si="61"/>
        <v>0</v>
      </c>
      <c r="K1769" s="14"/>
      <c r="L1769" s="14"/>
      <c r="M1769" s="14"/>
      <c r="N1769" s="14"/>
      <c r="O1769" s="14"/>
      <c r="P1769" s="14"/>
      <c r="Q1769" s="14"/>
      <c r="R1769" s="14">
        <v>400</v>
      </c>
      <c r="S1769" s="14"/>
      <c r="T1769" s="14"/>
      <c r="U1769" s="14"/>
      <c r="V1769" s="14"/>
      <c r="W1769" s="15">
        <f t="shared" si="62"/>
        <v>400</v>
      </c>
      <c r="X1769" s="14"/>
      <c r="Y1769" s="14"/>
      <c r="Z1769" s="14"/>
      <c r="AA1769" s="14"/>
      <c r="AB1769" s="14"/>
      <c r="AC1769" s="14"/>
      <c r="AD1769" s="14"/>
      <c r="AE1769" s="14"/>
      <c r="AF1769" s="14"/>
      <c r="AG1769" s="14"/>
      <c r="AH1769" s="14"/>
      <c r="AI1769" s="14"/>
      <c r="AJ1769" s="15"/>
      <c r="AK1769" s="16"/>
    </row>
    <row r="1770" spans="2:37" x14ac:dyDescent="0.2">
      <c r="B1770" s="7" t="s">
        <v>77</v>
      </c>
      <c r="C1770" s="8">
        <v>12440</v>
      </c>
      <c r="D1770" s="9" t="s">
        <v>87</v>
      </c>
      <c r="E1770" s="10" t="s">
        <v>88</v>
      </c>
      <c r="F1770" s="10" t="s">
        <v>89</v>
      </c>
      <c r="G1770" s="8">
        <v>1</v>
      </c>
      <c r="H1770" s="11">
        <v>800</v>
      </c>
      <c r="I1770" s="12">
        <v>42582</v>
      </c>
      <c r="J1770" s="13">
        <f t="shared" si="61"/>
        <v>0</v>
      </c>
      <c r="K1770" s="14"/>
      <c r="L1770" s="14"/>
      <c r="M1770" s="14"/>
      <c r="N1770" s="14"/>
      <c r="O1770" s="14"/>
      <c r="P1770" s="14"/>
      <c r="Q1770" s="14">
        <v>400</v>
      </c>
      <c r="R1770" s="14">
        <v>400</v>
      </c>
      <c r="S1770" s="14"/>
      <c r="T1770" s="14"/>
      <c r="U1770" s="14"/>
      <c r="V1770" s="14"/>
      <c r="W1770" s="15">
        <f t="shared" si="62"/>
        <v>800</v>
      </c>
      <c r="X1770" s="14"/>
      <c r="Y1770" s="14"/>
      <c r="Z1770" s="14"/>
      <c r="AA1770" s="14"/>
      <c r="AB1770" s="14"/>
      <c r="AC1770" s="14"/>
      <c r="AD1770" s="14"/>
      <c r="AE1770" s="14"/>
      <c r="AF1770" s="14"/>
      <c r="AG1770" s="14"/>
      <c r="AH1770" s="14"/>
      <c r="AI1770" s="14"/>
      <c r="AJ1770" s="15"/>
      <c r="AK1770" s="16"/>
    </row>
    <row r="1771" spans="2:37" x14ac:dyDescent="0.2">
      <c r="B1771" s="7" t="s">
        <v>77</v>
      </c>
      <c r="C1771" s="8">
        <v>12441</v>
      </c>
      <c r="D1771" s="9" t="s">
        <v>87</v>
      </c>
      <c r="E1771" s="10" t="s">
        <v>88</v>
      </c>
      <c r="F1771" s="10" t="s">
        <v>89</v>
      </c>
      <c r="G1771" s="8">
        <v>4</v>
      </c>
      <c r="H1771" s="11">
        <v>200</v>
      </c>
      <c r="I1771" s="12">
        <v>42582</v>
      </c>
      <c r="J1771" s="13">
        <f t="shared" si="61"/>
        <v>0</v>
      </c>
      <c r="K1771" s="14"/>
      <c r="L1771" s="14"/>
      <c r="M1771" s="14"/>
      <c r="N1771" s="14"/>
      <c r="O1771" s="14"/>
      <c r="P1771" s="14"/>
      <c r="Q1771" s="14"/>
      <c r="R1771" s="14"/>
      <c r="S1771" s="14"/>
      <c r="T1771" s="14"/>
      <c r="U1771" s="14"/>
      <c r="V1771" s="14"/>
      <c r="W1771" s="15">
        <f t="shared" si="62"/>
        <v>0</v>
      </c>
      <c r="X1771" s="14"/>
      <c r="Y1771" s="14"/>
      <c r="Z1771" s="14"/>
      <c r="AA1771" s="14"/>
      <c r="AB1771" s="14"/>
      <c r="AC1771" s="14"/>
      <c r="AD1771" s="14"/>
      <c r="AE1771" s="14"/>
      <c r="AF1771" s="14"/>
      <c r="AG1771" s="14"/>
      <c r="AH1771" s="14"/>
      <c r="AI1771" s="14"/>
      <c r="AJ1771" s="15"/>
      <c r="AK1771" s="7">
        <v>10451879</v>
      </c>
    </row>
    <row r="1772" spans="2:37" x14ac:dyDescent="0.2">
      <c r="B1772" s="7" t="s">
        <v>73</v>
      </c>
      <c r="C1772" s="8">
        <v>12442</v>
      </c>
      <c r="D1772" s="9" t="s">
        <v>649</v>
      </c>
      <c r="E1772" s="10" t="s">
        <v>650</v>
      </c>
      <c r="F1772" s="10" t="s">
        <v>651</v>
      </c>
      <c r="G1772" s="8">
        <v>1</v>
      </c>
      <c r="H1772" s="11">
        <v>600</v>
      </c>
      <c r="I1772" s="12">
        <v>42582</v>
      </c>
      <c r="J1772" s="13">
        <f t="shared" si="61"/>
        <v>0</v>
      </c>
      <c r="K1772" s="14"/>
      <c r="L1772" s="14"/>
      <c r="M1772" s="14"/>
      <c r="N1772" s="14"/>
      <c r="O1772" s="14"/>
      <c r="P1772" s="14"/>
      <c r="Q1772" s="14">
        <v>300</v>
      </c>
      <c r="R1772" s="14">
        <v>300</v>
      </c>
      <c r="S1772" s="14"/>
      <c r="T1772" s="14"/>
      <c r="U1772" s="14"/>
      <c r="V1772" s="14"/>
      <c r="W1772" s="15">
        <f t="shared" si="62"/>
        <v>600</v>
      </c>
      <c r="X1772" s="14"/>
      <c r="Y1772" s="14"/>
      <c r="Z1772" s="14"/>
      <c r="AA1772" s="14"/>
      <c r="AB1772" s="14"/>
      <c r="AC1772" s="14"/>
      <c r="AD1772" s="14"/>
      <c r="AE1772" s="14"/>
      <c r="AF1772" s="14"/>
      <c r="AG1772" s="14"/>
      <c r="AH1772" s="14"/>
      <c r="AI1772" s="14"/>
      <c r="AJ1772" s="15"/>
      <c r="AK1772" s="16"/>
    </row>
    <row r="1773" spans="2:37" x14ac:dyDescent="0.2">
      <c r="B1773" s="7" t="s">
        <v>69</v>
      </c>
      <c r="C1773" s="8">
        <v>12443</v>
      </c>
      <c r="D1773" s="9" t="s">
        <v>634</v>
      </c>
      <c r="E1773" s="10" t="s">
        <v>635</v>
      </c>
      <c r="F1773" s="10" t="s">
        <v>636</v>
      </c>
      <c r="G1773" s="8">
        <v>1</v>
      </c>
      <c r="H1773" s="11">
        <v>300</v>
      </c>
      <c r="I1773" s="12">
        <v>42582</v>
      </c>
      <c r="J1773" s="13">
        <f t="shared" si="61"/>
        <v>0</v>
      </c>
      <c r="K1773" s="14"/>
      <c r="L1773" s="14"/>
      <c r="M1773" s="14"/>
      <c r="N1773" s="14"/>
      <c r="O1773" s="14"/>
      <c r="P1773" s="14"/>
      <c r="Q1773" s="14">
        <v>300</v>
      </c>
      <c r="R1773" s="14"/>
      <c r="S1773" s="14"/>
      <c r="T1773" s="14"/>
      <c r="U1773" s="14"/>
      <c r="V1773" s="14"/>
      <c r="W1773" s="15">
        <f t="shared" si="62"/>
        <v>300</v>
      </c>
      <c r="X1773" s="14"/>
      <c r="Y1773" s="14"/>
      <c r="Z1773" s="14"/>
      <c r="AA1773" s="14"/>
      <c r="AB1773" s="14"/>
      <c r="AC1773" s="14"/>
      <c r="AD1773" s="14"/>
      <c r="AE1773" s="14"/>
      <c r="AF1773" s="14"/>
      <c r="AG1773" s="14"/>
      <c r="AH1773" s="14"/>
      <c r="AI1773" s="14"/>
      <c r="AJ1773" s="15"/>
      <c r="AK1773" s="16"/>
    </row>
    <row r="1774" spans="2:37" x14ac:dyDescent="0.2">
      <c r="B1774" s="7" t="s">
        <v>69</v>
      </c>
      <c r="C1774" s="8">
        <v>12444</v>
      </c>
      <c r="D1774" s="9" t="s">
        <v>1106</v>
      </c>
      <c r="E1774" s="10" t="s">
        <v>1107</v>
      </c>
      <c r="F1774" s="10" t="s">
        <v>1108</v>
      </c>
      <c r="G1774" s="8">
        <v>5</v>
      </c>
      <c r="H1774" s="11">
        <v>100</v>
      </c>
      <c r="I1774" s="12">
        <v>42582</v>
      </c>
      <c r="J1774" s="13">
        <f t="shared" si="61"/>
        <v>0</v>
      </c>
      <c r="K1774" s="14"/>
      <c r="L1774" s="14"/>
      <c r="M1774" s="14"/>
      <c r="N1774" s="14"/>
      <c r="O1774" s="14"/>
      <c r="P1774" s="14"/>
      <c r="Q1774" s="14"/>
      <c r="R1774" s="14"/>
      <c r="S1774" s="14"/>
      <c r="T1774" s="14"/>
      <c r="U1774" s="14"/>
      <c r="V1774" s="14"/>
      <c r="W1774" s="15">
        <f t="shared" si="62"/>
        <v>0</v>
      </c>
      <c r="X1774" s="14"/>
      <c r="Y1774" s="14"/>
      <c r="Z1774" s="14"/>
      <c r="AA1774" s="14"/>
      <c r="AB1774" s="14"/>
      <c r="AC1774" s="14"/>
      <c r="AD1774" s="14"/>
      <c r="AE1774" s="14"/>
      <c r="AF1774" s="14"/>
      <c r="AG1774" s="14"/>
      <c r="AH1774" s="14"/>
      <c r="AI1774" s="14"/>
      <c r="AJ1774" s="15"/>
      <c r="AK1774" s="16"/>
    </row>
    <row r="1775" spans="2:37" x14ac:dyDescent="0.2">
      <c r="B1775" s="7" t="s">
        <v>69</v>
      </c>
      <c r="C1775" s="8">
        <v>12445</v>
      </c>
      <c r="D1775" s="9" t="s">
        <v>678</v>
      </c>
      <c r="E1775" s="10" t="s">
        <v>679</v>
      </c>
      <c r="F1775" s="10" t="s">
        <v>680</v>
      </c>
      <c r="G1775" s="8">
        <v>5</v>
      </c>
      <c r="H1775" s="11">
        <v>50</v>
      </c>
      <c r="I1775" s="12">
        <v>42582</v>
      </c>
      <c r="J1775" s="13">
        <f t="shared" si="61"/>
        <v>0</v>
      </c>
      <c r="K1775" s="14"/>
      <c r="L1775" s="14"/>
      <c r="M1775" s="14"/>
      <c r="N1775" s="14"/>
      <c r="O1775" s="14"/>
      <c r="P1775" s="14"/>
      <c r="Q1775" s="14"/>
      <c r="R1775" s="14"/>
      <c r="S1775" s="14"/>
      <c r="T1775" s="14"/>
      <c r="U1775" s="14"/>
      <c r="V1775" s="14"/>
      <c r="W1775" s="15">
        <f t="shared" si="62"/>
        <v>0</v>
      </c>
      <c r="X1775" s="14"/>
      <c r="Y1775" s="14"/>
      <c r="Z1775" s="14"/>
      <c r="AA1775" s="14"/>
      <c r="AB1775" s="14"/>
      <c r="AC1775" s="14"/>
      <c r="AD1775" s="14"/>
      <c r="AE1775" s="14"/>
      <c r="AF1775" s="14"/>
      <c r="AG1775" s="14"/>
      <c r="AH1775" s="14"/>
      <c r="AI1775" s="14"/>
      <c r="AJ1775" s="15"/>
      <c r="AK1775" s="16"/>
    </row>
    <row r="1776" spans="2:37" x14ac:dyDescent="0.2">
      <c r="B1776" s="7" t="s">
        <v>122</v>
      </c>
      <c r="C1776" s="8">
        <v>12446</v>
      </c>
      <c r="D1776" s="9" t="s">
        <v>761</v>
      </c>
      <c r="E1776" s="10" t="s">
        <v>762</v>
      </c>
      <c r="F1776" s="10" t="s">
        <v>403</v>
      </c>
      <c r="G1776" s="8">
        <v>1</v>
      </c>
      <c r="H1776" s="11">
        <v>400</v>
      </c>
      <c r="I1776" s="12">
        <v>42582</v>
      </c>
      <c r="J1776" s="13">
        <f t="shared" si="61"/>
        <v>0</v>
      </c>
      <c r="K1776" s="14"/>
      <c r="L1776" s="14"/>
      <c r="M1776" s="14"/>
      <c r="N1776" s="14"/>
      <c r="O1776" s="14"/>
      <c r="P1776" s="14"/>
      <c r="Q1776" s="14">
        <v>400</v>
      </c>
      <c r="R1776" s="14"/>
      <c r="S1776" s="14"/>
      <c r="T1776" s="14"/>
      <c r="U1776" s="14"/>
      <c r="V1776" s="14"/>
      <c r="W1776" s="15">
        <f t="shared" si="62"/>
        <v>400</v>
      </c>
      <c r="X1776" s="14"/>
      <c r="Y1776" s="14"/>
      <c r="Z1776" s="14"/>
      <c r="AA1776" s="14"/>
      <c r="AB1776" s="14"/>
      <c r="AC1776" s="14"/>
      <c r="AD1776" s="14"/>
      <c r="AE1776" s="14"/>
      <c r="AF1776" s="14"/>
      <c r="AG1776" s="14"/>
      <c r="AH1776" s="14"/>
      <c r="AI1776" s="14"/>
      <c r="AJ1776" s="15"/>
      <c r="AK1776" s="16"/>
    </row>
    <row r="1777" spans="2:37" x14ac:dyDescent="0.2">
      <c r="B1777" s="7" t="s">
        <v>122</v>
      </c>
      <c r="C1777" s="8">
        <v>12447</v>
      </c>
      <c r="D1777" s="9" t="s">
        <v>761</v>
      </c>
      <c r="E1777" s="10" t="s">
        <v>762</v>
      </c>
      <c r="F1777" s="10" t="s">
        <v>403</v>
      </c>
      <c r="G1777" s="8">
        <v>3</v>
      </c>
      <c r="H1777" s="11">
        <v>200</v>
      </c>
      <c r="I1777" s="12">
        <v>42582</v>
      </c>
      <c r="J1777" s="13">
        <f t="shared" si="61"/>
        <v>0</v>
      </c>
      <c r="K1777" s="14"/>
      <c r="L1777" s="14"/>
      <c r="M1777" s="14"/>
      <c r="N1777" s="14"/>
      <c r="O1777" s="14"/>
      <c r="P1777" s="14"/>
      <c r="Q1777" s="14"/>
      <c r="R1777" s="14"/>
      <c r="S1777" s="14"/>
      <c r="T1777" s="14"/>
      <c r="U1777" s="14"/>
      <c r="V1777" s="14"/>
      <c r="W1777" s="15">
        <f t="shared" si="62"/>
        <v>0</v>
      </c>
      <c r="X1777" s="14"/>
      <c r="Y1777" s="14"/>
      <c r="Z1777" s="14"/>
      <c r="AA1777" s="14"/>
      <c r="AB1777" s="14"/>
      <c r="AC1777" s="14"/>
      <c r="AD1777" s="14"/>
      <c r="AE1777" s="14"/>
      <c r="AF1777" s="14"/>
      <c r="AG1777" s="14"/>
      <c r="AH1777" s="14"/>
      <c r="AI1777" s="14"/>
      <c r="AJ1777" s="15"/>
      <c r="AK1777" s="16"/>
    </row>
    <row r="1778" spans="2:37" x14ac:dyDescent="0.2">
      <c r="B1778" s="7" t="s">
        <v>122</v>
      </c>
      <c r="C1778" s="8">
        <v>12447</v>
      </c>
      <c r="D1778" s="9" t="s">
        <v>761</v>
      </c>
      <c r="E1778" s="10" t="s">
        <v>762</v>
      </c>
      <c r="F1778" s="10" t="s">
        <v>403</v>
      </c>
      <c r="G1778" s="8">
        <v>5</v>
      </c>
      <c r="H1778" s="11">
        <v>100</v>
      </c>
      <c r="I1778" s="12">
        <v>42582</v>
      </c>
      <c r="J1778" s="13">
        <f t="shared" si="61"/>
        <v>0</v>
      </c>
      <c r="K1778" s="14"/>
      <c r="L1778" s="14"/>
      <c r="M1778" s="14"/>
      <c r="N1778" s="14"/>
      <c r="O1778" s="14"/>
      <c r="P1778" s="14"/>
      <c r="Q1778" s="14"/>
      <c r="R1778" s="14"/>
      <c r="S1778" s="14"/>
      <c r="T1778" s="14"/>
      <c r="U1778" s="14"/>
      <c r="V1778" s="14"/>
      <c r="W1778" s="15">
        <f t="shared" si="62"/>
        <v>0</v>
      </c>
      <c r="X1778" s="14"/>
      <c r="Y1778" s="14"/>
      <c r="Z1778" s="14"/>
      <c r="AA1778" s="14"/>
      <c r="AB1778" s="14"/>
      <c r="AC1778" s="14"/>
      <c r="AD1778" s="14"/>
      <c r="AE1778" s="14"/>
      <c r="AF1778" s="14"/>
      <c r="AG1778" s="14"/>
      <c r="AH1778" s="14"/>
      <c r="AI1778" s="14"/>
      <c r="AJ1778" s="15"/>
      <c r="AK1778" s="16"/>
    </row>
    <row r="1779" spans="2:37" x14ac:dyDescent="0.2">
      <c r="B1779" s="7" t="s">
        <v>77</v>
      </c>
      <c r="C1779" s="8">
        <v>12448</v>
      </c>
      <c r="D1779" s="9" t="s">
        <v>322</v>
      </c>
      <c r="E1779" s="10" t="s">
        <v>323</v>
      </c>
      <c r="F1779" s="10" t="s">
        <v>324</v>
      </c>
      <c r="G1779" s="8">
        <v>1</v>
      </c>
      <c r="H1779" s="11">
        <v>400</v>
      </c>
      <c r="I1779" s="12">
        <v>42582</v>
      </c>
      <c r="J1779" s="13">
        <f t="shared" si="61"/>
        <v>0</v>
      </c>
      <c r="K1779" s="14"/>
      <c r="L1779" s="14"/>
      <c r="M1779" s="14"/>
      <c r="N1779" s="14"/>
      <c r="O1779" s="14"/>
      <c r="P1779" s="14"/>
      <c r="Q1779" s="14">
        <v>400</v>
      </c>
      <c r="R1779" s="14"/>
      <c r="S1779" s="14"/>
      <c r="T1779" s="14"/>
      <c r="U1779" s="14"/>
      <c r="V1779" s="14"/>
      <c r="W1779" s="15">
        <f t="shared" si="62"/>
        <v>400</v>
      </c>
      <c r="X1779" s="14"/>
      <c r="Y1779" s="14"/>
      <c r="Z1779" s="14"/>
      <c r="AA1779" s="14"/>
      <c r="AB1779" s="14"/>
      <c r="AC1779" s="14"/>
      <c r="AD1779" s="14"/>
      <c r="AE1779" s="14"/>
      <c r="AF1779" s="14"/>
      <c r="AG1779" s="14"/>
      <c r="AH1779" s="14"/>
      <c r="AI1779" s="14"/>
      <c r="AJ1779" s="15"/>
      <c r="AK1779" s="16"/>
    </row>
    <row r="1780" spans="2:37" x14ac:dyDescent="0.2">
      <c r="B1780" s="7" t="s">
        <v>73</v>
      </c>
      <c r="C1780" s="8">
        <v>12449</v>
      </c>
      <c r="D1780" s="9" t="s">
        <v>440</v>
      </c>
      <c r="E1780" s="10" t="s">
        <v>441</v>
      </c>
      <c r="F1780" s="10" t="s">
        <v>442</v>
      </c>
      <c r="G1780" s="8">
        <v>5</v>
      </c>
      <c r="H1780" s="11">
        <v>200</v>
      </c>
      <c r="I1780" s="12">
        <v>42582</v>
      </c>
      <c r="J1780" s="13">
        <f t="shared" si="61"/>
        <v>0</v>
      </c>
      <c r="K1780" s="14"/>
      <c r="L1780" s="14"/>
      <c r="M1780" s="14"/>
      <c r="N1780" s="14"/>
      <c r="O1780" s="14"/>
      <c r="P1780" s="14"/>
      <c r="Q1780" s="14"/>
      <c r="R1780" s="14"/>
      <c r="S1780" s="14"/>
      <c r="T1780" s="14"/>
      <c r="U1780" s="14"/>
      <c r="V1780" s="14"/>
      <c r="W1780" s="15">
        <f t="shared" si="62"/>
        <v>0</v>
      </c>
      <c r="X1780" s="14"/>
      <c r="Y1780" s="14"/>
      <c r="Z1780" s="14"/>
      <c r="AA1780" s="14"/>
      <c r="AB1780" s="14"/>
      <c r="AC1780" s="14"/>
      <c r="AD1780" s="14"/>
      <c r="AE1780" s="14"/>
      <c r="AF1780" s="14"/>
      <c r="AG1780" s="14"/>
      <c r="AH1780" s="14"/>
      <c r="AI1780" s="14"/>
      <c r="AJ1780" s="15"/>
      <c r="AK1780" s="16"/>
    </row>
    <row r="1781" spans="2:37" x14ac:dyDescent="0.2">
      <c r="B1781" s="7" t="s">
        <v>47</v>
      </c>
      <c r="C1781" s="8">
        <v>12450</v>
      </c>
      <c r="D1781" s="9" t="s">
        <v>103</v>
      </c>
      <c r="E1781" s="10" t="s">
        <v>104</v>
      </c>
      <c r="F1781" s="10" t="s">
        <v>105</v>
      </c>
      <c r="G1781" s="8">
        <v>1</v>
      </c>
      <c r="H1781" s="11">
        <v>400</v>
      </c>
      <c r="I1781" s="12">
        <v>42582</v>
      </c>
      <c r="J1781" s="13">
        <f t="shared" si="61"/>
        <v>0</v>
      </c>
      <c r="K1781" s="14"/>
      <c r="L1781" s="14"/>
      <c r="M1781" s="14"/>
      <c r="N1781" s="14"/>
      <c r="O1781" s="14"/>
      <c r="P1781" s="14"/>
      <c r="Q1781" s="14">
        <v>400</v>
      </c>
      <c r="R1781" s="14"/>
      <c r="S1781" s="14"/>
      <c r="T1781" s="14"/>
      <c r="U1781" s="14"/>
      <c r="V1781" s="14"/>
      <c r="W1781" s="15">
        <f t="shared" si="62"/>
        <v>400</v>
      </c>
      <c r="X1781" s="14"/>
      <c r="Y1781" s="14"/>
      <c r="Z1781" s="14"/>
      <c r="AA1781" s="14"/>
      <c r="AB1781" s="14"/>
      <c r="AC1781" s="14"/>
      <c r="AD1781" s="14"/>
      <c r="AE1781" s="14"/>
      <c r="AF1781" s="14"/>
      <c r="AG1781" s="14"/>
      <c r="AH1781" s="14"/>
      <c r="AI1781" s="14"/>
      <c r="AJ1781" s="15"/>
      <c r="AK1781" s="16"/>
    </row>
    <row r="1782" spans="2:37" x14ac:dyDescent="0.2">
      <c r="B1782" s="7" t="s">
        <v>37</v>
      </c>
      <c r="C1782" s="8">
        <v>12451</v>
      </c>
      <c r="D1782" s="9" t="s">
        <v>858</v>
      </c>
      <c r="E1782" s="10" t="s">
        <v>859</v>
      </c>
      <c r="F1782" s="10" t="s">
        <v>860</v>
      </c>
      <c r="G1782" s="8">
        <v>1</v>
      </c>
      <c r="H1782" s="11">
        <v>1200</v>
      </c>
      <c r="I1782" s="12">
        <v>42582</v>
      </c>
      <c r="J1782" s="13">
        <f t="shared" si="61"/>
        <v>0</v>
      </c>
      <c r="K1782" s="14"/>
      <c r="L1782" s="14"/>
      <c r="M1782" s="14"/>
      <c r="N1782" s="14"/>
      <c r="O1782" s="14"/>
      <c r="P1782" s="14"/>
      <c r="Q1782" s="14">
        <v>400</v>
      </c>
      <c r="R1782" s="14">
        <v>400</v>
      </c>
      <c r="S1782" s="14">
        <v>400</v>
      </c>
      <c r="T1782" s="14"/>
      <c r="U1782" s="14"/>
      <c r="V1782" s="14"/>
      <c r="W1782" s="15">
        <f t="shared" si="62"/>
        <v>1200</v>
      </c>
      <c r="X1782" s="14"/>
      <c r="Y1782" s="14"/>
      <c r="Z1782" s="14"/>
      <c r="AA1782" s="14"/>
      <c r="AB1782" s="14"/>
      <c r="AC1782" s="14"/>
      <c r="AD1782" s="14"/>
      <c r="AE1782" s="14"/>
      <c r="AF1782" s="14"/>
      <c r="AG1782" s="14"/>
      <c r="AH1782" s="14"/>
      <c r="AI1782" s="14"/>
      <c r="AJ1782" s="15"/>
      <c r="AK1782" s="16"/>
    </row>
    <row r="1783" spans="2:37" x14ac:dyDescent="0.2">
      <c r="B1783" s="7" t="s">
        <v>37</v>
      </c>
      <c r="C1783" s="8">
        <v>12452</v>
      </c>
      <c r="D1783" s="9" t="s">
        <v>858</v>
      </c>
      <c r="E1783" s="10" t="s">
        <v>859</v>
      </c>
      <c r="F1783" s="10" t="s">
        <v>860</v>
      </c>
      <c r="G1783" s="8">
        <v>5</v>
      </c>
      <c r="H1783" s="11">
        <v>50</v>
      </c>
      <c r="I1783" s="12">
        <v>42582</v>
      </c>
      <c r="J1783" s="13">
        <f t="shared" si="61"/>
        <v>0</v>
      </c>
      <c r="K1783" s="14"/>
      <c r="L1783" s="14"/>
      <c r="M1783" s="14"/>
      <c r="N1783" s="14"/>
      <c r="O1783" s="14"/>
      <c r="P1783" s="14"/>
      <c r="Q1783" s="14"/>
      <c r="R1783" s="14"/>
      <c r="S1783" s="14"/>
      <c r="T1783" s="14"/>
      <c r="U1783" s="14"/>
      <c r="V1783" s="14"/>
      <c r="W1783" s="15">
        <f t="shared" si="62"/>
        <v>0</v>
      </c>
      <c r="X1783" s="14"/>
      <c r="Y1783" s="14"/>
      <c r="Z1783" s="14"/>
      <c r="AA1783" s="14"/>
      <c r="AB1783" s="14"/>
      <c r="AC1783" s="14"/>
      <c r="AD1783" s="14"/>
      <c r="AE1783" s="14"/>
      <c r="AF1783" s="14"/>
      <c r="AG1783" s="14"/>
      <c r="AH1783" s="14"/>
      <c r="AI1783" s="14"/>
      <c r="AJ1783" s="15"/>
      <c r="AK1783" s="16"/>
    </row>
    <row r="1784" spans="2:37" x14ac:dyDescent="0.2">
      <c r="B1784" s="7" t="s">
        <v>69</v>
      </c>
      <c r="C1784" s="8">
        <v>12453</v>
      </c>
      <c r="D1784" s="9" t="s">
        <v>135</v>
      </c>
      <c r="E1784" s="10" t="s">
        <v>136</v>
      </c>
      <c r="F1784" s="10" t="s">
        <v>137</v>
      </c>
      <c r="G1784" s="8">
        <v>1</v>
      </c>
      <c r="H1784" s="11">
        <v>300</v>
      </c>
      <c r="I1784" s="12">
        <v>42582</v>
      </c>
      <c r="J1784" s="13">
        <f t="shared" si="61"/>
        <v>0</v>
      </c>
      <c r="K1784" s="14"/>
      <c r="L1784" s="14"/>
      <c r="M1784" s="14"/>
      <c r="N1784" s="14"/>
      <c r="O1784" s="14"/>
      <c r="P1784" s="14"/>
      <c r="Q1784" s="14"/>
      <c r="R1784" s="14">
        <v>300</v>
      </c>
      <c r="S1784" s="14"/>
      <c r="T1784" s="14"/>
      <c r="U1784" s="14"/>
      <c r="V1784" s="14"/>
      <c r="W1784" s="15">
        <f t="shared" si="62"/>
        <v>300</v>
      </c>
      <c r="X1784" s="14"/>
      <c r="Y1784" s="14"/>
      <c r="Z1784" s="14"/>
      <c r="AA1784" s="14"/>
      <c r="AB1784" s="14"/>
      <c r="AC1784" s="14"/>
      <c r="AD1784" s="14"/>
      <c r="AE1784" s="14"/>
      <c r="AF1784" s="14"/>
      <c r="AG1784" s="14"/>
      <c r="AH1784" s="14"/>
      <c r="AI1784" s="14"/>
      <c r="AJ1784" s="15"/>
      <c r="AK1784" s="16"/>
    </row>
    <row r="1785" spans="2:37" x14ac:dyDescent="0.2">
      <c r="B1785" s="7" t="s">
        <v>47</v>
      </c>
      <c r="C1785" s="8">
        <v>12454</v>
      </c>
      <c r="D1785" s="9" t="s">
        <v>965</v>
      </c>
      <c r="E1785" s="10" t="s">
        <v>966</v>
      </c>
      <c r="F1785" s="10" t="s">
        <v>967</v>
      </c>
      <c r="G1785" s="8">
        <v>1</v>
      </c>
      <c r="H1785" s="11">
        <v>800</v>
      </c>
      <c r="I1785" s="12">
        <v>42582</v>
      </c>
      <c r="J1785" s="13">
        <f t="shared" si="61"/>
        <v>0</v>
      </c>
      <c r="K1785" s="14"/>
      <c r="L1785" s="14"/>
      <c r="M1785" s="14"/>
      <c r="N1785" s="14"/>
      <c r="O1785" s="14"/>
      <c r="P1785" s="14">
        <v>400</v>
      </c>
      <c r="Q1785" s="14">
        <v>400</v>
      </c>
      <c r="R1785" s="14"/>
      <c r="S1785" s="14"/>
      <c r="T1785" s="14"/>
      <c r="U1785" s="14"/>
      <c r="V1785" s="14"/>
      <c r="W1785" s="15">
        <f t="shared" si="62"/>
        <v>800</v>
      </c>
      <c r="X1785" s="14"/>
      <c r="Y1785" s="14"/>
      <c r="Z1785" s="14"/>
      <c r="AA1785" s="14"/>
      <c r="AB1785" s="14"/>
      <c r="AC1785" s="14"/>
      <c r="AD1785" s="14"/>
      <c r="AE1785" s="14"/>
      <c r="AF1785" s="14"/>
      <c r="AG1785" s="14"/>
      <c r="AH1785" s="14"/>
      <c r="AI1785" s="14"/>
      <c r="AJ1785" s="15"/>
      <c r="AK1785" s="16"/>
    </row>
    <row r="1786" spans="2:37" x14ac:dyDescent="0.2">
      <c r="B1786" s="7" t="s">
        <v>47</v>
      </c>
      <c r="C1786" s="8">
        <v>12455</v>
      </c>
      <c r="D1786" s="9" t="s">
        <v>313</v>
      </c>
      <c r="E1786" s="10" t="s">
        <v>314</v>
      </c>
      <c r="F1786" s="10" t="s">
        <v>315</v>
      </c>
      <c r="G1786" s="8">
        <v>1</v>
      </c>
      <c r="H1786" s="11">
        <v>400</v>
      </c>
      <c r="I1786" s="12">
        <v>42582</v>
      </c>
      <c r="J1786" s="13">
        <f t="shared" si="61"/>
        <v>0</v>
      </c>
      <c r="K1786" s="14"/>
      <c r="L1786" s="14"/>
      <c r="M1786" s="14"/>
      <c r="N1786" s="14"/>
      <c r="O1786" s="14"/>
      <c r="P1786" s="14"/>
      <c r="Q1786" s="14"/>
      <c r="R1786" s="14">
        <v>400</v>
      </c>
      <c r="S1786" s="14"/>
      <c r="T1786" s="14"/>
      <c r="U1786" s="14"/>
      <c r="V1786" s="14"/>
      <c r="W1786" s="15">
        <f t="shared" si="62"/>
        <v>400</v>
      </c>
      <c r="X1786" s="14"/>
      <c r="Y1786" s="14"/>
      <c r="Z1786" s="14"/>
      <c r="AA1786" s="14"/>
      <c r="AB1786" s="14"/>
      <c r="AC1786" s="14"/>
      <c r="AD1786" s="14"/>
      <c r="AE1786" s="14"/>
      <c r="AF1786" s="14"/>
      <c r="AG1786" s="14"/>
      <c r="AH1786" s="14"/>
      <c r="AI1786" s="14"/>
      <c r="AJ1786" s="15"/>
      <c r="AK1786" s="16"/>
    </row>
    <row r="1787" spans="2:37" x14ac:dyDescent="0.2">
      <c r="B1787" s="7" t="s">
        <v>69</v>
      </c>
      <c r="C1787" s="8">
        <v>12456</v>
      </c>
      <c r="D1787" s="9" t="s">
        <v>1100</v>
      </c>
      <c r="E1787" s="10" t="s">
        <v>1101</v>
      </c>
      <c r="F1787" s="10" t="s">
        <v>1102</v>
      </c>
      <c r="G1787" s="8">
        <v>5</v>
      </c>
      <c r="H1787" s="11">
        <v>300</v>
      </c>
      <c r="I1787" s="12">
        <v>42582</v>
      </c>
      <c r="J1787" s="13">
        <f t="shared" si="61"/>
        <v>0</v>
      </c>
      <c r="K1787" s="14"/>
      <c r="L1787" s="14"/>
      <c r="M1787" s="14"/>
      <c r="N1787" s="14"/>
      <c r="O1787" s="14"/>
      <c r="P1787" s="14"/>
      <c r="Q1787" s="14"/>
      <c r="R1787" s="14"/>
      <c r="S1787" s="14"/>
      <c r="T1787" s="14"/>
      <c r="U1787" s="14"/>
      <c r="V1787" s="14"/>
      <c r="W1787" s="15">
        <f t="shared" si="62"/>
        <v>0</v>
      </c>
      <c r="X1787" s="14"/>
      <c r="Y1787" s="14"/>
      <c r="Z1787" s="14"/>
      <c r="AA1787" s="14"/>
      <c r="AB1787" s="14"/>
      <c r="AC1787" s="14"/>
      <c r="AD1787" s="14"/>
      <c r="AE1787" s="14"/>
      <c r="AF1787" s="14"/>
      <c r="AG1787" s="14"/>
      <c r="AH1787" s="14"/>
      <c r="AI1787" s="14"/>
      <c r="AJ1787" s="15"/>
      <c r="AK1787" s="16"/>
    </row>
    <row r="1788" spans="2:37" x14ac:dyDescent="0.2">
      <c r="B1788" s="7" t="s">
        <v>47</v>
      </c>
      <c r="C1788" s="8">
        <v>12457</v>
      </c>
      <c r="D1788" s="9" t="s">
        <v>965</v>
      </c>
      <c r="E1788" s="10" t="s">
        <v>966</v>
      </c>
      <c r="F1788" s="10" t="s">
        <v>967</v>
      </c>
      <c r="G1788" s="8">
        <v>4</v>
      </c>
      <c r="H1788" s="11">
        <v>200</v>
      </c>
      <c r="I1788" s="12">
        <v>42582</v>
      </c>
      <c r="J1788" s="13">
        <f t="shared" si="61"/>
        <v>0</v>
      </c>
      <c r="K1788" s="14"/>
      <c r="L1788" s="14"/>
      <c r="M1788" s="14"/>
      <c r="N1788" s="14"/>
      <c r="O1788" s="14"/>
      <c r="P1788" s="14"/>
      <c r="Q1788" s="14"/>
      <c r="R1788" s="14"/>
      <c r="S1788" s="14"/>
      <c r="T1788" s="14"/>
      <c r="U1788" s="14"/>
      <c r="V1788" s="14"/>
      <c r="W1788" s="15">
        <f t="shared" si="62"/>
        <v>0</v>
      </c>
      <c r="X1788" s="14"/>
      <c r="Y1788" s="14"/>
      <c r="Z1788" s="14"/>
      <c r="AA1788" s="14"/>
      <c r="AB1788" s="14"/>
      <c r="AC1788" s="14"/>
      <c r="AD1788" s="14"/>
      <c r="AE1788" s="14"/>
      <c r="AF1788" s="14"/>
      <c r="AG1788" s="14"/>
      <c r="AH1788" s="14"/>
      <c r="AI1788" s="14"/>
      <c r="AJ1788" s="15"/>
      <c r="AK1788" s="16"/>
    </row>
    <row r="1789" spans="2:37" x14ac:dyDescent="0.2">
      <c r="B1789" s="7" t="s">
        <v>47</v>
      </c>
      <c r="C1789" s="8">
        <v>12457</v>
      </c>
      <c r="D1789" s="9" t="s">
        <v>965</v>
      </c>
      <c r="E1789" s="10" t="s">
        <v>966</v>
      </c>
      <c r="F1789" s="10" t="s">
        <v>967</v>
      </c>
      <c r="G1789" s="8">
        <v>5</v>
      </c>
      <c r="H1789" s="11">
        <v>50</v>
      </c>
      <c r="I1789" s="12">
        <v>42582</v>
      </c>
      <c r="J1789" s="13">
        <f t="shared" si="61"/>
        <v>0</v>
      </c>
      <c r="K1789" s="14"/>
      <c r="L1789" s="14"/>
      <c r="M1789" s="14"/>
      <c r="N1789" s="14"/>
      <c r="O1789" s="14"/>
      <c r="P1789" s="14"/>
      <c r="Q1789" s="14"/>
      <c r="R1789" s="14"/>
      <c r="S1789" s="14"/>
      <c r="T1789" s="14"/>
      <c r="U1789" s="14"/>
      <c r="V1789" s="14"/>
      <c r="W1789" s="15">
        <f t="shared" si="62"/>
        <v>0</v>
      </c>
      <c r="X1789" s="14"/>
      <c r="Y1789" s="14"/>
      <c r="Z1789" s="14"/>
      <c r="AA1789" s="14"/>
      <c r="AB1789" s="14"/>
      <c r="AC1789" s="14"/>
      <c r="AD1789" s="14"/>
      <c r="AE1789" s="14"/>
      <c r="AF1789" s="14"/>
      <c r="AG1789" s="14"/>
      <c r="AH1789" s="14"/>
      <c r="AI1789" s="14"/>
      <c r="AJ1789" s="15"/>
      <c r="AK1789" s="16"/>
    </row>
    <row r="1790" spans="2:37" x14ac:dyDescent="0.2">
      <c r="B1790" s="7" t="s">
        <v>69</v>
      </c>
      <c r="C1790" s="8">
        <v>12458</v>
      </c>
      <c r="D1790" s="9" t="s">
        <v>714</v>
      </c>
      <c r="E1790" s="10" t="s">
        <v>715</v>
      </c>
      <c r="F1790" s="10" t="s">
        <v>487</v>
      </c>
      <c r="G1790" s="8">
        <v>5</v>
      </c>
      <c r="H1790" s="11">
        <v>100</v>
      </c>
      <c r="I1790" s="12">
        <v>42582</v>
      </c>
      <c r="J1790" s="13">
        <f t="shared" si="61"/>
        <v>0</v>
      </c>
      <c r="K1790" s="14"/>
      <c r="L1790" s="14"/>
      <c r="M1790" s="14"/>
      <c r="N1790" s="14"/>
      <c r="O1790" s="14"/>
      <c r="P1790" s="14"/>
      <c r="Q1790" s="14"/>
      <c r="R1790" s="14"/>
      <c r="S1790" s="14"/>
      <c r="T1790" s="14"/>
      <c r="U1790" s="14"/>
      <c r="V1790" s="14"/>
      <c r="W1790" s="15">
        <f t="shared" si="62"/>
        <v>0</v>
      </c>
      <c r="X1790" s="14"/>
      <c r="Y1790" s="14"/>
      <c r="Z1790" s="14"/>
      <c r="AA1790" s="14"/>
      <c r="AB1790" s="14"/>
      <c r="AC1790" s="14"/>
      <c r="AD1790" s="14"/>
      <c r="AE1790" s="14"/>
      <c r="AF1790" s="14"/>
      <c r="AG1790" s="14"/>
      <c r="AH1790" s="14"/>
      <c r="AI1790" s="14"/>
      <c r="AJ1790" s="15"/>
      <c r="AK1790" s="16"/>
    </row>
    <row r="1791" spans="2:37" x14ac:dyDescent="0.2">
      <c r="B1791" s="7" t="s">
        <v>37</v>
      </c>
      <c r="C1791" s="8">
        <v>12459</v>
      </c>
      <c r="D1791" s="9" t="s">
        <v>58</v>
      </c>
      <c r="E1791" s="10" t="s">
        <v>59</v>
      </c>
      <c r="F1791" s="10" t="s">
        <v>60</v>
      </c>
      <c r="G1791" s="8">
        <v>1</v>
      </c>
      <c r="H1791" s="11">
        <v>600</v>
      </c>
      <c r="I1791" s="12">
        <v>42582</v>
      </c>
      <c r="J1791" s="13">
        <f t="shared" si="61"/>
        <v>0</v>
      </c>
      <c r="K1791" s="14"/>
      <c r="L1791" s="14"/>
      <c r="M1791" s="14"/>
      <c r="N1791" s="14"/>
      <c r="O1791" s="14"/>
      <c r="P1791" s="14">
        <v>300</v>
      </c>
      <c r="Q1791" s="14">
        <v>300</v>
      </c>
      <c r="R1791" s="14"/>
      <c r="S1791" s="14"/>
      <c r="T1791" s="14"/>
      <c r="U1791" s="14"/>
      <c r="V1791" s="14"/>
      <c r="W1791" s="15">
        <f t="shared" si="62"/>
        <v>600</v>
      </c>
      <c r="X1791" s="14"/>
      <c r="Y1791" s="14"/>
      <c r="Z1791" s="14"/>
      <c r="AA1791" s="14"/>
      <c r="AB1791" s="14"/>
      <c r="AC1791" s="14"/>
      <c r="AD1791" s="14"/>
      <c r="AE1791" s="14"/>
      <c r="AF1791" s="14"/>
      <c r="AG1791" s="14"/>
      <c r="AH1791" s="14"/>
      <c r="AI1791" s="14"/>
      <c r="AJ1791" s="15"/>
      <c r="AK1791" s="16"/>
    </row>
    <row r="1792" spans="2:37" x14ac:dyDescent="0.2">
      <c r="B1792" s="7" t="s">
        <v>37</v>
      </c>
      <c r="C1792" s="8">
        <v>12460</v>
      </c>
      <c r="D1792" s="9" t="s">
        <v>58</v>
      </c>
      <c r="E1792" s="10" t="s">
        <v>59</v>
      </c>
      <c r="F1792" s="10" t="s">
        <v>60</v>
      </c>
      <c r="G1792" s="8">
        <v>5</v>
      </c>
      <c r="H1792" s="11">
        <v>100</v>
      </c>
      <c r="I1792" s="12">
        <v>42582</v>
      </c>
      <c r="J1792" s="13">
        <f t="shared" si="61"/>
        <v>0</v>
      </c>
      <c r="K1792" s="14"/>
      <c r="L1792" s="14"/>
      <c r="M1792" s="14"/>
      <c r="N1792" s="14"/>
      <c r="O1792" s="14"/>
      <c r="P1792" s="14"/>
      <c r="Q1792" s="14"/>
      <c r="R1792" s="14"/>
      <c r="S1792" s="14"/>
      <c r="T1792" s="14"/>
      <c r="U1792" s="14"/>
      <c r="V1792" s="14"/>
      <c r="W1792" s="15">
        <f t="shared" si="62"/>
        <v>0</v>
      </c>
      <c r="X1792" s="14"/>
      <c r="Y1792" s="14"/>
      <c r="Z1792" s="14"/>
      <c r="AA1792" s="14"/>
      <c r="AB1792" s="14"/>
      <c r="AC1792" s="14"/>
      <c r="AD1792" s="14"/>
      <c r="AE1792" s="14"/>
      <c r="AF1792" s="14"/>
      <c r="AG1792" s="14"/>
      <c r="AH1792" s="14"/>
      <c r="AI1792" s="14"/>
      <c r="AJ1792" s="15"/>
      <c r="AK1792" s="16"/>
    </row>
    <row r="1793" spans="1:37" x14ac:dyDescent="0.2">
      <c r="B1793" s="7" t="s">
        <v>122</v>
      </c>
      <c r="C1793" s="8">
        <v>12461</v>
      </c>
      <c r="D1793" s="9" t="s">
        <v>123</v>
      </c>
      <c r="E1793" s="10" t="s">
        <v>124</v>
      </c>
      <c r="F1793" s="10" t="s">
        <v>125</v>
      </c>
      <c r="G1793" s="8">
        <v>1</v>
      </c>
      <c r="H1793" s="11">
        <v>250</v>
      </c>
      <c r="I1793" s="12">
        <v>42582</v>
      </c>
      <c r="J1793" s="13">
        <f t="shared" si="61"/>
        <v>0</v>
      </c>
      <c r="K1793" s="14"/>
      <c r="L1793" s="14"/>
      <c r="M1793" s="14"/>
      <c r="N1793" s="14"/>
      <c r="O1793" s="14"/>
      <c r="P1793" s="14"/>
      <c r="Q1793" s="14"/>
      <c r="R1793" s="14">
        <v>250</v>
      </c>
      <c r="S1793" s="14"/>
      <c r="T1793" s="14"/>
      <c r="U1793" s="14"/>
      <c r="V1793" s="14"/>
      <c r="W1793" s="15">
        <f t="shared" si="62"/>
        <v>250</v>
      </c>
      <c r="X1793" s="14"/>
      <c r="Y1793" s="14"/>
      <c r="Z1793" s="14"/>
      <c r="AA1793" s="14"/>
      <c r="AB1793" s="14"/>
      <c r="AC1793" s="14"/>
      <c r="AD1793" s="14"/>
      <c r="AE1793" s="14"/>
      <c r="AF1793" s="14"/>
      <c r="AG1793" s="14"/>
      <c r="AH1793" s="14"/>
      <c r="AI1793" s="14"/>
      <c r="AJ1793" s="15"/>
      <c r="AK1793" s="16"/>
    </row>
    <row r="1794" spans="1:37" x14ac:dyDescent="0.2">
      <c r="B1794" s="7" t="s">
        <v>1109</v>
      </c>
      <c r="C1794" s="8">
        <v>12462</v>
      </c>
      <c r="D1794" s="9" t="s">
        <v>646</v>
      </c>
      <c r="E1794" s="10" t="s">
        <v>647</v>
      </c>
      <c r="F1794" s="10" t="s">
        <v>648</v>
      </c>
      <c r="G1794" s="8">
        <v>1</v>
      </c>
      <c r="H1794" s="11">
        <v>800</v>
      </c>
      <c r="I1794" s="12">
        <v>42582</v>
      </c>
      <c r="J1794" s="13">
        <f t="shared" si="61"/>
        <v>0</v>
      </c>
      <c r="K1794" s="14"/>
      <c r="L1794" s="14"/>
      <c r="M1794" s="14"/>
      <c r="N1794" s="14"/>
      <c r="O1794" s="14"/>
      <c r="P1794" s="14">
        <v>400</v>
      </c>
      <c r="Q1794" s="14">
        <v>400</v>
      </c>
      <c r="R1794" s="14"/>
      <c r="S1794" s="14"/>
      <c r="T1794" s="14"/>
      <c r="U1794" s="14"/>
      <c r="V1794" s="14"/>
      <c r="W1794" s="15">
        <f t="shared" si="62"/>
        <v>800</v>
      </c>
      <c r="X1794" s="14"/>
      <c r="Y1794" s="14"/>
      <c r="Z1794" s="14"/>
      <c r="AA1794" s="14"/>
      <c r="AB1794" s="14"/>
      <c r="AC1794" s="14"/>
      <c r="AD1794" s="14"/>
      <c r="AE1794" s="14"/>
      <c r="AF1794" s="14"/>
      <c r="AG1794" s="14"/>
      <c r="AH1794" s="14"/>
      <c r="AI1794" s="14"/>
      <c r="AJ1794" s="15"/>
      <c r="AK1794" s="16"/>
    </row>
    <row r="1795" spans="1:37" x14ac:dyDescent="0.2">
      <c r="B1795" s="7" t="s">
        <v>69</v>
      </c>
      <c r="C1795" s="8">
        <v>12463</v>
      </c>
      <c r="D1795" s="9" t="s">
        <v>165</v>
      </c>
      <c r="E1795" s="10" t="s">
        <v>166</v>
      </c>
      <c r="F1795" s="10" t="s">
        <v>167</v>
      </c>
      <c r="G1795" s="8">
        <v>1</v>
      </c>
      <c r="H1795" s="11">
        <v>350</v>
      </c>
      <c r="I1795" s="12">
        <v>42582</v>
      </c>
      <c r="J1795" s="13">
        <f t="shared" si="61"/>
        <v>0</v>
      </c>
      <c r="K1795" s="14"/>
      <c r="L1795" s="14"/>
      <c r="M1795" s="14"/>
      <c r="N1795" s="14"/>
      <c r="O1795" s="14"/>
      <c r="P1795" s="14"/>
      <c r="Q1795" s="14"/>
      <c r="R1795" s="14">
        <v>350</v>
      </c>
      <c r="S1795" s="14"/>
      <c r="T1795" s="14"/>
      <c r="U1795" s="14"/>
      <c r="V1795" s="14"/>
      <c r="W1795" s="15">
        <f t="shared" si="62"/>
        <v>350</v>
      </c>
      <c r="X1795" s="14"/>
      <c r="Y1795" s="14"/>
      <c r="Z1795" s="14"/>
      <c r="AA1795" s="14"/>
      <c r="AB1795" s="14"/>
      <c r="AC1795" s="14"/>
      <c r="AD1795" s="14"/>
      <c r="AE1795" s="14"/>
      <c r="AF1795" s="14"/>
      <c r="AG1795" s="14"/>
      <c r="AH1795" s="14"/>
      <c r="AI1795" s="14"/>
      <c r="AJ1795" s="15"/>
      <c r="AK1795" s="16"/>
    </row>
    <row r="1796" spans="1:37" x14ac:dyDescent="0.2">
      <c r="B1796" s="7" t="s">
        <v>69</v>
      </c>
      <c r="C1796" s="8">
        <v>12464</v>
      </c>
      <c r="D1796" s="9" t="s">
        <v>1110</v>
      </c>
      <c r="E1796" s="10" t="s">
        <v>1111</v>
      </c>
      <c r="F1796" s="10" t="s">
        <v>657</v>
      </c>
      <c r="G1796" s="8">
        <v>1</v>
      </c>
      <c r="H1796" s="11">
        <v>400</v>
      </c>
      <c r="I1796" s="12">
        <v>42582</v>
      </c>
      <c r="J1796" s="13">
        <f t="shared" si="61"/>
        <v>0</v>
      </c>
      <c r="K1796" s="14"/>
      <c r="L1796" s="14"/>
      <c r="M1796" s="14"/>
      <c r="N1796" s="14"/>
      <c r="O1796" s="14"/>
      <c r="P1796" s="14"/>
      <c r="Q1796" s="14">
        <v>400</v>
      </c>
      <c r="R1796" s="14"/>
      <c r="S1796" s="14"/>
      <c r="T1796" s="14"/>
      <c r="U1796" s="14"/>
      <c r="V1796" s="14"/>
      <c r="W1796" s="15">
        <f t="shared" si="62"/>
        <v>400</v>
      </c>
      <c r="X1796" s="14"/>
      <c r="Y1796" s="14"/>
      <c r="Z1796" s="14"/>
      <c r="AA1796" s="14"/>
      <c r="AB1796" s="14"/>
      <c r="AC1796" s="14"/>
      <c r="AD1796" s="14"/>
      <c r="AE1796" s="14"/>
      <c r="AF1796" s="14"/>
      <c r="AG1796" s="14"/>
      <c r="AH1796" s="14"/>
      <c r="AI1796" s="14"/>
      <c r="AJ1796" s="15"/>
      <c r="AK1796" s="16"/>
    </row>
    <row r="1797" spans="1:37" x14ac:dyDescent="0.2">
      <c r="B1797" s="7" t="s">
        <v>69</v>
      </c>
      <c r="C1797" s="8">
        <v>12465</v>
      </c>
      <c r="D1797" s="9" t="s">
        <v>1110</v>
      </c>
      <c r="E1797" s="10" t="s">
        <v>1111</v>
      </c>
      <c r="F1797" s="10" t="s">
        <v>657</v>
      </c>
      <c r="G1797" s="8">
        <v>5</v>
      </c>
      <c r="H1797" s="11">
        <v>150</v>
      </c>
      <c r="I1797" s="12">
        <v>42582</v>
      </c>
      <c r="J1797" s="13">
        <f t="shared" si="61"/>
        <v>0</v>
      </c>
      <c r="K1797" s="14"/>
      <c r="L1797" s="14"/>
      <c r="M1797" s="14"/>
      <c r="N1797" s="14"/>
      <c r="O1797" s="14"/>
      <c r="P1797" s="14"/>
      <c r="Q1797" s="14"/>
      <c r="R1797" s="14"/>
      <c r="S1797" s="14"/>
      <c r="T1797" s="14"/>
      <c r="U1797" s="14"/>
      <c r="V1797" s="14"/>
      <c r="W1797" s="15">
        <f t="shared" si="62"/>
        <v>0</v>
      </c>
      <c r="X1797" s="14"/>
      <c r="Y1797" s="14"/>
      <c r="Z1797" s="14"/>
      <c r="AA1797" s="14"/>
      <c r="AB1797" s="14"/>
      <c r="AC1797" s="14"/>
      <c r="AD1797" s="14"/>
      <c r="AE1797" s="14"/>
      <c r="AF1797" s="14"/>
      <c r="AG1797" s="14"/>
      <c r="AH1797" s="14"/>
      <c r="AI1797" s="14"/>
      <c r="AJ1797" s="15"/>
      <c r="AK1797" s="16"/>
    </row>
    <row r="1798" spans="1:37" x14ac:dyDescent="0.2">
      <c r="B1798" s="7" t="s">
        <v>47</v>
      </c>
      <c r="C1798" s="8">
        <v>12466</v>
      </c>
      <c r="D1798" s="9" t="s">
        <v>1112</v>
      </c>
      <c r="E1798" s="10" t="s">
        <v>1113</v>
      </c>
      <c r="F1798" s="10" t="s">
        <v>1114</v>
      </c>
      <c r="G1798" s="8">
        <v>5</v>
      </c>
      <c r="H1798" s="11">
        <v>250</v>
      </c>
      <c r="I1798" s="12">
        <v>42582</v>
      </c>
      <c r="J1798" s="13">
        <f t="shared" si="61"/>
        <v>0</v>
      </c>
      <c r="K1798" s="14"/>
      <c r="L1798" s="14"/>
      <c r="M1798" s="14"/>
      <c r="N1798" s="14"/>
      <c r="O1798" s="14"/>
      <c r="P1798" s="14"/>
      <c r="Q1798" s="14"/>
      <c r="R1798" s="14"/>
      <c r="S1798" s="14"/>
      <c r="T1798" s="14"/>
      <c r="U1798" s="14"/>
      <c r="V1798" s="14"/>
      <c r="W1798" s="15">
        <f t="shared" si="62"/>
        <v>0</v>
      </c>
      <c r="X1798" s="14"/>
      <c r="Y1798" s="14"/>
      <c r="Z1798" s="14"/>
      <c r="AA1798" s="14"/>
      <c r="AB1798" s="14"/>
      <c r="AC1798" s="14"/>
      <c r="AD1798" s="14"/>
      <c r="AE1798" s="14"/>
      <c r="AF1798" s="14"/>
      <c r="AG1798" s="14"/>
      <c r="AH1798" s="14"/>
      <c r="AI1798" s="14"/>
      <c r="AJ1798" s="15"/>
      <c r="AK1798" s="16"/>
    </row>
    <row r="1799" spans="1:37" x14ac:dyDescent="0.2">
      <c r="B1799" s="7" t="s">
        <v>37</v>
      </c>
      <c r="C1799" s="8">
        <v>12467</v>
      </c>
      <c r="D1799" s="9" t="s">
        <v>526</v>
      </c>
      <c r="E1799" s="10" t="s">
        <v>527</v>
      </c>
      <c r="F1799" s="10" t="s">
        <v>528</v>
      </c>
      <c r="G1799" s="8">
        <v>5</v>
      </c>
      <c r="H1799" s="11">
        <v>200</v>
      </c>
      <c r="I1799" s="12">
        <v>42582</v>
      </c>
      <c r="J1799" s="13">
        <f t="shared" si="61"/>
        <v>0</v>
      </c>
      <c r="K1799" s="14"/>
      <c r="L1799" s="14"/>
      <c r="M1799" s="14"/>
      <c r="N1799" s="14"/>
      <c r="O1799" s="14"/>
      <c r="P1799" s="14"/>
      <c r="Q1799" s="14"/>
      <c r="R1799" s="14"/>
      <c r="S1799" s="14"/>
      <c r="T1799" s="14"/>
      <c r="U1799" s="14"/>
      <c r="V1799" s="14"/>
      <c r="W1799" s="15">
        <f t="shared" si="62"/>
        <v>0</v>
      </c>
      <c r="X1799" s="14"/>
      <c r="Y1799" s="14"/>
      <c r="Z1799" s="14"/>
      <c r="AA1799" s="14"/>
      <c r="AB1799" s="14"/>
      <c r="AC1799" s="14"/>
      <c r="AD1799" s="14"/>
      <c r="AE1799" s="14"/>
      <c r="AF1799" s="14"/>
      <c r="AG1799" s="14"/>
      <c r="AH1799" s="14"/>
      <c r="AI1799" s="14"/>
      <c r="AJ1799" s="15"/>
      <c r="AK1799" s="16"/>
    </row>
    <row r="1800" spans="1:37" x14ac:dyDescent="0.2">
      <c r="B1800" s="7" t="s">
        <v>122</v>
      </c>
      <c r="C1800" s="8">
        <v>12468</v>
      </c>
      <c r="D1800" s="9" t="s">
        <v>422</v>
      </c>
      <c r="E1800" s="10" t="s">
        <v>423</v>
      </c>
      <c r="F1800" s="10" t="s">
        <v>424</v>
      </c>
      <c r="G1800" s="8">
        <v>1</v>
      </c>
      <c r="H1800" s="11">
        <v>1200</v>
      </c>
      <c r="I1800" s="12">
        <v>42582</v>
      </c>
      <c r="J1800" s="13">
        <f t="shared" si="61"/>
        <v>0</v>
      </c>
      <c r="K1800" s="14"/>
      <c r="L1800" s="14"/>
      <c r="M1800" s="14"/>
      <c r="N1800" s="14"/>
      <c r="O1800" s="14"/>
      <c r="P1800" s="14"/>
      <c r="Q1800" s="14">
        <v>400</v>
      </c>
      <c r="R1800" s="14">
        <v>400</v>
      </c>
      <c r="S1800" s="14">
        <v>400</v>
      </c>
      <c r="T1800" s="14"/>
      <c r="U1800" s="14"/>
      <c r="V1800" s="14"/>
      <c r="W1800" s="15">
        <f t="shared" si="62"/>
        <v>1200</v>
      </c>
      <c r="X1800" s="14"/>
      <c r="Y1800" s="14"/>
      <c r="Z1800" s="14"/>
      <c r="AA1800" s="14"/>
      <c r="AB1800" s="14"/>
      <c r="AC1800" s="14"/>
      <c r="AD1800" s="14"/>
      <c r="AE1800" s="14"/>
      <c r="AF1800" s="14"/>
      <c r="AG1800" s="14"/>
      <c r="AH1800" s="14"/>
      <c r="AI1800" s="14"/>
      <c r="AJ1800" s="15"/>
      <c r="AK1800" s="16" t="s">
        <v>1115</v>
      </c>
    </row>
    <row r="1801" spans="1:37" x14ac:dyDescent="0.2">
      <c r="B1801" s="7" t="s">
        <v>73</v>
      </c>
      <c r="C1801" s="8">
        <v>12469</v>
      </c>
      <c r="D1801" s="9" t="s">
        <v>289</v>
      </c>
      <c r="E1801" s="10" t="s">
        <v>290</v>
      </c>
      <c r="F1801" s="10" t="s">
        <v>291</v>
      </c>
      <c r="G1801" s="8">
        <v>5</v>
      </c>
      <c r="H1801" s="11">
        <v>200</v>
      </c>
      <c r="I1801" s="12">
        <v>42582</v>
      </c>
      <c r="J1801" s="13">
        <f t="shared" si="61"/>
        <v>0</v>
      </c>
      <c r="K1801" s="14"/>
      <c r="L1801" s="14"/>
      <c r="M1801" s="14"/>
      <c r="N1801" s="14"/>
      <c r="O1801" s="14"/>
      <c r="P1801" s="14"/>
      <c r="Q1801" s="14"/>
      <c r="R1801" s="14"/>
      <c r="S1801" s="14"/>
      <c r="T1801" s="14"/>
      <c r="U1801" s="14"/>
      <c r="V1801" s="14"/>
      <c r="W1801" s="15">
        <f t="shared" si="62"/>
        <v>0</v>
      </c>
      <c r="X1801" s="14"/>
      <c r="Y1801" s="14"/>
      <c r="Z1801" s="14"/>
      <c r="AA1801" s="14"/>
      <c r="AB1801" s="14"/>
      <c r="AC1801" s="14"/>
      <c r="AD1801" s="14"/>
      <c r="AE1801" s="14"/>
      <c r="AF1801" s="14"/>
      <c r="AG1801" s="14"/>
      <c r="AH1801" s="14"/>
      <c r="AI1801" s="14"/>
      <c r="AJ1801" s="15"/>
      <c r="AK1801" s="16"/>
    </row>
    <row r="1802" spans="1:37" x14ac:dyDescent="0.2">
      <c r="B1802" s="7" t="s">
        <v>69</v>
      </c>
      <c r="C1802" s="8">
        <v>12478</v>
      </c>
      <c r="D1802" s="9" t="s">
        <v>211</v>
      </c>
      <c r="E1802" s="10" t="s">
        <v>212</v>
      </c>
      <c r="F1802" s="10" t="s">
        <v>213</v>
      </c>
      <c r="G1802" s="8">
        <v>1</v>
      </c>
      <c r="H1802" s="11">
        <v>300</v>
      </c>
      <c r="I1802" s="12">
        <v>42559</v>
      </c>
      <c r="J1802" s="13">
        <f t="shared" si="61"/>
        <v>0</v>
      </c>
      <c r="K1802" s="14"/>
      <c r="L1802" s="14"/>
      <c r="M1802" s="14"/>
      <c r="N1802" s="14"/>
      <c r="O1802" s="14"/>
      <c r="P1802" s="14"/>
      <c r="Q1802" s="14">
        <v>300</v>
      </c>
      <c r="R1802" s="14"/>
      <c r="S1802" s="14"/>
      <c r="T1802" s="14"/>
      <c r="U1802" s="14"/>
      <c r="V1802" s="14"/>
      <c r="W1802" s="15">
        <f t="shared" si="62"/>
        <v>300</v>
      </c>
      <c r="X1802" s="14"/>
      <c r="Y1802" s="14"/>
      <c r="Z1802" s="14"/>
      <c r="AA1802" s="14"/>
      <c r="AB1802" s="14"/>
      <c r="AC1802" s="14"/>
      <c r="AD1802" s="14"/>
      <c r="AE1802" s="14"/>
      <c r="AF1802" s="14"/>
      <c r="AG1802" s="14"/>
      <c r="AH1802" s="14"/>
      <c r="AI1802" s="14"/>
      <c r="AJ1802" s="15"/>
      <c r="AK1802" s="16" t="s">
        <v>1116</v>
      </c>
    </row>
    <row r="1803" spans="1:37" x14ac:dyDescent="0.2">
      <c r="B1803" s="7" t="s">
        <v>93</v>
      </c>
      <c r="C1803" s="8"/>
      <c r="D1803" s="9"/>
      <c r="E1803" s="10" t="s">
        <v>93</v>
      </c>
      <c r="F1803" s="10" t="s">
        <v>93</v>
      </c>
      <c r="G1803" s="8"/>
      <c r="H1803" s="11"/>
      <c r="I1803" s="12"/>
      <c r="J1803" s="13">
        <f t="shared" si="61"/>
        <v>0</v>
      </c>
      <c r="K1803" s="14"/>
      <c r="L1803" s="14"/>
      <c r="M1803" s="14"/>
      <c r="N1803" s="14"/>
      <c r="O1803" s="14"/>
      <c r="P1803" s="14"/>
      <c r="Q1803" s="14"/>
      <c r="R1803" s="14"/>
      <c r="S1803" s="14"/>
      <c r="T1803" s="14"/>
      <c r="U1803" s="14"/>
      <c r="V1803" s="14"/>
      <c r="W1803" s="15">
        <f t="shared" si="62"/>
        <v>0</v>
      </c>
      <c r="X1803" s="14"/>
      <c r="Y1803" s="14"/>
      <c r="Z1803" s="14"/>
      <c r="AA1803" s="14"/>
      <c r="AB1803" s="14"/>
      <c r="AC1803" s="14"/>
      <c r="AD1803" s="14"/>
      <c r="AE1803" s="14"/>
      <c r="AF1803" s="14"/>
      <c r="AG1803" s="14"/>
      <c r="AH1803" s="14"/>
      <c r="AI1803" s="14"/>
      <c r="AJ1803" s="15"/>
      <c r="AK1803" s="16"/>
    </row>
    <row r="1804" spans="1:37" x14ac:dyDescent="0.2">
      <c r="B1804" s="7" t="s">
        <v>93</v>
      </c>
      <c r="C1804" s="8"/>
      <c r="D1804" s="9"/>
      <c r="E1804" s="10" t="s">
        <v>93</v>
      </c>
      <c r="F1804" s="10" t="s">
        <v>93</v>
      </c>
      <c r="G1804" s="8"/>
      <c r="H1804" s="11"/>
      <c r="I1804" s="12"/>
      <c r="J1804" s="13">
        <f t="shared" si="61"/>
        <v>0</v>
      </c>
      <c r="K1804" s="14"/>
      <c r="L1804" s="14"/>
      <c r="M1804" s="14"/>
      <c r="N1804" s="14"/>
      <c r="O1804" s="14"/>
      <c r="P1804" s="14"/>
      <c r="Q1804" s="14"/>
      <c r="R1804" s="14"/>
      <c r="S1804" s="14"/>
      <c r="T1804" s="14"/>
      <c r="U1804" s="14"/>
      <c r="V1804" s="14"/>
      <c r="W1804" s="15">
        <f t="shared" si="62"/>
        <v>0</v>
      </c>
      <c r="X1804" s="14"/>
      <c r="Y1804" s="14"/>
      <c r="Z1804" s="14"/>
      <c r="AA1804" s="14"/>
      <c r="AB1804" s="14"/>
      <c r="AC1804" s="14"/>
      <c r="AD1804" s="14"/>
      <c r="AE1804" s="14"/>
      <c r="AF1804" s="14"/>
      <c r="AG1804" s="14"/>
      <c r="AH1804" s="14"/>
      <c r="AI1804" s="14"/>
      <c r="AJ1804" s="15"/>
      <c r="AK1804" s="16"/>
    </row>
    <row r="1805" spans="1:37" x14ac:dyDescent="0.2">
      <c r="B1805" s="7" t="s">
        <v>93</v>
      </c>
      <c r="C1805" s="8"/>
      <c r="D1805" s="9"/>
      <c r="E1805" s="10" t="s">
        <v>93</v>
      </c>
      <c r="F1805" s="10" t="s">
        <v>93</v>
      </c>
      <c r="G1805" s="8"/>
      <c r="H1805" s="11"/>
      <c r="I1805" s="12"/>
      <c r="J1805" s="13">
        <f t="shared" si="61"/>
        <v>0</v>
      </c>
      <c r="K1805" s="14"/>
      <c r="L1805" s="14"/>
      <c r="M1805" s="14"/>
      <c r="N1805" s="14"/>
      <c r="O1805" s="14"/>
      <c r="P1805" s="14"/>
      <c r="Q1805" s="14"/>
      <c r="R1805" s="14"/>
      <c r="S1805" s="14"/>
      <c r="T1805" s="14"/>
      <c r="U1805" s="14"/>
      <c r="V1805" s="14"/>
      <c r="W1805" s="15">
        <f t="shared" si="62"/>
        <v>0</v>
      </c>
      <c r="X1805" s="14"/>
      <c r="Y1805" s="14"/>
      <c r="Z1805" s="14"/>
      <c r="AA1805" s="14"/>
      <c r="AB1805" s="14"/>
      <c r="AC1805" s="14"/>
      <c r="AD1805" s="14"/>
      <c r="AE1805" s="14"/>
      <c r="AF1805" s="14"/>
      <c r="AG1805" s="14"/>
      <c r="AH1805" s="14"/>
      <c r="AI1805" s="14"/>
      <c r="AJ1805" s="15"/>
      <c r="AK1805" s="16"/>
    </row>
    <row r="1806" spans="1:37" ht="22.5" x14ac:dyDescent="0.2">
      <c r="A1806" s="2" t="s">
        <v>0</v>
      </c>
      <c r="B1806" s="3" t="s">
        <v>1</v>
      </c>
      <c r="C1806" s="3" t="s">
        <v>2</v>
      </c>
      <c r="D1806" s="3" t="s">
        <v>3</v>
      </c>
      <c r="E1806" s="3" t="s">
        <v>4</v>
      </c>
      <c r="F1806" s="3" t="s">
        <v>5</v>
      </c>
      <c r="G1806" s="3" t="s">
        <v>6</v>
      </c>
      <c r="H1806" s="3" t="s">
        <v>7</v>
      </c>
      <c r="I1806" s="3" t="s">
        <v>8</v>
      </c>
      <c r="J1806" s="3" t="s">
        <v>9</v>
      </c>
      <c r="K1806" s="4" t="s">
        <v>10</v>
      </c>
      <c r="L1806" s="4" t="s">
        <v>11</v>
      </c>
      <c r="M1806" s="4" t="s">
        <v>12</v>
      </c>
      <c r="N1806" s="4" t="s">
        <v>13</v>
      </c>
      <c r="O1806" s="4" t="s">
        <v>14</v>
      </c>
      <c r="P1806" s="4" t="s">
        <v>15</v>
      </c>
      <c r="Q1806" s="4" t="s">
        <v>16</v>
      </c>
      <c r="R1806" s="4" t="s">
        <v>17</v>
      </c>
      <c r="S1806" s="4" t="s">
        <v>18</v>
      </c>
      <c r="T1806" s="4" t="s">
        <v>19</v>
      </c>
      <c r="U1806" s="4" t="s">
        <v>20</v>
      </c>
      <c r="V1806" s="4" t="s">
        <v>21</v>
      </c>
      <c r="W1806" s="5" t="s">
        <v>22</v>
      </c>
      <c r="X1806" s="4" t="s">
        <v>23</v>
      </c>
      <c r="Y1806" s="4" t="s">
        <v>24</v>
      </c>
      <c r="Z1806" s="4" t="s">
        <v>25</v>
      </c>
      <c r="AA1806" s="4" t="s">
        <v>26</v>
      </c>
      <c r="AB1806" s="4" t="s">
        <v>27</v>
      </c>
      <c r="AC1806" s="4" t="s">
        <v>28</v>
      </c>
      <c r="AD1806" s="4" t="s">
        <v>29</v>
      </c>
      <c r="AE1806" s="4" t="s">
        <v>30</v>
      </c>
      <c r="AF1806" s="4" t="s">
        <v>31</v>
      </c>
      <c r="AG1806" s="4" t="s">
        <v>32</v>
      </c>
      <c r="AH1806" s="4" t="s">
        <v>33</v>
      </c>
      <c r="AI1806" s="4" t="s">
        <v>34</v>
      </c>
      <c r="AJ1806" s="5" t="s">
        <v>35</v>
      </c>
      <c r="AK1806" s="6" t="s">
        <v>36</v>
      </c>
    </row>
    <row r="1807" spans="1:37" x14ac:dyDescent="0.2">
      <c r="B1807" s="7" t="s">
        <v>37</v>
      </c>
      <c r="C1807" s="8">
        <v>12470</v>
      </c>
      <c r="D1807" s="9" t="s">
        <v>592</v>
      </c>
      <c r="E1807" s="10" t="s">
        <v>593</v>
      </c>
      <c r="F1807" s="10" t="s">
        <v>594</v>
      </c>
      <c r="G1807" s="8">
        <v>1</v>
      </c>
      <c r="H1807" s="11">
        <v>1200</v>
      </c>
      <c r="I1807" s="12">
        <v>42584</v>
      </c>
      <c r="J1807" s="13">
        <f t="shared" ref="J1807:J1870" si="63">IF(G1807=1,SUM(W1807,-H1807),0)</f>
        <v>0</v>
      </c>
      <c r="K1807" s="14"/>
      <c r="L1807" s="14"/>
      <c r="M1807" s="14"/>
      <c r="N1807" s="14"/>
      <c r="O1807" s="14"/>
      <c r="P1807" s="14"/>
      <c r="Q1807" s="14">
        <v>400</v>
      </c>
      <c r="R1807" s="14">
        <v>400</v>
      </c>
      <c r="S1807" s="14">
        <v>400</v>
      </c>
      <c r="T1807" s="14"/>
      <c r="U1807" s="14"/>
      <c r="V1807" s="14"/>
      <c r="W1807" s="15">
        <f t="shared" ref="W1807:W1870" si="64">SUM(K1807:V1807)</f>
        <v>1200</v>
      </c>
      <c r="X1807" s="14"/>
      <c r="Y1807" s="14"/>
      <c r="Z1807" s="14"/>
      <c r="AA1807" s="14"/>
      <c r="AB1807" s="14"/>
      <c r="AC1807" s="14"/>
      <c r="AD1807" s="14"/>
      <c r="AE1807" s="14"/>
      <c r="AF1807" s="14"/>
      <c r="AG1807" s="14"/>
      <c r="AH1807" s="14"/>
      <c r="AI1807" s="14"/>
      <c r="AJ1807" s="15"/>
      <c r="AK1807" s="16"/>
    </row>
    <row r="1808" spans="1:37" x14ac:dyDescent="0.2">
      <c r="B1808" s="7" t="s">
        <v>37</v>
      </c>
      <c r="C1808" s="8">
        <v>12471</v>
      </c>
      <c r="D1808" s="9" t="s">
        <v>592</v>
      </c>
      <c r="E1808" s="10" t="s">
        <v>593</v>
      </c>
      <c r="F1808" s="10" t="s">
        <v>594</v>
      </c>
      <c r="G1808" s="8">
        <v>5</v>
      </c>
      <c r="H1808" s="11">
        <v>100</v>
      </c>
      <c r="I1808" s="12">
        <v>42584</v>
      </c>
      <c r="J1808" s="13">
        <f t="shared" si="63"/>
        <v>0</v>
      </c>
      <c r="K1808" s="14"/>
      <c r="L1808" s="14"/>
      <c r="M1808" s="14"/>
      <c r="N1808" s="14"/>
      <c r="O1808" s="14"/>
      <c r="P1808" s="14"/>
      <c r="Q1808" s="14"/>
      <c r="R1808" s="14"/>
      <c r="S1808" s="14"/>
      <c r="T1808" s="14"/>
      <c r="U1808" s="14"/>
      <c r="V1808" s="14"/>
      <c r="W1808" s="15">
        <f t="shared" si="64"/>
        <v>0</v>
      </c>
      <c r="X1808" s="14"/>
      <c r="Y1808" s="14"/>
      <c r="Z1808" s="14"/>
      <c r="AA1808" s="14"/>
      <c r="AB1808" s="14"/>
      <c r="AC1808" s="14"/>
      <c r="AD1808" s="14"/>
      <c r="AE1808" s="14"/>
      <c r="AF1808" s="14"/>
      <c r="AG1808" s="14"/>
      <c r="AH1808" s="14"/>
      <c r="AI1808" s="14"/>
      <c r="AJ1808" s="15"/>
      <c r="AK1808" s="16"/>
    </row>
    <row r="1809" spans="2:37" x14ac:dyDescent="0.2">
      <c r="B1809" s="7" t="s">
        <v>47</v>
      </c>
      <c r="C1809" s="8">
        <v>12472</v>
      </c>
      <c r="D1809" s="9" t="s">
        <v>580</v>
      </c>
      <c r="E1809" s="10" t="s">
        <v>581</v>
      </c>
      <c r="F1809" s="10" t="s">
        <v>582</v>
      </c>
      <c r="G1809" s="8">
        <v>7</v>
      </c>
      <c r="H1809" s="11">
        <v>350</v>
      </c>
      <c r="I1809" s="12">
        <v>42585</v>
      </c>
      <c r="J1809" s="13">
        <f t="shared" si="63"/>
        <v>0</v>
      </c>
      <c r="K1809" s="14"/>
      <c r="L1809" s="14"/>
      <c r="M1809" s="14"/>
      <c r="N1809" s="14"/>
      <c r="O1809" s="14"/>
      <c r="P1809" s="14"/>
      <c r="Q1809" s="14"/>
      <c r="R1809" s="14"/>
      <c r="S1809" s="14"/>
      <c r="T1809" s="14"/>
      <c r="U1809" s="14"/>
      <c r="V1809" s="14"/>
      <c r="W1809" s="15">
        <f t="shared" si="64"/>
        <v>0</v>
      </c>
      <c r="X1809" s="14"/>
      <c r="Y1809" s="14"/>
      <c r="Z1809" s="14"/>
      <c r="AA1809" s="14"/>
      <c r="AB1809" s="14"/>
      <c r="AC1809" s="14"/>
      <c r="AD1809" s="14"/>
      <c r="AE1809" s="14"/>
      <c r="AF1809" s="14"/>
      <c r="AG1809" s="14"/>
      <c r="AH1809" s="14"/>
      <c r="AI1809" s="14"/>
      <c r="AJ1809" s="15"/>
      <c r="AK1809" s="16" t="s">
        <v>1117</v>
      </c>
    </row>
    <row r="1810" spans="2:37" x14ac:dyDescent="0.2">
      <c r="B1810" s="7" t="s">
        <v>1118</v>
      </c>
      <c r="C1810" s="8">
        <v>12473</v>
      </c>
      <c r="D1810" s="9" t="s">
        <v>1119</v>
      </c>
      <c r="E1810" s="10" t="s">
        <v>1120</v>
      </c>
      <c r="F1810" s="10" t="s">
        <v>1121</v>
      </c>
      <c r="G1810" s="8">
        <v>1</v>
      </c>
      <c r="H1810" s="11">
        <v>150</v>
      </c>
      <c r="I1810" s="12">
        <v>42585</v>
      </c>
      <c r="J1810" s="13">
        <f t="shared" si="63"/>
        <v>0</v>
      </c>
      <c r="K1810" s="14"/>
      <c r="L1810" s="14"/>
      <c r="M1810" s="14"/>
      <c r="N1810" s="14"/>
      <c r="O1810" s="14"/>
      <c r="P1810" s="14"/>
      <c r="Q1810" s="14"/>
      <c r="R1810" s="14">
        <v>150</v>
      </c>
      <c r="S1810" s="14"/>
      <c r="T1810" s="14"/>
      <c r="U1810" s="14"/>
      <c r="V1810" s="14"/>
      <c r="W1810" s="15">
        <f t="shared" si="64"/>
        <v>150</v>
      </c>
      <c r="X1810" s="14"/>
      <c r="Y1810" s="14"/>
      <c r="Z1810" s="14"/>
      <c r="AA1810" s="14"/>
      <c r="AB1810" s="14"/>
      <c r="AC1810" s="14"/>
      <c r="AD1810" s="14"/>
      <c r="AE1810" s="14"/>
      <c r="AF1810" s="14"/>
      <c r="AG1810" s="14"/>
      <c r="AH1810" s="14"/>
      <c r="AI1810" s="14"/>
      <c r="AJ1810" s="15"/>
      <c r="AK1810" s="16"/>
    </row>
    <row r="1811" spans="2:37" x14ac:dyDescent="0.2">
      <c r="B1811" s="7" t="s">
        <v>1118</v>
      </c>
      <c r="C1811" s="8">
        <v>12473</v>
      </c>
      <c r="D1811" s="9" t="s">
        <v>1119</v>
      </c>
      <c r="E1811" s="10" t="s">
        <v>1120</v>
      </c>
      <c r="F1811" s="10" t="s">
        <v>1121</v>
      </c>
      <c r="G1811" s="8">
        <v>5</v>
      </c>
      <c r="H1811" s="11">
        <v>150</v>
      </c>
      <c r="I1811" s="12">
        <v>42585</v>
      </c>
      <c r="J1811" s="13">
        <f t="shared" si="63"/>
        <v>0</v>
      </c>
      <c r="K1811" s="14"/>
      <c r="L1811" s="14"/>
      <c r="M1811" s="14"/>
      <c r="N1811" s="14"/>
      <c r="O1811" s="14"/>
      <c r="P1811" s="14"/>
      <c r="Q1811" s="14"/>
      <c r="R1811" s="14"/>
      <c r="S1811" s="14"/>
      <c r="T1811" s="14"/>
      <c r="U1811" s="14"/>
      <c r="V1811" s="14"/>
      <c r="W1811" s="15">
        <f t="shared" si="64"/>
        <v>0</v>
      </c>
      <c r="X1811" s="14"/>
      <c r="Y1811" s="14"/>
      <c r="Z1811" s="14"/>
      <c r="AA1811" s="14"/>
      <c r="AB1811" s="14"/>
      <c r="AC1811" s="14"/>
      <c r="AD1811" s="14"/>
      <c r="AE1811" s="14"/>
      <c r="AF1811" s="14"/>
      <c r="AG1811" s="14"/>
      <c r="AH1811" s="14"/>
      <c r="AI1811" s="14"/>
      <c r="AJ1811" s="15"/>
      <c r="AK1811" s="16"/>
    </row>
    <row r="1812" spans="2:37" x14ac:dyDescent="0.2">
      <c r="B1812" s="7" t="s">
        <v>37</v>
      </c>
      <c r="C1812" s="8">
        <v>12474</v>
      </c>
      <c r="D1812" s="9" t="s">
        <v>941</v>
      </c>
      <c r="E1812" s="10" t="s">
        <v>942</v>
      </c>
      <c r="F1812" s="10" t="s">
        <v>943</v>
      </c>
      <c r="G1812" s="8">
        <v>1</v>
      </c>
      <c r="H1812" s="11">
        <v>200</v>
      </c>
      <c r="I1812" s="12">
        <v>42585</v>
      </c>
      <c r="J1812" s="13">
        <f t="shared" si="63"/>
        <v>0</v>
      </c>
      <c r="K1812" s="14"/>
      <c r="L1812" s="14"/>
      <c r="M1812" s="14"/>
      <c r="N1812" s="14"/>
      <c r="O1812" s="14"/>
      <c r="P1812" s="14"/>
      <c r="Q1812" s="14"/>
      <c r="R1812" s="14">
        <v>200</v>
      </c>
      <c r="S1812" s="14"/>
      <c r="T1812" s="14"/>
      <c r="U1812" s="14"/>
      <c r="V1812" s="14"/>
      <c r="W1812" s="15">
        <f t="shared" si="64"/>
        <v>200</v>
      </c>
      <c r="X1812" s="14"/>
      <c r="Y1812" s="14"/>
      <c r="Z1812" s="14"/>
      <c r="AA1812" s="14"/>
      <c r="AB1812" s="14"/>
      <c r="AC1812" s="14"/>
      <c r="AD1812" s="14"/>
      <c r="AE1812" s="14"/>
      <c r="AF1812" s="14"/>
      <c r="AG1812" s="14"/>
      <c r="AH1812" s="14"/>
      <c r="AI1812" s="14"/>
      <c r="AJ1812" s="15"/>
      <c r="AK1812" s="16"/>
    </row>
    <row r="1813" spans="2:37" x14ac:dyDescent="0.2">
      <c r="B1813" s="7" t="s">
        <v>37</v>
      </c>
      <c r="C1813" s="8">
        <v>12475</v>
      </c>
      <c r="D1813" s="9" t="s">
        <v>226</v>
      </c>
      <c r="E1813" s="10" t="s">
        <v>227</v>
      </c>
      <c r="F1813" s="10" t="s">
        <v>228</v>
      </c>
      <c r="G1813" s="8">
        <v>1</v>
      </c>
      <c r="H1813" s="11">
        <v>400</v>
      </c>
      <c r="I1813" s="12">
        <v>42586</v>
      </c>
      <c r="J1813" s="13">
        <f t="shared" si="63"/>
        <v>0</v>
      </c>
      <c r="K1813" s="14"/>
      <c r="L1813" s="14"/>
      <c r="M1813" s="14"/>
      <c r="N1813" s="14"/>
      <c r="O1813" s="14"/>
      <c r="P1813" s="14"/>
      <c r="Q1813" s="14">
        <v>200</v>
      </c>
      <c r="R1813" s="14">
        <v>200</v>
      </c>
      <c r="S1813" s="14"/>
      <c r="T1813" s="14"/>
      <c r="U1813" s="14"/>
      <c r="V1813" s="14"/>
      <c r="W1813" s="15">
        <f t="shared" si="64"/>
        <v>400</v>
      </c>
      <c r="X1813" s="14"/>
      <c r="Y1813" s="14"/>
      <c r="Z1813" s="14"/>
      <c r="AA1813" s="14"/>
      <c r="AB1813" s="14"/>
      <c r="AC1813" s="14"/>
      <c r="AD1813" s="14"/>
      <c r="AE1813" s="14"/>
      <c r="AF1813" s="14"/>
      <c r="AG1813" s="14"/>
      <c r="AH1813" s="14"/>
      <c r="AI1813" s="14"/>
      <c r="AJ1813" s="15"/>
      <c r="AK1813" s="16"/>
    </row>
    <row r="1814" spans="2:37" x14ac:dyDescent="0.2">
      <c r="B1814" s="7" t="s">
        <v>93</v>
      </c>
      <c r="C1814" s="8">
        <v>12476</v>
      </c>
      <c r="D1814" s="9"/>
      <c r="E1814" s="10" t="s">
        <v>93</v>
      </c>
      <c r="F1814" s="10" t="s">
        <v>93</v>
      </c>
      <c r="G1814" s="8">
        <v>8</v>
      </c>
      <c r="H1814" s="11"/>
      <c r="I1814" s="12"/>
      <c r="J1814" s="13">
        <f t="shared" si="63"/>
        <v>0</v>
      </c>
      <c r="K1814" s="14"/>
      <c r="L1814" s="14"/>
      <c r="M1814" s="14"/>
      <c r="N1814" s="14"/>
      <c r="O1814" s="14"/>
      <c r="P1814" s="14"/>
      <c r="Q1814" s="14"/>
      <c r="R1814" s="14"/>
      <c r="S1814" s="14"/>
      <c r="T1814" s="14"/>
      <c r="U1814" s="14"/>
      <c r="V1814" s="14"/>
      <c r="W1814" s="15">
        <f t="shared" si="64"/>
        <v>0</v>
      </c>
      <c r="X1814" s="14"/>
      <c r="Y1814" s="14"/>
      <c r="Z1814" s="14"/>
      <c r="AA1814" s="14"/>
      <c r="AB1814" s="14"/>
      <c r="AC1814" s="14"/>
      <c r="AD1814" s="14"/>
      <c r="AE1814" s="14"/>
      <c r="AF1814" s="14"/>
      <c r="AG1814" s="14"/>
      <c r="AH1814" s="14"/>
      <c r="AI1814" s="14"/>
      <c r="AJ1814" s="15"/>
      <c r="AK1814" s="16"/>
    </row>
    <row r="1815" spans="2:37" x14ac:dyDescent="0.2">
      <c r="B1815" s="7" t="s">
        <v>37</v>
      </c>
      <c r="C1815" s="8">
        <v>12477</v>
      </c>
      <c r="D1815" s="9" t="s">
        <v>494</v>
      </c>
      <c r="E1815" s="10" t="s">
        <v>495</v>
      </c>
      <c r="F1815" s="10" t="s">
        <v>496</v>
      </c>
      <c r="G1815" s="8">
        <v>1</v>
      </c>
      <c r="H1815" s="11">
        <v>300</v>
      </c>
      <c r="I1815" s="12">
        <v>42586</v>
      </c>
      <c r="J1815" s="13">
        <f t="shared" si="63"/>
        <v>0</v>
      </c>
      <c r="K1815" s="14"/>
      <c r="L1815" s="14"/>
      <c r="M1815" s="14"/>
      <c r="N1815" s="14"/>
      <c r="O1815" s="14"/>
      <c r="P1815" s="14"/>
      <c r="Q1815" s="14">
        <v>150</v>
      </c>
      <c r="R1815" s="14">
        <v>150</v>
      </c>
      <c r="S1815" s="14"/>
      <c r="T1815" s="14"/>
      <c r="U1815" s="14"/>
      <c r="V1815" s="14"/>
      <c r="W1815" s="15">
        <f t="shared" si="64"/>
        <v>300</v>
      </c>
      <c r="X1815" s="14"/>
      <c r="Y1815" s="14"/>
      <c r="Z1815" s="14"/>
      <c r="AA1815" s="14"/>
      <c r="AB1815" s="14"/>
      <c r="AC1815" s="14"/>
      <c r="AD1815" s="14"/>
      <c r="AE1815" s="14"/>
      <c r="AF1815" s="14"/>
      <c r="AG1815" s="14"/>
      <c r="AH1815" s="14"/>
      <c r="AI1815" s="14"/>
      <c r="AJ1815" s="15"/>
      <c r="AK1815" s="16"/>
    </row>
    <row r="1816" spans="2:37" x14ac:dyDescent="0.2">
      <c r="B1816" s="7" t="s">
        <v>69</v>
      </c>
      <c r="C1816" s="8">
        <v>12478</v>
      </c>
      <c r="D1816" s="9" t="s">
        <v>211</v>
      </c>
      <c r="E1816" s="10" t="s">
        <v>212</v>
      </c>
      <c r="F1816" s="10" t="s">
        <v>213</v>
      </c>
      <c r="G1816" s="8">
        <v>1</v>
      </c>
      <c r="H1816" s="11"/>
      <c r="I1816" s="12">
        <v>42587</v>
      </c>
      <c r="J1816" s="13">
        <f t="shared" si="63"/>
        <v>0</v>
      </c>
      <c r="K1816" s="14"/>
      <c r="L1816" s="14"/>
      <c r="M1816" s="14"/>
      <c r="N1816" s="14"/>
      <c r="O1816" s="14"/>
      <c r="P1816" s="14"/>
      <c r="Q1816" s="14"/>
      <c r="R1816" s="14"/>
      <c r="S1816" s="14"/>
      <c r="T1816" s="14"/>
      <c r="U1816" s="14"/>
      <c r="V1816" s="14"/>
      <c r="W1816" s="15">
        <f t="shared" si="64"/>
        <v>0</v>
      </c>
      <c r="X1816" s="14"/>
      <c r="Y1816" s="14"/>
      <c r="Z1816" s="14"/>
      <c r="AA1816" s="14"/>
      <c r="AB1816" s="14"/>
      <c r="AC1816" s="14"/>
      <c r="AD1816" s="14"/>
      <c r="AE1816" s="14"/>
      <c r="AF1816" s="14"/>
      <c r="AG1816" s="14"/>
      <c r="AH1816" s="14"/>
      <c r="AI1816" s="14"/>
      <c r="AJ1816" s="15"/>
      <c r="AK1816" s="16" t="s">
        <v>1116</v>
      </c>
    </row>
    <row r="1817" spans="2:37" x14ac:dyDescent="0.2">
      <c r="B1817" s="7" t="s">
        <v>77</v>
      </c>
      <c r="C1817" s="8">
        <v>12479</v>
      </c>
      <c r="D1817" s="9" t="s">
        <v>666</v>
      </c>
      <c r="E1817" s="10" t="s">
        <v>667</v>
      </c>
      <c r="F1817" s="10" t="s">
        <v>668</v>
      </c>
      <c r="G1817" s="8">
        <v>1</v>
      </c>
      <c r="H1817" s="11">
        <v>400</v>
      </c>
      <c r="I1817" s="12">
        <v>42587</v>
      </c>
      <c r="J1817" s="13">
        <f t="shared" si="63"/>
        <v>0</v>
      </c>
      <c r="K1817" s="14"/>
      <c r="L1817" s="14"/>
      <c r="M1817" s="14"/>
      <c r="N1817" s="14"/>
      <c r="O1817" s="14"/>
      <c r="P1817" s="14"/>
      <c r="Q1817" s="14">
        <v>200</v>
      </c>
      <c r="R1817" s="14">
        <v>200</v>
      </c>
      <c r="S1817" s="14"/>
      <c r="T1817" s="14"/>
      <c r="U1817" s="14"/>
      <c r="V1817" s="14"/>
      <c r="W1817" s="15">
        <f t="shared" si="64"/>
        <v>400</v>
      </c>
      <c r="X1817" s="14"/>
      <c r="Y1817" s="14"/>
      <c r="Z1817" s="14"/>
      <c r="AA1817" s="14"/>
      <c r="AB1817" s="14"/>
      <c r="AC1817" s="14"/>
      <c r="AD1817" s="14"/>
      <c r="AE1817" s="14"/>
      <c r="AF1817" s="14"/>
      <c r="AG1817" s="14"/>
      <c r="AH1817" s="14"/>
      <c r="AI1817" s="14"/>
      <c r="AJ1817" s="15"/>
      <c r="AK1817" s="16"/>
    </row>
    <row r="1818" spans="2:37" x14ac:dyDescent="0.2">
      <c r="B1818" s="7" t="s">
        <v>69</v>
      </c>
      <c r="C1818" s="8">
        <v>12480</v>
      </c>
      <c r="D1818" s="9" t="s">
        <v>186</v>
      </c>
      <c r="E1818" s="10" t="s">
        <v>187</v>
      </c>
      <c r="F1818" s="10" t="s">
        <v>188</v>
      </c>
      <c r="G1818" s="8">
        <v>1</v>
      </c>
      <c r="H1818" s="11">
        <v>400</v>
      </c>
      <c r="I1818" s="12">
        <v>42587</v>
      </c>
      <c r="J1818" s="13">
        <f t="shared" si="63"/>
        <v>0</v>
      </c>
      <c r="K1818" s="14"/>
      <c r="L1818" s="14"/>
      <c r="M1818" s="14"/>
      <c r="N1818" s="14"/>
      <c r="O1818" s="14"/>
      <c r="P1818" s="14"/>
      <c r="Q1818" s="14"/>
      <c r="R1818" s="14">
        <v>400</v>
      </c>
      <c r="S1818" s="14"/>
      <c r="T1818" s="14"/>
      <c r="U1818" s="14"/>
      <c r="V1818" s="14"/>
      <c r="W1818" s="15">
        <f t="shared" si="64"/>
        <v>400</v>
      </c>
      <c r="X1818" s="14"/>
      <c r="Y1818" s="14"/>
      <c r="Z1818" s="14"/>
      <c r="AA1818" s="14"/>
      <c r="AB1818" s="14"/>
      <c r="AC1818" s="14"/>
      <c r="AD1818" s="14"/>
      <c r="AE1818" s="14"/>
      <c r="AF1818" s="14"/>
      <c r="AG1818" s="14"/>
      <c r="AH1818" s="14"/>
      <c r="AI1818" s="14"/>
      <c r="AJ1818" s="15"/>
      <c r="AK1818" s="16"/>
    </row>
    <row r="1819" spans="2:37" x14ac:dyDescent="0.2">
      <c r="B1819" s="7" t="s">
        <v>69</v>
      </c>
      <c r="C1819" s="8">
        <v>12481</v>
      </c>
      <c r="D1819" s="9" t="s">
        <v>1122</v>
      </c>
      <c r="E1819" s="10" t="s">
        <v>1123</v>
      </c>
      <c r="F1819" s="10" t="s">
        <v>1124</v>
      </c>
      <c r="G1819" s="8">
        <v>1</v>
      </c>
      <c r="H1819" s="11">
        <v>100</v>
      </c>
      <c r="I1819" s="12">
        <v>42587</v>
      </c>
      <c r="J1819" s="13">
        <f t="shared" si="63"/>
        <v>0</v>
      </c>
      <c r="K1819" s="14"/>
      <c r="L1819" s="14"/>
      <c r="M1819" s="14"/>
      <c r="N1819" s="14"/>
      <c r="O1819" s="14"/>
      <c r="P1819" s="14"/>
      <c r="Q1819" s="14"/>
      <c r="R1819" s="14">
        <v>100</v>
      </c>
      <c r="S1819" s="14"/>
      <c r="T1819" s="14"/>
      <c r="U1819" s="14"/>
      <c r="V1819" s="14"/>
      <c r="W1819" s="15">
        <f t="shared" si="64"/>
        <v>100</v>
      </c>
      <c r="X1819" s="14"/>
      <c r="Y1819" s="14"/>
      <c r="Z1819" s="14"/>
      <c r="AA1819" s="14"/>
      <c r="AB1819" s="14"/>
      <c r="AC1819" s="14"/>
      <c r="AD1819" s="14"/>
      <c r="AE1819" s="14"/>
      <c r="AF1819" s="14"/>
      <c r="AG1819" s="14"/>
      <c r="AH1819" s="14"/>
      <c r="AI1819" s="14"/>
      <c r="AJ1819" s="15"/>
      <c r="AK1819" s="16"/>
    </row>
    <row r="1820" spans="2:37" x14ac:dyDescent="0.2">
      <c r="B1820" s="7" t="s">
        <v>69</v>
      </c>
      <c r="C1820" s="8">
        <v>12481</v>
      </c>
      <c r="D1820" s="9" t="s">
        <v>1122</v>
      </c>
      <c r="E1820" s="10" t="s">
        <v>1123</v>
      </c>
      <c r="F1820" s="10" t="s">
        <v>1124</v>
      </c>
      <c r="G1820" s="8">
        <v>4</v>
      </c>
      <c r="H1820" s="11">
        <v>200</v>
      </c>
      <c r="I1820" s="12">
        <v>42587</v>
      </c>
      <c r="J1820" s="13">
        <f t="shared" si="63"/>
        <v>0</v>
      </c>
      <c r="K1820" s="14"/>
      <c r="L1820" s="14"/>
      <c r="M1820" s="14"/>
      <c r="N1820" s="14"/>
      <c r="O1820" s="14"/>
      <c r="P1820" s="14"/>
      <c r="Q1820" s="14"/>
      <c r="R1820" s="14"/>
      <c r="S1820" s="14"/>
      <c r="T1820" s="14"/>
      <c r="U1820" s="14"/>
      <c r="V1820" s="14"/>
      <c r="W1820" s="15">
        <f t="shared" si="64"/>
        <v>0</v>
      </c>
      <c r="X1820" s="14"/>
      <c r="Y1820" s="14"/>
      <c r="Z1820" s="14"/>
      <c r="AA1820" s="14"/>
      <c r="AB1820" s="14"/>
      <c r="AC1820" s="14"/>
      <c r="AD1820" s="14"/>
      <c r="AE1820" s="14"/>
      <c r="AF1820" s="14"/>
      <c r="AG1820" s="14"/>
      <c r="AH1820" s="14"/>
      <c r="AI1820" s="14"/>
      <c r="AJ1820" s="15"/>
      <c r="AK1820" s="16" t="s">
        <v>1125</v>
      </c>
    </row>
    <row r="1821" spans="2:37" x14ac:dyDescent="0.2">
      <c r="B1821" s="7" t="s">
        <v>391</v>
      </c>
      <c r="C1821" s="8">
        <v>12482</v>
      </c>
      <c r="D1821" s="9" t="s">
        <v>640</v>
      </c>
      <c r="E1821" s="10" t="s">
        <v>641</v>
      </c>
      <c r="F1821" s="10" t="s">
        <v>642</v>
      </c>
      <c r="G1821" s="8">
        <v>1</v>
      </c>
      <c r="H1821" s="11">
        <v>400</v>
      </c>
      <c r="I1821" s="12">
        <v>42587</v>
      </c>
      <c r="J1821" s="13">
        <f t="shared" si="63"/>
        <v>0</v>
      </c>
      <c r="K1821" s="14"/>
      <c r="L1821" s="14"/>
      <c r="M1821" s="14"/>
      <c r="N1821" s="14"/>
      <c r="O1821" s="14"/>
      <c r="P1821" s="14"/>
      <c r="Q1821" s="14">
        <v>200</v>
      </c>
      <c r="R1821" s="14">
        <v>200</v>
      </c>
      <c r="S1821" s="14"/>
      <c r="T1821" s="14"/>
      <c r="U1821" s="14"/>
      <c r="V1821" s="14"/>
      <c r="W1821" s="15">
        <f t="shared" si="64"/>
        <v>400</v>
      </c>
      <c r="X1821" s="14"/>
      <c r="Y1821" s="14"/>
      <c r="Z1821" s="14"/>
      <c r="AA1821" s="14"/>
      <c r="AB1821" s="14"/>
      <c r="AC1821" s="14"/>
      <c r="AD1821" s="14"/>
      <c r="AE1821" s="14"/>
      <c r="AF1821" s="14"/>
      <c r="AG1821" s="14"/>
      <c r="AH1821" s="14"/>
      <c r="AI1821" s="14"/>
      <c r="AJ1821" s="15"/>
      <c r="AK1821" s="16"/>
    </row>
    <row r="1822" spans="2:37" x14ac:dyDescent="0.2">
      <c r="B1822" s="7" t="s">
        <v>69</v>
      </c>
      <c r="C1822" s="8">
        <v>12483</v>
      </c>
      <c r="D1822" s="9" t="s">
        <v>1122</v>
      </c>
      <c r="E1822" s="10" t="s">
        <v>1123</v>
      </c>
      <c r="F1822" s="10" t="s">
        <v>1124</v>
      </c>
      <c r="G1822" s="8">
        <v>5</v>
      </c>
      <c r="H1822" s="11">
        <v>50</v>
      </c>
      <c r="I1822" s="12">
        <v>42587</v>
      </c>
      <c r="J1822" s="13">
        <f t="shared" si="63"/>
        <v>0</v>
      </c>
      <c r="K1822" s="14"/>
      <c r="L1822" s="14"/>
      <c r="M1822" s="14"/>
      <c r="N1822" s="14"/>
      <c r="O1822" s="14"/>
      <c r="P1822" s="14"/>
      <c r="Q1822" s="14"/>
      <c r="R1822" s="14"/>
      <c r="S1822" s="14"/>
      <c r="T1822" s="14"/>
      <c r="U1822" s="14"/>
      <c r="V1822" s="14"/>
      <c r="W1822" s="15">
        <f t="shared" si="64"/>
        <v>0</v>
      </c>
      <c r="X1822" s="14"/>
      <c r="Y1822" s="14"/>
      <c r="Z1822" s="14"/>
      <c r="AA1822" s="14"/>
      <c r="AB1822" s="14"/>
      <c r="AC1822" s="14"/>
      <c r="AD1822" s="14"/>
      <c r="AE1822" s="14"/>
      <c r="AF1822" s="14"/>
      <c r="AG1822" s="14"/>
      <c r="AH1822" s="14"/>
      <c r="AI1822" s="14"/>
      <c r="AJ1822" s="15"/>
      <c r="AK1822" s="16"/>
    </row>
    <row r="1823" spans="2:37" x14ac:dyDescent="0.2">
      <c r="B1823" s="7" t="s">
        <v>69</v>
      </c>
      <c r="C1823" s="8">
        <v>12484</v>
      </c>
      <c r="D1823" s="9" t="s">
        <v>325</v>
      </c>
      <c r="E1823" s="10" t="s">
        <v>326</v>
      </c>
      <c r="F1823" s="10" t="s">
        <v>327</v>
      </c>
      <c r="G1823" s="8">
        <v>1</v>
      </c>
      <c r="H1823" s="11">
        <v>400</v>
      </c>
      <c r="I1823" s="12">
        <v>42587</v>
      </c>
      <c r="J1823" s="13">
        <f t="shared" si="63"/>
        <v>0</v>
      </c>
      <c r="K1823" s="14"/>
      <c r="L1823" s="14"/>
      <c r="M1823" s="14"/>
      <c r="N1823" s="14"/>
      <c r="O1823" s="14"/>
      <c r="P1823" s="14"/>
      <c r="Q1823" s="14"/>
      <c r="R1823" s="14">
        <v>400</v>
      </c>
      <c r="S1823" s="14"/>
      <c r="T1823" s="14"/>
      <c r="U1823" s="14"/>
      <c r="V1823" s="14"/>
      <c r="W1823" s="15">
        <f t="shared" si="64"/>
        <v>400</v>
      </c>
      <c r="X1823" s="14"/>
      <c r="Y1823" s="14"/>
      <c r="Z1823" s="14"/>
      <c r="AA1823" s="14"/>
      <c r="AB1823" s="14"/>
      <c r="AC1823" s="14"/>
      <c r="AD1823" s="14"/>
      <c r="AE1823" s="14"/>
      <c r="AF1823" s="14"/>
      <c r="AG1823" s="14"/>
      <c r="AH1823" s="14"/>
      <c r="AI1823" s="14"/>
      <c r="AJ1823" s="15"/>
      <c r="AK1823" s="16"/>
    </row>
    <row r="1824" spans="2:37" x14ac:dyDescent="0.2">
      <c r="B1824" s="7" t="s">
        <v>69</v>
      </c>
      <c r="C1824" s="8">
        <v>12485</v>
      </c>
      <c r="D1824" s="9" t="s">
        <v>361</v>
      </c>
      <c r="E1824" s="10" t="s">
        <v>362</v>
      </c>
      <c r="F1824" s="10" t="s">
        <v>363</v>
      </c>
      <c r="G1824" s="8">
        <v>1</v>
      </c>
      <c r="H1824" s="11">
        <v>400</v>
      </c>
      <c r="I1824" s="12">
        <v>42587</v>
      </c>
      <c r="J1824" s="13">
        <f t="shared" si="63"/>
        <v>0</v>
      </c>
      <c r="K1824" s="14"/>
      <c r="L1824" s="14"/>
      <c r="M1824" s="14"/>
      <c r="N1824" s="14"/>
      <c r="O1824" s="14"/>
      <c r="P1824" s="14"/>
      <c r="Q1824" s="14"/>
      <c r="R1824" s="14">
        <v>400</v>
      </c>
      <c r="S1824" s="14"/>
      <c r="T1824" s="14"/>
      <c r="U1824" s="14"/>
      <c r="V1824" s="14"/>
      <c r="W1824" s="15">
        <f t="shared" si="64"/>
        <v>400</v>
      </c>
      <c r="X1824" s="14"/>
      <c r="Y1824" s="14"/>
      <c r="Z1824" s="14"/>
      <c r="AA1824" s="14"/>
      <c r="AB1824" s="14"/>
      <c r="AC1824" s="14"/>
      <c r="AD1824" s="14"/>
      <c r="AE1824" s="14"/>
      <c r="AF1824" s="14"/>
      <c r="AG1824" s="14"/>
      <c r="AH1824" s="14"/>
      <c r="AI1824" s="14"/>
      <c r="AJ1824" s="15"/>
      <c r="AK1824" s="16"/>
    </row>
    <row r="1825" spans="2:37" x14ac:dyDescent="0.2">
      <c r="B1825" s="7" t="s">
        <v>73</v>
      </c>
      <c r="C1825" s="8">
        <v>12536</v>
      </c>
      <c r="D1825" s="9" t="s">
        <v>980</v>
      </c>
      <c r="E1825" s="10" t="s">
        <v>981</v>
      </c>
      <c r="F1825" s="10" t="s">
        <v>982</v>
      </c>
      <c r="G1825" s="8">
        <v>1</v>
      </c>
      <c r="H1825" s="11">
        <v>400</v>
      </c>
      <c r="I1825" s="12">
        <v>42589</v>
      </c>
      <c r="J1825" s="13">
        <f t="shared" si="63"/>
        <v>0</v>
      </c>
      <c r="K1825" s="14"/>
      <c r="L1825" s="14"/>
      <c r="M1825" s="14"/>
      <c r="N1825" s="14"/>
      <c r="O1825" s="14"/>
      <c r="P1825" s="14"/>
      <c r="Q1825" s="14">
        <v>400</v>
      </c>
      <c r="R1825" s="14"/>
      <c r="S1825" s="14"/>
      <c r="T1825" s="14"/>
      <c r="U1825" s="14"/>
      <c r="V1825" s="14"/>
      <c r="W1825" s="15">
        <f t="shared" si="64"/>
        <v>400</v>
      </c>
      <c r="X1825" s="14"/>
      <c r="Y1825" s="14"/>
      <c r="Z1825" s="14"/>
      <c r="AA1825" s="14"/>
      <c r="AB1825" s="14"/>
      <c r="AC1825" s="14"/>
      <c r="AD1825" s="14"/>
      <c r="AE1825" s="14"/>
      <c r="AF1825" s="14"/>
      <c r="AG1825" s="14"/>
      <c r="AH1825" s="14"/>
      <c r="AI1825" s="14"/>
      <c r="AJ1825" s="15"/>
      <c r="AK1825" s="16"/>
    </row>
    <row r="1826" spans="2:37" x14ac:dyDescent="0.2">
      <c r="B1826" s="7" t="s">
        <v>73</v>
      </c>
      <c r="C1826" s="8">
        <v>12536</v>
      </c>
      <c r="D1826" s="9" t="s">
        <v>980</v>
      </c>
      <c r="E1826" s="10" t="s">
        <v>981</v>
      </c>
      <c r="F1826" s="10" t="s">
        <v>982</v>
      </c>
      <c r="G1826" s="8">
        <v>4</v>
      </c>
      <c r="H1826" s="11">
        <v>200</v>
      </c>
      <c r="I1826" s="12">
        <v>42589</v>
      </c>
      <c r="J1826" s="13">
        <f t="shared" si="63"/>
        <v>0</v>
      </c>
      <c r="K1826" s="14"/>
      <c r="L1826" s="14"/>
      <c r="M1826" s="14"/>
      <c r="N1826" s="14"/>
      <c r="O1826" s="14"/>
      <c r="P1826" s="14"/>
      <c r="Q1826" s="14"/>
      <c r="R1826" s="14"/>
      <c r="S1826" s="14"/>
      <c r="T1826" s="14"/>
      <c r="U1826" s="14"/>
      <c r="V1826" s="14"/>
      <c r="W1826" s="15">
        <f t="shared" si="64"/>
        <v>0</v>
      </c>
      <c r="X1826" s="14"/>
      <c r="Y1826" s="14"/>
      <c r="Z1826" s="14"/>
      <c r="AA1826" s="14"/>
      <c r="AB1826" s="14"/>
      <c r="AC1826" s="14"/>
      <c r="AD1826" s="14"/>
      <c r="AE1826" s="14"/>
      <c r="AF1826" s="14"/>
      <c r="AG1826" s="14"/>
      <c r="AH1826" s="14"/>
      <c r="AI1826" s="14"/>
      <c r="AJ1826" s="15"/>
      <c r="AK1826" s="16" t="s">
        <v>1126</v>
      </c>
    </row>
    <row r="1827" spans="2:37" x14ac:dyDescent="0.2">
      <c r="B1827" s="7" t="s">
        <v>73</v>
      </c>
      <c r="C1827" s="8">
        <v>12537</v>
      </c>
      <c r="D1827" s="9" t="s">
        <v>1026</v>
      </c>
      <c r="E1827" s="10" t="s">
        <v>1027</v>
      </c>
      <c r="F1827" s="10" t="s">
        <v>1028</v>
      </c>
      <c r="G1827" s="8">
        <v>1</v>
      </c>
      <c r="H1827" s="11">
        <v>400</v>
      </c>
      <c r="I1827" s="12">
        <v>42589</v>
      </c>
      <c r="J1827" s="13">
        <f t="shared" si="63"/>
        <v>0</v>
      </c>
      <c r="K1827" s="14"/>
      <c r="L1827" s="14"/>
      <c r="M1827" s="14"/>
      <c r="N1827" s="14"/>
      <c r="O1827" s="14"/>
      <c r="P1827" s="14"/>
      <c r="Q1827" s="14">
        <v>200</v>
      </c>
      <c r="R1827" s="14">
        <v>200</v>
      </c>
      <c r="S1827" s="14"/>
      <c r="T1827" s="14"/>
      <c r="U1827" s="14"/>
      <c r="V1827" s="14"/>
      <c r="W1827" s="15">
        <f t="shared" si="64"/>
        <v>400</v>
      </c>
      <c r="X1827" s="14"/>
      <c r="Y1827" s="14"/>
      <c r="Z1827" s="14"/>
      <c r="AA1827" s="14"/>
      <c r="AB1827" s="14"/>
      <c r="AC1827" s="14"/>
      <c r="AD1827" s="14"/>
      <c r="AE1827" s="14"/>
      <c r="AF1827" s="14"/>
      <c r="AG1827" s="14"/>
      <c r="AH1827" s="14"/>
      <c r="AI1827" s="14"/>
      <c r="AJ1827" s="15"/>
      <c r="AK1827" s="16"/>
    </row>
    <row r="1828" spans="2:37" x14ac:dyDescent="0.2">
      <c r="B1828" s="7" t="s">
        <v>73</v>
      </c>
      <c r="C1828" s="8">
        <v>12538</v>
      </c>
      <c r="D1828" s="9" t="s">
        <v>980</v>
      </c>
      <c r="E1828" s="10" t="s">
        <v>981</v>
      </c>
      <c r="F1828" s="10" t="s">
        <v>982</v>
      </c>
      <c r="G1828" s="8">
        <v>5</v>
      </c>
      <c r="H1828" s="11">
        <v>50</v>
      </c>
      <c r="I1828" s="12">
        <v>42589</v>
      </c>
      <c r="J1828" s="13">
        <f t="shared" si="63"/>
        <v>0</v>
      </c>
      <c r="K1828" s="14"/>
      <c r="L1828" s="14"/>
      <c r="M1828" s="14"/>
      <c r="N1828" s="14"/>
      <c r="O1828" s="14"/>
      <c r="P1828" s="14"/>
      <c r="Q1828" s="14"/>
      <c r="R1828" s="14"/>
      <c r="S1828" s="14"/>
      <c r="T1828" s="14"/>
      <c r="U1828" s="14"/>
      <c r="V1828" s="14"/>
      <c r="W1828" s="15">
        <f t="shared" si="64"/>
        <v>0</v>
      </c>
      <c r="X1828" s="14"/>
      <c r="Y1828" s="14"/>
      <c r="Z1828" s="14"/>
      <c r="AA1828" s="14"/>
      <c r="AB1828" s="14"/>
      <c r="AC1828" s="14"/>
      <c r="AD1828" s="14"/>
      <c r="AE1828" s="14"/>
      <c r="AF1828" s="14"/>
      <c r="AG1828" s="14"/>
      <c r="AH1828" s="14"/>
      <c r="AI1828" s="14"/>
      <c r="AJ1828" s="15"/>
      <c r="AK1828" s="16"/>
    </row>
    <row r="1829" spans="2:37" x14ac:dyDescent="0.2">
      <c r="B1829" s="7" t="s">
        <v>69</v>
      </c>
      <c r="C1829" s="8">
        <v>12539</v>
      </c>
      <c r="D1829" s="9" t="s">
        <v>265</v>
      </c>
      <c r="E1829" s="10" t="s">
        <v>266</v>
      </c>
      <c r="F1829" s="10" t="s">
        <v>267</v>
      </c>
      <c r="G1829" s="8">
        <v>1</v>
      </c>
      <c r="H1829" s="11">
        <v>400</v>
      </c>
      <c r="I1829" s="12">
        <v>42589</v>
      </c>
      <c r="J1829" s="13">
        <f t="shared" si="63"/>
        <v>0</v>
      </c>
      <c r="K1829" s="14"/>
      <c r="L1829" s="14"/>
      <c r="M1829" s="14"/>
      <c r="N1829" s="14"/>
      <c r="O1829" s="14"/>
      <c r="P1829" s="14"/>
      <c r="Q1829" s="14"/>
      <c r="R1829" s="14">
        <v>400</v>
      </c>
      <c r="S1829" s="14"/>
      <c r="T1829" s="14"/>
      <c r="U1829" s="14"/>
      <c r="V1829" s="14"/>
      <c r="W1829" s="15">
        <f t="shared" si="64"/>
        <v>400</v>
      </c>
      <c r="X1829" s="14"/>
      <c r="Y1829" s="14"/>
      <c r="Z1829" s="14"/>
      <c r="AA1829" s="14"/>
      <c r="AB1829" s="14"/>
      <c r="AC1829" s="14"/>
      <c r="AD1829" s="14"/>
      <c r="AE1829" s="14"/>
      <c r="AF1829" s="14"/>
      <c r="AG1829" s="14"/>
      <c r="AH1829" s="14"/>
      <c r="AI1829" s="14"/>
      <c r="AJ1829" s="15"/>
      <c r="AK1829" s="16"/>
    </row>
    <row r="1830" spans="2:37" x14ac:dyDescent="0.2">
      <c r="B1830" s="7" t="s">
        <v>69</v>
      </c>
      <c r="C1830" s="8">
        <v>12540</v>
      </c>
      <c r="D1830" s="9" t="s">
        <v>467</v>
      </c>
      <c r="E1830" s="10" t="s">
        <v>468</v>
      </c>
      <c r="F1830" s="10" t="s">
        <v>469</v>
      </c>
      <c r="G1830" s="8">
        <v>1</v>
      </c>
      <c r="H1830" s="11">
        <v>800</v>
      </c>
      <c r="I1830" s="12">
        <v>42589</v>
      </c>
      <c r="J1830" s="13">
        <f t="shared" si="63"/>
        <v>0</v>
      </c>
      <c r="K1830" s="14"/>
      <c r="L1830" s="14"/>
      <c r="M1830" s="14"/>
      <c r="N1830" s="14"/>
      <c r="O1830" s="14"/>
      <c r="P1830" s="14"/>
      <c r="Q1830" s="14">
        <v>400</v>
      </c>
      <c r="R1830" s="14">
        <v>400</v>
      </c>
      <c r="S1830" s="14"/>
      <c r="T1830" s="14"/>
      <c r="U1830" s="14"/>
      <c r="V1830" s="14"/>
      <c r="W1830" s="15">
        <f t="shared" si="64"/>
        <v>800</v>
      </c>
      <c r="X1830" s="14"/>
      <c r="Y1830" s="14"/>
      <c r="Z1830" s="14"/>
      <c r="AA1830" s="14"/>
      <c r="AB1830" s="14"/>
      <c r="AC1830" s="14"/>
      <c r="AD1830" s="14"/>
      <c r="AE1830" s="14"/>
      <c r="AF1830" s="14"/>
      <c r="AG1830" s="14"/>
      <c r="AH1830" s="14"/>
      <c r="AI1830" s="14"/>
      <c r="AJ1830" s="15"/>
      <c r="AK1830" s="16"/>
    </row>
    <row r="1831" spans="2:37" x14ac:dyDescent="0.2">
      <c r="B1831" s="7" t="s">
        <v>69</v>
      </c>
      <c r="C1831" s="8">
        <v>12541</v>
      </c>
      <c r="D1831" s="9" t="s">
        <v>467</v>
      </c>
      <c r="E1831" s="10" t="s">
        <v>468</v>
      </c>
      <c r="F1831" s="10" t="s">
        <v>469</v>
      </c>
      <c r="G1831" s="8">
        <v>5</v>
      </c>
      <c r="H1831" s="11">
        <v>200</v>
      </c>
      <c r="I1831" s="12">
        <v>42589</v>
      </c>
      <c r="J1831" s="13">
        <f t="shared" si="63"/>
        <v>0</v>
      </c>
      <c r="K1831" s="14"/>
      <c r="L1831" s="14"/>
      <c r="M1831" s="14"/>
      <c r="N1831" s="14"/>
      <c r="O1831" s="14"/>
      <c r="P1831" s="14"/>
      <c r="Q1831" s="14"/>
      <c r="R1831" s="14"/>
      <c r="S1831" s="14"/>
      <c r="T1831" s="14"/>
      <c r="U1831" s="14"/>
      <c r="V1831" s="14"/>
      <c r="W1831" s="15">
        <f t="shared" si="64"/>
        <v>0</v>
      </c>
      <c r="X1831" s="14"/>
      <c r="Y1831" s="14"/>
      <c r="Z1831" s="14"/>
      <c r="AA1831" s="14"/>
      <c r="AB1831" s="14"/>
      <c r="AC1831" s="14"/>
      <c r="AD1831" s="14"/>
      <c r="AE1831" s="14"/>
      <c r="AF1831" s="14"/>
      <c r="AG1831" s="14"/>
      <c r="AH1831" s="14"/>
      <c r="AI1831" s="14"/>
      <c r="AJ1831" s="15"/>
      <c r="AK1831" s="16"/>
    </row>
    <row r="1832" spans="2:37" x14ac:dyDescent="0.2">
      <c r="B1832" s="7" t="s">
        <v>47</v>
      </c>
      <c r="C1832" s="8">
        <v>12542</v>
      </c>
      <c r="D1832" s="9" t="s">
        <v>280</v>
      </c>
      <c r="E1832" s="10" t="s">
        <v>281</v>
      </c>
      <c r="F1832" s="10" t="s">
        <v>282</v>
      </c>
      <c r="G1832" s="8">
        <v>5</v>
      </c>
      <c r="H1832" s="11">
        <v>400</v>
      </c>
      <c r="I1832" s="12">
        <v>42589</v>
      </c>
      <c r="J1832" s="13">
        <f t="shared" si="63"/>
        <v>0</v>
      </c>
      <c r="K1832" s="14"/>
      <c r="L1832" s="14"/>
      <c r="M1832" s="14"/>
      <c r="N1832" s="14"/>
      <c r="O1832" s="14"/>
      <c r="P1832" s="14"/>
      <c r="Q1832" s="14"/>
      <c r="R1832" s="14"/>
      <c r="S1832" s="14"/>
      <c r="T1832" s="14"/>
      <c r="U1832" s="14"/>
      <c r="V1832" s="14"/>
      <c r="W1832" s="15">
        <f t="shared" si="64"/>
        <v>0</v>
      </c>
      <c r="X1832" s="14"/>
      <c r="Y1832" s="14"/>
      <c r="Z1832" s="14"/>
      <c r="AA1832" s="14"/>
      <c r="AB1832" s="14"/>
      <c r="AC1832" s="14"/>
      <c r="AD1832" s="14"/>
      <c r="AE1832" s="14"/>
      <c r="AF1832" s="14"/>
      <c r="AG1832" s="14"/>
      <c r="AH1832" s="14"/>
      <c r="AI1832" s="14"/>
      <c r="AJ1832" s="15"/>
      <c r="AK1832" s="16"/>
    </row>
    <row r="1833" spans="2:37" x14ac:dyDescent="0.2">
      <c r="B1833" s="7" t="s">
        <v>47</v>
      </c>
      <c r="C1833" s="8">
        <v>12543</v>
      </c>
      <c r="D1833" s="9" t="s">
        <v>823</v>
      </c>
      <c r="E1833" s="10" t="s">
        <v>824</v>
      </c>
      <c r="F1833" s="10" t="s">
        <v>765</v>
      </c>
      <c r="G1833" s="8">
        <v>1</v>
      </c>
      <c r="H1833" s="11">
        <v>200</v>
      </c>
      <c r="I1833" s="12">
        <v>42589</v>
      </c>
      <c r="J1833" s="13">
        <f t="shared" si="63"/>
        <v>0</v>
      </c>
      <c r="K1833" s="14"/>
      <c r="L1833" s="14"/>
      <c r="M1833" s="14"/>
      <c r="N1833" s="14"/>
      <c r="O1833" s="14"/>
      <c r="P1833" s="14"/>
      <c r="Q1833" s="14"/>
      <c r="R1833" s="14">
        <v>200</v>
      </c>
      <c r="S1833" s="14"/>
      <c r="T1833" s="14"/>
      <c r="U1833" s="14"/>
      <c r="V1833" s="14"/>
      <c r="W1833" s="15">
        <f t="shared" si="64"/>
        <v>200</v>
      </c>
      <c r="X1833" s="14"/>
      <c r="Y1833" s="14"/>
      <c r="Z1833" s="14"/>
      <c r="AA1833" s="14"/>
      <c r="AB1833" s="14"/>
      <c r="AC1833" s="14"/>
      <c r="AD1833" s="14"/>
      <c r="AE1833" s="14"/>
      <c r="AF1833" s="14"/>
      <c r="AG1833" s="14"/>
      <c r="AH1833" s="14"/>
      <c r="AI1833" s="14"/>
      <c r="AJ1833" s="15"/>
      <c r="AK1833" s="16"/>
    </row>
    <row r="1834" spans="2:37" x14ac:dyDescent="0.2">
      <c r="B1834" s="7" t="s">
        <v>47</v>
      </c>
      <c r="C1834" s="8">
        <v>12544</v>
      </c>
      <c r="D1834" s="9" t="s">
        <v>241</v>
      </c>
      <c r="E1834" s="10" t="s">
        <v>242</v>
      </c>
      <c r="F1834" s="10" t="s">
        <v>243</v>
      </c>
      <c r="G1834" s="8">
        <v>1</v>
      </c>
      <c r="H1834" s="11">
        <v>400</v>
      </c>
      <c r="I1834" s="12">
        <v>42589</v>
      </c>
      <c r="J1834" s="13">
        <f t="shared" si="63"/>
        <v>0</v>
      </c>
      <c r="K1834" s="14"/>
      <c r="L1834" s="14"/>
      <c r="M1834" s="14"/>
      <c r="N1834" s="14"/>
      <c r="O1834" s="14"/>
      <c r="P1834" s="14"/>
      <c r="Q1834" s="14"/>
      <c r="R1834" s="14">
        <v>400</v>
      </c>
      <c r="S1834" s="14"/>
      <c r="T1834" s="14"/>
      <c r="U1834" s="14"/>
      <c r="V1834" s="14"/>
      <c r="W1834" s="15">
        <f t="shared" si="64"/>
        <v>400</v>
      </c>
      <c r="X1834" s="14"/>
      <c r="Y1834" s="14"/>
      <c r="Z1834" s="14"/>
      <c r="AA1834" s="14"/>
      <c r="AB1834" s="14"/>
      <c r="AC1834" s="14"/>
      <c r="AD1834" s="14"/>
      <c r="AE1834" s="14"/>
      <c r="AF1834" s="14"/>
      <c r="AG1834" s="14"/>
      <c r="AH1834" s="14"/>
      <c r="AI1834" s="14"/>
      <c r="AJ1834" s="15"/>
      <c r="AK1834" s="16"/>
    </row>
    <row r="1835" spans="2:37" x14ac:dyDescent="0.2">
      <c r="B1835" s="7" t="s">
        <v>37</v>
      </c>
      <c r="C1835" s="8">
        <v>12545</v>
      </c>
      <c r="D1835" s="9" t="s">
        <v>94</v>
      </c>
      <c r="E1835" s="10" t="s">
        <v>95</v>
      </c>
      <c r="F1835" s="10" t="s">
        <v>96</v>
      </c>
      <c r="G1835" s="8">
        <v>1</v>
      </c>
      <c r="H1835" s="11">
        <v>400</v>
      </c>
      <c r="I1835" s="12">
        <v>42589</v>
      </c>
      <c r="J1835" s="13">
        <f t="shared" si="63"/>
        <v>0</v>
      </c>
      <c r="K1835" s="14"/>
      <c r="L1835" s="14"/>
      <c r="M1835" s="14"/>
      <c r="N1835" s="14"/>
      <c r="O1835" s="14"/>
      <c r="P1835" s="14"/>
      <c r="Q1835" s="14"/>
      <c r="R1835" s="14">
        <v>400</v>
      </c>
      <c r="S1835" s="14"/>
      <c r="T1835" s="14"/>
      <c r="U1835" s="14"/>
      <c r="V1835" s="14"/>
      <c r="W1835" s="15">
        <f t="shared" si="64"/>
        <v>400</v>
      </c>
      <c r="X1835" s="14"/>
      <c r="Y1835" s="14"/>
      <c r="Z1835" s="14"/>
      <c r="AA1835" s="14"/>
      <c r="AB1835" s="14"/>
      <c r="AC1835" s="14"/>
      <c r="AD1835" s="14"/>
      <c r="AE1835" s="14"/>
      <c r="AF1835" s="14"/>
      <c r="AG1835" s="14"/>
      <c r="AH1835" s="14"/>
      <c r="AI1835" s="14"/>
      <c r="AJ1835" s="15"/>
      <c r="AK1835" s="16"/>
    </row>
    <row r="1836" spans="2:37" x14ac:dyDescent="0.2">
      <c r="B1836" s="7" t="s">
        <v>47</v>
      </c>
      <c r="C1836" s="8">
        <v>12546</v>
      </c>
      <c r="D1836" s="9" t="s">
        <v>425</v>
      </c>
      <c r="E1836" s="10" t="s">
        <v>426</v>
      </c>
      <c r="F1836" s="10" t="s">
        <v>427</v>
      </c>
      <c r="G1836" s="8">
        <v>1</v>
      </c>
      <c r="H1836" s="11">
        <v>400</v>
      </c>
      <c r="I1836" s="12">
        <v>42589</v>
      </c>
      <c r="J1836" s="13">
        <f t="shared" si="63"/>
        <v>0</v>
      </c>
      <c r="K1836" s="14"/>
      <c r="L1836" s="14"/>
      <c r="M1836" s="14"/>
      <c r="N1836" s="14"/>
      <c r="O1836" s="14"/>
      <c r="P1836" s="14"/>
      <c r="Q1836" s="14"/>
      <c r="R1836" s="14">
        <v>400</v>
      </c>
      <c r="S1836" s="14"/>
      <c r="T1836" s="14"/>
      <c r="U1836" s="14"/>
      <c r="V1836" s="14"/>
      <c r="W1836" s="15">
        <f t="shared" si="64"/>
        <v>400</v>
      </c>
      <c r="X1836" s="14"/>
      <c r="Y1836" s="14"/>
      <c r="Z1836" s="14"/>
      <c r="AA1836" s="14"/>
      <c r="AB1836" s="14"/>
      <c r="AC1836" s="14"/>
      <c r="AD1836" s="14"/>
      <c r="AE1836" s="14"/>
      <c r="AF1836" s="14"/>
      <c r="AG1836" s="14"/>
      <c r="AH1836" s="14"/>
      <c r="AI1836" s="14"/>
      <c r="AJ1836" s="15"/>
      <c r="AK1836" s="16"/>
    </row>
    <row r="1837" spans="2:37" x14ac:dyDescent="0.2">
      <c r="B1837" s="7" t="s">
        <v>47</v>
      </c>
      <c r="C1837" s="8">
        <v>12547</v>
      </c>
      <c r="D1837" s="9" t="s">
        <v>238</v>
      </c>
      <c r="E1837" s="10" t="s">
        <v>239</v>
      </c>
      <c r="F1837" s="10" t="s">
        <v>240</v>
      </c>
      <c r="G1837" s="8">
        <v>1</v>
      </c>
      <c r="H1837" s="11">
        <v>125</v>
      </c>
      <c r="I1837" s="12">
        <v>42589</v>
      </c>
      <c r="J1837" s="13">
        <f t="shared" si="63"/>
        <v>0</v>
      </c>
      <c r="K1837" s="14"/>
      <c r="L1837" s="14"/>
      <c r="M1837" s="14"/>
      <c r="N1837" s="14"/>
      <c r="O1837" s="14"/>
      <c r="P1837" s="14"/>
      <c r="Q1837" s="14"/>
      <c r="R1837" s="14">
        <v>125</v>
      </c>
      <c r="S1837" s="14"/>
      <c r="T1837" s="14"/>
      <c r="U1837" s="14"/>
      <c r="V1837" s="14"/>
      <c r="W1837" s="15">
        <f t="shared" si="64"/>
        <v>125</v>
      </c>
      <c r="X1837" s="14"/>
      <c r="Y1837" s="14"/>
      <c r="Z1837" s="14"/>
      <c r="AA1837" s="14"/>
      <c r="AB1837" s="14"/>
      <c r="AC1837" s="14"/>
      <c r="AD1837" s="14"/>
      <c r="AE1837" s="14"/>
      <c r="AF1837" s="14"/>
      <c r="AG1837" s="14"/>
      <c r="AH1837" s="14"/>
      <c r="AI1837" s="14"/>
      <c r="AJ1837" s="15"/>
      <c r="AK1837" s="16"/>
    </row>
    <row r="1838" spans="2:37" x14ac:dyDescent="0.2">
      <c r="B1838" s="7" t="s">
        <v>73</v>
      </c>
      <c r="C1838" s="8">
        <v>12548</v>
      </c>
      <c r="D1838" s="9" t="s">
        <v>109</v>
      </c>
      <c r="E1838" s="10" t="s">
        <v>110</v>
      </c>
      <c r="F1838" s="10" t="s">
        <v>111</v>
      </c>
      <c r="G1838" s="8">
        <v>4</v>
      </c>
      <c r="H1838" s="11">
        <v>200</v>
      </c>
      <c r="I1838" s="12">
        <v>42589</v>
      </c>
      <c r="J1838" s="13">
        <f t="shared" si="63"/>
        <v>0</v>
      </c>
      <c r="K1838" s="14"/>
      <c r="L1838" s="14"/>
      <c r="M1838" s="14"/>
      <c r="N1838" s="14"/>
      <c r="O1838" s="14"/>
      <c r="P1838" s="14"/>
      <c r="Q1838" s="14"/>
      <c r="R1838" s="14"/>
      <c r="S1838" s="14"/>
      <c r="T1838" s="14"/>
      <c r="U1838" s="14"/>
      <c r="V1838" s="14"/>
      <c r="W1838" s="15">
        <f t="shared" si="64"/>
        <v>0</v>
      </c>
      <c r="X1838" s="14"/>
      <c r="Y1838" s="14"/>
      <c r="Z1838" s="14"/>
      <c r="AA1838" s="14"/>
      <c r="AB1838" s="14"/>
      <c r="AC1838" s="14"/>
      <c r="AD1838" s="14"/>
      <c r="AE1838" s="14"/>
      <c r="AF1838" s="14"/>
      <c r="AG1838" s="14"/>
      <c r="AH1838" s="14"/>
      <c r="AI1838" s="14"/>
      <c r="AJ1838" s="15"/>
      <c r="AK1838" s="16" t="s">
        <v>1127</v>
      </c>
    </row>
    <row r="1839" spans="2:37" x14ac:dyDescent="0.2">
      <c r="B1839" s="7" t="s">
        <v>73</v>
      </c>
      <c r="C1839" s="8">
        <v>12549</v>
      </c>
      <c r="D1839" s="9" t="s">
        <v>141</v>
      </c>
      <c r="E1839" s="10" t="s">
        <v>142</v>
      </c>
      <c r="F1839" s="10" t="s">
        <v>143</v>
      </c>
      <c r="G1839" s="8">
        <v>1</v>
      </c>
      <c r="H1839" s="11">
        <v>1200</v>
      </c>
      <c r="I1839" s="12">
        <v>42589</v>
      </c>
      <c r="J1839" s="13">
        <f t="shared" si="63"/>
        <v>0</v>
      </c>
      <c r="K1839" s="14"/>
      <c r="L1839" s="14"/>
      <c r="M1839" s="14"/>
      <c r="N1839" s="14"/>
      <c r="O1839" s="14"/>
      <c r="P1839" s="14"/>
      <c r="Q1839" s="14">
        <v>400</v>
      </c>
      <c r="R1839" s="14">
        <v>400</v>
      </c>
      <c r="S1839" s="14">
        <v>400</v>
      </c>
      <c r="T1839" s="14"/>
      <c r="U1839" s="14"/>
      <c r="V1839" s="14"/>
      <c r="W1839" s="15">
        <f t="shared" si="64"/>
        <v>1200</v>
      </c>
      <c r="X1839" s="14"/>
      <c r="Y1839" s="14"/>
      <c r="Z1839" s="14"/>
      <c r="AA1839" s="14"/>
      <c r="AB1839" s="14"/>
      <c r="AC1839" s="14"/>
      <c r="AD1839" s="14"/>
      <c r="AE1839" s="14"/>
      <c r="AF1839" s="14"/>
      <c r="AG1839" s="14"/>
      <c r="AH1839" s="14"/>
      <c r="AI1839" s="14"/>
      <c r="AJ1839" s="15"/>
      <c r="AK1839" s="16"/>
    </row>
    <row r="1840" spans="2:37" x14ac:dyDescent="0.2">
      <c r="B1840" s="7" t="s">
        <v>37</v>
      </c>
      <c r="C1840" s="8">
        <v>12550</v>
      </c>
      <c r="D1840" s="9" t="s">
        <v>268</v>
      </c>
      <c r="E1840" s="10" t="s">
        <v>269</v>
      </c>
      <c r="F1840" s="10" t="s">
        <v>270</v>
      </c>
      <c r="G1840" s="8">
        <v>1</v>
      </c>
      <c r="H1840" s="11">
        <v>300</v>
      </c>
      <c r="I1840" s="12">
        <v>42589</v>
      </c>
      <c r="J1840" s="13">
        <f t="shared" si="63"/>
        <v>0</v>
      </c>
      <c r="K1840" s="14"/>
      <c r="L1840" s="14"/>
      <c r="M1840" s="14"/>
      <c r="N1840" s="14"/>
      <c r="O1840" s="14"/>
      <c r="P1840" s="14"/>
      <c r="Q1840" s="14"/>
      <c r="R1840" s="14">
        <v>300</v>
      </c>
      <c r="S1840" s="14"/>
      <c r="T1840" s="14"/>
      <c r="U1840" s="14"/>
      <c r="V1840" s="14"/>
      <c r="W1840" s="15">
        <f t="shared" si="64"/>
        <v>300</v>
      </c>
      <c r="X1840" s="14"/>
      <c r="Y1840" s="14"/>
      <c r="Z1840" s="14"/>
      <c r="AA1840" s="14"/>
      <c r="AB1840" s="14"/>
      <c r="AC1840" s="14"/>
      <c r="AD1840" s="14"/>
      <c r="AE1840" s="14"/>
      <c r="AF1840" s="14"/>
      <c r="AG1840" s="14"/>
      <c r="AH1840" s="14"/>
      <c r="AI1840" s="14"/>
      <c r="AJ1840" s="15"/>
      <c r="AK1840" s="16"/>
    </row>
    <row r="1841" spans="2:37" x14ac:dyDescent="0.2">
      <c r="B1841" s="7" t="s">
        <v>37</v>
      </c>
      <c r="C1841" s="8">
        <v>12550</v>
      </c>
      <c r="D1841" s="9" t="s">
        <v>268</v>
      </c>
      <c r="E1841" s="10" t="s">
        <v>269</v>
      </c>
      <c r="F1841" s="10" t="s">
        <v>270</v>
      </c>
      <c r="G1841" s="8">
        <v>5</v>
      </c>
      <c r="H1841" s="11">
        <v>100</v>
      </c>
      <c r="I1841" s="12">
        <v>42589</v>
      </c>
      <c r="J1841" s="13">
        <f t="shared" si="63"/>
        <v>0</v>
      </c>
      <c r="K1841" s="14"/>
      <c r="L1841" s="14"/>
      <c r="M1841" s="14"/>
      <c r="N1841" s="14"/>
      <c r="O1841" s="14"/>
      <c r="P1841" s="14"/>
      <c r="Q1841" s="14"/>
      <c r="R1841" s="14"/>
      <c r="S1841" s="14"/>
      <c r="T1841" s="14"/>
      <c r="U1841" s="14"/>
      <c r="V1841" s="14"/>
      <c r="W1841" s="15">
        <f t="shared" si="64"/>
        <v>0</v>
      </c>
      <c r="X1841" s="14"/>
      <c r="Y1841" s="14"/>
      <c r="Z1841" s="14"/>
      <c r="AA1841" s="14"/>
      <c r="AB1841" s="14"/>
      <c r="AC1841" s="14"/>
      <c r="AD1841" s="14"/>
      <c r="AE1841" s="14"/>
      <c r="AF1841" s="14"/>
      <c r="AG1841" s="14"/>
      <c r="AH1841" s="14"/>
      <c r="AI1841" s="14"/>
      <c r="AJ1841" s="15"/>
      <c r="AK1841" s="16"/>
    </row>
    <row r="1842" spans="2:37" x14ac:dyDescent="0.2">
      <c r="B1842" s="7" t="s">
        <v>77</v>
      </c>
      <c r="C1842" s="8">
        <v>12551</v>
      </c>
      <c r="D1842" s="9" t="s">
        <v>556</v>
      </c>
      <c r="E1842" s="10" t="s">
        <v>557</v>
      </c>
      <c r="F1842" s="10" t="s">
        <v>558</v>
      </c>
      <c r="G1842" s="8">
        <v>1</v>
      </c>
      <c r="H1842" s="11">
        <v>400</v>
      </c>
      <c r="I1842" s="12">
        <v>42589</v>
      </c>
      <c r="J1842" s="13">
        <f t="shared" si="63"/>
        <v>0</v>
      </c>
      <c r="K1842" s="14"/>
      <c r="L1842" s="14"/>
      <c r="M1842" s="14"/>
      <c r="N1842" s="14"/>
      <c r="O1842" s="14"/>
      <c r="P1842" s="14">
        <v>400</v>
      </c>
      <c r="Q1842" s="14"/>
      <c r="R1842" s="14"/>
      <c r="S1842" s="14"/>
      <c r="T1842" s="14"/>
      <c r="U1842" s="14"/>
      <c r="V1842" s="14"/>
      <c r="W1842" s="15">
        <f t="shared" si="64"/>
        <v>400</v>
      </c>
      <c r="X1842" s="14"/>
      <c r="Y1842" s="14"/>
      <c r="Z1842" s="14"/>
      <c r="AA1842" s="14"/>
      <c r="AB1842" s="14"/>
      <c r="AC1842" s="14"/>
      <c r="AD1842" s="14"/>
      <c r="AE1842" s="14"/>
      <c r="AF1842" s="14"/>
      <c r="AG1842" s="14"/>
      <c r="AH1842" s="14"/>
      <c r="AI1842" s="14"/>
      <c r="AJ1842" s="15"/>
      <c r="AK1842" s="16"/>
    </row>
    <row r="1843" spans="2:37" x14ac:dyDescent="0.2">
      <c r="B1843" s="7" t="s">
        <v>47</v>
      </c>
      <c r="C1843" s="8">
        <v>12552</v>
      </c>
      <c r="D1843" s="9" t="s">
        <v>150</v>
      </c>
      <c r="E1843" s="10" t="s">
        <v>151</v>
      </c>
      <c r="F1843" s="10" t="s">
        <v>152</v>
      </c>
      <c r="G1843" s="8">
        <v>1</v>
      </c>
      <c r="H1843" s="11">
        <v>400</v>
      </c>
      <c r="I1843" s="12">
        <v>42589</v>
      </c>
      <c r="J1843" s="13">
        <f t="shared" si="63"/>
        <v>0</v>
      </c>
      <c r="K1843" s="14"/>
      <c r="L1843" s="14"/>
      <c r="M1843" s="14"/>
      <c r="N1843" s="14"/>
      <c r="O1843" s="14"/>
      <c r="P1843" s="14"/>
      <c r="Q1843" s="14"/>
      <c r="R1843" s="14">
        <v>400</v>
      </c>
      <c r="S1843" s="14"/>
      <c r="T1843" s="14"/>
      <c r="U1843" s="14"/>
      <c r="V1843" s="14"/>
      <c r="W1843" s="15">
        <f t="shared" si="64"/>
        <v>400</v>
      </c>
      <c r="X1843" s="14"/>
      <c r="Y1843" s="14"/>
      <c r="Z1843" s="14"/>
      <c r="AA1843" s="14"/>
      <c r="AB1843" s="14"/>
      <c r="AC1843" s="14"/>
      <c r="AD1843" s="14"/>
      <c r="AE1843" s="14"/>
      <c r="AF1843" s="14"/>
      <c r="AG1843" s="14"/>
      <c r="AH1843" s="14"/>
      <c r="AI1843" s="14"/>
      <c r="AJ1843" s="15"/>
      <c r="AK1843" s="16"/>
    </row>
    <row r="1844" spans="2:37" x14ac:dyDescent="0.2">
      <c r="B1844" s="7" t="s">
        <v>77</v>
      </c>
      <c r="C1844" s="8">
        <v>12553</v>
      </c>
      <c r="D1844" s="9" t="s">
        <v>820</v>
      </c>
      <c r="E1844" s="10" t="s">
        <v>821</v>
      </c>
      <c r="F1844" s="10" t="s">
        <v>822</v>
      </c>
      <c r="G1844" s="8">
        <v>1</v>
      </c>
      <c r="H1844" s="11">
        <v>300</v>
      </c>
      <c r="I1844" s="12">
        <v>42589</v>
      </c>
      <c r="J1844" s="13">
        <f t="shared" si="63"/>
        <v>0</v>
      </c>
      <c r="K1844" s="14"/>
      <c r="L1844" s="14"/>
      <c r="M1844" s="14"/>
      <c r="N1844" s="14"/>
      <c r="O1844" s="14"/>
      <c r="P1844" s="14"/>
      <c r="Q1844" s="14">
        <v>300</v>
      </c>
      <c r="R1844" s="14"/>
      <c r="S1844" s="14"/>
      <c r="T1844" s="14"/>
      <c r="U1844" s="14"/>
      <c r="V1844" s="14"/>
      <c r="W1844" s="15">
        <f t="shared" si="64"/>
        <v>300</v>
      </c>
      <c r="X1844" s="14"/>
      <c r="Y1844" s="14"/>
      <c r="Z1844" s="14"/>
      <c r="AA1844" s="14"/>
      <c r="AB1844" s="14"/>
      <c r="AC1844" s="14"/>
      <c r="AD1844" s="14"/>
      <c r="AE1844" s="14"/>
      <c r="AF1844" s="14"/>
      <c r="AG1844" s="14"/>
      <c r="AH1844" s="14"/>
      <c r="AI1844" s="14"/>
      <c r="AJ1844" s="15"/>
      <c r="AK1844" s="16"/>
    </row>
    <row r="1845" spans="2:37" x14ac:dyDescent="0.2">
      <c r="B1845" s="7" t="s">
        <v>47</v>
      </c>
      <c r="C1845" s="8">
        <v>12554</v>
      </c>
      <c r="D1845" s="9" t="s">
        <v>138</v>
      </c>
      <c r="E1845" s="10" t="s">
        <v>139</v>
      </c>
      <c r="F1845" s="10" t="s">
        <v>140</v>
      </c>
      <c r="G1845" s="8">
        <v>1</v>
      </c>
      <c r="H1845" s="11">
        <v>400</v>
      </c>
      <c r="I1845" s="12">
        <v>42589</v>
      </c>
      <c r="J1845" s="13">
        <f t="shared" si="63"/>
        <v>0</v>
      </c>
      <c r="K1845" s="14"/>
      <c r="L1845" s="14"/>
      <c r="M1845" s="14"/>
      <c r="N1845" s="14"/>
      <c r="O1845" s="14"/>
      <c r="P1845" s="14"/>
      <c r="Q1845" s="14">
        <v>400</v>
      </c>
      <c r="R1845" s="14"/>
      <c r="S1845" s="14"/>
      <c r="T1845" s="14"/>
      <c r="U1845" s="14"/>
      <c r="V1845" s="14"/>
      <c r="W1845" s="15">
        <f t="shared" si="64"/>
        <v>400</v>
      </c>
      <c r="X1845" s="14"/>
      <c r="Y1845" s="14"/>
      <c r="Z1845" s="14"/>
      <c r="AA1845" s="14"/>
      <c r="AB1845" s="14"/>
      <c r="AC1845" s="14"/>
      <c r="AD1845" s="14"/>
      <c r="AE1845" s="14"/>
      <c r="AF1845" s="14"/>
      <c r="AG1845" s="14"/>
      <c r="AH1845" s="14"/>
      <c r="AI1845" s="14"/>
      <c r="AJ1845" s="15"/>
      <c r="AK1845" s="16"/>
    </row>
    <row r="1846" spans="2:37" x14ac:dyDescent="0.2">
      <c r="B1846" s="7" t="s">
        <v>47</v>
      </c>
      <c r="C1846" s="8">
        <v>12555</v>
      </c>
      <c r="D1846" s="9" t="s">
        <v>97</v>
      </c>
      <c r="E1846" s="10" t="s">
        <v>98</v>
      </c>
      <c r="F1846" s="10" t="s">
        <v>99</v>
      </c>
      <c r="G1846" s="8">
        <v>1</v>
      </c>
      <c r="H1846" s="11">
        <v>400</v>
      </c>
      <c r="I1846" s="12">
        <v>42589</v>
      </c>
      <c r="J1846" s="13">
        <f t="shared" si="63"/>
        <v>0</v>
      </c>
      <c r="K1846" s="14"/>
      <c r="L1846" s="14"/>
      <c r="M1846" s="14"/>
      <c r="N1846" s="14"/>
      <c r="O1846" s="14"/>
      <c r="P1846" s="14"/>
      <c r="Q1846" s="14"/>
      <c r="R1846" s="14">
        <v>400</v>
      </c>
      <c r="S1846" s="14"/>
      <c r="T1846" s="14"/>
      <c r="U1846" s="14"/>
      <c r="V1846" s="14"/>
      <c r="W1846" s="15">
        <f t="shared" si="64"/>
        <v>400</v>
      </c>
      <c r="X1846" s="14"/>
      <c r="Y1846" s="14"/>
      <c r="Z1846" s="14"/>
      <c r="AA1846" s="14"/>
      <c r="AB1846" s="14"/>
      <c r="AC1846" s="14"/>
      <c r="AD1846" s="14"/>
      <c r="AE1846" s="14"/>
      <c r="AF1846" s="14"/>
      <c r="AG1846" s="14"/>
      <c r="AH1846" s="14"/>
      <c r="AI1846" s="14"/>
      <c r="AJ1846" s="15"/>
      <c r="AK1846" s="16"/>
    </row>
    <row r="1847" spans="2:37" x14ac:dyDescent="0.2">
      <c r="B1847" s="7" t="s">
        <v>37</v>
      </c>
      <c r="C1847" s="8">
        <v>12556</v>
      </c>
      <c r="D1847" s="9" t="s">
        <v>307</v>
      </c>
      <c r="E1847" s="10" t="s">
        <v>308</v>
      </c>
      <c r="F1847" s="10" t="s">
        <v>309</v>
      </c>
      <c r="G1847" s="8">
        <v>1</v>
      </c>
      <c r="H1847" s="11">
        <v>350</v>
      </c>
      <c r="I1847" s="12">
        <v>42589</v>
      </c>
      <c r="J1847" s="13">
        <f t="shared" si="63"/>
        <v>0</v>
      </c>
      <c r="K1847" s="14"/>
      <c r="L1847" s="14"/>
      <c r="M1847" s="14"/>
      <c r="N1847" s="14"/>
      <c r="O1847" s="14"/>
      <c r="P1847" s="14"/>
      <c r="Q1847" s="14"/>
      <c r="R1847" s="14">
        <v>350</v>
      </c>
      <c r="S1847" s="14"/>
      <c r="T1847" s="14"/>
      <c r="U1847" s="14"/>
      <c r="V1847" s="14"/>
      <c r="W1847" s="15">
        <f t="shared" si="64"/>
        <v>350</v>
      </c>
      <c r="X1847" s="14"/>
      <c r="Y1847" s="14"/>
      <c r="Z1847" s="14"/>
      <c r="AA1847" s="14"/>
      <c r="AB1847" s="14"/>
      <c r="AC1847" s="14"/>
      <c r="AD1847" s="14"/>
      <c r="AE1847" s="14"/>
      <c r="AF1847" s="14"/>
      <c r="AG1847" s="14"/>
      <c r="AH1847" s="14"/>
      <c r="AI1847" s="14"/>
      <c r="AJ1847" s="15"/>
      <c r="AK1847" s="16"/>
    </row>
    <row r="1848" spans="2:37" x14ac:dyDescent="0.2">
      <c r="B1848" s="7" t="s">
        <v>122</v>
      </c>
      <c r="C1848" s="8">
        <v>12557</v>
      </c>
      <c r="D1848" s="9" t="s">
        <v>310</v>
      </c>
      <c r="E1848" s="10" t="s">
        <v>311</v>
      </c>
      <c r="F1848" s="10" t="s">
        <v>312</v>
      </c>
      <c r="G1848" s="8">
        <v>5</v>
      </c>
      <c r="H1848" s="11">
        <v>50</v>
      </c>
      <c r="I1848" s="12">
        <v>42589</v>
      </c>
      <c r="J1848" s="13">
        <f t="shared" si="63"/>
        <v>0</v>
      </c>
      <c r="K1848" s="14"/>
      <c r="L1848" s="14"/>
      <c r="M1848" s="14"/>
      <c r="N1848" s="14"/>
      <c r="O1848" s="14"/>
      <c r="P1848" s="14"/>
      <c r="Q1848" s="14"/>
      <c r="R1848" s="14"/>
      <c r="S1848" s="14"/>
      <c r="T1848" s="14"/>
      <c r="U1848" s="14"/>
      <c r="V1848" s="14"/>
      <c r="W1848" s="15">
        <f t="shared" si="64"/>
        <v>0</v>
      </c>
      <c r="X1848" s="14"/>
      <c r="Y1848" s="14"/>
      <c r="Z1848" s="14"/>
      <c r="AA1848" s="14"/>
      <c r="AB1848" s="14"/>
      <c r="AC1848" s="14"/>
      <c r="AD1848" s="14"/>
      <c r="AE1848" s="14"/>
      <c r="AF1848" s="14"/>
      <c r="AG1848" s="14"/>
      <c r="AH1848" s="14"/>
      <c r="AI1848" s="14"/>
      <c r="AJ1848" s="15"/>
      <c r="AK1848" s="16"/>
    </row>
    <row r="1849" spans="2:37" x14ac:dyDescent="0.2">
      <c r="B1849" s="7" t="s">
        <v>69</v>
      </c>
      <c r="C1849" s="8">
        <v>12558</v>
      </c>
      <c r="D1849" s="9" t="s">
        <v>292</v>
      </c>
      <c r="E1849" s="10" t="s">
        <v>293</v>
      </c>
      <c r="F1849" s="10" t="s">
        <v>294</v>
      </c>
      <c r="G1849" s="8">
        <v>1</v>
      </c>
      <c r="H1849" s="11">
        <v>400</v>
      </c>
      <c r="I1849" s="12">
        <v>42589</v>
      </c>
      <c r="J1849" s="13">
        <f t="shared" si="63"/>
        <v>0</v>
      </c>
      <c r="K1849" s="14"/>
      <c r="L1849" s="14"/>
      <c r="M1849" s="14"/>
      <c r="N1849" s="14"/>
      <c r="O1849" s="14"/>
      <c r="P1849" s="14"/>
      <c r="Q1849" s="14"/>
      <c r="R1849" s="14">
        <v>400</v>
      </c>
      <c r="S1849" s="14"/>
      <c r="T1849" s="14"/>
      <c r="U1849" s="14"/>
      <c r="V1849" s="14"/>
      <c r="W1849" s="15">
        <f t="shared" si="64"/>
        <v>400</v>
      </c>
      <c r="X1849" s="14"/>
      <c r="Y1849" s="14"/>
      <c r="Z1849" s="14"/>
      <c r="AA1849" s="14"/>
      <c r="AB1849" s="14"/>
      <c r="AC1849" s="14"/>
      <c r="AD1849" s="14"/>
      <c r="AE1849" s="14"/>
      <c r="AF1849" s="14"/>
      <c r="AG1849" s="14"/>
      <c r="AH1849" s="14"/>
      <c r="AI1849" s="14"/>
      <c r="AJ1849" s="15"/>
      <c r="AK1849" s="16"/>
    </row>
    <row r="1850" spans="2:37" x14ac:dyDescent="0.2">
      <c r="B1850" s="7" t="s">
        <v>73</v>
      </c>
      <c r="C1850" s="8">
        <v>12559</v>
      </c>
      <c r="D1850" s="9" t="s">
        <v>541</v>
      </c>
      <c r="E1850" s="10" t="s">
        <v>542</v>
      </c>
      <c r="F1850" s="10" t="s">
        <v>543</v>
      </c>
      <c r="G1850" s="8">
        <v>1</v>
      </c>
      <c r="H1850" s="11">
        <v>800</v>
      </c>
      <c r="I1850" s="12">
        <v>42589</v>
      </c>
      <c r="J1850" s="13">
        <f t="shared" si="63"/>
        <v>0</v>
      </c>
      <c r="K1850" s="14"/>
      <c r="L1850" s="14"/>
      <c r="M1850" s="14"/>
      <c r="N1850" s="14"/>
      <c r="O1850" s="14"/>
      <c r="P1850" s="14"/>
      <c r="Q1850" s="14">
        <v>400</v>
      </c>
      <c r="R1850" s="14">
        <v>400</v>
      </c>
      <c r="S1850" s="14"/>
      <c r="T1850" s="14"/>
      <c r="U1850" s="14"/>
      <c r="V1850" s="14"/>
      <c r="W1850" s="15">
        <f t="shared" si="64"/>
        <v>800</v>
      </c>
      <c r="X1850" s="14"/>
      <c r="Y1850" s="14"/>
      <c r="Z1850" s="14"/>
      <c r="AA1850" s="14"/>
      <c r="AB1850" s="14"/>
      <c r="AC1850" s="14"/>
      <c r="AD1850" s="14"/>
      <c r="AE1850" s="14"/>
      <c r="AF1850" s="14"/>
      <c r="AG1850" s="14"/>
      <c r="AH1850" s="14"/>
      <c r="AI1850" s="14"/>
      <c r="AJ1850" s="15"/>
      <c r="AK1850" s="16"/>
    </row>
    <row r="1851" spans="2:37" x14ac:dyDescent="0.2">
      <c r="B1851" s="7" t="s">
        <v>47</v>
      </c>
      <c r="C1851" s="8">
        <v>12560</v>
      </c>
      <c r="D1851" s="9" t="s">
        <v>183</v>
      </c>
      <c r="E1851" s="10" t="s">
        <v>184</v>
      </c>
      <c r="F1851" s="10" t="s">
        <v>185</v>
      </c>
      <c r="G1851" s="8">
        <v>1</v>
      </c>
      <c r="H1851" s="11">
        <v>400</v>
      </c>
      <c r="I1851" s="12">
        <v>42589</v>
      </c>
      <c r="J1851" s="13">
        <f t="shared" si="63"/>
        <v>0</v>
      </c>
      <c r="K1851" s="14"/>
      <c r="L1851" s="14"/>
      <c r="M1851" s="14"/>
      <c r="N1851" s="14"/>
      <c r="O1851" s="14"/>
      <c r="P1851" s="14"/>
      <c r="Q1851" s="14"/>
      <c r="R1851" s="14">
        <v>400</v>
      </c>
      <c r="S1851" s="14"/>
      <c r="T1851" s="14"/>
      <c r="U1851" s="14"/>
      <c r="V1851" s="14"/>
      <c r="W1851" s="15">
        <f t="shared" si="64"/>
        <v>400</v>
      </c>
      <c r="X1851" s="14"/>
      <c r="Y1851" s="14"/>
      <c r="Z1851" s="14"/>
      <c r="AA1851" s="14"/>
      <c r="AB1851" s="14"/>
      <c r="AC1851" s="14"/>
      <c r="AD1851" s="14"/>
      <c r="AE1851" s="14"/>
      <c r="AF1851" s="14"/>
      <c r="AG1851" s="14"/>
      <c r="AH1851" s="14"/>
      <c r="AI1851" s="14"/>
      <c r="AJ1851" s="15"/>
      <c r="AK1851" s="16"/>
    </row>
    <row r="1852" spans="2:37" x14ac:dyDescent="0.2">
      <c r="B1852" s="7" t="s">
        <v>73</v>
      </c>
      <c r="C1852" s="8">
        <v>12561</v>
      </c>
      <c r="D1852" s="9" t="s">
        <v>458</v>
      </c>
      <c r="E1852" s="10" t="s">
        <v>459</v>
      </c>
      <c r="F1852" s="10" t="s">
        <v>460</v>
      </c>
      <c r="G1852" s="8">
        <v>1</v>
      </c>
      <c r="H1852" s="11">
        <v>800</v>
      </c>
      <c r="I1852" s="12">
        <v>42589</v>
      </c>
      <c r="J1852" s="13">
        <f t="shared" si="63"/>
        <v>0</v>
      </c>
      <c r="K1852" s="14"/>
      <c r="L1852" s="14"/>
      <c r="M1852" s="14"/>
      <c r="N1852" s="14"/>
      <c r="O1852" s="14"/>
      <c r="P1852" s="14"/>
      <c r="Q1852" s="14">
        <v>400</v>
      </c>
      <c r="R1852" s="14">
        <v>400</v>
      </c>
      <c r="S1852" s="14"/>
      <c r="T1852" s="14"/>
      <c r="U1852" s="14"/>
      <c r="V1852" s="14"/>
      <c r="W1852" s="15">
        <f t="shared" si="64"/>
        <v>800</v>
      </c>
      <c r="X1852" s="14"/>
      <c r="Y1852" s="14"/>
      <c r="Z1852" s="14"/>
      <c r="AA1852" s="14"/>
      <c r="AB1852" s="14"/>
      <c r="AC1852" s="14"/>
      <c r="AD1852" s="14"/>
      <c r="AE1852" s="14"/>
      <c r="AF1852" s="14"/>
      <c r="AG1852" s="14"/>
      <c r="AH1852" s="14"/>
      <c r="AI1852" s="14"/>
      <c r="AJ1852" s="15"/>
      <c r="AK1852" s="16"/>
    </row>
    <row r="1853" spans="2:37" x14ac:dyDescent="0.2">
      <c r="B1853" s="7" t="s">
        <v>69</v>
      </c>
      <c r="C1853" s="8">
        <v>12562</v>
      </c>
      <c r="D1853" s="9" t="s">
        <v>687</v>
      </c>
      <c r="E1853" s="10" t="s">
        <v>688</v>
      </c>
      <c r="F1853" s="10" t="s">
        <v>689</v>
      </c>
      <c r="G1853" s="8">
        <v>1</v>
      </c>
      <c r="H1853" s="11">
        <v>400</v>
      </c>
      <c r="I1853" s="12">
        <v>42589</v>
      </c>
      <c r="J1853" s="13">
        <f t="shared" si="63"/>
        <v>0</v>
      </c>
      <c r="K1853" s="14"/>
      <c r="L1853" s="14"/>
      <c r="M1853" s="14"/>
      <c r="N1853" s="14"/>
      <c r="O1853" s="14"/>
      <c r="P1853" s="14"/>
      <c r="Q1853" s="14"/>
      <c r="R1853" s="14"/>
      <c r="S1853" s="14">
        <v>200</v>
      </c>
      <c r="T1853" s="14">
        <v>200</v>
      </c>
      <c r="U1853" s="14"/>
      <c r="V1853" s="14"/>
      <c r="W1853" s="15">
        <f t="shared" si="64"/>
        <v>400</v>
      </c>
      <c r="X1853" s="14"/>
      <c r="Y1853" s="14"/>
      <c r="Z1853" s="14"/>
      <c r="AA1853" s="14"/>
      <c r="AB1853" s="14"/>
      <c r="AC1853" s="14"/>
      <c r="AD1853" s="14"/>
      <c r="AE1853" s="14"/>
      <c r="AF1853" s="14"/>
      <c r="AG1853" s="14"/>
      <c r="AH1853" s="14"/>
      <c r="AI1853" s="14"/>
      <c r="AJ1853" s="15"/>
      <c r="AK1853" s="16"/>
    </row>
    <row r="1854" spans="2:37" x14ac:dyDescent="0.2">
      <c r="B1854" s="7" t="s">
        <v>47</v>
      </c>
      <c r="C1854" s="8">
        <v>12563</v>
      </c>
      <c r="D1854" s="9" t="s">
        <v>235</v>
      </c>
      <c r="E1854" s="10" t="s">
        <v>236</v>
      </c>
      <c r="F1854" s="10" t="s">
        <v>237</v>
      </c>
      <c r="G1854" s="8">
        <v>1</v>
      </c>
      <c r="H1854" s="11">
        <v>400</v>
      </c>
      <c r="I1854" s="12">
        <v>42589</v>
      </c>
      <c r="J1854" s="13">
        <f t="shared" si="63"/>
        <v>0</v>
      </c>
      <c r="K1854" s="14"/>
      <c r="L1854" s="14"/>
      <c r="M1854" s="14"/>
      <c r="N1854" s="14"/>
      <c r="O1854" s="14"/>
      <c r="P1854" s="14"/>
      <c r="Q1854" s="14">
        <v>400</v>
      </c>
      <c r="R1854" s="14"/>
      <c r="S1854" s="14"/>
      <c r="T1854" s="14"/>
      <c r="U1854" s="14"/>
      <c r="V1854" s="14"/>
      <c r="W1854" s="15">
        <f t="shared" si="64"/>
        <v>400</v>
      </c>
      <c r="X1854" s="14"/>
      <c r="Y1854" s="14"/>
      <c r="Z1854" s="14"/>
      <c r="AA1854" s="14"/>
      <c r="AB1854" s="14"/>
      <c r="AC1854" s="14"/>
      <c r="AD1854" s="14"/>
      <c r="AE1854" s="14"/>
      <c r="AF1854" s="14"/>
      <c r="AG1854" s="14"/>
      <c r="AH1854" s="14"/>
      <c r="AI1854" s="14"/>
      <c r="AJ1854" s="15"/>
      <c r="AK1854" s="16"/>
    </row>
    <row r="1855" spans="2:37" x14ac:dyDescent="0.2">
      <c r="B1855" s="7" t="s">
        <v>73</v>
      </c>
      <c r="C1855" s="8">
        <v>12564</v>
      </c>
      <c r="D1855" s="9" t="s">
        <v>763</v>
      </c>
      <c r="E1855" s="10" t="s">
        <v>764</v>
      </c>
      <c r="F1855" s="10" t="s">
        <v>765</v>
      </c>
      <c r="G1855" s="8">
        <v>1</v>
      </c>
      <c r="H1855" s="11">
        <v>800</v>
      </c>
      <c r="I1855" s="12">
        <v>42589</v>
      </c>
      <c r="J1855" s="13">
        <f t="shared" si="63"/>
        <v>0</v>
      </c>
      <c r="K1855" s="14"/>
      <c r="L1855" s="14"/>
      <c r="M1855" s="14"/>
      <c r="N1855" s="14"/>
      <c r="O1855" s="14"/>
      <c r="P1855" s="14"/>
      <c r="Q1855" s="14">
        <v>400</v>
      </c>
      <c r="R1855" s="14">
        <v>400</v>
      </c>
      <c r="S1855" s="14"/>
      <c r="T1855" s="14"/>
      <c r="U1855" s="14"/>
      <c r="V1855" s="14"/>
      <c r="W1855" s="15">
        <f t="shared" si="64"/>
        <v>800</v>
      </c>
      <c r="X1855" s="14"/>
      <c r="Y1855" s="14"/>
      <c r="Z1855" s="14"/>
      <c r="AA1855" s="14"/>
      <c r="AB1855" s="14"/>
      <c r="AC1855" s="14"/>
      <c r="AD1855" s="14"/>
      <c r="AE1855" s="14"/>
      <c r="AF1855" s="14"/>
      <c r="AG1855" s="14"/>
      <c r="AH1855" s="14"/>
      <c r="AI1855" s="14"/>
      <c r="AJ1855" s="15"/>
      <c r="AK1855" s="16"/>
    </row>
    <row r="1856" spans="2:37" x14ac:dyDescent="0.2">
      <c r="B1856" s="7" t="s">
        <v>69</v>
      </c>
      <c r="C1856" s="8">
        <v>12565</v>
      </c>
      <c r="D1856" s="9" t="s">
        <v>871</v>
      </c>
      <c r="E1856" s="10" t="s">
        <v>872</v>
      </c>
      <c r="F1856" s="10" t="s">
        <v>873</v>
      </c>
      <c r="G1856" s="8">
        <v>1</v>
      </c>
      <c r="H1856" s="11">
        <v>200</v>
      </c>
      <c r="I1856" s="12">
        <v>42589</v>
      </c>
      <c r="J1856" s="13">
        <f t="shared" si="63"/>
        <v>0</v>
      </c>
      <c r="K1856" s="14"/>
      <c r="L1856" s="14"/>
      <c r="M1856" s="14"/>
      <c r="N1856" s="14"/>
      <c r="O1856" s="14"/>
      <c r="P1856" s="14"/>
      <c r="Q1856" s="14">
        <v>200</v>
      </c>
      <c r="R1856" s="14"/>
      <c r="S1856" s="14"/>
      <c r="T1856" s="14"/>
      <c r="U1856" s="14"/>
      <c r="V1856" s="14"/>
      <c r="W1856" s="15">
        <f t="shared" si="64"/>
        <v>200</v>
      </c>
      <c r="X1856" s="14"/>
      <c r="Y1856" s="14"/>
      <c r="Z1856" s="14"/>
      <c r="AA1856" s="14"/>
      <c r="AB1856" s="14"/>
      <c r="AC1856" s="14"/>
      <c r="AD1856" s="14"/>
      <c r="AE1856" s="14"/>
      <c r="AF1856" s="14"/>
      <c r="AG1856" s="14"/>
      <c r="AH1856" s="14"/>
      <c r="AI1856" s="14"/>
      <c r="AJ1856" s="15"/>
      <c r="AK1856" s="16"/>
    </row>
    <row r="1857" spans="2:37" x14ac:dyDescent="0.2">
      <c r="B1857" s="7" t="s">
        <v>37</v>
      </c>
      <c r="C1857" s="8">
        <v>12566</v>
      </c>
      <c r="D1857" s="9" t="s">
        <v>1042</v>
      </c>
      <c r="E1857" s="10" t="s">
        <v>1043</v>
      </c>
      <c r="F1857" s="10" t="s">
        <v>1044</v>
      </c>
      <c r="G1857" s="8">
        <v>1</v>
      </c>
      <c r="H1857" s="11">
        <v>100</v>
      </c>
      <c r="I1857" s="12">
        <v>42589</v>
      </c>
      <c r="J1857" s="13">
        <f t="shared" si="63"/>
        <v>0</v>
      </c>
      <c r="K1857" s="14"/>
      <c r="L1857" s="14"/>
      <c r="M1857" s="14"/>
      <c r="N1857" s="14"/>
      <c r="O1857" s="14"/>
      <c r="P1857" s="14"/>
      <c r="Q1857" s="14"/>
      <c r="R1857" s="14">
        <v>100</v>
      </c>
      <c r="S1857" s="14"/>
      <c r="T1857" s="14"/>
      <c r="U1857" s="14"/>
      <c r="V1857" s="14"/>
      <c r="W1857" s="15">
        <f t="shared" si="64"/>
        <v>100</v>
      </c>
      <c r="X1857" s="14"/>
      <c r="Y1857" s="14"/>
      <c r="Z1857" s="14"/>
      <c r="AA1857" s="14"/>
      <c r="AB1857" s="14"/>
      <c r="AC1857" s="14"/>
      <c r="AD1857" s="14"/>
      <c r="AE1857" s="14"/>
      <c r="AF1857" s="14"/>
      <c r="AG1857" s="14"/>
      <c r="AH1857" s="14"/>
      <c r="AI1857" s="14"/>
      <c r="AJ1857" s="15"/>
      <c r="AK1857" s="16"/>
    </row>
    <row r="1858" spans="2:37" x14ac:dyDescent="0.2">
      <c r="B1858" s="7" t="s">
        <v>37</v>
      </c>
      <c r="C1858" s="8">
        <v>12566</v>
      </c>
      <c r="D1858" s="9" t="s">
        <v>1042</v>
      </c>
      <c r="E1858" s="10" t="s">
        <v>1043</v>
      </c>
      <c r="F1858" s="10" t="s">
        <v>1044</v>
      </c>
      <c r="G1858" s="8">
        <v>5</v>
      </c>
      <c r="H1858" s="11">
        <v>50</v>
      </c>
      <c r="I1858" s="12">
        <v>42589</v>
      </c>
      <c r="J1858" s="13">
        <f t="shared" si="63"/>
        <v>0</v>
      </c>
      <c r="K1858" s="14"/>
      <c r="L1858" s="14"/>
      <c r="M1858" s="14"/>
      <c r="N1858" s="14"/>
      <c r="O1858" s="14"/>
      <c r="P1858" s="14"/>
      <c r="Q1858" s="14"/>
      <c r="R1858" s="14"/>
      <c r="S1858" s="14"/>
      <c r="T1858" s="14"/>
      <c r="U1858" s="14"/>
      <c r="V1858" s="14"/>
      <c r="W1858" s="15">
        <f t="shared" si="64"/>
        <v>0</v>
      </c>
      <c r="X1858" s="14"/>
      <c r="Y1858" s="14"/>
      <c r="Z1858" s="14"/>
      <c r="AA1858" s="14"/>
      <c r="AB1858" s="14"/>
      <c r="AC1858" s="14"/>
      <c r="AD1858" s="14"/>
      <c r="AE1858" s="14"/>
      <c r="AF1858" s="14"/>
      <c r="AG1858" s="14"/>
      <c r="AH1858" s="14"/>
      <c r="AI1858" s="14"/>
      <c r="AJ1858" s="15"/>
      <c r="AK1858" s="16"/>
    </row>
    <row r="1859" spans="2:37" x14ac:dyDescent="0.2">
      <c r="B1859" s="7" t="s">
        <v>69</v>
      </c>
      <c r="C1859" s="8">
        <v>12567</v>
      </c>
      <c r="D1859" s="9" t="s">
        <v>343</v>
      </c>
      <c r="E1859" s="10" t="s">
        <v>344</v>
      </c>
      <c r="F1859" s="10" t="s">
        <v>345</v>
      </c>
      <c r="G1859" s="8">
        <v>1</v>
      </c>
      <c r="H1859" s="11">
        <v>400</v>
      </c>
      <c r="I1859" s="12">
        <v>42589</v>
      </c>
      <c r="J1859" s="13">
        <f t="shared" si="63"/>
        <v>0</v>
      </c>
      <c r="K1859" s="14"/>
      <c r="L1859" s="14"/>
      <c r="M1859" s="14"/>
      <c r="N1859" s="14"/>
      <c r="O1859" s="14"/>
      <c r="P1859" s="14"/>
      <c r="Q1859" s="14"/>
      <c r="R1859" s="14">
        <v>400</v>
      </c>
      <c r="S1859" s="14"/>
      <c r="T1859" s="14"/>
      <c r="U1859" s="14"/>
      <c r="V1859" s="14"/>
      <c r="W1859" s="15">
        <f t="shared" si="64"/>
        <v>400</v>
      </c>
      <c r="X1859" s="14"/>
      <c r="Y1859" s="14"/>
      <c r="Z1859" s="14"/>
      <c r="AA1859" s="14"/>
      <c r="AB1859" s="14"/>
      <c r="AC1859" s="14"/>
      <c r="AD1859" s="14"/>
      <c r="AE1859" s="14"/>
      <c r="AF1859" s="14"/>
      <c r="AG1859" s="14"/>
      <c r="AH1859" s="14"/>
      <c r="AI1859" s="14"/>
      <c r="AJ1859" s="15"/>
      <c r="AK1859" s="16"/>
    </row>
    <row r="1860" spans="2:37" x14ac:dyDescent="0.2">
      <c r="B1860" s="7" t="s">
        <v>69</v>
      </c>
      <c r="C1860" s="8">
        <v>12568</v>
      </c>
      <c r="D1860" s="9" t="s">
        <v>174</v>
      </c>
      <c r="E1860" s="10" t="s">
        <v>175</v>
      </c>
      <c r="F1860" s="10" t="s">
        <v>176</v>
      </c>
      <c r="G1860" s="8">
        <v>1</v>
      </c>
      <c r="H1860" s="11">
        <v>300</v>
      </c>
      <c r="I1860" s="12">
        <v>42589</v>
      </c>
      <c r="J1860" s="13">
        <f t="shared" si="63"/>
        <v>0</v>
      </c>
      <c r="K1860" s="14"/>
      <c r="L1860" s="14"/>
      <c r="M1860" s="14"/>
      <c r="N1860" s="14"/>
      <c r="O1860" s="14"/>
      <c r="P1860" s="14"/>
      <c r="Q1860" s="14"/>
      <c r="R1860" s="14">
        <v>300</v>
      </c>
      <c r="S1860" s="14"/>
      <c r="T1860" s="14"/>
      <c r="U1860" s="14"/>
      <c r="V1860" s="14"/>
      <c r="W1860" s="15">
        <f t="shared" si="64"/>
        <v>300</v>
      </c>
      <c r="X1860" s="14"/>
      <c r="Y1860" s="14"/>
      <c r="Z1860" s="14"/>
      <c r="AA1860" s="14"/>
      <c r="AB1860" s="14"/>
      <c r="AC1860" s="14"/>
      <c r="AD1860" s="14"/>
      <c r="AE1860" s="14"/>
      <c r="AF1860" s="14"/>
      <c r="AG1860" s="14"/>
      <c r="AH1860" s="14"/>
      <c r="AI1860" s="14"/>
      <c r="AJ1860" s="15"/>
      <c r="AK1860" s="16"/>
    </row>
    <row r="1861" spans="2:37" x14ac:dyDescent="0.2">
      <c r="B1861" s="7" t="s">
        <v>69</v>
      </c>
      <c r="C1861" s="8">
        <v>12569</v>
      </c>
      <c r="D1861" s="9" t="s">
        <v>476</v>
      </c>
      <c r="E1861" s="10" t="s">
        <v>477</v>
      </c>
      <c r="F1861" s="10" t="s">
        <v>478</v>
      </c>
      <c r="G1861" s="8">
        <v>1</v>
      </c>
      <c r="H1861" s="11">
        <v>400</v>
      </c>
      <c r="I1861" s="12">
        <v>42589</v>
      </c>
      <c r="J1861" s="13">
        <f t="shared" si="63"/>
        <v>0</v>
      </c>
      <c r="K1861" s="14"/>
      <c r="L1861" s="14"/>
      <c r="M1861" s="14"/>
      <c r="N1861" s="14"/>
      <c r="O1861" s="14"/>
      <c r="P1861" s="14"/>
      <c r="Q1861" s="14"/>
      <c r="R1861" s="14">
        <v>400</v>
      </c>
      <c r="S1861" s="14"/>
      <c r="T1861" s="14"/>
      <c r="U1861" s="14"/>
      <c r="V1861" s="14"/>
      <c r="W1861" s="15">
        <f t="shared" si="64"/>
        <v>400</v>
      </c>
      <c r="X1861" s="14"/>
      <c r="Y1861" s="14"/>
      <c r="Z1861" s="14"/>
      <c r="AA1861" s="14"/>
      <c r="AB1861" s="14"/>
      <c r="AC1861" s="14"/>
      <c r="AD1861" s="14"/>
      <c r="AE1861" s="14"/>
      <c r="AF1861" s="14"/>
      <c r="AG1861" s="14"/>
      <c r="AH1861" s="14"/>
      <c r="AI1861" s="14"/>
      <c r="AJ1861" s="15"/>
      <c r="AK1861" s="16"/>
    </row>
    <row r="1862" spans="2:37" x14ac:dyDescent="0.2">
      <c r="B1862" s="7" t="s">
        <v>47</v>
      </c>
      <c r="C1862" s="8">
        <v>12570</v>
      </c>
      <c r="D1862" s="9" t="s">
        <v>416</v>
      </c>
      <c r="E1862" s="10" t="s">
        <v>417</v>
      </c>
      <c r="F1862" s="10" t="s">
        <v>418</v>
      </c>
      <c r="G1862" s="8">
        <v>1</v>
      </c>
      <c r="H1862" s="11">
        <v>200</v>
      </c>
      <c r="I1862" s="12">
        <v>42589</v>
      </c>
      <c r="J1862" s="13">
        <f t="shared" si="63"/>
        <v>0</v>
      </c>
      <c r="K1862" s="14"/>
      <c r="L1862" s="14"/>
      <c r="M1862" s="14"/>
      <c r="N1862" s="14"/>
      <c r="O1862" s="14"/>
      <c r="P1862" s="14"/>
      <c r="Q1862" s="14"/>
      <c r="R1862" s="14">
        <v>200</v>
      </c>
      <c r="S1862" s="14"/>
      <c r="T1862" s="14"/>
      <c r="U1862" s="14"/>
      <c r="V1862" s="14"/>
      <c r="W1862" s="15">
        <f t="shared" si="64"/>
        <v>200</v>
      </c>
      <c r="X1862" s="14"/>
      <c r="Y1862" s="14"/>
      <c r="Z1862" s="14"/>
      <c r="AA1862" s="14"/>
      <c r="AB1862" s="14"/>
      <c r="AC1862" s="14"/>
      <c r="AD1862" s="14"/>
      <c r="AE1862" s="14"/>
      <c r="AF1862" s="14"/>
      <c r="AG1862" s="14"/>
      <c r="AH1862" s="14"/>
      <c r="AI1862" s="14"/>
      <c r="AJ1862" s="15"/>
      <c r="AK1862" s="16"/>
    </row>
    <row r="1863" spans="2:37" x14ac:dyDescent="0.2">
      <c r="B1863" s="7" t="s">
        <v>47</v>
      </c>
      <c r="C1863" s="8">
        <v>12571</v>
      </c>
      <c r="D1863" s="9" t="s">
        <v>328</v>
      </c>
      <c r="E1863" s="10" t="s">
        <v>329</v>
      </c>
      <c r="F1863" s="10" t="s">
        <v>330</v>
      </c>
      <c r="G1863" s="8">
        <v>1</v>
      </c>
      <c r="H1863" s="11">
        <v>400</v>
      </c>
      <c r="I1863" s="12">
        <v>42589</v>
      </c>
      <c r="J1863" s="13">
        <f t="shared" si="63"/>
        <v>0</v>
      </c>
      <c r="K1863" s="14"/>
      <c r="L1863" s="14"/>
      <c r="M1863" s="14"/>
      <c r="N1863" s="14"/>
      <c r="O1863" s="14"/>
      <c r="P1863" s="14"/>
      <c r="Q1863" s="14"/>
      <c r="R1863" s="14">
        <v>400</v>
      </c>
      <c r="S1863" s="14"/>
      <c r="T1863" s="14"/>
      <c r="U1863" s="14"/>
      <c r="V1863" s="14"/>
      <c r="W1863" s="15">
        <f t="shared" si="64"/>
        <v>400</v>
      </c>
      <c r="X1863" s="14"/>
      <c r="Y1863" s="14"/>
      <c r="Z1863" s="14"/>
      <c r="AA1863" s="14"/>
      <c r="AB1863" s="14"/>
      <c r="AC1863" s="14"/>
      <c r="AD1863" s="14"/>
      <c r="AE1863" s="14"/>
      <c r="AF1863" s="14"/>
      <c r="AG1863" s="14"/>
      <c r="AH1863" s="14"/>
      <c r="AI1863" s="14"/>
      <c r="AJ1863" s="15"/>
      <c r="AK1863" s="16"/>
    </row>
    <row r="1864" spans="2:37" x14ac:dyDescent="0.2">
      <c r="B1864" s="7" t="s">
        <v>47</v>
      </c>
      <c r="C1864" s="8">
        <v>12572</v>
      </c>
      <c r="D1864" s="9" t="s">
        <v>580</v>
      </c>
      <c r="E1864" s="10" t="s">
        <v>581</v>
      </c>
      <c r="F1864" s="10" t="s">
        <v>582</v>
      </c>
      <c r="G1864" s="8">
        <v>1</v>
      </c>
      <c r="H1864" s="11">
        <v>450</v>
      </c>
      <c r="I1864" s="12">
        <v>42589</v>
      </c>
      <c r="J1864" s="13">
        <f t="shared" si="63"/>
        <v>0</v>
      </c>
      <c r="K1864" s="14"/>
      <c r="L1864" s="14"/>
      <c r="M1864" s="14"/>
      <c r="N1864" s="14"/>
      <c r="O1864" s="14"/>
      <c r="P1864" s="14"/>
      <c r="Q1864" s="14">
        <v>150</v>
      </c>
      <c r="R1864" s="14">
        <v>150</v>
      </c>
      <c r="S1864" s="14">
        <v>150</v>
      </c>
      <c r="T1864" s="14"/>
      <c r="U1864" s="14"/>
      <c r="V1864" s="14"/>
      <c r="W1864" s="15">
        <f t="shared" si="64"/>
        <v>450</v>
      </c>
      <c r="X1864" s="14"/>
      <c r="Y1864" s="14"/>
      <c r="Z1864" s="14"/>
      <c r="AA1864" s="14"/>
      <c r="AB1864" s="14"/>
      <c r="AC1864" s="14"/>
      <c r="AD1864" s="14"/>
      <c r="AE1864" s="14"/>
      <c r="AF1864" s="14"/>
      <c r="AG1864" s="14"/>
      <c r="AH1864" s="14"/>
      <c r="AI1864" s="14"/>
      <c r="AJ1864" s="15"/>
      <c r="AK1864" s="16"/>
    </row>
    <row r="1865" spans="2:37" x14ac:dyDescent="0.2">
      <c r="B1865" s="7" t="s">
        <v>69</v>
      </c>
      <c r="C1865" s="8">
        <v>12573</v>
      </c>
      <c r="D1865" s="9" t="s">
        <v>1128</v>
      </c>
      <c r="E1865" s="10" t="s">
        <v>1129</v>
      </c>
      <c r="F1865" s="10" t="s">
        <v>1130</v>
      </c>
      <c r="G1865" s="8">
        <v>5</v>
      </c>
      <c r="H1865" s="11">
        <v>200</v>
      </c>
      <c r="I1865" s="12">
        <v>42589</v>
      </c>
      <c r="J1865" s="13">
        <f t="shared" si="63"/>
        <v>0</v>
      </c>
      <c r="K1865" s="14"/>
      <c r="L1865" s="14"/>
      <c r="M1865" s="14"/>
      <c r="N1865" s="14"/>
      <c r="O1865" s="14"/>
      <c r="P1865" s="14"/>
      <c r="Q1865" s="14"/>
      <c r="R1865" s="14"/>
      <c r="S1865" s="14"/>
      <c r="T1865" s="14"/>
      <c r="U1865" s="14"/>
      <c r="V1865" s="14"/>
      <c r="W1865" s="15">
        <f t="shared" si="64"/>
        <v>0</v>
      </c>
      <c r="X1865" s="14"/>
      <c r="Y1865" s="14"/>
      <c r="Z1865" s="14"/>
      <c r="AA1865" s="14"/>
      <c r="AB1865" s="14"/>
      <c r="AC1865" s="14"/>
      <c r="AD1865" s="14"/>
      <c r="AE1865" s="14"/>
      <c r="AF1865" s="14"/>
      <c r="AG1865" s="14"/>
      <c r="AH1865" s="14"/>
      <c r="AI1865" s="14"/>
      <c r="AJ1865" s="15"/>
      <c r="AK1865" s="16"/>
    </row>
    <row r="1866" spans="2:37" x14ac:dyDescent="0.2">
      <c r="B1866" s="7" t="s">
        <v>93</v>
      </c>
      <c r="C1866" s="8">
        <v>12574</v>
      </c>
      <c r="D1866" s="9"/>
      <c r="E1866" s="10" t="s">
        <v>93</v>
      </c>
      <c r="F1866" s="10" t="s">
        <v>93</v>
      </c>
      <c r="G1866" s="8">
        <v>8</v>
      </c>
      <c r="H1866" s="11"/>
      <c r="I1866" s="12"/>
      <c r="J1866" s="13">
        <f t="shared" si="63"/>
        <v>0</v>
      </c>
      <c r="K1866" s="14"/>
      <c r="L1866" s="14"/>
      <c r="M1866" s="14"/>
      <c r="N1866" s="14"/>
      <c r="O1866" s="14"/>
      <c r="P1866" s="14"/>
      <c r="Q1866" s="14"/>
      <c r="R1866" s="14"/>
      <c r="S1866" s="14"/>
      <c r="T1866" s="14"/>
      <c r="U1866" s="14"/>
      <c r="V1866" s="14"/>
      <c r="W1866" s="15">
        <f t="shared" si="64"/>
        <v>0</v>
      </c>
      <c r="X1866" s="14"/>
      <c r="Y1866" s="14"/>
      <c r="Z1866" s="14"/>
      <c r="AA1866" s="14"/>
      <c r="AB1866" s="14"/>
      <c r="AC1866" s="14"/>
      <c r="AD1866" s="14"/>
      <c r="AE1866" s="14"/>
      <c r="AF1866" s="14"/>
      <c r="AG1866" s="14"/>
      <c r="AH1866" s="14"/>
      <c r="AI1866" s="14"/>
      <c r="AJ1866" s="15"/>
      <c r="AK1866" s="16"/>
    </row>
    <row r="1867" spans="2:37" x14ac:dyDescent="0.2">
      <c r="B1867" s="7" t="s">
        <v>73</v>
      </c>
      <c r="C1867" s="8">
        <v>12575</v>
      </c>
      <c r="D1867" s="9" t="s">
        <v>586</v>
      </c>
      <c r="E1867" s="10" t="s">
        <v>587</v>
      </c>
      <c r="F1867" s="10" t="s">
        <v>588</v>
      </c>
      <c r="G1867" s="8">
        <v>1</v>
      </c>
      <c r="H1867" s="11">
        <v>400</v>
      </c>
      <c r="I1867" s="12">
        <v>42589</v>
      </c>
      <c r="J1867" s="13">
        <f t="shared" si="63"/>
        <v>0</v>
      </c>
      <c r="K1867" s="14"/>
      <c r="L1867" s="14"/>
      <c r="M1867" s="14"/>
      <c r="N1867" s="14"/>
      <c r="O1867" s="14"/>
      <c r="P1867" s="14">
        <v>200</v>
      </c>
      <c r="Q1867" s="14">
        <v>200</v>
      </c>
      <c r="R1867" s="14"/>
      <c r="S1867" s="14"/>
      <c r="T1867" s="14"/>
      <c r="U1867" s="14"/>
      <c r="V1867" s="14"/>
      <c r="W1867" s="15">
        <f t="shared" si="64"/>
        <v>400</v>
      </c>
      <c r="X1867" s="14"/>
      <c r="Y1867" s="14"/>
      <c r="Z1867" s="14"/>
      <c r="AA1867" s="14"/>
      <c r="AB1867" s="14"/>
      <c r="AC1867" s="14"/>
      <c r="AD1867" s="14"/>
      <c r="AE1867" s="14"/>
      <c r="AF1867" s="14"/>
      <c r="AG1867" s="14"/>
      <c r="AH1867" s="14"/>
      <c r="AI1867" s="14"/>
      <c r="AJ1867" s="15"/>
      <c r="AK1867" s="16"/>
    </row>
    <row r="1868" spans="2:37" x14ac:dyDescent="0.2">
      <c r="B1868" s="7" t="s">
        <v>73</v>
      </c>
      <c r="C1868" s="8">
        <v>12575</v>
      </c>
      <c r="D1868" s="9" t="s">
        <v>586</v>
      </c>
      <c r="E1868" s="10" t="s">
        <v>587</v>
      </c>
      <c r="F1868" s="10" t="s">
        <v>588</v>
      </c>
      <c r="G1868" s="8">
        <v>3</v>
      </c>
      <c r="H1868" s="11">
        <v>200</v>
      </c>
      <c r="I1868" s="12">
        <v>42589</v>
      </c>
      <c r="J1868" s="13">
        <f t="shared" si="63"/>
        <v>0</v>
      </c>
      <c r="K1868" s="14"/>
      <c r="L1868" s="14"/>
      <c r="M1868" s="14"/>
      <c r="N1868" s="14"/>
      <c r="O1868" s="14"/>
      <c r="P1868" s="14"/>
      <c r="Q1868" s="14"/>
      <c r="R1868" s="14"/>
      <c r="S1868" s="14"/>
      <c r="T1868" s="14"/>
      <c r="U1868" s="14"/>
      <c r="V1868" s="14"/>
      <c r="W1868" s="15">
        <f t="shared" si="64"/>
        <v>0</v>
      </c>
      <c r="X1868" s="14"/>
      <c r="Y1868" s="14"/>
      <c r="Z1868" s="14"/>
      <c r="AA1868" s="14"/>
      <c r="AB1868" s="14"/>
      <c r="AC1868" s="14"/>
      <c r="AD1868" s="14"/>
      <c r="AE1868" s="14"/>
      <c r="AF1868" s="14"/>
      <c r="AG1868" s="14"/>
      <c r="AH1868" s="14"/>
      <c r="AI1868" s="14"/>
      <c r="AJ1868" s="15"/>
      <c r="AK1868" s="16"/>
    </row>
    <row r="1869" spans="2:37" x14ac:dyDescent="0.2">
      <c r="B1869" s="7" t="s">
        <v>73</v>
      </c>
      <c r="C1869" s="8">
        <v>12575</v>
      </c>
      <c r="D1869" s="9" t="s">
        <v>586</v>
      </c>
      <c r="E1869" s="10" t="s">
        <v>587</v>
      </c>
      <c r="F1869" s="10" t="s">
        <v>588</v>
      </c>
      <c r="G1869" s="8">
        <v>5</v>
      </c>
      <c r="H1869" s="11">
        <v>100</v>
      </c>
      <c r="I1869" s="12">
        <v>42589</v>
      </c>
      <c r="J1869" s="13">
        <f t="shared" si="63"/>
        <v>0</v>
      </c>
      <c r="K1869" s="14"/>
      <c r="L1869" s="14"/>
      <c r="M1869" s="14"/>
      <c r="N1869" s="14"/>
      <c r="O1869" s="14"/>
      <c r="P1869" s="14"/>
      <c r="Q1869" s="14"/>
      <c r="R1869" s="14"/>
      <c r="S1869" s="14"/>
      <c r="T1869" s="14"/>
      <c r="U1869" s="14"/>
      <c r="V1869" s="14"/>
      <c r="W1869" s="15">
        <f t="shared" si="64"/>
        <v>0</v>
      </c>
      <c r="X1869" s="14"/>
      <c r="Y1869" s="14"/>
      <c r="Z1869" s="14"/>
      <c r="AA1869" s="14"/>
      <c r="AB1869" s="14"/>
      <c r="AC1869" s="14"/>
      <c r="AD1869" s="14"/>
      <c r="AE1869" s="14"/>
      <c r="AF1869" s="14"/>
      <c r="AG1869" s="14"/>
      <c r="AH1869" s="14"/>
      <c r="AI1869" s="14"/>
      <c r="AJ1869" s="15"/>
      <c r="AK1869" s="16"/>
    </row>
    <row r="1870" spans="2:37" x14ac:dyDescent="0.2">
      <c r="B1870" s="7" t="s">
        <v>37</v>
      </c>
      <c r="C1870" s="8">
        <v>12576</v>
      </c>
      <c r="D1870" s="9" t="s">
        <v>568</v>
      </c>
      <c r="E1870" s="10" t="s">
        <v>569</v>
      </c>
      <c r="F1870" s="10" t="s">
        <v>570</v>
      </c>
      <c r="G1870" s="8">
        <v>1</v>
      </c>
      <c r="H1870" s="11">
        <v>400</v>
      </c>
      <c r="I1870" s="12">
        <v>42589</v>
      </c>
      <c r="J1870" s="13">
        <f t="shared" si="63"/>
        <v>0</v>
      </c>
      <c r="K1870" s="14"/>
      <c r="L1870" s="14"/>
      <c r="M1870" s="14"/>
      <c r="N1870" s="14"/>
      <c r="O1870" s="14"/>
      <c r="P1870" s="14"/>
      <c r="Q1870" s="14"/>
      <c r="R1870" s="14">
        <v>400</v>
      </c>
      <c r="S1870" s="14"/>
      <c r="T1870" s="14"/>
      <c r="U1870" s="14"/>
      <c r="V1870" s="14"/>
      <c r="W1870" s="15">
        <f t="shared" si="64"/>
        <v>400</v>
      </c>
      <c r="X1870" s="14"/>
      <c r="Y1870" s="14"/>
      <c r="Z1870" s="14"/>
      <c r="AA1870" s="14"/>
      <c r="AB1870" s="14"/>
      <c r="AC1870" s="14"/>
      <c r="AD1870" s="14"/>
      <c r="AE1870" s="14"/>
      <c r="AF1870" s="14"/>
      <c r="AG1870" s="14"/>
      <c r="AH1870" s="14"/>
      <c r="AI1870" s="14"/>
      <c r="AJ1870" s="15"/>
      <c r="AK1870" s="16"/>
    </row>
    <row r="1871" spans="2:37" x14ac:dyDescent="0.2">
      <c r="B1871" s="7" t="s">
        <v>37</v>
      </c>
      <c r="C1871" s="8">
        <v>12576</v>
      </c>
      <c r="D1871" s="9" t="s">
        <v>568</v>
      </c>
      <c r="E1871" s="10" t="s">
        <v>569</v>
      </c>
      <c r="F1871" s="10" t="s">
        <v>570</v>
      </c>
      <c r="G1871" s="8">
        <v>5</v>
      </c>
      <c r="H1871" s="11">
        <v>50</v>
      </c>
      <c r="I1871" s="12">
        <v>42589</v>
      </c>
      <c r="J1871" s="13">
        <f t="shared" ref="J1871:J1934" si="65">IF(G1871=1,SUM(W1871,-H1871),0)</f>
        <v>0</v>
      </c>
      <c r="K1871" s="14"/>
      <c r="L1871" s="14"/>
      <c r="M1871" s="14"/>
      <c r="N1871" s="14"/>
      <c r="O1871" s="14"/>
      <c r="P1871" s="14"/>
      <c r="Q1871" s="14"/>
      <c r="R1871" s="14"/>
      <c r="S1871" s="14"/>
      <c r="T1871" s="14"/>
      <c r="U1871" s="14"/>
      <c r="V1871" s="14"/>
      <c r="W1871" s="15">
        <f t="shared" ref="W1871:W1934" si="66">SUM(K1871:V1871)</f>
        <v>0</v>
      </c>
      <c r="X1871" s="14"/>
      <c r="Y1871" s="14"/>
      <c r="Z1871" s="14"/>
      <c r="AA1871" s="14"/>
      <c r="AB1871" s="14"/>
      <c r="AC1871" s="14"/>
      <c r="AD1871" s="14"/>
      <c r="AE1871" s="14"/>
      <c r="AF1871" s="14"/>
      <c r="AG1871" s="14"/>
      <c r="AH1871" s="14"/>
      <c r="AI1871" s="14"/>
      <c r="AJ1871" s="15"/>
      <c r="AK1871" s="16"/>
    </row>
    <row r="1872" spans="2:37" x14ac:dyDescent="0.2">
      <c r="B1872" s="7" t="s">
        <v>73</v>
      </c>
      <c r="C1872" s="8">
        <v>12577</v>
      </c>
      <c r="D1872" s="9" t="s">
        <v>1131</v>
      </c>
      <c r="E1872" s="10" t="s">
        <v>1132</v>
      </c>
      <c r="F1872" s="10" t="s">
        <v>1133</v>
      </c>
      <c r="G1872" s="8">
        <v>1</v>
      </c>
      <c r="H1872" s="11">
        <v>300</v>
      </c>
      <c r="I1872" s="12">
        <v>42589</v>
      </c>
      <c r="J1872" s="13">
        <f t="shared" si="65"/>
        <v>0</v>
      </c>
      <c r="K1872" s="14"/>
      <c r="L1872" s="14"/>
      <c r="M1872" s="14"/>
      <c r="N1872" s="14"/>
      <c r="O1872" s="14"/>
      <c r="P1872" s="14"/>
      <c r="Q1872" s="14"/>
      <c r="R1872" s="14">
        <v>300</v>
      </c>
      <c r="S1872" s="14"/>
      <c r="T1872" s="14"/>
      <c r="U1872" s="14"/>
      <c r="V1872" s="14"/>
      <c r="W1872" s="15">
        <f t="shared" si="66"/>
        <v>300</v>
      </c>
      <c r="X1872" s="14"/>
      <c r="Y1872" s="14"/>
      <c r="Z1872" s="14"/>
      <c r="AA1872" s="14"/>
      <c r="AB1872" s="14"/>
      <c r="AC1872" s="14"/>
      <c r="AD1872" s="14"/>
      <c r="AE1872" s="14"/>
      <c r="AF1872" s="14"/>
      <c r="AG1872" s="14"/>
      <c r="AH1872" s="14"/>
      <c r="AI1872" s="14"/>
      <c r="AJ1872" s="15"/>
      <c r="AK1872" s="16"/>
    </row>
    <row r="1873" spans="2:37" x14ac:dyDescent="0.2">
      <c r="B1873" s="7" t="s">
        <v>73</v>
      </c>
      <c r="C1873" s="8">
        <v>12577</v>
      </c>
      <c r="D1873" s="9" t="s">
        <v>1131</v>
      </c>
      <c r="E1873" s="10" t="s">
        <v>1132</v>
      </c>
      <c r="F1873" s="10" t="s">
        <v>1133</v>
      </c>
      <c r="G1873" s="8">
        <v>5</v>
      </c>
      <c r="H1873" s="11">
        <v>100</v>
      </c>
      <c r="I1873" s="12">
        <v>42589</v>
      </c>
      <c r="J1873" s="13">
        <f t="shared" si="65"/>
        <v>0</v>
      </c>
      <c r="K1873" s="14"/>
      <c r="L1873" s="14"/>
      <c r="M1873" s="14"/>
      <c r="N1873" s="14"/>
      <c r="O1873" s="14"/>
      <c r="P1873" s="14"/>
      <c r="Q1873" s="14"/>
      <c r="R1873" s="14"/>
      <c r="S1873" s="14"/>
      <c r="T1873" s="14"/>
      <c r="U1873" s="14"/>
      <c r="V1873" s="14"/>
      <c r="W1873" s="15">
        <f t="shared" si="66"/>
        <v>0</v>
      </c>
      <c r="X1873" s="14"/>
      <c r="Y1873" s="14"/>
      <c r="Z1873" s="14"/>
      <c r="AA1873" s="14"/>
      <c r="AB1873" s="14"/>
      <c r="AC1873" s="14"/>
      <c r="AD1873" s="14"/>
      <c r="AE1873" s="14"/>
      <c r="AF1873" s="14"/>
      <c r="AG1873" s="14"/>
      <c r="AH1873" s="14"/>
      <c r="AI1873" s="14"/>
      <c r="AJ1873" s="15"/>
      <c r="AK1873" s="16"/>
    </row>
    <row r="1874" spans="2:37" x14ac:dyDescent="0.2">
      <c r="B1874" s="7" t="s">
        <v>77</v>
      </c>
      <c r="C1874" s="8">
        <v>12578</v>
      </c>
      <c r="D1874" s="9" t="s">
        <v>159</v>
      </c>
      <c r="E1874" s="10" t="s">
        <v>160</v>
      </c>
      <c r="F1874" s="10" t="s">
        <v>161</v>
      </c>
      <c r="G1874" s="8">
        <v>1</v>
      </c>
      <c r="H1874" s="11">
        <v>400</v>
      </c>
      <c r="I1874" s="12">
        <v>42589</v>
      </c>
      <c r="J1874" s="13">
        <f t="shared" si="65"/>
        <v>0</v>
      </c>
      <c r="K1874" s="14"/>
      <c r="L1874" s="14"/>
      <c r="M1874" s="14"/>
      <c r="N1874" s="14"/>
      <c r="O1874" s="14"/>
      <c r="P1874" s="14"/>
      <c r="Q1874" s="14">
        <v>400</v>
      </c>
      <c r="R1874" s="14"/>
      <c r="S1874" s="14"/>
      <c r="T1874" s="14"/>
      <c r="U1874" s="14"/>
      <c r="V1874" s="14"/>
      <c r="W1874" s="15">
        <f t="shared" si="66"/>
        <v>400</v>
      </c>
      <c r="X1874" s="14"/>
      <c r="Y1874" s="14"/>
      <c r="Z1874" s="14"/>
      <c r="AA1874" s="14"/>
      <c r="AB1874" s="14"/>
      <c r="AC1874" s="14"/>
      <c r="AD1874" s="14"/>
      <c r="AE1874" s="14"/>
      <c r="AF1874" s="14"/>
      <c r="AG1874" s="14"/>
      <c r="AH1874" s="14"/>
      <c r="AI1874" s="14"/>
      <c r="AJ1874" s="15"/>
      <c r="AK1874" s="16"/>
    </row>
    <row r="1875" spans="2:37" x14ac:dyDescent="0.2">
      <c r="B1875" s="7" t="s">
        <v>47</v>
      </c>
      <c r="C1875" s="8">
        <v>12486</v>
      </c>
      <c r="D1875" s="9" t="s">
        <v>1134</v>
      </c>
      <c r="E1875" s="10" t="s">
        <v>1135</v>
      </c>
      <c r="F1875" s="10" t="s">
        <v>1136</v>
      </c>
      <c r="G1875" s="8">
        <v>5</v>
      </c>
      <c r="H1875" s="11">
        <v>100</v>
      </c>
      <c r="I1875" s="12">
        <v>42585</v>
      </c>
      <c r="J1875" s="13">
        <f t="shared" si="65"/>
        <v>0</v>
      </c>
      <c r="K1875" s="14"/>
      <c r="L1875" s="14"/>
      <c r="M1875" s="14"/>
      <c r="N1875" s="14"/>
      <c r="O1875" s="14"/>
      <c r="P1875" s="14"/>
      <c r="Q1875" s="14"/>
      <c r="R1875" s="14"/>
      <c r="S1875" s="14"/>
      <c r="T1875" s="14"/>
      <c r="U1875" s="14"/>
      <c r="V1875" s="14"/>
      <c r="W1875" s="15">
        <f t="shared" si="66"/>
        <v>0</v>
      </c>
      <c r="X1875" s="14"/>
      <c r="Y1875" s="14"/>
      <c r="Z1875" s="14"/>
      <c r="AA1875" s="14"/>
      <c r="AB1875" s="14"/>
      <c r="AC1875" s="14"/>
      <c r="AD1875" s="14"/>
      <c r="AE1875" s="14"/>
      <c r="AF1875" s="14"/>
      <c r="AG1875" s="14"/>
      <c r="AH1875" s="14"/>
      <c r="AI1875" s="14"/>
      <c r="AJ1875" s="15"/>
      <c r="AK1875" s="16"/>
    </row>
    <row r="1876" spans="2:37" x14ac:dyDescent="0.2">
      <c r="B1876" s="7" t="s">
        <v>47</v>
      </c>
      <c r="C1876" s="8">
        <v>12487</v>
      </c>
      <c r="D1876" s="9" t="s">
        <v>1134</v>
      </c>
      <c r="E1876" s="10" t="s">
        <v>1135</v>
      </c>
      <c r="F1876" s="10" t="s">
        <v>1136</v>
      </c>
      <c r="G1876" s="8">
        <v>5</v>
      </c>
      <c r="H1876" s="11">
        <v>50</v>
      </c>
      <c r="I1876" s="12">
        <v>42585</v>
      </c>
      <c r="J1876" s="13">
        <f t="shared" si="65"/>
        <v>0</v>
      </c>
      <c r="K1876" s="14"/>
      <c r="L1876" s="14"/>
      <c r="M1876" s="14"/>
      <c r="N1876" s="14"/>
      <c r="O1876" s="14"/>
      <c r="P1876" s="14"/>
      <c r="Q1876" s="14"/>
      <c r="R1876" s="14"/>
      <c r="S1876" s="14"/>
      <c r="T1876" s="14"/>
      <c r="U1876" s="14"/>
      <c r="V1876" s="14"/>
      <c r="W1876" s="15">
        <f t="shared" si="66"/>
        <v>0</v>
      </c>
      <c r="X1876" s="14"/>
      <c r="Y1876" s="14"/>
      <c r="Z1876" s="14"/>
      <c r="AA1876" s="14"/>
      <c r="AB1876" s="14"/>
      <c r="AC1876" s="14"/>
      <c r="AD1876" s="14"/>
      <c r="AE1876" s="14"/>
      <c r="AF1876" s="14"/>
      <c r="AG1876" s="14"/>
      <c r="AH1876" s="14"/>
      <c r="AI1876" s="14"/>
      <c r="AJ1876" s="15"/>
      <c r="AK1876" s="16"/>
    </row>
    <row r="1877" spans="2:37" x14ac:dyDescent="0.2">
      <c r="B1877" s="7" t="s">
        <v>47</v>
      </c>
      <c r="C1877" s="8">
        <v>12488</v>
      </c>
      <c r="D1877" s="9" t="s">
        <v>1137</v>
      </c>
      <c r="E1877" s="10" t="s">
        <v>1138</v>
      </c>
      <c r="F1877" s="10" t="s">
        <v>651</v>
      </c>
      <c r="G1877" s="8">
        <v>1</v>
      </c>
      <c r="H1877" s="11">
        <v>100</v>
      </c>
      <c r="I1877" s="12">
        <v>42586</v>
      </c>
      <c r="J1877" s="13">
        <f t="shared" si="65"/>
        <v>0</v>
      </c>
      <c r="K1877" s="14"/>
      <c r="L1877" s="14"/>
      <c r="M1877" s="14"/>
      <c r="N1877" s="14"/>
      <c r="O1877" s="14"/>
      <c r="P1877" s="14"/>
      <c r="Q1877" s="14"/>
      <c r="R1877" s="14">
        <v>100</v>
      </c>
      <c r="S1877" s="14"/>
      <c r="T1877" s="14"/>
      <c r="U1877" s="14"/>
      <c r="V1877" s="14"/>
      <c r="W1877" s="15">
        <f t="shared" si="66"/>
        <v>100</v>
      </c>
      <c r="X1877" s="14"/>
      <c r="Y1877" s="14"/>
      <c r="Z1877" s="14"/>
      <c r="AA1877" s="14"/>
      <c r="AB1877" s="14"/>
      <c r="AC1877" s="14"/>
      <c r="AD1877" s="14"/>
      <c r="AE1877" s="14"/>
      <c r="AF1877" s="14"/>
      <c r="AG1877" s="14"/>
      <c r="AH1877" s="14"/>
      <c r="AI1877" s="14"/>
      <c r="AJ1877" s="15"/>
      <c r="AK1877" s="16"/>
    </row>
    <row r="1878" spans="2:37" x14ac:dyDescent="0.2">
      <c r="B1878" s="7" t="s">
        <v>47</v>
      </c>
      <c r="C1878" s="8">
        <v>12488</v>
      </c>
      <c r="D1878" s="9" t="s">
        <v>1137</v>
      </c>
      <c r="E1878" s="10" t="s">
        <v>1138</v>
      </c>
      <c r="F1878" s="10" t="s">
        <v>651</v>
      </c>
      <c r="G1878" s="8">
        <v>5</v>
      </c>
      <c r="H1878" s="11">
        <v>100</v>
      </c>
      <c r="I1878" s="12">
        <v>42586</v>
      </c>
      <c r="J1878" s="13">
        <f t="shared" si="65"/>
        <v>0</v>
      </c>
      <c r="K1878" s="14"/>
      <c r="L1878" s="14"/>
      <c r="M1878" s="14"/>
      <c r="N1878" s="14"/>
      <c r="O1878" s="14"/>
      <c r="P1878" s="14"/>
      <c r="Q1878" s="14"/>
      <c r="R1878" s="14"/>
      <c r="S1878" s="14"/>
      <c r="T1878" s="14"/>
      <c r="U1878" s="14"/>
      <c r="V1878" s="14"/>
      <c r="W1878" s="15">
        <f t="shared" si="66"/>
        <v>0</v>
      </c>
      <c r="X1878" s="14"/>
      <c r="Y1878" s="14"/>
      <c r="Z1878" s="14"/>
      <c r="AA1878" s="14"/>
      <c r="AB1878" s="14"/>
      <c r="AC1878" s="14"/>
      <c r="AD1878" s="14"/>
      <c r="AE1878" s="14"/>
      <c r="AF1878" s="14"/>
      <c r="AG1878" s="14"/>
      <c r="AH1878" s="14"/>
      <c r="AI1878" s="14"/>
      <c r="AJ1878" s="15"/>
      <c r="AK1878" s="16"/>
    </row>
    <row r="1879" spans="2:37" x14ac:dyDescent="0.2">
      <c r="B1879" s="7" t="s">
        <v>47</v>
      </c>
      <c r="C1879" s="8">
        <v>12489</v>
      </c>
      <c r="D1879" s="9" t="s">
        <v>1139</v>
      </c>
      <c r="E1879" s="10" t="s">
        <v>1140</v>
      </c>
      <c r="F1879" s="10" t="s">
        <v>1141</v>
      </c>
      <c r="G1879" s="8">
        <v>1</v>
      </c>
      <c r="H1879" s="11">
        <v>100</v>
      </c>
      <c r="I1879" s="12">
        <v>42586</v>
      </c>
      <c r="J1879" s="13">
        <f t="shared" si="65"/>
        <v>0</v>
      </c>
      <c r="K1879" s="14"/>
      <c r="L1879" s="14"/>
      <c r="M1879" s="14"/>
      <c r="N1879" s="14"/>
      <c r="O1879" s="14"/>
      <c r="P1879" s="14"/>
      <c r="Q1879" s="14"/>
      <c r="R1879" s="14">
        <v>100</v>
      </c>
      <c r="S1879" s="14"/>
      <c r="T1879" s="14"/>
      <c r="U1879" s="14"/>
      <c r="V1879" s="14"/>
      <c r="W1879" s="15">
        <f t="shared" si="66"/>
        <v>100</v>
      </c>
      <c r="X1879" s="14"/>
      <c r="Y1879" s="14"/>
      <c r="Z1879" s="14"/>
      <c r="AA1879" s="14"/>
      <c r="AB1879" s="14"/>
      <c r="AC1879" s="14"/>
      <c r="AD1879" s="14"/>
      <c r="AE1879" s="14"/>
      <c r="AF1879" s="14"/>
      <c r="AG1879" s="14"/>
      <c r="AH1879" s="14"/>
      <c r="AI1879" s="14"/>
      <c r="AJ1879" s="15"/>
      <c r="AK1879" s="16"/>
    </row>
    <row r="1880" spans="2:37" x14ac:dyDescent="0.2">
      <c r="B1880" s="7" t="s">
        <v>47</v>
      </c>
      <c r="C1880" s="8">
        <v>12489</v>
      </c>
      <c r="D1880" s="9" t="s">
        <v>1139</v>
      </c>
      <c r="E1880" s="10" t="s">
        <v>1140</v>
      </c>
      <c r="F1880" s="10" t="s">
        <v>1141</v>
      </c>
      <c r="G1880" s="8">
        <v>5</v>
      </c>
      <c r="H1880" s="11">
        <v>50</v>
      </c>
      <c r="I1880" s="12">
        <v>42586</v>
      </c>
      <c r="J1880" s="13">
        <f t="shared" si="65"/>
        <v>0</v>
      </c>
      <c r="K1880" s="14"/>
      <c r="L1880" s="14"/>
      <c r="M1880" s="14"/>
      <c r="N1880" s="14"/>
      <c r="O1880" s="14"/>
      <c r="P1880" s="14"/>
      <c r="Q1880" s="14"/>
      <c r="R1880" s="14"/>
      <c r="S1880" s="14"/>
      <c r="T1880" s="14"/>
      <c r="U1880" s="14"/>
      <c r="V1880" s="14"/>
      <c r="W1880" s="15">
        <f t="shared" si="66"/>
        <v>0</v>
      </c>
      <c r="X1880" s="14"/>
      <c r="Y1880" s="14"/>
      <c r="Z1880" s="14"/>
      <c r="AA1880" s="14"/>
      <c r="AB1880" s="14"/>
      <c r="AC1880" s="14"/>
      <c r="AD1880" s="14"/>
      <c r="AE1880" s="14"/>
      <c r="AF1880" s="14"/>
      <c r="AG1880" s="14"/>
      <c r="AH1880" s="14"/>
      <c r="AI1880" s="14"/>
      <c r="AJ1880" s="15"/>
      <c r="AK1880" s="16"/>
    </row>
    <row r="1881" spans="2:37" x14ac:dyDescent="0.2">
      <c r="B1881" s="7" t="s">
        <v>47</v>
      </c>
      <c r="C1881" s="8">
        <v>12490</v>
      </c>
      <c r="D1881" s="9" t="s">
        <v>1142</v>
      </c>
      <c r="E1881" s="10" t="s">
        <v>1143</v>
      </c>
      <c r="F1881" s="10" t="s">
        <v>1144</v>
      </c>
      <c r="G1881" s="8">
        <v>1</v>
      </c>
      <c r="H1881" s="11">
        <v>400</v>
      </c>
      <c r="I1881" s="12">
        <v>42591</v>
      </c>
      <c r="J1881" s="13">
        <f t="shared" si="65"/>
        <v>0</v>
      </c>
      <c r="K1881" s="14"/>
      <c r="L1881" s="14"/>
      <c r="M1881" s="14"/>
      <c r="N1881" s="14"/>
      <c r="O1881" s="14"/>
      <c r="P1881" s="14"/>
      <c r="Q1881" s="14"/>
      <c r="R1881" s="14">
        <v>400</v>
      </c>
      <c r="S1881" s="14"/>
      <c r="T1881" s="14"/>
      <c r="U1881" s="14"/>
      <c r="V1881" s="14"/>
      <c r="W1881" s="15">
        <f t="shared" si="66"/>
        <v>400</v>
      </c>
      <c r="X1881" s="14"/>
      <c r="Y1881" s="14"/>
      <c r="Z1881" s="14"/>
      <c r="AA1881" s="14"/>
      <c r="AB1881" s="14"/>
      <c r="AC1881" s="14"/>
      <c r="AD1881" s="14"/>
      <c r="AE1881" s="14"/>
      <c r="AF1881" s="14"/>
      <c r="AG1881" s="14"/>
      <c r="AH1881" s="14"/>
      <c r="AI1881" s="14"/>
      <c r="AJ1881" s="15"/>
      <c r="AK1881" s="16"/>
    </row>
    <row r="1882" spans="2:37" x14ac:dyDescent="0.2">
      <c r="B1882" s="7" t="s">
        <v>47</v>
      </c>
      <c r="C1882" s="8">
        <v>12490</v>
      </c>
      <c r="D1882" s="9" t="s">
        <v>1142</v>
      </c>
      <c r="E1882" s="10" t="s">
        <v>1143</v>
      </c>
      <c r="F1882" s="10" t="s">
        <v>1144</v>
      </c>
      <c r="G1882" s="8">
        <v>5</v>
      </c>
      <c r="H1882" s="11">
        <v>200</v>
      </c>
      <c r="I1882" s="12">
        <v>42591</v>
      </c>
      <c r="J1882" s="13">
        <f t="shared" si="65"/>
        <v>0</v>
      </c>
      <c r="K1882" s="14"/>
      <c r="L1882" s="14"/>
      <c r="M1882" s="14"/>
      <c r="N1882" s="14"/>
      <c r="O1882" s="14"/>
      <c r="P1882" s="14"/>
      <c r="Q1882" s="14"/>
      <c r="R1882" s="14"/>
      <c r="S1882" s="14"/>
      <c r="T1882" s="14"/>
      <c r="U1882" s="14"/>
      <c r="V1882" s="14"/>
      <c r="W1882" s="15">
        <f t="shared" si="66"/>
        <v>0</v>
      </c>
      <c r="X1882" s="14"/>
      <c r="Y1882" s="14"/>
      <c r="Z1882" s="14"/>
      <c r="AA1882" s="14"/>
      <c r="AB1882" s="14"/>
      <c r="AC1882" s="14"/>
      <c r="AD1882" s="14"/>
      <c r="AE1882" s="14"/>
      <c r="AF1882" s="14"/>
      <c r="AG1882" s="14"/>
      <c r="AH1882" s="14"/>
      <c r="AI1882" s="14"/>
      <c r="AJ1882" s="15"/>
      <c r="AK1882" s="16"/>
    </row>
    <row r="1883" spans="2:37" x14ac:dyDescent="0.2">
      <c r="B1883" s="7" t="s">
        <v>47</v>
      </c>
      <c r="C1883" s="8">
        <v>12491</v>
      </c>
      <c r="D1883" s="9" t="s">
        <v>1142</v>
      </c>
      <c r="E1883" s="10" t="s">
        <v>1143</v>
      </c>
      <c r="F1883" s="10" t="s">
        <v>1144</v>
      </c>
      <c r="G1883" s="8">
        <v>5</v>
      </c>
      <c r="H1883" s="11">
        <v>50</v>
      </c>
      <c r="I1883" s="12">
        <v>42591</v>
      </c>
      <c r="J1883" s="13">
        <f t="shared" si="65"/>
        <v>0</v>
      </c>
      <c r="K1883" s="14"/>
      <c r="L1883" s="14"/>
      <c r="M1883" s="14"/>
      <c r="N1883" s="14"/>
      <c r="O1883" s="14"/>
      <c r="P1883" s="14"/>
      <c r="Q1883" s="14"/>
      <c r="R1883" s="14"/>
      <c r="S1883" s="14"/>
      <c r="T1883" s="14"/>
      <c r="U1883" s="14"/>
      <c r="V1883" s="14"/>
      <c r="W1883" s="15">
        <f t="shared" si="66"/>
        <v>0</v>
      </c>
      <c r="X1883" s="14"/>
      <c r="Y1883" s="14"/>
      <c r="Z1883" s="14"/>
      <c r="AA1883" s="14"/>
      <c r="AB1883" s="14"/>
      <c r="AC1883" s="14"/>
      <c r="AD1883" s="14"/>
      <c r="AE1883" s="14"/>
      <c r="AF1883" s="14"/>
      <c r="AG1883" s="14"/>
      <c r="AH1883" s="14"/>
      <c r="AI1883" s="14"/>
      <c r="AJ1883" s="15"/>
      <c r="AK1883" s="16"/>
    </row>
    <row r="1884" spans="2:37" x14ac:dyDescent="0.2">
      <c r="B1884" s="7" t="s">
        <v>47</v>
      </c>
      <c r="C1884" s="8">
        <v>12492</v>
      </c>
      <c r="D1884" s="9" t="s">
        <v>1145</v>
      </c>
      <c r="E1884" s="10" t="s">
        <v>1146</v>
      </c>
      <c r="F1884" s="10" t="s">
        <v>1147</v>
      </c>
      <c r="G1884" s="8">
        <v>1</v>
      </c>
      <c r="H1884" s="11">
        <v>200</v>
      </c>
      <c r="I1884" s="12">
        <v>42591</v>
      </c>
      <c r="J1884" s="13">
        <f t="shared" si="65"/>
        <v>0</v>
      </c>
      <c r="K1884" s="14"/>
      <c r="L1884" s="14"/>
      <c r="M1884" s="14"/>
      <c r="N1884" s="14"/>
      <c r="O1884" s="14"/>
      <c r="P1884" s="14"/>
      <c r="Q1884" s="14"/>
      <c r="R1884" s="14">
        <v>200</v>
      </c>
      <c r="S1884" s="14"/>
      <c r="T1884" s="14"/>
      <c r="U1884" s="14"/>
      <c r="V1884" s="14"/>
      <c r="W1884" s="15">
        <f t="shared" si="66"/>
        <v>200</v>
      </c>
      <c r="X1884" s="14"/>
      <c r="Y1884" s="14"/>
      <c r="Z1884" s="14"/>
      <c r="AA1884" s="14"/>
      <c r="AB1884" s="14"/>
      <c r="AC1884" s="14"/>
      <c r="AD1884" s="14"/>
      <c r="AE1884" s="14"/>
      <c r="AF1884" s="14"/>
      <c r="AG1884" s="14"/>
      <c r="AH1884" s="14"/>
      <c r="AI1884" s="14"/>
      <c r="AJ1884" s="15"/>
      <c r="AK1884" s="16"/>
    </row>
    <row r="1885" spans="2:37" x14ac:dyDescent="0.2">
      <c r="B1885" s="7" t="s">
        <v>47</v>
      </c>
      <c r="C1885" s="8">
        <v>12492</v>
      </c>
      <c r="D1885" s="9" t="s">
        <v>1145</v>
      </c>
      <c r="E1885" s="10" t="s">
        <v>1146</v>
      </c>
      <c r="F1885" s="10" t="s">
        <v>1147</v>
      </c>
      <c r="G1885" s="8">
        <v>5</v>
      </c>
      <c r="H1885" s="11">
        <v>100</v>
      </c>
      <c r="I1885" s="12">
        <v>42591</v>
      </c>
      <c r="J1885" s="13">
        <f t="shared" si="65"/>
        <v>0</v>
      </c>
      <c r="K1885" s="14"/>
      <c r="L1885" s="14"/>
      <c r="M1885" s="14"/>
      <c r="N1885" s="14"/>
      <c r="O1885" s="14"/>
      <c r="P1885" s="14"/>
      <c r="Q1885" s="14"/>
      <c r="R1885" s="14"/>
      <c r="S1885" s="14"/>
      <c r="T1885" s="14"/>
      <c r="U1885" s="14"/>
      <c r="V1885" s="14"/>
      <c r="W1885" s="15">
        <f t="shared" si="66"/>
        <v>0</v>
      </c>
      <c r="X1885" s="14"/>
      <c r="Y1885" s="14"/>
      <c r="Z1885" s="14"/>
      <c r="AA1885" s="14"/>
      <c r="AB1885" s="14"/>
      <c r="AC1885" s="14"/>
      <c r="AD1885" s="14"/>
      <c r="AE1885" s="14"/>
      <c r="AF1885" s="14"/>
      <c r="AG1885" s="14"/>
      <c r="AH1885" s="14"/>
      <c r="AI1885" s="14"/>
      <c r="AJ1885" s="15"/>
      <c r="AK1885" s="16"/>
    </row>
    <row r="1886" spans="2:37" x14ac:dyDescent="0.2">
      <c r="B1886" s="7" t="s">
        <v>47</v>
      </c>
      <c r="C1886" s="8">
        <v>12493</v>
      </c>
      <c r="D1886" s="9" t="s">
        <v>1148</v>
      </c>
      <c r="E1886" s="10" t="s">
        <v>1149</v>
      </c>
      <c r="F1886" s="10" t="s">
        <v>1150</v>
      </c>
      <c r="G1886" s="8">
        <v>1</v>
      </c>
      <c r="H1886" s="11">
        <v>400</v>
      </c>
      <c r="I1886" s="12">
        <v>42591</v>
      </c>
      <c r="J1886" s="13">
        <f t="shared" si="65"/>
        <v>0</v>
      </c>
      <c r="K1886" s="14"/>
      <c r="L1886" s="14"/>
      <c r="M1886" s="14"/>
      <c r="N1886" s="14"/>
      <c r="O1886" s="14"/>
      <c r="P1886" s="14"/>
      <c r="Q1886" s="14"/>
      <c r="R1886" s="14">
        <v>400</v>
      </c>
      <c r="S1886" s="14"/>
      <c r="T1886" s="14"/>
      <c r="U1886" s="14"/>
      <c r="V1886" s="14"/>
      <c r="W1886" s="15">
        <f t="shared" si="66"/>
        <v>400</v>
      </c>
      <c r="X1886" s="14"/>
      <c r="Y1886" s="14"/>
      <c r="Z1886" s="14"/>
      <c r="AA1886" s="14"/>
      <c r="AB1886" s="14"/>
      <c r="AC1886" s="14"/>
      <c r="AD1886" s="14"/>
      <c r="AE1886" s="14"/>
      <c r="AF1886" s="14"/>
      <c r="AG1886" s="14"/>
      <c r="AH1886" s="14"/>
      <c r="AI1886" s="14"/>
      <c r="AJ1886" s="15"/>
      <c r="AK1886" s="16"/>
    </row>
    <row r="1887" spans="2:37" x14ac:dyDescent="0.2">
      <c r="B1887" s="7" t="s">
        <v>47</v>
      </c>
      <c r="C1887" s="8">
        <v>12493</v>
      </c>
      <c r="D1887" s="9" t="s">
        <v>1148</v>
      </c>
      <c r="E1887" s="10" t="s">
        <v>1149</v>
      </c>
      <c r="F1887" s="10" t="s">
        <v>1150</v>
      </c>
      <c r="G1887" s="8">
        <v>5</v>
      </c>
      <c r="H1887" s="11">
        <v>100</v>
      </c>
      <c r="I1887" s="12">
        <v>42591</v>
      </c>
      <c r="J1887" s="13">
        <f t="shared" si="65"/>
        <v>0</v>
      </c>
      <c r="K1887" s="14"/>
      <c r="L1887" s="14"/>
      <c r="M1887" s="14"/>
      <c r="N1887" s="14"/>
      <c r="O1887" s="14"/>
      <c r="P1887" s="14"/>
      <c r="Q1887" s="14"/>
      <c r="R1887" s="14"/>
      <c r="S1887" s="14"/>
      <c r="T1887" s="14"/>
      <c r="U1887" s="14"/>
      <c r="V1887" s="14"/>
      <c r="W1887" s="15">
        <f t="shared" si="66"/>
        <v>0</v>
      </c>
      <c r="X1887" s="14"/>
      <c r="Y1887" s="14"/>
      <c r="Z1887" s="14"/>
      <c r="AA1887" s="14"/>
      <c r="AB1887" s="14"/>
      <c r="AC1887" s="14"/>
      <c r="AD1887" s="14"/>
      <c r="AE1887" s="14"/>
      <c r="AF1887" s="14"/>
      <c r="AG1887" s="14"/>
      <c r="AH1887" s="14"/>
      <c r="AI1887" s="14"/>
      <c r="AJ1887" s="15"/>
      <c r="AK1887" s="16"/>
    </row>
    <row r="1888" spans="2:37" x14ac:dyDescent="0.2">
      <c r="B1888" s="7" t="s">
        <v>37</v>
      </c>
      <c r="C1888" s="8">
        <v>12579</v>
      </c>
      <c r="D1888" s="9" t="s">
        <v>205</v>
      </c>
      <c r="E1888" s="10" t="s">
        <v>206</v>
      </c>
      <c r="F1888" s="10" t="s">
        <v>207</v>
      </c>
      <c r="G1888" s="8">
        <v>1</v>
      </c>
      <c r="H1888" s="11">
        <v>600</v>
      </c>
      <c r="I1888" s="12">
        <v>42590</v>
      </c>
      <c r="J1888" s="13">
        <f t="shared" si="65"/>
        <v>0</v>
      </c>
      <c r="K1888" s="14"/>
      <c r="L1888" s="14"/>
      <c r="M1888" s="14"/>
      <c r="N1888" s="14"/>
      <c r="O1888" s="14"/>
      <c r="P1888" s="14"/>
      <c r="Q1888" s="14">
        <v>600</v>
      </c>
      <c r="R1888" s="14"/>
      <c r="S1888" s="14"/>
      <c r="T1888" s="14"/>
      <c r="U1888" s="14"/>
      <c r="V1888" s="14"/>
      <c r="W1888" s="15">
        <f t="shared" si="66"/>
        <v>600</v>
      </c>
      <c r="X1888" s="14"/>
      <c r="Y1888" s="14"/>
      <c r="Z1888" s="14"/>
      <c r="AA1888" s="14"/>
      <c r="AB1888" s="14"/>
      <c r="AC1888" s="14"/>
      <c r="AD1888" s="14"/>
      <c r="AE1888" s="14"/>
      <c r="AF1888" s="14"/>
      <c r="AG1888" s="14"/>
      <c r="AH1888" s="14"/>
      <c r="AI1888" s="14"/>
      <c r="AJ1888" s="15"/>
      <c r="AK1888" s="16"/>
    </row>
    <row r="1889" spans="2:37" x14ac:dyDescent="0.2">
      <c r="B1889" s="7" t="s">
        <v>37</v>
      </c>
      <c r="C1889" s="8">
        <v>12580</v>
      </c>
      <c r="D1889" s="9" t="s">
        <v>446</v>
      </c>
      <c r="E1889" s="10" t="s">
        <v>447</v>
      </c>
      <c r="F1889" s="10" t="s">
        <v>448</v>
      </c>
      <c r="G1889" s="8">
        <v>1</v>
      </c>
      <c r="H1889" s="11">
        <v>200</v>
      </c>
      <c r="I1889" s="12">
        <v>42591</v>
      </c>
      <c r="J1889" s="13">
        <f t="shared" si="65"/>
        <v>0</v>
      </c>
      <c r="K1889" s="14"/>
      <c r="L1889" s="14"/>
      <c r="M1889" s="14"/>
      <c r="N1889" s="14"/>
      <c r="O1889" s="14"/>
      <c r="P1889" s="14"/>
      <c r="Q1889" s="14"/>
      <c r="R1889" s="14">
        <v>200</v>
      </c>
      <c r="S1889" s="14"/>
      <c r="T1889" s="14"/>
      <c r="U1889" s="14"/>
      <c r="V1889" s="14"/>
      <c r="W1889" s="15">
        <f t="shared" si="66"/>
        <v>200</v>
      </c>
      <c r="X1889" s="14"/>
      <c r="Y1889" s="14"/>
      <c r="Z1889" s="14"/>
      <c r="AA1889" s="14"/>
      <c r="AB1889" s="14"/>
      <c r="AC1889" s="14"/>
      <c r="AD1889" s="14"/>
      <c r="AE1889" s="14"/>
      <c r="AF1889" s="14"/>
      <c r="AG1889" s="14"/>
      <c r="AH1889" s="14"/>
      <c r="AI1889" s="14"/>
      <c r="AJ1889" s="15"/>
      <c r="AK1889" s="16"/>
    </row>
    <row r="1890" spans="2:37" x14ac:dyDescent="0.2">
      <c r="B1890" s="7" t="s">
        <v>73</v>
      </c>
      <c r="C1890" s="8">
        <v>12581</v>
      </c>
      <c r="D1890" s="9" t="s">
        <v>598</v>
      </c>
      <c r="E1890" s="10" t="s">
        <v>599</v>
      </c>
      <c r="F1890" s="10" t="s">
        <v>886</v>
      </c>
      <c r="G1890" s="8">
        <v>1</v>
      </c>
      <c r="H1890" s="11">
        <v>800</v>
      </c>
      <c r="I1890" s="12">
        <v>42592</v>
      </c>
      <c r="J1890" s="13">
        <f t="shared" si="65"/>
        <v>0</v>
      </c>
      <c r="K1890" s="14"/>
      <c r="L1890" s="14"/>
      <c r="M1890" s="14"/>
      <c r="N1890" s="14"/>
      <c r="O1890" s="14"/>
      <c r="P1890" s="14"/>
      <c r="Q1890" s="14">
        <v>400</v>
      </c>
      <c r="R1890" s="14">
        <v>400</v>
      </c>
      <c r="S1890" s="14"/>
      <c r="T1890" s="14"/>
      <c r="U1890" s="14"/>
      <c r="V1890" s="14"/>
      <c r="W1890" s="15">
        <f t="shared" si="66"/>
        <v>800</v>
      </c>
      <c r="X1890" s="14"/>
      <c r="Y1890" s="14"/>
      <c r="Z1890" s="14"/>
      <c r="AA1890" s="14"/>
      <c r="AB1890" s="14"/>
      <c r="AC1890" s="14"/>
      <c r="AD1890" s="14"/>
      <c r="AE1890" s="14"/>
      <c r="AF1890" s="14"/>
      <c r="AG1890" s="14"/>
      <c r="AH1890" s="14"/>
      <c r="AI1890" s="14"/>
      <c r="AJ1890" s="15"/>
      <c r="AK1890" s="16"/>
    </row>
    <row r="1891" spans="2:37" x14ac:dyDescent="0.2">
      <c r="B1891" s="7" t="s">
        <v>73</v>
      </c>
      <c r="C1891" s="8">
        <v>12582</v>
      </c>
      <c r="D1891" s="9" t="s">
        <v>1151</v>
      </c>
      <c r="E1891" s="10" t="s">
        <v>1152</v>
      </c>
      <c r="F1891" s="10" t="s">
        <v>1153</v>
      </c>
      <c r="G1891" s="8">
        <v>1</v>
      </c>
      <c r="H1891" s="11">
        <v>100</v>
      </c>
      <c r="I1891" s="12">
        <v>42592</v>
      </c>
      <c r="J1891" s="13">
        <f t="shared" si="65"/>
        <v>0</v>
      </c>
      <c r="K1891" s="14"/>
      <c r="L1891" s="14"/>
      <c r="M1891" s="14"/>
      <c r="N1891" s="14"/>
      <c r="O1891" s="14"/>
      <c r="P1891" s="14"/>
      <c r="Q1891" s="14"/>
      <c r="R1891" s="14">
        <v>100</v>
      </c>
      <c r="S1891" s="14"/>
      <c r="T1891" s="14"/>
      <c r="U1891" s="14"/>
      <c r="V1891" s="14"/>
      <c r="W1891" s="15">
        <f t="shared" si="66"/>
        <v>100</v>
      </c>
      <c r="X1891" s="14"/>
      <c r="Y1891" s="14"/>
      <c r="Z1891" s="14"/>
      <c r="AA1891" s="14"/>
      <c r="AB1891" s="14"/>
      <c r="AC1891" s="14"/>
      <c r="AD1891" s="14"/>
      <c r="AE1891" s="14"/>
      <c r="AF1891" s="14"/>
      <c r="AG1891" s="14"/>
      <c r="AH1891" s="14"/>
      <c r="AI1891" s="14"/>
      <c r="AJ1891" s="15"/>
      <c r="AK1891" s="16"/>
    </row>
    <row r="1892" spans="2:37" x14ac:dyDescent="0.2">
      <c r="B1892" s="7" t="s">
        <v>73</v>
      </c>
      <c r="C1892" s="8">
        <v>12583</v>
      </c>
      <c r="D1892" s="9" t="s">
        <v>202</v>
      </c>
      <c r="E1892" s="10" t="s">
        <v>203</v>
      </c>
      <c r="F1892" s="10" t="s">
        <v>204</v>
      </c>
      <c r="G1892" s="8">
        <v>1</v>
      </c>
      <c r="H1892" s="11">
        <v>400</v>
      </c>
      <c r="I1892" s="12">
        <v>42593</v>
      </c>
      <c r="J1892" s="13">
        <f t="shared" si="65"/>
        <v>0</v>
      </c>
      <c r="K1892" s="14"/>
      <c r="L1892" s="14"/>
      <c r="M1892" s="14"/>
      <c r="N1892" s="14"/>
      <c r="O1892" s="14"/>
      <c r="P1892" s="14"/>
      <c r="Q1892" s="14"/>
      <c r="R1892" s="14">
        <v>400</v>
      </c>
      <c r="S1892" s="14"/>
      <c r="T1892" s="14"/>
      <c r="U1892" s="14"/>
      <c r="V1892" s="14"/>
      <c r="W1892" s="15">
        <f t="shared" si="66"/>
        <v>400</v>
      </c>
      <c r="X1892" s="14"/>
      <c r="Y1892" s="14"/>
      <c r="Z1892" s="14"/>
      <c r="AA1892" s="14"/>
      <c r="AB1892" s="14"/>
      <c r="AC1892" s="14"/>
      <c r="AD1892" s="14"/>
      <c r="AE1892" s="14"/>
      <c r="AF1892" s="14"/>
      <c r="AG1892" s="14"/>
      <c r="AH1892" s="14"/>
      <c r="AI1892" s="14"/>
      <c r="AJ1892" s="15"/>
      <c r="AK1892" s="16"/>
    </row>
    <row r="1893" spans="2:37" x14ac:dyDescent="0.2">
      <c r="B1893" s="7" t="s">
        <v>77</v>
      </c>
      <c r="C1893" s="8">
        <v>12584</v>
      </c>
      <c r="D1893" s="9" t="s">
        <v>156</v>
      </c>
      <c r="E1893" s="10" t="s">
        <v>157</v>
      </c>
      <c r="F1893" s="10" t="s">
        <v>158</v>
      </c>
      <c r="G1893" s="8">
        <v>1</v>
      </c>
      <c r="H1893" s="11">
        <v>300</v>
      </c>
      <c r="I1893" s="12">
        <v>42593</v>
      </c>
      <c r="J1893" s="13">
        <f t="shared" si="65"/>
        <v>0</v>
      </c>
      <c r="K1893" s="14"/>
      <c r="L1893" s="14"/>
      <c r="M1893" s="14"/>
      <c r="N1893" s="14"/>
      <c r="O1893" s="14"/>
      <c r="P1893" s="14"/>
      <c r="Q1893" s="14"/>
      <c r="R1893" s="14">
        <v>300</v>
      </c>
      <c r="S1893" s="14"/>
      <c r="T1893" s="14"/>
      <c r="U1893" s="14"/>
      <c r="V1893" s="14"/>
      <c r="W1893" s="15">
        <f t="shared" si="66"/>
        <v>300</v>
      </c>
      <c r="X1893" s="14"/>
      <c r="Y1893" s="14"/>
      <c r="Z1893" s="14"/>
      <c r="AA1893" s="14"/>
      <c r="AB1893" s="14"/>
      <c r="AC1893" s="14"/>
      <c r="AD1893" s="14"/>
      <c r="AE1893" s="14"/>
      <c r="AF1893" s="14"/>
      <c r="AG1893" s="14"/>
      <c r="AH1893" s="14"/>
      <c r="AI1893" s="14"/>
      <c r="AJ1893" s="15"/>
      <c r="AK1893" s="16"/>
    </row>
    <row r="1894" spans="2:37" x14ac:dyDescent="0.2">
      <c r="B1894" s="7" t="s">
        <v>47</v>
      </c>
      <c r="C1894" s="8">
        <v>12585</v>
      </c>
      <c r="D1894" s="9" t="s">
        <v>153</v>
      </c>
      <c r="E1894" s="10" t="s">
        <v>154</v>
      </c>
      <c r="F1894" s="10" t="s">
        <v>155</v>
      </c>
      <c r="G1894" s="8">
        <v>1</v>
      </c>
      <c r="H1894" s="11">
        <v>400</v>
      </c>
      <c r="I1894" s="12">
        <v>42596</v>
      </c>
      <c r="J1894" s="13">
        <f t="shared" si="65"/>
        <v>0</v>
      </c>
      <c r="K1894" s="14"/>
      <c r="L1894" s="14"/>
      <c r="M1894" s="14"/>
      <c r="N1894" s="14"/>
      <c r="O1894" s="14"/>
      <c r="P1894" s="14"/>
      <c r="Q1894" s="14"/>
      <c r="R1894" s="14">
        <v>400</v>
      </c>
      <c r="S1894" s="14"/>
      <c r="T1894" s="14"/>
      <c r="U1894" s="14"/>
      <c r="V1894" s="14"/>
      <c r="W1894" s="15">
        <f t="shared" si="66"/>
        <v>400</v>
      </c>
      <c r="X1894" s="14"/>
      <c r="Y1894" s="14"/>
      <c r="Z1894" s="14"/>
      <c r="AA1894" s="14"/>
      <c r="AB1894" s="14"/>
      <c r="AC1894" s="14"/>
      <c r="AD1894" s="14"/>
      <c r="AE1894" s="14"/>
      <c r="AF1894" s="14"/>
      <c r="AG1894" s="14"/>
      <c r="AH1894" s="14"/>
      <c r="AI1894" s="14"/>
      <c r="AJ1894" s="15"/>
      <c r="AK1894" s="16"/>
    </row>
    <row r="1895" spans="2:37" x14ac:dyDescent="0.2">
      <c r="B1895" s="7" t="s">
        <v>47</v>
      </c>
      <c r="C1895" s="8">
        <v>12586</v>
      </c>
      <c r="D1895" s="9" t="s">
        <v>153</v>
      </c>
      <c r="E1895" s="10" t="s">
        <v>154</v>
      </c>
      <c r="F1895" s="10" t="s">
        <v>155</v>
      </c>
      <c r="G1895" s="8">
        <v>4</v>
      </c>
      <c r="H1895" s="11">
        <v>200</v>
      </c>
      <c r="I1895" s="12">
        <v>42596</v>
      </c>
      <c r="J1895" s="13">
        <f t="shared" si="65"/>
        <v>0</v>
      </c>
      <c r="K1895" s="14"/>
      <c r="L1895" s="14"/>
      <c r="M1895" s="14"/>
      <c r="N1895" s="14"/>
      <c r="O1895" s="14"/>
      <c r="P1895" s="14"/>
      <c r="Q1895" s="14"/>
      <c r="R1895" s="14"/>
      <c r="S1895" s="14"/>
      <c r="T1895" s="14"/>
      <c r="U1895" s="14"/>
      <c r="V1895" s="14"/>
      <c r="W1895" s="15">
        <f t="shared" si="66"/>
        <v>0</v>
      </c>
      <c r="X1895" s="14"/>
      <c r="Y1895" s="14"/>
      <c r="Z1895" s="14"/>
      <c r="AA1895" s="14"/>
      <c r="AB1895" s="14"/>
      <c r="AC1895" s="14"/>
      <c r="AD1895" s="14"/>
      <c r="AE1895" s="14"/>
      <c r="AF1895" s="14"/>
      <c r="AG1895" s="14"/>
      <c r="AH1895" s="14"/>
      <c r="AI1895" s="14"/>
      <c r="AJ1895" s="15"/>
      <c r="AK1895" s="16"/>
    </row>
    <row r="1896" spans="2:37" x14ac:dyDescent="0.2">
      <c r="B1896" s="7" t="s">
        <v>122</v>
      </c>
      <c r="C1896" s="8">
        <v>12587</v>
      </c>
      <c r="D1896" s="9" t="s">
        <v>262</v>
      </c>
      <c r="E1896" s="10" t="s">
        <v>263</v>
      </c>
      <c r="F1896" s="10" t="s">
        <v>264</v>
      </c>
      <c r="G1896" s="8">
        <v>1</v>
      </c>
      <c r="H1896" s="11">
        <v>300</v>
      </c>
      <c r="I1896" s="12">
        <v>42596</v>
      </c>
      <c r="J1896" s="13">
        <f t="shared" si="65"/>
        <v>0</v>
      </c>
      <c r="K1896" s="14"/>
      <c r="L1896" s="14"/>
      <c r="M1896" s="14"/>
      <c r="N1896" s="14"/>
      <c r="O1896" s="14"/>
      <c r="P1896" s="14"/>
      <c r="Q1896" s="14"/>
      <c r="R1896" s="14">
        <v>300</v>
      </c>
      <c r="S1896" s="14"/>
      <c r="T1896" s="14"/>
      <c r="U1896" s="14"/>
      <c r="V1896" s="14"/>
      <c r="W1896" s="15">
        <f t="shared" si="66"/>
        <v>300</v>
      </c>
      <c r="X1896" s="14"/>
      <c r="Y1896" s="14"/>
      <c r="Z1896" s="14"/>
      <c r="AA1896" s="14"/>
      <c r="AB1896" s="14"/>
      <c r="AC1896" s="14"/>
      <c r="AD1896" s="14"/>
      <c r="AE1896" s="14"/>
      <c r="AF1896" s="14"/>
      <c r="AG1896" s="14"/>
      <c r="AH1896" s="14"/>
      <c r="AI1896" s="14"/>
      <c r="AJ1896" s="15"/>
      <c r="AK1896" s="16"/>
    </row>
    <row r="1897" spans="2:37" x14ac:dyDescent="0.2">
      <c r="B1897" s="7" t="s">
        <v>73</v>
      </c>
      <c r="C1897" s="8">
        <v>12588</v>
      </c>
      <c r="D1897" s="9" t="s">
        <v>440</v>
      </c>
      <c r="E1897" s="10" t="s">
        <v>441</v>
      </c>
      <c r="F1897" s="10" t="s">
        <v>442</v>
      </c>
      <c r="G1897" s="8">
        <v>1</v>
      </c>
      <c r="H1897" s="11">
        <v>600</v>
      </c>
      <c r="I1897" s="12">
        <v>42596</v>
      </c>
      <c r="J1897" s="13">
        <f t="shared" si="65"/>
        <v>0</v>
      </c>
      <c r="K1897" s="14"/>
      <c r="L1897" s="14"/>
      <c r="M1897" s="14"/>
      <c r="N1897" s="14"/>
      <c r="O1897" s="14"/>
      <c r="P1897" s="14"/>
      <c r="Q1897" s="14">
        <v>300</v>
      </c>
      <c r="R1897" s="14">
        <v>300</v>
      </c>
      <c r="S1897" s="14"/>
      <c r="T1897" s="14"/>
      <c r="U1897" s="14"/>
      <c r="V1897" s="14"/>
      <c r="W1897" s="15">
        <f t="shared" si="66"/>
        <v>600</v>
      </c>
      <c r="X1897" s="14"/>
      <c r="Y1897" s="14"/>
      <c r="Z1897" s="14"/>
      <c r="AA1897" s="14"/>
      <c r="AB1897" s="14"/>
      <c r="AC1897" s="14"/>
      <c r="AD1897" s="14"/>
      <c r="AE1897" s="14"/>
      <c r="AF1897" s="14"/>
      <c r="AG1897" s="14"/>
      <c r="AH1897" s="14"/>
      <c r="AI1897" s="14"/>
      <c r="AJ1897" s="15"/>
      <c r="AK1897" s="16"/>
    </row>
    <row r="1898" spans="2:37" x14ac:dyDescent="0.2">
      <c r="B1898" s="7" t="s">
        <v>47</v>
      </c>
      <c r="C1898" s="8">
        <v>12589</v>
      </c>
      <c r="D1898" s="9" t="s">
        <v>1095</v>
      </c>
      <c r="E1898" s="10" t="s">
        <v>1096</v>
      </c>
      <c r="F1898" s="10" t="s">
        <v>765</v>
      </c>
      <c r="G1898" s="8">
        <v>8</v>
      </c>
      <c r="H1898" s="11"/>
      <c r="I1898" s="12"/>
      <c r="J1898" s="13">
        <f t="shared" si="65"/>
        <v>0</v>
      </c>
      <c r="K1898" s="14"/>
      <c r="L1898" s="14"/>
      <c r="M1898" s="14"/>
      <c r="N1898" s="14"/>
      <c r="O1898" s="14"/>
      <c r="P1898" s="14"/>
      <c r="Q1898" s="14"/>
      <c r="R1898" s="14"/>
      <c r="S1898" s="14"/>
      <c r="T1898" s="14"/>
      <c r="U1898" s="14"/>
      <c r="V1898" s="14"/>
      <c r="W1898" s="15">
        <f t="shared" si="66"/>
        <v>0</v>
      </c>
      <c r="X1898" s="14"/>
      <c r="Y1898" s="14"/>
      <c r="Z1898" s="14"/>
      <c r="AA1898" s="14"/>
      <c r="AB1898" s="14"/>
      <c r="AC1898" s="14"/>
      <c r="AD1898" s="14"/>
      <c r="AE1898" s="14"/>
      <c r="AF1898" s="14"/>
      <c r="AG1898" s="14"/>
      <c r="AH1898" s="14"/>
      <c r="AI1898" s="14"/>
      <c r="AJ1898" s="15"/>
      <c r="AK1898" s="16"/>
    </row>
    <row r="1899" spans="2:37" x14ac:dyDescent="0.2">
      <c r="B1899" s="7" t="s">
        <v>69</v>
      </c>
      <c r="C1899" s="8">
        <v>12590</v>
      </c>
      <c r="D1899" s="9" t="s">
        <v>301</v>
      </c>
      <c r="E1899" s="10" t="s">
        <v>302</v>
      </c>
      <c r="F1899" s="10" t="s">
        <v>303</v>
      </c>
      <c r="G1899" s="8">
        <v>1</v>
      </c>
      <c r="H1899" s="11">
        <v>200</v>
      </c>
      <c r="I1899" s="12">
        <v>42596</v>
      </c>
      <c r="J1899" s="13">
        <f t="shared" si="65"/>
        <v>0</v>
      </c>
      <c r="K1899" s="14"/>
      <c r="L1899" s="14"/>
      <c r="M1899" s="14"/>
      <c r="N1899" s="14"/>
      <c r="O1899" s="14"/>
      <c r="P1899" s="14"/>
      <c r="Q1899" s="14"/>
      <c r="R1899" s="14">
        <v>200</v>
      </c>
      <c r="S1899" s="14"/>
      <c r="T1899" s="14"/>
      <c r="U1899" s="14"/>
      <c r="V1899" s="14"/>
      <c r="W1899" s="15">
        <f t="shared" si="66"/>
        <v>200</v>
      </c>
      <c r="X1899" s="14"/>
      <c r="Y1899" s="14"/>
      <c r="Z1899" s="14"/>
      <c r="AA1899" s="14"/>
      <c r="AB1899" s="14"/>
      <c r="AC1899" s="14"/>
      <c r="AD1899" s="14"/>
      <c r="AE1899" s="14"/>
      <c r="AF1899" s="14"/>
      <c r="AG1899" s="14"/>
      <c r="AH1899" s="14"/>
      <c r="AI1899" s="14"/>
      <c r="AJ1899" s="15"/>
      <c r="AK1899" s="16"/>
    </row>
    <row r="1900" spans="2:37" x14ac:dyDescent="0.2">
      <c r="B1900" s="7" t="s">
        <v>77</v>
      </c>
      <c r="C1900" s="8">
        <v>12591</v>
      </c>
      <c r="D1900" s="9" t="s">
        <v>874</v>
      </c>
      <c r="E1900" s="10" t="s">
        <v>875</v>
      </c>
      <c r="F1900" s="10" t="s">
        <v>493</v>
      </c>
      <c r="G1900" s="8">
        <v>1</v>
      </c>
      <c r="H1900" s="11">
        <v>200</v>
      </c>
      <c r="I1900" s="12">
        <v>42596</v>
      </c>
      <c r="J1900" s="13">
        <f t="shared" si="65"/>
        <v>0</v>
      </c>
      <c r="K1900" s="14"/>
      <c r="L1900" s="14"/>
      <c r="M1900" s="14"/>
      <c r="N1900" s="14"/>
      <c r="O1900" s="14"/>
      <c r="P1900" s="14"/>
      <c r="Q1900" s="14"/>
      <c r="R1900" s="14">
        <v>200</v>
      </c>
      <c r="S1900" s="14"/>
      <c r="T1900" s="14"/>
      <c r="U1900" s="14"/>
      <c r="V1900" s="14"/>
      <c r="W1900" s="15">
        <f t="shared" si="66"/>
        <v>200</v>
      </c>
      <c r="X1900" s="14"/>
      <c r="Y1900" s="14"/>
      <c r="Z1900" s="14"/>
      <c r="AA1900" s="14"/>
      <c r="AB1900" s="14"/>
      <c r="AC1900" s="14"/>
      <c r="AD1900" s="14"/>
      <c r="AE1900" s="14"/>
      <c r="AF1900" s="14"/>
      <c r="AG1900" s="14"/>
      <c r="AH1900" s="14"/>
      <c r="AI1900" s="14"/>
      <c r="AJ1900" s="15"/>
      <c r="AK1900" s="16"/>
    </row>
    <row r="1901" spans="2:37" x14ac:dyDescent="0.2">
      <c r="B1901" s="7" t="s">
        <v>77</v>
      </c>
      <c r="C1901" s="8">
        <v>12591</v>
      </c>
      <c r="D1901" s="9" t="s">
        <v>874</v>
      </c>
      <c r="E1901" s="10" t="s">
        <v>875</v>
      </c>
      <c r="F1901" s="10" t="s">
        <v>493</v>
      </c>
      <c r="G1901" s="8">
        <v>5</v>
      </c>
      <c r="H1901" s="11">
        <v>150</v>
      </c>
      <c r="I1901" s="12">
        <v>42596</v>
      </c>
      <c r="J1901" s="13">
        <f t="shared" si="65"/>
        <v>0</v>
      </c>
      <c r="K1901" s="14"/>
      <c r="L1901" s="14"/>
      <c r="M1901" s="14"/>
      <c r="N1901" s="14"/>
      <c r="O1901" s="14"/>
      <c r="P1901" s="14"/>
      <c r="Q1901" s="14"/>
      <c r="R1901" s="14"/>
      <c r="S1901" s="14"/>
      <c r="T1901" s="14"/>
      <c r="U1901" s="14"/>
      <c r="V1901" s="14"/>
      <c r="W1901" s="15">
        <f t="shared" si="66"/>
        <v>0</v>
      </c>
      <c r="X1901" s="14"/>
      <c r="Y1901" s="14"/>
      <c r="Z1901" s="14"/>
      <c r="AA1901" s="14"/>
      <c r="AB1901" s="14"/>
      <c r="AC1901" s="14"/>
      <c r="AD1901" s="14"/>
      <c r="AE1901" s="14"/>
      <c r="AF1901" s="14"/>
      <c r="AG1901" s="14"/>
      <c r="AH1901" s="14"/>
      <c r="AI1901" s="14"/>
      <c r="AJ1901" s="15"/>
      <c r="AK1901" s="16"/>
    </row>
    <row r="1902" spans="2:37" x14ac:dyDescent="0.2">
      <c r="B1902" s="7" t="s">
        <v>37</v>
      </c>
      <c r="C1902" s="8">
        <v>12592</v>
      </c>
      <c r="D1902" s="9" t="s">
        <v>177</v>
      </c>
      <c r="E1902" s="10" t="s">
        <v>178</v>
      </c>
      <c r="F1902" s="10" t="s">
        <v>179</v>
      </c>
      <c r="G1902" s="8">
        <v>1</v>
      </c>
      <c r="H1902" s="11">
        <v>400</v>
      </c>
      <c r="I1902" s="12">
        <v>42596</v>
      </c>
      <c r="J1902" s="13">
        <f t="shared" si="65"/>
        <v>0</v>
      </c>
      <c r="K1902" s="14"/>
      <c r="L1902" s="14"/>
      <c r="M1902" s="14"/>
      <c r="N1902" s="14"/>
      <c r="O1902" s="14"/>
      <c r="P1902" s="14"/>
      <c r="Q1902" s="14"/>
      <c r="R1902" s="14">
        <v>400</v>
      </c>
      <c r="S1902" s="14"/>
      <c r="T1902" s="14"/>
      <c r="U1902" s="14"/>
      <c r="V1902" s="14"/>
      <c r="W1902" s="15">
        <f t="shared" si="66"/>
        <v>400</v>
      </c>
      <c r="X1902" s="14"/>
      <c r="Y1902" s="14"/>
      <c r="Z1902" s="14"/>
      <c r="AA1902" s="14"/>
      <c r="AB1902" s="14"/>
      <c r="AC1902" s="14"/>
      <c r="AD1902" s="14"/>
      <c r="AE1902" s="14"/>
      <c r="AF1902" s="14"/>
      <c r="AG1902" s="14"/>
      <c r="AH1902" s="14"/>
      <c r="AI1902" s="14"/>
      <c r="AJ1902" s="15"/>
      <c r="AK1902" s="16"/>
    </row>
    <row r="1903" spans="2:37" x14ac:dyDescent="0.2">
      <c r="B1903" s="7" t="s">
        <v>69</v>
      </c>
      <c r="C1903" s="8">
        <v>12593</v>
      </c>
      <c r="D1903" s="9" t="s">
        <v>574</v>
      </c>
      <c r="E1903" s="10" t="s">
        <v>575</v>
      </c>
      <c r="F1903" s="10" t="s">
        <v>576</v>
      </c>
      <c r="G1903" s="8">
        <v>1</v>
      </c>
      <c r="H1903" s="11">
        <v>800</v>
      </c>
      <c r="I1903" s="12">
        <v>42596</v>
      </c>
      <c r="J1903" s="13">
        <f t="shared" si="65"/>
        <v>0</v>
      </c>
      <c r="K1903" s="14"/>
      <c r="L1903" s="14"/>
      <c r="M1903" s="14"/>
      <c r="N1903" s="14"/>
      <c r="O1903" s="14"/>
      <c r="P1903" s="14">
        <v>400</v>
      </c>
      <c r="Q1903" s="14">
        <v>400</v>
      </c>
      <c r="R1903" s="14"/>
      <c r="S1903" s="14"/>
      <c r="T1903" s="14"/>
      <c r="U1903" s="14"/>
      <c r="V1903" s="14"/>
      <c r="W1903" s="15">
        <f t="shared" si="66"/>
        <v>800</v>
      </c>
      <c r="X1903" s="14"/>
      <c r="Y1903" s="14"/>
      <c r="Z1903" s="14"/>
      <c r="AA1903" s="14"/>
      <c r="AB1903" s="14"/>
      <c r="AC1903" s="14"/>
      <c r="AD1903" s="14"/>
      <c r="AE1903" s="14"/>
      <c r="AF1903" s="14"/>
      <c r="AG1903" s="14"/>
      <c r="AH1903" s="14"/>
      <c r="AI1903" s="14"/>
      <c r="AJ1903" s="15"/>
      <c r="AK1903" s="16"/>
    </row>
    <row r="1904" spans="2:37" x14ac:dyDescent="0.2">
      <c r="B1904" s="7" t="s">
        <v>47</v>
      </c>
      <c r="C1904" s="8">
        <v>12594</v>
      </c>
      <c r="D1904" s="9" t="s">
        <v>583</v>
      </c>
      <c r="E1904" s="10" t="s">
        <v>584</v>
      </c>
      <c r="F1904" s="10" t="s">
        <v>585</v>
      </c>
      <c r="G1904" s="8">
        <v>1</v>
      </c>
      <c r="H1904" s="11">
        <v>200</v>
      </c>
      <c r="I1904" s="12">
        <v>42596</v>
      </c>
      <c r="J1904" s="13">
        <f t="shared" si="65"/>
        <v>0</v>
      </c>
      <c r="K1904" s="14"/>
      <c r="L1904" s="14"/>
      <c r="M1904" s="14"/>
      <c r="N1904" s="14"/>
      <c r="O1904" s="14"/>
      <c r="P1904" s="14"/>
      <c r="Q1904" s="14"/>
      <c r="R1904" s="14">
        <v>200</v>
      </c>
      <c r="S1904" s="14"/>
      <c r="T1904" s="14"/>
      <c r="U1904" s="14"/>
      <c r="V1904" s="14"/>
      <c r="W1904" s="15">
        <f t="shared" si="66"/>
        <v>200</v>
      </c>
      <c r="X1904" s="14"/>
      <c r="Y1904" s="14"/>
      <c r="Z1904" s="14"/>
      <c r="AA1904" s="14"/>
      <c r="AB1904" s="14"/>
      <c r="AC1904" s="14"/>
      <c r="AD1904" s="14"/>
      <c r="AE1904" s="14"/>
      <c r="AF1904" s="14"/>
      <c r="AG1904" s="14"/>
      <c r="AH1904" s="14"/>
      <c r="AI1904" s="14"/>
      <c r="AJ1904" s="15"/>
      <c r="AK1904" s="16"/>
    </row>
    <row r="1905" spans="2:37" x14ac:dyDescent="0.2">
      <c r="B1905" s="7" t="s">
        <v>73</v>
      </c>
      <c r="C1905" s="8">
        <v>12595</v>
      </c>
      <c r="D1905" s="9" t="s">
        <v>115</v>
      </c>
      <c r="E1905" s="10" t="s">
        <v>116</v>
      </c>
      <c r="F1905" s="10" t="s">
        <v>117</v>
      </c>
      <c r="G1905" s="8">
        <v>1</v>
      </c>
      <c r="H1905" s="11">
        <v>150</v>
      </c>
      <c r="I1905" s="12">
        <v>42596</v>
      </c>
      <c r="J1905" s="13">
        <f t="shared" si="65"/>
        <v>0</v>
      </c>
      <c r="K1905" s="14"/>
      <c r="L1905" s="14"/>
      <c r="M1905" s="14"/>
      <c r="N1905" s="14"/>
      <c r="O1905" s="14"/>
      <c r="P1905" s="14"/>
      <c r="Q1905" s="14"/>
      <c r="R1905" s="14">
        <v>150</v>
      </c>
      <c r="S1905" s="14"/>
      <c r="T1905" s="14"/>
      <c r="U1905" s="14"/>
      <c r="V1905" s="14"/>
      <c r="W1905" s="15">
        <f t="shared" si="66"/>
        <v>150</v>
      </c>
      <c r="X1905" s="14"/>
      <c r="Y1905" s="14"/>
      <c r="Z1905" s="14"/>
      <c r="AA1905" s="14"/>
      <c r="AB1905" s="14"/>
      <c r="AC1905" s="14"/>
      <c r="AD1905" s="14"/>
      <c r="AE1905" s="14"/>
      <c r="AF1905" s="14"/>
      <c r="AG1905" s="14"/>
      <c r="AH1905" s="14"/>
      <c r="AI1905" s="14"/>
      <c r="AJ1905" s="15"/>
      <c r="AK1905" s="16"/>
    </row>
    <row r="1906" spans="2:37" x14ac:dyDescent="0.2">
      <c r="B1906" s="7" t="s">
        <v>77</v>
      </c>
      <c r="C1906" s="8">
        <v>12596</v>
      </c>
      <c r="D1906" s="9" t="s">
        <v>725</v>
      </c>
      <c r="E1906" s="10" t="s">
        <v>726</v>
      </c>
      <c r="F1906" s="10" t="s">
        <v>727</v>
      </c>
      <c r="G1906" s="8">
        <v>1</v>
      </c>
      <c r="H1906" s="11">
        <v>800</v>
      </c>
      <c r="I1906" s="12">
        <v>42596</v>
      </c>
      <c r="J1906" s="13">
        <f t="shared" si="65"/>
        <v>0</v>
      </c>
      <c r="K1906" s="14"/>
      <c r="L1906" s="14"/>
      <c r="M1906" s="14"/>
      <c r="N1906" s="14"/>
      <c r="O1906" s="14"/>
      <c r="P1906" s="14"/>
      <c r="Q1906" s="14">
        <v>400</v>
      </c>
      <c r="R1906" s="14">
        <v>400</v>
      </c>
      <c r="S1906" s="14"/>
      <c r="T1906" s="14"/>
      <c r="U1906" s="14"/>
      <c r="V1906" s="14"/>
      <c r="W1906" s="15">
        <f t="shared" si="66"/>
        <v>800</v>
      </c>
      <c r="X1906" s="14"/>
      <c r="Y1906" s="14"/>
      <c r="Z1906" s="14"/>
      <c r="AA1906" s="14"/>
      <c r="AB1906" s="14"/>
      <c r="AC1906" s="14"/>
      <c r="AD1906" s="14"/>
      <c r="AE1906" s="14"/>
      <c r="AF1906" s="14"/>
      <c r="AG1906" s="14"/>
      <c r="AH1906" s="14"/>
      <c r="AI1906" s="14"/>
      <c r="AJ1906" s="15"/>
      <c r="AK1906" s="16"/>
    </row>
    <row r="1907" spans="2:37" x14ac:dyDescent="0.2">
      <c r="B1907" s="7" t="s">
        <v>73</v>
      </c>
      <c r="C1907" s="8">
        <v>12597</v>
      </c>
      <c r="D1907" s="9" t="s">
        <v>719</v>
      </c>
      <c r="E1907" s="10" t="s">
        <v>720</v>
      </c>
      <c r="F1907" s="10" t="s">
        <v>867</v>
      </c>
      <c r="G1907" s="8">
        <v>1</v>
      </c>
      <c r="H1907" s="11">
        <v>400</v>
      </c>
      <c r="I1907" s="12">
        <v>42596</v>
      </c>
      <c r="J1907" s="13">
        <f t="shared" si="65"/>
        <v>0</v>
      </c>
      <c r="K1907" s="14"/>
      <c r="L1907" s="14"/>
      <c r="M1907" s="14"/>
      <c r="N1907" s="14"/>
      <c r="O1907" s="14"/>
      <c r="P1907" s="14"/>
      <c r="Q1907" s="14">
        <v>200</v>
      </c>
      <c r="R1907" s="14">
        <v>200</v>
      </c>
      <c r="S1907" s="14"/>
      <c r="T1907" s="14"/>
      <c r="U1907" s="14"/>
      <c r="V1907" s="14"/>
      <c r="W1907" s="15">
        <f t="shared" si="66"/>
        <v>400</v>
      </c>
      <c r="X1907" s="14"/>
      <c r="Y1907" s="14"/>
      <c r="Z1907" s="14"/>
      <c r="AA1907" s="14"/>
      <c r="AB1907" s="14"/>
      <c r="AC1907" s="14"/>
      <c r="AD1907" s="14"/>
      <c r="AE1907" s="14"/>
      <c r="AF1907" s="14"/>
      <c r="AG1907" s="14"/>
      <c r="AH1907" s="14"/>
      <c r="AI1907" s="14"/>
      <c r="AJ1907" s="15"/>
      <c r="AK1907" s="16"/>
    </row>
    <row r="1908" spans="2:37" x14ac:dyDescent="0.2">
      <c r="B1908" s="7" t="s">
        <v>73</v>
      </c>
      <c r="C1908" s="8">
        <v>12598</v>
      </c>
      <c r="D1908" s="9" t="s">
        <v>112</v>
      </c>
      <c r="E1908" s="10" t="s">
        <v>113</v>
      </c>
      <c r="F1908" s="10" t="s">
        <v>114</v>
      </c>
      <c r="G1908" s="8">
        <v>1</v>
      </c>
      <c r="H1908" s="11">
        <v>500</v>
      </c>
      <c r="I1908" s="12">
        <v>42596</v>
      </c>
      <c r="J1908" s="13">
        <f t="shared" si="65"/>
        <v>0</v>
      </c>
      <c r="K1908" s="14"/>
      <c r="L1908" s="14"/>
      <c r="M1908" s="14"/>
      <c r="N1908" s="14"/>
      <c r="O1908" s="14"/>
      <c r="P1908" s="14"/>
      <c r="Q1908" s="14">
        <v>250</v>
      </c>
      <c r="R1908" s="14">
        <v>250</v>
      </c>
      <c r="S1908" s="14"/>
      <c r="T1908" s="14"/>
      <c r="U1908" s="14"/>
      <c r="V1908" s="14"/>
      <c r="W1908" s="15">
        <f t="shared" si="66"/>
        <v>500</v>
      </c>
      <c r="X1908" s="14"/>
      <c r="Y1908" s="14"/>
      <c r="Z1908" s="14"/>
      <c r="AA1908" s="14"/>
      <c r="AB1908" s="14"/>
      <c r="AC1908" s="14"/>
      <c r="AD1908" s="14"/>
      <c r="AE1908" s="14"/>
      <c r="AF1908" s="14"/>
      <c r="AG1908" s="14"/>
      <c r="AH1908" s="14"/>
      <c r="AI1908" s="14"/>
      <c r="AJ1908" s="15"/>
      <c r="AK1908" s="16"/>
    </row>
    <row r="1909" spans="2:37" x14ac:dyDescent="0.2">
      <c r="B1909" s="7" t="s">
        <v>73</v>
      </c>
      <c r="C1909" s="8">
        <v>12598</v>
      </c>
      <c r="D1909" s="9" t="s">
        <v>112</v>
      </c>
      <c r="E1909" s="10" t="s">
        <v>113</v>
      </c>
      <c r="F1909" s="10" t="s">
        <v>114</v>
      </c>
      <c r="G1909" s="8">
        <v>5</v>
      </c>
      <c r="H1909" s="11">
        <v>50</v>
      </c>
      <c r="I1909" s="12">
        <v>42596</v>
      </c>
      <c r="J1909" s="13">
        <f t="shared" si="65"/>
        <v>0</v>
      </c>
      <c r="K1909" s="14"/>
      <c r="L1909" s="14"/>
      <c r="M1909" s="14"/>
      <c r="N1909" s="14"/>
      <c r="O1909" s="14"/>
      <c r="P1909" s="14"/>
      <c r="Q1909" s="14"/>
      <c r="R1909" s="14"/>
      <c r="S1909" s="14"/>
      <c r="T1909" s="14"/>
      <c r="U1909" s="14"/>
      <c r="V1909" s="14"/>
      <c r="W1909" s="15">
        <f t="shared" si="66"/>
        <v>0</v>
      </c>
      <c r="X1909" s="14"/>
      <c r="Y1909" s="14"/>
      <c r="Z1909" s="14"/>
      <c r="AA1909" s="14"/>
      <c r="AB1909" s="14"/>
      <c r="AC1909" s="14"/>
      <c r="AD1909" s="14"/>
      <c r="AE1909" s="14"/>
      <c r="AF1909" s="14"/>
      <c r="AG1909" s="14"/>
      <c r="AH1909" s="14"/>
      <c r="AI1909" s="14"/>
      <c r="AJ1909" s="15"/>
      <c r="AK1909" s="16"/>
    </row>
    <row r="1910" spans="2:37" x14ac:dyDescent="0.2">
      <c r="B1910" s="7" t="s">
        <v>73</v>
      </c>
      <c r="C1910" s="8">
        <v>12599</v>
      </c>
      <c r="D1910" s="9" t="s">
        <v>398</v>
      </c>
      <c r="E1910" s="10" t="s">
        <v>399</v>
      </c>
      <c r="F1910" s="10" t="s">
        <v>400</v>
      </c>
      <c r="G1910" s="8">
        <v>1</v>
      </c>
      <c r="H1910" s="11">
        <v>400</v>
      </c>
      <c r="I1910" s="12">
        <v>42596</v>
      </c>
      <c r="J1910" s="13">
        <f t="shared" si="65"/>
        <v>0</v>
      </c>
      <c r="K1910" s="14"/>
      <c r="L1910" s="14"/>
      <c r="M1910" s="14"/>
      <c r="N1910" s="14"/>
      <c r="O1910" s="14"/>
      <c r="P1910" s="14"/>
      <c r="Q1910" s="14"/>
      <c r="R1910" s="14">
        <v>400</v>
      </c>
      <c r="S1910" s="14"/>
      <c r="T1910" s="14"/>
      <c r="U1910" s="14"/>
      <c r="V1910" s="14"/>
      <c r="W1910" s="15">
        <f t="shared" si="66"/>
        <v>400</v>
      </c>
      <c r="X1910" s="14"/>
      <c r="Y1910" s="14"/>
      <c r="Z1910" s="14"/>
      <c r="AA1910" s="14"/>
      <c r="AB1910" s="14"/>
      <c r="AC1910" s="14"/>
      <c r="AD1910" s="14"/>
      <c r="AE1910" s="14"/>
      <c r="AF1910" s="14"/>
      <c r="AG1910" s="14"/>
      <c r="AH1910" s="14"/>
      <c r="AI1910" s="14"/>
      <c r="AJ1910" s="15"/>
      <c r="AK1910" s="16"/>
    </row>
    <row r="1911" spans="2:37" x14ac:dyDescent="0.2">
      <c r="B1911" s="7" t="s">
        <v>47</v>
      </c>
      <c r="C1911" s="8">
        <v>12600</v>
      </c>
      <c r="D1911" s="9" t="s">
        <v>810</v>
      </c>
      <c r="E1911" s="10" t="s">
        <v>811</v>
      </c>
      <c r="F1911" s="10" t="s">
        <v>812</v>
      </c>
      <c r="G1911" s="8">
        <v>1</v>
      </c>
      <c r="H1911" s="11">
        <v>1000</v>
      </c>
      <c r="I1911" s="12">
        <v>42596</v>
      </c>
      <c r="J1911" s="13">
        <f t="shared" si="65"/>
        <v>0</v>
      </c>
      <c r="K1911" s="14"/>
      <c r="L1911" s="14"/>
      <c r="M1911" s="14"/>
      <c r="N1911" s="14"/>
      <c r="O1911" s="14"/>
      <c r="P1911" s="14"/>
      <c r="Q1911" s="14">
        <v>200</v>
      </c>
      <c r="R1911" s="14">
        <v>200</v>
      </c>
      <c r="S1911" s="14">
        <v>200</v>
      </c>
      <c r="T1911" s="14">
        <v>200</v>
      </c>
      <c r="U1911" s="14">
        <v>200</v>
      </c>
      <c r="V1911" s="14"/>
      <c r="W1911" s="15">
        <f t="shared" si="66"/>
        <v>1000</v>
      </c>
      <c r="X1911" s="14"/>
      <c r="Y1911" s="14"/>
      <c r="Z1911" s="14"/>
      <c r="AA1911" s="14"/>
      <c r="AB1911" s="14"/>
      <c r="AC1911" s="14"/>
      <c r="AD1911" s="14"/>
      <c r="AE1911" s="14"/>
      <c r="AF1911" s="14"/>
      <c r="AG1911" s="14"/>
      <c r="AH1911" s="14"/>
      <c r="AI1911" s="14"/>
      <c r="AJ1911" s="15"/>
      <c r="AK1911" s="16"/>
    </row>
    <row r="1912" spans="2:37" x14ac:dyDescent="0.2">
      <c r="B1912" s="7" t="s">
        <v>37</v>
      </c>
      <c r="C1912" s="8">
        <v>12601</v>
      </c>
      <c r="D1912" s="9" t="s">
        <v>628</v>
      </c>
      <c r="E1912" s="10" t="s">
        <v>629</v>
      </c>
      <c r="F1912" s="10" t="s">
        <v>630</v>
      </c>
      <c r="G1912" s="8">
        <v>1</v>
      </c>
      <c r="H1912" s="11">
        <v>800</v>
      </c>
      <c r="I1912" s="12">
        <v>42596</v>
      </c>
      <c r="J1912" s="13">
        <f t="shared" si="65"/>
        <v>0</v>
      </c>
      <c r="K1912" s="14"/>
      <c r="L1912" s="14"/>
      <c r="M1912" s="14"/>
      <c r="N1912" s="14"/>
      <c r="O1912" s="14"/>
      <c r="P1912" s="14"/>
      <c r="Q1912" s="14">
        <v>400</v>
      </c>
      <c r="R1912" s="14">
        <v>400</v>
      </c>
      <c r="S1912" s="14"/>
      <c r="T1912" s="14"/>
      <c r="U1912" s="14"/>
      <c r="V1912" s="14"/>
      <c r="W1912" s="15">
        <f t="shared" si="66"/>
        <v>800</v>
      </c>
      <c r="X1912" s="14"/>
      <c r="Y1912" s="14"/>
      <c r="Z1912" s="14"/>
      <c r="AA1912" s="14"/>
      <c r="AB1912" s="14"/>
      <c r="AC1912" s="14"/>
      <c r="AD1912" s="14"/>
      <c r="AE1912" s="14"/>
      <c r="AF1912" s="14"/>
      <c r="AG1912" s="14"/>
      <c r="AH1912" s="14"/>
      <c r="AI1912" s="14"/>
      <c r="AJ1912" s="15"/>
      <c r="AK1912" s="16"/>
    </row>
    <row r="1913" spans="2:37" x14ac:dyDescent="0.2">
      <c r="B1913" s="7" t="s">
        <v>37</v>
      </c>
      <c r="C1913" s="8">
        <v>12601</v>
      </c>
      <c r="D1913" s="9" t="s">
        <v>628</v>
      </c>
      <c r="E1913" s="10" t="s">
        <v>629</v>
      </c>
      <c r="F1913" s="10" t="s">
        <v>630</v>
      </c>
      <c r="G1913" s="8">
        <v>5</v>
      </c>
      <c r="H1913" s="11">
        <v>150</v>
      </c>
      <c r="I1913" s="12">
        <v>42596</v>
      </c>
      <c r="J1913" s="13">
        <f t="shared" si="65"/>
        <v>0</v>
      </c>
      <c r="K1913" s="14"/>
      <c r="L1913" s="14"/>
      <c r="M1913" s="14"/>
      <c r="N1913" s="14"/>
      <c r="O1913" s="14"/>
      <c r="P1913" s="14"/>
      <c r="Q1913" s="14"/>
      <c r="R1913" s="14"/>
      <c r="S1913" s="14"/>
      <c r="T1913" s="14"/>
      <c r="U1913" s="14"/>
      <c r="V1913" s="14"/>
      <c r="W1913" s="15">
        <f t="shared" si="66"/>
        <v>0</v>
      </c>
      <c r="X1913" s="14"/>
      <c r="Y1913" s="14"/>
      <c r="Z1913" s="14"/>
      <c r="AA1913" s="14"/>
      <c r="AB1913" s="14"/>
      <c r="AC1913" s="14"/>
      <c r="AD1913" s="14"/>
      <c r="AE1913" s="14"/>
      <c r="AF1913" s="14"/>
      <c r="AG1913" s="14"/>
      <c r="AH1913" s="14"/>
      <c r="AI1913" s="14"/>
      <c r="AJ1913" s="15"/>
      <c r="AK1913" s="16"/>
    </row>
    <row r="1914" spans="2:37" x14ac:dyDescent="0.2">
      <c r="B1914" s="7" t="s">
        <v>73</v>
      </c>
      <c r="C1914" s="8">
        <v>12602</v>
      </c>
      <c r="D1914" s="9" t="s">
        <v>523</v>
      </c>
      <c r="E1914" s="10" t="s">
        <v>524</v>
      </c>
      <c r="F1914" s="10" t="s">
        <v>525</v>
      </c>
      <c r="G1914" s="8">
        <v>1</v>
      </c>
      <c r="H1914" s="11">
        <v>400</v>
      </c>
      <c r="I1914" s="12">
        <v>42596</v>
      </c>
      <c r="J1914" s="13">
        <f t="shared" si="65"/>
        <v>0</v>
      </c>
      <c r="K1914" s="14"/>
      <c r="L1914" s="14"/>
      <c r="M1914" s="14"/>
      <c r="N1914" s="14"/>
      <c r="O1914" s="14"/>
      <c r="P1914" s="14"/>
      <c r="Q1914" s="14">
        <v>400</v>
      </c>
      <c r="R1914" s="14"/>
      <c r="S1914" s="14"/>
      <c r="T1914" s="14"/>
      <c r="U1914" s="14"/>
      <c r="V1914" s="14"/>
      <c r="W1914" s="15">
        <f t="shared" si="66"/>
        <v>400</v>
      </c>
      <c r="X1914" s="14"/>
      <c r="Y1914" s="14"/>
      <c r="Z1914" s="14"/>
      <c r="AA1914" s="14"/>
      <c r="AB1914" s="14"/>
      <c r="AC1914" s="14"/>
      <c r="AD1914" s="14"/>
      <c r="AE1914" s="14"/>
      <c r="AF1914" s="14"/>
      <c r="AG1914" s="14"/>
      <c r="AH1914" s="14"/>
      <c r="AI1914" s="14"/>
      <c r="AJ1914" s="15"/>
      <c r="AK1914" s="16"/>
    </row>
    <row r="1915" spans="2:37" x14ac:dyDescent="0.2">
      <c r="B1915" s="7" t="s">
        <v>73</v>
      </c>
      <c r="C1915" s="8">
        <v>12602</v>
      </c>
      <c r="D1915" s="9" t="s">
        <v>523</v>
      </c>
      <c r="E1915" s="10" t="s">
        <v>524</v>
      </c>
      <c r="F1915" s="10" t="s">
        <v>525</v>
      </c>
      <c r="G1915" s="8">
        <v>5</v>
      </c>
      <c r="H1915" s="11">
        <v>50</v>
      </c>
      <c r="I1915" s="12">
        <v>42596</v>
      </c>
      <c r="J1915" s="13">
        <f t="shared" si="65"/>
        <v>0</v>
      </c>
      <c r="K1915" s="14"/>
      <c r="L1915" s="14"/>
      <c r="M1915" s="14"/>
      <c r="N1915" s="14"/>
      <c r="O1915" s="14"/>
      <c r="P1915" s="14"/>
      <c r="Q1915" s="14"/>
      <c r="R1915" s="14"/>
      <c r="S1915" s="14"/>
      <c r="T1915" s="14"/>
      <c r="U1915" s="14"/>
      <c r="V1915" s="14"/>
      <c r="W1915" s="15">
        <f t="shared" si="66"/>
        <v>0</v>
      </c>
      <c r="X1915" s="14"/>
      <c r="Y1915" s="14"/>
      <c r="Z1915" s="14"/>
      <c r="AA1915" s="14"/>
      <c r="AB1915" s="14"/>
      <c r="AC1915" s="14"/>
      <c r="AD1915" s="14"/>
      <c r="AE1915" s="14"/>
      <c r="AF1915" s="14"/>
      <c r="AG1915" s="14"/>
      <c r="AH1915" s="14"/>
      <c r="AI1915" s="14"/>
      <c r="AJ1915" s="15"/>
      <c r="AK1915" s="16"/>
    </row>
    <row r="1916" spans="2:37" x14ac:dyDescent="0.2">
      <c r="B1916" s="7" t="s">
        <v>69</v>
      </c>
      <c r="C1916" s="8">
        <v>12603</v>
      </c>
      <c r="D1916" s="9" t="s">
        <v>514</v>
      </c>
      <c r="E1916" s="10" t="s">
        <v>515</v>
      </c>
      <c r="F1916" s="10" t="s">
        <v>516</v>
      </c>
      <c r="G1916" s="8">
        <v>1</v>
      </c>
      <c r="H1916" s="11">
        <v>400</v>
      </c>
      <c r="I1916" s="12">
        <v>42596</v>
      </c>
      <c r="J1916" s="13">
        <f t="shared" si="65"/>
        <v>0</v>
      </c>
      <c r="K1916" s="14"/>
      <c r="L1916" s="14"/>
      <c r="M1916" s="14"/>
      <c r="N1916" s="14"/>
      <c r="O1916" s="14"/>
      <c r="P1916" s="14"/>
      <c r="Q1916" s="14"/>
      <c r="R1916" s="14">
        <v>400</v>
      </c>
      <c r="S1916" s="14"/>
      <c r="T1916" s="14"/>
      <c r="U1916" s="14"/>
      <c r="V1916" s="14"/>
      <c r="W1916" s="15">
        <f t="shared" si="66"/>
        <v>400</v>
      </c>
      <c r="X1916" s="14"/>
      <c r="Y1916" s="14"/>
      <c r="Z1916" s="14"/>
      <c r="AA1916" s="14"/>
      <c r="AB1916" s="14"/>
      <c r="AC1916" s="14"/>
      <c r="AD1916" s="14"/>
      <c r="AE1916" s="14"/>
      <c r="AF1916" s="14"/>
      <c r="AG1916" s="14"/>
      <c r="AH1916" s="14"/>
      <c r="AI1916" s="14"/>
      <c r="AJ1916" s="15"/>
      <c r="AK1916" s="16"/>
    </row>
    <row r="1917" spans="2:37" x14ac:dyDescent="0.2">
      <c r="B1917" s="7" t="s">
        <v>73</v>
      </c>
      <c r="C1917" s="8">
        <v>12604</v>
      </c>
      <c r="D1917" s="9" t="s">
        <v>259</v>
      </c>
      <c r="E1917" s="10" t="s">
        <v>260</v>
      </c>
      <c r="F1917" s="10" t="s">
        <v>261</v>
      </c>
      <c r="G1917" s="8">
        <v>1</v>
      </c>
      <c r="H1917" s="11">
        <v>400</v>
      </c>
      <c r="I1917" s="12">
        <v>42596</v>
      </c>
      <c r="J1917" s="13">
        <f t="shared" si="65"/>
        <v>0</v>
      </c>
      <c r="K1917" s="14"/>
      <c r="L1917" s="14"/>
      <c r="M1917" s="14"/>
      <c r="N1917" s="14"/>
      <c r="O1917" s="14"/>
      <c r="P1917" s="14"/>
      <c r="Q1917" s="14"/>
      <c r="R1917" s="14">
        <v>400</v>
      </c>
      <c r="S1917" s="14"/>
      <c r="T1917" s="14"/>
      <c r="U1917" s="14"/>
      <c r="V1917" s="14"/>
      <c r="W1917" s="15">
        <f t="shared" si="66"/>
        <v>400</v>
      </c>
      <c r="X1917" s="14"/>
      <c r="Y1917" s="14"/>
      <c r="Z1917" s="14"/>
      <c r="AA1917" s="14"/>
      <c r="AB1917" s="14"/>
      <c r="AC1917" s="14"/>
      <c r="AD1917" s="14"/>
      <c r="AE1917" s="14"/>
      <c r="AF1917" s="14"/>
      <c r="AG1917" s="14"/>
      <c r="AH1917" s="14"/>
      <c r="AI1917" s="14"/>
      <c r="AJ1917" s="15"/>
      <c r="AK1917" s="16"/>
    </row>
    <row r="1918" spans="2:37" x14ac:dyDescent="0.2">
      <c r="B1918" s="7" t="s">
        <v>77</v>
      </c>
      <c r="C1918" s="8">
        <v>12605</v>
      </c>
      <c r="D1918" s="9" t="s">
        <v>129</v>
      </c>
      <c r="E1918" s="10" t="s">
        <v>130</v>
      </c>
      <c r="F1918" s="10" t="s">
        <v>131</v>
      </c>
      <c r="G1918" s="8">
        <v>1</v>
      </c>
      <c r="H1918" s="11">
        <v>400</v>
      </c>
      <c r="I1918" s="12">
        <v>42596</v>
      </c>
      <c r="J1918" s="13">
        <f t="shared" si="65"/>
        <v>0</v>
      </c>
      <c r="K1918" s="14"/>
      <c r="L1918" s="14"/>
      <c r="M1918" s="14"/>
      <c r="N1918" s="14"/>
      <c r="O1918" s="14"/>
      <c r="P1918" s="14"/>
      <c r="Q1918" s="14"/>
      <c r="R1918" s="14">
        <v>400</v>
      </c>
      <c r="S1918" s="14"/>
      <c r="T1918" s="14"/>
      <c r="U1918" s="14"/>
      <c r="V1918" s="14"/>
      <c r="W1918" s="15">
        <f t="shared" si="66"/>
        <v>400</v>
      </c>
      <c r="X1918" s="14"/>
      <c r="Y1918" s="14"/>
      <c r="Z1918" s="14"/>
      <c r="AA1918" s="14"/>
      <c r="AB1918" s="14"/>
      <c r="AC1918" s="14"/>
      <c r="AD1918" s="14"/>
      <c r="AE1918" s="14"/>
      <c r="AF1918" s="14"/>
      <c r="AG1918" s="14"/>
      <c r="AH1918" s="14"/>
      <c r="AI1918" s="14"/>
      <c r="AJ1918" s="15"/>
      <c r="AK1918" s="16"/>
    </row>
    <row r="1919" spans="2:37" x14ac:dyDescent="0.2">
      <c r="B1919" s="7" t="s">
        <v>77</v>
      </c>
      <c r="C1919" s="8">
        <v>12606</v>
      </c>
      <c r="D1919" s="9" t="s">
        <v>129</v>
      </c>
      <c r="E1919" s="10" t="s">
        <v>130</v>
      </c>
      <c r="F1919" s="10" t="s">
        <v>131</v>
      </c>
      <c r="G1919" s="8">
        <v>1</v>
      </c>
      <c r="H1919" s="11">
        <v>400</v>
      </c>
      <c r="I1919" s="12">
        <v>42596</v>
      </c>
      <c r="J1919" s="13">
        <f t="shared" si="65"/>
        <v>0</v>
      </c>
      <c r="K1919" s="14"/>
      <c r="L1919" s="14"/>
      <c r="M1919" s="14"/>
      <c r="N1919" s="14"/>
      <c r="O1919" s="14"/>
      <c r="P1919" s="14"/>
      <c r="Q1919" s="14">
        <v>400</v>
      </c>
      <c r="R1919" s="14"/>
      <c r="S1919" s="14"/>
      <c r="T1919" s="14"/>
      <c r="U1919" s="14"/>
      <c r="V1919" s="14"/>
      <c r="W1919" s="15">
        <f t="shared" si="66"/>
        <v>400</v>
      </c>
      <c r="X1919" s="14"/>
      <c r="Y1919" s="14"/>
      <c r="Z1919" s="14"/>
      <c r="AA1919" s="14"/>
      <c r="AB1919" s="14"/>
      <c r="AC1919" s="14"/>
      <c r="AD1919" s="14"/>
      <c r="AE1919" s="14"/>
      <c r="AF1919" s="14"/>
      <c r="AG1919" s="14"/>
      <c r="AH1919" s="14"/>
      <c r="AI1919" s="14"/>
      <c r="AJ1919" s="15"/>
      <c r="AK1919" s="16"/>
    </row>
    <row r="1920" spans="2:37" x14ac:dyDescent="0.2">
      <c r="B1920" s="7" t="s">
        <v>37</v>
      </c>
      <c r="C1920" s="8">
        <v>12607</v>
      </c>
      <c r="D1920" s="9" t="s">
        <v>431</v>
      </c>
      <c r="E1920" s="10" t="s">
        <v>432</v>
      </c>
      <c r="F1920" s="10" t="s">
        <v>433</v>
      </c>
      <c r="G1920" s="8">
        <v>1</v>
      </c>
      <c r="H1920" s="11">
        <v>800</v>
      </c>
      <c r="I1920" s="12">
        <v>42596</v>
      </c>
      <c r="J1920" s="13">
        <f t="shared" si="65"/>
        <v>0</v>
      </c>
      <c r="K1920" s="14"/>
      <c r="L1920" s="14"/>
      <c r="M1920" s="14"/>
      <c r="N1920" s="14"/>
      <c r="O1920" s="14"/>
      <c r="P1920" s="14">
        <v>400</v>
      </c>
      <c r="Q1920" s="14">
        <v>400</v>
      </c>
      <c r="R1920" s="14"/>
      <c r="S1920" s="14"/>
      <c r="T1920" s="14"/>
      <c r="U1920" s="14"/>
      <c r="V1920" s="14"/>
      <c r="W1920" s="15">
        <f t="shared" si="66"/>
        <v>800</v>
      </c>
      <c r="X1920" s="14"/>
      <c r="Y1920" s="14"/>
      <c r="Z1920" s="14"/>
      <c r="AA1920" s="14"/>
      <c r="AB1920" s="14"/>
      <c r="AC1920" s="14"/>
      <c r="AD1920" s="14"/>
      <c r="AE1920" s="14"/>
      <c r="AF1920" s="14"/>
      <c r="AG1920" s="14"/>
      <c r="AH1920" s="14"/>
      <c r="AI1920" s="14"/>
      <c r="AJ1920" s="15"/>
      <c r="AK1920" s="16"/>
    </row>
    <row r="1921" spans="2:37" x14ac:dyDescent="0.2">
      <c r="B1921" s="7" t="s">
        <v>47</v>
      </c>
      <c r="C1921" s="8">
        <v>12608</v>
      </c>
      <c r="D1921" s="9" t="s">
        <v>1154</v>
      </c>
      <c r="E1921" s="10" t="s">
        <v>1155</v>
      </c>
      <c r="F1921" s="10" t="s">
        <v>1156</v>
      </c>
      <c r="G1921" s="8">
        <v>1</v>
      </c>
      <c r="H1921" s="11">
        <v>200</v>
      </c>
      <c r="I1921" s="12">
        <v>42596</v>
      </c>
      <c r="J1921" s="13">
        <f t="shared" si="65"/>
        <v>0</v>
      </c>
      <c r="K1921" s="14"/>
      <c r="L1921" s="14"/>
      <c r="M1921" s="14"/>
      <c r="N1921" s="14"/>
      <c r="O1921" s="14"/>
      <c r="P1921" s="14"/>
      <c r="Q1921" s="14"/>
      <c r="R1921" s="14">
        <v>200</v>
      </c>
      <c r="S1921" s="14"/>
      <c r="T1921" s="14"/>
      <c r="U1921" s="14"/>
      <c r="V1921" s="14"/>
      <c r="W1921" s="15">
        <f t="shared" si="66"/>
        <v>200</v>
      </c>
      <c r="X1921" s="14"/>
      <c r="Y1921" s="14"/>
      <c r="Z1921" s="14"/>
      <c r="AA1921" s="14"/>
      <c r="AB1921" s="14"/>
      <c r="AC1921" s="14"/>
      <c r="AD1921" s="14"/>
      <c r="AE1921" s="14"/>
      <c r="AF1921" s="14"/>
      <c r="AG1921" s="14"/>
      <c r="AH1921" s="14"/>
      <c r="AI1921" s="14"/>
      <c r="AJ1921" s="15"/>
      <c r="AK1921" s="16"/>
    </row>
    <row r="1922" spans="2:37" x14ac:dyDescent="0.2">
      <c r="B1922" s="7" t="s">
        <v>47</v>
      </c>
      <c r="C1922" s="8">
        <v>12608</v>
      </c>
      <c r="D1922" s="9" t="s">
        <v>1154</v>
      </c>
      <c r="E1922" s="10" t="s">
        <v>1155</v>
      </c>
      <c r="F1922" s="10" t="s">
        <v>1156</v>
      </c>
      <c r="G1922" s="8">
        <v>5</v>
      </c>
      <c r="H1922" s="11">
        <v>50</v>
      </c>
      <c r="I1922" s="12">
        <v>42596</v>
      </c>
      <c r="J1922" s="13">
        <f t="shared" si="65"/>
        <v>0</v>
      </c>
      <c r="K1922" s="14"/>
      <c r="L1922" s="14"/>
      <c r="M1922" s="14"/>
      <c r="N1922" s="14"/>
      <c r="O1922" s="14"/>
      <c r="P1922" s="14"/>
      <c r="Q1922" s="14"/>
      <c r="R1922" s="14"/>
      <c r="S1922" s="14"/>
      <c r="T1922" s="14"/>
      <c r="U1922" s="14"/>
      <c r="V1922" s="14"/>
      <c r="W1922" s="15">
        <f t="shared" si="66"/>
        <v>0</v>
      </c>
      <c r="X1922" s="14"/>
      <c r="Y1922" s="14"/>
      <c r="Z1922" s="14"/>
      <c r="AA1922" s="14"/>
      <c r="AB1922" s="14"/>
      <c r="AC1922" s="14"/>
      <c r="AD1922" s="14"/>
      <c r="AE1922" s="14"/>
      <c r="AF1922" s="14"/>
      <c r="AG1922" s="14"/>
      <c r="AH1922" s="14"/>
      <c r="AI1922" s="14"/>
      <c r="AJ1922" s="15"/>
      <c r="AK1922" s="16"/>
    </row>
    <row r="1923" spans="2:37" x14ac:dyDescent="0.2">
      <c r="B1923" s="7" t="s">
        <v>77</v>
      </c>
      <c r="C1923" s="8">
        <v>12609</v>
      </c>
      <c r="D1923" s="9" t="s">
        <v>384</v>
      </c>
      <c r="E1923" s="10" t="s">
        <v>385</v>
      </c>
      <c r="F1923" s="10" t="s">
        <v>386</v>
      </c>
      <c r="G1923" s="8">
        <v>1</v>
      </c>
      <c r="H1923" s="11">
        <v>350</v>
      </c>
      <c r="I1923" s="12">
        <v>42596</v>
      </c>
      <c r="J1923" s="13">
        <f t="shared" si="65"/>
        <v>0</v>
      </c>
      <c r="K1923" s="14"/>
      <c r="L1923" s="14"/>
      <c r="M1923" s="14"/>
      <c r="N1923" s="14"/>
      <c r="O1923" s="14"/>
      <c r="P1923" s="14"/>
      <c r="Q1923" s="14"/>
      <c r="R1923" s="14">
        <v>350</v>
      </c>
      <c r="S1923" s="14"/>
      <c r="T1923" s="14"/>
      <c r="U1923" s="14"/>
      <c r="V1923" s="14"/>
      <c r="W1923" s="15">
        <f t="shared" si="66"/>
        <v>350</v>
      </c>
      <c r="X1923" s="14"/>
      <c r="Y1923" s="14"/>
      <c r="Z1923" s="14"/>
      <c r="AA1923" s="14"/>
      <c r="AB1923" s="14"/>
      <c r="AC1923" s="14"/>
      <c r="AD1923" s="14"/>
      <c r="AE1923" s="14"/>
      <c r="AF1923" s="14"/>
      <c r="AG1923" s="14"/>
      <c r="AH1923" s="14"/>
      <c r="AI1923" s="14"/>
      <c r="AJ1923" s="15"/>
      <c r="AK1923" s="16"/>
    </row>
    <row r="1924" spans="2:37" x14ac:dyDescent="0.2">
      <c r="B1924" s="7" t="s">
        <v>37</v>
      </c>
      <c r="C1924" s="8">
        <v>12610</v>
      </c>
      <c r="D1924" s="9" t="s">
        <v>1042</v>
      </c>
      <c r="E1924" s="10" t="s">
        <v>1043</v>
      </c>
      <c r="F1924" s="10" t="s">
        <v>1044</v>
      </c>
      <c r="G1924" s="8">
        <v>5</v>
      </c>
      <c r="H1924" s="11">
        <v>100</v>
      </c>
      <c r="I1924" s="12">
        <v>42596</v>
      </c>
      <c r="J1924" s="13">
        <f t="shared" si="65"/>
        <v>0</v>
      </c>
      <c r="K1924" s="14"/>
      <c r="L1924" s="14"/>
      <c r="M1924" s="14"/>
      <c r="N1924" s="14"/>
      <c r="O1924" s="14"/>
      <c r="P1924" s="14"/>
      <c r="Q1924" s="14"/>
      <c r="R1924" s="14"/>
      <c r="S1924" s="14"/>
      <c r="T1924" s="14"/>
      <c r="U1924" s="14"/>
      <c r="V1924" s="14"/>
      <c r="W1924" s="15">
        <f t="shared" si="66"/>
        <v>0</v>
      </c>
      <c r="X1924" s="14"/>
      <c r="Y1924" s="14"/>
      <c r="Z1924" s="14"/>
      <c r="AA1924" s="14"/>
      <c r="AB1924" s="14"/>
      <c r="AC1924" s="14"/>
      <c r="AD1924" s="14"/>
      <c r="AE1924" s="14"/>
      <c r="AF1924" s="14"/>
      <c r="AG1924" s="14"/>
      <c r="AH1924" s="14"/>
      <c r="AI1924" s="14"/>
      <c r="AJ1924" s="15"/>
      <c r="AK1924" s="16"/>
    </row>
    <row r="1925" spans="2:37" x14ac:dyDescent="0.2">
      <c r="B1925" s="7" t="s">
        <v>47</v>
      </c>
      <c r="C1925" s="8">
        <v>12611</v>
      </c>
      <c r="D1925" s="9" t="s">
        <v>803</v>
      </c>
      <c r="E1925" s="10" t="s">
        <v>804</v>
      </c>
      <c r="F1925" s="10" t="s">
        <v>312</v>
      </c>
      <c r="G1925" s="8">
        <v>1</v>
      </c>
      <c r="H1925" s="11">
        <v>400</v>
      </c>
      <c r="I1925" s="12">
        <v>42596</v>
      </c>
      <c r="J1925" s="13">
        <f t="shared" si="65"/>
        <v>0</v>
      </c>
      <c r="K1925" s="14"/>
      <c r="L1925" s="14"/>
      <c r="M1925" s="14"/>
      <c r="N1925" s="14"/>
      <c r="O1925" s="14"/>
      <c r="P1925" s="14"/>
      <c r="Q1925" s="14"/>
      <c r="R1925" s="14">
        <v>400</v>
      </c>
      <c r="S1925" s="14"/>
      <c r="T1925" s="14"/>
      <c r="U1925" s="14"/>
      <c r="V1925" s="14"/>
      <c r="W1925" s="15">
        <f t="shared" si="66"/>
        <v>400</v>
      </c>
      <c r="X1925" s="14"/>
      <c r="Y1925" s="14"/>
      <c r="Z1925" s="14"/>
      <c r="AA1925" s="14"/>
      <c r="AB1925" s="14"/>
      <c r="AC1925" s="14"/>
      <c r="AD1925" s="14"/>
      <c r="AE1925" s="14"/>
      <c r="AF1925" s="14"/>
      <c r="AG1925" s="14"/>
      <c r="AH1925" s="14"/>
      <c r="AI1925" s="14"/>
      <c r="AJ1925" s="15"/>
      <c r="AK1925" s="16"/>
    </row>
    <row r="1926" spans="2:37" x14ac:dyDescent="0.2">
      <c r="B1926" s="7" t="s">
        <v>77</v>
      </c>
      <c r="C1926" s="8">
        <v>12612</v>
      </c>
      <c r="D1926" s="9" t="s">
        <v>565</v>
      </c>
      <c r="E1926" s="10" t="s">
        <v>566</v>
      </c>
      <c r="F1926" s="10" t="s">
        <v>567</v>
      </c>
      <c r="G1926" s="8">
        <v>1</v>
      </c>
      <c r="H1926" s="11">
        <v>500</v>
      </c>
      <c r="I1926" s="12">
        <v>42596</v>
      </c>
      <c r="J1926" s="13">
        <f t="shared" si="65"/>
        <v>0</v>
      </c>
      <c r="K1926" s="14"/>
      <c r="L1926" s="14"/>
      <c r="M1926" s="14"/>
      <c r="N1926" s="14"/>
      <c r="O1926" s="14"/>
      <c r="P1926" s="14"/>
      <c r="Q1926" s="14">
        <v>250</v>
      </c>
      <c r="R1926" s="14">
        <v>250</v>
      </c>
      <c r="S1926" s="14"/>
      <c r="T1926" s="14"/>
      <c r="U1926" s="14"/>
      <c r="V1926" s="14"/>
      <c r="W1926" s="15">
        <f t="shared" si="66"/>
        <v>500</v>
      </c>
      <c r="X1926" s="14"/>
      <c r="Y1926" s="14"/>
      <c r="Z1926" s="14"/>
      <c r="AA1926" s="14"/>
      <c r="AB1926" s="14"/>
      <c r="AC1926" s="14"/>
      <c r="AD1926" s="14"/>
      <c r="AE1926" s="14"/>
      <c r="AF1926" s="14"/>
      <c r="AG1926" s="14"/>
      <c r="AH1926" s="14"/>
      <c r="AI1926" s="14"/>
      <c r="AJ1926" s="15"/>
      <c r="AK1926" s="16"/>
    </row>
    <row r="1927" spans="2:37" x14ac:dyDescent="0.2">
      <c r="B1927" s="7" t="s">
        <v>122</v>
      </c>
      <c r="C1927" s="8">
        <v>12613</v>
      </c>
      <c r="D1927" s="9" t="s">
        <v>310</v>
      </c>
      <c r="E1927" s="10" t="s">
        <v>311</v>
      </c>
      <c r="F1927" s="10" t="s">
        <v>312</v>
      </c>
      <c r="G1927" s="8">
        <v>5</v>
      </c>
      <c r="H1927" s="11">
        <v>50</v>
      </c>
      <c r="I1927" s="12">
        <v>42596</v>
      </c>
      <c r="J1927" s="13">
        <f t="shared" si="65"/>
        <v>0</v>
      </c>
      <c r="K1927" s="14"/>
      <c r="L1927" s="14"/>
      <c r="M1927" s="14"/>
      <c r="N1927" s="14"/>
      <c r="O1927" s="14"/>
      <c r="P1927" s="14"/>
      <c r="Q1927" s="14"/>
      <c r="R1927" s="14"/>
      <c r="S1927" s="14"/>
      <c r="T1927" s="14"/>
      <c r="U1927" s="14"/>
      <c r="V1927" s="14"/>
      <c r="W1927" s="15">
        <f t="shared" si="66"/>
        <v>0</v>
      </c>
      <c r="X1927" s="14"/>
      <c r="Y1927" s="14"/>
      <c r="Z1927" s="14"/>
      <c r="AA1927" s="14"/>
      <c r="AB1927" s="14"/>
      <c r="AC1927" s="14"/>
      <c r="AD1927" s="14"/>
      <c r="AE1927" s="14"/>
      <c r="AF1927" s="14"/>
      <c r="AG1927" s="14"/>
      <c r="AH1927" s="14"/>
      <c r="AI1927" s="14"/>
      <c r="AJ1927" s="15"/>
      <c r="AK1927" s="16"/>
    </row>
    <row r="1928" spans="2:37" x14ac:dyDescent="0.2">
      <c r="B1928" s="7" t="s">
        <v>37</v>
      </c>
      <c r="C1928" s="8">
        <v>12614</v>
      </c>
      <c r="D1928" s="9" t="s">
        <v>1020</v>
      </c>
      <c r="E1928" s="10" t="s">
        <v>1021</v>
      </c>
      <c r="F1928" s="10" t="s">
        <v>1022</v>
      </c>
      <c r="G1928" s="8">
        <v>1</v>
      </c>
      <c r="H1928" s="11">
        <v>400</v>
      </c>
      <c r="I1928" s="12">
        <v>42596</v>
      </c>
      <c r="J1928" s="13">
        <f t="shared" si="65"/>
        <v>0</v>
      </c>
      <c r="K1928" s="14"/>
      <c r="L1928" s="14"/>
      <c r="M1928" s="14"/>
      <c r="N1928" s="14"/>
      <c r="O1928" s="14"/>
      <c r="P1928" s="14"/>
      <c r="Q1928" s="14"/>
      <c r="R1928" s="14">
        <v>400</v>
      </c>
      <c r="S1928" s="14"/>
      <c r="T1928" s="14"/>
      <c r="U1928" s="14"/>
      <c r="V1928" s="14"/>
      <c r="W1928" s="15">
        <f t="shared" si="66"/>
        <v>400</v>
      </c>
      <c r="X1928" s="14"/>
      <c r="Y1928" s="14"/>
      <c r="Z1928" s="14"/>
      <c r="AA1928" s="14"/>
      <c r="AB1928" s="14"/>
      <c r="AC1928" s="14"/>
      <c r="AD1928" s="14"/>
      <c r="AE1928" s="14"/>
      <c r="AF1928" s="14"/>
      <c r="AG1928" s="14"/>
      <c r="AH1928" s="14"/>
      <c r="AI1928" s="14"/>
      <c r="AJ1928" s="15"/>
      <c r="AK1928" s="16"/>
    </row>
    <row r="1929" spans="2:37" x14ac:dyDescent="0.2">
      <c r="B1929" s="7" t="s">
        <v>37</v>
      </c>
      <c r="C1929" s="8">
        <v>12614</v>
      </c>
      <c r="D1929" s="9" t="s">
        <v>1020</v>
      </c>
      <c r="E1929" s="10" t="s">
        <v>1021</v>
      </c>
      <c r="F1929" s="10" t="s">
        <v>1022</v>
      </c>
      <c r="G1929" s="8">
        <v>5</v>
      </c>
      <c r="H1929" s="11">
        <v>50</v>
      </c>
      <c r="I1929" s="12">
        <v>42596</v>
      </c>
      <c r="J1929" s="13">
        <f t="shared" si="65"/>
        <v>0</v>
      </c>
      <c r="K1929" s="14"/>
      <c r="L1929" s="14"/>
      <c r="M1929" s="14"/>
      <c r="N1929" s="14"/>
      <c r="O1929" s="14"/>
      <c r="P1929" s="14"/>
      <c r="Q1929" s="14"/>
      <c r="R1929" s="14"/>
      <c r="S1929" s="14"/>
      <c r="T1929" s="14"/>
      <c r="U1929" s="14"/>
      <c r="V1929" s="14"/>
      <c r="W1929" s="15">
        <f t="shared" si="66"/>
        <v>0</v>
      </c>
      <c r="X1929" s="14"/>
      <c r="Y1929" s="14"/>
      <c r="Z1929" s="14"/>
      <c r="AA1929" s="14"/>
      <c r="AB1929" s="14"/>
      <c r="AC1929" s="14"/>
      <c r="AD1929" s="14"/>
      <c r="AE1929" s="14"/>
      <c r="AF1929" s="14"/>
      <c r="AG1929" s="14"/>
      <c r="AH1929" s="14"/>
      <c r="AI1929" s="14"/>
      <c r="AJ1929" s="15"/>
      <c r="AK1929" s="16"/>
    </row>
    <row r="1930" spans="2:37" x14ac:dyDescent="0.2">
      <c r="B1930" s="7" t="s">
        <v>73</v>
      </c>
      <c r="C1930" s="8">
        <v>12615</v>
      </c>
      <c r="D1930" s="9" t="s">
        <v>611</v>
      </c>
      <c r="E1930" s="10" t="s">
        <v>612</v>
      </c>
      <c r="F1930" s="10" t="s">
        <v>613</v>
      </c>
      <c r="G1930" s="8">
        <v>1</v>
      </c>
      <c r="H1930" s="11">
        <v>400</v>
      </c>
      <c r="I1930" s="12">
        <v>42596</v>
      </c>
      <c r="J1930" s="13">
        <f t="shared" si="65"/>
        <v>0</v>
      </c>
      <c r="K1930" s="14"/>
      <c r="L1930" s="14"/>
      <c r="M1930" s="14"/>
      <c r="N1930" s="14"/>
      <c r="O1930" s="14"/>
      <c r="P1930" s="14"/>
      <c r="Q1930" s="14"/>
      <c r="R1930" s="14">
        <v>400</v>
      </c>
      <c r="S1930" s="14"/>
      <c r="T1930" s="14"/>
      <c r="U1930" s="14"/>
      <c r="V1930" s="14"/>
      <c r="W1930" s="15">
        <f t="shared" si="66"/>
        <v>400</v>
      </c>
      <c r="X1930" s="14"/>
      <c r="Y1930" s="14"/>
      <c r="Z1930" s="14"/>
      <c r="AA1930" s="14"/>
      <c r="AB1930" s="14"/>
      <c r="AC1930" s="14"/>
      <c r="AD1930" s="14"/>
      <c r="AE1930" s="14"/>
      <c r="AF1930" s="14"/>
      <c r="AG1930" s="14"/>
      <c r="AH1930" s="14"/>
      <c r="AI1930" s="14"/>
      <c r="AJ1930" s="15"/>
      <c r="AK1930" s="16"/>
    </row>
    <row r="1931" spans="2:37" x14ac:dyDescent="0.2">
      <c r="B1931" s="7" t="s">
        <v>47</v>
      </c>
      <c r="C1931" s="8">
        <v>12616</v>
      </c>
      <c r="D1931" s="9" t="s">
        <v>509</v>
      </c>
      <c r="E1931" s="10" t="s">
        <v>510</v>
      </c>
      <c r="F1931" s="10" t="s">
        <v>511</v>
      </c>
      <c r="G1931" s="8">
        <v>1</v>
      </c>
      <c r="H1931" s="11">
        <v>900</v>
      </c>
      <c r="I1931" s="12">
        <v>42596</v>
      </c>
      <c r="J1931" s="13">
        <f t="shared" si="65"/>
        <v>0</v>
      </c>
      <c r="K1931" s="14"/>
      <c r="L1931" s="14"/>
      <c r="M1931" s="14"/>
      <c r="N1931" s="14"/>
      <c r="O1931" s="14">
        <v>300</v>
      </c>
      <c r="P1931" s="14">
        <v>300</v>
      </c>
      <c r="Q1931" s="14">
        <v>300</v>
      </c>
      <c r="R1931" s="14"/>
      <c r="S1931" s="14"/>
      <c r="T1931" s="14"/>
      <c r="U1931" s="14"/>
      <c r="V1931" s="14"/>
      <c r="W1931" s="15">
        <f t="shared" si="66"/>
        <v>900</v>
      </c>
      <c r="X1931" s="14"/>
      <c r="Y1931" s="14"/>
      <c r="Z1931" s="14"/>
      <c r="AA1931" s="14"/>
      <c r="AB1931" s="14"/>
      <c r="AC1931" s="14"/>
      <c r="AD1931" s="14"/>
      <c r="AE1931" s="14"/>
      <c r="AF1931" s="14"/>
      <c r="AG1931" s="14"/>
      <c r="AH1931" s="14"/>
      <c r="AI1931" s="14"/>
      <c r="AJ1931" s="15"/>
      <c r="AK1931" s="16"/>
    </row>
    <row r="1932" spans="2:37" x14ac:dyDescent="0.2">
      <c r="B1932" s="7" t="s">
        <v>37</v>
      </c>
      <c r="C1932" s="8">
        <v>12617</v>
      </c>
      <c r="D1932" s="9" t="s">
        <v>512</v>
      </c>
      <c r="E1932" s="10" t="s">
        <v>513</v>
      </c>
      <c r="F1932" s="10" t="s">
        <v>511</v>
      </c>
      <c r="G1932" s="8">
        <v>1</v>
      </c>
      <c r="H1932" s="11">
        <v>2000</v>
      </c>
      <c r="I1932" s="12">
        <v>42596</v>
      </c>
      <c r="J1932" s="13">
        <f t="shared" si="65"/>
        <v>0</v>
      </c>
      <c r="K1932" s="14"/>
      <c r="L1932" s="14"/>
      <c r="M1932" s="14"/>
      <c r="N1932" s="14">
        <v>400</v>
      </c>
      <c r="O1932" s="14">
        <v>400</v>
      </c>
      <c r="P1932" s="14">
        <v>400</v>
      </c>
      <c r="Q1932" s="14">
        <v>400</v>
      </c>
      <c r="R1932" s="14">
        <v>400</v>
      </c>
      <c r="S1932" s="14"/>
      <c r="T1932" s="14"/>
      <c r="U1932" s="14"/>
      <c r="V1932" s="14"/>
      <c r="W1932" s="15">
        <f t="shared" si="66"/>
        <v>2000</v>
      </c>
      <c r="X1932" s="14"/>
      <c r="Y1932" s="14"/>
      <c r="Z1932" s="14"/>
      <c r="AA1932" s="14"/>
      <c r="AB1932" s="14"/>
      <c r="AC1932" s="14"/>
      <c r="AD1932" s="14"/>
      <c r="AE1932" s="14"/>
      <c r="AF1932" s="14"/>
      <c r="AG1932" s="14"/>
      <c r="AH1932" s="14"/>
      <c r="AI1932" s="14"/>
      <c r="AJ1932" s="15"/>
      <c r="AK1932" s="16"/>
    </row>
    <row r="1933" spans="2:37" x14ac:dyDescent="0.2">
      <c r="B1933" s="7" t="s">
        <v>37</v>
      </c>
      <c r="C1933" s="8">
        <v>12618</v>
      </c>
      <c r="D1933" s="9" t="s">
        <v>395</v>
      </c>
      <c r="E1933" s="10" t="s">
        <v>396</v>
      </c>
      <c r="F1933" s="10" t="s">
        <v>397</v>
      </c>
      <c r="G1933" s="8">
        <v>1</v>
      </c>
      <c r="H1933" s="11">
        <v>200</v>
      </c>
      <c r="I1933" s="12">
        <v>42596</v>
      </c>
      <c r="J1933" s="13">
        <f t="shared" si="65"/>
        <v>0</v>
      </c>
      <c r="K1933" s="14"/>
      <c r="L1933" s="14"/>
      <c r="M1933" s="14"/>
      <c r="N1933" s="14"/>
      <c r="O1933" s="14"/>
      <c r="P1933" s="14"/>
      <c r="Q1933" s="14"/>
      <c r="R1933" s="14">
        <v>200</v>
      </c>
      <c r="S1933" s="14"/>
      <c r="T1933" s="14"/>
      <c r="U1933" s="14"/>
      <c r="V1933" s="14"/>
      <c r="W1933" s="15">
        <f t="shared" si="66"/>
        <v>200</v>
      </c>
      <c r="X1933" s="14"/>
      <c r="Y1933" s="14"/>
      <c r="Z1933" s="14"/>
      <c r="AA1933" s="14"/>
      <c r="AB1933" s="14"/>
      <c r="AC1933" s="14"/>
      <c r="AD1933" s="14"/>
      <c r="AE1933" s="14"/>
      <c r="AF1933" s="14"/>
      <c r="AG1933" s="14"/>
      <c r="AH1933" s="14"/>
      <c r="AI1933" s="14"/>
      <c r="AJ1933" s="15"/>
      <c r="AK1933" s="16"/>
    </row>
    <row r="1934" spans="2:37" x14ac:dyDescent="0.2">
      <c r="B1934" s="7" t="s">
        <v>93</v>
      </c>
      <c r="C1934" s="8">
        <v>12619</v>
      </c>
      <c r="D1934" s="9"/>
      <c r="E1934" s="10" t="s">
        <v>93</v>
      </c>
      <c r="F1934" s="10" t="s">
        <v>93</v>
      </c>
      <c r="G1934" s="8">
        <v>8</v>
      </c>
      <c r="H1934" s="11"/>
      <c r="I1934" s="12"/>
      <c r="J1934" s="13">
        <f t="shared" si="65"/>
        <v>0</v>
      </c>
      <c r="K1934" s="14"/>
      <c r="L1934" s="14"/>
      <c r="M1934" s="14"/>
      <c r="N1934" s="14"/>
      <c r="O1934" s="14"/>
      <c r="P1934" s="14"/>
      <c r="Q1934" s="14"/>
      <c r="R1934" s="14"/>
      <c r="S1934" s="14"/>
      <c r="T1934" s="14"/>
      <c r="U1934" s="14"/>
      <c r="V1934" s="14"/>
      <c r="W1934" s="15">
        <f t="shared" si="66"/>
        <v>0</v>
      </c>
      <c r="X1934" s="14"/>
      <c r="Y1934" s="14"/>
      <c r="Z1934" s="14"/>
      <c r="AA1934" s="14"/>
      <c r="AB1934" s="14"/>
      <c r="AC1934" s="14"/>
      <c r="AD1934" s="14"/>
      <c r="AE1934" s="14"/>
      <c r="AF1934" s="14"/>
      <c r="AG1934" s="14"/>
      <c r="AH1934" s="14"/>
      <c r="AI1934" s="14"/>
      <c r="AJ1934" s="15"/>
      <c r="AK1934" s="16"/>
    </row>
    <row r="1935" spans="2:37" x14ac:dyDescent="0.2">
      <c r="B1935" s="7" t="s">
        <v>77</v>
      </c>
      <c r="C1935" s="8">
        <v>12620</v>
      </c>
      <c r="D1935" s="9" t="s">
        <v>286</v>
      </c>
      <c r="E1935" s="10" t="s">
        <v>287</v>
      </c>
      <c r="F1935" s="10" t="s">
        <v>288</v>
      </c>
      <c r="G1935" s="8">
        <v>1</v>
      </c>
      <c r="H1935" s="11">
        <v>800</v>
      </c>
      <c r="I1935" s="12">
        <v>42598</v>
      </c>
      <c r="J1935" s="13">
        <f t="shared" ref="J1935:J1998" si="67">IF(G1935=1,SUM(W1935,-H1935),0)</f>
        <v>0</v>
      </c>
      <c r="K1935" s="14"/>
      <c r="L1935" s="14"/>
      <c r="M1935" s="14"/>
      <c r="N1935" s="14"/>
      <c r="O1935" s="14"/>
      <c r="P1935" s="14"/>
      <c r="Q1935" s="14">
        <v>400</v>
      </c>
      <c r="R1935" s="14">
        <v>400</v>
      </c>
      <c r="S1935" s="14"/>
      <c r="T1935" s="14"/>
      <c r="U1935" s="14"/>
      <c r="V1935" s="14"/>
      <c r="W1935" s="15">
        <f t="shared" ref="W1935:W1998" si="68">SUM(K1935:V1935)</f>
        <v>800</v>
      </c>
      <c r="X1935" s="14"/>
      <c r="Y1935" s="14"/>
      <c r="Z1935" s="14"/>
      <c r="AA1935" s="14"/>
      <c r="AB1935" s="14"/>
      <c r="AC1935" s="14"/>
      <c r="AD1935" s="14"/>
      <c r="AE1935" s="14"/>
      <c r="AF1935" s="14"/>
      <c r="AG1935" s="14"/>
      <c r="AH1935" s="14"/>
      <c r="AI1935" s="14"/>
      <c r="AJ1935" s="15"/>
      <c r="AK1935" s="16"/>
    </row>
    <row r="1936" spans="2:37" x14ac:dyDescent="0.2">
      <c r="B1936" s="7" t="s">
        <v>69</v>
      </c>
      <c r="C1936" s="8">
        <v>12621</v>
      </c>
      <c r="D1936" s="9" t="s">
        <v>1157</v>
      </c>
      <c r="E1936" s="10" t="s">
        <v>1158</v>
      </c>
      <c r="F1936" s="10" t="s">
        <v>1159</v>
      </c>
      <c r="G1936" s="8">
        <v>1</v>
      </c>
      <c r="H1936" s="11">
        <v>200</v>
      </c>
      <c r="I1936" s="12">
        <v>42595</v>
      </c>
      <c r="J1936" s="13">
        <f t="shared" si="67"/>
        <v>0</v>
      </c>
      <c r="K1936" s="14"/>
      <c r="L1936" s="14"/>
      <c r="M1936" s="14"/>
      <c r="N1936" s="14"/>
      <c r="O1936" s="14"/>
      <c r="P1936" s="14"/>
      <c r="Q1936" s="14"/>
      <c r="R1936" s="14">
        <v>200</v>
      </c>
      <c r="S1936" s="14"/>
      <c r="T1936" s="14"/>
      <c r="U1936" s="14"/>
      <c r="V1936" s="14"/>
      <c r="W1936" s="15">
        <f t="shared" si="68"/>
        <v>200</v>
      </c>
      <c r="X1936" s="14"/>
      <c r="Y1936" s="14"/>
      <c r="Z1936" s="14"/>
      <c r="AA1936" s="14"/>
      <c r="AB1936" s="14"/>
      <c r="AC1936" s="14"/>
      <c r="AD1936" s="14"/>
      <c r="AE1936" s="14"/>
      <c r="AF1936" s="14"/>
      <c r="AG1936" s="14"/>
      <c r="AH1936" s="14"/>
      <c r="AI1936" s="14"/>
      <c r="AJ1936" s="15"/>
      <c r="AK1936" s="16"/>
    </row>
    <row r="1937" spans="2:37" x14ac:dyDescent="0.2">
      <c r="B1937" s="7" t="s">
        <v>1118</v>
      </c>
      <c r="C1937" s="8">
        <v>12622</v>
      </c>
      <c r="D1937" s="9" t="s">
        <v>1160</v>
      </c>
      <c r="E1937" s="10" t="s">
        <v>1161</v>
      </c>
      <c r="F1937" s="10" t="s">
        <v>1162</v>
      </c>
      <c r="G1937" s="8">
        <v>1</v>
      </c>
      <c r="H1937" s="11">
        <v>200</v>
      </c>
      <c r="I1937" s="12">
        <v>42595</v>
      </c>
      <c r="J1937" s="13">
        <f t="shared" si="67"/>
        <v>0</v>
      </c>
      <c r="K1937" s="14"/>
      <c r="L1937" s="14"/>
      <c r="M1937" s="14"/>
      <c r="N1937" s="14"/>
      <c r="O1937" s="14"/>
      <c r="P1937" s="14"/>
      <c r="Q1937" s="14"/>
      <c r="R1937" s="14">
        <v>200</v>
      </c>
      <c r="S1937" s="14"/>
      <c r="T1937" s="14"/>
      <c r="U1937" s="14"/>
      <c r="V1937" s="14"/>
      <c r="W1937" s="15">
        <f t="shared" si="68"/>
        <v>200</v>
      </c>
      <c r="X1937" s="14"/>
      <c r="Y1937" s="14"/>
      <c r="Z1937" s="14"/>
      <c r="AA1937" s="14"/>
      <c r="AB1937" s="14"/>
      <c r="AC1937" s="14"/>
      <c r="AD1937" s="14"/>
      <c r="AE1937" s="14"/>
      <c r="AF1937" s="14"/>
      <c r="AG1937" s="14"/>
      <c r="AH1937" s="14"/>
      <c r="AI1937" s="14"/>
      <c r="AJ1937" s="15"/>
      <c r="AK1937" s="16"/>
    </row>
    <row r="1938" spans="2:37" x14ac:dyDescent="0.2">
      <c r="B1938" s="7" t="s">
        <v>69</v>
      </c>
      <c r="C1938" s="8">
        <v>12623</v>
      </c>
      <c r="D1938" s="9" t="s">
        <v>373</v>
      </c>
      <c r="E1938" s="10" t="s">
        <v>374</v>
      </c>
      <c r="F1938" s="10" t="s">
        <v>375</v>
      </c>
      <c r="G1938" s="8">
        <v>1</v>
      </c>
      <c r="H1938" s="11">
        <v>400</v>
      </c>
      <c r="I1938" s="12">
        <v>42595</v>
      </c>
      <c r="J1938" s="13">
        <f t="shared" si="67"/>
        <v>0</v>
      </c>
      <c r="K1938" s="14"/>
      <c r="L1938" s="14"/>
      <c r="M1938" s="14"/>
      <c r="N1938" s="14"/>
      <c r="O1938" s="14"/>
      <c r="P1938" s="14"/>
      <c r="Q1938" s="14"/>
      <c r="R1938" s="14">
        <v>400</v>
      </c>
      <c r="S1938" s="14"/>
      <c r="T1938" s="14"/>
      <c r="U1938" s="14"/>
      <c r="V1938" s="14"/>
      <c r="W1938" s="15">
        <f t="shared" si="68"/>
        <v>400</v>
      </c>
      <c r="X1938" s="14"/>
      <c r="Y1938" s="14"/>
      <c r="Z1938" s="14"/>
      <c r="AA1938" s="14"/>
      <c r="AB1938" s="14"/>
      <c r="AC1938" s="14"/>
      <c r="AD1938" s="14"/>
      <c r="AE1938" s="14"/>
      <c r="AF1938" s="14"/>
      <c r="AG1938" s="14"/>
      <c r="AH1938" s="14"/>
      <c r="AI1938" s="14"/>
      <c r="AJ1938" s="15"/>
      <c r="AK1938" s="16"/>
    </row>
    <row r="1939" spans="2:37" x14ac:dyDescent="0.2">
      <c r="B1939" s="7" t="s">
        <v>37</v>
      </c>
      <c r="C1939" s="8">
        <v>12624</v>
      </c>
      <c r="D1939" s="9" t="s">
        <v>443</v>
      </c>
      <c r="E1939" s="10" t="s">
        <v>444</v>
      </c>
      <c r="F1939" s="10" t="s">
        <v>445</v>
      </c>
      <c r="G1939" s="8">
        <v>3</v>
      </c>
      <c r="H1939" s="11">
        <v>200</v>
      </c>
      <c r="I1939" s="12">
        <v>42599</v>
      </c>
      <c r="J1939" s="13">
        <f t="shared" si="67"/>
        <v>0</v>
      </c>
      <c r="K1939" s="14"/>
      <c r="L1939" s="14"/>
      <c r="M1939" s="14"/>
      <c r="N1939" s="14"/>
      <c r="O1939" s="14"/>
      <c r="P1939" s="14"/>
      <c r="Q1939" s="14"/>
      <c r="R1939" s="14"/>
      <c r="S1939" s="14"/>
      <c r="T1939" s="14"/>
      <c r="U1939" s="14"/>
      <c r="V1939" s="14"/>
      <c r="W1939" s="15">
        <f t="shared" si="68"/>
        <v>0</v>
      </c>
      <c r="X1939" s="14"/>
      <c r="Y1939" s="14"/>
      <c r="Z1939" s="14"/>
      <c r="AA1939" s="14"/>
      <c r="AB1939" s="14"/>
      <c r="AC1939" s="14"/>
      <c r="AD1939" s="14"/>
      <c r="AE1939" s="14"/>
      <c r="AF1939" s="14"/>
      <c r="AG1939" s="14"/>
      <c r="AH1939" s="14"/>
      <c r="AI1939" s="14"/>
      <c r="AJ1939" s="15"/>
      <c r="AK1939" s="16"/>
    </row>
    <row r="1940" spans="2:37" x14ac:dyDescent="0.2">
      <c r="B1940" s="7" t="s">
        <v>37</v>
      </c>
      <c r="C1940" s="8">
        <v>12624</v>
      </c>
      <c r="D1940" s="9" t="s">
        <v>443</v>
      </c>
      <c r="E1940" s="10" t="s">
        <v>444</v>
      </c>
      <c r="F1940" s="10" t="s">
        <v>445</v>
      </c>
      <c r="G1940" s="8">
        <v>4</v>
      </c>
      <c r="H1940" s="11">
        <v>200</v>
      </c>
      <c r="I1940" s="12">
        <v>42599</v>
      </c>
      <c r="J1940" s="13">
        <f t="shared" si="67"/>
        <v>0</v>
      </c>
      <c r="K1940" s="14"/>
      <c r="L1940" s="14"/>
      <c r="M1940" s="14"/>
      <c r="N1940" s="14"/>
      <c r="O1940" s="14"/>
      <c r="P1940" s="14"/>
      <c r="Q1940" s="14"/>
      <c r="R1940" s="14"/>
      <c r="S1940" s="14"/>
      <c r="T1940" s="14"/>
      <c r="U1940" s="14"/>
      <c r="V1940" s="14"/>
      <c r="W1940" s="15">
        <f t="shared" si="68"/>
        <v>0</v>
      </c>
      <c r="X1940" s="14"/>
      <c r="Y1940" s="14"/>
      <c r="Z1940" s="14"/>
      <c r="AA1940" s="14"/>
      <c r="AB1940" s="14"/>
      <c r="AC1940" s="14"/>
      <c r="AD1940" s="14"/>
      <c r="AE1940" s="14"/>
      <c r="AF1940" s="14"/>
      <c r="AG1940" s="14"/>
      <c r="AH1940" s="14"/>
      <c r="AI1940" s="14"/>
      <c r="AJ1940" s="15"/>
      <c r="AK1940" s="16"/>
    </row>
    <row r="1941" spans="2:37" x14ac:dyDescent="0.2">
      <c r="B1941" s="7" t="s">
        <v>69</v>
      </c>
      <c r="C1941" s="8">
        <v>12625</v>
      </c>
      <c r="D1941" s="9" t="s">
        <v>304</v>
      </c>
      <c r="E1941" s="10" t="s">
        <v>305</v>
      </c>
      <c r="F1941" s="10" t="s">
        <v>306</v>
      </c>
      <c r="G1941" s="8">
        <v>5</v>
      </c>
      <c r="H1941" s="11">
        <v>100</v>
      </c>
      <c r="I1941" s="12">
        <v>42603</v>
      </c>
      <c r="J1941" s="13">
        <f t="shared" si="67"/>
        <v>0</v>
      </c>
      <c r="K1941" s="14"/>
      <c r="L1941" s="14"/>
      <c r="M1941" s="14"/>
      <c r="N1941" s="14"/>
      <c r="O1941" s="14"/>
      <c r="P1941" s="14"/>
      <c r="Q1941" s="14"/>
      <c r="R1941" s="14"/>
      <c r="S1941" s="14"/>
      <c r="T1941" s="14"/>
      <c r="U1941" s="14"/>
      <c r="V1941" s="14"/>
      <c r="W1941" s="15">
        <f t="shared" si="68"/>
        <v>0</v>
      </c>
      <c r="X1941" s="14"/>
      <c r="Y1941" s="14"/>
      <c r="Z1941" s="14"/>
      <c r="AA1941" s="14"/>
      <c r="AB1941" s="14"/>
      <c r="AC1941" s="14"/>
      <c r="AD1941" s="14"/>
      <c r="AE1941" s="14"/>
      <c r="AF1941" s="14"/>
      <c r="AG1941" s="14"/>
      <c r="AH1941" s="14"/>
      <c r="AI1941" s="14"/>
      <c r="AJ1941" s="15"/>
      <c r="AK1941" s="16"/>
    </row>
    <row r="1942" spans="2:37" x14ac:dyDescent="0.2">
      <c r="B1942" s="7" t="s">
        <v>73</v>
      </c>
      <c r="C1942" s="8">
        <v>12626</v>
      </c>
      <c r="D1942" s="9" t="s">
        <v>1055</v>
      </c>
      <c r="E1942" s="10" t="s">
        <v>1056</v>
      </c>
      <c r="F1942" s="10" t="s">
        <v>1057</v>
      </c>
      <c r="G1942" s="8">
        <v>1</v>
      </c>
      <c r="H1942" s="11">
        <v>200</v>
      </c>
      <c r="I1942" s="12">
        <v>42603</v>
      </c>
      <c r="J1942" s="13">
        <f t="shared" si="67"/>
        <v>0</v>
      </c>
      <c r="K1942" s="14"/>
      <c r="L1942" s="14"/>
      <c r="M1942" s="14"/>
      <c r="N1942" s="14"/>
      <c r="O1942" s="14"/>
      <c r="P1942" s="14"/>
      <c r="Q1942" s="14"/>
      <c r="R1942" s="14">
        <v>200</v>
      </c>
      <c r="S1942" s="14"/>
      <c r="T1942" s="14"/>
      <c r="U1942" s="14"/>
      <c r="V1942" s="14"/>
      <c r="W1942" s="15">
        <f t="shared" si="68"/>
        <v>200</v>
      </c>
      <c r="X1942" s="14"/>
      <c r="Y1942" s="14"/>
      <c r="Z1942" s="14"/>
      <c r="AA1942" s="14"/>
      <c r="AB1942" s="14"/>
      <c r="AC1942" s="14"/>
      <c r="AD1942" s="14"/>
      <c r="AE1942" s="14"/>
      <c r="AF1942" s="14"/>
      <c r="AG1942" s="14"/>
      <c r="AH1942" s="14"/>
      <c r="AI1942" s="14"/>
      <c r="AJ1942" s="15"/>
      <c r="AK1942" s="16"/>
    </row>
    <row r="1943" spans="2:37" x14ac:dyDescent="0.2">
      <c r="B1943" s="7" t="s">
        <v>37</v>
      </c>
      <c r="C1943" s="8">
        <v>12627</v>
      </c>
      <c r="D1943" s="9" t="s">
        <v>905</v>
      </c>
      <c r="E1943" s="10" t="s">
        <v>906</v>
      </c>
      <c r="F1943" s="10" t="s">
        <v>907</v>
      </c>
      <c r="G1943" s="8">
        <v>1</v>
      </c>
      <c r="H1943" s="11">
        <v>400</v>
      </c>
      <c r="I1943" s="12">
        <v>42603</v>
      </c>
      <c r="J1943" s="13">
        <f t="shared" si="67"/>
        <v>0</v>
      </c>
      <c r="K1943" s="14"/>
      <c r="L1943" s="14"/>
      <c r="M1943" s="14"/>
      <c r="N1943" s="14"/>
      <c r="O1943" s="14"/>
      <c r="P1943" s="14"/>
      <c r="Q1943" s="14">
        <v>200</v>
      </c>
      <c r="R1943" s="14">
        <v>200</v>
      </c>
      <c r="S1943" s="14"/>
      <c r="T1943" s="14"/>
      <c r="U1943" s="14"/>
      <c r="V1943" s="14"/>
      <c r="W1943" s="15">
        <f t="shared" si="68"/>
        <v>400</v>
      </c>
      <c r="X1943" s="14"/>
      <c r="Y1943" s="14"/>
      <c r="Z1943" s="14"/>
      <c r="AA1943" s="14"/>
      <c r="AB1943" s="14"/>
      <c r="AC1943" s="14"/>
      <c r="AD1943" s="14"/>
      <c r="AE1943" s="14"/>
      <c r="AF1943" s="14"/>
      <c r="AG1943" s="14"/>
      <c r="AH1943" s="14"/>
      <c r="AI1943" s="14"/>
      <c r="AJ1943" s="15"/>
      <c r="AK1943" s="16"/>
    </row>
    <row r="1944" spans="2:37" x14ac:dyDescent="0.2">
      <c r="B1944" s="7" t="s">
        <v>47</v>
      </c>
      <c r="C1944" s="8">
        <v>12628</v>
      </c>
      <c r="D1944" s="9" t="s">
        <v>655</v>
      </c>
      <c r="E1944" s="10" t="s">
        <v>656</v>
      </c>
      <c r="F1944" s="10" t="s">
        <v>657</v>
      </c>
      <c r="G1944" s="8">
        <v>1</v>
      </c>
      <c r="H1944" s="11">
        <v>1200</v>
      </c>
      <c r="I1944" s="12">
        <v>42603</v>
      </c>
      <c r="J1944" s="13">
        <f t="shared" si="67"/>
        <v>0</v>
      </c>
      <c r="K1944" s="14"/>
      <c r="L1944" s="14"/>
      <c r="M1944" s="14"/>
      <c r="N1944" s="14"/>
      <c r="O1944" s="14">
        <v>400</v>
      </c>
      <c r="P1944" s="14">
        <v>400</v>
      </c>
      <c r="Q1944" s="14">
        <v>400</v>
      </c>
      <c r="R1944" s="14"/>
      <c r="S1944" s="14"/>
      <c r="T1944" s="14"/>
      <c r="U1944" s="14"/>
      <c r="V1944" s="14"/>
      <c r="W1944" s="15">
        <f t="shared" si="68"/>
        <v>1200</v>
      </c>
      <c r="X1944" s="14"/>
      <c r="Y1944" s="14"/>
      <c r="Z1944" s="14"/>
      <c r="AA1944" s="14"/>
      <c r="AB1944" s="14"/>
      <c r="AC1944" s="14"/>
      <c r="AD1944" s="14"/>
      <c r="AE1944" s="14"/>
      <c r="AF1944" s="14"/>
      <c r="AG1944" s="14"/>
      <c r="AH1944" s="14"/>
      <c r="AI1944" s="14"/>
      <c r="AJ1944" s="15"/>
      <c r="AK1944" s="16"/>
    </row>
    <row r="1945" spans="2:37" x14ac:dyDescent="0.2">
      <c r="B1945" s="7" t="s">
        <v>47</v>
      </c>
      <c r="C1945" s="8">
        <v>12629</v>
      </c>
      <c r="D1945" s="9" t="s">
        <v>655</v>
      </c>
      <c r="E1945" s="10" t="s">
        <v>656</v>
      </c>
      <c r="F1945" s="10" t="s">
        <v>657</v>
      </c>
      <c r="G1945" s="8">
        <v>5</v>
      </c>
      <c r="H1945" s="11">
        <v>150</v>
      </c>
      <c r="I1945" s="12">
        <v>42603</v>
      </c>
      <c r="J1945" s="13">
        <f t="shared" si="67"/>
        <v>0</v>
      </c>
      <c r="K1945" s="14"/>
      <c r="L1945" s="14"/>
      <c r="M1945" s="14"/>
      <c r="N1945" s="14"/>
      <c r="O1945" s="14"/>
      <c r="P1945" s="14"/>
      <c r="Q1945" s="14"/>
      <c r="R1945" s="14"/>
      <c r="S1945" s="14"/>
      <c r="T1945" s="14"/>
      <c r="U1945" s="14"/>
      <c r="V1945" s="14"/>
      <c r="W1945" s="15">
        <f t="shared" si="68"/>
        <v>0</v>
      </c>
      <c r="X1945" s="14"/>
      <c r="Y1945" s="14"/>
      <c r="Z1945" s="14"/>
      <c r="AA1945" s="14"/>
      <c r="AB1945" s="14"/>
      <c r="AC1945" s="14"/>
      <c r="AD1945" s="14"/>
      <c r="AE1945" s="14"/>
      <c r="AF1945" s="14"/>
      <c r="AG1945" s="14"/>
      <c r="AH1945" s="14"/>
      <c r="AI1945" s="14"/>
      <c r="AJ1945" s="15"/>
      <c r="AK1945" s="16"/>
    </row>
    <row r="1946" spans="2:37" x14ac:dyDescent="0.2">
      <c r="B1946" s="7" t="s">
        <v>37</v>
      </c>
      <c r="C1946" s="8">
        <v>12630</v>
      </c>
      <c r="D1946" s="9" t="s">
        <v>44</v>
      </c>
      <c r="E1946" s="10" t="s">
        <v>45</v>
      </c>
      <c r="F1946" s="10" t="s">
        <v>46</v>
      </c>
      <c r="G1946" s="8">
        <v>1</v>
      </c>
      <c r="H1946" s="11">
        <v>1200</v>
      </c>
      <c r="I1946" s="12">
        <v>42603</v>
      </c>
      <c r="J1946" s="13">
        <f t="shared" si="67"/>
        <v>0</v>
      </c>
      <c r="K1946" s="14"/>
      <c r="L1946" s="14"/>
      <c r="M1946" s="14"/>
      <c r="N1946" s="14"/>
      <c r="O1946" s="14"/>
      <c r="P1946" s="14"/>
      <c r="Q1946" s="14"/>
      <c r="R1946" s="14">
        <v>400</v>
      </c>
      <c r="S1946" s="14">
        <v>400</v>
      </c>
      <c r="T1946" s="14">
        <v>400</v>
      </c>
      <c r="U1946" s="14"/>
      <c r="V1946" s="14"/>
      <c r="W1946" s="15">
        <f t="shared" si="68"/>
        <v>1200</v>
      </c>
      <c r="X1946" s="14"/>
      <c r="Y1946" s="14"/>
      <c r="Z1946" s="14"/>
      <c r="AA1946" s="14"/>
      <c r="AB1946" s="14"/>
      <c r="AC1946" s="14"/>
      <c r="AD1946" s="14"/>
      <c r="AE1946" s="14"/>
      <c r="AF1946" s="14"/>
      <c r="AG1946" s="14"/>
      <c r="AH1946" s="14"/>
      <c r="AI1946" s="14"/>
      <c r="AJ1946" s="15"/>
      <c r="AK1946" s="16"/>
    </row>
    <row r="1947" spans="2:37" x14ac:dyDescent="0.2">
      <c r="B1947" s="7" t="s">
        <v>37</v>
      </c>
      <c r="C1947" s="8">
        <v>12631</v>
      </c>
      <c r="D1947" s="9" t="s">
        <v>44</v>
      </c>
      <c r="E1947" s="10" t="s">
        <v>45</v>
      </c>
      <c r="F1947" s="10" t="s">
        <v>46</v>
      </c>
      <c r="G1947" s="8">
        <v>5</v>
      </c>
      <c r="H1947" s="11">
        <v>50</v>
      </c>
      <c r="I1947" s="12">
        <v>42603</v>
      </c>
      <c r="J1947" s="13">
        <f t="shared" si="67"/>
        <v>0</v>
      </c>
      <c r="K1947" s="14"/>
      <c r="L1947" s="14"/>
      <c r="M1947" s="14"/>
      <c r="N1947" s="14"/>
      <c r="O1947" s="14"/>
      <c r="P1947" s="14"/>
      <c r="Q1947" s="14"/>
      <c r="R1947" s="14"/>
      <c r="S1947" s="14"/>
      <c r="T1947" s="14"/>
      <c r="U1947" s="14"/>
      <c r="V1947" s="14"/>
      <c r="W1947" s="15">
        <f t="shared" si="68"/>
        <v>0</v>
      </c>
      <c r="X1947" s="14"/>
      <c r="Y1947" s="14"/>
      <c r="Z1947" s="14"/>
      <c r="AA1947" s="14"/>
      <c r="AB1947" s="14"/>
      <c r="AC1947" s="14"/>
      <c r="AD1947" s="14"/>
      <c r="AE1947" s="14"/>
      <c r="AF1947" s="14"/>
      <c r="AG1947" s="14"/>
      <c r="AH1947" s="14"/>
      <c r="AI1947" s="14"/>
      <c r="AJ1947" s="15"/>
      <c r="AK1947" s="16"/>
    </row>
    <row r="1948" spans="2:37" x14ac:dyDescent="0.2">
      <c r="B1948" s="7" t="s">
        <v>37</v>
      </c>
      <c r="C1948" s="8">
        <v>12632</v>
      </c>
      <c r="D1948" s="9" t="s">
        <v>488</v>
      </c>
      <c r="E1948" s="10" t="s">
        <v>489</v>
      </c>
      <c r="F1948" s="10" t="s">
        <v>490</v>
      </c>
      <c r="G1948" s="8">
        <v>1</v>
      </c>
      <c r="H1948" s="11">
        <v>400</v>
      </c>
      <c r="I1948" s="12">
        <v>42603</v>
      </c>
      <c r="J1948" s="13">
        <f t="shared" si="67"/>
        <v>0</v>
      </c>
      <c r="K1948" s="14"/>
      <c r="L1948" s="14"/>
      <c r="M1948" s="14"/>
      <c r="N1948" s="14"/>
      <c r="O1948" s="14"/>
      <c r="P1948" s="14"/>
      <c r="Q1948" s="14"/>
      <c r="R1948" s="14">
        <v>400</v>
      </c>
      <c r="S1948" s="14"/>
      <c r="T1948" s="14"/>
      <c r="U1948" s="14"/>
      <c r="V1948" s="14"/>
      <c r="W1948" s="15">
        <f t="shared" si="68"/>
        <v>400</v>
      </c>
      <c r="X1948" s="14"/>
      <c r="Y1948" s="14"/>
      <c r="Z1948" s="14"/>
      <c r="AA1948" s="14"/>
      <c r="AB1948" s="14"/>
      <c r="AC1948" s="14"/>
      <c r="AD1948" s="14"/>
      <c r="AE1948" s="14"/>
      <c r="AF1948" s="14"/>
      <c r="AG1948" s="14"/>
      <c r="AH1948" s="14"/>
      <c r="AI1948" s="14"/>
      <c r="AJ1948" s="15"/>
      <c r="AK1948" s="16"/>
    </row>
    <row r="1949" spans="2:37" x14ac:dyDescent="0.2">
      <c r="B1949" s="7" t="s">
        <v>47</v>
      </c>
      <c r="C1949" s="8">
        <v>12633</v>
      </c>
      <c r="D1949" s="9" t="s">
        <v>1029</v>
      </c>
      <c r="E1949" s="10" t="s">
        <v>1030</v>
      </c>
      <c r="F1949" s="10" t="s">
        <v>1031</v>
      </c>
      <c r="G1949" s="8">
        <v>1</v>
      </c>
      <c r="H1949" s="11">
        <v>1200</v>
      </c>
      <c r="I1949" s="12">
        <v>42603</v>
      </c>
      <c r="J1949" s="13">
        <f t="shared" si="67"/>
        <v>0</v>
      </c>
      <c r="K1949" s="14"/>
      <c r="L1949" s="14"/>
      <c r="M1949" s="14"/>
      <c r="N1949" s="14"/>
      <c r="O1949" s="14"/>
      <c r="P1949" s="14"/>
      <c r="Q1949" s="14">
        <v>400</v>
      </c>
      <c r="R1949" s="14">
        <v>400</v>
      </c>
      <c r="S1949" s="14">
        <v>400</v>
      </c>
      <c r="T1949" s="14"/>
      <c r="U1949" s="14"/>
      <c r="V1949" s="14"/>
      <c r="W1949" s="15">
        <f t="shared" si="68"/>
        <v>1200</v>
      </c>
      <c r="X1949" s="14"/>
      <c r="Y1949" s="14"/>
      <c r="Z1949" s="14"/>
      <c r="AA1949" s="14"/>
      <c r="AB1949" s="14"/>
      <c r="AC1949" s="14"/>
      <c r="AD1949" s="14"/>
      <c r="AE1949" s="14"/>
      <c r="AF1949" s="14"/>
      <c r="AG1949" s="14"/>
      <c r="AH1949" s="14"/>
      <c r="AI1949" s="14"/>
      <c r="AJ1949" s="15"/>
      <c r="AK1949" s="16" t="s">
        <v>1163</v>
      </c>
    </row>
    <row r="1950" spans="2:37" x14ac:dyDescent="0.2">
      <c r="B1950" s="7" t="s">
        <v>93</v>
      </c>
      <c r="C1950" s="8">
        <v>12634</v>
      </c>
      <c r="D1950" s="9"/>
      <c r="E1950" s="10" t="s">
        <v>93</v>
      </c>
      <c r="F1950" s="10" t="s">
        <v>93</v>
      </c>
      <c r="G1950" s="8">
        <v>8</v>
      </c>
      <c r="H1950" s="11"/>
      <c r="I1950" s="12"/>
      <c r="J1950" s="13">
        <f t="shared" si="67"/>
        <v>0</v>
      </c>
      <c r="K1950" s="14"/>
      <c r="L1950" s="14"/>
      <c r="M1950" s="14"/>
      <c r="N1950" s="14"/>
      <c r="O1950" s="14"/>
      <c r="P1950" s="14"/>
      <c r="Q1950" s="14"/>
      <c r="R1950" s="14"/>
      <c r="S1950" s="14"/>
      <c r="T1950" s="14"/>
      <c r="U1950" s="14"/>
      <c r="V1950" s="14"/>
      <c r="W1950" s="15">
        <f t="shared" si="68"/>
        <v>0</v>
      </c>
      <c r="X1950" s="14"/>
      <c r="Y1950" s="14"/>
      <c r="Z1950" s="14"/>
      <c r="AA1950" s="14"/>
      <c r="AB1950" s="14"/>
      <c r="AC1950" s="14"/>
      <c r="AD1950" s="14"/>
      <c r="AE1950" s="14"/>
      <c r="AF1950" s="14"/>
      <c r="AG1950" s="14"/>
      <c r="AH1950" s="14"/>
      <c r="AI1950" s="14"/>
      <c r="AJ1950" s="15"/>
      <c r="AK1950" s="16"/>
    </row>
    <row r="1951" spans="2:37" x14ac:dyDescent="0.2">
      <c r="B1951" s="7" t="s">
        <v>37</v>
      </c>
      <c r="C1951" s="8">
        <v>12635</v>
      </c>
      <c r="D1951" s="9" t="s">
        <v>247</v>
      </c>
      <c r="E1951" s="10" t="s">
        <v>248</v>
      </c>
      <c r="F1951" s="10" t="s">
        <v>249</v>
      </c>
      <c r="G1951" s="8">
        <v>5</v>
      </c>
      <c r="H1951" s="11">
        <v>50</v>
      </c>
      <c r="I1951" s="12">
        <v>42603</v>
      </c>
      <c r="J1951" s="13">
        <f t="shared" si="67"/>
        <v>0</v>
      </c>
      <c r="K1951" s="14"/>
      <c r="L1951" s="14"/>
      <c r="M1951" s="14"/>
      <c r="N1951" s="14"/>
      <c r="O1951" s="14"/>
      <c r="P1951" s="14"/>
      <c r="Q1951" s="14"/>
      <c r="R1951" s="14"/>
      <c r="S1951" s="14"/>
      <c r="T1951" s="14"/>
      <c r="U1951" s="14"/>
      <c r="V1951" s="14"/>
      <c r="W1951" s="15">
        <f t="shared" si="68"/>
        <v>0</v>
      </c>
      <c r="X1951" s="14"/>
      <c r="Y1951" s="14"/>
      <c r="Z1951" s="14"/>
      <c r="AA1951" s="14"/>
      <c r="AB1951" s="14"/>
      <c r="AC1951" s="14"/>
      <c r="AD1951" s="14"/>
      <c r="AE1951" s="14"/>
      <c r="AF1951" s="14"/>
      <c r="AG1951" s="14"/>
      <c r="AH1951" s="14"/>
      <c r="AI1951" s="14"/>
      <c r="AJ1951" s="15"/>
      <c r="AK1951" s="16"/>
    </row>
    <row r="1952" spans="2:37" x14ac:dyDescent="0.2">
      <c r="B1952" s="7" t="s">
        <v>61</v>
      </c>
      <c r="C1952" s="8">
        <v>12636</v>
      </c>
      <c r="D1952" s="9" t="s">
        <v>631</v>
      </c>
      <c r="E1952" s="10" t="s">
        <v>632</v>
      </c>
      <c r="F1952" s="10" t="s">
        <v>633</v>
      </c>
      <c r="G1952" s="8">
        <v>1</v>
      </c>
      <c r="H1952" s="11">
        <v>300</v>
      </c>
      <c r="I1952" s="12">
        <v>42603</v>
      </c>
      <c r="J1952" s="13">
        <f t="shared" si="67"/>
        <v>0</v>
      </c>
      <c r="K1952" s="14"/>
      <c r="L1952" s="14"/>
      <c r="M1952" s="14"/>
      <c r="N1952" s="14"/>
      <c r="O1952" s="14"/>
      <c r="P1952" s="14"/>
      <c r="Q1952" s="14"/>
      <c r="R1952" s="14">
        <v>300</v>
      </c>
      <c r="S1952" s="14"/>
      <c r="T1952" s="14"/>
      <c r="U1952" s="14"/>
      <c r="V1952" s="14"/>
      <c r="W1952" s="15">
        <f t="shared" si="68"/>
        <v>300</v>
      </c>
      <c r="X1952" s="14"/>
      <c r="Y1952" s="14"/>
      <c r="Z1952" s="14"/>
      <c r="AA1952" s="14"/>
      <c r="AB1952" s="14"/>
      <c r="AC1952" s="14"/>
      <c r="AD1952" s="14"/>
      <c r="AE1952" s="14"/>
      <c r="AF1952" s="14"/>
      <c r="AG1952" s="14"/>
      <c r="AH1952" s="14"/>
      <c r="AI1952" s="14"/>
      <c r="AJ1952" s="15"/>
      <c r="AK1952" s="16"/>
    </row>
    <row r="1953" spans="2:37" x14ac:dyDescent="0.2">
      <c r="B1953" s="7" t="s">
        <v>47</v>
      </c>
      <c r="C1953" s="8">
        <v>12637</v>
      </c>
      <c r="D1953" s="9" t="s">
        <v>1148</v>
      </c>
      <c r="E1953" s="10" t="s">
        <v>1149</v>
      </c>
      <c r="F1953" s="10" t="s">
        <v>1150</v>
      </c>
      <c r="G1953" s="8">
        <v>3</v>
      </c>
      <c r="H1953" s="11">
        <v>600</v>
      </c>
      <c r="I1953" s="12">
        <v>42603</v>
      </c>
      <c r="J1953" s="13">
        <f t="shared" si="67"/>
        <v>0</v>
      </c>
      <c r="K1953" s="14"/>
      <c r="L1953" s="14"/>
      <c r="M1953" s="14"/>
      <c r="N1953" s="14"/>
      <c r="O1953" s="14"/>
      <c r="P1953" s="14"/>
      <c r="Q1953" s="14"/>
      <c r="R1953" s="14"/>
      <c r="S1953" s="14"/>
      <c r="T1953" s="14"/>
      <c r="U1953" s="14"/>
      <c r="V1953" s="14"/>
      <c r="W1953" s="15">
        <f t="shared" si="68"/>
        <v>0</v>
      </c>
      <c r="X1953" s="14"/>
      <c r="Y1953" s="14"/>
      <c r="Z1953" s="14"/>
      <c r="AA1953" s="14"/>
      <c r="AB1953" s="14"/>
      <c r="AC1953" s="14"/>
      <c r="AD1953" s="14"/>
      <c r="AE1953" s="14"/>
      <c r="AF1953" s="14"/>
      <c r="AG1953" s="14"/>
      <c r="AH1953" s="14"/>
      <c r="AI1953" s="14"/>
      <c r="AJ1953" s="15"/>
      <c r="AK1953" s="16"/>
    </row>
    <row r="1954" spans="2:37" x14ac:dyDescent="0.2">
      <c r="B1954" s="7" t="s">
        <v>37</v>
      </c>
      <c r="C1954" s="8">
        <v>12638</v>
      </c>
      <c r="D1954" s="9" t="s">
        <v>550</v>
      </c>
      <c r="E1954" s="10" t="s">
        <v>551</v>
      </c>
      <c r="F1954" s="10" t="s">
        <v>552</v>
      </c>
      <c r="G1954" s="8">
        <v>1</v>
      </c>
      <c r="H1954" s="11">
        <v>300</v>
      </c>
      <c r="I1954" s="12">
        <v>42603</v>
      </c>
      <c r="J1954" s="13">
        <f t="shared" si="67"/>
        <v>0</v>
      </c>
      <c r="K1954" s="14"/>
      <c r="L1954" s="14"/>
      <c r="M1954" s="14"/>
      <c r="N1954" s="14"/>
      <c r="O1954" s="14"/>
      <c r="P1954" s="14">
        <v>300</v>
      </c>
      <c r="Q1954" s="14"/>
      <c r="R1954" s="14"/>
      <c r="S1954" s="14"/>
      <c r="T1954" s="14"/>
      <c r="U1954" s="14"/>
      <c r="V1954" s="14"/>
      <c r="W1954" s="15">
        <f t="shared" si="68"/>
        <v>300</v>
      </c>
      <c r="X1954" s="14"/>
      <c r="Y1954" s="14"/>
      <c r="Z1954" s="14"/>
      <c r="AA1954" s="14"/>
      <c r="AB1954" s="14"/>
      <c r="AC1954" s="14"/>
      <c r="AD1954" s="14"/>
      <c r="AE1954" s="14"/>
      <c r="AF1954" s="14"/>
      <c r="AG1954" s="14"/>
      <c r="AH1954" s="14"/>
      <c r="AI1954" s="14"/>
      <c r="AJ1954" s="15"/>
      <c r="AK1954" s="16"/>
    </row>
    <row r="1955" spans="2:37" x14ac:dyDescent="0.2">
      <c r="B1955" s="7" t="s">
        <v>37</v>
      </c>
      <c r="C1955" s="8">
        <v>12638</v>
      </c>
      <c r="D1955" s="9" t="s">
        <v>941</v>
      </c>
      <c r="E1955" s="10" t="s">
        <v>942</v>
      </c>
      <c r="F1955" s="10" t="s">
        <v>943</v>
      </c>
      <c r="G1955" s="8">
        <v>3</v>
      </c>
      <c r="H1955" s="11">
        <v>200</v>
      </c>
      <c r="I1955" s="12">
        <v>42603</v>
      </c>
      <c r="J1955" s="13">
        <f t="shared" si="67"/>
        <v>0</v>
      </c>
      <c r="K1955" s="14"/>
      <c r="L1955" s="14"/>
      <c r="M1955" s="14"/>
      <c r="N1955" s="14"/>
      <c r="O1955" s="14"/>
      <c r="P1955" s="14"/>
      <c r="Q1955" s="14"/>
      <c r="R1955" s="14"/>
      <c r="S1955" s="14"/>
      <c r="T1955" s="14"/>
      <c r="U1955" s="14"/>
      <c r="V1955" s="14"/>
      <c r="W1955" s="15">
        <f t="shared" si="68"/>
        <v>0</v>
      </c>
      <c r="X1955" s="14"/>
      <c r="Y1955" s="14"/>
      <c r="Z1955" s="14"/>
      <c r="AA1955" s="14"/>
      <c r="AB1955" s="14"/>
      <c r="AC1955" s="14"/>
      <c r="AD1955" s="14"/>
      <c r="AE1955" s="14"/>
      <c r="AF1955" s="14"/>
      <c r="AG1955" s="14"/>
      <c r="AH1955" s="14"/>
      <c r="AI1955" s="14"/>
      <c r="AJ1955" s="15"/>
      <c r="AK1955" s="16"/>
    </row>
    <row r="1956" spans="2:37" x14ac:dyDescent="0.2">
      <c r="B1956" s="7" t="s">
        <v>37</v>
      </c>
      <c r="C1956" s="8">
        <v>12639</v>
      </c>
      <c r="D1956" s="9" t="s">
        <v>550</v>
      </c>
      <c r="E1956" s="10" t="s">
        <v>551</v>
      </c>
      <c r="F1956" s="10" t="s">
        <v>552</v>
      </c>
      <c r="G1956" s="8">
        <v>5</v>
      </c>
      <c r="H1956" s="11">
        <v>50</v>
      </c>
      <c r="I1956" s="12">
        <v>42603</v>
      </c>
      <c r="J1956" s="13">
        <f t="shared" si="67"/>
        <v>0</v>
      </c>
      <c r="K1956" s="14"/>
      <c r="L1956" s="14"/>
      <c r="M1956" s="14"/>
      <c r="N1956" s="14"/>
      <c r="O1956" s="14"/>
      <c r="P1956" s="14"/>
      <c r="Q1956" s="14"/>
      <c r="R1956" s="14"/>
      <c r="S1956" s="14"/>
      <c r="T1956" s="14"/>
      <c r="U1956" s="14"/>
      <c r="V1956" s="14"/>
      <c r="W1956" s="15">
        <f t="shared" si="68"/>
        <v>0</v>
      </c>
      <c r="X1956" s="14"/>
      <c r="Y1956" s="14"/>
      <c r="Z1956" s="14"/>
      <c r="AA1956" s="14"/>
      <c r="AB1956" s="14"/>
      <c r="AC1956" s="14"/>
      <c r="AD1956" s="14"/>
      <c r="AE1956" s="14"/>
      <c r="AF1956" s="14"/>
      <c r="AG1956" s="14"/>
      <c r="AH1956" s="14"/>
      <c r="AI1956" s="14"/>
      <c r="AJ1956" s="15"/>
      <c r="AK1956" s="16"/>
    </row>
    <row r="1957" spans="2:37" x14ac:dyDescent="0.2">
      <c r="B1957" s="7" t="s">
        <v>73</v>
      </c>
      <c r="C1957" s="8">
        <v>12640</v>
      </c>
      <c r="D1957" s="9" t="s">
        <v>1092</v>
      </c>
      <c r="E1957" s="10" t="s">
        <v>1093</v>
      </c>
      <c r="F1957" s="10" t="s">
        <v>1094</v>
      </c>
      <c r="G1957" s="8">
        <v>1</v>
      </c>
      <c r="H1957" s="11">
        <v>400</v>
      </c>
      <c r="I1957" s="12">
        <v>42603</v>
      </c>
      <c r="J1957" s="13">
        <f t="shared" si="67"/>
        <v>0</v>
      </c>
      <c r="K1957" s="14"/>
      <c r="L1957" s="14"/>
      <c r="M1957" s="14"/>
      <c r="N1957" s="14"/>
      <c r="O1957" s="14"/>
      <c r="P1957" s="14"/>
      <c r="Q1957" s="14"/>
      <c r="R1957" s="14">
        <v>200</v>
      </c>
      <c r="S1957" s="14">
        <v>200</v>
      </c>
      <c r="T1957" s="14"/>
      <c r="U1957" s="14"/>
      <c r="V1957" s="14"/>
      <c r="W1957" s="15">
        <f t="shared" si="68"/>
        <v>400</v>
      </c>
      <c r="X1957" s="14"/>
      <c r="Y1957" s="14"/>
      <c r="Z1957" s="14"/>
      <c r="AA1957" s="14"/>
      <c r="AB1957" s="14"/>
      <c r="AC1957" s="14"/>
      <c r="AD1957" s="14"/>
      <c r="AE1957" s="14"/>
      <c r="AF1957" s="14"/>
      <c r="AG1957" s="14"/>
      <c r="AH1957" s="14"/>
      <c r="AI1957" s="14"/>
      <c r="AJ1957" s="15"/>
      <c r="AK1957" s="16"/>
    </row>
    <row r="1958" spans="2:37" x14ac:dyDescent="0.2">
      <c r="B1958" s="7" t="s">
        <v>37</v>
      </c>
      <c r="C1958" s="8">
        <v>12641</v>
      </c>
      <c r="D1958" s="9" t="s">
        <v>364</v>
      </c>
      <c r="E1958" s="10" t="s">
        <v>365</v>
      </c>
      <c r="F1958" s="10" t="s">
        <v>366</v>
      </c>
      <c r="G1958" s="8">
        <v>1</v>
      </c>
      <c r="H1958" s="11">
        <v>300</v>
      </c>
      <c r="I1958" s="12">
        <v>42603</v>
      </c>
      <c r="J1958" s="13">
        <f t="shared" si="67"/>
        <v>0</v>
      </c>
      <c r="K1958" s="14"/>
      <c r="L1958" s="14"/>
      <c r="M1958" s="14"/>
      <c r="N1958" s="14"/>
      <c r="O1958" s="14"/>
      <c r="P1958" s="14"/>
      <c r="Q1958" s="14"/>
      <c r="R1958" s="14">
        <v>300</v>
      </c>
      <c r="S1958" s="14"/>
      <c r="T1958" s="14"/>
      <c r="U1958" s="14"/>
      <c r="V1958" s="14"/>
      <c r="W1958" s="15">
        <f t="shared" si="68"/>
        <v>300</v>
      </c>
      <c r="X1958" s="14"/>
      <c r="Y1958" s="14"/>
      <c r="Z1958" s="14"/>
      <c r="AA1958" s="14"/>
      <c r="AB1958" s="14"/>
      <c r="AC1958" s="14"/>
      <c r="AD1958" s="14"/>
      <c r="AE1958" s="14"/>
      <c r="AF1958" s="14"/>
      <c r="AG1958" s="14"/>
      <c r="AH1958" s="14"/>
      <c r="AI1958" s="14"/>
      <c r="AJ1958" s="15"/>
      <c r="AK1958" s="16"/>
    </row>
    <row r="1959" spans="2:37" x14ac:dyDescent="0.2">
      <c r="B1959" s="7" t="s">
        <v>37</v>
      </c>
      <c r="C1959" s="8">
        <v>12641</v>
      </c>
      <c r="D1959" s="9" t="s">
        <v>364</v>
      </c>
      <c r="E1959" s="10" t="s">
        <v>365</v>
      </c>
      <c r="F1959" s="10" t="s">
        <v>366</v>
      </c>
      <c r="G1959" s="8">
        <v>5</v>
      </c>
      <c r="H1959" s="11">
        <v>50</v>
      </c>
      <c r="I1959" s="12">
        <v>42603</v>
      </c>
      <c r="J1959" s="13">
        <f t="shared" si="67"/>
        <v>0</v>
      </c>
      <c r="K1959" s="14"/>
      <c r="L1959" s="14"/>
      <c r="M1959" s="14"/>
      <c r="N1959" s="14"/>
      <c r="O1959" s="14"/>
      <c r="P1959" s="14"/>
      <c r="Q1959" s="14"/>
      <c r="R1959" s="14"/>
      <c r="S1959" s="14"/>
      <c r="T1959" s="14"/>
      <c r="U1959" s="14"/>
      <c r="V1959" s="14"/>
      <c r="W1959" s="15">
        <f t="shared" si="68"/>
        <v>0</v>
      </c>
      <c r="X1959" s="14"/>
      <c r="Y1959" s="14"/>
      <c r="Z1959" s="14"/>
      <c r="AA1959" s="14"/>
      <c r="AB1959" s="14"/>
      <c r="AC1959" s="14"/>
      <c r="AD1959" s="14"/>
      <c r="AE1959" s="14"/>
      <c r="AF1959" s="14"/>
      <c r="AG1959" s="14"/>
      <c r="AH1959" s="14"/>
      <c r="AI1959" s="14"/>
      <c r="AJ1959" s="15"/>
      <c r="AK1959" s="16"/>
    </row>
    <row r="1960" spans="2:37" x14ac:dyDescent="0.2">
      <c r="B1960" s="7" t="s">
        <v>69</v>
      </c>
      <c r="C1960" s="8">
        <v>12642</v>
      </c>
      <c r="D1960" s="9" t="s">
        <v>740</v>
      </c>
      <c r="E1960" s="10" t="s">
        <v>741</v>
      </c>
      <c r="F1960" s="10" t="s">
        <v>742</v>
      </c>
      <c r="G1960" s="8">
        <v>1</v>
      </c>
      <c r="H1960" s="11">
        <v>800</v>
      </c>
      <c r="I1960" s="12">
        <v>42603</v>
      </c>
      <c r="J1960" s="13">
        <f t="shared" si="67"/>
        <v>0</v>
      </c>
      <c r="K1960" s="14"/>
      <c r="L1960" s="14"/>
      <c r="M1960" s="14"/>
      <c r="N1960" s="14"/>
      <c r="O1960" s="14"/>
      <c r="P1960" s="14"/>
      <c r="Q1960" s="14">
        <v>400</v>
      </c>
      <c r="R1960" s="14">
        <v>400</v>
      </c>
      <c r="S1960" s="14"/>
      <c r="T1960" s="14"/>
      <c r="U1960" s="14"/>
      <c r="V1960" s="14"/>
      <c r="W1960" s="15">
        <f t="shared" si="68"/>
        <v>800</v>
      </c>
      <c r="X1960" s="14"/>
      <c r="Y1960" s="14"/>
      <c r="Z1960" s="14"/>
      <c r="AA1960" s="14"/>
      <c r="AB1960" s="14"/>
      <c r="AC1960" s="14"/>
      <c r="AD1960" s="14"/>
      <c r="AE1960" s="14"/>
      <c r="AF1960" s="14"/>
      <c r="AG1960" s="14"/>
      <c r="AH1960" s="14"/>
      <c r="AI1960" s="14"/>
      <c r="AJ1960" s="15"/>
      <c r="AK1960" s="16"/>
    </row>
    <row r="1961" spans="2:37" x14ac:dyDescent="0.2">
      <c r="B1961" s="7" t="s">
        <v>73</v>
      </c>
      <c r="C1961" s="8">
        <v>12643</v>
      </c>
      <c r="D1961" s="9" t="s">
        <v>728</v>
      </c>
      <c r="E1961" s="10" t="s">
        <v>729</v>
      </c>
      <c r="F1961" s="10" t="s">
        <v>730</v>
      </c>
      <c r="G1961" s="8">
        <v>1</v>
      </c>
      <c r="H1961" s="11">
        <v>800</v>
      </c>
      <c r="I1961" s="12">
        <v>42603</v>
      </c>
      <c r="J1961" s="13">
        <f t="shared" si="67"/>
        <v>0</v>
      </c>
      <c r="K1961" s="14"/>
      <c r="L1961" s="14"/>
      <c r="M1961" s="14"/>
      <c r="N1961" s="14"/>
      <c r="O1961" s="14"/>
      <c r="P1961" s="14"/>
      <c r="Q1961" s="14">
        <v>400</v>
      </c>
      <c r="R1961" s="14">
        <v>400</v>
      </c>
      <c r="S1961" s="14"/>
      <c r="T1961" s="14"/>
      <c r="U1961" s="14"/>
      <c r="V1961" s="14"/>
      <c r="W1961" s="15">
        <f t="shared" si="68"/>
        <v>800</v>
      </c>
      <c r="X1961" s="14"/>
      <c r="Y1961" s="14"/>
      <c r="Z1961" s="14"/>
      <c r="AA1961" s="14"/>
      <c r="AB1961" s="14"/>
      <c r="AC1961" s="14"/>
      <c r="AD1961" s="14"/>
      <c r="AE1961" s="14"/>
      <c r="AF1961" s="14"/>
      <c r="AG1961" s="14"/>
      <c r="AH1961" s="14"/>
      <c r="AI1961" s="14"/>
      <c r="AJ1961" s="15"/>
      <c r="AK1961" s="16"/>
    </row>
    <row r="1962" spans="2:37" x14ac:dyDescent="0.2">
      <c r="B1962" s="7" t="s">
        <v>77</v>
      </c>
      <c r="C1962" s="8">
        <v>12644</v>
      </c>
      <c r="D1962" s="9" t="s">
        <v>617</v>
      </c>
      <c r="E1962" s="10" t="s">
        <v>618</v>
      </c>
      <c r="F1962" s="10" t="s">
        <v>619</v>
      </c>
      <c r="G1962" s="8">
        <v>1</v>
      </c>
      <c r="H1962" s="11">
        <v>400</v>
      </c>
      <c r="I1962" s="12">
        <v>42603</v>
      </c>
      <c r="J1962" s="13">
        <f t="shared" si="67"/>
        <v>0</v>
      </c>
      <c r="K1962" s="14"/>
      <c r="L1962" s="14"/>
      <c r="M1962" s="14"/>
      <c r="N1962" s="14"/>
      <c r="O1962" s="14"/>
      <c r="P1962" s="14"/>
      <c r="Q1962" s="14"/>
      <c r="R1962" s="14">
        <v>400</v>
      </c>
      <c r="S1962" s="14"/>
      <c r="T1962" s="14"/>
      <c r="U1962" s="14"/>
      <c r="V1962" s="14"/>
      <c r="W1962" s="15">
        <f t="shared" si="68"/>
        <v>400</v>
      </c>
      <c r="X1962" s="14"/>
      <c r="Y1962" s="14"/>
      <c r="Z1962" s="14"/>
      <c r="AA1962" s="14"/>
      <c r="AB1962" s="14"/>
      <c r="AC1962" s="14"/>
      <c r="AD1962" s="14"/>
      <c r="AE1962" s="14"/>
      <c r="AF1962" s="14"/>
      <c r="AG1962" s="14"/>
      <c r="AH1962" s="14"/>
      <c r="AI1962" s="14"/>
      <c r="AJ1962" s="15"/>
      <c r="AK1962" s="16"/>
    </row>
    <row r="1963" spans="2:37" x14ac:dyDescent="0.2">
      <c r="B1963" s="7" t="s">
        <v>47</v>
      </c>
      <c r="C1963" s="8">
        <v>12645</v>
      </c>
      <c r="D1963" s="9" t="s">
        <v>280</v>
      </c>
      <c r="E1963" s="10" t="s">
        <v>281</v>
      </c>
      <c r="F1963" s="10" t="s">
        <v>282</v>
      </c>
      <c r="G1963" s="8">
        <v>5</v>
      </c>
      <c r="H1963" s="11">
        <v>50</v>
      </c>
      <c r="I1963" s="12">
        <v>42603</v>
      </c>
      <c r="J1963" s="13">
        <f t="shared" si="67"/>
        <v>0</v>
      </c>
      <c r="K1963" s="14"/>
      <c r="L1963" s="14"/>
      <c r="M1963" s="14"/>
      <c r="N1963" s="14"/>
      <c r="O1963" s="14"/>
      <c r="P1963" s="14"/>
      <c r="Q1963" s="14"/>
      <c r="R1963" s="14"/>
      <c r="S1963" s="14"/>
      <c r="T1963" s="14"/>
      <c r="U1963" s="14"/>
      <c r="V1963" s="14"/>
      <c r="W1963" s="15">
        <f t="shared" si="68"/>
        <v>0</v>
      </c>
      <c r="X1963" s="14"/>
      <c r="Y1963" s="14"/>
      <c r="Z1963" s="14"/>
      <c r="AA1963" s="14"/>
      <c r="AB1963" s="14"/>
      <c r="AC1963" s="14"/>
      <c r="AD1963" s="14"/>
      <c r="AE1963" s="14"/>
      <c r="AF1963" s="14"/>
      <c r="AG1963" s="14"/>
      <c r="AH1963" s="14"/>
      <c r="AI1963" s="14"/>
      <c r="AJ1963" s="15"/>
      <c r="AK1963" s="16"/>
    </row>
    <row r="1964" spans="2:37" x14ac:dyDescent="0.2">
      <c r="B1964" s="7" t="s">
        <v>37</v>
      </c>
      <c r="C1964" s="8">
        <v>12646</v>
      </c>
      <c r="D1964" s="9" t="s">
        <v>1164</v>
      </c>
      <c r="E1964" s="10" t="s">
        <v>1165</v>
      </c>
      <c r="F1964" s="10" t="s">
        <v>1166</v>
      </c>
      <c r="G1964" s="8">
        <v>1</v>
      </c>
      <c r="H1964" s="11">
        <v>400</v>
      </c>
      <c r="I1964" s="12">
        <v>42603</v>
      </c>
      <c r="J1964" s="13">
        <f t="shared" si="67"/>
        <v>0</v>
      </c>
      <c r="K1964" s="14"/>
      <c r="L1964" s="14"/>
      <c r="M1964" s="14"/>
      <c r="N1964" s="14"/>
      <c r="O1964" s="14"/>
      <c r="P1964" s="14"/>
      <c r="Q1964" s="14"/>
      <c r="R1964" s="14">
        <v>400</v>
      </c>
      <c r="S1964" s="14"/>
      <c r="T1964" s="14"/>
      <c r="U1964" s="14"/>
      <c r="V1964" s="14"/>
      <c r="W1964" s="15">
        <f t="shared" si="68"/>
        <v>400</v>
      </c>
      <c r="X1964" s="14"/>
      <c r="Y1964" s="14"/>
      <c r="Z1964" s="14"/>
      <c r="AA1964" s="14"/>
      <c r="AB1964" s="14"/>
      <c r="AC1964" s="14"/>
      <c r="AD1964" s="14"/>
      <c r="AE1964" s="14"/>
      <c r="AF1964" s="14"/>
      <c r="AG1964" s="14"/>
      <c r="AH1964" s="14"/>
      <c r="AI1964" s="14"/>
      <c r="AJ1964" s="15"/>
      <c r="AK1964" s="16"/>
    </row>
    <row r="1965" spans="2:37" x14ac:dyDescent="0.2">
      <c r="B1965" s="7" t="s">
        <v>37</v>
      </c>
      <c r="C1965" s="8">
        <v>12647</v>
      </c>
      <c r="D1965" s="9" t="s">
        <v>1167</v>
      </c>
      <c r="E1965" s="10" t="s">
        <v>1168</v>
      </c>
      <c r="F1965" s="10" t="s">
        <v>1169</v>
      </c>
      <c r="G1965" s="8">
        <v>1</v>
      </c>
      <c r="H1965" s="11">
        <v>3000</v>
      </c>
      <c r="I1965" s="12">
        <v>42603</v>
      </c>
      <c r="J1965" s="13">
        <f t="shared" si="67"/>
        <v>0</v>
      </c>
      <c r="K1965" s="14">
        <v>400</v>
      </c>
      <c r="L1965" s="14">
        <v>400</v>
      </c>
      <c r="M1965" s="14">
        <v>400</v>
      </c>
      <c r="N1965" s="14">
        <v>400</v>
      </c>
      <c r="O1965" s="14">
        <v>400</v>
      </c>
      <c r="P1965" s="14">
        <v>400</v>
      </c>
      <c r="Q1965" s="14">
        <v>400</v>
      </c>
      <c r="R1965" s="14">
        <v>200</v>
      </c>
      <c r="S1965" s="14"/>
      <c r="T1965" s="14"/>
      <c r="U1965" s="14"/>
      <c r="V1965" s="14"/>
      <c r="W1965" s="15">
        <f t="shared" si="68"/>
        <v>3000</v>
      </c>
      <c r="X1965" s="14"/>
      <c r="Y1965" s="14"/>
      <c r="Z1965" s="14"/>
      <c r="AA1965" s="14"/>
      <c r="AB1965" s="14"/>
      <c r="AC1965" s="14"/>
      <c r="AD1965" s="14"/>
      <c r="AE1965" s="14"/>
      <c r="AF1965" s="14"/>
      <c r="AG1965" s="14"/>
      <c r="AH1965" s="14"/>
      <c r="AI1965" s="14"/>
      <c r="AJ1965" s="15"/>
      <c r="AK1965" s="16"/>
    </row>
    <row r="1966" spans="2:37" x14ac:dyDescent="0.2">
      <c r="B1966" s="7" t="s">
        <v>47</v>
      </c>
      <c r="C1966" s="8">
        <v>12648</v>
      </c>
      <c r="D1966" s="9" t="s">
        <v>153</v>
      </c>
      <c r="E1966" s="10" t="s">
        <v>154</v>
      </c>
      <c r="F1966" s="10" t="s">
        <v>155</v>
      </c>
      <c r="G1966" s="8">
        <v>3</v>
      </c>
      <c r="H1966" s="11">
        <v>400</v>
      </c>
      <c r="I1966" s="12">
        <v>42603</v>
      </c>
      <c r="J1966" s="13">
        <f t="shared" si="67"/>
        <v>0</v>
      </c>
      <c r="K1966" s="14"/>
      <c r="L1966" s="14"/>
      <c r="M1966" s="14"/>
      <c r="N1966" s="14"/>
      <c r="O1966" s="14"/>
      <c r="P1966" s="14"/>
      <c r="Q1966" s="14"/>
      <c r="R1966" s="14"/>
      <c r="S1966" s="14"/>
      <c r="T1966" s="14"/>
      <c r="U1966" s="14"/>
      <c r="V1966" s="14"/>
      <c r="W1966" s="15">
        <f t="shared" si="68"/>
        <v>0</v>
      </c>
      <c r="X1966" s="14"/>
      <c r="Y1966" s="14"/>
      <c r="Z1966" s="14"/>
      <c r="AA1966" s="14"/>
      <c r="AB1966" s="14"/>
      <c r="AC1966" s="14"/>
      <c r="AD1966" s="14"/>
      <c r="AE1966" s="14"/>
      <c r="AF1966" s="14"/>
      <c r="AG1966" s="14"/>
      <c r="AH1966" s="14"/>
      <c r="AI1966" s="14"/>
      <c r="AJ1966" s="15"/>
      <c r="AK1966" s="16"/>
    </row>
    <row r="1967" spans="2:37" x14ac:dyDescent="0.2">
      <c r="B1967" s="7" t="s">
        <v>37</v>
      </c>
      <c r="C1967" s="8">
        <v>12649</v>
      </c>
      <c r="D1967" s="9" t="s">
        <v>271</v>
      </c>
      <c r="E1967" s="10" t="s">
        <v>272</v>
      </c>
      <c r="F1967" s="10" t="s">
        <v>273</v>
      </c>
      <c r="G1967" s="8">
        <v>1</v>
      </c>
      <c r="H1967" s="11">
        <v>400</v>
      </c>
      <c r="I1967" s="12">
        <v>42603</v>
      </c>
      <c r="J1967" s="13">
        <f t="shared" si="67"/>
        <v>0</v>
      </c>
      <c r="K1967" s="14"/>
      <c r="L1967" s="14"/>
      <c r="M1967" s="14"/>
      <c r="N1967" s="14"/>
      <c r="O1967" s="14"/>
      <c r="P1967" s="14"/>
      <c r="Q1967" s="14"/>
      <c r="R1967" s="14">
        <v>400</v>
      </c>
      <c r="S1967" s="14"/>
      <c r="T1967" s="14"/>
      <c r="U1967" s="14"/>
      <c r="V1967" s="14"/>
      <c r="W1967" s="15">
        <f t="shared" si="68"/>
        <v>400</v>
      </c>
      <c r="X1967" s="14"/>
      <c r="Y1967" s="14"/>
      <c r="Z1967" s="14"/>
      <c r="AA1967" s="14"/>
      <c r="AB1967" s="14"/>
      <c r="AC1967" s="14"/>
      <c r="AD1967" s="14"/>
      <c r="AE1967" s="14"/>
      <c r="AF1967" s="14"/>
      <c r="AG1967" s="14"/>
      <c r="AH1967" s="14"/>
      <c r="AI1967" s="14"/>
      <c r="AJ1967" s="15"/>
      <c r="AK1967" s="16"/>
    </row>
    <row r="1968" spans="2:37" x14ac:dyDescent="0.2">
      <c r="B1968" s="7" t="s">
        <v>61</v>
      </c>
      <c r="C1968" s="8">
        <v>12650</v>
      </c>
      <c r="D1968" s="9" t="s">
        <v>62</v>
      </c>
      <c r="E1968" s="10" t="s">
        <v>63</v>
      </c>
      <c r="F1968" s="10" t="s">
        <v>64</v>
      </c>
      <c r="G1968" s="8">
        <v>1</v>
      </c>
      <c r="H1968" s="11">
        <v>400</v>
      </c>
      <c r="I1968" s="12">
        <v>42603</v>
      </c>
      <c r="J1968" s="13">
        <f t="shared" si="67"/>
        <v>0</v>
      </c>
      <c r="K1968" s="14"/>
      <c r="L1968" s="14"/>
      <c r="M1968" s="14"/>
      <c r="N1968" s="14"/>
      <c r="O1968" s="14"/>
      <c r="P1968" s="14"/>
      <c r="Q1968" s="14"/>
      <c r="R1968" s="14"/>
      <c r="S1968" s="14">
        <v>200</v>
      </c>
      <c r="T1968" s="14">
        <v>200</v>
      </c>
      <c r="U1968" s="14"/>
      <c r="V1968" s="14"/>
      <c r="W1968" s="15">
        <f t="shared" si="68"/>
        <v>400</v>
      </c>
      <c r="X1968" s="14"/>
      <c r="Y1968" s="14"/>
      <c r="Z1968" s="14"/>
      <c r="AA1968" s="14"/>
      <c r="AB1968" s="14"/>
      <c r="AC1968" s="14"/>
      <c r="AD1968" s="14"/>
      <c r="AE1968" s="14"/>
      <c r="AF1968" s="14"/>
      <c r="AG1968" s="14"/>
      <c r="AH1968" s="14"/>
      <c r="AI1968" s="14"/>
      <c r="AJ1968" s="15"/>
      <c r="AK1968" s="16"/>
    </row>
    <row r="1969" spans="2:37" x14ac:dyDescent="0.2">
      <c r="B1969" s="7" t="s">
        <v>122</v>
      </c>
      <c r="C1969" s="8">
        <v>12651</v>
      </c>
      <c r="D1969" s="9" t="s">
        <v>797</v>
      </c>
      <c r="E1969" s="10" t="s">
        <v>798</v>
      </c>
      <c r="F1969" s="10" t="s">
        <v>799</v>
      </c>
      <c r="G1969" s="8">
        <v>1</v>
      </c>
      <c r="H1969" s="11">
        <v>800</v>
      </c>
      <c r="I1969" s="12">
        <v>42603</v>
      </c>
      <c r="J1969" s="13">
        <f t="shared" si="67"/>
        <v>0</v>
      </c>
      <c r="K1969" s="14"/>
      <c r="L1969" s="14"/>
      <c r="M1969" s="14"/>
      <c r="N1969" s="14"/>
      <c r="O1969" s="14"/>
      <c r="P1969" s="14"/>
      <c r="Q1969" s="14"/>
      <c r="R1969" s="14">
        <v>400</v>
      </c>
      <c r="S1969" s="14">
        <v>400</v>
      </c>
      <c r="T1969" s="14"/>
      <c r="U1969" s="14"/>
      <c r="V1969" s="14"/>
      <c r="W1969" s="15">
        <f t="shared" si="68"/>
        <v>800</v>
      </c>
      <c r="X1969" s="14"/>
      <c r="Y1969" s="14"/>
      <c r="Z1969" s="14"/>
      <c r="AA1969" s="14"/>
      <c r="AB1969" s="14"/>
      <c r="AC1969" s="14"/>
      <c r="AD1969" s="14"/>
      <c r="AE1969" s="14"/>
      <c r="AF1969" s="14"/>
      <c r="AG1969" s="14"/>
      <c r="AH1969" s="14"/>
      <c r="AI1969" s="14"/>
      <c r="AJ1969" s="15"/>
      <c r="AK1969" s="16"/>
    </row>
    <row r="1970" spans="2:37" x14ac:dyDescent="0.2">
      <c r="B1970" s="7" t="s">
        <v>47</v>
      </c>
      <c r="C1970" s="8">
        <v>12652</v>
      </c>
      <c r="D1970" s="9" t="s">
        <v>1137</v>
      </c>
      <c r="E1970" s="10" t="s">
        <v>1138</v>
      </c>
      <c r="F1970" s="10" t="s">
        <v>651</v>
      </c>
      <c r="G1970" s="8">
        <v>4</v>
      </c>
      <c r="H1970" s="11">
        <v>200</v>
      </c>
      <c r="I1970" s="12">
        <v>42603</v>
      </c>
      <c r="J1970" s="13">
        <f t="shared" si="67"/>
        <v>0</v>
      </c>
      <c r="K1970" s="14"/>
      <c r="L1970" s="14"/>
      <c r="M1970" s="14"/>
      <c r="N1970" s="14"/>
      <c r="O1970" s="14"/>
      <c r="P1970" s="14"/>
      <c r="Q1970" s="14"/>
      <c r="R1970" s="14"/>
      <c r="S1970" s="14"/>
      <c r="T1970" s="14"/>
      <c r="U1970" s="14"/>
      <c r="V1970" s="14"/>
      <c r="W1970" s="15">
        <f t="shared" si="68"/>
        <v>0</v>
      </c>
      <c r="X1970" s="14"/>
      <c r="Y1970" s="14"/>
      <c r="Z1970" s="14"/>
      <c r="AA1970" s="14"/>
      <c r="AB1970" s="14"/>
      <c r="AC1970" s="14"/>
      <c r="AD1970" s="14"/>
      <c r="AE1970" s="14"/>
      <c r="AF1970" s="14"/>
      <c r="AG1970" s="14"/>
      <c r="AH1970" s="14"/>
      <c r="AI1970" s="14"/>
      <c r="AJ1970" s="15"/>
      <c r="AK1970" s="7">
        <v>10451905</v>
      </c>
    </row>
    <row r="1971" spans="2:37" x14ac:dyDescent="0.2">
      <c r="B1971" s="7" t="s">
        <v>47</v>
      </c>
      <c r="C1971" s="8">
        <v>12653</v>
      </c>
      <c r="D1971" s="9" t="s">
        <v>132</v>
      </c>
      <c r="E1971" s="10" t="s">
        <v>133</v>
      </c>
      <c r="F1971" s="10" t="s">
        <v>134</v>
      </c>
      <c r="G1971" s="8">
        <v>1</v>
      </c>
      <c r="H1971" s="11">
        <v>300</v>
      </c>
      <c r="I1971" s="12">
        <v>42603</v>
      </c>
      <c r="J1971" s="13">
        <f t="shared" si="67"/>
        <v>0</v>
      </c>
      <c r="K1971" s="14"/>
      <c r="L1971" s="14"/>
      <c r="M1971" s="14"/>
      <c r="N1971" s="14"/>
      <c r="O1971" s="14"/>
      <c r="P1971" s="14"/>
      <c r="Q1971" s="14"/>
      <c r="R1971" s="14">
        <v>300</v>
      </c>
      <c r="S1971" s="14"/>
      <c r="T1971" s="14"/>
      <c r="U1971" s="14"/>
      <c r="V1971" s="14"/>
      <c r="W1971" s="15">
        <f t="shared" si="68"/>
        <v>300</v>
      </c>
      <c r="X1971" s="14"/>
      <c r="Y1971" s="14"/>
      <c r="Z1971" s="14"/>
      <c r="AA1971" s="14"/>
      <c r="AB1971" s="14"/>
      <c r="AC1971" s="14"/>
      <c r="AD1971" s="14"/>
      <c r="AE1971" s="14"/>
      <c r="AF1971" s="14"/>
      <c r="AG1971" s="14"/>
      <c r="AH1971" s="14"/>
      <c r="AI1971" s="14"/>
      <c r="AJ1971" s="15"/>
      <c r="AK1971" s="16"/>
    </row>
    <row r="1972" spans="2:37" x14ac:dyDescent="0.2">
      <c r="B1972" s="7" t="s">
        <v>47</v>
      </c>
      <c r="C1972" s="8">
        <v>12654</v>
      </c>
      <c r="D1972" s="9" t="s">
        <v>620</v>
      </c>
      <c r="E1972" s="10" t="s">
        <v>621</v>
      </c>
      <c r="F1972" s="10" t="s">
        <v>366</v>
      </c>
      <c r="G1972" s="8">
        <v>1</v>
      </c>
      <c r="H1972" s="11">
        <v>800</v>
      </c>
      <c r="I1972" s="12">
        <v>42603</v>
      </c>
      <c r="J1972" s="13">
        <f t="shared" si="67"/>
        <v>0</v>
      </c>
      <c r="K1972" s="14"/>
      <c r="L1972" s="14"/>
      <c r="M1972" s="14"/>
      <c r="N1972" s="14"/>
      <c r="O1972" s="14"/>
      <c r="P1972" s="14">
        <v>400</v>
      </c>
      <c r="Q1972" s="14">
        <v>400</v>
      </c>
      <c r="R1972" s="14"/>
      <c r="S1972" s="14"/>
      <c r="T1972" s="14"/>
      <c r="U1972" s="14"/>
      <c r="V1972" s="14"/>
      <c r="W1972" s="15">
        <f t="shared" si="68"/>
        <v>800</v>
      </c>
      <c r="X1972" s="14"/>
      <c r="Y1972" s="14"/>
      <c r="Z1972" s="14"/>
      <c r="AA1972" s="14"/>
      <c r="AB1972" s="14"/>
      <c r="AC1972" s="14"/>
      <c r="AD1972" s="14"/>
      <c r="AE1972" s="14"/>
      <c r="AF1972" s="14"/>
      <c r="AG1972" s="14"/>
      <c r="AH1972" s="14"/>
      <c r="AI1972" s="14"/>
      <c r="AJ1972" s="15"/>
      <c r="AK1972" s="16"/>
    </row>
    <row r="1973" spans="2:37" x14ac:dyDescent="0.2">
      <c r="B1973" s="7" t="s">
        <v>47</v>
      </c>
      <c r="C1973" s="8">
        <v>12655</v>
      </c>
      <c r="D1973" s="9" t="s">
        <v>1170</v>
      </c>
      <c r="E1973" s="10" t="s">
        <v>1171</v>
      </c>
      <c r="F1973" s="10" t="s">
        <v>389</v>
      </c>
      <c r="G1973" s="8">
        <v>1</v>
      </c>
      <c r="H1973" s="11">
        <v>400</v>
      </c>
      <c r="I1973" s="12">
        <v>42603</v>
      </c>
      <c r="J1973" s="13">
        <f t="shared" si="67"/>
        <v>0</v>
      </c>
      <c r="K1973" s="14">
        <v>400</v>
      </c>
      <c r="L1973" s="14"/>
      <c r="M1973" s="14"/>
      <c r="N1973" s="14"/>
      <c r="O1973" s="14"/>
      <c r="P1973" s="14"/>
      <c r="Q1973" s="14"/>
      <c r="R1973" s="14"/>
      <c r="S1973" s="14"/>
      <c r="T1973" s="14"/>
      <c r="U1973" s="14"/>
      <c r="V1973" s="14"/>
      <c r="W1973" s="15">
        <f t="shared" si="68"/>
        <v>400</v>
      </c>
      <c r="X1973" s="14"/>
      <c r="Y1973" s="14"/>
      <c r="Z1973" s="14"/>
      <c r="AA1973" s="14"/>
      <c r="AB1973" s="14"/>
      <c r="AC1973" s="14"/>
      <c r="AD1973" s="14"/>
      <c r="AE1973" s="14"/>
      <c r="AF1973" s="14"/>
      <c r="AG1973" s="14"/>
      <c r="AH1973" s="14"/>
      <c r="AI1973" s="14"/>
      <c r="AJ1973" s="15"/>
      <c r="AK1973" s="16"/>
    </row>
    <row r="1974" spans="2:37" x14ac:dyDescent="0.2">
      <c r="B1974" s="7" t="s">
        <v>37</v>
      </c>
      <c r="C1974" s="8">
        <v>12656</v>
      </c>
      <c r="D1974" s="9" t="s">
        <v>960</v>
      </c>
      <c r="E1974" s="10" t="s">
        <v>961</v>
      </c>
      <c r="F1974" s="10" t="s">
        <v>962</v>
      </c>
      <c r="G1974" s="8">
        <v>1</v>
      </c>
      <c r="H1974" s="11">
        <v>800</v>
      </c>
      <c r="I1974" s="12">
        <v>42603</v>
      </c>
      <c r="J1974" s="13">
        <f t="shared" si="67"/>
        <v>0</v>
      </c>
      <c r="K1974" s="14"/>
      <c r="L1974" s="14"/>
      <c r="M1974" s="14"/>
      <c r="N1974" s="14"/>
      <c r="O1974" s="14"/>
      <c r="P1974" s="14"/>
      <c r="Q1974" s="14"/>
      <c r="R1974" s="14">
        <v>400</v>
      </c>
      <c r="S1974" s="14">
        <v>400</v>
      </c>
      <c r="T1974" s="14"/>
      <c r="U1974" s="14"/>
      <c r="V1974" s="14"/>
      <c r="W1974" s="15">
        <f t="shared" si="68"/>
        <v>800</v>
      </c>
      <c r="X1974" s="14"/>
      <c r="Y1974" s="14"/>
      <c r="Z1974" s="14"/>
      <c r="AA1974" s="14"/>
      <c r="AB1974" s="14"/>
      <c r="AC1974" s="14"/>
      <c r="AD1974" s="14"/>
      <c r="AE1974" s="14"/>
      <c r="AF1974" s="14"/>
      <c r="AG1974" s="14"/>
      <c r="AH1974" s="14"/>
      <c r="AI1974" s="14"/>
      <c r="AJ1974" s="15"/>
      <c r="AK1974" s="16"/>
    </row>
    <row r="1975" spans="2:37" x14ac:dyDescent="0.2">
      <c r="B1975" s="7" t="s">
        <v>47</v>
      </c>
      <c r="C1975" s="8">
        <v>12657</v>
      </c>
      <c r="D1975" s="9" t="s">
        <v>769</v>
      </c>
      <c r="E1975" s="10" t="s">
        <v>770</v>
      </c>
      <c r="F1975" s="10" t="s">
        <v>771</v>
      </c>
      <c r="G1975" s="8">
        <v>1</v>
      </c>
      <c r="H1975" s="11">
        <v>400</v>
      </c>
      <c r="I1975" s="12">
        <v>42603</v>
      </c>
      <c r="J1975" s="13">
        <f t="shared" si="67"/>
        <v>0</v>
      </c>
      <c r="K1975" s="14"/>
      <c r="L1975" s="14"/>
      <c r="M1975" s="14"/>
      <c r="N1975" s="14"/>
      <c r="O1975" s="14"/>
      <c r="P1975" s="14"/>
      <c r="Q1975" s="14">
        <v>400</v>
      </c>
      <c r="R1975" s="14"/>
      <c r="S1975" s="14"/>
      <c r="T1975" s="14"/>
      <c r="U1975" s="14"/>
      <c r="V1975" s="14"/>
      <c r="W1975" s="15">
        <f t="shared" si="68"/>
        <v>400</v>
      </c>
      <c r="X1975" s="14"/>
      <c r="Y1975" s="14"/>
      <c r="Z1975" s="14"/>
      <c r="AA1975" s="14"/>
      <c r="AB1975" s="14"/>
      <c r="AC1975" s="14"/>
      <c r="AD1975" s="14"/>
      <c r="AE1975" s="14"/>
      <c r="AF1975" s="14"/>
      <c r="AG1975" s="14"/>
      <c r="AH1975" s="14"/>
      <c r="AI1975" s="14"/>
      <c r="AJ1975" s="15"/>
      <c r="AK1975" s="16"/>
    </row>
    <row r="1976" spans="2:37" x14ac:dyDescent="0.2">
      <c r="B1976" s="7" t="s">
        <v>122</v>
      </c>
      <c r="C1976" s="8">
        <v>12658</v>
      </c>
      <c r="D1976" s="9" t="s">
        <v>797</v>
      </c>
      <c r="E1976" s="10" t="s">
        <v>798</v>
      </c>
      <c r="F1976" s="10" t="s">
        <v>799</v>
      </c>
      <c r="G1976" s="8">
        <v>5</v>
      </c>
      <c r="H1976" s="11">
        <v>100</v>
      </c>
      <c r="I1976" s="12">
        <v>42603</v>
      </c>
      <c r="J1976" s="13">
        <f t="shared" si="67"/>
        <v>0</v>
      </c>
      <c r="K1976" s="14"/>
      <c r="L1976" s="14"/>
      <c r="M1976" s="14"/>
      <c r="N1976" s="14"/>
      <c r="O1976" s="14"/>
      <c r="P1976" s="14"/>
      <c r="Q1976" s="14"/>
      <c r="R1976" s="14"/>
      <c r="S1976" s="14"/>
      <c r="T1976" s="14"/>
      <c r="U1976" s="14"/>
      <c r="V1976" s="14"/>
      <c r="W1976" s="15">
        <f t="shared" si="68"/>
        <v>0</v>
      </c>
      <c r="X1976" s="14"/>
      <c r="Y1976" s="14"/>
      <c r="Z1976" s="14"/>
      <c r="AA1976" s="14"/>
      <c r="AB1976" s="14"/>
      <c r="AC1976" s="14"/>
      <c r="AD1976" s="14"/>
      <c r="AE1976" s="14"/>
      <c r="AF1976" s="14"/>
      <c r="AG1976" s="14"/>
      <c r="AH1976" s="14"/>
      <c r="AI1976" s="14"/>
      <c r="AJ1976" s="15"/>
      <c r="AK1976" s="16"/>
    </row>
    <row r="1977" spans="2:37" x14ac:dyDescent="0.2">
      <c r="B1977" s="7" t="s">
        <v>37</v>
      </c>
      <c r="C1977" s="8">
        <v>12659</v>
      </c>
      <c r="D1977" s="9" t="s">
        <v>935</v>
      </c>
      <c r="E1977" s="10" t="s">
        <v>936</v>
      </c>
      <c r="F1977" s="10" t="s">
        <v>937</v>
      </c>
      <c r="G1977" s="8">
        <v>1</v>
      </c>
      <c r="H1977" s="11">
        <v>500</v>
      </c>
      <c r="I1977" s="12">
        <v>42603</v>
      </c>
      <c r="J1977" s="13">
        <f t="shared" si="67"/>
        <v>0</v>
      </c>
      <c r="K1977" s="14"/>
      <c r="L1977" s="14"/>
      <c r="M1977" s="14"/>
      <c r="N1977" s="14"/>
      <c r="O1977" s="14"/>
      <c r="P1977" s="14"/>
      <c r="Q1977" s="14"/>
      <c r="R1977" s="14">
        <v>250</v>
      </c>
      <c r="S1977" s="14">
        <v>250</v>
      </c>
      <c r="T1977" s="14"/>
      <c r="U1977" s="14"/>
      <c r="V1977" s="14"/>
      <c r="W1977" s="15">
        <f t="shared" si="68"/>
        <v>500</v>
      </c>
      <c r="X1977" s="14"/>
      <c r="Y1977" s="14"/>
      <c r="Z1977" s="14"/>
      <c r="AA1977" s="14"/>
      <c r="AB1977" s="14"/>
      <c r="AC1977" s="14"/>
      <c r="AD1977" s="14"/>
      <c r="AE1977" s="14"/>
      <c r="AF1977" s="14"/>
      <c r="AG1977" s="14"/>
      <c r="AH1977" s="14"/>
      <c r="AI1977" s="14"/>
      <c r="AJ1977" s="15"/>
      <c r="AK1977" s="16"/>
    </row>
    <row r="1978" spans="2:37" x14ac:dyDescent="0.2">
      <c r="B1978" s="7" t="s">
        <v>47</v>
      </c>
      <c r="C1978" s="8">
        <v>12660</v>
      </c>
      <c r="D1978" s="9" t="s">
        <v>896</v>
      </c>
      <c r="E1978" s="10" t="s">
        <v>897</v>
      </c>
      <c r="F1978" s="10" t="s">
        <v>898</v>
      </c>
      <c r="G1978" s="8">
        <v>1</v>
      </c>
      <c r="H1978" s="11">
        <v>400</v>
      </c>
      <c r="I1978" s="12">
        <v>42603</v>
      </c>
      <c r="J1978" s="13">
        <f t="shared" si="67"/>
        <v>0</v>
      </c>
      <c r="K1978" s="14"/>
      <c r="L1978" s="14"/>
      <c r="M1978" s="14"/>
      <c r="N1978" s="14"/>
      <c r="O1978" s="14">
        <v>100</v>
      </c>
      <c r="P1978" s="14">
        <v>100</v>
      </c>
      <c r="Q1978" s="14">
        <v>100</v>
      </c>
      <c r="R1978" s="14">
        <v>100</v>
      </c>
      <c r="S1978" s="14"/>
      <c r="T1978" s="14"/>
      <c r="U1978" s="14"/>
      <c r="V1978" s="14"/>
      <c r="W1978" s="15">
        <f t="shared" si="68"/>
        <v>400</v>
      </c>
      <c r="X1978" s="14"/>
      <c r="Y1978" s="14"/>
      <c r="Z1978" s="14"/>
      <c r="AA1978" s="14"/>
      <c r="AB1978" s="14"/>
      <c r="AC1978" s="14"/>
      <c r="AD1978" s="14"/>
      <c r="AE1978" s="14"/>
      <c r="AF1978" s="14"/>
      <c r="AG1978" s="14"/>
      <c r="AH1978" s="14"/>
      <c r="AI1978" s="14"/>
      <c r="AJ1978" s="15"/>
      <c r="AK1978" s="16"/>
    </row>
    <row r="1979" spans="2:37" x14ac:dyDescent="0.2">
      <c r="B1979" s="7" t="s">
        <v>47</v>
      </c>
      <c r="C1979" s="8">
        <v>12661</v>
      </c>
      <c r="D1979" s="9" t="s">
        <v>896</v>
      </c>
      <c r="E1979" s="10" t="s">
        <v>897</v>
      </c>
      <c r="F1979" s="10" t="s">
        <v>898</v>
      </c>
      <c r="G1979" s="8">
        <v>4</v>
      </c>
      <c r="H1979" s="11">
        <v>200</v>
      </c>
      <c r="I1979" s="12">
        <v>42603</v>
      </c>
      <c r="J1979" s="13">
        <f t="shared" si="67"/>
        <v>0</v>
      </c>
      <c r="K1979" s="14"/>
      <c r="L1979" s="14"/>
      <c r="M1979" s="14"/>
      <c r="N1979" s="14"/>
      <c r="O1979" s="14"/>
      <c r="P1979" s="14"/>
      <c r="Q1979" s="14"/>
      <c r="R1979" s="14"/>
      <c r="S1979" s="14"/>
      <c r="T1979" s="14"/>
      <c r="U1979" s="14"/>
      <c r="V1979" s="14"/>
      <c r="W1979" s="15">
        <f t="shared" si="68"/>
        <v>0</v>
      </c>
      <c r="X1979" s="14"/>
      <c r="Y1979" s="14"/>
      <c r="Z1979" s="14"/>
      <c r="AA1979" s="14"/>
      <c r="AB1979" s="14"/>
      <c r="AC1979" s="14"/>
      <c r="AD1979" s="14"/>
      <c r="AE1979" s="14"/>
      <c r="AF1979" s="14"/>
      <c r="AG1979" s="14"/>
      <c r="AH1979" s="14"/>
      <c r="AI1979" s="14"/>
      <c r="AJ1979" s="15"/>
      <c r="AK1979" s="7">
        <v>10451904</v>
      </c>
    </row>
    <row r="1980" spans="2:37" x14ac:dyDescent="0.2">
      <c r="B1980" s="7" t="s">
        <v>47</v>
      </c>
      <c r="C1980" s="8">
        <v>12661</v>
      </c>
      <c r="D1980" s="9" t="s">
        <v>896</v>
      </c>
      <c r="E1980" s="10" t="s">
        <v>897</v>
      </c>
      <c r="F1980" s="10" t="s">
        <v>898</v>
      </c>
      <c r="G1980" s="8">
        <v>5</v>
      </c>
      <c r="H1980" s="11">
        <v>100</v>
      </c>
      <c r="I1980" s="12">
        <v>42603</v>
      </c>
      <c r="J1980" s="13">
        <f t="shared" si="67"/>
        <v>0</v>
      </c>
      <c r="K1980" s="14"/>
      <c r="L1980" s="14"/>
      <c r="M1980" s="14"/>
      <c r="N1980" s="14"/>
      <c r="O1980" s="14"/>
      <c r="P1980" s="14"/>
      <c r="Q1980" s="14"/>
      <c r="R1980" s="14"/>
      <c r="S1980" s="14"/>
      <c r="T1980" s="14"/>
      <c r="U1980" s="14"/>
      <c r="V1980" s="14"/>
      <c r="W1980" s="15">
        <f t="shared" si="68"/>
        <v>0</v>
      </c>
      <c r="X1980" s="14"/>
      <c r="Y1980" s="14"/>
      <c r="Z1980" s="14"/>
      <c r="AA1980" s="14"/>
      <c r="AB1980" s="14"/>
      <c r="AC1980" s="14"/>
      <c r="AD1980" s="14"/>
      <c r="AE1980" s="14"/>
      <c r="AF1980" s="14"/>
      <c r="AG1980" s="14"/>
      <c r="AH1980" s="14"/>
      <c r="AI1980" s="14"/>
      <c r="AJ1980" s="15"/>
      <c r="AK1980" s="16"/>
    </row>
    <row r="1981" spans="2:37" x14ac:dyDescent="0.2">
      <c r="B1981" s="7" t="s">
        <v>122</v>
      </c>
      <c r="C1981" s="8">
        <v>12662</v>
      </c>
      <c r="D1981" s="9" t="s">
        <v>310</v>
      </c>
      <c r="E1981" s="10" t="s">
        <v>311</v>
      </c>
      <c r="F1981" s="10" t="s">
        <v>312</v>
      </c>
      <c r="G1981" s="8">
        <v>1</v>
      </c>
      <c r="H1981" s="11">
        <v>400</v>
      </c>
      <c r="I1981" s="12">
        <v>42603</v>
      </c>
      <c r="J1981" s="13">
        <f t="shared" si="67"/>
        <v>0</v>
      </c>
      <c r="K1981" s="14"/>
      <c r="L1981" s="14"/>
      <c r="M1981" s="14"/>
      <c r="N1981" s="14"/>
      <c r="O1981" s="14"/>
      <c r="P1981" s="14"/>
      <c r="Q1981" s="14"/>
      <c r="R1981" s="14">
        <v>400</v>
      </c>
      <c r="S1981" s="14"/>
      <c r="T1981" s="14"/>
      <c r="U1981" s="14"/>
      <c r="V1981" s="14"/>
      <c r="W1981" s="15">
        <f t="shared" si="68"/>
        <v>400</v>
      </c>
      <c r="X1981" s="14"/>
      <c r="Y1981" s="14"/>
      <c r="Z1981" s="14"/>
      <c r="AA1981" s="14"/>
      <c r="AB1981" s="14"/>
      <c r="AC1981" s="14"/>
      <c r="AD1981" s="14"/>
      <c r="AE1981" s="14"/>
      <c r="AF1981" s="14"/>
      <c r="AG1981" s="14"/>
      <c r="AH1981" s="14"/>
      <c r="AI1981" s="14"/>
      <c r="AJ1981" s="15"/>
      <c r="AK1981" s="16"/>
    </row>
    <row r="1982" spans="2:37" x14ac:dyDescent="0.2">
      <c r="B1982" s="7" t="s">
        <v>122</v>
      </c>
      <c r="C1982" s="8">
        <v>12663</v>
      </c>
      <c r="D1982" s="9" t="s">
        <v>310</v>
      </c>
      <c r="E1982" s="10" t="s">
        <v>311</v>
      </c>
      <c r="F1982" s="10" t="s">
        <v>312</v>
      </c>
      <c r="G1982" s="8">
        <v>5</v>
      </c>
      <c r="H1982" s="11">
        <v>50</v>
      </c>
      <c r="I1982" s="12">
        <v>42603</v>
      </c>
      <c r="J1982" s="13">
        <f t="shared" si="67"/>
        <v>0</v>
      </c>
      <c r="K1982" s="14"/>
      <c r="L1982" s="14"/>
      <c r="M1982" s="14"/>
      <c r="N1982" s="14"/>
      <c r="O1982" s="14"/>
      <c r="P1982" s="14"/>
      <c r="Q1982" s="14"/>
      <c r="R1982" s="14"/>
      <c r="S1982" s="14"/>
      <c r="T1982" s="14"/>
      <c r="U1982" s="14"/>
      <c r="V1982" s="14"/>
      <c r="W1982" s="15">
        <f t="shared" si="68"/>
        <v>0</v>
      </c>
      <c r="X1982" s="14"/>
      <c r="Y1982" s="14"/>
      <c r="Z1982" s="14"/>
      <c r="AA1982" s="14"/>
      <c r="AB1982" s="14"/>
      <c r="AC1982" s="14"/>
      <c r="AD1982" s="14"/>
      <c r="AE1982" s="14"/>
      <c r="AF1982" s="14"/>
      <c r="AG1982" s="14"/>
      <c r="AH1982" s="14"/>
      <c r="AI1982" s="14"/>
      <c r="AJ1982" s="15"/>
      <c r="AK1982" s="16"/>
    </row>
    <row r="1983" spans="2:37" x14ac:dyDescent="0.2">
      <c r="B1983" s="7" t="s">
        <v>47</v>
      </c>
      <c r="C1983" s="8">
        <v>12664</v>
      </c>
      <c r="D1983" s="9" t="s">
        <v>425</v>
      </c>
      <c r="E1983" s="10" t="s">
        <v>426</v>
      </c>
      <c r="F1983" s="10" t="s">
        <v>427</v>
      </c>
      <c r="G1983" s="8">
        <v>3</v>
      </c>
      <c r="H1983" s="11">
        <v>200</v>
      </c>
      <c r="I1983" s="12">
        <v>42603</v>
      </c>
      <c r="J1983" s="13">
        <f t="shared" si="67"/>
        <v>0</v>
      </c>
      <c r="K1983" s="14"/>
      <c r="L1983" s="14"/>
      <c r="M1983" s="14"/>
      <c r="N1983" s="14"/>
      <c r="O1983" s="14"/>
      <c r="P1983" s="14"/>
      <c r="Q1983" s="14"/>
      <c r="R1983" s="14"/>
      <c r="S1983" s="14"/>
      <c r="T1983" s="14"/>
      <c r="U1983" s="14"/>
      <c r="V1983" s="14"/>
      <c r="W1983" s="15">
        <f t="shared" si="68"/>
        <v>0</v>
      </c>
      <c r="X1983" s="14"/>
      <c r="Y1983" s="14"/>
      <c r="Z1983" s="14"/>
      <c r="AA1983" s="14"/>
      <c r="AB1983" s="14"/>
      <c r="AC1983" s="14"/>
      <c r="AD1983" s="14"/>
      <c r="AE1983" s="14"/>
      <c r="AF1983" s="14"/>
      <c r="AG1983" s="14"/>
      <c r="AH1983" s="14"/>
      <c r="AI1983" s="14"/>
      <c r="AJ1983" s="15"/>
      <c r="AK1983" s="16"/>
    </row>
    <row r="1984" spans="2:37" x14ac:dyDescent="0.2">
      <c r="B1984" s="7" t="s">
        <v>69</v>
      </c>
      <c r="C1984" s="8">
        <v>12665</v>
      </c>
      <c r="D1984" s="9" t="s">
        <v>437</v>
      </c>
      <c r="E1984" s="10" t="s">
        <v>438</v>
      </c>
      <c r="F1984" s="10" t="s">
        <v>439</v>
      </c>
      <c r="G1984" s="8">
        <v>1</v>
      </c>
      <c r="H1984" s="11">
        <v>400</v>
      </c>
      <c r="I1984" s="12">
        <v>42603</v>
      </c>
      <c r="J1984" s="13">
        <f t="shared" si="67"/>
        <v>0</v>
      </c>
      <c r="K1984" s="14"/>
      <c r="L1984" s="14"/>
      <c r="M1984" s="14"/>
      <c r="N1984" s="14"/>
      <c r="O1984" s="14"/>
      <c r="P1984" s="14"/>
      <c r="Q1984" s="14"/>
      <c r="R1984" s="14">
        <v>400</v>
      </c>
      <c r="S1984" s="14"/>
      <c r="T1984" s="14"/>
      <c r="U1984" s="14"/>
      <c r="V1984" s="14"/>
      <c r="W1984" s="15">
        <f t="shared" si="68"/>
        <v>400</v>
      </c>
      <c r="X1984" s="14"/>
      <c r="Y1984" s="14"/>
      <c r="Z1984" s="14"/>
      <c r="AA1984" s="14"/>
      <c r="AB1984" s="14"/>
      <c r="AC1984" s="14"/>
      <c r="AD1984" s="14"/>
      <c r="AE1984" s="14"/>
      <c r="AF1984" s="14"/>
      <c r="AG1984" s="14"/>
      <c r="AH1984" s="14"/>
      <c r="AI1984" s="14"/>
      <c r="AJ1984" s="15"/>
      <c r="AK1984" s="16"/>
    </row>
    <row r="1985" spans="2:37" x14ac:dyDescent="0.2">
      <c r="B1985" s="7" t="s">
        <v>69</v>
      </c>
      <c r="C1985" s="8">
        <v>12666</v>
      </c>
      <c r="D1985" s="9" t="s">
        <v>696</v>
      </c>
      <c r="E1985" s="10" t="s">
        <v>697</v>
      </c>
      <c r="F1985" s="10" t="s">
        <v>698</v>
      </c>
      <c r="G1985" s="8">
        <v>1</v>
      </c>
      <c r="H1985" s="11">
        <v>300</v>
      </c>
      <c r="I1985" s="12">
        <v>42603</v>
      </c>
      <c r="J1985" s="13">
        <f t="shared" si="67"/>
        <v>0</v>
      </c>
      <c r="K1985" s="14"/>
      <c r="L1985" s="14"/>
      <c r="M1985" s="14"/>
      <c r="N1985" s="14"/>
      <c r="O1985" s="14"/>
      <c r="P1985" s="14"/>
      <c r="Q1985" s="14"/>
      <c r="R1985" s="14">
        <v>300</v>
      </c>
      <c r="S1985" s="14"/>
      <c r="T1985" s="14"/>
      <c r="U1985" s="14"/>
      <c r="V1985" s="14"/>
      <c r="W1985" s="15">
        <f t="shared" si="68"/>
        <v>300</v>
      </c>
      <c r="X1985" s="14"/>
      <c r="Y1985" s="14"/>
      <c r="Z1985" s="14"/>
      <c r="AA1985" s="14"/>
      <c r="AB1985" s="14"/>
      <c r="AC1985" s="14"/>
      <c r="AD1985" s="14"/>
      <c r="AE1985" s="14"/>
      <c r="AF1985" s="14"/>
      <c r="AG1985" s="14"/>
      <c r="AH1985" s="14"/>
      <c r="AI1985" s="14"/>
      <c r="AJ1985" s="15"/>
      <c r="AK1985" s="16"/>
    </row>
    <row r="1986" spans="2:37" x14ac:dyDescent="0.2">
      <c r="B1986" s="7" t="s">
        <v>77</v>
      </c>
      <c r="C1986" s="8">
        <v>12667</v>
      </c>
      <c r="D1986" s="9" t="s">
        <v>652</v>
      </c>
      <c r="E1986" s="10" t="s">
        <v>653</v>
      </c>
      <c r="F1986" s="10" t="s">
        <v>654</v>
      </c>
      <c r="G1986" s="8">
        <v>1</v>
      </c>
      <c r="H1986" s="11">
        <v>400</v>
      </c>
      <c r="I1986" s="12">
        <v>42603</v>
      </c>
      <c r="J1986" s="13">
        <f t="shared" si="67"/>
        <v>0</v>
      </c>
      <c r="K1986" s="14"/>
      <c r="L1986" s="14"/>
      <c r="M1986" s="14"/>
      <c r="N1986" s="14"/>
      <c r="O1986" s="14"/>
      <c r="P1986" s="14">
        <v>400</v>
      </c>
      <c r="Q1986" s="14"/>
      <c r="R1986" s="14"/>
      <c r="S1986" s="14"/>
      <c r="T1986" s="14"/>
      <c r="U1986" s="14"/>
      <c r="V1986" s="14"/>
      <c r="W1986" s="15">
        <f t="shared" si="68"/>
        <v>400</v>
      </c>
      <c r="X1986" s="14"/>
      <c r="Y1986" s="14"/>
      <c r="Z1986" s="14"/>
      <c r="AA1986" s="14"/>
      <c r="AB1986" s="14"/>
      <c r="AC1986" s="14"/>
      <c r="AD1986" s="14"/>
      <c r="AE1986" s="14"/>
      <c r="AF1986" s="14"/>
      <c r="AG1986" s="14"/>
      <c r="AH1986" s="14"/>
      <c r="AI1986" s="14"/>
      <c r="AJ1986" s="15"/>
      <c r="AK1986" s="16"/>
    </row>
    <row r="1987" spans="2:37" x14ac:dyDescent="0.2">
      <c r="B1987" s="7" t="s">
        <v>47</v>
      </c>
      <c r="C1987" s="8">
        <v>12668</v>
      </c>
      <c r="D1987" s="9" t="s">
        <v>1095</v>
      </c>
      <c r="E1987" s="10" t="s">
        <v>1096</v>
      </c>
      <c r="F1987" s="10" t="s">
        <v>765</v>
      </c>
      <c r="G1987" s="8">
        <v>5</v>
      </c>
      <c r="H1987" s="11">
        <v>50</v>
      </c>
      <c r="I1987" s="12">
        <v>42603</v>
      </c>
      <c r="J1987" s="13">
        <f t="shared" si="67"/>
        <v>0</v>
      </c>
      <c r="K1987" s="14"/>
      <c r="L1987" s="14"/>
      <c r="M1987" s="14"/>
      <c r="N1987" s="14"/>
      <c r="O1987" s="14"/>
      <c r="P1987" s="14"/>
      <c r="Q1987" s="14"/>
      <c r="R1987" s="14"/>
      <c r="S1987" s="14"/>
      <c r="T1987" s="14"/>
      <c r="U1987" s="14"/>
      <c r="V1987" s="14"/>
      <c r="W1987" s="15">
        <f t="shared" si="68"/>
        <v>0</v>
      </c>
      <c r="X1987" s="14"/>
      <c r="Y1987" s="14"/>
      <c r="Z1987" s="14"/>
      <c r="AA1987" s="14"/>
      <c r="AB1987" s="14"/>
      <c r="AC1987" s="14"/>
      <c r="AD1987" s="14"/>
      <c r="AE1987" s="14"/>
      <c r="AF1987" s="14"/>
      <c r="AG1987" s="14"/>
      <c r="AH1987" s="14"/>
      <c r="AI1987" s="14"/>
      <c r="AJ1987" s="15"/>
      <c r="AK1987" s="16"/>
    </row>
    <row r="1988" spans="2:37" x14ac:dyDescent="0.2">
      <c r="B1988" s="7" t="s">
        <v>47</v>
      </c>
      <c r="C1988" s="8">
        <v>12669</v>
      </c>
      <c r="D1988" s="9" t="s">
        <v>1137</v>
      </c>
      <c r="E1988" s="10" t="s">
        <v>1138</v>
      </c>
      <c r="F1988" s="10" t="s">
        <v>651</v>
      </c>
      <c r="G1988" s="8">
        <v>3</v>
      </c>
      <c r="H1988" s="11">
        <v>200</v>
      </c>
      <c r="I1988" s="12">
        <v>42603</v>
      </c>
      <c r="J1988" s="13">
        <f t="shared" si="67"/>
        <v>0</v>
      </c>
      <c r="K1988" s="14"/>
      <c r="L1988" s="14"/>
      <c r="M1988" s="14"/>
      <c r="N1988" s="14"/>
      <c r="O1988" s="14"/>
      <c r="P1988" s="14"/>
      <c r="Q1988" s="14"/>
      <c r="R1988" s="14"/>
      <c r="S1988" s="14"/>
      <c r="T1988" s="14"/>
      <c r="U1988" s="14"/>
      <c r="V1988" s="14"/>
      <c r="W1988" s="15">
        <f t="shared" si="68"/>
        <v>0</v>
      </c>
      <c r="X1988" s="14"/>
      <c r="Y1988" s="14"/>
      <c r="Z1988" s="14"/>
      <c r="AA1988" s="14"/>
      <c r="AB1988" s="14"/>
      <c r="AC1988" s="14"/>
      <c r="AD1988" s="14"/>
      <c r="AE1988" s="14"/>
      <c r="AF1988" s="14"/>
      <c r="AG1988" s="14"/>
      <c r="AH1988" s="14"/>
      <c r="AI1988" s="14"/>
      <c r="AJ1988" s="15"/>
      <c r="AK1988" s="16"/>
    </row>
    <row r="1989" spans="2:37" x14ac:dyDescent="0.2">
      <c r="B1989" s="7" t="s">
        <v>37</v>
      </c>
      <c r="C1989" s="8">
        <v>12670</v>
      </c>
      <c r="D1989" s="9" t="s">
        <v>716</v>
      </c>
      <c r="E1989" s="10" t="s">
        <v>717</v>
      </c>
      <c r="F1989" s="10" t="s">
        <v>718</v>
      </c>
      <c r="G1989" s="8">
        <v>5</v>
      </c>
      <c r="H1989" s="11">
        <v>50</v>
      </c>
      <c r="I1989" s="12">
        <v>42603</v>
      </c>
      <c r="J1989" s="13">
        <f t="shared" si="67"/>
        <v>0</v>
      </c>
      <c r="K1989" s="14"/>
      <c r="L1989" s="14"/>
      <c r="M1989" s="14"/>
      <c r="N1989" s="14"/>
      <c r="O1989" s="14"/>
      <c r="P1989" s="14"/>
      <c r="Q1989" s="14"/>
      <c r="R1989" s="14"/>
      <c r="S1989" s="14"/>
      <c r="T1989" s="14"/>
      <c r="U1989" s="14"/>
      <c r="V1989" s="14"/>
      <c r="W1989" s="15">
        <f t="shared" si="68"/>
        <v>0</v>
      </c>
      <c r="X1989" s="14"/>
      <c r="Y1989" s="14"/>
      <c r="Z1989" s="14"/>
      <c r="AA1989" s="14"/>
      <c r="AB1989" s="14"/>
      <c r="AC1989" s="14"/>
      <c r="AD1989" s="14"/>
      <c r="AE1989" s="14"/>
      <c r="AF1989" s="14"/>
      <c r="AG1989" s="14"/>
      <c r="AH1989" s="14"/>
      <c r="AI1989" s="14"/>
      <c r="AJ1989" s="15"/>
      <c r="AK1989" s="16"/>
    </row>
    <row r="1990" spans="2:37" x14ac:dyDescent="0.2">
      <c r="B1990" s="7" t="s">
        <v>73</v>
      </c>
      <c r="C1990" s="8">
        <v>12671</v>
      </c>
      <c r="D1990" s="9" t="s">
        <v>1017</v>
      </c>
      <c r="E1990" s="10" t="s">
        <v>1018</v>
      </c>
      <c r="F1990" s="10" t="s">
        <v>1019</v>
      </c>
      <c r="G1990" s="8">
        <v>1</v>
      </c>
      <c r="H1990" s="11">
        <v>400</v>
      </c>
      <c r="I1990" s="12">
        <v>42603</v>
      </c>
      <c r="J1990" s="13">
        <f t="shared" si="67"/>
        <v>0</v>
      </c>
      <c r="K1990" s="14"/>
      <c r="L1990" s="14"/>
      <c r="M1990" s="14"/>
      <c r="N1990" s="14"/>
      <c r="O1990" s="14"/>
      <c r="P1990" s="14"/>
      <c r="Q1990" s="14">
        <v>200</v>
      </c>
      <c r="R1990" s="14">
        <v>200</v>
      </c>
      <c r="S1990" s="14"/>
      <c r="T1990" s="14"/>
      <c r="U1990" s="14"/>
      <c r="V1990" s="14"/>
      <c r="W1990" s="15">
        <f t="shared" si="68"/>
        <v>400</v>
      </c>
      <c r="X1990" s="14"/>
      <c r="Y1990" s="14"/>
      <c r="Z1990" s="14"/>
      <c r="AA1990" s="14"/>
      <c r="AB1990" s="14"/>
      <c r="AC1990" s="14"/>
      <c r="AD1990" s="14"/>
      <c r="AE1990" s="14"/>
      <c r="AF1990" s="14"/>
      <c r="AG1990" s="14"/>
      <c r="AH1990" s="14"/>
      <c r="AI1990" s="14"/>
      <c r="AJ1990" s="15"/>
      <c r="AK1990" s="16"/>
    </row>
    <row r="1991" spans="2:37" x14ac:dyDescent="0.2">
      <c r="B1991" s="7" t="s">
        <v>73</v>
      </c>
      <c r="C1991" s="8">
        <v>12672</v>
      </c>
      <c r="D1991" s="9" t="s">
        <v>277</v>
      </c>
      <c r="E1991" s="10" t="s">
        <v>278</v>
      </c>
      <c r="F1991" s="10" t="s">
        <v>279</v>
      </c>
      <c r="G1991" s="8">
        <v>1</v>
      </c>
      <c r="H1991" s="11">
        <v>400</v>
      </c>
      <c r="I1991" s="12">
        <v>42603</v>
      </c>
      <c r="J1991" s="13">
        <f t="shared" si="67"/>
        <v>0</v>
      </c>
      <c r="K1991" s="14"/>
      <c r="L1991" s="14"/>
      <c r="M1991" s="14"/>
      <c r="N1991" s="14"/>
      <c r="O1991" s="14"/>
      <c r="P1991" s="14"/>
      <c r="Q1991" s="14"/>
      <c r="R1991" s="14">
        <v>200</v>
      </c>
      <c r="S1991" s="14">
        <v>200</v>
      </c>
      <c r="T1991" s="14"/>
      <c r="U1991" s="14"/>
      <c r="V1991" s="14"/>
      <c r="W1991" s="15">
        <f t="shared" si="68"/>
        <v>400</v>
      </c>
      <c r="X1991" s="14"/>
      <c r="Y1991" s="14"/>
      <c r="Z1991" s="14"/>
      <c r="AA1991" s="14"/>
      <c r="AB1991" s="14"/>
      <c r="AC1991" s="14"/>
      <c r="AD1991" s="14"/>
      <c r="AE1991" s="14"/>
      <c r="AF1991" s="14"/>
      <c r="AG1991" s="14"/>
      <c r="AH1991" s="14"/>
      <c r="AI1991" s="14"/>
      <c r="AJ1991" s="15"/>
      <c r="AK1991" s="16"/>
    </row>
    <row r="1992" spans="2:37" x14ac:dyDescent="0.2">
      <c r="B1992" s="7" t="s">
        <v>69</v>
      </c>
      <c r="C1992" s="8">
        <v>12673</v>
      </c>
      <c r="D1992" s="9" t="s">
        <v>871</v>
      </c>
      <c r="E1992" s="10" t="s">
        <v>872</v>
      </c>
      <c r="F1992" s="10" t="s">
        <v>873</v>
      </c>
      <c r="G1992" s="8">
        <v>1</v>
      </c>
      <c r="H1992" s="11">
        <v>200</v>
      </c>
      <c r="I1992" s="12">
        <v>42603</v>
      </c>
      <c r="J1992" s="13">
        <f t="shared" si="67"/>
        <v>0</v>
      </c>
      <c r="K1992" s="14"/>
      <c r="L1992" s="14"/>
      <c r="M1992" s="14">
        <v>200</v>
      </c>
      <c r="N1992" s="14"/>
      <c r="O1992" s="14"/>
      <c r="P1992" s="14"/>
      <c r="Q1992" s="14"/>
      <c r="R1992" s="14"/>
      <c r="S1992" s="14"/>
      <c r="T1992" s="14"/>
      <c r="U1992" s="14"/>
      <c r="V1992" s="14"/>
      <c r="W1992" s="15">
        <f t="shared" si="68"/>
        <v>200</v>
      </c>
      <c r="X1992" s="14"/>
      <c r="Y1992" s="14"/>
      <c r="Z1992" s="14"/>
      <c r="AA1992" s="14"/>
      <c r="AB1992" s="14"/>
      <c r="AC1992" s="14"/>
      <c r="AD1992" s="14"/>
      <c r="AE1992" s="14"/>
      <c r="AF1992" s="14"/>
      <c r="AG1992" s="14"/>
      <c r="AH1992" s="14"/>
      <c r="AI1992" s="14"/>
      <c r="AJ1992" s="15"/>
      <c r="AK1992" s="16"/>
    </row>
    <row r="1993" spans="2:37" x14ac:dyDescent="0.2">
      <c r="B1993" s="7" t="s">
        <v>69</v>
      </c>
      <c r="C1993" s="8">
        <v>12674</v>
      </c>
      <c r="D1993" s="9" t="s">
        <v>893</v>
      </c>
      <c r="E1993" s="10" t="s">
        <v>894</v>
      </c>
      <c r="F1993" s="10" t="s">
        <v>895</v>
      </c>
      <c r="G1993" s="8">
        <v>1</v>
      </c>
      <c r="H1993" s="11">
        <v>400</v>
      </c>
      <c r="I1993" s="12">
        <v>42603</v>
      </c>
      <c r="J1993" s="13">
        <f t="shared" si="67"/>
        <v>0</v>
      </c>
      <c r="K1993" s="14"/>
      <c r="L1993" s="14"/>
      <c r="M1993" s="14"/>
      <c r="N1993" s="14"/>
      <c r="O1993" s="14"/>
      <c r="P1993" s="14"/>
      <c r="Q1993" s="14"/>
      <c r="R1993" s="14">
        <v>400</v>
      </c>
      <c r="S1993" s="14"/>
      <c r="T1993" s="14"/>
      <c r="U1993" s="14"/>
      <c r="V1993" s="14"/>
      <c r="W1993" s="15">
        <f t="shared" si="68"/>
        <v>400</v>
      </c>
      <c r="X1993" s="14"/>
      <c r="Y1993" s="14"/>
      <c r="Z1993" s="14"/>
      <c r="AA1993" s="14"/>
      <c r="AB1993" s="14"/>
      <c r="AC1993" s="14"/>
      <c r="AD1993" s="14"/>
      <c r="AE1993" s="14"/>
      <c r="AF1993" s="14"/>
      <c r="AG1993" s="14"/>
      <c r="AH1993" s="14"/>
      <c r="AI1993" s="14"/>
      <c r="AJ1993" s="15"/>
      <c r="AK1993" s="16"/>
    </row>
    <row r="1994" spans="2:37" x14ac:dyDescent="0.2">
      <c r="B1994" s="7" t="s">
        <v>37</v>
      </c>
      <c r="C1994" s="8">
        <v>12675</v>
      </c>
      <c r="D1994" s="9" t="s">
        <v>526</v>
      </c>
      <c r="E1994" s="10" t="s">
        <v>527</v>
      </c>
      <c r="F1994" s="10" t="s">
        <v>528</v>
      </c>
      <c r="G1994" s="8">
        <v>1</v>
      </c>
      <c r="H1994" s="11">
        <v>600</v>
      </c>
      <c r="I1994" s="12">
        <v>42603</v>
      </c>
      <c r="J1994" s="13">
        <f t="shared" si="67"/>
        <v>0</v>
      </c>
      <c r="K1994" s="14"/>
      <c r="L1994" s="14"/>
      <c r="M1994" s="14"/>
      <c r="N1994" s="14"/>
      <c r="O1994" s="14"/>
      <c r="P1994" s="14"/>
      <c r="Q1994" s="14">
        <v>300</v>
      </c>
      <c r="R1994" s="14">
        <v>300</v>
      </c>
      <c r="S1994" s="14"/>
      <c r="T1994" s="14"/>
      <c r="U1994" s="14"/>
      <c r="V1994" s="14"/>
      <c r="W1994" s="15">
        <f t="shared" si="68"/>
        <v>600</v>
      </c>
      <c r="X1994" s="14"/>
      <c r="Y1994" s="14"/>
      <c r="Z1994" s="14"/>
      <c r="AA1994" s="14"/>
      <c r="AB1994" s="14"/>
      <c r="AC1994" s="14"/>
      <c r="AD1994" s="14"/>
      <c r="AE1994" s="14"/>
      <c r="AF1994" s="14"/>
      <c r="AG1994" s="14"/>
      <c r="AH1994" s="14"/>
      <c r="AI1994" s="14"/>
      <c r="AJ1994" s="15"/>
      <c r="AK1994" s="16"/>
    </row>
    <row r="1995" spans="2:37" x14ac:dyDescent="0.2">
      <c r="B1995" s="7" t="s">
        <v>73</v>
      </c>
      <c r="C1995" s="8">
        <v>12676</v>
      </c>
      <c r="D1995" s="9" t="s">
        <v>529</v>
      </c>
      <c r="E1995" s="10" t="s">
        <v>530</v>
      </c>
      <c r="F1995" s="10" t="s">
        <v>531</v>
      </c>
      <c r="G1995" s="8">
        <v>1</v>
      </c>
      <c r="H1995" s="11">
        <v>1200</v>
      </c>
      <c r="I1995" s="12">
        <v>42607</v>
      </c>
      <c r="J1995" s="13">
        <f t="shared" si="67"/>
        <v>0</v>
      </c>
      <c r="K1995" s="14"/>
      <c r="L1995" s="14"/>
      <c r="M1995" s="14"/>
      <c r="N1995" s="14"/>
      <c r="O1995" s="14"/>
      <c r="P1995" s="14"/>
      <c r="Q1995" s="14">
        <v>400</v>
      </c>
      <c r="R1995" s="14">
        <v>400</v>
      </c>
      <c r="S1995" s="14">
        <v>400</v>
      </c>
      <c r="T1995" s="14"/>
      <c r="U1995" s="14"/>
      <c r="V1995" s="14"/>
      <c r="W1995" s="15">
        <f t="shared" si="68"/>
        <v>1200</v>
      </c>
      <c r="X1995" s="14"/>
      <c r="Y1995" s="14"/>
      <c r="Z1995" s="14"/>
      <c r="AA1995" s="14"/>
      <c r="AB1995" s="14"/>
      <c r="AC1995" s="14"/>
      <c r="AD1995" s="14"/>
      <c r="AE1995" s="14"/>
      <c r="AF1995" s="14"/>
      <c r="AG1995" s="14"/>
      <c r="AH1995" s="14"/>
      <c r="AI1995" s="14"/>
      <c r="AJ1995" s="15"/>
      <c r="AK1995" s="16"/>
    </row>
    <row r="1996" spans="2:37" x14ac:dyDescent="0.2">
      <c r="B1996" s="7" t="s">
        <v>122</v>
      </c>
      <c r="C1996" s="8">
        <v>12677</v>
      </c>
      <c r="D1996" s="9" t="s">
        <v>217</v>
      </c>
      <c r="E1996" s="10" t="s">
        <v>218</v>
      </c>
      <c r="F1996" s="10" t="s">
        <v>219</v>
      </c>
      <c r="G1996" s="8">
        <v>1</v>
      </c>
      <c r="H1996" s="11">
        <v>600</v>
      </c>
      <c r="I1996" s="12">
        <v>42607</v>
      </c>
      <c r="J1996" s="13">
        <f t="shared" si="67"/>
        <v>0</v>
      </c>
      <c r="K1996" s="14"/>
      <c r="L1996" s="14"/>
      <c r="M1996" s="14"/>
      <c r="N1996" s="14"/>
      <c r="O1996" s="14"/>
      <c r="P1996" s="14"/>
      <c r="Q1996" s="14"/>
      <c r="R1996" s="14">
        <v>300</v>
      </c>
      <c r="S1996" s="14">
        <v>300</v>
      </c>
      <c r="T1996" s="14"/>
      <c r="U1996" s="14"/>
      <c r="V1996" s="14"/>
      <c r="W1996" s="15">
        <f t="shared" si="68"/>
        <v>600</v>
      </c>
      <c r="X1996" s="14"/>
      <c r="Y1996" s="14"/>
      <c r="Z1996" s="14"/>
      <c r="AA1996" s="14"/>
      <c r="AB1996" s="14"/>
      <c r="AC1996" s="14"/>
      <c r="AD1996" s="14"/>
      <c r="AE1996" s="14"/>
      <c r="AF1996" s="14"/>
      <c r="AG1996" s="14"/>
      <c r="AH1996" s="14"/>
      <c r="AI1996" s="14"/>
      <c r="AJ1996" s="15"/>
      <c r="AK1996" s="16"/>
    </row>
    <row r="1997" spans="2:37" x14ac:dyDescent="0.2">
      <c r="B1997" s="7" t="s">
        <v>77</v>
      </c>
      <c r="C1997" s="8">
        <v>12678</v>
      </c>
      <c r="D1997" s="9" t="s">
        <v>777</v>
      </c>
      <c r="E1997" s="10" t="s">
        <v>778</v>
      </c>
      <c r="F1997" s="10" t="s">
        <v>779</v>
      </c>
      <c r="G1997" s="8">
        <v>4</v>
      </c>
      <c r="H1997" s="11">
        <v>200</v>
      </c>
      <c r="I1997" s="12">
        <v>42607</v>
      </c>
      <c r="J1997" s="13">
        <f t="shared" si="67"/>
        <v>0</v>
      </c>
      <c r="K1997" s="14"/>
      <c r="L1997" s="14"/>
      <c r="M1997" s="14"/>
      <c r="N1997" s="14"/>
      <c r="O1997" s="14"/>
      <c r="P1997" s="14"/>
      <c r="Q1997" s="14"/>
      <c r="R1997" s="14"/>
      <c r="S1997" s="14"/>
      <c r="T1997" s="14"/>
      <c r="U1997" s="14"/>
      <c r="V1997" s="14"/>
      <c r="W1997" s="15">
        <f t="shared" si="68"/>
        <v>0</v>
      </c>
      <c r="X1997" s="14"/>
      <c r="Y1997" s="14"/>
      <c r="Z1997" s="14"/>
      <c r="AA1997" s="14"/>
      <c r="AB1997" s="14"/>
      <c r="AC1997" s="14"/>
      <c r="AD1997" s="14"/>
      <c r="AE1997" s="14"/>
      <c r="AF1997" s="14"/>
      <c r="AG1997" s="14"/>
      <c r="AH1997" s="14"/>
      <c r="AI1997" s="14"/>
      <c r="AJ1997" s="15"/>
      <c r="AK1997" s="7">
        <v>10451884</v>
      </c>
    </row>
    <row r="1998" spans="2:37" x14ac:dyDescent="0.2">
      <c r="B1998" s="7" t="s">
        <v>69</v>
      </c>
      <c r="C1998" s="8">
        <v>12679</v>
      </c>
      <c r="D1998" s="9" t="s">
        <v>831</v>
      </c>
      <c r="E1998" s="10" t="s">
        <v>832</v>
      </c>
      <c r="F1998" s="10" t="s">
        <v>833</v>
      </c>
      <c r="G1998" s="8">
        <v>1</v>
      </c>
      <c r="H1998" s="11">
        <v>800</v>
      </c>
      <c r="I1998" s="12">
        <v>42607</v>
      </c>
      <c r="J1998" s="13">
        <f t="shared" si="67"/>
        <v>0</v>
      </c>
      <c r="K1998" s="14"/>
      <c r="L1998" s="14"/>
      <c r="M1998" s="14"/>
      <c r="N1998" s="14"/>
      <c r="O1998" s="14"/>
      <c r="P1998" s="14"/>
      <c r="Q1998" s="14"/>
      <c r="R1998" s="14">
        <v>400</v>
      </c>
      <c r="S1998" s="14">
        <v>400</v>
      </c>
      <c r="T1998" s="14"/>
      <c r="U1998" s="14"/>
      <c r="V1998" s="14"/>
      <c r="W1998" s="15">
        <f t="shared" si="68"/>
        <v>800</v>
      </c>
      <c r="X1998" s="14"/>
      <c r="Y1998" s="14"/>
      <c r="Z1998" s="14"/>
      <c r="AA1998" s="14"/>
      <c r="AB1998" s="14"/>
      <c r="AC1998" s="14"/>
      <c r="AD1998" s="14"/>
      <c r="AE1998" s="14"/>
      <c r="AF1998" s="14"/>
      <c r="AG1998" s="14"/>
      <c r="AH1998" s="14"/>
      <c r="AI1998" s="14"/>
      <c r="AJ1998" s="15"/>
      <c r="AK1998" s="16"/>
    </row>
    <row r="1999" spans="2:37" x14ac:dyDescent="0.2">
      <c r="B1999" s="7" t="s">
        <v>122</v>
      </c>
      <c r="C1999" s="8">
        <v>12680</v>
      </c>
      <c r="D1999" s="9" t="s">
        <v>256</v>
      </c>
      <c r="E1999" s="10" t="s">
        <v>257</v>
      </c>
      <c r="F1999" s="10" t="s">
        <v>258</v>
      </c>
      <c r="G1999" s="8">
        <v>1</v>
      </c>
      <c r="H1999" s="11">
        <v>300</v>
      </c>
      <c r="I1999" s="12">
        <v>42610</v>
      </c>
      <c r="J1999" s="13">
        <f t="shared" ref="J1999:J2062" si="69">IF(G1999=1,SUM(W1999,-H1999),0)</f>
        <v>0</v>
      </c>
      <c r="K1999" s="14"/>
      <c r="L1999" s="14"/>
      <c r="M1999" s="14"/>
      <c r="N1999" s="14"/>
      <c r="O1999" s="14"/>
      <c r="P1999" s="14"/>
      <c r="Q1999" s="14"/>
      <c r="R1999" s="14">
        <v>300</v>
      </c>
      <c r="S1999" s="14"/>
      <c r="T1999" s="14"/>
      <c r="U1999" s="14"/>
      <c r="V1999" s="14"/>
      <c r="W1999" s="15">
        <f t="shared" ref="W1999:W2062" si="70">SUM(K1999:V1999)</f>
        <v>300</v>
      </c>
      <c r="X1999" s="14"/>
      <c r="Y1999" s="14"/>
      <c r="Z1999" s="14"/>
      <c r="AA1999" s="14"/>
      <c r="AB1999" s="14"/>
      <c r="AC1999" s="14"/>
      <c r="AD1999" s="14"/>
      <c r="AE1999" s="14"/>
      <c r="AF1999" s="14"/>
      <c r="AG1999" s="14"/>
      <c r="AH1999" s="14"/>
      <c r="AI1999" s="14"/>
      <c r="AJ1999" s="15"/>
      <c r="AK1999" s="16"/>
    </row>
    <row r="2000" spans="2:37" x14ac:dyDescent="0.2">
      <c r="B2000" s="7" t="s">
        <v>69</v>
      </c>
      <c r="C2000" s="8">
        <v>12681</v>
      </c>
      <c r="D2000" s="9" t="s">
        <v>608</v>
      </c>
      <c r="E2000" s="10" t="s">
        <v>609</v>
      </c>
      <c r="F2000" s="10" t="s">
        <v>610</v>
      </c>
      <c r="G2000" s="8">
        <v>1</v>
      </c>
      <c r="H2000" s="11">
        <v>800</v>
      </c>
      <c r="I2000" s="12">
        <v>42610</v>
      </c>
      <c r="J2000" s="13">
        <f t="shared" si="69"/>
        <v>0</v>
      </c>
      <c r="K2000" s="14"/>
      <c r="L2000" s="14"/>
      <c r="M2000" s="14"/>
      <c r="N2000" s="14"/>
      <c r="O2000" s="14"/>
      <c r="P2000" s="14"/>
      <c r="Q2000" s="14">
        <v>400</v>
      </c>
      <c r="R2000" s="14">
        <v>400</v>
      </c>
      <c r="S2000" s="14"/>
      <c r="T2000" s="14"/>
      <c r="U2000" s="14"/>
      <c r="V2000" s="14"/>
      <c r="W2000" s="15">
        <f t="shared" si="70"/>
        <v>800</v>
      </c>
      <c r="X2000" s="14"/>
      <c r="Y2000" s="14"/>
      <c r="Z2000" s="14"/>
      <c r="AA2000" s="14"/>
      <c r="AB2000" s="14"/>
      <c r="AC2000" s="14"/>
      <c r="AD2000" s="14"/>
      <c r="AE2000" s="14"/>
      <c r="AF2000" s="14"/>
      <c r="AG2000" s="14"/>
      <c r="AH2000" s="14"/>
      <c r="AI2000" s="14"/>
      <c r="AJ2000" s="15"/>
      <c r="AK2000" s="16"/>
    </row>
    <row r="2001" spans="2:37" x14ac:dyDescent="0.2">
      <c r="B2001" s="7" t="s">
        <v>69</v>
      </c>
      <c r="C2001" s="8">
        <v>12682</v>
      </c>
      <c r="D2001" s="9" t="s">
        <v>608</v>
      </c>
      <c r="E2001" s="10" t="s">
        <v>609</v>
      </c>
      <c r="F2001" s="10" t="s">
        <v>610</v>
      </c>
      <c r="G2001" s="8">
        <v>5</v>
      </c>
      <c r="H2001" s="11">
        <v>50</v>
      </c>
      <c r="I2001" s="12">
        <v>42610</v>
      </c>
      <c r="J2001" s="13">
        <f t="shared" si="69"/>
        <v>0</v>
      </c>
      <c r="K2001" s="14"/>
      <c r="L2001" s="14"/>
      <c r="M2001" s="14"/>
      <c r="N2001" s="14"/>
      <c r="O2001" s="14"/>
      <c r="P2001" s="14"/>
      <c r="Q2001" s="14"/>
      <c r="R2001" s="14"/>
      <c r="S2001" s="14"/>
      <c r="T2001" s="14"/>
      <c r="U2001" s="14"/>
      <c r="V2001" s="14"/>
      <c r="W2001" s="15">
        <f t="shared" si="70"/>
        <v>0</v>
      </c>
      <c r="X2001" s="14"/>
      <c r="Y2001" s="14"/>
      <c r="Z2001" s="14"/>
      <c r="AA2001" s="14"/>
      <c r="AB2001" s="14"/>
      <c r="AC2001" s="14"/>
      <c r="AD2001" s="14"/>
      <c r="AE2001" s="14"/>
      <c r="AF2001" s="14"/>
      <c r="AG2001" s="14"/>
      <c r="AH2001" s="14"/>
      <c r="AI2001" s="14"/>
      <c r="AJ2001" s="15"/>
      <c r="AK2001" s="16"/>
    </row>
    <row r="2002" spans="2:37" x14ac:dyDescent="0.2">
      <c r="B2002" s="7" t="s">
        <v>69</v>
      </c>
      <c r="C2002" s="8">
        <v>12683</v>
      </c>
      <c r="D2002" s="9" t="s">
        <v>1172</v>
      </c>
      <c r="E2002" s="10" t="s">
        <v>1173</v>
      </c>
      <c r="F2002" s="10" t="s">
        <v>1147</v>
      </c>
      <c r="G2002" s="8">
        <v>5</v>
      </c>
      <c r="H2002" s="11">
        <v>50</v>
      </c>
      <c r="I2002" s="12">
        <v>42610</v>
      </c>
      <c r="J2002" s="13">
        <f t="shared" si="69"/>
        <v>0</v>
      </c>
      <c r="K2002" s="14"/>
      <c r="L2002" s="14"/>
      <c r="M2002" s="14"/>
      <c r="N2002" s="14"/>
      <c r="O2002" s="14"/>
      <c r="P2002" s="14"/>
      <c r="Q2002" s="14"/>
      <c r="R2002" s="14"/>
      <c r="S2002" s="14"/>
      <c r="T2002" s="14"/>
      <c r="U2002" s="14"/>
      <c r="V2002" s="14"/>
      <c r="W2002" s="15">
        <f t="shared" si="70"/>
        <v>0</v>
      </c>
      <c r="X2002" s="14"/>
      <c r="Y2002" s="14"/>
      <c r="Z2002" s="14"/>
      <c r="AA2002" s="14"/>
      <c r="AB2002" s="14"/>
      <c r="AC2002" s="14"/>
      <c r="AD2002" s="14"/>
      <c r="AE2002" s="14"/>
      <c r="AF2002" s="14"/>
      <c r="AG2002" s="14"/>
      <c r="AH2002" s="14"/>
      <c r="AI2002" s="14"/>
      <c r="AJ2002" s="15"/>
      <c r="AK2002" s="16"/>
    </row>
    <row r="2003" spans="2:37" x14ac:dyDescent="0.2">
      <c r="B2003" s="7" t="s">
        <v>47</v>
      </c>
      <c r="C2003" s="8">
        <v>12684</v>
      </c>
      <c r="D2003" s="9" t="s">
        <v>48</v>
      </c>
      <c r="E2003" s="10" t="s">
        <v>49</v>
      </c>
      <c r="F2003" s="10" t="s">
        <v>50</v>
      </c>
      <c r="G2003" s="8">
        <v>1</v>
      </c>
      <c r="H2003" s="11">
        <v>800</v>
      </c>
      <c r="I2003" s="12">
        <v>42610</v>
      </c>
      <c r="J2003" s="13">
        <f t="shared" si="69"/>
        <v>0</v>
      </c>
      <c r="K2003" s="14"/>
      <c r="L2003" s="14"/>
      <c r="M2003" s="14"/>
      <c r="N2003" s="14"/>
      <c r="O2003" s="14"/>
      <c r="P2003" s="14"/>
      <c r="Q2003" s="14"/>
      <c r="R2003" s="14">
        <v>400</v>
      </c>
      <c r="S2003" s="14">
        <v>400</v>
      </c>
      <c r="T2003" s="14"/>
      <c r="U2003" s="14"/>
      <c r="V2003" s="14"/>
      <c r="W2003" s="15">
        <f t="shared" si="70"/>
        <v>800</v>
      </c>
      <c r="X2003" s="14"/>
      <c r="Y2003" s="14"/>
      <c r="Z2003" s="14"/>
      <c r="AA2003" s="14"/>
      <c r="AB2003" s="14"/>
      <c r="AC2003" s="14"/>
      <c r="AD2003" s="14"/>
      <c r="AE2003" s="14"/>
      <c r="AF2003" s="14"/>
      <c r="AG2003" s="14"/>
      <c r="AH2003" s="14"/>
      <c r="AI2003" s="14"/>
      <c r="AJ2003" s="15"/>
      <c r="AK2003" s="16"/>
    </row>
    <row r="2004" spans="2:37" x14ac:dyDescent="0.2">
      <c r="B2004" s="7" t="s">
        <v>73</v>
      </c>
      <c r="C2004" s="8">
        <v>12685</v>
      </c>
      <c r="D2004" s="9" t="s">
        <v>544</v>
      </c>
      <c r="E2004" s="10" t="s">
        <v>545</v>
      </c>
      <c r="F2004" s="10" t="s">
        <v>546</v>
      </c>
      <c r="G2004" s="8">
        <v>1</v>
      </c>
      <c r="H2004" s="11">
        <v>800</v>
      </c>
      <c r="I2004" s="12">
        <v>42610</v>
      </c>
      <c r="J2004" s="13">
        <f t="shared" si="69"/>
        <v>0</v>
      </c>
      <c r="K2004" s="14"/>
      <c r="L2004" s="14"/>
      <c r="M2004" s="14"/>
      <c r="N2004" s="14"/>
      <c r="O2004" s="14"/>
      <c r="P2004" s="14"/>
      <c r="Q2004" s="14">
        <v>400</v>
      </c>
      <c r="R2004" s="14">
        <v>400</v>
      </c>
      <c r="S2004" s="14"/>
      <c r="T2004" s="14"/>
      <c r="U2004" s="14"/>
      <c r="V2004" s="14"/>
      <c r="W2004" s="15">
        <f t="shared" si="70"/>
        <v>800</v>
      </c>
      <c r="X2004" s="14"/>
      <c r="Y2004" s="14"/>
      <c r="Z2004" s="14"/>
      <c r="AA2004" s="14"/>
      <c r="AB2004" s="14"/>
      <c r="AC2004" s="14"/>
      <c r="AD2004" s="14"/>
      <c r="AE2004" s="14"/>
      <c r="AF2004" s="14"/>
      <c r="AG2004" s="14"/>
      <c r="AH2004" s="14"/>
      <c r="AI2004" s="14"/>
      <c r="AJ2004" s="15"/>
      <c r="AK2004" s="16"/>
    </row>
    <row r="2005" spans="2:37" x14ac:dyDescent="0.2">
      <c r="B2005" s="7" t="s">
        <v>73</v>
      </c>
      <c r="C2005" s="8">
        <v>12685</v>
      </c>
      <c r="D2005" s="9" t="s">
        <v>544</v>
      </c>
      <c r="E2005" s="10" t="s">
        <v>545</v>
      </c>
      <c r="F2005" s="10" t="s">
        <v>546</v>
      </c>
      <c r="G2005" s="8">
        <v>5</v>
      </c>
      <c r="H2005" s="11">
        <v>100</v>
      </c>
      <c r="I2005" s="12">
        <v>42610</v>
      </c>
      <c r="J2005" s="13">
        <f t="shared" si="69"/>
        <v>0</v>
      </c>
      <c r="K2005" s="14"/>
      <c r="L2005" s="14"/>
      <c r="M2005" s="14"/>
      <c r="N2005" s="14"/>
      <c r="O2005" s="14"/>
      <c r="P2005" s="14"/>
      <c r="Q2005" s="14"/>
      <c r="R2005" s="14"/>
      <c r="S2005" s="14"/>
      <c r="T2005" s="14"/>
      <c r="U2005" s="14"/>
      <c r="V2005" s="14"/>
      <c r="W2005" s="15">
        <f t="shared" si="70"/>
        <v>0</v>
      </c>
      <c r="X2005" s="14"/>
      <c r="Y2005" s="14"/>
      <c r="Z2005" s="14"/>
      <c r="AA2005" s="14"/>
      <c r="AB2005" s="14"/>
      <c r="AC2005" s="14"/>
      <c r="AD2005" s="14"/>
      <c r="AE2005" s="14"/>
      <c r="AF2005" s="14"/>
      <c r="AG2005" s="14"/>
      <c r="AH2005" s="14"/>
      <c r="AI2005" s="14"/>
      <c r="AJ2005" s="15"/>
      <c r="AK2005" s="16"/>
    </row>
    <row r="2006" spans="2:37" x14ac:dyDescent="0.2">
      <c r="B2006" s="7" t="s">
        <v>61</v>
      </c>
      <c r="C2006" s="8">
        <v>12686</v>
      </c>
      <c r="D2006" s="9" t="s">
        <v>663</v>
      </c>
      <c r="E2006" s="10" t="s">
        <v>664</v>
      </c>
      <c r="F2006" s="10" t="s">
        <v>665</v>
      </c>
      <c r="G2006" s="8">
        <v>1</v>
      </c>
      <c r="H2006" s="11">
        <v>800</v>
      </c>
      <c r="I2006" s="12">
        <v>42610</v>
      </c>
      <c r="J2006" s="13">
        <f t="shared" si="69"/>
        <v>0</v>
      </c>
      <c r="K2006" s="14"/>
      <c r="L2006" s="14"/>
      <c r="M2006" s="14"/>
      <c r="N2006" s="14"/>
      <c r="O2006" s="14"/>
      <c r="P2006" s="14"/>
      <c r="Q2006" s="14">
        <v>400</v>
      </c>
      <c r="R2006" s="14">
        <v>400</v>
      </c>
      <c r="S2006" s="14"/>
      <c r="T2006" s="14"/>
      <c r="U2006" s="14"/>
      <c r="V2006" s="14"/>
      <c r="W2006" s="15">
        <f t="shared" si="70"/>
        <v>800</v>
      </c>
      <c r="X2006" s="14"/>
      <c r="Y2006" s="14"/>
      <c r="Z2006" s="14"/>
      <c r="AA2006" s="14"/>
      <c r="AB2006" s="14"/>
      <c r="AC2006" s="14"/>
      <c r="AD2006" s="14"/>
      <c r="AE2006" s="14"/>
      <c r="AF2006" s="14"/>
      <c r="AG2006" s="14"/>
      <c r="AH2006" s="14"/>
      <c r="AI2006" s="14"/>
      <c r="AJ2006" s="15"/>
      <c r="AK2006" s="16"/>
    </row>
    <row r="2007" spans="2:37" x14ac:dyDescent="0.2">
      <c r="B2007" s="7" t="s">
        <v>47</v>
      </c>
      <c r="C2007" s="8">
        <v>12687</v>
      </c>
      <c r="D2007" s="9" t="s">
        <v>464</v>
      </c>
      <c r="E2007" s="10" t="s">
        <v>465</v>
      </c>
      <c r="F2007" s="10" t="s">
        <v>466</v>
      </c>
      <c r="G2007" s="8">
        <v>1</v>
      </c>
      <c r="H2007" s="11">
        <v>400</v>
      </c>
      <c r="I2007" s="12">
        <v>42610</v>
      </c>
      <c r="J2007" s="13">
        <f t="shared" si="69"/>
        <v>0</v>
      </c>
      <c r="K2007" s="14"/>
      <c r="L2007" s="14"/>
      <c r="M2007" s="14"/>
      <c r="N2007" s="14"/>
      <c r="O2007" s="14"/>
      <c r="P2007" s="14"/>
      <c r="Q2007" s="14"/>
      <c r="R2007" s="14">
        <v>200</v>
      </c>
      <c r="S2007" s="14">
        <v>200</v>
      </c>
      <c r="T2007" s="14"/>
      <c r="U2007" s="14"/>
      <c r="V2007" s="14"/>
      <c r="W2007" s="15">
        <f t="shared" si="70"/>
        <v>400</v>
      </c>
      <c r="X2007" s="14"/>
      <c r="Y2007" s="14"/>
      <c r="Z2007" s="14"/>
      <c r="AA2007" s="14"/>
      <c r="AB2007" s="14"/>
      <c r="AC2007" s="14"/>
      <c r="AD2007" s="14"/>
      <c r="AE2007" s="14"/>
      <c r="AF2007" s="14"/>
      <c r="AG2007" s="14"/>
      <c r="AH2007" s="14"/>
      <c r="AI2007" s="14"/>
      <c r="AJ2007" s="15"/>
      <c r="AK2007" s="16"/>
    </row>
    <row r="2008" spans="2:37" x14ac:dyDescent="0.2">
      <c r="B2008" s="7" t="s">
        <v>37</v>
      </c>
      <c r="C2008" s="8">
        <v>12688</v>
      </c>
      <c r="D2008" s="9" t="s">
        <v>1167</v>
      </c>
      <c r="E2008" s="10" t="s">
        <v>1168</v>
      </c>
      <c r="F2008" s="10" t="s">
        <v>1169</v>
      </c>
      <c r="G2008" s="8">
        <v>5</v>
      </c>
      <c r="H2008" s="11">
        <v>50</v>
      </c>
      <c r="I2008" s="12">
        <v>42610</v>
      </c>
      <c r="J2008" s="13">
        <f t="shared" si="69"/>
        <v>0</v>
      </c>
      <c r="K2008" s="14"/>
      <c r="L2008" s="14"/>
      <c r="M2008" s="14"/>
      <c r="N2008" s="14"/>
      <c r="O2008" s="14"/>
      <c r="P2008" s="14"/>
      <c r="Q2008" s="14"/>
      <c r="R2008" s="14"/>
      <c r="S2008" s="14"/>
      <c r="T2008" s="14"/>
      <c r="U2008" s="14"/>
      <c r="V2008" s="14"/>
      <c r="W2008" s="15">
        <f t="shared" si="70"/>
        <v>0</v>
      </c>
      <c r="X2008" s="14"/>
      <c r="Y2008" s="14"/>
      <c r="Z2008" s="14"/>
      <c r="AA2008" s="14"/>
      <c r="AB2008" s="14"/>
      <c r="AC2008" s="14"/>
      <c r="AD2008" s="14"/>
      <c r="AE2008" s="14"/>
      <c r="AF2008" s="14"/>
      <c r="AG2008" s="14"/>
      <c r="AH2008" s="14"/>
      <c r="AI2008" s="14"/>
      <c r="AJ2008" s="15"/>
      <c r="AK2008" s="16"/>
    </row>
    <row r="2009" spans="2:37" x14ac:dyDescent="0.2">
      <c r="B2009" s="7" t="s">
        <v>69</v>
      </c>
      <c r="C2009" s="8">
        <v>12689</v>
      </c>
      <c r="D2009" s="9" t="s">
        <v>1039</v>
      </c>
      <c r="E2009" s="10" t="s">
        <v>1040</v>
      </c>
      <c r="F2009" s="10" t="s">
        <v>1041</v>
      </c>
      <c r="G2009" s="8">
        <v>1</v>
      </c>
      <c r="H2009" s="11">
        <v>400</v>
      </c>
      <c r="I2009" s="12">
        <v>42610</v>
      </c>
      <c r="J2009" s="13">
        <f t="shared" si="69"/>
        <v>0</v>
      </c>
      <c r="K2009" s="14"/>
      <c r="L2009" s="14"/>
      <c r="M2009" s="14"/>
      <c r="N2009" s="14"/>
      <c r="O2009" s="14"/>
      <c r="P2009" s="14"/>
      <c r="Q2009" s="14"/>
      <c r="R2009" s="14">
        <v>400</v>
      </c>
      <c r="S2009" s="14"/>
      <c r="T2009" s="14"/>
      <c r="U2009" s="14"/>
      <c r="V2009" s="14"/>
      <c r="W2009" s="15">
        <f t="shared" si="70"/>
        <v>400</v>
      </c>
      <c r="X2009" s="14"/>
      <c r="Y2009" s="14"/>
      <c r="Z2009" s="14"/>
      <c r="AA2009" s="14"/>
      <c r="AB2009" s="14"/>
      <c r="AC2009" s="14"/>
      <c r="AD2009" s="14"/>
      <c r="AE2009" s="14"/>
      <c r="AF2009" s="14"/>
      <c r="AG2009" s="14"/>
      <c r="AH2009" s="14"/>
      <c r="AI2009" s="14"/>
      <c r="AJ2009" s="15"/>
      <c r="AK2009" s="16"/>
    </row>
    <row r="2010" spans="2:37" x14ac:dyDescent="0.2">
      <c r="B2010" s="7" t="s">
        <v>37</v>
      </c>
      <c r="C2010" s="8">
        <v>12690</v>
      </c>
      <c r="D2010" s="9" t="s">
        <v>794</v>
      </c>
      <c r="E2010" s="10" t="s">
        <v>795</v>
      </c>
      <c r="F2010" s="10" t="s">
        <v>796</v>
      </c>
      <c r="G2010" s="8">
        <v>1</v>
      </c>
      <c r="H2010" s="11">
        <v>300</v>
      </c>
      <c r="I2010" s="12">
        <v>42610</v>
      </c>
      <c r="J2010" s="13">
        <f t="shared" si="69"/>
        <v>0</v>
      </c>
      <c r="K2010" s="14"/>
      <c r="L2010" s="14"/>
      <c r="M2010" s="14"/>
      <c r="N2010" s="14"/>
      <c r="O2010" s="14"/>
      <c r="P2010" s="14"/>
      <c r="Q2010" s="14"/>
      <c r="R2010" s="14">
        <v>300</v>
      </c>
      <c r="S2010" s="14"/>
      <c r="T2010" s="14"/>
      <c r="U2010" s="14"/>
      <c r="V2010" s="14"/>
      <c r="W2010" s="15">
        <f t="shared" si="70"/>
        <v>300</v>
      </c>
      <c r="X2010" s="14"/>
      <c r="Y2010" s="14"/>
      <c r="Z2010" s="14"/>
      <c r="AA2010" s="14"/>
      <c r="AB2010" s="14"/>
      <c r="AC2010" s="14"/>
      <c r="AD2010" s="14"/>
      <c r="AE2010" s="14"/>
      <c r="AF2010" s="14"/>
      <c r="AG2010" s="14"/>
      <c r="AH2010" s="14"/>
      <c r="AI2010" s="14"/>
      <c r="AJ2010" s="15"/>
      <c r="AK2010" s="16"/>
    </row>
    <row r="2011" spans="2:37" x14ac:dyDescent="0.2">
      <c r="B2011" s="7" t="s">
        <v>37</v>
      </c>
      <c r="C2011" s="8">
        <v>12691</v>
      </c>
      <c r="D2011" s="9" t="s">
        <v>538</v>
      </c>
      <c r="E2011" s="10" t="s">
        <v>539</v>
      </c>
      <c r="F2011" s="10" t="s">
        <v>540</v>
      </c>
      <c r="G2011" s="8">
        <v>1</v>
      </c>
      <c r="H2011" s="11">
        <v>400</v>
      </c>
      <c r="I2011" s="12">
        <v>42610</v>
      </c>
      <c r="J2011" s="13">
        <f t="shared" si="69"/>
        <v>0</v>
      </c>
      <c r="K2011" s="14"/>
      <c r="L2011" s="14"/>
      <c r="M2011" s="14"/>
      <c r="N2011" s="14"/>
      <c r="O2011" s="14"/>
      <c r="P2011" s="14"/>
      <c r="Q2011" s="14"/>
      <c r="R2011" s="14">
        <v>400</v>
      </c>
      <c r="S2011" s="14"/>
      <c r="T2011" s="14"/>
      <c r="U2011" s="14"/>
      <c r="V2011" s="14"/>
      <c r="W2011" s="15">
        <f t="shared" si="70"/>
        <v>400</v>
      </c>
      <c r="X2011" s="14"/>
      <c r="Y2011" s="14"/>
      <c r="Z2011" s="14"/>
      <c r="AA2011" s="14"/>
      <c r="AB2011" s="14"/>
      <c r="AC2011" s="14"/>
      <c r="AD2011" s="14"/>
      <c r="AE2011" s="14"/>
      <c r="AF2011" s="14"/>
      <c r="AG2011" s="14"/>
      <c r="AH2011" s="14"/>
      <c r="AI2011" s="14"/>
      <c r="AJ2011" s="15"/>
      <c r="AK2011" s="16"/>
    </row>
    <row r="2012" spans="2:37" x14ac:dyDescent="0.2">
      <c r="B2012" s="7" t="s">
        <v>47</v>
      </c>
      <c r="C2012" s="8">
        <v>12692</v>
      </c>
      <c r="D2012" s="9" t="s">
        <v>103</v>
      </c>
      <c r="E2012" s="10" t="s">
        <v>104</v>
      </c>
      <c r="F2012" s="10" t="s">
        <v>105</v>
      </c>
      <c r="G2012" s="8">
        <v>1</v>
      </c>
      <c r="H2012" s="11">
        <v>400</v>
      </c>
      <c r="I2012" s="12">
        <v>42610</v>
      </c>
      <c r="J2012" s="13">
        <f t="shared" si="69"/>
        <v>0</v>
      </c>
      <c r="K2012" s="14"/>
      <c r="L2012" s="14"/>
      <c r="M2012" s="14"/>
      <c r="N2012" s="14"/>
      <c r="O2012" s="14"/>
      <c r="P2012" s="14"/>
      <c r="Q2012" s="14"/>
      <c r="R2012" s="14">
        <v>400</v>
      </c>
      <c r="S2012" s="14"/>
      <c r="T2012" s="14"/>
      <c r="U2012" s="14"/>
      <c r="V2012" s="14"/>
      <c r="W2012" s="15">
        <f t="shared" si="70"/>
        <v>400</v>
      </c>
      <c r="X2012" s="14"/>
      <c r="Y2012" s="14"/>
      <c r="Z2012" s="14"/>
      <c r="AA2012" s="14"/>
      <c r="AB2012" s="14"/>
      <c r="AC2012" s="14"/>
      <c r="AD2012" s="14"/>
      <c r="AE2012" s="14"/>
      <c r="AF2012" s="14"/>
      <c r="AG2012" s="14"/>
      <c r="AH2012" s="14"/>
      <c r="AI2012" s="14"/>
      <c r="AJ2012" s="15"/>
      <c r="AK2012" s="16"/>
    </row>
    <row r="2013" spans="2:37" x14ac:dyDescent="0.2">
      <c r="B2013" s="7" t="s">
        <v>47</v>
      </c>
      <c r="C2013" s="8">
        <v>12693</v>
      </c>
      <c r="D2013" s="9" t="s">
        <v>162</v>
      </c>
      <c r="E2013" s="10" t="s">
        <v>163</v>
      </c>
      <c r="F2013" s="10" t="s">
        <v>164</v>
      </c>
      <c r="G2013" s="8">
        <v>1</v>
      </c>
      <c r="H2013" s="11">
        <v>800</v>
      </c>
      <c r="I2013" s="12">
        <v>42610</v>
      </c>
      <c r="J2013" s="13">
        <f t="shared" si="69"/>
        <v>0</v>
      </c>
      <c r="K2013" s="14"/>
      <c r="L2013" s="14"/>
      <c r="M2013" s="14"/>
      <c r="N2013" s="14"/>
      <c r="O2013" s="14"/>
      <c r="P2013" s="14"/>
      <c r="Q2013" s="14"/>
      <c r="R2013" s="14"/>
      <c r="S2013" s="14">
        <v>400</v>
      </c>
      <c r="T2013" s="14">
        <v>400</v>
      </c>
      <c r="U2013" s="14"/>
      <c r="V2013" s="14"/>
      <c r="W2013" s="15">
        <f t="shared" si="70"/>
        <v>800</v>
      </c>
      <c r="X2013" s="14"/>
      <c r="Y2013" s="14"/>
      <c r="Z2013" s="14"/>
      <c r="AA2013" s="14"/>
      <c r="AB2013" s="14"/>
      <c r="AC2013" s="14"/>
      <c r="AD2013" s="14"/>
      <c r="AE2013" s="14"/>
      <c r="AF2013" s="14"/>
      <c r="AG2013" s="14"/>
      <c r="AH2013" s="14"/>
      <c r="AI2013" s="14"/>
      <c r="AJ2013" s="15"/>
      <c r="AK2013" s="16"/>
    </row>
    <row r="2014" spans="2:37" x14ac:dyDescent="0.2">
      <c r="B2014" s="7" t="s">
        <v>122</v>
      </c>
      <c r="C2014" s="8">
        <v>12694</v>
      </c>
      <c r="D2014" s="9" t="s">
        <v>788</v>
      </c>
      <c r="E2014" s="10" t="s">
        <v>789</v>
      </c>
      <c r="F2014" s="10" t="s">
        <v>790</v>
      </c>
      <c r="G2014" s="8">
        <v>1</v>
      </c>
      <c r="H2014" s="11">
        <v>400</v>
      </c>
      <c r="I2014" s="12">
        <v>42610</v>
      </c>
      <c r="J2014" s="13">
        <f t="shared" si="69"/>
        <v>0</v>
      </c>
      <c r="K2014" s="14"/>
      <c r="L2014" s="14"/>
      <c r="M2014" s="14"/>
      <c r="N2014" s="14"/>
      <c r="O2014" s="14"/>
      <c r="P2014" s="14"/>
      <c r="Q2014" s="14"/>
      <c r="R2014" s="14">
        <v>400</v>
      </c>
      <c r="S2014" s="14"/>
      <c r="T2014" s="14"/>
      <c r="U2014" s="14"/>
      <c r="V2014" s="14"/>
      <c r="W2014" s="15">
        <f t="shared" si="70"/>
        <v>400</v>
      </c>
      <c r="X2014" s="14"/>
      <c r="Y2014" s="14"/>
      <c r="Z2014" s="14"/>
      <c r="AA2014" s="14"/>
      <c r="AB2014" s="14"/>
      <c r="AC2014" s="14"/>
      <c r="AD2014" s="14"/>
      <c r="AE2014" s="14"/>
      <c r="AF2014" s="14"/>
      <c r="AG2014" s="14"/>
      <c r="AH2014" s="14"/>
      <c r="AI2014" s="14"/>
      <c r="AJ2014" s="15"/>
      <c r="AK2014" s="16"/>
    </row>
    <row r="2015" spans="2:37" x14ac:dyDescent="0.2">
      <c r="B2015" s="7" t="s">
        <v>69</v>
      </c>
      <c r="C2015" s="8">
        <v>12695</v>
      </c>
      <c r="D2015" s="9" t="s">
        <v>165</v>
      </c>
      <c r="E2015" s="10" t="s">
        <v>166</v>
      </c>
      <c r="F2015" s="10" t="s">
        <v>167</v>
      </c>
      <c r="G2015" s="8">
        <v>1</v>
      </c>
      <c r="H2015" s="11">
        <v>350</v>
      </c>
      <c r="I2015" s="12">
        <v>42610</v>
      </c>
      <c r="J2015" s="13">
        <f t="shared" si="69"/>
        <v>0</v>
      </c>
      <c r="K2015" s="14"/>
      <c r="L2015" s="14"/>
      <c r="M2015" s="14"/>
      <c r="N2015" s="14"/>
      <c r="O2015" s="14"/>
      <c r="P2015" s="14"/>
      <c r="Q2015" s="14"/>
      <c r="R2015" s="14"/>
      <c r="S2015" s="14">
        <v>350</v>
      </c>
      <c r="T2015" s="14"/>
      <c r="U2015" s="14"/>
      <c r="V2015" s="14"/>
      <c r="W2015" s="15">
        <f t="shared" si="70"/>
        <v>350</v>
      </c>
      <c r="X2015" s="14"/>
      <c r="Y2015" s="14"/>
      <c r="Z2015" s="14"/>
      <c r="AA2015" s="14"/>
      <c r="AB2015" s="14"/>
      <c r="AC2015" s="14"/>
      <c r="AD2015" s="14"/>
      <c r="AE2015" s="14"/>
      <c r="AF2015" s="14"/>
      <c r="AG2015" s="14"/>
      <c r="AH2015" s="14"/>
      <c r="AI2015" s="14"/>
      <c r="AJ2015" s="15"/>
      <c r="AK2015" s="16"/>
    </row>
    <row r="2016" spans="2:37" x14ac:dyDescent="0.2">
      <c r="B2016" s="7" t="s">
        <v>37</v>
      </c>
      <c r="C2016" s="8">
        <v>12696</v>
      </c>
      <c r="D2016" s="9" t="s">
        <v>681</v>
      </c>
      <c r="E2016" s="10" t="s">
        <v>682</v>
      </c>
      <c r="F2016" s="10" t="s">
        <v>683</v>
      </c>
      <c r="G2016" s="8">
        <v>1</v>
      </c>
      <c r="H2016" s="11">
        <v>300</v>
      </c>
      <c r="I2016" s="12">
        <v>42610</v>
      </c>
      <c r="J2016" s="13">
        <f t="shared" si="69"/>
        <v>0</v>
      </c>
      <c r="K2016" s="14"/>
      <c r="L2016" s="14"/>
      <c r="M2016" s="14"/>
      <c r="N2016" s="14"/>
      <c r="O2016" s="14"/>
      <c r="P2016" s="14"/>
      <c r="Q2016" s="14"/>
      <c r="R2016" s="14">
        <v>300</v>
      </c>
      <c r="S2016" s="14"/>
      <c r="T2016" s="14"/>
      <c r="U2016" s="14"/>
      <c r="V2016" s="14"/>
      <c r="W2016" s="15">
        <f t="shared" si="70"/>
        <v>300</v>
      </c>
      <c r="X2016" s="14"/>
      <c r="Y2016" s="14"/>
      <c r="Z2016" s="14"/>
      <c r="AA2016" s="14"/>
      <c r="AB2016" s="14"/>
      <c r="AC2016" s="14"/>
      <c r="AD2016" s="14"/>
      <c r="AE2016" s="14"/>
      <c r="AF2016" s="14"/>
      <c r="AG2016" s="14"/>
      <c r="AH2016" s="14"/>
      <c r="AI2016" s="14"/>
      <c r="AJ2016" s="15"/>
      <c r="AK2016" s="16"/>
    </row>
    <row r="2017" spans="2:37" x14ac:dyDescent="0.2">
      <c r="B2017" s="7" t="s">
        <v>69</v>
      </c>
      <c r="C2017" s="8">
        <v>12697</v>
      </c>
      <c r="D2017" s="9" t="s">
        <v>740</v>
      </c>
      <c r="E2017" s="10" t="s">
        <v>741</v>
      </c>
      <c r="F2017" s="10" t="s">
        <v>742</v>
      </c>
      <c r="G2017" s="8">
        <v>5</v>
      </c>
      <c r="H2017" s="11">
        <v>50</v>
      </c>
      <c r="I2017" s="12">
        <v>42610</v>
      </c>
      <c r="J2017" s="13">
        <f t="shared" si="69"/>
        <v>0</v>
      </c>
      <c r="K2017" s="14"/>
      <c r="L2017" s="14"/>
      <c r="M2017" s="14"/>
      <c r="N2017" s="14"/>
      <c r="O2017" s="14"/>
      <c r="P2017" s="14"/>
      <c r="Q2017" s="14"/>
      <c r="R2017" s="14"/>
      <c r="S2017" s="14"/>
      <c r="T2017" s="14"/>
      <c r="U2017" s="14"/>
      <c r="V2017" s="14"/>
      <c r="W2017" s="15">
        <f t="shared" si="70"/>
        <v>0</v>
      </c>
      <c r="X2017" s="14"/>
      <c r="Y2017" s="14"/>
      <c r="Z2017" s="14"/>
      <c r="AA2017" s="14"/>
      <c r="AB2017" s="14"/>
      <c r="AC2017" s="14"/>
      <c r="AD2017" s="14"/>
      <c r="AE2017" s="14"/>
      <c r="AF2017" s="14"/>
      <c r="AG2017" s="14"/>
      <c r="AH2017" s="14"/>
      <c r="AI2017" s="14"/>
      <c r="AJ2017" s="15"/>
      <c r="AK2017" s="16"/>
    </row>
    <row r="2018" spans="2:37" x14ac:dyDescent="0.2">
      <c r="B2018" s="7" t="s">
        <v>47</v>
      </c>
      <c r="C2018" s="8">
        <v>12698</v>
      </c>
      <c r="D2018" s="9" t="s">
        <v>404</v>
      </c>
      <c r="E2018" s="10" t="s">
        <v>405</v>
      </c>
      <c r="F2018" s="10" t="s">
        <v>406</v>
      </c>
      <c r="G2018" s="8">
        <v>1</v>
      </c>
      <c r="H2018" s="11">
        <v>400</v>
      </c>
      <c r="I2018" s="12">
        <v>42610</v>
      </c>
      <c r="J2018" s="13">
        <f t="shared" si="69"/>
        <v>0</v>
      </c>
      <c r="K2018" s="14"/>
      <c r="L2018" s="14"/>
      <c r="M2018" s="14"/>
      <c r="N2018" s="14"/>
      <c r="O2018" s="14"/>
      <c r="P2018" s="14"/>
      <c r="Q2018" s="14"/>
      <c r="R2018" s="14">
        <v>400</v>
      </c>
      <c r="S2018" s="14"/>
      <c r="T2018" s="14"/>
      <c r="U2018" s="14"/>
      <c r="V2018" s="14"/>
      <c r="W2018" s="15">
        <f t="shared" si="70"/>
        <v>400</v>
      </c>
      <c r="X2018" s="14"/>
      <c r="Y2018" s="14"/>
      <c r="Z2018" s="14"/>
      <c r="AA2018" s="14"/>
      <c r="AB2018" s="14"/>
      <c r="AC2018" s="14"/>
      <c r="AD2018" s="14"/>
      <c r="AE2018" s="14"/>
      <c r="AF2018" s="14"/>
      <c r="AG2018" s="14"/>
      <c r="AH2018" s="14"/>
      <c r="AI2018" s="14"/>
      <c r="AJ2018" s="15"/>
      <c r="AK2018" s="16"/>
    </row>
    <row r="2019" spans="2:37" x14ac:dyDescent="0.2">
      <c r="B2019" s="7" t="s">
        <v>73</v>
      </c>
      <c r="C2019" s="8">
        <v>12699</v>
      </c>
      <c r="D2019" s="9" t="s">
        <v>911</v>
      </c>
      <c r="E2019" s="10" t="s">
        <v>912</v>
      </c>
      <c r="F2019" s="10" t="s">
        <v>397</v>
      </c>
      <c r="G2019" s="8">
        <v>5</v>
      </c>
      <c r="H2019" s="11">
        <v>50</v>
      </c>
      <c r="I2019" s="12">
        <v>42610</v>
      </c>
      <c r="J2019" s="13">
        <f t="shared" si="69"/>
        <v>0</v>
      </c>
      <c r="K2019" s="14"/>
      <c r="L2019" s="14"/>
      <c r="M2019" s="14"/>
      <c r="N2019" s="14"/>
      <c r="O2019" s="14"/>
      <c r="P2019" s="14"/>
      <c r="Q2019" s="14"/>
      <c r="R2019" s="14"/>
      <c r="S2019" s="14"/>
      <c r="T2019" s="14"/>
      <c r="U2019" s="14"/>
      <c r="V2019" s="14"/>
      <c r="W2019" s="15">
        <f t="shared" si="70"/>
        <v>0</v>
      </c>
      <c r="X2019" s="14"/>
      <c r="Y2019" s="14"/>
      <c r="Z2019" s="14"/>
      <c r="AA2019" s="14"/>
      <c r="AB2019" s="14"/>
      <c r="AC2019" s="14"/>
      <c r="AD2019" s="14"/>
      <c r="AE2019" s="14"/>
      <c r="AF2019" s="14"/>
      <c r="AG2019" s="14"/>
      <c r="AH2019" s="14"/>
      <c r="AI2019" s="14"/>
      <c r="AJ2019" s="15"/>
      <c r="AK2019" s="16"/>
    </row>
    <row r="2020" spans="2:37" x14ac:dyDescent="0.2">
      <c r="B2020" s="7" t="s">
        <v>73</v>
      </c>
      <c r="C2020" s="8">
        <v>12700</v>
      </c>
      <c r="D2020" s="9" t="s">
        <v>911</v>
      </c>
      <c r="E2020" s="10" t="s">
        <v>912</v>
      </c>
      <c r="F2020" s="10" t="s">
        <v>397</v>
      </c>
      <c r="G2020" s="8">
        <v>5</v>
      </c>
      <c r="H2020" s="11">
        <v>50</v>
      </c>
      <c r="I2020" s="12">
        <v>42610</v>
      </c>
      <c r="J2020" s="13">
        <f t="shared" si="69"/>
        <v>0</v>
      </c>
      <c r="K2020" s="14"/>
      <c r="L2020" s="14"/>
      <c r="M2020" s="14"/>
      <c r="N2020" s="14"/>
      <c r="O2020" s="14"/>
      <c r="P2020" s="14"/>
      <c r="Q2020" s="14"/>
      <c r="R2020" s="14"/>
      <c r="S2020" s="14"/>
      <c r="T2020" s="14"/>
      <c r="U2020" s="14"/>
      <c r="V2020" s="14"/>
      <c r="W2020" s="15">
        <f t="shared" si="70"/>
        <v>0</v>
      </c>
      <c r="X2020" s="14"/>
      <c r="Y2020" s="14"/>
      <c r="Z2020" s="14"/>
      <c r="AA2020" s="14"/>
      <c r="AB2020" s="14"/>
      <c r="AC2020" s="14"/>
      <c r="AD2020" s="14"/>
      <c r="AE2020" s="14"/>
      <c r="AF2020" s="14"/>
      <c r="AG2020" s="14"/>
      <c r="AH2020" s="14"/>
      <c r="AI2020" s="14"/>
      <c r="AJ2020" s="15"/>
      <c r="AK2020" s="16"/>
    </row>
    <row r="2021" spans="2:37" x14ac:dyDescent="0.2">
      <c r="B2021" s="7" t="s">
        <v>69</v>
      </c>
      <c r="C2021" s="8">
        <v>12701</v>
      </c>
      <c r="D2021" s="9" t="s">
        <v>70</v>
      </c>
      <c r="E2021" s="10" t="s">
        <v>71</v>
      </c>
      <c r="F2021" s="10" t="s">
        <v>72</v>
      </c>
      <c r="G2021" s="8">
        <v>5</v>
      </c>
      <c r="H2021" s="11">
        <v>150</v>
      </c>
      <c r="I2021" s="12">
        <v>42610</v>
      </c>
      <c r="J2021" s="13">
        <f t="shared" si="69"/>
        <v>0</v>
      </c>
      <c r="K2021" s="14"/>
      <c r="L2021" s="14"/>
      <c r="M2021" s="14"/>
      <c r="N2021" s="14"/>
      <c r="O2021" s="14"/>
      <c r="P2021" s="14"/>
      <c r="Q2021" s="14"/>
      <c r="R2021" s="14"/>
      <c r="S2021" s="14"/>
      <c r="T2021" s="14"/>
      <c r="U2021" s="14"/>
      <c r="V2021" s="14"/>
      <c r="W2021" s="15">
        <f t="shared" si="70"/>
        <v>0</v>
      </c>
      <c r="X2021" s="14"/>
      <c r="Y2021" s="14"/>
      <c r="Z2021" s="14"/>
      <c r="AA2021" s="14"/>
      <c r="AB2021" s="14"/>
      <c r="AC2021" s="14"/>
      <c r="AD2021" s="14"/>
      <c r="AE2021" s="14"/>
      <c r="AF2021" s="14"/>
      <c r="AG2021" s="14"/>
      <c r="AH2021" s="14"/>
      <c r="AI2021" s="14"/>
      <c r="AJ2021" s="15"/>
      <c r="AK2021" s="16"/>
    </row>
    <row r="2022" spans="2:37" x14ac:dyDescent="0.2">
      <c r="B2022" s="7" t="s">
        <v>69</v>
      </c>
      <c r="C2022" s="8">
        <v>12702</v>
      </c>
      <c r="D2022" s="9" t="s">
        <v>743</v>
      </c>
      <c r="E2022" s="10" t="s">
        <v>744</v>
      </c>
      <c r="F2022" s="10" t="s">
        <v>745</v>
      </c>
      <c r="G2022" s="8">
        <v>1</v>
      </c>
      <c r="H2022" s="11">
        <v>400</v>
      </c>
      <c r="I2022" s="12">
        <v>42610</v>
      </c>
      <c r="J2022" s="13">
        <f t="shared" si="69"/>
        <v>0</v>
      </c>
      <c r="K2022" s="14"/>
      <c r="L2022" s="14"/>
      <c r="M2022" s="14"/>
      <c r="N2022" s="14"/>
      <c r="O2022" s="14"/>
      <c r="P2022" s="14"/>
      <c r="Q2022" s="14">
        <v>400</v>
      </c>
      <c r="R2022" s="14"/>
      <c r="S2022" s="14"/>
      <c r="T2022" s="14"/>
      <c r="U2022" s="14"/>
      <c r="V2022" s="14"/>
      <c r="W2022" s="15">
        <f t="shared" si="70"/>
        <v>400</v>
      </c>
      <c r="X2022" s="14"/>
      <c r="Y2022" s="14"/>
      <c r="Z2022" s="14"/>
      <c r="AA2022" s="14"/>
      <c r="AB2022" s="14"/>
      <c r="AC2022" s="14"/>
      <c r="AD2022" s="14"/>
      <c r="AE2022" s="14"/>
      <c r="AF2022" s="14"/>
      <c r="AG2022" s="14"/>
      <c r="AH2022" s="14"/>
      <c r="AI2022" s="14"/>
      <c r="AJ2022" s="15"/>
      <c r="AK2022" s="16"/>
    </row>
    <row r="2023" spans="2:37" x14ac:dyDescent="0.2">
      <c r="B2023" s="7" t="s">
        <v>69</v>
      </c>
      <c r="C2023" s="8">
        <v>12702</v>
      </c>
      <c r="D2023" s="9" t="s">
        <v>743</v>
      </c>
      <c r="E2023" s="10" t="s">
        <v>744</v>
      </c>
      <c r="F2023" s="10" t="s">
        <v>745</v>
      </c>
      <c r="G2023" s="8">
        <v>3</v>
      </c>
      <c r="H2023" s="11">
        <v>100</v>
      </c>
      <c r="I2023" s="12">
        <v>42610</v>
      </c>
      <c r="J2023" s="13">
        <f t="shared" si="69"/>
        <v>0</v>
      </c>
      <c r="K2023" s="14"/>
      <c r="L2023" s="14"/>
      <c r="M2023" s="14"/>
      <c r="N2023" s="14"/>
      <c r="O2023" s="14"/>
      <c r="P2023" s="14"/>
      <c r="Q2023" s="14"/>
      <c r="R2023" s="14"/>
      <c r="S2023" s="14"/>
      <c r="T2023" s="14"/>
      <c r="U2023" s="14"/>
      <c r="V2023" s="14"/>
      <c r="W2023" s="15">
        <f t="shared" si="70"/>
        <v>0</v>
      </c>
      <c r="X2023" s="14"/>
      <c r="Y2023" s="14"/>
      <c r="Z2023" s="14"/>
      <c r="AA2023" s="14"/>
      <c r="AB2023" s="14"/>
      <c r="AC2023" s="14"/>
      <c r="AD2023" s="14"/>
      <c r="AE2023" s="14"/>
      <c r="AF2023" s="14"/>
      <c r="AG2023" s="14"/>
      <c r="AH2023" s="14"/>
      <c r="AI2023" s="14"/>
      <c r="AJ2023" s="15"/>
      <c r="AK2023" s="16"/>
    </row>
    <row r="2024" spans="2:37" x14ac:dyDescent="0.2">
      <c r="B2024" s="7" t="s">
        <v>69</v>
      </c>
      <c r="C2024" s="8">
        <v>12703</v>
      </c>
      <c r="D2024" s="9" t="s">
        <v>634</v>
      </c>
      <c r="E2024" s="10" t="s">
        <v>635</v>
      </c>
      <c r="F2024" s="10" t="s">
        <v>636</v>
      </c>
      <c r="G2024" s="8">
        <v>1</v>
      </c>
      <c r="H2024" s="11">
        <v>300</v>
      </c>
      <c r="I2024" s="12">
        <v>42610</v>
      </c>
      <c r="J2024" s="13">
        <f t="shared" si="69"/>
        <v>0</v>
      </c>
      <c r="K2024" s="14"/>
      <c r="L2024" s="14"/>
      <c r="M2024" s="14"/>
      <c r="N2024" s="14"/>
      <c r="O2024" s="14"/>
      <c r="P2024" s="14"/>
      <c r="Q2024" s="14"/>
      <c r="R2024" s="14">
        <v>300</v>
      </c>
      <c r="S2024" s="14"/>
      <c r="T2024" s="14"/>
      <c r="U2024" s="14"/>
      <c r="V2024" s="14"/>
      <c r="W2024" s="15">
        <f t="shared" si="70"/>
        <v>300</v>
      </c>
      <c r="X2024" s="14"/>
      <c r="Y2024" s="14"/>
      <c r="Z2024" s="14"/>
      <c r="AA2024" s="14"/>
      <c r="AB2024" s="14"/>
      <c r="AC2024" s="14"/>
      <c r="AD2024" s="14"/>
      <c r="AE2024" s="14"/>
      <c r="AF2024" s="14"/>
      <c r="AG2024" s="14"/>
      <c r="AH2024" s="14"/>
      <c r="AI2024" s="14"/>
      <c r="AJ2024" s="15"/>
      <c r="AK2024" s="16"/>
    </row>
    <row r="2025" spans="2:37" x14ac:dyDescent="0.2">
      <c r="B2025" s="7" t="s">
        <v>47</v>
      </c>
      <c r="C2025" s="8">
        <v>12704</v>
      </c>
      <c r="D2025" s="9" t="s">
        <v>849</v>
      </c>
      <c r="E2025" s="10" t="s">
        <v>850</v>
      </c>
      <c r="F2025" s="10" t="s">
        <v>851</v>
      </c>
      <c r="G2025" s="8">
        <v>1</v>
      </c>
      <c r="H2025" s="11">
        <v>400</v>
      </c>
      <c r="I2025" s="12">
        <v>42610</v>
      </c>
      <c r="J2025" s="13">
        <f t="shared" si="69"/>
        <v>0</v>
      </c>
      <c r="K2025" s="14"/>
      <c r="L2025" s="14"/>
      <c r="M2025" s="14"/>
      <c r="N2025" s="14"/>
      <c r="O2025" s="14"/>
      <c r="P2025" s="14"/>
      <c r="Q2025" s="14">
        <v>400</v>
      </c>
      <c r="R2025" s="14"/>
      <c r="S2025" s="14"/>
      <c r="T2025" s="14"/>
      <c r="U2025" s="14"/>
      <c r="V2025" s="14"/>
      <c r="W2025" s="15">
        <f t="shared" si="70"/>
        <v>400</v>
      </c>
      <c r="X2025" s="14"/>
      <c r="Y2025" s="14"/>
      <c r="Z2025" s="14"/>
      <c r="AA2025" s="14"/>
      <c r="AB2025" s="14"/>
      <c r="AC2025" s="14"/>
      <c r="AD2025" s="14"/>
      <c r="AE2025" s="14"/>
      <c r="AF2025" s="14"/>
      <c r="AG2025" s="14"/>
      <c r="AH2025" s="14"/>
      <c r="AI2025" s="14"/>
      <c r="AJ2025" s="15"/>
      <c r="AK2025" s="16"/>
    </row>
    <row r="2026" spans="2:37" x14ac:dyDescent="0.2">
      <c r="B2026" s="7" t="s">
        <v>47</v>
      </c>
      <c r="C2026" s="8">
        <v>12704</v>
      </c>
      <c r="D2026" s="9" t="s">
        <v>849</v>
      </c>
      <c r="E2026" s="10" t="s">
        <v>850</v>
      </c>
      <c r="F2026" s="10" t="s">
        <v>851</v>
      </c>
      <c r="G2026" s="8">
        <v>5</v>
      </c>
      <c r="H2026" s="11">
        <v>100</v>
      </c>
      <c r="I2026" s="12">
        <v>42610</v>
      </c>
      <c r="J2026" s="13">
        <f t="shared" si="69"/>
        <v>0</v>
      </c>
      <c r="K2026" s="14"/>
      <c r="L2026" s="14"/>
      <c r="M2026" s="14"/>
      <c r="N2026" s="14"/>
      <c r="O2026" s="14"/>
      <c r="P2026" s="14"/>
      <c r="Q2026" s="14"/>
      <c r="R2026" s="14"/>
      <c r="S2026" s="14"/>
      <c r="T2026" s="14"/>
      <c r="U2026" s="14"/>
      <c r="V2026" s="14"/>
      <c r="W2026" s="15">
        <f t="shared" si="70"/>
        <v>0</v>
      </c>
      <c r="X2026" s="14"/>
      <c r="Y2026" s="14"/>
      <c r="Z2026" s="14"/>
      <c r="AA2026" s="14"/>
      <c r="AB2026" s="14"/>
      <c r="AC2026" s="14"/>
      <c r="AD2026" s="14"/>
      <c r="AE2026" s="14"/>
      <c r="AF2026" s="14"/>
      <c r="AG2026" s="14"/>
      <c r="AH2026" s="14"/>
      <c r="AI2026" s="14"/>
      <c r="AJ2026" s="15"/>
      <c r="AK2026" s="16"/>
    </row>
    <row r="2027" spans="2:37" x14ac:dyDescent="0.2">
      <c r="B2027" s="7" t="s">
        <v>37</v>
      </c>
      <c r="C2027" s="8">
        <v>12705</v>
      </c>
      <c r="D2027" s="9" t="s">
        <v>684</v>
      </c>
      <c r="E2027" s="10" t="s">
        <v>685</v>
      </c>
      <c r="F2027" s="10" t="s">
        <v>686</v>
      </c>
      <c r="G2027" s="8">
        <v>1</v>
      </c>
      <c r="H2027" s="11">
        <v>400</v>
      </c>
      <c r="I2027" s="12">
        <v>42610</v>
      </c>
      <c r="J2027" s="13">
        <f t="shared" si="69"/>
        <v>0</v>
      </c>
      <c r="K2027" s="14"/>
      <c r="L2027" s="14"/>
      <c r="M2027" s="14"/>
      <c r="N2027" s="14"/>
      <c r="O2027" s="14"/>
      <c r="P2027" s="14"/>
      <c r="Q2027" s="14"/>
      <c r="R2027" s="14">
        <v>400</v>
      </c>
      <c r="S2027" s="14"/>
      <c r="T2027" s="14"/>
      <c r="U2027" s="14"/>
      <c r="V2027" s="14"/>
      <c r="W2027" s="15">
        <f t="shared" si="70"/>
        <v>400</v>
      </c>
      <c r="X2027" s="14"/>
      <c r="Y2027" s="14"/>
      <c r="Z2027" s="14"/>
      <c r="AA2027" s="14"/>
      <c r="AB2027" s="14"/>
      <c r="AC2027" s="14"/>
      <c r="AD2027" s="14"/>
      <c r="AE2027" s="14"/>
      <c r="AF2027" s="14"/>
      <c r="AG2027" s="14"/>
      <c r="AH2027" s="14"/>
      <c r="AI2027" s="14"/>
      <c r="AJ2027" s="15"/>
      <c r="AK2027" s="16"/>
    </row>
    <row r="2028" spans="2:37" x14ac:dyDescent="0.2">
      <c r="B2028" s="7" t="s">
        <v>69</v>
      </c>
      <c r="C2028" s="8">
        <v>12706</v>
      </c>
      <c r="D2028" s="9" t="s">
        <v>800</v>
      </c>
      <c r="E2028" s="10" t="s">
        <v>801</v>
      </c>
      <c r="F2028" s="10" t="s">
        <v>802</v>
      </c>
      <c r="G2028" s="8">
        <v>1</v>
      </c>
      <c r="H2028" s="11">
        <v>800</v>
      </c>
      <c r="I2028" s="12">
        <v>42610</v>
      </c>
      <c r="J2028" s="13">
        <f t="shared" si="69"/>
        <v>0</v>
      </c>
      <c r="K2028" s="14"/>
      <c r="L2028" s="14"/>
      <c r="M2028" s="14"/>
      <c r="N2028" s="14"/>
      <c r="O2028" s="14">
        <v>400</v>
      </c>
      <c r="P2028" s="14">
        <v>400</v>
      </c>
      <c r="Q2028" s="14"/>
      <c r="R2028" s="14"/>
      <c r="S2028" s="14"/>
      <c r="T2028" s="14"/>
      <c r="U2028" s="14"/>
      <c r="V2028" s="14"/>
      <c r="W2028" s="15">
        <f t="shared" si="70"/>
        <v>800</v>
      </c>
      <c r="X2028" s="14"/>
      <c r="Y2028" s="14"/>
      <c r="Z2028" s="14"/>
      <c r="AA2028" s="14"/>
      <c r="AB2028" s="14"/>
      <c r="AC2028" s="14"/>
      <c r="AD2028" s="14"/>
      <c r="AE2028" s="14"/>
      <c r="AF2028" s="14"/>
      <c r="AG2028" s="14"/>
      <c r="AH2028" s="14"/>
      <c r="AI2028" s="14"/>
      <c r="AJ2028" s="15"/>
      <c r="AK2028" s="16"/>
    </row>
    <row r="2029" spans="2:37" x14ac:dyDescent="0.2">
      <c r="B2029" s="7" t="s">
        <v>69</v>
      </c>
      <c r="C2029" s="8">
        <v>12706</v>
      </c>
      <c r="D2029" s="9" t="s">
        <v>800</v>
      </c>
      <c r="E2029" s="10" t="s">
        <v>801</v>
      </c>
      <c r="F2029" s="10" t="s">
        <v>802</v>
      </c>
      <c r="G2029" s="8">
        <v>5</v>
      </c>
      <c r="H2029" s="11">
        <v>100</v>
      </c>
      <c r="I2029" s="12">
        <v>42610</v>
      </c>
      <c r="J2029" s="13">
        <f t="shared" si="69"/>
        <v>0</v>
      </c>
      <c r="K2029" s="14"/>
      <c r="L2029" s="14"/>
      <c r="M2029" s="14"/>
      <c r="N2029" s="14"/>
      <c r="O2029" s="14"/>
      <c r="P2029" s="14"/>
      <c r="Q2029" s="14"/>
      <c r="R2029" s="14"/>
      <c r="S2029" s="14"/>
      <c r="T2029" s="14"/>
      <c r="U2029" s="14"/>
      <c r="V2029" s="14"/>
      <c r="W2029" s="15">
        <f t="shared" si="70"/>
        <v>0</v>
      </c>
      <c r="X2029" s="14"/>
      <c r="Y2029" s="14"/>
      <c r="Z2029" s="14"/>
      <c r="AA2029" s="14"/>
      <c r="AB2029" s="14"/>
      <c r="AC2029" s="14"/>
      <c r="AD2029" s="14"/>
      <c r="AE2029" s="14"/>
      <c r="AF2029" s="14"/>
      <c r="AG2029" s="14"/>
      <c r="AH2029" s="14"/>
      <c r="AI2029" s="14"/>
      <c r="AJ2029" s="15"/>
      <c r="AK2029" s="16"/>
    </row>
    <row r="2030" spans="2:37" x14ac:dyDescent="0.2">
      <c r="B2030" s="7" t="s">
        <v>73</v>
      </c>
      <c r="C2030" s="8">
        <v>12707</v>
      </c>
      <c r="D2030" s="9" t="s">
        <v>1026</v>
      </c>
      <c r="E2030" s="10" t="s">
        <v>1027</v>
      </c>
      <c r="F2030" s="10" t="s">
        <v>1028</v>
      </c>
      <c r="G2030" s="8">
        <v>4</v>
      </c>
      <c r="H2030" s="11">
        <v>200</v>
      </c>
      <c r="I2030" s="12">
        <v>42610</v>
      </c>
      <c r="J2030" s="13">
        <f t="shared" si="69"/>
        <v>0</v>
      </c>
      <c r="K2030" s="14"/>
      <c r="L2030" s="14"/>
      <c r="M2030" s="14"/>
      <c r="N2030" s="14"/>
      <c r="O2030" s="14"/>
      <c r="P2030" s="14"/>
      <c r="Q2030" s="14"/>
      <c r="R2030" s="14"/>
      <c r="S2030" s="14"/>
      <c r="T2030" s="14"/>
      <c r="U2030" s="14"/>
      <c r="V2030" s="14"/>
      <c r="W2030" s="15">
        <f t="shared" si="70"/>
        <v>0</v>
      </c>
      <c r="X2030" s="14"/>
      <c r="Y2030" s="14"/>
      <c r="Z2030" s="14"/>
      <c r="AA2030" s="14"/>
      <c r="AB2030" s="14"/>
      <c r="AC2030" s="14"/>
      <c r="AD2030" s="14"/>
      <c r="AE2030" s="14"/>
      <c r="AF2030" s="14"/>
      <c r="AG2030" s="14"/>
      <c r="AH2030" s="14"/>
      <c r="AI2030" s="14"/>
      <c r="AJ2030" s="15"/>
      <c r="AK2030" s="7">
        <v>10451902</v>
      </c>
    </row>
    <row r="2031" spans="2:37" x14ac:dyDescent="0.2">
      <c r="B2031" s="7" t="s">
        <v>47</v>
      </c>
      <c r="C2031" s="8">
        <v>12708</v>
      </c>
      <c r="D2031" s="9" t="s">
        <v>1170</v>
      </c>
      <c r="E2031" s="10" t="s">
        <v>1171</v>
      </c>
      <c r="F2031" s="10" t="s">
        <v>389</v>
      </c>
      <c r="G2031" s="8">
        <v>1</v>
      </c>
      <c r="H2031" s="11">
        <v>1200</v>
      </c>
      <c r="I2031" s="12">
        <v>42610</v>
      </c>
      <c r="J2031" s="13">
        <f t="shared" si="69"/>
        <v>0</v>
      </c>
      <c r="K2031" s="14"/>
      <c r="L2031" s="14">
        <v>400</v>
      </c>
      <c r="M2031" s="14">
        <v>400</v>
      </c>
      <c r="N2031" s="14">
        <v>400</v>
      </c>
      <c r="O2031" s="14"/>
      <c r="P2031" s="14"/>
      <c r="Q2031" s="14"/>
      <c r="R2031" s="14"/>
      <c r="S2031" s="14"/>
      <c r="T2031" s="14"/>
      <c r="U2031" s="14"/>
      <c r="V2031" s="14"/>
      <c r="W2031" s="15">
        <f t="shared" si="70"/>
        <v>1200</v>
      </c>
      <c r="X2031" s="14"/>
      <c r="Y2031" s="14"/>
      <c r="Z2031" s="14"/>
      <c r="AA2031" s="14"/>
      <c r="AB2031" s="14"/>
      <c r="AC2031" s="14"/>
      <c r="AD2031" s="14"/>
      <c r="AE2031" s="14"/>
      <c r="AF2031" s="14"/>
      <c r="AG2031" s="14"/>
      <c r="AH2031" s="14"/>
      <c r="AI2031" s="14"/>
      <c r="AJ2031" s="15"/>
      <c r="AK2031" s="16"/>
    </row>
    <row r="2032" spans="2:37" x14ac:dyDescent="0.2">
      <c r="B2032" s="7" t="s">
        <v>69</v>
      </c>
      <c r="C2032" s="8">
        <v>12709</v>
      </c>
      <c r="D2032" s="9" t="s">
        <v>70</v>
      </c>
      <c r="E2032" s="10" t="s">
        <v>71</v>
      </c>
      <c r="F2032" s="10" t="s">
        <v>72</v>
      </c>
      <c r="G2032" s="8">
        <v>4</v>
      </c>
      <c r="H2032" s="11">
        <v>200</v>
      </c>
      <c r="I2032" s="12">
        <v>42610</v>
      </c>
      <c r="J2032" s="13">
        <f t="shared" si="69"/>
        <v>0</v>
      </c>
      <c r="K2032" s="14"/>
      <c r="L2032" s="14"/>
      <c r="M2032" s="14"/>
      <c r="N2032" s="14"/>
      <c r="O2032" s="14"/>
      <c r="P2032" s="14"/>
      <c r="Q2032" s="14"/>
      <c r="R2032" s="14"/>
      <c r="S2032" s="14"/>
      <c r="T2032" s="14"/>
      <c r="U2032" s="14"/>
      <c r="V2032" s="14"/>
      <c r="W2032" s="15">
        <f t="shared" si="70"/>
        <v>0</v>
      </c>
      <c r="X2032" s="14"/>
      <c r="Y2032" s="14"/>
      <c r="Z2032" s="14"/>
      <c r="AA2032" s="14"/>
      <c r="AB2032" s="14"/>
      <c r="AC2032" s="14"/>
      <c r="AD2032" s="14"/>
      <c r="AE2032" s="14"/>
      <c r="AF2032" s="14"/>
      <c r="AG2032" s="14"/>
      <c r="AH2032" s="14"/>
      <c r="AI2032" s="14"/>
      <c r="AJ2032" s="15"/>
      <c r="AK2032" s="7">
        <v>10451903</v>
      </c>
    </row>
    <row r="2033" spans="2:37" x14ac:dyDescent="0.2">
      <c r="B2033" s="7" t="s">
        <v>47</v>
      </c>
      <c r="C2033" s="8">
        <v>12710</v>
      </c>
      <c r="D2033" s="9" t="s">
        <v>1170</v>
      </c>
      <c r="E2033" s="10" t="s">
        <v>1171</v>
      </c>
      <c r="F2033" s="10" t="s">
        <v>389</v>
      </c>
      <c r="G2033" s="8">
        <v>5</v>
      </c>
      <c r="H2033" s="11">
        <v>100</v>
      </c>
      <c r="I2033" s="12">
        <v>42610</v>
      </c>
      <c r="J2033" s="13">
        <f t="shared" si="69"/>
        <v>0</v>
      </c>
      <c r="K2033" s="14"/>
      <c r="L2033" s="14"/>
      <c r="M2033" s="14"/>
      <c r="N2033" s="14"/>
      <c r="O2033" s="14"/>
      <c r="P2033" s="14"/>
      <c r="Q2033" s="14"/>
      <c r="R2033" s="14"/>
      <c r="S2033" s="14"/>
      <c r="T2033" s="14"/>
      <c r="U2033" s="14"/>
      <c r="V2033" s="14"/>
      <c r="W2033" s="15">
        <f t="shared" si="70"/>
        <v>0</v>
      </c>
      <c r="X2033" s="14"/>
      <c r="Y2033" s="14"/>
      <c r="Z2033" s="14"/>
      <c r="AA2033" s="14"/>
      <c r="AB2033" s="14"/>
      <c r="AC2033" s="14"/>
      <c r="AD2033" s="14"/>
      <c r="AE2033" s="14"/>
      <c r="AF2033" s="14"/>
      <c r="AG2033" s="14"/>
      <c r="AH2033" s="14"/>
      <c r="AI2033" s="14"/>
      <c r="AJ2033" s="15"/>
      <c r="AK2033" s="16"/>
    </row>
    <row r="2034" spans="2:37" x14ac:dyDescent="0.2">
      <c r="B2034" s="7" t="s">
        <v>73</v>
      </c>
      <c r="C2034" s="8">
        <v>12711</v>
      </c>
      <c r="D2034" s="9" t="s">
        <v>141</v>
      </c>
      <c r="E2034" s="10" t="s">
        <v>142</v>
      </c>
      <c r="F2034" s="10" t="s">
        <v>143</v>
      </c>
      <c r="G2034" s="8">
        <v>5</v>
      </c>
      <c r="H2034" s="11">
        <v>200</v>
      </c>
      <c r="I2034" s="12">
        <v>42610</v>
      </c>
      <c r="J2034" s="13">
        <f t="shared" si="69"/>
        <v>0</v>
      </c>
      <c r="K2034" s="14"/>
      <c r="L2034" s="14"/>
      <c r="M2034" s="14"/>
      <c r="N2034" s="14"/>
      <c r="O2034" s="14"/>
      <c r="P2034" s="14"/>
      <c r="Q2034" s="14"/>
      <c r="R2034" s="14"/>
      <c r="S2034" s="14"/>
      <c r="T2034" s="14"/>
      <c r="U2034" s="14"/>
      <c r="V2034" s="14"/>
      <c r="W2034" s="15">
        <f t="shared" si="70"/>
        <v>0</v>
      </c>
      <c r="X2034" s="14"/>
      <c r="Y2034" s="14"/>
      <c r="Z2034" s="14"/>
      <c r="AA2034" s="14"/>
      <c r="AB2034" s="14"/>
      <c r="AC2034" s="14"/>
      <c r="AD2034" s="14"/>
      <c r="AE2034" s="14"/>
      <c r="AF2034" s="14"/>
      <c r="AG2034" s="14"/>
      <c r="AH2034" s="14"/>
      <c r="AI2034" s="14"/>
      <c r="AJ2034" s="15"/>
      <c r="AK2034" s="16"/>
    </row>
    <row r="2035" spans="2:37" x14ac:dyDescent="0.2">
      <c r="B2035" s="7" t="s">
        <v>93</v>
      </c>
      <c r="C2035" s="8">
        <v>12712</v>
      </c>
      <c r="D2035" s="9"/>
      <c r="E2035" s="10" t="s">
        <v>93</v>
      </c>
      <c r="F2035" s="10" t="s">
        <v>93</v>
      </c>
      <c r="G2035" s="8">
        <v>8</v>
      </c>
      <c r="H2035" s="11"/>
      <c r="I2035" s="12"/>
      <c r="J2035" s="13">
        <f t="shared" si="69"/>
        <v>0</v>
      </c>
      <c r="K2035" s="14"/>
      <c r="L2035" s="14"/>
      <c r="M2035" s="14"/>
      <c r="N2035" s="14"/>
      <c r="O2035" s="14"/>
      <c r="P2035" s="14"/>
      <c r="Q2035" s="14"/>
      <c r="R2035" s="14"/>
      <c r="S2035" s="14"/>
      <c r="T2035" s="14"/>
      <c r="U2035" s="14"/>
      <c r="V2035" s="14"/>
      <c r="W2035" s="15">
        <f t="shared" si="70"/>
        <v>0</v>
      </c>
      <c r="X2035" s="14"/>
      <c r="Y2035" s="14"/>
      <c r="Z2035" s="14"/>
      <c r="AA2035" s="14"/>
      <c r="AB2035" s="14"/>
      <c r="AC2035" s="14"/>
      <c r="AD2035" s="14"/>
      <c r="AE2035" s="14"/>
      <c r="AF2035" s="14"/>
      <c r="AG2035" s="14"/>
      <c r="AH2035" s="14"/>
      <c r="AI2035" s="14"/>
      <c r="AJ2035" s="15"/>
      <c r="AK2035" s="16"/>
    </row>
    <row r="2036" spans="2:37" x14ac:dyDescent="0.2">
      <c r="B2036" s="7" t="s">
        <v>37</v>
      </c>
      <c r="C2036" s="8">
        <v>12713</v>
      </c>
      <c r="D2036" s="9" t="s">
        <v>840</v>
      </c>
      <c r="E2036" s="10" t="s">
        <v>841</v>
      </c>
      <c r="F2036" s="10" t="s">
        <v>842</v>
      </c>
      <c r="G2036" s="8">
        <v>1</v>
      </c>
      <c r="H2036" s="11">
        <v>400</v>
      </c>
      <c r="I2036" s="12">
        <v>42610</v>
      </c>
      <c r="J2036" s="13">
        <f t="shared" si="69"/>
        <v>0</v>
      </c>
      <c r="K2036" s="14"/>
      <c r="L2036" s="14"/>
      <c r="M2036" s="14"/>
      <c r="N2036" s="14"/>
      <c r="O2036" s="14"/>
      <c r="P2036" s="14"/>
      <c r="Q2036" s="14">
        <v>400</v>
      </c>
      <c r="R2036" s="14"/>
      <c r="S2036" s="14"/>
      <c r="T2036" s="14"/>
      <c r="U2036" s="14"/>
      <c r="V2036" s="14"/>
      <c r="W2036" s="15">
        <f t="shared" si="70"/>
        <v>400</v>
      </c>
      <c r="X2036" s="14"/>
      <c r="Y2036" s="14"/>
      <c r="Z2036" s="14"/>
      <c r="AA2036" s="14"/>
      <c r="AB2036" s="14"/>
      <c r="AC2036" s="14"/>
      <c r="AD2036" s="14"/>
      <c r="AE2036" s="14"/>
      <c r="AF2036" s="14"/>
      <c r="AG2036" s="14"/>
      <c r="AH2036" s="14"/>
      <c r="AI2036" s="14"/>
      <c r="AJ2036" s="15"/>
      <c r="AK2036" s="16"/>
    </row>
    <row r="2037" spans="2:37" x14ac:dyDescent="0.2">
      <c r="B2037" s="7" t="s">
        <v>37</v>
      </c>
      <c r="C2037" s="8">
        <v>12714</v>
      </c>
      <c r="D2037" s="9" t="s">
        <v>58</v>
      </c>
      <c r="E2037" s="10" t="s">
        <v>59</v>
      </c>
      <c r="F2037" s="10" t="s">
        <v>60</v>
      </c>
      <c r="G2037" s="8">
        <v>1</v>
      </c>
      <c r="H2037" s="11">
        <v>300</v>
      </c>
      <c r="I2037" s="12">
        <v>42610</v>
      </c>
      <c r="J2037" s="13">
        <f t="shared" si="69"/>
        <v>0</v>
      </c>
      <c r="K2037" s="14"/>
      <c r="L2037" s="14"/>
      <c r="M2037" s="14"/>
      <c r="N2037" s="14"/>
      <c r="O2037" s="14"/>
      <c r="P2037" s="14"/>
      <c r="Q2037" s="14"/>
      <c r="R2037" s="14">
        <v>300</v>
      </c>
      <c r="S2037" s="14"/>
      <c r="T2037" s="14"/>
      <c r="U2037" s="14"/>
      <c r="V2037" s="14"/>
      <c r="W2037" s="15">
        <f t="shared" si="70"/>
        <v>300</v>
      </c>
      <c r="X2037" s="14"/>
      <c r="Y2037" s="14"/>
      <c r="Z2037" s="14"/>
      <c r="AA2037" s="14"/>
      <c r="AB2037" s="14"/>
      <c r="AC2037" s="14"/>
      <c r="AD2037" s="14"/>
      <c r="AE2037" s="14"/>
      <c r="AF2037" s="14"/>
      <c r="AG2037" s="14"/>
      <c r="AH2037" s="14"/>
      <c r="AI2037" s="14"/>
      <c r="AJ2037" s="15"/>
      <c r="AK2037" s="16"/>
    </row>
    <row r="2038" spans="2:37" x14ac:dyDescent="0.2">
      <c r="B2038" s="7" t="s">
        <v>37</v>
      </c>
      <c r="C2038" s="8">
        <v>12714</v>
      </c>
      <c r="D2038" s="9" t="s">
        <v>58</v>
      </c>
      <c r="E2038" s="10" t="s">
        <v>59</v>
      </c>
      <c r="F2038" s="10" t="s">
        <v>60</v>
      </c>
      <c r="G2038" s="8">
        <v>5</v>
      </c>
      <c r="H2038" s="11">
        <v>50</v>
      </c>
      <c r="I2038" s="12">
        <v>42610</v>
      </c>
      <c r="J2038" s="13">
        <f t="shared" si="69"/>
        <v>0</v>
      </c>
      <c r="K2038" s="14"/>
      <c r="L2038" s="14"/>
      <c r="M2038" s="14"/>
      <c r="N2038" s="14"/>
      <c r="O2038" s="14"/>
      <c r="P2038" s="14"/>
      <c r="Q2038" s="14"/>
      <c r="R2038" s="14"/>
      <c r="S2038" s="14"/>
      <c r="T2038" s="14"/>
      <c r="U2038" s="14"/>
      <c r="V2038" s="14"/>
      <c r="W2038" s="15">
        <f t="shared" si="70"/>
        <v>0</v>
      </c>
      <c r="X2038" s="14"/>
      <c r="Y2038" s="14"/>
      <c r="Z2038" s="14"/>
      <c r="AA2038" s="14"/>
      <c r="AB2038" s="14"/>
      <c r="AC2038" s="14"/>
      <c r="AD2038" s="14"/>
      <c r="AE2038" s="14"/>
      <c r="AF2038" s="14"/>
      <c r="AG2038" s="14"/>
      <c r="AH2038" s="14"/>
      <c r="AI2038" s="14"/>
      <c r="AJ2038" s="15"/>
      <c r="AK2038" s="16"/>
    </row>
    <row r="2039" spans="2:37" x14ac:dyDescent="0.2">
      <c r="B2039" s="7" t="s">
        <v>69</v>
      </c>
      <c r="C2039" s="8">
        <v>12715</v>
      </c>
      <c r="D2039" s="9" t="s">
        <v>944</v>
      </c>
      <c r="E2039" s="10" t="s">
        <v>945</v>
      </c>
      <c r="F2039" s="10" t="s">
        <v>946</v>
      </c>
      <c r="G2039" s="8">
        <v>1</v>
      </c>
      <c r="H2039" s="11">
        <v>100</v>
      </c>
      <c r="I2039" s="12">
        <v>42610</v>
      </c>
      <c r="J2039" s="13">
        <f t="shared" si="69"/>
        <v>0</v>
      </c>
      <c r="K2039" s="14"/>
      <c r="L2039" s="14"/>
      <c r="M2039" s="14"/>
      <c r="N2039" s="14"/>
      <c r="O2039" s="14"/>
      <c r="P2039" s="14"/>
      <c r="Q2039" s="14"/>
      <c r="R2039" s="14">
        <v>100</v>
      </c>
      <c r="S2039" s="14"/>
      <c r="T2039" s="14"/>
      <c r="U2039" s="14"/>
      <c r="V2039" s="14"/>
      <c r="W2039" s="15">
        <f t="shared" si="70"/>
        <v>100</v>
      </c>
      <c r="X2039" s="14"/>
      <c r="Y2039" s="14"/>
      <c r="Z2039" s="14"/>
      <c r="AA2039" s="14"/>
      <c r="AB2039" s="14"/>
      <c r="AC2039" s="14"/>
      <c r="AD2039" s="14"/>
      <c r="AE2039" s="14"/>
      <c r="AF2039" s="14"/>
      <c r="AG2039" s="14"/>
      <c r="AH2039" s="14"/>
      <c r="AI2039" s="14"/>
      <c r="AJ2039" s="15"/>
      <c r="AK2039" s="16"/>
    </row>
    <row r="2040" spans="2:37" x14ac:dyDescent="0.2">
      <c r="B2040" s="7" t="s">
        <v>69</v>
      </c>
      <c r="C2040" s="8">
        <v>12715</v>
      </c>
      <c r="D2040" s="9" t="s">
        <v>944</v>
      </c>
      <c r="E2040" s="10" t="s">
        <v>945</v>
      </c>
      <c r="F2040" s="10" t="s">
        <v>946</v>
      </c>
      <c r="G2040" s="8">
        <v>4</v>
      </c>
      <c r="H2040" s="11">
        <v>200</v>
      </c>
      <c r="I2040" s="12">
        <v>42610</v>
      </c>
      <c r="J2040" s="13">
        <f t="shared" si="69"/>
        <v>0</v>
      </c>
      <c r="K2040" s="14"/>
      <c r="L2040" s="14"/>
      <c r="M2040" s="14"/>
      <c r="N2040" s="14"/>
      <c r="O2040" s="14"/>
      <c r="P2040" s="14"/>
      <c r="Q2040" s="14"/>
      <c r="R2040" s="14"/>
      <c r="S2040" s="14"/>
      <c r="T2040" s="14"/>
      <c r="U2040" s="14"/>
      <c r="V2040" s="14"/>
      <c r="W2040" s="15">
        <f t="shared" si="70"/>
        <v>0</v>
      </c>
      <c r="X2040" s="14"/>
      <c r="Y2040" s="14"/>
      <c r="Z2040" s="14"/>
      <c r="AA2040" s="14"/>
      <c r="AB2040" s="14"/>
      <c r="AC2040" s="14"/>
      <c r="AD2040" s="14"/>
      <c r="AE2040" s="14"/>
      <c r="AF2040" s="14"/>
      <c r="AG2040" s="14"/>
      <c r="AH2040" s="14"/>
      <c r="AI2040" s="14"/>
      <c r="AJ2040" s="15"/>
      <c r="AK2040" s="7">
        <v>10451900</v>
      </c>
    </row>
    <row r="2041" spans="2:37" x14ac:dyDescent="0.2">
      <c r="B2041" s="7" t="s">
        <v>69</v>
      </c>
      <c r="C2041" s="8">
        <v>12715</v>
      </c>
      <c r="D2041" s="9" t="s">
        <v>944</v>
      </c>
      <c r="E2041" s="10" t="s">
        <v>945</v>
      </c>
      <c r="F2041" s="10" t="s">
        <v>946</v>
      </c>
      <c r="G2041" s="8">
        <v>5</v>
      </c>
      <c r="H2041" s="11">
        <v>100</v>
      </c>
      <c r="I2041" s="12">
        <v>42610</v>
      </c>
      <c r="J2041" s="13">
        <f t="shared" si="69"/>
        <v>0</v>
      </c>
      <c r="K2041" s="14"/>
      <c r="L2041" s="14"/>
      <c r="M2041" s="14"/>
      <c r="N2041" s="14"/>
      <c r="O2041" s="14"/>
      <c r="P2041" s="14"/>
      <c r="Q2041" s="14"/>
      <c r="R2041" s="14"/>
      <c r="S2041" s="14"/>
      <c r="T2041" s="14"/>
      <c r="U2041" s="14"/>
      <c r="V2041" s="14"/>
      <c r="W2041" s="15">
        <f t="shared" si="70"/>
        <v>0</v>
      </c>
      <c r="X2041" s="14"/>
      <c r="Y2041" s="14"/>
      <c r="Z2041" s="14"/>
      <c r="AA2041" s="14"/>
      <c r="AB2041" s="14"/>
      <c r="AC2041" s="14"/>
      <c r="AD2041" s="14"/>
      <c r="AE2041" s="14"/>
      <c r="AF2041" s="14"/>
      <c r="AG2041" s="14"/>
      <c r="AH2041" s="14"/>
      <c r="AI2041" s="14"/>
      <c r="AJ2041" s="15"/>
      <c r="AK2041" s="16"/>
    </row>
    <row r="2042" spans="2:37" x14ac:dyDescent="0.2">
      <c r="B2042" s="7" t="s">
        <v>69</v>
      </c>
      <c r="C2042" s="8">
        <v>12716</v>
      </c>
      <c r="D2042" s="9" t="s">
        <v>1174</v>
      </c>
      <c r="E2042" s="10" t="s">
        <v>1175</v>
      </c>
      <c r="F2042" s="10" t="s">
        <v>1176</v>
      </c>
      <c r="G2042" s="8">
        <v>1</v>
      </c>
      <c r="H2042" s="11">
        <v>300</v>
      </c>
      <c r="I2042" s="12">
        <v>42610</v>
      </c>
      <c r="J2042" s="13">
        <f t="shared" si="69"/>
        <v>0</v>
      </c>
      <c r="K2042" s="14"/>
      <c r="L2042" s="14"/>
      <c r="M2042" s="14"/>
      <c r="N2042" s="14"/>
      <c r="O2042" s="14"/>
      <c r="P2042" s="14"/>
      <c r="Q2042" s="14"/>
      <c r="R2042" s="14"/>
      <c r="S2042" s="14">
        <v>300</v>
      </c>
      <c r="T2042" s="14"/>
      <c r="U2042" s="14"/>
      <c r="V2042" s="14"/>
      <c r="W2042" s="15">
        <f t="shared" si="70"/>
        <v>300</v>
      </c>
      <c r="X2042" s="14"/>
      <c r="Y2042" s="14"/>
      <c r="Z2042" s="14"/>
      <c r="AA2042" s="14"/>
      <c r="AB2042" s="14"/>
      <c r="AC2042" s="14"/>
      <c r="AD2042" s="14"/>
      <c r="AE2042" s="14"/>
      <c r="AF2042" s="14"/>
      <c r="AG2042" s="14"/>
      <c r="AH2042" s="14"/>
      <c r="AI2042" s="14"/>
      <c r="AJ2042" s="15"/>
      <c r="AK2042" s="16"/>
    </row>
    <row r="2043" spans="2:37" x14ac:dyDescent="0.2">
      <c r="B2043" s="7" t="s">
        <v>69</v>
      </c>
      <c r="C2043" s="8">
        <v>12716</v>
      </c>
      <c r="D2043" s="9" t="s">
        <v>1174</v>
      </c>
      <c r="E2043" s="10" t="s">
        <v>1175</v>
      </c>
      <c r="F2043" s="10" t="s">
        <v>1176</v>
      </c>
      <c r="G2043" s="8">
        <v>4</v>
      </c>
      <c r="H2043" s="11">
        <v>200</v>
      </c>
      <c r="I2043" s="12">
        <v>42610</v>
      </c>
      <c r="J2043" s="13">
        <f t="shared" si="69"/>
        <v>0</v>
      </c>
      <c r="K2043" s="14"/>
      <c r="L2043" s="14"/>
      <c r="M2043" s="14"/>
      <c r="N2043" s="14"/>
      <c r="O2043" s="14"/>
      <c r="P2043" s="14"/>
      <c r="Q2043" s="14"/>
      <c r="R2043" s="14"/>
      <c r="S2043" s="14"/>
      <c r="T2043" s="14"/>
      <c r="U2043" s="14"/>
      <c r="V2043" s="14"/>
      <c r="W2043" s="15">
        <f t="shared" si="70"/>
        <v>0</v>
      </c>
      <c r="X2043" s="14"/>
      <c r="Y2043" s="14"/>
      <c r="Z2043" s="14"/>
      <c r="AA2043" s="14"/>
      <c r="AB2043" s="14"/>
      <c r="AC2043" s="14"/>
      <c r="AD2043" s="14"/>
      <c r="AE2043" s="14"/>
      <c r="AF2043" s="14"/>
      <c r="AG2043" s="14"/>
      <c r="AH2043" s="14"/>
      <c r="AI2043" s="14"/>
      <c r="AJ2043" s="15"/>
      <c r="AK2043" s="7">
        <v>10451901</v>
      </c>
    </row>
    <row r="2044" spans="2:37" x14ac:dyDescent="0.2">
      <c r="B2044" s="7" t="s">
        <v>69</v>
      </c>
      <c r="C2044" s="8">
        <v>12716</v>
      </c>
      <c r="D2044" s="9" t="s">
        <v>1174</v>
      </c>
      <c r="E2044" s="10" t="s">
        <v>1175</v>
      </c>
      <c r="F2044" s="10" t="s">
        <v>1176</v>
      </c>
      <c r="G2044" s="8">
        <v>5</v>
      </c>
      <c r="H2044" s="11">
        <v>100</v>
      </c>
      <c r="I2044" s="12">
        <v>42610</v>
      </c>
      <c r="J2044" s="13">
        <f t="shared" si="69"/>
        <v>0</v>
      </c>
      <c r="K2044" s="14"/>
      <c r="L2044" s="14"/>
      <c r="M2044" s="14"/>
      <c r="N2044" s="14"/>
      <c r="O2044" s="14"/>
      <c r="P2044" s="14"/>
      <c r="Q2044" s="14"/>
      <c r="R2044" s="14"/>
      <c r="S2044" s="14"/>
      <c r="T2044" s="14"/>
      <c r="U2044" s="14"/>
      <c r="V2044" s="14"/>
      <c r="W2044" s="15">
        <f t="shared" si="70"/>
        <v>0</v>
      </c>
      <c r="X2044" s="14"/>
      <c r="Y2044" s="14"/>
      <c r="Z2044" s="14"/>
      <c r="AA2044" s="14"/>
      <c r="AB2044" s="14"/>
      <c r="AC2044" s="14"/>
      <c r="AD2044" s="14"/>
      <c r="AE2044" s="14"/>
      <c r="AF2044" s="14"/>
      <c r="AG2044" s="14"/>
      <c r="AH2044" s="14"/>
      <c r="AI2044" s="14"/>
      <c r="AJ2044" s="15"/>
      <c r="AK2044" s="16"/>
    </row>
    <row r="2045" spans="2:37" x14ac:dyDescent="0.2">
      <c r="B2045" s="7" t="s">
        <v>73</v>
      </c>
      <c r="C2045" s="8">
        <v>12717</v>
      </c>
      <c r="D2045" s="9" t="s">
        <v>1017</v>
      </c>
      <c r="E2045" s="10" t="s">
        <v>1018</v>
      </c>
      <c r="F2045" s="10" t="s">
        <v>1019</v>
      </c>
      <c r="G2045" s="8">
        <v>5</v>
      </c>
      <c r="H2045" s="11">
        <v>50</v>
      </c>
      <c r="I2045" s="12">
        <v>42610</v>
      </c>
      <c r="J2045" s="13">
        <f t="shared" si="69"/>
        <v>0</v>
      </c>
      <c r="K2045" s="14"/>
      <c r="L2045" s="14"/>
      <c r="M2045" s="14"/>
      <c r="N2045" s="14"/>
      <c r="O2045" s="14"/>
      <c r="P2045" s="14"/>
      <c r="Q2045" s="14"/>
      <c r="R2045" s="14"/>
      <c r="S2045" s="14"/>
      <c r="T2045" s="14"/>
      <c r="U2045" s="14"/>
      <c r="V2045" s="14"/>
      <c r="W2045" s="15">
        <f t="shared" si="70"/>
        <v>0</v>
      </c>
      <c r="X2045" s="14"/>
      <c r="Y2045" s="14"/>
      <c r="Z2045" s="14"/>
      <c r="AA2045" s="14"/>
      <c r="AB2045" s="14"/>
      <c r="AC2045" s="14"/>
      <c r="AD2045" s="14"/>
      <c r="AE2045" s="14"/>
      <c r="AF2045" s="14"/>
      <c r="AG2045" s="14"/>
      <c r="AH2045" s="14"/>
      <c r="AI2045" s="14"/>
      <c r="AJ2045" s="15"/>
      <c r="AK2045" s="16"/>
    </row>
    <row r="2046" spans="2:37" x14ac:dyDescent="0.2">
      <c r="B2046" s="7" t="s">
        <v>37</v>
      </c>
      <c r="C2046" s="8">
        <v>12718</v>
      </c>
      <c r="D2046" s="9" t="s">
        <v>814</v>
      </c>
      <c r="E2046" s="10" t="s">
        <v>815</v>
      </c>
      <c r="F2046" s="10" t="s">
        <v>1177</v>
      </c>
      <c r="G2046" s="8">
        <v>5</v>
      </c>
      <c r="H2046" s="11">
        <v>50</v>
      </c>
      <c r="I2046" s="12">
        <v>42610</v>
      </c>
      <c r="J2046" s="13">
        <f t="shared" si="69"/>
        <v>0</v>
      </c>
      <c r="K2046" s="14"/>
      <c r="L2046" s="14"/>
      <c r="M2046" s="14"/>
      <c r="N2046" s="14"/>
      <c r="O2046" s="14"/>
      <c r="P2046" s="14"/>
      <c r="Q2046" s="14"/>
      <c r="R2046" s="14"/>
      <c r="S2046" s="14"/>
      <c r="T2046" s="14"/>
      <c r="U2046" s="14"/>
      <c r="V2046" s="14"/>
      <c r="W2046" s="15">
        <f t="shared" si="70"/>
        <v>0</v>
      </c>
      <c r="X2046" s="14"/>
      <c r="Y2046" s="14"/>
      <c r="Z2046" s="14"/>
      <c r="AA2046" s="14"/>
      <c r="AB2046" s="14"/>
      <c r="AC2046" s="14"/>
      <c r="AD2046" s="14"/>
      <c r="AE2046" s="14"/>
      <c r="AF2046" s="14"/>
      <c r="AG2046" s="14"/>
      <c r="AH2046" s="14"/>
      <c r="AI2046" s="14"/>
      <c r="AJ2046" s="15"/>
      <c r="AK2046" s="16"/>
    </row>
    <row r="2047" spans="2:37" x14ac:dyDescent="0.2">
      <c r="B2047" s="7" t="s">
        <v>47</v>
      </c>
      <c r="C2047" s="8">
        <v>12719</v>
      </c>
      <c r="D2047" s="9" t="s">
        <v>434</v>
      </c>
      <c r="E2047" s="10" t="s">
        <v>435</v>
      </c>
      <c r="F2047" s="10" t="s">
        <v>436</v>
      </c>
      <c r="G2047" s="8">
        <v>1</v>
      </c>
      <c r="H2047" s="11">
        <v>400</v>
      </c>
      <c r="I2047" s="12">
        <v>42610</v>
      </c>
      <c r="J2047" s="13">
        <f t="shared" si="69"/>
        <v>0</v>
      </c>
      <c r="K2047" s="14"/>
      <c r="L2047" s="14"/>
      <c r="M2047" s="14"/>
      <c r="N2047" s="14"/>
      <c r="O2047" s="14"/>
      <c r="P2047" s="14"/>
      <c r="Q2047" s="14"/>
      <c r="R2047" s="14">
        <v>400</v>
      </c>
      <c r="S2047" s="14"/>
      <c r="T2047" s="14"/>
      <c r="U2047" s="14"/>
      <c r="V2047" s="14"/>
      <c r="W2047" s="15">
        <f t="shared" si="70"/>
        <v>400</v>
      </c>
      <c r="X2047" s="14"/>
      <c r="Y2047" s="14"/>
      <c r="Z2047" s="14"/>
      <c r="AA2047" s="14"/>
      <c r="AB2047" s="14"/>
      <c r="AC2047" s="14"/>
      <c r="AD2047" s="14"/>
      <c r="AE2047" s="14"/>
      <c r="AF2047" s="14"/>
      <c r="AG2047" s="14"/>
      <c r="AH2047" s="14"/>
      <c r="AI2047" s="14"/>
      <c r="AJ2047" s="15"/>
      <c r="AK2047" s="16"/>
    </row>
    <row r="2048" spans="2:37" x14ac:dyDescent="0.2">
      <c r="B2048" s="7" t="s">
        <v>47</v>
      </c>
      <c r="C2048" s="8">
        <v>12720</v>
      </c>
      <c r="D2048" s="9" t="s">
        <v>583</v>
      </c>
      <c r="E2048" s="10" t="s">
        <v>584</v>
      </c>
      <c r="F2048" s="10" t="s">
        <v>585</v>
      </c>
      <c r="G2048" s="8">
        <v>5</v>
      </c>
      <c r="H2048" s="11">
        <v>50</v>
      </c>
      <c r="I2048" s="12">
        <v>42610</v>
      </c>
      <c r="J2048" s="13">
        <f t="shared" si="69"/>
        <v>0</v>
      </c>
      <c r="K2048" s="14"/>
      <c r="L2048" s="14"/>
      <c r="M2048" s="14"/>
      <c r="N2048" s="14"/>
      <c r="O2048" s="14"/>
      <c r="P2048" s="14"/>
      <c r="Q2048" s="14"/>
      <c r="R2048" s="14"/>
      <c r="S2048" s="14"/>
      <c r="T2048" s="14"/>
      <c r="U2048" s="14"/>
      <c r="V2048" s="14"/>
      <c r="W2048" s="15">
        <f t="shared" si="70"/>
        <v>0</v>
      </c>
      <c r="X2048" s="14"/>
      <c r="Y2048" s="14"/>
      <c r="Z2048" s="14"/>
      <c r="AA2048" s="14"/>
      <c r="AB2048" s="14"/>
      <c r="AC2048" s="14"/>
      <c r="AD2048" s="14"/>
      <c r="AE2048" s="14"/>
      <c r="AF2048" s="14"/>
      <c r="AG2048" s="14"/>
      <c r="AH2048" s="14"/>
      <c r="AI2048" s="14"/>
      <c r="AJ2048" s="15"/>
      <c r="AK2048" s="16"/>
    </row>
    <row r="2049" spans="2:37" x14ac:dyDescent="0.2">
      <c r="B2049" s="7" t="s">
        <v>69</v>
      </c>
      <c r="C2049" s="8">
        <v>12721</v>
      </c>
      <c r="D2049" s="9" t="s">
        <v>1089</v>
      </c>
      <c r="E2049" s="10" t="s">
        <v>1090</v>
      </c>
      <c r="F2049" s="10" t="s">
        <v>1091</v>
      </c>
      <c r="G2049" s="8">
        <v>1</v>
      </c>
      <c r="H2049" s="11">
        <v>500</v>
      </c>
      <c r="I2049" s="12">
        <v>42610</v>
      </c>
      <c r="J2049" s="13">
        <f t="shared" si="69"/>
        <v>0</v>
      </c>
      <c r="K2049" s="14"/>
      <c r="L2049" s="14"/>
      <c r="M2049" s="14"/>
      <c r="N2049" s="14"/>
      <c r="O2049" s="14"/>
      <c r="P2049" s="14"/>
      <c r="Q2049" s="14"/>
      <c r="R2049" s="14">
        <v>250</v>
      </c>
      <c r="S2049" s="14">
        <v>250</v>
      </c>
      <c r="T2049" s="14"/>
      <c r="U2049" s="14"/>
      <c r="V2049" s="14"/>
      <c r="W2049" s="15">
        <f t="shared" si="70"/>
        <v>500</v>
      </c>
      <c r="X2049" s="14"/>
      <c r="Y2049" s="14"/>
      <c r="Z2049" s="14"/>
      <c r="AA2049" s="14"/>
      <c r="AB2049" s="14"/>
      <c r="AC2049" s="14"/>
      <c r="AD2049" s="14"/>
      <c r="AE2049" s="14"/>
      <c r="AF2049" s="14"/>
      <c r="AG2049" s="14"/>
      <c r="AH2049" s="14"/>
      <c r="AI2049" s="14"/>
      <c r="AJ2049" s="15"/>
      <c r="AK2049" s="16"/>
    </row>
    <row r="2050" spans="2:37" x14ac:dyDescent="0.2">
      <c r="B2050" s="7" t="s">
        <v>37</v>
      </c>
      <c r="C2050" s="8">
        <v>12722</v>
      </c>
      <c r="D2050" s="9" t="s">
        <v>774</v>
      </c>
      <c r="E2050" s="10" t="s">
        <v>775</v>
      </c>
      <c r="F2050" s="10" t="s">
        <v>776</v>
      </c>
      <c r="G2050" s="8">
        <v>5</v>
      </c>
      <c r="H2050" s="11">
        <v>50</v>
      </c>
      <c r="I2050" s="12">
        <v>42610</v>
      </c>
      <c r="J2050" s="13">
        <f t="shared" si="69"/>
        <v>0</v>
      </c>
      <c r="K2050" s="14"/>
      <c r="L2050" s="14"/>
      <c r="M2050" s="14"/>
      <c r="N2050" s="14"/>
      <c r="O2050" s="14"/>
      <c r="P2050" s="14"/>
      <c r="Q2050" s="14"/>
      <c r="R2050" s="14"/>
      <c r="S2050" s="14"/>
      <c r="T2050" s="14"/>
      <c r="U2050" s="14"/>
      <c r="V2050" s="14"/>
      <c r="W2050" s="15">
        <f t="shared" si="70"/>
        <v>0</v>
      </c>
      <c r="X2050" s="14"/>
      <c r="Y2050" s="14"/>
      <c r="Z2050" s="14"/>
      <c r="AA2050" s="14"/>
      <c r="AB2050" s="14"/>
      <c r="AC2050" s="14"/>
      <c r="AD2050" s="14"/>
      <c r="AE2050" s="14"/>
      <c r="AF2050" s="14"/>
      <c r="AG2050" s="14"/>
      <c r="AH2050" s="14"/>
      <c r="AI2050" s="14"/>
      <c r="AJ2050" s="15"/>
      <c r="AK2050" s="16"/>
    </row>
    <row r="2051" spans="2:37" x14ac:dyDescent="0.2">
      <c r="B2051" s="7" t="s">
        <v>77</v>
      </c>
      <c r="C2051" s="8">
        <v>12723</v>
      </c>
      <c r="D2051" s="9" t="s">
        <v>725</v>
      </c>
      <c r="E2051" s="10" t="s">
        <v>726</v>
      </c>
      <c r="F2051" s="10" t="s">
        <v>727</v>
      </c>
      <c r="G2051" s="8">
        <v>5</v>
      </c>
      <c r="H2051" s="11">
        <v>50</v>
      </c>
      <c r="I2051" s="12">
        <v>42610</v>
      </c>
      <c r="J2051" s="13">
        <f t="shared" si="69"/>
        <v>0</v>
      </c>
      <c r="K2051" s="14"/>
      <c r="L2051" s="14"/>
      <c r="M2051" s="14"/>
      <c r="N2051" s="14"/>
      <c r="O2051" s="14"/>
      <c r="P2051" s="14"/>
      <c r="Q2051" s="14"/>
      <c r="R2051" s="14"/>
      <c r="S2051" s="14"/>
      <c r="T2051" s="14"/>
      <c r="U2051" s="14"/>
      <c r="V2051" s="14"/>
      <c r="W2051" s="15">
        <f t="shared" si="70"/>
        <v>0</v>
      </c>
      <c r="X2051" s="14"/>
      <c r="Y2051" s="14"/>
      <c r="Z2051" s="14"/>
      <c r="AA2051" s="14"/>
      <c r="AB2051" s="14"/>
      <c r="AC2051" s="14"/>
      <c r="AD2051" s="14"/>
      <c r="AE2051" s="14"/>
      <c r="AF2051" s="14"/>
      <c r="AG2051" s="14"/>
      <c r="AH2051" s="14"/>
      <c r="AI2051" s="14"/>
      <c r="AJ2051" s="15"/>
      <c r="AK2051" s="16"/>
    </row>
    <row r="2052" spans="2:37" x14ac:dyDescent="0.2">
      <c r="B2052" s="7" t="s">
        <v>37</v>
      </c>
      <c r="C2052" s="8">
        <v>12724</v>
      </c>
      <c r="D2052" s="9" t="s">
        <v>295</v>
      </c>
      <c r="E2052" s="10" t="s">
        <v>296</v>
      </c>
      <c r="F2052" s="10" t="s">
        <v>297</v>
      </c>
      <c r="G2052" s="8">
        <v>1</v>
      </c>
      <c r="H2052" s="11">
        <v>300</v>
      </c>
      <c r="I2052" s="12">
        <v>42610</v>
      </c>
      <c r="J2052" s="13">
        <f t="shared" si="69"/>
        <v>0</v>
      </c>
      <c r="K2052" s="14"/>
      <c r="L2052" s="14"/>
      <c r="M2052" s="14"/>
      <c r="N2052" s="14"/>
      <c r="O2052" s="14"/>
      <c r="P2052" s="14"/>
      <c r="Q2052" s="14"/>
      <c r="R2052" s="14">
        <v>300</v>
      </c>
      <c r="S2052" s="14"/>
      <c r="T2052" s="14"/>
      <c r="U2052" s="14"/>
      <c r="V2052" s="14"/>
      <c r="W2052" s="15">
        <f t="shared" si="70"/>
        <v>300</v>
      </c>
      <c r="X2052" s="14"/>
      <c r="Y2052" s="14"/>
      <c r="Z2052" s="14"/>
      <c r="AA2052" s="14"/>
      <c r="AB2052" s="14"/>
      <c r="AC2052" s="14"/>
      <c r="AD2052" s="14"/>
      <c r="AE2052" s="14"/>
      <c r="AF2052" s="14"/>
      <c r="AG2052" s="14"/>
      <c r="AH2052" s="14"/>
      <c r="AI2052" s="14"/>
      <c r="AJ2052" s="15"/>
      <c r="AK2052" s="16"/>
    </row>
    <row r="2053" spans="2:37" x14ac:dyDescent="0.2">
      <c r="B2053" s="7" t="s">
        <v>47</v>
      </c>
      <c r="C2053" s="8">
        <v>12725</v>
      </c>
      <c r="D2053" s="9" t="s">
        <v>235</v>
      </c>
      <c r="E2053" s="10" t="s">
        <v>236</v>
      </c>
      <c r="F2053" s="10" t="s">
        <v>237</v>
      </c>
      <c r="G2053" s="8">
        <v>1</v>
      </c>
      <c r="H2053" s="11">
        <v>400</v>
      </c>
      <c r="I2053" s="12">
        <v>42610</v>
      </c>
      <c r="J2053" s="13">
        <f t="shared" si="69"/>
        <v>0</v>
      </c>
      <c r="K2053" s="14"/>
      <c r="L2053" s="14"/>
      <c r="M2053" s="14"/>
      <c r="N2053" s="14"/>
      <c r="O2053" s="14"/>
      <c r="P2053" s="14"/>
      <c r="Q2053" s="14"/>
      <c r="R2053" s="14">
        <v>400</v>
      </c>
      <c r="S2053" s="14"/>
      <c r="T2053" s="14"/>
      <c r="U2053" s="14"/>
      <c r="V2053" s="14"/>
      <c r="W2053" s="15">
        <f t="shared" si="70"/>
        <v>400</v>
      </c>
      <c r="X2053" s="14"/>
      <c r="Y2053" s="14"/>
      <c r="Z2053" s="14"/>
      <c r="AA2053" s="14"/>
      <c r="AB2053" s="14"/>
      <c r="AC2053" s="14"/>
      <c r="AD2053" s="14"/>
      <c r="AE2053" s="14"/>
      <c r="AF2053" s="14"/>
      <c r="AG2053" s="14"/>
      <c r="AH2053" s="14"/>
      <c r="AI2053" s="14"/>
      <c r="AJ2053" s="15"/>
      <c r="AK2053" s="16"/>
    </row>
    <row r="2054" spans="2:37" x14ac:dyDescent="0.2">
      <c r="B2054" s="7" t="s">
        <v>73</v>
      </c>
      <c r="C2054" s="8">
        <v>12726</v>
      </c>
      <c r="D2054" s="9" t="s">
        <v>458</v>
      </c>
      <c r="E2054" s="10" t="s">
        <v>459</v>
      </c>
      <c r="F2054" s="10" t="s">
        <v>460</v>
      </c>
      <c r="G2054" s="8">
        <v>5</v>
      </c>
      <c r="H2054" s="11">
        <v>50</v>
      </c>
      <c r="I2054" s="12">
        <v>42610</v>
      </c>
      <c r="J2054" s="13">
        <f t="shared" si="69"/>
        <v>0</v>
      </c>
      <c r="K2054" s="14"/>
      <c r="L2054" s="14"/>
      <c r="M2054" s="14"/>
      <c r="N2054" s="14"/>
      <c r="O2054" s="14"/>
      <c r="P2054" s="14"/>
      <c r="Q2054" s="14"/>
      <c r="R2054" s="14"/>
      <c r="S2054" s="14"/>
      <c r="T2054" s="14"/>
      <c r="U2054" s="14"/>
      <c r="V2054" s="14"/>
      <c r="W2054" s="15">
        <f t="shared" si="70"/>
        <v>0</v>
      </c>
      <c r="X2054" s="14"/>
      <c r="Y2054" s="14"/>
      <c r="Z2054" s="14"/>
      <c r="AA2054" s="14"/>
      <c r="AB2054" s="14"/>
      <c r="AC2054" s="14"/>
      <c r="AD2054" s="14"/>
      <c r="AE2054" s="14"/>
      <c r="AF2054" s="14"/>
      <c r="AG2054" s="14"/>
      <c r="AH2054" s="14"/>
      <c r="AI2054" s="14"/>
      <c r="AJ2054" s="15"/>
      <c r="AK2054" s="16"/>
    </row>
    <row r="2055" spans="2:37" x14ac:dyDescent="0.2">
      <c r="B2055" s="7" t="s">
        <v>37</v>
      </c>
      <c r="C2055" s="8">
        <v>12727</v>
      </c>
      <c r="D2055" s="9" t="s">
        <v>512</v>
      </c>
      <c r="E2055" s="10" t="s">
        <v>513</v>
      </c>
      <c r="F2055" s="10" t="s">
        <v>511</v>
      </c>
      <c r="G2055" s="8">
        <v>3</v>
      </c>
      <c r="H2055" s="11">
        <v>200</v>
      </c>
      <c r="I2055" s="12">
        <v>42610</v>
      </c>
      <c r="J2055" s="13">
        <f t="shared" si="69"/>
        <v>0</v>
      </c>
      <c r="K2055" s="14"/>
      <c r="L2055" s="14"/>
      <c r="M2055" s="14"/>
      <c r="N2055" s="14"/>
      <c r="O2055" s="14"/>
      <c r="P2055" s="14"/>
      <c r="Q2055" s="14"/>
      <c r="R2055" s="14"/>
      <c r="S2055" s="14"/>
      <c r="T2055" s="14"/>
      <c r="U2055" s="14"/>
      <c r="V2055" s="14"/>
      <c r="W2055" s="15">
        <f t="shared" si="70"/>
        <v>0</v>
      </c>
      <c r="X2055" s="14"/>
      <c r="Y2055" s="14"/>
      <c r="Z2055" s="14"/>
      <c r="AA2055" s="14"/>
      <c r="AB2055" s="14"/>
      <c r="AC2055" s="14"/>
      <c r="AD2055" s="14"/>
      <c r="AE2055" s="14"/>
      <c r="AF2055" s="14"/>
      <c r="AG2055" s="14"/>
      <c r="AH2055" s="14"/>
      <c r="AI2055" s="14"/>
      <c r="AJ2055" s="15"/>
      <c r="AK2055" s="16"/>
    </row>
    <row r="2056" spans="2:37" x14ac:dyDescent="0.2">
      <c r="B2056" s="7" t="s">
        <v>47</v>
      </c>
      <c r="C2056" s="8">
        <v>12728</v>
      </c>
      <c r="D2056" s="9" t="s">
        <v>509</v>
      </c>
      <c r="E2056" s="10" t="s">
        <v>510</v>
      </c>
      <c r="F2056" s="10" t="s">
        <v>511</v>
      </c>
      <c r="G2056" s="8">
        <v>1</v>
      </c>
      <c r="H2056" s="11">
        <v>300</v>
      </c>
      <c r="I2056" s="12">
        <v>42610</v>
      </c>
      <c r="J2056" s="13">
        <f t="shared" si="69"/>
        <v>0</v>
      </c>
      <c r="K2056" s="14"/>
      <c r="L2056" s="14"/>
      <c r="M2056" s="14"/>
      <c r="N2056" s="14"/>
      <c r="O2056" s="14"/>
      <c r="P2056" s="14"/>
      <c r="Q2056" s="14"/>
      <c r="R2056" s="14">
        <v>300</v>
      </c>
      <c r="S2056" s="14"/>
      <c r="T2056" s="14"/>
      <c r="U2056" s="14"/>
      <c r="V2056" s="14"/>
      <c r="W2056" s="15">
        <f t="shared" si="70"/>
        <v>300</v>
      </c>
      <c r="X2056" s="14"/>
      <c r="Y2056" s="14"/>
      <c r="Z2056" s="14"/>
      <c r="AA2056" s="14"/>
      <c r="AB2056" s="14"/>
      <c r="AC2056" s="14"/>
      <c r="AD2056" s="14"/>
      <c r="AE2056" s="14"/>
      <c r="AF2056" s="14"/>
      <c r="AG2056" s="14"/>
      <c r="AH2056" s="14"/>
      <c r="AI2056" s="14"/>
      <c r="AJ2056" s="15"/>
      <c r="AK2056" s="16"/>
    </row>
    <row r="2057" spans="2:37" x14ac:dyDescent="0.2">
      <c r="B2057" s="7" t="s">
        <v>47</v>
      </c>
      <c r="C2057" s="8">
        <v>12729</v>
      </c>
      <c r="D2057" s="9" t="s">
        <v>1154</v>
      </c>
      <c r="E2057" s="10" t="s">
        <v>1155</v>
      </c>
      <c r="F2057" s="10" t="s">
        <v>1156</v>
      </c>
      <c r="G2057" s="8">
        <v>1</v>
      </c>
      <c r="H2057" s="11">
        <v>200</v>
      </c>
      <c r="I2057" s="12">
        <v>42610</v>
      </c>
      <c r="J2057" s="13">
        <f t="shared" si="69"/>
        <v>0</v>
      </c>
      <c r="K2057" s="14">
        <v>200</v>
      </c>
      <c r="L2057" s="14"/>
      <c r="M2057" s="14"/>
      <c r="N2057" s="14"/>
      <c r="O2057" s="14"/>
      <c r="P2057" s="14"/>
      <c r="Q2057" s="14"/>
      <c r="R2057" s="14"/>
      <c r="S2057" s="14"/>
      <c r="T2057" s="14"/>
      <c r="U2057" s="14"/>
      <c r="V2057" s="14"/>
      <c r="W2057" s="15">
        <f t="shared" si="70"/>
        <v>200</v>
      </c>
      <c r="X2057" s="14"/>
      <c r="Y2057" s="14"/>
      <c r="Z2057" s="14"/>
      <c r="AA2057" s="14"/>
      <c r="AB2057" s="14"/>
      <c r="AC2057" s="14"/>
      <c r="AD2057" s="14"/>
      <c r="AE2057" s="14"/>
      <c r="AF2057" s="14"/>
      <c r="AG2057" s="14"/>
      <c r="AH2057" s="14"/>
      <c r="AI2057" s="14"/>
      <c r="AJ2057" s="15"/>
      <c r="AK2057" s="16"/>
    </row>
    <row r="2058" spans="2:37" x14ac:dyDescent="0.2">
      <c r="B2058" s="7" t="s">
        <v>77</v>
      </c>
      <c r="C2058" s="8">
        <v>12730</v>
      </c>
      <c r="D2058" s="9" t="s">
        <v>473</v>
      </c>
      <c r="E2058" s="10" t="s">
        <v>474</v>
      </c>
      <c r="F2058" s="10" t="s">
        <v>475</v>
      </c>
      <c r="G2058" s="8">
        <v>1</v>
      </c>
      <c r="H2058" s="11">
        <v>800</v>
      </c>
      <c r="I2058" s="12">
        <v>42610</v>
      </c>
      <c r="J2058" s="13">
        <f t="shared" si="69"/>
        <v>0</v>
      </c>
      <c r="K2058" s="14"/>
      <c r="L2058" s="14"/>
      <c r="M2058" s="14"/>
      <c r="N2058" s="14"/>
      <c r="O2058" s="14"/>
      <c r="P2058" s="14"/>
      <c r="Q2058" s="14">
        <v>400</v>
      </c>
      <c r="R2058" s="14">
        <v>400</v>
      </c>
      <c r="S2058" s="14"/>
      <c r="T2058" s="14"/>
      <c r="U2058" s="14"/>
      <c r="V2058" s="14"/>
      <c r="W2058" s="15">
        <f t="shared" si="70"/>
        <v>800</v>
      </c>
      <c r="X2058" s="14"/>
      <c r="Y2058" s="14"/>
      <c r="Z2058" s="14"/>
      <c r="AA2058" s="14"/>
      <c r="AB2058" s="14"/>
      <c r="AC2058" s="14"/>
      <c r="AD2058" s="14"/>
      <c r="AE2058" s="14"/>
      <c r="AF2058" s="14"/>
      <c r="AG2058" s="14"/>
      <c r="AH2058" s="14"/>
      <c r="AI2058" s="14"/>
      <c r="AJ2058" s="15"/>
      <c r="AK2058" s="16"/>
    </row>
    <row r="2059" spans="2:37" x14ac:dyDescent="0.2">
      <c r="B2059" s="7" t="s">
        <v>77</v>
      </c>
      <c r="C2059" s="8">
        <v>12731</v>
      </c>
      <c r="D2059" s="9" t="s">
        <v>473</v>
      </c>
      <c r="E2059" s="10" t="s">
        <v>474</v>
      </c>
      <c r="F2059" s="10" t="s">
        <v>475</v>
      </c>
      <c r="G2059" s="8">
        <v>5</v>
      </c>
      <c r="H2059" s="11">
        <v>50</v>
      </c>
      <c r="I2059" s="12">
        <v>42610</v>
      </c>
      <c r="J2059" s="13">
        <f t="shared" si="69"/>
        <v>0</v>
      </c>
      <c r="K2059" s="14"/>
      <c r="L2059" s="14"/>
      <c r="M2059" s="14"/>
      <c r="N2059" s="14"/>
      <c r="O2059" s="14"/>
      <c r="P2059" s="14"/>
      <c r="Q2059" s="14"/>
      <c r="R2059" s="14"/>
      <c r="S2059" s="14"/>
      <c r="T2059" s="14"/>
      <c r="U2059" s="14"/>
      <c r="V2059" s="14"/>
      <c r="W2059" s="15">
        <f t="shared" si="70"/>
        <v>0</v>
      </c>
      <c r="X2059" s="14"/>
      <c r="Y2059" s="14"/>
      <c r="Z2059" s="14"/>
      <c r="AA2059" s="14"/>
      <c r="AB2059" s="14"/>
      <c r="AC2059" s="14"/>
      <c r="AD2059" s="14"/>
      <c r="AE2059" s="14"/>
      <c r="AF2059" s="14"/>
      <c r="AG2059" s="14"/>
      <c r="AH2059" s="14"/>
      <c r="AI2059" s="14"/>
      <c r="AJ2059" s="15"/>
      <c r="AK2059" s="16"/>
    </row>
    <row r="2060" spans="2:37" x14ac:dyDescent="0.2">
      <c r="B2060" s="7" t="s">
        <v>77</v>
      </c>
      <c r="C2060" s="8">
        <v>12732</v>
      </c>
      <c r="D2060" s="9" t="s">
        <v>129</v>
      </c>
      <c r="E2060" s="10" t="s">
        <v>130</v>
      </c>
      <c r="F2060" s="10" t="s">
        <v>131</v>
      </c>
      <c r="G2060" s="8">
        <v>5</v>
      </c>
      <c r="H2060" s="11">
        <v>50</v>
      </c>
      <c r="I2060" s="12">
        <v>42610</v>
      </c>
      <c r="J2060" s="13">
        <f t="shared" si="69"/>
        <v>0</v>
      </c>
      <c r="K2060" s="14"/>
      <c r="L2060" s="14"/>
      <c r="M2060" s="14"/>
      <c r="N2060" s="14"/>
      <c r="O2060" s="14"/>
      <c r="P2060" s="14"/>
      <c r="Q2060" s="14"/>
      <c r="R2060" s="14"/>
      <c r="S2060" s="14"/>
      <c r="T2060" s="14"/>
      <c r="U2060" s="14"/>
      <c r="V2060" s="14"/>
      <c r="W2060" s="15">
        <f t="shared" si="70"/>
        <v>0</v>
      </c>
      <c r="X2060" s="14"/>
      <c r="Y2060" s="14"/>
      <c r="Z2060" s="14"/>
      <c r="AA2060" s="14"/>
      <c r="AB2060" s="14"/>
      <c r="AC2060" s="14"/>
      <c r="AD2060" s="14"/>
      <c r="AE2060" s="14"/>
      <c r="AF2060" s="14"/>
      <c r="AG2060" s="14"/>
      <c r="AH2060" s="14"/>
      <c r="AI2060" s="14"/>
      <c r="AJ2060" s="15"/>
      <c r="AK2060" s="16"/>
    </row>
    <row r="2061" spans="2:37" x14ac:dyDescent="0.2">
      <c r="B2061" s="7" t="s">
        <v>47</v>
      </c>
      <c r="C2061" s="8">
        <v>12733</v>
      </c>
      <c r="D2061" s="9" t="s">
        <v>655</v>
      </c>
      <c r="E2061" s="10" t="s">
        <v>656</v>
      </c>
      <c r="F2061" s="10" t="s">
        <v>657</v>
      </c>
      <c r="G2061" s="8">
        <v>5</v>
      </c>
      <c r="H2061" s="11">
        <v>50</v>
      </c>
      <c r="I2061" s="12">
        <v>42610</v>
      </c>
      <c r="J2061" s="13">
        <f t="shared" si="69"/>
        <v>0</v>
      </c>
      <c r="K2061" s="14"/>
      <c r="L2061" s="14"/>
      <c r="M2061" s="14"/>
      <c r="N2061" s="14"/>
      <c r="O2061" s="14"/>
      <c r="P2061" s="14"/>
      <c r="Q2061" s="14"/>
      <c r="R2061" s="14"/>
      <c r="S2061" s="14"/>
      <c r="T2061" s="14"/>
      <c r="U2061" s="14"/>
      <c r="V2061" s="14"/>
      <c r="W2061" s="15">
        <f t="shared" si="70"/>
        <v>0</v>
      </c>
      <c r="X2061" s="14"/>
      <c r="Y2061" s="14"/>
      <c r="Z2061" s="14"/>
      <c r="AA2061" s="14"/>
      <c r="AB2061" s="14"/>
      <c r="AC2061" s="14"/>
      <c r="AD2061" s="14"/>
      <c r="AE2061" s="14"/>
      <c r="AF2061" s="14"/>
      <c r="AG2061" s="14"/>
      <c r="AH2061" s="14"/>
      <c r="AI2061" s="14"/>
      <c r="AJ2061" s="15"/>
      <c r="AK2061" s="16"/>
    </row>
    <row r="2062" spans="2:37" x14ac:dyDescent="0.2">
      <c r="B2062" s="7" t="s">
        <v>47</v>
      </c>
      <c r="C2062" s="8">
        <v>12734</v>
      </c>
      <c r="D2062" s="9" t="s">
        <v>825</v>
      </c>
      <c r="E2062" s="10" t="s">
        <v>826</v>
      </c>
      <c r="F2062" s="10" t="s">
        <v>827</v>
      </c>
      <c r="G2062" s="8">
        <v>1</v>
      </c>
      <c r="H2062" s="11">
        <v>400</v>
      </c>
      <c r="I2062" s="12">
        <v>42610</v>
      </c>
      <c r="J2062" s="13">
        <f t="shared" si="69"/>
        <v>0</v>
      </c>
      <c r="K2062" s="14"/>
      <c r="L2062" s="14"/>
      <c r="M2062" s="14"/>
      <c r="N2062" s="14">
        <v>400</v>
      </c>
      <c r="O2062" s="14"/>
      <c r="P2062" s="14"/>
      <c r="Q2062" s="14"/>
      <c r="R2062" s="14"/>
      <c r="S2062" s="14"/>
      <c r="T2062" s="14"/>
      <c r="U2062" s="14"/>
      <c r="V2062" s="14"/>
      <c r="W2062" s="15">
        <f t="shared" si="70"/>
        <v>400</v>
      </c>
      <c r="X2062" s="14"/>
      <c r="Y2062" s="14"/>
      <c r="Z2062" s="14"/>
      <c r="AA2062" s="14"/>
      <c r="AB2062" s="14"/>
      <c r="AC2062" s="14"/>
      <c r="AD2062" s="14"/>
      <c r="AE2062" s="14"/>
      <c r="AF2062" s="14"/>
      <c r="AG2062" s="14"/>
      <c r="AH2062" s="14"/>
      <c r="AI2062" s="14"/>
      <c r="AJ2062" s="15"/>
      <c r="AK2062" s="16"/>
    </row>
    <row r="2063" spans="2:37" x14ac:dyDescent="0.2">
      <c r="B2063" s="7" t="s">
        <v>47</v>
      </c>
      <c r="C2063" s="8">
        <v>12734</v>
      </c>
      <c r="D2063" s="9" t="s">
        <v>825</v>
      </c>
      <c r="E2063" s="10" t="s">
        <v>826</v>
      </c>
      <c r="F2063" s="10" t="s">
        <v>827</v>
      </c>
      <c r="G2063" s="8">
        <v>5</v>
      </c>
      <c r="H2063" s="11">
        <v>50</v>
      </c>
      <c r="I2063" s="12">
        <v>42610</v>
      </c>
      <c r="J2063" s="13">
        <f t="shared" ref="J2063:J2081" si="71">IF(G2063=1,SUM(W2063,-H2063),0)</f>
        <v>0</v>
      </c>
      <c r="K2063" s="14"/>
      <c r="L2063" s="14"/>
      <c r="M2063" s="14"/>
      <c r="N2063" s="14"/>
      <c r="O2063" s="14"/>
      <c r="P2063" s="14"/>
      <c r="Q2063" s="14"/>
      <c r="R2063" s="14"/>
      <c r="S2063" s="14"/>
      <c r="T2063" s="14"/>
      <c r="U2063" s="14"/>
      <c r="V2063" s="14"/>
      <c r="W2063" s="15">
        <f t="shared" ref="W2063:W2081" si="72">SUM(K2063:V2063)</f>
        <v>0</v>
      </c>
      <c r="X2063" s="14"/>
      <c r="Y2063" s="14"/>
      <c r="Z2063" s="14"/>
      <c r="AA2063" s="14"/>
      <c r="AB2063" s="14"/>
      <c r="AC2063" s="14"/>
      <c r="AD2063" s="14"/>
      <c r="AE2063" s="14"/>
      <c r="AF2063" s="14"/>
      <c r="AG2063" s="14"/>
      <c r="AH2063" s="14"/>
      <c r="AI2063" s="14"/>
      <c r="AJ2063" s="15"/>
      <c r="AK2063" s="16"/>
    </row>
    <row r="2064" spans="2:37" x14ac:dyDescent="0.2">
      <c r="B2064" s="7" t="s">
        <v>122</v>
      </c>
      <c r="C2064" s="8">
        <v>12735</v>
      </c>
      <c r="D2064" s="9" t="s">
        <v>123</v>
      </c>
      <c r="E2064" s="10" t="s">
        <v>124</v>
      </c>
      <c r="F2064" s="10" t="s">
        <v>125</v>
      </c>
      <c r="G2064" s="8">
        <v>1</v>
      </c>
      <c r="H2064" s="11">
        <v>250</v>
      </c>
      <c r="I2064" s="12">
        <v>42610</v>
      </c>
      <c r="J2064" s="13">
        <f t="shared" si="71"/>
        <v>0</v>
      </c>
      <c r="K2064" s="14"/>
      <c r="L2064" s="14"/>
      <c r="M2064" s="14"/>
      <c r="N2064" s="14"/>
      <c r="O2064" s="14"/>
      <c r="P2064" s="14"/>
      <c r="Q2064" s="14"/>
      <c r="R2064" s="14"/>
      <c r="S2064" s="14">
        <v>250</v>
      </c>
      <c r="T2064" s="14"/>
      <c r="U2064" s="14"/>
      <c r="V2064" s="14"/>
      <c r="W2064" s="15">
        <f t="shared" si="72"/>
        <v>250</v>
      </c>
      <c r="X2064" s="14"/>
      <c r="Y2064" s="14"/>
      <c r="Z2064" s="14"/>
      <c r="AA2064" s="14"/>
      <c r="AB2064" s="14"/>
      <c r="AC2064" s="14"/>
      <c r="AD2064" s="14"/>
      <c r="AE2064" s="14"/>
      <c r="AF2064" s="14"/>
      <c r="AG2064" s="14"/>
      <c r="AH2064" s="14"/>
      <c r="AI2064" s="14"/>
      <c r="AJ2064" s="15"/>
      <c r="AK2064" s="16"/>
    </row>
    <row r="2065" spans="2:37" x14ac:dyDescent="0.2">
      <c r="B2065" s="7" t="s">
        <v>69</v>
      </c>
      <c r="C2065" s="8">
        <v>12736</v>
      </c>
      <c r="D2065" s="9" t="s">
        <v>1178</v>
      </c>
      <c r="E2065" s="10" t="s">
        <v>1179</v>
      </c>
      <c r="F2065" s="10" t="s">
        <v>1180</v>
      </c>
      <c r="G2065" s="8">
        <v>1</v>
      </c>
      <c r="H2065" s="11">
        <v>1000</v>
      </c>
      <c r="I2065" s="12">
        <v>42610</v>
      </c>
      <c r="J2065" s="13">
        <f t="shared" si="71"/>
        <v>0</v>
      </c>
      <c r="K2065" s="14"/>
      <c r="L2065" s="14"/>
      <c r="M2065" s="14"/>
      <c r="N2065" s="14">
        <v>200</v>
      </c>
      <c r="O2065" s="14">
        <v>200</v>
      </c>
      <c r="P2065" s="14">
        <v>200</v>
      </c>
      <c r="Q2065" s="14">
        <v>200</v>
      </c>
      <c r="R2065" s="14">
        <v>200</v>
      </c>
      <c r="S2065" s="14"/>
      <c r="T2065" s="14"/>
      <c r="U2065" s="14"/>
      <c r="V2065" s="14"/>
      <c r="W2065" s="15">
        <f t="shared" si="72"/>
        <v>1000</v>
      </c>
      <c r="X2065" s="14"/>
      <c r="Y2065" s="14"/>
      <c r="Z2065" s="14"/>
      <c r="AA2065" s="14"/>
      <c r="AB2065" s="14"/>
      <c r="AC2065" s="14"/>
      <c r="AD2065" s="14"/>
      <c r="AE2065" s="14"/>
      <c r="AF2065" s="14"/>
      <c r="AG2065" s="14"/>
      <c r="AH2065" s="14"/>
      <c r="AI2065" s="14"/>
      <c r="AJ2065" s="15"/>
      <c r="AK2065" s="16"/>
    </row>
    <row r="2066" spans="2:37" x14ac:dyDescent="0.2">
      <c r="B2066" s="7" t="s">
        <v>69</v>
      </c>
      <c r="C2066" s="8">
        <v>12736</v>
      </c>
      <c r="D2066" s="9" t="s">
        <v>1178</v>
      </c>
      <c r="E2066" s="10" t="s">
        <v>1179</v>
      </c>
      <c r="F2066" s="10" t="s">
        <v>1180</v>
      </c>
      <c r="G2066" s="8">
        <v>5</v>
      </c>
      <c r="H2066" s="11">
        <v>100</v>
      </c>
      <c r="I2066" s="12">
        <v>42610</v>
      </c>
      <c r="J2066" s="13">
        <f t="shared" si="71"/>
        <v>0</v>
      </c>
      <c r="K2066" s="14"/>
      <c r="L2066" s="14"/>
      <c r="M2066" s="14"/>
      <c r="N2066" s="14"/>
      <c r="O2066" s="14"/>
      <c r="P2066" s="14"/>
      <c r="Q2066" s="14"/>
      <c r="R2066" s="14"/>
      <c r="S2066" s="14"/>
      <c r="T2066" s="14"/>
      <c r="U2066" s="14"/>
      <c r="V2066" s="14"/>
      <c r="W2066" s="15">
        <f t="shared" si="72"/>
        <v>0</v>
      </c>
      <c r="X2066" s="14"/>
      <c r="Y2066" s="14"/>
      <c r="Z2066" s="14"/>
      <c r="AA2066" s="14"/>
      <c r="AB2066" s="14"/>
      <c r="AC2066" s="14"/>
      <c r="AD2066" s="14"/>
      <c r="AE2066" s="14"/>
      <c r="AF2066" s="14"/>
      <c r="AG2066" s="14"/>
      <c r="AH2066" s="14"/>
      <c r="AI2066" s="14"/>
      <c r="AJ2066" s="15"/>
      <c r="AK2066" s="16"/>
    </row>
    <row r="2067" spans="2:37" x14ac:dyDescent="0.2">
      <c r="B2067" s="7" t="s">
        <v>69</v>
      </c>
      <c r="C2067" s="8">
        <v>12737</v>
      </c>
      <c r="D2067" s="9" t="s">
        <v>1178</v>
      </c>
      <c r="E2067" s="10" t="s">
        <v>1179</v>
      </c>
      <c r="F2067" s="10" t="s">
        <v>1180</v>
      </c>
      <c r="G2067" s="8">
        <v>4</v>
      </c>
      <c r="H2067" s="11">
        <v>200</v>
      </c>
      <c r="I2067" s="12">
        <v>42610</v>
      </c>
      <c r="J2067" s="13">
        <f t="shared" si="71"/>
        <v>0</v>
      </c>
      <c r="K2067" s="14"/>
      <c r="L2067" s="14"/>
      <c r="M2067" s="14"/>
      <c r="N2067" s="14"/>
      <c r="O2067" s="14"/>
      <c r="P2067" s="14"/>
      <c r="Q2067" s="14"/>
      <c r="R2067" s="14"/>
      <c r="S2067" s="14"/>
      <c r="T2067" s="14"/>
      <c r="U2067" s="14"/>
      <c r="V2067" s="14"/>
      <c r="W2067" s="15">
        <f t="shared" si="72"/>
        <v>0</v>
      </c>
      <c r="X2067" s="14"/>
      <c r="Y2067" s="14"/>
      <c r="Z2067" s="14"/>
      <c r="AA2067" s="14"/>
      <c r="AB2067" s="14"/>
      <c r="AC2067" s="14"/>
      <c r="AD2067" s="14"/>
      <c r="AE2067" s="14"/>
      <c r="AF2067" s="14"/>
      <c r="AG2067" s="14"/>
      <c r="AH2067" s="14"/>
      <c r="AI2067" s="14"/>
      <c r="AJ2067" s="15"/>
      <c r="AK2067" s="7">
        <v>10451899</v>
      </c>
    </row>
    <row r="2068" spans="2:37" x14ac:dyDescent="0.2">
      <c r="B2068" s="7" t="s">
        <v>47</v>
      </c>
      <c r="C2068" s="8">
        <v>12738</v>
      </c>
      <c r="D2068" s="9" t="s">
        <v>208</v>
      </c>
      <c r="E2068" s="10" t="s">
        <v>209</v>
      </c>
      <c r="F2068" s="10" t="s">
        <v>210</v>
      </c>
      <c r="G2068" s="8">
        <v>5</v>
      </c>
      <c r="H2068" s="11">
        <v>50</v>
      </c>
      <c r="I2068" s="12">
        <v>42610</v>
      </c>
      <c r="J2068" s="13">
        <f t="shared" si="71"/>
        <v>0</v>
      </c>
      <c r="K2068" s="14"/>
      <c r="L2068" s="14"/>
      <c r="M2068" s="14"/>
      <c r="N2068" s="14"/>
      <c r="O2068" s="14"/>
      <c r="P2068" s="14"/>
      <c r="Q2068" s="14"/>
      <c r="R2068" s="14"/>
      <c r="S2068" s="14"/>
      <c r="T2068" s="14"/>
      <c r="U2068" s="14"/>
      <c r="V2068" s="14"/>
      <c r="W2068" s="15">
        <f t="shared" si="72"/>
        <v>0</v>
      </c>
      <c r="X2068" s="14"/>
      <c r="Y2068" s="14"/>
      <c r="Z2068" s="14"/>
      <c r="AA2068" s="14"/>
      <c r="AB2068" s="14"/>
      <c r="AC2068" s="14"/>
      <c r="AD2068" s="14"/>
      <c r="AE2068" s="14"/>
      <c r="AF2068" s="14"/>
      <c r="AG2068" s="14"/>
      <c r="AH2068" s="14"/>
      <c r="AI2068" s="14"/>
      <c r="AJ2068" s="15"/>
      <c r="AK2068" s="16"/>
    </row>
    <row r="2069" spans="2:37" x14ac:dyDescent="0.2">
      <c r="B2069" s="7" t="s">
        <v>69</v>
      </c>
      <c r="C2069" s="8">
        <v>12739</v>
      </c>
      <c r="D2069" s="9" t="s">
        <v>828</v>
      </c>
      <c r="E2069" s="10" t="s">
        <v>829</v>
      </c>
      <c r="F2069" s="10" t="s">
        <v>830</v>
      </c>
      <c r="G2069" s="8">
        <v>1</v>
      </c>
      <c r="H2069" s="11">
        <v>400</v>
      </c>
      <c r="I2069" s="12">
        <v>42610</v>
      </c>
      <c r="J2069" s="13">
        <f t="shared" si="71"/>
        <v>0</v>
      </c>
      <c r="K2069" s="14"/>
      <c r="L2069" s="14"/>
      <c r="M2069" s="14"/>
      <c r="N2069" s="14"/>
      <c r="O2069" s="14"/>
      <c r="P2069" s="14"/>
      <c r="Q2069" s="14">
        <v>200</v>
      </c>
      <c r="R2069" s="14">
        <v>200</v>
      </c>
      <c r="S2069" s="14"/>
      <c r="T2069" s="14"/>
      <c r="U2069" s="14"/>
      <c r="V2069" s="14"/>
      <c r="W2069" s="15">
        <f t="shared" si="72"/>
        <v>400</v>
      </c>
      <c r="X2069" s="14"/>
      <c r="Y2069" s="14"/>
      <c r="Z2069" s="14"/>
      <c r="AA2069" s="14"/>
      <c r="AB2069" s="14"/>
      <c r="AC2069" s="14"/>
      <c r="AD2069" s="14"/>
      <c r="AE2069" s="14"/>
      <c r="AF2069" s="14"/>
      <c r="AG2069" s="14"/>
      <c r="AH2069" s="14"/>
      <c r="AI2069" s="14"/>
      <c r="AJ2069" s="15"/>
      <c r="AK2069" s="16"/>
    </row>
    <row r="2070" spans="2:37" x14ac:dyDescent="0.2">
      <c r="B2070" s="7" t="s">
        <v>37</v>
      </c>
      <c r="C2070" s="8">
        <v>12740</v>
      </c>
      <c r="D2070" s="9" t="s">
        <v>716</v>
      </c>
      <c r="E2070" s="10" t="s">
        <v>717</v>
      </c>
      <c r="F2070" s="10" t="s">
        <v>718</v>
      </c>
      <c r="G2070" s="8">
        <v>5</v>
      </c>
      <c r="H2070" s="11">
        <v>50</v>
      </c>
      <c r="I2070" s="12">
        <v>42610</v>
      </c>
      <c r="J2070" s="13">
        <f t="shared" si="71"/>
        <v>0</v>
      </c>
      <c r="K2070" s="14"/>
      <c r="L2070" s="14"/>
      <c r="M2070" s="14"/>
      <c r="N2070" s="14"/>
      <c r="O2070" s="14"/>
      <c r="P2070" s="14"/>
      <c r="Q2070" s="14"/>
      <c r="R2070" s="14"/>
      <c r="S2070" s="14"/>
      <c r="T2070" s="14"/>
      <c r="U2070" s="14"/>
      <c r="V2070" s="14"/>
      <c r="W2070" s="15">
        <f t="shared" si="72"/>
        <v>0</v>
      </c>
      <c r="X2070" s="14"/>
      <c r="Y2070" s="14"/>
      <c r="Z2070" s="14"/>
      <c r="AA2070" s="14"/>
      <c r="AB2070" s="14"/>
      <c r="AC2070" s="14"/>
      <c r="AD2070" s="14"/>
      <c r="AE2070" s="14"/>
      <c r="AF2070" s="14"/>
      <c r="AG2070" s="14"/>
      <c r="AH2070" s="14"/>
      <c r="AI2070" s="14"/>
      <c r="AJ2070" s="15"/>
      <c r="AK2070" s="16"/>
    </row>
    <row r="2071" spans="2:37" x14ac:dyDescent="0.2">
      <c r="B2071" s="7" t="s">
        <v>37</v>
      </c>
      <c r="C2071" s="8">
        <v>12741</v>
      </c>
      <c r="D2071" s="9" t="s">
        <v>716</v>
      </c>
      <c r="E2071" s="10" t="s">
        <v>717</v>
      </c>
      <c r="F2071" s="10" t="s">
        <v>718</v>
      </c>
      <c r="G2071" s="8">
        <v>1</v>
      </c>
      <c r="H2071" s="11">
        <v>300</v>
      </c>
      <c r="I2071" s="12">
        <v>42610</v>
      </c>
      <c r="J2071" s="13">
        <f t="shared" si="71"/>
        <v>0</v>
      </c>
      <c r="K2071" s="14"/>
      <c r="L2071" s="14"/>
      <c r="M2071" s="14"/>
      <c r="N2071" s="14"/>
      <c r="O2071" s="14"/>
      <c r="P2071" s="14"/>
      <c r="Q2071" s="14"/>
      <c r="R2071" s="14"/>
      <c r="S2071" s="14">
        <v>300</v>
      </c>
      <c r="T2071" s="14"/>
      <c r="U2071" s="14"/>
      <c r="V2071" s="14"/>
      <c r="W2071" s="15">
        <f t="shared" si="72"/>
        <v>300</v>
      </c>
      <c r="X2071" s="14"/>
      <c r="Y2071" s="14"/>
      <c r="Z2071" s="14"/>
      <c r="AA2071" s="14"/>
      <c r="AB2071" s="14"/>
      <c r="AC2071" s="14"/>
      <c r="AD2071" s="14"/>
      <c r="AE2071" s="14"/>
      <c r="AF2071" s="14"/>
      <c r="AG2071" s="14"/>
      <c r="AH2071" s="14"/>
      <c r="AI2071" s="14"/>
      <c r="AJ2071" s="15"/>
      <c r="AK2071" s="16"/>
    </row>
    <row r="2072" spans="2:37" x14ac:dyDescent="0.2">
      <c r="B2072" s="7" t="s">
        <v>69</v>
      </c>
      <c r="C2072" s="8">
        <v>12742</v>
      </c>
      <c r="D2072" s="9" t="s">
        <v>1181</v>
      </c>
      <c r="E2072" s="10" t="s">
        <v>1182</v>
      </c>
      <c r="F2072" s="10" t="s">
        <v>1183</v>
      </c>
      <c r="G2072" s="8">
        <v>1</v>
      </c>
      <c r="H2072" s="11">
        <v>600</v>
      </c>
      <c r="I2072" s="12">
        <v>42610</v>
      </c>
      <c r="J2072" s="13">
        <f t="shared" si="71"/>
        <v>0</v>
      </c>
      <c r="K2072" s="14"/>
      <c r="L2072" s="14"/>
      <c r="M2072" s="14"/>
      <c r="N2072" s="14"/>
      <c r="O2072" s="14"/>
      <c r="P2072" s="14">
        <v>200</v>
      </c>
      <c r="Q2072" s="14">
        <v>200</v>
      </c>
      <c r="R2072" s="14">
        <v>200</v>
      </c>
      <c r="S2072" s="14"/>
      <c r="T2072" s="14"/>
      <c r="U2072" s="14"/>
      <c r="V2072" s="14"/>
      <c r="W2072" s="15">
        <f t="shared" si="72"/>
        <v>600</v>
      </c>
      <c r="X2072" s="14"/>
      <c r="Y2072" s="14"/>
      <c r="Z2072" s="14"/>
      <c r="AA2072" s="14"/>
      <c r="AB2072" s="14"/>
      <c r="AC2072" s="14"/>
      <c r="AD2072" s="14"/>
      <c r="AE2072" s="14"/>
      <c r="AF2072" s="14"/>
      <c r="AG2072" s="14"/>
      <c r="AH2072" s="14"/>
      <c r="AI2072" s="14"/>
      <c r="AJ2072" s="15"/>
      <c r="AK2072" s="16"/>
    </row>
    <row r="2073" spans="2:37" x14ac:dyDescent="0.2">
      <c r="B2073" s="7" t="s">
        <v>69</v>
      </c>
      <c r="C2073" s="8">
        <v>12742</v>
      </c>
      <c r="D2073" s="9" t="s">
        <v>1181</v>
      </c>
      <c r="E2073" s="10" t="s">
        <v>1182</v>
      </c>
      <c r="F2073" s="10" t="s">
        <v>1183</v>
      </c>
      <c r="G2073" s="8">
        <v>5</v>
      </c>
      <c r="H2073" s="11">
        <v>100</v>
      </c>
      <c r="I2073" s="12">
        <v>42610</v>
      </c>
      <c r="J2073" s="13">
        <f t="shared" si="71"/>
        <v>0</v>
      </c>
      <c r="K2073" s="14"/>
      <c r="L2073" s="14"/>
      <c r="M2073" s="14"/>
      <c r="N2073" s="14"/>
      <c r="O2073" s="14"/>
      <c r="P2073" s="14"/>
      <c r="Q2073" s="14"/>
      <c r="R2073" s="14"/>
      <c r="S2073" s="14"/>
      <c r="T2073" s="14"/>
      <c r="U2073" s="14"/>
      <c r="V2073" s="14"/>
      <c r="W2073" s="15">
        <f t="shared" si="72"/>
        <v>0</v>
      </c>
      <c r="X2073" s="14"/>
      <c r="Y2073" s="14"/>
      <c r="Z2073" s="14"/>
      <c r="AA2073" s="14"/>
      <c r="AB2073" s="14"/>
      <c r="AC2073" s="14"/>
      <c r="AD2073" s="14"/>
      <c r="AE2073" s="14"/>
      <c r="AF2073" s="14"/>
      <c r="AG2073" s="14"/>
      <c r="AH2073" s="14"/>
      <c r="AI2073" s="14"/>
      <c r="AJ2073" s="15"/>
      <c r="AK2073" s="16"/>
    </row>
    <row r="2074" spans="2:37" x14ac:dyDescent="0.2">
      <c r="B2074" s="7" t="s">
        <v>77</v>
      </c>
      <c r="C2074" s="8">
        <v>12743</v>
      </c>
      <c r="D2074" s="9" t="s">
        <v>473</v>
      </c>
      <c r="E2074" s="10" t="s">
        <v>474</v>
      </c>
      <c r="F2074" s="10" t="s">
        <v>475</v>
      </c>
      <c r="G2074" s="8">
        <v>5</v>
      </c>
      <c r="H2074" s="11">
        <v>50</v>
      </c>
      <c r="I2074" s="12">
        <v>42610</v>
      </c>
      <c r="J2074" s="13">
        <f t="shared" si="71"/>
        <v>0</v>
      </c>
      <c r="K2074" s="14"/>
      <c r="L2074" s="14"/>
      <c r="M2074" s="14"/>
      <c r="N2074" s="14"/>
      <c r="O2074" s="14"/>
      <c r="P2074" s="14"/>
      <c r="Q2074" s="14"/>
      <c r="R2074" s="14"/>
      <c r="S2074" s="14"/>
      <c r="T2074" s="14"/>
      <c r="U2074" s="14"/>
      <c r="V2074" s="14"/>
      <c r="W2074" s="15">
        <f t="shared" si="72"/>
        <v>0</v>
      </c>
      <c r="X2074" s="14"/>
      <c r="Y2074" s="14"/>
      <c r="Z2074" s="14"/>
      <c r="AA2074" s="14"/>
      <c r="AB2074" s="14"/>
      <c r="AC2074" s="14"/>
      <c r="AD2074" s="14"/>
      <c r="AE2074" s="14"/>
      <c r="AF2074" s="14"/>
      <c r="AG2074" s="14"/>
      <c r="AH2074" s="14"/>
      <c r="AI2074" s="14"/>
      <c r="AJ2074" s="15"/>
      <c r="AK2074" s="16"/>
    </row>
    <row r="2075" spans="2:37" x14ac:dyDescent="0.2">
      <c r="B2075" s="7" t="s">
        <v>69</v>
      </c>
      <c r="C2075" s="8">
        <v>12744</v>
      </c>
      <c r="D2075" s="9" t="s">
        <v>387</v>
      </c>
      <c r="E2075" s="10" t="s">
        <v>388</v>
      </c>
      <c r="F2075" s="10" t="s">
        <v>389</v>
      </c>
      <c r="G2075" s="8">
        <v>1</v>
      </c>
      <c r="H2075" s="11">
        <v>3200</v>
      </c>
      <c r="I2075" s="12">
        <v>42610</v>
      </c>
      <c r="J2075" s="13">
        <f t="shared" si="71"/>
        <v>0</v>
      </c>
      <c r="K2075" s="14">
        <v>400</v>
      </c>
      <c r="L2075" s="14">
        <v>400</v>
      </c>
      <c r="M2075" s="14">
        <v>400</v>
      </c>
      <c r="N2075" s="14">
        <v>400</v>
      </c>
      <c r="O2075" s="14">
        <v>400</v>
      </c>
      <c r="P2075" s="14">
        <v>400</v>
      </c>
      <c r="Q2075" s="14">
        <v>400</v>
      </c>
      <c r="R2075" s="14">
        <v>400</v>
      </c>
      <c r="S2075" s="14"/>
      <c r="T2075" s="14"/>
      <c r="U2075" s="14"/>
      <c r="V2075" s="14"/>
      <c r="W2075" s="15">
        <f t="shared" si="72"/>
        <v>3200</v>
      </c>
      <c r="X2075" s="14"/>
      <c r="Y2075" s="14"/>
      <c r="Z2075" s="14"/>
      <c r="AA2075" s="14"/>
      <c r="AB2075" s="14"/>
      <c r="AC2075" s="14"/>
      <c r="AD2075" s="14"/>
      <c r="AE2075" s="14"/>
      <c r="AF2075" s="14"/>
      <c r="AG2075" s="14"/>
      <c r="AH2075" s="14"/>
      <c r="AI2075" s="14"/>
      <c r="AJ2075" s="15"/>
      <c r="AK2075" s="16"/>
    </row>
    <row r="2076" spans="2:37" x14ac:dyDescent="0.2">
      <c r="B2076" s="7" t="s">
        <v>69</v>
      </c>
      <c r="C2076" s="8">
        <v>12744</v>
      </c>
      <c r="D2076" s="9" t="s">
        <v>387</v>
      </c>
      <c r="E2076" s="10" t="s">
        <v>388</v>
      </c>
      <c r="F2076" s="10" t="s">
        <v>389</v>
      </c>
      <c r="G2076" s="8">
        <v>5</v>
      </c>
      <c r="H2076" s="11">
        <v>200</v>
      </c>
      <c r="I2076" s="12">
        <v>42610</v>
      </c>
      <c r="J2076" s="13">
        <f t="shared" si="71"/>
        <v>0</v>
      </c>
      <c r="K2076" s="14"/>
      <c r="L2076" s="14"/>
      <c r="M2076" s="14"/>
      <c r="N2076" s="14"/>
      <c r="O2076" s="14"/>
      <c r="P2076" s="14"/>
      <c r="Q2076" s="14"/>
      <c r="R2076" s="14"/>
      <c r="S2076" s="14"/>
      <c r="T2076" s="14"/>
      <c r="U2076" s="14"/>
      <c r="V2076" s="14"/>
      <c r="W2076" s="15">
        <f t="shared" si="72"/>
        <v>0</v>
      </c>
      <c r="X2076" s="14"/>
      <c r="Y2076" s="14"/>
      <c r="Z2076" s="14"/>
      <c r="AA2076" s="14"/>
      <c r="AB2076" s="14"/>
      <c r="AC2076" s="14"/>
      <c r="AD2076" s="14"/>
      <c r="AE2076" s="14"/>
      <c r="AF2076" s="14"/>
      <c r="AG2076" s="14"/>
      <c r="AH2076" s="14"/>
      <c r="AI2076" s="14"/>
      <c r="AJ2076" s="15"/>
      <c r="AK2076" s="16"/>
    </row>
    <row r="2077" spans="2:37" x14ac:dyDescent="0.2">
      <c r="B2077" s="7" t="s">
        <v>69</v>
      </c>
      <c r="C2077" s="8">
        <v>12754</v>
      </c>
      <c r="D2077" s="9" t="s">
        <v>211</v>
      </c>
      <c r="E2077" s="10" t="s">
        <v>212</v>
      </c>
      <c r="F2077" s="10" t="s">
        <v>213</v>
      </c>
      <c r="G2077" s="8">
        <v>1</v>
      </c>
      <c r="H2077" s="11">
        <v>300</v>
      </c>
      <c r="I2077" s="12">
        <v>42588</v>
      </c>
      <c r="J2077" s="13">
        <f t="shared" si="71"/>
        <v>0</v>
      </c>
      <c r="K2077" s="14"/>
      <c r="L2077" s="14"/>
      <c r="M2077" s="14"/>
      <c r="N2077" s="14"/>
      <c r="O2077" s="14"/>
      <c r="P2077" s="14"/>
      <c r="Q2077" s="14"/>
      <c r="R2077" s="14">
        <v>300</v>
      </c>
      <c r="S2077" s="14"/>
      <c r="T2077" s="14"/>
      <c r="U2077" s="14"/>
      <c r="V2077" s="14"/>
      <c r="W2077" s="15">
        <f t="shared" si="72"/>
        <v>300</v>
      </c>
      <c r="X2077" s="14"/>
      <c r="Y2077" s="14"/>
      <c r="Z2077" s="14"/>
      <c r="AA2077" s="14"/>
      <c r="AB2077" s="14"/>
      <c r="AC2077" s="14"/>
      <c r="AD2077" s="14"/>
      <c r="AE2077" s="14"/>
      <c r="AF2077" s="14"/>
      <c r="AG2077" s="14"/>
      <c r="AH2077" s="14"/>
      <c r="AI2077" s="14"/>
      <c r="AJ2077" s="15"/>
      <c r="AK2077" s="16"/>
    </row>
    <row r="2078" spans="2:37" x14ac:dyDescent="0.2">
      <c r="B2078" s="7" t="s">
        <v>73</v>
      </c>
      <c r="C2078" s="8"/>
      <c r="D2078" s="9" t="s">
        <v>806</v>
      </c>
      <c r="E2078" s="10" t="s">
        <v>885</v>
      </c>
      <c r="F2078" s="10" t="s">
        <v>805</v>
      </c>
      <c r="G2078" s="8">
        <v>1</v>
      </c>
      <c r="H2078" s="11">
        <v>11000</v>
      </c>
      <c r="I2078" s="12">
        <v>42592</v>
      </c>
      <c r="J2078" s="13">
        <f t="shared" si="71"/>
        <v>0</v>
      </c>
      <c r="K2078" s="14"/>
      <c r="L2078" s="14"/>
      <c r="M2078" s="14"/>
      <c r="N2078" s="14"/>
      <c r="O2078" s="14"/>
      <c r="P2078" s="14"/>
      <c r="Q2078" s="14">
        <v>11000</v>
      </c>
      <c r="R2078" s="14"/>
      <c r="S2078" s="14"/>
      <c r="T2078" s="14"/>
      <c r="U2078" s="14"/>
      <c r="V2078" s="14"/>
      <c r="W2078" s="15">
        <f t="shared" si="72"/>
        <v>11000</v>
      </c>
      <c r="X2078" s="14"/>
      <c r="Y2078" s="14"/>
      <c r="Z2078" s="14"/>
      <c r="AA2078" s="14"/>
      <c r="AB2078" s="14"/>
      <c r="AC2078" s="14"/>
      <c r="AD2078" s="14"/>
      <c r="AE2078" s="14"/>
      <c r="AF2078" s="14"/>
      <c r="AG2078" s="14"/>
      <c r="AH2078" s="14"/>
      <c r="AI2078" s="14"/>
      <c r="AJ2078" s="15"/>
      <c r="AK2078" s="16"/>
    </row>
    <row r="2079" spans="2:37" x14ac:dyDescent="0.2">
      <c r="B2079" s="7" t="s">
        <v>73</v>
      </c>
      <c r="C2079" s="8"/>
      <c r="D2079" s="9" t="s">
        <v>806</v>
      </c>
      <c r="E2079" s="10" t="s">
        <v>885</v>
      </c>
      <c r="F2079" s="10" t="s">
        <v>805</v>
      </c>
      <c r="G2079" s="8">
        <v>1</v>
      </c>
      <c r="H2079" s="11">
        <v>11000</v>
      </c>
      <c r="I2079" s="12">
        <v>42604</v>
      </c>
      <c r="J2079" s="13">
        <f t="shared" si="71"/>
        <v>0</v>
      </c>
      <c r="K2079" s="14"/>
      <c r="L2079" s="14"/>
      <c r="M2079" s="14"/>
      <c r="N2079" s="14"/>
      <c r="O2079" s="14"/>
      <c r="P2079" s="14"/>
      <c r="Q2079" s="14"/>
      <c r="R2079" s="14">
        <v>11000</v>
      </c>
      <c r="S2079" s="14"/>
      <c r="T2079" s="14"/>
      <c r="U2079" s="14"/>
      <c r="V2079" s="14"/>
      <c r="W2079" s="15">
        <f t="shared" si="72"/>
        <v>11000</v>
      </c>
      <c r="X2079" s="14"/>
      <c r="Y2079" s="14"/>
      <c r="Z2079" s="14"/>
      <c r="AA2079" s="14"/>
      <c r="AB2079" s="14"/>
      <c r="AC2079" s="14"/>
      <c r="AD2079" s="14"/>
      <c r="AE2079" s="14"/>
      <c r="AF2079" s="14"/>
      <c r="AG2079" s="14"/>
      <c r="AH2079" s="14"/>
      <c r="AI2079" s="14"/>
      <c r="AJ2079" s="15"/>
      <c r="AK2079" s="16"/>
    </row>
    <row r="2080" spans="2:37" x14ac:dyDescent="0.2">
      <c r="B2080" s="7" t="s">
        <v>93</v>
      </c>
      <c r="C2080" s="8"/>
      <c r="D2080" s="9"/>
      <c r="E2080" s="10" t="s">
        <v>93</v>
      </c>
      <c r="F2080" s="10" t="s">
        <v>93</v>
      </c>
      <c r="G2080" s="8"/>
      <c r="H2080" s="11"/>
      <c r="I2080" s="12"/>
      <c r="J2080" s="13">
        <f t="shared" si="71"/>
        <v>0</v>
      </c>
      <c r="K2080" s="14"/>
      <c r="L2080" s="14"/>
      <c r="M2080" s="14"/>
      <c r="N2080" s="14"/>
      <c r="O2080" s="14"/>
      <c r="P2080" s="14"/>
      <c r="Q2080" s="14"/>
      <c r="R2080" s="14"/>
      <c r="S2080" s="14"/>
      <c r="T2080" s="14"/>
      <c r="U2080" s="14"/>
      <c r="V2080" s="14"/>
      <c r="W2080" s="15">
        <f t="shared" si="72"/>
        <v>0</v>
      </c>
      <c r="X2080" s="14"/>
      <c r="Y2080" s="14"/>
      <c r="Z2080" s="14"/>
      <c r="AA2080" s="14"/>
      <c r="AB2080" s="14"/>
      <c r="AC2080" s="14"/>
      <c r="AD2080" s="14"/>
      <c r="AE2080" s="14"/>
      <c r="AF2080" s="14"/>
      <c r="AG2080" s="14"/>
      <c r="AH2080" s="14"/>
      <c r="AI2080" s="14"/>
      <c r="AJ2080" s="15"/>
      <c r="AK2080" s="16"/>
    </row>
    <row r="2081" spans="1:37" x14ac:dyDescent="0.2">
      <c r="B2081" s="7" t="s">
        <v>93</v>
      </c>
      <c r="C2081" s="8"/>
      <c r="D2081" s="9"/>
      <c r="E2081" s="10" t="s">
        <v>93</v>
      </c>
      <c r="F2081" s="10" t="s">
        <v>93</v>
      </c>
      <c r="G2081" s="8"/>
      <c r="H2081" s="11"/>
      <c r="I2081" s="12"/>
      <c r="J2081" s="13">
        <f t="shared" si="71"/>
        <v>0</v>
      </c>
      <c r="K2081" s="14"/>
      <c r="L2081" s="14"/>
      <c r="M2081" s="14"/>
      <c r="N2081" s="14"/>
      <c r="O2081" s="14"/>
      <c r="P2081" s="14"/>
      <c r="Q2081" s="14"/>
      <c r="R2081" s="14"/>
      <c r="S2081" s="14"/>
      <c r="T2081" s="14"/>
      <c r="U2081" s="14"/>
      <c r="V2081" s="14"/>
      <c r="W2081" s="15">
        <f t="shared" si="72"/>
        <v>0</v>
      </c>
      <c r="X2081" s="14"/>
      <c r="Y2081" s="14"/>
      <c r="Z2081" s="14"/>
      <c r="AA2081" s="14"/>
      <c r="AB2081" s="14"/>
      <c r="AC2081" s="14"/>
      <c r="AD2081" s="14"/>
      <c r="AE2081" s="14"/>
      <c r="AF2081" s="14"/>
      <c r="AG2081" s="14"/>
      <c r="AH2081" s="14"/>
      <c r="AI2081" s="14"/>
      <c r="AJ2081" s="15"/>
      <c r="AK2081" s="16"/>
    </row>
    <row r="2082" spans="1:37" ht="22.5" x14ac:dyDescent="0.2">
      <c r="A2082" s="2" t="s">
        <v>0</v>
      </c>
      <c r="B2082" s="3" t="s">
        <v>1</v>
      </c>
      <c r="C2082" s="3" t="s">
        <v>2</v>
      </c>
      <c r="D2082" s="3" t="s">
        <v>3</v>
      </c>
      <c r="E2082" s="3" t="s">
        <v>4</v>
      </c>
      <c r="F2082" s="3" t="s">
        <v>5</v>
      </c>
      <c r="G2082" s="3" t="s">
        <v>6</v>
      </c>
      <c r="H2082" s="3" t="s">
        <v>7</v>
      </c>
      <c r="I2082" s="3" t="s">
        <v>8</v>
      </c>
      <c r="J2082" s="3" t="s">
        <v>9</v>
      </c>
      <c r="K2082" s="4" t="s">
        <v>10</v>
      </c>
      <c r="L2082" s="4" t="s">
        <v>11</v>
      </c>
      <c r="M2082" s="4" t="s">
        <v>12</v>
      </c>
      <c r="N2082" s="4" t="s">
        <v>13</v>
      </c>
      <c r="O2082" s="4" t="s">
        <v>14</v>
      </c>
      <c r="P2082" s="4" t="s">
        <v>15</v>
      </c>
      <c r="Q2082" s="4" t="s">
        <v>16</v>
      </c>
      <c r="R2082" s="4" t="s">
        <v>17</v>
      </c>
      <c r="S2082" s="4" t="s">
        <v>18</v>
      </c>
      <c r="T2082" s="4" t="s">
        <v>19</v>
      </c>
      <c r="U2082" s="4" t="s">
        <v>20</v>
      </c>
      <c r="V2082" s="4" t="s">
        <v>21</v>
      </c>
      <c r="W2082" s="5" t="s">
        <v>22</v>
      </c>
      <c r="X2082" s="4" t="s">
        <v>23</v>
      </c>
      <c r="Y2082" s="4" t="s">
        <v>24</v>
      </c>
      <c r="Z2082" s="4" t="s">
        <v>25</v>
      </c>
      <c r="AA2082" s="4" t="s">
        <v>26</v>
      </c>
      <c r="AB2082" s="4" t="s">
        <v>27</v>
      </c>
      <c r="AC2082" s="4" t="s">
        <v>28</v>
      </c>
      <c r="AD2082" s="4" t="s">
        <v>29</v>
      </c>
      <c r="AE2082" s="4" t="s">
        <v>30</v>
      </c>
      <c r="AF2082" s="4" t="s">
        <v>31</v>
      </c>
      <c r="AG2082" s="4" t="s">
        <v>32</v>
      </c>
      <c r="AH2082" s="4" t="s">
        <v>33</v>
      </c>
      <c r="AI2082" s="4" t="s">
        <v>34</v>
      </c>
      <c r="AJ2082" s="5" t="s">
        <v>35</v>
      </c>
      <c r="AK2082" s="6" t="s">
        <v>36</v>
      </c>
    </row>
    <row r="2083" spans="1:37" x14ac:dyDescent="0.2">
      <c r="B2083" s="7" t="s">
        <v>93</v>
      </c>
      <c r="C2083" s="8">
        <v>12745</v>
      </c>
      <c r="D2083" s="9"/>
      <c r="E2083" s="10" t="s">
        <v>93</v>
      </c>
      <c r="F2083" s="10" t="s">
        <v>93</v>
      </c>
      <c r="G2083" s="8">
        <v>8</v>
      </c>
      <c r="H2083" s="11"/>
      <c r="I2083" s="12"/>
      <c r="J2083" s="13">
        <f t="shared" ref="J2083:J2146" si="73">IF(G2083=1,SUM(W2083,-H2083),0)</f>
        <v>0</v>
      </c>
      <c r="K2083" s="14"/>
      <c r="L2083" s="14"/>
      <c r="M2083" s="14"/>
      <c r="N2083" s="14"/>
      <c r="O2083" s="14"/>
      <c r="P2083" s="14"/>
      <c r="Q2083" s="14"/>
      <c r="R2083" s="14"/>
      <c r="S2083" s="14"/>
      <c r="T2083" s="14"/>
      <c r="U2083" s="14"/>
      <c r="V2083" s="14"/>
      <c r="W2083" s="15">
        <f t="shared" ref="W2083:W2146" si="74">SUM(K2083:V2083)</f>
        <v>0</v>
      </c>
      <c r="X2083" s="14"/>
      <c r="Y2083" s="14"/>
      <c r="Z2083" s="14"/>
      <c r="AA2083" s="14"/>
      <c r="AB2083" s="14"/>
      <c r="AC2083" s="14"/>
      <c r="AD2083" s="14"/>
      <c r="AE2083" s="14"/>
      <c r="AF2083" s="14"/>
      <c r="AG2083" s="14"/>
      <c r="AH2083" s="14"/>
      <c r="AI2083" s="14"/>
      <c r="AJ2083" s="15"/>
      <c r="AK2083" s="16"/>
    </row>
    <row r="2084" spans="1:37" x14ac:dyDescent="0.2">
      <c r="B2084" s="7" t="s">
        <v>69</v>
      </c>
      <c r="C2084" s="8">
        <v>12746</v>
      </c>
      <c r="D2084" s="9" t="s">
        <v>461</v>
      </c>
      <c r="E2084" s="10" t="s">
        <v>462</v>
      </c>
      <c r="F2084" s="10" t="s">
        <v>463</v>
      </c>
      <c r="G2084" s="8">
        <v>5</v>
      </c>
      <c r="H2084" s="11">
        <v>150</v>
      </c>
      <c r="I2084" s="12">
        <v>42611</v>
      </c>
      <c r="J2084" s="13">
        <f t="shared" si="73"/>
        <v>0</v>
      </c>
      <c r="K2084" s="14"/>
      <c r="L2084" s="14"/>
      <c r="M2084" s="14"/>
      <c r="N2084" s="14"/>
      <c r="O2084" s="14"/>
      <c r="P2084" s="14"/>
      <c r="Q2084" s="14"/>
      <c r="R2084" s="14"/>
      <c r="S2084" s="14"/>
      <c r="T2084" s="14"/>
      <c r="U2084" s="14"/>
      <c r="V2084" s="14"/>
      <c r="W2084" s="15">
        <f t="shared" si="74"/>
        <v>0</v>
      </c>
      <c r="X2084" s="14"/>
      <c r="Y2084" s="14"/>
      <c r="Z2084" s="14"/>
      <c r="AA2084" s="14"/>
      <c r="AB2084" s="14"/>
      <c r="AC2084" s="14"/>
      <c r="AD2084" s="14"/>
      <c r="AE2084" s="14"/>
      <c r="AF2084" s="14"/>
      <c r="AG2084" s="14"/>
      <c r="AH2084" s="14"/>
      <c r="AI2084" s="14"/>
      <c r="AJ2084" s="15"/>
      <c r="AK2084" s="16"/>
    </row>
    <row r="2085" spans="1:37" x14ac:dyDescent="0.2">
      <c r="B2085" s="7" t="s">
        <v>122</v>
      </c>
      <c r="C2085" s="8">
        <v>12747</v>
      </c>
      <c r="D2085" s="9" t="s">
        <v>220</v>
      </c>
      <c r="E2085" s="10" t="s">
        <v>221</v>
      </c>
      <c r="F2085" s="10" t="s">
        <v>222</v>
      </c>
      <c r="G2085" s="8">
        <v>1</v>
      </c>
      <c r="H2085" s="11">
        <v>300</v>
      </c>
      <c r="I2085" s="12">
        <v>42612</v>
      </c>
      <c r="J2085" s="13">
        <f t="shared" si="73"/>
        <v>0</v>
      </c>
      <c r="K2085" s="14"/>
      <c r="L2085" s="14"/>
      <c r="M2085" s="14"/>
      <c r="N2085" s="14"/>
      <c r="O2085" s="14"/>
      <c r="P2085" s="14"/>
      <c r="Q2085" s="14"/>
      <c r="R2085" s="14">
        <v>300</v>
      </c>
      <c r="S2085" s="14"/>
      <c r="T2085" s="14"/>
      <c r="U2085" s="14"/>
      <c r="V2085" s="14"/>
      <c r="W2085" s="15">
        <f t="shared" si="74"/>
        <v>300</v>
      </c>
      <c r="X2085" s="14"/>
      <c r="Y2085" s="14"/>
      <c r="Z2085" s="14"/>
      <c r="AA2085" s="14"/>
      <c r="AB2085" s="14"/>
      <c r="AC2085" s="14"/>
      <c r="AD2085" s="14"/>
      <c r="AE2085" s="14"/>
      <c r="AF2085" s="14"/>
      <c r="AG2085" s="14"/>
      <c r="AH2085" s="14"/>
      <c r="AI2085" s="14"/>
      <c r="AJ2085" s="15"/>
      <c r="AK2085" s="16"/>
    </row>
    <row r="2086" spans="1:37" x14ac:dyDescent="0.2">
      <c r="B2086" s="7" t="s">
        <v>47</v>
      </c>
      <c r="C2086" s="8">
        <v>12748</v>
      </c>
      <c r="D2086" s="9" t="s">
        <v>497</v>
      </c>
      <c r="E2086" s="10" t="s">
        <v>498</v>
      </c>
      <c r="F2086" s="10" t="s">
        <v>499</v>
      </c>
      <c r="G2086" s="8">
        <v>1</v>
      </c>
      <c r="H2086" s="11">
        <v>800</v>
      </c>
      <c r="I2086" s="12">
        <v>42612</v>
      </c>
      <c r="J2086" s="13">
        <f t="shared" si="73"/>
        <v>0</v>
      </c>
      <c r="K2086" s="14"/>
      <c r="L2086" s="14"/>
      <c r="M2086" s="14"/>
      <c r="N2086" s="14"/>
      <c r="O2086" s="14"/>
      <c r="P2086" s="14"/>
      <c r="Q2086" s="14"/>
      <c r="R2086" s="14">
        <v>400</v>
      </c>
      <c r="S2086" s="14">
        <v>400</v>
      </c>
      <c r="T2086" s="14"/>
      <c r="U2086" s="14"/>
      <c r="V2086" s="14"/>
      <c r="W2086" s="15">
        <f t="shared" si="74"/>
        <v>800</v>
      </c>
      <c r="X2086" s="14"/>
      <c r="Y2086" s="14"/>
      <c r="Z2086" s="14"/>
      <c r="AA2086" s="14"/>
      <c r="AB2086" s="14"/>
      <c r="AC2086" s="14"/>
      <c r="AD2086" s="14"/>
      <c r="AE2086" s="14"/>
      <c r="AF2086" s="14"/>
      <c r="AG2086" s="14"/>
      <c r="AH2086" s="14"/>
      <c r="AI2086" s="14"/>
      <c r="AJ2086" s="15"/>
      <c r="AK2086" s="16"/>
    </row>
    <row r="2087" spans="1:37" x14ac:dyDescent="0.2">
      <c r="B2087" s="7" t="s">
        <v>73</v>
      </c>
      <c r="C2087" s="8">
        <v>12749</v>
      </c>
      <c r="D2087" s="9" t="s">
        <v>199</v>
      </c>
      <c r="E2087" s="10" t="s">
        <v>200</v>
      </c>
      <c r="F2087" s="10" t="s">
        <v>201</v>
      </c>
      <c r="G2087" s="8">
        <v>1</v>
      </c>
      <c r="H2087" s="11">
        <v>800</v>
      </c>
      <c r="I2087" s="12">
        <v>42613</v>
      </c>
      <c r="J2087" s="13">
        <f t="shared" si="73"/>
        <v>0</v>
      </c>
      <c r="K2087" s="14"/>
      <c r="L2087" s="14"/>
      <c r="M2087" s="14"/>
      <c r="N2087" s="14"/>
      <c r="O2087" s="14"/>
      <c r="P2087" s="14">
        <v>400</v>
      </c>
      <c r="Q2087" s="14">
        <v>400</v>
      </c>
      <c r="R2087" s="14"/>
      <c r="S2087" s="14"/>
      <c r="T2087" s="14"/>
      <c r="U2087" s="14"/>
      <c r="V2087" s="14"/>
      <c r="W2087" s="15">
        <f t="shared" si="74"/>
        <v>800</v>
      </c>
      <c r="X2087" s="14"/>
      <c r="Y2087" s="14"/>
      <c r="Z2087" s="14"/>
      <c r="AA2087" s="14"/>
      <c r="AB2087" s="14"/>
      <c r="AC2087" s="14"/>
      <c r="AD2087" s="14"/>
      <c r="AE2087" s="14"/>
      <c r="AF2087" s="14"/>
      <c r="AG2087" s="14"/>
      <c r="AH2087" s="14"/>
      <c r="AI2087" s="14"/>
      <c r="AJ2087" s="15"/>
      <c r="AK2087" s="16"/>
    </row>
    <row r="2088" spans="1:37" x14ac:dyDescent="0.2">
      <c r="B2088" s="7" t="s">
        <v>73</v>
      </c>
      <c r="C2088" s="8">
        <v>12749</v>
      </c>
      <c r="D2088" s="9" t="s">
        <v>199</v>
      </c>
      <c r="E2088" s="10" t="s">
        <v>200</v>
      </c>
      <c r="F2088" s="10" t="s">
        <v>201</v>
      </c>
      <c r="G2088" s="8">
        <v>5</v>
      </c>
      <c r="H2088" s="11">
        <v>100</v>
      </c>
      <c r="I2088" s="12">
        <v>42613</v>
      </c>
      <c r="J2088" s="13">
        <f t="shared" si="73"/>
        <v>0</v>
      </c>
      <c r="K2088" s="14"/>
      <c r="L2088" s="14"/>
      <c r="M2088" s="14"/>
      <c r="N2088" s="14"/>
      <c r="O2088" s="14"/>
      <c r="P2088" s="14"/>
      <c r="Q2088" s="14"/>
      <c r="R2088" s="14"/>
      <c r="S2088" s="14"/>
      <c r="T2088" s="14"/>
      <c r="U2088" s="14"/>
      <c r="V2088" s="14"/>
      <c r="W2088" s="15">
        <f t="shared" si="74"/>
        <v>0</v>
      </c>
      <c r="X2088" s="14"/>
      <c r="Y2088" s="14"/>
      <c r="Z2088" s="14"/>
      <c r="AA2088" s="14"/>
      <c r="AB2088" s="14"/>
      <c r="AC2088" s="14"/>
      <c r="AD2088" s="14"/>
      <c r="AE2088" s="14"/>
      <c r="AF2088" s="14"/>
      <c r="AG2088" s="14"/>
      <c r="AH2088" s="14"/>
      <c r="AI2088" s="14"/>
      <c r="AJ2088" s="15"/>
      <c r="AK2088" s="16"/>
    </row>
    <row r="2089" spans="1:37" x14ac:dyDescent="0.2">
      <c r="B2089" s="7" t="s">
        <v>77</v>
      </c>
      <c r="C2089" s="8">
        <v>12750</v>
      </c>
      <c r="D2089" s="9" t="s">
        <v>1184</v>
      </c>
      <c r="E2089" s="10" t="s">
        <v>1185</v>
      </c>
      <c r="F2089" s="10" t="s">
        <v>1186</v>
      </c>
      <c r="G2089" s="8">
        <v>1</v>
      </c>
      <c r="H2089" s="11">
        <v>400</v>
      </c>
      <c r="I2089" s="12">
        <v>42614</v>
      </c>
      <c r="J2089" s="13">
        <f t="shared" si="73"/>
        <v>0</v>
      </c>
      <c r="K2089" s="14"/>
      <c r="L2089" s="14"/>
      <c r="M2089" s="14"/>
      <c r="N2089" s="14"/>
      <c r="O2089" s="14"/>
      <c r="P2089" s="14"/>
      <c r="Q2089" s="14"/>
      <c r="R2089" s="14"/>
      <c r="S2089" s="14">
        <v>400</v>
      </c>
      <c r="T2089" s="14"/>
      <c r="U2089" s="14"/>
      <c r="V2089" s="14"/>
      <c r="W2089" s="15">
        <f t="shared" si="74"/>
        <v>400</v>
      </c>
      <c r="X2089" s="14"/>
      <c r="Y2089" s="14"/>
      <c r="Z2089" s="14"/>
      <c r="AA2089" s="14"/>
      <c r="AB2089" s="14"/>
      <c r="AC2089" s="14"/>
      <c r="AD2089" s="14"/>
      <c r="AE2089" s="14"/>
      <c r="AF2089" s="14"/>
      <c r="AG2089" s="14"/>
      <c r="AH2089" s="14"/>
      <c r="AI2089" s="14"/>
      <c r="AJ2089" s="15"/>
      <c r="AK2089" s="16"/>
    </row>
    <row r="2090" spans="1:37" x14ac:dyDescent="0.2">
      <c r="B2090" s="7" t="s">
        <v>77</v>
      </c>
      <c r="C2090" s="8">
        <v>12751</v>
      </c>
      <c r="D2090" s="9" t="s">
        <v>1184</v>
      </c>
      <c r="E2090" s="10" t="s">
        <v>1185</v>
      </c>
      <c r="F2090" s="10" t="s">
        <v>1186</v>
      </c>
      <c r="G2090" s="8">
        <v>4</v>
      </c>
      <c r="H2090" s="11">
        <v>200</v>
      </c>
      <c r="I2090" s="12">
        <v>42614</v>
      </c>
      <c r="J2090" s="13">
        <f t="shared" si="73"/>
        <v>0</v>
      </c>
      <c r="K2090" s="14"/>
      <c r="L2090" s="14"/>
      <c r="M2090" s="14"/>
      <c r="N2090" s="14"/>
      <c r="O2090" s="14"/>
      <c r="P2090" s="14"/>
      <c r="Q2090" s="14"/>
      <c r="R2090" s="14"/>
      <c r="S2090" s="14"/>
      <c r="T2090" s="14"/>
      <c r="U2090" s="14"/>
      <c r="V2090" s="14"/>
      <c r="W2090" s="15">
        <f t="shared" si="74"/>
        <v>0</v>
      </c>
      <c r="X2090" s="14"/>
      <c r="Y2090" s="14"/>
      <c r="Z2090" s="14"/>
      <c r="AA2090" s="14"/>
      <c r="AB2090" s="14"/>
      <c r="AC2090" s="14"/>
      <c r="AD2090" s="14"/>
      <c r="AE2090" s="14"/>
      <c r="AF2090" s="14"/>
      <c r="AG2090" s="14"/>
      <c r="AH2090" s="14"/>
      <c r="AI2090" s="14"/>
      <c r="AJ2090" s="15"/>
      <c r="AK2090" s="7">
        <v>10451898</v>
      </c>
    </row>
    <row r="2091" spans="1:37" x14ac:dyDescent="0.2">
      <c r="B2091" s="7" t="s">
        <v>77</v>
      </c>
      <c r="C2091" s="8">
        <v>12751</v>
      </c>
      <c r="D2091" s="9" t="s">
        <v>1184</v>
      </c>
      <c r="E2091" s="10" t="s">
        <v>1185</v>
      </c>
      <c r="F2091" s="10" t="s">
        <v>1186</v>
      </c>
      <c r="G2091" s="8">
        <v>5</v>
      </c>
      <c r="H2091" s="11">
        <v>100</v>
      </c>
      <c r="I2091" s="12">
        <v>42614</v>
      </c>
      <c r="J2091" s="13">
        <f t="shared" si="73"/>
        <v>0</v>
      </c>
      <c r="K2091" s="14"/>
      <c r="L2091" s="14"/>
      <c r="M2091" s="14"/>
      <c r="N2091" s="14"/>
      <c r="O2091" s="14"/>
      <c r="P2091" s="14"/>
      <c r="Q2091" s="14"/>
      <c r="R2091" s="14"/>
      <c r="S2091" s="14"/>
      <c r="T2091" s="14"/>
      <c r="U2091" s="14"/>
      <c r="V2091" s="14"/>
      <c r="W2091" s="15">
        <f t="shared" si="74"/>
        <v>0</v>
      </c>
      <c r="X2091" s="14"/>
      <c r="Y2091" s="14"/>
      <c r="Z2091" s="14"/>
      <c r="AA2091" s="14"/>
      <c r="AB2091" s="14"/>
      <c r="AC2091" s="14"/>
      <c r="AD2091" s="14"/>
      <c r="AE2091" s="14"/>
      <c r="AF2091" s="14"/>
      <c r="AG2091" s="14"/>
      <c r="AH2091" s="14"/>
      <c r="AI2091" s="14"/>
      <c r="AJ2091" s="15"/>
      <c r="AK2091" s="16"/>
    </row>
    <row r="2092" spans="1:37" x14ac:dyDescent="0.2">
      <c r="B2092" s="7" t="s">
        <v>69</v>
      </c>
      <c r="C2092" s="8">
        <v>12752</v>
      </c>
      <c r="D2092" s="9" t="s">
        <v>1181</v>
      </c>
      <c r="E2092" s="10" t="s">
        <v>1182</v>
      </c>
      <c r="F2092" s="10" t="s">
        <v>1183</v>
      </c>
      <c r="G2092" s="8">
        <v>1</v>
      </c>
      <c r="H2092" s="11">
        <v>1000</v>
      </c>
      <c r="I2092" s="12">
        <v>42614</v>
      </c>
      <c r="J2092" s="13">
        <f t="shared" si="73"/>
        <v>0</v>
      </c>
      <c r="K2092" s="14">
        <v>200</v>
      </c>
      <c r="L2092" s="14">
        <v>200</v>
      </c>
      <c r="M2092" s="14">
        <v>200</v>
      </c>
      <c r="N2092" s="14">
        <v>200</v>
      </c>
      <c r="O2092" s="14">
        <v>200</v>
      </c>
      <c r="P2092" s="14"/>
      <c r="Q2092" s="14"/>
      <c r="R2092" s="14"/>
      <c r="S2092" s="14"/>
      <c r="T2092" s="14"/>
      <c r="U2092" s="14"/>
      <c r="V2092" s="14"/>
      <c r="W2092" s="15">
        <f t="shared" si="74"/>
        <v>1000</v>
      </c>
      <c r="X2092" s="14"/>
      <c r="Y2092" s="14"/>
      <c r="Z2092" s="14"/>
      <c r="AA2092" s="14"/>
      <c r="AB2092" s="14"/>
      <c r="AC2092" s="14"/>
      <c r="AD2092" s="14"/>
      <c r="AE2092" s="14"/>
      <c r="AF2092" s="14"/>
      <c r="AG2092" s="14"/>
      <c r="AH2092" s="14"/>
      <c r="AI2092" s="14"/>
      <c r="AJ2092" s="15"/>
      <c r="AK2092" s="16"/>
    </row>
    <row r="2093" spans="1:37" x14ac:dyDescent="0.2">
      <c r="B2093" s="7" t="s">
        <v>77</v>
      </c>
      <c r="C2093" s="8">
        <v>12753</v>
      </c>
      <c r="D2093" s="9" t="s">
        <v>380</v>
      </c>
      <c r="E2093" s="10" t="s">
        <v>381</v>
      </c>
      <c r="F2093" s="10" t="s">
        <v>382</v>
      </c>
      <c r="G2093" s="8">
        <v>1</v>
      </c>
      <c r="H2093" s="11">
        <v>1500</v>
      </c>
      <c r="I2093" s="12">
        <v>42614</v>
      </c>
      <c r="J2093" s="13">
        <f t="shared" si="73"/>
        <v>0</v>
      </c>
      <c r="K2093" s="14"/>
      <c r="L2093" s="14"/>
      <c r="M2093" s="14"/>
      <c r="N2093" s="14"/>
      <c r="O2093" s="14"/>
      <c r="P2093" s="14"/>
      <c r="Q2093" s="14"/>
      <c r="R2093" s="14">
        <v>300</v>
      </c>
      <c r="S2093" s="14">
        <v>300</v>
      </c>
      <c r="T2093" s="14">
        <v>300</v>
      </c>
      <c r="U2093" s="14">
        <v>300</v>
      </c>
      <c r="V2093" s="14">
        <v>300</v>
      </c>
      <c r="W2093" s="15">
        <f t="shared" si="74"/>
        <v>1500</v>
      </c>
      <c r="X2093" s="14"/>
      <c r="Y2093" s="14"/>
      <c r="Z2093" s="14"/>
      <c r="AA2093" s="14"/>
      <c r="AB2093" s="14"/>
      <c r="AC2093" s="14"/>
      <c r="AD2093" s="14"/>
      <c r="AE2093" s="14"/>
      <c r="AF2093" s="14"/>
      <c r="AG2093" s="14"/>
      <c r="AH2093" s="14"/>
      <c r="AI2093" s="14"/>
      <c r="AJ2093" s="15"/>
      <c r="AK2093" s="16"/>
    </row>
    <row r="2094" spans="1:37" x14ac:dyDescent="0.2">
      <c r="B2094" s="7" t="s">
        <v>69</v>
      </c>
      <c r="C2094" s="8">
        <v>12754</v>
      </c>
      <c r="D2094" s="9" t="s">
        <v>211</v>
      </c>
      <c r="E2094" s="10" t="s">
        <v>212</v>
      </c>
      <c r="F2094" s="10" t="s">
        <v>213</v>
      </c>
      <c r="G2094" s="8"/>
      <c r="H2094" s="11"/>
      <c r="I2094" s="12"/>
      <c r="J2094" s="13">
        <f t="shared" si="73"/>
        <v>0</v>
      </c>
      <c r="K2094" s="14"/>
      <c r="L2094" s="14"/>
      <c r="M2094" s="14"/>
      <c r="N2094" s="14"/>
      <c r="O2094" s="14"/>
      <c r="P2094" s="14"/>
      <c r="Q2094" s="14"/>
      <c r="R2094" s="14"/>
      <c r="S2094" s="14"/>
      <c r="T2094" s="14"/>
      <c r="U2094" s="14"/>
      <c r="V2094" s="14"/>
      <c r="W2094" s="15">
        <f t="shared" si="74"/>
        <v>0</v>
      </c>
      <c r="X2094" s="14"/>
      <c r="Y2094" s="14"/>
      <c r="Z2094" s="14"/>
      <c r="AA2094" s="14"/>
      <c r="AB2094" s="14"/>
      <c r="AC2094" s="14"/>
      <c r="AD2094" s="14"/>
      <c r="AE2094" s="14"/>
      <c r="AF2094" s="14"/>
      <c r="AG2094" s="14"/>
      <c r="AH2094" s="14"/>
      <c r="AI2094" s="14"/>
      <c r="AJ2094" s="15"/>
      <c r="AK2094" s="16"/>
    </row>
    <row r="2095" spans="1:37" x14ac:dyDescent="0.2">
      <c r="B2095" s="7" t="s">
        <v>37</v>
      </c>
      <c r="C2095" s="8">
        <v>12755</v>
      </c>
      <c r="D2095" s="9" t="s">
        <v>94</v>
      </c>
      <c r="E2095" s="10" t="s">
        <v>95</v>
      </c>
      <c r="F2095" s="10" t="s">
        <v>96</v>
      </c>
      <c r="G2095" s="8">
        <v>1</v>
      </c>
      <c r="H2095" s="11">
        <v>400</v>
      </c>
      <c r="I2095" s="12">
        <v>42617</v>
      </c>
      <c r="J2095" s="13">
        <f t="shared" si="73"/>
        <v>0</v>
      </c>
      <c r="K2095" s="14"/>
      <c r="L2095" s="14"/>
      <c r="M2095" s="14"/>
      <c r="N2095" s="14"/>
      <c r="O2095" s="14"/>
      <c r="P2095" s="14"/>
      <c r="Q2095" s="14"/>
      <c r="R2095" s="14"/>
      <c r="S2095" s="14">
        <v>400</v>
      </c>
      <c r="T2095" s="14"/>
      <c r="U2095" s="14"/>
      <c r="V2095" s="14"/>
      <c r="W2095" s="15">
        <f t="shared" si="74"/>
        <v>400</v>
      </c>
      <c r="X2095" s="14"/>
      <c r="Y2095" s="14"/>
      <c r="Z2095" s="14"/>
      <c r="AA2095" s="14"/>
      <c r="AB2095" s="14"/>
      <c r="AC2095" s="14"/>
      <c r="AD2095" s="14"/>
      <c r="AE2095" s="14"/>
      <c r="AF2095" s="14"/>
      <c r="AG2095" s="14"/>
      <c r="AH2095" s="14"/>
      <c r="AI2095" s="14"/>
      <c r="AJ2095" s="15"/>
      <c r="AK2095" s="16"/>
    </row>
    <row r="2096" spans="1:37" x14ac:dyDescent="0.2">
      <c r="B2096" s="7" t="s">
        <v>37</v>
      </c>
      <c r="C2096" s="8">
        <v>12756</v>
      </c>
      <c r="D2096" s="9" t="s">
        <v>669</v>
      </c>
      <c r="E2096" s="10" t="s">
        <v>670</v>
      </c>
      <c r="F2096" s="10" t="s">
        <v>671</v>
      </c>
      <c r="G2096" s="8">
        <v>1</v>
      </c>
      <c r="H2096" s="11">
        <v>800</v>
      </c>
      <c r="I2096" s="12">
        <v>42617</v>
      </c>
      <c r="J2096" s="13">
        <f t="shared" si="73"/>
        <v>0</v>
      </c>
      <c r="K2096" s="14"/>
      <c r="L2096" s="14"/>
      <c r="M2096" s="14"/>
      <c r="N2096" s="14"/>
      <c r="O2096" s="14"/>
      <c r="P2096" s="14">
        <v>400</v>
      </c>
      <c r="Q2096" s="14">
        <v>400</v>
      </c>
      <c r="R2096" s="14"/>
      <c r="S2096" s="14"/>
      <c r="T2096" s="14"/>
      <c r="U2096" s="14"/>
      <c r="V2096" s="14"/>
      <c r="W2096" s="15">
        <f t="shared" si="74"/>
        <v>800</v>
      </c>
      <c r="X2096" s="14"/>
      <c r="Y2096" s="14"/>
      <c r="Z2096" s="14"/>
      <c r="AA2096" s="14"/>
      <c r="AB2096" s="14"/>
      <c r="AC2096" s="14"/>
      <c r="AD2096" s="14"/>
      <c r="AE2096" s="14"/>
      <c r="AF2096" s="14"/>
      <c r="AG2096" s="14"/>
      <c r="AH2096" s="14"/>
      <c r="AI2096" s="14"/>
      <c r="AJ2096" s="15"/>
      <c r="AK2096" s="16"/>
    </row>
    <row r="2097" spans="2:37" x14ac:dyDescent="0.2">
      <c r="B2097" s="7" t="s">
        <v>61</v>
      </c>
      <c r="C2097" s="8">
        <v>12757</v>
      </c>
      <c r="D2097" s="9" t="s">
        <v>693</v>
      </c>
      <c r="E2097" s="10" t="s">
        <v>694</v>
      </c>
      <c r="F2097" s="10" t="s">
        <v>695</v>
      </c>
      <c r="G2097" s="8">
        <v>1</v>
      </c>
      <c r="H2097" s="11">
        <v>450</v>
      </c>
      <c r="I2097" s="12">
        <v>42617</v>
      </c>
      <c r="J2097" s="13">
        <f t="shared" si="73"/>
        <v>0</v>
      </c>
      <c r="K2097" s="14"/>
      <c r="L2097" s="14"/>
      <c r="M2097" s="14"/>
      <c r="N2097" s="14"/>
      <c r="O2097" s="14"/>
      <c r="P2097" s="14"/>
      <c r="Q2097" s="14">
        <v>150</v>
      </c>
      <c r="R2097" s="14">
        <v>150</v>
      </c>
      <c r="S2097" s="14">
        <v>150</v>
      </c>
      <c r="T2097" s="14"/>
      <c r="U2097" s="14"/>
      <c r="V2097" s="14"/>
      <c r="W2097" s="15">
        <f t="shared" si="74"/>
        <v>450</v>
      </c>
      <c r="X2097" s="14"/>
      <c r="Y2097" s="14"/>
      <c r="Z2097" s="14"/>
      <c r="AA2097" s="14"/>
      <c r="AB2097" s="14"/>
      <c r="AC2097" s="14"/>
      <c r="AD2097" s="14"/>
      <c r="AE2097" s="14"/>
      <c r="AF2097" s="14"/>
      <c r="AG2097" s="14"/>
      <c r="AH2097" s="14"/>
      <c r="AI2097" s="14"/>
      <c r="AJ2097" s="15"/>
      <c r="AK2097" s="16"/>
    </row>
    <row r="2098" spans="2:37" x14ac:dyDescent="0.2">
      <c r="B2098" s="7" t="s">
        <v>69</v>
      </c>
      <c r="C2098" s="8">
        <v>12758</v>
      </c>
      <c r="D2098" s="9" t="s">
        <v>1089</v>
      </c>
      <c r="E2098" s="10" t="s">
        <v>1090</v>
      </c>
      <c r="F2098" s="10" t="s">
        <v>1091</v>
      </c>
      <c r="G2098" s="8">
        <v>4</v>
      </c>
      <c r="H2098" s="11">
        <v>400</v>
      </c>
      <c r="I2098" s="12">
        <v>42617</v>
      </c>
      <c r="J2098" s="13">
        <f t="shared" si="73"/>
        <v>0</v>
      </c>
      <c r="K2098" s="14"/>
      <c r="L2098" s="14"/>
      <c r="M2098" s="14"/>
      <c r="N2098" s="14"/>
      <c r="O2098" s="14"/>
      <c r="P2098" s="14"/>
      <c r="Q2098" s="14"/>
      <c r="R2098" s="14"/>
      <c r="S2098" s="14"/>
      <c r="T2098" s="14"/>
      <c r="U2098" s="14"/>
      <c r="V2098" s="14"/>
      <c r="W2098" s="15">
        <f t="shared" si="74"/>
        <v>0</v>
      </c>
      <c r="X2098" s="14"/>
      <c r="Y2098" s="14"/>
      <c r="Z2098" s="14"/>
      <c r="AA2098" s="14"/>
      <c r="AB2098" s="14"/>
      <c r="AC2098" s="14"/>
      <c r="AD2098" s="14"/>
      <c r="AE2098" s="14"/>
      <c r="AF2098" s="14"/>
      <c r="AG2098" s="14"/>
      <c r="AH2098" s="14"/>
      <c r="AI2098" s="14"/>
      <c r="AJ2098" s="15"/>
      <c r="AK2098" s="7" t="s">
        <v>1187</v>
      </c>
    </row>
    <row r="2099" spans="2:37" x14ac:dyDescent="0.2">
      <c r="B2099" s="7" t="s">
        <v>47</v>
      </c>
      <c r="C2099" s="8">
        <v>12759</v>
      </c>
      <c r="D2099" s="9" t="s">
        <v>84</v>
      </c>
      <c r="E2099" s="10" t="s">
        <v>85</v>
      </c>
      <c r="F2099" s="10" t="s">
        <v>86</v>
      </c>
      <c r="G2099" s="8">
        <v>1</v>
      </c>
      <c r="H2099" s="11">
        <v>200</v>
      </c>
      <c r="I2099" s="12">
        <v>42617</v>
      </c>
      <c r="J2099" s="13">
        <f t="shared" si="73"/>
        <v>0</v>
      </c>
      <c r="K2099" s="14"/>
      <c r="L2099" s="14"/>
      <c r="M2099" s="14"/>
      <c r="N2099" s="14"/>
      <c r="O2099" s="14"/>
      <c r="P2099" s="14"/>
      <c r="Q2099" s="14"/>
      <c r="R2099" s="14"/>
      <c r="S2099" s="14">
        <v>200</v>
      </c>
      <c r="T2099" s="14"/>
      <c r="U2099" s="14"/>
      <c r="V2099" s="14"/>
      <c r="W2099" s="15">
        <f t="shared" si="74"/>
        <v>200</v>
      </c>
      <c r="X2099" s="14"/>
      <c r="Y2099" s="14"/>
      <c r="Z2099" s="14"/>
      <c r="AA2099" s="14"/>
      <c r="AB2099" s="14"/>
      <c r="AC2099" s="14"/>
      <c r="AD2099" s="14"/>
      <c r="AE2099" s="14"/>
      <c r="AF2099" s="14"/>
      <c r="AG2099" s="14"/>
      <c r="AH2099" s="14"/>
      <c r="AI2099" s="14"/>
      <c r="AJ2099" s="15"/>
      <c r="AK2099" s="16"/>
    </row>
    <row r="2100" spans="2:37" x14ac:dyDescent="0.2">
      <c r="B2100" s="7" t="s">
        <v>37</v>
      </c>
      <c r="C2100" s="8">
        <v>12760</v>
      </c>
      <c r="D2100" s="9" t="s">
        <v>814</v>
      </c>
      <c r="E2100" s="10" t="s">
        <v>815</v>
      </c>
      <c r="F2100" s="10" t="s">
        <v>1177</v>
      </c>
      <c r="G2100" s="8">
        <v>1</v>
      </c>
      <c r="H2100" s="11">
        <v>400</v>
      </c>
      <c r="I2100" s="12">
        <v>42617</v>
      </c>
      <c r="J2100" s="13">
        <f t="shared" si="73"/>
        <v>0</v>
      </c>
      <c r="K2100" s="14"/>
      <c r="L2100" s="14"/>
      <c r="M2100" s="14"/>
      <c r="N2100" s="14"/>
      <c r="O2100" s="14"/>
      <c r="P2100" s="14"/>
      <c r="Q2100" s="14"/>
      <c r="R2100" s="14"/>
      <c r="S2100" s="14">
        <v>400</v>
      </c>
      <c r="T2100" s="14"/>
      <c r="U2100" s="14"/>
      <c r="V2100" s="14"/>
      <c r="W2100" s="15">
        <f t="shared" si="74"/>
        <v>400</v>
      </c>
      <c r="X2100" s="14"/>
      <c r="Y2100" s="14"/>
      <c r="Z2100" s="14"/>
      <c r="AA2100" s="14"/>
      <c r="AB2100" s="14"/>
      <c r="AC2100" s="14"/>
      <c r="AD2100" s="14"/>
      <c r="AE2100" s="14"/>
      <c r="AF2100" s="14"/>
      <c r="AG2100" s="14"/>
      <c r="AH2100" s="14"/>
      <c r="AI2100" s="14"/>
      <c r="AJ2100" s="15"/>
      <c r="AK2100" s="16"/>
    </row>
    <row r="2101" spans="2:37" x14ac:dyDescent="0.2">
      <c r="B2101" s="7" t="s">
        <v>77</v>
      </c>
      <c r="C2101" s="8">
        <v>12761</v>
      </c>
      <c r="D2101" s="9" t="s">
        <v>820</v>
      </c>
      <c r="E2101" s="10" t="s">
        <v>821</v>
      </c>
      <c r="F2101" s="10" t="s">
        <v>822</v>
      </c>
      <c r="G2101" s="8">
        <v>1</v>
      </c>
      <c r="H2101" s="11">
        <v>300</v>
      </c>
      <c r="I2101" s="12">
        <v>42617</v>
      </c>
      <c r="J2101" s="13">
        <f t="shared" si="73"/>
        <v>0</v>
      </c>
      <c r="K2101" s="14"/>
      <c r="L2101" s="14"/>
      <c r="M2101" s="14"/>
      <c r="N2101" s="14"/>
      <c r="O2101" s="14"/>
      <c r="P2101" s="14"/>
      <c r="Q2101" s="14"/>
      <c r="R2101" s="14">
        <v>300</v>
      </c>
      <c r="S2101" s="14"/>
      <c r="T2101" s="14"/>
      <c r="U2101" s="14"/>
      <c r="V2101" s="14"/>
      <c r="W2101" s="15">
        <f t="shared" si="74"/>
        <v>300</v>
      </c>
      <c r="X2101" s="14"/>
      <c r="Y2101" s="14"/>
      <c r="Z2101" s="14"/>
      <c r="AA2101" s="14"/>
      <c r="AB2101" s="14"/>
      <c r="AC2101" s="14"/>
      <c r="AD2101" s="14"/>
      <c r="AE2101" s="14"/>
      <c r="AF2101" s="14"/>
      <c r="AG2101" s="14"/>
      <c r="AH2101" s="14"/>
      <c r="AI2101" s="14"/>
      <c r="AJ2101" s="15"/>
      <c r="AK2101" s="16"/>
    </row>
    <row r="2102" spans="2:37" x14ac:dyDescent="0.2">
      <c r="B2102" s="7" t="s">
        <v>73</v>
      </c>
      <c r="C2102" s="8">
        <v>12762</v>
      </c>
      <c r="D2102" s="9" t="s">
        <v>283</v>
      </c>
      <c r="E2102" s="10" t="s">
        <v>284</v>
      </c>
      <c r="F2102" s="10" t="s">
        <v>285</v>
      </c>
      <c r="G2102" s="8">
        <v>3</v>
      </c>
      <c r="H2102" s="11">
        <v>200</v>
      </c>
      <c r="I2102" s="12">
        <v>42617</v>
      </c>
      <c r="J2102" s="13">
        <f t="shared" si="73"/>
        <v>0</v>
      </c>
      <c r="K2102" s="14"/>
      <c r="L2102" s="14"/>
      <c r="M2102" s="14"/>
      <c r="N2102" s="14"/>
      <c r="O2102" s="14"/>
      <c r="P2102" s="14"/>
      <c r="Q2102" s="14"/>
      <c r="R2102" s="14"/>
      <c r="S2102" s="14"/>
      <c r="T2102" s="14"/>
      <c r="U2102" s="14"/>
      <c r="V2102" s="14"/>
      <c r="W2102" s="15">
        <f t="shared" si="74"/>
        <v>0</v>
      </c>
      <c r="X2102" s="14"/>
      <c r="Y2102" s="14"/>
      <c r="Z2102" s="14"/>
      <c r="AA2102" s="14"/>
      <c r="AB2102" s="14"/>
      <c r="AC2102" s="14"/>
      <c r="AD2102" s="14"/>
      <c r="AE2102" s="14"/>
      <c r="AF2102" s="14"/>
      <c r="AG2102" s="14"/>
      <c r="AH2102" s="14"/>
      <c r="AI2102" s="14"/>
      <c r="AJ2102" s="15"/>
      <c r="AK2102" s="16"/>
    </row>
    <row r="2103" spans="2:37" x14ac:dyDescent="0.2">
      <c r="B2103" s="7" t="s">
        <v>37</v>
      </c>
      <c r="C2103" s="8">
        <v>12763</v>
      </c>
      <c r="D2103" s="9" t="s">
        <v>646</v>
      </c>
      <c r="E2103" s="10" t="s">
        <v>647</v>
      </c>
      <c r="F2103" s="10" t="s">
        <v>648</v>
      </c>
      <c r="G2103" s="8">
        <v>1</v>
      </c>
      <c r="H2103" s="11">
        <v>400</v>
      </c>
      <c r="I2103" s="12">
        <v>42617</v>
      </c>
      <c r="J2103" s="13">
        <f t="shared" si="73"/>
        <v>0</v>
      </c>
      <c r="K2103" s="14"/>
      <c r="L2103" s="14"/>
      <c r="M2103" s="14"/>
      <c r="N2103" s="14"/>
      <c r="O2103" s="14"/>
      <c r="P2103" s="14"/>
      <c r="Q2103" s="14"/>
      <c r="R2103" s="14">
        <v>400</v>
      </c>
      <c r="S2103" s="14"/>
      <c r="T2103" s="14"/>
      <c r="U2103" s="14"/>
      <c r="V2103" s="14"/>
      <c r="W2103" s="15">
        <f t="shared" si="74"/>
        <v>400</v>
      </c>
      <c r="X2103" s="14"/>
      <c r="Y2103" s="14"/>
      <c r="Z2103" s="14"/>
      <c r="AA2103" s="14"/>
      <c r="AB2103" s="14"/>
      <c r="AC2103" s="14"/>
      <c r="AD2103" s="14"/>
      <c r="AE2103" s="14"/>
      <c r="AF2103" s="14"/>
      <c r="AG2103" s="14"/>
      <c r="AH2103" s="14"/>
      <c r="AI2103" s="14"/>
      <c r="AJ2103" s="15"/>
      <c r="AK2103" s="16"/>
    </row>
    <row r="2104" spans="2:37" x14ac:dyDescent="0.2">
      <c r="B2104" s="7" t="s">
        <v>77</v>
      </c>
      <c r="C2104" s="8">
        <v>12764</v>
      </c>
      <c r="D2104" s="9" t="s">
        <v>479</v>
      </c>
      <c r="E2104" s="10" t="s">
        <v>480</v>
      </c>
      <c r="F2104" s="10" t="s">
        <v>481</v>
      </c>
      <c r="G2104" s="8">
        <v>1</v>
      </c>
      <c r="H2104" s="11">
        <v>300</v>
      </c>
      <c r="I2104" s="12">
        <v>42617</v>
      </c>
      <c r="J2104" s="13">
        <f t="shared" si="73"/>
        <v>0</v>
      </c>
      <c r="K2104" s="14"/>
      <c r="L2104" s="14"/>
      <c r="M2104" s="14"/>
      <c r="N2104" s="14"/>
      <c r="O2104" s="14"/>
      <c r="P2104" s="14"/>
      <c r="Q2104" s="14"/>
      <c r="R2104" s="14"/>
      <c r="S2104" s="14">
        <v>300</v>
      </c>
      <c r="T2104" s="14"/>
      <c r="U2104" s="14"/>
      <c r="V2104" s="14"/>
      <c r="W2104" s="15">
        <f t="shared" si="74"/>
        <v>300</v>
      </c>
      <c r="X2104" s="14"/>
      <c r="Y2104" s="14"/>
      <c r="Z2104" s="14"/>
      <c r="AA2104" s="14"/>
      <c r="AB2104" s="14"/>
      <c r="AC2104" s="14"/>
      <c r="AD2104" s="14"/>
      <c r="AE2104" s="14"/>
      <c r="AF2104" s="14"/>
      <c r="AG2104" s="14"/>
      <c r="AH2104" s="14"/>
      <c r="AI2104" s="14"/>
      <c r="AJ2104" s="15"/>
      <c r="AK2104" s="16"/>
    </row>
    <row r="2105" spans="2:37" x14ac:dyDescent="0.2">
      <c r="B2105" s="7" t="s">
        <v>73</v>
      </c>
      <c r="C2105" s="8">
        <v>12765</v>
      </c>
      <c r="D2105" s="9" t="s">
        <v>407</v>
      </c>
      <c r="E2105" s="10" t="s">
        <v>408</v>
      </c>
      <c r="F2105" s="10" t="s">
        <v>409</v>
      </c>
      <c r="G2105" s="8">
        <v>1</v>
      </c>
      <c r="H2105" s="11">
        <v>800</v>
      </c>
      <c r="I2105" s="12">
        <v>42617</v>
      </c>
      <c r="J2105" s="13">
        <f t="shared" si="73"/>
        <v>0</v>
      </c>
      <c r="K2105" s="14"/>
      <c r="L2105" s="14"/>
      <c r="M2105" s="14"/>
      <c r="N2105" s="14"/>
      <c r="O2105" s="14"/>
      <c r="P2105" s="14"/>
      <c r="Q2105" s="14"/>
      <c r="R2105" s="14">
        <v>400</v>
      </c>
      <c r="S2105" s="14">
        <v>400</v>
      </c>
      <c r="T2105" s="14"/>
      <c r="U2105" s="14"/>
      <c r="V2105" s="14"/>
      <c r="W2105" s="15">
        <f t="shared" si="74"/>
        <v>800</v>
      </c>
      <c r="X2105" s="14"/>
      <c r="Y2105" s="14"/>
      <c r="Z2105" s="14"/>
      <c r="AA2105" s="14"/>
      <c r="AB2105" s="14"/>
      <c r="AC2105" s="14"/>
      <c r="AD2105" s="14"/>
      <c r="AE2105" s="14"/>
      <c r="AF2105" s="14"/>
      <c r="AG2105" s="14"/>
      <c r="AH2105" s="14"/>
      <c r="AI2105" s="14"/>
      <c r="AJ2105" s="15"/>
      <c r="AK2105" s="16"/>
    </row>
    <row r="2106" spans="2:37" x14ac:dyDescent="0.2">
      <c r="B2106" s="7" t="s">
        <v>77</v>
      </c>
      <c r="C2106" s="8">
        <v>12766</v>
      </c>
      <c r="D2106" s="9" t="s">
        <v>159</v>
      </c>
      <c r="E2106" s="10" t="s">
        <v>160</v>
      </c>
      <c r="F2106" s="10" t="s">
        <v>161</v>
      </c>
      <c r="G2106" s="8">
        <v>1</v>
      </c>
      <c r="H2106" s="11">
        <v>400</v>
      </c>
      <c r="I2106" s="12">
        <v>42617</v>
      </c>
      <c r="J2106" s="13">
        <f t="shared" si="73"/>
        <v>0</v>
      </c>
      <c r="K2106" s="14"/>
      <c r="L2106" s="14"/>
      <c r="M2106" s="14"/>
      <c r="N2106" s="14"/>
      <c r="O2106" s="14"/>
      <c r="P2106" s="14"/>
      <c r="Q2106" s="14"/>
      <c r="R2106" s="14">
        <v>400</v>
      </c>
      <c r="S2106" s="14"/>
      <c r="T2106" s="14"/>
      <c r="U2106" s="14"/>
      <c r="V2106" s="14"/>
      <c r="W2106" s="15">
        <f t="shared" si="74"/>
        <v>400</v>
      </c>
      <c r="X2106" s="14"/>
      <c r="Y2106" s="14"/>
      <c r="Z2106" s="14"/>
      <c r="AA2106" s="14"/>
      <c r="AB2106" s="14"/>
      <c r="AC2106" s="14"/>
      <c r="AD2106" s="14"/>
      <c r="AE2106" s="14"/>
      <c r="AF2106" s="14"/>
      <c r="AG2106" s="14"/>
      <c r="AH2106" s="14"/>
      <c r="AI2106" s="14"/>
      <c r="AJ2106" s="15"/>
      <c r="AK2106" s="16"/>
    </row>
    <row r="2107" spans="2:37" x14ac:dyDescent="0.2">
      <c r="B2107" s="7" t="s">
        <v>69</v>
      </c>
      <c r="C2107" s="8">
        <v>12767</v>
      </c>
      <c r="D2107" s="9" t="s">
        <v>625</v>
      </c>
      <c r="E2107" s="10" t="s">
        <v>626</v>
      </c>
      <c r="F2107" s="10" t="s">
        <v>627</v>
      </c>
      <c r="G2107" s="8">
        <v>1</v>
      </c>
      <c r="H2107" s="11">
        <v>800</v>
      </c>
      <c r="I2107" s="12">
        <v>42617</v>
      </c>
      <c r="J2107" s="13">
        <f t="shared" si="73"/>
        <v>0</v>
      </c>
      <c r="K2107" s="14"/>
      <c r="L2107" s="14"/>
      <c r="M2107" s="14"/>
      <c r="N2107" s="14"/>
      <c r="O2107" s="14"/>
      <c r="P2107" s="14"/>
      <c r="Q2107" s="14">
        <v>400</v>
      </c>
      <c r="R2107" s="14">
        <v>400</v>
      </c>
      <c r="S2107" s="14"/>
      <c r="T2107" s="14"/>
      <c r="U2107" s="14"/>
      <c r="V2107" s="14"/>
      <c r="W2107" s="15">
        <f t="shared" si="74"/>
        <v>800</v>
      </c>
      <c r="X2107" s="14"/>
      <c r="Y2107" s="14"/>
      <c r="Z2107" s="14"/>
      <c r="AA2107" s="14"/>
      <c r="AB2107" s="14"/>
      <c r="AC2107" s="14"/>
      <c r="AD2107" s="14"/>
      <c r="AE2107" s="14"/>
      <c r="AF2107" s="14"/>
      <c r="AG2107" s="14"/>
      <c r="AH2107" s="14"/>
      <c r="AI2107" s="14"/>
      <c r="AJ2107" s="15"/>
      <c r="AK2107" s="16"/>
    </row>
    <row r="2108" spans="2:37" x14ac:dyDescent="0.2">
      <c r="B2108" s="7" t="s">
        <v>69</v>
      </c>
      <c r="C2108" s="8">
        <v>12768</v>
      </c>
      <c r="D2108" s="9" t="s">
        <v>602</v>
      </c>
      <c r="E2108" s="10" t="s">
        <v>603</v>
      </c>
      <c r="F2108" s="10" t="s">
        <v>604</v>
      </c>
      <c r="G2108" s="8">
        <v>1</v>
      </c>
      <c r="H2108" s="11">
        <v>400</v>
      </c>
      <c r="I2108" s="12">
        <v>42617</v>
      </c>
      <c r="J2108" s="13">
        <f t="shared" si="73"/>
        <v>0</v>
      </c>
      <c r="K2108" s="14"/>
      <c r="L2108" s="14"/>
      <c r="M2108" s="14"/>
      <c r="N2108" s="14"/>
      <c r="O2108" s="14"/>
      <c r="P2108" s="14"/>
      <c r="Q2108" s="14">
        <v>200</v>
      </c>
      <c r="R2108" s="14">
        <v>200</v>
      </c>
      <c r="S2108" s="14"/>
      <c r="T2108" s="14"/>
      <c r="U2108" s="14"/>
      <c r="V2108" s="14"/>
      <c r="W2108" s="15">
        <f t="shared" si="74"/>
        <v>400</v>
      </c>
      <c r="X2108" s="14"/>
      <c r="Y2108" s="14"/>
      <c r="Z2108" s="14"/>
      <c r="AA2108" s="14"/>
      <c r="AB2108" s="14"/>
      <c r="AC2108" s="14"/>
      <c r="AD2108" s="14"/>
      <c r="AE2108" s="14"/>
      <c r="AF2108" s="14"/>
      <c r="AG2108" s="14"/>
      <c r="AH2108" s="14"/>
      <c r="AI2108" s="14"/>
      <c r="AJ2108" s="15"/>
      <c r="AK2108" s="16"/>
    </row>
    <row r="2109" spans="2:37" x14ac:dyDescent="0.2">
      <c r="B2109" s="7" t="s">
        <v>69</v>
      </c>
      <c r="C2109" s="8">
        <v>12769</v>
      </c>
      <c r="D2109" s="9" t="s">
        <v>535</v>
      </c>
      <c r="E2109" s="10" t="s">
        <v>536</v>
      </c>
      <c r="F2109" s="10" t="s">
        <v>537</v>
      </c>
      <c r="G2109" s="8">
        <v>5</v>
      </c>
      <c r="H2109" s="11">
        <v>50</v>
      </c>
      <c r="I2109" s="12">
        <v>42617</v>
      </c>
      <c r="J2109" s="13">
        <f t="shared" si="73"/>
        <v>0</v>
      </c>
      <c r="K2109" s="14"/>
      <c r="L2109" s="14"/>
      <c r="M2109" s="14"/>
      <c r="N2109" s="14"/>
      <c r="O2109" s="14"/>
      <c r="P2109" s="14"/>
      <c r="Q2109" s="14"/>
      <c r="R2109" s="14"/>
      <c r="S2109" s="14"/>
      <c r="T2109" s="14"/>
      <c r="U2109" s="14"/>
      <c r="V2109" s="14"/>
      <c r="W2109" s="15">
        <f t="shared" si="74"/>
        <v>0</v>
      </c>
      <c r="X2109" s="14"/>
      <c r="Y2109" s="14"/>
      <c r="Z2109" s="14"/>
      <c r="AA2109" s="14"/>
      <c r="AB2109" s="14"/>
      <c r="AC2109" s="14"/>
      <c r="AD2109" s="14"/>
      <c r="AE2109" s="14"/>
      <c r="AF2109" s="14"/>
      <c r="AG2109" s="14"/>
      <c r="AH2109" s="14"/>
      <c r="AI2109" s="14"/>
      <c r="AJ2109" s="15"/>
      <c r="AK2109" s="16"/>
    </row>
    <row r="2110" spans="2:37" x14ac:dyDescent="0.2">
      <c r="B2110" s="7" t="s">
        <v>73</v>
      </c>
      <c r="C2110" s="8">
        <v>12770</v>
      </c>
      <c r="D2110" s="9" t="s">
        <v>202</v>
      </c>
      <c r="E2110" s="10" t="s">
        <v>203</v>
      </c>
      <c r="F2110" s="10" t="s">
        <v>204</v>
      </c>
      <c r="G2110" s="8">
        <v>1</v>
      </c>
      <c r="H2110" s="11">
        <v>400</v>
      </c>
      <c r="I2110" s="12">
        <v>42617</v>
      </c>
      <c r="J2110" s="13">
        <f t="shared" si="73"/>
        <v>0</v>
      </c>
      <c r="K2110" s="14"/>
      <c r="L2110" s="14"/>
      <c r="M2110" s="14"/>
      <c r="N2110" s="14"/>
      <c r="O2110" s="14"/>
      <c r="P2110" s="14"/>
      <c r="Q2110" s="14"/>
      <c r="R2110" s="14"/>
      <c r="S2110" s="14">
        <v>400</v>
      </c>
      <c r="T2110" s="14"/>
      <c r="U2110" s="14"/>
      <c r="V2110" s="14"/>
      <c r="W2110" s="15">
        <f t="shared" si="74"/>
        <v>400</v>
      </c>
      <c r="X2110" s="14"/>
      <c r="Y2110" s="14"/>
      <c r="Z2110" s="14"/>
      <c r="AA2110" s="14"/>
      <c r="AB2110" s="14"/>
      <c r="AC2110" s="14"/>
      <c r="AD2110" s="14"/>
      <c r="AE2110" s="14"/>
      <c r="AF2110" s="14"/>
      <c r="AG2110" s="14"/>
      <c r="AH2110" s="14"/>
      <c r="AI2110" s="14"/>
      <c r="AJ2110" s="15"/>
      <c r="AK2110" s="16"/>
    </row>
    <row r="2111" spans="2:37" x14ac:dyDescent="0.2">
      <c r="B2111" s="7" t="s">
        <v>37</v>
      </c>
      <c r="C2111" s="8">
        <v>12771</v>
      </c>
      <c r="D2111" s="9" t="s">
        <v>180</v>
      </c>
      <c r="E2111" s="10" t="s">
        <v>181</v>
      </c>
      <c r="F2111" s="10" t="s">
        <v>182</v>
      </c>
      <c r="G2111" s="8">
        <v>1</v>
      </c>
      <c r="H2111" s="11">
        <v>800</v>
      </c>
      <c r="I2111" s="12">
        <v>42617</v>
      </c>
      <c r="J2111" s="13">
        <f t="shared" si="73"/>
        <v>0</v>
      </c>
      <c r="K2111" s="14"/>
      <c r="L2111" s="14"/>
      <c r="M2111" s="14"/>
      <c r="N2111" s="14"/>
      <c r="O2111" s="14"/>
      <c r="P2111" s="14"/>
      <c r="Q2111" s="14"/>
      <c r="R2111" s="14">
        <v>400</v>
      </c>
      <c r="S2111" s="14">
        <v>400</v>
      </c>
      <c r="T2111" s="14"/>
      <c r="U2111" s="14"/>
      <c r="V2111" s="14"/>
      <c r="W2111" s="15">
        <f t="shared" si="74"/>
        <v>800</v>
      </c>
      <c r="X2111" s="14"/>
      <c r="Y2111" s="14"/>
      <c r="Z2111" s="14"/>
      <c r="AA2111" s="14"/>
      <c r="AB2111" s="14"/>
      <c r="AC2111" s="14"/>
      <c r="AD2111" s="14"/>
      <c r="AE2111" s="14"/>
      <c r="AF2111" s="14"/>
      <c r="AG2111" s="14"/>
      <c r="AH2111" s="14"/>
      <c r="AI2111" s="14"/>
      <c r="AJ2111" s="15"/>
      <c r="AK2111" s="16"/>
    </row>
    <row r="2112" spans="2:37" x14ac:dyDescent="0.2">
      <c r="B2112" s="7" t="s">
        <v>69</v>
      </c>
      <c r="C2112" s="8">
        <v>12772</v>
      </c>
      <c r="D2112" s="9" t="s">
        <v>301</v>
      </c>
      <c r="E2112" s="10" t="s">
        <v>302</v>
      </c>
      <c r="F2112" s="10" t="s">
        <v>303</v>
      </c>
      <c r="G2112" s="8">
        <v>1</v>
      </c>
      <c r="H2112" s="11">
        <v>200</v>
      </c>
      <c r="I2112" s="12">
        <v>42617</v>
      </c>
      <c r="J2112" s="13">
        <f t="shared" si="73"/>
        <v>0</v>
      </c>
      <c r="K2112" s="14"/>
      <c r="L2112" s="14"/>
      <c r="M2112" s="14"/>
      <c r="N2112" s="14"/>
      <c r="O2112" s="14"/>
      <c r="P2112" s="14"/>
      <c r="Q2112" s="14"/>
      <c r="R2112" s="14"/>
      <c r="S2112" s="14">
        <v>200</v>
      </c>
      <c r="T2112" s="14"/>
      <c r="U2112" s="14"/>
      <c r="V2112" s="14"/>
      <c r="W2112" s="15">
        <f t="shared" si="74"/>
        <v>200</v>
      </c>
      <c r="X2112" s="14"/>
      <c r="Y2112" s="14"/>
      <c r="Z2112" s="14"/>
      <c r="AA2112" s="14"/>
      <c r="AB2112" s="14"/>
      <c r="AC2112" s="14"/>
      <c r="AD2112" s="14"/>
      <c r="AE2112" s="14"/>
      <c r="AF2112" s="14"/>
      <c r="AG2112" s="14"/>
      <c r="AH2112" s="14"/>
      <c r="AI2112" s="14"/>
      <c r="AJ2112" s="15"/>
      <c r="AK2112" s="16"/>
    </row>
    <row r="2113" spans="2:37" x14ac:dyDescent="0.2">
      <c r="B2113" s="7" t="s">
        <v>69</v>
      </c>
      <c r="C2113" s="8">
        <v>12773</v>
      </c>
      <c r="D2113" s="9" t="s">
        <v>135</v>
      </c>
      <c r="E2113" s="10" t="s">
        <v>136</v>
      </c>
      <c r="F2113" s="10" t="s">
        <v>137</v>
      </c>
      <c r="G2113" s="8">
        <v>1</v>
      </c>
      <c r="H2113" s="11">
        <v>300</v>
      </c>
      <c r="I2113" s="12">
        <v>42617</v>
      </c>
      <c r="J2113" s="13">
        <f t="shared" si="73"/>
        <v>0</v>
      </c>
      <c r="K2113" s="14"/>
      <c r="L2113" s="14"/>
      <c r="M2113" s="14"/>
      <c r="N2113" s="14"/>
      <c r="O2113" s="14"/>
      <c r="P2113" s="14"/>
      <c r="Q2113" s="14"/>
      <c r="R2113" s="14"/>
      <c r="S2113" s="14">
        <v>300</v>
      </c>
      <c r="T2113" s="14"/>
      <c r="U2113" s="14"/>
      <c r="V2113" s="14"/>
      <c r="W2113" s="15">
        <f t="shared" si="74"/>
        <v>300</v>
      </c>
      <c r="X2113" s="14"/>
      <c r="Y2113" s="14"/>
      <c r="Z2113" s="14"/>
      <c r="AA2113" s="14"/>
      <c r="AB2113" s="14"/>
      <c r="AC2113" s="14"/>
      <c r="AD2113" s="14"/>
      <c r="AE2113" s="14"/>
      <c r="AF2113" s="14"/>
      <c r="AG2113" s="14"/>
      <c r="AH2113" s="14"/>
      <c r="AI2113" s="14"/>
      <c r="AJ2113" s="15"/>
      <c r="AK2113" s="16"/>
    </row>
    <row r="2114" spans="2:37" x14ac:dyDescent="0.2">
      <c r="B2114" s="7" t="s">
        <v>73</v>
      </c>
      <c r="C2114" s="8">
        <v>12774</v>
      </c>
      <c r="D2114" s="9" t="s">
        <v>911</v>
      </c>
      <c r="E2114" s="10" t="s">
        <v>912</v>
      </c>
      <c r="F2114" s="10" t="s">
        <v>397</v>
      </c>
      <c r="G2114" s="8">
        <v>1</v>
      </c>
      <c r="H2114" s="11">
        <v>800</v>
      </c>
      <c r="I2114" s="12">
        <v>42617</v>
      </c>
      <c r="J2114" s="13">
        <f t="shared" si="73"/>
        <v>0</v>
      </c>
      <c r="K2114" s="14"/>
      <c r="L2114" s="14"/>
      <c r="M2114" s="14"/>
      <c r="N2114" s="14"/>
      <c r="O2114" s="14"/>
      <c r="P2114" s="14"/>
      <c r="Q2114" s="14"/>
      <c r="R2114" s="14">
        <v>400</v>
      </c>
      <c r="S2114" s="14">
        <v>400</v>
      </c>
      <c r="T2114" s="14"/>
      <c r="U2114" s="14"/>
      <c r="V2114" s="14"/>
      <c r="W2114" s="15">
        <f t="shared" si="74"/>
        <v>800</v>
      </c>
      <c r="X2114" s="14"/>
      <c r="Y2114" s="14"/>
      <c r="Z2114" s="14"/>
      <c r="AA2114" s="14"/>
      <c r="AB2114" s="14"/>
      <c r="AC2114" s="14"/>
      <c r="AD2114" s="14"/>
      <c r="AE2114" s="14"/>
      <c r="AF2114" s="14"/>
      <c r="AG2114" s="14"/>
      <c r="AH2114" s="14"/>
      <c r="AI2114" s="14"/>
      <c r="AJ2114" s="15"/>
      <c r="AK2114" s="16"/>
    </row>
    <row r="2115" spans="2:37" x14ac:dyDescent="0.2">
      <c r="B2115" s="7" t="s">
        <v>73</v>
      </c>
      <c r="C2115" s="8">
        <v>12775</v>
      </c>
      <c r="D2115" s="9" t="s">
        <v>911</v>
      </c>
      <c r="E2115" s="10" t="s">
        <v>912</v>
      </c>
      <c r="F2115" s="10" t="s">
        <v>397</v>
      </c>
      <c r="G2115" s="8">
        <v>5</v>
      </c>
      <c r="H2115" s="11">
        <v>100</v>
      </c>
      <c r="I2115" s="12">
        <v>42617</v>
      </c>
      <c r="J2115" s="13">
        <f t="shared" si="73"/>
        <v>0</v>
      </c>
      <c r="K2115" s="14"/>
      <c r="L2115" s="14"/>
      <c r="M2115" s="14"/>
      <c r="N2115" s="14"/>
      <c r="O2115" s="14"/>
      <c r="P2115" s="14"/>
      <c r="Q2115" s="14"/>
      <c r="R2115" s="14"/>
      <c r="S2115" s="14"/>
      <c r="T2115" s="14"/>
      <c r="U2115" s="14"/>
      <c r="V2115" s="14"/>
      <c r="W2115" s="15">
        <f t="shared" si="74"/>
        <v>0</v>
      </c>
      <c r="X2115" s="14"/>
      <c r="Y2115" s="14"/>
      <c r="Z2115" s="14"/>
      <c r="AA2115" s="14"/>
      <c r="AB2115" s="14"/>
      <c r="AC2115" s="14"/>
      <c r="AD2115" s="14"/>
      <c r="AE2115" s="14"/>
      <c r="AF2115" s="14"/>
      <c r="AG2115" s="14"/>
      <c r="AH2115" s="14"/>
      <c r="AI2115" s="14"/>
      <c r="AJ2115" s="15"/>
      <c r="AK2115" s="16"/>
    </row>
    <row r="2116" spans="2:37" x14ac:dyDescent="0.2">
      <c r="B2116" s="7" t="s">
        <v>47</v>
      </c>
      <c r="C2116" s="8">
        <v>12776</v>
      </c>
      <c r="D2116" s="9" t="s">
        <v>238</v>
      </c>
      <c r="E2116" s="10" t="s">
        <v>239</v>
      </c>
      <c r="F2116" s="10" t="s">
        <v>240</v>
      </c>
      <c r="G2116" s="8">
        <v>1</v>
      </c>
      <c r="H2116" s="11">
        <v>125</v>
      </c>
      <c r="I2116" s="12">
        <v>42617</v>
      </c>
      <c r="J2116" s="13">
        <f t="shared" si="73"/>
        <v>0</v>
      </c>
      <c r="K2116" s="14"/>
      <c r="L2116" s="14"/>
      <c r="M2116" s="14"/>
      <c r="N2116" s="14"/>
      <c r="O2116" s="14"/>
      <c r="P2116" s="14"/>
      <c r="Q2116" s="14"/>
      <c r="R2116" s="14"/>
      <c r="S2116" s="14">
        <v>125</v>
      </c>
      <c r="T2116" s="14"/>
      <c r="U2116" s="14"/>
      <c r="V2116" s="14"/>
      <c r="W2116" s="15">
        <f t="shared" si="74"/>
        <v>125</v>
      </c>
      <c r="X2116" s="14"/>
      <c r="Y2116" s="14"/>
      <c r="Z2116" s="14"/>
      <c r="AA2116" s="14"/>
      <c r="AB2116" s="14"/>
      <c r="AC2116" s="14"/>
      <c r="AD2116" s="14"/>
      <c r="AE2116" s="14"/>
      <c r="AF2116" s="14"/>
      <c r="AG2116" s="14"/>
      <c r="AH2116" s="14"/>
      <c r="AI2116" s="14"/>
      <c r="AJ2116" s="15"/>
      <c r="AK2116" s="16"/>
    </row>
    <row r="2117" spans="2:37" x14ac:dyDescent="0.2">
      <c r="B2117" s="7" t="s">
        <v>73</v>
      </c>
      <c r="C2117" s="8">
        <v>12777</v>
      </c>
      <c r="D2117" s="9" t="s">
        <v>837</v>
      </c>
      <c r="E2117" s="10" t="s">
        <v>838</v>
      </c>
      <c r="F2117" s="10" t="s">
        <v>839</v>
      </c>
      <c r="G2117" s="8">
        <v>1</v>
      </c>
      <c r="H2117" s="11">
        <v>1200</v>
      </c>
      <c r="I2117" s="12">
        <v>42617</v>
      </c>
      <c r="J2117" s="13">
        <f t="shared" si="73"/>
        <v>0</v>
      </c>
      <c r="K2117" s="14"/>
      <c r="L2117" s="14"/>
      <c r="M2117" s="14"/>
      <c r="N2117" s="14"/>
      <c r="O2117" s="14"/>
      <c r="P2117" s="14"/>
      <c r="Q2117" s="14">
        <v>400</v>
      </c>
      <c r="R2117" s="14">
        <v>400</v>
      </c>
      <c r="S2117" s="14">
        <v>400</v>
      </c>
      <c r="T2117" s="14"/>
      <c r="U2117" s="14"/>
      <c r="V2117" s="14"/>
      <c r="W2117" s="15">
        <f t="shared" si="74"/>
        <v>1200</v>
      </c>
      <c r="X2117" s="14"/>
      <c r="Y2117" s="14"/>
      <c r="Z2117" s="14"/>
      <c r="AA2117" s="14"/>
      <c r="AB2117" s="14"/>
      <c r="AC2117" s="14"/>
      <c r="AD2117" s="14"/>
      <c r="AE2117" s="14"/>
      <c r="AF2117" s="14"/>
      <c r="AG2117" s="14"/>
      <c r="AH2117" s="14"/>
      <c r="AI2117" s="14"/>
      <c r="AJ2117" s="15"/>
      <c r="AK2117" s="16"/>
    </row>
    <row r="2118" spans="2:37" x14ac:dyDescent="0.2">
      <c r="B2118" s="7" t="s">
        <v>69</v>
      </c>
      <c r="C2118" s="8">
        <v>12778</v>
      </c>
      <c r="D2118" s="9" t="s">
        <v>370</v>
      </c>
      <c r="E2118" s="10" t="s">
        <v>371</v>
      </c>
      <c r="F2118" s="10" t="s">
        <v>372</v>
      </c>
      <c r="G2118" s="8">
        <v>1</v>
      </c>
      <c r="H2118" s="11">
        <v>600</v>
      </c>
      <c r="I2118" s="12">
        <v>42617</v>
      </c>
      <c r="J2118" s="13">
        <f t="shared" si="73"/>
        <v>0</v>
      </c>
      <c r="K2118" s="14"/>
      <c r="L2118" s="14"/>
      <c r="M2118" s="14"/>
      <c r="N2118" s="14"/>
      <c r="O2118" s="14"/>
      <c r="P2118" s="14"/>
      <c r="Q2118" s="14"/>
      <c r="R2118" s="14"/>
      <c r="S2118" s="14">
        <v>150</v>
      </c>
      <c r="T2118" s="14">
        <v>150</v>
      </c>
      <c r="U2118" s="14">
        <v>150</v>
      </c>
      <c r="V2118" s="14">
        <v>150</v>
      </c>
      <c r="W2118" s="15">
        <f t="shared" si="74"/>
        <v>600</v>
      </c>
      <c r="X2118" s="14"/>
      <c r="Y2118" s="14"/>
      <c r="Z2118" s="14"/>
      <c r="AA2118" s="14"/>
      <c r="AB2118" s="14"/>
      <c r="AC2118" s="14"/>
      <c r="AD2118" s="14"/>
      <c r="AE2118" s="14"/>
      <c r="AF2118" s="14"/>
      <c r="AG2118" s="14"/>
      <c r="AH2118" s="14"/>
      <c r="AI2118" s="14"/>
      <c r="AJ2118" s="15"/>
      <c r="AK2118" s="16"/>
    </row>
    <row r="2119" spans="2:37" x14ac:dyDescent="0.2">
      <c r="B2119" s="7" t="s">
        <v>37</v>
      </c>
      <c r="C2119" s="8">
        <v>12779</v>
      </c>
      <c r="D2119" s="9" t="s">
        <v>51</v>
      </c>
      <c r="E2119" s="10" t="s">
        <v>52</v>
      </c>
      <c r="F2119" s="10" t="s">
        <v>53</v>
      </c>
      <c r="G2119" s="8">
        <v>1</v>
      </c>
      <c r="H2119" s="11">
        <v>500</v>
      </c>
      <c r="I2119" s="12">
        <v>42617</v>
      </c>
      <c r="J2119" s="13">
        <f t="shared" si="73"/>
        <v>0</v>
      </c>
      <c r="K2119" s="14"/>
      <c r="L2119" s="14"/>
      <c r="M2119" s="14"/>
      <c r="N2119" s="14"/>
      <c r="O2119" s="14"/>
      <c r="P2119" s="14"/>
      <c r="Q2119" s="14"/>
      <c r="R2119" s="14">
        <v>250</v>
      </c>
      <c r="S2119" s="14">
        <v>250</v>
      </c>
      <c r="T2119" s="14"/>
      <c r="U2119" s="14"/>
      <c r="V2119" s="14"/>
      <c r="W2119" s="15">
        <f t="shared" si="74"/>
        <v>500</v>
      </c>
      <c r="X2119" s="14"/>
      <c r="Y2119" s="14"/>
      <c r="Z2119" s="14"/>
      <c r="AA2119" s="14"/>
      <c r="AB2119" s="14"/>
      <c r="AC2119" s="14"/>
      <c r="AD2119" s="14"/>
      <c r="AE2119" s="14"/>
      <c r="AF2119" s="14"/>
      <c r="AG2119" s="14"/>
      <c r="AH2119" s="14"/>
      <c r="AI2119" s="14"/>
      <c r="AJ2119" s="15"/>
      <c r="AK2119" s="16"/>
    </row>
    <row r="2120" spans="2:37" x14ac:dyDescent="0.2">
      <c r="B2120" s="7" t="s">
        <v>37</v>
      </c>
      <c r="C2120" s="8">
        <v>12779</v>
      </c>
      <c r="D2120" s="9" t="s">
        <v>51</v>
      </c>
      <c r="E2120" s="10" t="s">
        <v>52</v>
      </c>
      <c r="F2120" s="10" t="s">
        <v>53</v>
      </c>
      <c r="G2120" s="8">
        <v>3</v>
      </c>
      <c r="H2120" s="11">
        <v>200</v>
      </c>
      <c r="I2120" s="12">
        <v>42617</v>
      </c>
      <c r="J2120" s="13">
        <f t="shared" si="73"/>
        <v>0</v>
      </c>
      <c r="K2120" s="14"/>
      <c r="L2120" s="14"/>
      <c r="M2120" s="14"/>
      <c r="N2120" s="14"/>
      <c r="O2120" s="14"/>
      <c r="P2120" s="14"/>
      <c r="Q2120" s="14"/>
      <c r="R2120" s="14"/>
      <c r="S2120" s="14"/>
      <c r="T2120" s="14"/>
      <c r="U2120" s="14"/>
      <c r="V2120" s="14"/>
      <c r="W2120" s="15">
        <f t="shared" si="74"/>
        <v>0</v>
      </c>
      <c r="X2120" s="14"/>
      <c r="Y2120" s="14"/>
      <c r="Z2120" s="14"/>
      <c r="AA2120" s="14"/>
      <c r="AB2120" s="14"/>
      <c r="AC2120" s="14"/>
      <c r="AD2120" s="14"/>
      <c r="AE2120" s="14"/>
      <c r="AF2120" s="14"/>
      <c r="AG2120" s="14"/>
      <c r="AH2120" s="14"/>
      <c r="AI2120" s="14"/>
      <c r="AJ2120" s="15"/>
      <c r="AK2120" s="16"/>
    </row>
    <row r="2121" spans="2:37" x14ac:dyDescent="0.2">
      <c r="B2121" s="7" t="s">
        <v>37</v>
      </c>
      <c r="C2121" s="8">
        <v>12780</v>
      </c>
      <c r="D2121" s="9" t="s">
        <v>307</v>
      </c>
      <c r="E2121" s="10" t="s">
        <v>308</v>
      </c>
      <c r="F2121" s="10" t="s">
        <v>309</v>
      </c>
      <c r="G2121" s="8">
        <v>1</v>
      </c>
      <c r="H2121" s="11">
        <v>350</v>
      </c>
      <c r="I2121" s="12">
        <v>42617</v>
      </c>
      <c r="J2121" s="13">
        <f t="shared" si="73"/>
        <v>0</v>
      </c>
      <c r="K2121" s="14"/>
      <c r="L2121" s="14"/>
      <c r="M2121" s="14"/>
      <c r="N2121" s="14"/>
      <c r="O2121" s="14"/>
      <c r="P2121" s="14"/>
      <c r="Q2121" s="14"/>
      <c r="R2121" s="14"/>
      <c r="S2121" s="14">
        <v>350</v>
      </c>
      <c r="T2121" s="14"/>
      <c r="U2121" s="14"/>
      <c r="V2121" s="14"/>
      <c r="W2121" s="15">
        <f t="shared" si="74"/>
        <v>350</v>
      </c>
      <c r="X2121" s="14"/>
      <c r="Y2121" s="14"/>
      <c r="Z2121" s="14"/>
      <c r="AA2121" s="14"/>
      <c r="AB2121" s="14"/>
      <c r="AC2121" s="14"/>
      <c r="AD2121" s="14"/>
      <c r="AE2121" s="14"/>
      <c r="AF2121" s="14"/>
      <c r="AG2121" s="14"/>
      <c r="AH2121" s="14"/>
      <c r="AI2121" s="14"/>
      <c r="AJ2121" s="15"/>
      <c r="AK2121" s="16"/>
    </row>
    <row r="2122" spans="2:37" x14ac:dyDescent="0.2">
      <c r="B2122" s="7" t="s">
        <v>69</v>
      </c>
      <c r="C2122" s="8">
        <v>12781</v>
      </c>
      <c r="D2122" s="9" t="s">
        <v>265</v>
      </c>
      <c r="E2122" s="10" t="s">
        <v>266</v>
      </c>
      <c r="F2122" s="10" t="s">
        <v>267</v>
      </c>
      <c r="G2122" s="8">
        <v>1</v>
      </c>
      <c r="H2122" s="11">
        <v>400</v>
      </c>
      <c r="I2122" s="12">
        <v>42617</v>
      </c>
      <c r="J2122" s="13">
        <f t="shared" si="73"/>
        <v>0</v>
      </c>
      <c r="K2122" s="14"/>
      <c r="L2122" s="14"/>
      <c r="M2122" s="14"/>
      <c r="N2122" s="14"/>
      <c r="O2122" s="14"/>
      <c r="P2122" s="14"/>
      <c r="Q2122" s="14"/>
      <c r="R2122" s="14"/>
      <c r="S2122" s="14">
        <v>400</v>
      </c>
      <c r="T2122" s="14"/>
      <c r="U2122" s="14"/>
      <c r="V2122" s="14"/>
      <c r="W2122" s="15">
        <f t="shared" si="74"/>
        <v>400</v>
      </c>
      <c r="X2122" s="14"/>
      <c r="Y2122" s="14"/>
      <c r="Z2122" s="14"/>
      <c r="AA2122" s="14"/>
      <c r="AB2122" s="14"/>
      <c r="AC2122" s="14"/>
      <c r="AD2122" s="14"/>
      <c r="AE2122" s="14"/>
      <c r="AF2122" s="14"/>
      <c r="AG2122" s="14"/>
      <c r="AH2122" s="14"/>
      <c r="AI2122" s="14"/>
      <c r="AJ2122" s="15"/>
      <c r="AK2122" s="16"/>
    </row>
    <row r="2123" spans="2:37" x14ac:dyDescent="0.2">
      <c r="B2123" s="7" t="s">
        <v>77</v>
      </c>
      <c r="C2123" s="8">
        <v>12782</v>
      </c>
      <c r="D2123" s="9" t="s">
        <v>129</v>
      </c>
      <c r="E2123" s="10" t="s">
        <v>130</v>
      </c>
      <c r="F2123" s="10" t="s">
        <v>131</v>
      </c>
      <c r="G2123" s="8">
        <v>1</v>
      </c>
      <c r="H2123" s="11">
        <v>400</v>
      </c>
      <c r="I2123" s="12">
        <v>42617</v>
      </c>
      <c r="J2123" s="13">
        <f t="shared" si="73"/>
        <v>0</v>
      </c>
      <c r="K2123" s="14"/>
      <c r="L2123" s="14"/>
      <c r="M2123" s="14"/>
      <c r="N2123" s="14"/>
      <c r="O2123" s="14"/>
      <c r="P2123" s="14"/>
      <c r="Q2123" s="14"/>
      <c r="R2123" s="14"/>
      <c r="S2123" s="14">
        <v>400</v>
      </c>
      <c r="T2123" s="14"/>
      <c r="U2123" s="14"/>
      <c r="V2123" s="14"/>
      <c r="W2123" s="15">
        <f t="shared" si="74"/>
        <v>400</v>
      </c>
      <c r="X2123" s="14"/>
      <c r="Y2123" s="14"/>
      <c r="Z2123" s="14"/>
      <c r="AA2123" s="14"/>
      <c r="AB2123" s="14"/>
      <c r="AC2123" s="14"/>
      <c r="AD2123" s="14"/>
      <c r="AE2123" s="14"/>
      <c r="AF2123" s="14"/>
      <c r="AG2123" s="14"/>
      <c r="AH2123" s="14"/>
      <c r="AI2123" s="14"/>
      <c r="AJ2123" s="15"/>
      <c r="AK2123" s="16"/>
    </row>
    <row r="2124" spans="2:37" x14ac:dyDescent="0.2">
      <c r="B2124" s="7" t="s">
        <v>77</v>
      </c>
      <c r="C2124" s="8">
        <v>12782</v>
      </c>
      <c r="D2124" s="9" t="s">
        <v>129</v>
      </c>
      <c r="E2124" s="10" t="s">
        <v>130</v>
      </c>
      <c r="F2124" s="10" t="s">
        <v>131</v>
      </c>
      <c r="G2124" s="8">
        <v>5</v>
      </c>
      <c r="H2124" s="11">
        <v>200</v>
      </c>
      <c r="I2124" s="12">
        <v>42617</v>
      </c>
      <c r="J2124" s="13">
        <f t="shared" si="73"/>
        <v>0</v>
      </c>
      <c r="K2124" s="14"/>
      <c r="L2124" s="14"/>
      <c r="M2124" s="14"/>
      <c r="N2124" s="14"/>
      <c r="O2124" s="14"/>
      <c r="P2124" s="14"/>
      <c r="Q2124" s="14"/>
      <c r="R2124" s="14"/>
      <c r="S2124" s="14"/>
      <c r="T2124" s="14"/>
      <c r="U2124" s="14"/>
      <c r="V2124" s="14"/>
      <c r="W2124" s="15">
        <f t="shared" si="74"/>
        <v>0</v>
      </c>
      <c r="X2124" s="14"/>
      <c r="Y2124" s="14"/>
      <c r="Z2124" s="14"/>
      <c r="AA2124" s="14"/>
      <c r="AB2124" s="14"/>
      <c r="AC2124" s="14"/>
      <c r="AD2124" s="14"/>
      <c r="AE2124" s="14"/>
      <c r="AF2124" s="14"/>
      <c r="AG2124" s="14"/>
      <c r="AH2124" s="14"/>
      <c r="AI2124" s="14"/>
      <c r="AJ2124" s="15"/>
      <c r="AK2124" s="16"/>
    </row>
    <row r="2125" spans="2:37" x14ac:dyDescent="0.2">
      <c r="B2125" s="7" t="s">
        <v>69</v>
      </c>
      <c r="C2125" s="8">
        <v>12783</v>
      </c>
      <c r="D2125" s="9" t="s">
        <v>292</v>
      </c>
      <c r="E2125" s="10" t="s">
        <v>293</v>
      </c>
      <c r="F2125" s="10" t="s">
        <v>294</v>
      </c>
      <c r="G2125" s="8">
        <v>1</v>
      </c>
      <c r="H2125" s="11">
        <v>400</v>
      </c>
      <c r="I2125" s="12">
        <v>42617</v>
      </c>
      <c r="J2125" s="13">
        <f t="shared" si="73"/>
        <v>0</v>
      </c>
      <c r="K2125" s="14"/>
      <c r="L2125" s="14"/>
      <c r="M2125" s="14"/>
      <c r="N2125" s="14"/>
      <c r="O2125" s="14"/>
      <c r="P2125" s="14"/>
      <c r="Q2125" s="14"/>
      <c r="R2125" s="14"/>
      <c r="S2125" s="14">
        <v>400</v>
      </c>
      <c r="T2125" s="14"/>
      <c r="U2125" s="14"/>
      <c r="V2125" s="14"/>
      <c r="W2125" s="15">
        <f t="shared" si="74"/>
        <v>400</v>
      </c>
      <c r="X2125" s="14"/>
      <c r="Y2125" s="14"/>
      <c r="Z2125" s="14"/>
      <c r="AA2125" s="14"/>
      <c r="AB2125" s="14"/>
      <c r="AC2125" s="14"/>
      <c r="AD2125" s="14"/>
      <c r="AE2125" s="14"/>
      <c r="AF2125" s="14"/>
      <c r="AG2125" s="14"/>
      <c r="AH2125" s="14"/>
      <c r="AI2125" s="14"/>
      <c r="AJ2125" s="15"/>
      <c r="AK2125" s="16"/>
    </row>
    <row r="2126" spans="2:37" x14ac:dyDescent="0.2">
      <c r="B2126" s="7" t="s">
        <v>122</v>
      </c>
      <c r="C2126" s="8">
        <v>12784</v>
      </c>
      <c r="D2126" s="9" t="s">
        <v>310</v>
      </c>
      <c r="E2126" s="10" t="s">
        <v>311</v>
      </c>
      <c r="F2126" s="10" t="s">
        <v>312</v>
      </c>
      <c r="G2126" s="8">
        <v>5</v>
      </c>
      <c r="H2126" s="11">
        <v>50</v>
      </c>
      <c r="I2126" s="12">
        <v>42617</v>
      </c>
      <c r="J2126" s="13">
        <f t="shared" si="73"/>
        <v>0</v>
      </c>
      <c r="K2126" s="14"/>
      <c r="L2126" s="14"/>
      <c r="M2126" s="14"/>
      <c r="N2126" s="14"/>
      <c r="O2126" s="14"/>
      <c r="P2126" s="14"/>
      <c r="Q2126" s="14"/>
      <c r="R2126" s="14"/>
      <c r="S2126" s="14"/>
      <c r="T2126" s="14"/>
      <c r="U2126" s="14"/>
      <c r="V2126" s="14"/>
      <c r="W2126" s="15">
        <f t="shared" si="74"/>
        <v>0</v>
      </c>
      <c r="X2126" s="14"/>
      <c r="Y2126" s="14"/>
      <c r="Z2126" s="14"/>
      <c r="AA2126" s="14"/>
      <c r="AB2126" s="14"/>
      <c r="AC2126" s="14"/>
      <c r="AD2126" s="14"/>
      <c r="AE2126" s="14"/>
      <c r="AF2126" s="14"/>
      <c r="AG2126" s="14"/>
      <c r="AH2126" s="14"/>
      <c r="AI2126" s="14"/>
      <c r="AJ2126" s="15"/>
      <c r="AK2126" s="16"/>
    </row>
    <row r="2127" spans="2:37" x14ac:dyDescent="0.2">
      <c r="B2127" s="7" t="s">
        <v>69</v>
      </c>
      <c r="C2127" s="8">
        <v>12785</v>
      </c>
      <c r="D2127" s="9" t="s">
        <v>574</v>
      </c>
      <c r="E2127" s="10" t="s">
        <v>575</v>
      </c>
      <c r="F2127" s="10" t="s">
        <v>576</v>
      </c>
      <c r="G2127" s="8">
        <v>5</v>
      </c>
      <c r="H2127" s="11">
        <v>50</v>
      </c>
      <c r="I2127" s="12">
        <v>42617</v>
      </c>
      <c r="J2127" s="13">
        <f t="shared" si="73"/>
        <v>0</v>
      </c>
      <c r="K2127" s="14"/>
      <c r="L2127" s="14"/>
      <c r="M2127" s="14"/>
      <c r="N2127" s="14"/>
      <c r="O2127" s="14"/>
      <c r="P2127" s="14"/>
      <c r="Q2127" s="14"/>
      <c r="R2127" s="14"/>
      <c r="S2127" s="14"/>
      <c r="T2127" s="14"/>
      <c r="U2127" s="14"/>
      <c r="V2127" s="14"/>
      <c r="W2127" s="15">
        <f t="shared" si="74"/>
        <v>0</v>
      </c>
      <c r="X2127" s="14"/>
      <c r="Y2127" s="14"/>
      <c r="Z2127" s="14"/>
      <c r="AA2127" s="14"/>
      <c r="AB2127" s="14"/>
      <c r="AC2127" s="14"/>
      <c r="AD2127" s="14"/>
      <c r="AE2127" s="14"/>
      <c r="AF2127" s="14"/>
      <c r="AG2127" s="14"/>
      <c r="AH2127" s="14"/>
      <c r="AI2127" s="14"/>
      <c r="AJ2127" s="15"/>
      <c r="AK2127" s="16"/>
    </row>
    <row r="2128" spans="2:37" x14ac:dyDescent="0.2">
      <c r="B2128" s="7" t="s">
        <v>47</v>
      </c>
      <c r="C2128" s="8">
        <v>12786</v>
      </c>
      <c r="D2128" s="9" t="s">
        <v>769</v>
      </c>
      <c r="E2128" s="10" t="s">
        <v>770</v>
      </c>
      <c r="F2128" s="10" t="s">
        <v>771</v>
      </c>
      <c r="G2128" s="8">
        <v>1</v>
      </c>
      <c r="H2128" s="11">
        <v>400</v>
      </c>
      <c r="I2128" s="12">
        <v>42617</v>
      </c>
      <c r="J2128" s="13">
        <f t="shared" si="73"/>
        <v>0</v>
      </c>
      <c r="K2128" s="14"/>
      <c r="L2128" s="14"/>
      <c r="M2128" s="14"/>
      <c r="N2128" s="14"/>
      <c r="O2128" s="14"/>
      <c r="P2128" s="14"/>
      <c r="Q2128" s="14"/>
      <c r="R2128" s="14">
        <v>400</v>
      </c>
      <c r="S2128" s="14"/>
      <c r="T2128" s="14"/>
      <c r="U2128" s="14"/>
      <c r="V2128" s="14"/>
      <c r="W2128" s="15">
        <f t="shared" si="74"/>
        <v>400</v>
      </c>
      <c r="X2128" s="14"/>
      <c r="Y2128" s="14"/>
      <c r="Z2128" s="14"/>
      <c r="AA2128" s="14"/>
      <c r="AB2128" s="14"/>
      <c r="AC2128" s="14"/>
      <c r="AD2128" s="14"/>
      <c r="AE2128" s="14"/>
      <c r="AF2128" s="14"/>
      <c r="AG2128" s="14"/>
      <c r="AH2128" s="14"/>
      <c r="AI2128" s="14"/>
      <c r="AJ2128" s="15"/>
      <c r="AK2128" s="16"/>
    </row>
    <row r="2129" spans="2:37" x14ac:dyDescent="0.2">
      <c r="B2129" s="7" t="s">
        <v>73</v>
      </c>
      <c r="C2129" s="8">
        <v>12787</v>
      </c>
      <c r="D2129" s="9" t="s">
        <v>544</v>
      </c>
      <c r="E2129" s="10" t="s">
        <v>545</v>
      </c>
      <c r="F2129" s="10" t="s">
        <v>546</v>
      </c>
      <c r="G2129" s="8">
        <v>1</v>
      </c>
      <c r="H2129" s="11">
        <v>400</v>
      </c>
      <c r="I2129" s="12">
        <v>42617</v>
      </c>
      <c r="J2129" s="13">
        <f t="shared" si="73"/>
        <v>0</v>
      </c>
      <c r="K2129" s="14"/>
      <c r="L2129" s="14"/>
      <c r="M2129" s="14"/>
      <c r="N2129" s="14"/>
      <c r="O2129" s="14"/>
      <c r="P2129" s="14"/>
      <c r="Q2129" s="14"/>
      <c r="R2129" s="14"/>
      <c r="S2129" s="14">
        <v>400</v>
      </c>
      <c r="T2129" s="14"/>
      <c r="U2129" s="14"/>
      <c r="V2129" s="14"/>
      <c r="W2129" s="15">
        <f t="shared" si="74"/>
        <v>400</v>
      </c>
      <c r="X2129" s="14"/>
      <c r="Y2129" s="14"/>
      <c r="Z2129" s="14"/>
      <c r="AA2129" s="14"/>
      <c r="AB2129" s="14"/>
      <c r="AC2129" s="14"/>
      <c r="AD2129" s="14"/>
      <c r="AE2129" s="14"/>
      <c r="AF2129" s="14"/>
      <c r="AG2129" s="14"/>
      <c r="AH2129" s="14"/>
      <c r="AI2129" s="14"/>
      <c r="AJ2129" s="15"/>
      <c r="AK2129" s="16"/>
    </row>
    <row r="2130" spans="2:37" x14ac:dyDescent="0.2">
      <c r="B2130" s="7" t="s">
        <v>73</v>
      </c>
      <c r="C2130" s="8">
        <v>12787</v>
      </c>
      <c r="D2130" s="9" t="s">
        <v>544</v>
      </c>
      <c r="E2130" s="10" t="s">
        <v>545</v>
      </c>
      <c r="F2130" s="10" t="s">
        <v>546</v>
      </c>
      <c r="G2130" s="8">
        <v>5</v>
      </c>
      <c r="H2130" s="11">
        <v>50</v>
      </c>
      <c r="I2130" s="12">
        <v>42617</v>
      </c>
      <c r="J2130" s="13">
        <f t="shared" si="73"/>
        <v>0</v>
      </c>
      <c r="K2130" s="14"/>
      <c r="L2130" s="14"/>
      <c r="M2130" s="14"/>
      <c r="N2130" s="14"/>
      <c r="O2130" s="14"/>
      <c r="P2130" s="14"/>
      <c r="Q2130" s="14"/>
      <c r="R2130" s="14"/>
      <c r="S2130" s="14"/>
      <c r="T2130" s="14"/>
      <c r="U2130" s="14"/>
      <c r="V2130" s="14"/>
      <c r="W2130" s="15">
        <f t="shared" si="74"/>
        <v>0</v>
      </c>
      <c r="X2130" s="14"/>
      <c r="Y2130" s="14"/>
      <c r="Z2130" s="14"/>
      <c r="AA2130" s="14"/>
      <c r="AB2130" s="14"/>
      <c r="AC2130" s="14"/>
      <c r="AD2130" s="14"/>
      <c r="AE2130" s="14"/>
      <c r="AF2130" s="14"/>
      <c r="AG2130" s="14"/>
      <c r="AH2130" s="14"/>
      <c r="AI2130" s="14"/>
      <c r="AJ2130" s="15"/>
      <c r="AK2130" s="16"/>
    </row>
    <row r="2131" spans="2:37" x14ac:dyDescent="0.2">
      <c r="B2131" s="7" t="s">
        <v>47</v>
      </c>
      <c r="C2131" s="8">
        <v>12788</v>
      </c>
      <c r="D2131" s="9" t="s">
        <v>425</v>
      </c>
      <c r="E2131" s="10" t="s">
        <v>426</v>
      </c>
      <c r="F2131" s="10" t="s">
        <v>427</v>
      </c>
      <c r="G2131" s="8">
        <v>5</v>
      </c>
      <c r="H2131" s="11">
        <v>50</v>
      </c>
      <c r="I2131" s="12">
        <v>42617</v>
      </c>
      <c r="J2131" s="13">
        <f t="shared" si="73"/>
        <v>0</v>
      </c>
      <c r="K2131" s="14"/>
      <c r="L2131" s="14"/>
      <c r="M2131" s="14"/>
      <c r="N2131" s="14"/>
      <c r="O2131" s="14"/>
      <c r="P2131" s="14"/>
      <c r="Q2131" s="14"/>
      <c r="R2131" s="14"/>
      <c r="S2131" s="14"/>
      <c r="T2131" s="14"/>
      <c r="U2131" s="14"/>
      <c r="V2131" s="14"/>
      <c r="W2131" s="15">
        <f t="shared" si="74"/>
        <v>0</v>
      </c>
      <c r="X2131" s="14"/>
      <c r="Y2131" s="14"/>
      <c r="Z2131" s="14"/>
      <c r="AA2131" s="14"/>
      <c r="AB2131" s="14"/>
      <c r="AC2131" s="14"/>
      <c r="AD2131" s="14"/>
      <c r="AE2131" s="14"/>
      <c r="AF2131" s="14"/>
      <c r="AG2131" s="14"/>
      <c r="AH2131" s="14"/>
      <c r="AI2131" s="14"/>
      <c r="AJ2131" s="15"/>
      <c r="AK2131" s="16"/>
    </row>
    <row r="2132" spans="2:37" x14ac:dyDescent="0.2">
      <c r="B2132" s="7" t="s">
        <v>73</v>
      </c>
      <c r="C2132" s="8">
        <v>12789</v>
      </c>
      <c r="D2132" s="9" t="s">
        <v>109</v>
      </c>
      <c r="E2132" s="10" t="s">
        <v>110</v>
      </c>
      <c r="F2132" s="10" t="s">
        <v>111</v>
      </c>
      <c r="G2132" s="8">
        <v>1</v>
      </c>
      <c r="H2132" s="11">
        <v>400</v>
      </c>
      <c r="I2132" s="12">
        <v>42617</v>
      </c>
      <c r="J2132" s="13">
        <f t="shared" si="73"/>
        <v>0</v>
      </c>
      <c r="K2132" s="14"/>
      <c r="L2132" s="14"/>
      <c r="M2132" s="14"/>
      <c r="N2132" s="14"/>
      <c r="O2132" s="14"/>
      <c r="P2132" s="14"/>
      <c r="Q2132" s="14"/>
      <c r="R2132" s="14">
        <v>400</v>
      </c>
      <c r="S2132" s="14"/>
      <c r="T2132" s="14"/>
      <c r="U2132" s="14"/>
      <c r="V2132" s="14"/>
      <c r="W2132" s="15">
        <f t="shared" si="74"/>
        <v>400</v>
      </c>
      <c r="X2132" s="14"/>
      <c r="Y2132" s="14"/>
      <c r="Z2132" s="14"/>
      <c r="AA2132" s="14"/>
      <c r="AB2132" s="14"/>
      <c r="AC2132" s="14"/>
      <c r="AD2132" s="14"/>
      <c r="AE2132" s="14"/>
      <c r="AF2132" s="14"/>
      <c r="AG2132" s="14"/>
      <c r="AH2132" s="14"/>
      <c r="AI2132" s="14"/>
      <c r="AJ2132" s="15"/>
      <c r="AK2132" s="16"/>
    </row>
    <row r="2133" spans="2:37" x14ac:dyDescent="0.2">
      <c r="B2133" s="7" t="s">
        <v>47</v>
      </c>
      <c r="C2133" s="8">
        <v>12790</v>
      </c>
      <c r="D2133" s="9" t="s">
        <v>150</v>
      </c>
      <c r="E2133" s="10" t="s">
        <v>151</v>
      </c>
      <c r="F2133" s="10" t="s">
        <v>152</v>
      </c>
      <c r="G2133" s="8">
        <v>1</v>
      </c>
      <c r="H2133" s="11">
        <v>400</v>
      </c>
      <c r="I2133" s="12">
        <v>42617</v>
      </c>
      <c r="J2133" s="13">
        <f t="shared" si="73"/>
        <v>0</v>
      </c>
      <c r="K2133" s="14"/>
      <c r="L2133" s="14"/>
      <c r="M2133" s="14"/>
      <c r="N2133" s="14"/>
      <c r="O2133" s="14"/>
      <c r="P2133" s="14"/>
      <c r="Q2133" s="14"/>
      <c r="R2133" s="14"/>
      <c r="S2133" s="14">
        <v>400</v>
      </c>
      <c r="T2133" s="14"/>
      <c r="U2133" s="14"/>
      <c r="V2133" s="14"/>
      <c r="W2133" s="15">
        <f t="shared" si="74"/>
        <v>400</v>
      </c>
      <c r="X2133" s="14"/>
      <c r="Y2133" s="14"/>
      <c r="Z2133" s="14"/>
      <c r="AA2133" s="14"/>
      <c r="AB2133" s="14"/>
      <c r="AC2133" s="14"/>
      <c r="AD2133" s="14"/>
      <c r="AE2133" s="14"/>
      <c r="AF2133" s="14"/>
      <c r="AG2133" s="14"/>
      <c r="AH2133" s="14"/>
      <c r="AI2133" s="14"/>
      <c r="AJ2133" s="15"/>
      <c r="AK2133" s="16"/>
    </row>
    <row r="2134" spans="2:37" x14ac:dyDescent="0.2">
      <c r="B2134" s="7" t="s">
        <v>47</v>
      </c>
      <c r="C2134" s="8">
        <v>12791</v>
      </c>
      <c r="D2134" s="9" t="s">
        <v>280</v>
      </c>
      <c r="E2134" s="10" t="s">
        <v>281</v>
      </c>
      <c r="F2134" s="10" t="s">
        <v>282</v>
      </c>
      <c r="G2134" s="8">
        <v>1</v>
      </c>
      <c r="H2134" s="11">
        <v>400</v>
      </c>
      <c r="I2134" s="12">
        <v>42617</v>
      </c>
      <c r="J2134" s="13">
        <f t="shared" si="73"/>
        <v>0</v>
      </c>
      <c r="K2134" s="14"/>
      <c r="L2134" s="14"/>
      <c r="M2134" s="14"/>
      <c r="N2134" s="14"/>
      <c r="O2134" s="14"/>
      <c r="P2134" s="14"/>
      <c r="Q2134" s="14"/>
      <c r="R2134" s="14">
        <v>400</v>
      </c>
      <c r="S2134" s="14"/>
      <c r="T2134" s="14"/>
      <c r="U2134" s="14"/>
      <c r="V2134" s="14"/>
      <c r="W2134" s="15">
        <f t="shared" si="74"/>
        <v>400</v>
      </c>
      <c r="X2134" s="14"/>
      <c r="Y2134" s="14"/>
      <c r="Z2134" s="14"/>
      <c r="AA2134" s="14"/>
      <c r="AB2134" s="14"/>
      <c r="AC2134" s="14"/>
      <c r="AD2134" s="14"/>
      <c r="AE2134" s="14"/>
      <c r="AF2134" s="14"/>
      <c r="AG2134" s="14"/>
      <c r="AH2134" s="14"/>
      <c r="AI2134" s="14"/>
      <c r="AJ2134" s="15"/>
      <c r="AK2134" s="16"/>
    </row>
    <row r="2135" spans="2:37" x14ac:dyDescent="0.2">
      <c r="B2135" s="7" t="s">
        <v>47</v>
      </c>
      <c r="C2135" s="8">
        <v>12791</v>
      </c>
      <c r="D2135" s="9" t="s">
        <v>280</v>
      </c>
      <c r="E2135" s="10" t="s">
        <v>281</v>
      </c>
      <c r="F2135" s="10" t="s">
        <v>282</v>
      </c>
      <c r="G2135" s="8">
        <v>3</v>
      </c>
      <c r="H2135" s="11">
        <v>200</v>
      </c>
      <c r="I2135" s="12">
        <v>42617</v>
      </c>
      <c r="J2135" s="13">
        <f t="shared" si="73"/>
        <v>0</v>
      </c>
      <c r="K2135" s="14"/>
      <c r="L2135" s="14"/>
      <c r="M2135" s="14"/>
      <c r="N2135" s="14"/>
      <c r="O2135" s="14"/>
      <c r="P2135" s="14"/>
      <c r="Q2135" s="14"/>
      <c r="R2135" s="14"/>
      <c r="S2135" s="14"/>
      <c r="T2135" s="14"/>
      <c r="U2135" s="14"/>
      <c r="V2135" s="14"/>
      <c r="W2135" s="15">
        <f t="shared" si="74"/>
        <v>0</v>
      </c>
      <c r="X2135" s="14"/>
      <c r="Y2135" s="14"/>
      <c r="Z2135" s="14"/>
      <c r="AA2135" s="14"/>
      <c r="AB2135" s="14"/>
      <c r="AC2135" s="14"/>
      <c r="AD2135" s="14"/>
      <c r="AE2135" s="14"/>
      <c r="AF2135" s="14"/>
      <c r="AG2135" s="14"/>
      <c r="AH2135" s="14"/>
      <c r="AI2135" s="14"/>
      <c r="AJ2135" s="15"/>
      <c r="AK2135" s="16"/>
    </row>
    <row r="2136" spans="2:37" x14ac:dyDescent="0.2">
      <c r="B2136" s="7" t="s">
        <v>47</v>
      </c>
      <c r="C2136" s="8">
        <v>12791</v>
      </c>
      <c r="D2136" s="9" t="s">
        <v>280</v>
      </c>
      <c r="E2136" s="10" t="s">
        <v>281</v>
      </c>
      <c r="F2136" s="10" t="s">
        <v>282</v>
      </c>
      <c r="G2136" s="8">
        <v>4</v>
      </c>
      <c r="H2136" s="11">
        <v>200</v>
      </c>
      <c r="I2136" s="12">
        <v>42617</v>
      </c>
      <c r="J2136" s="13">
        <f t="shared" si="73"/>
        <v>0</v>
      </c>
      <c r="K2136" s="14"/>
      <c r="L2136" s="14"/>
      <c r="M2136" s="14"/>
      <c r="N2136" s="14"/>
      <c r="O2136" s="14"/>
      <c r="P2136" s="14"/>
      <c r="Q2136" s="14"/>
      <c r="R2136" s="14"/>
      <c r="S2136" s="14"/>
      <c r="T2136" s="14"/>
      <c r="U2136" s="14"/>
      <c r="V2136" s="14"/>
      <c r="W2136" s="15">
        <f t="shared" si="74"/>
        <v>0</v>
      </c>
      <c r="X2136" s="14"/>
      <c r="Y2136" s="14"/>
      <c r="Z2136" s="14"/>
      <c r="AA2136" s="14"/>
      <c r="AB2136" s="14"/>
      <c r="AC2136" s="14"/>
      <c r="AD2136" s="14"/>
      <c r="AE2136" s="14"/>
      <c r="AF2136" s="14"/>
      <c r="AG2136" s="14"/>
      <c r="AH2136" s="14"/>
      <c r="AI2136" s="14"/>
      <c r="AJ2136" s="15"/>
      <c r="AK2136" s="7">
        <v>10451895</v>
      </c>
    </row>
    <row r="2137" spans="2:37" x14ac:dyDescent="0.2">
      <c r="B2137" s="7" t="s">
        <v>73</v>
      </c>
      <c r="C2137" s="8">
        <v>12792</v>
      </c>
      <c r="D2137" s="9" t="s">
        <v>112</v>
      </c>
      <c r="E2137" s="10" t="s">
        <v>113</v>
      </c>
      <c r="F2137" s="10" t="s">
        <v>114</v>
      </c>
      <c r="G2137" s="8">
        <v>1</v>
      </c>
      <c r="H2137" s="11">
        <v>250</v>
      </c>
      <c r="I2137" s="12">
        <v>42617</v>
      </c>
      <c r="J2137" s="13">
        <f t="shared" si="73"/>
        <v>0</v>
      </c>
      <c r="K2137" s="14"/>
      <c r="L2137" s="14"/>
      <c r="M2137" s="14"/>
      <c r="N2137" s="14"/>
      <c r="O2137" s="14"/>
      <c r="P2137" s="14"/>
      <c r="Q2137" s="14"/>
      <c r="R2137" s="14"/>
      <c r="S2137" s="14">
        <v>250</v>
      </c>
      <c r="T2137" s="14"/>
      <c r="U2137" s="14"/>
      <c r="V2137" s="14"/>
      <c r="W2137" s="15">
        <f t="shared" si="74"/>
        <v>250</v>
      </c>
      <c r="X2137" s="14"/>
      <c r="Y2137" s="14"/>
      <c r="Z2137" s="14"/>
      <c r="AA2137" s="14"/>
      <c r="AB2137" s="14"/>
      <c r="AC2137" s="14"/>
      <c r="AD2137" s="14"/>
      <c r="AE2137" s="14"/>
      <c r="AF2137" s="14"/>
      <c r="AG2137" s="14"/>
      <c r="AH2137" s="14"/>
      <c r="AI2137" s="14"/>
      <c r="AJ2137" s="15"/>
      <c r="AK2137" s="16"/>
    </row>
    <row r="2138" spans="2:37" x14ac:dyDescent="0.2">
      <c r="B2138" s="7" t="s">
        <v>69</v>
      </c>
      <c r="C2138" s="8">
        <v>12793</v>
      </c>
      <c r="D2138" s="9" t="s">
        <v>343</v>
      </c>
      <c r="E2138" s="10" t="s">
        <v>344</v>
      </c>
      <c r="F2138" s="10" t="s">
        <v>345</v>
      </c>
      <c r="G2138" s="8">
        <v>1</v>
      </c>
      <c r="H2138" s="11">
        <v>400</v>
      </c>
      <c r="I2138" s="12">
        <v>42617</v>
      </c>
      <c r="J2138" s="13">
        <f t="shared" si="73"/>
        <v>0</v>
      </c>
      <c r="K2138" s="14"/>
      <c r="L2138" s="14"/>
      <c r="M2138" s="14"/>
      <c r="N2138" s="14"/>
      <c r="O2138" s="14"/>
      <c r="P2138" s="14"/>
      <c r="Q2138" s="14"/>
      <c r="R2138" s="14"/>
      <c r="S2138" s="14">
        <v>400</v>
      </c>
      <c r="T2138" s="14"/>
      <c r="U2138" s="14"/>
      <c r="V2138" s="14"/>
      <c r="W2138" s="15">
        <f t="shared" si="74"/>
        <v>400</v>
      </c>
      <c r="X2138" s="14"/>
      <c r="Y2138" s="14"/>
      <c r="Z2138" s="14"/>
      <c r="AA2138" s="14"/>
      <c r="AB2138" s="14"/>
      <c r="AC2138" s="14"/>
      <c r="AD2138" s="14"/>
      <c r="AE2138" s="14"/>
      <c r="AF2138" s="14"/>
      <c r="AG2138" s="14"/>
      <c r="AH2138" s="14"/>
      <c r="AI2138" s="14"/>
      <c r="AJ2138" s="15"/>
      <c r="AK2138" s="16"/>
    </row>
    <row r="2139" spans="2:37" x14ac:dyDescent="0.2">
      <c r="B2139" s="7" t="s">
        <v>77</v>
      </c>
      <c r="C2139" s="8">
        <v>12794</v>
      </c>
      <c r="D2139" s="9" t="s">
        <v>87</v>
      </c>
      <c r="E2139" s="10" t="s">
        <v>88</v>
      </c>
      <c r="F2139" s="10" t="s">
        <v>89</v>
      </c>
      <c r="G2139" s="8">
        <v>1</v>
      </c>
      <c r="H2139" s="11">
        <v>400</v>
      </c>
      <c r="I2139" s="12">
        <v>42617</v>
      </c>
      <c r="J2139" s="13">
        <f t="shared" si="73"/>
        <v>0</v>
      </c>
      <c r="K2139" s="14"/>
      <c r="L2139" s="14"/>
      <c r="M2139" s="14"/>
      <c r="N2139" s="14"/>
      <c r="O2139" s="14"/>
      <c r="P2139" s="14"/>
      <c r="Q2139" s="14"/>
      <c r="R2139" s="14"/>
      <c r="S2139" s="14">
        <v>400</v>
      </c>
      <c r="T2139" s="14"/>
      <c r="U2139" s="14"/>
      <c r="V2139" s="14"/>
      <c r="W2139" s="15">
        <f t="shared" si="74"/>
        <v>400</v>
      </c>
      <c r="X2139" s="14"/>
      <c r="Y2139" s="14"/>
      <c r="Z2139" s="14"/>
      <c r="AA2139" s="14"/>
      <c r="AB2139" s="14"/>
      <c r="AC2139" s="14"/>
      <c r="AD2139" s="14"/>
      <c r="AE2139" s="14"/>
      <c r="AF2139" s="14"/>
      <c r="AG2139" s="14"/>
      <c r="AH2139" s="14"/>
      <c r="AI2139" s="14"/>
      <c r="AJ2139" s="15"/>
      <c r="AK2139" s="16"/>
    </row>
    <row r="2140" spans="2:37" x14ac:dyDescent="0.2">
      <c r="B2140" s="7" t="s">
        <v>73</v>
      </c>
      <c r="C2140" s="8">
        <v>12795</v>
      </c>
      <c r="D2140" s="9" t="s">
        <v>846</v>
      </c>
      <c r="E2140" s="10" t="s">
        <v>847</v>
      </c>
      <c r="F2140" s="10" t="s">
        <v>848</v>
      </c>
      <c r="G2140" s="8">
        <v>1</v>
      </c>
      <c r="H2140" s="11">
        <v>1200</v>
      </c>
      <c r="I2140" s="12">
        <v>42617</v>
      </c>
      <c r="J2140" s="13">
        <f t="shared" si="73"/>
        <v>0</v>
      </c>
      <c r="K2140" s="14"/>
      <c r="L2140" s="14"/>
      <c r="M2140" s="14"/>
      <c r="N2140" s="14"/>
      <c r="O2140" s="14"/>
      <c r="P2140" s="14"/>
      <c r="Q2140" s="14"/>
      <c r="R2140" s="14">
        <v>400</v>
      </c>
      <c r="S2140" s="14">
        <v>400</v>
      </c>
      <c r="T2140" s="14">
        <v>400</v>
      </c>
      <c r="U2140" s="14"/>
      <c r="V2140" s="14"/>
      <c r="W2140" s="15">
        <f t="shared" si="74"/>
        <v>1200</v>
      </c>
      <c r="X2140" s="14"/>
      <c r="Y2140" s="14"/>
      <c r="Z2140" s="14"/>
      <c r="AA2140" s="14"/>
      <c r="AB2140" s="14"/>
      <c r="AC2140" s="14"/>
      <c r="AD2140" s="14"/>
      <c r="AE2140" s="14"/>
      <c r="AF2140" s="14"/>
      <c r="AG2140" s="14"/>
      <c r="AH2140" s="14"/>
      <c r="AI2140" s="14"/>
      <c r="AJ2140" s="15"/>
      <c r="AK2140" s="16"/>
    </row>
    <row r="2141" spans="2:37" x14ac:dyDescent="0.2">
      <c r="B2141" s="7" t="s">
        <v>69</v>
      </c>
      <c r="C2141" s="8">
        <v>12796</v>
      </c>
      <c r="D2141" s="9" t="s">
        <v>168</v>
      </c>
      <c r="E2141" s="10" t="s">
        <v>169</v>
      </c>
      <c r="F2141" s="10" t="s">
        <v>170</v>
      </c>
      <c r="G2141" s="8">
        <v>1</v>
      </c>
      <c r="H2141" s="11">
        <v>200</v>
      </c>
      <c r="I2141" s="12">
        <v>42617</v>
      </c>
      <c r="J2141" s="13">
        <f t="shared" si="73"/>
        <v>0</v>
      </c>
      <c r="K2141" s="14"/>
      <c r="L2141" s="14"/>
      <c r="M2141" s="14"/>
      <c r="N2141" s="14"/>
      <c r="O2141" s="14"/>
      <c r="P2141" s="14"/>
      <c r="Q2141" s="14">
        <v>200</v>
      </c>
      <c r="R2141" s="14"/>
      <c r="S2141" s="14"/>
      <c r="T2141" s="14"/>
      <c r="U2141" s="14"/>
      <c r="V2141" s="14"/>
      <c r="W2141" s="15">
        <f t="shared" si="74"/>
        <v>200</v>
      </c>
      <c r="X2141" s="14"/>
      <c r="Y2141" s="14"/>
      <c r="Z2141" s="14"/>
      <c r="AA2141" s="14"/>
      <c r="AB2141" s="14"/>
      <c r="AC2141" s="14"/>
      <c r="AD2141" s="14"/>
      <c r="AE2141" s="14"/>
      <c r="AF2141" s="14"/>
      <c r="AG2141" s="14"/>
      <c r="AH2141" s="14"/>
      <c r="AI2141" s="14"/>
      <c r="AJ2141" s="15"/>
      <c r="AK2141" s="16"/>
    </row>
    <row r="2142" spans="2:37" x14ac:dyDescent="0.2">
      <c r="B2142" s="7" t="s">
        <v>47</v>
      </c>
      <c r="C2142" s="8">
        <v>12797</v>
      </c>
      <c r="D2142" s="9" t="s">
        <v>497</v>
      </c>
      <c r="E2142" s="10" t="s">
        <v>498</v>
      </c>
      <c r="F2142" s="10" t="s">
        <v>499</v>
      </c>
      <c r="G2142" s="8">
        <v>5</v>
      </c>
      <c r="H2142" s="11">
        <v>100</v>
      </c>
      <c r="I2142" s="12">
        <v>42617</v>
      </c>
      <c r="J2142" s="13">
        <f t="shared" si="73"/>
        <v>0</v>
      </c>
      <c r="K2142" s="14"/>
      <c r="L2142" s="14"/>
      <c r="M2142" s="14"/>
      <c r="N2142" s="14"/>
      <c r="O2142" s="14"/>
      <c r="P2142" s="14"/>
      <c r="Q2142" s="14"/>
      <c r="R2142" s="14"/>
      <c r="S2142" s="14"/>
      <c r="T2142" s="14"/>
      <c r="U2142" s="14"/>
      <c r="V2142" s="14"/>
      <c r="W2142" s="15">
        <f t="shared" si="74"/>
        <v>0</v>
      </c>
      <c r="X2142" s="14"/>
      <c r="Y2142" s="14"/>
      <c r="Z2142" s="14"/>
      <c r="AA2142" s="14"/>
      <c r="AB2142" s="14"/>
      <c r="AC2142" s="14"/>
      <c r="AD2142" s="14"/>
      <c r="AE2142" s="14"/>
      <c r="AF2142" s="14"/>
      <c r="AG2142" s="14"/>
      <c r="AH2142" s="14"/>
      <c r="AI2142" s="14"/>
      <c r="AJ2142" s="15"/>
      <c r="AK2142" s="16"/>
    </row>
    <row r="2143" spans="2:37" x14ac:dyDescent="0.2">
      <c r="B2143" s="7" t="s">
        <v>47</v>
      </c>
      <c r="C2143" s="8">
        <v>12798</v>
      </c>
      <c r="D2143" s="9" t="s">
        <v>328</v>
      </c>
      <c r="E2143" s="10" t="s">
        <v>329</v>
      </c>
      <c r="F2143" s="10" t="s">
        <v>330</v>
      </c>
      <c r="G2143" s="8">
        <v>1</v>
      </c>
      <c r="H2143" s="11">
        <v>400</v>
      </c>
      <c r="I2143" s="12">
        <v>42617</v>
      </c>
      <c r="J2143" s="13">
        <f t="shared" si="73"/>
        <v>0</v>
      </c>
      <c r="K2143" s="14"/>
      <c r="L2143" s="14"/>
      <c r="M2143" s="14"/>
      <c r="N2143" s="14"/>
      <c r="O2143" s="14"/>
      <c r="P2143" s="14"/>
      <c r="Q2143" s="14"/>
      <c r="R2143" s="14"/>
      <c r="S2143" s="14">
        <v>400</v>
      </c>
      <c r="T2143" s="14"/>
      <c r="U2143" s="14"/>
      <c r="V2143" s="14"/>
      <c r="W2143" s="15">
        <f t="shared" si="74"/>
        <v>400</v>
      </c>
      <c r="X2143" s="14"/>
      <c r="Y2143" s="14"/>
      <c r="Z2143" s="14"/>
      <c r="AA2143" s="14"/>
      <c r="AB2143" s="14"/>
      <c r="AC2143" s="14"/>
      <c r="AD2143" s="14"/>
      <c r="AE2143" s="14"/>
      <c r="AF2143" s="14"/>
      <c r="AG2143" s="14"/>
      <c r="AH2143" s="14"/>
      <c r="AI2143" s="14"/>
      <c r="AJ2143" s="15"/>
      <c r="AK2143" s="16"/>
    </row>
    <row r="2144" spans="2:37" x14ac:dyDescent="0.2">
      <c r="B2144" s="7" t="s">
        <v>69</v>
      </c>
      <c r="C2144" s="8">
        <v>12799</v>
      </c>
      <c r="D2144" s="9" t="s">
        <v>562</v>
      </c>
      <c r="E2144" s="10" t="s">
        <v>563</v>
      </c>
      <c r="F2144" s="10" t="s">
        <v>564</v>
      </c>
      <c r="G2144" s="8">
        <v>1</v>
      </c>
      <c r="H2144" s="11">
        <v>800</v>
      </c>
      <c r="I2144" s="12">
        <v>42617</v>
      </c>
      <c r="J2144" s="13">
        <f t="shared" si="73"/>
        <v>0</v>
      </c>
      <c r="K2144" s="14"/>
      <c r="L2144" s="14"/>
      <c r="M2144" s="14"/>
      <c r="N2144" s="14"/>
      <c r="O2144" s="14"/>
      <c r="P2144" s="14"/>
      <c r="Q2144" s="14"/>
      <c r="R2144" s="14">
        <v>400</v>
      </c>
      <c r="S2144" s="14">
        <v>400</v>
      </c>
      <c r="T2144" s="14"/>
      <c r="U2144" s="14"/>
      <c r="V2144" s="14"/>
      <c r="W2144" s="15">
        <f t="shared" si="74"/>
        <v>800</v>
      </c>
      <c r="X2144" s="14"/>
      <c r="Y2144" s="14"/>
      <c r="Z2144" s="14"/>
      <c r="AA2144" s="14"/>
      <c r="AB2144" s="14"/>
      <c r="AC2144" s="14"/>
      <c r="AD2144" s="14"/>
      <c r="AE2144" s="14"/>
      <c r="AF2144" s="14"/>
      <c r="AG2144" s="14"/>
      <c r="AH2144" s="14"/>
      <c r="AI2144" s="14"/>
      <c r="AJ2144" s="15"/>
      <c r="AK2144" s="16"/>
    </row>
    <row r="2145" spans="2:37" x14ac:dyDescent="0.2">
      <c r="B2145" s="7" t="s">
        <v>37</v>
      </c>
      <c r="C2145" s="8">
        <v>12800</v>
      </c>
      <c r="D2145" s="9" t="s">
        <v>512</v>
      </c>
      <c r="E2145" s="10" t="s">
        <v>513</v>
      </c>
      <c r="F2145" s="10" t="s">
        <v>511</v>
      </c>
      <c r="G2145" s="8">
        <v>4</v>
      </c>
      <c r="H2145" s="11">
        <v>200</v>
      </c>
      <c r="I2145" s="12" t="s">
        <v>1188</v>
      </c>
      <c r="J2145" s="13">
        <f t="shared" si="73"/>
        <v>0</v>
      </c>
      <c r="K2145" s="14"/>
      <c r="L2145" s="14"/>
      <c r="M2145" s="14"/>
      <c r="N2145" s="14"/>
      <c r="O2145" s="14"/>
      <c r="P2145" s="14"/>
      <c r="Q2145" s="14"/>
      <c r="R2145" s="14"/>
      <c r="S2145" s="14"/>
      <c r="T2145" s="14"/>
      <c r="U2145" s="14"/>
      <c r="V2145" s="14"/>
      <c r="W2145" s="15">
        <f t="shared" si="74"/>
        <v>0</v>
      </c>
      <c r="X2145" s="14"/>
      <c r="Y2145" s="14"/>
      <c r="Z2145" s="14"/>
      <c r="AA2145" s="14"/>
      <c r="AB2145" s="14"/>
      <c r="AC2145" s="14"/>
      <c r="AD2145" s="14"/>
      <c r="AE2145" s="14"/>
      <c r="AF2145" s="14"/>
      <c r="AG2145" s="14"/>
      <c r="AH2145" s="14"/>
      <c r="AI2145" s="14"/>
      <c r="AJ2145" s="15"/>
      <c r="AK2145" s="7">
        <v>10451896</v>
      </c>
    </row>
    <row r="2146" spans="2:37" x14ac:dyDescent="0.2">
      <c r="B2146" s="7" t="s">
        <v>37</v>
      </c>
      <c r="C2146" s="8">
        <v>12800</v>
      </c>
      <c r="D2146" s="9" t="s">
        <v>512</v>
      </c>
      <c r="E2146" s="10" t="s">
        <v>513</v>
      </c>
      <c r="F2146" s="10" t="s">
        <v>511</v>
      </c>
      <c r="G2146" s="8">
        <v>5</v>
      </c>
      <c r="H2146" s="11">
        <v>100</v>
      </c>
      <c r="I2146" s="12">
        <v>42617</v>
      </c>
      <c r="J2146" s="13">
        <f t="shared" si="73"/>
        <v>0</v>
      </c>
      <c r="K2146" s="14"/>
      <c r="L2146" s="14"/>
      <c r="M2146" s="14"/>
      <c r="N2146" s="14"/>
      <c r="O2146" s="14"/>
      <c r="P2146" s="14"/>
      <c r="Q2146" s="14"/>
      <c r="R2146" s="14"/>
      <c r="S2146" s="14"/>
      <c r="T2146" s="14"/>
      <c r="U2146" s="14"/>
      <c r="V2146" s="14"/>
      <c r="W2146" s="15">
        <f t="shared" si="74"/>
        <v>0</v>
      </c>
      <c r="X2146" s="14"/>
      <c r="Y2146" s="14"/>
      <c r="Z2146" s="14"/>
      <c r="AA2146" s="14"/>
      <c r="AB2146" s="14"/>
      <c r="AC2146" s="14"/>
      <c r="AD2146" s="14"/>
      <c r="AE2146" s="14"/>
      <c r="AF2146" s="14"/>
      <c r="AG2146" s="14"/>
      <c r="AH2146" s="14"/>
      <c r="AI2146" s="14"/>
      <c r="AJ2146" s="15"/>
      <c r="AK2146" s="16"/>
    </row>
    <row r="2147" spans="2:37" x14ac:dyDescent="0.2">
      <c r="B2147" s="7" t="s">
        <v>37</v>
      </c>
      <c r="C2147" s="8">
        <v>12851</v>
      </c>
      <c r="D2147" s="9" t="s">
        <v>774</v>
      </c>
      <c r="E2147" s="10" t="s">
        <v>775</v>
      </c>
      <c r="F2147" s="10" t="s">
        <v>776</v>
      </c>
      <c r="G2147" s="8">
        <v>1</v>
      </c>
      <c r="H2147" s="11">
        <v>800</v>
      </c>
      <c r="I2147" s="12">
        <v>42617</v>
      </c>
      <c r="J2147" s="13">
        <f t="shared" ref="J2147:J2210" si="75">IF(G2147=1,SUM(W2147,-H2147),0)</f>
        <v>0</v>
      </c>
      <c r="K2147" s="14"/>
      <c r="L2147" s="14"/>
      <c r="M2147" s="14"/>
      <c r="N2147" s="14"/>
      <c r="O2147" s="14"/>
      <c r="P2147" s="14">
        <v>400</v>
      </c>
      <c r="Q2147" s="14">
        <v>400</v>
      </c>
      <c r="R2147" s="14"/>
      <c r="S2147" s="14"/>
      <c r="T2147" s="14"/>
      <c r="U2147" s="14"/>
      <c r="V2147" s="14"/>
      <c r="W2147" s="15">
        <f t="shared" ref="W2147:W2210" si="76">SUM(K2147:V2147)</f>
        <v>800</v>
      </c>
      <c r="X2147" s="14"/>
      <c r="Y2147" s="14"/>
      <c r="Z2147" s="14"/>
      <c r="AA2147" s="14"/>
      <c r="AB2147" s="14"/>
      <c r="AC2147" s="14"/>
      <c r="AD2147" s="14"/>
      <c r="AE2147" s="14"/>
      <c r="AF2147" s="14"/>
      <c r="AG2147" s="14"/>
      <c r="AH2147" s="14"/>
      <c r="AI2147" s="14"/>
      <c r="AJ2147" s="15"/>
      <c r="AK2147" s="16"/>
    </row>
    <row r="2148" spans="2:37" x14ac:dyDescent="0.2">
      <c r="B2148" s="7" t="s">
        <v>37</v>
      </c>
      <c r="C2148" s="8">
        <v>12851</v>
      </c>
      <c r="D2148" s="9" t="s">
        <v>774</v>
      </c>
      <c r="E2148" s="10" t="s">
        <v>775</v>
      </c>
      <c r="F2148" s="10" t="s">
        <v>776</v>
      </c>
      <c r="G2148" s="8">
        <v>3</v>
      </c>
      <c r="H2148" s="11">
        <v>200</v>
      </c>
      <c r="I2148" s="12">
        <v>42617</v>
      </c>
      <c r="J2148" s="13">
        <f t="shared" si="75"/>
        <v>0</v>
      </c>
      <c r="K2148" s="14"/>
      <c r="L2148" s="14"/>
      <c r="M2148" s="14"/>
      <c r="N2148" s="14"/>
      <c r="O2148" s="14"/>
      <c r="P2148" s="14"/>
      <c r="Q2148" s="14"/>
      <c r="R2148" s="14"/>
      <c r="S2148" s="14"/>
      <c r="T2148" s="14"/>
      <c r="U2148" s="14"/>
      <c r="V2148" s="14"/>
      <c r="W2148" s="15">
        <f t="shared" si="76"/>
        <v>0</v>
      </c>
      <c r="X2148" s="14"/>
      <c r="Y2148" s="14"/>
      <c r="Z2148" s="14"/>
      <c r="AA2148" s="14"/>
      <c r="AB2148" s="14"/>
      <c r="AC2148" s="14"/>
      <c r="AD2148" s="14"/>
      <c r="AE2148" s="14"/>
      <c r="AF2148" s="14"/>
      <c r="AG2148" s="14"/>
      <c r="AH2148" s="14"/>
      <c r="AI2148" s="14"/>
      <c r="AJ2148" s="15"/>
      <c r="AK2148" s="16"/>
    </row>
    <row r="2149" spans="2:37" x14ac:dyDescent="0.2">
      <c r="B2149" s="7" t="s">
        <v>122</v>
      </c>
      <c r="C2149" s="8">
        <v>12852</v>
      </c>
      <c r="D2149" s="9" t="s">
        <v>622</v>
      </c>
      <c r="E2149" s="10" t="s">
        <v>623</v>
      </c>
      <c r="F2149" s="10" t="s">
        <v>624</v>
      </c>
      <c r="G2149" s="8">
        <v>3</v>
      </c>
      <c r="H2149" s="11">
        <v>200</v>
      </c>
      <c r="I2149" s="12">
        <v>42617</v>
      </c>
      <c r="J2149" s="13">
        <f t="shared" si="75"/>
        <v>0</v>
      </c>
      <c r="K2149" s="14"/>
      <c r="L2149" s="14"/>
      <c r="M2149" s="14"/>
      <c r="N2149" s="14"/>
      <c r="O2149" s="14"/>
      <c r="P2149" s="14"/>
      <c r="Q2149" s="14"/>
      <c r="R2149" s="14"/>
      <c r="S2149" s="14"/>
      <c r="T2149" s="14"/>
      <c r="U2149" s="14"/>
      <c r="V2149" s="14"/>
      <c r="W2149" s="15">
        <f t="shared" si="76"/>
        <v>0</v>
      </c>
      <c r="X2149" s="14"/>
      <c r="Y2149" s="14"/>
      <c r="Z2149" s="14"/>
      <c r="AA2149" s="14"/>
      <c r="AB2149" s="14"/>
      <c r="AC2149" s="14"/>
      <c r="AD2149" s="14"/>
      <c r="AE2149" s="14"/>
      <c r="AF2149" s="14"/>
      <c r="AG2149" s="14"/>
      <c r="AH2149" s="14"/>
      <c r="AI2149" s="14"/>
      <c r="AJ2149" s="15"/>
      <c r="AK2149" s="16"/>
    </row>
    <row r="2150" spans="2:37" x14ac:dyDescent="0.2">
      <c r="B2150" s="7" t="s">
        <v>73</v>
      </c>
      <c r="C2150" s="8">
        <v>12853</v>
      </c>
      <c r="D2150" s="9" t="s">
        <v>611</v>
      </c>
      <c r="E2150" s="10" t="s">
        <v>612</v>
      </c>
      <c r="F2150" s="10" t="s">
        <v>613</v>
      </c>
      <c r="G2150" s="8">
        <v>1</v>
      </c>
      <c r="H2150" s="11">
        <v>400</v>
      </c>
      <c r="I2150" s="12">
        <v>42617</v>
      </c>
      <c r="J2150" s="13">
        <f t="shared" si="75"/>
        <v>0</v>
      </c>
      <c r="K2150" s="14"/>
      <c r="L2150" s="14"/>
      <c r="M2150" s="14"/>
      <c r="N2150" s="14"/>
      <c r="O2150" s="14"/>
      <c r="P2150" s="14"/>
      <c r="Q2150" s="14"/>
      <c r="R2150" s="14"/>
      <c r="S2150" s="14">
        <v>400</v>
      </c>
      <c r="T2150" s="14"/>
      <c r="U2150" s="14"/>
      <c r="V2150" s="14"/>
      <c r="W2150" s="15">
        <f t="shared" si="76"/>
        <v>400</v>
      </c>
      <c r="X2150" s="14"/>
      <c r="Y2150" s="14"/>
      <c r="Z2150" s="14"/>
      <c r="AA2150" s="14"/>
      <c r="AB2150" s="14"/>
      <c r="AC2150" s="14"/>
      <c r="AD2150" s="14"/>
      <c r="AE2150" s="14"/>
      <c r="AF2150" s="14"/>
      <c r="AG2150" s="14"/>
      <c r="AH2150" s="14"/>
      <c r="AI2150" s="14"/>
      <c r="AJ2150" s="15"/>
      <c r="AK2150" s="16"/>
    </row>
    <row r="2151" spans="2:37" x14ac:dyDescent="0.2">
      <c r="B2151" s="7" t="s">
        <v>73</v>
      </c>
      <c r="C2151" s="8">
        <v>12854</v>
      </c>
      <c r="D2151" s="9" t="s">
        <v>458</v>
      </c>
      <c r="E2151" s="10" t="s">
        <v>459</v>
      </c>
      <c r="F2151" s="10" t="s">
        <v>460</v>
      </c>
      <c r="G2151" s="8">
        <v>5</v>
      </c>
      <c r="H2151" s="11">
        <v>100</v>
      </c>
      <c r="I2151" s="12">
        <v>42617</v>
      </c>
      <c r="J2151" s="13">
        <f t="shared" si="75"/>
        <v>0</v>
      </c>
      <c r="K2151" s="14"/>
      <c r="L2151" s="14"/>
      <c r="M2151" s="14"/>
      <c r="N2151" s="14"/>
      <c r="O2151" s="14"/>
      <c r="P2151" s="14"/>
      <c r="Q2151" s="14"/>
      <c r="R2151" s="14"/>
      <c r="S2151" s="14"/>
      <c r="T2151" s="14"/>
      <c r="U2151" s="14"/>
      <c r="V2151" s="14"/>
      <c r="W2151" s="15">
        <f t="shared" si="76"/>
        <v>0</v>
      </c>
      <c r="X2151" s="14"/>
      <c r="Y2151" s="14"/>
      <c r="Z2151" s="14"/>
      <c r="AA2151" s="14"/>
      <c r="AB2151" s="14"/>
      <c r="AC2151" s="14"/>
      <c r="AD2151" s="14"/>
      <c r="AE2151" s="14"/>
      <c r="AF2151" s="14"/>
      <c r="AG2151" s="14"/>
      <c r="AH2151" s="14"/>
      <c r="AI2151" s="14"/>
      <c r="AJ2151" s="15"/>
      <c r="AK2151" s="16"/>
    </row>
    <row r="2152" spans="2:37" x14ac:dyDescent="0.2">
      <c r="B2152" s="7" t="s">
        <v>47</v>
      </c>
      <c r="C2152" s="8">
        <v>12855</v>
      </c>
      <c r="D2152" s="9" t="s">
        <v>313</v>
      </c>
      <c r="E2152" s="10" t="s">
        <v>314</v>
      </c>
      <c r="F2152" s="10" t="s">
        <v>315</v>
      </c>
      <c r="G2152" s="8">
        <v>1</v>
      </c>
      <c r="H2152" s="11">
        <v>400</v>
      </c>
      <c r="I2152" s="12">
        <v>42617</v>
      </c>
      <c r="J2152" s="13">
        <f t="shared" si="75"/>
        <v>0</v>
      </c>
      <c r="K2152" s="14"/>
      <c r="L2152" s="14"/>
      <c r="M2152" s="14"/>
      <c r="N2152" s="14"/>
      <c r="O2152" s="14"/>
      <c r="P2152" s="14"/>
      <c r="Q2152" s="14"/>
      <c r="R2152" s="14"/>
      <c r="S2152" s="14">
        <v>400</v>
      </c>
      <c r="T2152" s="14"/>
      <c r="U2152" s="14"/>
      <c r="V2152" s="14"/>
      <c r="W2152" s="15">
        <f t="shared" si="76"/>
        <v>400</v>
      </c>
      <c r="X2152" s="14"/>
      <c r="Y2152" s="14"/>
      <c r="Z2152" s="14"/>
      <c r="AA2152" s="14"/>
      <c r="AB2152" s="14"/>
      <c r="AC2152" s="14"/>
      <c r="AD2152" s="14"/>
      <c r="AE2152" s="14"/>
      <c r="AF2152" s="14"/>
      <c r="AG2152" s="14"/>
      <c r="AH2152" s="14"/>
      <c r="AI2152" s="14"/>
      <c r="AJ2152" s="15"/>
      <c r="AK2152" s="16"/>
    </row>
    <row r="2153" spans="2:37" x14ac:dyDescent="0.2">
      <c r="B2153" s="7" t="s">
        <v>122</v>
      </c>
      <c r="C2153" s="8">
        <v>12856</v>
      </c>
      <c r="D2153" s="9" t="s">
        <v>310</v>
      </c>
      <c r="E2153" s="10" t="s">
        <v>311</v>
      </c>
      <c r="F2153" s="10" t="s">
        <v>312</v>
      </c>
      <c r="G2153" s="8">
        <v>5</v>
      </c>
      <c r="H2153" s="11">
        <v>50</v>
      </c>
      <c r="I2153" s="12">
        <v>42617</v>
      </c>
      <c r="J2153" s="13">
        <f t="shared" si="75"/>
        <v>0</v>
      </c>
      <c r="K2153" s="14"/>
      <c r="L2153" s="14"/>
      <c r="M2153" s="14"/>
      <c r="N2153" s="14"/>
      <c r="O2153" s="14"/>
      <c r="P2153" s="14"/>
      <c r="Q2153" s="14"/>
      <c r="R2153" s="14"/>
      <c r="S2153" s="14"/>
      <c r="T2153" s="14"/>
      <c r="U2153" s="14"/>
      <c r="V2153" s="14"/>
      <c r="W2153" s="15">
        <f t="shared" si="76"/>
        <v>0</v>
      </c>
      <c r="X2153" s="14"/>
      <c r="Y2153" s="14"/>
      <c r="Z2153" s="14"/>
      <c r="AA2153" s="14"/>
      <c r="AB2153" s="14"/>
      <c r="AC2153" s="14"/>
      <c r="AD2153" s="14"/>
      <c r="AE2153" s="14"/>
      <c r="AF2153" s="14"/>
      <c r="AG2153" s="14"/>
      <c r="AH2153" s="14"/>
      <c r="AI2153" s="14"/>
      <c r="AJ2153" s="15"/>
      <c r="AK2153" s="16"/>
    </row>
    <row r="2154" spans="2:37" x14ac:dyDescent="0.2">
      <c r="B2154" s="7" t="s">
        <v>37</v>
      </c>
      <c r="C2154" s="8">
        <v>12857</v>
      </c>
      <c r="D2154" s="9" t="s">
        <v>491</v>
      </c>
      <c r="E2154" s="10" t="s">
        <v>492</v>
      </c>
      <c r="F2154" s="10" t="s">
        <v>493</v>
      </c>
      <c r="G2154" s="8">
        <v>5</v>
      </c>
      <c r="H2154" s="11">
        <v>50</v>
      </c>
      <c r="I2154" s="12">
        <v>42617</v>
      </c>
      <c r="J2154" s="13">
        <f t="shared" si="75"/>
        <v>0</v>
      </c>
      <c r="K2154" s="14"/>
      <c r="L2154" s="14"/>
      <c r="M2154" s="14"/>
      <c r="N2154" s="14"/>
      <c r="O2154" s="14"/>
      <c r="P2154" s="14"/>
      <c r="Q2154" s="14"/>
      <c r="R2154" s="14"/>
      <c r="S2154" s="14"/>
      <c r="T2154" s="14"/>
      <c r="U2154" s="14"/>
      <c r="V2154" s="14"/>
      <c r="W2154" s="15">
        <f t="shared" si="76"/>
        <v>0</v>
      </c>
      <c r="X2154" s="14"/>
      <c r="Y2154" s="14"/>
      <c r="Z2154" s="14"/>
      <c r="AA2154" s="14"/>
      <c r="AB2154" s="14"/>
      <c r="AC2154" s="14"/>
      <c r="AD2154" s="14"/>
      <c r="AE2154" s="14"/>
      <c r="AF2154" s="14"/>
      <c r="AG2154" s="14"/>
      <c r="AH2154" s="14"/>
      <c r="AI2154" s="14"/>
      <c r="AJ2154" s="15"/>
      <c r="AK2154" s="16"/>
    </row>
    <row r="2155" spans="2:37" x14ac:dyDescent="0.2">
      <c r="B2155" s="7" t="s">
        <v>47</v>
      </c>
      <c r="C2155" s="8">
        <v>12858</v>
      </c>
      <c r="D2155" s="9" t="s">
        <v>153</v>
      </c>
      <c r="E2155" s="10" t="s">
        <v>154</v>
      </c>
      <c r="F2155" s="10" t="s">
        <v>155</v>
      </c>
      <c r="G2155" s="8">
        <v>1</v>
      </c>
      <c r="H2155" s="11">
        <v>400</v>
      </c>
      <c r="I2155" s="12">
        <v>42617</v>
      </c>
      <c r="J2155" s="13">
        <f t="shared" si="75"/>
        <v>0</v>
      </c>
      <c r="K2155" s="14"/>
      <c r="L2155" s="14"/>
      <c r="M2155" s="14"/>
      <c r="N2155" s="14"/>
      <c r="O2155" s="14"/>
      <c r="P2155" s="14"/>
      <c r="Q2155" s="14"/>
      <c r="R2155" s="14"/>
      <c r="S2155" s="14">
        <v>400</v>
      </c>
      <c r="T2155" s="14"/>
      <c r="U2155" s="14"/>
      <c r="V2155" s="14"/>
      <c r="W2155" s="15">
        <f t="shared" si="76"/>
        <v>400</v>
      </c>
      <c r="X2155" s="14"/>
      <c r="Y2155" s="14"/>
      <c r="Z2155" s="14"/>
      <c r="AA2155" s="14"/>
      <c r="AB2155" s="14"/>
      <c r="AC2155" s="14"/>
      <c r="AD2155" s="14"/>
      <c r="AE2155" s="14"/>
      <c r="AF2155" s="14"/>
      <c r="AG2155" s="14"/>
      <c r="AH2155" s="14"/>
      <c r="AI2155" s="14"/>
      <c r="AJ2155" s="15"/>
      <c r="AK2155" s="16"/>
    </row>
    <row r="2156" spans="2:37" x14ac:dyDescent="0.2">
      <c r="B2156" s="7" t="s">
        <v>37</v>
      </c>
      <c r="C2156" s="8">
        <v>12859</v>
      </c>
      <c r="D2156" s="9" t="s">
        <v>1167</v>
      </c>
      <c r="E2156" s="10" t="s">
        <v>1168</v>
      </c>
      <c r="F2156" s="10" t="s">
        <v>1169</v>
      </c>
      <c r="G2156" s="8">
        <v>5</v>
      </c>
      <c r="H2156" s="11">
        <v>50</v>
      </c>
      <c r="I2156" s="12">
        <v>42617</v>
      </c>
      <c r="J2156" s="13">
        <f t="shared" si="75"/>
        <v>0</v>
      </c>
      <c r="K2156" s="14"/>
      <c r="L2156" s="14"/>
      <c r="M2156" s="14"/>
      <c r="N2156" s="14"/>
      <c r="O2156" s="14"/>
      <c r="P2156" s="14"/>
      <c r="Q2156" s="14"/>
      <c r="R2156" s="14"/>
      <c r="S2156" s="14"/>
      <c r="T2156" s="14"/>
      <c r="U2156" s="14"/>
      <c r="V2156" s="14"/>
      <c r="W2156" s="15">
        <f t="shared" si="76"/>
        <v>0</v>
      </c>
      <c r="X2156" s="14"/>
      <c r="Y2156" s="14"/>
      <c r="Z2156" s="14"/>
      <c r="AA2156" s="14"/>
      <c r="AB2156" s="14"/>
      <c r="AC2156" s="14"/>
      <c r="AD2156" s="14"/>
      <c r="AE2156" s="14"/>
      <c r="AF2156" s="14"/>
      <c r="AG2156" s="14"/>
      <c r="AH2156" s="14"/>
      <c r="AI2156" s="14"/>
      <c r="AJ2156" s="15"/>
      <c r="AK2156" s="16"/>
    </row>
    <row r="2157" spans="2:37" x14ac:dyDescent="0.2">
      <c r="B2157" s="7" t="s">
        <v>77</v>
      </c>
      <c r="C2157" s="8">
        <v>12860</v>
      </c>
      <c r="D2157" s="9" t="s">
        <v>322</v>
      </c>
      <c r="E2157" s="10" t="s">
        <v>323</v>
      </c>
      <c r="F2157" s="10" t="s">
        <v>324</v>
      </c>
      <c r="G2157" s="8">
        <v>1</v>
      </c>
      <c r="H2157" s="11">
        <v>400</v>
      </c>
      <c r="I2157" s="12">
        <v>42617</v>
      </c>
      <c r="J2157" s="13">
        <f t="shared" si="75"/>
        <v>0</v>
      </c>
      <c r="K2157" s="14"/>
      <c r="L2157" s="14"/>
      <c r="M2157" s="14"/>
      <c r="N2157" s="14"/>
      <c r="O2157" s="14"/>
      <c r="P2157" s="14"/>
      <c r="Q2157" s="14"/>
      <c r="R2157" s="14">
        <v>400</v>
      </c>
      <c r="S2157" s="14"/>
      <c r="T2157" s="14"/>
      <c r="U2157" s="14"/>
      <c r="V2157" s="14"/>
      <c r="W2157" s="15">
        <f t="shared" si="76"/>
        <v>400</v>
      </c>
      <c r="X2157" s="14"/>
      <c r="Y2157" s="14"/>
      <c r="Z2157" s="14"/>
      <c r="AA2157" s="14"/>
      <c r="AB2157" s="14"/>
      <c r="AC2157" s="14"/>
      <c r="AD2157" s="14"/>
      <c r="AE2157" s="14"/>
      <c r="AF2157" s="14"/>
      <c r="AG2157" s="14"/>
      <c r="AH2157" s="14"/>
      <c r="AI2157" s="14"/>
      <c r="AJ2157" s="15"/>
      <c r="AK2157" s="16"/>
    </row>
    <row r="2158" spans="2:37" x14ac:dyDescent="0.2">
      <c r="B2158" s="7" t="s">
        <v>47</v>
      </c>
      <c r="C2158" s="8">
        <v>12861</v>
      </c>
      <c r="D2158" s="9" t="s">
        <v>803</v>
      </c>
      <c r="E2158" s="10" t="s">
        <v>804</v>
      </c>
      <c r="F2158" s="10" t="s">
        <v>312</v>
      </c>
      <c r="G2158" s="8">
        <v>5</v>
      </c>
      <c r="H2158" s="11">
        <v>250</v>
      </c>
      <c r="I2158" s="12">
        <v>42617</v>
      </c>
      <c r="J2158" s="13">
        <f t="shared" si="75"/>
        <v>0</v>
      </c>
      <c r="K2158" s="14"/>
      <c r="L2158" s="14"/>
      <c r="M2158" s="14"/>
      <c r="N2158" s="14"/>
      <c r="O2158" s="14"/>
      <c r="P2158" s="14"/>
      <c r="Q2158" s="14"/>
      <c r="R2158" s="14"/>
      <c r="S2158" s="14"/>
      <c r="T2158" s="14"/>
      <c r="U2158" s="14"/>
      <c r="V2158" s="14"/>
      <c r="W2158" s="15">
        <f t="shared" si="76"/>
        <v>0</v>
      </c>
      <c r="X2158" s="14"/>
      <c r="Y2158" s="14"/>
      <c r="Z2158" s="14"/>
      <c r="AA2158" s="14"/>
      <c r="AB2158" s="14"/>
      <c r="AC2158" s="14"/>
      <c r="AD2158" s="14"/>
      <c r="AE2158" s="14"/>
      <c r="AF2158" s="14"/>
      <c r="AG2158" s="14"/>
      <c r="AH2158" s="14"/>
      <c r="AI2158" s="14"/>
      <c r="AJ2158" s="15"/>
      <c r="AK2158" s="16"/>
    </row>
    <row r="2159" spans="2:37" x14ac:dyDescent="0.2">
      <c r="B2159" s="7" t="s">
        <v>37</v>
      </c>
      <c r="C2159" s="8">
        <v>12801</v>
      </c>
      <c r="D2159" s="9" t="s">
        <v>941</v>
      </c>
      <c r="E2159" s="10" t="s">
        <v>942</v>
      </c>
      <c r="F2159" s="10" t="s">
        <v>943</v>
      </c>
      <c r="G2159" s="8">
        <v>1</v>
      </c>
      <c r="H2159" s="11">
        <v>200</v>
      </c>
      <c r="I2159" s="12">
        <v>42620</v>
      </c>
      <c r="J2159" s="13">
        <f t="shared" si="75"/>
        <v>0</v>
      </c>
      <c r="K2159" s="14"/>
      <c r="L2159" s="14"/>
      <c r="M2159" s="14"/>
      <c r="N2159" s="14"/>
      <c r="O2159" s="14"/>
      <c r="P2159" s="14"/>
      <c r="Q2159" s="14"/>
      <c r="R2159" s="14"/>
      <c r="S2159" s="14">
        <v>200</v>
      </c>
      <c r="T2159" s="14"/>
      <c r="U2159" s="14"/>
      <c r="V2159" s="14"/>
      <c r="W2159" s="15">
        <f t="shared" si="76"/>
        <v>200</v>
      </c>
      <c r="X2159" s="14"/>
      <c r="Y2159" s="14"/>
      <c r="Z2159" s="14"/>
      <c r="AA2159" s="14"/>
      <c r="AB2159" s="14"/>
      <c r="AC2159" s="14"/>
      <c r="AD2159" s="14"/>
      <c r="AE2159" s="14"/>
      <c r="AF2159" s="14"/>
      <c r="AG2159" s="14"/>
      <c r="AH2159" s="14"/>
      <c r="AI2159" s="14"/>
      <c r="AJ2159" s="15"/>
      <c r="AK2159" s="16"/>
    </row>
    <row r="2160" spans="2:37" x14ac:dyDescent="0.2">
      <c r="B2160" s="7" t="s">
        <v>37</v>
      </c>
      <c r="C2160" s="8">
        <v>12802</v>
      </c>
      <c r="D2160" s="9" t="s">
        <v>205</v>
      </c>
      <c r="E2160" s="10" t="s">
        <v>206</v>
      </c>
      <c r="F2160" s="10" t="s">
        <v>207</v>
      </c>
      <c r="G2160" s="8">
        <v>1</v>
      </c>
      <c r="H2160" s="11">
        <v>600</v>
      </c>
      <c r="I2160" s="12">
        <v>42621</v>
      </c>
      <c r="J2160" s="13">
        <f t="shared" si="75"/>
        <v>0</v>
      </c>
      <c r="K2160" s="14"/>
      <c r="L2160" s="14"/>
      <c r="M2160" s="14"/>
      <c r="N2160" s="14"/>
      <c r="O2160" s="14"/>
      <c r="P2160" s="14"/>
      <c r="Q2160" s="14"/>
      <c r="R2160" s="14">
        <v>600</v>
      </c>
      <c r="S2160" s="14"/>
      <c r="T2160" s="14"/>
      <c r="U2160" s="14"/>
      <c r="V2160" s="14"/>
      <c r="W2160" s="15">
        <f t="shared" si="76"/>
        <v>600</v>
      </c>
      <c r="X2160" s="14"/>
      <c r="Y2160" s="14"/>
      <c r="Z2160" s="14"/>
      <c r="AA2160" s="14"/>
      <c r="AB2160" s="14"/>
      <c r="AC2160" s="14"/>
      <c r="AD2160" s="14"/>
      <c r="AE2160" s="14"/>
      <c r="AF2160" s="14"/>
      <c r="AG2160" s="14"/>
      <c r="AH2160" s="14"/>
      <c r="AI2160" s="14"/>
      <c r="AJ2160" s="15"/>
      <c r="AK2160" s="16"/>
    </row>
    <row r="2161" spans="2:37" x14ac:dyDescent="0.2">
      <c r="B2161" s="7" t="s">
        <v>69</v>
      </c>
      <c r="C2161" s="8">
        <v>12803</v>
      </c>
      <c r="D2161" s="9" t="s">
        <v>828</v>
      </c>
      <c r="E2161" s="10" t="s">
        <v>829</v>
      </c>
      <c r="F2161" s="10" t="s">
        <v>830</v>
      </c>
      <c r="G2161" s="8">
        <v>3</v>
      </c>
      <c r="H2161" s="11">
        <v>200</v>
      </c>
      <c r="I2161" s="12">
        <v>42621</v>
      </c>
      <c r="J2161" s="13">
        <f t="shared" si="75"/>
        <v>0</v>
      </c>
      <c r="K2161" s="14"/>
      <c r="L2161" s="14"/>
      <c r="M2161" s="14"/>
      <c r="N2161" s="14"/>
      <c r="O2161" s="14"/>
      <c r="P2161" s="14"/>
      <c r="Q2161" s="14"/>
      <c r="R2161" s="14"/>
      <c r="S2161" s="14"/>
      <c r="T2161" s="14"/>
      <c r="U2161" s="14"/>
      <c r="V2161" s="14"/>
      <c r="W2161" s="15">
        <f t="shared" si="76"/>
        <v>0</v>
      </c>
      <c r="X2161" s="14"/>
      <c r="Y2161" s="14"/>
      <c r="Z2161" s="14"/>
      <c r="AA2161" s="14"/>
      <c r="AB2161" s="14"/>
      <c r="AC2161" s="14"/>
      <c r="AD2161" s="14"/>
      <c r="AE2161" s="14"/>
      <c r="AF2161" s="14"/>
      <c r="AG2161" s="14"/>
      <c r="AH2161" s="14"/>
      <c r="AI2161" s="14"/>
      <c r="AJ2161" s="15"/>
      <c r="AK2161" s="16"/>
    </row>
    <row r="2162" spans="2:37" x14ac:dyDescent="0.2">
      <c r="B2162" s="7" t="s">
        <v>47</v>
      </c>
      <c r="C2162" s="8">
        <v>12804</v>
      </c>
      <c r="D2162" s="9" t="s">
        <v>138</v>
      </c>
      <c r="E2162" s="10" t="s">
        <v>139</v>
      </c>
      <c r="F2162" s="10" t="s">
        <v>140</v>
      </c>
      <c r="G2162" s="8">
        <v>1</v>
      </c>
      <c r="H2162" s="11">
        <v>800</v>
      </c>
      <c r="I2162" s="12">
        <v>42624</v>
      </c>
      <c r="J2162" s="13">
        <f t="shared" si="75"/>
        <v>0</v>
      </c>
      <c r="K2162" s="14"/>
      <c r="L2162" s="14"/>
      <c r="M2162" s="14"/>
      <c r="N2162" s="14"/>
      <c r="O2162" s="14"/>
      <c r="P2162" s="14"/>
      <c r="Q2162" s="14"/>
      <c r="R2162" s="14">
        <v>400</v>
      </c>
      <c r="S2162" s="14">
        <v>400</v>
      </c>
      <c r="T2162" s="14"/>
      <c r="U2162" s="14"/>
      <c r="V2162" s="14"/>
      <c r="W2162" s="15">
        <f t="shared" si="76"/>
        <v>800</v>
      </c>
      <c r="X2162" s="14"/>
      <c r="Y2162" s="14"/>
      <c r="Z2162" s="14"/>
      <c r="AA2162" s="14"/>
      <c r="AB2162" s="14"/>
      <c r="AC2162" s="14"/>
      <c r="AD2162" s="14"/>
      <c r="AE2162" s="14"/>
      <c r="AF2162" s="14"/>
      <c r="AG2162" s="14"/>
      <c r="AH2162" s="14"/>
      <c r="AI2162" s="14"/>
      <c r="AJ2162" s="15"/>
      <c r="AK2162" s="16"/>
    </row>
    <row r="2163" spans="2:37" x14ac:dyDescent="0.2">
      <c r="B2163" s="7" t="s">
        <v>61</v>
      </c>
      <c r="C2163" s="8">
        <v>12805</v>
      </c>
      <c r="D2163" s="9" t="s">
        <v>631</v>
      </c>
      <c r="E2163" s="10" t="s">
        <v>632</v>
      </c>
      <c r="F2163" s="10" t="s">
        <v>633</v>
      </c>
      <c r="G2163" s="8">
        <v>1</v>
      </c>
      <c r="H2163" s="11">
        <v>300</v>
      </c>
      <c r="I2163" s="12">
        <v>42624</v>
      </c>
      <c r="J2163" s="13">
        <f t="shared" si="75"/>
        <v>0</v>
      </c>
      <c r="K2163" s="14"/>
      <c r="L2163" s="14"/>
      <c r="M2163" s="14"/>
      <c r="N2163" s="14"/>
      <c r="O2163" s="14"/>
      <c r="P2163" s="14"/>
      <c r="Q2163" s="14"/>
      <c r="R2163" s="14"/>
      <c r="S2163" s="14">
        <v>300</v>
      </c>
      <c r="T2163" s="14"/>
      <c r="U2163" s="14"/>
      <c r="V2163" s="14"/>
      <c r="W2163" s="15">
        <f t="shared" si="76"/>
        <v>300</v>
      </c>
      <c r="X2163" s="14"/>
      <c r="Y2163" s="14"/>
      <c r="Z2163" s="14"/>
      <c r="AA2163" s="14"/>
      <c r="AB2163" s="14"/>
      <c r="AC2163" s="14"/>
      <c r="AD2163" s="14"/>
      <c r="AE2163" s="14"/>
      <c r="AF2163" s="14"/>
      <c r="AG2163" s="14"/>
      <c r="AH2163" s="14"/>
      <c r="AI2163" s="14"/>
      <c r="AJ2163" s="15"/>
      <c r="AK2163" s="16"/>
    </row>
    <row r="2164" spans="2:37" x14ac:dyDescent="0.2">
      <c r="B2164" s="7" t="s">
        <v>47</v>
      </c>
      <c r="C2164" s="8">
        <v>12806</v>
      </c>
      <c r="D2164" s="9" t="s">
        <v>658</v>
      </c>
      <c r="E2164" s="10" t="s">
        <v>659</v>
      </c>
      <c r="F2164" s="10" t="s">
        <v>1189</v>
      </c>
      <c r="G2164" s="8">
        <v>1</v>
      </c>
      <c r="H2164" s="11">
        <v>800</v>
      </c>
      <c r="I2164" s="12">
        <v>42624</v>
      </c>
      <c r="J2164" s="13">
        <f t="shared" si="75"/>
        <v>0</v>
      </c>
      <c r="K2164" s="14"/>
      <c r="L2164" s="14"/>
      <c r="M2164" s="14"/>
      <c r="N2164" s="14"/>
      <c r="O2164" s="14"/>
      <c r="P2164" s="14"/>
      <c r="Q2164" s="14"/>
      <c r="R2164" s="14">
        <v>400</v>
      </c>
      <c r="S2164" s="14">
        <v>400</v>
      </c>
      <c r="T2164" s="14"/>
      <c r="U2164" s="14"/>
      <c r="V2164" s="14"/>
      <c r="W2164" s="15">
        <f t="shared" si="76"/>
        <v>800</v>
      </c>
      <c r="X2164" s="14"/>
      <c r="Y2164" s="14"/>
      <c r="Z2164" s="14"/>
      <c r="AA2164" s="14"/>
      <c r="AB2164" s="14"/>
      <c r="AC2164" s="14"/>
      <c r="AD2164" s="14"/>
      <c r="AE2164" s="14"/>
      <c r="AF2164" s="14"/>
      <c r="AG2164" s="14"/>
      <c r="AH2164" s="14"/>
      <c r="AI2164" s="14"/>
      <c r="AJ2164" s="15"/>
      <c r="AK2164" s="16"/>
    </row>
    <row r="2165" spans="2:37" x14ac:dyDescent="0.2">
      <c r="B2165" s="7" t="s">
        <v>47</v>
      </c>
      <c r="C2165" s="8">
        <v>12807</v>
      </c>
      <c r="D2165" s="9" t="s">
        <v>658</v>
      </c>
      <c r="E2165" s="10" t="s">
        <v>659</v>
      </c>
      <c r="F2165" s="10" t="s">
        <v>1189</v>
      </c>
      <c r="G2165" s="8">
        <v>3</v>
      </c>
      <c r="H2165" s="11">
        <v>200</v>
      </c>
      <c r="I2165" s="12">
        <v>42624</v>
      </c>
      <c r="J2165" s="13">
        <f t="shared" si="75"/>
        <v>0</v>
      </c>
      <c r="K2165" s="14"/>
      <c r="L2165" s="14"/>
      <c r="M2165" s="14"/>
      <c r="N2165" s="14"/>
      <c r="O2165" s="14"/>
      <c r="P2165" s="14"/>
      <c r="Q2165" s="14"/>
      <c r="R2165" s="14"/>
      <c r="S2165" s="14"/>
      <c r="T2165" s="14"/>
      <c r="U2165" s="14"/>
      <c r="V2165" s="14"/>
      <c r="W2165" s="15">
        <f t="shared" si="76"/>
        <v>0</v>
      </c>
      <c r="X2165" s="14"/>
      <c r="Y2165" s="14"/>
      <c r="Z2165" s="14"/>
      <c r="AA2165" s="14"/>
      <c r="AB2165" s="14"/>
      <c r="AC2165" s="14"/>
      <c r="AD2165" s="14"/>
      <c r="AE2165" s="14"/>
      <c r="AF2165" s="14"/>
      <c r="AG2165" s="14"/>
      <c r="AH2165" s="14"/>
      <c r="AI2165" s="14"/>
      <c r="AJ2165" s="15"/>
      <c r="AK2165" s="16"/>
    </row>
    <row r="2166" spans="2:37" x14ac:dyDescent="0.2">
      <c r="B2166" s="7" t="s">
        <v>47</v>
      </c>
      <c r="C2166" s="8">
        <v>12807</v>
      </c>
      <c r="D2166" s="9" t="s">
        <v>658</v>
      </c>
      <c r="E2166" s="10" t="s">
        <v>659</v>
      </c>
      <c r="F2166" s="10" t="s">
        <v>1189</v>
      </c>
      <c r="G2166" s="8">
        <v>5</v>
      </c>
      <c r="H2166" s="11">
        <v>100</v>
      </c>
      <c r="I2166" s="12">
        <v>42624</v>
      </c>
      <c r="J2166" s="13">
        <f t="shared" si="75"/>
        <v>0</v>
      </c>
      <c r="K2166" s="14"/>
      <c r="L2166" s="14"/>
      <c r="M2166" s="14"/>
      <c r="N2166" s="14"/>
      <c r="O2166" s="14"/>
      <c r="P2166" s="14"/>
      <c r="Q2166" s="14"/>
      <c r="R2166" s="14"/>
      <c r="S2166" s="14"/>
      <c r="T2166" s="14"/>
      <c r="U2166" s="14"/>
      <c r="V2166" s="14"/>
      <c r="W2166" s="15">
        <f t="shared" si="76"/>
        <v>0</v>
      </c>
      <c r="X2166" s="14"/>
      <c r="Y2166" s="14"/>
      <c r="Z2166" s="14"/>
      <c r="AA2166" s="14"/>
      <c r="AB2166" s="14"/>
      <c r="AC2166" s="14"/>
      <c r="AD2166" s="14"/>
      <c r="AE2166" s="14"/>
      <c r="AF2166" s="14"/>
      <c r="AG2166" s="14"/>
      <c r="AH2166" s="14"/>
      <c r="AI2166" s="14"/>
      <c r="AJ2166" s="15"/>
      <c r="AK2166" s="16"/>
    </row>
    <row r="2167" spans="2:37" x14ac:dyDescent="0.2">
      <c r="B2167" s="7" t="s">
        <v>73</v>
      </c>
      <c r="C2167" s="8">
        <v>12808</v>
      </c>
      <c r="D2167" s="9" t="s">
        <v>785</v>
      </c>
      <c r="E2167" s="10" t="s">
        <v>786</v>
      </c>
      <c r="F2167" s="10" t="s">
        <v>787</v>
      </c>
      <c r="G2167" s="8">
        <v>1</v>
      </c>
      <c r="H2167" s="11">
        <v>600</v>
      </c>
      <c r="I2167" s="12">
        <v>42624</v>
      </c>
      <c r="J2167" s="13">
        <f t="shared" si="75"/>
        <v>0</v>
      </c>
      <c r="K2167" s="14"/>
      <c r="L2167" s="14"/>
      <c r="M2167" s="14"/>
      <c r="N2167" s="14"/>
      <c r="O2167" s="14"/>
      <c r="P2167" s="14"/>
      <c r="Q2167" s="14">
        <v>200</v>
      </c>
      <c r="R2167" s="14">
        <v>200</v>
      </c>
      <c r="S2167" s="14">
        <v>200</v>
      </c>
      <c r="T2167" s="14"/>
      <c r="U2167" s="14"/>
      <c r="V2167" s="14"/>
      <c r="W2167" s="15">
        <f t="shared" si="76"/>
        <v>600</v>
      </c>
      <c r="X2167" s="14"/>
      <c r="Y2167" s="14"/>
      <c r="Z2167" s="14"/>
      <c r="AA2167" s="14"/>
      <c r="AB2167" s="14"/>
      <c r="AC2167" s="14"/>
      <c r="AD2167" s="14"/>
      <c r="AE2167" s="14"/>
      <c r="AF2167" s="14"/>
      <c r="AG2167" s="14"/>
      <c r="AH2167" s="14"/>
      <c r="AI2167" s="14"/>
      <c r="AJ2167" s="15"/>
      <c r="AK2167" s="16"/>
    </row>
    <row r="2168" spans="2:37" x14ac:dyDescent="0.2">
      <c r="B2168" s="7" t="s">
        <v>37</v>
      </c>
      <c r="C2168" s="8">
        <v>12809</v>
      </c>
      <c r="D2168" s="9" t="s">
        <v>899</v>
      </c>
      <c r="E2168" s="10" t="s">
        <v>900</v>
      </c>
      <c r="F2168" s="10" t="s">
        <v>901</v>
      </c>
      <c r="G2168" s="8">
        <v>1</v>
      </c>
      <c r="H2168" s="11">
        <v>400</v>
      </c>
      <c r="I2168" s="12">
        <v>42624</v>
      </c>
      <c r="J2168" s="13">
        <f t="shared" si="75"/>
        <v>0</v>
      </c>
      <c r="K2168" s="14"/>
      <c r="L2168" s="14"/>
      <c r="M2168" s="14"/>
      <c r="N2168" s="14"/>
      <c r="O2168" s="14"/>
      <c r="P2168" s="14"/>
      <c r="Q2168" s="14"/>
      <c r="R2168" s="14"/>
      <c r="S2168" s="14">
        <v>400</v>
      </c>
      <c r="T2168" s="14"/>
      <c r="U2168" s="14"/>
      <c r="V2168" s="14"/>
      <c r="W2168" s="15">
        <f t="shared" si="76"/>
        <v>400</v>
      </c>
      <c r="X2168" s="14"/>
      <c r="Y2168" s="14"/>
      <c r="Z2168" s="14"/>
      <c r="AA2168" s="14"/>
      <c r="AB2168" s="14"/>
      <c r="AC2168" s="14"/>
      <c r="AD2168" s="14"/>
      <c r="AE2168" s="14"/>
      <c r="AF2168" s="14"/>
      <c r="AG2168" s="14"/>
      <c r="AH2168" s="14"/>
      <c r="AI2168" s="14"/>
      <c r="AJ2168" s="15"/>
      <c r="AK2168" s="16"/>
    </row>
    <row r="2169" spans="2:37" x14ac:dyDescent="0.2">
      <c r="B2169" s="7" t="s">
        <v>69</v>
      </c>
      <c r="C2169" s="8">
        <v>12810</v>
      </c>
      <c r="D2169" s="9" t="s">
        <v>100</v>
      </c>
      <c r="E2169" s="10" t="s">
        <v>101</v>
      </c>
      <c r="F2169" s="10" t="s">
        <v>102</v>
      </c>
      <c r="G2169" s="8">
        <v>1</v>
      </c>
      <c r="H2169" s="11">
        <v>400</v>
      </c>
      <c r="I2169" s="12">
        <v>42624</v>
      </c>
      <c r="J2169" s="13">
        <f t="shared" si="75"/>
        <v>0</v>
      </c>
      <c r="K2169" s="14"/>
      <c r="L2169" s="14"/>
      <c r="M2169" s="14"/>
      <c r="N2169" s="14"/>
      <c r="O2169" s="14"/>
      <c r="P2169" s="14"/>
      <c r="Q2169" s="14"/>
      <c r="R2169" s="14"/>
      <c r="S2169" s="14">
        <v>400</v>
      </c>
      <c r="T2169" s="14"/>
      <c r="U2169" s="14"/>
      <c r="V2169" s="14"/>
      <c r="W2169" s="15">
        <f t="shared" si="76"/>
        <v>400</v>
      </c>
      <c r="X2169" s="14"/>
      <c r="Y2169" s="14"/>
      <c r="Z2169" s="14"/>
      <c r="AA2169" s="14"/>
      <c r="AB2169" s="14"/>
      <c r="AC2169" s="14"/>
      <c r="AD2169" s="14"/>
      <c r="AE2169" s="14"/>
      <c r="AF2169" s="14"/>
      <c r="AG2169" s="14"/>
      <c r="AH2169" s="14"/>
      <c r="AI2169" s="14"/>
      <c r="AJ2169" s="15"/>
      <c r="AK2169" s="16"/>
    </row>
    <row r="2170" spans="2:37" x14ac:dyDescent="0.2">
      <c r="B2170" s="7" t="s">
        <v>73</v>
      </c>
      <c r="C2170" s="8">
        <v>12811</v>
      </c>
      <c r="D2170" s="9" t="s">
        <v>586</v>
      </c>
      <c r="E2170" s="10" t="s">
        <v>587</v>
      </c>
      <c r="F2170" s="10" t="s">
        <v>588</v>
      </c>
      <c r="G2170" s="8">
        <v>1</v>
      </c>
      <c r="H2170" s="11">
        <v>400</v>
      </c>
      <c r="I2170" s="12">
        <v>42624</v>
      </c>
      <c r="J2170" s="13">
        <f t="shared" si="75"/>
        <v>0</v>
      </c>
      <c r="K2170" s="14"/>
      <c r="L2170" s="14"/>
      <c r="M2170" s="14"/>
      <c r="N2170" s="14"/>
      <c r="O2170" s="14"/>
      <c r="P2170" s="14"/>
      <c r="Q2170" s="14"/>
      <c r="R2170" s="14">
        <v>200</v>
      </c>
      <c r="S2170" s="14">
        <v>200</v>
      </c>
      <c r="T2170" s="14"/>
      <c r="U2170" s="14"/>
      <c r="V2170" s="14"/>
      <c r="W2170" s="15">
        <f t="shared" si="76"/>
        <v>400</v>
      </c>
      <c r="X2170" s="14"/>
      <c r="Y2170" s="14"/>
      <c r="Z2170" s="14"/>
      <c r="AA2170" s="14"/>
      <c r="AB2170" s="14"/>
      <c r="AC2170" s="14"/>
      <c r="AD2170" s="14"/>
      <c r="AE2170" s="14"/>
      <c r="AF2170" s="14"/>
      <c r="AG2170" s="14"/>
      <c r="AH2170" s="14"/>
      <c r="AI2170" s="14"/>
      <c r="AJ2170" s="15"/>
      <c r="AK2170" s="16"/>
    </row>
    <row r="2171" spans="2:37" x14ac:dyDescent="0.2">
      <c r="B2171" s="7" t="s">
        <v>122</v>
      </c>
      <c r="C2171" s="8">
        <v>12812</v>
      </c>
      <c r="D2171" s="9" t="s">
        <v>637</v>
      </c>
      <c r="E2171" s="10" t="s">
        <v>638</v>
      </c>
      <c r="F2171" s="10" t="s">
        <v>639</v>
      </c>
      <c r="G2171" s="8">
        <v>1</v>
      </c>
      <c r="H2171" s="11">
        <v>800</v>
      </c>
      <c r="I2171" s="12">
        <v>42624</v>
      </c>
      <c r="J2171" s="13">
        <f t="shared" si="75"/>
        <v>0</v>
      </c>
      <c r="K2171" s="14"/>
      <c r="L2171" s="14"/>
      <c r="M2171" s="14"/>
      <c r="N2171" s="14"/>
      <c r="O2171" s="14"/>
      <c r="P2171" s="14"/>
      <c r="Q2171" s="14"/>
      <c r="R2171" s="14">
        <v>400</v>
      </c>
      <c r="S2171" s="14">
        <v>400</v>
      </c>
      <c r="T2171" s="14"/>
      <c r="U2171" s="14"/>
      <c r="V2171" s="14"/>
      <c r="W2171" s="15">
        <f t="shared" si="76"/>
        <v>800</v>
      </c>
      <c r="X2171" s="14"/>
      <c r="Y2171" s="14"/>
      <c r="Z2171" s="14"/>
      <c r="AA2171" s="14"/>
      <c r="AB2171" s="14"/>
      <c r="AC2171" s="14"/>
      <c r="AD2171" s="14"/>
      <c r="AE2171" s="14"/>
      <c r="AF2171" s="14"/>
      <c r="AG2171" s="14"/>
      <c r="AH2171" s="14"/>
      <c r="AI2171" s="14"/>
      <c r="AJ2171" s="15"/>
      <c r="AK2171" s="16"/>
    </row>
    <row r="2172" spans="2:37" x14ac:dyDescent="0.2">
      <c r="B2172" s="7" t="s">
        <v>73</v>
      </c>
      <c r="C2172" s="8">
        <v>12813</v>
      </c>
      <c r="D2172" s="9" t="s">
        <v>1092</v>
      </c>
      <c r="E2172" s="10" t="s">
        <v>1093</v>
      </c>
      <c r="F2172" s="10" t="s">
        <v>1094</v>
      </c>
      <c r="G2172" s="8">
        <v>5</v>
      </c>
      <c r="H2172" s="11">
        <v>50</v>
      </c>
      <c r="I2172" s="12">
        <v>42624</v>
      </c>
      <c r="J2172" s="13">
        <f t="shared" si="75"/>
        <v>0</v>
      </c>
      <c r="K2172" s="14"/>
      <c r="L2172" s="14"/>
      <c r="M2172" s="14"/>
      <c r="N2172" s="14"/>
      <c r="O2172" s="14"/>
      <c r="P2172" s="14"/>
      <c r="Q2172" s="14"/>
      <c r="R2172" s="14"/>
      <c r="S2172" s="14"/>
      <c r="T2172" s="14"/>
      <c r="U2172" s="14"/>
      <c r="V2172" s="14"/>
      <c r="W2172" s="15">
        <f t="shared" si="76"/>
        <v>0</v>
      </c>
      <c r="X2172" s="14"/>
      <c r="Y2172" s="14"/>
      <c r="Z2172" s="14"/>
      <c r="AA2172" s="14"/>
      <c r="AB2172" s="14"/>
      <c r="AC2172" s="14"/>
      <c r="AD2172" s="14"/>
      <c r="AE2172" s="14"/>
      <c r="AF2172" s="14"/>
      <c r="AG2172" s="14"/>
      <c r="AH2172" s="14"/>
      <c r="AI2172" s="14"/>
      <c r="AJ2172" s="15"/>
      <c r="AK2172" s="16"/>
    </row>
    <row r="2173" spans="2:37" x14ac:dyDescent="0.2">
      <c r="B2173" s="7" t="s">
        <v>47</v>
      </c>
      <c r="C2173" s="8">
        <v>12814</v>
      </c>
      <c r="D2173" s="9" t="s">
        <v>171</v>
      </c>
      <c r="E2173" s="10" t="s">
        <v>172</v>
      </c>
      <c r="F2173" s="10" t="s">
        <v>173</v>
      </c>
      <c r="G2173" s="8">
        <v>1</v>
      </c>
      <c r="H2173" s="11">
        <v>800</v>
      </c>
      <c r="I2173" s="12">
        <v>42624</v>
      </c>
      <c r="J2173" s="13">
        <f t="shared" si="75"/>
        <v>0</v>
      </c>
      <c r="K2173" s="14"/>
      <c r="L2173" s="14"/>
      <c r="M2173" s="14"/>
      <c r="N2173" s="14"/>
      <c r="O2173" s="14"/>
      <c r="P2173" s="14"/>
      <c r="Q2173" s="14"/>
      <c r="R2173" s="14">
        <v>400</v>
      </c>
      <c r="S2173" s="14">
        <v>400</v>
      </c>
      <c r="T2173" s="14"/>
      <c r="U2173" s="14"/>
      <c r="V2173" s="14"/>
      <c r="W2173" s="15">
        <f t="shared" si="76"/>
        <v>800</v>
      </c>
      <c r="X2173" s="14"/>
      <c r="Y2173" s="14"/>
      <c r="Z2173" s="14"/>
      <c r="AA2173" s="14"/>
      <c r="AB2173" s="14"/>
      <c r="AC2173" s="14"/>
      <c r="AD2173" s="14"/>
      <c r="AE2173" s="14"/>
      <c r="AF2173" s="14"/>
      <c r="AG2173" s="14"/>
      <c r="AH2173" s="14"/>
      <c r="AI2173" s="14"/>
      <c r="AJ2173" s="15"/>
      <c r="AK2173" s="16"/>
    </row>
    <row r="2174" spans="2:37" x14ac:dyDescent="0.2">
      <c r="B2174" s="7" t="s">
        <v>47</v>
      </c>
      <c r="C2174" s="8">
        <v>12815</v>
      </c>
      <c r="D2174" s="9" t="s">
        <v>241</v>
      </c>
      <c r="E2174" s="10" t="s">
        <v>242</v>
      </c>
      <c r="F2174" s="10" t="s">
        <v>243</v>
      </c>
      <c r="G2174" s="8">
        <v>1</v>
      </c>
      <c r="H2174" s="11">
        <v>400</v>
      </c>
      <c r="I2174" s="12">
        <v>42624</v>
      </c>
      <c r="J2174" s="13">
        <f t="shared" si="75"/>
        <v>0</v>
      </c>
      <c r="K2174" s="14"/>
      <c r="L2174" s="14"/>
      <c r="M2174" s="14"/>
      <c r="N2174" s="14"/>
      <c r="O2174" s="14"/>
      <c r="P2174" s="14"/>
      <c r="Q2174" s="14"/>
      <c r="R2174" s="14"/>
      <c r="S2174" s="14">
        <v>400</v>
      </c>
      <c r="T2174" s="14"/>
      <c r="U2174" s="14"/>
      <c r="V2174" s="14"/>
      <c r="W2174" s="15">
        <f t="shared" si="76"/>
        <v>400</v>
      </c>
      <c r="X2174" s="14"/>
      <c r="Y2174" s="14"/>
      <c r="Z2174" s="14"/>
      <c r="AA2174" s="14"/>
      <c r="AB2174" s="14"/>
      <c r="AC2174" s="14"/>
      <c r="AD2174" s="14"/>
      <c r="AE2174" s="14"/>
      <c r="AF2174" s="14"/>
      <c r="AG2174" s="14"/>
      <c r="AH2174" s="14"/>
      <c r="AI2174" s="14"/>
      <c r="AJ2174" s="15"/>
      <c r="AK2174" s="16"/>
    </row>
    <row r="2175" spans="2:37" x14ac:dyDescent="0.2">
      <c r="B2175" s="7" t="s">
        <v>73</v>
      </c>
      <c r="C2175" s="8">
        <v>12816</v>
      </c>
      <c r="D2175" s="9" t="s">
        <v>283</v>
      </c>
      <c r="E2175" s="10" t="s">
        <v>284</v>
      </c>
      <c r="F2175" s="10" t="s">
        <v>285</v>
      </c>
      <c r="G2175" s="8">
        <v>5</v>
      </c>
      <c r="H2175" s="11">
        <v>100</v>
      </c>
      <c r="I2175" s="12">
        <v>42624</v>
      </c>
      <c r="J2175" s="13">
        <f t="shared" si="75"/>
        <v>0</v>
      </c>
      <c r="K2175" s="14"/>
      <c r="L2175" s="14"/>
      <c r="M2175" s="14"/>
      <c r="N2175" s="14"/>
      <c r="O2175" s="14"/>
      <c r="P2175" s="14"/>
      <c r="Q2175" s="14"/>
      <c r="R2175" s="14"/>
      <c r="S2175" s="14"/>
      <c r="T2175" s="14"/>
      <c r="U2175" s="14"/>
      <c r="V2175" s="14"/>
      <c r="W2175" s="15">
        <f t="shared" si="76"/>
        <v>0</v>
      </c>
      <c r="X2175" s="14"/>
      <c r="Y2175" s="14"/>
      <c r="Z2175" s="14"/>
      <c r="AA2175" s="14"/>
      <c r="AB2175" s="14"/>
      <c r="AC2175" s="14"/>
      <c r="AD2175" s="14"/>
      <c r="AE2175" s="14"/>
      <c r="AF2175" s="14"/>
      <c r="AG2175" s="14"/>
      <c r="AH2175" s="14"/>
      <c r="AI2175" s="14"/>
      <c r="AJ2175" s="15"/>
      <c r="AK2175" s="16"/>
    </row>
    <row r="2176" spans="2:37" x14ac:dyDescent="0.2">
      <c r="B2176" s="7" t="s">
        <v>69</v>
      </c>
      <c r="C2176" s="8">
        <v>12817</v>
      </c>
      <c r="D2176" s="9" t="s">
        <v>186</v>
      </c>
      <c r="E2176" s="10" t="s">
        <v>187</v>
      </c>
      <c r="F2176" s="10" t="s">
        <v>188</v>
      </c>
      <c r="G2176" s="8">
        <v>1</v>
      </c>
      <c r="H2176" s="11">
        <v>400</v>
      </c>
      <c r="I2176" s="12">
        <v>42624</v>
      </c>
      <c r="J2176" s="13">
        <f t="shared" si="75"/>
        <v>0</v>
      </c>
      <c r="K2176" s="14"/>
      <c r="L2176" s="14"/>
      <c r="M2176" s="14"/>
      <c r="N2176" s="14"/>
      <c r="O2176" s="14"/>
      <c r="P2176" s="14"/>
      <c r="Q2176" s="14"/>
      <c r="R2176" s="14"/>
      <c r="S2176" s="14">
        <v>400</v>
      </c>
      <c r="T2176" s="14"/>
      <c r="U2176" s="14"/>
      <c r="V2176" s="14"/>
      <c r="W2176" s="15">
        <f t="shared" si="76"/>
        <v>400</v>
      </c>
      <c r="X2176" s="14"/>
      <c r="Y2176" s="14"/>
      <c r="Z2176" s="14"/>
      <c r="AA2176" s="14"/>
      <c r="AB2176" s="14"/>
      <c r="AC2176" s="14"/>
      <c r="AD2176" s="14"/>
      <c r="AE2176" s="14"/>
      <c r="AF2176" s="14"/>
      <c r="AG2176" s="14"/>
      <c r="AH2176" s="14"/>
      <c r="AI2176" s="14"/>
      <c r="AJ2176" s="15"/>
      <c r="AK2176" s="16"/>
    </row>
    <row r="2177" spans="2:37" x14ac:dyDescent="0.2">
      <c r="B2177" s="7" t="s">
        <v>47</v>
      </c>
      <c r="C2177" s="8">
        <v>12818</v>
      </c>
      <c r="D2177" s="9" t="s">
        <v>1148</v>
      </c>
      <c r="E2177" s="10" t="s">
        <v>1149</v>
      </c>
      <c r="F2177" s="10" t="s">
        <v>1150</v>
      </c>
      <c r="G2177" s="8">
        <v>1</v>
      </c>
      <c r="H2177" s="11">
        <v>400</v>
      </c>
      <c r="I2177" s="12">
        <v>42624</v>
      </c>
      <c r="J2177" s="13">
        <f t="shared" si="75"/>
        <v>0</v>
      </c>
      <c r="K2177" s="14"/>
      <c r="L2177" s="14"/>
      <c r="M2177" s="14"/>
      <c r="N2177" s="14"/>
      <c r="O2177" s="14"/>
      <c r="P2177" s="14"/>
      <c r="Q2177" s="14"/>
      <c r="R2177" s="14"/>
      <c r="S2177" s="14">
        <v>400</v>
      </c>
      <c r="T2177" s="14"/>
      <c r="U2177" s="14"/>
      <c r="V2177" s="14"/>
      <c r="W2177" s="15">
        <f t="shared" si="76"/>
        <v>400</v>
      </c>
      <c r="X2177" s="14"/>
      <c r="Y2177" s="14"/>
      <c r="Z2177" s="14"/>
      <c r="AA2177" s="14"/>
      <c r="AB2177" s="14"/>
      <c r="AC2177" s="14"/>
      <c r="AD2177" s="14"/>
      <c r="AE2177" s="14"/>
      <c r="AF2177" s="14"/>
      <c r="AG2177" s="14"/>
      <c r="AH2177" s="14"/>
      <c r="AI2177" s="14"/>
      <c r="AJ2177" s="15"/>
      <c r="AK2177" s="16"/>
    </row>
    <row r="2178" spans="2:37" x14ac:dyDescent="0.2">
      <c r="B2178" s="7" t="s">
        <v>69</v>
      </c>
      <c r="C2178" s="8">
        <v>12819</v>
      </c>
      <c r="D2178" s="9" t="s">
        <v>253</v>
      </c>
      <c r="E2178" s="10" t="s">
        <v>254</v>
      </c>
      <c r="F2178" s="10" t="s">
        <v>255</v>
      </c>
      <c r="G2178" s="8">
        <v>5</v>
      </c>
      <c r="H2178" s="11">
        <v>100</v>
      </c>
      <c r="I2178" s="12">
        <v>42624</v>
      </c>
      <c r="J2178" s="13">
        <f t="shared" si="75"/>
        <v>0</v>
      </c>
      <c r="K2178" s="14"/>
      <c r="L2178" s="14"/>
      <c r="M2178" s="14"/>
      <c r="N2178" s="14"/>
      <c r="O2178" s="14"/>
      <c r="P2178" s="14"/>
      <c r="Q2178" s="14"/>
      <c r="R2178" s="14"/>
      <c r="S2178" s="14"/>
      <c r="T2178" s="14"/>
      <c r="U2178" s="14"/>
      <c r="V2178" s="14"/>
      <c r="W2178" s="15">
        <f t="shared" si="76"/>
        <v>0</v>
      </c>
      <c r="X2178" s="14"/>
      <c r="Y2178" s="14"/>
      <c r="Z2178" s="14"/>
      <c r="AA2178" s="14"/>
      <c r="AB2178" s="14"/>
      <c r="AC2178" s="14"/>
      <c r="AD2178" s="14"/>
      <c r="AE2178" s="14"/>
      <c r="AF2178" s="14"/>
      <c r="AG2178" s="14"/>
      <c r="AH2178" s="14"/>
      <c r="AI2178" s="14"/>
      <c r="AJ2178" s="15"/>
      <c r="AK2178" s="16"/>
    </row>
    <row r="2179" spans="2:37" x14ac:dyDescent="0.2">
      <c r="B2179" s="7" t="s">
        <v>77</v>
      </c>
      <c r="C2179" s="8">
        <v>12820</v>
      </c>
      <c r="D2179" s="9" t="s">
        <v>419</v>
      </c>
      <c r="E2179" s="10" t="s">
        <v>420</v>
      </c>
      <c r="F2179" s="10" t="s">
        <v>421</v>
      </c>
      <c r="G2179" s="8">
        <v>5</v>
      </c>
      <c r="H2179" s="11">
        <v>50</v>
      </c>
      <c r="I2179" s="12">
        <v>42624</v>
      </c>
      <c r="J2179" s="13">
        <f t="shared" si="75"/>
        <v>0</v>
      </c>
      <c r="K2179" s="14"/>
      <c r="L2179" s="14"/>
      <c r="M2179" s="14"/>
      <c r="N2179" s="14"/>
      <c r="O2179" s="14"/>
      <c r="P2179" s="14"/>
      <c r="Q2179" s="14"/>
      <c r="R2179" s="14"/>
      <c r="S2179" s="14"/>
      <c r="T2179" s="14"/>
      <c r="U2179" s="14"/>
      <c r="V2179" s="14"/>
      <c r="W2179" s="15">
        <f t="shared" si="76"/>
        <v>0</v>
      </c>
      <c r="X2179" s="14"/>
      <c r="Y2179" s="14"/>
      <c r="Z2179" s="14"/>
      <c r="AA2179" s="14"/>
      <c r="AB2179" s="14"/>
      <c r="AC2179" s="14"/>
      <c r="AD2179" s="14"/>
      <c r="AE2179" s="14"/>
      <c r="AF2179" s="14"/>
      <c r="AG2179" s="14"/>
      <c r="AH2179" s="14"/>
      <c r="AI2179" s="14"/>
      <c r="AJ2179" s="15"/>
      <c r="AK2179" s="16"/>
    </row>
    <row r="2180" spans="2:37" x14ac:dyDescent="0.2">
      <c r="B2180" s="7" t="s">
        <v>37</v>
      </c>
      <c r="C2180" s="8">
        <v>12821</v>
      </c>
      <c r="D2180" s="9" t="s">
        <v>708</v>
      </c>
      <c r="E2180" s="10" t="s">
        <v>709</v>
      </c>
      <c r="F2180" s="10" t="s">
        <v>710</v>
      </c>
      <c r="G2180" s="8">
        <v>1</v>
      </c>
      <c r="H2180" s="11">
        <v>800</v>
      </c>
      <c r="I2180" s="12">
        <v>42624</v>
      </c>
      <c r="J2180" s="13">
        <f t="shared" si="75"/>
        <v>0</v>
      </c>
      <c r="K2180" s="14"/>
      <c r="L2180" s="14"/>
      <c r="M2180" s="14"/>
      <c r="N2180" s="14"/>
      <c r="O2180" s="14"/>
      <c r="P2180" s="14"/>
      <c r="Q2180" s="14"/>
      <c r="R2180" s="14">
        <v>400</v>
      </c>
      <c r="S2180" s="14">
        <v>400</v>
      </c>
      <c r="T2180" s="14"/>
      <c r="U2180" s="14"/>
      <c r="V2180" s="14"/>
      <c r="W2180" s="15">
        <f t="shared" si="76"/>
        <v>800</v>
      </c>
      <c r="X2180" s="14"/>
      <c r="Y2180" s="14"/>
      <c r="Z2180" s="14"/>
      <c r="AA2180" s="14"/>
      <c r="AB2180" s="14"/>
      <c r="AC2180" s="14"/>
      <c r="AD2180" s="14"/>
      <c r="AE2180" s="14"/>
      <c r="AF2180" s="14"/>
      <c r="AG2180" s="14"/>
      <c r="AH2180" s="14"/>
      <c r="AI2180" s="14"/>
      <c r="AJ2180" s="15"/>
      <c r="AK2180" s="16"/>
    </row>
    <row r="2181" spans="2:37" x14ac:dyDescent="0.2">
      <c r="B2181" s="7" t="s">
        <v>37</v>
      </c>
      <c r="C2181" s="8">
        <v>12822</v>
      </c>
      <c r="D2181" s="9" t="s">
        <v>749</v>
      </c>
      <c r="E2181" s="10" t="s">
        <v>750</v>
      </c>
      <c r="F2181" s="10" t="s">
        <v>751</v>
      </c>
      <c r="G2181" s="8">
        <v>1</v>
      </c>
      <c r="H2181" s="11">
        <v>1200</v>
      </c>
      <c r="I2181" s="12">
        <v>42624</v>
      </c>
      <c r="J2181" s="13">
        <f t="shared" si="75"/>
        <v>0</v>
      </c>
      <c r="K2181" s="14"/>
      <c r="L2181" s="14"/>
      <c r="M2181" s="14"/>
      <c r="N2181" s="14"/>
      <c r="O2181" s="14"/>
      <c r="P2181" s="14"/>
      <c r="Q2181" s="14">
        <v>400</v>
      </c>
      <c r="R2181" s="14">
        <v>400</v>
      </c>
      <c r="S2181" s="14">
        <v>400</v>
      </c>
      <c r="T2181" s="14"/>
      <c r="U2181" s="14"/>
      <c r="V2181" s="14"/>
      <c r="W2181" s="15">
        <f t="shared" si="76"/>
        <v>1200</v>
      </c>
      <c r="X2181" s="14"/>
      <c r="Y2181" s="14"/>
      <c r="Z2181" s="14"/>
      <c r="AA2181" s="14"/>
      <c r="AB2181" s="14"/>
      <c r="AC2181" s="14"/>
      <c r="AD2181" s="14"/>
      <c r="AE2181" s="14"/>
      <c r="AF2181" s="14"/>
      <c r="AG2181" s="14"/>
      <c r="AH2181" s="14"/>
      <c r="AI2181" s="14"/>
      <c r="AJ2181" s="15"/>
      <c r="AK2181" s="16"/>
    </row>
    <row r="2182" spans="2:37" x14ac:dyDescent="0.2">
      <c r="B2182" s="7" t="s">
        <v>37</v>
      </c>
      <c r="C2182" s="8">
        <v>12822</v>
      </c>
      <c r="D2182" s="9" t="s">
        <v>749</v>
      </c>
      <c r="E2182" s="10" t="s">
        <v>750</v>
      </c>
      <c r="F2182" s="10" t="s">
        <v>751</v>
      </c>
      <c r="G2182" s="8">
        <v>5</v>
      </c>
      <c r="H2182" s="11">
        <v>50</v>
      </c>
      <c r="I2182" s="12">
        <v>42624</v>
      </c>
      <c r="J2182" s="13">
        <f t="shared" si="75"/>
        <v>0</v>
      </c>
      <c r="K2182" s="14"/>
      <c r="L2182" s="14"/>
      <c r="M2182" s="14"/>
      <c r="N2182" s="14"/>
      <c r="O2182" s="14"/>
      <c r="P2182" s="14"/>
      <c r="Q2182" s="14"/>
      <c r="R2182" s="14"/>
      <c r="S2182" s="14"/>
      <c r="T2182" s="14"/>
      <c r="U2182" s="14"/>
      <c r="V2182" s="14"/>
      <c r="W2182" s="15">
        <f t="shared" si="76"/>
        <v>0</v>
      </c>
      <c r="X2182" s="14"/>
      <c r="Y2182" s="14"/>
      <c r="Z2182" s="14"/>
      <c r="AA2182" s="14"/>
      <c r="AB2182" s="14"/>
      <c r="AC2182" s="14"/>
      <c r="AD2182" s="14"/>
      <c r="AE2182" s="14"/>
      <c r="AF2182" s="14"/>
      <c r="AG2182" s="14"/>
      <c r="AH2182" s="14"/>
      <c r="AI2182" s="14"/>
      <c r="AJ2182" s="15"/>
      <c r="AK2182" s="16"/>
    </row>
    <row r="2183" spans="2:37" x14ac:dyDescent="0.2">
      <c r="B2183" s="7" t="s">
        <v>37</v>
      </c>
      <c r="C2183" s="8">
        <v>12823</v>
      </c>
      <c r="D2183" s="9" t="s">
        <v>298</v>
      </c>
      <c r="E2183" s="10" t="s">
        <v>299</v>
      </c>
      <c r="F2183" s="10" t="s">
        <v>300</v>
      </c>
      <c r="G2183" s="8">
        <v>1</v>
      </c>
      <c r="H2183" s="11">
        <v>300</v>
      </c>
      <c r="I2183" s="12">
        <v>42624</v>
      </c>
      <c r="J2183" s="13">
        <f t="shared" si="75"/>
        <v>0</v>
      </c>
      <c r="K2183" s="14"/>
      <c r="L2183" s="14"/>
      <c r="M2183" s="14"/>
      <c r="N2183" s="14"/>
      <c r="O2183" s="14"/>
      <c r="P2183" s="14"/>
      <c r="Q2183" s="14"/>
      <c r="R2183" s="14">
        <v>150</v>
      </c>
      <c r="S2183" s="14">
        <v>150</v>
      </c>
      <c r="T2183" s="14"/>
      <c r="U2183" s="14"/>
      <c r="V2183" s="14"/>
      <c r="W2183" s="15">
        <f t="shared" si="76"/>
        <v>300</v>
      </c>
      <c r="X2183" s="14"/>
      <c r="Y2183" s="14"/>
      <c r="Z2183" s="14"/>
      <c r="AA2183" s="14"/>
      <c r="AB2183" s="14"/>
      <c r="AC2183" s="14"/>
      <c r="AD2183" s="14"/>
      <c r="AE2183" s="14"/>
      <c r="AF2183" s="14"/>
      <c r="AG2183" s="14"/>
      <c r="AH2183" s="14"/>
      <c r="AI2183" s="14"/>
      <c r="AJ2183" s="15"/>
      <c r="AK2183" s="16"/>
    </row>
    <row r="2184" spans="2:37" x14ac:dyDescent="0.2">
      <c r="B2184" s="7" t="s">
        <v>69</v>
      </c>
      <c r="C2184" s="8">
        <v>12824</v>
      </c>
      <c r="D2184" s="9" t="s">
        <v>696</v>
      </c>
      <c r="E2184" s="10" t="s">
        <v>697</v>
      </c>
      <c r="F2184" s="10" t="s">
        <v>698</v>
      </c>
      <c r="G2184" s="8">
        <v>1</v>
      </c>
      <c r="H2184" s="11">
        <v>300</v>
      </c>
      <c r="I2184" s="12">
        <v>42624</v>
      </c>
      <c r="J2184" s="13">
        <f t="shared" si="75"/>
        <v>0</v>
      </c>
      <c r="K2184" s="14"/>
      <c r="L2184" s="14"/>
      <c r="M2184" s="14"/>
      <c r="N2184" s="14"/>
      <c r="O2184" s="14"/>
      <c r="P2184" s="14"/>
      <c r="Q2184" s="14"/>
      <c r="R2184" s="14"/>
      <c r="S2184" s="14">
        <v>300</v>
      </c>
      <c r="T2184" s="14"/>
      <c r="U2184" s="14"/>
      <c r="V2184" s="14"/>
      <c r="W2184" s="15">
        <f t="shared" si="76"/>
        <v>300</v>
      </c>
      <c r="X2184" s="14"/>
      <c r="Y2184" s="14"/>
      <c r="Z2184" s="14"/>
      <c r="AA2184" s="14"/>
      <c r="AB2184" s="14"/>
      <c r="AC2184" s="14"/>
      <c r="AD2184" s="14"/>
      <c r="AE2184" s="14"/>
      <c r="AF2184" s="14"/>
      <c r="AG2184" s="14"/>
      <c r="AH2184" s="14"/>
      <c r="AI2184" s="14"/>
      <c r="AJ2184" s="15"/>
      <c r="AK2184" s="16"/>
    </row>
    <row r="2185" spans="2:37" x14ac:dyDescent="0.2">
      <c r="B2185" s="7" t="s">
        <v>47</v>
      </c>
      <c r="C2185" s="8">
        <v>12825</v>
      </c>
      <c r="D2185" s="9" t="s">
        <v>1137</v>
      </c>
      <c r="E2185" s="10" t="s">
        <v>1138</v>
      </c>
      <c r="F2185" s="10" t="s">
        <v>651</v>
      </c>
      <c r="G2185" s="8">
        <v>5</v>
      </c>
      <c r="H2185" s="11">
        <v>50</v>
      </c>
      <c r="I2185" s="12">
        <v>42624</v>
      </c>
      <c r="J2185" s="13">
        <f t="shared" si="75"/>
        <v>0</v>
      </c>
      <c r="K2185" s="14"/>
      <c r="L2185" s="14"/>
      <c r="M2185" s="14"/>
      <c r="N2185" s="14"/>
      <c r="O2185" s="14"/>
      <c r="P2185" s="14"/>
      <c r="Q2185" s="14"/>
      <c r="R2185" s="14"/>
      <c r="S2185" s="14"/>
      <c r="T2185" s="14"/>
      <c r="U2185" s="14"/>
      <c r="V2185" s="14"/>
      <c r="W2185" s="15">
        <f t="shared" si="76"/>
        <v>0</v>
      </c>
      <c r="X2185" s="14"/>
      <c r="Y2185" s="14"/>
      <c r="Z2185" s="14"/>
      <c r="AA2185" s="14"/>
      <c r="AB2185" s="14"/>
      <c r="AC2185" s="14"/>
      <c r="AD2185" s="14"/>
      <c r="AE2185" s="14"/>
      <c r="AF2185" s="14"/>
      <c r="AG2185" s="14"/>
      <c r="AH2185" s="14"/>
      <c r="AI2185" s="14"/>
      <c r="AJ2185" s="15"/>
      <c r="AK2185" s="16"/>
    </row>
    <row r="2186" spans="2:37" x14ac:dyDescent="0.2">
      <c r="B2186" s="7" t="s">
        <v>47</v>
      </c>
      <c r="C2186" s="8">
        <v>12826</v>
      </c>
      <c r="D2186" s="9" t="s">
        <v>1137</v>
      </c>
      <c r="E2186" s="10" t="s">
        <v>1138</v>
      </c>
      <c r="F2186" s="10" t="s">
        <v>651</v>
      </c>
      <c r="G2186" s="8">
        <v>1</v>
      </c>
      <c r="H2186" s="11">
        <v>100</v>
      </c>
      <c r="I2186" s="12">
        <v>42624</v>
      </c>
      <c r="J2186" s="13">
        <f t="shared" si="75"/>
        <v>0</v>
      </c>
      <c r="K2186" s="14"/>
      <c r="L2186" s="14"/>
      <c r="M2186" s="14"/>
      <c r="N2186" s="14"/>
      <c r="O2186" s="14"/>
      <c r="P2186" s="14"/>
      <c r="Q2186" s="14"/>
      <c r="R2186" s="14"/>
      <c r="S2186" s="14">
        <v>100</v>
      </c>
      <c r="T2186" s="14"/>
      <c r="U2186" s="14"/>
      <c r="V2186" s="14"/>
      <c r="W2186" s="15">
        <f t="shared" si="76"/>
        <v>100</v>
      </c>
      <c r="X2186" s="14"/>
      <c r="Y2186" s="14"/>
      <c r="Z2186" s="14"/>
      <c r="AA2186" s="14"/>
      <c r="AB2186" s="14"/>
      <c r="AC2186" s="14"/>
      <c r="AD2186" s="14"/>
      <c r="AE2186" s="14"/>
      <c r="AF2186" s="14"/>
      <c r="AG2186" s="14"/>
      <c r="AH2186" s="14"/>
      <c r="AI2186" s="14"/>
      <c r="AJ2186" s="15"/>
      <c r="AK2186" s="16"/>
    </row>
    <row r="2187" spans="2:37" x14ac:dyDescent="0.2">
      <c r="B2187" s="7" t="s">
        <v>73</v>
      </c>
      <c r="C2187" s="8">
        <v>12827</v>
      </c>
      <c r="D2187" s="9" t="s">
        <v>283</v>
      </c>
      <c r="E2187" s="10" t="s">
        <v>284</v>
      </c>
      <c r="F2187" s="10" t="s">
        <v>285</v>
      </c>
      <c r="G2187" s="8">
        <v>5</v>
      </c>
      <c r="H2187" s="11">
        <v>150</v>
      </c>
      <c r="I2187" s="12">
        <v>42624</v>
      </c>
      <c r="J2187" s="13">
        <f t="shared" si="75"/>
        <v>0</v>
      </c>
      <c r="K2187" s="14"/>
      <c r="L2187" s="14"/>
      <c r="M2187" s="14"/>
      <c r="N2187" s="14"/>
      <c r="O2187" s="14"/>
      <c r="P2187" s="14"/>
      <c r="Q2187" s="14"/>
      <c r="R2187" s="14"/>
      <c r="S2187" s="14"/>
      <c r="T2187" s="14"/>
      <c r="U2187" s="14"/>
      <c r="V2187" s="14"/>
      <c r="W2187" s="15">
        <f t="shared" si="76"/>
        <v>0</v>
      </c>
      <c r="X2187" s="14"/>
      <c r="Y2187" s="14"/>
      <c r="Z2187" s="14"/>
      <c r="AA2187" s="14"/>
      <c r="AB2187" s="14"/>
      <c r="AC2187" s="14"/>
      <c r="AD2187" s="14"/>
      <c r="AE2187" s="14"/>
      <c r="AF2187" s="14"/>
      <c r="AG2187" s="14"/>
      <c r="AH2187" s="14"/>
      <c r="AI2187" s="14"/>
      <c r="AJ2187" s="15"/>
      <c r="AK2187" s="16"/>
    </row>
    <row r="2188" spans="2:37" x14ac:dyDescent="0.2">
      <c r="B2188" s="7" t="s">
        <v>47</v>
      </c>
      <c r="C2188" s="8">
        <v>12828</v>
      </c>
      <c r="D2188" s="9" t="s">
        <v>769</v>
      </c>
      <c r="E2188" s="10" t="s">
        <v>770</v>
      </c>
      <c r="F2188" s="10" t="s">
        <v>771</v>
      </c>
      <c r="G2188" s="8">
        <v>1</v>
      </c>
      <c r="H2188" s="11">
        <v>400</v>
      </c>
      <c r="I2188" s="12">
        <v>42624</v>
      </c>
      <c r="J2188" s="13">
        <f t="shared" si="75"/>
        <v>0</v>
      </c>
      <c r="K2188" s="14"/>
      <c r="L2188" s="14"/>
      <c r="M2188" s="14"/>
      <c r="N2188" s="14"/>
      <c r="O2188" s="14"/>
      <c r="P2188" s="14"/>
      <c r="Q2188" s="14"/>
      <c r="R2188" s="14"/>
      <c r="S2188" s="14">
        <v>400</v>
      </c>
      <c r="T2188" s="14"/>
      <c r="U2188" s="14"/>
      <c r="V2188" s="14"/>
      <c r="W2188" s="15">
        <f t="shared" si="76"/>
        <v>400</v>
      </c>
      <c r="X2188" s="14"/>
      <c r="Y2188" s="14"/>
      <c r="Z2188" s="14"/>
      <c r="AA2188" s="14"/>
      <c r="AB2188" s="14"/>
      <c r="AC2188" s="14"/>
      <c r="AD2188" s="14"/>
      <c r="AE2188" s="14"/>
      <c r="AF2188" s="14"/>
      <c r="AG2188" s="14"/>
      <c r="AH2188" s="14"/>
      <c r="AI2188" s="14"/>
      <c r="AJ2188" s="15"/>
      <c r="AK2188" s="16"/>
    </row>
    <row r="2189" spans="2:37" x14ac:dyDescent="0.2">
      <c r="B2189" s="7" t="s">
        <v>73</v>
      </c>
      <c r="C2189" s="8">
        <v>12829</v>
      </c>
      <c r="D2189" s="9" t="s">
        <v>407</v>
      </c>
      <c r="E2189" s="10" t="s">
        <v>408</v>
      </c>
      <c r="F2189" s="10" t="s">
        <v>409</v>
      </c>
      <c r="G2189" s="8">
        <v>7</v>
      </c>
      <c r="H2189" s="11">
        <v>500</v>
      </c>
      <c r="I2189" s="12">
        <v>42624</v>
      </c>
      <c r="J2189" s="13">
        <f t="shared" si="75"/>
        <v>0</v>
      </c>
      <c r="K2189" s="14"/>
      <c r="L2189" s="14"/>
      <c r="M2189" s="14"/>
      <c r="N2189" s="14"/>
      <c r="O2189" s="14"/>
      <c r="P2189" s="14"/>
      <c r="Q2189" s="14"/>
      <c r="R2189" s="14"/>
      <c r="S2189" s="14"/>
      <c r="T2189" s="14"/>
      <c r="U2189" s="14"/>
      <c r="V2189" s="14"/>
      <c r="W2189" s="15">
        <f t="shared" si="76"/>
        <v>0</v>
      </c>
      <c r="X2189" s="14"/>
      <c r="Y2189" s="14"/>
      <c r="Z2189" s="14"/>
      <c r="AA2189" s="14"/>
      <c r="AB2189" s="14"/>
      <c r="AC2189" s="14"/>
      <c r="AD2189" s="14"/>
      <c r="AE2189" s="14"/>
      <c r="AF2189" s="14"/>
      <c r="AG2189" s="14"/>
      <c r="AH2189" s="14"/>
      <c r="AI2189" s="14"/>
      <c r="AJ2189" s="15"/>
      <c r="AK2189" s="16" t="s">
        <v>1190</v>
      </c>
    </row>
    <row r="2190" spans="2:37" x14ac:dyDescent="0.2">
      <c r="B2190" s="7" t="s">
        <v>69</v>
      </c>
      <c r="C2190" s="8">
        <v>12830</v>
      </c>
      <c r="D2190" s="9" t="s">
        <v>574</v>
      </c>
      <c r="E2190" s="10" t="s">
        <v>575</v>
      </c>
      <c r="F2190" s="10" t="s">
        <v>576</v>
      </c>
      <c r="G2190" s="8">
        <v>1</v>
      </c>
      <c r="H2190" s="11">
        <v>400</v>
      </c>
      <c r="I2190" s="12">
        <v>42624</v>
      </c>
      <c r="J2190" s="13">
        <f t="shared" si="75"/>
        <v>0</v>
      </c>
      <c r="K2190" s="14"/>
      <c r="L2190" s="14"/>
      <c r="M2190" s="14"/>
      <c r="N2190" s="14"/>
      <c r="O2190" s="14"/>
      <c r="P2190" s="14"/>
      <c r="Q2190" s="14"/>
      <c r="R2190" s="14">
        <v>400</v>
      </c>
      <c r="S2190" s="14"/>
      <c r="T2190" s="14"/>
      <c r="U2190" s="14"/>
      <c r="V2190" s="14"/>
      <c r="W2190" s="15">
        <f t="shared" si="76"/>
        <v>400</v>
      </c>
      <c r="X2190" s="14"/>
      <c r="Y2190" s="14"/>
      <c r="Z2190" s="14"/>
      <c r="AA2190" s="14"/>
      <c r="AB2190" s="14"/>
      <c r="AC2190" s="14"/>
      <c r="AD2190" s="14"/>
      <c r="AE2190" s="14"/>
      <c r="AF2190" s="14"/>
      <c r="AG2190" s="14"/>
      <c r="AH2190" s="14"/>
      <c r="AI2190" s="14"/>
      <c r="AJ2190" s="15"/>
      <c r="AK2190" s="16"/>
    </row>
    <row r="2191" spans="2:37" x14ac:dyDescent="0.2">
      <c r="B2191" s="7" t="s">
        <v>69</v>
      </c>
      <c r="C2191" s="8">
        <v>12830</v>
      </c>
      <c r="D2191" s="9" t="s">
        <v>574</v>
      </c>
      <c r="E2191" s="10" t="s">
        <v>575</v>
      </c>
      <c r="F2191" s="10" t="s">
        <v>576</v>
      </c>
      <c r="G2191" s="8">
        <v>5</v>
      </c>
      <c r="H2191" s="11">
        <v>150</v>
      </c>
      <c r="I2191" s="12">
        <v>42624</v>
      </c>
      <c r="J2191" s="13">
        <f t="shared" si="75"/>
        <v>0</v>
      </c>
      <c r="K2191" s="14"/>
      <c r="L2191" s="14"/>
      <c r="M2191" s="14"/>
      <c r="N2191" s="14"/>
      <c r="O2191" s="14"/>
      <c r="P2191" s="14"/>
      <c r="Q2191" s="14"/>
      <c r="R2191" s="14"/>
      <c r="S2191" s="14"/>
      <c r="T2191" s="14"/>
      <c r="U2191" s="14"/>
      <c r="V2191" s="14"/>
      <c r="W2191" s="15">
        <f t="shared" si="76"/>
        <v>0</v>
      </c>
      <c r="X2191" s="14"/>
      <c r="Y2191" s="14"/>
      <c r="Z2191" s="14"/>
      <c r="AA2191" s="14"/>
      <c r="AB2191" s="14"/>
      <c r="AC2191" s="14"/>
      <c r="AD2191" s="14"/>
      <c r="AE2191" s="14"/>
      <c r="AF2191" s="14"/>
      <c r="AG2191" s="14"/>
      <c r="AH2191" s="14"/>
      <c r="AI2191" s="14"/>
      <c r="AJ2191" s="15"/>
      <c r="AK2191" s="16"/>
    </row>
    <row r="2192" spans="2:37" x14ac:dyDescent="0.2">
      <c r="B2192" s="7" t="s">
        <v>37</v>
      </c>
      <c r="C2192" s="8">
        <v>12831</v>
      </c>
      <c r="D2192" s="9" t="s">
        <v>268</v>
      </c>
      <c r="E2192" s="10" t="s">
        <v>269</v>
      </c>
      <c r="F2192" s="10" t="s">
        <v>270</v>
      </c>
      <c r="G2192" s="8">
        <v>1</v>
      </c>
      <c r="H2192" s="11">
        <v>300</v>
      </c>
      <c r="I2192" s="12">
        <v>42624</v>
      </c>
      <c r="J2192" s="13">
        <f t="shared" si="75"/>
        <v>0</v>
      </c>
      <c r="K2192" s="14"/>
      <c r="L2192" s="14"/>
      <c r="M2192" s="14"/>
      <c r="N2192" s="14"/>
      <c r="O2192" s="14"/>
      <c r="P2192" s="14"/>
      <c r="Q2192" s="14"/>
      <c r="R2192" s="14"/>
      <c r="S2192" s="14">
        <v>300</v>
      </c>
      <c r="T2192" s="14"/>
      <c r="U2192" s="14"/>
      <c r="V2192" s="14"/>
      <c r="W2192" s="15">
        <f t="shared" si="76"/>
        <v>300</v>
      </c>
      <c r="X2192" s="14"/>
      <c r="Y2192" s="14"/>
      <c r="Z2192" s="14"/>
      <c r="AA2192" s="14"/>
      <c r="AB2192" s="14"/>
      <c r="AC2192" s="14"/>
      <c r="AD2192" s="14"/>
      <c r="AE2192" s="14"/>
      <c r="AF2192" s="14"/>
      <c r="AG2192" s="14"/>
      <c r="AH2192" s="14"/>
      <c r="AI2192" s="14"/>
      <c r="AJ2192" s="15"/>
      <c r="AK2192" s="16"/>
    </row>
    <row r="2193" spans="2:37" x14ac:dyDescent="0.2">
      <c r="B2193" s="7" t="s">
        <v>37</v>
      </c>
      <c r="C2193" s="8">
        <v>12831</v>
      </c>
      <c r="D2193" s="9" t="s">
        <v>268</v>
      </c>
      <c r="E2193" s="10" t="s">
        <v>269</v>
      </c>
      <c r="F2193" s="10" t="s">
        <v>270</v>
      </c>
      <c r="G2193" s="8">
        <v>4</v>
      </c>
      <c r="H2193" s="11">
        <v>200</v>
      </c>
      <c r="I2193" s="12">
        <v>42624</v>
      </c>
      <c r="J2193" s="13">
        <f t="shared" si="75"/>
        <v>0</v>
      </c>
      <c r="K2193" s="14"/>
      <c r="L2193" s="14"/>
      <c r="M2193" s="14"/>
      <c r="N2193" s="14"/>
      <c r="O2193" s="14"/>
      <c r="P2193" s="14"/>
      <c r="Q2193" s="14"/>
      <c r="R2193" s="14"/>
      <c r="S2193" s="14"/>
      <c r="T2193" s="14"/>
      <c r="U2193" s="14"/>
      <c r="V2193" s="14"/>
      <c r="W2193" s="15">
        <f t="shared" si="76"/>
        <v>0</v>
      </c>
      <c r="X2193" s="14"/>
      <c r="Y2193" s="14"/>
      <c r="Z2193" s="14"/>
      <c r="AA2193" s="14"/>
      <c r="AB2193" s="14"/>
      <c r="AC2193" s="14"/>
      <c r="AD2193" s="14"/>
      <c r="AE2193" s="14"/>
      <c r="AF2193" s="14"/>
      <c r="AG2193" s="14"/>
      <c r="AH2193" s="14"/>
      <c r="AI2193" s="14"/>
      <c r="AJ2193" s="15"/>
      <c r="AK2193" s="16" t="s">
        <v>1191</v>
      </c>
    </row>
    <row r="2194" spans="2:37" x14ac:dyDescent="0.2">
      <c r="B2194" s="7" t="s">
        <v>93</v>
      </c>
      <c r="C2194" s="8">
        <v>12832</v>
      </c>
      <c r="D2194" s="9"/>
      <c r="E2194" s="10" t="s">
        <v>93</v>
      </c>
      <c r="F2194" s="10" t="s">
        <v>93</v>
      </c>
      <c r="G2194" s="8">
        <v>8</v>
      </c>
      <c r="H2194" s="11"/>
      <c r="I2194" s="12"/>
      <c r="J2194" s="13">
        <f t="shared" si="75"/>
        <v>0</v>
      </c>
      <c r="K2194" s="14"/>
      <c r="L2194" s="14"/>
      <c r="M2194" s="14"/>
      <c r="N2194" s="14"/>
      <c r="O2194" s="14"/>
      <c r="P2194" s="14"/>
      <c r="Q2194" s="14"/>
      <c r="R2194" s="14"/>
      <c r="S2194" s="14"/>
      <c r="T2194" s="14"/>
      <c r="U2194" s="14"/>
      <c r="V2194" s="14"/>
      <c r="W2194" s="15">
        <f t="shared" si="76"/>
        <v>0</v>
      </c>
      <c r="X2194" s="14"/>
      <c r="Y2194" s="14"/>
      <c r="Z2194" s="14"/>
      <c r="AA2194" s="14"/>
      <c r="AB2194" s="14"/>
      <c r="AC2194" s="14"/>
      <c r="AD2194" s="14"/>
      <c r="AE2194" s="14"/>
      <c r="AF2194" s="14"/>
      <c r="AG2194" s="14"/>
      <c r="AH2194" s="14"/>
      <c r="AI2194" s="14"/>
      <c r="AJ2194" s="15"/>
      <c r="AK2194" s="16"/>
    </row>
    <row r="2195" spans="2:37" x14ac:dyDescent="0.2">
      <c r="B2195" s="7" t="s">
        <v>69</v>
      </c>
      <c r="C2195" s="8">
        <v>12833</v>
      </c>
      <c r="D2195" s="9" t="s">
        <v>325</v>
      </c>
      <c r="E2195" s="10" t="s">
        <v>326</v>
      </c>
      <c r="F2195" s="10" t="s">
        <v>327</v>
      </c>
      <c r="G2195" s="8">
        <v>1</v>
      </c>
      <c r="H2195" s="11">
        <v>400</v>
      </c>
      <c r="I2195" s="12">
        <v>42624</v>
      </c>
      <c r="J2195" s="13">
        <f t="shared" si="75"/>
        <v>0</v>
      </c>
      <c r="K2195" s="14"/>
      <c r="L2195" s="14"/>
      <c r="M2195" s="14"/>
      <c r="N2195" s="14"/>
      <c r="O2195" s="14"/>
      <c r="P2195" s="14"/>
      <c r="Q2195" s="14"/>
      <c r="R2195" s="14"/>
      <c r="S2195" s="14">
        <v>400</v>
      </c>
      <c r="T2195" s="14"/>
      <c r="U2195" s="14"/>
      <c r="V2195" s="14"/>
      <c r="W2195" s="15">
        <f t="shared" si="76"/>
        <v>400</v>
      </c>
      <c r="X2195" s="14"/>
      <c r="Y2195" s="14"/>
      <c r="Z2195" s="14"/>
      <c r="AA2195" s="14"/>
      <c r="AB2195" s="14"/>
      <c r="AC2195" s="14"/>
      <c r="AD2195" s="14"/>
      <c r="AE2195" s="14"/>
      <c r="AF2195" s="14"/>
      <c r="AG2195" s="14"/>
      <c r="AH2195" s="14"/>
      <c r="AI2195" s="14"/>
      <c r="AJ2195" s="15"/>
      <c r="AK2195" s="16"/>
    </row>
    <row r="2196" spans="2:37" x14ac:dyDescent="0.2">
      <c r="B2196" s="7" t="s">
        <v>37</v>
      </c>
      <c r="C2196" s="8">
        <v>12834</v>
      </c>
      <c r="D2196" s="9" t="s">
        <v>395</v>
      </c>
      <c r="E2196" s="10" t="s">
        <v>396</v>
      </c>
      <c r="F2196" s="10" t="s">
        <v>397</v>
      </c>
      <c r="G2196" s="8">
        <v>1</v>
      </c>
      <c r="H2196" s="11">
        <v>200</v>
      </c>
      <c r="I2196" s="12">
        <v>42624</v>
      </c>
      <c r="J2196" s="13">
        <f t="shared" si="75"/>
        <v>0</v>
      </c>
      <c r="K2196" s="14"/>
      <c r="L2196" s="14"/>
      <c r="M2196" s="14"/>
      <c r="N2196" s="14"/>
      <c r="O2196" s="14"/>
      <c r="P2196" s="14"/>
      <c r="Q2196" s="14"/>
      <c r="R2196" s="14"/>
      <c r="S2196" s="14">
        <v>200</v>
      </c>
      <c r="T2196" s="14"/>
      <c r="U2196" s="14"/>
      <c r="V2196" s="14"/>
      <c r="W2196" s="15">
        <f t="shared" si="76"/>
        <v>200</v>
      </c>
      <c r="X2196" s="14"/>
      <c r="Y2196" s="14"/>
      <c r="Z2196" s="14"/>
      <c r="AA2196" s="14"/>
      <c r="AB2196" s="14"/>
      <c r="AC2196" s="14"/>
      <c r="AD2196" s="14"/>
      <c r="AE2196" s="14"/>
      <c r="AF2196" s="14"/>
      <c r="AG2196" s="14"/>
      <c r="AH2196" s="14"/>
      <c r="AI2196" s="14"/>
      <c r="AJ2196" s="15"/>
      <c r="AK2196" s="16"/>
    </row>
    <row r="2197" spans="2:37" x14ac:dyDescent="0.2">
      <c r="B2197" s="7" t="s">
        <v>37</v>
      </c>
      <c r="C2197" s="8">
        <v>12835</v>
      </c>
      <c r="D2197" s="9" t="s">
        <v>1164</v>
      </c>
      <c r="E2197" s="10" t="s">
        <v>1165</v>
      </c>
      <c r="F2197" s="10" t="s">
        <v>1166</v>
      </c>
      <c r="G2197" s="8">
        <v>1</v>
      </c>
      <c r="H2197" s="11">
        <v>400</v>
      </c>
      <c r="I2197" s="12">
        <v>42624</v>
      </c>
      <c r="J2197" s="13">
        <f t="shared" si="75"/>
        <v>0</v>
      </c>
      <c r="K2197" s="14"/>
      <c r="L2197" s="14"/>
      <c r="M2197" s="14"/>
      <c r="N2197" s="14"/>
      <c r="O2197" s="14"/>
      <c r="P2197" s="14"/>
      <c r="Q2197" s="14"/>
      <c r="R2197" s="14"/>
      <c r="S2197" s="14">
        <v>400</v>
      </c>
      <c r="T2197" s="14"/>
      <c r="U2197" s="14"/>
      <c r="V2197" s="14"/>
      <c r="W2197" s="15">
        <f t="shared" si="76"/>
        <v>400</v>
      </c>
      <c r="X2197" s="14"/>
      <c r="Y2197" s="14"/>
      <c r="Z2197" s="14"/>
      <c r="AA2197" s="14"/>
      <c r="AB2197" s="14"/>
      <c r="AC2197" s="14"/>
      <c r="AD2197" s="14"/>
      <c r="AE2197" s="14"/>
      <c r="AF2197" s="14"/>
      <c r="AG2197" s="14"/>
      <c r="AH2197" s="14"/>
      <c r="AI2197" s="14"/>
      <c r="AJ2197" s="15"/>
      <c r="AK2197" s="16"/>
    </row>
    <row r="2198" spans="2:37" x14ac:dyDescent="0.2">
      <c r="B2198" s="7" t="s">
        <v>47</v>
      </c>
      <c r="C2198" s="8">
        <v>12836</v>
      </c>
      <c r="D2198" s="9" t="s">
        <v>957</v>
      </c>
      <c r="E2198" s="10" t="s">
        <v>958</v>
      </c>
      <c r="F2198" s="10" t="s">
        <v>959</v>
      </c>
      <c r="G2198" s="8">
        <v>1</v>
      </c>
      <c r="H2198" s="11">
        <v>800</v>
      </c>
      <c r="I2198" s="12">
        <v>42624</v>
      </c>
      <c r="J2198" s="13">
        <f t="shared" si="75"/>
        <v>0</v>
      </c>
      <c r="K2198" s="14"/>
      <c r="L2198" s="14"/>
      <c r="M2198" s="14"/>
      <c r="N2198" s="14"/>
      <c r="O2198" s="14"/>
      <c r="P2198" s="14"/>
      <c r="Q2198" s="14">
        <v>400</v>
      </c>
      <c r="R2198" s="14">
        <v>400</v>
      </c>
      <c r="S2198" s="14"/>
      <c r="T2198" s="14"/>
      <c r="U2198" s="14"/>
      <c r="V2198" s="14"/>
      <c r="W2198" s="15">
        <f t="shared" si="76"/>
        <v>800</v>
      </c>
      <c r="X2198" s="14"/>
      <c r="Y2198" s="14"/>
      <c r="Z2198" s="14"/>
      <c r="AA2198" s="14"/>
      <c r="AB2198" s="14"/>
      <c r="AC2198" s="14"/>
      <c r="AD2198" s="14"/>
      <c r="AE2198" s="14"/>
      <c r="AF2198" s="14"/>
      <c r="AG2198" s="14"/>
      <c r="AH2198" s="14"/>
      <c r="AI2198" s="14"/>
      <c r="AJ2198" s="15"/>
      <c r="AK2198" s="16"/>
    </row>
    <row r="2199" spans="2:37" x14ac:dyDescent="0.2">
      <c r="B2199" s="7" t="s">
        <v>37</v>
      </c>
      <c r="C2199" s="8">
        <v>12837</v>
      </c>
      <c r="D2199" s="9" t="s">
        <v>774</v>
      </c>
      <c r="E2199" s="10" t="s">
        <v>775</v>
      </c>
      <c r="F2199" s="10" t="s">
        <v>776</v>
      </c>
      <c r="G2199" s="8">
        <v>3</v>
      </c>
      <c r="H2199" s="11">
        <v>200</v>
      </c>
      <c r="I2199" s="12">
        <v>42624</v>
      </c>
      <c r="J2199" s="13">
        <f t="shared" si="75"/>
        <v>0</v>
      </c>
      <c r="K2199" s="14"/>
      <c r="L2199" s="14"/>
      <c r="M2199" s="14"/>
      <c r="N2199" s="14"/>
      <c r="O2199" s="14"/>
      <c r="P2199" s="14"/>
      <c r="Q2199" s="14"/>
      <c r="R2199" s="14"/>
      <c r="S2199" s="14"/>
      <c r="T2199" s="14"/>
      <c r="U2199" s="14"/>
      <c r="V2199" s="14"/>
      <c r="W2199" s="15">
        <f t="shared" si="76"/>
        <v>0</v>
      </c>
      <c r="X2199" s="14"/>
      <c r="Y2199" s="14"/>
      <c r="Z2199" s="14"/>
      <c r="AA2199" s="14"/>
      <c r="AB2199" s="14"/>
      <c r="AC2199" s="14"/>
      <c r="AD2199" s="14"/>
      <c r="AE2199" s="14"/>
      <c r="AF2199" s="14"/>
      <c r="AG2199" s="14"/>
      <c r="AH2199" s="14"/>
      <c r="AI2199" s="14"/>
      <c r="AJ2199" s="15"/>
      <c r="AK2199" s="16"/>
    </row>
    <row r="2200" spans="2:37" x14ac:dyDescent="0.2">
      <c r="B2200" s="7" t="s">
        <v>61</v>
      </c>
      <c r="C2200" s="8">
        <v>12838</v>
      </c>
      <c r="D2200" s="9" t="s">
        <v>340</v>
      </c>
      <c r="E2200" s="10" t="s">
        <v>341</v>
      </c>
      <c r="F2200" s="10" t="s">
        <v>342</v>
      </c>
      <c r="G2200" s="8">
        <v>1</v>
      </c>
      <c r="H2200" s="11">
        <v>800</v>
      </c>
      <c r="I2200" s="12">
        <v>42624</v>
      </c>
      <c r="J2200" s="13">
        <f t="shared" si="75"/>
        <v>0</v>
      </c>
      <c r="K2200" s="14"/>
      <c r="L2200" s="14">
        <v>400</v>
      </c>
      <c r="M2200" s="14">
        <v>400</v>
      </c>
      <c r="N2200" s="14"/>
      <c r="O2200" s="14"/>
      <c r="P2200" s="14"/>
      <c r="Q2200" s="14"/>
      <c r="R2200" s="14"/>
      <c r="S2200" s="14"/>
      <c r="T2200" s="14"/>
      <c r="U2200" s="14"/>
      <c r="V2200" s="14"/>
      <c r="W2200" s="15">
        <f t="shared" si="76"/>
        <v>800</v>
      </c>
      <c r="X2200" s="14"/>
      <c r="Y2200" s="14"/>
      <c r="Z2200" s="14"/>
      <c r="AA2200" s="14"/>
      <c r="AB2200" s="14"/>
      <c r="AC2200" s="14"/>
      <c r="AD2200" s="14"/>
      <c r="AE2200" s="14"/>
      <c r="AF2200" s="14"/>
      <c r="AG2200" s="14"/>
      <c r="AH2200" s="14"/>
      <c r="AI2200" s="14"/>
      <c r="AJ2200" s="15"/>
      <c r="AK2200" s="16"/>
    </row>
    <row r="2201" spans="2:37" x14ac:dyDescent="0.2">
      <c r="B2201" s="7" t="s">
        <v>37</v>
      </c>
      <c r="C2201" s="8">
        <v>12839</v>
      </c>
      <c r="D2201" s="9" t="s">
        <v>51</v>
      </c>
      <c r="E2201" s="10" t="s">
        <v>52</v>
      </c>
      <c r="F2201" s="10" t="s">
        <v>53</v>
      </c>
      <c r="G2201" s="8">
        <v>5</v>
      </c>
      <c r="H2201" s="11">
        <v>50</v>
      </c>
      <c r="I2201" s="12">
        <v>42624</v>
      </c>
      <c r="J2201" s="13">
        <f t="shared" si="75"/>
        <v>0</v>
      </c>
      <c r="K2201" s="14"/>
      <c r="L2201" s="14"/>
      <c r="M2201" s="14"/>
      <c r="N2201" s="14"/>
      <c r="O2201" s="14"/>
      <c r="P2201" s="14"/>
      <c r="Q2201" s="14"/>
      <c r="R2201" s="14"/>
      <c r="S2201" s="14"/>
      <c r="T2201" s="14"/>
      <c r="U2201" s="14"/>
      <c r="V2201" s="14"/>
      <c r="W2201" s="15">
        <f t="shared" si="76"/>
        <v>0</v>
      </c>
      <c r="X2201" s="14"/>
      <c r="Y2201" s="14"/>
      <c r="Z2201" s="14"/>
      <c r="AA2201" s="14"/>
      <c r="AB2201" s="14"/>
      <c r="AC2201" s="14"/>
      <c r="AD2201" s="14"/>
      <c r="AE2201" s="14"/>
      <c r="AF2201" s="14"/>
      <c r="AG2201" s="14"/>
      <c r="AH2201" s="14"/>
      <c r="AI2201" s="14"/>
      <c r="AJ2201" s="15"/>
      <c r="AK2201" s="16"/>
    </row>
    <row r="2202" spans="2:37" x14ac:dyDescent="0.2">
      <c r="B2202" s="7" t="s">
        <v>47</v>
      </c>
      <c r="C2202" s="8">
        <v>12840</v>
      </c>
      <c r="D2202" s="9" t="s">
        <v>97</v>
      </c>
      <c r="E2202" s="10" t="s">
        <v>98</v>
      </c>
      <c r="F2202" s="10" t="s">
        <v>99</v>
      </c>
      <c r="G2202" s="8">
        <v>1</v>
      </c>
      <c r="H2202" s="11">
        <v>400</v>
      </c>
      <c r="I2202" s="12">
        <v>42624</v>
      </c>
      <c r="J2202" s="13">
        <f t="shared" si="75"/>
        <v>0</v>
      </c>
      <c r="K2202" s="14"/>
      <c r="L2202" s="14"/>
      <c r="M2202" s="14"/>
      <c r="N2202" s="14"/>
      <c r="O2202" s="14"/>
      <c r="P2202" s="14"/>
      <c r="Q2202" s="14"/>
      <c r="R2202" s="14"/>
      <c r="S2202" s="14">
        <v>400</v>
      </c>
      <c r="T2202" s="14"/>
      <c r="U2202" s="14"/>
      <c r="V2202" s="14"/>
      <c r="W2202" s="15">
        <f t="shared" si="76"/>
        <v>400</v>
      </c>
      <c r="X2202" s="14"/>
      <c r="Y2202" s="14"/>
      <c r="Z2202" s="14"/>
      <c r="AA2202" s="14"/>
      <c r="AB2202" s="14"/>
      <c r="AC2202" s="14"/>
      <c r="AD2202" s="14"/>
      <c r="AE2202" s="14"/>
      <c r="AF2202" s="14"/>
      <c r="AG2202" s="14"/>
      <c r="AH2202" s="14"/>
      <c r="AI2202" s="14"/>
      <c r="AJ2202" s="15"/>
      <c r="AK2202" s="16"/>
    </row>
    <row r="2203" spans="2:37" x14ac:dyDescent="0.2">
      <c r="B2203" s="7" t="s">
        <v>37</v>
      </c>
      <c r="C2203" s="8">
        <v>12841</v>
      </c>
      <c r="D2203" s="9" t="s">
        <v>1192</v>
      </c>
      <c r="E2203" s="10" t="s">
        <v>1193</v>
      </c>
      <c r="F2203" s="10" t="s">
        <v>1194</v>
      </c>
      <c r="G2203" s="8">
        <v>5</v>
      </c>
      <c r="H2203" s="11">
        <v>50</v>
      </c>
      <c r="I2203" s="12">
        <v>42624</v>
      </c>
      <c r="J2203" s="13">
        <f t="shared" si="75"/>
        <v>0</v>
      </c>
      <c r="K2203" s="14"/>
      <c r="L2203" s="14"/>
      <c r="M2203" s="14"/>
      <c r="N2203" s="14"/>
      <c r="O2203" s="14"/>
      <c r="P2203" s="14"/>
      <c r="Q2203" s="14"/>
      <c r="R2203" s="14"/>
      <c r="S2203" s="14"/>
      <c r="T2203" s="14"/>
      <c r="U2203" s="14"/>
      <c r="V2203" s="14"/>
      <c r="W2203" s="15">
        <f t="shared" si="76"/>
        <v>0</v>
      </c>
      <c r="X2203" s="14"/>
      <c r="Y2203" s="14"/>
      <c r="Z2203" s="14"/>
      <c r="AA2203" s="14"/>
      <c r="AB2203" s="14"/>
      <c r="AC2203" s="14"/>
      <c r="AD2203" s="14"/>
      <c r="AE2203" s="14"/>
      <c r="AF2203" s="14"/>
      <c r="AG2203" s="14"/>
      <c r="AH2203" s="14"/>
      <c r="AI2203" s="14"/>
      <c r="AJ2203" s="15"/>
      <c r="AK2203" s="16"/>
    </row>
    <row r="2204" spans="2:37" x14ac:dyDescent="0.2">
      <c r="B2204" s="7" t="s">
        <v>47</v>
      </c>
      <c r="C2204" s="8">
        <v>12842</v>
      </c>
      <c r="D2204" s="9" t="s">
        <v>583</v>
      </c>
      <c r="E2204" s="10" t="s">
        <v>584</v>
      </c>
      <c r="F2204" s="10" t="s">
        <v>585</v>
      </c>
      <c r="G2204" s="8">
        <v>1</v>
      </c>
      <c r="H2204" s="11">
        <v>200</v>
      </c>
      <c r="I2204" s="12">
        <v>42624</v>
      </c>
      <c r="J2204" s="13">
        <f t="shared" si="75"/>
        <v>0</v>
      </c>
      <c r="K2204" s="14"/>
      <c r="L2204" s="14"/>
      <c r="M2204" s="14"/>
      <c r="N2204" s="14"/>
      <c r="O2204" s="14"/>
      <c r="P2204" s="14"/>
      <c r="Q2204" s="14"/>
      <c r="R2204" s="14"/>
      <c r="S2204" s="14">
        <v>200</v>
      </c>
      <c r="T2204" s="14"/>
      <c r="U2204" s="14"/>
      <c r="V2204" s="14"/>
      <c r="W2204" s="15">
        <f t="shared" si="76"/>
        <v>200</v>
      </c>
      <c r="X2204" s="14"/>
      <c r="Y2204" s="14"/>
      <c r="Z2204" s="14"/>
      <c r="AA2204" s="14"/>
      <c r="AB2204" s="14"/>
      <c r="AC2204" s="14"/>
      <c r="AD2204" s="14"/>
      <c r="AE2204" s="14"/>
      <c r="AF2204" s="14"/>
      <c r="AG2204" s="14"/>
      <c r="AH2204" s="14"/>
      <c r="AI2204" s="14"/>
      <c r="AJ2204" s="15"/>
      <c r="AK2204" s="16"/>
    </row>
    <row r="2205" spans="2:37" x14ac:dyDescent="0.2">
      <c r="B2205" s="7" t="s">
        <v>73</v>
      </c>
      <c r="C2205" s="8">
        <v>12843</v>
      </c>
      <c r="D2205" s="9" t="s">
        <v>259</v>
      </c>
      <c r="E2205" s="10" t="s">
        <v>260</v>
      </c>
      <c r="F2205" s="10" t="s">
        <v>261</v>
      </c>
      <c r="G2205" s="8">
        <v>1</v>
      </c>
      <c r="H2205" s="11">
        <v>400</v>
      </c>
      <c r="I2205" s="12">
        <v>42624</v>
      </c>
      <c r="J2205" s="13">
        <f t="shared" si="75"/>
        <v>0</v>
      </c>
      <c r="K2205" s="14"/>
      <c r="L2205" s="14"/>
      <c r="M2205" s="14"/>
      <c r="N2205" s="14"/>
      <c r="O2205" s="14"/>
      <c r="P2205" s="14"/>
      <c r="Q2205" s="14"/>
      <c r="R2205" s="14"/>
      <c r="S2205" s="14">
        <v>400</v>
      </c>
      <c r="T2205" s="14"/>
      <c r="U2205" s="14"/>
      <c r="V2205" s="14"/>
      <c r="W2205" s="15">
        <f t="shared" si="76"/>
        <v>400</v>
      </c>
      <c r="X2205" s="14"/>
      <c r="Y2205" s="14"/>
      <c r="Z2205" s="14"/>
      <c r="AA2205" s="14"/>
      <c r="AB2205" s="14"/>
      <c r="AC2205" s="14"/>
      <c r="AD2205" s="14"/>
      <c r="AE2205" s="14"/>
      <c r="AF2205" s="14"/>
      <c r="AG2205" s="14"/>
      <c r="AH2205" s="14"/>
      <c r="AI2205" s="14"/>
      <c r="AJ2205" s="15"/>
      <c r="AK2205" s="16"/>
    </row>
    <row r="2206" spans="2:37" x14ac:dyDescent="0.2">
      <c r="B2206" s="7" t="s">
        <v>122</v>
      </c>
      <c r="C2206" s="8">
        <v>12844</v>
      </c>
      <c r="D2206" s="9" t="s">
        <v>262</v>
      </c>
      <c r="E2206" s="10" t="s">
        <v>263</v>
      </c>
      <c r="F2206" s="10" t="s">
        <v>264</v>
      </c>
      <c r="G2206" s="8">
        <v>1</v>
      </c>
      <c r="H2206" s="11">
        <v>300</v>
      </c>
      <c r="I2206" s="12">
        <v>42624</v>
      </c>
      <c r="J2206" s="13">
        <f t="shared" si="75"/>
        <v>0</v>
      </c>
      <c r="K2206" s="14"/>
      <c r="L2206" s="14"/>
      <c r="M2206" s="14"/>
      <c r="N2206" s="14"/>
      <c r="O2206" s="14"/>
      <c r="P2206" s="14"/>
      <c r="Q2206" s="14"/>
      <c r="R2206" s="14"/>
      <c r="S2206" s="14">
        <v>300</v>
      </c>
      <c r="T2206" s="14"/>
      <c r="U2206" s="14"/>
      <c r="V2206" s="14"/>
      <c r="W2206" s="15">
        <f t="shared" si="76"/>
        <v>300</v>
      </c>
      <c r="X2206" s="14"/>
      <c r="Y2206" s="14"/>
      <c r="Z2206" s="14"/>
      <c r="AA2206" s="14"/>
      <c r="AB2206" s="14"/>
      <c r="AC2206" s="14"/>
      <c r="AD2206" s="14"/>
      <c r="AE2206" s="14"/>
      <c r="AF2206" s="14"/>
      <c r="AG2206" s="14"/>
      <c r="AH2206" s="14"/>
      <c r="AI2206" s="14"/>
      <c r="AJ2206" s="15"/>
      <c r="AK2206" s="16"/>
    </row>
    <row r="2207" spans="2:37" x14ac:dyDescent="0.2">
      <c r="B2207" s="7" t="s">
        <v>69</v>
      </c>
      <c r="C2207" s="8">
        <v>12845</v>
      </c>
      <c r="D2207" s="9" t="s">
        <v>437</v>
      </c>
      <c r="E2207" s="10" t="s">
        <v>438</v>
      </c>
      <c r="F2207" s="10" t="s">
        <v>439</v>
      </c>
      <c r="G2207" s="8">
        <v>1</v>
      </c>
      <c r="H2207" s="11">
        <v>400</v>
      </c>
      <c r="I2207" s="12">
        <v>42624</v>
      </c>
      <c r="J2207" s="13">
        <f t="shared" si="75"/>
        <v>0</v>
      </c>
      <c r="K2207" s="14"/>
      <c r="L2207" s="14"/>
      <c r="M2207" s="14"/>
      <c r="N2207" s="14"/>
      <c r="O2207" s="14"/>
      <c r="P2207" s="14"/>
      <c r="Q2207" s="14"/>
      <c r="R2207" s="14"/>
      <c r="S2207" s="14">
        <v>400</v>
      </c>
      <c r="T2207" s="14"/>
      <c r="U2207" s="14"/>
      <c r="V2207" s="14"/>
      <c r="W2207" s="15">
        <f t="shared" si="76"/>
        <v>400</v>
      </c>
      <c r="X2207" s="14"/>
      <c r="Y2207" s="14"/>
      <c r="Z2207" s="14"/>
      <c r="AA2207" s="14"/>
      <c r="AB2207" s="14"/>
      <c r="AC2207" s="14"/>
      <c r="AD2207" s="14"/>
      <c r="AE2207" s="14"/>
      <c r="AF2207" s="14"/>
      <c r="AG2207" s="14"/>
      <c r="AH2207" s="14"/>
      <c r="AI2207" s="14"/>
      <c r="AJ2207" s="15"/>
      <c r="AK2207" s="16"/>
    </row>
    <row r="2208" spans="2:37" x14ac:dyDescent="0.2">
      <c r="B2208" s="7" t="s">
        <v>47</v>
      </c>
      <c r="C2208" s="8">
        <v>12846</v>
      </c>
      <c r="D2208" s="9" t="s">
        <v>823</v>
      </c>
      <c r="E2208" s="10" t="s">
        <v>824</v>
      </c>
      <c r="F2208" s="10" t="s">
        <v>765</v>
      </c>
      <c r="G2208" s="8">
        <v>1</v>
      </c>
      <c r="H2208" s="11">
        <v>200</v>
      </c>
      <c r="I2208" s="12">
        <v>42624</v>
      </c>
      <c r="J2208" s="13">
        <f t="shared" si="75"/>
        <v>0</v>
      </c>
      <c r="K2208" s="14"/>
      <c r="L2208" s="14"/>
      <c r="M2208" s="14"/>
      <c r="N2208" s="14"/>
      <c r="O2208" s="14"/>
      <c r="P2208" s="14"/>
      <c r="Q2208" s="14"/>
      <c r="R2208" s="14"/>
      <c r="S2208" s="14">
        <v>200</v>
      </c>
      <c r="T2208" s="14"/>
      <c r="U2208" s="14"/>
      <c r="V2208" s="14"/>
      <c r="W2208" s="15">
        <f t="shared" si="76"/>
        <v>200</v>
      </c>
      <c r="X2208" s="14"/>
      <c r="Y2208" s="14"/>
      <c r="Z2208" s="14"/>
      <c r="AA2208" s="14"/>
      <c r="AB2208" s="14"/>
      <c r="AC2208" s="14"/>
      <c r="AD2208" s="14"/>
      <c r="AE2208" s="14"/>
      <c r="AF2208" s="14"/>
      <c r="AG2208" s="14"/>
      <c r="AH2208" s="14"/>
      <c r="AI2208" s="14"/>
      <c r="AJ2208" s="15"/>
      <c r="AK2208" s="16"/>
    </row>
    <row r="2209" spans="2:37" x14ac:dyDescent="0.2">
      <c r="B2209" s="7" t="s">
        <v>122</v>
      </c>
      <c r="C2209" s="8">
        <v>12847</v>
      </c>
      <c r="D2209" s="9" t="s">
        <v>1195</v>
      </c>
      <c r="E2209" s="10" t="s">
        <v>1196</v>
      </c>
      <c r="F2209" s="10" t="s">
        <v>1197</v>
      </c>
      <c r="G2209" s="8">
        <v>1</v>
      </c>
      <c r="H2209" s="11">
        <v>400</v>
      </c>
      <c r="I2209" s="12">
        <v>42624</v>
      </c>
      <c r="J2209" s="13">
        <f t="shared" si="75"/>
        <v>0</v>
      </c>
      <c r="K2209" s="14"/>
      <c r="L2209" s="14"/>
      <c r="M2209" s="14"/>
      <c r="N2209" s="14"/>
      <c r="O2209" s="14"/>
      <c r="P2209" s="14"/>
      <c r="Q2209" s="14"/>
      <c r="R2209" s="14"/>
      <c r="S2209" s="14">
        <v>400</v>
      </c>
      <c r="T2209" s="14"/>
      <c r="U2209" s="14"/>
      <c r="V2209" s="14"/>
      <c r="W2209" s="15">
        <f t="shared" si="76"/>
        <v>400</v>
      </c>
      <c r="X2209" s="14"/>
      <c r="Y2209" s="14"/>
      <c r="Z2209" s="14"/>
      <c r="AA2209" s="14"/>
      <c r="AB2209" s="14"/>
      <c r="AC2209" s="14"/>
      <c r="AD2209" s="14"/>
      <c r="AE2209" s="14"/>
      <c r="AF2209" s="14"/>
      <c r="AG2209" s="14"/>
      <c r="AH2209" s="14"/>
      <c r="AI2209" s="14"/>
      <c r="AJ2209" s="15"/>
      <c r="AK2209" s="16"/>
    </row>
    <row r="2210" spans="2:37" x14ac:dyDescent="0.2">
      <c r="B2210" s="7" t="s">
        <v>122</v>
      </c>
      <c r="C2210" s="8">
        <v>12847</v>
      </c>
      <c r="D2210" s="9" t="s">
        <v>1195</v>
      </c>
      <c r="E2210" s="10" t="s">
        <v>1196</v>
      </c>
      <c r="F2210" s="10" t="s">
        <v>1197</v>
      </c>
      <c r="G2210" s="8">
        <v>5</v>
      </c>
      <c r="H2210" s="11">
        <v>50</v>
      </c>
      <c r="I2210" s="12">
        <v>42624</v>
      </c>
      <c r="J2210" s="13">
        <f t="shared" si="75"/>
        <v>0</v>
      </c>
      <c r="K2210" s="14"/>
      <c r="L2210" s="14"/>
      <c r="M2210" s="14"/>
      <c r="N2210" s="14"/>
      <c r="O2210" s="14"/>
      <c r="P2210" s="14"/>
      <c r="Q2210" s="14"/>
      <c r="R2210" s="14"/>
      <c r="S2210" s="14"/>
      <c r="T2210" s="14"/>
      <c r="U2210" s="14"/>
      <c r="V2210" s="14"/>
      <c r="W2210" s="15">
        <f t="shared" si="76"/>
        <v>0</v>
      </c>
      <c r="X2210" s="14"/>
      <c r="Y2210" s="14"/>
      <c r="Z2210" s="14"/>
      <c r="AA2210" s="14"/>
      <c r="AB2210" s="14"/>
      <c r="AC2210" s="14"/>
      <c r="AD2210" s="14"/>
      <c r="AE2210" s="14"/>
      <c r="AF2210" s="14"/>
      <c r="AG2210" s="14"/>
      <c r="AH2210" s="14"/>
      <c r="AI2210" s="14"/>
      <c r="AJ2210" s="15"/>
      <c r="AK2210" s="16"/>
    </row>
    <row r="2211" spans="2:37" x14ac:dyDescent="0.2">
      <c r="B2211" s="7" t="s">
        <v>47</v>
      </c>
      <c r="C2211" s="8">
        <v>12848</v>
      </c>
      <c r="D2211" s="9" t="s">
        <v>132</v>
      </c>
      <c r="E2211" s="10" t="s">
        <v>133</v>
      </c>
      <c r="F2211" s="10" t="s">
        <v>134</v>
      </c>
      <c r="G2211" s="8">
        <v>5</v>
      </c>
      <c r="H2211" s="11">
        <v>50</v>
      </c>
      <c r="I2211" s="12">
        <v>42624</v>
      </c>
      <c r="J2211" s="13">
        <f t="shared" ref="J2211:J2274" si="77">IF(G2211=1,SUM(W2211,-H2211),0)</f>
        <v>0</v>
      </c>
      <c r="K2211" s="14"/>
      <c r="L2211" s="14"/>
      <c r="M2211" s="14"/>
      <c r="N2211" s="14"/>
      <c r="O2211" s="14"/>
      <c r="P2211" s="14"/>
      <c r="Q2211" s="14"/>
      <c r="R2211" s="14"/>
      <c r="S2211" s="14"/>
      <c r="T2211" s="14"/>
      <c r="U2211" s="14"/>
      <c r="V2211" s="14"/>
      <c r="W2211" s="15">
        <f t="shared" ref="W2211:W2274" si="78">SUM(K2211:V2211)</f>
        <v>0</v>
      </c>
      <c r="X2211" s="14"/>
      <c r="Y2211" s="14"/>
      <c r="Z2211" s="14"/>
      <c r="AA2211" s="14"/>
      <c r="AB2211" s="14"/>
      <c r="AC2211" s="14"/>
      <c r="AD2211" s="14"/>
      <c r="AE2211" s="14"/>
      <c r="AF2211" s="14"/>
      <c r="AG2211" s="14"/>
      <c r="AH2211" s="14"/>
      <c r="AI2211" s="14"/>
      <c r="AJ2211" s="15"/>
      <c r="AK2211" s="16"/>
    </row>
    <row r="2212" spans="2:37" x14ac:dyDescent="0.2">
      <c r="B2212" s="7" t="s">
        <v>69</v>
      </c>
      <c r="C2212" s="8">
        <v>12849</v>
      </c>
      <c r="D2212" s="9" t="s">
        <v>174</v>
      </c>
      <c r="E2212" s="10" t="s">
        <v>175</v>
      </c>
      <c r="F2212" s="10" t="s">
        <v>176</v>
      </c>
      <c r="G2212" s="8">
        <v>1</v>
      </c>
      <c r="H2212" s="11">
        <v>300</v>
      </c>
      <c r="I2212" s="12">
        <v>42624</v>
      </c>
      <c r="J2212" s="13">
        <f t="shared" si="77"/>
        <v>0</v>
      </c>
      <c r="K2212" s="14"/>
      <c r="L2212" s="14"/>
      <c r="M2212" s="14"/>
      <c r="N2212" s="14"/>
      <c r="O2212" s="14"/>
      <c r="P2212" s="14"/>
      <c r="Q2212" s="14"/>
      <c r="R2212" s="14"/>
      <c r="S2212" s="14">
        <v>300</v>
      </c>
      <c r="T2212" s="14"/>
      <c r="U2212" s="14"/>
      <c r="V2212" s="14"/>
      <c r="W2212" s="15">
        <f t="shared" si="78"/>
        <v>300</v>
      </c>
      <c r="X2212" s="14"/>
      <c r="Y2212" s="14"/>
      <c r="Z2212" s="14"/>
      <c r="AA2212" s="14"/>
      <c r="AB2212" s="14"/>
      <c r="AC2212" s="14"/>
      <c r="AD2212" s="14"/>
      <c r="AE2212" s="14"/>
      <c r="AF2212" s="14"/>
      <c r="AG2212" s="14"/>
      <c r="AH2212" s="14"/>
      <c r="AI2212" s="14"/>
      <c r="AJ2212" s="15"/>
      <c r="AK2212" s="16"/>
    </row>
    <row r="2213" spans="2:37" x14ac:dyDescent="0.2">
      <c r="B2213" s="7" t="s">
        <v>37</v>
      </c>
      <c r="C2213" s="8">
        <v>12850</v>
      </c>
      <c r="D2213" s="9" t="s">
        <v>550</v>
      </c>
      <c r="E2213" s="10" t="s">
        <v>551</v>
      </c>
      <c r="F2213" s="10" t="s">
        <v>552</v>
      </c>
      <c r="G2213" s="8">
        <v>5</v>
      </c>
      <c r="H2213" s="11">
        <v>100</v>
      </c>
      <c r="I2213" s="12">
        <v>42624</v>
      </c>
      <c r="J2213" s="13">
        <f t="shared" si="77"/>
        <v>0</v>
      </c>
      <c r="K2213" s="14"/>
      <c r="L2213" s="14"/>
      <c r="M2213" s="14"/>
      <c r="N2213" s="14"/>
      <c r="O2213" s="14"/>
      <c r="P2213" s="14"/>
      <c r="Q2213" s="14"/>
      <c r="R2213" s="14"/>
      <c r="S2213" s="14"/>
      <c r="T2213" s="14"/>
      <c r="U2213" s="14"/>
      <c r="V2213" s="14"/>
      <c r="W2213" s="15">
        <f t="shared" si="78"/>
        <v>0</v>
      </c>
      <c r="X2213" s="14"/>
      <c r="Y2213" s="14"/>
      <c r="Z2213" s="14"/>
      <c r="AA2213" s="14"/>
      <c r="AB2213" s="14"/>
      <c r="AC2213" s="14"/>
      <c r="AD2213" s="14"/>
      <c r="AE2213" s="14"/>
      <c r="AF2213" s="14"/>
      <c r="AG2213" s="14"/>
      <c r="AH2213" s="14"/>
      <c r="AI2213" s="14"/>
      <c r="AJ2213" s="15"/>
      <c r="AK2213" s="16"/>
    </row>
    <row r="2214" spans="2:37" x14ac:dyDescent="0.2">
      <c r="B2214" s="7" t="s">
        <v>69</v>
      </c>
      <c r="C2214" s="8">
        <v>12862</v>
      </c>
      <c r="D2214" s="9" t="s">
        <v>476</v>
      </c>
      <c r="E2214" s="10" t="s">
        <v>477</v>
      </c>
      <c r="F2214" s="10" t="s">
        <v>478</v>
      </c>
      <c r="G2214" s="8">
        <v>1</v>
      </c>
      <c r="H2214" s="11">
        <v>400</v>
      </c>
      <c r="I2214" s="12">
        <v>42624</v>
      </c>
      <c r="J2214" s="13">
        <f t="shared" si="77"/>
        <v>0</v>
      </c>
      <c r="K2214" s="14"/>
      <c r="L2214" s="14"/>
      <c r="M2214" s="14"/>
      <c r="N2214" s="14"/>
      <c r="O2214" s="14"/>
      <c r="P2214" s="14"/>
      <c r="Q2214" s="14"/>
      <c r="R2214" s="14"/>
      <c r="S2214" s="14">
        <v>400</v>
      </c>
      <c r="T2214" s="14"/>
      <c r="U2214" s="14"/>
      <c r="V2214" s="14"/>
      <c r="W2214" s="15">
        <f t="shared" si="78"/>
        <v>400</v>
      </c>
      <c r="X2214" s="14"/>
      <c r="Y2214" s="14"/>
      <c r="Z2214" s="14"/>
      <c r="AA2214" s="14"/>
      <c r="AB2214" s="14"/>
      <c r="AC2214" s="14"/>
      <c r="AD2214" s="14"/>
      <c r="AE2214" s="14"/>
      <c r="AF2214" s="14"/>
      <c r="AG2214" s="14"/>
      <c r="AH2214" s="14"/>
      <c r="AI2214" s="14"/>
      <c r="AJ2214" s="15"/>
      <c r="AK2214" s="16"/>
    </row>
    <row r="2215" spans="2:37" x14ac:dyDescent="0.2">
      <c r="B2215" s="7" t="s">
        <v>77</v>
      </c>
      <c r="C2215" s="8">
        <v>12863</v>
      </c>
      <c r="D2215" s="9" t="s">
        <v>725</v>
      </c>
      <c r="E2215" s="10" t="s">
        <v>726</v>
      </c>
      <c r="F2215" s="10" t="s">
        <v>727</v>
      </c>
      <c r="G2215" s="8">
        <v>1</v>
      </c>
      <c r="H2215" s="11">
        <v>400</v>
      </c>
      <c r="I2215" s="12">
        <v>42624</v>
      </c>
      <c r="J2215" s="13">
        <f t="shared" si="77"/>
        <v>0</v>
      </c>
      <c r="K2215" s="14"/>
      <c r="L2215" s="14"/>
      <c r="M2215" s="14"/>
      <c r="N2215" s="14"/>
      <c r="O2215" s="14"/>
      <c r="P2215" s="14"/>
      <c r="Q2215" s="14"/>
      <c r="R2215" s="14"/>
      <c r="S2215" s="14">
        <v>400</v>
      </c>
      <c r="T2215" s="14"/>
      <c r="U2215" s="14"/>
      <c r="V2215" s="14"/>
      <c r="W2215" s="15">
        <f t="shared" si="78"/>
        <v>400</v>
      </c>
      <c r="X2215" s="14"/>
      <c r="Y2215" s="14"/>
      <c r="Z2215" s="14"/>
      <c r="AA2215" s="14"/>
      <c r="AB2215" s="14"/>
      <c r="AC2215" s="14"/>
      <c r="AD2215" s="14"/>
      <c r="AE2215" s="14"/>
      <c r="AF2215" s="14"/>
      <c r="AG2215" s="14"/>
      <c r="AH2215" s="14"/>
      <c r="AI2215" s="14"/>
      <c r="AJ2215" s="15"/>
      <c r="AK2215" s="16"/>
    </row>
    <row r="2216" spans="2:37" x14ac:dyDescent="0.2">
      <c r="B2216" s="7" t="s">
        <v>77</v>
      </c>
      <c r="C2216" s="8">
        <v>12864</v>
      </c>
      <c r="D2216" s="9" t="s">
        <v>725</v>
      </c>
      <c r="E2216" s="10" t="s">
        <v>726</v>
      </c>
      <c r="F2216" s="10" t="s">
        <v>727</v>
      </c>
      <c r="G2216" s="8">
        <v>5</v>
      </c>
      <c r="H2216" s="11">
        <v>50</v>
      </c>
      <c r="I2216" s="12">
        <v>42624</v>
      </c>
      <c r="J2216" s="13">
        <f t="shared" si="77"/>
        <v>0</v>
      </c>
      <c r="K2216" s="14"/>
      <c r="L2216" s="14"/>
      <c r="M2216" s="14"/>
      <c r="N2216" s="14"/>
      <c r="O2216" s="14"/>
      <c r="P2216" s="14"/>
      <c r="Q2216" s="14"/>
      <c r="R2216" s="14"/>
      <c r="S2216" s="14"/>
      <c r="T2216" s="14"/>
      <c r="U2216" s="14"/>
      <c r="V2216" s="14"/>
      <c r="W2216" s="15">
        <f t="shared" si="78"/>
        <v>0</v>
      </c>
      <c r="X2216" s="14"/>
      <c r="Y2216" s="14"/>
      <c r="Z2216" s="14"/>
      <c r="AA2216" s="14"/>
      <c r="AB2216" s="14"/>
      <c r="AC2216" s="14"/>
      <c r="AD2216" s="14"/>
      <c r="AE2216" s="14"/>
      <c r="AF2216" s="14"/>
      <c r="AG2216" s="14"/>
      <c r="AH2216" s="14"/>
      <c r="AI2216" s="14"/>
      <c r="AJ2216" s="15"/>
      <c r="AK2216" s="16"/>
    </row>
    <row r="2217" spans="2:37" x14ac:dyDescent="0.2">
      <c r="B2217" s="7" t="s">
        <v>69</v>
      </c>
      <c r="C2217" s="8">
        <v>12865</v>
      </c>
      <c r="D2217" s="9" t="s">
        <v>346</v>
      </c>
      <c r="E2217" s="10" t="s">
        <v>347</v>
      </c>
      <c r="F2217" s="10" t="s">
        <v>348</v>
      </c>
      <c r="G2217" s="8">
        <v>1</v>
      </c>
      <c r="H2217" s="11">
        <v>300</v>
      </c>
      <c r="I2217" s="12">
        <v>42624</v>
      </c>
      <c r="J2217" s="13">
        <f t="shared" si="77"/>
        <v>0</v>
      </c>
      <c r="K2217" s="14"/>
      <c r="L2217" s="14"/>
      <c r="M2217" s="14"/>
      <c r="N2217" s="14"/>
      <c r="O2217" s="14"/>
      <c r="P2217" s="14"/>
      <c r="Q2217" s="14"/>
      <c r="R2217" s="14">
        <v>300</v>
      </c>
      <c r="S2217" s="14"/>
      <c r="T2217" s="14"/>
      <c r="U2217" s="14"/>
      <c r="V2217" s="14"/>
      <c r="W2217" s="15">
        <f t="shared" si="78"/>
        <v>300</v>
      </c>
      <c r="X2217" s="14"/>
      <c r="Y2217" s="14"/>
      <c r="Z2217" s="14"/>
      <c r="AA2217" s="14"/>
      <c r="AB2217" s="14"/>
      <c r="AC2217" s="14"/>
      <c r="AD2217" s="14"/>
      <c r="AE2217" s="14"/>
      <c r="AF2217" s="14"/>
      <c r="AG2217" s="14"/>
      <c r="AH2217" s="14"/>
      <c r="AI2217" s="14"/>
      <c r="AJ2217" s="15"/>
      <c r="AK2217" s="16"/>
    </row>
    <row r="2218" spans="2:37" x14ac:dyDescent="0.2">
      <c r="B2218" s="7" t="s">
        <v>69</v>
      </c>
      <c r="C2218" s="8">
        <v>12866</v>
      </c>
      <c r="D2218" s="9" t="s">
        <v>758</v>
      </c>
      <c r="E2218" s="10" t="s">
        <v>759</v>
      </c>
      <c r="F2218" s="10" t="s">
        <v>760</v>
      </c>
      <c r="G2218" s="8">
        <v>5</v>
      </c>
      <c r="H2218" s="11">
        <v>100</v>
      </c>
      <c r="I2218" s="12">
        <v>42624</v>
      </c>
      <c r="J2218" s="13">
        <f t="shared" si="77"/>
        <v>0</v>
      </c>
      <c r="K2218" s="14"/>
      <c r="L2218" s="14"/>
      <c r="M2218" s="14"/>
      <c r="N2218" s="14"/>
      <c r="O2218" s="14"/>
      <c r="P2218" s="14"/>
      <c r="Q2218" s="14"/>
      <c r="R2218" s="14"/>
      <c r="S2218" s="14"/>
      <c r="T2218" s="14"/>
      <c r="U2218" s="14"/>
      <c r="V2218" s="14"/>
      <c r="W2218" s="15">
        <f t="shared" si="78"/>
        <v>0</v>
      </c>
      <c r="X2218" s="14"/>
      <c r="Y2218" s="14"/>
      <c r="Z2218" s="14"/>
      <c r="AA2218" s="14"/>
      <c r="AB2218" s="14"/>
      <c r="AC2218" s="14"/>
      <c r="AD2218" s="14"/>
      <c r="AE2218" s="14"/>
      <c r="AF2218" s="14"/>
      <c r="AG2218" s="14"/>
      <c r="AH2218" s="14"/>
      <c r="AI2218" s="14"/>
      <c r="AJ2218" s="15"/>
      <c r="AK2218" s="16"/>
    </row>
    <row r="2219" spans="2:37" x14ac:dyDescent="0.2">
      <c r="B2219" s="7" t="s">
        <v>73</v>
      </c>
      <c r="C2219" s="8">
        <v>12867</v>
      </c>
      <c r="D2219" s="9" t="s">
        <v>523</v>
      </c>
      <c r="E2219" s="10" t="s">
        <v>524</v>
      </c>
      <c r="F2219" s="10" t="s">
        <v>525</v>
      </c>
      <c r="G2219" s="8">
        <v>1</v>
      </c>
      <c r="H2219" s="11">
        <v>400</v>
      </c>
      <c r="I2219" s="12">
        <v>42624</v>
      </c>
      <c r="J2219" s="13">
        <f t="shared" si="77"/>
        <v>0</v>
      </c>
      <c r="K2219" s="14"/>
      <c r="L2219" s="14"/>
      <c r="M2219" s="14"/>
      <c r="N2219" s="14"/>
      <c r="O2219" s="14"/>
      <c r="P2219" s="14"/>
      <c r="Q2219" s="14"/>
      <c r="R2219" s="14">
        <v>400</v>
      </c>
      <c r="S2219" s="14"/>
      <c r="T2219" s="14"/>
      <c r="U2219" s="14"/>
      <c r="V2219" s="14"/>
      <c r="W2219" s="15">
        <f t="shared" si="78"/>
        <v>400</v>
      </c>
      <c r="X2219" s="14"/>
      <c r="Y2219" s="14"/>
      <c r="Z2219" s="14"/>
      <c r="AA2219" s="14"/>
      <c r="AB2219" s="14"/>
      <c r="AC2219" s="14"/>
      <c r="AD2219" s="14"/>
      <c r="AE2219" s="14"/>
      <c r="AF2219" s="14"/>
      <c r="AG2219" s="14"/>
      <c r="AH2219" s="14"/>
      <c r="AI2219" s="14"/>
      <c r="AJ2219" s="15"/>
      <c r="AK2219" s="16"/>
    </row>
    <row r="2220" spans="2:37" x14ac:dyDescent="0.2">
      <c r="B2220" s="7" t="s">
        <v>77</v>
      </c>
      <c r="C2220" s="8">
        <v>12868</v>
      </c>
      <c r="D2220" s="9" t="s">
        <v>473</v>
      </c>
      <c r="E2220" s="10" t="s">
        <v>474</v>
      </c>
      <c r="F2220" s="10" t="s">
        <v>475</v>
      </c>
      <c r="G2220" s="8">
        <v>5</v>
      </c>
      <c r="H2220" s="11">
        <v>50</v>
      </c>
      <c r="I2220" s="12">
        <v>42624</v>
      </c>
      <c r="J2220" s="13">
        <f t="shared" si="77"/>
        <v>0</v>
      </c>
      <c r="K2220" s="14"/>
      <c r="L2220" s="14"/>
      <c r="M2220" s="14"/>
      <c r="N2220" s="14"/>
      <c r="O2220" s="14"/>
      <c r="P2220" s="14"/>
      <c r="Q2220" s="14"/>
      <c r="R2220" s="14"/>
      <c r="S2220" s="14"/>
      <c r="T2220" s="14"/>
      <c r="U2220" s="14"/>
      <c r="V2220" s="14"/>
      <c r="W2220" s="15">
        <f t="shared" si="78"/>
        <v>0</v>
      </c>
      <c r="X2220" s="14"/>
      <c r="Y2220" s="14"/>
      <c r="Z2220" s="14"/>
      <c r="AA2220" s="14"/>
      <c r="AB2220" s="14"/>
      <c r="AC2220" s="14"/>
      <c r="AD2220" s="14"/>
      <c r="AE2220" s="14"/>
      <c r="AF2220" s="14"/>
      <c r="AG2220" s="14"/>
      <c r="AH2220" s="14"/>
      <c r="AI2220" s="14"/>
      <c r="AJ2220" s="15"/>
      <c r="AK2220" s="16"/>
    </row>
    <row r="2221" spans="2:37" x14ac:dyDescent="0.2">
      <c r="B2221" s="7" t="s">
        <v>47</v>
      </c>
      <c r="C2221" s="8">
        <v>12869</v>
      </c>
      <c r="D2221" s="9" t="s">
        <v>752</v>
      </c>
      <c r="E2221" s="10" t="s">
        <v>753</v>
      </c>
      <c r="F2221" s="10" t="s">
        <v>754</v>
      </c>
      <c r="G2221" s="8">
        <v>1</v>
      </c>
      <c r="H2221" s="11">
        <v>2000</v>
      </c>
      <c r="I2221" s="12">
        <v>42625</v>
      </c>
      <c r="J2221" s="13">
        <f t="shared" si="77"/>
        <v>0</v>
      </c>
      <c r="K2221" s="14"/>
      <c r="L2221" s="14"/>
      <c r="M2221" s="14"/>
      <c r="N2221" s="14">
        <v>400</v>
      </c>
      <c r="O2221" s="14">
        <v>400</v>
      </c>
      <c r="P2221" s="14">
        <v>400</v>
      </c>
      <c r="Q2221" s="14">
        <v>400</v>
      </c>
      <c r="R2221" s="14">
        <v>400</v>
      </c>
      <c r="S2221" s="14"/>
      <c r="T2221" s="14"/>
      <c r="U2221" s="14"/>
      <c r="V2221" s="14"/>
      <c r="W2221" s="15">
        <f t="shared" si="78"/>
        <v>2000</v>
      </c>
      <c r="X2221" s="14"/>
      <c r="Y2221" s="14"/>
      <c r="Z2221" s="14"/>
      <c r="AA2221" s="14"/>
      <c r="AB2221" s="14"/>
      <c r="AC2221" s="14"/>
      <c r="AD2221" s="14"/>
      <c r="AE2221" s="14"/>
      <c r="AF2221" s="14"/>
      <c r="AG2221" s="14"/>
      <c r="AH2221" s="14"/>
      <c r="AI2221" s="14"/>
      <c r="AJ2221" s="15"/>
      <c r="AK2221" s="16"/>
    </row>
    <row r="2222" spans="2:37" x14ac:dyDescent="0.2">
      <c r="B2222" s="7" t="s">
        <v>93</v>
      </c>
      <c r="C2222" s="8">
        <v>12870</v>
      </c>
      <c r="D2222" s="9"/>
      <c r="E2222" s="10" t="s">
        <v>93</v>
      </c>
      <c r="F2222" s="10" t="s">
        <v>93</v>
      </c>
      <c r="G2222" s="8">
        <v>8</v>
      </c>
      <c r="H2222" s="11"/>
      <c r="I2222" s="12"/>
      <c r="J2222" s="13">
        <f t="shared" si="77"/>
        <v>0</v>
      </c>
      <c r="K2222" s="14"/>
      <c r="L2222" s="14"/>
      <c r="M2222" s="14"/>
      <c r="N2222" s="14"/>
      <c r="O2222" s="14"/>
      <c r="P2222" s="14"/>
      <c r="Q2222" s="14"/>
      <c r="R2222" s="14"/>
      <c r="S2222" s="14"/>
      <c r="T2222" s="14"/>
      <c r="U2222" s="14"/>
      <c r="V2222" s="14"/>
      <c r="W2222" s="15">
        <f t="shared" si="78"/>
        <v>0</v>
      </c>
      <c r="X2222" s="14"/>
      <c r="Y2222" s="14"/>
      <c r="Z2222" s="14"/>
      <c r="AA2222" s="14"/>
      <c r="AB2222" s="14"/>
      <c r="AC2222" s="14"/>
      <c r="AD2222" s="14"/>
      <c r="AE2222" s="14"/>
      <c r="AF2222" s="14"/>
      <c r="AG2222" s="14"/>
      <c r="AH2222" s="14"/>
      <c r="AI2222" s="14"/>
      <c r="AJ2222" s="15"/>
      <c r="AK2222" s="16"/>
    </row>
    <row r="2223" spans="2:37" x14ac:dyDescent="0.2">
      <c r="B2223" s="7" t="s">
        <v>37</v>
      </c>
      <c r="C2223" s="8">
        <v>12871</v>
      </c>
      <c r="D2223" s="9" t="s">
        <v>550</v>
      </c>
      <c r="E2223" s="10" t="s">
        <v>551</v>
      </c>
      <c r="F2223" s="10" t="s">
        <v>552</v>
      </c>
      <c r="G2223" s="8">
        <v>5</v>
      </c>
      <c r="H2223" s="11">
        <v>50</v>
      </c>
      <c r="I2223" s="12">
        <v>42625</v>
      </c>
      <c r="J2223" s="13">
        <f t="shared" si="77"/>
        <v>0</v>
      </c>
      <c r="K2223" s="14"/>
      <c r="L2223" s="14"/>
      <c r="M2223" s="14"/>
      <c r="N2223" s="14"/>
      <c r="O2223" s="14"/>
      <c r="P2223" s="14"/>
      <c r="Q2223" s="14"/>
      <c r="R2223" s="14"/>
      <c r="S2223" s="14"/>
      <c r="T2223" s="14"/>
      <c r="U2223" s="14"/>
      <c r="V2223" s="14"/>
      <c r="W2223" s="15">
        <f t="shared" si="78"/>
        <v>0</v>
      </c>
      <c r="X2223" s="14"/>
      <c r="Y2223" s="14"/>
      <c r="Z2223" s="14"/>
      <c r="AA2223" s="14"/>
      <c r="AB2223" s="14"/>
      <c r="AC2223" s="14"/>
      <c r="AD2223" s="14"/>
      <c r="AE2223" s="14"/>
      <c r="AF2223" s="14"/>
      <c r="AG2223" s="14"/>
      <c r="AH2223" s="14"/>
      <c r="AI2223" s="14"/>
      <c r="AJ2223" s="15"/>
      <c r="AK2223" s="16"/>
    </row>
    <row r="2224" spans="2:37" x14ac:dyDescent="0.2">
      <c r="B2224" s="7" t="s">
        <v>47</v>
      </c>
      <c r="C2224" s="8">
        <v>12872</v>
      </c>
      <c r="D2224" s="9" t="s">
        <v>852</v>
      </c>
      <c r="E2224" s="10" t="s">
        <v>853</v>
      </c>
      <c r="F2224" s="10" t="s">
        <v>854</v>
      </c>
      <c r="G2224" s="8">
        <v>1</v>
      </c>
      <c r="H2224" s="11">
        <v>900</v>
      </c>
      <c r="I2224" s="12">
        <v>42627</v>
      </c>
      <c r="J2224" s="13">
        <f t="shared" si="77"/>
        <v>0</v>
      </c>
      <c r="K2224" s="14"/>
      <c r="L2224" s="14"/>
      <c r="M2224" s="14"/>
      <c r="N2224" s="14"/>
      <c r="O2224" s="14"/>
      <c r="P2224" s="14"/>
      <c r="Q2224" s="14">
        <v>300</v>
      </c>
      <c r="R2224" s="14">
        <v>300</v>
      </c>
      <c r="S2224" s="14">
        <v>300</v>
      </c>
      <c r="T2224" s="14"/>
      <c r="U2224" s="14"/>
      <c r="V2224" s="14"/>
      <c r="W2224" s="15">
        <f t="shared" si="78"/>
        <v>900</v>
      </c>
      <c r="X2224" s="14"/>
      <c r="Y2224" s="14"/>
      <c r="Z2224" s="14"/>
      <c r="AA2224" s="14"/>
      <c r="AB2224" s="14"/>
      <c r="AC2224" s="14"/>
      <c r="AD2224" s="14"/>
      <c r="AE2224" s="14"/>
      <c r="AF2224" s="14"/>
      <c r="AG2224" s="14"/>
      <c r="AH2224" s="14"/>
      <c r="AI2224" s="14"/>
      <c r="AJ2224" s="15"/>
      <c r="AK2224" s="16"/>
    </row>
    <row r="2225" spans="2:37" x14ac:dyDescent="0.2">
      <c r="B2225" s="7" t="s">
        <v>47</v>
      </c>
      <c r="C2225" s="8">
        <v>12873</v>
      </c>
      <c r="D2225" s="9" t="s">
        <v>620</v>
      </c>
      <c r="E2225" s="10" t="s">
        <v>621</v>
      </c>
      <c r="F2225" s="10" t="s">
        <v>366</v>
      </c>
      <c r="G2225" s="8">
        <v>5</v>
      </c>
      <c r="H2225" s="11">
        <v>100</v>
      </c>
      <c r="I2225" s="12">
        <v>42627</v>
      </c>
      <c r="J2225" s="13">
        <f t="shared" si="77"/>
        <v>0</v>
      </c>
      <c r="K2225" s="14"/>
      <c r="L2225" s="14"/>
      <c r="M2225" s="14"/>
      <c r="N2225" s="14"/>
      <c r="O2225" s="14"/>
      <c r="P2225" s="14"/>
      <c r="Q2225" s="14"/>
      <c r="R2225" s="14"/>
      <c r="S2225" s="14"/>
      <c r="T2225" s="14"/>
      <c r="U2225" s="14"/>
      <c r="V2225" s="14"/>
      <c r="W2225" s="15">
        <f t="shared" si="78"/>
        <v>0</v>
      </c>
      <c r="X2225" s="14"/>
      <c r="Y2225" s="14"/>
      <c r="Z2225" s="14"/>
      <c r="AA2225" s="14"/>
      <c r="AB2225" s="14"/>
      <c r="AC2225" s="14"/>
      <c r="AD2225" s="14"/>
      <c r="AE2225" s="14"/>
      <c r="AF2225" s="14"/>
      <c r="AG2225" s="14"/>
      <c r="AH2225" s="14"/>
      <c r="AI2225" s="14"/>
      <c r="AJ2225" s="15"/>
      <c r="AK2225" s="16"/>
    </row>
    <row r="2226" spans="2:37" x14ac:dyDescent="0.2">
      <c r="B2226" s="7" t="s">
        <v>69</v>
      </c>
      <c r="C2226" s="8">
        <v>12874</v>
      </c>
      <c r="D2226" s="9" t="s">
        <v>602</v>
      </c>
      <c r="E2226" s="10" t="s">
        <v>603</v>
      </c>
      <c r="F2226" s="10" t="s">
        <v>604</v>
      </c>
      <c r="G2226" s="8">
        <v>1</v>
      </c>
      <c r="H2226" s="11">
        <v>200</v>
      </c>
      <c r="I2226" s="12">
        <v>42631</v>
      </c>
      <c r="J2226" s="13">
        <f t="shared" si="77"/>
        <v>0</v>
      </c>
      <c r="K2226" s="14"/>
      <c r="L2226" s="14"/>
      <c r="M2226" s="14"/>
      <c r="N2226" s="14"/>
      <c r="O2226" s="14"/>
      <c r="P2226" s="14"/>
      <c r="Q2226" s="14"/>
      <c r="R2226" s="14"/>
      <c r="S2226" s="14">
        <v>200</v>
      </c>
      <c r="T2226" s="14"/>
      <c r="U2226" s="14"/>
      <c r="V2226" s="14"/>
      <c r="W2226" s="15">
        <f t="shared" si="78"/>
        <v>200</v>
      </c>
      <c r="X2226" s="14"/>
      <c r="Y2226" s="14"/>
      <c r="Z2226" s="14"/>
      <c r="AA2226" s="14"/>
      <c r="AB2226" s="14"/>
      <c r="AC2226" s="14"/>
      <c r="AD2226" s="14"/>
      <c r="AE2226" s="14"/>
      <c r="AF2226" s="14"/>
      <c r="AG2226" s="14"/>
      <c r="AH2226" s="14"/>
      <c r="AI2226" s="14"/>
      <c r="AJ2226" s="15"/>
      <c r="AK2226" s="16"/>
    </row>
    <row r="2227" spans="2:37" x14ac:dyDescent="0.2">
      <c r="B2227" s="7" t="s">
        <v>69</v>
      </c>
      <c r="C2227" s="8">
        <v>12874</v>
      </c>
      <c r="D2227" s="9" t="s">
        <v>602</v>
      </c>
      <c r="E2227" s="10" t="s">
        <v>603</v>
      </c>
      <c r="F2227" s="10" t="s">
        <v>604</v>
      </c>
      <c r="G2227" s="8">
        <v>3</v>
      </c>
      <c r="H2227" s="11">
        <v>400</v>
      </c>
      <c r="I2227" s="12">
        <v>42631</v>
      </c>
      <c r="J2227" s="13">
        <f t="shared" si="77"/>
        <v>0</v>
      </c>
      <c r="K2227" s="14"/>
      <c r="L2227" s="14"/>
      <c r="M2227" s="14"/>
      <c r="N2227" s="14"/>
      <c r="O2227" s="14"/>
      <c r="P2227" s="14"/>
      <c r="Q2227" s="14"/>
      <c r="R2227" s="14"/>
      <c r="S2227" s="14"/>
      <c r="T2227" s="14"/>
      <c r="U2227" s="14"/>
      <c r="V2227" s="14"/>
      <c r="W2227" s="15">
        <f t="shared" si="78"/>
        <v>0</v>
      </c>
      <c r="X2227" s="14"/>
      <c r="Y2227" s="14"/>
      <c r="Z2227" s="14"/>
      <c r="AA2227" s="14"/>
      <c r="AB2227" s="14"/>
      <c r="AC2227" s="14"/>
      <c r="AD2227" s="14"/>
      <c r="AE2227" s="14"/>
      <c r="AF2227" s="14"/>
      <c r="AG2227" s="14"/>
      <c r="AH2227" s="14"/>
      <c r="AI2227" s="14"/>
      <c r="AJ2227" s="15"/>
      <c r="AK2227" s="16"/>
    </row>
    <row r="2228" spans="2:37" x14ac:dyDescent="0.2">
      <c r="B2228" s="7" t="s">
        <v>77</v>
      </c>
      <c r="C2228" s="8">
        <v>12875</v>
      </c>
      <c r="D2228" s="9" t="s">
        <v>156</v>
      </c>
      <c r="E2228" s="10" t="s">
        <v>157</v>
      </c>
      <c r="F2228" s="10" t="s">
        <v>158</v>
      </c>
      <c r="G2228" s="8">
        <v>1</v>
      </c>
      <c r="H2228" s="11">
        <v>300</v>
      </c>
      <c r="I2228" s="12">
        <v>42631</v>
      </c>
      <c r="J2228" s="13">
        <f t="shared" si="77"/>
        <v>0</v>
      </c>
      <c r="K2228" s="14"/>
      <c r="L2228" s="14"/>
      <c r="M2228" s="14"/>
      <c r="N2228" s="14"/>
      <c r="O2228" s="14"/>
      <c r="P2228" s="14"/>
      <c r="Q2228" s="14"/>
      <c r="R2228" s="14"/>
      <c r="S2228" s="14">
        <v>300</v>
      </c>
      <c r="T2228" s="14"/>
      <c r="U2228" s="14"/>
      <c r="V2228" s="14"/>
      <c r="W2228" s="15">
        <f t="shared" si="78"/>
        <v>300</v>
      </c>
      <c r="X2228" s="14"/>
      <c r="Y2228" s="14"/>
      <c r="Z2228" s="14"/>
      <c r="AA2228" s="14"/>
      <c r="AB2228" s="14"/>
      <c r="AC2228" s="14"/>
      <c r="AD2228" s="14"/>
      <c r="AE2228" s="14"/>
      <c r="AF2228" s="14"/>
      <c r="AG2228" s="14"/>
      <c r="AH2228" s="14"/>
      <c r="AI2228" s="14"/>
      <c r="AJ2228" s="15"/>
      <c r="AK2228" s="16"/>
    </row>
    <row r="2229" spans="2:37" x14ac:dyDescent="0.2">
      <c r="B2229" s="7" t="s">
        <v>37</v>
      </c>
      <c r="C2229" s="8">
        <v>12876</v>
      </c>
      <c r="D2229" s="9" t="s">
        <v>716</v>
      </c>
      <c r="E2229" s="10" t="s">
        <v>717</v>
      </c>
      <c r="F2229" s="10" t="s">
        <v>718</v>
      </c>
      <c r="G2229" s="8">
        <v>1</v>
      </c>
      <c r="H2229" s="11">
        <v>300</v>
      </c>
      <c r="I2229" s="12">
        <v>42631</v>
      </c>
      <c r="J2229" s="13">
        <f t="shared" si="77"/>
        <v>0</v>
      </c>
      <c r="K2229" s="14"/>
      <c r="L2229" s="14"/>
      <c r="M2229" s="14"/>
      <c r="N2229" s="14"/>
      <c r="O2229" s="14"/>
      <c r="P2229" s="14"/>
      <c r="Q2229" s="14"/>
      <c r="R2229" s="14"/>
      <c r="S2229" s="14"/>
      <c r="T2229" s="14">
        <v>300</v>
      </c>
      <c r="U2229" s="14"/>
      <c r="V2229" s="14"/>
      <c r="W2229" s="15">
        <f t="shared" si="78"/>
        <v>300</v>
      </c>
      <c r="X2229" s="14"/>
      <c r="Y2229" s="14"/>
      <c r="Z2229" s="14"/>
      <c r="AA2229" s="14"/>
      <c r="AB2229" s="14"/>
      <c r="AC2229" s="14"/>
      <c r="AD2229" s="14"/>
      <c r="AE2229" s="14"/>
      <c r="AF2229" s="14"/>
      <c r="AG2229" s="14"/>
      <c r="AH2229" s="14"/>
      <c r="AI2229" s="14"/>
      <c r="AJ2229" s="15"/>
      <c r="AK2229" s="16"/>
    </row>
    <row r="2230" spans="2:37" x14ac:dyDescent="0.2">
      <c r="B2230" s="7" t="s">
        <v>47</v>
      </c>
      <c r="C2230" s="8">
        <v>12877</v>
      </c>
      <c r="D2230" s="9" t="s">
        <v>509</v>
      </c>
      <c r="E2230" s="10" t="s">
        <v>510</v>
      </c>
      <c r="F2230" s="10" t="s">
        <v>511</v>
      </c>
      <c r="G2230" s="8">
        <v>5</v>
      </c>
      <c r="H2230" s="11">
        <v>50</v>
      </c>
      <c r="I2230" s="12">
        <v>42631</v>
      </c>
      <c r="J2230" s="13">
        <f t="shared" si="77"/>
        <v>0</v>
      </c>
      <c r="K2230" s="14"/>
      <c r="L2230" s="14"/>
      <c r="M2230" s="14"/>
      <c r="N2230" s="14"/>
      <c r="O2230" s="14"/>
      <c r="P2230" s="14"/>
      <c r="Q2230" s="14"/>
      <c r="R2230" s="14"/>
      <c r="S2230" s="14"/>
      <c r="T2230" s="14"/>
      <c r="U2230" s="14"/>
      <c r="V2230" s="14"/>
      <c r="W2230" s="15">
        <f t="shared" si="78"/>
        <v>0</v>
      </c>
      <c r="X2230" s="14"/>
      <c r="Y2230" s="14"/>
      <c r="Z2230" s="14"/>
      <c r="AA2230" s="14"/>
      <c r="AB2230" s="14"/>
      <c r="AC2230" s="14"/>
      <c r="AD2230" s="14"/>
      <c r="AE2230" s="14"/>
      <c r="AF2230" s="14"/>
      <c r="AG2230" s="14"/>
      <c r="AH2230" s="14"/>
      <c r="AI2230" s="14"/>
      <c r="AJ2230" s="15"/>
      <c r="AK2230" s="16"/>
    </row>
    <row r="2231" spans="2:37" x14ac:dyDescent="0.2">
      <c r="B2231" s="7" t="s">
        <v>73</v>
      </c>
      <c r="C2231" s="8">
        <v>12878</v>
      </c>
      <c r="D2231" s="9" t="s">
        <v>376</v>
      </c>
      <c r="E2231" s="10" t="s">
        <v>377</v>
      </c>
      <c r="F2231" s="10" t="s">
        <v>378</v>
      </c>
      <c r="G2231" s="8">
        <v>5</v>
      </c>
      <c r="H2231" s="11">
        <v>100</v>
      </c>
      <c r="I2231" s="12">
        <v>42631</v>
      </c>
      <c r="J2231" s="13">
        <f t="shared" si="77"/>
        <v>0</v>
      </c>
      <c r="K2231" s="14"/>
      <c r="L2231" s="14"/>
      <c r="M2231" s="14"/>
      <c r="N2231" s="14"/>
      <c r="O2231" s="14"/>
      <c r="P2231" s="14"/>
      <c r="Q2231" s="14"/>
      <c r="R2231" s="14"/>
      <c r="S2231" s="14"/>
      <c r="T2231" s="14"/>
      <c r="U2231" s="14"/>
      <c r="V2231" s="14"/>
      <c r="W2231" s="15">
        <f t="shared" si="78"/>
        <v>0</v>
      </c>
      <c r="X2231" s="14"/>
      <c r="Y2231" s="14"/>
      <c r="Z2231" s="14"/>
      <c r="AA2231" s="14"/>
      <c r="AB2231" s="14"/>
      <c r="AC2231" s="14"/>
      <c r="AD2231" s="14"/>
      <c r="AE2231" s="14"/>
      <c r="AF2231" s="14"/>
      <c r="AG2231" s="14"/>
      <c r="AH2231" s="14"/>
      <c r="AI2231" s="14"/>
      <c r="AJ2231" s="15"/>
      <c r="AK2231" s="16"/>
    </row>
    <row r="2232" spans="2:37" x14ac:dyDescent="0.2">
      <c r="B2232" s="7" t="s">
        <v>69</v>
      </c>
      <c r="C2232" s="8">
        <v>12879</v>
      </c>
      <c r="D2232" s="9" t="s">
        <v>467</v>
      </c>
      <c r="E2232" s="10" t="s">
        <v>468</v>
      </c>
      <c r="F2232" s="10" t="s">
        <v>469</v>
      </c>
      <c r="G2232" s="8">
        <v>1</v>
      </c>
      <c r="H2232" s="11">
        <v>400</v>
      </c>
      <c r="I2232" s="12">
        <v>42631</v>
      </c>
      <c r="J2232" s="13">
        <f t="shared" si="77"/>
        <v>0</v>
      </c>
      <c r="K2232" s="14"/>
      <c r="L2232" s="14"/>
      <c r="M2232" s="14"/>
      <c r="N2232" s="14"/>
      <c r="O2232" s="14"/>
      <c r="P2232" s="14"/>
      <c r="Q2232" s="14"/>
      <c r="R2232" s="14"/>
      <c r="S2232" s="14">
        <v>400</v>
      </c>
      <c r="T2232" s="14"/>
      <c r="U2232" s="14"/>
      <c r="V2232" s="14"/>
      <c r="W2232" s="15">
        <f t="shared" si="78"/>
        <v>400</v>
      </c>
      <c r="X2232" s="14"/>
      <c r="Y2232" s="14"/>
      <c r="Z2232" s="14"/>
      <c r="AA2232" s="14"/>
      <c r="AB2232" s="14"/>
      <c r="AC2232" s="14"/>
      <c r="AD2232" s="14"/>
      <c r="AE2232" s="14"/>
      <c r="AF2232" s="14"/>
      <c r="AG2232" s="14"/>
      <c r="AH2232" s="14"/>
      <c r="AI2232" s="14"/>
      <c r="AJ2232" s="15"/>
      <c r="AK2232" s="16"/>
    </row>
    <row r="2233" spans="2:37" x14ac:dyDescent="0.2">
      <c r="B2233" s="7" t="s">
        <v>37</v>
      </c>
      <c r="C2233" s="8">
        <v>12880</v>
      </c>
      <c r="D2233" s="9" t="s">
        <v>247</v>
      </c>
      <c r="E2233" s="10" t="s">
        <v>248</v>
      </c>
      <c r="F2233" s="10" t="s">
        <v>249</v>
      </c>
      <c r="G2233" s="8">
        <v>1</v>
      </c>
      <c r="H2233" s="11">
        <v>800</v>
      </c>
      <c r="I2233" s="12">
        <v>42631</v>
      </c>
      <c r="J2233" s="13">
        <f t="shared" si="77"/>
        <v>0</v>
      </c>
      <c r="K2233" s="14"/>
      <c r="L2233" s="14"/>
      <c r="M2233" s="14"/>
      <c r="N2233" s="14"/>
      <c r="O2233" s="14"/>
      <c r="P2233" s="14"/>
      <c r="Q2233" s="14"/>
      <c r="R2233" s="14"/>
      <c r="S2233" s="14">
        <v>400</v>
      </c>
      <c r="T2233" s="14">
        <v>400</v>
      </c>
      <c r="U2233" s="14"/>
      <c r="V2233" s="14"/>
      <c r="W2233" s="15">
        <f t="shared" si="78"/>
        <v>800</v>
      </c>
      <c r="X2233" s="14"/>
      <c r="Y2233" s="14"/>
      <c r="Z2233" s="14"/>
      <c r="AA2233" s="14"/>
      <c r="AB2233" s="14"/>
      <c r="AC2233" s="14"/>
      <c r="AD2233" s="14"/>
      <c r="AE2233" s="14"/>
      <c r="AF2233" s="14"/>
      <c r="AG2233" s="14"/>
      <c r="AH2233" s="14"/>
      <c r="AI2233" s="14"/>
      <c r="AJ2233" s="15"/>
      <c r="AK2233" s="16"/>
    </row>
    <row r="2234" spans="2:37" x14ac:dyDescent="0.2">
      <c r="B2234" s="7" t="s">
        <v>73</v>
      </c>
      <c r="C2234" s="8">
        <v>12881</v>
      </c>
      <c r="D2234" s="9" t="s">
        <v>782</v>
      </c>
      <c r="E2234" s="10" t="s">
        <v>783</v>
      </c>
      <c r="F2234" s="10" t="s">
        <v>784</v>
      </c>
      <c r="G2234" s="8">
        <v>1</v>
      </c>
      <c r="H2234" s="11">
        <v>600</v>
      </c>
      <c r="I2234" s="12">
        <v>42631</v>
      </c>
      <c r="J2234" s="13">
        <f t="shared" si="77"/>
        <v>0</v>
      </c>
      <c r="K2234" s="14"/>
      <c r="L2234" s="14"/>
      <c r="M2234" s="14"/>
      <c r="N2234" s="14"/>
      <c r="O2234" s="14"/>
      <c r="P2234" s="14"/>
      <c r="Q2234" s="14"/>
      <c r="R2234" s="14"/>
      <c r="S2234" s="14"/>
      <c r="T2234" s="14">
        <v>200</v>
      </c>
      <c r="U2234" s="14">
        <v>200</v>
      </c>
      <c r="V2234" s="14">
        <v>200</v>
      </c>
      <c r="W2234" s="15">
        <f t="shared" si="78"/>
        <v>600</v>
      </c>
      <c r="X2234" s="14"/>
      <c r="Y2234" s="14"/>
      <c r="Z2234" s="14"/>
      <c r="AA2234" s="14"/>
      <c r="AB2234" s="14"/>
      <c r="AC2234" s="14"/>
      <c r="AD2234" s="14"/>
      <c r="AE2234" s="14"/>
      <c r="AF2234" s="14"/>
      <c r="AG2234" s="14"/>
      <c r="AH2234" s="14"/>
      <c r="AI2234" s="14"/>
      <c r="AJ2234" s="15"/>
      <c r="AK2234" s="16"/>
    </row>
    <row r="2235" spans="2:37" x14ac:dyDescent="0.2">
      <c r="B2235" s="7" t="s">
        <v>69</v>
      </c>
      <c r="C2235" s="8">
        <v>12882</v>
      </c>
      <c r="D2235" s="9" t="s">
        <v>1198</v>
      </c>
      <c r="E2235" s="10" t="s">
        <v>1199</v>
      </c>
      <c r="F2235" s="10" t="s">
        <v>892</v>
      </c>
      <c r="G2235" s="8">
        <v>1</v>
      </c>
      <c r="H2235" s="11">
        <v>2000</v>
      </c>
      <c r="I2235" s="12">
        <v>42631</v>
      </c>
      <c r="J2235" s="13">
        <f t="shared" si="77"/>
        <v>0</v>
      </c>
      <c r="K2235" s="14"/>
      <c r="L2235" s="14"/>
      <c r="M2235" s="14"/>
      <c r="N2235" s="14"/>
      <c r="O2235" s="14">
        <v>400</v>
      </c>
      <c r="P2235" s="14">
        <v>400</v>
      </c>
      <c r="Q2235" s="14">
        <v>400</v>
      </c>
      <c r="R2235" s="14">
        <v>400</v>
      </c>
      <c r="S2235" s="14">
        <v>400</v>
      </c>
      <c r="T2235" s="14"/>
      <c r="U2235" s="14"/>
      <c r="V2235" s="14"/>
      <c r="W2235" s="15">
        <f t="shared" si="78"/>
        <v>2000</v>
      </c>
      <c r="X2235" s="14"/>
      <c r="Y2235" s="14"/>
      <c r="Z2235" s="14"/>
      <c r="AA2235" s="14"/>
      <c r="AB2235" s="14"/>
      <c r="AC2235" s="14"/>
      <c r="AD2235" s="14"/>
      <c r="AE2235" s="14"/>
      <c r="AF2235" s="14"/>
      <c r="AG2235" s="14"/>
      <c r="AH2235" s="14"/>
      <c r="AI2235" s="14"/>
      <c r="AJ2235" s="15"/>
      <c r="AK2235" s="16"/>
    </row>
    <row r="2236" spans="2:37" x14ac:dyDescent="0.2">
      <c r="B2236" s="7" t="s">
        <v>47</v>
      </c>
      <c r="C2236" s="8">
        <v>12883</v>
      </c>
      <c r="D2236" s="9" t="s">
        <v>425</v>
      </c>
      <c r="E2236" s="10" t="s">
        <v>426</v>
      </c>
      <c r="F2236" s="10" t="s">
        <v>427</v>
      </c>
      <c r="G2236" s="8">
        <v>1</v>
      </c>
      <c r="H2236" s="11">
        <v>400</v>
      </c>
      <c r="I2236" s="12">
        <v>42631</v>
      </c>
      <c r="J2236" s="13">
        <f t="shared" si="77"/>
        <v>0</v>
      </c>
      <c r="K2236" s="14"/>
      <c r="L2236" s="14"/>
      <c r="M2236" s="14"/>
      <c r="N2236" s="14"/>
      <c r="O2236" s="14"/>
      <c r="P2236" s="14"/>
      <c r="Q2236" s="14"/>
      <c r="R2236" s="14"/>
      <c r="S2236" s="14">
        <v>400</v>
      </c>
      <c r="T2236" s="14"/>
      <c r="U2236" s="14"/>
      <c r="V2236" s="14"/>
      <c r="W2236" s="15">
        <f t="shared" si="78"/>
        <v>400</v>
      </c>
      <c r="X2236" s="14"/>
      <c r="Y2236" s="14"/>
      <c r="Z2236" s="14"/>
      <c r="AA2236" s="14"/>
      <c r="AB2236" s="14"/>
      <c r="AC2236" s="14"/>
      <c r="AD2236" s="14"/>
      <c r="AE2236" s="14"/>
      <c r="AF2236" s="14"/>
      <c r="AG2236" s="14"/>
      <c r="AH2236" s="14"/>
      <c r="AI2236" s="14"/>
      <c r="AJ2236" s="15"/>
      <c r="AK2236" s="16"/>
    </row>
    <row r="2237" spans="2:37" x14ac:dyDescent="0.2">
      <c r="B2237" s="7" t="s">
        <v>391</v>
      </c>
      <c r="C2237" s="8">
        <v>12884</v>
      </c>
      <c r="D2237" s="9" t="s">
        <v>879</v>
      </c>
      <c r="E2237" s="10" t="s">
        <v>880</v>
      </c>
      <c r="F2237" s="10" t="s">
        <v>881</v>
      </c>
      <c r="G2237" s="8">
        <v>1</v>
      </c>
      <c r="H2237" s="11">
        <v>600</v>
      </c>
      <c r="I2237" s="12">
        <v>42631</v>
      </c>
      <c r="J2237" s="13">
        <f t="shared" si="77"/>
        <v>0</v>
      </c>
      <c r="K2237" s="14"/>
      <c r="L2237" s="14"/>
      <c r="M2237" s="14"/>
      <c r="N2237" s="14"/>
      <c r="O2237" s="14"/>
      <c r="P2237" s="14">
        <v>200</v>
      </c>
      <c r="Q2237" s="14"/>
      <c r="R2237" s="14">
        <v>200</v>
      </c>
      <c r="S2237" s="14">
        <v>200</v>
      </c>
      <c r="T2237" s="14"/>
      <c r="U2237" s="14"/>
      <c r="V2237" s="14"/>
      <c r="W2237" s="15">
        <f t="shared" si="78"/>
        <v>600</v>
      </c>
      <c r="X2237" s="14"/>
      <c r="Y2237" s="14"/>
      <c r="Z2237" s="14"/>
      <c r="AA2237" s="14"/>
      <c r="AB2237" s="14"/>
      <c r="AC2237" s="14"/>
      <c r="AD2237" s="14"/>
      <c r="AE2237" s="14"/>
      <c r="AF2237" s="14"/>
      <c r="AG2237" s="14"/>
      <c r="AH2237" s="14"/>
      <c r="AI2237" s="14"/>
      <c r="AJ2237" s="15"/>
      <c r="AK2237" s="16"/>
    </row>
    <row r="2238" spans="2:37" x14ac:dyDescent="0.2">
      <c r="B2238" s="7" t="s">
        <v>69</v>
      </c>
      <c r="C2238" s="8">
        <v>12885</v>
      </c>
      <c r="D2238" s="9" t="s">
        <v>1198</v>
      </c>
      <c r="E2238" s="10" t="s">
        <v>1199</v>
      </c>
      <c r="F2238" s="10" t="s">
        <v>892</v>
      </c>
      <c r="G2238" s="8">
        <v>5</v>
      </c>
      <c r="H2238" s="11">
        <v>100</v>
      </c>
      <c r="I2238" s="12">
        <v>42631</v>
      </c>
      <c r="J2238" s="13">
        <f t="shared" si="77"/>
        <v>0</v>
      </c>
      <c r="K2238" s="14"/>
      <c r="L2238" s="14"/>
      <c r="M2238" s="14"/>
      <c r="N2238" s="14"/>
      <c r="O2238" s="14"/>
      <c r="P2238" s="14"/>
      <c r="Q2238" s="14"/>
      <c r="R2238" s="14"/>
      <c r="S2238" s="14"/>
      <c r="T2238" s="14"/>
      <c r="U2238" s="14"/>
      <c r="V2238" s="14"/>
      <c r="W2238" s="15">
        <f t="shared" si="78"/>
        <v>0</v>
      </c>
      <c r="X2238" s="14"/>
      <c r="Y2238" s="14"/>
      <c r="Z2238" s="14"/>
      <c r="AA2238" s="14"/>
      <c r="AB2238" s="14"/>
      <c r="AC2238" s="14"/>
      <c r="AD2238" s="14"/>
      <c r="AE2238" s="14"/>
      <c r="AF2238" s="14"/>
      <c r="AG2238" s="14"/>
      <c r="AH2238" s="14"/>
      <c r="AI2238" s="14"/>
      <c r="AJ2238" s="15"/>
      <c r="AK2238" s="16"/>
    </row>
    <row r="2239" spans="2:37" x14ac:dyDescent="0.2">
      <c r="B2239" s="7" t="s">
        <v>391</v>
      </c>
      <c r="C2239" s="8">
        <v>12886</v>
      </c>
      <c r="D2239" s="9" t="s">
        <v>879</v>
      </c>
      <c r="E2239" s="10" t="s">
        <v>880</v>
      </c>
      <c r="F2239" s="10" t="s">
        <v>881</v>
      </c>
      <c r="G2239" s="8">
        <v>5</v>
      </c>
      <c r="H2239" s="11">
        <v>50</v>
      </c>
      <c r="I2239" s="12">
        <v>42631</v>
      </c>
      <c r="J2239" s="13">
        <f t="shared" si="77"/>
        <v>0</v>
      </c>
      <c r="K2239" s="14"/>
      <c r="L2239" s="14"/>
      <c r="M2239" s="14"/>
      <c r="N2239" s="14"/>
      <c r="O2239" s="14"/>
      <c r="P2239" s="14"/>
      <c r="Q2239" s="14"/>
      <c r="R2239" s="14"/>
      <c r="S2239" s="14"/>
      <c r="T2239" s="14"/>
      <c r="U2239" s="14"/>
      <c r="V2239" s="14"/>
      <c r="W2239" s="15">
        <f t="shared" si="78"/>
        <v>0</v>
      </c>
      <c r="X2239" s="14"/>
      <c r="Y2239" s="14"/>
      <c r="Z2239" s="14"/>
      <c r="AA2239" s="14"/>
      <c r="AB2239" s="14"/>
      <c r="AC2239" s="14"/>
      <c r="AD2239" s="14"/>
      <c r="AE2239" s="14"/>
      <c r="AF2239" s="14"/>
      <c r="AG2239" s="14"/>
      <c r="AH2239" s="14"/>
      <c r="AI2239" s="14"/>
      <c r="AJ2239" s="15"/>
      <c r="AK2239" s="16"/>
    </row>
    <row r="2240" spans="2:37" x14ac:dyDescent="0.2">
      <c r="B2240" s="7" t="s">
        <v>69</v>
      </c>
      <c r="C2240" s="8">
        <v>12887</v>
      </c>
      <c r="D2240" s="9" t="s">
        <v>855</v>
      </c>
      <c r="E2240" s="10" t="s">
        <v>856</v>
      </c>
      <c r="F2240" s="10" t="s">
        <v>857</v>
      </c>
      <c r="G2240" s="8">
        <v>1</v>
      </c>
      <c r="H2240" s="11">
        <v>800</v>
      </c>
      <c r="I2240" s="12">
        <v>42631</v>
      </c>
      <c r="J2240" s="13">
        <f t="shared" si="77"/>
        <v>0</v>
      </c>
      <c r="K2240" s="14"/>
      <c r="L2240" s="14"/>
      <c r="M2240" s="14"/>
      <c r="N2240" s="14"/>
      <c r="O2240" s="14"/>
      <c r="P2240" s="14"/>
      <c r="Q2240" s="14"/>
      <c r="R2240" s="14"/>
      <c r="S2240" s="14">
        <v>200</v>
      </c>
      <c r="T2240" s="14">
        <v>200</v>
      </c>
      <c r="U2240" s="14">
        <v>200</v>
      </c>
      <c r="V2240" s="14">
        <v>200</v>
      </c>
      <c r="W2240" s="15">
        <f t="shared" si="78"/>
        <v>800</v>
      </c>
      <c r="X2240" s="14"/>
      <c r="Y2240" s="14"/>
      <c r="Z2240" s="14"/>
      <c r="AA2240" s="14"/>
      <c r="AB2240" s="14"/>
      <c r="AC2240" s="14"/>
      <c r="AD2240" s="14"/>
      <c r="AE2240" s="14"/>
      <c r="AF2240" s="14"/>
      <c r="AG2240" s="14"/>
      <c r="AH2240" s="14"/>
      <c r="AI2240" s="14"/>
      <c r="AJ2240" s="15"/>
      <c r="AK2240" s="16"/>
    </row>
    <row r="2241" spans="2:37" x14ac:dyDescent="0.2">
      <c r="B2241" s="7" t="s">
        <v>37</v>
      </c>
      <c r="C2241" s="8">
        <v>12888</v>
      </c>
      <c r="D2241" s="9" t="s">
        <v>271</v>
      </c>
      <c r="E2241" s="10" t="s">
        <v>272</v>
      </c>
      <c r="F2241" s="10" t="s">
        <v>273</v>
      </c>
      <c r="G2241" s="8">
        <v>1</v>
      </c>
      <c r="H2241" s="11">
        <v>400</v>
      </c>
      <c r="I2241" s="12">
        <v>42631</v>
      </c>
      <c r="J2241" s="13">
        <f t="shared" si="77"/>
        <v>0</v>
      </c>
      <c r="K2241" s="14"/>
      <c r="L2241" s="14"/>
      <c r="M2241" s="14"/>
      <c r="N2241" s="14"/>
      <c r="O2241" s="14"/>
      <c r="P2241" s="14"/>
      <c r="Q2241" s="14"/>
      <c r="R2241" s="14"/>
      <c r="S2241" s="14">
        <v>400</v>
      </c>
      <c r="T2241" s="14"/>
      <c r="U2241" s="14"/>
      <c r="V2241" s="14"/>
      <c r="W2241" s="15">
        <f t="shared" si="78"/>
        <v>400</v>
      </c>
      <c r="X2241" s="14"/>
      <c r="Y2241" s="14"/>
      <c r="Z2241" s="14"/>
      <c r="AA2241" s="14"/>
      <c r="AB2241" s="14"/>
      <c r="AC2241" s="14"/>
      <c r="AD2241" s="14"/>
      <c r="AE2241" s="14"/>
      <c r="AF2241" s="14"/>
      <c r="AG2241" s="14"/>
      <c r="AH2241" s="14"/>
      <c r="AI2241" s="14"/>
      <c r="AJ2241" s="15"/>
      <c r="AK2241" s="16"/>
    </row>
    <row r="2242" spans="2:37" x14ac:dyDescent="0.2">
      <c r="B2242" s="7" t="s">
        <v>69</v>
      </c>
      <c r="C2242" s="8">
        <v>12889</v>
      </c>
      <c r="D2242" s="9" t="s">
        <v>1110</v>
      </c>
      <c r="E2242" s="10" t="s">
        <v>1111</v>
      </c>
      <c r="F2242" s="10" t="s">
        <v>657</v>
      </c>
      <c r="G2242" s="8">
        <v>1</v>
      </c>
      <c r="H2242" s="11">
        <v>400</v>
      </c>
      <c r="I2242" s="12">
        <v>42631</v>
      </c>
      <c r="J2242" s="13">
        <f t="shared" si="77"/>
        <v>0</v>
      </c>
      <c r="K2242" s="14"/>
      <c r="L2242" s="14"/>
      <c r="M2242" s="14"/>
      <c r="N2242" s="14"/>
      <c r="O2242" s="14"/>
      <c r="P2242" s="14"/>
      <c r="Q2242" s="14"/>
      <c r="R2242" s="14">
        <v>400</v>
      </c>
      <c r="S2242" s="14"/>
      <c r="T2242" s="14"/>
      <c r="U2242" s="14"/>
      <c r="V2242" s="14"/>
      <c r="W2242" s="15">
        <f t="shared" si="78"/>
        <v>400</v>
      </c>
      <c r="X2242" s="14"/>
      <c r="Y2242" s="14"/>
      <c r="Z2242" s="14"/>
      <c r="AA2242" s="14"/>
      <c r="AB2242" s="14"/>
      <c r="AC2242" s="14"/>
      <c r="AD2242" s="14"/>
      <c r="AE2242" s="14"/>
      <c r="AF2242" s="14"/>
      <c r="AG2242" s="14"/>
      <c r="AH2242" s="14"/>
      <c r="AI2242" s="14"/>
      <c r="AJ2242" s="15"/>
      <c r="AK2242" s="16"/>
    </row>
    <row r="2243" spans="2:37" x14ac:dyDescent="0.2">
      <c r="B2243" s="7" t="s">
        <v>122</v>
      </c>
      <c r="C2243" s="8">
        <v>12890</v>
      </c>
      <c r="D2243" s="9" t="s">
        <v>256</v>
      </c>
      <c r="E2243" s="10" t="s">
        <v>257</v>
      </c>
      <c r="F2243" s="10" t="s">
        <v>258</v>
      </c>
      <c r="G2243" s="8">
        <v>1</v>
      </c>
      <c r="H2243" s="11">
        <v>300</v>
      </c>
      <c r="I2243" s="12">
        <v>42631</v>
      </c>
      <c r="J2243" s="13">
        <f t="shared" si="77"/>
        <v>0</v>
      </c>
      <c r="K2243" s="14"/>
      <c r="L2243" s="14"/>
      <c r="M2243" s="14"/>
      <c r="N2243" s="14"/>
      <c r="O2243" s="14"/>
      <c r="P2243" s="14"/>
      <c r="Q2243" s="14"/>
      <c r="R2243" s="14"/>
      <c r="S2243" s="14">
        <v>300</v>
      </c>
      <c r="T2243" s="14"/>
      <c r="U2243" s="14"/>
      <c r="V2243" s="14"/>
      <c r="W2243" s="15">
        <f t="shared" si="78"/>
        <v>300</v>
      </c>
      <c r="X2243" s="14"/>
      <c r="Y2243" s="14"/>
      <c r="Z2243" s="14"/>
      <c r="AA2243" s="14"/>
      <c r="AB2243" s="14"/>
      <c r="AC2243" s="14"/>
      <c r="AD2243" s="14"/>
      <c r="AE2243" s="14"/>
      <c r="AF2243" s="14"/>
      <c r="AG2243" s="14"/>
      <c r="AH2243" s="14"/>
      <c r="AI2243" s="14"/>
      <c r="AJ2243" s="15"/>
      <c r="AK2243" s="16"/>
    </row>
    <row r="2244" spans="2:37" x14ac:dyDescent="0.2">
      <c r="B2244" s="7" t="s">
        <v>73</v>
      </c>
      <c r="C2244" s="8">
        <v>12891</v>
      </c>
      <c r="D2244" s="9" t="s">
        <v>649</v>
      </c>
      <c r="E2244" s="10" t="s">
        <v>650</v>
      </c>
      <c r="F2244" s="10" t="s">
        <v>651</v>
      </c>
      <c r="G2244" s="8">
        <v>1</v>
      </c>
      <c r="H2244" s="11">
        <v>600</v>
      </c>
      <c r="I2244" s="12">
        <v>42631</v>
      </c>
      <c r="J2244" s="13">
        <f t="shared" si="77"/>
        <v>0</v>
      </c>
      <c r="K2244" s="14"/>
      <c r="L2244" s="14"/>
      <c r="M2244" s="14"/>
      <c r="N2244" s="14"/>
      <c r="O2244" s="14"/>
      <c r="P2244" s="14"/>
      <c r="Q2244" s="14"/>
      <c r="R2244" s="14"/>
      <c r="S2244" s="14">
        <v>300</v>
      </c>
      <c r="T2244" s="14">
        <v>300</v>
      </c>
      <c r="U2244" s="14"/>
      <c r="V2244" s="14"/>
      <c r="W2244" s="15">
        <f t="shared" si="78"/>
        <v>600</v>
      </c>
      <c r="X2244" s="14"/>
      <c r="Y2244" s="14"/>
      <c r="Z2244" s="14"/>
      <c r="AA2244" s="14"/>
      <c r="AB2244" s="14"/>
      <c r="AC2244" s="14"/>
      <c r="AD2244" s="14"/>
      <c r="AE2244" s="14"/>
      <c r="AF2244" s="14"/>
      <c r="AG2244" s="14"/>
      <c r="AH2244" s="14"/>
      <c r="AI2244" s="14"/>
      <c r="AJ2244" s="15"/>
      <c r="AK2244" s="16"/>
    </row>
    <row r="2245" spans="2:37" x14ac:dyDescent="0.2">
      <c r="B2245" s="7" t="s">
        <v>37</v>
      </c>
      <c r="C2245" s="8">
        <v>12892</v>
      </c>
      <c r="D2245" s="9" t="s">
        <v>520</v>
      </c>
      <c r="E2245" s="10" t="s">
        <v>521</v>
      </c>
      <c r="F2245" s="10" t="s">
        <v>522</v>
      </c>
      <c r="G2245" s="8">
        <v>1</v>
      </c>
      <c r="H2245" s="11">
        <v>800</v>
      </c>
      <c r="I2245" s="12">
        <v>42631</v>
      </c>
      <c r="J2245" s="13">
        <f t="shared" si="77"/>
        <v>0</v>
      </c>
      <c r="K2245" s="14"/>
      <c r="L2245" s="14"/>
      <c r="M2245" s="14"/>
      <c r="N2245" s="14"/>
      <c r="O2245" s="14"/>
      <c r="P2245" s="14"/>
      <c r="Q2245" s="14"/>
      <c r="R2245" s="14"/>
      <c r="S2245" s="14">
        <v>400</v>
      </c>
      <c r="T2245" s="14">
        <v>400</v>
      </c>
      <c r="U2245" s="14"/>
      <c r="V2245" s="14"/>
      <c r="W2245" s="15">
        <f t="shared" si="78"/>
        <v>800</v>
      </c>
      <c r="X2245" s="14"/>
      <c r="Y2245" s="14"/>
      <c r="Z2245" s="14"/>
      <c r="AA2245" s="14"/>
      <c r="AB2245" s="14"/>
      <c r="AC2245" s="14"/>
      <c r="AD2245" s="14"/>
      <c r="AE2245" s="14"/>
      <c r="AF2245" s="14"/>
      <c r="AG2245" s="14"/>
      <c r="AH2245" s="14"/>
      <c r="AI2245" s="14"/>
      <c r="AJ2245" s="15"/>
      <c r="AK2245" s="16"/>
    </row>
    <row r="2246" spans="2:37" x14ac:dyDescent="0.2">
      <c r="B2246" s="7" t="s">
        <v>69</v>
      </c>
      <c r="C2246" s="8">
        <v>12893</v>
      </c>
      <c r="D2246" s="9" t="s">
        <v>678</v>
      </c>
      <c r="E2246" s="10" t="s">
        <v>679</v>
      </c>
      <c r="F2246" s="10" t="s">
        <v>680</v>
      </c>
      <c r="G2246" s="8">
        <v>1</v>
      </c>
      <c r="H2246" s="11">
        <v>400</v>
      </c>
      <c r="I2246" s="12">
        <v>42631</v>
      </c>
      <c r="J2246" s="13">
        <f t="shared" si="77"/>
        <v>0</v>
      </c>
      <c r="K2246" s="14"/>
      <c r="L2246" s="14"/>
      <c r="M2246" s="14"/>
      <c r="N2246" s="14"/>
      <c r="O2246" s="14"/>
      <c r="P2246" s="14"/>
      <c r="Q2246" s="14"/>
      <c r="R2246" s="14"/>
      <c r="S2246" s="14">
        <v>400</v>
      </c>
      <c r="T2246" s="14"/>
      <c r="U2246" s="14"/>
      <c r="V2246" s="14"/>
      <c r="W2246" s="15">
        <f t="shared" si="78"/>
        <v>400</v>
      </c>
      <c r="X2246" s="14"/>
      <c r="Y2246" s="14"/>
      <c r="Z2246" s="14"/>
      <c r="AA2246" s="14"/>
      <c r="AB2246" s="14"/>
      <c r="AC2246" s="14"/>
      <c r="AD2246" s="14"/>
      <c r="AE2246" s="14"/>
      <c r="AF2246" s="14"/>
      <c r="AG2246" s="14"/>
      <c r="AH2246" s="14"/>
      <c r="AI2246" s="14"/>
      <c r="AJ2246" s="15"/>
      <c r="AK2246" s="16"/>
    </row>
    <row r="2247" spans="2:37" x14ac:dyDescent="0.2">
      <c r="B2247" s="7" t="s">
        <v>69</v>
      </c>
      <c r="C2247" s="8">
        <v>12894</v>
      </c>
      <c r="D2247" s="9" t="s">
        <v>334</v>
      </c>
      <c r="E2247" s="10" t="s">
        <v>335</v>
      </c>
      <c r="F2247" s="10" t="s">
        <v>336</v>
      </c>
      <c r="G2247" s="8">
        <v>1</v>
      </c>
      <c r="H2247" s="11">
        <v>1200</v>
      </c>
      <c r="I2247" s="12">
        <v>42631</v>
      </c>
      <c r="J2247" s="13">
        <f t="shared" si="77"/>
        <v>0</v>
      </c>
      <c r="K2247" s="14"/>
      <c r="L2247" s="14"/>
      <c r="M2247" s="14"/>
      <c r="N2247" s="14">
        <v>400</v>
      </c>
      <c r="O2247" s="14">
        <v>400</v>
      </c>
      <c r="P2247" s="14">
        <v>400</v>
      </c>
      <c r="Q2247" s="14"/>
      <c r="R2247" s="14"/>
      <c r="S2247" s="14"/>
      <c r="T2247" s="14"/>
      <c r="U2247" s="14"/>
      <c r="V2247" s="14"/>
      <c r="W2247" s="15">
        <f t="shared" si="78"/>
        <v>1200</v>
      </c>
      <c r="X2247" s="14"/>
      <c r="Y2247" s="14"/>
      <c r="Z2247" s="14"/>
      <c r="AA2247" s="14"/>
      <c r="AB2247" s="14"/>
      <c r="AC2247" s="14"/>
      <c r="AD2247" s="14"/>
      <c r="AE2247" s="14"/>
      <c r="AF2247" s="14"/>
      <c r="AG2247" s="14"/>
      <c r="AH2247" s="14"/>
      <c r="AI2247" s="14"/>
      <c r="AJ2247" s="15"/>
      <c r="AK2247" s="16"/>
    </row>
    <row r="2248" spans="2:37" x14ac:dyDescent="0.2">
      <c r="B2248" s="7" t="s">
        <v>69</v>
      </c>
      <c r="C2248" s="8">
        <v>12894</v>
      </c>
      <c r="D2248" s="9" t="s">
        <v>334</v>
      </c>
      <c r="E2248" s="10" t="s">
        <v>335</v>
      </c>
      <c r="F2248" s="10" t="s">
        <v>336</v>
      </c>
      <c r="G2248" s="8">
        <v>5</v>
      </c>
      <c r="H2248" s="11">
        <v>50</v>
      </c>
      <c r="I2248" s="12">
        <v>42631</v>
      </c>
      <c r="J2248" s="13">
        <f t="shared" si="77"/>
        <v>0</v>
      </c>
      <c r="K2248" s="14"/>
      <c r="L2248" s="14"/>
      <c r="M2248" s="14"/>
      <c r="N2248" s="14"/>
      <c r="O2248" s="14"/>
      <c r="P2248" s="14"/>
      <c r="Q2248" s="14"/>
      <c r="R2248" s="14"/>
      <c r="S2248" s="14"/>
      <c r="T2248" s="14"/>
      <c r="U2248" s="14"/>
      <c r="V2248" s="14"/>
      <c r="W2248" s="15">
        <f t="shared" si="78"/>
        <v>0</v>
      </c>
      <c r="X2248" s="14"/>
      <c r="Y2248" s="14"/>
      <c r="Z2248" s="14"/>
      <c r="AA2248" s="14"/>
      <c r="AB2248" s="14"/>
      <c r="AC2248" s="14"/>
      <c r="AD2248" s="14"/>
      <c r="AE2248" s="14"/>
      <c r="AF2248" s="14"/>
      <c r="AG2248" s="14"/>
      <c r="AH2248" s="14"/>
      <c r="AI2248" s="14"/>
      <c r="AJ2248" s="15"/>
      <c r="AK2248" s="16"/>
    </row>
    <row r="2249" spans="2:37" x14ac:dyDescent="0.2">
      <c r="B2249" s="7" t="s">
        <v>73</v>
      </c>
      <c r="C2249" s="8">
        <v>12895</v>
      </c>
      <c r="D2249" s="9" t="s">
        <v>398</v>
      </c>
      <c r="E2249" s="10" t="s">
        <v>399</v>
      </c>
      <c r="F2249" s="10" t="s">
        <v>400</v>
      </c>
      <c r="G2249" s="8">
        <v>1</v>
      </c>
      <c r="H2249" s="11">
        <v>400</v>
      </c>
      <c r="I2249" s="12">
        <v>42631</v>
      </c>
      <c r="J2249" s="13">
        <f t="shared" si="77"/>
        <v>0</v>
      </c>
      <c r="K2249" s="14"/>
      <c r="L2249" s="14"/>
      <c r="M2249" s="14"/>
      <c r="N2249" s="14"/>
      <c r="O2249" s="14"/>
      <c r="P2249" s="14"/>
      <c r="Q2249" s="14"/>
      <c r="R2249" s="14"/>
      <c r="S2249" s="14">
        <v>400</v>
      </c>
      <c r="T2249" s="14"/>
      <c r="U2249" s="14"/>
      <c r="V2249" s="14"/>
      <c r="W2249" s="15">
        <f t="shared" si="78"/>
        <v>400</v>
      </c>
      <c r="X2249" s="14"/>
      <c r="Y2249" s="14"/>
      <c r="Z2249" s="14"/>
      <c r="AA2249" s="14"/>
      <c r="AB2249" s="14"/>
      <c r="AC2249" s="14"/>
      <c r="AD2249" s="14"/>
      <c r="AE2249" s="14"/>
      <c r="AF2249" s="14"/>
      <c r="AG2249" s="14"/>
      <c r="AH2249" s="14"/>
      <c r="AI2249" s="14"/>
      <c r="AJ2249" s="15"/>
      <c r="AK2249" s="16"/>
    </row>
    <row r="2250" spans="2:37" x14ac:dyDescent="0.2">
      <c r="B2250" s="7" t="s">
        <v>122</v>
      </c>
      <c r="C2250" s="8">
        <v>12896</v>
      </c>
      <c r="D2250" s="9" t="s">
        <v>622</v>
      </c>
      <c r="E2250" s="10" t="s">
        <v>623</v>
      </c>
      <c r="F2250" s="10" t="s">
        <v>624</v>
      </c>
      <c r="G2250" s="8">
        <v>1</v>
      </c>
      <c r="H2250" s="11">
        <v>1200</v>
      </c>
      <c r="I2250" s="12">
        <v>42631</v>
      </c>
      <c r="J2250" s="13">
        <f t="shared" si="77"/>
        <v>0</v>
      </c>
      <c r="K2250" s="14"/>
      <c r="L2250" s="14"/>
      <c r="M2250" s="14"/>
      <c r="N2250" s="14"/>
      <c r="O2250" s="14"/>
      <c r="P2250" s="14"/>
      <c r="Q2250" s="14"/>
      <c r="R2250" s="14">
        <v>400</v>
      </c>
      <c r="S2250" s="14">
        <v>400</v>
      </c>
      <c r="T2250" s="14">
        <v>400</v>
      </c>
      <c r="U2250" s="14"/>
      <c r="V2250" s="14"/>
      <c r="W2250" s="15">
        <f t="shared" si="78"/>
        <v>1200</v>
      </c>
      <c r="X2250" s="14"/>
      <c r="Y2250" s="14"/>
      <c r="Z2250" s="14"/>
      <c r="AA2250" s="14"/>
      <c r="AB2250" s="14"/>
      <c r="AC2250" s="14"/>
      <c r="AD2250" s="14"/>
      <c r="AE2250" s="14"/>
      <c r="AF2250" s="14"/>
      <c r="AG2250" s="14"/>
      <c r="AH2250" s="14"/>
      <c r="AI2250" s="14"/>
      <c r="AJ2250" s="15"/>
      <c r="AK2250" s="16"/>
    </row>
    <row r="2251" spans="2:37" x14ac:dyDescent="0.2">
      <c r="B2251" s="7" t="s">
        <v>47</v>
      </c>
      <c r="C2251" s="8">
        <v>12897</v>
      </c>
      <c r="D2251" s="9" t="s">
        <v>705</v>
      </c>
      <c r="E2251" s="10" t="s">
        <v>706</v>
      </c>
      <c r="F2251" s="10" t="s">
        <v>707</v>
      </c>
      <c r="G2251" s="8">
        <v>1</v>
      </c>
      <c r="H2251" s="11">
        <v>600</v>
      </c>
      <c r="I2251" s="12">
        <v>42631</v>
      </c>
      <c r="J2251" s="13">
        <f t="shared" si="77"/>
        <v>0</v>
      </c>
      <c r="K2251" s="14"/>
      <c r="L2251" s="14"/>
      <c r="M2251" s="14"/>
      <c r="N2251" s="14"/>
      <c r="O2251" s="14"/>
      <c r="P2251" s="14"/>
      <c r="Q2251" s="14"/>
      <c r="R2251" s="14">
        <v>300</v>
      </c>
      <c r="S2251" s="14">
        <v>300</v>
      </c>
      <c r="T2251" s="14"/>
      <c r="U2251" s="14"/>
      <c r="V2251" s="14"/>
      <c r="W2251" s="15">
        <f t="shared" si="78"/>
        <v>600</v>
      </c>
      <c r="X2251" s="14"/>
      <c r="Y2251" s="14"/>
      <c r="Z2251" s="14"/>
      <c r="AA2251" s="14"/>
      <c r="AB2251" s="14"/>
      <c r="AC2251" s="14"/>
      <c r="AD2251" s="14"/>
      <c r="AE2251" s="14"/>
      <c r="AF2251" s="14"/>
      <c r="AG2251" s="14"/>
      <c r="AH2251" s="14"/>
      <c r="AI2251" s="14"/>
      <c r="AJ2251" s="15"/>
      <c r="AK2251" s="16"/>
    </row>
    <row r="2252" spans="2:37" x14ac:dyDescent="0.2">
      <c r="B2252" s="7" t="s">
        <v>69</v>
      </c>
      <c r="C2252" s="8">
        <v>12898</v>
      </c>
      <c r="D2252" s="9" t="s">
        <v>361</v>
      </c>
      <c r="E2252" s="10" t="s">
        <v>362</v>
      </c>
      <c r="F2252" s="10" t="s">
        <v>363</v>
      </c>
      <c r="G2252" s="8">
        <v>1</v>
      </c>
      <c r="H2252" s="11">
        <v>400</v>
      </c>
      <c r="I2252" s="12">
        <v>42631</v>
      </c>
      <c r="J2252" s="13">
        <f t="shared" si="77"/>
        <v>0</v>
      </c>
      <c r="K2252" s="14"/>
      <c r="L2252" s="14"/>
      <c r="M2252" s="14"/>
      <c r="N2252" s="14"/>
      <c r="O2252" s="14"/>
      <c r="P2252" s="14"/>
      <c r="Q2252" s="14"/>
      <c r="R2252" s="14"/>
      <c r="S2252" s="14">
        <v>400</v>
      </c>
      <c r="T2252" s="14"/>
      <c r="U2252" s="14"/>
      <c r="V2252" s="14"/>
      <c r="W2252" s="15">
        <f t="shared" si="78"/>
        <v>400</v>
      </c>
      <c r="X2252" s="14"/>
      <c r="Y2252" s="14"/>
      <c r="Z2252" s="14"/>
      <c r="AA2252" s="14"/>
      <c r="AB2252" s="14"/>
      <c r="AC2252" s="14"/>
      <c r="AD2252" s="14"/>
      <c r="AE2252" s="14"/>
      <c r="AF2252" s="14"/>
      <c r="AG2252" s="14"/>
      <c r="AH2252" s="14"/>
      <c r="AI2252" s="14"/>
      <c r="AJ2252" s="15"/>
      <c r="AK2252" s="16"/>
    </row>
    <row r="2253" spans="2:37" x14ac:dyDescent="0.2">
      <c r="B2253" s="7" t="s">
        <v>69</v>
      </c>
      <c r="C2253" s="8">
        <v>12899</v>
      </c>
      <c r="D2253" s="9" t="s">
        <v>361</v>
      </c>
      <c r="E2253" s="10" t="s">
        <v>362</v>
      </c>
      <c r="F2253" s="10" t="s">
        <v>363</v>
      </c>
      <c r="G2253" s="8">
        <v>3</v>
      </c>
      <c r="H2253" s="11">
        <v>200</v>
      </c>
      <c r="I2253" s="12">
        <v>42631</v>
      </c>
      <c r="J2253" s="13">
        <f t="shared" si="77"/>
        <v>0</v>
      </c>
      <c r="K2253" s="14"/>
      <c r="L2253" s="14"/>
      <c r="M2253" s="14"/>
      <c r="N2253" s="14"/>
      <c r="O2253" s="14"/>
      <c r="P2253" s="14"/>
      <c r="Q2253" s="14"/>
      <c r="R2253" s="14"/>
      <c r="S2253" s="14"/>
      <c r="T2253" s="14"/>
      <c r="U2253" s="14"/>
      <c r="V2253" s="14"/>
      <c r="W2253" s="15">
        <f t="shared" si="78"/>
        <v>0</v>
      </c>
      <c r="X2253" s="14"/>
      <c r="Y2253" s="14"/>
      <c r="Z2253" s="14"/>
      <c r="AA2253" s="14"/>
      <c r="AB2253" s="14"/>
      <c r="AC2253" s="14"/>
      <c r="AD2253" s="14"/>
      <c r="AE2253" s="14"/>
      <c r="AF2253" s="14"/>
      <c r="AG2253" s="14"/>
      <c r="AH2253" s="14"/>
      <c r="AI2253" s="14"/>
      <c r="AJ2253" s="15"/>
      <c r="AK2253" s="16"/>
    </row>
    <row r="2254" spans="2:37" x14ac:dyDescent="0.2">
      <c r="B2254" s="7" t="s">
        <v>73</v>
      </c>
      <c r="C2254" s="8">
        <v>12900</v>
      </c>
      <c r="D2254" s="9" t="s">
        <v>115</v>
      </c>
      <c r="E2254" s="10" t="s">
        <v>116</v>
      </c>
      <c r="F2254" s="10" t="s">
        <v>117</v>
      </c>
      <c r="G2254" s="8">
        <v>1</v>
      </c>
      <c r="H2254" s="11">
        <v>150</v>
      </c>
      <c r="I2254" s="12">
        <v>42631</v>
      </c>
      <c r="J2254" s="13">
        <f t="shared" si="77"/>
        <v>0</v>
      </c>
      <c r="K2254" s="14"/>
      <c r="L2254" s="14"/>
      <c r="M2254" s="14"/>
      <c r="N2254" s="14"/>
      <c r="O2254" s="14"/>
      <c r="P2254" s="14"/>
      <c r="Q2254" s="14"/>
      <c r="R2254" s="14"/>
      <c r="S2254" s="14">
        <v>150</v>
      </c>
      <c r="T2254" s="14"/>
      <c r="U2254" s="14"/>
      <c r="V2254" s="14"/>
      <c r="W2254" s="15">
        <f t="shared" si="78"/>
        <v>150</v>
      </c>
      <c r="X2254" s="14"/>
      <c r="Y2254" s="14"/>
      <c r="Z2254" s="14"/>
      <c r="AA2254" s="14"/>
      <c r="AB2254" s="14"/>
      <c r="AC2254" s="14"/>
      <c r="AD2254" s="14"/>
      <c r="AE2254" s="14"/>
      <c r="AF2254" s="14"/>
      <c r="AG2254" s="14"/>
      <c r="AH2254" s="14"/>
      <c r="AI2254" s="14"/>
      <c r="AJ2254" s="15"/>
      <c r="AK2254" s="16"/>
    </row>
    <row r="2255" spans="2:37" x14ac:dyDescent="0.2">
      <c r="B2255" s="7" t="s">
        <v>37</v>
      </c>
      <c r="C2255" s="8">
        <v>12901</v>
      </c>
      <c r="D2255" s="9" t="s">
        <v>840</v>
      </c>
      <c r="E2255" s="10" t="s">
        <v>841</v>
      </c>
      <c r="F2255" s="10" t="s">
        <v>842</v>
      </c>
      <c r="G2255" s="8">
        <v>1</v>
      </c>
      <c r="H2255" s="11">
        <v>800</v>
      </c>
      <c r="I2255" s="12">
        <v>42631</v>
      </c>
      <c r="J2255" s="13">
        <f t="shared" si="77"/>
        <v>0</v>
      </c>
      <c r="K2255" s="14"/>
      <c r="L2255" s="14"/>
      <c r="M2255" s="14"/>
      <c r="N2255" s="14"/>
      <c r="O2255" s="14"/>
      <c r="P2255" s="14"/>
      <c r="Q2255" s="14"/>
      <c r="R2255" s="14">
        <v>400</v>
      </c>
      <c r="S2255" s="14">
        <v>400</v>
      </c>
      <c r="T2255" s="14"/>
      <c r="U2255" s="14"/>
      <c r="V2255" s="14"/>
      <c r="W2255" s="15">
        <f t="shared" si="78"/>
        <v>800</v>
      </c>
      <c r="X2255" s="14"/>
      <c r="Y2255" s="14"/>
      <c r="Z2255" s="14"/>
      <c r="AA2255" s="14"/>
      <c r="AB2255" s="14"/>
      <c r="AC2255" s="14"/>
      <c r="AD2255" s="14"/>
      <c r="AE2255" s="14"/>
      <c r="AF2255" s="14"/>
      <c r="AG2255" s="14"/>
      <c r="AH2255" s="14"/>
      <c r="AI2255" s="14"/>
      <c r="AJ2255" s="15"/>
      <c r="AK2255" s="16"/>
    </row>
    <row r="2256" spans="2:37" x14ac:dyDescent="0.2">
      <c r="B2256" s="7" t="s">
        <v>122</v>
      </c>
      <c r="C2256" s="8">
        <v>12902</v>
      </c>
      <c r="D2256" s="9" t="s">
        <v>310</v>
      </c>
      <c r="E2256" s="10" t="s">
        <v>311</v>
      </c>
      <c r="F2256" s="10" t="s">
        <v>312</v>
      </c>
      <c r="G2256" s="8">
        <v>5</v>
      </c>
      <c r="H2256" s="11">
        <v>50</v>
      </c>
      <c r="I2256" s="12">
        <v>42631</v>
      </c>
      <c r="J2256" s="13">
        <f t="shared" si="77"/>
        <v>0</v>
      </c>
      <c r="K2256" s="14"/>
      <c r="L2256" s="14"/>
      <c r="M2256" s="14"/>
      <c r="N2256" s="14"/>
      <c r="O2256" s="14"/>
      <c r="P2256" s="14"/>
      <c r="Q2256" s="14"/>
      <c r="R2256" s="14"/>
      <c r="S2256" s="14"/>
      <c r="T2256" s="14"/>
      <c r="U2256" s="14"/>
      <c r="V2256" s="14"/>
      <c r="W2256" s="15">
        <f t="shared" si="78"/>
        <v>0</v>
      </c>
      <c r="X2256" s="14"/>
      <c r="Y2256" s="14"/>
      <c r="Z2256" s="14"/>
      <c r="AA2256" s="14"/>
      <c r="AB2256" s="14"/>
      <c r="AC2256" s="14"/>
      <c r="AD2256" s="14"/>
      <c r="AE2256" s="14"/>
      <c r="AF2256" s="14"/>
      <c r="AG2256" s="14"/>
      <c r="AH2256" s="14"/>
      <c r="AI2256" s="14"/>
      <c r="AJ2256" s="15"/>
      <c r="AK2256" s="16"/>
    </row>
    <row r="2257" spans="2:37" x14ac:dyDescent="0.2">
      <c r="B2257" s="7" t="s">
        <v>37</v>
      </c>
      <c r="C2257" s="8">
        <v>12903</v>
      </c>
      <c r="D2257" s="9" t="s">
        <v>431</v>
      </c>
      <c r="E2257" s="10" t="s">
        <v>432</v>
      </c>
      <c r="F2257" s="10" t="s">
        <v>433</v>
      </c>
      <c r="G2257" s="8">
        <v>1</v>
      </c>
      <c r="H2257" s="11">
        <v>400</v>
      </c>
      <c r="I2257" s="12">
        <v>42631</v>
      </c>
      <c r="J2257" s="13">
        <f t="shared" si="77"/>
        <v>0</v>
      </c>
      <c r="K2257" s="14"/>
      <c r="L2257" s="14"/>
      <c r="M2257" s="14"/>
      <c r="N2257" s="14"/>
      <c r="O2257" s="14"/>
      <c r="P2257" s="14"/>
      <c r="Q2257" s="14"/>
      <c r="R2257" s="14">
        <v>400</v>
      </c>
      <c r="S2257" s="14"/>
      <c r="T2257" s="14"/>
      <c r="U2257" s="14"/>
      <c r="V2257" s="14"/>
      <c r="W2257" s="15">
        <f t="shared" si="78"/>
        <v>400</v>
      </c>
      <c r="X2257" s="14"/>
      <c r="Y2257" s="14"/>
      <c r="Z2257" s="14"/>
      <c r="AA2257" s="14"/>
      <c r="AB2257" s="14"/>
      <c r="AC2257" s="14"/>
      <c r="AD2257" s="14"/>
      <c r="AE2257" s="14"/>
      <c r="AF2257" s="14"/>
      <c r="AG2257" s="14"/>
      <c r="AH2257" s="14"/>
      <c r="AI2257" s="14"/>
      <c r="AJ2257" s="15"/>
      <c r="AK2257" s="16"/>
    </row>
    <row r="2258" spans="2:37" x14ac:dyDescent="0.2">
      <c r="B2258" s="7" t="s">
        <v>37</v>
      </c>
      <c r="C2258" s="8">
        <v>12904</v>
      </c>
      <c r="D2258" s="9" t="s">
        <v>119</v>
      </c>
      <c r="E2258" s="10" t="s">
        <v>120</v>
      </c>
      <c r="F2258" s="10" t="s">
        <v>121</v>
      </c>
      <c r="G2258" s="8">
        <v>1</v>
      </c>
      <c r="H2258" s="11">
        <v>400</v>
      </c>
      <c r="I2258" s="12">
        <v>42631</v>
      </c>
      <c r="J2258" s="13">
        <f t="shared" si="77"/>
        <v>0</v>
      </c>
      <c r="K2258" s="14"/>
      <c r="L2258" s="14"/>
      <c r="M2258" s="14"/>
      <c r="N2258" s="14"/>
      <c r="O2258" s="14"/>
      <c r="P2258" s="14"/>
      <c r="Q2258" s="14"/>
      <c r="R2258" s="14">
        <v>400</v>
      </c>
      <c r="S2258" s="14"/>
      <c r="T2258" s="14"/>
      <c r="U2258" s="14"/>
      <c r="V2258" s="14"/>
      <c r="W2258" s="15">
        <f t="shared" si="78"/>
        <v>400</v>
      </c>
      <c r="X2258" s="14"/>
      <c r="Y2258" s="14"/>
      <c r="Z2258" s="14"/>
      <c r="AA2258" s="14"/>
      <c r="AB2258" s="14"/>
      <c r="AC2258" s="14"/>
      <c r="AD2258" s="14"/>
      <c r="AE2258" s="14"/>
      <c r="AF2258" s="14"/>
      <c r="AG2258" s="14"/>
      <c r="AH2258" s="14"/>
      <c r="AI2258" s="14"/>
      <c r="AJ2258" s="15"/>
      <c r="AK2258" s="16"/>
    </row>
    <row r="2259" spans="2:37" x14ac:dyDescent="0.2">
      <c r="B2259" s="7" t="s">
        <v>391</v>
      </c>
      <c r="C2259" s="8">
        <v>12905</v>
      </c>
      <c r="D2259" s="9" t="s">
        <v>876</v>
      </c>
      <c r="E2259" s="10" t="s">
        <v>877</v>
      </c>
      <c r="F2259" s="10" t="s">
        <v>878</v>
      </c>
      <c r="G2259" s="8">
        <v>5</v>
      </c>
      <c r="H2259" s="11">
        <v>50</v>
      </c>
      <c r="I2259" s="12">
        <v>42631</v>
      </c>
      <c r="J2259" s="13">
        <f t="shared" si="77"/>
        <v>0</v>
      </c>
      <c r="K2259" s="14"/>
      <c r="L2259" s="14"/>
      <c r="M2259" s="14"/>
      <c r="N2259" s="14"/>
      <c r="O2259" s="14"/>
      <c r="P2259" s="14"/>
      <c r="Q2259" s="14"/>
      <c r="R2259" s="14"/>
      <c r="S2259" s="14"/>
      <c r="T2259" s="14"/>
      <c r="U2259" s="14"/>
      <c r="V2259" s="14"/>
      <c r="W2259" s="15">
        <f t="shared" si="78"/>
        <v>0</v>
      </c>
      <c r="X2259" s="14"/>
      <c r="Y2259" s="14"/>
      <c r="Z2259" s="14"/>
      <c r="AA2259" s="14"/>
      <c r="AB2259" s="14"/>
      <c r="AC2259" s="14"/>
      <c r="AD2259" s="14"/>
      <c r="AE2259" s="14"/>
      <c r="AF2259" s="14"/>
      <c r="AG2259" s="14"/>
      <c r="AH2259" s="14"/>
      <c r="AI2259" s="14"/>
      <c r="AJ2259" s="15"/>
      <c r="AK2259" s="16"/>
    </row>
    <row r="2260" spans="2:37" x14ac:dyDescent="0.2">
      <c r="B2260" s="7" t="s">
        <v>37</v>
      </c>
      <c r="C2260" s="8">
        <v>12906</v>
      </c>
      <c r="D2260" s="9" t="s">
        <v>177</v>
      </c>
      <c r="E2260" s="10" t="s">
        <v>178</v>
      </c>
      <c r="F2260" s="10" t="s">
        <v>179</v>
      </c>
      <c r="G2260" s="8">
        <v>1</v>
      </c>
      <c r="H2260" s="11">
        <v>400</v>
      </c>
      <c r="I2260" s="12">
        <v>42631</v>
      </c>
      <c r="J2260" s="13">
        <f t="shared" si="77"/>
        <v>0</v>
      </c>
      <c r="K2260" s="14"/>
      <c r="L2260" s="14"/>
      <c r="M2260" s="14"/>
      <c r="N2260" s="14"/>
      <c r="O2260" s="14"/>
      <c r="P2260" s="14"/>
      <c r="Q2260" s="14"/>
      <c r="R2260" s="14"/>
      <c r="S2260" s="14">
        <v>400</v>
      </c>
      <c r="T2260" s="14"/>
      <c r="U2260" s="14"/>
      <c r="V2260" s="14"/>
      <c r="W2260" s="15">
        <f t="shared" si="78"/>
        <v>400</v>
      </c>
      <c r="X2260" s="14"/>
      <c r="Y2260" s="14"/>
      <c r="Z2260" s="14"/>
      <c r="AA2260" s="14"/>
      <c r="AB2260" s="14"/>
      <c r="AC2260" s="14"/>
      <c r="AD2260" s="14"/>
      <c r="AE2260" s="14"/>
      <c r="AF2260" s="14"/>
      <c r="AG2260" s="14"/>
      <c r="AH2260" s="14"/>
      <c r="AI2260" s="14"/>
      <c r="AJ2260" s="15"/>
      <c r="AK2260" s="16"/>
    </row>
    <row r="2261" spans="2:37" x14ac:dyDescent="0.2">
      <c r="B2261" s="7" t="s">
        <v>37</v>
      </c>
      <c r="C2261" s="8">
        <v>12907</v>
      </c>
      <c r="D2261" s="9" t="s">
        <v>1020</v>
      </c>
      <c r="E2261" s="10" t="s">
        <v>1021</v>
      </c>
      <c r="F2261" s="10" t="s">
        <v>1022</v>
      </c>
      <c r="G2261" s="8">
        <v>1</v>
      </c>
      <c r="H2261" s="11">
        <v>400</v>
      </c>
      <c r="I2261" s="12">
        <v>42631</v>
      </c>
      <c r="J2261" s="13">
        <f t="shared" si="77"/>
        <v>0</v>
      </c>
      <c r="K2261" s="14"/>
      <c r="L2261" s="14"/>
      <c r="M2261" s="14"/>
      <c r="N2261" s="14"/>
      <c r="O2261" s="14"/>
      <c r="P2261" s="14"/>
      <c r="Q2261" s="14"/>
      <c r="R2261" s="14"/>
      <c r="S2261" s="14">
        <v>400</v>
      </c>
      <c r="T2261" s="14"/>
      <c r="U2261" s="14"/>
      <c r="V2261" s="14"/>
      <c r="W2261" s="15">
        <f t="shared" si="78"/>
        <v>400</v>
      </c>
      <c r="X2261" s="14"/>
      <c r="Y2261" s="14"/>
      <c r="Z2261" s="14"/>
      <c r="AA2261" s="14"/>
      <c r="AB2261" s="14"/>
      <c r="AC2261" s="14"/>
      <c r="AD2261" s="14"/>
      <c r="AE2261" s="14"/>
      <c r="AF2261" s="14"/>
      <c r="AG2261" s="14"/>
      <c r="AH2261" s="14"/>
      <c r="AI2261" s="14"/>
      <c r="AJ2261" s="15"/>
      <c r="AK2261" s="16"/>
    </row>
    <row r="2262" spans="2:37" x14ac:dyDescent="0.2">
      <c r="B2262" s="7" t="s">
        <v>47</v>
      </c>
      <c r="C2262" s="8">
        <v>12908</v>
      </c>
      <c r="D2262" s="9" t="s">
        <v>968</v>
      </c>
      <c r="E2262" s="10" t="s">
        <v>969</v>
      </c>
      <c r="F2262" s="10" t="s">
        <v>970</v>
      </c>
      <c r="G2262" s="8">
        <v>1</v>
      </c>
      <c r="H2262" s="11">
        <v>1200</v>
      </c>
      <c r="I2262" s="12">
        <v>42631</v>
      </c>
      <c r="J2262" s="13">
        <f t="shared" si="77"/>
        <v>0</v>
      </c>
      <c r="K2262" s="14"/>
      <c r="L2262" s="14"/>
      <c r="M2262" s="14"/>
      <c r="N2262" s="14"/>
      <c r="O2262" s="14"/>
      <c r="P2262" s="14"/>
      <c r="Q2262" s="14">
        <v>400</v>
      </c>
      <c r="R2262" s="14">
        <v>400</v>
      </c>
      <c r="S2262" s="14">
        <v>400</v>
      </c>
      <c r="T2262" s="14"/>
      <c r="U2262" s="14"/>
      <c r="V2262" s="14"/>
      <c r="W2262" s="15">
        <f t="shared" si="78"/>
        <v>1200</v>
      </c>
      <c r="X2262" s="14"/>
      <c r="Y2262" s="14"/>
      <c r="Z2262" s="14"/>
      <c r="AA2262" s="14"/>
      <c r="AB2262" s="14"/>
      <c r="AC2262" s="14"/>
      <c r="AD2262" s="14"/>
      <c r="AE2262" s="14"/>
      <c r="AF2262" s="14"/>
      <c r="AG2262" s="14"/>
      <c r="AH2262" s="14"/>
      <c r="AI2262" s="14"/>
      <c r="AJ2262" s="15"/>
      <c r="AK2262" s="16"/>
    </row>
    <row r="2263" spans="2:37" x14ac:dyDescent="0.2">
      <c r="B2263" s="7" t="s">
        <v>73</v>
      </c>
      <c r="C2263" s="8">
        <v>12909</v>
      </c>
      <c r="D2263" s="9" t="s">
        <v>1017</v>
      </c>
      <c r="E2263" s="10" t="s">
        <v>1018</v>
      </c>
      <c r="F2263" s="10" t="s">
        <v>1019</v>
      </c>
      <c r="G2263" s="8">
        <v>1</v>
      </c>
      <c r="H2263" s="11">
        <v>200</v>
      </c>
      <c r="I2263" s="12">
        <v>42631</v>
      </c>
      <c r="J2263" s="13">
        <f t="shared" si="77"/>
        <v>0</v>
      </c>
      <c r="K2263" s="14"/>
      <c r="L2263" s="14"/>
      <c r="M2263" s="14"/>
      <c r="N2263" s="14"/>
      <c r="O2263" s="14"/>
      <c r="P2263" s="14"/>
      <c r="Q2263" s="14"/>
      <c r="R2263" s="14"/>
      <c r="S2263" s="14">
        <v>200</v>
      </c>
      <c r="T2263" s="14"/>
      <c r="U2263" s="14"/>
      <c r="V2263" s="14"/>
      <c r="W2263" s="15">
        <f t="shared" si="78"/>
        <v>200</v>
      </c>
      <c r="X2263" s="14"/>
      <c r="Y2263" s="14"/>
      <c r="Z2263" s="14"/>
      <c r="AA2263" s="14"/>
      <c r="AB2263" s="14"/>
      <c r="AC2263" s="14"/>
      <c r="AD2263" s="14"/>
      <c r="AE2263" s="14"/>
      <c r="AF2263" s="14"/>
      <c r="AG2263" s="14"/>
      <c r="AH2263" s="14"/>
      <c r="AI2263" s="14"/>
      <c r="AJ2263" s="15"/>
      <c r="AK2263" s="16"/>
    </row>
    <row r="2264" spans="2:37" x14ac:dyDescent="0.2">
      <c r="B2264" s="7" t="s">
        <v>73</v>
      </c>
      <c r="C2264" s="8">
        <v>12910</v>
      </c>
      <c r="D2264" s="9" t="s">
        <v>485</v>
      </c>
      <c r="E2264" s="10" t="s">
        <v>486</v>
      </c>
      <c r="F2264" s="10" t="s">
        <v>487</v>
      </c>
      <c r="G2264" s="8">
        <v>1</v>
      </c>
      <c r="H2264" s="11">
        <v>400</v>
      </c>
      <c r="I2264" s="12">
        <v>42631</v>
      </c>
      <c r="J2264" s="13">
        <f t="shared" si="77"/>
        <v>0</v>
      </c>
      <c r="K2264" s="14"/>
      <c r="L2264" s="14"/>
      <c r="M2264" s="14"/>
      <c r="N2264" s="14"/>
      <c r="O2264" s="14"/>
      <c r="P2264" s="14"/>
      <c r="Q2264" s="14"/>
      <c r="R2264" s="14">
        <v>400</v>
      </c>
      <c r="S2264" s="14"/>
      <c r="T2264" s="14"/>
      <c r="U2264" s="14"/>
      <c r="V2264" s="14"/>
      <c r="W2264" s="15">
        <f t="shared" si="78"/>
        <v>400</v>
      </c>
      <c r="X2264" s="14"/>
      <c r="Y2264" s="14"/>
      <c r="Z2264" s="14"/>
      <c r="AA2264" s="14"/>
      <c r="AB2264" s="14"/>
      <c r="AC2264" s="14"/>
      <c r="AD2264" s="14"/>
      <c r="AE2264" s="14"/>
      <c r="AF2264" s="14"/>
      <c r="AG2264" s="14"/>
      <c r="AH2264" s="14"/>
      <c r="AI2264" s="14"/>
      <c r="AJ2264" s="15"/>
      <c r="AK2264" s="16"/>
    </row>
    <row r="2265" spans="2:37" x14ac:dyDescent="0.2">
      <c r="B2265" s="7" t="s">
        <v>47</v>
      </c>
      <c r="C2265" s="8">
        <v>12911</v>
      </c>
      <c r="D2265" s="9" t="s">
        <v>699</v>
      </c>
      <c r="E2265" s="10" t="s">
        <v>700</v>
      </c>
      <c r="F2265" s="10" t="s">
        <v>701</v>
      </c>
      <c r="G2265" s="8">
        <v>1</v>
      </c>
      <c r="H2265" s="11">
        <v>1200</v>
      </c>
      <c r="I2265" s="12">
        <v>42631</v>
      </c>
      <c r="J2265" s="13">
        <f t="shared" si="77"/>
        <v>0</v>
      </c>
      <c r="K2265" s="14"/>
      <c r="L2265" s="14"/>
      <c r="M2265" s="14"/>
      <c r="N2265" s="14"/>
      <c r="O2265" s="14"/>
      <c r="P2265" s="14"/>
      <c r="Q2265" s="14">
        <v>400</v>
      </c>
      <c r="R2265" s="14">
        <v>400</v>
      </c>
      <c r="S2265" s="14">
        <v>400</v>
      </c>
      <c r="T2265" s="14"/>
      <c r="U2265" s="14"/>
      <c r="V2265" s="14"/>
      <c r="W2265" s="15">
        <f t="shared" si="78"/>
        <v>1200</v>
      </c>
      <c r="X2265" s="14"/>
      <c r="Y2265" s="14"/>
      <c r="Z2265" s="14"/>
      <c r="AA2265" s="14"/>
      <c r="AB2265" s="14"/>
      <c r="AC2265" s="14"/>
      <c r="AD2265" s="14"/>
      <c r="AE2265" s="14"/>
      <c r="AF2265" s="14"/>
      <c r="AG2265" s="14"/>
      <c r="AH2265" s="14"/>
      <c r="AI2265" s="14"/>
      <c r="AJ2265" s="15"/>
      <c r="AK2265" s="16"/>
    </row>
    <row r="2266" spans="2:37" x14ac:dyDescent="0.2">
      <c r="B2266" s="7" t="s">
        <v>47</v>
      </c>
      <c r="C2266" s="8">
        <v>12912</v>
      </c>
      <c r="D2266" s="9" t="s">
        <v>699</v>
      </c>
      <c r="E2266" s="10" t="s">
        <v>700</v>
      </c>
      <c r="F2266" s="10" t="s">
        <v>701</v>
      </c>
      <c r="G2266" s="8">
        <v>5</v>
      </c>
      <c r="H2266" s="11">
        <v>50</v>
      </c>
      <c r="I2266" s="12">
        <v>42631</v>
      </c>
      <c r="J2266" s="13">
        <f t="shared" si="77"/>
        <v>0</v>
      </c>
      <c r="K2266" s="14"/>
      <c r="L2266" s="14"/>
      <c r="M2266" s="14"/>
      <c r="N2266" s="14"/>
      <c r="O2266" s="14"/>
      <c r="P2266" s="14"/>
      <c r="Q2266" s="14"/>
      <c r="R2266" s="14"/>
      <c r="S2266" s="14"/>
      <c r="T2266" s="14"/>
      <c r="U2266" s="14"/>
      <c r="V2266" s="14"/>
      <c r="W2266" s="15">
        <f t="shared" si="78"/>
        <v>0</v>
      </c>
      <c r="X2266" s="14"/>
      <c r="Y2266" s="14"/>
      <c r="Z2266" s="14"/>
      <c r="AA2266" s="14"/>
      <c r="AB2266" s="14"/>
      <c r="AC2266" s="14"/>
      <c r="AD2266" s="14"/>
      <c r="AE2266" s="14"/>
      <c r="AF2266" s="14"/>
      <c r="AG2266" s="14"/>
      <c r="AH2266" s="14"/>
      <c r="AI2266" s="14"/>
      <c r="AJ2266" s="15"/>
      <c r="AK2266" s="16"/>
    </row>
    <row r="2267" spans="2:37" x14ac:dyDescent="0.2">
      <c r="B2267" s="7" t="s">
        <v>47</v>
      </c>
      <c r="C2267" s="8">
        <v>12913</v>
      </c>
      <c r="D2267" s="9" t="s">
        <v>404</v>
      </c>
      <c r="E2267" s="10" t="s">
        <v>405</v>
      </c>
      <c r="F2267" s="10" t="s">
        <v>406</v>
      </c>
      <c r="G2267" s="8">
        <v>1</v>
      </c>
      <c r="H2267" s="11">
        <v>400</v>
      </c>
      <c r="I2267" s="12">
        <v>42631</v>
      </c>
      <c r="J2267" s="13">
        <f t="shared" si="77"/>
        <v>0</v>
      </c>
      <c r="K2267" s="14"/>
      <c r="L2267" s="14"/>
      <c r="M2267" s="14"/>
      <c r="N2267" s="14"/>
      <c r="O2267" s="14"/>
      <c r="P2267" s="14"/>
      <c r="Q2267" s="14"/>
      <c r="R2267" s="14"/>
      <c r="S2267" s="14">
        <v>400</v>
      </c>
      <c r="T2267" s="14"/>
      <c r="U2267" s="14"/>
      <c r="V2267" s="14"/>
      <c r="W2267" s="15">
        <f t="shared" si="78"/>
        <v>400</v>
      </c>
      <c r="X2267" s="14"/>
      <c r="Y2267" s="14"/>
      <c r="Z2267" s="14"/>
      <c r="AA2267" s="14"/>
      <c r="AB2267" s="14"/>
      <c r="AC2267" s="14"/>
      <c r="AD2267" s="14"/>
      <c r="AE2267" s="14"/>
      <c r="AF2267" s="14"/>
      <c r="AG2267" s="14"/>
      <c r="AH2267" s="14"/>
      <c r="AI2267" s="14"/>
      <c r="AJ2267" s="15"/>
      <c r="AK2267" s="16"/>
    </row>
    <row r="2268" spans="2:37" x14ac:dyDescent="0.2">
      <c r="B2268" s="7" t="s">
        <v>73</v>
      </c>
      <c r="C2268" s="8">
        <v>12914</v>
      </c>
      <c r="D2268" s="9" t="s">
        <v>1200</v>
      </c>
      <c r="E2268" s="10" t="s">
        <v>1201</v>
      </c>
      <c r="F2268" s="10" t="s">
        <v>1202</v>
      </c>
      <c r="G2268" s="8">
        <v>1</v>
      </c>
      <c r="H2268" s="11">
        <v>500</v>
      </c>
      <c r="I2268" s="12">
        <v>42631</v>
      </c>
      <c r="J2268" s="13">
        <f t="shared" si="77"/>
        <v>0</v>
      </c>
      <c r="K2268" s="14">
        <v>250</v>
      </c>
      <c r="L2268" s="14">
        <v>250</v>
      </c>
      <c r="M2268" s="14"/>
      <c r="N2268" s="14"/>
      <c r="O2268" s="14"/>
      <c r="P2268" s="14"/>
      <c r="Q2268" s="14"/>
      <c r="R2268" s="14"/>
      <c r="S2268" s="14"/>
      <c r="T2268" s="14"/>
      <c r="U2268" s="14"/>
      <c r="V2268" s="14"/>
      <c r="W2268" s="15">
        <f t="shared" si="78"/>
        <v>500</v>
      </c>
      <c r="X2268" s="14"/>
      <c r="Y2268" s="14"/>
      <c r="Z2268" s="14"/>
      <c r="AA2268" s="14"/>
      <c r="AB2268" s="14"/>
      <c r="AC2268" s="14"/>
      <c r="AD2268" s="14"/>
      <c r="AE2268" s="14"/>
      <c r="AF2268" s="14"/>
      <c r="AG2268" s="14"/>
      <c r="AH2268" s="14"/>
      <c r="AI2268" s="14"/>
      <c r="AJ2268" s="15"/>
      <c r="AK2268" s="16"/>
    </row>
    <row r="2269" spans="2:37" x14ac:dyDescent="0.2">
      <c r="B2269" s="7" t="s">
        <v>77</v>
      </c>
      <c r="C2269" s="8">
        <v>12915</v>
      </c>
      <c r="D2269" s="9" t="s">
        <v>455</v>
      </c>
      <c r="E2269" s="10" t="s">
        <v>456</v>
      </c>
      <c r="F2269" s="10" t="s">
        <v>457</v>
      </c>
      <c r="G2269" s="8">
        <v>1</v>
      </c>
      <c r="H2269" s="11">
        <v>800</v>
      </c>
      <c r="I2269" s="12">
        <v>42631</v>
      </c>
      <c r="J2269" s="13">
        <f t="shared" si="77"/>
        <v>0</v>
      </c>
      <c r="K2269" s="14"/>
      <c r="L2269" s="14"/>
      <c r="M2269" s="14"/>
      <c r="N2269" s="14"/>
      <c r="O2269" s="14"/>
      <c r="P2269" s="14"/>
      <c r="Q2269" s="14"/>
      <c r="R2269" s="14">
        <v>400</v>
      </c>
      <c r="S2269" s="14">
        <v>400</v>
      </c>
      <c r="T2269" s="14"/>
      <c r="U2269" s="14"/>
      <c r="V2269" s="14"/>
      <c r="W2269" s="15">
        <f t="shared" si="78"/>
        <v>800</v>
      </c>
      <c r="X2269" s="14"/>
      <c r="Y2269" s="14"/>
      <c r="Z2269" s="14"/>
      <c r="AA2269" s="14"/>
      <c r="AB2269" s="14"/>
      <c r="AC2269" s="14"/>
      <c r="AD2269" s="14"/>
      <c r="AE2269" s="14"/>
      <c r="AF2269" s="14"/>
      <c r="AG2269" s="14"/>
      <c r="AH2269" s="14"/>
      <c r="AI2269" s="14"/>
      <c r="AJ2269" s="15"/>
      <c r="AK2269" s="16"/>
    </row>
    <row r="2270" spans="2:37" x14ac:dyDescent="0.2">
      <c r="B2270" s="7" t="s">
        <v>77</v>
      </c>
      <c r="C2270" s="8">
        <v>12915</v>
      </c>
      <c r="D2270" s="9" t="s">
        <v>455</v>
      </c>
      <c r="E2270" s="10" t="s">
        <v>456</v>
      </c>
      <c r="F2270" s="10" t="s">
        <v>457</v>
      </c>
      <c r="G2270" s="8">
        <v>5</v>
      </c>
      <c r="H2270" s="11">
        <v>50</v>
      </c>
      <c r="I2270" s="12">
        <v>42631</v>
      </c>
      <c r="J2270" s="13">
        <f t="shared" si="77"/>
        <v>0</v>
      </c>
      <c r="K2270" s="14"/>
      <c r="L2270" s="14"/>
      <c r="M2270" s="14"/>
      <c r="N2270" s="14"/>
      <c r="O2270" s="14"/>
      <c r="P2270" s="14"/>
      <c r="Q2270" s="14"/>
      <c r="R2270" s="14"/>
      <c r="S2270" s="14"/>
      <c r="T2270" s="14"/>
      <c r="U2270" s="14"/>
      <c r="V2270" s="14"/>
      <c r="W2270" s="15">
        <f t="shared" si="78"/>
        <v>0</v>
      </c>
      <c r="X2270" s="14"/>
      <c r="Y2270" s="14"/>
      <c r="Z2270" s="14"/>
      <c r="AA2270" s="14"/>
      <c r="AB2270" s="14"/>
      <c r="AC2270" s="14"/>
      <c r="AD2270" s="14"/>
      <c r="AE2270" s="14"/>
      <c r="AF2270" s="14"/>
      <c r="AG2270" s="14"/>
      <c r="AH2270" s="14"/>
      <c r="AI2270" s="14"/>
      <c r="AJ2270" s="15"/>
      <c r="AK2270" s="16"/>
    </row>
    <row r="2271" spans="2:37" x14ac:dyDescent="0.2">
      <c r="B2271" s="7" t="s">
        <v>73</v>
      </c>
      <c r="C2271" s="8">
        <v>12916</v>
      </c>
      <c r="D2271" s="9" t="s">
        <v>1200</v>
      </c>
      <c r="E2271" s="10" t="s">
        <v>1201</v>
      </c>
      <c r="F2271" s="10" t="s">
        <v>1202</v>
      </c>
      <c r="G2271" s="8">
        <v>5</v>
      </c>
      <c r="H2271" s="11">
        <v>50</v>
      </c>
      <c r="I2271" s="12">
        <v>42631</v>
      </c>
      <c r="J2271" s="13">
        <f t="shared" si="77"/>
        <v>0</v>
      </c>
      <c r="K2271" s="14"/>
      <c r="L2271" s="14"/>
      <c r="M2271" s="14"/>
      <c r="N2271" s="14"/>
      <c r="O2271" s="14"/>
      <c r="P2271" s="14"/>
      <c r="Q2271" s="14"/>
      <c r="R2271" s="14"/>
      <c r="S2271" s="14"/>
      <c r="T2271" s="14"/>
      <c r="U2271" s="14"/>
      <c r="V2271" s="14"/>
      <c r="W2271" s="15">
        <f t="shared" si="78"/>
        <v>0</v>
      </c>
      <c r="X2271" s="14"/>
      <c r="Y2271" s="14"/>
      <c r="Z2271" s="14"/>
      <c r="AA2271" s="14"/>
      <c r="AB2271" s="14"/>
      <c r="AC2271" s="14"/>
      <c r="AD2271" s="14"/>
      <c r="AE2271" s="14"/>
      <c r="AF2271" s="14"/>
      <c r="AG2271" s="14"/>
      <c r="AH2271" s="14"/>
      <c r="AI2271" s="14"/>
      <c r="AJ2271" s="15"/>
      <c r="AK2271" s="16"/>
    </row>
    <row r="2272" spans="2:37" x14ac:dyDescent="0.2">
      <c r="B2272" s="7" t="s">
        <v>69</v>
      </c>
      <c r="C2272" s="8">
        <v>12917</v>
      </c>
      <c r="D2272" s="9" t="s">
        <v>1122</v>
      </c>
      <c r="E2272" s="10" t="s">
        <v>1123</v>
      </c>
      <c r="F2272" s="10" t="s">
        <v>1124</v>
      </c>
      <c r="G2272" s="8">
        <v>1</v>
      </c>
      <c r="H2272" s="11">
        <v>100</v>
      </c>
      <c r="I2272" s="12">
        <v>42631</v>
      </c>
      <c r="J2272" s="13">
        <f t="shared" si="77"/>
        <v>0</v>
      </c>
      <c r="K2272" s="14"/>
      <c r="L2272" s="14"/>
      <c r="M2272" s="14"/>
      <c r="N2272" s="14"/>
      <c r="O2272" s="14"/>
      <c r="P2272" s="14"/>
      <c r="Q2272" s="14"/>
      <c r="R2272" s="14"/>
      <c r="S2272" s="14">
        <v>100</v>
      </c>
      <c r="T2272" s="14"/>
      <c r="U2272" s="14"/>
      <c r="V2272" s="14"/>
      <c r="W2272" s="15">
        <f t="shared" si="78"/>
        <v>100</v>
      </c>
      <c r="X2272" s="14"/>
      <c r="Y2272" s="14"/>
      <c r="Z2272" s="14"/>
      <c r="AA2272" s="14"/>
      <c r="AB2272" s="14"/>
      <c r="AC2272" s="14"/>
      <c r="AD2272" s="14"/>
      <c r="AE2272" s="14"/>
      <c r="AF2272" s="14"/>
      <c r="AG2272" s="14"/>
      <c r="AH2272" s="14"/>
      <c r="AI2272" s="14"/>
      <c r="AJ2272" s="15"/>
      <c r="AK2272" s="16"/>
    </row>
    <row r="2273" spans="2:37" x14ac:dyDescent="0.2">
      <c r="B2273" s="7" t="s">
        <v>69</v>
      </c>
      <c r="C2273" s="8">
        <v>12918</v>
      </c>
      <c r="D2273" s="9" t="s">
        <v>428</v>
      </c>
      <c r="E2273" s="10" t="s">
        <v>429</v>
      </c>
      <c r="F2273" s="10" t="s">
        <v>430</v>
      </c>
      <c r="G2273" s="8">
        <v>5</v>
      </c>
      <c r="H2273" s="11">
        <v>150</v>
      </c>
      <c r="I2273" s="12">
        <v>42631</v>
      </c>
      <c r="J2273" s="13">
        <f t="shared" si="77"/>
        <v>0</v>
      </c>
      <c r="K2273" s="14"/>
      <c r="L2273" s="14"/>
      <c r="M2273" s="14"/>
      <c r="N2273" s="14"/>
      <c r="O2273" s="14"/>
      <c r="P2273" s="14"/>
      <c r="Q2273" s="14"/>
      <c r="R2273" s="14"/>
      <c r="S2273" s="14"/>
      <c r="T2273" s="14"/>
      <c r="U2273" s="14"/>
      <c r="V2273" s="14"/>
      <c r="W2273" s="15">
        <f t="shared" si="78"/>
        <v>0</v>
      </c>
      <c r="X2273" s="14"/>
      <c r="Y2273" s="14"/>
      <c r="Z2273" s="14"/>
      <c r="AA2273" s="14"/>
      <c r="AB2273" s="14"/>
      <c r="AC2273" s="14"/>
      <c r="AD2273" s="14"/>
      <c r="AE2273" s="14"/>
      <c r="AF2273" s="14"/>
      <c r="AG2273" s="14"/>
      <c r="AH2273" s="14"/>
      <c r="AI2273" s="14"/>
      <c r="AJ2273" s="15"/>
      <c r="AK2273" s="16"/>
    </row>
    <row r="2274" spans="2:37" x14ac:dyDescent="0.2">
      <c r="B2274" s="7" t="s">
        <v>93</v>
      </c>
      <c r="C2274" s="8">
        <v>12919</v>
      </c>
      <c r="D2274" s="9"/>
      <c r="E2274" s="10" t="s">
        <v>93</v>
      </c>
      <c r="F2274" s="10" t="s">
        <v>93</v>
      </c>
      <c r="G2274" s="8">
        <v>8</v>
      </c>
      <c r="H2274" s="11"/>
      <c r="I2274" s="12"/>
      <c r="J2274" s="13">
        <f t="shared" si="77"/>
        <v>0</v>
      </c>
      <c r="K2274" s="14"/>
      <c r="L2274" s="14"/>
      <c r="M2274" s="14"/>
      <c r="N2274" s="14"/>
      <c r="O2274" s="14"/>
      <c r="P2274" s="14"/>
      <c r="Q2274" s="14"/>
      <c r="R2274" s="14"/>
      <c r="S2274" s="14"/>
      <c r="T2274" s="14"/>
      <c r="U2274" s="14"/>
      <c r="V2274" s="14"/>
      <c r="W2274" s="15">
        <f t="shared" si="78"/>
        <v>0</v>
      </c>
      <c r="X2274" s="14"/>
      <c r="Y2274" s="14"/>
      <c r="Z2274" s="14"/>
      <c r="AA2274" s="14"/>
      <c r="AB2274" s="14"/>
      <c r="AC2274" s="14"/>
      <c r="AD2274" s="14"/>
      <c r="AE2274" s="14"/>
      <c r="AF2274" s="14"/>
      <c r="AG2274" s="14"/>
      <c r="AH2274" s="14"/>
      <c r="AI2274" s="14"/>
      <c r="AJ2274" s="15"/>
      <c r="AK2274" s="16"/>
    </row>
    <row r="2275" spans="2:37" x14ac:dyDescent="0.2">
      <c r="B2275" s="7" t="s">
        <v>93</v>
      </c>
      <c r="C2275" s="8">
        <v>12920</v>
      </c>
      <c r="D2275" s="9"/>
      <c r="E2275" s="10" t="s">
        <v>93</v>
      </c>
      <c r="F2275" s="10" t="s">
        <v>93</v>
      </c>
      <c r="G2275" s="8">
        <v>8</v>
      </c>
      <c r="H2275" s="11"/>
      <c r="I2275" s="12"/>
      <c r="J2275" s="13">
        <f t="shared" ref="J2275:J2338" si="79">IF(G2275=1,SUM(W2275,-H2275),0)</f>
        <v>0</v>
      </c>
      <c r="K2275" s="14"/>
      <c r="L2275" s="14"/>
      <c r="M2275" s="14"/>
      <c r="N2275" s="14"/>
      <c r="O2275" s="14"/>
      <c r="P2275" s="14"/>
      <c r="Q2275" s="14"/>
      <c r="R2275" s="14"/>
      <c r="S2275" s="14"/>
      <c r="T2275" s="14"/>
      <c r="U2275" s="14"/>
      <c r="V2275" s="14"/>
      <c r="W2275" s="15">
        <f t="shared" ref="W2275:W2338" si="80">SUM(K2275:V2275)</f>
        <v>0</v>
      </c>
      <c r="X2275" s="14"/>
      <c r="Y2275" s="14"/>
      <c r="Z2275" s="14"/>
      <c r="AA2275" s="14"/>
      <c r="AB2275" s="14"/>
      <c r="AC2275" s="14"/>
      <c r="AD2275" s="14"/>
      <c r="AE2275" s="14"/>
      <c r="AF2275" s="14"/>
      <c r="AG2275" s="14"/>
      <c r="AH2275" s="14"/>
      <c r="AI2275" s="14"/>
      <c r="AJ2275" s="15"/>
      <c r="AK2275" s="16"/>
    </row>
    <row r="2276" spans="2:37" x14ac:dyDescent="0.2">
      <c r="B2276" s="7" t="s">
        <v>77</v>
      </c>
      <c r="C2276" s="8">
        <v>12921</v>
      </c>
      <c r="D2276" s="9" t="s">
        <v>286</v>
      </c>
      <c r="E2276" s="10" t="s">
        <v>287</v>
      </c>
      <c r="F2276" s="10" t="s">
        <v>288</v>
      </c>
      <c r="G2276" s="8">
        <v>1</v>
      </c>
      <c r="H2276" s="11">
        <v>400</v>
      </c>
      <c r="I2276" s="12">
        <v>42631</v>
      </c>
      <c r="J2276" s="13">
        <f t="shared" si="79"/>
        <v>0</v>
      </c>
      <c r="K2276" s="14"/>
      <c r="L2276" s="14"/>
      <c r="M2276" s="14"/>
      <c r="N2276" s="14"/>
      <c r="O2276" s="14"/>
      <c r="P2276" s="14"/>
      <c r="Q2276" s="14"/>
      <c r="R2276" s="14"/>
      <c r="S2276" s="14">
        <v>400</v>
      </c>
      <c r="T2276" s="14"/>
      <c r="U2276" s="14"/>
      <c r="V2276" s="14"/>
      <c r="W2276" s="15">
        <f t="shared" si="80"/>
        <v>400</v>
      </c>
      <c r="X2276" s="14"/>
      <c r="Y2276" s="14"/>
      <c r="Z2276" s="14"/>
      <c r="AA2276" s="14"/>
      <c r="AB2276" s="14"/>
      <c r="AC2276" s="14"/>
      <c r="AD2276" s="14"/>
      <c r="AE2276" s="14"/>
      <c r="AF2276" s="14"/>
      <c r="AG2276" s="14"/>
      <c r="AH2276" s="14"/>
      <c r="AI2276" s="14"/>
      <c r="AJ2276" s="15"/>
      <c r="AK2276" s="16"/>
    </row>
    <row r="2277" spans="2:37" x14ac:dyDescent="0.2">
      <c r="B2277" s="7" t="s">
        <v>77</v>
      </c>
      <c r="C2277" s="8">
        <v>12922</v>
      </c>
      <c r="D2277" s="9" t="s">
        <v>286</v>
      </c>
      <c r="E2277" s="10" t="s">
        <v>287</v>
      </c>
      <c r="F2277" s="10" t="s">
        <v>288</v>
      </c>
      <c r="G2277" s="8">
        <v>5</v>
      </c>
      <c r="H2277" s="11">
        <v>100</v>
      </c>
      <c r="I2277" s="12">
        <v>42631</v>
      </c>
      <c r="J2277" s="13">
        <f t="shared" si="79"/>
        <v>0</v>
      </c>
      <c r="K2277" s="14"/>
      <c r="L2277" s="14"/>
      <c r="M2277" s="14"/>
      <c r="N2277" s="14"/>
      <c r="O2277" s="14"/>
      <c r="P2277" s="14"/>
      <c r="Q2277" s="14"/>
      <c r="R2277" s="14"/>
      <c r="S2277" s="14"/>
      <c r="T2277" s="14"/>
      <c r="U2277" s="14"/>
      <c r="V2277" s="14"/>
      <c r="W2277" s="15">
        <f t="shared" si="80"/>
        <v>0</v>
      </c>
      <c r="X2277" s="14"/>
      <c r="Y2277" s="14"/>
      <c r="Z2277" s="14"/>
      <c r="AA2277" s="14"/>
      <c r="AB2277" s="14"/>
      <c r="AC2277" s="14"/>
      <c r="AD2277" s="14"/>
      <c r="AE2277" s="14"/>
      <c r="AF2277" s="14"/>
      <c r="AG2277" s="14"/>
      <c r="AH2277" s="14"/>
      <c r="AI2277" s="14"/>
      <c r="AJ2277" s="15"/>
      <c r="AK2277" s="16"/>
    </row>
    <row r="2278" spans="2:37" x14ac:dyDescent="0.2">
      <c r="B2278" s="7" t="s">
        <v>77</v>
      </c>
      <c r="C2278" s="8">
        <v>12923</v>
      </c>
      <c r="D2278" s="9" t="s">
        <v>286</v>
      </c>
      <c r="E2278" s="10" t="s">
        <v>287</v>
      </c>
      <c r="F2278" s="10" t="s">
        <v>288</v>
      </c>
      <c r="G2278" s="8">
        <v>5</v>
      </c>
      <c r="H2278" s="11">
        <v>50</v>
      </c>
      <c r="I2278" s="12">
        <v>42632</v>
      </c>
      <c r="J2278" s="13">
        <f t="shared" si="79"/>
        <v>0</v>
      </c>
      <c r="K2278" s="14"/>
      <c r="L2278" s="14"/>
      <c r="M2278" s="14"/>
      <c r="N2278" s="14"/>
      <c r="O2278" s="14"/>
      <c r="P2278" s="14"/>
      <c r="Q2278" s="14"/>
      <c r="R2278" s="14"/>
      <c r="S2278" s="14"/>
      <c r="T2278" s="14"/>
      <c r="U2278" s="14"/>
      <c r="V2278" s="14"/>
      <c r="W2278" s="15">
        <f t="shared" si="80"/>
        <v>0</v>
      </c>
      <c r="X2278" s="14"/>
      <c r="Y2278" s="14"/>
      <c r="Z2278" s="14"/>
      <c r="AA2278" s="14"/>
      <c r="AB2278" s="14"/>
      <c r="AC2278" s="14"/>
      <c r="AD2278" s="14"/>
      <c r="AE2278" s="14"/>
      <c r="AF2278" s="14"/>
      <c r="AG2278" s="14"/>
      <c r="AH2278" s="14"/>
      <c r="AI2278" s="14"/>
      <c r="AJ2278" s="15"/>
      <c r="AK2278" s="16"/>
    </row>
    <row r="2279" spans="2:37" x14ac:dyDescent="0.2">
      <c r="B2279" s="7" t="s">
        <v>61</v>
      </c>
      <c r="C2279" s="8">
        <v>12924</v>
      </c>
      <c r="D2279" s="9" t="s">
        <v>340</v>
      </c>
      <c r="E2279" s="10" t="s">
        <v>341</v>
      </c>
      <c r="F2279" s="10" t="s">
        <v>342</v>
      </c>
      <c r="G2279" s="8">
        <v>1</v>
      </c>
      <c r="H2279" s="11">
        <v>2400</v>
      </c>
      <c r="I2279" s="12">
        <v>42632</v>
      </c>
      <c r="J2279" s="13">
        <f t="shared" si="79"/>
        <v>0</v>
      </c>
      <c r="K2279" s="14"/>
      <c r="L2279" s="14"/>
      <c r="M2279" s="14"/>
      <c r="N2279" s="14">
        <v>400</v>
      </c>
      <c r="O2279" s="14">
        <v>400</v>
      </c>
      <c r="P2279" s="14">
        <v>400</v>
      </c>
      <c r="Q2279" s="14">
        <v>400</v>
      </c>
      <c r="R2279" s="14">
        <v>400</v>
      </c>
      <c r="S2279" s="14">
        <v>400</v>
      </c>
      <c r="T2279" s="14"/>
      <c r="U2279" s="14"/>
      <c r="V2279" s="14"/>
      <c r="W2279" s="15">
        <f t="shared" si="80"/>
        <v>2400</v>
      </c>
      <c r="X2279" s="14"/>
      <c r="Y2279" s="14"/>
      <c r="Z2279" s="14"/>
      <c r="AA2279" s="14"/>
      <c r="AB2279" s="14"/>
      <c r="AC2279" s="14"/>
      <c r="AD2279" s="14"/>
      <c r="AE2279" s="14"/>
      <c r="AF2279" s="14"/>
      <c r="AG2279" s="14"/>
      <c r="AH2279" s="14"/>
      <c r="AI2279" s="14"/>
      <c r="AJ2279" s="15"/>
      <c r="AK2279" s="16"/>
    </row>
    <row r="2280" spans="2:37" x14ac:dyDescent="0.2">
      <c r="B2280" s="7" t="s">
        <v>69</v>
      </c>
      <c r="C2280" s="8">
        <v>12925</v>
      </c>
      <c r="D2280" s="9" t="s">
        <v>373</v>
      </c>
      <c r="E2280" s="10" t="s">
        <v>374</v>
      </c>
      <c r="F2280" s="10" t="s">
        <v>375</v>
      </c>
      <c r="G2280" s="8">
        <v>1</v>
      </c>
      <c r="H2280" s="11">
        <v>400</v>
      </c>
      <c r="I2280" s="12">
        <v>42633</v>
      </c>
      <c r="J2280" s="13">
        <f t="shared" si="79"/>
        <v>0</v>
      </c>
      <c r="K2280" s="14"/>
      <c r="L2280" s="14"/>
      <c r="M2280" s="14"/>
      <c r="N2280" s="14"/>
      <c r="O2280" s="14"/>
      <c r="P2280" s="14"/>
      <c r="Q2280" s="14"/>
      <c r="R2280" s="14"/>
      <c r="S2280" s="14">
        <v>400</v>
      </c>
      <c r="T2280" s="14"/>
      <c r="U2280" s="14"/>
      <c r="V2280" s="14"/>
      <c r="W2280" s="15">
        <f t="shared" si="80"/>
        <v>400</v>
      </c>
      <c r="X2280" s="14"/>
      <c r="Y2280" s="14"/>
      <c r="Z2280" s="14"/>
      <c r="AA2280" s="14"/>
      <c r="AB2280" s="14"/>
      <c r="AC2280" s="14"/>
      <c r="AD2280" s="14"/>
      <c r="AE2280" s="14"/>
      <c r="AF2280" s="14"/>
      <c r="AG2280" s="14"/>
      <c r="AH2280" s="14"/>
      <c r="AI2280" s="14"/>
      <c r="AJ2280" s="15"/>
      <c r="AK2280" s="16"/>
    </row>
    <row r="2281" spans="2:37" x14ac:dyDescent="0.2">
      <c r="B2281" s="7" t="s">
        <v>37</v>
      </c>
      <c r="C2281" s="8">
        <v>12926</v>
      </c>
      <c r="D2281" s="9" t="s">
        <v>488</v>
      </c>
      <c r="E2281" s="10" t="s">
        <v>489</v>
      </c>
      <c r="F2281" s="10" t="s">
        <v>490</v>
      </c>
      <c r="G2281" s="8">
        <v>1</v>
      </c>
      <c r="H2281" s="11">
        <v>400</v>
      </c>
      <c r="I2281" s="12">
        <v>42633</v>
      </c>
      <c r="J2281" s="13">
        <f t="shared" si="79"/>
        <v>0</v>
      </c>
      <c r="K2281" s="14"/>
      <c r="L2281" s="14"/>
      <c r="M2281" s="14"/>
      <c r="N2281" s="14"/>
      <c r="O2281" s="14"/>
      <c r="P2281" s="14"/>
      <c r="Q2281" s="14"/>
      <c r="R2281" s="14"/>
      <c r="S2281" s="14">
        <v>400</v>
      </c>
      <c r="T2281" s="14"/>
      <c r="U2281" s="14"/>
      <c r="V2281" s="14"/>
      <c r="W2281" s="15">
        <f t="shared" si="80"/>
        <v>400</v>
      </c>
      <c r="X2281" s="14"/>
      <c r="Y2281" s="14"/>
      <c r="Z2281" s="14"/>
      <c r="AA2281" s="14"/>
      <c r="AB2281" s="14"/>
      <c r="AC2281" s="14"/>
      <c r="AD2281" s="14"/>
      <c r="AE2281" s="14"/>
      <c r="AF2281" s="14"/>
      <c r="AG2281" s="14"/>
      <c r="AH2281" s="14"/>
      <c r="AI2281" s="14"/>
      <c r="AJ2281" s="15"/>
      <c r="AK2281" s="16"/>
    </row>
    <row r="2282" spans="2:37" x14ac:dyDescent="0.2">
      <c r="B2282" s="7" t="s">
        <v>37</v>
      </c>
      <c r="C2282" s="8">
        <v>12927</v>
      </c>
      <c r="D2282" s="9" t="s">
        <v>226</v>
      </c>
      <c r="E2282" s="10" t="s">
        <v>227</v>
      </c>
      <c r="F2282" s="10" t="s">
        <v>228</v>
      </c>
      <c r="G2282" s="8">
        <v>1</v>
      </c>
      <c r="H2282" s="11">
        <v>200</v>
      </c>
      <c r="I2282" s="12">
        <v>42633</v>
      </c>
      <c r="J2282" s="13">
        <f t="shared" si="79"/>
        <v>0</v>
      </c>
      <c r="K2282" s="14"/>
      <c r="L2282" s="14"/>
      <c r="M2282" s="14"/>
      <c r="N2282" s="14"/>
      <c r="O2282" s="14"/>
      <c r="P2282" s="14"/>
      <c r="Q2282" s="14"/>
      <c r="R2282" s="14"/>
      <c r="S2282" s="14">
        <v>200</v>
      </c>
      <c r="T2282" s="14"/>
      <c r="U2282" s="14"/>
      <c r="V2282" s="14"/>
      <c r="W2282" s="15">
        <f t="shared" si="80"/>
        <v>200</v>
      </c>
      <c r="X2282" s="14"/>
      <c r="Y2282" s="14"/>
      <c r="Z2282" s="14"/>
      <c r="AA2282" s="14"/>
      <c r="AB2282" s="14"/>
      <c r="AC2282" s="14"/>
      <c r="AD2282" s="14"/>
      <c r="AE2282" s="14"/>
      <c r="AF2282" s="14"/>
      <c r="AG2282" s="14"/>
      <c r="AH2282" s="14"/>
      <c r="AI2282" s="14"/>
      <c r="AJ2282" s="15"/>
      <c r="AK2282" s="16"/>
    </row>
    <row r="2283" spans="2:37" x14ac:dyDescent="0.2">
      <c r="B2283" s="7" t="s">
        <v>37</v>
      </c>
      <c r="C2283" s="8">
        <v>12928</v>
      </c>
      <c r="D2283" s="9" t="s">
        <v>443</v>
      </c>
      <c r="E2283" s="10" t="s">
        <v>444</v>
      </c>
      <c r="F2283" s="10" t="s">
        <v>445</v>
      </c>
      <c r="G2283" s="8">
        <v>3</v>
      </c>
      <c r="H2283" s="11">
        <v>200</v>
      </c>
      <c r="I2283" s="12">
        <v>42635</v>
      </c>
      <c r="J2283" s="13">
        <f t="shared" si="79"/>
        <v>0</v>
      </c>
      <c r="K2283" s="14"/>
      <c r="L2283" s="14"/>
      <c r="M2283" s="14"/>
      <c r="N2283" s="14"/>
      <c r="O2283" s="14"/>
      <c r="P2283" s="14"/>
      <c r="Q2283" s="14"/>
      <c r="R2283" s="14"/>
      <c r="S2283" s="14"/>
      <c r="T2283" s="14"/>
      <c r="U2283" s="14"/>
      <c r="V2283" s="14"/>
      <c r="W2283" s="15">
        <f t="shared" si="80"/>
        <v>0</v>
      </c>
      <c r="X2283" s="14"/>
      <c r="Y2283" s="14"/>
      <c r="Z2283" s="14"/>
      <c r="AA2283" s="14"/>
      <c r="AB2283" s="14"/>
      <c r="AC2283" s="14"/>
      <c r="AD2283" s="14"/>
      <c r="AE2283" s="14"/>
      <c r="AF2283" s="14"/>
      <c r="AG2283" s="14"/>
      <c r="AH2283" s="14"/>
      <c r="AI2283" s="14"/>
      <c r="AJ2283" s="15"/>
      <c r="AK2283" s="16"/>
    </row>
    <row r="2284" spans="2:37" x14ac:dyDescent="0.2">
      <c r="B2284" s="7" t="s">
        <v>37</v>
      </c>
      <c r="C2284" s="8">
        <v>12928</v>
      </c>
      <c r="D2284" s="9" t="s">
        <v>443</v>
      </c>
      <c r="E2284" s="10" t="s">
        <v>444</v>
      </c>
      <c r="F2284" s="10" t="s">
        <v>445</v>
      </c>
      <c r="G2284" s="8">
        <v>5</v>
      </c>
      <c r="H2284" s="11">
        <v>50</v>
      </c>
      <c r="I2284" s="12">
        <v>42635</v>
      </c>
      <c r="J2284" s="13">
        <f t="shared" si="79"/>
        <v>0</v>
      </c>
      <c r="K2284" s="14"/>
      <c r="L2284" s="14"/>
      <c r="M2284" s="14"/>
      <c r="N2284" s="14"/>
      <c r="O2284" s="14"/>
      <c r="P2284" s="14"/>
      <c r="Q2284" s="14"/>
      <c r="R2284" s="14"/>
      <c r="S2284" s="14"/>
      <c r="T2284" s="14"/>
      <c r="U2284" s="14"/>
      <c r="V2284" s="14"/>
      <c r="W2284" s="15">
        <f t="shared" si="80"/>
        <v>0</v>
      </c>
      <c r="X2284" s="14"/>
      <c r="Y2284" s="14"/>
      <c r="Z2284" s="14"/>
      <c r="AA2284" s="14"/>
      <c r="AB2284" s="14"/>
      <c r="AC2284" s="14"/>
      <c r="AD2284" s="14"/>
      <c r="AE2284" s="14"/>
      <c r="AF2284" s="14"/>
      <c r="AG2284" s="14"/>
      <c r="AH2284" s="14"/>
      <c r="AI2284" s="14"/>
      <c r="AJ2284" s="15"/>
      <c r="AK2284" s="16"/>
    </row>
    <row r="2285" spans="2:37" x14ac:dyDescent="0.2">
      <c r="B2285" s="7" t="s">
        <v>122</v>
      </c>
      <c r="C2285" s="8">
        <v>12929</v>
      </c>
      <c r="D2285" s="9" t="s">
        <v>220</v>
      </c>
      <c r="E2285" s="10" t="s">
        <v>221</v>
      </c>
      <c r="F2285" s="10" t="s">
        <v>222</v>
      </c>
      <c r="G2285" s="8">
        <v>1</v>
      </c>
      <c r="H2285" s="11">
        <v>300</v>
      </c>
      <c r="I2285" s="12">
        <v>42635</v>
      </c>
      <c r="J2285" s="13">
        <f t="shared" si="79"/>
        <v>0</v>
      </c>
      <c r="K2285" s="14"/>
      <c r="L2285" s="14"/>
      <c r="M2285" s="14"/>
      <c r="N2285" s="14"/>
      <c r="O2285" s="14"/>
      <c r="P2285" s="14"/>
      <c r="Q2285" s="14"/>
      <c r="R2285" s="14"/>
      <c r="S2285" s="14">
        <v>300</v>
      </c>
      <c r="T2285" s="14"/>
      <c r="U2285" s="14"/>
      <c r="V2285" s="14"/>
      <c r="W2285" s="15">
        <f t="shared" si="80"/>
        <v>300</v>
      </c>
      <c r="X2285" s="14"/>
      <c r="Y2285" s="14"/>
      <c r="Z2285" s="14"/>
      <c r="AA2285" s="14"/>
      <c r="AB2285" s="14"/>
      <c r="AC2285" s="14"/>
      <c r="AD2285" s="14"/>
      <c r="AE2285" s="14"/>
      <c r="AF2285" s="14"/>
      <c r="AG2285" s="14"/>
      <c r="AH2285" s="14"/>
      <c r="AI2285" s="14"/>
      <c r="AJ2285" s="15"/>
      <c r="AK2285" s="16"/>
    </row>
    <row r="2286" spans="2:37" x14ac:dyDescent="0.2">
      <c r="B2286" s="7" t="s">
        <v>122</v>
      </c>
      <c r="C2286" s="8">
        <v>12930</v>
      </c>
      <c r="D2286" s="9" t="s">
        <v>220</v>
      </c>
      <c r="E2286" s="10" t="s">
        <v>221</v>
      </c>
      <c r="F2286" s="10" t="s">
        <v>222</v>
      </c>
      <c r="G2286" s="8">
        <v>5</v>
      </c>
      <c r="H2286" s="11">
        <v>100</v>
      </c>
      <c r="I2286" s="12">
        <v>42635</v>
      </c>
      <c r="J2286" s="13">
        <f t="shared" si="79"/>
        <v>0</v>
      </c>
      <c r="K2286" s="14"/>
      <c r="L2286" s="14"/>
      <c r="M2286" s="14"/>
      <c r="N2286" s="14"/>
      <c r="O2286" s="14"/>
      <c r="P2286" s="14"/>
      <c r="Q2286" s="14"/>
      <c r="R2286" s="14"/>
      <c r="S2286" s="14"/>
      <c r="T2286" s="14"/>
      <c r="U2286" s="14"/>
      <c r="V2286" s="14"/>
      <c r="W2286" s="15">
        <f t="shared" si="80"/>
        <v>0</v>
      </c>
      <c r="X2286" s="14"/>
      <c r="Y2286" s="14"/>
      <c r="Z2286" s="14"/>
      <c r="AA2286" s="14"/>
      <c r="AB2286" s="14"/>
      <c r="AC2286" s="14"/>
      <c r="AD2286" s="14"/>
      <c r="AE2286" s="14"/>
      <c r="AF2286" s="14"/>
      <c r="AG2286" s="14"/>
      <c r="AH2286" s="14"/>
      <c r="AI2286" s="14"/>
      <c r="AJ2286" s="15"/>
      <c r="AK2286" s="16"/>
    </row>
    <row r="2287" spans="2:37" x14ac:dyDescent="0.2">
      <c r="B2287" s="7" t="s">
        <v>47</v>
      </c>
      <c r="C2287" s="8">
        <v>12931</v>
      </c>
      <c r="D2287" s="9" t="s">
        <v>807</v>
      </c>
      <c r="E2287" s="10" t="s">
        <v>808</v>
      </c>
      <c r="F2287" s="10" t="s">
        <v>809</v>
      </c>
      <c r="G2287" s="8">
        <v>1</v>
      </c>
      <c r="H2287" s="11">
        <v>400</v>
      </c>
      <c r="I2287" s="12">
        <v>42635</v>
      </c>
      <c r="J2287" s="13">
        <f t="shared" si="79"/>
        <v>0</v>
      </c>
      <c r="K2287" s="14"/>
      <c r="L2287" s="14"/>
      <c r="M2287" s="14"/>
      <c r="N2287" s="14"/>
      <c r="O2287" s="14"/>
      <c r="P2287" s="14"/>
      <c r="Q2287" s="14">
        <v>200</v>
      </c>
      <c r="R2287" s="14">
        <v>200</v>
      </c>
      <c r="S2287" s="14"/>
      <c r="T2287" s="14"/>
      <c r="U2287" s="14"/>
      <c r="V2287" s="14"/>
      <c r="W2287" s="15">
        <f t="shared" si="80"/>
        <v>400</v>
      </c>
      <c r="X2287" s="14"/>
      <c r="Y2287" s="14"/>
      <c r="Z2287" s="14"/>
      <c r="AA2287" s="14"/>
      <c r="AB2287" s="14"/>
      <c r="AC2287" s="14"/>
      <c r="AD2287" s="14"/>
      <c r="AE2287" s="14"/>
      <c r="AF2287" s="14"/>
      <c r="AG2287" s="14"/>
      <c r="AH2287" s="14"/>
      <c r="AI2287" s="14"/>
      <c r="AJ2287" s="15"/>
      <c r="AK2287" s="16"/>
    </row>
    <row r="2288" spans="2:37" x14ac:dyDescent="0.2">
      <c r="B2288" s="7" t="s">
        <v>37</v>
      </c>
      <c r="C2288" s="8">
        <v>12932</v>
      </c>
      <c r="D2288" s="9" t="s">
        <v>512</v>
      </c>
      <c r="E2288" s="10" t="s">
        <v>513</v>
      </c>
      <c r="F2288" s="10" t="s">
        <v>511</v>
      </c>
      <c r="G2288" s="8">
        <v>1</v>
      </c>
      <c r="H2288" s="11">
        <v>400</v>
      </c>
      <c r="I2288" s="12">
        <v>42638</v>
      </c>
      <c r="J2288" s="13">
        <f t="shared" si="79"/>
        <v>0</v>
      </c>
      <c r="K2288" s="14"/>
      <c r="L2288" s="14"/>
      <c r="M2288" s="14"/>
      <c r="N2288" s="14"/>
      <c r="O2288" s="14"/>
      <c r="P2288" s="14"/>
      <c r="Q2288" s="14"/>
      <c r="R2288" s="14"/>
      <c r="S2288" s="14">
        <v>400</v>
      </c>
      <c r="T2288" s="14"/>
      <c r="U2288" s="14"/>
      <c r="V2288" s="14"/>
      <c r="W2288" s="15">
        <f t="shared" si="80"/>
        <v>400</v>
      </c>
      <c r="X2288" s="14"/>
      <c r="Y2288" s="14"/>
      <c r="Z2288" s="14"/>
      <c r="AA2288" s="14"/>
      <c r="AB2288" s="14"/>
      <c r="AC2288" s="14"/>
      <c r="AD2288" s="14"/>
      <c r="AE2288" s="14"/>
      <c r="AF2288" s="14"/>
      <c r="AG2288" s="14"/>
      <c r="AH2288" s="14"/>
      <c r="AI2288" s="14"/>
      <c r="AJ2288" s="15"/>
      <c r="AK2288" s="16"/>
    </row>
    <row r="2289" spans="2:37" x14ac:dyDescent="0.2">
      <c r="B2289" s="7" t="s">
        <v>73</v>
      </c>
      <c r="C2289" s="8">
        <v>12933</v>
      </c>
      <c r="D2289" s="9" t="s">
        <v>1055</v>
      </c>
      <c r="E2289" s="10" t="s">
        <v>1056</v>
      </c>
      <c r="F2289" s="10" t="s">
        <v>1057</v>
      </c>
      <c r="G2289" s="8">
        <v>1</v>
      </c>
      <c r="H2289" s="11">
        <v>200</v>
      </c>
      <c r="I2289" s="12">
        <v>42638</v>
      </c>
      <c r="J2289" s="13">
        <f t="shared" si="79"/>
        <v>0</v>
      </c>
      <c r="K2289" s="14"/>
      <c r="L2289" s="14"/>
      <c r="M2289" s="14"/>
      <c r="N2289" s="14"/>
      <c r="O2289" s="14"/>
      <c r="P2289" s="14"/>
      <c r="Q2289" s="14"/>
      <c r="R2289" s="14"/>
      <c r="S2289" s="14">
        <v>200</v>
      </c>
      <c r="T2289" s="14"/>
      <c r="U2289" s="14"/>
      <c r="V2289" s="14"/>
      <c r="W2289" s="15">
        <f t="shared" si="80"/>
        <v>200</v>
      </c>
      <c r="X2289" s="14"/>
      <c r="Y2289" s="14"/>
      <c r="Z2289" s="14"/>
      <c r="AA2289" s="14"/>
      <c r="AB2289" s="14"/>
      <c r="AC2289" s="14"/>
      <c r="AD2289" s="14"/>
      <c r="AE2289" s="14"/>
      <c r="AF2289" s="14"/>
      <c r="AG2289" s="14"/>
      <c r="AH2289" s="14"/>
      <c r="AI2289" s="14"/>
      <c r="AJ2289" s="15"/>
      <c r="AK2289" s="16"/>
    </row>
    <row r="2290" spans="2:37" x14ac:dyDescent="0.2">
      <c r="B2290" s="7" t="s">
        <v>47</v>
      </c>
      <c r="C2290" s="8">
        <v>12934</v>
      </c>
      <c r="D2290" s="9" t="s">
        <v>746</v>
      </c>
      <c r="E2290" s="10" t="s">
        <v>747</v>
      </c>
      <c r="F2290" s="10" t="s">
        <v>748</v>
      </c>
      <c r="G2290" s="8">
        <v>1</v>
      </c>
      <c r="H2290" s="11">
        <v>900</v>
      </c>
      <c r="I2290" s="12">
        <v>42638</v>
      </c>
      <c r="J2290" s="13">
        <f t="shared" si="79"/>
        <v>0</v>
      </c>
      <c r="K2290" s="14"/>
      <c r="L2290" s="14"/>
      <c r="M2290" s="14"/>
      <c r="N2290" s="14"/>
      <c r="O2290" s="14"/>
      <c r="P2290" s="14"/>
      <c r="Q2290" s="14"/>
      <c r="R2290" s="14">
        <v>300</v>
      </c>
      <c r="S2290" s="14">
        <v>300</v>
      </c>
      <c r="T2290" s="14">
        <v>300</v>
      </c>
      <c r="U2290" s="14"/>
      <c r="V2290" s="14"/>
      <c r="W2290" s="15">
        <f t="shared" si="80"/>
        <v>900</v>
      </c>
      <c r="X2290" s="14"/>
      <c r="Y2290" s="14"/>
      <c r="Z2290" s="14"/>
      <c r="AA2290" s="14"/>
      <c r="AB2290" s="14"/>
      <c r="AC2290" s="14"/>
      <c r="AD2290" s="14"/>
      <c r="AE2290" s="14"/>
      <c r="AF2290" s="14"/>
      <c r="AG2290" s="14"/>
      <c r="AH2290" s="14"/>
      <c r="AI2290" s="14"/>
      <c r="AJ2290" s="15"/>
      <c r="AK2290" s="16"/>
    </row>
    <row r="2291" spans="2:37" x14ac:dyDescent="0.2">
      <c r="B2291" s="7" t="s">
        <v>77</v>
      </c>
      <c r="C2291" s="8">
        <v>12935</v>
      </c>
      <c r="D2291" s="9" t="s">
        <v>820</v>
      </c>
      <c r="E2291" s="10" t="s">
        <v>821</v>
      </c>
      <c r="F2291" s="10" t="s">
        <v>822</v>
      </c>
      <c r="G2291" s="8">
        <v>1</v>
      </c>
      <c r="H2291" s="11">
        <v>300</v>
      </c>
      <c r="I2291" s="12">
        <v>42638</v>
      </c>
      <c r="J2291" s="13">
        <f t="shared" si="79"/>
        <v>0</v>
      </c>
      <c r="K2291" s="14"/>
      <c r="L2291" s="14"/>
      <c r="M2291" s="14"/>
      <c r="N2291" s="14"/>
      <c r="O2291" s="14"/>
      <c r="P2291" s="14"/>
      <c r="Q2291" s="14"/>
      <c r="R2291" s="14"/>
      <c r="S2291" s="14">
        <v>300</v>
      </c>
      <c r="T2291" s="14"/>
      <c r="U2291" s="14"/>
      <c r="V2291" s="14"/>
      <c r="W2291" s="15">
        <f t="shared" si="80"/>
        <v>300</v>
      </c>
      <c r="X2291" s="14"/>
      <c r="Y2291" s="14"/>
      <c r="Z2291" s="14"/>
      <c r="AA2291" s="14"/>
      <c r="AB2291" s="14"/>
      <c r="AC2291" s="14"/>
      <c r="AD2291" s="14"/>
      <c r="AE2291" s="14"/>
      <c r="AF2291" s="14"/>
      <c r="AG2291" s="14"/>
      <c r="AH2291" s="14"/>
      <c r="AI2291" s="14"/>
      <c r="AJ2291" s="15"/>
      <c r="AK2291" s="16"/>
    </row>
    <row r="2292" spans="2:37" x14ac:dyDescent="0.2">
      <c r="B2292" s="7" t="s">
        <v>47</v>
      </c>
      <c r="C2292" s="8">
        <v>12936</v>
      </c>
      <c r="D2292" s="9" t="s">
        <v>950</v>
      </c>
      <c r="E2292" s="10" t="s">
        <v>951</v>
      </c>
      <c r="F2292" s="10" t="s">
        <v>952</v>
      </c>
      <c r="G2292" s="8">
        <v>1</v>
      </c>
      <c r="H2292" s="11">
        <v>400</v>
      </c>
      <c r="I2292" s="12">
        <v>42638</v>
      </c>
      <c r="J2292" s="13">
        <f t="shared" si="79"/>
        <v>0</v>
      </c>
      <c r="K2292" s="14"/>
      <c r="L2292" s="14"/>
      <c r="M2292" s="14"/>
      <c r="N2292" s="14"/>
      <c r="O2292" s="14"/>
      <c r="P2292" s="14"/>
      <c r="Q2292" s="14"/>
      <c r="R2292" s="14">
        <v>400</v>
      </c>
      <c r="S2292" s="14"/>
      <c r="T2292" s="14"/>
      <c r="U2292" s="14"/>
      <c r="V2292" s="14"/>
      <c r="W2292" s="15">
        <f t="shared" si="80"/>
        <v>400</v>
      </c>
      <c r="X2292" s="14"/>
      <c r="Y2292" s="14"/>
      <c r="Z2292" s="14"/>
      <c r="AA2292" s="14"/>
      <c r="AB2292" s="14"/>
      <c r="AC2292" s="14"/>
      <c r="AD2292" s="14"/>
      <c r="AE2292" s="14"/>
      <c r="AF2292" s="14"/>
      <c r="AG2292" s="14"/>
      <c r="AH2292" s="14"/>
      <c r="AI2292" s="14"/>
      <c r="AJ2292" s="15"/>
      <c r="AK2292" s="16"/>
    </row>
    <row r="2293" spans="2:37" x14ac:dyDescent="0.2">
      <c r="B2293" s="7" t="s">
        <v>122</v>
      </c>
      <c r="C2293" s="8">
        <v>12937</v>
      </c>
      <c r="D2293" s="9" t="s">
        <v>331</v>
      </c>
      <c r="E2293" s="10" t="s">
        <v>332</v>
      </c>
      <c r="F2293" s="10" t="s">
        <v>333</v>
      </c>
      <c r="G2293" s="8">
        <v>1</v>
      </c>
      <c r="H2293" s="11">
        <v>1200</v>
      </c>
      <c r="I2293" s="12">
        <v>42638</v>
      </c>
      <c r="J2293" s="13">
        <f t="shared" si="79"/>
        <v>0</v>
      </c>
      <c r="K2293" s="14"/>
      <c r="L2293" s="14"/>
      <c r="M2293" s="14"/>
      <c r="N2293" s="14"/>
      <c r="O2293" s="14"/>
      <c r="P2293" s="14"/>
      <c r="Q2293" s="14"/>
      <c r="R2293" s="14">
        <v>400</v>
      </c>
      <c r="S2293" s="14">
        <v>400</v>
      </c>
      <c r="T2293" s="14">
        <v>400</v>
      </c>
      <c r="U2293" s="14"/>
      <c r="V2293" s="14"/>
      <c r="W2293" s="15">
        <f t="shared" si="80"/>
        <v>1200</v>
      </c>
      <c r="X2293" s="14"/>
      <c r="Y2293" s="14"/>
      <c r="Z2293" s="14"/>
      <c r="AA2293" s="14"/>
      <c r="AB2293" s="14"/>
      <c r="AC2293" s="14"/>
      <c r="AD2293" s="14"/>
      <c r="AE2293" s="14"/>
      <c r="AF2293" s="14"/>
      <c r="AG2293" s="14"/>
      <c r="AH2293" s="14"/>
      <c r="AI2293" s="14"/>
      <c r="AJ2293" s="15"/>
      <c r="AK2293" s="16"/>
    </row>
    <row r="2294" spans="2:37" x14ac:dyDescent="0.2">
      <c r="B2294" s="7" t="s">
        <v>47</v>
      </c>
      <c r="C2294" s="8">
        <v>12938</v>
      </c>
      <c r="D2294" s="9" t="s">
        <v>620</v>
      </c>
      <c r="E2294" s="10" t="s">
        <v>621</v>
      </c>
      <c r="F2294" s="10" t="s">
        <v>366</v>
      </c>
      <c r="G2294" s="8">
        <v>1</v>
      </c>
      <c r="H2294" s="11">
        <v>400</v>
      </c>
      <c r="I2294" s="12">
        <v>42638</v>
      </c>
      <c r="J2294" s="13">
        <f t="shared" si="79"/>
        <v>0</v>
      </c>
      <c r="K2294" s="14"/>
      <c r="L2294" s="14"/>
      <c r="M2294" s="14"/>
      <c r="N2294" s="14"/>
      <c r="O2294" s="14"/>
      <c r="P2294" s="14"/>
      <c r="Q2294" s="14"/>
      <c r="R2294" s="14">
        <v>400</v>
      </c>
      <c r="S2294" s="14"/>
      <c r="T2294" s="14"/>
      <c r="U2294" s="14"/>
      <c r="V2294" s="14"/>
      <c r="W2294" s="15">
        <f t="shared" si="80"/>
        <v>400</v>
      </c>
      <c r="X2294" s="14"/>
      <c r="Y2294" s="14"/>
      <c r="Z2294" s="14"/>
      <c r="AA2294" s="14"/>
      <c r="AB2294" s="14"/>
      <c r="AC2294" s="14"/>
      <c r="AD2294" s="14"/>
      <c r="AE2294" s="14"/>
      <c r="AF2294" s="14"/>
      <c r="AG2294" s="14"/>
      <c r="AH2294" s="14"/>
      <c r="AI2294" s="14"/>
      <c r="AJ2294" s="15"/>
      <c r="AK2294" s="16"/>
    </row>
    <row r="2295" spans="2:37" x14ac:dyDescent="0.2">
      <c r="B2295" s="7" t="s">
        <v>37</v>
      </c>
      <c r="C2295" s="8">
        <v>12939</v>
      </c>
      <c r="D2295" s="9" t="s">
        <v>1192</v>
      </c>
      <c r="E2295" s="10" t="s">
        <v>1193</v>
      </c>
      <c r="F2295" s="10" t="s">
        <v>1194</v>
      </c>
      <c r="G2295" s="8">
        <v>1</v>
      </c>
      <c r="H2295" s="11">
        <v>400</v>
      </c>
      <c r="I2295" s="12">
        <v>42638</v>
      </c>
      <c r="J2295" s="13">
        <f t="shared" si="79"/>
        <v>0</v>
      </c>
      <c r="K2295" s="14"/>
      <c r="L2295" s="14"/>
      <c r="M2295" s="14"/>
      <c r="N2295" s="14"/>
      <c r="O2295" s="14"/>
      <c r="P2295" s="14"/>
      <c r="Q2295" s="14"/>
      <c r="R2295" s="14"/>
      <c r="S2295" s="14">
        <v>400</v>
      </c>
      <c r="T2295" s="14"/>
      <c r="U2295" s="14"/>
      <c r="V2295" s="14"/>
      <c r="W2295" s="15">
        <f t="shared" si="80"/>
        <v>400</v>
      </c>
      <c r="X2295" s="14"/>
      <c r="Y2295" s="14"/>
      <c r="Z2295" s="14"/>
      <c r="AA2295" s="14"/>
      <c r="AB2295" s="14"/>
      <c r="AC2295" s="14"/>
      <c r="AD2295" s="14"/>
      <c r="AE2295" s="14"/>
      <c r="AF2295" s="14"/>
      <c r="AG2295" s="14"/>
      <c r="AH2295" s="14"/>
      <c r="AI2295" s="14"/>
      <c r="AJ2295" s="15"/>
      <c r="AK2295" s="16"/>
    </row>
    <row r="2296" spans="2:37" x14ac:dyDescent="0.2">
      <c r="B2296" s="7" t="s">
        <v>37</v>
      </c>
      <c r="C2296" s="8">
        <v>12939</v>
      </c>
      <c r="D2296" s="9" t="s">
        <v>1192</v>
      </c>
      <c r="E2296" s="10" t="s">
        <v>1193</v>
      </c>
      <c r="F2296" s="10" t="s">
        <v>1194</v>
      </c>
      <c r="G2296" s="8">
        <v>5</v>
      </c>
      <c r="H2296" s="11">
        <v>50</v>
      </c>
      <c r="I2296" s="12">
        <v>42638</v>
      </c>
      <c r="J2296" s="13">
        <f t="shared" si="79"/>
        <v>0</v>
      </c>
      <c r="K2296" s="14"/>
      <c r="L2296" s="14"/>
      <c r="M2296" s="14"/>
      <c r="N2296" s="14"/>
      <c r="O2296" s="14"/>
      <c r="P2296" s="14"/>
      <c r="Q2296" s="14"/>
      <c r="R2296" s="14"/>
      <c r="S2296" s="14"/>
      <c r="T2296" s="14"/>
      <c r="U2296" s="14"/>
      <c r="V2296" s="14"/>
      <c r="W2296" s="15">
        <f t="shared" si="80"/>
        <v>0</v>
      </c>
      <c r="X2296" s="14"/>
      <c r="Y2296" s="14"/>
      <c r="Z2296" s="14"/>
      <c r="AA2296" s="14"/>
      <c r="AB2296" s="14"/>
      <c r="AC2296" s="14"/>
      <c r="AD2296" s="14"/>
      <c r="AE2296" s="14"/>
      <c r="AF2296" s="14"/>
      <c r="AG2296" s="14"/>
      <c r="AH2296" s="14"/>
      <c r="AI2296" s="14"/>
      <c r="AJ2296" s="15"/>
      <c r="AK2296" s="16"/>
    </row>
    <row r="2297" spans="2:37" x14ac:dyDescent="0.2">
      <c r="B2297" s="7" t="s">
        <v>37</v>
      </c>
      <c r="C2297" s="8">
        <v>12940</v>
      </c>
      <c r="D2297" s="9" t="s">
        <v>538</v>
      </c>
      <c r="E2297" s="10" t="s">
        <v>539</v>
      </c>
      <c r="F2297" s="10" t="s">
        <v>540</v>
      </c>
      <c r="G2297" s="8">
        <v>1</v>
      </c>
      <c r="H2297" s="11">
        <v>400</v>
      </c>
      <c r="I2297" s="12">
        <v>42638</v>
      </c>
      <c r="J2297" s="13">
        <f t="shared" si="79"/>
        <v>0</v>
      </c>
      <c r="K2297" s="14"/>
      <c r="L2297" s="14"/>
      <c r="M2297" s="14"/>
      <c r="N2297" s="14"/>
      <c r="O2297" s="14"/>
      <c r="P2297" s="14"/>
      <c r="Q2297" s="14"/>
      <c r="R2297" s="14"/>
      <c r="S2297" s="14">
        <v>400</v>
      </c>
      <c r="T2297" s="14"/>
      <c r="U2297" s="14"/>
      <c r="V2297" s="14"/>
      <c r="W2297" s="15">
        <f t="shared" si="80"/>
        <v>400</v>
      </c>
      <c r="X2297" s="14"/>
      <c r="Y2297" s="14"/>
      <c r="Z2297" s="14"/>
      <c r="AA2297" s="14"/>
      <c r="AB2297" s="14"/>
      <c r="AC2297" s="14"/>
      <c r="AD2297" s="14"/>
      <c r="AE2297" s="14"/>
      <c r="AF2297" s="14"/>
      <c r="AG2297" s="14"/>
      <c r="AH2297" s="14"/>
      <c r="AI2297" s="14"/>
      <c r="AJ2297" s="15"/>
      <c r="AK2297" s="16"/>
    </row>
    <row r="2298" spans="2:37" x14ac:dyDescent="0.2">
      <c r="B2298" s="7" t="s">
        <v>47</v>
      </c>
      <c r="C2298" s="8">
        <v>12941</v>
      </c>
      <c r="D2298" s="9" t="s">
        <v>84</v>
      </c>
      <c r="E2298" s="10" t="s">
        <v>85</v>
      </c>
      <c r="F2298" s="10" t="s">
        <v>86</v>
      </c>
      <c r="G2298" s="8">
        <v>1</v>
      </c>
      <c r="H2298" s="11">
        <v>200</v>
      </c>
      <c r="I2298" s="12">
        <v>42638</v>
      </c>
      <c r="J2298" s="13">
        <f t="shared" si="79"/>
        <v>0</v>
      </c>
      <c r="K2298" s="14"/>
      <c r="L2298" s="14"/>
      <c r="M2298" s="14"/>
      <c r="N2298" s="14"/>
      <c r="O2298" s="14"/>
      <c r="P2298" s="14"/>
      <c r="Q2298" s="14"/>
      <c r="R2298" s="14"/>
      <c r="S2298" s="14"/>
      <c r="T2298" s="14">
        <v>200</v>
      </c>
      <c r="U2298" s="14"/>
      <c r="V2298" s="14"/>
      <c r="W2298" s="15">
        <f t="shared" si="80"/>
        <v>200</v>
      </c>
      <c r="X2298" s="14"/>
      <c r="Y2298" s="14"/>
      <c r="Z2298" s="14"/>
      <c r="AA2298" s="14"/>
      <c r="AB2298" s="14"/>
      <c r="AC2298" s="14"/>
      <c r="AD2298" s="14"/>
      <c r="AE2298" s="14"/>
      <c r="AF2298" s="14"/>
      <c r="AG2298" s="14"/>
      <c r="AH2298" s="14"/>
      <c r="AI2298" s="14"/>
      <c r="AJ2298" s="15"/>
      <c r="AK2298" s="16"/>
    </row>
    <row r="2299" spans="2:37" x14ac:dyDescent="0.2">
      <c r="B2299" s="7" t="s">
        <v>47</v>
      </c>
      <c r="C2299" s="8">
        <v>12941</v>
      </c>
      <c r="D2299" s="9" t="s">
        <v>84</v>
      </c>
      <c r="E2299" s="10" t="s">
        <v>85</v>
      </c>
      <c r="F2299" s="10" t="s">
        <v>86</v>
      </c>
      <c r="G2299" s="8">
        <v>5</v>
      </c>
      <c r="H2299" s="11">
        <v>50</v>
      </c>
      <c r="I2299" s="12">
        <v>42638</v>
      </c>
      <c r="J2299" s="13">
        <f t="shared" si="79"/>
        <v>0</v>
      </c>
      <c r="K2299" s="14"/>
      <c r="L2299" s="14"/>
      <c r="M2299" s="14"/>
      <c r="N2299" s="14"/>
      <c r="O2299" s="14"/>
      <c r="P2299" s="14"/>
      <c r="Q2299" s="14"/>
      <c r="R2299" s="14"/>
      <c r="S2299" s="14"/>
      <c r="T2299" s="14"/>
      <c r="U2299" s="14"/>
      <c r="V2299" s="14"/>
      <c r="W2299" s="15">
        <f t="shared" si="80"/>
        <v>0</v>
      </c>
      <c r="X2299" s="14"/>
      <c r="Y2299" s="14"/>
      <c r="Z2299" s="14"/>
      <c r="AA2299" s="14"/>
      <c r="AB2299" s="14"/>
      <c r="AC2299" s="14"/>
      <c r="AD2299" s="14"/>
      <c r="AE2299" s="14"/>
      <c r="AF2299" s="14"/>
      <c r="AG2299" s="14"/>
      <c r="AH2299" s="14"/>
      <c r="AI2299" s="14"/>
      <c r="AJ2299" s="15"/>
      <c r="AK2299" s="16"/>
    </row>
    <row r="2300" spans="2:37" x14ac:dyDescent="0.2">
      <c r="B2300" s="7" t="s">
        <v>47</v>
      </c>
      <c r="C2300" s="8">
        <v>12942</v>
      </c>
      <c r="D2300" s="9" t="s">
        <v>189</v>
      </c>
      <c r="E2300" s="10" t="s">
        <v>190</v>
      </c>
      <c r="F2300" s="10" t="s">
        <v>191</v>
      </c>
      <c r="G2300" s="8">
        <v>1</v>
      </c>
      <c r="H2300" s="11">
        <v>800</v>
      </c>
      <c r="I2300" s="12">
        <v>42638</v>
      </c>
      <c r="J2300" s="13">
        <f t="shared" si="79"/>
        <v>0</v>
      </c>
      <c r="K2300" s="14"/>
      <c r="L2300" s="14"/>
      <c r="M2300" s="14"/>
      <c r="N2300" s="14"/>
      <c r="O2300" s="14"/>
      <c r="P2300" s="14"/>
      <c r="Q2300" s="14"/>
      <c r="R2300" s="14">
        <v>400</v>
      </c>
      <c r="S2300" s="14">
        <v>400</v>
      </c>
      <c r="T2300" s="14"/>
      <c r="U2300" s="14"/>
      <c r="V2300" s="14"/>
      <c r="W2300" s="15">
        <f t="shared" si="80"/>
        <v>800</v>
      </c>
      <c r="X2300" s="14"/>
      <c r="Y2300" s="14"/>
      <c r="Z2300" s="14"/>
      <c r="AA2300" s="14"/>
      <c r="AB2300" s="14"/>
      <c r="AC2300" s="14"/>
      <c r="AD2300" s="14"/>
      <c r="AE2300" s="14"/>
      <c r="AF2300" s="14"/>
      <c r="AG2300" s="14"/>
      <c r="AH2300" s="14"/>
      <c r="AI2300" s="14"/>
      <c r="AJ2300" s="15"/>
      <c r="AK2300" s="16"/>
    </row>
    <row r="2301" spans="2:37" x14ac:dyDescent="0.2">
      <c r="B2301" s="7" t="s">
        <v>122</v>
      </c>
      <c r="C2301" s="8">
        <v>12943</v>
      </c>
      <c r="D2301" s="9" t="s">
        <v>788</v>
      </c>
      <c r="E2301" s="10" t="s">
        <v>789</v>
      </c>
      <c r="F2301" s="10" t="s">
        <v>790</v>
      </c>
      <c r="G2301" s="8">
        <v>1</v>
      </c>
      <c r="H2301" s="11">
        <v>400</v>
      </c>
      <c r="I2301" s="12">
        <v>42638</v>
      </c>
      <c r="J2301" s="13">
        <f t="shared" si="79"/>
        <v>0</v>
      </c>
      <c r="K2301" s="14"/>
      <c r="L2301" s="14"/>
      <c r="M2301" s="14"/>
      <c r="N2301" s="14"/>
      <c r="O2301" s="14"/>
      <c r="P2301" s="14"/>
      <c r="Q2301" s="14"/>
      <c r="R2301" s="14"/>
      <c r="S2301" s="14">
        <v>400</v>
      </c>
      <c r="T2301" s="14"/>
      <c r="U2301" s="14"/>
      <c r="V2301" s="14"/>
      <c r="W2301" s="15">
        <f t="shared" si="80"/>
        <v>400</v>
      </c>
      <c r="X2301" s="14"/>
      <c r="Y2301" s="14"/>
      <c r="Z2301" s="14"/>
      <c r="AA2301" s="14"/>
      <c r="AB2301" s="14"/>
      <c r="AC2301" s="14"/>
      <c r="AD2301" s="14"/>
      <c r="AE2301" s="14"/>
      <c r="AF2301" s="14"/>
      <c r="AG2301" s="14"/>
      <c r="AH2301" s="14"/>
      <c r="AI2301" s="14"/>
      <c r="AJ2301" s="15"/>
      <c r="AK2301" s="16"/>
    </row>
    <row r="2302" spans="2:37" x14ac:dyDescent="0.2">
      <c r="B2302" s="7" t="s">
        <v>47</v>
      </c>
      <c r="C2302" s="8">
        <v>12944</v>
      </c>
      <c r="D2302" s="9" t="s">
        <v>497</v>
      </c>
      <c r="E2302" s="10" t="s">
        <v>498</v>
      </c>
      <c r="F2302" s="10" t="s">
        <v>499</v>
      </c>
      <c r="G2302" s="8">
        <v>1</v>
      </c>
      <c r="H2302" s="11">
        <v>400</v>
      </c>
      <c r="I2302" s="12">
        <v>42638</v>
      </c>
      <c r="J2302" s="13">
        <f t="shared" si="79"/>
        <v>0</v>
      </c>
      <c r="K2302" s="14"/>
      <c r="L2302" s="14"/>
      <c r="M2302" s="14"/>
      <c r="N2302" s="14"/>
      <c r="O2302" s="14"/>
      <c r="P2302" s="14"/>
      <c r="Q2302" s="14"/>
      <c r="R2302" s="14"/>
      <c r="S2302" s="14"/>
      <c r="T2302" s="14">
        <v>400</v>
      </c>
      <c r="U2302" s="14"/>
      <c r="V2302" s="14"/>
      <c r="W2302" s="15">
        <f t="shared" si="80"/>
        <v>400</v>
      </c>
      <c r="X2302" s="14"/>
      <c r="Y2302" s="14"/>
      <c r="Z2302" s="14"/>
      <c r="AA2302" s="14"/>
      <c r="AB2302" s="14"/>
      <c r="AC2302" s="14"/>
      <c r="AD2302" s="14"/>
      <c r="AE2302" s="14"/>
      <c r="AF2302" s="14"/>
      <c r="AG2302" s="14"/>
      <c r="AH2302" s="14"/>
      <c r="AI2302" s="14"/>
      <c r="AJ2302" s="15"/>
      <c r="AK2302" s="16"/>
    </row>
    <row r="2303" spans="2:37" x14ac:dyDescent="0.2">
      <c r="B2303" s="7" t="s">
        <v>77</v>
      </c>
      <c r="C2303" s="8">
        <v>12945</v>
      </c>
      <c r="D2303" s="9" t="s">
        <v>725</v>
      </c>
      <c r="E2303" s="10" t="s">
        <v>726</v>
      </c>
      <c r="F2303" s="10" t="s">
        <v>727</v>
      </c>
      <c r="G2303" s="8">
        <v>5</v>
      </c>
      <c r="H2303" s="11">
        <v>50</v>
      </c>
      <c r="I2303" s="12">
        <v>42638</v>
      </c>
      <c r="J2303" s="13">
        <f t="shared" si="79"/>
        <v>0</v>
      </c>
      <c r="K2303" s="14"/>
      <c r="L2303" s="14"/>
      <c r="M2303" s="14"/>
      <c r="N2303" s="14"/>
      <c r="O2303" s="14"/>
      <c r="P2303" s="14"/>
      <c r="Q2303" s="14"/>
      <c r="R2303" s="14"/>
      <c r="S2303" s="14"/>
      <c r="T2303" s="14"/>
      <c r="U2303" s="14"/>
      <c r="V2303" s="14"/>
      <c r="W2303" s="15">
        <f t="shared" si="80"/>
        <v>0</v>
      </c>
      <c r="X2303" s="14"/>
      <c r="Y2303" s="14"/>
      <c r="Z2303" s="14"/>
      <c r="AA2303" s="14"/>
      <c r="AB2303" s="14"/>
      <c r="AC2303" s="14"/>
      <c r="AD2303" s="14"/>
      <c r="AE2303" s="14"/>
      <c r="AF2303" s="14"/>
      <c r="AG2303" s="14"/>
      <c r="AH2303" s="14"/>
      <c r="AI2303" s="14"/>
      <c r="AJ2303" s="15"/>
      <c r="AK2303" s="16"/>
    </row>
    <row r="2304" spans="2:37" x14ac:dyDescent="0.2">
      <c r="B2304" s="7" t="s">
        <v>73</v>
      </c>
      <c r="C2304" s="8">
        <v>12946</v>
      </c>
      <c r="D2304" s="9" t="s">
        <v>672</v>
      </c>
      <c r="E2304" s="10" t="s">
        <v>673</v>
      </c>
      <c r="F2304" s="10" t="s">
        <v>674</v>
      </c>
      <c r="G2304" s="8">
        <v>1</v>
      </c>
      <c r="H2304" s="11">
        <v>400</v>
      </c>
      <c r="I2304" s="12">
        <v>42638</v>
      </c>
      <c r="J2304" s="13">
        <f t="shared" si="79"/>
        <v>0</v>
      </c>
      <c r="K2304" s="14"/>
      <c r="L2304" s="14"/>
      <c r="M2304" s="14"/>
      <c r="N2304" s="14"/>
      <c r="O2304" s="14"/>
      <c r="P2304" s="14"/>
      <c r="Q2304" s="14"/>
      <c r="R2304" s="14">
        <v>200</v>
      </c>
      <c r="S2304" s="14">
        <v>200</v>
      </c>
      <c r="T2304" s="14"/>
      <c r="U2304" s="14"/>
      <c r="V2304" s="14"/>
      <c r="W2304" s="15">
        <f t="shared" si="80"/>
        <v>400</v>
      </c>
      <c r="X2304" s="14"/>
      <c r="Y2304" s="14"/>
      <c r="Z2304" s="14"/>
      <c r="AA2304" s="14"/>
      <c r="AB2304" s="14"/>
      <c r="AC2304" s="14"/>
      <c r="AD2304" s="14"/>
      <c r="AE2304" s="14"/>
      <c r="AF2304" s="14"/>
      <c r="AG2304" s="14"/>
      <c r="AH2304" s="14"/>
      <c r="AI2304" s="14"/>
      <c r="AJ2304" s="15"/>
      <c r="AK2304" s="16"/>
    </row>
    <row r="2305" spans="2:37" x14ac:dyDescent="0.2">
      <c r="B2305" s="7" t="s">
        <v>69</v>
      </c>
      <c r="C2305" s="8">
        <v>12947</v>
      </c>
      <c r="D2305" s="9" t="s">
        <v>361</v>
      </c>
      <c r="E2305" s="10" t="s">
        <v>362</v>
      </c>
      <c r="F2305" s="10" t="s">
        <v>363</v>
      </c>
      <c r="G2305" s="8">
        <v>5</v>
      </c>
      <c r="H2305" s="11">
        <v>50</v>
      </c>
      <c r="I2305" s="12">
        <v>42638</v>
      </c>
      <c r="J2305" s="13">
        <f t="shared" si="79"/>
        <v>0</v>
      </c>
      <c r="K2305" s="14"/>
      <c r="L2305" s="14"/>
      <c r="M2305" s="14"/>
      <c r="N2305" s="14"/>
      <c r="O2305" s="14"/>
      <c r="P2305" s="14"/>
      <c r="Q2305" s="14"/>
      <c r="R2305" s="14"/>
      <c r="S2305" s="14"/>
      <c r="T2305" s="14"/>
      <c r="U2305" s="14"/>
      <c r="V2305" s="14"/>
      <c r="W2305" s="15">
        <f t="shared" si="80"/>
        <v>0</v>
      </c>
      <c r="X2305" s="14"/>
      <c r="Y2305" s="14"/>
      <c r="Z2305" s="14"/>
      <c r="AA2305" s="14"/>
      <c r="AB2305" s="14"/>
      <c r="AC2305" s="14"/>
      <c r="AD2305" s="14"/>
      <c r="AE2305" s="14"/>
      <c r="AF2305" s="14"/>
      <c r="AG2305" s="14"/>
      <c r="AH2305" s="14"/>
      <c r="AI2305" s="14"/>
      <c r="AJ2305" s="15"/>
      <c r="AK2305" s="16"/>
    </row>
    <row r="2306" spans="2:37" x14ac:dyDescent="0.2">
      <c r="B2306" s="7" t="s">
        <v>73</v>
      </c>
      <c r="C2306" s="8">
        <v>12948</v>
      </c>
      <c r="D2306" s="9" t="s">
        <v>763</v>
      </c>
      <c r="E2306" s="10" t="s">
        <v>764</v>
      </c>
      <c r="F2306" s="10" t="s">
        <v>765</v>
      </c>
      <c r="G2306" s="8">
        <v>1</v>
      </c>
      <c r="H2306" s="11">
        <v>400</v>
      </c>
      <c r="I2306" s="12">
        <v>42638</v>
      </c>
      <c r="J2306" s="13">
        <f t="shared" si="79"/>
        <v>0</v>
      </c>
      <c r="K2306" s="14"/>
      <c r="L2306" s="14"/>
      <c r="M2306" s="14"/>
      <c r="N2306" s="14"/>
      <c r="O2306" s="14"/>
      <c r="P2306" s="14"/>
      <c r="Q2306" s="14"/>
      <c r="R2306" s="14"/>
      <c r="S2306" s="14">
        <v>400</v>
      </c>
      <c r="T2306" s="14"/>
      <c r="U2306" s="14"/>
      <c r="V2306" s="14"/>
      <c r="W2306" s="15">
        <f t="shared" si="80"/>
        <v>400</v>
      </c>
      <c r="X2306" s="14"/>
      <c r="Y2306" s="14"/>
      <c r="Z2306" s="14"/>
      <c r="AA2306" s="14"/>
      <c r="AB2306" s="14"/>
      <c r="AC2306" s="14"/>
      <c r="AD2306" s="14"/>
      <c r="AE2306" s="14"/>
      <c r="AF2306" s="14"/>
      <c r="AG2306" s="14"/>
      <c r="AH2306" s="14"/>
      <c r="AI2306" s="14"/>
      <c r="AJ2306" s="15"/>
      <c r="AK2306" s="16"/>
    </row>
    <row r="2307" spans="2:37" x14ac:dyDescent="0.2">
      <c r="B2307" s="7" t="s">
        <v>73</v>
      </c>
      <c r="C2307" s="8">
        <v>12948</v>
      </c>
      <c r="D2307" s="9" t="s">
        <v>763</v>
      </c>
      <c r="E2307" s="10" t="s">
        <v>764</v>
      </c>
      <c r="F2307" s="10" t="s">
        <v>765</v>
      </c>
      <c r="G2307" s="8">
        <v>5</v>
      </c>
      <c r="H2307" s="11">
        <v>50</v>
      </c>
      <c r="I2307" s="12">
        <v>42638</v>
      </c>
      <c r="J2307" s="13">
        <f t="shared" si="79"/>
        <v>0</v>
      </c>
      <c r="K2307" s="14"/>
      <c r="L2307" s="14"/>
      <c r="M2307" s="14"/>
      <c r="N2307" s="14"/>
      <c r="O2307" s="14"/>
      <c r="P2307" s="14"/>
      <c r="Q2307" s="14"/>
      <c r="R2307" s="14"/>
      <c r="S2307" s="14"/>
      <c r="T2307" s="14"/>
      <c r="U2307" s="14"/>
      <c r="V2307" s="14"/>
      <c r="W2307" s="15">
        <f t="shared" si="80"/>
        <v>0</v>
      </c>
      <c r="X2307" s="14"/>
      <c r="Y2307" s="14"/>
      <c r="Z2307" s="14"/>
      <c r="AA2307" s="14"/>
      <c r="AB2307" s="14"/>
      <c r="AC2307" s="14"/>
      <c r="AD2307" s="14"/>
      <c r="AE2307" s="14"/>
      <c r="AF2307" s="14"/>
      <c r="AG2307" s="14"/>
      <c r="AH2307" s="14"/>
      <c r="AI2307" s="14"/>
      <c r="AJ2307" s="15"/>
      <c r="AK2307" s="16"/>
    </row>
    <row r="2308" spans="2:37" x14ac:dyDescent="0.2">
      <c r="B2308" s="7" t="s">
        <v>47</v>
      </c>
      <c r="C2308" s="8">
        <v>12949</v>
      </c>
      <c r="D2308" s="9" t="s">
        <v>500</v>
      </c>
      <c r="E2308" s="10" t="s">
        <v>501</v>
      </c>
      <c r="F2308" s="10" t="s">
        <v>502</v>
      </c>
      <c r="G2308" s="8">
        <v>1</v>
      </c>
      <c r="H2308" s="11">
        <v>200</v>
      </c>
      <c r="I2308" s="12">
        <v>42638</v>
      </c>
      <c r="J2308" s="13">
        <f t="shared" si="79"/>
        <v>0</v>
      </c>
      <c r="K2308" s="14"/>
      <c r="L2308" s="14"/>
      <c r="M2308" s="14"/>
      <c r="N2308" s="14"/>
      <c r="O2308" s="14"/>
      <c r="P2308" s="14"/>
      <c r="Q2308" s="14"/>
      <c r="R2308" s="14"/>
      <c r="S2308" s="14"/>
      <c r="T2308" s="14">
        <v>200</v>
      </c>
      <c r="U2308" s="14"/>
      <c r="V2308" s="14"/>
      <c r="W2308" s="15">
        <f t="shared" si="80"/>
        <v>200</v>
      </c>
      <c r="X2308" s="14"/>
      <c r="Y2308" s="14"/>
      <c r="Z2308" s="14"/>
      <c r="AA2308" s="14"/>
      <c r="AB2308" s="14"/>
      <c r="AC2308" s="14"/>
      <c r="AD2308" s="14"/>
      <c r="AE2308" s="14"/>
      <c r="AF2308" s="14"/>
      <c r="AG2308" s="14"/>
      <c r="AH2308" s="14"/>
      <c r="AI2308" s="14"/>
      <c r="AJ2308" s="15"/>
      <c r="AK2308" s="16"/>
    </row>
    <row r="2309" spans="2:37" x14ac:dyDescent="0.2">
      <c r="B2309" s="7" t="s">
        <v>47</v>
      </c>
      <c r="C2309" s="8">
        <v>12949</v>
      </c>
      <c r="D2309" s="9" t="s">
        <v>500</v>
      </c>
      <c r="E2309" s="10" t="s">
        <v>501</v>
      </c>
      <c r="F2309" s="10" t="s">
        <v>502</v>
      </c>
      <c r="G2309" s="8">
        <v>5</v>
      </c>
      <c r="H2309" s="11">
        <v>50</v>
      </c>
      <c r="I2309" s="12">
        <v>42638</v>
      </c>
      <c r="J2309" s="13">
        <f t="shared" si="79"/>
        <v>0</v>
      </c>
      <c r="K2309" s="14"/>
      <c r="L2309" s="14"/>
      <c r="M2309" s="14"/>
      <c r="N2309" s="14"/>
      <c r="O2309" s="14"/>
      <c r="P2309" s="14"/>
      <c r="Q2309" s="14"/>
      <c r="R2309" s="14"/>
      <c r="S2309" s="14"/>
      <c r="T2309" s="14"/>
      <c r="U2309" s="14"/>
      <c r="V2309" s="14"/>
      <c r="W2309" s="15">
        <f t="shared" si="80"/>
        <v>0</v>
      </c>
      <c r="X2309" s="14"/>
      <c r="Y2309" s="14"/>
      <c r="Z2309" s="14"/>
      <c r="AA2309" s="14"/>
      <c r="AB2309" s="14"/>
      <c r="AC2309" s="14"/>
      <c r="AD2309" s="14"/>
      <c r="AE2309" s="14"/>
      <c r="AF2309" s="14"/>
      <c r="AG2309" s="14"/>
      <c r="AH2309" s="14"/>
      <c r="AI2309" s="14"/>
      <c r="AJ2309" s="15"/>
      <c r="AK2309" s="16"/>
    </row>
    <row r="2310" spans="2:37" x14ac:dyDescent="0.2">
      <c r="B2310" s="7" t="s">
        <v>37</v>
      </c>
      <c r="C2310" s="8">
        <v>12950</v>
      </c>
      <c r="D2310" s="9" t="s">
        <v>858</v>
      </c>
      <c r="E2310" s="10" t="s">
        <v>859</v>
      </c>
      <c r="F2310" s="10" t="s">
        <v>860</v>
      </c>
      <c r="G2310" s="8">
        <v>1</v>
      </c>
      <c r="H2310" s="11">
        <v>800</v>
      </c>
      <c r="I2310" s="12">
        <v>42638</v>
      </c>
      <c r="J2310" s="13">
        <f t="shared" si="79"/>
        <v>0</v>
      </c>
      <c r="K2310" s="14"/>
      <c r="L2310" s="14"/>
      <c r="M2310" s="14"/>
      <c r="N2310" s="14"/>
      <c r="O2310" s="14"/>
      <c r="P2310" s="14"/>
      <c r="Q2310" s="14"/>
      <c r="R2310" s="14"/>
      <c r="S2310" s="14">
        <v>400</v>
      </c>
      <c r="T2310" s="14">
        <v>400</v>
      </c>
      <c r="U2310" s="14"/>
      <c r="V2310" s="14"/>
      <c r="W2310" s="15">
        <f t="shared" si="80"/>
        <v>800</v>
      </c>
      <c r="X2310" s="14"/>
      <c r="Y2310" s="14"/>
      <c r="Z2310" s="14"/>
      <c r="AA2310" s="14"/>
      <c r="AB2310" s="14"/>
      <c r="AC2310" s="14"/>
      <c r="AD2310" s="14"/>
      <c r="AE2310" s="14"/>
      <c r="AF2310" s="14"/>
      <c r="AG2310" s="14"/>
      <c r="AH2310" s="14"/>
      <c r="AI2310" s="14"/>
      <c r="AJ2310" s="15"/>
      <c r="AK2310" s="16"/>
    </row>
    <row r="2311" spans="2:37" x14ac:dyDescent="0.2">
      <c r="B2311" s="7" t="s">
        <v>37</v>
      </c>
      <c r="C2311" s="8">
        <v>12950</v>
      </c>
      <c r="D2311" s="9" t="s">
        <v>858</v>
      </c>
      <c r="E2311" s="10" t="s">
        <v>859</v>
      </c>
      <c r="F2311" s="10" t="s">
        <v>860</v>
      </c>
      <c r="G2311" s="8">
        <v>5</v>
      </c>
      <c r="H2311" s="11">
        <v>50</v>
      </c>
      <c r="I2311" s="12">
        <v>42638</v>
      </c>
      <c r="J2311" s="13">
        <f t="shared" si="79"/>
        <v>0</v>
      </c>
      <c r="K2311" s="14"/>
      <c r="L2311" s="14"/>
      <c r="M2311" s="14"/>
      <c r="N2311" s="14"/>
      <c r="O2311" s="14"/>
      <c r="P2311" s="14"/>
      <c r="Q2311" s="14"/>
      <c r="R2311" s="14"/>
      <c r="S2311" s="14"/>
      <c r="T2311" s="14"/>
      <c r="U2311" s="14"/>
      <c r="V2311" s="14"/>
      <c r="W2311" s="15">
        <f t="shared" si="80"/>
        <v>0</v>
      </c>
      <c r="X2311" s="14"/>
      <c r="Y2311" s="14"/>
      <c r="Z2311" s="14"/>
      <c r="AA2311" s="14"/>
      <c r="AB2311" s="14"/>
      <c r="AC2311" s="14"/>
      <c r="AD2311" s="14"/>
      <c r="AE2311" s="14"/>
      <c r="AF2311" s="14"/>
      <c r="AG2311" s="14"/>
      <c r="AH2311" s="14"/>
      <c r="AI2311" s="14"/>
      <c r="AJ2311" s="15"/>
      <c r="AK2311" s="16"/>
    </row>
    <row r="2312" spans="2:37" x14ac:dyDescent="0.2">
      <c r="B2312" s="7" t="s">
        <v>47</v>
      </c>
      <c r="C2312" s="8">
        <v>12951</v>
      </c>
      <c r="D2312" s="9" t="s">
        <v>449</v>
      </c>
      <c r="E2312" s="10" t="s">
        <v>450</v>
      </c>
      <c r="F2312" s="10" t="s">
        <v>451</v>
      </c>
      <c r="G2312" s="8">
        <v>1</v>
      </c>
      <c r="H2312" s="11">
        <v>900</v>
      </c>
      <c r="I2312" s="12">
        <v>42638</v>
      </c>
      <c r="J2312" s="13">
        <f t="shared" si="79"/>
        <v>0</v>
      </c>
      <c r="K2312" s="14"/>
      <c r="L2312" s="14"/>
      <c r="M2312" s="14"/>
      <c r="N2312" s="14"/>
      <c r="O2312" s="14"/>
      <c r="P2312" s="14"/>
      <c r="Q2312" s="14">
        <v>300</v>
      </c>
      <c r="R2312" s="14">
        <v>300</v>
      </c>
      <c r="S2312" s="14">
        <v>300</v>
      </c>
      <c r="T2312" s="14"/>
      <c r="U2312" s="14"/>
      <c r="V2312" s="14"/>
      <c r="W2312" s="15">
        <f t="shared" si="80"/>
        <v>900</v>
      </c>
      <c r="X2312" s="14"/>
      <c r="Y2312" s="14"/>
      <c r="Z2312" s="14"/>
      <c r="AA2312" s="14"/>
      <c r="AB2312" s="14"/>
      <c r="AC2312" s="14"/>
      <c r="AD2312" s="14"/>
      <c r="AE2312" s="14"/>
      <c r="AF2312" s="14"/>
      <c r="AG2312" s="14"/>
      <c r="AH2312" s="14"/>
      <c r="AI2312" s="14"/>
      <c r="AJ2312" s="15"/>
      <c r="AK2312" s="16"/>
    </row>
    <row r="2313" spans="2:37" x14ac:dyDescent="0.2">
      <c r="B2313" s="7" t="s">
        <v>69</v>
      </c>
      <c r="C2313" s="8">
        <v>12952</v>
      </c>
      <c r="D2313" s="9" t="s">
        <v>634</v>
      </c>
      <c r="E2313" s="10" t="s">
        <v>635</v>
      </c>
      <c r="F2313" s="10" t="s">
        <v>636</v>
      </c>
      <c r="G2313" s="8">
        <v>1</v>
      </c>
      <c r="H2313" s="11">
        <v>300</v>
      </c>
      <c r="I2313" s="12">
        <v>42638</v>
      </c>
      <c r="J2313" s="13">
        <f t="shared" si="79"/>
        <v>0</v>
      </c>
      <c r="K2313" s="14"/>
      <c r="L2313" s="14"/>
      <c r="M2313" s="14"/>
      <c r="N2313" s="14"/>
      <c r="O2313" s="14"/>
      <c r="P2313" s="14"/>
      <c r="Q2313" s="14"/>
      <c r="R2313" s="14"/>
      <c r="S2313" s="14">
        <v>300</v>
      </c>
      <c r="T2313" s="14"/>
      <c r="U2313" s="14"/>
      <c r="V2313" s="14"/>
      <c r="W2313" s="15">
        <f t="shared" si="80"/>
        <v>300</v>
      </c>
      <c r="X2313" s="14"/>
      <c r="Y2313" s="14"/>
      <c r="Z2313" s="14"/>
      <c r="AA2313" s="14"/>
      <c r="AB2313" s="14"/>
      <c r="AC2313" s="14"/>
      <c r="AD2313" s="14"/>
      <c r="AE2313" s="14"/>
      <c r="AF2313" s="14"/>
      <c r="AG2313" s="14"/>
      <c r="AH2313" s="14"/>
      <c r="AI2313" s="14"/>
      <c r="AJ2313" s="15"/>
      <c r="AK2313" s="16"/>
    </row>
    <row r="2314" spans="2:37" x14ac:dyDescent="0.2">
      <c r="B2314" s="7" t="s">
        <v>77</v>
      </c>
      <c r="C2314" s="8">
        <v>12953</v>
      </c>
      <c r="D2314" s="9" t="s">
        <v>725</v>
      </c>
      <c r="E2314" s="10" t="s">
        <v>726</v>
      </c>
      <c r="F2314" s="10" t="s">
        <v>727</v>
      </c>
      <c r="G2314" s="8">
        <v>5</v>
      </c>
      <c r="H2314" s="11">
        <v>50</v>
      </c>
      <c r="I2314" s="12">
        <v>42638</v>
      </c>
      <c r="J2314" s="13">
        <f t="shared" si="79"/>
        <v>0</v>
      </c>
      <c r="K2314" s="14"/>
      <c r="L2314" s="14"/>
      <c r="M2314" s="14"/>
      <c r="N2314" s="14"/>
      <c r="O2314" s="14"/>
      <c r="P2314" s="14"/>
      <c r="Q2314" s="14"/>
      <c r="R2314" s="14"/>
      <c r="S2314" s="14"/>
      <c r="T2314" s="14"/>
      <c r="U2314" s="14"/>
      <c r="V2314" s="14"/>
      <c r="W2314" s="15">
        <f t="shared" si="80"/>
        <v>0</v>
      </c>
      <c r="X2314" s="14"/>
      <c r="Y2314" s="14"/>
      <c r="Z2314" s="14"/>
      <c r="AA2314" s="14"/>
      <c r="AB2314" s="14"/>
      <c r="AC2314" s="14"/>
      <c r="AD2314" s="14"/>
      <c r="AE2314" s="14"/>
      <c r="AF2314" s="14"/>
      <c r="AG2314" s="14"/>
      <c r="AH2314" s="14"/>
      <c r="AI2314" s="14"/>
      <c r="AJ2314" s="15"/>
      <c r="AK2314" s="16"/>
    </row>
    <row r="2315" spans="2:37" x14ac:dyDescent="0.2">
      <c r="B2315" s="7" t="s">
        <v>47</v>
      </c>
      <c r="C2315" s="8">
        <v>12954</v>
      </c>
      <c r="D2315" s="9" t="s">
        <v>103</v>
      </c>
      <c r="E2315" s="10" t="s">
        <v>104</v>
      </c>
      <c r="F2315" s="10" t="s">
        <v>105</v>
      </c>
      <c r="G2315" s="8">
        <v>1</v>
      </c>
      <c r="H2315" s="11">
        <v>400</v>
      </c>
      <c r="I2315" s="12">
        <v>42638</v>
      </c>
      <c r="J2315" s="13">
        <f t="shared" si="79"/>
        <v>0</v>
      </c>
      <c r="K2315" s="14"/>
      <c r="L2315" s="14"/>
      <c r="M2315" s="14"/>
      <c r="N2315" s="14"/>
      <c r="O2315" s="14"/>
      <c r="P2315" s="14"/>
      <c r="Q2315" s="14"/>
      <c r="R2315" s="14"/>
      <c r="S2315" s="14">
        <v>400</v>
      </c>
      <c r="T2315" s="14"/>
      <c r="U2315" s="14"/>
      <c r="V2315" s="14"/>
      <c r="W2315" s="15">
        <f t="shared" si="80"/>
        <v>400</v>
      </c>
      <c r="X2315" s="14"/>
      <c r="Y2315" s="14"/>
      <c r="Z2315" s="14"/>
      <c r="AA2315" s="14"/>
      <c r="AB2315" s="14"/>
      <c r="AC2315" s="14"/>
      <c r="AD2315" s="14"/>
      <c r="AE2315" s="14"/>
      <c r="AF2315" s="14"/>
      <c r="AG2315" s="14"/>
      <c r="AH2315" s="14"/>
      <c r="AI2315" s="14"/>
      <c r="AJ2315" s="15"/>
      <c r="AK2315" s="16"/>
    </row>
    <row r="2316" spans="2:37" x14ac:dyDescent="0.2">
      <c r="B2316" s="7" t="s">
        <v>73</v>
      </c>
      <c r="C2316" s="8">
        <v>12955</v>
      </c>
      <c r="D2316" s="9" t="s">
        <v>283</v>
      </c>
      <c r="E2316" s="10" t="s">
        <v>284</v>
      </c>
      <c r="F2316" s="10" t="s">
        <v>285</v>
      </c>
      <c r="G2316" s="8">
        <v>5</v>
      </c>
      <c r="H2316" s="11">
        <v>50</v>
      </c>
      <c r="I2316" s="12">
        <v>42638</v>
      </c>
      <c r="J2316" s="13">
        <f t="shared" si="79"/>
        <v>0</v>
      </c>
      <c r="K2316" s="14"/>
      <c r="L2316" s="14"/>
      <c r="M2316" s="14"/>
      <c r="N2316" s="14"/>
      <c r="O2316" s="14"/>
      <c r="P2316" s="14"/>
      <c r="Q2316" s="14"/>
      <c r="R2316" s="14"/>
      <c r="S2316" s="14"/>
      <c r="T2316" s="14"/>
      <c r="U2316" s="14"/>
      <c r="V2316" s="14"/>
      <c r="W2316" s="15">
        <f t="shared" si="80"/>
        <v>0</v>
      </c>
      <c r="X2316" s="14"/>
      <c r="Y2316" s="14"/>
      <c r="Z2316" s="14"/>
      <c r="AA2316" s="14"/>
      <c r="AB2316" s="14"/>
      <c r="AC2316" s="14"/>
      <c r="AD2316" s="14"/>
      <c r="AE2316" s="14"/>
      <c r="AF2316" s="14"/>
      <c r="AG2316" s="14"/>
      <c r="AH2316" s="14"/>
      <c r="AI2316" s="14"/>
      <c r="AJ2316" s="15"/>
      <c r="AK2316" s="16"/>
    </row>
    <row r="2317" spans="2:37" x14ac:dyDescent="0.2">
      <c r="B2317" s="7" t="s">
        <v>391</v>
      </c>
      <c r="C2317" s="8">
        <v>12956</v>
      </c>
      <c r="D2317" s="9" t="s">
        <v>918</v>
      </c>
      <c r="E2317" s="10" t="s">
        <v>919</v>
      </c>
      <c r="F2317" s="10" t="s">
        <v>920</v>
      </c>
      <c r="G2317" s="8">
        <v>5</v>
      </c>
      <c r="H2317" s="11">
        <v>150</v>
      </c>
      <c r="I2317" s="12">
        <v>42638</v>
      </c>
      <c r="J2317" s="13">
        <f t="shared" si="79"/>
        <v>0</v>
      </c>
      <c r="K2317" s="14"/>
      <c r="L2317" s="14"/>
      <c r="M2317" s="14"/>
      <c r="N2317" s="14"/>
      <c r="O2317" s="14"/>
      <c r="P2317" s="14"/>
      <c r="Q2317" s="14"/>
      <c r="R2317" s="14"/>
      <c r="S2317" s="14"/>
      <c r="T2317" s="14"/>
      <c r="U2317" s="14"/>
      <c r="V2317" s="14"/>
      <c r="W2317" s="15">
        <f t="shared" si="80"/>
        <v>0</v>
      </c>
      <c r="X2317" s="14"/>
      <c r="Y2317" s="14"/>
      <c r="Z2317" s="14"/>
      <c r="AA2317" s="14"/>
      <c r="AB2317" s="14"/>
      <c r="AC2317" s="14"/>
      <c r="AD2317" s="14"/>
      <c r="AE2317" s="14"/>
      <c r="AF2317" s="14"/>
      <c r="AG2317" s="14"/>
      <c r="AH2317" s="14"/>
      <c r="AI2317" s="14"/>
      <c r="AJ2317" s="15"/>
      <c r="AK2317" s="16"/>
    </row>
    <row r="2318" spans="2:37" x14ac:dyDescent="0.2">
      <c r="B2318" s="7" t="s">
        <v>77</v>
      </c>
      <c r="C2318" s="8">
        <v>12957</v>
      </c>
      <c r="D2318" s="9" t="s">
        <v>159</v>
      </c>
      <c r="E2318" s="10" t="s">
        <v>160</v>
      </c>
      <c r="F2318" s="10" t="s">
        <v>161</v>
      </c>
      <c r="G2318" s="8">
        <v>1</v>
      </c>
      <c r="H2318" s="11">
        <v>400</v>
      </c>
      <c r="I2318" s="12">
        <v>42638</v>
      </c>
      <c r="J2318" s="13">
        <f t="shared" si="79"/>
        <v>0</v>
      </c>
      <c r="K2318" s="14"/>
      <c r="L2318" s="14"/>
      <c r="M2318" s="14"/>
      <c r="N2318" s="14"/>
      <c r="O2318" s="14"/>
      <c r="P2318" s="14"/>
      <c r="Q2318" s="14"/>
      <c r="R2318" s="14"/>
      <c r="S2318" s="14">
        <v>400</v>
      </c>
      <c r="T2318" s="14"/>
      <c r="U2318" s="14"/>
      <c r="V2318" s="14"/>
      <c r="W2318" s="15">
        <f t="shared" si="80"/>
        <v>400</v>
      </c>
      <c r="X2318" s="14"/>
      <c r="Y2318" s="14"/>
      <c r="Z2318" s="14"/>
      <c r="AA2318" s="14"/>
      <c r="AB2318" s="14"/>
      <c r="AC2318" s="14"/>
      <c r="AD2318" s="14"/>
      <c r="AE2318" s="14"/>
      <c r="AF2318" s="14"/>
      <c r="AG2318" s="14"/>
      <c r="AH2318" s="14"/>
      <c r="AI2318" s="14"/>
      <c r="AJ2318" s="15"/>
      <c r="AK2318" s="16"/>
    </row>
    <row r="2319" spans="2:37" x14ac:dyDescent="0.2">
      <c r="B2319" s="7" t="s">
        <v>47</v>
      </c>
      <c r="C2319" s="8">
        <v>12958</v>
      </c>
      <c r="D2319" s="9" t="s">
        <v>416</v>
      </c>
      <c r="E2319" s="10" t="s">
        <v>417</v>
      </c>
      <c r="F2319" s="10" t="s">
        <v>418</v>
      </c>
      <c r="G2319" s="8">
        <v>1</v>
      </c>
      <c r="H2319" s="11">
        <v>400</v>
      </c>
      <c r="I2319" s="12">
        <v>42638</v>
      </c>
      <c r="J2319" s="13">
        <f t="shared" si="79"/>
        <v>0</v>
      </c>
      <c r="K2319" s="14"/>
      <c r="L2319" s="14"/>
      <c r="M2319" s="14"/>
      <c r="N2319" s="14"/>
      <c r="O2319" s="14"/>
      <c r="P2319" s="14"/>
      <c r="Q2319" s="14"/>
      <c r="R2319" s="14"/>
      <c r="S2319" s="14">
        <v>200</v>
      </c>
      <c r="T2319" s="14">
        <v>200</v>
      </c>
      <c r="U2319" s="14"/>
      <c r="V2319" s="14"/>
      <c r="W2319" s="15">
        <f t="shared" si="80"/>
        <v>400</v>
      </c>
      <c r="X2319" s="14"/>
      <c r="Y2319" s="14"/>
      <c r="Z2319" s="14"/>
      <c r="AA2319" s="14"/>
      <c r="AB2319" s="14"/>
      <c r="AC2319" s="14"/>
      <c r="AD2319" s="14"/>
      <c r="AE2319" s="14"/>
      <c r="AF2319" s="14"/>
      <c r="AG2319" s="14"/>
      <c r="AH2319" s="14"/>
      <c r="AI2319" s="14"/>
      <c r="AJ2319" s="15"/>
      <c r="AK2319" s="16"/>
    </row>
    <row r="2320" spans="2:37" x14ac:dyDescent="0.2">
      <c r="B2320" s="7" t="s">
        <v>69</v>
      </c>
      <c r="C2320" s="8">
        <v>12959</v>
      </c>
      <c r="D2320" s="9" t="s">
        <v>1039</v>
      </c>
      <c r="E2320" s="10" t="s">
        <v>1040</v>
      </c>
      <c r="F2320" s="10" t="s">
        <v>1041</v>
      </c>
      <c r="G2320" s="8">
        <v>1</v>
      </c>
      <c r="H2320" s="11">
        <v>400</v>
      </c>
      <c r="I2320" s="12">
        <v>42638</v>
      </c>
      <c r="J2320" s="13">
        <f t="shared" si="79"/>
        <v>0</v>
      </c>
      <c r="K2320" s="14"/>
      <c r="L2320" s="14"/>
      <c r="M2320" s="14"/>
      <c r="N2320" s="14"/>
      <c r="O2320" s="14"/>
      <c r="P2320" s="14"/>
      <c r="Q2320" s="14"/>
      <c r="R2320" s="14"/>
      <c r="S2320" s="14">
        <v>400</v>
      </c>
      <c r="T2320" s="14"/>
      <c r="U2320" s="14"/>
      <c r="V2320" s="14"/>
      <c r="W2320" s="15">
        <f t="shared" si="80"/>
        <v>400</v>
      </c>
      <c r="X2320" s="14"/>
      <c r="Y2320" s="14"/>
      <c r="Z2320" s="14"/>
      <c r="AA2320" s="14"/>
      <c r="AB2320" s="14"/>
      <c r="AC2320" s="14"/>
      <c r="AD2320" s="14"/>
      <c r="AE2320" s="14"/>
      <c r="AF2320" s="14"/>
      <c r="AG2320" s="14"/>
      <c r="AH2320" s="14"/>
      <c r="AI2320" s="14"/>
      <c r="AJ2320" s="15"/>
      <c r="AK2320" s="16"/>
    </row>
    <row r="2321" spans="2:37" x14ac:dyDescent="0.2">
      <c r="B2321" s="7" t="s">
        <v>37</v>
      </c>
      <c r="C2321" s="8">
        <v>12960</v>
      </c>
      <c r="D2321" s="9" t="s">
        <v>295</v>
      </c>
      <c r="E2321" s="10" t="s">
        <v>296</v>
      </c>
      <c r="F2321" s="10" t="s">
        <v>297</v>
      </c>
      <c r="G2321" s="8">
        <v>1</v>
      </c>
      <c r="H2321" s="11">
        <v>300</v>
      </c>
      <c r="I2321" s="12">
        <v>42638</v>
      </c>
      <c r="J2321" s="13">
        <f t="shared" si="79"/>
        <v>0</v>
      </c>
      <c r="K2321" s="14"/>
      <c r="L2321" s="14"/>
      <c r="M2321" s="14"/>
      <c r="N2321" s="14"/>
      <c r="O2321" s="14"/>
      <c r="P2321" s="14"/>
      <c r="Q2321" s="14"/>
      <c r="R2321" s="14"/>
      <c r="S2321" s="14">
        <v>300</v>
      </c>
      <c r="T2321" s="14"/>
      <c r="U2321" s="14"/>
      <c r="V2321" s="14"/>
      <c r="W2321" s="15">
        <f t="shared" si="80"/>
        <v>300</v>
      </c>
      <c r="X2321" s="14"/>
      <c r="Y2321" s="14"/>
      <c r="Z2321" s="14"/>
      <c r="AA2321" s="14"/>
      <c r="AB2321" s="14"/>
      <c r="AC2321" s="14"/>
      <c r="AD2321" s="14"/>
      <c r="AE2321" s="14"/>
      <c r="AF2321" s="14"/>
      <c r="AG2321" s="14"/>
      <c r="AH2321" s="14"/>
      <c r="AI2321" s="14"/>
      <c r="AJ2321" s="15"/>
      <c r="AK2321" s="16"/>
    </row>
    <row r="2322" spans="2:37" x14ac:dyDescent="0.2">
      <c r="B2322" s="7" t="s">
        <v>37</v>
      </c>
      <c r="C2322" s="8">
        <v>12961</v>
      </c>
      <c r="D2322" s="9" t="s">
        <v>512</v>
      </c>
      <c r="E2322" s="10" t="s">
        <v>513</v>
      </c>
      <c r="F2322" s="10" t="s">
        <v>511</v>
      </c>
      <c r="G2322" s="8">
        <v>5</v>
      </c>
      <c r="H2322" s="11">
        <v>50</v>
      </c>
      <c r="I2322" s="12">
        <v>42638</v>
      </c>
      <c r="J2322" s="13">
        <f t="shared" si="79"/>
        <v>0</v>
      </c>
      <c r="K2322" s="14"/>
      <c r="L2322" s="14"/>
      <c r="M2322" s="14"/>
      <c r="N2322" s="14"/>
      <c r="O2322" s="14"/>
      <c r="P2322" s="14"/>
      <c r="Q2322" s="14"/>
      <c r="R2322" s="14"/>
      <c r="S2322" s="14"/>
      <c r="T2322" s="14"/>
      <c r="U2322" s="14"/>
      <c r="V2322" s="14"/>
      <c r="W2322" s="15">
        <f t="shared" si="80"/>
        <v>0</v>
      </c>
      <c r="X2322" s="14"/>
      <c r="Y2322" s="14"/>
      <c r="Z2322" s="14"/>
      <c r="AA2322" s="14"/>
      <c r="AB2322" s="14"/>
      <c r="AC2322" s="14"/>
      <c r="AD2322" s="14"/>
      <c r="AE2322" s="14"/>
      <c r="AF2322" s="14"/>
      <c r="AG2322" s="14"/>
      <c r="AH2322" s="14"/>
      <c r="AI2322" s="14"/>
      <c r="AJ2322" s="15"/>
      <c r="AK2322" s="16"/>
    </row>
    <row r="2323" spans="2:37" x14ac:dyDescent="0.2">
      <c r="B2323" s="7" t="s">
        <v>77</v>
      </c>
      <c r="C2323" s="8">
        <v>12962</v>
      </c>
      <c r="D2323" s="9" t="s">
        <v>473</v>
      </c>
      <c r="E2323" s="10" t="s">
        <v>474</v>
      </c>
      <c r="F2323" s="10" t="s">
        <v>475</v>
      </c>
      <c r="G2323" s="8">
        <v>5</v>
      </c>
      <c r="H2323" s="11">
        <v>50</v>
      </c>
      <c r="I2323" s="12">
        <v>42638</v>
      </c>
      <c r="J2323" s="13">
        <f t="shared" si="79"/>
        <v>0</v>
      </c>
      <c r="K2323" s="14"/>
      <c r="L2323" s="14"/>
      <c r="M2323" s="14"/>
      <c r="N2323" s="14"/>
      <c r="O2323" s="14"/>
      <c r="P2323" s="14"/>
      <c r="Q2323" s="14"/>
      <c r="R2323" s="14"/>
      <c r="S2323" s="14"/>
      <c r="T2323" s="14"/>
      <c r="U2323" s="14"/>
      <c r="V2323" s="14"/>
      <c r="W2323" s="15">
        <f t="shared" si="80"/>
        <v>0</v>
      </c>
      <c r="X2323" s="14"/>
      <c r="Y2323" s="14"/>
      <c r="Z2323" s="14"/>
      <c r="AA2323" s="14"/>
      <c r="AB2323" s="14"/>
      <c r="AC2323" s="14"/>
      <c r="AD2323" s="14"/>
      <c r="AE2323" s="14"/>
      <c r="AF2323" s="14"/>
      <c r="AG2323" s="14"/>
      <c r="AH2323" s="14"/>
      <c r="AI2323" s="14"/>
      <c r="AJ2323" s="15"/>
      <c r="AK2323" s="16"/>
    </row>
    <row r="2324" spans="2:37" x14ac:dyDescent="0.2">
      <c r="B2324" s="7" t="s">
        <v>77</v>
      </c>
      <c r="C2324" s="8">
        <v>12963</v>
      </c>
      <c r="D2324" s="9" t="s">
        <v>473</v>
      </c>
      <c r="E2324" s="10" t="s">
        <v>474</v>
      </c>
      <c r="F2324" s="10" t="s">
        <v>475</v>
      </c>
      <c r="G2324" s="8">
        <v>5</v>
      </c>
      <c r="H2324" s="11">
        <v>150</v>
      </c>
      <c r="I2324" s="12">
        <v>42638</v>
      </c>
      <c r="J2324" s="13">
        <f t="shared" si="79"/>
        <v>0</v>
      </c>
      <c r="K2324" s="14"/>
      <c r="L2324" s="14"/>
      <c r="M2324" s="14"/>
      <c r="N2324" s="14"/>
      <c r="O2324" s="14"/>
      <c r="P2324" s="14"/>
      <c r="Q2324" s="14"/>
      <c r="R2324" s="14"/>
      <c r="S2324" s="14"/>
      <c r="T2324" s="14"/>
      <c r="U2324" s="14"/>
      <c r="V2324" s="14"/>
      <c r="W2324" s="15">
        <f t="shared" si="80"/>
        <v>0</v>
      </c>
      <c r="X2324" s="14"/>
      <c r="Y2324" s="14"/>
      <c r="Z2324" s="14"/>
      <c r="AA2324" s="14"/>
      <c r="AB2324" s="14"/>
      <c r="AC2324" s="14"/>
      <c r="AD2324" s="14"/>
      <c r="AE2324" s="14"/>
      <c r="AF2324" s="14"/>
      <c r="AG2324" s="14"/>
      <c r="AH2324" s="14"/>
      <c r="AI2324" s="14"/>
      <c r="AJ2324" s="15"/>
      <c r="AK2324" s="16"/>
    </row>
    <row r="2325" spans="2:37" x14ac:dyDescent="0.2">
      <c r="B2325" s="7" t="s">
        <v>37</v>
      </c>
      <c r="C2325" s="8">
        <v>12964</v>
      </c>
      <c r="D2325" s="9" t="s">
        <v>503</v>
      </c>
      <c r="E2325" s="10" t="s">
        <v>504</v>
      </c>
      <c r="F2325" s="10" t="s">
        <v>505</v>
      </c>
      <c r="G2325" s="8">
        <v>1</v>
      </c>
      <c r="H2325" s="11">
        <v>450</v>
      </c>
      <c r="I2325" s="12">
        <v>42639</v>
      </c>
      <c r="J2325" s="13">
        <f t="shared" si="79"/>
        <v>0</v>
      </c>
      <c r="K2325" s="14"/>
      <c r="L2325" s="14"/>
      <c r="M2325" s="14"/>
      <c r="N2325" s="14"/>
      <c r="O2325" s="14"/>
      <c r="P2325" s="14"/>
      <c r="Q2325" s="14"/>
      <c r="R2325" s="14">
        <v>150</v>
      </c>
      <c r="S2325" s="14">
        <v>150</v>
      </c>
      <c r="T2325" s="14">
        <v>150</v>
      </c>
      <c r="U2325" s="14"/>
      <c r="V2325" s="14"/>
      <c r="W2325" s="15">
        <f t="shared" si="80"/>
        <v>450</v>
      </c>
      <c r="X2325" s="14"/>
      <c r="Y2325" s="14"/>
      <c r="Z2325" s="14"/>
      <c r="AA2325" s="14"/>
      <c r="AB2325" s="14"/>
      <c r="AC2325" s="14"/>
      <c r="AD2325" s="14"/>
      <c r="AE2325" s="14"/>
      <c r="AF2325" s="14"/>
      <c r="AG2325" s="14"/>
      <c r="AH2325" s="14"/>
      <c r="AI2325" s="14"/>
      <c r="AJ2325" s="15"/>
      <c r="AK2325" s="16"/>
    </row>
    <row r="2326" spans="2:37" x14ac:dyDescent="0.2">
      <c r="B2326" s="7" t="s">
        <v>37</v>
      </c>
      <c r="C2326" s="8">
        <v>12964</v>
      </c>
      <c r="D2326" s="9" t="s">
        <v>503</v>
      </c>
      <c r="E2326" s="10" t="s">
        <v>504</v>
      </c>
      <c r="F2326" s="10" t="s">
        <v>505</v>
      </c>
      <c r="G2326" s="8">
        <v>5</v>
      </c>
      <c r="H2326" s="11">
        <v>150</v>
      </c>
      <c r="I2326" s="12">
        <v>42639</v>
      </c>
      <c r="J2326" s="13">
        <f t="shared" si="79"/>
        <v>0</v>
      </c>
      <c r="K2326" s="14"/>
      <c r="L2326" s="14"/>
      <c r="M2326" s="14"/>
      <c r="N2326" s="14"/>
      <c r="O2326" s="14"/>
      <c r="P2326" s="14"/>
      <c r="Q2326" s="14"/>
      <c r="R2326" s="14"/>
      <c r="S2326" s="14"/>
      <c r="T2326" s="14"/>
      <c r="U2326" s="14"/>
      <c r="V2326" s="14"/>
      <c r="W2326" s="15">
        <f t="shared" si="80"/>
        <v>0</v>
      </c>
      <c r="X2326" s="14"/>
      <c r="Y2326" s="14"/>
      <c r="Z2326" s="14"/>
      <c r="AA2326" s="14"/>
      <c r="AB2326" s="14"/>
      <c r="AC2326" s="14"/>
      <c r="AD2326" s="14"/>
      <c r="AE2326" s="14"/>
      <c r="AF2326" s="14"/>
      <c r="AG2326" s="14"/>
      <c r="AH2326" s="14"/>
      <c r="AI2326" s="14"/>
      <c r="AJ2326" s="15"/>
      <c r="AK2326" s="16"/>
    </row>
    <row r="2327" spans="2:37" x14ac:dyDescent="0.2">
      <c r="B2327" s="7" t="s">
        <v>73</v>
      </c>
      <c r="C2327" s="8">
        <v>12965</v>
      </c>
      <c r="D2327" s="9" t="s">
        <v>202</v>
      </c>
      <c r="E2327" s="10" t="s">
        <v>203</v>
      </c>
      <c r="F2327" s="10" t="s">
        <v>204</v>
      </c>
      <c r="G2327" s="8">
        <v>3</v>
      </c>
      <c r="H2327" s="11">
        <v>200</v>
      </c>
      <c r="I2327" s="12">
        <v>42639</v>
      </c>
      <c r="J2327" s="13">
        <f t="shared" si="79"/>
        <v>0</v>
      </c>
      <c r="K2327" s="14"/>
      <c r="L2327" s="14"/>
      <c r="M2327" s="14"/>
      <c r="N2327" s="14"/>
      <c r="O2327" s="14"/>
      <c r="P2327" s="14"/>
      <c r="Q2327" s="14"/>
      <c r="R2327" s="14"/>
      <c r="S2327" s="14"/>
      <c r="T2327" s="14"/>
      <c r="U2327" s="14"/>
      <c r="V2327" s="14"/>
      <c r="W2327" s="15">
        <f t="shared" si="80"/>
        <v>0</v>
      </c>
      <c r="X2327" s="14"/>
      <c r="Y2327" s="14"/>
      <c r="Z2327" s="14"/>
      <c r="AA2327" s="14"/>
      <c r="AB2327" s="14"/>
      <c r="AC2327" s="14"/>
      <c r="AD2327" s="14"/>
      <c r="AE2327" s="14"/>
      <c r="AF2327" s="14"/>
      <c r="AG2327" s="14"/>
      <c r="AH2327" s="14"/>
      <c r="AI2327" s="14"/>
      <c r="AJ2327" s="15"/>
      <c r="AK2327" s="16"/>
    </row>
    <row r="2328" spans="2:37" x14ac:dyDescent="0.2">
      <c r="B2328" s="7" t="s">
        <v>73</v>
      </c>
      <c r="C2328" s="8">
        <v>12966</v>
      </c>
      <c r="D2328" s="9" t="s">
        <v>126</v>
      </c>
      <c r="E2328" s="10" t="s">
        <v>127</v>
      </c>
      <c r="F2328" s="10" t="s">
        <v>128</v>
      </c>
      <c r="G2328" s="8">
        <v>5</v>
      </c>
      <c r="H2328" s="11">
        <v>50</v>
      </c>
      <c r="I2328" s="12">
        <v>42639</v>
      </c>
      <c r="J2328" s="13">
        <f t="shared" si="79"/>
        <v>0</v>
      </c>
      <c r="K2328" s="14"/>
      <c r="L2328" s="14"/>
      <c r="M2328" s="14"/>
      <c r="N2328" s="14"/>
      <c r="O2328" s="14"/>
      <c r="P2328" s="14"/>
      <c r="Q2328" s="14"/>
      <c r="R2328" s="14"/>
      <c r="S2328" s="14"/>
      <c r="T2328" s="14"/>
      <c r="U2328" s="14"/>
      <c r="V2328" s="14"/>
      <c r="W2328" s="15">
        <f t="shared" si="80"/>
        <v>0</v>
      </c>
      <c r="X2328" s="14"/>
      <c r="Y2328" s="14"/>
      <c r="Z2328" s="14"/>
      <c r="AA2328" s="14"/>
      <c r="AB2328" s="14"/>
      <c r="AC2328" s="14"/>
      <c r="AD2328" s="14"/>
      <c r="AE2328" s="14"/>
      <c r="AF2328" s="14"/>
      <c r="AG2328" s="14"/>
      <c r="AH2328" s="14"/>
      <c r="AI2328" s="14"/>
      <c r="AJ2328" s="15"/>
      <c r="AK2328" s="16"/>
    </row>
    <row r="2329" spans="2:37" x14ac:dyDescent="0.2">
      <c r="B2329" s="7" t="s">
        <v>37</v>
      </c>
      <c r="C2329" s="8">
        <v>12967</v>
      </c>
      <c r="D2329" s="9" t="s">
        <v>494</v>
      </c>
      <c r="E2329" s="10" t="s">
        <v>495</v>
      </c>
      <c r="F2329" s="10" t="s">
        <v>496</v>
      </c>
      <c r="G2329" s="8">
        <v>1</v>
      </c>
      <c r="H2329" s="11">
        <v>150</v>
      </c>
      <c r="I2329" s="12">
        <v>42639</v>
      </c>
      <c r="J2329" s="13">
        <f t="shared" si="79"/>
        <v>0</v>
      </c>
      <c r="K2329" s="14"/>
      <c r="L2329" s="14"/>
      <c r="M2329" s="14"/>
      <c r="N2329" s="14"/>
      <c r="O2329" s="14"/>
      <c r="P2329" s="14"/>
      <c r="Q2329" s="14"/>
      <c r="R2329" s="14"/>
      <c r="S2329" s="14">
        <v>150</v>
      </c>
      <c r="T2329" s="14"/>
      <c r="U2329" s="14"/>
      <c r="V2329" s="14"/>
      <c r="W2329" s="15">
        <f t="shared" si="80"/>
        <v>150</v>
      </c>
      <c r="X2329" s="14"/>
      <c r="Y2329" s="14"/>
      <c r="Z2329" s="14"/>
      <c r="AA2329" s="14"/>
      <c r="AB2329" s="14"/>
      <c r="AC2329" s="14"/>
      <c r="AD2329" s="14"/>
      <c r="AE2329" s="14"/>
      <c r="AF2329" s="14"/>
      <c r="AG2329" s="14"/>
      <c r="AH2329" s="14"/>
      <c r="AI2329" s="14"/>
      <c r="AJ2329" s="15"/>
      <c r="AK2329" s="16"/>
    </row>
    <row r="2330" spans="2:37" x14ac:dyDescent="0.2">
      <c r="B2330" s="7" t="s">
        <v>37</v>
      </c>
      <c r="C2330" s="8">
        <v>12968</v>
      </c>
      <c r="D2330" s="9" t="s">
        <v>358</v>
      </c>
      <c r="E2330" s="10" t="s">
        <v>359</v>
      </c>
      <c r="F2330" s="10" t="s">
        <v>360</v>
      </c>
      <c r="G2330" s="8">
        <v>1</v>
      </c>
      <c r="H2330" s="11">
        <v>700</v>
      </c>
      <c r="I2330" s="12">
        <v>42639</v>
      </c>
      <c r="J2330" s="13">
        <f t="shared" si="79"/>
        <v>0</v>
      </c>
      <c r="K2330" s="14"/>
      <c r="L2330" s="14"/>
      <c r="M2330" s="14"/>
      <c r="N2330" s="14"/>
      <c r="O2330" s="14"/>
      <c r="P2330" s="14">
        <v>100</v>
      </c>
      <c r="Q2330" s="14">
        <v>150</v>
      </c>
      <c r="R2330" s="14">
        <v>150</v>
      </c>
      <c r="S2330" s="14">
        <v>150</v>
      </c>
      <c r="T2330" s="14">
        <v>150</v>
      </c>
      <c r="U2330" s="14"/>
      <c r="V2330" s="14"/>
      <c r="W2330" s="15">
        <f t="shared" si="80"/>
        <v>700</v>
      </c>
      <c r="X2330" s="14"/>
      <c r="Y2330" s="14"/>
      <c r="Z2330" s="14"/>
      <c r="AA2330" s="14"/>
      <c r="AB2330" s="14"/>
      <c r="AC2330" s="14"/>
      <c r="AD2330" s="14"/>
      <c r="AE2330" s="14"/>
      <c r="AF2330" s="14"/>
      <c r="AG2330" s="14"/>
      <c r="AH2330" s="14"/>
      <c r="AI2330" s="14"/>
      <c r="AJ2330" s="15"/>
      <c r="AK2330" s="16"/>
    </row>
    <row r="2331" spans="2:37" x14ac:dyDescent="0.2">
      <c r="B2331" s="7" t="s">
        <v>73</v>
      </c>
      <c r="C2331" s="8">
        <v>12969</v>
      </c>
      <c r="D2331" s="9" t="s">
        <v>806</v>
      </c>
      <c r="E2331" s="10" t="s">
        <v>885</v>
      </c>
      <c r="F2331" s="10" t="s">
        <v>805</v>
      </c>
      <c r="G2331" s="8">
        <v>3</v>
      </c>
      <c r="H2331" s="11">
        <v>400</v>
      </c>
      <c r="I2331" s="12">
        <v>42639</v>
      </c>
      <c r="J2331" s="13">
        <f t="shared" si="79"/>
        <v>0</v>
      </c>
      <c r="K2331" s="14"/>
      <c r="L2331" s="14"/>
      <c r="M2331" s="14"/>
      <c r="N2331" s="14"/>
      <c r="O2331" s="14"/>
      <c r="P2331" s="14"/>
      <c r="Q2331" s="14"/>
      <c r="R2331" s="14"/>
      <c r="S2331" s="14"/>
      <c r="T2331" s="14"/>
      <c r="U2331" s="14"/>
      <c r="V2331" s="14"/>
      <c r="W2331" s="15">
        <f t="shared" si="80"/>
        <v>0</v>
      </c>
      <c r="X2331" s="14"/>
      <c r="Y2331" s="14"/>
      <c r="Z2331" s="14"/>
      <c r="AA2331" s="14"/>
      <c r="AB2331" s="14"/>
      <c r="AC2331" s="14"/>
      <c r="AD2331" s="14"/>
      <c r="AE2331" s="14"/>
      <c r="AF2331" s="14"/>
      <c r="AG2331" s="14"/>
      <c r="AH2331" s="14"/>
      <c r="AI2331" s="14"/>
      <c r="AJ2331" s="15"/>
      <c r="AK2331" s="16"/>
    </row>
    <row r="2332" spans="2:37" x14ac:dyDescent="0.2">
      <c r="B2332" s="7" t="s">
        <v>391</v>
      </c>
      <c r="C2332" s="8">
        <v>12970</v>
      </c>
      <c r="D2332" s="9" t="s">
        <v>482</v>
      </c>
      <c r="E2332" s="10" t="s">
        <v>483</v>
      </c>
      <c r="F2332" s="10" t="s">
        <v>484</v>
      </c>
      <c r="G2332" s="8">
        <v>1</v>
      </c>
      <c r="H2332" s="11">
        <v>600</v>
      </c>
      <c r="I2332" s="12">
        <v>42640</v>
      </c>
      <c r="J2332" s="13">
        <f t="shared" si="79"/>
        <v>0</v>
      </c>
      <c r="K2332" s="14"/>
      <c r="L2332" s="14"/>
      <c r="M2332" s="14"/>
      <c r="N2332" s="14"/>
      <c r="O2332" s="14"/>
      <c r="P2332" s="14"/>
      <c r="Q2332" s="14"/>
      <c r="R2332" s="14">
        <v>200</v>
      </c>
      <c r="S2332" s="14">
        <v>200</v>
      </c>
      <c r="T2332" s="14">
        <v>200</v>
      </c>
      <c r="U2332" s="14"/>
      <c r="V2332" s="14"/>
      <c r="W2332" s="15">
        <f t="shared" si="80"/>
        <v>600</v>
      </c>
      <c r="X2332" s="14"/>
      <c r="Y2332" s="14"/>
      <c r="Z2332" s="14"/>
      <c r="AA2332" s="14"/>
      <c r="AB2332" s="14"/>
      <c r="AC2332" s="14"/>
      <c r="AD2332" s="14"/>
      <c r="AE2332" s="14"/>
      <c r="AF2332" s="14"/>
      <c r="AG2332" s="14"/>
      <c r="AH2332" s="14"/>
      <c r="AI2332" s="14"/>
      <c r="AJ2332" s="15"/>
      <c r="AK2332" s="16"/>
    </row>
    <row r="2333" spans="2:37" x14ac:dyDescent="0.2">
      <c r="B2333" s="7" t="s">
        <v>47</v>
      </c>
      <c r="C2333" s="8">
        <v>12971</v>
      </c>
      <c r="D2333" s="9" t="s">
        <v>807</v>
      </c>
      <c r="E2333" s="10" t="s">
        <v>808</v>
      </c>
      <c r="F2333" s="10" t="s">
        <v>809</v>
      </c>
      <c r="G2333" s="8">
        <v>7</v>
      </c>
      <c r="H2333" s="11">
        <v>500</v>
      </c>
      <c r="I2333" s="12">
        <v>42640</v>
      </c>
      <c r="J2333" s="13">
        <f t="shared" si="79"/>
        <v>0</v>
      </c>
      <c r="K2333" s="14"/>
      <c r="L2333" s="14"/>
      <c r="M2333" s="14"/>
      <c r="N2333" s="14"/>
      <c r="O2333" s="14"/>
      <c r="P2333" s="14"/>
      <c r="Q2333" s="14"/>
      <c r="R2333" s="14"/>
      <c r="S2333" s="14"/>
      <c r="T2333" s="14"/>
      <c r="U2333" s="14"/>
      <c r="V2333" s="14"/>
      <c r="W2333" s="15">
        <f t="shared" si="80"/>
        <v>0</v>
      </c>
      <c r="X2333" s="14"/>
      <c r="Y2333" s="14"/>
      <c r="Z2333" s="14"/>
      <c r="AA2333" s="14"/>
      <c r="AB2333" s="14"/>
      <c r="AC2333" s="14"/>
      <c r="AD2333" s="14"/>
      <c r="AE2333" s="14"/>
      <c r="AF2333" s="14"/>
      <c r="AG2333" s="14"/>
      <c r="AH2333" s="14"/>
      <c r="AI2333" s="14"/>
      <c r="AJ2333" s="15"/>
      <c r="AK2333" s="16"/>
    </row>
    <row r="2334" spans="2:37" x14ac:dyDescent="0.2">
      <c r="B2334" s="7" t="s">
        <v>37</v>
      </c>
      <c r="C2334" s="8">
        <v>12972</v>
      </c>
      <c r="D2334" s="9" t="s">
        <v>1203</v>
      </c>
      <c r="E2334" s="10" t="s">
        <v>1204</v>
      </c>
      <c r="F2334" s="10" t="s">
        <v>1205</v>
      </c>
      <c r="G2334" s="8">
        <v>1</v>
      </c>
      <c r="H2334" s="11">
        <v>300</v>
      </c>
      <c r="I2334" s="12">
        <v>42640</v>
      </c>
      <c r="J2334" s="13">
        <f t="shared" si="79"/>
        <v>0</v>
      </c>
      <c r="K2334" s="14"/>
      <c r="L2334" s="14"/>
      <c r="M2334" s="14"/>
      <c r="N2334" s="14"/>
      <c r="O2334" s="14"/>
      <c r="P2334" s="14"/>
      <c r="Q2334" s="14"/>
      <c r="R2334" s="14"/>
      <c r="S2334" s="14"/>
      <c r="T2334" s="14">
        <v>300</v>
      </c>
      <c r="U2334" s="14"/>
      <c r="V2334" s="14"/>
      <c r="W2334" s="15">
        <f t="shared" si="80"/>
        <v>300</v>
      </c>
      <c r="X2334" s="14"/>
      <c r="Y2334" s="14"/>
      <c r="Z2334" s="14"/>
      <c r="AA2334" s="14"/>
      <c r="AB2334" s="14"/>
      <c r="AC2334" s="14"/>
      <c r="AD2334" s="14"/>
      <c r="AE2334" s="14"/>
      <c r="AF2334" s="14"/>
      <c r="AG2334" s="14"/>
      <c r="AH2334" s="14"/>
      <c r="AI2334" s="14"/>
      <c r="AJ2334" s="15"/>
      <c r="AK2334" s="16"/>
    </row>
    <row r="2335" spans="2:37" x14ac:dyDescent="0.2">
      <c r="B2335" s="7" t="s">
        <v>37</v>
      </c>
      <c r="C2335" s="8">
        <v>12972</v>
      </c>
      <c r="D2335" s="9" t="s">
        <v>1203</v>
      </c>
      <c r="E2335" s="10" t="s">
        <v>1204</v>
      </c>
      <c r="F2335" s="10" t="s">
        <v>1205</v>
      </c>
      <c r="G2335" s="8">
        <v>5</v>
      </c>
      <c r="H2335" s="11">
        <v>100</v>
      </c>
      <c r="I2335" s="12">
        <v>42640</v>
      </c>
      <c r="J2335" s="13">
        <f t="shared" si="79"/>
        <v>0</v>
      </c>
      <c r="K2335" s="14"/>
      <c r="L2335" s="14"/>
      <c r="M2335" s="14"/>
      <c r="N2335" s="14"/>
      <c r="O2335" s="14"/>
      <c r="P2335" s="14"/>
      <c r="Q2335" s="14"/>
      <c r="R2335" s="14"/>
      <c r="S2335" s="14"/>
      <c r="T2335" s="14"/>
      <c r="U2335" s="14"/>
      <c r="V2335" s="14"/>
      <c r="W2335" s="15">
        <f t="shared" si="80"/>
        <v>0</v>
      </c>
      <c r="X2335" s="14"/>
      <c r="Y2335" s="14"/>
      <c r="Z2335" s="14"/>
      <c r="AA2335" s="14"/>
      <c r="AB2335" s="14"/>
      <c r="AC2335" s="14"/>
      <c r="AD2335" s="14"/>
      <c r="AE2335" s="14"/>
      <c r="AF2335" s="14"/>
      <c r="AG2335" s="14"/>
      <c r="AH2335" s="14"/>
      <c r="AI2335" s="14"/>
      <c r="AJ2335" s="15"/>
      <c r="AK2335" s="16"/>
    </row>
    <row r="2336" spans="2:37" x14ac:dyDescent="0.2">
      <c r="B2336" s="7" t="s">
        <v>1118</v>
      </c>
      <c r="C2336" s="8">
        <v>12973</v>
      </c>
      <c r="D2336" s="9" t="s">
        <v>1160</v>
      </c>
      <c r="E2336" s="10" t="s">
        <v>1161</v>
      </c>
      <c r="F2336" s="10" t="s">
        <v>1162</v>
      </c>
      <c r="G2336" s="8">
        <v>1</v>
      </c>
      <c r="H2336" s="11">
        <v>200</v>
      </c>
      <c r="I2336" s="12">
        <v>42643</v>
      </c>
      <c r="J2336" s="13">
        <f t="shared" si="79"/>
        <v>0</v>
      </c>
      <c r="K2336" s="14"/>
      <c r="L2336" s="14"/>
      <c r="M2336" s="14"/>
      <c r="N2336" s="14"/>
      <c r="O2336" s="14"/>
      <c r="P2336" s="14"/>
      <c r="Q2336" s="14"/>
      <c r="R2336" s="14"/>
      <c r="S2336" s="14">
        <v>200</v>
      </c>
      <c r="T2336" s="14"/>
      <c r="U2336" s="14"/>
      <c r="V2336" s="14"/>
      <c r="W2336" s="15">
        <f t="shared" si="80"/>
        <v>200</v>
      </c>
      <c r="X2336" s="14"/>
      <c r="Y2336" s="14"/>
      <c r="Z2336" s="14"/>
      <c r="AA2336" s="14"/>
      <c r="AB2336" s="14"/>
      <c r="AC2336" s="14"/>
      <c r="AD2336" s="14"/>
      <c r="AE2336" s="14"/>
      <c r="AF2336" s="14"/>
      <c r="AG2336" s="14"/>
      <c r="AH2336" s="14"/>
      <c r="AI2336" s="14"/>
      <c r="AJ2336" s="15"/>
      <c r="AK2336" s="16"/>
    </row>
    <row r="2337" spans="1:37" x14ac:dyDescent="0.2">
      <c r="B2337" s="7" t="s">
        <v>69</v>
      </c>
      <c r="C2337" s="8">
        <v>12523</v>
      </c>
      <c r="D2337" s="9" t="s">
        <v>211</v>
      </c>
      <c r="E2337" s="10" t="s">
        <v>212</v>
      </c>
      <c r="F2337" s="10" t="s">
        <v>213</v>
      </c>
      <c r="G2337" s="8">
        <v>1</v>
      </c>
      <c r="H2337" s="11">
        <v>300</v>
      </c>
      <c r="I2337" s="12">
        <v>42643</v>
      </c>
      <c r="J2337" s="13">
        <f t="shared" si="79"/>
        <v>0</v>
      </c>
      <c r="K2337" s="14"/>
      <c r="L2337" s="14"/>
      <c r="M2337" s="14"/>
      <c r="N2337" s="14"/>
      <c r="O2337" s="14"/>
      <c r="P2337" s="14"/>
      <c r="Q2337" s="14"/>
      <c r="R2337" s="14"/>
      <c r="S2337" s="14">
        <v>300</v>
      </c>
      <c r="T2337" s="14"/>
      <c r="U2337" s="14"/>
      <c r="V2337" s="14"/>
      <c r="W2337" s="15">
        <f t="shared" si="80"/>
        <v>300</v>
      </c>
      <c r="X2337" s="14"/>
      <c r="Y2337" s="14"/>
      <c r="Z2337" s="14"/>
      <c r="AA2337" s="14"/>
      <c r="AB2337" s="14"/>
      <c r="AC2337" s="14"/>
      <c r="AD2337" s="14"/>
      <c r="AE2337" s="14"/>
      <c r="AF2337" s="14"/>
      <c r="AG2337" s="14"/>
      <c r="AH2337" s="14"/>
      <c r="AI2337" s="14"/>
      <c r="AJ2337" s="15"/>
      <c r="AK2337" s="16"/>
    </row>
    <row r="2338" spans="1:37" x14ac:dyDescent="0.2">
      <c r="B2338" s="7" t="s">
        <v>73</v>
      </c>
      <c r="C2338" s="8"/>
      <c r="D2338" s="9" t="s">
        <v>806</v>
      </c>
      <c r="E2338" s="10" t="s">
        <v>885</v>
      </c>
      <c r="F2338" s="10" t="s">
        <v>805</v>
      </c>
      <c r="G2338" s="8">
        <v>1</v>
      </c>
      <c r="H2338" s="11">
        <v>11000</v>
      </c>
      <c r="I2338" s="12">
        <v>42634</v>
      </c>
      <c r="J2338" s="13">
        <f t="shared" si="79"/>
        <v>0</v>
      </c>
      <c r="K2338" s="14"/>
      <c r="L2338" s="14"/>
      <c r="M2338" s="14"/>
      <c r="N2338" s="14"/>
      <c r="O2338" s="14"/>
      <c r="P2338" s="14"/>
      <c r="Q2338" s="14"/>
      <c r="R2338" s="14"/>
      <c r="S2338" s="14">
        <v>11000</v>
      </c>
      <c r="T2338" s="14"/>
      <c r="U2338" s="14"/>
      <c r="V2338" s="14"/>
      <c r="W2338" s="15">
        <f t="shared" si="80"/>
        <v>11000</v>
      </c>
      <c r="X2338" s="14"/>
      <c r="Y2338" s="14"/>
      <c r="Z2338" s="14"/>
      <c r="AA2338" s="14"/>
      <c r="AB2338" s="14"/>
      <c r="AC2338" s="14"/>
      <c r="AD2338" s="14"/>
      <c r="AE2338" s="14"/>
      <c r="AF2338" s="14"/>
      <c r="AG2338" s="14"/>
      <c r="AH2338" s="14"/>
      <c r="AI2338" s="14"/>
      <c r="AJ2338" s="15"/>
      <c r="AK2338" s="16"/>
    </row>
    <row r="2339" spans="1:37" x14ac:dyDescent="0.2">
      <c r="B2339" s="7" t="s">
        <v>93</v>
      </c>
      <c r="C2339" s="8"/>
      <c r="D2339" s="9"/>
      <c r="E2339" s="10" t="s">
        <v>93</v>
      </c>
      <c r="F2339" s="10" t="s">
        <v>93</v>
      </c>
      <c r="G2339" s="8"/>
      <c r="H2339" s="11"/>
      <c r="I2339" s="12"/>
      <c r="J2339" s="13">
        <f>IF(G2339=1,SUM(W2339,-H2339),0)</f>
        <v>0</v>
      </c>
      <c r="K2339" s="14"/>
      <c r="L2339" s="14"/>
      <c r="M2339" s="14"/>
      <c r="N2339" s="14"/>
      <c r="O2339" s="14"/>
      <c r="P2339" s="14"/>
      <c r="Q2339" s="14"/>
      <c r="R2339" s="14"/>
      <c r="S2339" s="14"/>
      <c r="T2339" s="14"/>
      <c r="U2339" s="14"/>
      <c r="V2339" s="14"/>
      <c r="W2339" s="15">
        <f>SUM(K2339:V2339)</f>
        <v>0</v>
      </c>
      <c r="X2339" s="14"/>
      <c r="Y2339" s="14"/>
      <c r="Z2339" s="14"/>
      <c r="AA2339" s="14"/>
      <c r="AB2339" s="14"/>
      <c r="AC2339" s="14"/>
      <c r="AD2339" s="14"/>
      <c r="AE2339" s="14"/>
      <c r="AF2339" s="14"/>
      <c r="AG2339" s="14"/>
      <c r="AH2339" s="14"/>
      <c r="AI2339" s="14"/>
      <c r="AJ2339" s="15"/>
      <c r="AK2339" s="16"/>
    </row>
    <row r="2340" spans="1:37" x14ac:dyDescent="0.2">
      <c r="B2340" s="7" t="s">
        <v>93</v>
      </c>
      <c r="C2340" s="8"/>
      <c r="D2340" s="9"/>
      <c r="E2340" s="10" t="s">
        <v>93</v>
      </c>
      <c r="F2340" s="10" t="s">
        <v>93</v>
      </c>
      <c r="G2340" s="8"/>
      <c r="H2340" s="11"/>
      <c r="I2340" s="12"/>
      <c r="J2340" s="13">
        <f>IF(G2340=1,SUM(W2340,-H2340),0)</f>
        <v>0</v>
      </c>
      <c r="K2340" s="14"/>
      <c r="L2340" s="14"/>
      <c r="M2340" s="14"/>
      <c r="N2340" s="14"/>
      <c r="O2340" s="14"/>
      <c r="P2340" s="14"/>
      <c r="Q2340" s="14"/>
      <c r="R2340" s="14"/>
      <c r="S2340" s="14"/>
      <c r="T2340" s="14"/>
      <c r="U2340" s="14"/>
      <c r="V2340" s="14"/>
      <c r="W2340" s="15">
        <f>SUM(K2340:V2340)</f>
        <v>0</v>
      </c>
      <c r="X2340" s="14"/>
      <c r="Y2340" s="14"/>
      <c r="Z2340" s="14"/>
      <c r="AA2340" s="14"/>
      <c r="AB2340" s="14"/>
      <c r="AC2340" s="14"/>
      <c r="AD2340" s="14"/>
      <c r="AE2340" s="14"/>
      <c r="AF2340" s="14"/>
      <c r="AG2340" s="14"/>
      <c r="AH2340" s="14"/>
      <c r="AI2340" s="14"/>
      <c r="AJ2340" s="15"/>
      <c r="AK2340" s="16"/>
    </row>
    <row r="2341" spans="1:37" x14ac:dyDescent="0.2">
      <c r="B2341" s="7" t="s">
        <v>93</v>
      </c>
      <c r="C2341" s="8"/>
      <c r="D2341" s="9"/>
      <c r="E2341" s="10" t="s">
        <v>93</v>
      </c>
      <c r="F2341" s="10" t="s">
        <v>93</v>
      </c>
      <c r="G2341" s="8"/>
      <c r="H2341" s="11"/>
      <c r="I2341" s="12"/>
      <c r="J2341" s="13">
        <f>IF(G2341=1,SUM(W2341,-H2341),0)</f>
        <v>0</v>
      </c>
      <c r="K2341" s="14"/>
      <c r="L2341" s="14"/>
      <c r="M2341" s="14"/>
      <c r="N2341" s="14"/>
      <c r="O2341" s="14"/>
      <c r="P2341" s="14"/>
      <c r="Q2341" s="14"/>
      <c r="R2341" s="14"/>
      <c r="S2341" s="14"/>
      <c r="T2341" s="14"/>
      <c r="U2341" s="14"/>
      <c r="V2341" s="14"/>
      <c r="W2341" s="15">
        <f>SUM(K2341:V2341)</f>
        <v>0</v>
      </c>
      <c r="X2341" s="14"/>
      <c r="Y2341" s="14"/>
      <c r="Z2341" s="14"/>
      <c r="AA2341" s="14"/>
      <c r="AB2341" s="14"/>
      <c r="AC2341" s="14"/>
      <c r="AD2341" s="14"/>
      <c r="AE2341" s="14"/>
      <c r="AF2341" s="14"/>
      <c r="AG2341" s="14"/>
      <c r="AH2341" s="14"/>
      <c r="AI2341" s="14"/>
      <c r="AJ2341" s="15"/>
      <c r="AK2341" s="16"/>
    </row>
    <row r="2342" spans="1:37" ht="22.5" x14ac:dyDescent="0.2">
      <c r="A2342" s="2" t="s">
        <v>0</v>
      </c>
      <c r="B2342" s="3" t="s">
        <v>1</v>
      </c>
      <c r="C2342" s="3" t="s">
        <v>2</v>
      </c>
      <c r="D2342" s="3" t="s">
        <v>3</v>
      </c>
      <c r="E2342" s="3" t="s">
        <v>4</v>
      </c>
      <c r="F2342" s="3" t="s">
        <v>5</v>
      </c>
      <c r="G2342" s="3" t="s">
        <v>6</v>
      </c>
      <c r="H2342" s="3" t="s">
        <v>7</v>
      </c>
      <c r="I2342" s="3" t="s">
        <v>8</v>
      </c>
      <c r="J2342" s="3" t="s">
        <v>9</v>
      </c>
      <c r="K2342" s="4" t="s">
        <v>10</v>
      </c>
      <c r="L2342" s="4" t="s">
        <v>11</v>
      </c>
      <c r="M2342" s="4" t="s">
        <v>12</v>
      </c>
      <c r="N2342" s="4" t="s">
        <v>13</v>
      </c>
      <c r="O2342" s="4" t="s">
        <v>14</v>
      </c>
      <c r="P2342" s="4" t="s">
        <v>15</v>
      </c>
      <c r="Q2342" s="4" t="s">
        <v>16</v>
      </c>
      <c r="R2342" s="4" t="s">
        <v>17</v>
      </c>
      <c r="S2342" s="4" t="s">
        <v>18</v>
      </c>
      <c r="T2342" s="4" t="s">
        <v>19</v>
      </c>
      <c r="U2342" s="4" t="s">
        <v>20</v>
      </c>
      <c r="V2342" s="4" t="s">
        <v>21</v>
      </c>
      <c r="W2342" s="5" t="s">
        <v>22</v>
      </c>
      <c r="X2342" s="4" t="s">
        <v>23</v>
      </c>
      <c r="Y2342" s="4" t="s">
        <v>24</v>
      </c>
      <c r="Z2342" s="4" t="s">
        <v>25</v>
      </c>
      <c r="AA2342" s="4" t="s">
        <v>26</v>
      </c>
      <c r="AB2342" s="4" t="s">
        <v>27</v>
      </c>
      <c r="AC2342" s="4" t="s">
        <v>28</v>
      </c>
      <c r="AD2342" s="4" t="s">
        <v>29</v>
      </c>
      <c r="AE2342" s="4" t="s">
        <v>30</v>
      </c>
      <c r="AF2342" s="4" t="s">
        <v>31</v>
      </c>
      <c r="AG2342" s="4" t="s">
        <v>32</v>
      </c>
      <c r="AH2342" s="4" t="s">
        <v>33</v>
      </c>
      <c r="AI2342" s="4" t="s">
        <v>34</v>
      </c>
      <c r="AJ2342" s="5" t="s">
        <v>35</v>
      </c>
      <c r="AK2342" s="6" t="s">
        <v>36</v>
      </c>
    </row>
    <row r="2343" spans="1:37" x14ac:dyDescent="0.2">
      <c r="B2343" s="7" t="s">
        <v>73</v>
      </c>
      <c r="C2343" s="8">
        <v>12494</v>
      </c>
      <c r="D2343" s="9" t="s">
        <v>458</v>
      </c>
      <c r="E2343" s="10" t="s">
        <v>459</v>
      </c>
      <c r="F2343" s="10" t="s">
        <v>460</v>
      </c>
      <c r="G2343" s="8">
        <v>1</v>
      </c>
      <c r="H2343" s="11">
        <v>800</v>
      </c>
      <c r="I2343" s="12">
        <v>42645</v>
      </c>
      <c r="J2343" s="35">
        <f>IF(G2343=1,SUM(W2343,AJ2343,-H2343),0)</f>
        <v>0</v>
      </c>
      <c r="K2343" s="36"/>
      <c r="L2343" s="36"/>
      <c r="M2343" s="36"/>
      <c r="N2343" s="36"/>
      <c r="O2343" s="36"/>
      <c r="P2343" s="36"/>
      <c r="Q2343" s="36"/>
      <c r="R2343" s="36"/>
      <c r="S2343" s="36">
        <v>400</v>
      </c>
      <c r="T2343" s="36">
        <v>400</v>
      </c>
      <c r="U2343" s="36"/>
      <c r="V2343" s="36"/>
      <c r="W2343" s="15">
        <f t="shared" ref="W2343:W2374" si="81">SUM(K2343:V2343)</f>
        <v>800</v>
      </c>
      <c r="X2343" s="36"/>
      <c r="Y2343" s="36"/>
      <c r="Z2343" s="36"/>
      <c r="AA2343" s="36"/>
      <c r="AB2343" s="36"/>
      <c r="AC2343" s="36"/>
      <c r="AD2343" s="36"/>
      <c r="AE2343" s="36"/>
      <c r="AF2343" s="36"/>
      <c r="AG2343" s="36"/>
      <c r="AH2343" s="36"/>
      <c r="AI2343" s="36"/>
      <c r="AJ2343" s="15">
        <f t="shared" ref="AJ2343:AJ2406" si="82">SUM(X2343:AI2343)</f>
        <v>0</v>
      </c>
      <c r="AK2343" s="16"/>
    </row>
    <row r="2344" spans="1:37" x14ac:dyDescent="0.2">
      <c r="B2344" s="7" t="s">
        <v>73</v>
      </c>
      <c r="C2344" s="8">
        <v>12495</v>
      </c>
      <c r="D2344" s="9" t="s">
        <v>458</v>
      </c>
      <c r="E2344" s="10" t="s">
        <v>459</v>
      </c>
      <c r="F2344" s="10" t="s">
        <v>460</v>
      </c>
      <c r="G2344" s="8">
        <v>5</v>
      </c>
      <c r="H2344" s="11">
        <v>50</v>
      </c>
      <c r="I2344" s="12">
        <v>42645</v>
      </c>
      <c r="J2344" s="35">
        <f t="shared" ref="J2344:J2408" si="83">IF(G2344=1,SUM(W2344,AJ2344,-H2344),0)</f>
        <v>0</v>
      </c>
      <c r="K2344" s="36"/>
      <c r="L2344" s="36"/>
      <c r="M2344" s="36"/>
      <c r="N2344" s="36"/>
      <c r="O2344" s="36"/>
      <c r="P2344" s="36"/>
      <c r="Q2344" s="36"/>
      <c r="R2344" s="36"/>
      <c r="S2344" s="36"/>
      <c r="T2344" s="36"/>
      <c r="U2344" s="36"/>
      <c r="V2344" s="36"/>
      <c r="W2344" s="15">
        <f t="shared" si="81"/>
        <v>0</v>
      </c>
      <c r="X2344" s="36"/>
      <c r="Y2344" s="36"/>
      <c r="Z2344" s="36"/>
      <c r="AA2344" s="36"/>
      <c r="AB2344" s="36"/>
      <c r="AC2344" s="36"/>
      <c r="AD2344" s="36"/>
      <c r="AE2344" s="36"/>
      <c r="AF2344" s="36"/>
      <c r="AG2344" s="36"/>
      <c r="AH2344" s="36"/>
      <c r="AI2344" s="36"/>
      <c r="AJ2344" s="15">
        <f t="shared" si="82"/>
        <v>0</v>
      </c>
      <c r="AK2344" s="16"/>
    </row>
    <row r="2345" spans="1:37" x14ac:dyDescent="0.2">
      <c r="B2345" s="7" t="s">
        <v>69</v>
      </c>
      <c r="C2345" s="8">
        <v>12496</v>
      </c>
      <c r="D2345" s="9" t="s">
        <v>100</v>
      </c>
      <c r="E2345" s="10" t="s">
        <v>101</v>
      </c>
      <c r="F2345" s="10" t="s">
        <v>102</v>
      </c>
      <c r="G2345" s="8">
        <v>1</v>
      </c>
      <c r="H2345" s="11">
        <v>400</v>
      </c>
      <c r="I2345" s="12">
        <v>42645</v>
      </c>
      <c r="J2345" s="35">
        <f t="shared" si="83"/>
        <v>0</v>
      </c>
      <c r="K2345" s="36"/>
      <c r="L2345" s="36"/>
      <c r="M2345" s="36"/>
      <c r="N2345" s="36"/>
      <c r="O2345" s="36"/>
      <c r="P2345" s="36"/>
      <c r="Q2345" s="36"/>
      <c r="R2345" s="36"/>
      <c r="S2345" s="36"/>
      <c r="T2345" s="36">
        <v>400</v>
      </c>
      <c r="U2345" s="36"/>
      <c r="V2345" s="36"/>
      <c r="W2345" s="15">
        <f t="shared" si="81"/>
        <v>400</v>
      </c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15">
        <f t="shared" si="82"/>
        <v>0</v>
      </c>
      <c r="AK2345" s="16"/>
    </row>
    <row r="2346" spans="1:37" x14ac:dyDescent="0.2">
      <c r="B2346" s="7" t="s">
        <v>73</v>
      </c>
      <c r="C2346" s="8">
        <v>12497</v>
      </c>
      <c r="D2346" s="9" t="s">
        <v>458</v>
      </c>
      <c r="E2346" s="10" t="s">
        <v>459</v>
      </c>
      <c r="F2346" s="10" t="s">
        <v>460</v>
      </c>
      <c r="G2346" s="8">
        <v>3</v>
      </c>
      <c r="H2346" s="11">
        <v>400</v>
      </c>
      <c r="I2346" s="12">
        <v>42645</v>
      </c>
      <c r="J2346" s="35">
        <f t="shared" si="83"/>
        <v>0</v>
      </c>
      <c r="K2346" s="36"/>
      <c r="L2346" s="36"/>
      <c r="M2346" s="36"/>
      <c r="N2346" s="36"/>
      <c r="O2346" s="36"/>
      <c r="P2346" s="36"/>
      <c r="Q2346" s="36"/>
      <c r="R2346" s="36"/>
      <c r="S2346" s="36"/>
      <c r="T2346" s="36"/>
      <c r="U2346" s="36"/>
      <c r="V2346" s="36"/>
      <c r="W2346" s="15">
        <f t="shared" si="81"/>
        <v>0</v>
      </c>
      <c r="X2346" s="36"/>
      <c r="Y2346" s="36"/>
      <c r="Z2346" s="36"/>
      <c r="AA2346" s="36"/>
      <c r="AB2346" s="36"/>
      <c r="AC2346" s="36"/>
      <c r="AD2346" s="36"/>
      <c r="AE2346" s="36"/>
      <c r="AF2346" s="36"/>
      <c r="AG2346" s="36"/>
      <c r="AH2346" s="36"/>
      <c r="AI2346" s="36"/>
      <c r="AJ2346" s="15">
        <f t="shared" si="82"/>
        <v>0</v>
      </c>
      <c r="AK2346" s="16"/>
    </row>
    <row r="2347" spans="1:37" x14ac:dyDescent="0.2">
      <c r="B2347" s="7" t="s">
        <v>37</v>
      </c>
      <c r="C2347" s="8">
        <v>12498</v>
      </c>
      <c r="D2347" s="9" t="s">
        <v>192</v>
      </c>
      <c r="E2347" s="10" t="s">
        <v>193</v>
      </c>
      <c r="F2347" s="10" t="s">
        <v>194</v>
      </c>
      <c r="G2347" s="8">
        <v>1</v>
      </c>
      <c r="H2347" s="11">
        <v>800</v>
      </c>
      <c r="I2347" s="12">
        <v>42645</v>
      </c>
      <c r="J2347" s="35">
        <f t="shared" si="83"/>
        <v>0</v>
      </c>
      <c r="K2347" s="36"/>
      <c r="L2347" s="36"/>
      <c r="M2347" s="36"/>
      <c r="N2347" s="36"/>
      <c r="O2347" s="36"/>
      <c r="P2347" s="36"/>
      <c r="Q2347" s="36"/>
      <c r="R2347" s="36">
        <v>400</v>
      </c>
      <c r="S2347" s="36">
        <v>400</v>
      </c>
      <c r="T2347" s="36"/>
      <c r="U2347" s="36"/>
      <c r="V2347" s="36"/>
      <c r="W2347" s="15">
        <f t="shared" si="81"/>
        <v>800</v>
      </c>
      <c r="X2347" s="36"/>
      <c r="Y2347" s="36"/>
      <c r="Z2347" s="36"/>
      <c r="AA2347" s="36"/>
      <c r="AB2347" s="36"/>
      <c r="AC2347" s="36"/>
      <c r="AD2347" s="36"/>
      <c r="AE2347" s="36"/>
      <c r="AF2347" s="36"/>
      <c r="AG2347" s="36"/>
      <c r="AH2347" s="36"/>
      <c r="AI2347" s="36"/>
      <c r="AJ2347" s="15">
        <f t="shared" si="82"/>
        <v>0</v>
      </c>
      <c r="AK2347" s="16"/>
    </row>
    <row r="2348" spans="1:37" x14ac:dyDescent="0.2">
      <c r="B2348" s="7" t="s">
        <v>69</v>
      </c>
      <c r="C2348" s="8">
        <v>12499</v>
      </c>
      <c r="D2348" s="9" t="s">
        <v>643</v>
      </c>
      <c r="E2348" s="10" t="s">
        <v>644</v>
      </c>
      <c r="F2348" s="10" t="s">
        <v>645</v>
      </c>
      <c r="G2348" s="8">
        <v>1</v>
      </c>
      <c r="H2348" s="11">
        <v>600</v>
      </c>
      <c r="I2348" s="12">
        <v>42645</v>
      </c>
      <c r="J2348" s="35">
        <f t="shared" si="83"/>
        <v>0</v>
      </c>
      <c r="K2348" s="36"/>
      <c r="L2348" s="36"/>
      <c r="M2348" s="36"/>
      <c r="N2348" s="36"/>
      <c r="O2348" s="36"/>
      <c r="P2348" s="36"/>
      <c r="Q2348" s="36"/>
      <c r="R2348" s="36">
        <v>200</v>
      </c>
      <c r="S2348" s="36">
        <v>200</v>
      </c>
      <c r="T2348" s="36">
        <v>200</v>
      </c>
      <c r="U2348" s="36"/>
      <c r="V2348" s="36"/>
      <c r="W2348" s="15">
        <f t="shared" si="81"/>
        <v>600</v>
      </c>
      <c r="X2348" s="36"/>
      <c r="Y2348" s="36"/>
      <c r="Z2348" s="36"/>
      <c r="AA2348" s="36"/>
      <c r="AB2348" s="36"/>
      <c r="AC2348" s="36"/>
      <c r="AD2348" s="36"/>
      <c r="AE2348" s="36"/>
      <c r="AF2348" s="36"/>
      <c r="AG2348" s="36"/>
      <c r="AH2348" s="36"/>
      <c r="AI2348" s="36"/>
      <c r="AJ2348" s="15">
        <f t="shared" si="82"/>
        <v>0</v>
      </c>
      <c r="AK2348" s="16"/>
    </row>
    <row r="2349" spans="1:37" x14ac:dyDescent="0.2">
      <c r="B2349" s="7" t="s">
        <v>37</v>
      </c>
      <c r="C2349" s="8">
        <v>12500</v>
      </c>
      <c r="D2349" s="9" t="s">
        <v>661</v>
      </c>
      <c r="E2349" s="10" t="s">
        <v>662</v>
      </c>
      <c r="F2349" s="10" t="s">
        <v>624</v>
      </c>
      <c r="G2349" s="8">
        <v>1</v>
      </c>
      <c r="H2349" s="11">
        <v>1600</v>
      </c>
      <c r="I2349" s="12">
        <v>42645</v>
      </c>
      <c r="J2349" s="35">
        <f t="shared" si="83"/>
        <v>0</v>
      </c>
      <c r="K2349" s="36"/>
      <c r="L2349" s="36"/>
      <c r="M2349" s="36"/>
      <c r="N2349" s="36"/>
      <c r="O2349" s="36"/>
      <c r="P2349" s="36"/>
      <c r="Q2349" s="36"/>
      <c r="R2349" s="36">
        <v>400</v>
      </c>
      <c r="S2349" s="36">
        <v>400</v>
      </c>
      <c r="T2349" s="36">
        <v>400</v>
      </c>
      <c r="U2349" s="36">
        <v>400</v>
      </c>
      <c r="V2349" s="36"/>
      <c r="W2349" s="15">
        <f t="shared" si="81"/>
        <v>1600</v>
      </c>
      <c r="X2349" s="36"/>
      <c r="Y2349" s="36"/>
      <c r="Z2349" s="36"/>
      <c r="AA2349" s="36"/>
      <c r="AB2349" s="36"/>
      <c r="AC2349" s="36"/>
      <c r="AD2349" s="36"/>
      <c r="AE2349" s="36"/>
      <c r="AF2349" s="36"/>
      <c r="AG2349" s="36"/>
      <c r="AH2349" s="36"/>
      <c r="AI2349" s="36"/>
      <c r="AJ2349" s="15">
        <f t="shared" si="82"/>
        <v>0</v>
      </c>
      <c r="AK2349" s="16"/>
    </row>
    <row r="2350" spans="1:37" x14ac:dyDescent="0.2">
      <c r="B2350" s="7" t="s">
        <v>47</v>
      </c>
      <c r="C2350" s="8">
        <v>12501</v>
      </c>
      <c r="D2350" s="9" t="s">
        <v>183</v>
      </c>
      <c r="E2350" s="10" t="s">
        <v>184</v>
      </c>
      <c r="F2350" s="10" t="s">
        <v>185</v>
      </c>
      <c r="G2350" s="8">
        <v>1</v>
      </c>
      <c r="H2350" s="11">
        <v>400</v>
      </c>
      <c r="I2350" s="12">
        <v>42645</v>
      </c>
      <c r="J2350" s="35">
        <f t="shared" si="83"/>
        <v>0</v>
      </c>
      <c r="K2350" s="36"/>
      <c r="L2350" s="36"/>
      <c r="M2350" s="36"/>
      <c r="N2350" s="36"/>
      <c r="O2350" s="36"/>
      <c r="P2350" s="36"/>
      <c r="Q2350" s="36"/>
      <c r="R2350" s="36"/>
      <c r="S2350" s="36">
        <v>400</v>
      </c>
      <c r="T2350" s="36"/>
      <c r="U2350" s="36"/>
      <c r="V2350" s="36"/>
      <c r="W2350" s="15">
        <f t="shared" si="81"/>
        <v>400</v>
      </c>
      <c r="X2350" s="36"/>
      <c r="Y2350" s="36"/>
      <c r="Z2350" s="36"/>
      <c r="AA2350" s="36"/>
      <c r="AB2350" s="36"/>
      <c r="AC2350" s="36"/>
      <c r="AD2350" s="36"/>
      <c r="AE2350" s="36"/>
      <c r="AF2350" s="36"/>
      <c r="AG2350" s="36"/>
      <c r="AH2350" s="36"/>
      <c r="AI2350" s="36"/>
      <c r="AJ2350" s="15">
        <f t="shared" si="82"/>
        <v>0</v>
      </c>
      <c r="AK2350" s="16"/>
    </row>
    <row r="2351" spans="1:37" x14ac:dyDescent="0.2">
      <c r="B2351" s="7" t="s">
        <v>69</v>
      </c>
      <c r="C2351" s="8">
        <v>12502</v>
      </c>
      <c r="D2351" s="9" t="s">
        <v>325</v>
      </c>
      <c r="E2351" s="10" t="s">
        <v>326</v>
      </c>
      <c r="F2351" s="10" t="s">
        <v>327</v>
      </c>
      <c r="G2351" s="8">
        <v>1</v>
      </c>
      <c r="H2351" s="11">
        <v>400</v>
      </c>
      <c r="I2351" s="12">
        <v>42645</v>
      </c>
      <c r="J2351" s="35">
        <f t="shared" si="83"/>
        <v>0</v>
      </c>
      <c r="K2351" s="36"/>
      <c r="L2351" s="36"/>
      <c r="M2351" s="36"/>
      <c r="N2351" s="36"/>
      <c r="O2351" s="36"/>
      <c r="P2351" s="36"/>
      <c r="Q2351" s="36"/>
      <c r="R2351" s="36"/>
      <c r="S2351" s="36"/>
      <c r="T2351" s="36">
        <v>400</v>
      </c>
      <c r="U2351" s="36"/>
      <c r="V2351" s="36"/>
      <c r="W2351" s="15">
        <f t="shared" si="81"/>
        <v>400</v>
      </c>
      <c r="X2351" s="36"/>
      <c r="Y2351" s="36"/>
      <c r="Z2351" s="36"/>
      <c r="AA2351" s="36"/>
      <c r="AB2351" s="36"/>
      <c r="AC2351" s="36"/>
      <c r="AD2351" s="36"/>
      <c r="AE2351" s="36"/>
      <c r="AF2351" s="36"/>
      <c r="AG2351" s="36"/>
      <c r="AH2351" s="36"/>
      <c r="AI2351" s="36"/>
      <c r="AJ2351" s="15">
        <f t="shared" si="82"/>
        <v>0</v>
      </c>
      <c r="AK2351" s="16"/>
    </row>
    <row r="2352" spans="1:37" x14ac:dyDescent="0.2">
      <c r="B2352" s="7" t="s">
        <v>93</v>
      </c>
      <c r="C2352" s="8">
        <v>12503</v>
      </c>
      <c r="D2352" s="9"/>
      <c r="E2352" s="10" t="s">
        <v>93</v>
      </c>
      <c r="F2352" s="10" t="s">
        <v>93</v>
      </c>
      <c r="G2352" s="8">
        <v>8</v>
      </c>
      <c r="H2352" s="11"/>
      <c r="I2352" s="12"/>
      <c r="J2352" s="35">
        <f t="shared" si="83"/>
        <v>0</v>
      </c>
      <c r="K2352" s="36"/>
      <c r="L2352" s="36"/>
      <c r="M2352" s="36"/>
      <c r="N2352" s="36"/>
      <c r="O2352" s="36"/>
      <c r="P2352" s="36"/>
      <c r="Q2352" s="36"/>
      <c r="R2352" s="36"/>
      <c r="S2352" s="36"/>
      <c r="T2352" s="36"/>
      <c r="U2352" s="36"/>
      <c r="V2352" s="36"/>
      <c r="W2352" s="15">
        <f t="shared" si="81"/>
        <v>0</v>
      </c>
      <c r="X2352" s="36"/>
      <c r="Y2352" s="36"/>
      <c r="Z2352" s="36"/>
      <c r="AA2352" s="36"/>
      <c r="AB2352" s="36"/>
      <c r="AC2352" s="36"/>
      <c r="AD2352" s="36"/>
      <c r="AE2352" s="36"/>
      <c r="AF2352" s="36"/>
      <c r="AG2352" s="36"/>
      <c r="AH2352" s="36"/>
      <c r="AI2352" s="36"/>
      <c r="AJ2352" s="15">
        <f t="shared" si="82"/>
        <v>0</v>
      </c>
      <c r="AK2352" s="16"/>
    </row>
    <row r="2353" spans="2:37" x14ac:dyDescent="0.2">
      <c r="B2353" s="7" t="s">
        <v>77</v>
      </c>
      <c r="C2353" s="8">
        <v>12504</v>
      </c>
      <c r="D2353" s="9" t="s">
        <v>322</v>
      </c>
      <c r="E2353" s="10" t="s">
        <v>323</v>
      </c>
      <c r="F2353" s="10" t="s">
        <v>324</v>
      </c>
      <c r="G2353" s="8">
        <v>1</v>
      </c>
      <c r="H2353" s="11">
        <v>800</v>
      </c>
      <c r="I2353" s="12">
        <v>42645</v>
      </c>
      <c r="J2353" s="35">
        <f t="shared" si="83"/>
        <v>0</v>
      </c>
      <c r="K2353" s="36"/>
      <c r="L2353" s="36"/>
      <c r="M2353" s="36"/>
      <c r="N2353" s="36"/>
      <c r="O2353" s="36"/>
      <c r="P2353" s="36"/>
      <c r="Q2353" s="36"/>
      <c r="R2353" s="36"/>
      <c r="S2353" s="36">
        <v>400</v>
      </c>
      <c r="T2353" s="36">
        <v>400</v>
      </c>
      <c r="U2353" s="36"/>
      <c r="V2353" s="36"/>
      <c r="W2353" s="15">
        <f t="shared" si="81"/>
        <v>800</v>
      </c>
      <c r="X2353" s="36"/>
      <c r="Y2353" s="36"/>
      <c r="Z2353" s="36"/>
      <c r="AA2353" s="36"/>
      <c r="AB2353" s="36"/>
      <c r="AC2353" s="36"/>
      <c r="AD2353" s="36"/>
      <c r="AE2353" s="36"/>
      <c r="AF2353" s="36"/>
      <c r="AG2353" s="36"/>
      <c r="AH2353" s="36"/>
      <c r="AI2353" s="36"/>
      <c r="AJ2353" s="15">
        <f t="shared" si="82"/>
        <v>0</v>
      </c>
      <c r="AK2353" s="16"/>
    </row>
    <row r="2354" spans="2:37" x14ac:dyDescent="0.2">
      <c r="B2354" s="7" t="s">
        <v>47</v>
      </c>
      <c r="C2354" s="8">
        <v>12505</v>
      </c>
      <c r="D2354" s="9" t="s">
        <v>434</v>
      </c>
      <c r="E2354" s="10" t="s">
        <v>435</v>
      </c>
      <c r="F2354" s="10" t="s">
        <v>436</v>
      </c>
      <c r="G2354" s="8">
        <v>1</v>
      </c>
      <c r="H2354" s="11">
        <v>800</v>
      </c>
      <c r="I2354" s="12">
        <v>42645</v>
      </c>
      <c r="J2354" s="35">
        <f t="shared" si="83"/>
        <v>0</v>
      </c>
      <c r="K2354" s="36"/>
      <c r="L2354" s="36"/>
      <c r="M2354" s="36"/>
      <c r="N2354" s="36"/>
      <c r="O2354" s="36"/>
      <c r="P2354" s="36"/>
      <c r="Q2354" s="36"/>
      <c r="R2354" s="36"/>
      <c r="S2354" s="36">
        <v>400</v>
      </c>
      <c r="T2354" s="36">
        <v>400</v>
      </c>
      <c r="U2354" s="36"/>
      <c r="V2354" s="36"/>
      <c r="W2354" s="15">
        <f t="shared" si="81"/>
        <v>800</v>
      </c>
      <c r="X2354" s="36"/>
      <c r="Y2354" s="36"/>
      <c r="Z2354" s="36"/>
      <c r="AA2354" s="36"/>
      <c r="AB2354" s="36"/>
      <c r="AC2354" s="36"/>
      <c r="AD2354" s="36"/>
      <c r="AE2354" s="36"/>
      <c r="AF2354" s="36"/>
      <c r="AG2354" s="36"/>
      <c r="AH2354" s="36"/>
      <c r="AI2354" s="36"/>
      <c r="AJ2354" s="15">
        <f t="shared" si="82"/>
        <v>0</v>
      </c>
      <c r="AK2354" s="16"/>
    </row>
    <row r="2355" spans="2:37" x14ac:dyDescent="0.2">
      <c r="B2355" s="7" t="s">
        <v>69</v>
      </c>
      <c r="C2355" s="8">
        <v>12506</v>
      </c>
      <c r="D2355" s="9" t="s">
        <v>174</v>
      </c>
      <c r="E2355" s="10" t="s">
        <v>175</v>
      </c>
      <c r="F2355" s="10" t="s">
        <v>176</v>
      </c>
      <c r="G2355" s="8">
        <v>1</v>
      </c>
      <c r="H2355" s="11">
        <v>300</v>
      </c>
      <c r="I2355" s="12">
        <v>42645</v>
      </c>
      <c r="J2355" s="35">
        <f t="shared" si="83"/>
        <v>0</v>
      </c>
      <c r="K2355" s="36"/>
      <c r="L2355" s="36"/>
      <c r="M2355" s="36"/>
      <c r="N2355" s="36"/>
      <c r="O2355" s="36"/>
      <c r="P2355" s="36"/>
      <c r="Q2355" s="36"/>
      <c r="R2355" s="36"/>
      <c r="S2355" s="36"/>
      <c r="T2355" s="36">
        <v>300</v>
      </c>
      <c r="U2355" s="36"/>
      <c r="V2355" s="36"/>
      <c r="W2355" s="15">
        <f t="shared" si="81"/>
        <v>300</v>
      </c>
      <c r="X2355" s="36"/>
      <c r="Y2355" s="36"/>
      <c r="Z2355" s="36"/>
      <c r="AA2355" s="36"/>
      <c r="AB2355" s="36"/>
      <c r="AC2355" s="36"/>
      <c r="AD2355" s="36"/>
      <c r="AE2355" s="36"/>
      <c r="AF2355" s="36"/>
      <c r="AG2355" s="36"/>
      <c r="AH2355" s="36"/>
      <c r="AI2355" s="36"/>
      <c r="AJ2355" s="15">
        <f t="shared" si="82"/>
        <v>0</v>
      </c>
      <c r="AK2355" s="16"/>
    </row>
    <row r="2356" spans="2:37" x14ac:dyDescent="0.2">
      <c r="B2356" s="7" t="s">
        <v>77</v>
      </c>
      <c r="C2356" s="8">
        <v>12507</v>
      </c>
      <c r="D2356" s="9" t="s">
        <v>129</v>
      </c>
      <c r="E2356" s="10" t="s">
        <v>130</v>
      </c>
      <c r="F2356" s="10" t="s">
        <v>131</v>
      </c>
      <c r="G2356" s="8">
        <v>1</v>
      </c>
      <c r="H2356" s="11">
        <v>400</v>
      </c>
      <c r="I2356" s="12">
        <v>42645</v>
      </c>
      <c r="J2356" s="35">
        <f t="shared" si="83"/>
        <v>0</v>
      </c>
      <c r="K2356" s="36"/>
      <c r="L2356" s="36"/>
      <c r="M2356" s="36"/>
      <c r="N2356" s="36"/>
      <c r="O2356" s="36"/>
      <c r="P2356" s="36"/>
      <c r="Q2356" s="36"/>
      <c r="R2356" s="36"/>
      <c r="S2356" s="36"/>
      <c r="T2356" s="36">
        <v>400</v>
      </c>
      <c r="U2356" s="36"/>
      <c r="V2356" s="36"/>
      <c r="W2356" s="15">
        <f t="shared" si="81"/>
        <v>400</v>
      </c>
      <c r="X2356" s="36"/>
      <c r="Y2356" s="36"/>
      <c r="Z2356" s="36"/>
      <c r="AA2356" s="36"/>
      <c r="AB2356" s="36"/>
      <c r="AC2356" s="36"/>
      <c r="AD2356" s="36"/>
      <c r="AE2356" s="36"/>
      <c r="AF2356" s="36"/>
      <c r="AG2356" s="36"/>
      <c r="AH2356" s="36"/>
      <c r="AI2356" s="36"/>
      <c r="AJ2356" s="15">
        <f t="shared" si="82"/>
        <v>0</v>
      </c>
      <c r="AK2356" s="16"/>
    </row>
    <row r="2357" spans="2:37" x14ac:dyDescent="0.2">
      <c r="B2357" s="7" t="s">
        <v>77</v>
      </c>
      <c r="C2357" s="8">
        <v>12507</v>
      </c>
      <c r="D2357" s="9" t="s">
        <v>129</v>
      </c>
      <c r="E2357" s="10" t="s">
        <v>130</v>
      </c>
      <c r="F2357" s="10" t="s">
        <v>131</v>
      </c>
      <c r="G2357" s="8">
        <v>4</v>
      </c>
      <c r="H2357" s="11">
        <v>200</v>
      </c>
      <c r="I2357" s="12">
        <v>42645</v>
      </c>
      <c r="J2357" s="35">
        <f t="shared" si="83"/>
        <v>0</v>
      </c>
      <c r="K2357" s="36"/>
      <c r="L2357" s="36"/>
      <c r="M2357" s="36"/>
      <c r="N2357" s="36"/>
      <c r="O2357" s="36"/>
      <c r="P2357" s="36"/>
      <c r="Q2357" s="36"/>
      <c r="R2357" s="36"/>
      <c r="S2357" s="36"/>
      <c r="T2357" s="36"/>
      <c r="U2357" s="36"/>
      <c r="V2357" s="36"/>
      <c r="W2357" s="15">
        <f t="shared" si="81"/>
        <v>0</v>
      </c>
      <c r="X2357" s="36"/>
      <c r="Y2357" s="36"/>
      <c r="Z2357" s="36"/>
      <c r="AA2357" s="36"/>
      <c r="AB2357" s="36"/>
      <c r="AC2357" s="36"/>
      <c r="AD2357" s="36"/>
      <c r="AE2357" s="36"/>
      <c r="AF2357" s="36"/>
      <c r="AG2357" s="36"/>
      <c r="AH2357" s="36"/>
      <c r="AI2357" s="36"/>
      <c r="AJ2357" s="15">
        <f t="shared" si="82"/>
        <v>0</v>
      </c>
      <c r="AK2357" s="16"/>
    </row>
    <row r="2358" spans="2:37" x14ac:dyDescent="0.2">
      <c r="B2358" s="7" t="s">
        <v>69</v>
      </c>
      <c r="C2358" s="8">
        <v>12508</v>
      </c>
      <c r="D2358" s="9" t="s">
        <v>135</v>
      </c>
      <c r="E2358" s="10" t="s">
        <v>136</v>
      </c>
      <c r="F2358" s="10" t="s">
        <v>137</v>
      </c>
      <c r="G2358" s="8">
        <v>1</v>
      </c>
      <c r="H2358" s="11">
        <v>300</v>
      </c>
      <c r="I2358" s="12">
        <v>42645</v>
      </c>
      <c r="J2358" s="35">
        <f t="shared" si="83"/>
        <v>0</v>
      </c>
      <c r="K2358" s="36"/>
      <c r="L2358" s="36"/>
      <c r="M2358" s="36"/>
      <c r="N2358" s="36"/>
      <c r="O2358" s="36"/>
      <c r="P2358" s="36"/>
      <c r="Q2358" s="36"/>
      <c r="R2358" s="36"/>
      <c r="S2358" s="36"/>
      <c r="T2358" s="36">
        <v>300</v>
      </c>
      <c r="U2358" s="36"/>
      <c r="V2358" s="36"/>
      <c r="W2358" s="15">
        <f t="shared" si="81"/>
        <v>300</v>
      </c>
      <c r="X2358" s="36"/>
      <c r="Y2358" s="36"/>
      <c r="Z2358" s="36"/>
      <c r="AA2358" s="36"/>
      <c r="AB2358" s="36"/>
      <c r="AC2358" s="36"/>
      <c r="AD2358" s="36"/>
      <c r="AE2358" s="36"/>
      <c r="AF2358" s="36"/>
      <c r="AG2358" s="36"/>
      <c r="AH2358" s="36"/>
      <c r="AI2358" s="36"/>
      <c r="AJ2358" s="15">
        <f t="shared" si="82"/>
        <v>0</v>
      </c>
      <c r="AK2358" s="16"/>
    </row>
    <row r="2359" spans="2:37" x14ac:dyDescent="0.2">
      <c r="B2359" s="7" t="s">
        <v>73</v>
      </c>
      <c r="C2359" s="8">
        <v>12509</v>
      </c>
      <c r="D2359" s="9" t="s">
        <v>541</v>
      </c>
      <c r="E2359" s="10" t="s">
        <v>542</v>
      </c>
      <c r="F2359" s="10" t="s">
        <v>543</v>
      </c>
      <c r="G2359" s="8">
        <v>1</v>
      </c>
      <c r="H2359" s="11">
        <v>800</v>
      </c>
      <c r="I2359" s="12">
        <v>42645</v>
      </c>
      <c r="J2359" s="35">
        <f t="shared" si="83"/>
        <v>0</v>
      </c>
      <c r="K2359" s="36"/>
      <c r="L2359" s="36"/>
      <c r="M2359" s="36"/>
      <c r="N2359" s="36"/>
      <c r="O2359" s="36"/>
      <c r="P2359" s="36"/>
      <c r="Q2359" s="36"/>
      <c r="R2359" s="36"/>
      <c r="S2359" s="36">
        <v>400</v>
      </c>
      <c r="T2359" s="36">
        <v>400</v>
      </c>
      <c r="U2359" s="36"/>
      <c r="V2359" s="36"/>
      <c r="W2359" s="15">
        <f t="shared" si="81"/>
        <v>800</v>
      </c>
      <c r="X2359" s="36"/>
      <c r="Y2359" s="36"/>
      <c r="Z2359" s="36"/>
      <c r="AA2359" s="36"/>
      <c r="AB2359" s="36"/>
      <c r="AC2359" s="36"/>
      <c r="AD2359" s="36"/>
      <c r="AE2359" s="36"/>
      <c r="AF2359" s="36"/>
      <c r="AG2359" s="36"/>
      <c r="AH2359" s="36"/>
      <c r="AI2359" s="36"/>
      <c r="AJ2359" s="15">
        <f t="shared" si="82"/>
        <v>0</v>
      </c>
      <c r="AK2359" s="16"/>
    </row>
    <row r="2360" spans="2:37" x14ac:dyDescent="0.2">
      <c r="B2360" s="7" t="s">
        <v>47</v>
      </c>
      <c r="C2360" s="8">
        <v>12510</v>
      </c>
      <c r="D2360" s="9" t="s">
        <v>313</v>
      </c>
      <c r="E2360" s="10" t="s">
        <v>314</v>
      </c>
      <c r="F2360" s="10" t="s">
        <v>315</v>
      </c>
      <c r="G2360" s="8">
        <v>1</v>
      </c>
      <c r="H2360" s="11">
        <v>400</v>
      </c>
      <c r="I2360" s="12">
        <v>42645</v>
      </c>
      <c r="J2360" s="35">
        <f t="shared" si="83"/>
        <v>0</v>
      </c>
      <c r="K2360" s="36"/>
      <c r="L2360" s="36"/>
      <c r="M2360" s="36"/>
      <c r="N2360" s="36"/>
      <c r="O2360" s="36"/>
      <c r="P2360" s="36"/>
      <c r="Q2360" s="36"/>
      <c r="R2360" s="36"/>
      <c r="S2360" s="36"/>
      <c r="T2360" s="36">
        <v>400</v>
      </c>
      <c r="U2360" s="36"/>
      <c r="V2360" s="36"/>
      <c r="W2360" s="15">
        <f t="shared" si="81"/>
        <v>400</v>
      </c>
      <c r="X2360" s="36"/>
      <c r="Y2360" s="36"/>
      <c r="Z2360" s="36"/>
      <c r="AA2360" s="36"/>
      <c r="AB2360" s="36"/>
      <c r="AC2360" s="36"/>
      <c r="AD2360" s="36"/>
      <c r="AE2360" s="36"/>
      <c r="AF2360" s="36"/>
      <c r="AG2360" s="36"/>
      <c r="AH2360" s="36"/>
      <c r="AI2360" s="36"/>
      <c r="AJ2360" s="15">
        <f t="shared" si="82"/>
        <v>0</v>
      </c>
      <c r="AK2360" s="16"/>
    </row>
    <row r="2361" spans="2:37" x14ac:dyDescent="0.2">
      <c r="B2361" s="7" t="s">
        <v>77</v>
      </c>
      <c r="C2361" s="8">
        <v>12511</v>
      </c>
      <c r="D2361" s="9" t="s">
        <v>652</v>
      </c>
      <c r="E2361" s="10" t="s">
        <v>653</v>
      </c>
      <c r="F2361" s="10" t="s">
        <v>654</v>
      </c>
      <c r="G2361" s="8">
        <v>1</v>
      </c>
      <c r="H2361" s="11">
        <v>800</v>
      </c>
      <c r="I2361" s="12">
        <v>42645</v>
      </c>
      <c r="J2361" s="35">
        <f t="shared" si="83"/>
        <v>0</v>
      </c>
      <c r="K2361" s="36"/>
      <c r="L2361" s="36"/>
      <c r="M2361" s="36"/>
      <c r="N2361" s="36"/>
      <c r="O2361" s="36"/>
      <c r="P2361" s="36"/>
      <c r="Q2361" s="36"/>
      <c r="R2361" s="36">
        <v>400</v>
      </c>
      <c r="S2361" s="36">
        <v>400</v>
      </c>
      <c r="T2361" s="36"/>
      <c r="U2361" s="36"/>
      <c r="V2361" s="36"/>
      <c r="W2361" s="15">
        <f t="shared" si="81"/>
        <v>800</v>
      </c>
      <c r="X2361" s="36"/>
      <c r="Y2361" s="36"/>
      <c r="Z2361" s="36"/>
      <c r="AA2361" s="36"/>
      <c r="AB2361" s="36"/>
      <c r="AC2361" s="36"/>
      <c r="AD2361" s="36"/>
      <c r="AE2361" s="36"/>
      <c r="AF2361" s="36"/>
      <c r="AG2361" s="36"/>
      <c r="AH2361" s="36"/>
      <c r="AI2361" s="36"/>
      <c r="AJ2361" s="15">
        <f t="shared" si="82"/>
        <v>0</v>
      </c>
      <c r="AK2361" s="16"/>
    </row>
    <row r="2362" spans="2:37" x14ac:dyDescent="0.2">
      <c r="B2362" s="7" t="s">
        <v>77</v>
      </c>
      <c r="C2362" s="8">
        <v>12512</v>
      </c>
      <c r="D2362" s="9" t="s">
        <v>652</v>
      </c>
      <c r="E2362" s="10" t="s">
        <v>653</v>
      </c>
      <c r="F2362" s="10" t="s">
        <v>654</v>
      </c>
      <c r="G2362" s="8">
        <v>5</v>
      </c>
      <c r="H2362" s="11">
        <v>50</v>
      </c>
      <c r="I2362" s="12">
        <v>42645</v>
      </c>
      <c r="J2362" s="35">
        <f t="shared" si="83"/>
        <v>0</v>
      </c>
      <c r="K2362" s="36"/>
      <c r="L2362" s="36"/>
      <c r="M2362" s="36"/>
      <c r="N2362" s="36"/>
      <c r="O2362" s="36"/>
      <c r="P2362" s="36"/>
      <c r="Q2362" s="36"/>
      <c r="R2362" s="36"/>
      <c r="S2362" s="36"/>
      <c r="T2362" s="36"/>
      <c r="U2362" s="36"/>
      <c r="V2362" s="36"/>
      <c r="W2362" s="15">
        <f t="shared" si="81"/>
        <v>0</v>
      </c>
      <c r="X2362" s="36"/>
      <c r="Y2362" s="36"/>
      <c r="Z2362" s="36"/>
      <c r="AA2362" s="36"/>
      <c r="AB2362" s="36"/>
      <c r="AC2362" s="36"/>
      <c r="AD2362" s="36"/>
      <c r="AE2362" s="36"/>
      <c r="AF2362" s="36"/>
      <c r="AG2362" s="36"/>
      <c r="AH2362" s="36"/>
      <c r="AI2362" s="36"/>
      <c r="AJ2362" s="15">
        <f t="shared" si="82"/>
        <v>0</v>
      </c>
      <c r="AK2362" s="16"/>
    </row>
    <row r="2363" spans="2:37" x14ac:dyDescent="0.2">
      <c r="B2363" s="7" t="s">
        <v>47</v>
      </c>
      <c r="C2363" s="8">
        <v>12513</v>
      </c>
      <c r="D2363" s="9" t="s">
        <v>349</v>
      </c>
      <c r="E2363" s="10" t="s">
        <v>350</v>
      </c>
      <c r="F2363" s="10" t="s">
        <v>351</v>
      </c>
      <c r="G2363" s="8">
        <v>1</v>
      </c>
      <c r="H2363" s="11">
        <v>600</v>
      </c>
      <c r="I2363" s="12">
        <v>42645</v>
      </c>
      <c r="J2363" s="35">
        <f t="shared" si="83"/>
        <v>0</v>
      </c>
      <c r="K2363" s="36"/>
      <c r="L2363" s="36"/>
      <c r="M2363" s="36"/>
      <c r="N2363" s="36"/>
      <c r="O2363" s="36"/>
      <c r="P2363" s="36"/>
      <c r="Q2363" s="36">
        <v>300</v>
      </c>
      <c r="R2363" s="36">
        <v>300</v>
      </c>
      <c r="S2363" s="36"/>
      <c r="T2363" s="36"/>
      <c r="U2363" s="36"/>
      <c r="V2363" s="36"/>
      <c r="W2363" s="15">
        <f t="shared" si="81"/>
        <v>600</v>
      </c>
      <c r="X2363" s="36"/>
      <c r="Y2363" s="36"/>
      <c r="Z2363" s="36"/>
      <c r="AA2363" s="36"/>
      <c r="AB2363" s="36"/>
      <c r="AC2363" s="36"/>
      <c r="AD2363" s="36"/>
      <c r="AE2363" s="36"/>
      <c r="AF2363" s="36"/>
      <c r="AG2363" s="36"/>
      <c r="AH2363" s="36"/>
      <c r="AI2363" s="36"/>
      <c r="AJ2363" s="15">
        <f t="shared" si="82"/>
        <v>0</v>
      </c>
      <c r="AK2363" s="16"/>
    </row>
    <row r="2364" spans="2:37" x14ac:dyDescent="0.2">
      <c r="B2364" s="7" t="s">
        <v>69</v>
      </c>
      <c r="C2364" s="8">
        <v>12514</v>
      </c>
      <c r="D2364" s="9" t="s">
        <v>168</v>
      </c>
      <c r="E2364" s="10" t="s">
        <v>169</v>
      </c>
      <c r="F2364" s="10" t="s">
        <v>170</v>
      </c>
      <c r="G2364" s="8">
        <v>1</v>
      </c>
      <c r="H2364" s="11">
        <v>400</v>
      </c>
      <c r="I2364" s="12">
        <v>42645</v>
      </c>
      <c r="J2364" s="35">
        <f t="shared" si="83"/>
        <v>0</v>
      </c>
      <c r="K2364" s="36"/>
      <c r="L2364" s="36"/>
      <c r="M2364" s="36"/>
      <c r="N2364" s="36"/>
      <c r="O2364" s="36"/>
      <c r="P2364" s="36"/>
      <c r="Q2364" s="36"/>
      <c r="R2364" s="36">
        <v>200</v>
      </c>
      <c r="S2364" s="36">
        <v>200</v>
      </c>
      <c r="T2364" s="36"/>
      <c r="U2364" s="36"/>
      <c r="V2364" s="36"/>
      <c r="W2364" s="15">
        <f t="shared" si="81"/>
        <v>400</v>
      </c>
      <c r="X2364" s="36"/>
      <c r="Y2364" s="36"/>
      <c r="Z2364" s="36"/>
      <c r="AA2364" s="36"/>
      <c r="AB2364" s="36"/>
      <c r="AC2364" s="36"/>
      <c r="AD2364" s="36"/>
      <c r="AE2364" s="36"/>
      <c r="AF2364" s="36"/>
      <c r="AG2364" s="36"/>
      <c r="AH2364" s="36"/>
      <c r="AI2364" s="36"/>
      <c r="AJ2364" s="15">
        <f t="shared" si="82"/>
        <v>0</v>
      </c>
      <c r="AK2364" s="16"/>
    </row>
    <row r="2365" spans="2:37" x14ac:dyDescent="0.2">
      <c r="B2365" s="7" t="s">
        <v>122</v>
      </c>
      <c r="C2365" s="8">
        <v>12515</v>
      </c>
      <c r="D2365" s="9" t="s">
        <v>310</v>
      </c>
      <c r="E2365" s="10" t="s">
        <v>311</v>
      </c>
      <c r="F2365" s="10" t="s">
        <v>312</v>
      </c>
      <c r="G2365" s="8">
        <v>1</v>
      </c>
      <c r="H2365" s="11">
        <v>400</v>
      </c>
      <c r="I2365" s="12">
        <v>42645</v>
      </c>
      <c r="J2365" s="35">
        <f t="shared" si="83"/>
        <v>0</v>
      </c>
      <c r="K2365" s="36"/>
      <c r="L2365" s="36"/>
      <c r="M2365" s="36"/>
      <c r="N2365" s="36"/>
      <c r="O2365" s="36"/>
      <c r="P2365" s="36"/>
      <c r="Q2365" s="36"/>
      <c r="R2365" s="36"/>
      <c r="S2365" s="36">
        <v>400</v>
      </c>
      <c r="T2365" s="36"/>
      <c r="U2365" s="36"/>
      <c r="V2365" s="36"/>
      <c r="W2365" s="15">
        <f t="shared" si="81"/>
        <v>400</v>
      </c>
      <c r="X2365" s="36"/>
      <c r="Y2365" s="36"/>
      <c r="Z2365" s="36"/>
      <c r="AA2365" s="36"/>
      <c r="AB2365" s="36"/>
      <c r="AC2365" s="36"/>
      <c r="AD2365" s="36"/>
      <c r="AE2365" s="36"/>
      <c r="AF2365" s="36"/>
      <c r="AG2365" s="36"/>
      <c r="AH2365" s="36"/>
      <c r="AI2365" s="36"/>
      <c r="AJ2365" s="15">
        <f t="shared" si="82"/>
        <v>0</v>
      </c>
      <c r="AK2365" s="16"/>
    </row>
    <row r="2366" spans="2:37" x14ac:dyDescent="0.2">
      <c r="B2366" s="7" t="s">
        <v>69</v>
      </c>
      <c r="C2366" s="8">
        <v>12516</v>
      </c>
      <c r="D2366" s="9" t="s">
        <v>346</v>
      </c>
      <c r="E2366" s="10" t="s">
        <v>347</v>
      </c>
      <c r="F2366" s="10" t="s">
        <v>348</v>
      </c>
      <c r="G2366" s="8">
        <v>1</v>
      </c>
      <c r="H2366" s="11">
        <v>300</v>
      </c>
      <c r="I2366" s="12">
        <v>42645</v>
      </c>
      <c r="J2366" s="35">
        <f t="shared" si="83"/>
        <v>0</v>
      </c>
      <c r="K2366" s="36"/>
      <c r="L2366" s="36"/>
      <c r="M2366" s="36"/>
      <c r="N2366" s="36"/>
      <c r="O2366" s="36"/>
      <c r="P2366" s="36"/>
      <c r="Q2366" s="36"/>
      <c r="R2366" s="36"/>
      <c r="S2366" s="36">
        <v>300</v>
      </c>
      <c r="T2366" s="36"/>
      <c r="U2366" s="36"/>
      <c r="V2366" s="36"/>
      <c r="W2366" s="15">
        <f t="shared" si="81"/>
        <v>300</v>
      </c>
      <c r="X2366" s="36"/>
      <c r="Y2366" s="36"/>
      <c r="Z2366" s="36"/>
      <c r="AA2366" s="36"/>
      <c r="AB2366" s="36"/>
      <c r="AC2366" s="36"/>
      <c r="AD2366" s="36"/>
      <c r="AE2366" s="36"/>
      <c r="AF2366" s="36"/>
      <c r="AG2366" s="36"/>
      <c r="AH2366" s="36"/>
      <c r="AI2366" s="36"/>
      <c r="AJ2366" s="15">
        <f t="shared" si="82"/>
        <v>0</v>
      </c>
      <c r="AK2366" s="16"/>
    </row>
    <row r="2367" spans="2:37" x14ac:dyDescent="0.2">
      <c r="B2367" s="7" t="s">
        <v>47</v>
      </c>
      <c r="C2367" s="8">
        <v>12517</v>
      </c>
      <c r="D2367" s="9" t="s">
        <v>1170</v>
      </c>
      <c r="E2367" s="10" t="s">
        <v>1171</v>
      </c>
      <c r="F2367" s="10" t="s">
        <v>389</v>
      </c>
      <c r="G2367" s="8">
        <v>1</v>
      </c>
      <c r="H2367" s="11">
        <v>400</v>
      </c>
      <c r="I2367" s="12">
        <v>42645</v>
      </c>
      <c r="J2367" s="35">
        <f t="shared" si="83"/>
        <v>0</v>
      </c>
      <c r="K2367" s="36"/>
      <c r="L2367" s="36"/>
      <c r="M2367" s="36"/>
      <c r="N2367" s="36"/>
      <c r="O2367" s="36">
        <v>400</v>
      </c>
      <c r="P2367" s="36"/>
      <c r="Q2367" s="36"/>
      <c r="R2367" s="36"/>
      <c r="S2367" s="36"/>
      <c r="T2367" s="36"/>
      <c r="U2367" s="36"/>
      <c r="V2367" s="36"/>
      <c r="W2367" s="15">
        <f t="shared" si="81"/>
        <v>400</v>
      </c>
      <c r="X2367" s="36"/>
      <c r="Y2367" s="36"/>
      <c r="Z2367" s="36"/>
      <c r="AA2367" s="36"/>
      <c r="AB2367" s="36"/>
      <c r="AC2367" s="36"/>
      <c r="AD2367" s="36"/>
      <c r="AE2367" s="36"/>
      <c r="AF2367" s="36"/>
      <c r="AG2367" s="36"/>
      <c r="AH2367" s="36"/>
      <c r="AI2367" s="36"/>
      <c r="AJ2367" s="15">
        <f t="shared" si="82"/>
        <v>0</v>
      </c>
      <c r="AK2367" s="16"/>
    </row>
    <row r="2368" spans="2:37" x14ac:dyDescent="0.2">
      <c r="B2368" s="7" t="s">
        <v>69</v>
      </c>
      <c r="C2368" s="8">
        <v>12518</v>
      </c>
      <c r="D2368" s="9" t="s">
        <v>301</v>
      </c>
      <c r="E2368" s="10" t="s">
        <v>302</v>
      </c>
      <c r="F2368" s="10" t="s">
        <v>303</v>
      </c>
      <c r="G2368" s="8">
        <v>1</v>
      </c>
      <c r="H2368" s="11">
        <v>200</v>
      </c>
      <c r="I2368" s="12">
        <v>42645</v>
      </c>
      <c r="J2368" s="35">
        <f t="shared" si="83"/>
        <v>0</v>
      </c>
      <c r="K2368" s="36"/>
      <c r="L2368" s="36"/>
      <c r="M2368" s="36"/>
      <c r="N2368" s="36"/>
      <c r="O2368" s="36"/>
      <c r="P2368" s="36"/>
      <c r="Q2368" s="36"/>
      <c r="R2368" s="36"/>
      <c r="S2368" s="36"/>
      <c r="T2368" s="36">
        <v>200</v>
      </c>
      <c r="U2368" s="36"/>
      <c r="V2368" s="36"/>
      <c r="W2368" s="15">
        <f t="shared" si="81"/>
        <v>200</v>
      </c>
      <c r="X2368" s="36"/>
      <c r="Y2368" s="36"/>
      <c r="Z2368" s="36"/>
      <c r="AA2368" s="36"/>
      <c r="AB2368" s="36"/>
      <c r="AC2368" s="36"/>
      <c r="AD2368" s="36"/>
      <c r="AE2368" s="36"/>
      <c r="AF2368" s="36"/>
      <c r="AG2368" s="36"/>
      <c r="AH2368" s="36"/>
      <c r="AI2368" s="36"/>
      <c r="AJ2368" s="15">
        <f t="shared" si="82"/>
        <v>0</v>
      </c>
      <c r="AK2368" s="16"/>
    </row>
    <row r="2369" spans="2:37" x14ac:dyDescent="0.2">
      <c r="B2369" s="7" t="s">
        <v>47</v>
      </c>
      <c r="C2369" s="8">
        <v>12519</v>
      </c>
      <c r="D2369" s="9" t="s">
        <v>509</v>
      </c>
      <c r="E2369" s="10" t="s">
        <v>510</v>
      </c>
      <c r="F2369" s="10" t="s">
        <v>511</v>
      </c>
      <c r="G2369" s="8">
        <v>1</v>
      </c>
      <c r="H2369" s="11">
        <v>300</v>
      </c>
      <c r="I2369" s="12">
        <v>42645</v>
      </c>
      <c r="J2369" s="35">
        <f t="shared" si="83"/>
        <v>0</v>
      </c>
      <c r="K2369" s="36"/>
      <c r="L2369" s="36"/>
      <c r="M2369" s="36"/>
      <c r="N2369" s="36"/>
      <c r="O2369" s="36"/>
      <c r="P2369" s="36"/>
      <c r="Q2369" s="36"/>
      <c r="R2369" s="36"/>
      <c r="S2369" s="36">
        <v>300</v>
      </c>
      <c r="T2369" s="36"/>
      <c r="U2369" s="36"/>
      <c r="V2369" s="36"/>
      <c r="W2369" s="15">
        <f t="shared" si="81"/>
        <v>300</v>
      </c>
      <c r="X2369" s="36"/>
      <c r="Y2369" s="36"/>
      <c r="Z2369" s="36"/>
      <c r="AA2369" s="36"/>
      <c r="AB2369" s="36"/>
      <c r="AC2369" s="36"/>
      <c r="AD2369" s="36"/>
      <c r="AE2369" s="36"/>
      <c r="AF2369" s="36"/>
      <c r="AG2369" s="36"/>
      <c r="AH2369" s="36"/>
      <c r="AI2369" s="36"/>
      <c r="AJ2369" s="15">
        <f t="shared" si="82"/>
        <v>0</v>
      </c>
      <c r="AK2369" s="16"/>
    </row>
    <row r="2370" spans="2:37" x14ac:dyDescent="0.2">
      <c r="B2370" s="7" t="s">
        <v>77</v>
      </c>
      <c r="C2370" s="8">
        <v>12520</v>
      </c>
      <c r="D2370" s="9" t="s">
        <v>547</v>
      </c>
      <c r="E2370" s="10" t="s">
        <v>548</v>
      </c>
      <c r="F2370" s="10" t="s">
        <v>549</v>
      </c>
      <c r="G2370" s="8">
        <v>1</v>
      </c>
      <c r="H2370" s="11">
        <v>400</v>
      </c>
      <c r="I2370" s="12">
        <v>42645</v>
      </c>
      <c r="J2370" s="35">
        <f t="shared" si="83"/>
        <v>0</v>
      </c>
      <c r="K2370" s="36"/>
      <c r="L2370" s="36"/>
      <c r="M2370" s="36"/>
      <c r="N2370" s="36"/>
      <c r="O2370" s="36"/>
      <c r="P2370" s="36"/>
      <c r="Q2370" s="36">
        <v>200</v>
      </c>
      <c r="R2370" s="36">
        <v>200</v>
      </c>
      <c r="S2370" s="36"/>
      <c r="T2370" s="36"/>
      <c r="U2370" s="36"/>
      <c r="V2370" s="36"/>
      <c r="W2370" s="15">
        <f t="shared" si="81"/>
        <v>400</v>
      </c>
      <c r="X2370" s="36"/>
      <c r="Y2370" s="36"/>
      <c r="Z2370" s="36"/>
      <c r="AA2370" s="36"/>
      <c r="AB2370" s="36"/>
      <c r="AC2370" s="36"/>
      <c r="AD2370" s="36"/>
      <c r="AE2370" s="36"/>
      <c r="AF2370" s="36"/>
      <c r="AG2370" s="36"/>
      <c r="AH2370" s="36"/>
      <c r="AI2370" s="36"/>
      <c r="AJ2370" s="15">
        <f t="shared" si="82"/>
        <v>0</v>
      </c>
      <c r="AK2370" s="16"/>
    </row>
    <row r="2371" spans="2:37" x14ac:dyDescent="0.2">
      <c r="B2371" s="7" t="s">
        <v>47</v>
      </c>
      <c r="C2371" s="8">
        <v>12974</v>
      </c>
      <c r="D2371" s="9" t="s">
        <v>150</v>
      </c>
      <c r="E2371" s="10" t="s">
        <v>151</v>
      </c>
      <c r="F2371" s="10" t="s">
        <v>152</v>
      </c>
      <c r="G2371" s="8">
        <v>1</v>
      </c>
      <c r="H2371" s="11">
        <v>400</v>
      </c>
      <c r="I2371" s="12">
        <v>42645</v>
      </c>
      <c r="J2371" s="35">
        <f t="shared" si="83"/>
        <v>0</v>
      </c>
      <c r="K2371" s="36"/>
      <c r="L2371" s="36"/>
      <c r="M2371" s="36"/>
      <c r="N2371" s="36"/>
      <c r="O2371" s="36"/>
      <c r="P2371" s="36"/>
      <c r="Q2371" s="36"/>
      <c r="R2371" s="36"/>
      <c r="S2371" s="36"/>
      <c r="T2371" s="36">
        <v>400</v>
      </c>
      <c r="U2371" s="36"/>
      <c r="V2371" s="36"/>
      <c r="W2371" s="15">
        <f t="shared" si="81"/>
        <v>400</v>
      </c>
      <c r="X2371" s="36"/>
      <c r="Y2371" s="36"/>
      <c r="Z2371" s="36"/>
      <c r="AA2371" s="36"/>
      <c r="AB2371" s="36"/>
      <c r="AC2371" s="36"/>
      <c r="AD2371" s="36"/>
      <c r="AE2371" s="36"/>
      <c r="AF2371" s="36"/>
      <c r="AG2371" s="36"/>
      <c r="AH2371" s="36"/>
      <c r="AI2371" s="36"/>
      <c r="AJ2371" s="15">
        <f t="shared" si="82"/>
        <v>0</v>
      </c>
      <c r="AK2371" s="16"/>
    </row>
    <row r="2372" spans="2:37" x14ac:dyDescent="0.2">
      <c r="B2372" s="7" t="s">
        <v>37</v>
      </c>
      <c r="C2372" s="8">
        <v>12975</v>
      </c>
      <c r="D2372" s="9" t="s">
        <v>794</v>
      </c>
      <c r="E2372" s="10" t="s">
        <v>795</v>
      </c>
      <c r="F2372" s="10" t="s">
        <v>796</v>
      </c>
      <c r="G2372" s="8">
        <v>1</v>
      </c>
      <c r="H2372" s="11">
        <v>300</v>
      </c>
      <c r="I2372" s="12">
        <v>42645</v>
      </c>
      <c r="J2372" s="35">
        <f t="shared" si="83"/>
        <v>0</v>
      </c>
      <c r="K2372" s="36"/>
      <c r="L2372" s="36"/>
      <c r="M2372" s="36"/>
      <c r="N2372" s="36"/>
      <c r="O2372" s="36"/>
      <c r="P2372" s="36"/>
      <c r="Q2372" s="36"/>
      <c r="R2372" s="36"/>
      <c r="S2372" s="36">
        <v>300</v>
      </c>
      <c r="T2372" s="36"/>
      <c r="U2372" s="36"/>
      <c r="V2372" s="36"/>
      <c r="W2372" s="15">
        <f t="shared" si="81"/>
        <v>300</v>
      </c>
      <c r="X2372" s="36"/>
      <c r="Y2372" s="36"/>
      <c r="Z2372" s="36"/>
      <c r="AA2372" s="36"/>
      <c r="AB2372" s="36"/>
      <c r="AC2372" s="36"/>
      <c r="AD2372" s="36"/>
      <c r="AE2372" s="36"/>
      <c r="AF2372" s="36"/>
      <c r="AG2372" s="36"/>
      <c r="AH2372" s="36"/>
      <c r="AI2372" s="36"/>
      <c r="AJ2372" s="15">
        <f t="shared" si="82"/>
        <v>0</v>
      </c>
      <c r="AK2372" s="16"/>
    </row>
    <row r="2373" spans="2:37" x14ac:dyDescent="0.2">
      <c r="B2373" s="7" t="s">
        <v>69</v>
      </c>
      <c r="C2373" s="8">
        <v>12976</v>
      </c>
      <c r="D2373" s="9" t="s">
        <v>678</v>
      </c>
      <c r="E2373" s="10" t="s">
        <v>679</v>
      </c>
      <c r="F2373" s="10" t="s">
        <v>680</v>
      </c>
      <c r="G2373" s="8">
        <v>1</v>
      </c>
      <c r="H2373" s="11">
        <v>400</v>
      </c>
      <c r="I2373" s="12">
        <v>42645</v>
      </c>
      <c r="J2373" s="35">
        <f t="shared" si="83"/>
        <v>0</v>
      </c>
      <c r="K2373" s="36"/>
      <c r="L2373" s="36"/>
      <c r="M2373" s="36"/>
      <c r="N2373" s="36"/>
      <c r="O2373" s="36"/>
      <c r="P2373" s="36"/>
      <c r="Q2373" s="36"/>
      <c r="R2373" s="36"/>
      <c r="S2373" s="36"/>
      <c r="T2373" s="36">
        <v>400</v>
      </c>
      <c r="U2373" s="36"/>
      <c r="V2373" s="36"/>
      <c r="W2373" s="15">
        <f t="shared" si="81"/>
        <v>400</v>
      </c>
      <c r="X2373" s="36"/>
      <c r="Y2373" s="36"/>
      <c r="Z2373" s="36"/>
      <c r="AA2373" s="36"/>
      <c r="AB2373" s="36"/>
      <c r="AC2373" s="36"/>
      <c r="AD2373" s="36"/>
      <c r="AE2373" s="36"/>
      <c r="AF2373" s="36"/>
      <c r="AG2373" s="36"/>
      <c r="AH2373" s="36"/>
      <c r="AI2373" s="36"/>
      <c r="AJ2373" s="15">
        <f t="shared" si="82"/>
        <v>0</v>
      </c>
      <c r="AK2373" s="16"/>
    </row>
    <row r="2374" spans="2:37" x14ac:dyDescent="0.2">
      <c r="B2374" s="7" t="s">
        <v>47</v>
      </c>
      <c r="C2374" s="8">
        <v>12977</v>
      </c>
      <c r="D2374" s="9" t="s">
        <v>241</v>
      </c>
      <c r="E2374" s="10" t="s">
        <v>242</v>
      </c>
      <c r="F2374" s="10" t="s">
        <v>243</v>
      </c>
      <c r="G2374" s="8">
        <v>1</v>
      </c>
      <c r="H2374" s="11">
        <v>400</v>
      </c>
      <c r="I2374" s="12">
        <v>42645</v>
      </c>
      <c r="J2374" s="35">
        <f t="shared" si="83"/>
        <v>0</v>
      </c>
      <c r="K2374" s="36"/>
      <c r="L2374" s="36"/>
      <c r="M2374" s="36"/>
      <c r="N2374" s="36"/>
      <c r="O2374" s="36"/>
      <c r="P2374" s="36"/>
      <c r="Q2374" s="36"/>
      <c r="R2374" s="36"/>
      <c r="S2374" s="36"/>
      <c r="T2374" s="36">
        <v>400</v>
      </c>
      <c r="U2374" s="36"/>
      <c r="V2374" s="36"/>
      <c r="W2374" s="15">
        <f t="shared" si="81"/>
        <v>400</v>
      </c>
      <c r="X2374" s="36"/>
      <c r="Y2374" s="36"/>
      <c r="Z2374" s="36"/>
      <c r="AA2374" s="36"/>
      <c r="AB2374" s="36"/>
      <c r="AC2374" s="36"/>
      <c r="AD2374" s="36"/>
      <c r="AE2374" s="36"/>
      <c r="AF2374" s="36"/>
      <c r="AG2374" s="36"/>
      <c r="AH2374" s="36"/>
      <c r="AI2374" s="36"/>
      <c r="AJ2374" s="15">
        <f t="shared" si="82"/>
        <v>0</v>
      </c>
      <c r="AK2374" s="16"/>
    </row>
    <row r="2375" spans="2:37" x14ac:dyDescent="0.2">
      <c r="B2375" s="7" t="s">
        <v>77</v>
      </c>
      <c r="C2375" s="8">
        <v>12978</v>
      </c>
      <c r="D2375" s="9" t="s">
        <v>479</v>
      </c>
      <c r="E2375" s="10" t="s">
        <v>480</v>
      </c>
      <c r="F2375" s="10" t="s">
        <v>481</v>
      </c>
      <c r="G2375" s="8">
        <v>1</v>
      </c>
      <c r="H2375" s="11">
        <v>300</v>
      </c>
      <c r="I2375" s="12">
        <v>42645</v>
      </c>
      <c r="J2375" s="35">
        <f t="shared" si="83"/>
        <v>0</v>
      </c>
      <c r="K2375" s="36"/>
      <c r="L2375" s="36"/>
      <c r="M2375" s="36"/>
      <c r="N2375" s="36"/>
      <c r="O2375" s="36"/>
      <c r="P2375" s="36"/>
      <c r="Q2375" s="36"/>
      <c r="R2375" s="36"/>
      <c r="S2375" s="36"/>
      <c r="T2375" s="36">
        <v>300</v>
      </c>
      <c r="U2375" s="36"/>
      <c r="V2375" s="36"/>
      <c r="W2375" s="15">
        <f t="shared" ref="W2375:W2438" si="84">SUM(K2375:V2375)</f>
        <v>300</v>
      </c>
      <c r="X2375" s="36"/>
      <c r="Y2375" s="36"/>
      <c r="Z2375" s="36"/>
      <c r="AA2375" s="36"/>
      <c r="AB2375" s="36"/>
      <c r="AC2375" s="36"/>
      <c r="AD2375" s="36"/>
      <c r="AE2375" s="36"/>
      <c r="AF2375" s="36"/>
      <c r="AG2375" s="36"/>
      <c r="AH2375" s="36"/>
      <c r="AI2375" s="36"/>
      <c r="AJ2375" s="15">
        <f t="shared" si="82"/>
        <v>0</v>
      </c>
      <c r="AK2375" s="16"/>
    </row>
    <row r="2376" spans="2:37" x14ac:dyDescent="0.2">
      <c r="B2376" s="7" t="s">
        <v>37</v>
      </c>
      <c r="C2376" s="8">
        <v>12979</v>
      </c>
      <c r="D2376" s="9" t="s">
        <v>94</v>
      </c>
      <c r="E2376" s="10" t="s">
        <v>95</v>
      </c>
      <c r="F2376" s="10" t="s">
        <v>96</v>
      </c>
      <c r="G2376" s="8">
        <v>1</v>
      </c>
      <c r="H2376" s="11">
        <v>400</v>
      </c>
      <c r="I2376" s="12">
        <v>42645</v>
      </c>
      <c r="J2376" s="35">
        <f t="shared" si="83"/>
        <v>0</v>
      </c>
      <c r="K2376" s="36"/>
      <c r="L2376" s="36"/>
      <c r="M2376" s="36"/>
      <c r="N2376" s="36"/>
      <c r="O2376" s="36"/>
      <c r="P2376" s="36"/>
      <c r="Q2376" s="36"/>
      <c r="R2376" s="36"/>
      <c r="S2376" s="36"/>
      <c r="T2376" s="36">
        <v>400</v>
      </c>
      <c r="U2376" s="36"/>
      <c r="V2376" s="36"/>
      <c r="W2376" s="15">
        <f t="shared" si="84"/>
        <v>400</v>
      </c>
      <c r="X2376" s="36"/>
      <c r="Y2376" s="36"/>
      <c r="Z2376" s="36"/>
      <c r="AA2376" s="36"/>
      <c r="AB2376" s="36"/>
      <c r="AC2376" s="36"/>
      <c r="AD2376" s="36"/>
      <c r="AE2376" s="36"/>
      <c r="AF2376" s="36"/>
      <c r="AG2376" s="36"/>
      <c r="AH2376" s="36"/>
      <c r="AI2376" s="36"/>
      <c r="AJ2376" s="15">
        <f t="shared" si="82"/>
        <v>0</v>
      </c>
      <c r="AK2376" s="16"/>
    </row>
    <row r="2377" spans="2:37" x14ac:dyDescent="0.2">
      <c r="B2377" s="7" t="s">
        <v>37</v>
      </c>
      <c r="C2377" s="8">
        <v>12980</v>
      </c>
      <c r="D2377" s="9" t="s">
        <v>180</v>
      </c>
      <c r="E2377" s="10" t="s">
        <v>181</v>
      </c>
      <c r="F2377" s="10" t="s">
        <v>182</v>
      </c>
      <c r="G2377" s="8">
        <v>1</v>
      </c>
      <c r="H2377" s="11">
        <v>400</v>
      </c>
      <c r="I2377" s="12">
        <v>42645</v>
      </c>
      <c r="J2377" s="35">
        <f t="shared" si="83"/>
        <v>0</v>
      </c>
      <c r="K2377" s="36"/>
      <c r="L2377" s="36"/>
      <c r="M2377" s="36"/>
      <c r="N2377" s="36"/>
      <c r="O2377" s="36"/>
      <c r="P2377" s="36"/>
      <c r="Q2377" s="36"/>
      <c r="R2377" s="36"/>
      <c r="S2377" s="36"/>
      <c r="T2377" s="36">
        <v>400</v>
      </c>
      <c r="U2377" s="36"/>
      <c r="V2377" s="36"/>
      <c r="W2377" s="15">
        <f t="shared" si="84"/>
        <v>400</v>
      </c>
      <c r="X2377" s="36"/>
      <c r="Y2377" s="36"/>
      <c r="Z2377" s="36"/>
      <c r="AA2377" s="36"/>
      <c r="AB2377" s="36"/>
      <c r="AC2377" s="36"/>
      <c r="AD2377" s="36"/>
      <c r="AE2377" s="36"/>
      <c r="AF2377" s="36"/>
      <c r="AG2377" s="36"/>
      <c r="AH2377" s="36"/>
      <c r="AI2377" s="36"/>
      <c r="AJ2377" s="15">
        <f t="shared" si="82"/>
        <v>0</v>
      </c>
      <c r="AK2377" s="16"/>
    </row>
    <row r="2378" spans="2:37" x14ac:dyDescent="0.2">
      <c r="B2378" s="7" t="s">
        <v>47</v>
      </c>
      <c r="C2378" s="8">
        <v>12981</v>
      </c>
      <c r="D2378" s="9" t="s">
        <v>84</v>
      </c>
      <c r="E2378" s="10" t="s">
        <v>85</v>
      </c>
      <c r="F2378" s="10" t="s">
        <v>86</v>
      </c>
      <c r="G2378" s="8">
        <v>5</v>
      </c>
      <c r="H2378" s="11">
        <v>50</v>
      </c>
      <c r="I2378" s="12">
        <v>42645</v>
      </c>
      <c r="J2378" s="35">
        <f t="shared" si="83"/>
        <v>0</v>
      </c>
      <c r="K2378" s="36"/>
      <c r="L2378" s="36"/>
      <c r="M2378" s="36"/>
      <c r="N2378" s="36"/>
      <c r="O2378" s="36"/>
      <c r="P2378" s="36"/>
      <c r="Q2378" s="36"/>
      <c r="R2378" s="36"/>
      <c r="S2378" s="36"/>
      <c r="T2378" s="36"/>
      <c r="U2378" s="36"/>
      <c r="V2378" s="36"/>
      <c r="W2378" s="15">
        <f t="shared" si="84"/>
        <v>0</v>
      </c>
      <c r="X2378" s="36"/>
      <c r="Y2378" s="36"/>
      <c r="Z2378" s="36"/>
      <c r="AA2378" s="36"/>
      <c r="AB2378" s="36"/>
      <c r="AC2378" s="36"/>
      <c r="AD2378" s="36"/>
      <c r="AE2378" s="36"/>
      <c r="AF2378" s="36"/>
      <c r="AG2378" s="36"/>
      <c r="AH2378" s="36"/>
      <c r="AI2378" s="36"/>
      <c r="AJ2378" s="15">
        <f t="shared" si="82"/>
        <v>0</v>
      </c>
      <c r="AK2378" s="16"/>
    </row>
    <row r="2379" spans="2:37" x14ac:dyDescent="0.2">
      <c r="B2379" s="7" t="s">
        <v>37</v>
      </c>
      <c r="C2379" s="8">
        <v>12982</v>
      </c>
      <c r="D2379" s="9" t="s">
        <v>307</v>
      </c>
      <c r="E2379" s="10" t="s">
        <v>308</v>
      </c>
      <c r="F2379" s="10" t="s">
        <v>309</v>
      </c>
      <c r="G2379" s="8">
        <v>1</v>
      </c>
      <c r="H2379" s="11">
        <v>350</v>
      </c>
      <c r="I2379" s="12">
        <v>42645</v>
      </c>
      <c r="J2379" s="35">
        <f t="shared" si="83"/>
        <v>0</v>
      </c>
      <c r="K2379" s="36"/>
      <c r="L2379" s="36"/>
      <c r="M2379" s="36"/>
      <c r="N2379" s="36"/>
      <c r="O2379" s="36"/>
      <c r="P2379" s="36"/>
      <c r="Q2379" s="36"/>
      <c r="R2379" s="36"/>
      <c r="S2379" s="36"/>
      <c r="T2379" s="36">
        <v>350</v>
      </c>
      <c r="U2379" s="36"/>
      <c r="V2379" s="36"/>
      <c r="W2379" s="15">
        <f t="shared" si="84"/>
        <v>350</v>
      </c>
      <c r="X2379" s="36"/>
      <c r="Y2379" s="36"/>
      <c r="Z2379" s="36"/>
      <c r="AA2379" s="36"/>
      <c r="AB2379" s="36"/>
      <c r="AC2379" s="36"/>
      <c r="AD2379" s="36"/>
      <c r="AE2379" s="36"/>
      <c r="AF2379" s="36"/>
      <c r="AG2379" s="36"/>
      <c r="AH2379" s="36"/>
      <c r="AI2379" s="36"/>
      <c r="AJ2379" s="15">
        <f t="shared" si="82"/>
        <v>0</v>
      </c>
      <c r="AK2379" s="16"/>
    </row>
    <row r="2380" spans="2:37" x14ac:dyDescent="0.2">
      <c r="B2380" s="7" t="s">
        <v>47</v>
      </c>
      <c r="C2380" s="8">
        <v>12983</v>
      </c>
      <c r="D2380" s="9" t="s">
        <v>280</v>
      </c>
      <c r="E2380" s="10" t="s">
        <v>281</v>
      </c>
      <c r="F2380" s="10" t="s">
        <v>282</v>
      </c>
      <c r="G2380" s="8">
        <v>1</v>
      </c>
      <c r="H2380" s="11">
        <v>400</v>
      </c>
      <c r="I2380" s="12">
        <v>42645</v>
      </c>
      <c r="J2380" s="35">
        <f t="shared" si="83"/>
        <v>0</v>
      </c>
      <c r="K2380" s="36"/>
      <c r="L2380" s="36"/>
      <c r="M2380" s="36"/>
      <c r="N2380" s="36"/>
      <c r="O2380" s="36"/>
      <c r="P2380" s="36"/>
      <c r="Q2380" s="36"/>
      <c r="R2380" s="36"/>
      <c r="S2380" s="36"/>
      <c r="T2380" s="36">
        <v>400</v>
      </c>
      <c r="U2380" s="36"/>
      <c r="V2380" s="36"/>
      <c r="W2380" s="15">
        <f t="shared" si="84"/>
        <v>400</v>
      </c>
      <c r="X2380" s="36"/>
      <c r="Y2380" s="36"/>
      <c r="Z2380" s="36"/>
      <c r="AA2380" s="36"/>
      <c r="AB2380" s="36"/>
      <c r="AC2380" s="36"/>
      <c r="AD2380" s="36"/>
      <c r="AE2380" s="36"/>
      <c r="AF2380" s="36"/>
      <c r="AG2380" s="36"/>
      <c r="AH2380" s="36"/>
      <c r="AI2380" s="36"/>
      <c r="AJ2380" s="15">
        <f t="shared" si="82"/>
        <v>0</v>
      </c>
      <c r="AK2380" s="16"/>
    </row>
    <row r="2381" spans="2:37" x14ac:dyDescent="0.2">
      <c r="B2381" s="7" t="s">
        <v>47</v>
      </c>
      <c r="C2381" s="8">
        <v>12984</v>
      </c>
      <c r="D2381" s="9" t="s">
        <v>97</v>
      </c>
      <c r="E2381" s="10" t="s">
        <v>98</v>
      </c>
      <c r="F2381" s="10" t="s">
        <v>99</v>
      </c>
      <c r="G2381" s="8">
        <v>1</v>
      </c>
      <c r="H2381" s="11">
        <v>400</v>
      </c>
      <c r="I2381" s="12">
        <v>42645</v>
      </c>
      <c r="J2381" s="35">
        <f t="shared" si="83"/>
        <v>0</v>
      </c>
      <c r="K2381" s="36"/>
      <c r="L2381" s="36"/>
      <c r="M2381" s="36"/>
      <c r="N2381" s="36"/>
      <c r="O2381" s="36"/>
      <c r="P2381" s="36"/>
      <c r="Q2381" s="36"/>
      <c r="R2381" s="36"/>
      <c r="S2381" s="36"/>
      <c r="T2381" s="36">
        <v>400</v>
      </c>
      <c r="U2381" s="36"/>
      <c r="V2381" s="36"/>
      <c r="W2381" s="15">
        <f t="shared" si="84"/>
        <v>400</v>
      </c>
      <c r="X2381" s="36"/>
      <c r="Y2381" s="36"/>
      <c r="Z2381" s="36"/>
      <c r="AA2381" s="36"/>
      <c r="AB2381" s="36"/>
      <c r="AC2381" s="36"/>
      <c r="AD2381" s="36"/>
      <c r="AE2381" s="36"/>
      <c r="AF2381" s="36"/>
      <c r="AG2381" s="36"/>
      <c r="AH2381" s="36"/>
      <c r="AI2381" s="36"/>
      <c r="AJ2381" s="15">
        <f t="shared" si="82"/>
        <v>0</v>
      </c>
      <c r="AK2381" s="16"/>
    </row>
    <row r="2382" spans="2:37" x14ac:dyDescent="0.2">
      <c r="B2382" s="7" t="s">
        <v>69</v>
      </c>
      <c r="C2382" s="8">
        <v>12985</v>
      </c>
      <c r="D2382" s="9" t="s">
        <v>476</v>
      </c>
      <c r="E2382" s="10" t="s">
        <v>477</v>
      </c>
      <c r="F2382" s="10" t="s">
        <v>478</v>
      </c>
      <c r="G2382" s="8">
        <v>1</v>
      </c>
      <c r="H2382" s="11">
        <v>400</v>
      </c>
      <c r="I2382" s="12">
        <v>42645</v>
      </c>
      <c r="J2382" s="35">
        <f t="shared" si="83"/>
        <v>0</v>
      </c>
      <c r="K2382" s="36"/>
      <c r="L2382" s="36"/>
      <c r="M2382" s="36"/>
      <c r="N2382" s="36"/>
      <c r="O2382" s="36"/>
      <c r="P2382" s="36"/>
      <c r="Q2382" s="36"/>
      <c r="R2382" s="36"/>
      <c r="S2382" s="36"/>
      <c r="T2382" s="36">
        <v>400</v>
      </c>
      <c r="U2382" s="36"/>
      <c r="V2382" s="36"/>
      <c r="W2382" s="15">
        <f t="shared" si="84"/>
        <v>400</v>
      </c>
      <c r="X2382" s="36"/>
      <c r="Y2382" s="36"/>
      <c r="Z2382" s="36"/>
      <c r="AA2382" s="36"/>
      <c r="AB2382" s="36"/>
      <c r="AC2382" s="36"/>
      <c r="AD2382" s="36"/>
      <c r="AE2382" s="36"/>
      <c r="AF2382" s="36"/>
      <c r="AG2382" s="36"/>
      <c r="AH2382" s="36"/>
      <c r="AI2382" s="36"/>
      <c r="AJ2382" s="15">
        <f t="shared" si="82"/>
        <v>0</v>
      </c>
      <c r="AK2382" s="16"/>
    </row>
    <row r="2383" spans="2:37" x14ac:dyDescent="0.2">
      <c r="B2383" s="7" t="s">
        <v>77</v>
      </c>
      <c r="C2383" s="8">
        <v>12986</v>
      </c>
      <c r="D2383" s="9" t="s">
        <v>556</v>
      </c>
      <c r="E2383" s="10" t="s">
        <v>557</v>
      </c>
      <c r="F2383" s="10" t="s">
        <v>558</v>
      </c>
      <c r="G2383" s="8">
        <v>1</v>
      </c>
      <c r="H2383" s="11">
        <v>400</v>
      </c>
      <c r="I2383" s="12">
        <v>42645</v>
      </c>
      <c r="J2383" s="35">
        <f t="shared" si="83"/>
        <v>0</v>
      </c>
      <c r="K2383" s="36"/>
      <c r="L2383" s="36"/>
      <c r="M2383" s="36"/>
      <c r="N2383" s="36"/>
      <c r="O2383" s="36"/>
      <c r="P2383" s="36"/>
      <c r="Q2383" s="36">
        <v>400</v>
      </c>
      <c r="R2383" s="36"/>
      <c r="S2383" s="36"/>
      <c r="T2383" s="36"/>
      <c r="U2383" s="36"/>
      <c r="V2383" s="36"/>
      <c r="W2383" s="15">
        <f t="shared" si="84"/>
        <v>400</v>
      </c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15">
        <f t="shared" si="82"/>
        <v>0</v>
      </c>
      <c r="AK2383" s="16"/>
    </row>
    <row r="2384" spans="2:37" x14ac:dyDescent="0.2">
      <c r="B2384" s="7" t="s">
        <v>37</v>
      </c>
      <c r="C2384" s="8">
        <v>12987</v>
      </c>
      <c r="D2384" s="9" t="s">
        <v>550</v>
      </c>
      <c r="E2384" s="10" t="s">
        <v>551</v>
      </c>
      <c r="F2384" s="10" t="s">
        <v>552</v>
      </c>
      <c r="G2384" s="8">
        <v>1</v>
      </c>
      <c r="H2384" s="11">
        <v>600</v>
      </c>
      <c r="I2384" s="12">
        <v>42645</v>
      </c>
      <c r="J2384" s="35">
        <f t="shared" si="83"/>
        <v>0</v>
      </c>
      <c r="K2384" s="36"/>
      <c r="L2384" s="36"/>
      <c r="M2384" s="36"/>
      <c r="N2384" s="36"/>
      <c r="O2384" s="36"/>
      <c r="P2384" s="36"/>
      <c r="Q2384" s="36">
        <v>300</v>
      </c>
      <c r="R2384" s="36">
        <v>300</v>
      </c>
      <c r="S2384" s="36"/>
      <c r="T2384" s="36"/>
      <c r="U2384" s="36"/>
      <c r="V2384" s="36"/>
      <c r="W2384" s="15">
        <f t="shared" si="84"/>
        <v>600</v>
      </c>
      <c r="X2384" s="36"/>
      <c r="Y2384" s="36"/>
      <c r="Z2384" s="36"/>
      <c r="AA2384" s="36"/>
      <c r="AB2384" s="36"/>
      <c r="AC2384" s="36"/>
      <c r="AD2384" s="36"/>
      <c r="AE2384" s="36"/>
      <c r="AF2384" s="36"/>
      <c r="AG2384" s="36"/>
      <c r="AH2384" s="36"/>
      <c r="AI2384" s="36"/>
      <c r="AJ2384" s="15">
        <f t="shared" si="82"/>
        <v>0</v>
      </c>
      <c r="AK2384" s="16"/>
    </row>
    <row r="2385" spans="2:37" x14ac:dyDescent="0.2">
      <c r="B2385" s="7" t="s">
        <v>47</v>
      </c>
      <c r="C2385" s="8">
        <v>12988</v>
      </c>
      <c r="D2385" s="9" t="s">
        <v>238</v>
      </c>
      <c r="E2385" s="10" t="s">
        <v>239</v>
      </c>
      <c r="F2385" s="10" t="s">
        <v>240</v>
      </c>
      <c r="G2385" s="8">
        <v>1</v>
      </c>
      <c r="H2385" s="11">
        <v>125</v>
      </c>
      <c r="I2385" s="12">
        <v>42645</v>
      </c>
      <c r="J2385" s="35">
        <f t="shared" si="83"/>
        <v>0</v>
      </c>
      <c r="K2385" s="36"/>
      <c r="L2385" s="36"/>
      <c r="M2385" s="36"/>
      <c r="N2385" s="36"/>
      <c r="O2385" s="36"/>
      <c r="P2385" s="36"/>
      <c r="Q2385" s="36"/>
      <c r="R2385" s="36"/>
      <c r="S2385" s="36"/>
      <c r="T2385" s="36">
        <v>125</v>
      </c>
      <c r="U2385" s="36"/>
      <c r="V2385" s="36"/>
      <c r="W2385" s="15">
        <f t="shared" si="84"/>
        <v>125</v>
      </c>
      <c r="X2385" s="36"/>
      <c r="Y2385" s="36"/>
      <c r="Z2385" s="36"/>
      <c r="AA2385" s="36"/>
      <c r="AB2385" s="36"/>
      <c r="AC2385" s="36"/>
      <c r="AD2385" s="36"/>
      <c r="AE2385" s="36"/>
      <c r="AF2385" s="36"/>
      <c r="AG2385" s="36"/>
      <c r="AH2385" s="36"/>
      <c r="AI2385" s="36"/>
      <c r="AJ2385" s="15">
        <f t="shared" si="82"/>
        <v>0</v>
      </c>
      <c r="AK2385" s="16"/>
    </row>
    <row r="2386" spans="2:37" x14ac:dyDescent="0.2">
      <c r="B2386" s="7" t="s">
        <v>73</v>
      </c>
      <c r="C2386" s="8">
        <v>12989</v>
      </c>
      <c r="D2386" s="9" t="s">
        <v>259</v>
      </c>
      <c r="E2386" s="10" t="s">
        <v>260</v>
      </c>
      <c r="F2386" s="10" t="s">
        <v>261</v>
      </c>
      <c r="G2386" s="8">
        <v>3</v>
      </c>
      <c r="H2386" s="11">
        <v>200</v>
      </c>
      <c r="I2386" s="12">
        <v>42645</v>
      </c>
      <c r="J2386" s="35">
        <f t="shared" si="83"/>
        <v>0</v>
      </c>
      <c r="K2386" s="36"/>
      <c r="L2386" s="36"/>
      <c r="M2386" s="36"/>
      <c r="N2386" s="36"/>
      <c r="O2386" s="36"/>
      <c r="P2386" s="36"/>
      <c r="Q2386" s="36"/>
      <c r="R2386" s="36"/>
      <c r="S2386" s="36"/>
      <c r="T2386" s="36"/>
      <c r="U2386" s="36"/>
      <c r="V2386" s="36"/>
      <c r="W2386" s="15">
        <f t="shared" si="84"/>
        <v>0</v>
      </c>
      <c r="X2386" s="36"/>
      <c r="Y2386" s="36"/>
      <c r="Z2386" s="36"/>
      <c r="AA2386" s="36"/>
      <c r="AB2386" s="36"/>
      <c r="AC2386" s="36"/>
      <c r="AD2386" s="36"/>
      <c r="AE2386" s="36"/>
      <c r="AF2386" s="36"/>
      <c r="AG2386" s="36"/>
      <c r="AH2386" s="36"/>
      <c r="AI2386" s="36"/>
      <c r="AJ2386" s="15">
        <f t="shared" si="82"/>
        <v>0</v>
      </c>
      <c r="AK2386" s="16"/>
    </row>
    <row r="2387" spans="2:37" x14ac:dyDescent="0.2">
      <c r="B2387" s="7" t="s">
        <v>391</v>
      </c>
      <c r="C2387" s="8">
        <v>12990</v>
      </c>
      <c r="D2387" s="9" t="s">
        <v>640</v>
      </c>
      <c r="E2387" s="10" t="s">
        <v>641</v>
      </c>
      <c r="F2387" s="10" t="s">
        <v>642</v>
      </c>
      <c r="G2387" s="8">
        <v>1</v>
      </c>
      <c r="H2387" s="11">
        <v>200</v>
      </c>
      <c r="I2387" s="12">
        <v>42645</v>
      </c>
      <c r="J2387" s="35">
        <f t="shared" si="83"/>
        <v>0</v>
      </c>
      <c r="K2387" s="36"/>
      <c r="L2387" s="36"/>
      <c r="M2387" s="36"/>
      <c r="N2387" s="36"/>
      <c r="O2387" s="36"/>
      <c r="P2387" s="36"/>
      <c r="Q2387" s="36"/>
      <c r="R2387" s="36"/>
      <c r="S2387" s="36">
        <v>200</v>
      </c>
      <c r="T2387" s="36"/>
      <c r="U2387" s="36"/>
      <c r="V2387" s="36"/>
      <c r="W2387" s="15">
        <f t="shared" si="84"/>
        <v>200</v>
      </c>
      <c r="X2387" s="36"/>
      <c r="Y2387" s="36"/>
      <c r="Z2387" s="36"/>
      <c r="AA2387" s="36"/>
      <c r="AB2387" s="36"/>
      <c r="AC2387" s="36"/>
      <c r="AD2387" s="36"/>
      <c r="AE2387" s="36"/>
      <c r="AF2387" s="36"/>
      <c r="AG2387" s="36"/>
      <c r="AH2387" s="36"/>
      <c r="AI2387" s="36"/>
      <c r="AJ2387" s="15">
        <f t="shared" si="82"/>
        <v>0</v>
      </c>
      <c r="AK2387" s="16"/>
    </row>
    <row r="2388" spans="2:37" x14ac:dyDescent="0.2">
      <c r="B2388" s="7" t="s">
        <v>37</v>
      </c>
      <c r="C2388" s="8">
        <v>12991</v>
      </c>
      <c r="D2388" s="9" t="s">
        <v>568</v>
      </c>
      <c r="E2388" s="10" t="s">
        <v>569</v>
      </c>
      <c r="F2388" s="10" t="s">
        <v>570</v>
      </c>
      <c r="G2388" s="8">
        <v>1</v>
      </c>
      <c r="H2388" s="11">
        <v>1000</v>
      </c>
      <c r="I2388" s="12">
        <v>42645</v>
      </c>
      <c r="J2388" s="35">
        <f t="shared" si="83"/>
        <v>0</v>
      </c>
      <c r="K2388" s="36"/>
      <c r="L2388" s="36"/>
      <c r="M2388" s="36"/>
      <c r="N2388" s="36"/>
      <c r="O2388" s="36"/>
      <c r="P2388" s="36"/>
      <c r="Q2388" s="36">
        <v>200</v>
      </c>
      <c r="R2388" s="36"/>
      <c r="S2388" s="36">
        <v>400</v>
      </c>
      <c r="T2388" s="36">
        <v>400</v>
      </c>
      <c r="U2388" s="36"/>
      <c r="V2388" s="36"/>
      <c r="W2388" s="15">
        <f t="shared" si="84"/>
        <v>1000</v>
      </c>
      <c r="X2388" s="36"/>
      <c r="Y2388" s="36"/>
      <c r="Z2388" s="36"/>
      <c r="AA2388" s="36"/>
      <c r="AB2388" s="36"/>
      <c r="AC2388" s="36"/>
      <c r="AD2388" s="36"/>
      <c r="AE2388" s="36"/>
      <c r="AF2388" s="36"/>
      <c r="AG2388" s="36"/>
      <c r="AH2388" s="36"/>
      <c r="AI2388" s="36"/>
      <c r="AJ2388" s="15">
        <f t="shared" si="82"/>
        <v>0</v>
      </c>
      <c r="AK2388" s="16"/>
    </row>
    <row r="2389" spans="2:37" x14ac:dyDescent="0.2">
      <c r="B2389" s="7" t="s">
        <v>69</v>
      </c>
      <c r="C2389" s="8">
        <v>12992</v>
      </c>
      <c r="D2389" s="9" t="s">
        <v>292</v>
      </c>
      <c r="E2389" s="10" t="s">
        <v>293</v>
      </c>
      <c r="F2389" s="10" t="s">
        <v>294</v>
      </c>
      <c r="G2389" s="8">
        <v>1</v>
      </c>
      <c r="H2389" s="11">
        <v>400</v>
      </c>
      <c r="I2389" s="12">
        <v>42645</v>
      </c>
      <c r="J2389" s="35">
        <f t="shared" si="83"/>
        <v>0</v>
      </c>
      <c r="K2389" s="36"/>
      <c r="L2389" s="36"/>
      <c r="M2389" s="36"/>
      <c r="N2389" s="36"/>
      <c r="O2389" s="36"/>
      <c r="P2389" s="36"/>
      <c r="Q2389" s="36"/>
      <c r="R2389" s="36"/>
      <c r="S2389" s="36"/>
      <c r="T2389" s="36">
        <v>400</v>
      </c>
      <c r="U2389" s="36"/>
      <c r="V2389" s="36"/>
      <c r="W2389" s="15">
        <f t="shared" si="84"/>
        <v>400</v>
      </c>
      <c r="X2389" s="36"/>
      <c r="Y2389" s="36"/>
      <c r="Z2389" s="36"/>
      <c r="AA2389" s="36"/>
      <c r="AB2389" s="36"/>
      <c r="AC2389" s="36"/>
      <c r="AD2389" s="36"/>
      <c r="AE2389" s="36"/>
      <c r="AF2389" s="36"/>
      <c r="AG2389" s="36"/>
      <c r="AH2389" s="36"/>
      <c r="AI2389" s="36"/>
      <c r="AJ2389" s="15">
        <f t="shared" si="82"/>
        <v>0</v>
      </c>
      <c r="AK2389" s="16"/>
    </row>
    <row r="2390" spans="2:37" x14ac:dyDescent="0.2">
      <c r="B2390" s="7" t="s">
        <v>69</v>
      </c>
      <c r="C2390" s="8">
        <v>12993</v>
      </c>
      <c r="D2390" s="9" t="s">
        <v>562</v>
      </c>
      <c r="E2390" s="10" t="s">
        <v>563</v>
      </c>
      <c r="F2390" s="10" t="s">
        <v>564</v>
      </c>
      <c r="G2390" s="8">
        <v>1</v>
      </c>
      <c r="H2390" s="11">
        <v>400</v>
      </c>
      <c r="I2390" s="12">
        <v>42645</v>
      </c>
      <c r="J2390" s="35">
        <f t="shared" si="83"/>
        <v>0</v>
      </c>
      <c r="K2390" s="36"/>
      <c r="L2390" s="36"/>
      <c r="M2390" s="36"/>
      <c r="N2390" s="36"/>
      <c r="O2390" s="36"/>
      <c r="P2390" s="36"/>
      <c r="Q2390" s="36"/>
      <c r="R2390" s="36"/>
      <c r="S2390" s="36"/>
      <c r="T2390" s="36">
        <v>400</v>
      </c>
      <c r="U2390" s="36"/>
      <c r="V2390" s="36"/>
      <c r="W2390" s="15">
        <f t="shared" si="84"/>
        <v>400</v>
      </c>
      <c r="X2390" s="36"/>
      <c r="Y2390" s="36"/>
      <c r="Z2390" s="36"/>
      <c r="AA2390" s="36"/>
      <c r="AB2390" s="36"/>
      <c r="AC2390" s="36"/>
      <c r="AD2390" s="36"/>
      <c r="AE2390" s="36"/>
      <c r="AF2390" s="36"/>
      <c r="AG2390" s="36"/>
      <c r="AH2390" s="36"/>
      <c r="AI2390" s="36"/>
      <c r="AJ2390" s="15">
        <f t="shared" si="82"/>
        <v>0</v>
      </c>
      <c r="AK2390" s="16"/>
    </row>
    <row r="2391" spans="2:37" x14ac:dyDescent="0.2">
      <c r="B2391" s="7" t="s">
        <v>69</v>
      </c>
      <c r="C2391" s="8">
        <v>12994</v>
      </c>
      <c r="D2391" s="9" t="s">
        <v>413</v>
      </c>
      <c r="E2391" s="10" t="s">
        <v>414</v>
      </c>
      <c r="F2391" s="10" t="s">
        <v>415</v>
      </c>
      <c r="G2391" s="8">
        <v>1</v>
      </c>
      <c r="H2391" s="11">
        <v>1200</v>
      </c>
      <c r="I2391" s="12">
        <v>42645</v>
      </c>
      <c r="J2391" s="35">
        <f t="shared" si="83"/>
        <v>0</v>
      </c>
      <c r="K2391" s="36"/>
      <c r="L2391" s="36"/>
      <c r="M2391" s="36"/>
      <c r="N2391" s="36"/>
      <c r="O2391" s="36"/>
      <c r="P2391" s="36"/>
      <c r="Q2391" s="36"/>
      <c r="R2391" s="36"/>
      <c r="S2391" s="36"/>
      <c r="T2391" s="36">
        <v>400</v>
      </c>
      <c r="U2391" s="36">
        <v>400</v>
      </c>
      <c r="V2391" s="36">
        <v>400</v>
      </c>
      <c r="W2391" s="15">
        <f t="shared" si="84"/>
        <v>1200</v>
      </c>
      <c r="X2391" s="36"/>
      <c r="Y2391" s="36"/>
      <c r="Z2391" s="36"/>
      <c r="AA2391" s="36"/>
      <c r="AB2391" s="36"/>
      <c r="AC2391" s="36"/>
      <c r="AD2391" s="36"/>
      <c r="AE2391" s="36"/>
      <c r="AF2391" s="36"/>
      <c r="AG2391" s="36"/>
      <c r="AH2391" s="36"/>
      <c r="AI2391" s="36"/>
      <c r="AJ2391" s="15">
        <f t="shared" si="82"/>
        <v>0</v>
      </c>
      <c r="AK2391" s="16"/>
    </row>
    <row r="2392" spans="2:37" x14ac:dyDescent="0.2">
      <c r="B2392" s="7" t="s">
        <v>73</v>
      </c>
      <c r="C2392" s="8">
        <v>12995</v>
      </c>
      <c r="D2392" s="9" t="s">
        <v>544</v>
      </c>
      <c r="E2392" s="10" t="s">
        <v>545</v>
      </c>
      <c r="F2392" s="10" t="s">
        <v>546</v>
      </c>
      <c r="G2392" s="8">
        <v>1</v>
      </c>
      <c r="H2392" s="11">
        <v>400</v>
      </c>
      <c r="I2392" s="12">
        <v>42645</v>
      </c>
      <c r="J2392" s="35">
        <f t="shared" si="83"/>
        <v>0</v>
      </c>
      <c r="K2392" s="36"/>
      <c r="L2392" s="36"/>
      <c r="M2392" s="36"/>
      <c r="N2392" s="36"/>
      <c r="O2392" s="36"/>
      <c r="P2392" s="36"/>
      <c r="Q2392" s="36"/>
      <c r="R2392" s="36"/>
      <c r="S2392" s="36"/>
      <c r="T2392" s="36">
        <v>400</v>
      </c>
      <c r="U2392" s="36"/>
      <c r="V2392" s="36"/>
      <c r="W2392" s="15">
        <f t="shared" si="84"/>
        <v>400</v>
      </c>
      <c r="X2392" s="36"/>
      <c r="Y2392" s="36"/>
      <c r="Z2392" s="36"/>
      <c r="AA2392" s="36"/>
      <c r="AB2392" s="36"/>
      <c r="AC2392" s="36"/>
      <c r="AD2392" s="36"/>
      <c r="AE2392" s="36"/>
      <c r="AF2392" s="36"/>
      <c r="AG2392" s="36"/>
      <c r="AH2392" s="36"/>
      <c r="AI2392" s="36"/>
      <c r="AJ2392" s="15">
        <f t="shared" si="82"/>
        <v>0</v>
      </c>
      <c r="AK2392" s="16"/>
    </row>
    <row r="2393" spans="2:37" x14ac:dyDescent="0.2">
      <c r="B2393" s="7" t="s">
        <v>47</v>
      </c>
      <c r="C2393" s="8">
        <v>12996</v>
      </c>
      <c r="D2393" s="9" t="s">
        <v>171</v>
      </c>
      <c r="E2393" s="10" t="s">
        <v>172</v>
      </c>
      <c r="F2393" s="10" t="s">
        <v>173</v>
      </c>
      <c r="G2393" s="8">
        <v>1</v>
      </c>
      <c r="H2393" s="11">
        <v>400</v>
      </c>
      <c r="I2393" s="12">
        <v>42645</v>
      </c>
      <c r="J2393" s="35">
        <f t="shared" si="83"/>
        <v>0</v>
      </c>
      <c r="K2393" s="36"/>
      <c r="L2393" s="36"/>
      <c r="M2393" s="36"/>
      <c r="N2393" s="36"/>
      <c r="O2393" s="36"/>
      <c r="P2393" s="36"/>
      <c r="Q2393" s="36"/>
      <c r="R2393" s="36"/>
      <c r="S2393" s="36"/>
      <c r="T2393" s="36">
        <v>400</v>
      </c>
      <c r="U2393" s="36"/>
      <c r="V2393" s="36"/>
      <c r="W2393" s="15">
        <f t="shared" si="84"/>
        <v>400</v>
      </c>
      <c r="X2393" s="36"/>
      <c r="Y2393" s="36"/>
      <c r="Z2393" s="36"/>
      <c r="AA2393" s="36"/>
      <c r="AB2393" s="36"/>
      <c r="AC2393" s="36"/>
      <c r="AD2393" s="36"/>
      <c r="AE2393" s="36"/>
      <c r="AF2393" s="36"/>
      <c r="AG2393" s="36"/>
      <c r="AH2393" s="36"/>
      <c r="AI2393" s="36"/>
      <c r="AJ2393" s="15">
        <f t="shared" si="82"/>
        <v>0</v>
      </c>
      <c r="AK2393" s="16"/>
    </row>
    <row r="2394" spans="2:37" x14ac:dyDescent="0.2">
      <c r="B2394" s="7" t="s">
        <v>37</v>
      </c>
      <c r="C2394" s="8">
        <v>12997</v>
      </c>
      <c r="D2394" s="9" t="s">
        <v>1206</v>
      </c>
      <c r="E2394" s="10" t="s">
        <v>1207</v>
      </c>
      <c r="F2394" s="10" t="s">
        <v>1208</v>
      </c>
      <c r="G2394" s="8">
        <v>1</v>
      </c>
      <c r="H2394" s="11">
        <v>1050</v>
      </c>
      <c r="I2394" s="12">
        <v>42645</v>
      </c>
      <c r="J2394" s="35">
        <f t="shared" si="83"/>
        <v>0</v>
      </c>
      <c r="K2394" s="36"/>
      <c r="L2394" s="36"/>
      <c r="M2394" s="36"/>
      <c r="N2394" s="36">
        <v>150</v>
      </c>
      <c r="O2394" s="36">
        <v>150</v>
      </c>
      <c r="P2394" s="36">
        <v>150</v>
      </c>
      <c r="Q2394" s="36">
        <v>150</v>
      </c>
      <c r="R2394" s="36">
        <v>150</v>
      </c>
      <c r="S2394" s="36">
        <v>150</v>
      </c>
      <c r="T2394" s="36">
        <v>150</v>
      </c>
      <c r="U2394" s="36"/>
      <c r="V2394" s="36"/>
      <c r="W2394" s="15">
        <f t="shared" si="84"/>
        <v>1050</v>
      </c>
      <c r="X2394" s="36"/>
      <c r="Y2394" s="36"/>
      <c r="Z2394" s="36"/>
      <c r="AA2394" s="36"/>
      <c r="AB2394" s="36"/>
      <c r="AC2394" s="36"/>
      <c r="AD2394" s="36"/>
      <c r="AE2394" s="36"/>
      <c r="AF2394" s="36"/>
      <c r="AG2394" s="36"/>
      <c r="AH2394" s="36"/>
      <c r="AI2394" s="36"/>
      <c r="AJ2394" s="15">
        <f t="shared" si="82"/>
        <v>0</v>
      </c>
      <c r="AK2394" s="16"/>
    </row>
    <row r="2395" spans="2:37" x14ac:dyDescent="0.2">
      <c r="B2395" s="7" t="s">
        <v>37</v>
      </c>
      <c r="C2395" s="8">
        <v>12998</v>
      </c>
      <c r="D2395" s="9" t="s">
        <v>1206</v>
      </c>
      <c r="E2395" s="10" t="s">
        <v>1207</v>
      </c>
      <c r="F2395" s="10" t="s">
        <v>1208</v>
      </c>
      <c r="G2395" s="8">
        <v>5</v>
      </c>
      <c r="H2395" s="11">
        <v>50</v>
      </c>
      <c r="I2395" s="12">
        <v>42645</v>
      </c>
      <c r="J2395" s="35">
        <f t="shared" si="83"/>
        <v>0</v>
      </c>
      <c r="K2395" s="36"/>
      <c r="L2395" s="36"/>
      <c r="M2395" s="36"/>
      <c r="N2395" s="36"/>
      <c r="O2395" s="36"/>
      <c r="P2395" s="36"/>
      <c r="Q2395" s="36"/>
      <c r="R2395" s="36"/>
      <c r="S2395" s="36"/>
      <c r="T2395" s="36"/>
      <c r="U2395" s="36"/>
      <c r="V2395" s="36"/>
      <c r="W2395" s="15">
        <f t="shared" si="84"/>
        <v>0</v>
      </c>
      <c r="X2395" s="36"/>
      <c r="Y2395" s="36"/>
      <c r="Z2395" s="36"/>
      <c r="AA2395" s="36"/>
      <c r="AB2395" s="36"/>
      <c r="AC2395" s="36"/>
      <c r="AD2395" s="36"/>
      <c r="AE2395" s="36"/>
      <c r="AF2395" s="36"/>
      <c r="AG2395" s="36"/>
      <c r="AH2395" s="36"/>
      <c r="AI2395" s="36"/>
      <c r="AJ2395" s="15">
        <f t="shared" si="82"/>
        <v>0</v>
      </c>
      <c r="AK2395" s="16"/>
    </row>
    <row r="2396" spans="2:37" x14ac:dyDescent="0.2">
      <c r="B2396" s="7" t="s">
        <v>69</v>
      </c>
      <c r="C2396" s="8">
        <v>12999</v>
      </c>
      <c r="D2396" s="9" t="s">
        <v>253</v>
      </c>
      <c r="E2396" s="10" t="s">
        <v>254</v>
      </c>
      <c r="F2396" s="10" t="s">
        <v>255</v>
      </c>
      <c r="G2396" s="8">
        <v>5</v>
      </c>
      <c r="H2396" s="11">
        <v>50</v>
      </c>
      <c r="I2396" s="12">
        <v>42645</v>
      </c>
      <c r="J2396" s="35">
        <f t="shared" si="83"/>
        <v>0</v>
      </c>
      <c r="K2396" s="36"/>
      <c r="L2396" s="36"/>
      <c r="M2396" s="36"/>
      <c r="N2396" s="36"/>
      <c r="O2396" s="36"/>
      <c r="P2396" s="36"/>
      <c r="Q2396" s="36"/>
      <c r="R2396" s="36"/>
      <c r="S2396" s="36"/>
      <c r="T2396" s="36"/>
      <c r="U2396" s="36"/>
      <c r="V2396" s="36"/>
      <c r="W2396" s="15">
        <f t="shared" si="84"/>
        <v>0</v>
      </c>
      <c r="X2396" s="36"/>
      <c r="Y2396" s="36"/>
      <c r="Z2396" s="36"/>
      <c r="AA2396" s="36"/>
      <c r="AB2396" s="36"/>
      <c r="AC2396" s="36"/>
      <c r="AD2396" s="36"/>
      <c r="AE2396" s="36"/>
      <c r="AF2396" s="36"/>
      <c r="AG2396" s="36"/>
      <c r="AH2396" s="36"/>
      <c r="AI2396" s="36"/>
      <c r="AJ2396" s="15">
        <f t="shared" si="82"/>
        <v>0</v>
      </c>
      <c r="AK2396" s="16"/>
    </row>
    <row r="2397" spans="2:37" x14ac:dyDescent="0.2">
      <c r="B2397" s="7" t="s">
        <v>37</v>
      </c>
      <c r="C2397" s="8">
        <v>13000</v>
      </c>
      <c r="D2397" s="9" t="s">
        <v>681</v>
      </c>
      <c r="E2397" s="10" t="s">
        <v>682</v>
      </c>
      <c r="F2397" s="10" t="s">
        <v>683</v>
      </c>
      <c r="G2397" s="8">
        <v>1</v>
      </c>
      <c r="H2397" s="11">
        <v>300</v>
      </c>
      <c r="I2397" s="12">
        <v>42645</v>
      </c>
      <c r="J2397" s="35">
        <f t="shared" si="83"/>
        <v>0</v>
      </c>
      <c r="K2397" s="36"/>
      <c r="L2397" s="36"/>
      <c r="M2397" s="36"/>
      <c r="N2397" s="36"/>
      <c r="O2397" s="36"/>
      <c r="P2397" s="36"/>
      <c r="Q2397" s="36"/>
      <c r="R2397" s="36"/>
      <c r="S2397" s="36">
        <v>300</v>
      </c>
      <c r="T2397" s="36"/>
      <c r="U2397" s="36"/>
      <c r="V2397" s="36"/>
      <c r="W2397" s="15">
        <f t="shared" si="84"/>
        <v>300</v>
      </c>
      <c r="X2397" s="36"/>
      <c r="Y2397" s="36"/>
      <c r="Z2397" s="36"/>
      <c r="AA2397" s="36"/>
      <c r="AB2397" s="36"/>
      <c r="AC2397" s="36"/>
      <c r="AD2397" s="36"/>
      <c r="AE2397" s="36"/>
      <c r="AF2397" s="36"/>
      <c r="AG2397" s="36"/>
      <c r="AH2397" s="36"/>
      <c r="AI2397" s="36"/>
      <c r="AJ2397" s="15">
        <f t="shared" si="82"/>
        <v>0</v>
      </c>
      <c r="AK2397" s="16"/>
    </row>
    <row r="2398" spans="2:37" x14ac:dyDescent="0.2">
      <c r="B2398" s="7" t="s">
        <v>37</v>
      </c>
      <c r="C2398" s="8">
        <v>13000</v>
      </c>
      <c r="D2398" s="9" t="s">
        <v>681</v>
      </c>
      <c r="E2398" s="10" t="s">
        <v>682</v>
      </c>
      <c r="F2398" s="10" t="s">
        <v>683</v>
      </c>
      <c r="G2398" s="8">
        <v>5</v>
      </c>
      <c r="H2398" s="11">
        <v>50</v>
      </c>
      <c r="I2398" s="12">
        <v>42645</v>
      </c>
      <c r="J2398" s="35">
        <f t="shared" si="83"/>
        <v>0</v>
      </c>
      <c r="K2398" s="36"/>
      <c r="L2398" s="36"/>
      <c r="M2398" s="36"/>
      <c r="N2398" s="36"/>
      <c r="O2398" s="36"/>
      <c r="P2398" s="36"/>
      <c r="Q2398" s="36"/>
      <c r="R2398" s="36"/>
      <c r="S2398" s="36"/>
      <c r="T2398" s="36"/>
      <c r="U2398" s="36"/>
      <c r="V2398" s="36"/>
      <c r="W2398" s="15">
        <f t="shared" si="84"/>
        <v>0</v>
      </c>
      <c r="X2398" s="36"/>
      <c r="Y2398" s="36"/>
      <c r="Z2398" s="36"/>
      <c r="AA2398" s="36"/>
      <c r="AB2398" s="36"/>
      <c r="AC2398" s="36"/>
      <c r="AD2398" s="36"/>
      <c r="AE2398" s="36"/>
      <c r="AF2398" s="36"/>
      <c r="AG2398" s="36"/>
      <c r="AH2398" s="36"/>
      <c r="AI2398" s="36"/>
      <c r="AJ2398" s="15">
        <f t="shared" si="82"/>
        <v>0</v>
      </c>
      <c r="AK2398" s="16"/>
    </row>
    <row r="2399" spans="2:37" x14ac:dyDescent="0.2">
      <c r="B2399" s="7" t="s">
        <v>37</v>
      </c>
      <c r="C2399" s="8">
        <v>12521</v>
      </c>
      <c r="D2399" s="9" t="s">
        <v>205</v>
      </c>
      <c r="E2399" s="10" t="s">
        <v>206</v>
      </c>
      <c r="F2399" s="10" t="s">
        <v>207</v>
      </c>
      <c r="G2399" s="8">
        <v>1</v>
      </c>
      <c r="H2399" s="11">
        <v>600</v>
      </c>
      <c r="I2399" s="12">
        <v>42647</v>
      </c>
      <c r="J2399" s="35">
        <f t="shared" si="83"/>
        <v>0</v>
      </c>
      <c r="K2399" s="36"/>
      <c r="L2399" s="36"/>
      <c r="M2399" s="36"/>
      <c r="N2399" s="36"/>
      <c r="O2399" s="36"/>
      <c r="P2399" s="36"/>
      <c r="Q2399" s="36"/>
      <c r="R2399" s="36"/>
      <c r="S2399" s="36">
        <v>600</v>
      </c>
      <c r="T2399" s="36"/>
      <c r="U2399" s="36"/>
      <c r="V2399" s="36"/>
      <c r="W2399" s="15">
        <f t="shared" si="84"/>
        <v>600</v>
      </c>
      <c r="X2399" s="36"/>
      <c r="Y2399" s="36"/>
      <c r="Z2399" s="36"/>
      <c r="AA2399" s="36"/>
      <c r="AB2399" s="36"/>
      <c r="AC2399" s="36"/>
      <c r="AD2399" s="36"/>
      <c r="AE2399" s="36"/>
      <c r="AF2399" s="36"/>
      <c r="AG2399" s="36"/>
      <c r="AH2399" s="36"/>
      <c r="AI2399" s="36"/>
      <c r="AJ2399" s="15">
        <f t="shared" si="82"/>
        <v>0</v>
      </c>
      <c r="AK2399" s="16"/>
    </row>
    <row r="2400" spans="2:37" x14ac:dyDescent="0.2">
      <c r="B2400" s="7" t="s">
        <v>37</v>
      </c>
      <c r="C2400" s="8">
        <v>12522</v>
      </c>
      <c r="D2400" s="9" t="s">
        <v>177</v>
      </c>
      <c r="E2400" s="10" t="s">
        <v>178</v>
      </c>
      <c r="F2400" s="10" t="s">
        <v>179</v>
      </c>
      <c r="G2400" s="8">
        <v>1</v>
      </c>
      <c r="H2400" s="11">
        <v>400</v>
      </c>
      <c r="I2400" s="12">
        <v>42647</v>
      </c>
      <c r="J2400" s="35">
        <f t="shared" si="83"/>
        <v>0</v>
      </c>
      <c r="K2400" s="36"/>
      <c r="L2400" s="36"/>
      <c r="M2400" s="36"/>
      <c r="N2400" s="36"/>
      <c r="O2400" s="36"/>
      <c r="P2400" s="36"/>
      <c r="Q2400" s="36"/>
      <c r="R2400" s="36"/>
      <c r="S2400" s="36"/>
      <c r="T2400" s="36">
        <v>400</v>
      </c>
      <c r="U2400" s="36"/>
      <c r="V2400" s="36"/>
      <c r="W2400" s="15">
        <f t="shared" si="84"/>
        <v>400</v>
      </c>
      <c r="X2400" s="36"/>
      <c r="Y2400" s="36"/>
      <c r="Z2400" s="36"/>
      <c r="AA2400" s="36"/>
      <c r="AB2400" s="36"/>
      <c r="AC2400" s="36"/>
      <c r="AD2400" s="36"/>
      <c r="AE2400" s="36"/>
      <c r="AF2400" s="36"/>
      <c r="AG2400" s="36"/>
      <c r="AH2400" s="36"/>
      <c r="AI2400" s="36"/>
      <c r="AJ2400" s="15">
        <f t="shared" si="82"/>
        <v>0</v>
      </c>
      <c r="AK2400" s="16"/>
    </row>
    <row r="2401" spans="2:37" x14ac:dyDescent="0.2">
      <c r="B2401" s="7" t="s">
        <v>37</v>
      </c>
      <c r="C2401" s="8">
        <v>12522</v>
      </c>
      <c r="D2401" s="9" t="s">
        <v>177</v>
      </c>
      <c r="E2401" s="10" t="s">
        <v>178</v>
      </c>
      <c r="F2401" s="10" t="s">
        <v>179</v>
      </c>
      <c r="G2401" s="8">
        <v>3</v>
      </c>
      <c r="H2401" s="11">
        <v>200</v>
      </c>
      <c r="I2401" s="12">
        <v>42647</v>
      </c>
      <c r="J2401" s="35">
        <f t="shared" si="83"/>
        <v>0</v>
      </c>
      <c r="K2401" s="36"/>
      <c r="L2401" s="36"/>
      <c r="M2401" s="36"/>
      <c r="N2401" s="36"/>
      <c r="O2401" s="36"/>
      <c r="P2401" s="36"/>
      <c r="Q2401" s="36"/>
      <c r="R2401" s="36"/>
      <c r="S2401" s="36"/>
      <c r="T2401" s="36"/>
      <c r="U2401" s="36"/>
      <c r="V2401" s="36"/>
      <c r="W2401" s="15">
        <f t="shared" si="84"/>
        <v>0</v>
      </c>
      <c r="X2401" s="36"/>
      <c r="Y2401" s="36"/>
      <c r="Z2401" s="36"/>
      <c r="AA2401" s="36"/>
      <c r="AB2401" s="36"/>
      <c r="AC2401" s="36"/>
      <c r="AD2401" s="36"/>
      <c r="AE2401" s="36"/>
      <c r="AF2401" s="36"/>
      <c r="AG2401" s="36"/>
      <c r="AH2401" s="36"/>
      <c r="AI2401" s="36"/>
      <c r="AJ2401" s="15">
        <f t="shared" si="82"/>
        <v>0</v>
      </c>
      <c r="AK2401" s="16"/>
    </row>
    <row r="2402" spans="2:37" x14ac:dyDescent="0.2">
      <c r="B2402" s="7" t="s">
        <v>37</v>
      </c>
      <c r="C2402" s="8">
        <v>12522</v>
      </c>
      <c r="D2402" s="9" t="s">
        <v>177</v>
      </c>
      <c r="E2402" s="10" t="s">
        <v>178</v>
      </c>
      <c r="F2402" s="10" t="s">
        <v>179</v>
      </c>
      <c r="G2402" s="8">
        <v>4</v>
      </c>
      <c r="H2402" s="11">
        <v>200</v>
      </c>
      <c r="I2402" s="12">
        <v>42647</v>
      </c>
      <c r="J2402" s="35">
        <f t="shared" si="83"/>
        <v>0</v>
      </c>
      <c r="K2402" s="36"/>
      <c r="L2402" s="36"/>
      <c r="M2402" s="36"/>
      <c r="N2402" s="36"/>
      <c r="O2402" s="36"/>
      <c r="P2402" s="36"/>
      <c r="Q2402" s="36"/>
      <c r="R2402" s="36"/>
      <c r="S2402" s="36"/>
      <c r="T2402" s="36"/>
      <c r="U2402" s="36"/>
      <c r="V2402" s="36"/>
      <c r="W2402" s="15">
        <f t="shared" si="84"/>
        <v>0</v>
      </c>
      <c r="X2402" s="36"/>
      <c r="Y2402" s="36"/>
      <c r="Z2402" s="36"/>
      <c r="AA2402" s="36"/>
      <c r="AB2402" s="36"/>
      <c r="AC2402" s="36"/>
      <c r="AD2402" s="36"/>
      <c r="AE2402" s="36"/>
      <c r="AF2402" s="36"/>
      <c r="AG2402" s="36"/>
      <c r="AH2402" s="36"/>
      <c r="AI2402" s="36"/>
      <c r="AJ2402" s="15">
        <f t="shared" si="82"/>
        <v>0</v>
      </c>
      <c r="AK2402" s="16"/>
    </row>
    <row r="2403" spans="2:37" x14ac:dyDescent="0.2">
      <c r="B2403" s="7" t="s">
        <v>37</v>
      </c>
      <c r="C2403" s="8">
        <v>12522</v>
      </c>
      <c r="D2403" s="9" t="s">
        <v>177</v>
      </c>
      <c r="E2403" s="10" t="s">
        <v>178</v>
      </c>
      <c r="F2403" s="10" t="s">
        <v>179</v>
      </c>
      <c r="G2403" s="8">
        <v>5</v>
      </c>
      <c r="H2403" s="11">
        <v>50</v>
      </c>
      <c r="I2403" s="12">
        <v>42647</v>
      </c>
      <c r="J2403" s="35">
        <f t="shared" si="83"/>
        <v>0</v>
      </c>
      <c r="K2403" s="36"/>
      <c r="L2403" s="36"/>
      <c r="M2403" s="36"/>
      <c r="N2403" s="36"/>
      <c r="O2403" s="36"/>
      <c r="P2403" s="36"/>
      <c r="Q2403" s="36"/>
      <c r="R2403" s="36"/>
      <c r="S2403" s="36"/>
      <c r="T2403" s="36"/>
      <c r="U2403" s="36"/>
      <c r="V2403" s="36"/>
      <c r="W2403" s="15">
        <f t="shared" si="84"/>
        <v>0</v>
      </c>
      <c r="X2403" s="36"/>
      <c r="Y2403" s="36"/>
      <c r="Z2403" s="36"/>
      <c r="AA2403" s="36"/>
      <c r="AB2403" s="36"/>
      <c r="AC2403" s="36"/>
      <c r="AD2403" s="36"/>
      <c r="AE2403" s="36"/>
      <c r="AF2403" s="36"/>
      <c r="AG2403" s="36"/>
      <c r="AH2403" s="36"/>
      <c r="AI2403" s="36"/>
      <c r="AJ2403" s="15">
        <f t="shared" si="82"/>
        <v>0</v>
      </c>
      <c r="AK2403" s="16"/>
    </row>
    <row r="2404" spans="2:37" x14ac:dyDescent="0.2">
      <c r="B2404" s="7" t="s">
        <v>37</v>
      </c>
      <c r="C2404" s="8">
        <v>12523</v>
      </c>
      <c r="D2404" s="9" t="s">
        <v>211</v>
      </c>
      <c r="E2404" s="10" t="s">
        <v>212</v>
      </c>
      <c r="F2404" s="10" t="s">
        <v>3320</v>
      </c>
      <c r="G2404" s="8"/>
      <c r="H2404" s="11"/>
      <c r="I2404" s="12"/>
      <c r="J2404" s="35">
        <f t="shared" si="83"/>
        <v>0</v>
      </c>
      <c r="K2404" s="36"/>
      <c r="L2404" s="36"/>
      <c r="M2404" s="36"/>
      <c r="N2404" s="36"/>
      <c r="O2404" s="36"/>
      <c r="P2404" s="36"/>
      <c r="Q2404" s="36"/>
      <c r="R2404" s="36"/>
      <c r="S2404" s="36"/>
      <c r="T2404" s="36"/>
      <c r="U2404" s="36"/>
      <c r="V2404" s="36"/>
      <c r="W2404" s="15">
        <f t="shared" si="84"/>
        <v>0</v>
      </c>
      <c r="X2404" s="36"/>
      <c r="Y2404" s="36"/>
      <c r="Z2404" s="36"/>
      <c r="AA2404" s="36"/>
      <c r="AB2404" s="36"/>
      <c r="AC2404" s="36"/>
      <c r="AD2404" s="36"/>
      <c r="AE2404" s="36"/>
      <c r="AF2404" s="36"/>
      <c r="AG2404" s="36"/>
      <c r="AH2404" s="36"/>
      <c r="AI2404" s="36"/>
      <c r="AJ2404" s="15">
        <f t="shared" si="82"/>
        <v>0</v>
      </c>
      <c r="AK2404" s="16"/>
    </row>
    <row r="2405" spans="2:37" x14ac:dyDescent="0.2">
      <c r="B2405" s="7" t="s">
        <v>37</v>
      </c>
      <c r="C2405" s="8">
        <v>12524</v>
      </c>
      <c r="D2405" s="9" t="s">
        <v>244</v>
      </c>
      <c r="E2405" s="10" t="s">
        <v>245</v>
      </c>
      <c r="F2405" s="10" t="s">
        <v>246</v>
      </c>
      <c r="G2405" s="8">
        <v>5</v>
      </c>
      <c r="H2405" s="11">
        <v>50</v>
      </c>
      <c r="I2405" s="12">
        <v>42647</v>
      </c>
      <c r="J2405" s="35">
        <f t="shared" si="83"/>
        <v>0</v>
      </c>
      <c r="K2405" s="36"/>
      <c r="L2405" s="36"/>
      <c r="M2405" s="36"/>
      <c r="N2405" s="36"/>
      <c r="O2405" s="36"/>
      <c r="P2405" s="36"/>
      <c r="Q2405" s="36"/>
      <c r="R2405" s="36"/>
      <c r="S2405" s="36"/>
      <c r="T2405" s="36"/>
      <c r="U2405" s="36"/>
      <c r="V2405" s="36"/>
      <c r="W2405" s="15">
        <f t="shared" si="84"/>
        <v>0</v>
      </c>
      <c r="X2405" s="36"/>
      <c r="Y2405" s="36"/>
      <c r="Z2405" s="36"/>
      <c r="AA2405" s="36"/>
      <c r="AB2405" s="36"/>
      <c r="AC2405" s="36"/>
      <c r="AD2405" s="36"/>
      <c r="AE2405" s="36"/>
      <c r="AF2405" s="36"/>
      <c r="AG2405" s="36"/>
      <c r="AH2405" s="36"/>
      <c r="AI2405" s="36"/>
      <c r="AJ2405" s="15">
        <f t="shared" si="82"/>
        <v>0</v>
      </c>
      <c r="AK2405" s="16"/>
    </row>
    <row r="2406" spans="2:37" x14ac:dyDescent="0.2">
      <c r="B2406" s="7" t="s">
        <v>37</v>
      </c>
      <c r="C2406" s="8">
        <v>12525</v>
      </c>
      <c r="D2406" s="9" t="s">
        <v>253</v>
      </c>
      <c r="E2406" s="10" t="s">
        <v>254</v>
      </c>
      <c r="F2406" s="10" t="s">
        <v>255</v>
      </c>
      <c r="G2406" s="8">
        <v>5</v>
      </c>
      <c r="H2406" s="11">
        <v>50</v>
      </c>
      <c r="I2406" s="12">
        <v>42648</v>
      </c>
      <c r="J2406" s="35">
        <f t="shared" si="83"/>
        <v>0</v>
      </c>
      <c r="K2406" s="36"/>
      <c r="L2406" s="36"/>
      <c r="M2406" s="36"/>
      <c r="N2406" s="36"/>
      <c r="O2406" s="36"/>
      <c r="P2406" s="36"/>
      <c r="Q2406" s="36"/>
      <c r="R2406" s="36"/>
      <c r="S2406" s="36"/>
      <c r="T2406" s="36"/>
      <c r="U2406" s="36"/>
      <c r="V2406" s="36"/>
      <c r="W2406" s="15">
        <f t="shared" si="84"/>
        <v>0</v>
      </c>
      <c r="X2406" s="36"/>
      <c r="Y2406" s="36"/>
      <c r="Z2406" s="36"/>
      <c r="AA2406" s="36"/>
      <c r="AB2406" s="36"/>
      <c r="AC2406" s="36"/>
      <c r="AD2406" s="36"/>
      <c r="AE2406" s="36"/>
      <c r="AF2406" s="36"/>
      <c r="AG2406" s="36"/>
      <c r="AH2406" s="36"/>
      <c r="AI2406" s="36"/>
      <c r="AJ2406" s="15">
        <f t="shared" si="82"/>
        <v>0</v>
      </c>
      <c r="AK2406" s="16"/>
    </row>
    <row r="2407" spans="2:37" x14ac:dyDescent="0.2">
      <c r="B2407" s="7" t="s">
        <v>37</v>
      </c>
      <c r="C2407" s="8">
        <v>12526</v>
      </c>
      <c r="D2407" s="9" t="s">
        <v>882</v>
      </c>
      <c r="E2407" s="10" t="s">
        <v>883</v>
      </c>
      <c r="F2407" s="10" t="s">
        <v>884</v>
      </c>
      <c r="G2407" s="8">
        <v>1</v>
      </c>
      <c r="H2407" s="11">
        <v>800</v>
      </c>
      <c r="I2407" s="12">
        <v>42652</v>
      </c>
      <c r="J2407" s="35">
        <f t="shared" si="83"/>
        <v>0</v>
      </c>
      <c r="K2407" s="36"/>
      <c r="L2407" s="36"/>
      <c r="M2407" s="36"/>
      <c r="N2407" s="36"/>
      <c r="O2407" s="36"/>
      <c r="P2407" s="36"/>
      <c r="Q2407" s="36">
        <v>200</v>
      </c>
      <c r="R2407" s="36">
        <v>200</v>
      </c>
      <c r="S2407" s="36">
        <v>200</v>
      </c>
      <c r="T2407" s="36">
        <v>200</v>
      </c>
      <c r="U2407" s="36"/>
      <c r="V2407" s="36"/>
      <c r="W2407" s="15">
        <f t="shared" si="84"/>
        <v>800</v>
      </c>
      <c r="X2407" s="36"/>
      <c r="Y2407" s="36"/>
      <c r="Z2407" s="36"/>
      <c r="AA2407" s="36"/>
      <c r="AB2407" s="36"/>
      <c r="AC2407" s="36"/>
      <c r="AD2407" s="36"/>
      <c r="AE2407" s="36"/>
      <c r="AF2407" s="36"/>
      <c r="AG2407" s="36"/>
      <c r="AH2407" s="36"/>
      <c r="AI2407" s="36"/>
      <c r="AJ2407" s="15">
        <f>SUM(X2407:AI2407)</f>
        <v>0</v>
      </c>
      <c r="AK2407" s="16"/>
    </row>
    <row r="2408" spans="2:37" x14ac:dyDescent="0.2">
      <c r="B2408" s="7" t="s">
        <v>37</v>
      </c>
      <c r="C2408" s="8">
        <v>12527</v>
      </c>
      <c r="D2408" s="9" t="s">
        <v>165</v>
      </c>
      <c r="E2408" s="10" t="s">
        <v>166</v>
      </c>
      <c r="F2408" s="10" t="s">
        <v>167</v>
      </c>
      <c r="G2408" s="8">
        <v>1</v>
      </c>
      <c r="H2408" s="11">
        <v>350</v>
      </c>
      <c r="I2408" s="12">
        <v>42652</v>
      </c>
      <c r="J2408" s="35">
        <f t="shared" si="83"/>
        <v>0</v>
      </c>
      <c r="K2408" s="36"/>
      <c r="L2408" s="36"/>
      <c r="M2408" s="36"/>
      <c r="N2408" s="36"/>
      <c r="O2408" s="36"/>
      <c r="P2408" s="36"/>
      <c r="Q2408" s="36"/>
      <c r="R2408" s="36"/>
      <c r="S2408" s="36"/>
      <c r="T2408" s="36">
        <v>350</v>
      </c>
      <c r="U2408" s="36"/>
      <c r="V2408" s="36"/>
      <c r="W2408" s="15">
        <f t="shared" si="84"/>
        <v>350</v>
      </c>
      <c r="X2408" s="36"/>
      <c r="Y2408" s="36"/>
      <c r="Z2408" s="36"/>
      <c r="AA2408" s="36"/>
      <c r="AB2408" s="36"/>
      <c r="AC2408" s="36"/>
      <c r="AD2408" s="36"/>
      <c r="AE2408" s="36"/>
      <c r="AF2408" s="36"/>
      <c r="AG2408" s="36"/>
      <c r="AH2408" s="36"/>
      <c r="AI2408" s="36"/>
      <c r="AJ2408" s="15">
        <f t="shared" ref="AJ2408:AJ2471" si="85">SUM(X2408:AI2408)</f>
        <v>0</v>
      </c>
      <c r="AK2408" s="16"/>
    </row>
    <row r="2409" spans="2:37" x14ac:dyDescent="0.2">
      <c r="B2409" s="7" t="s">
        <v>37</v>
      </c>
      <c r="C2409" s="8">
        <v>12528</v>
      </c>
      <c r="D2409" s="9" t="s">
        <v>259</v>
      </c>
      <c r="E2409" s="10" t="s">
        <v>260</v>
      </c>
      <c r="F2409" s="10" t="s">
        <v>261</v>
      </c>
      <c r="G2409" s="8">
        <v>1</v>
      </c>
      <c r="H2409" s="11">
        <v>400</v>
      </c>
      <c r="I2409" s="12">
        <v>42652</v>
      </c>
      <c r="J2409" s="35">
        <f t="shared" ref="J2409:J2472" si="86">IF(G2409=1,SUM(W2409,AJ2409,-H2409),0)</f>
        <v>0</v>
      </c>
      <c r="K2409" s="36"/>
      <c r="L2409" s="36"/>
      <c r="M2409" s="36"/>
      <c r="N2409" s="36"/>
      <c r="O2409" s="36"/>
      <c r="P2409" s="36"/>
      <c r="Q2409" s="36"/>
      <c r="R2409" s="36"/>
      <c r="S2409" s="36"/>
      <c r="T2409" s="36">
        <v>400</v>
      </c>
      <c r="U2409" s="36"/>
      <c r="V2409" s="36"/>
      <c r="W2409" s="15">
        <f t="shared" si="84"/>
        <v>400</v>
      </c>
      <c r="X2409" s="36"/>
      <c r="Y2409" s="36"/>
      <c r="Z2409" s="36"/>
      <c r="AA2409" s="36"/>
      <c r="AB2409" s="36"/>
      <c r="AC2409" s="36"/>
      <c r="AD2409" s="36"/>
      <c r="AE2409" s="36"/>
      <c r="AF2409" s="36"/>
      <c r="AG2409" s="36"/>
      <c r="AH2409" s="36"/>
      <c r="AI2409" s="36"/>
      <c r="AJ2409" s="15">
        <f t="shared" si="85"/>
        <v>0</v>
      </c>
      <c r="AK2409" s="16"/>
    </row>
    <row r="2410" spans="2:37" x14ac:dyDescent="0.2">
      <c r="B2410" s="7" t="s">
        <v>37</v>
      </c>
      <c r="C2410" s="8">
        <v>12529</v>
      </c>
      <c r="D2410" s="9" t="s">
        <v>48</v>
      </c>
      <c r="E2410" s="10" t="s">
        <v>49</v>
      </c>
      <c r="F2410" s="10" t="s">
        <v>50</v>
      </c>
      <c r="G2410" s="8">
        <v>1</v>
      </c>
      <c r="H2410" s="11">
        <v>400</v>
      </c>
      <c r="I2410" s="12">
        <v>42652</v>
      </c>
      <c r="J2410" s="35">
        <f t="shared" si="86"/>
        <v>0</v>
      </c>
      <c r="K2410" s="36"/>
      <c r="L2410" s="36"/>
      <c r="M2410" s="36"/>
      <c r="N2410" s="36"/>
      <c r="O2410" s="36"/>
      <c r="P2410" s="36"/>
      <c r="Q2410" s="36"/>
      <c r="R2410" s="36"/>
      <c r="S2410" s="36"/>
      <c r="T2410" s="36">
        <v>400</v>
      </c>
      <c r="U2410" s="36"/>
      <c r="V2410" s="36"/>
      <c r="W2410" s="15">
        <f t="shared" si="84"/>
        <v>400</v>
      </c>
      <c r="X2410" s="36"/>
      <c r="Y2410" s="36"/>
      <c r="Z2410" s="36"/>
      <c r="AA2410" s="36"/>
      <c r="AB2410" s="36"/>
      <c r="AC2410" s="36"/>
      <c r="AD2410" s="36"/>
      <c r="AE2410" s="36"/>
      <c r="AF2410" s="36"/>
      <c r="AG2410" s="36"/>
      <c r="AH2410" s="36"/>
      <c r="AI2410" s="36"/>
      <c r="AJ2410" s="15">
        <f t="shared" si="85"/>
        <v>0</v>
      </c>
      <c r="AK2410" s="16"/>
    </row>
    <row r="2411" spans="2:37" x14ac:dyDescent="0.2">
      <c r="B2411" s="7" t="s">
        <v>37</v>
      </c>
      <c r="C2411" s="8">
        <v>12530</v>
      </c>
      <c r="D2411" s="9" t="s">
        <v>48</v>
      </c>
      <c r="E2411" s="10" t="s">
        <v>49</v>
      </c>
      <c r="F2411" s="10" t="s">
        <v>50</v>
      </c>
      <c r="G2411" s="8">
        <v>3</v>
      </c>
      <c r="H2411" s="11">
        <v>200</v>
      </c>
      <c r="I2411" s="12">
        <v>42652</v>
      </c>
      <c r="J2411" s="35">
        <f t="shared" si="86"/>
        <v>0</v>
      </c>
      <c r="K2411" s="36"/>
      <c r="L2411" s="36"/>
      <c r="M2411" s="36"/>
      <c r="N2411" s="36"/>
      <c r="O2411" s="36"/>
      <c r="P2411" s="36"/>
      <c r="Q2411" s="36"/>
      <c r="R2411" s="36"/>
      <c r="S2411" s="36"/>
      <c r="T2411" s="36"/>
      <c r="U2411" s="36"/>
      <c r="V2411" s="36"/>
      <c r="W2411" s="15">
        <f t="shared" si="84"/>
        <v>0</v>
      </c>
      <c r="X2411" s="36"/>
      <c r="Y2411" s="36"/>
      <c r="Z2411" s="36"/>
      <c r="AA2411" s="36"/>
      <c r="AB2411" s="36"/>
      <c r="AC2411" s="36"/>
      <c r="AD2411" s="36"/>
      <c r="AE2411" s="36"/>
      <c r="AF2411" s="36"/>
      <c r="AG2411" s="36"/>
      <c r="AH2411" s="36"/>
      <c r="AI2411" s="36"/>
      <c r="AJ2411" s="15">
        <f t="shared" si="85"/>
        <v>0</v>
      </c>
      <c r="AK2411" s="16"/>
    </row>
    <row r="2412" spans="2:37" x14ac:dyDescent="0.2">
      <c r="B2412" s="7" t="s">
        <v>37</v>
      </c>
      <c r="C2412" s="8">
        <v>12531</v>
      </c>
      <c r="D2412" s="9" t="s">
        <v>1131</v>
      </c>
      <c r="E2412" s="10" t="s">
        <v>1132</v>
      </c>
      <c r="F2412" s="10" t="s">
        <v>1133</v>
      </c>
      <c r="G2412" s="8">
        <v>1</v>
      </c>
      <c r="H2412" s="11">
        <v>600</v>
      </c>
      <c r="I2412" s="12">
        <v>42652</v>
      </c>
      <c r="J2412" s="35">
        <f t="shared" si="86"/>
        <v>0</v>
      </c>
      <c r="K2412" s="36"/>
      <c r="L2412" s="36"/>
      <c r="M2412" s="36"/>
      <c r="N2412" s="36"/>
      <c r="O2412" s="36"/>
      <c r="P2412" s="36"/>
      <c r="Q2412" s="36"/>
      <c r="R2412" s="36"/>
      <c r="S2412" s="36">
        <v>300</v>
      </c>
      <c r="T2412" s="36">
        <v>300</v>
      </c>
      <c r="U2412" s="36"/>
      <c r="V2412" s="36"/>
      <c r="W2412" s="15">
        <f t="shared" si="84"/>
        <v>600</v>
      </c>
      <c r="X2412" s="36"/>
      <c r="Y2412" s="36"/>
      <c r="Z2412" s="36"/>
      <c r="AA2412" s="36"/>
      <c r="AB2412" s="36"/>
      <c r="AC2412" s="36"/>
      <c r="AD2412" s="36"/>
      <c r="AE2412" s="36"/>
      <c r="AF2412" s="36"/>
      <c r="AG2412" s="36"/>
      <c r="AH2412" s="36"/>
      <c r="AI2412" s="36"/>
      <c r="AJ2412" s="15">
        <f t="shared" si="85"/>
        <v>0</v>
      </c>
      <c r="AK2412" s="16"/>
    </row>
    <row r="2413" spans="2:37" x14ac:dyDescent="0.2">
      <c r="B2413" s="7" t="s">
        <v>73</v>
      </c>
      <c r="C2413" s="8">
        <v>12532</v>
      </c>
      <c r="D2413" s="9" t="s">
        <v>1131</v>
      </c>
      <c r="E2413" s="10" t="s">
        <v>1132</v>
      </c>
      <c r="F2413" s="10" t="s">
        <v>1133</v>
      </c>
      <c r="G2413" s="8">
        <v>4</v>
      </c>
      <c r="H2413" s="11">
        <v>200</v>
      </c>
      <c r="I2413" s="12">
        <v>42652</v>
      </c>
      <c r="J2413" s="35">
        <f t="shared" si="86"/>
        <v>0</v>
      </c>
      <c r="K2413" s="36"/>
      <c r="L2413" s="36"/>
      <c r="M2413" s="36"/>
      <c r="N2413" s="36"/>
      <c r="O2413" s="36"/>
      <c r="P2413" s="36"/>
      <c r="Q2413" s="36"/>
      <c r="R2413" s="36"/>
      <c r="S2413" s="36"/>
      <c r="T2413" s="36"/>
      <c r="U2413" s="36"/>
      <c r="V2413" s="36"/>
      <c r="W2413" s="15">
        <f t="shared" si="84"/>
        <v>0</v>
      </c>
      <c r="X2413" s="36"/>
      <c r="Y2413" s="36"/>
      <c r="Z2413" s="36"/>
      <c r="AA2413" s="36"/>
      <c r="AB2413" s="36"/>
      <c r="AC2413" s="36"/>
      <c r="AD2413" s="36"/>
      <c r="AE2413" s="36"/>
      <c r="AF2413" s="36"/>
      <c r="AG2413" s="36"/>
      <c r="AH2413" s="36"/>
      <c r="AI2413" s="36"/>
      <c r="AJ2413" s="15">
        <f t="shared" si="85"/>
        <v>0</v>
      </c>
      <c r="AK2413" s="16"/>
    </row>
    <row r="2414" spans="2:37" x14ac:dyDescent="0.2">
      <c r="B2414" s="7" t="s">
        <v>61</v>
      </c>
      <c r="C2414" s="8">
        <v>12533</v>
      </c>
      <c r="D2414" s="9" t="s">
        <v>737</v>
      </c>
      <c r="E2414" s="10" t="s">
        <v>738</v>
      </c>
      <c r="F2414" s="10" t="s">
        <v>739</v>
      </c>
      <c r="G2414" s="8">
        <v>1</v>
      </c>
      <c r="H2414" s="11">
        <v>800</v>
      </c>
      <c r="I2414" s="12">
        <v>42652</v>
      </c>
      <c r="J2414" s="35">
        <f t="shared" si="86"/>
        <v>0</v>
      </c>
      <c r="K2414" s="36"/>
      <c r="L2414" s="36"/>
      <c r="M2414" s="36"/>
      <c r="N2414" s="36"/>
      <c r="O2414" s="36"/>
      <c r="P2414" s="36"/>
      <c r="Q2414" s="36"/>
      <c r="R2414" s="36">
        <v>400</v>
      </c>
      <c r="S2414" s="36">
        <v>400</v>
      </c>
      <c r="T2414" s="36"/>
      <c r="U2414" s="36"/>
      <c r="V2414" s="36"/>
      <c r="W2414" s="15">
        <f t="shared" si="84"/>
        <v>800</v>
      </c>
      <c r="X2414" s="36"/>
      <c r="Y2414" s="36"/>
      <c r="Z2414" s="36"/>
      <c r="AA2414" s="36"/>
      <c r="AB2414" s="36"/>
      <c r="AC2414" s="36"/>
      <c r="AD2414" s="36"/>
      <c r="AE2414" s="36"/>
      <c r="AF2414" s="36"/>
      <c r="AG2414" s="36"/>
      <c r="AH2414" s="36"/>
      <c r="AI2414" s="36"/>
      <c r="AJ2414" s="15">
        <f t="shared" si="85"/>
        <v>0</v>
      </c>
      <c r="AK2414" s="16"/>
    </row>
    <row r="2415" spans="2:37" x14ac:dyDescent="0.2">
      <c r="B2415" s="7" t="s">
        <v>73</v>
      </c>
      <c r="C2415" s="8">
        <v>12534</v>
      </c>
      <c r="D2415" s="9" t="s">
        <v>719</v>
      </c>
      <c r="E2415" s="10" t="s">
        <v>720</v>
      </c>
      <c r="F2415" s="10" t="s">
        <v>867</v>
      </c>
      <c r="G2415" s="8">
        <v>1</v>
      </c>
      <c r="H2415" s="11">
        <v>400</v>
      </c>
      <c r="I2415" s="12">
        <v>42652</v>
      </c>
      <c r="J2415" s="35">
        <f t="shared" si="86"/>
        <v>0</v>
      </c>
      <c r="K2415" s="36"/>
      <c r="L2415" s="36"/>
      <c r="M2415" s="36"/>
      <c r="N2415" s="36"/>
      <c r="O2415" s="36"/>
      <c r="P2415" s="36"/>
      <c r="Q2415" s="36"/>
      <c r="R2415" s="36"/>
      <c r="S2415" s="36">
        <v>200</v>
      </c>
      <c r="T2415" s="36">
        <v>200</v>
      </c>
      <c r="U2415" s="36"/>
      <c r="V2415" s="36"/>
      <c r="W2415" s="15">
        <f t="shared" si="84"/>
        <v>400</v>
      </c>
      <c r="X2415" s="36"/>
      <c r="Y2415" s="36"/>
      <c r="Z2415" s="36"/>
      <c r="AA2415" s="36"/>
      <c r="AB2415" s="36"/>
      <c r="AC2415" s="36"/>
      <c r="AD2415" s="36"/>
      <c r="AE2415" s="36"/>
      <c r="AF2415" s="36"/>
      <c r="AG2415" s="36"/>
      <c r="AH2415" s="36"/>
      <c r="AI2415" s="36"/>
      <c r="AJ2415" s="15">
        <f t="shared" si="85"/>
        <v>0</v>
      </c>
      <c r="AK2415" s="16"/>
    </row>
    <row r="2416" spans="2:37" x14ac:dyDescent="0.2">
      <c r="B2416" s="7" t="s">
        <v>47</v>
      </c>
      <c r="C2416" s="8">
        <v>12535</v>
      </c>
      <c r="D2416" s="9" t="s">
        <v>328</v>
      </c>
      <c r="E2416" s="10" t="s">
        <v>329</v>
      </c>
      <c r="F2416" s="10" t="s">
        <v>330</v>
      </c>
      <c r="G2416" s="8">
        <v>1</v>
      </c>
      <c r="H2416" s="11">
        <v>400</v>
      </c>
      <c r="I2416" s="12">
        <v>42652</v>
      </c>
      <c r="J2416" s="35">
        <f t="shared" si="86"/>
        <v>0</v>
      </c>
      <c r="K2416" s="36"/>
      <c r="L2416" s="36"/>
      <c r="M2416" s="36"/>
      <c r="N2416" s="36"/>
      <c r="O2416" s="36"/>
      <c r="P2416" s="36"/>
      <c r="Q2416" s="36"/>
      <c r="R2416" s="36"/>
      <c r="S2416" s="36"/>
      <c r="T2416" s="36">
        <v>400</v>
      </c>
      <c r="U2416" s="36"/>
      <c r="V2416" s="36"/>
      <c r="W2416" s="15">
        <f t="shared" si="84"/>
        <v>400</v>
      </c>
      <c r="X2416" s="36"/>
      <c r="Y2416" s="36"/>
      <c r="Z2416" s="36"/>
      <c r="AA2416" s="36"/>
      <c r="AB2416" s="36"/>
      <c r="AC2416" s="36"/>
      <c r="AD2416" s="36"/>
      <c r="AE2416" s="36"/>
      <c r="AF2416" s="36"/>
      <c r="AG2416" s="36"/>
      <c r="AH2416" s="36"/>
      <c r="AI2416" s="36"/>
      <c r="AJ2416" s="15">
        <f t="shared" si="85"/>
        <v>0</v>
      </c>
      <c r="AK2416" s="16"/>
    </row>
    <row r="2417" spans="2:37" x14ac:dyDescent="0.2">
      <c r="B2417" s="7" t="s">
        <v>47</v>
      </c>
      <c r="C2417" s="8">
        <v>13001</v>
      </c>
      <c r="D2417" s="9" t="s">
        <v>153</v>
      </c>
      <c r="E2417" s="10" t="s">
        <v>154</v>
      </c>
      <c r="F2417" s="10" t="s">
        <v>155</v>
      </c>
      <c r="G2417" s="8">
        <v>1</v>
      </c>
      <c r="H2417" s="11">
        <v>400</v>
      </c>
      <c r="I2417" s="12">
        <v>42652</v>
      </c>
      <c r="J2417" s="35">
        <f t="shared" si="86"/>
        <v>0</v>
      </c>
      <c r="K2417" s="36"/>
      <c r="L2417" s="36"/>
      <c r="M2417" s="36"/>
      <c r="N2417" s="36"/>
      <c r="O2417" s="36"/>
      <c r="P2417" s="36"/>
      <c r="Q2417" s="36"/>
      <c r="R2417" s="36"/>
      <c r="S2417" s="36"/>
      <c r="T2417" s="36">
        <v>400</v>
      </c>
      <c r="U2417" s="36"/>
      <c r="V2417" s="36"/>
      <c r="W2417" s="15">
        <f t="shared" si="84"/>
        <v>400</v>
      </c>
      <c r="X2417" s="36"/>
      <c r="Y2417" s="36"/>
      <c r="Z2417" s="36"/>
      <c r="AA2417" s="36"/>
      <c r="AB2417" s="36"/>
      <c r="AC2417" s="36"/>
      <c r="AD2417" s="36"/>
      <c r="AE2417" s="36"/>
      <c r="AF2417" s="36"/>
      <c r="AG2417" s="36"/>
      <c r="AH2417" s="36"/>
      <c r="AI2417" s="36"/>
      <c r="AJ2417" s="15">
        <f t="shared" si="85"/>
        <v>0</v>
      </c>
      <c r="AK2417" s="16"/>
    </row>
    <row r="2418" spans="2:37" x14ac:dyDescent="0.2">
      <c r="B2418" s="7" t="s">
        <v>73</v>
      </c>
      <c r="C2418" s="8">
        <v>13002</v>
      </c>
      <c r="D2418" s="9" t="s">
        <v>109</v>
      </c>
      <c r="E2418" s="10" t="s">
        <v>110</v>
      </c>
      <c r="F2418" s="10" t="s">
        <v>111</v>
      </c>
      <c r="G2418" s="8">
        <v>1</v>
      </c>
      <c r="H2418" s="11">
        <v>400</v>
      </c>
      <c r="I2418" s="12">
        <v>42652</v>
      </c>
      <c r="J2418" s="35">
        <f t="shared" si="86"/>
        <v>0</v>
      </c>
      <c r="K2418" s="36"/>
      <c r="L2418" s="36"/>
      <c r="M2418" s="36"/>
      <c r="N2418" s="36"/>
      <c r="O2418" s="36"/>
      <c r="P2418" s="36"/>
      <c r="Q2418" s="36"/>
      <c r="R2418" s="36"/>
      <c r="S2418" s="36">
        <v>400</v>
      </c>
      <c r="T2418" s="36"/>
      <c r="U2418" s="36"/>
      <c r="V2418" s="36"/>
      <c r="W2418" s="15">
        <f t="shared" si="84"/>
        <v>400</v>
      </c>
      <c r="X2418" s="36"/>
      <c r="Y2418" s="36"/>
      <c r="Z2418" s="36"/>
      <c r="AA2418" s="36"/>
      <c r="AB2418" s="36"/>
      <c r="AC2418" s="36"/>
      <c r="AD2418" s="36"/>
      <c r="AE2418" s="36"/>
      <c r="AF2418" s="36"/>
      <c r="AG2418" s="36"/>
      <c r="AH2418" s="36"/>
      <c r="AI2418" s="36"/>
      <c r="AJ2418" s="15">
        <f t="shared" si="85"/>
        <v>0</v>
      </c>
      <c r="AK2418" s="16"/>
    </row>
    <row r="2419" spans="2:37" x14ac:dyDescent="0.2">
      <c r="B2419" s="7"/>
      <c r="C2419" s="8">
        <v>13003</v>
      </c>
      <c r="D2419" s="9" t="s">
        <v>899</v>
      </c>
      <c r="E2419" s="10" t="s">
        <v>900</v>
      </c>
      <c r="F2419" s="10" t="s">
        <v>901</v>
      </c>
      <c r="G2419" s="8">
        <v>1</v>
      </c>
      <c r="H2419" s="11">
        <v>400</v>
      </c>
      <c r="I2419" s="12">
        <v>42652</v>
      </c>
      <c r="J2419" s="35">
        <f t="shared" si="86"/>
        <v>0</v>
      </c>
      <c r="K2419" s="36"/>
      <c r="L2419" s="36"/>
      <c r="M2419" s="36"/>
      <c r="N2419" s="36"/>
      <c r="O2419" s="36"/>
      <c r="P2419" s="36"/>
      <c r="Q2419" s="36"/>
      <c r="R2419" s="36"/>
      <c r="S2419" s="36"/>
      <c r="T2419" s="36">
        <v>400</v>
      </c>
      <c r="U2419" s="36"/>
      <c r="V2419" s="36"/>
      <c r="W2419" s="15">
        <f t="shared" si="84"/>
        <v>400</v>
      </c>
      <c r="X2419" s="36"/>
      <c r="Y2419" s="36"/>
      <c r="Z2419" s="36"/>
      <c r="AA2419" s="36"/>
      <c r="AB2419" s="36"/>
      <c r="AC2419" s="36"/>
      <c r="AD2419" s="36"/>
      <c r="AE2419" s="36"/>
      <c r="AF2419" s="36"/>
      <c r="AG2419" s="36"/>
      <c r="AH2419" s="36"/>
      <c r="AI2419" s="36"/>
      <c r="AJ2419" s="15">
        <f t="shared" si="85"/>
        <v>0</v>
      </c>
      <c r="AK2419" s="16"/>
    </row>
    <row r="2420" spans="2:37" x14ac:dyDescent="0.2">
      <c r="B2420" s="7"/>
      <c r="C2420" s="8">
        <v>13004</v>
      </c>
      <c r="D2420" s="9" t="s">
        <v>740</v>
      </c>
      <c r="E2420" s="10" t="s">
        <v>741</v>
      </c>
      <c r="F2420" s="10" t="s">
        <v>742</v>
      </c>
      <c r="G2420" s="8">
        <v>1</v>
      </c>
      <c r="H2420" s="11">
        <v>800</v>
      </c>
      <c r="I2420" s="12">
        <v>42652</v>
      </c>
      <c r="J2420" s="35">
        <f t="shared" si="86"/>
        <v>0</v>
      </c>
      <c r="K2420" s="36"/>
      <c r="L2420" s="36"/>
      <c r="M2420" s="36"/>
      <c r="N2420" s="36"/>
      <c r="O2420" s="36"/>
      <c r="P2420" s="36"/>
      <c r="Q2420" s="36"/>
      <c r="R2420" s="36"/>
      <c r="S2420" s="36">
        <v>400</v>
      </c>
      <c r="T2420" s="36">
        <v>400</v>
      </c>
      <c r="U2420" s="36"/>
      <c r="V2420" s="36"/>
      <c r="W2420" s="15">
        <f t="shared" si="84"/>
        <v>800</v>
      </c>
      <c r="X2420" s="36"/>
      <c r="Y2420" s="36"/>
      <c r="Z2420" s="36"/>
      <c r="AA2420" s="36"/>
      <c r="AB2420" s="36"/>
      <c r="AC2420" s="36"/>
      <c r="AD2420" s="36"/>
      <c r="AE2420" s="36"/>
      <c r="AF2420" s="36"/>
      <c r="AG2420" s="36"/>
      <c r="AH2420" s="36"/>
      <c r="AI2420" s="36"/>
      <c r="AJ2420" s="15">
        <f t="shared" si="85"/>
        <v>0</v>
      </c>
      <c r="AK2420" s="16"/>
    </row>
    <row r="2421" spans="2:37" x14ac:dyDescent="0.2">
      <c r="B2421" s="7"/>
      <c r="C2421" s="8">
        <v>13005</v>
      </c>
      <c r="D2421" s="9" t="s">
        <v>132</v>
      </c>
      <c r="E2421" s="10" t="s">
        <v>133</v>
      </c>
      <c r="F2421" s="10" t="s">
        <v>134</v>
      </c>
      <c r="G2421" s="8">
        <v>1</v>
      </c>
      <c r="H2421" s="11">
        <v>300</v>
      </c>
      <c r="I2421" s="12">
        <v>42652</v>
      </c>
      <c r="J2421" s="35">
        <f t="shared" si="86"/>
        <v>0</v>
      </c>
      <c r="K2421" s="36"/>
      <c r="L2421" s="36"/>
      <c r="M2421" s="36"/>
      <c r="N2421" s="36"/>
      <c r="O2421" s="36"/>
      <c r="P2421" s="36"/>
      <c r="Q2421" s="36"/>
      <c r="R2421" s="36"/>
      <c r="S2421" s="36">
        <v>300</v>
      </c>
      <c r="T2421" s="36"/>
      <c r="U2421" s="36"/>
      <c r="V2421" s="36"/>
      <c r="W2421" s="15">
        <f t="shared" si="84"/>
        <v>300</v>
      </c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15">
        <f t="shared" si="85"/>
        <v>0</v>
      </c>
      <c r="AK2421" s="16"/>
    </row>
    <row r="2422" spans="2:37" x14ac:dyDescent="0.2">
      <c r="B2422" s="7"/>
      <c r="C2422" s="8">
        <v>13006</v>
      </c>
      <c r="D2422" s="9" t="s">
        <v>262</v>
      </c>
      <c r="E2422" s="10" t="s">
        <v>263</v>
      </c>
      <c r="F2422" s="10" t="s">
        <v>264</v>
      </c>
      <c r="G2422" s="8">
        <v>1</v>
      </c>
      <c r="H2422" s="11">
        <v>300</v>
      </c>
      <c r="I2422" s="12">
        <v>42652</v>
      </c>
      <c r="J2422" s="35">
        <f t="shared" si="86"/>
        <v>0</v>
      </c>
      <c r="K2422" s="36"/>
      <c r="L2422" s="36"/>
      <c r="M2422" s="36"/>
      <c r="N2422" s="36"/>
      <c r="O2422" s="36"/>
      <c r="P2422" s="36"/>
      <c r="Q2422" s="36"/>
      <c r="R2422" s="36"/>
      <c r="S2422" s="36"/>
      <c r="T2422" s="36">
        <v>300</v>
      </c>
      <c r="U2422" s="36"/>
      <c r="V2422" s="36"/>
      <c r="W2422" s="15">
        <f t="shared" si="84"/>
        <v>300</v>
      </c>
      <c r="X2422" s="36"/>
      <c r="Y2422" s="36"/>
      <c r="Z2422" s="36"/>
      <c r="AA2422" s="36"/>
      <c r="AB2422" s="36"/>
      <c r="AC2422" s="36"/>
      <c r="AD2422" s="36"/>
      <c r="AE2422" s="36"/>
      <c r="AF2422" s="36"/>
      <c r="AG2422" s="36"/>
      <c r="AH2422" s="36"/>
      <c r="AI2422" s="36"/>
      <c r="AJ2422" s="15">
        <f t="shared" si="85"/>
        <v>0</v>
      </c>
      <c r="AK2422" s="16"/>
    </row>
    <row r="2423" spans="2:37" x14ac:dyDescent="0.2">
      <c r="B2423" s="7"/>
      <c r="C2423" s="8">
        <v>13007</v>
      </c>
      <c r="D2423" s="9" t="s">
        <v>123</v>
      </c>
      <c r="E2423" s="10" t="s">
        <v>124</v>
      </c>
      <c r="F2423" s="10" t="s">
        <v>125</v>
      </c>
      <c r="G2423" s="8">
        <v>1</v>
      </c>
      <c r="H2423" s="11">
        <v>250</v>
      </c>
      <c r="I2423" s="12">
        <v>42652</v>
      </c>
      <c r="J2423" s="35">
        <f t="shared" si="86"/>
        <v>0</v>
      </c>
      <c r="K2423" s="36"/>
      <c r="L2423" s="36"/>
      <c r="M2423" s="36"/>
      <c r="N2423" s="36"/>
      <c r="O2423" s="36"/>
      <c r="P2423" s="36"/>
      <c r="Q2423" s="36"/>
      <c r="R2423" s="36"/>
      <c r="S2423" s="36"/>
      <c r="T2423" s="36">
        <v>250</v>
      </c>
      <c r="U2423" s="36"/>
      <c r="V2423" s="36"/>
      <c r="W2423" s="15">
        <f t="shared" si="84"/>
        <v>250</v>
      </c>
      <c r="X2423" s="36"/>
      <c r="Y2423" s="36"/>
      <c r="Z2423" s="36"/>
      <c r="AA2423" s="36"/>
      <c r="AB2423" s="36"/>
      <c r="AC2423" s="36"/>
      <c r="AD2423" s="36"/>
      <c r="AE2423" s="36"/>
      <c r="AF2423" s="36"/>
      <c r="AG2423" s="36"/>
      <c r="AH2423" s="36"/>
      <c r="AI2423" s="36"/>
      <c r="AJ2423" s="15">
        <f t="shared" si="85"/>
        <v>0</v>
      </c>
      <c r="AK2423" s="16"/>
    </row>
    <row r="2424" spans="2:37" x14ac:dyDescent="0.2">
      <c r="B2424" s="7"/>
      <c r="C2424" s="8">
        <v>13008</v>
      </c>
      <c r="D2424" s="9" t="s">
        <v>473</v>
      </c>
      <c r="E2424" s="10" t="s">
        <v>474</v>
      </c>
      <c r="F2424" s="10" t="s">
        <v>475</v>
      </c>
      <c r="G2424" s="8">
        <v>1</v>
      </c>
      <c r="H2424" s="11">
        <v>400</v>
      </c>
      <c r="I2424" s="12">
        <v>42652</v>
      </c>
      <c r="J2424" s="35">
        <f t="shared" si="86"/>
        <v>0</v>
      </c>
      <c r="K2424" s="36"/>
      <c r="L2424" s="36"/>
      <c r="M2424" s="36"/>
      <c r="N2424" s="36"/>
      <c r="O2424" s="36"/>
      <c r="P2424" s="36"/>
      <c r="Q2424" s="36"/>
      <c r="R2424" s="36"/>
      <c r="S2424" s="36">
        <v>400</v>
      </c>
      <c r="T2424" s="36"/>
      <c r="U2424" s="36"/>
      <c r="V2424" s="36"/>
      <c r="W2424" s="15">
        <f t="shared" si="84"/>
        <v>400</v>
      </c>
      <c r="X2424" s="36"/>
      <c r="Y2424" s="36"/>
      <c r="Z2424" s="36"/>
      <c r="AA2424" s="36"/>
      <c r="AB2424" s="36"/>
      <c r="AC2424" s="36"/>
      <c r="AD2424" s="36"/>
      <c r="AE2424" s="36"/>
      <c r="AF2424" s="36"/>
      <c r="AG2424" s="36"/>
      <c r="AH2424" s="36"/>
      <c r="AI2424" s="36"/>
      <c r="AJ2424" s="15">
        <f t="shared" si="85"/>
        <v>0</v>
      </c>
      <c r="AK2424" s="16"/>
    </row>
    <row r="2425" spans="2:37" x14ac:dyDescent="0.2">
      <c r="B2425" s="7"/>
      <c r="C2425" s="8">
        <v>13009</v>
      </c>
      <c r="D2425" s="9" t="s">
        <v>911</v>
      </c>
      <c r="E2425" s="10" t="s">
        <v>912</v>
      </c>
      <c r="F2425" s="10" t="s">
        <v>397</v>
      </c>
      <c r="G2425" s="8">
        <v>1</v>
      </c>
      <c r="H2425" s="11">
        <v>400</v>
      </c>
      <c r="I2425" s="12">
        <v>42652</v>
      </c>
      <c r="J2425" s="35">
        <f t="shared" si="86"/>
        <v>0</v>
      </c>
      <c r="K2425" s="36"/>
      <c r="L2425" s="36"/>
      <c r="M2425" s="36"/>
      <c r="N2425" s="36"/>
      <c r="O2425" s="36"/>
      <c r="P2425" s="36"/>
      <c r="Q2425" s="36"/>
      <c r="R2425" s="36"/>
      <c r="S2425" s="36"/>
      <c r="T2425" s="36">
        <v>400</v>
      </c>
      <c r="U2425" s="36"/>
      <c r="V2425" s="36"/>
      <c r="W2425" s="15">
        <f t="shared" si="84"/>
        <v>400</v>
      </c>
      <c r="X2425" s="36"/>
      <c r="Y2425" s="36"/>
      <c r="Z2425" s="36"/>
      <c r="AA2425" s="36"/>
      <c r="AB2425" s="36"/>
      <c r="AC2425" s="36"/>
      <c r="AD2425" s="36"/>
      <c r="AE2425" s="36"/>
      <c r="AF2425" s="36"/>
      <c r="AG2425" s="36"/>
      <c r="AH2425" s="36"/>
      <c r="AI2425" s="36"/>
      <c r="AJ2425" s="15">
        <f t="shared" si="85"/>
        <v>0</v>
      </c>
      <c r="AK2425" s="16"/>
    </row>
    <row r="2426" spans="2:37" x14ac:dyDescent="0.2">
      <c r="B2426" s="7"/>
      <c r="C2426" s="8">
        <v>13010</v>
      </c>
      <c r="D2426" s="9" t="s">
        <v>58</v>
      </c>
      <c r="E2426" s="10" t="s">
        <v>59</v>
      </c>
      <c r="F2426" s="10" t="s">
        <v>60</v>
      </c>
      <c r="G2426" s="8">
        <v>1</v>
      </c>
      <c r="H2426" s="11">
        <v>600</v>
      </c>
      <c r="I2426" s="12">
        <v>42652</v>
      </c>
      <c r="J2426" s="35">
        <f t="shared" si="86"/>
        <v>0</v>
      </c>
      <c r="K2426" s="36"/>
      <c r="L2426" s="36"/>
      <c r="M2426" s="36"/>
      <c r="N2426" s="36"/>
      <c r="O2426" s="36"/>
      <c r="P2426" s="36"/>
      <c r="Q2426" s="36"/>
      <c r="R2426" s="36"/>
      <c r="S2426" s="36">
        <v>300</v>
      </c>
      <c r="T2426" s="36">
        <v>300</v>
      </c>
      <c r="U2426" s="36"/>
      <c r="V2426" s="36"/>
      <c r="W2426" s="15">
        <f t="shared" si="84"/>
        <v>600</v>
      </c>
      <c r="X2426" s="36"/>
      <c r="Y2426" s="36"/>
      <c r="Z2426" s="36"/>
      <c r="AA2426" s="36"/>
      <c r="AB2426" s="36"/>
      <c r="AC2426" s="36"/>
      <c r="AD2426" s="36"/>
      <c r="AE2426" s="36"/>
      <c r="AF2426" s="36"/>
      <c r="AG2426" s="36"/>
      <c r="AH2426" s="36"/>
      <c r="AI2426" s="36"/>
      <c r="AJ2426" s="15">
        <f t="shared" si="85"/>
        <v>0</v>
      </c>
      <c r="AK2426" s="16"/>
    </row>
    <row r="2427" spans="2:37" x14ac:dyDescent="0.2">
      <c r="B2427" s="7"/>
      <c r="C2427" s="8">
        <v>13011</v>
      </c>
      <c r="D2427" s="9" t="s">
        <v>580</v>
      </c>
      <c r="E2427" s="10" t="s">
        <v>581</v>
      </c>
      <c r="F2427" s="10" t="s">
        <v>582</v>
      </c>
      <c r="G2427" s="8">
        <v>1</v>
      </c>
      <c r="H2427" s="11">
        <v>450</v>
      </c>
      <c r="I2427" s="12">
        <v>42652</v>
      </c>
      <c r="J2427" s="35">
        <f t="shared" si="86"/>
        <v>0</v>
      </c>
      <c r="K2427" s="36"/>
      <c r="L2427" s="36"/>
      <c r="M2427" s="36"/>
      <c r="N2427" s="36"/>
      <c r="O2427" s="36"/>
      <c r="P2427" s="36"/>
      <c r="Q2427" s="36"/>
      <c r="R2427" s="36"/>
      <c r="S2427" s="36"/>
      <c r="T2427" s="36">
        <v>150</v>
      </c>
      <c r="U2427" s="36">
        <v>150</v>
      </c>
      <c r="V2427" s="36">
        <v>150</v>
      </c>
      <c r="W2427" s="15">
        <f t="shared" si="84"/>
        <v>450</v>
      </c>
      <c r="X2427" s="36"/>
      <c r="Y2427" s="36"/>
      <c r="Z2427" s="36"/>
      <c r="AA2427" s="36"/>
      <c r="AB2427" s="36"/>
      <c r="AC2427" s="36"/>
      <c r="AD2427" s="36"/>
      <c r="AE2427" s="36"/>
      <c r="AF2427" s="36"/>
      <c r="AG2427" s="36"/>
      <c r="AH2427" s="36"/>
      <c r="AI2427" s="36"/>
      <c r="AJ2427" s="15">
        <f t="shared" si="85"/>
        <v>0</v>
      </c>
      <c r="AK2427" s="16"/>
    </row>
    <row r="2428" spans="2:37" x14ac:dyDescent="0.2">
      <c r="B2428" s="7"/>
      <c r="C2428" s="8">
        <v>13012</v>
      </c>
      <c r="D2428" s="9" t="s">
        <v>1418</v>
      </c>
      <c r="E2428" s="10" t="s">
        <v>1419</v>
      </c>
      <c r="F2428" s="10" t="s">
        <v>1420</v>
      </c>
      <c r="G2428" s="8">
        <v>1</v>
      </c>
      <c r="H2428" s="11">
        <v>300</v>
      </c>
      <c r="I2428" s="12">
        <v>42652</v>
      </c>
      <c r="J2428" s="35">
        <f t="shared" si="86"/>
        <v>0</v>
      </c>
      <c r="K2428" s="36"/>
      <c r="L2428" s="36"/>
      <c r="M2428" s="36"/>
      <c r="N2428" s="36"/>
      <c r="O2428" s="36"/>
      <c r="P2428" s="36"/>
      <c r="Q2428" s="36"/>
      <c r="R2428" s="36"/>
      <c r="S2428" s="36"/>
      <c r="T2428" s="36"/>
      <c r="U2428" s="36">
        <v>300</v>
      </c>
      <c r="V2428" s="36"/>
      <c r="W2428" s="15">
        <f t="shared" si="84"/>
        <v>300</v>
      </c>
      <c r="X2428" s="36"/>
      <c r="Y2428" s="36"/>
      <c r="Z2428" s="36"/>
      <c r="AA2428" s="36"/>
      <c r="AB2428" s="36"/>
      <c r="AC2428" s="36"/>
      <c r="AD2428" s="36"/>
      <c r="AE2428" s="36"/>
      <c r="AF2428" s="36"/>
      <c r="AG2428" s="36"/>
      <c r="AH2428" s="36"/>
      <c r="AI2428" s="36"/>
      <c r="AJ2428" s="15">
        <f t="shared" si="85"/>
        <v>0</v>
      </c>
      <c r="AK2428" s="16"/>
    </row>
    <row r="2429" spans="2:37" x14ac:dyDescent="0.2">
      <c r="B2429" s="7"/>
      <c r="C2429" s="8">
        <v>13012</v>
      </c>
      <c r="D2429" s="9" t="s">
        <v>1418</v>
      </c>
      <c r="E2429" s="10" t="s">
        <v>1419</v>
      </c>
      <c r="F2429" s="10" t="s">
        <v>1420</v>
      </c>
      <c r="G2429" s="8">
        <v>5</v>
      </c>
      <c r="H2429" s="11">
        <v>150</v>
      </c>
      <c r="I2429" s="12">
        <v>42652</v>
      </c>
      <c r="J2429" s="35">
        <f t="shared" si="86"/>
        <v>0</v>
      </c>
      <c r="K2429" s="36"/>
      <c r="L2429" s="36"/>
      <c r="M2429" s="36"/>
      <c r="N2429" s="36"/>
      <c r="O2429" s="36"/>
      <c r="P2429" s="36"/>
      <c r="Q2429" s="36"/>
      <c r="R2429" s="36"/>
      <c r="S2429" s="36"/>
      <c r="T2429" s="36"/>
      <c r="U2429" s="36"/>
      <c r="V2429" s="36"/>
      <c r="W2429" s="15">
        <f t="shared" si="84"/>
        <v>0</v>
      </c>
      <c r="X2429" s="36"/>
      <c r="Y2429" s="36"/>
      <c r="Z2429" s="36"/>
      <c r="AA2429" s="36"/>
      <c r="AB2429" s="36"/>
      <c r="AC2429" s="36"/>
      <c r="AD2429" s="36"/>
      <c r="AE2429" s="36"/>
      <c r="AF2429" s="36"/>
      <c r="AG2429" s="36"/>
      <c r="AH2429" s="36"/>
      <c r="AI2429" s="36"/>
      <c r="AJ2429" s="15">
        <f t="shared" si="85"/>
        <v>0</v>
      </c>
      <c r="AK2429" s="16"/>
    </row>
    <row r="2430" spans="2:37" x14ac:dyDescent="0.2">
      <c r="B2430" s="7"/>
      <c r="C2430" s="8">
        <v>13013</v>
      </c>
      <c r="D2430" s="9" t="s">
        <v>611</v>
      </c>
      <c r="E2430" s="10" t="s">
        <v>612</v>
      </c>
      <c r="F2430" s="10" t="s">
        <v>613</v>
      </c>
      <c r="G2430" s="8">
        <v>1</v>
      </c>
      <c r="H2430" s="11">
        <v>400</v>
      </c>
      <c r="I2430" s="12">
        <v>42652</v>
      </c>
      <c r="J2430" s="35">
        <f t="shared" si="86"/>
        <v>0</v>
      </c>
      <c r="K2430" s="36"/>
      <c r="L2430" s="36"/>
      <c r="M2430" s="36"/>
      <c r="N2430" s="36"/>
      <c r="O2430" s="36"/>
      <c r="P2430" s="36"/>
      <c r="Q2430" s="36"/>
      <c r="R2430" s="36"/>
      <c r="S2430" s="36"/>
      <c r="T2430" s="36">
        <v>400</v>
      </c>
      <c r="U2430" s="36"/>
      <c r="V2430" s="36"/>
      <c r="W2430" s="15">
        <f t="shared" si="84"/>
        <v>400</v>
      </c>
      <c r="X2430" s="36"/>
      <c r="Y2430" s="36"/>
      <c r="Z2430" s="36"/>
      <c r="AA2430" s="36"/>
      <c r="AB2430" s="36"/>
      <c r="AC2430" s="36"/>
      <c r="AD2430" s="36"/>
      <c r="AE2430" s="36"/>
      <c r="AF2430" s="36"/>
      <c r="AG2430" s="36"/>
      <c r="AH2430" s="36"/>
      <c r="AI2430" s="36"/>
      <c r="AJ2430" s="15">
        <f t="shared" si="85"/>
        <v>0</v>
      </c>
      <c r="AK2430" s="16"/>
    </row>
    <row r="2431" spans="2:37" x14ac:dyDescent="0.2">
      <c r="B2431" s="7"/>
      <c r="C2431" s="8">
        <v>13014</v>
      </c>
      <c r="D2431" s="9" t="s">
        <v>666</v>
      </c>
      <c r="E2431" s="10" t="s">
        <v>667</v>
      </c>
      <c r="F2431" s="10" t="s">
        <v>668</v>
      </c>
      <c r="G2431" s="8">
        <v>1</v>
      </c>
      <c r="H2431" s="11">
        <v>200</v>
      </c>
      <c r="I2431" s="12">
        <v>42654</v>
      </c>
      <c r="J2431" s="35">
        <f t="shared" si="86"/>
        <v>0</v>
      </c>
      <c r="K2431" s="36"/>
      <c r="L2431" s="36"/>
      <c r="M2431" s="36"/>
      <c r="N2431" s="36"/>
      <c r="O2431" s="36"/>
      <c r="P2431" s="36"/>
      <c r="Q2431" s="36"/>
      <c r="R2431" s="36"/>
      <c r="S2431" s="36">
        <v>200</v>
      </c>
      <c r="T2431" s="36"/>
      <c r="U2431" s="36"/>
      <c r="V2431" s="36"/>
      <c r="W2431" s="15">
        <f t="shared" si="84"/>
        <v>200</v>
      </c>
      <c r="X2431" s="36"/>
      <c r="Y2431" s="36"/>
      <c r="Z2431" s="36"/>
      <c r="AA2431" s="36"/>
      <c r="AB2431" s="36"/>
      <c r="AC2431" s="36"/>
      <c r="AD2431" s="36"/>
      <c r="AE2431" s="36"/>
      <c r="AF2431" s="36"/>
      <c r="AG2431" s="36"/>
      <c r="AH2431" s="36"/>
      <c r="AI2431" s="36"/>
      <c r="AJ2431" s="15">
        <f t="shared" si="85"/>
        <v>0</v>
      </c>
      <c r="AK2431" s="16"/>
    </row>
    <row r="2432" spans="2:37" x14ac:dyDescent="0.2">
      <c r="B2432" s="7"/>
      <c r="C2432" s="8">
        <v>13015</v>
      </c>
      <c r="D2432" s="9" t="s">
        <v>446</v>
      </c>
      <c r="E2432" s="10" t="s">
        <v>447</v>
      </c>
      <c r="F2432" s="10" t="s">
        <v>448</v>
      </c>
      <c r="G2432" s="8">
        <v>4</v>
      </c>
      <c r="H2432" s="11">
        <v>200</v>
      </c>
      <c r="I2432" s="12">
        <v>42655</v>
      </c>
      <c r="J2432" s="35">
        <f t="shared" si="86"/>
        <v>0</v>
      </c>
      <c r="K2432" s="36"/>
      <c r="L2432" s="36"/>
      <c r="M2432" s="36"/>
      <c r="N2432" s="36"/>
      <c r="O2432" s="36"/>
      <c r="P2432" s="36"/>
      <c r="Q2432" s="36"/>
      <c r="R2432" s="36"/>
      <c r="S2432" s="36"/>
      <c r="T2432" s="36"/>
      <c r="U2432" s="36"/>
      <c r="V2432" s="36"/>
      <c r="W2432" s="15">
        <f t="shared" si="84"/>
        <v>0</v>
      </c>
      <c r="X2432" s="36"/>
      <c r="Y2432" s="36"/>
      <c r="Z2432" s="36"/>
      <c r="AA2432" s="36"/>
      <c r="AB2432" s="36"/>
      <c r="AC2432" s="36"/>
      <c r="AD2432" s="36"/>
      <c r="AE2432" s="36"/>
      <c r="AF2432" s="36"/>
      <c r="AG2432" s="36"/>
      <c r="AH2432" s="36"/>
      <c r="AI2432" s="36"/>
      <c r="AJ2432" s="15">
        <f t="shared" si="85"/>
        <v>0</v>
      </c>
      <c r="AK2432" s="16"/>
    </row>
    <row r="2433" spans="2:37" x14ac:dyDescent="0.2">
      <c r="B2433" s="7"/>
      <c r="C2433" s="8">
        <v>13016</v>
      </c>
      <c r="D2433" s="9" t="s">
        <v>941</v>
      </c>
      <c r="E2433" s="10" t="s">
        <v>942</v>
      </c>
      <c r="F2433" s="10" t="s">
        <v>943</v>
      </c>
      <c r="G2433" s="8">
        <v>1</v>
      </c>
      <c r="H2433" s="11">
        <v>200</v>
      </c>
      <c r="I2433" s="12">
        <v>42656</v>
      </c>
      <c r="J2433" s="35">
        <f t="shared" si="86"/>
        <v>0</v>
      </c>
      <c r="K2433" s="36"/>
      <c r="L2433" s="36"/>
      <c r="M2433" s="36"/>
      <c r="N2433" s="36"/>
      <c r="O2433" s="36"/>
      <c r="P2433" s="36"/>
      <c r="Q2433" s="36"/>
      <c r="R2433" s="36"/>
      <c r="S2433" s="36"/>
      <c r="T2433" s="36">
        <v>200</v>
      </c>
      <c r="U2433" s="36"/>
      <c r="V2433" s="36"/>
      <c r="W2433" s="15">
        <f t="shared" si="84"/>
        <v>200</v>
      </c>
      <c r="X2433" s="36"/>
      <c r="Y2433" s="36"/>
      <c r="Z2433" s="36"/>
      <c r="AA2433" s="36"/>
      <c r="AB2433" s="36"/>
      <c r="AC2433" s="36"/>
      <c r="AD2433" s="36"/>
      <c r="AE2433" s="36"/>
      <c r="AF2433" s="36"/>
      <c r="AG2433" s="36"/>
      <c r="AH2433" s="36"/>
      <c r="AI2433" s="36"/>
      <c r="AJ2433" s="15">
        <f t="shared" si="85"/>
        <v>0</v>
      </c>
      <c r="AK2433" s="16"/>
    </row>
    <row r="2434" spans="2:37" x14ac:dyDescent="0.2">
      <c r="B2434" s="7"/>
      <c r="C2434" s="8">
        <v>13017</v>
      </c>
      <c r="D2434" s="9" t="s">
        <v>202</v>
      </c>
      <c r="E2434" s="10" t="s">
        <v>203</v>
      </c>
      <c r="F2434" s="10" t="s">
        <v>204</v>
      </c>
      <c r="G2434" s="8">
        <v>1</v>
      </c>
      <c r="H2434" s="11">
        <v>400</v>
      </c>
      <c r="I2434" s="12">
        <v>42657</v>
      </c>
      <c r="J2434" s="35">
        <f t="shared" si="86"/>
        <v>0</v>
      </c>
      <c r="K2434" s="36"/>
      <c r="L2434" s="36"/>
      <c r="M2434" s="36"/>
      <c r="N2434" s="36"/>
      <c r="O2434" s="36"/>
      <c r="P2434" s="36"/>
      <c r="Q2434" s="36"/>
      <c r="R2434" s="36"/>
      <c r="S2434" s="36"/>
      <c r="T2434" s="36">
        <v>400</v>
      </c>
      <c r="U2434" s="36"/>
      <c r="V2434" s="36"/>
      <c r="W2434" s="15">
        <f t="shared" si="84"/>
        <v>400</v>
      </c>
      <c r="X2434" s="36"/>
      <c r="Y2434" s="36"/>
      <c r="Z2434" s="36"/>
      <c r="AA2434" s="36"/>
      <c r="AB2434" s="36"/>
      <c r="AC2434" s="36"/>
      <c r="AD2434" s="36"/>
      <c r="AE2434" s="36"/>
      <c r="AF2434" s="36"/>
      <c r="AG2434" s="36"/>
      <c r="AH2434" s="36"/>
      <c r="AI2434" s="36"/>
      <c r="AJ2434" s="15">
        <f t="shared" si="85"/>
        <v>0</v>
      </c>
      <c r="AK2434" s="16"/>
    </row>
    <row r="2435" spans="2:37" x14ac:dyDescent="0.2">
      <c r="B2435" s="7"/>
      <c r="C2435" s="8">
        <v>13018</v>
      </c>
      <c r="D2435" s="9" t="s">
        <v>384</v>
      </c>
      <c r="E2435" s="10" t="s">
        <v>385</v>
      </c>
      <c r="F2435" s="10" t="s">
        <v>386</v>
      </c>
      <c r="G2435" s="8">
        <v>1</v>
      </c>
      <c r="H2435" s="11">
        <v>300</v>
      </c>
      <c r="I2435" s="12">
        <v>42659</v>
      </c>
      <c r="J2435" s="35">
        <f t="shared" si="86"/>
        <v>0</v>
      </c>
      <c r="K2435" s="36"/>
      <c r="L2435" s="36"/>
      <c r="M2435" s="36"/>
      <c r="N2435" s="36"/>
      <c r="O2435" s="36"/>
      <c r="P2435" s="36"/>
      <c r="Q2435" s="36"/>
      <c r="R2435" s="36"/>
      <c r="S2435" s="36">
        <v>300</v>
      </c>
      <c r="T2435" s="36"/>
      <c r="U2435" s="36"/>
      <c r="V2435" s="36"/>
      <c r="W2435" s="15">
        <f t="shared" si="84"/>
        <v>300</v>
      </c>
      <c r="X2435" s="36"/>
      <c r="Y2435" s="36"/>
      <c r="Z2435" s="36"/>
      <c r="AA2435" s="36"/>
      <c r="AB2435" s="36"/>
      <c r="AC2435" s="36"/>
      <c r="AD2435" s="36"/>
      <c r="AE2435" s="36"/>
      <c r="AF2435" s="36"/>
      <c r="AG2435" s="36"/>
      <c r="AH2435" s="36"/>
      <c r="AI2435" s="36"/>
      <c r="AJ2435" s="15">
        <f t="shared" si="85"/>
        <v>0</v>
      </c>
      <c r="AK2435" s="16"/>
    </row>
    <row r="2436" spans="2:37" x14ac:dyDescent="0.2">
      <c r="B2436" s="7"/>
      <c r="C2436" s="8">
        <v>13019</v>
      </c>
      <c r="D2436" s="9"/>
      <c r="E2436" s="10" t="s">
        <v>93</v>
      </c>
      <c r="F2436" s="10" t="s">
        <v>93</v>
      </c>
      <c r="G2436" s="8">
        <v>8</v>
      </c>
      <c r="H2436" s="11"/>
      <c r="I2436" s="12"/>
      <c r="J2436" s="35">
        <f t="shared" si="86"/>
        <v>0</v>
      </c>
      <c r="K2436" s="36"/>
      <c r="L2436" s="36"/>
      <c r="M2436" s="36"/>
      <c r="N2436" s="36"/>
      <c r="O2436" s="36"/>
      <c r="P2436" s="36"/>
      <c r="Q2436" s="36"/>
      <c r="R2436" s="36"/>
      <c r="S2436" s="36"/>
      <c r="T2436" s="36"/>
      <c r="U2436" s="36"/>
      <c r="V2436" s="36"/>
      <c r="W2436" s="15">
        <f t="shared" si="84"/>
        <v>0</v>
      </c>
      <c r="X2436" s="36"/>
      <c r="Y2436" s="36"/>
      <c r="Z2436" s="36"/>
      <c r="AA2436" s="36"/>
      <c r="AB2436" s="36"/>
      <c r="AC2436" s="36"/>
      <c r="AD2436" s="36"/>
      <c r="AE2436" s="36"/>
      <c r="AF2436" s="36"/>
      <c r="AG2436" s="36"/>
      <c r="AH2436" s="36"/>
      <c r="AI2436" s="36"/>
      <c r="AJ2436" s="15">
        <f t="shared" si="85"/>
        <v>0</v>
      </c>
      <c r="AK2436" s="16"/>
    </row>
    <row r="2437" spans="2:37" x14ac:dyDescent="0.2">
      <c r="B2437" s="7"/>
      <c r="C2437" s="8">
        <v>13020</v>
      </c>
      <c r="D2437" s="9" t="s">
        <v>1049</v>
      </c>
      <c r="E2437" s="10" t="s">
        <v>1050</v>
      </c>
      <c r="F2437" s="10" t="s">
        <v>1051</v>
      </c>
      <c r="G2437" s="8">
        <v>1</v>
      </c>
      <c r="H2437" s="11">
        <v>400</v>
      </c>
      <c r="I2437" s="12">
        <v>42659</v>
      </c>
      <c r="J2437" s="35">
        <f t="shared" si="86"/>
        <v>0</v>
      </c>
      <c r="K2437" s="36"/>
      <c r="L2437" s="36"/>
      <c r="M2437" s="36"/>
      <c r="N2437" s="36"/>
      <c r="O2437" s="36"/>
      <c r="P2437" s="36"/>
      <c r="Q2437" s="36"/>
      <c r="R2437" s="36">
        <v>400</v>
      </c>
      <c r="S2437" s="36"/>
      <c r="T2437" s="36"/>
      <c r="U2437" s="36"/>
      <c r="V2437" s="36"/>
      <c r="W2437" s="15">
        <f t="shared" si="84"/>
        <v>400</v>
      </c>
      <c r="X2437" s="36"/>
      <c r="Y2437" s="36"/>
      <c r="Z2437" s="36"/>
      <c r="AA2437" s="36"/>
      <c r="AB2437" s="36"/>
      <c r="AC2437" s="36"/>
      <c r="AD2437" s="36"/>
      <c r="AE2437" s="36"/>
      <c r="AF2437" s="36"/>
      <c r="AG2437" s="36"/>
      <c r="AH2437" s="36"/>
      <c r="AI2437" s="36"/>
      <c r="AJ2437" s="15">
        <f t="shared" si="85"/>
        <v>0</v>
      </c>
      <c r="AK2437" s="16"/>
    </row>
    <row r="2438" spans="2:37" x14ac:dyDescent="0.2">
      <c r="B2438" s="7"/>
      <c r="C2438" s="8">
        <v>13021</v>
      </c>
      <c r="D2438" s="9" t="s">
        <v>265</v>
      </c>
      <c r="E2438" s="10" t="s">
        <v>266</v>
      </c>
      <c r="F2438" s="10" t="s">
        <v>267</v>
      </c>
      <c r="G2438" s="8">
        <v>1</v>
      </c>
      <c r="H2438" s="11">
        <v>400</v>
      </c>
      <c r="I2438" s="12">
        <v>42659</v>
      </c>
      <c r="J2438" s="35">
        <f t="shared" si="86"/>
        <v>0</v>
      </c>
      <c r="K2438" s="36"/>
      <c r="L2438" s="36"/>
      <c r="M2438" s="36"/>
      <c r="N2438" s="36"/>
      <c r="O2438" s="36"/>
      <c r="P2438" s="36"/>
      <c r="Q2438" s="36"/>
      <c r="R2438" s="36"/>
      <c r="S2438" s="36"/>
      <c r="T2438" s="36">
        <v>400</v>
      </c>
      <c r="U2438" s="36"/>
      <c r="V2438" s="36"/>
      <c r="W2438" s="15">
        <f t="shared" si="84"/>
        <v>400</v>
      </c>
      <c r="X2438" s="36"/>
      <c r="Y2438" s="36"/>
      <c r="Z2438" s="36"/>
      <c r="AA2438" s="36"/>
      <c r="AB2438" s="36"/>
      <c r="AC2438" s="36"/>
      <c r="AD2438" s="36"/>
      <c r="AE2438" s="36"/>
      <c r="AF2438" s="36"/>
      <c r="AG2438" s="36"/>
      <c r="AH2438" s="36"/>
      <c r="AI2438" s="36"/>
      <c r="AJ2438" s="15">
        <f t="shared" si="85"/>
        <v>0</v>
      </c>
      <c r="AK2438" s="16"/>
    </row>
    <row r="2439" spans="2:37" x14ac:dyDescent="0.2">
      <c r="B2439" s="7"/>
      <c r="C2439" s="8">
        <v>13022</v>
      </c>
      <c r="D2439" s="9" t="s">
        <v>407</v>
      </c>
      <c r="E2439" s="10" t="s">
        <v>408</v>
      </c>
      <c r="F2439" s="10" t="s">
        <v>409</v>
      </c>
      <c r="G2439" s="8">
        <v>1</v>
      </c>
      <c r="H2439" s="11">
        <v>400</v>
      </c>
      <c r="I2439" s="12">
        <v>42659</v>
      </c>
      <c r="J2439" s="35">
        <f t="shared" si="86"/>
        <v>0</v>
      </c>
      <c r="K2439" s="36"/>
      <c r="L2439" s="36"/>
      <c r="M2439" s="36"/>
      <c r="N2439" s="36"/>
      <c r="O2439" s="36"/>
      <c r="P2439" s="36"/>
      <c r="Q2439" s="36"/>
      <c r="R2439" s="36"/>
      <c r="S2439" s="36"/>
      <c r="T2439" s="36">
        <v>400</v>
      </c>
      <c r="U2439" s="36"/>
      <c r="V2439" s="36"/>
      <c r="W2439" s="15">
        <f t="shared" ref="W2439:W2560" si="87">SUM(K2439:V2439)</f>
        <v>400</v>
      </c>
      <c r="X2439" s="36"/>
      <c r="Y2439" s="36"/>
      <c r="Z2439" s="36"/>
      <c r="AA2439" s="36"/>
      <c r="AB2439" s="36"/>
      <c r="AC2439" s="36"/>
      <c r="AD2439" s="36"/>
      <c r="AE2439" s="36"/>
      <c r="AF2439" s="36"/>
      <c r="AG2439" s="36"/>
      <c r="AH2439" s="36"/>
      <c r="AI2439" s="36"/>
      <c r="AJ2439" s="15">
        <f t="shared" si="85"/>
        <v>0</v>
      </c>
      <c r="AK2439" s="16"/>
    </row>
    <row r="2440" spans="2:37" x14ac:dyDescent="0.2">
      <c r="B2440" s="7"/>
      <c r="C2440" s="8">
        <v>13023</v>
      </c>
      <c r="D2440" s="9" t="s">
        <v>186</v>
      </c>
      <c r="E2440" s="10" t="s">
        <v>187</v>
      </c>
      <c r="F2440" s="10" t="s">
        <v>188</v>
      </c>
      <c r="G2440" s="8">
        <v>1</v>
      </c>
      <c r="H2440" s="11">
        <v>400</v>
      </c>
      <c r="I2440" s="12">
        <v>42659</v>
      </c>
      <c r="J2440" s="35">
        <f t="shared" si="86"/>
        <v>0</v>
      </c>
      <c r="K2440" s="36"/>
      <c r="L2440" s="36"/>
      <c r="M2440" s="36"/>
      <c r="N2440" s="36"/>
      <c r="O2440" s="36"/>
      <c r="P2440" s="36"/>
      <c r="Q2440" s="36"/>
      <c r="R2440" s="36"/>
      <c r="S2440" s="36"/>
      <c r="T2440" s="36">
        <v>400</v>
      </c>
      <c r="U2440" s="36"/>
      <c r="V2440" s="36"/>
      <c r="W2440" s="15">
        <f t="shared" si="87"/>
        <v>400</v>
      </c>
      <c r="X2440" s="36"/>
      <c r="Y2440" s="36"/>
      <c r="Z2440" s="36"/>
      <c r="AA2440" s="36"/>
      <c r="AB2440" s="36"/>
      <c r="AC2440" s="36"/>
      <c r="AD2440" s="36"/>
      <c r="AE2440" s="36"/>
      <c r="AF2440" s="36"/>
      <c r="AG2440" s="36"/>
      <c r="AH2440" s="36"/>
      <c r="AI2440" s="36"/>
      <c r="AJ2440" s="15">
        <f t="shared" si="85"/>
        <v>0</v>
      </c>
      <c r="AK2440" s="16"/>
    </row>
    <row r="2441" spans="2:37" x14ac:dyDescent="0.2">
      <c r="B2441" s="7"/>
      <c r="C2441" s="8">
        <v>13024</v>
      </c>
      <c r="D2441" s="9" t="s">
        <v>277</v>
      </c>
      <c r="E2441" s="10" t="s">
        <v>278</v>
      </c>
      <c r="F2441" s="10" t="s">
        <v>279</v>
      </c>
      <c r="G2441" s="8">
        <v>1</v>
      </c>
      <c r="H2441" s="11">
        <v>400</v>
      </c>
      <c r="I2441" s="12">
        <v>42659</v>
      </c>
      <c r="J2441" s="35">
        <f t="shared" si="86"/>
        <v>0</v>
      </c>
      <c r="K2441" s="36"/>
      <c r="L2441" s="36"/>
      <c r="M2441" s="36"/>
      <c r="N2441" s="36"/>
      <c r="O2441" s="36"/>
      <c r="P2441" s="36"/>
      <c r="Q2441" s="36"/>
      <c r="R2441" s="36"/>
      <c r="S2441" s="36"/>
      <c r="T2441" s="36"/>
      <c r="U2441" s="36">
        <v>200</v>
      </c>
      <c r="V2441" s="36">
        <v>200</v>
      </c>
      <c r="W2441" s="15">
        <f t="shared" si="87"/>
        <v>400</v>
      </c>
      <c r="X2441" s="36"/>
      <c r="Y2441" s="36"/>
      <c r="Z2441" s="36"/>
      <c r="AA2441" s="36"/>
      <c r="AB2441" s="36"/>
      <c r="AC2441" s="36"/>
      <c r="AD2441" s="36"/>
      <c r="AE2441" s="36"/>
      <c r="AF2441" s="36"/>
      <c r="AG2441" s="36"/>
      <c r="AH2441" s="36"/>
      <c r="AI2441" s="36"/>
      <c r="AJ2441" s="15">
        <f t="shared" si="85"/>
        <v>0</v>
      </c>
      <c r="AK2441" s="16"/>
    </row>
    <row r="2442" spans="2:37" x14ac:dyDescent="0.2">
      <c r="B2442" s="7"/>
      <c r="C2442" s="8">
        <v>13025</v>
      </c>
      <c r="D2442" s="9" t="s">
        <v>274</v>
      </c>
      <c r="E2442" s="10" t="s">
        <v>275</v>
      </c>
      <c r="F2442" s="10" t="s">
        <v>276</v>
      </c>
      <c r="G2442" s="8">
        <v>1</v>
      </c>
      <c r="H2442" s="11">
        <v>600</v>
      </c>
      <c r="I2442" s="12">
        <v>42659</v>
      </c>
      <c r="J2442" s="35">
        <f t="shared" si="86"/>
        <v>0</v>
      </c>
      <c r="K2442" s="36"/>
      <c r="L2442" s="36"/>
      <c r="M2442" s="36"/>
      <c r="N2442" s="36"/>
      <c r="O2442" s="36"/>
      <c r="P2442" s="36"/>
      <c r="Q2442" s="36"/>
      <c r="R2442" s="36"/>
      <c r="S2442" s="36"/>
      <c r="T2442" s="36">
        <v>200</v>
      </c>
      <c r="U2442" s="36">
        <v>200</v>
      </c>
      <c r="V2442" s="36">
        <v>200</v>
      </c>
      <c r="W2442" s="15">
        <f t="shared" si="87"/>
        <v>600</v>
      </c>
      <c r="X2442" s="36"/>
      <c r="Y2442" s="36"/>
      <c r="Z2442" s="36"/>
      <c r="AA2442" s="36"/>
      <c r="AB2442" s="36"/>
      <c r="AC2442" s="36"/>
      <c r="AD2442" s="36"/>
      <c r="AE2442" s="36"/>
      <c r="AF2442" s="36"/>
      <c r="AG2442" s="36"/>
      <c r="AH2442" s="36"/>
      <c r="AI2442" s="36"/>
      <c r="AJ2442" s="15">
        <f t="shared" si="85"/>
        <v>0</v>
      </c>
      <c r="AK2442" s="16"/>
    </row>
    <row r="2443" spans="2:37" x14ac:dyDescent="0.2">
      <c r="B2443" s="7"/>
      <c r="C2443" s="8">
        <v>13026</v>
      </c>
      <c r="D2443" s="9" t="s">
        <v>532</v>
      </c>
      <c r="E2443" s="10" t="s">
        <v>533</v>
      </c>
      <c r="F2443" s="10" t="s">
        <v>534</v>
      </c>
      <c r="G2443" s="8">
        <v>1</v>
      </c>
      <c r="H2443" s="11">
        <v>800</v>
      </c>
      <c r="I2443" s="12">
        <v>42659</v>
      </c>
      <c r="J2443" s="35">
        <f t="shared" si="86"/>
        <v>0</v>
      </c>
      <c r="K2443" s="36"/>
      <c r="L2443" s="36"/>
      <c r="M2443" s="36"/>
      <c r="N2443" s="36"/>
      <c r="O2443" s="36"/>
      <c r="P2443" s="36"/>
      <c r="Q2443" s="36">
        <v>200</v>
      </c>
      <c r="R2443" s="36">
        <v>200</v>
      </c>
      <c r="S2443" s="36">
        <v>200</v>
      </c>
      <c r="T2443" s="36">
        <v>200</v>
      </c>
      <c r="U2443" s="36"/>
      <c r="V2443" s="36"/>
      <c r="W2443" s="15">
        <f t="shared" si="87"/>
        <v>800</v>
      </c>
      <c r="X2443" s="36"/>
      <c r="Y2443" s="36"/>
      <c r="Z2443" s="36"/>
      <c r="AA2443" s="36"/>
      <c r="AB2443" s="36"/>
      <c r="AC2443" s="36"/>
      <c r="AD2443" s="36"/>
      <c r="AE2443" s="36"/>
      <c r="AF2443" s="36"/>
      <c r="AG2443" s="36"/>
      <c r="AH2443" s="36"/>
      <c r="AI2443" s="36"/>
      <c r="AJ2443" s="15">
        <f t="shared" si="85"/>
        <v>0</v>
      </c>
      <c r="AK2443" s="16"/>
    </row>
    <row r="2444" spans="2:37" x14ac:dyDescent="0.2">
      <c r="B2444" s="7"/>
      <c r="C2444" s="8">
        <v>13027</v>
      </c>
      <c r="D2444" s="9" t="s">
        <v>1148</v>
      </c>
      <c r="E2444" s="10" t="s">
        <v>1149</v>
      </c>
      <c r="F2444" s="10" t="s">
        <v>1150</v>
      </c>
      <c r="G2444" s="8">
        <v>5</v>
      </c>
      <c r="H2444" s="11">
        <v>50</v>
      </c>
      <c r="I2444" s="12">
        <v>42659</v>
      </c>
      <c r="J2444" s="35">
        <f t="shared" si="86"/>
        <v>0</v>
      </c>
      <c r="K2444" s="36"/>
      <c r="L2444" s="36"/>
      <c r="M2444" s="36"/>
      <c r="N2444" s="36"/>
      <c r="O2444" s="36"/>
      <c r="P2444" s="36"/>
      <c r="Q2444" s="36"/>
      <c r="R2444" s="36"/>
      <c r="S2444" s="36"/>
      <c r="T2444" s="36"/>
      <c r="U2444" s="36"/>
      <c r="V2444" s="36"/>
      <c r="W2444" s="15">
        <f t="shared" si="87"/>
        <v>0</v>
      </c>
      <c r="X2444" s="36"/>
      <c r="Y2444" s="36"/>
      <c r="Z2444" s="36"/>
      <c r="AA2444" s="36"/>
      <c r="AB2444" s="36"/>
      <c r="AC2444" s="36"/>
      <c r="AD2444" s="36"/>
      <c r="AE2444" s="36"/>
      <c r="AF2444" s="36"/>
      <c r="AG2444" s="36"/>
      <c r="AH2444" s="36"/>
      <c r="AI2444" s="36"/>
      <c r="AJ2444" s="15">
        <f t="shared" si="85"/>
        <v>0</v>
      </c>
      <c r="AK2444" s="16"/>
    </row>
    <row r="2445" spans="2:37" x14ac:dyDescent="0.2">
      <c r="B2445" s="7"/>
      <c r="C2445" s="8">
        <v>13028</v>
      </c>
      <c r="D2445" s="9"/>
      <c r="E2445" s="10" t="s">
        <v>93</v>
      </c>
      <c r="F2445" s="10" t="s">
        <v>93</v>
      </c>
      <c r="G2445" s="8">
        <v>8</v>
      </c>
      <c r="H2445" s="11"/>
      <c r="I2445" s="12"/>
      <c r="J2445" s="35">
        <f t="shared" si="86"/>
        <v>0</v>
      </c>
      <c r="K2445" s="36"/>
      <c r="L2445" s="36"/>
      <c r="M2445" s="36"/>
      <c r="N2445" s="36"/>
      <c r="O2445" s="36"/>
      <c r="P2445" s="36"/>
      <c r="Q2445" s="36"/>
      <c r="R2445" s="36"/>
      <c r="S2445" s="36"/>
      <c r="T2445" s="36"/>
      <c r="U2445" s="36"/>
      <c r="V2445" s="36"/>
      <c r="W2445" s="15">
        <f t="shared" si="87"/>
        <v>0</v>
      </c>
      <c r="X2445" s="36"/>
      <c r="Y2445" s="36"/>
      <c r="Z2445" s="36"/>
      <c r="AA2445" s="36"/>
      <c r="AB2445" s="36"/>
      <c r="AC2445" s="36"/>
      <c r="AD2445" s="36"/>
      <c r="AE2445" s="36"/>
      <c r="AF2445" s="36"/>
      <c r="AG2445" s="36"/>
      <c r="AH2445" s="36"/>
      <c r="AI2445" s="36"/>
      <c r="AJ2445" s="15">
        <f t="shared" si="85"/>
        <v>0</v>
      </c>
      <c r="AK2445" s="16"/>
    </row>
    <row r="2446" spans="2:37" x14ac:dyDescent="0.2">
      <c r="B2446" s="7"/>
      <c r="C2446" s="8">
        <v>13029</v>
      </c>
      <c r="D2446" s="9" t="s">
        <v>156</v>
      </c>
      <c r="E2446" s="10" t="s">
        <v>157</v>
      </c>
      <c r="F2446" s="10" t="s">
        <v>158</v>
      </c>
      <c r="G2446" s="8">
        <v>1</v>
      </c>
      <c r="H2446" s="11">
        <v>300</v>
      </c>
      <c r="I2446" s="12">
        <v>42659</v>
      </c>
      <c r="J2446" s="35">
        <f t="shared" si="86"/>
        <v>0</v>
      </c>
      <c r="K2446" s="36"/>
      <c r="L2446" s="36"/>
      <c r="M2446" s="36"/>
      <c r="N2446" s="36"/>
      <c r="O2446" s="36"/>
      <c r="P2446" s="36"/>
      <c r="Q2446" s="36"/>
      <c r="R2446" s="36"/>
      <c r="S2446" s="36"/>
      <c r="T2446" s="36">
        <v>300</v>
      </c>
      <c r="U2446" s="36"/>
      <c r="V2446" s="36"/>
      <c r="W2446" s="15">
        <f t="shared" si="87"/>
        <v>300</v>
      </c>
      <c r="X2446" s="36"/>
      <c r="Y2446" s="36"/>
      <c r="Z2446" s="36"/>
      <c r="AA2446" s="36"/>
      <c r="AB2446" s="36"/>
      <c r="AC2446" s="36"/>
      <c r="AD2446" s="36"/>
      <c r="AE2446" s="36"/>
      <c r="AF2446" s="36"/>
      <c r="AG2446" s="36"/>
      <c r="AH2446" s="36"/>
      <c r="AI2446" s="36"/>
      <c r="AJ2446" s="15">
        <f t="shared" si="85"/>
        <v>0</v>
      </c>
      <c r="AK2446" s="16"/>
    </row>
    <row r="2447" spans="2:37" x14ac:dyDescent="0.2">
      <c r="B2447" s="7"/>
      <c r="C2447" s="8">
        <v>13030</v>
      </c>
      <c r="D2447" s="9" t="s">
        <v>395</v>
      </c>
      <c r="E2447" s="10" t="s">
        <v>396</v>
      </c>
      <c r="F2447" s="10" t="s">
        <v>397</v>
      </c>
      <c r="G2447" s="8">
        <v>1</v>
      </c>
      <c r="H2447" s="11">
        <v>200</v>
      </c>
      <c r="I2447" s="12">
        <v>42659</v>
      </c>
      <c r="J2447" s="35">
        <f t="shared" si="86"/>
        <v>0</v>
      </c>
      <c r="K2447" s="36"/>
      <c r="L2447" s="36"/>
      <c r="M2447" s="36"/>
      <c r="N2447" s="36"/>
      <c r="O2447" s="36"/>
      <c r="P2447" s="36"/>
      <c r="Q2447" s="36"/>
      <c r="R2447" s="36"/>
      <c r="S2447" s="36"/>
      <c r="T2447" s="36">
        <v>200</v>
      </c>
      <c r="U2447" s="36"/>
      <c r="V2447" s="36"/>
      <c r="W2447" s="15">
        <f t="shared" si="87"/>
        <v>200</v>
      </c>
      <c r="X2447" s="36"/>
      <c r="Y2447" s="36"/>
      <c r="Z2447" s="36"/>
      <c r="AA2447" s="36"/>
      <c r="AB2447" s="36"/>
      <c r="AC2447" s="36"/>
      <c r="AD2447" s="36"/>
      <c r="AE2447" s="36"/>
      <c r="AF2447" s="36"/>
      <c r="AG2447" s="36"/>
      <c r="AH2447" s="36"/>
      <c r="AI2447" s="36"/>
      <c r="AJ2447" s="15">
        <f t="shared" si="85"/>
        <v>0</v>
      </c>
      <c r="AK2447" s="16"/>
    </row>
    <row r="2448" spans="2:37" x14ac:dyDescent="0.2">
      <c r="B2448" s="7"/>
      <c r="C2448" s="8">
        <v>13031</v>
      </c>
      <c r="D2448" s="9" t="s">
        <v>1092</v>
      </c>
      <c r="E2448" s="10" t="s">
        <v>1093</v>
      </c>
      <c r="F2448" s="10" t="s">
        <v>1094</v>
      </c>
      <c r="G2448" s="8">
        <v>1</v>
      </c>
      <c r="H2448" s="11">
        <v>200</v>
      </c>
      <c r="I2448" s="12">
        <v>42659</v>
      </c>
      <c r="J2448" s="35">
        <f t="shared" si="86"/>
        <v>0</v>
      </c>
      <c r="K2448" s="36"/>
      <c r="L2448" s="36"/>
      <c r="M2448" s="36"/>
      <c r="N2448" s="36"/>
      <c r="O2448" s="36"/>
      <c r="P2448" s="36"/>
      <c r="Q2448" s="36"/>
      <c r="R2448" s="36"/>
      <c r="S2448" s="36"/>
      <c r="T2448" s="36">
        <v>200</v>
      </c>
      <c r="U2448" s="36"/>
      <c r="V2448" s="36"/>
      <c r="W2448" s="15">
        <f t="shared" si="87"/>
        <v>200</v>
      </c>
      <c r="X2448" s="36"/>
      <c r="Y2448" s="36"/>
      <c r="Z2448" s="36"/>
      <c r="AA2448" s="36"/>
      <c r="AB2448" s="36"/>
      <c r="AC2448" s="36"/>
      <c r="AD2448" s="36"/>
      <c r="AE2448" s="36"/>
      <c r="AF2448" s="36"/>
      <c r="AG2448" s="36"/>
      <c r="AH2448" s="36"/>
      <c r="AI2448" s="36"/>
      <c r="AJ2448" s="15">
        <f t="shared" si="85"/>
        <v>0</v>
      </c>
      <c r="AK2448" s="16"/>
    </row>
    <row r="2449" spans="2:37" x14ac:dyDescent="0.2">
      <c r="B2449" s="7"/>
      <c r="C2449" s="8">
        <v>13032</v>
      </c>
      <c r="D2449" s="9" t="s">
        <v>990</v>
      </c>
      <c r="E2449" s="10" t="s">
        <v>991</v>
      </c>
      <c r="F2449" s="10" t="s">
        <v>992</v>
      </c>
      <c r="G2449" s="8">
        <v>1</v>
      </c>
      <c r="H2449" s="11">
        <v>1000</v>
      </c>
      <c r="I2449" s="12">
        <v>42659</v>
      </c>
      <c r="J2449" s="35">
        <f t="shared" si="86"/>
        <v>0</v>
      </c>
      <c r="K2449" s="36"/>
      <c r="L2449" s="36"/>
      <c r="M2449" s="36"/>
      <c r="N2449" s="36"/>
      <c r="O2449" s="36"/>
      <c r="P2449" s="36"/>
      <c r="Q2449" s="36"/>
      <c r="R2449" s="36">
        <v>200</v>
      </c>
      <c r="S2449" s="36">
        <v>200</v>
      </c>
      <c r="T2449" s="36">
        <v>200</v>
      </c>
      <c r="U2449" s="36">
        <v>200</v>
      </c>
      <c r="V2449" s="36">
        <v>200</v>
      </c>
      <c r="W2449" s="15">
        <f t="shared" si="87"/>
        <v>1000</v>
      </c>
      <c r="X2449" s="36"/>
      <c r="Y2449" s="36"/>
      <c r="Z2449" s="36"/>
      <c r="AA2449" s="36"/>
      <c r="AB2449" s="36"/>
      <c r="AC2449" s="36"/>
      <c r="AD2449" s="36"/>
      <c r="AE2449" s="36"/>
      <c r="AF2449" s="36"/>
      <c r="AG2449" s="36"/>
      <c r="AH2449" s="36"/>
      <c r="AI2449" s="36"/>
      <c r="AJ2449" s="15">
        <f t="shared" si="85"/>
        <v>0</v>
      </c>
      <c r="AK2449" s="16"/>
    </row>
    <row r="2450" spans="2:37" x14ac:dyDescent="0.2">
      <c r="B2450" s="7"/>
      <c r="C2450" s="8">
        <v>13033</v>
      </c>
      <c r="D2450" s="9" t="s">
        <v>232</v>
      </c>
      <c r="E2450" s="10" t="s">
        <v>233</v>
      </c>
      <c r="F2450" s="10" t="s">
        <v>234</v>
      </c>
      <c r="G2450" s="8">
        <v>5</v>
      </c>
      <c r="H2450" s="11">
        <v>50</v>
      </c>
      <c r="I2450" s="12">
        <v>42659</v>
      </c>
      <c r="J2450" s="35">
        <f t="shared" si="86"/>
        <v>0</v>
      </c>
      <c r="K2450" s="36"/>
      <c r="L2450" s="36"/>
      <c r="M2450" s="36"/>
      <c r="N2450" s="36"/>
      <c r="O2450" s="36"/>
      <c r="P2450" s="36"/>
      <c r="Q2450" s="36"/>
      <c r="R2450" s="36"/>
      <c r="S2450" s="36"/>
      <c r="T2450" s="36"/>
      <c r="U2450" s="36"/>
      <c r="V2450" s="36"/>
      <c r="W2450" s="15">
        <f t="shared" si="87"/>
        <v>0</v>
      </c>
      <c r="X2450" s="36"/>
      <c r="Y2450" s="36"/>
      <c r="Z2450" s="36"/>
      <c r="AA2450" s="36"/>
      <c r="AB2450" s="36"/>
      <c r="AC2450" s="36"/>
      <c r="AD2450" s="36"/>
      <c r="AE2450" s="36"/>
      <c r="AF2450" s="36"/>
      <c r="AG2450" s="36"/>
      <c r="AH2450" s="36"/>
      <c r="AI2450" s="36"/>
      <c r="AJ2450" s="15">
        <f t="shared" si="85"/>
        <v>0</v>
      </c>
      <c r="AK2450" s="16"/>
    </row>
    <row r="2451" spans="2:37" x14ac:dyDescent="0.2">
      <c r="B2451" s="7"/>
      <c r="C2451" s="8">
        <v>13034</v>
      </c>
      <c r="D2451" s="9" t="s">
        <v>990</v>
      </c>
      <c r="E2451" s="10" t="s">
        <v>991</v>
      </c>
      <c r="F2451" s="10" t="s">
        <v>992</v>
      </c>
      <c r="G2451" s="8">
        <v>4</v>
      </c>
      <c r="H2451" s="11">
        <v>200</v>
      </c>
      <c r="I2451" s="12">
        <v>42659</v>
      </c>
      <c r="J2451" s="35">
        <f t="shared" si="86"/>
        <v>0</v>
      </c>
      <c r="K2451" s="36"/>
      <c r="L2451" s="36"/>
      <c r="M2451" s="36"/>
      <c r="N2451" s="36"/>
      <c r="O2451" s="36"/>
      <c r="P2451" s="36"/>
      <c r="Q2451" s="36"/>
      <c r="R2451" s="36"/>
      <c r="S2451" s="36"/>
      <c r="T2451" s="36"/>
      <c r="U2451" s="36"/>
      <c r="V2451" s="36"/>
      <c r="W2451" s="15">
        <f t="shared" si="87"/>
        <v>0</v>
      </c>
      <c r="X2451" s="36"/>
      <c r="Y2451" s="36"/>
      <c r="Z2451" s="36"/>
      <c r="AA2451" s="36"/>
      <c r="AB2451" s="36"/>
      <c r="AC2451" s="36"/>
      <c r="AD2451" s="36"/>
      <c r="AE2451" s="36"/>
      <c r="AF2451" s="36"/>
      <c r="AG2451" s="36"/>
      <c r="AH2451" s="36"/>
      <c r="AI2451" s="36"/>
      <c r="AJ2451" s="15">
        <f t="shared" si="85"/>
        <v>0</v>
      </c>
      <c r="AK2451" s="16"/>
    </row>
    <row r="2452" spans="2:37" x14ac:dyDescent="0.2">
      <c r="B2452" s="7"/>
      <c r="C2452" s="8">
        <v>13035</v>
      </c>
      <c r="D2452" s="9" t="s">
        <v>340</v>
      </c>
      <c r="E2452" s="10" t="s">
        <v>341</v>
      </c>
      <c r="F2452" s="10" t="s">
        <v>342</v>
      </c>
      <c r="G2452" s="8">
        <v>1</v>
      </c>
      <c r="H2452" s="11">
        <v>400</v>
      </c>
      <c r="I2452" s="12">
        <v>42659</v>
      </c>
      <c r="J2452" s="35">
        <f t="shared" si="86"/>
        <v>0</v>
      </c>
      <c r="K2452" s="36"/>
      <c r="L2452" s="36"/>
      <c r="M2452" s="36"/>
      <c r="N2452" s="36"/>
      <c r="O2452" s="36"/>
      <c r="P2452" s="36"/>
      <c r="Q2452" s="36"/>
      <c r="R2452" s="36"/>
      <c r="S2452" s="36"/>
      <c r="T2452" s="36">
        <v>400</v>
      </c>
      <c r="U2452" s="36"/>
      <c r="V2452" s="36"/>
      <c r="W2452" s="15">
        <f t="shared" si="87"/>
        <v>400</v>
      </c>
      <c r="X2452" s="36"/>
      <c r="Y2452" s="36"/>
      <c r="Z2452" s="36"/>
      <c r="AA2452" s="36"/>
      <c r="AB2452" s="36"/>
      <c r="AC2452" s="36"/>
      <c r="AD2452" s="36"/>
      <c r="AE2452" s="36"/>
      <c r="AF2452" s="36"/>
      <c r="AG2452" s="36"/>
      <c r="AH2452" s="36"/>
      <c r="AI2452" s="36"/>
      <c r="AJ2452" s="15">
        <f t="shared" si="85"/>
        <v>0</v>
      </c>
      <c r="AK2452" s="16"/>
    </row>
    <row r="2453" spans="2:37" x14ac:dyDescent="0.2">
      <c r="B2453" s="7"/>
      <c r="C2453" s="8">
        <v>13036</v>
      </c>
      <c r="D2453" s="9"/>
      <c r="E2453" s="10" t="s">
        <v>93</v>
      </c>
      <c r="F2453" s="10" t="s">
        <v>93</v>
      </c>
      <c r="G2453" s="8">
        <v>8</v>
      </c>
      <c r="H2453" s="11"/>
      <c r="I2453" s="12"/>
      <c r="J2453" s="35">
        <f t="shared" si="86"/>
        <v>0</v>
      </c>
      <c r="K2453" s="36"/>
      <c r="L2453" s="36"/>
      <c r="M2453" s="36"/>
      <c r="N2453" s="36"/>
      <c r="O2453" s="36"/>
      <c r="P2453" s="36"/>
      <c r="Q2453" s="36"/>
      <c r="R2453" s="36"/>
      <c r="S2453" s="36"/>
      <c r="T2453" s="36"/>
      <c r="U2453" s="36"/>
      <c r="V2453" s="36"/>
      <c r="W2453" s="15">
        <f t="shared" si="87"/>
        <v>0</v>
      </c>
      <c r="X2453" s="36"/>
      <c r="Y2453" s="36"/>
      <c r="Z2453" s="36"/>
      <c r="AA2453" s="36"/>
      <c r="AB2453" s="36"/>
      <c r="AC2453" s="36"/>
      <c r="AD2453" s="36"/>
      <c r="AE2453" s="36"/>
      <c r="AF2453" s="36"/>
      <c r="AG2453" s="36"/>
      <c r="AH2453" s="36"/>
      <c r="AI2453" s="36"/>
      <c r="AJ2453" s="15">
        <f t="shared" si="85"/>
        <v>0</v>
      </c>
      <c r="AK2453" s="16"/>
    </row>
    <row r="2454" spans="2:37" x14ac:dyDescent="0.2">
      <c r="B2454" s="7"/>
      <c r="C2454" s="8">
        <v>13037</v>
      </c>
      <c r="D2454" s="9" t="s">
        <v>268</v>
      </c>
      <c r="E2454" s="10" t="s">
        <v>269</v>
      </c>
      <c r="F2454" s="10" t="s">
        <v>270</v>
      </c>
      <c r="G2454" s="8">
        <v>1</v>
      </c>
      <c r="H2454" s="11">
        <v>300</v>
      </c>
      <c r="I2454" s="12">
        <v>42659</v>
      </c>
      <c r="J2454" s="35">
        <f t="shared" si="86"/>
        <v>0</v>
      </c>
      <c r="K2454" s="36"/>
      <c r="L2454" s="36"/>
      <c r="M2454" s="36"/>
      <c r="N2454" s="36"/>
      <c r="O2454" s="36"/>
      <c r="P2454" s="36"/>
      <c r="Q2454" s="36"/>
      <c r="R2454" s="36"/>
      <c r="S2454" s="36"/>
      <c r="T2454" s="36">
        <v>300</v>
      </c>
      <c r="U2454" s="36"/>
      <c r="V2454" s="36"/>
      <c r="W2454" s="15">
        <f t="shared" si="87"/>
        <v>300</v>
      </c>
      <c r="X2454" s="36"/>
      <c r="Y2454" s="36"/>
      <c r="Z2454" s="36"/>
      <c r="AA2454" s="36"/>
      <c r="AB2454" s="36"/>
      <c r="AC2454" s="36"/>
      <c r="AD2454" s="36"/>
      <c r="AE2454" s="36"/>
      <c r="AF2454" s="36"/>
      <c r="AG2454" s="36"/>
      <c r="AH2454" s="36"/>
      <c r="AI2454" s="36"/>
      <c r="AJ2454" s="15">
        <f t="shared" si="85"/>
        <v>0</v>
      </c>
      <c r="AK2454" s="16"/>
    </row>
    <row r="2455" spans="2:37" x14ac:dyDescent="0.2">
      <c r="B2455" s="7"/>
      <c r="C2455" s="8">
        <v>13038</v>
      </c>
      <c r="D2455" s="9" t="s">
        <v>625</v>
      </c>
      <c r="E2455" s="10" t="s">
        <v>626</v>
      </c>
      <c r="F2455" s="10" t="s">
        <v>627</v>
      </c>
      <c r="G2455" s="8">
        <v>1</v>
      </c>
      <c r="H2455" s="11">
        <v>400</v>
      </c>
      <c r="I2455" s="12">
        <v>42659</v>
      </c>
      <c r="J2455" s="35">
        <f t="shared" si="86"/>
        <v>0</v>
      </c>
      <c r="K2455" s="36"/>
      <c r="L2455" s="36"/>
      <c r="M2455" s="36"/>
      <c r="N2455" s="36"/>
      <c r="O2455" s="36"/>
      <c r="P2455" s="36"/>
      <c r="Q2455" s="36"/>
      <c r="R2455" s="36"/>
      <c r="S2455" s="36">
        <v>400</v>
      </c>
      <c r="T2455" s="36"/>
      <c r="U2455" s="36"/>
      <c r="V2455" s="36"/>
      <c r="W2455" s="15">
        <f t="shared" si="87"/>
        <v>400</v>
      </c>
      <c r="X2455" s="36"/>
      <c r="Y2455" s="36"/>
      <c r="Z2455" s="36"/>
      <c r="AA2455" s="36"/>
      <c r="AB2455" s="36"/>
      <c r="AC2455" s="36"/>
      <c r="AD2455" s="36"/>
      <c r="AE2455" s="36"/>
      <c r="AF2455" s="36"/>
      <c r="AG2455" s="36"/>
      <c r="AH2455" s="36"/>
      <c r="AI2455" s="36"/>
      <c r="AJ2455" s="15">
        <f t="shared" si="85"/>
        <v>0</v>
      </c>
      <c r="AK2455" s="16"/>
    </row>
    <row r="2456" spans="2:37" x14ac:dyDescent="0.2">
      <c r="B2456" s="7"/>
      <c r="C2456" s="8">
        <v>13039</v>
      </c>
      <c r="D2456" s="9" t="s">
        <v>823</v>
      </c>
      <c r="E2456" s="10" t="s">
        <v>824</v>
      </c>
      <c r="F2456" s="10" t="s">
        <v>765</v>
      </c>
      <c r="G2456" s="8">
        <v>1</v>
      </c>
      <c r="H2456" s="11">
        <v>200</v>
      </c>
      <c r="I2456" s="12">
        <v>42659</v>
      </c>
      <c r="J2456" s="35">
        <f t="shared" si="86"/>
        <v>0</v>
      </c>
      <c r="K2456" s="36"/>
      <c r="L2456" s="36"/>
      <c r="M2456" s="36"/>
      <c r="N2456" s="36"/>
      <c r="O2456" s="36"/>
      <c r="P2456" s="36"/>
      <c r="Q2456" s="36"/>
      <c r="R2456" s="36"/>
      <c r="S2456" s="36"/>
      <c r="T2456" s="36">
        <v>200</v>
      </c>
      <c r="U2456" s="36"/>
      <c r="V2456" s="36"/>
      <c r="W2456" s="15">
        <f t="shared" si="87"/>
        <v>200</v>
      </c>
      <c r="X2456" s="36"/>
      <c r="Y2456" s="36"/>
      <c r="Z2456" s="36"/>
      <c r="AA2456" s="36"/>
      <c r="AB2456" s="36"/>
      <c r="AC2456" s="36"/>
      <c r="AD2456" s="36"/>
      <c r="AE2456" s="36"/>
      <c r="AF2456" s="36"/>
      <c r="AG2456" s="36"/>
      <c r="AH2456" s="36"/>
      <c r="AI2456" s="36"/>
      <c r="AJ2456" s="15">
        <f t="shared" si="85"/>
        <v>0</v>
      </c>
      <c r="AK2456" s="16"/>
    </row>
    <row r="2457" spans="2:37" x14ac:dyDescent="0.2">
      <c r="B2457" s="7"/>
      <c r="C2457" s="8">
        <v>13040</v>
      </c>
      <c r="D2457" s="9" t="s">
        <v>256</v>
      </c>
      <c r="E2457" s="10" t="s">
        <v>257</v>
      </c>
      <c r="F2457" s="10" t="s">
        <v>258</v>
      </c>
      <c r="G2457" s="8">
        <v>1</v>
      </c>
      <c r="H2457" s="11">
        <v>300</v>
      </c>
      <c r="I2457" s="12">
        <v>42659</v>
      </c>
      <c r="J2457" s="35">
        <f t="shared" si="86"/>
        <v>0</v>
      </c>
      <c r="K2457" s="36"/>
      <c r="L2457" s="36"/>
      <c r="M2457" s="36"/>
      <c r="N2457" s="36"/>
      <c r="O2457" s="36"/>
      <c r="P2457" s="36"/>
      <c r="Q2457" s="36"/>
      <c r="R2457" s="36"/>
      <c r="S2457" s="36"/>
      <c r="T2457" s="36">
        <v>300</v>
      </c>
      <c r="U2457" s="36"/>
      <c r="V2457" s="36"/>
      <c r="W2457" s="15">
        <f t="shared" si="87"/>
        <v>300</v>
      </c>
      <c r="X2457" s="36"/>
      <c r="Y2457" s="36"/>
      <c r="Z2457" s="36"/>
      <c r="AA2457" s="36"/>
      <c r="AB2457" s="36"/>
      <c r="AC2457" s="36"/>
      <c r="AD2457" s="36"/>
      <c r="AE2457" s="36"/>
      <c r="AF2457" s="36"/>
      <c r="AG2457" s="36"/>
      <c r="AH2457" s="36"/>
      <c r="AI2457" s="36"/>
      <c r="AJ2457" s="15">
        <f t="shared" si="85"/>
        <v>0</v>
      </c>
      <c r="AK2457" s="16"/>
    </row>
    <row r="2458" spans="2:37" x14ac:dyDescent="0.2">
      <c r="B2458" s="7"/>
      <c r="C2458" s="8">
        <v>13041</v>
      </c>
      <c r="D2458" s="9" t="s">
        <v>589</v>
      </c>
      <c r="E2458" s="10" t="s">
        <v>590</v>
      </c>
      <c r="F2458" s="10" t="s">
        <v>591</v>
      </c>
      <c r="G2458" s="8">
        <v>1</v>
      </c>
      <c r="H2458" s="11">
        <v>800</v>
      </c>
      <c r="I2458" s="12">
        <v>42659</v>
      </c>
      <c r="J2458" s="35">
        <f t="shared" si="86"/>
        <v>0</v>
      </c>
      <c r="K2458" s="36"/>
      <c r="L2458" s="36"/>
      <c r="M2458" s="36"/>
      <c r="N2458" s="36"/>
      <c r="O2458" s="36"/>
      <c r="P2458" s="36"/>
      <c r="Q2458" s="36"/>
      <c r="R2458" s="36">
        <v>400</v>
      </c>
      <c r="S2458" s="36">
        <v>400</v>
      </c>
      <c r="T2458" s="36"/>
      <c r="U2458" s="36"/>
      <c r="V2458" s="36"/>
      <c r="W2458" s="15">
        <f t="shared" si="87"/>
        <v>800</v>
      </c>
      <c r="X2458" s="36"/>
      <c r="Y2458" s="36"/>
      <c r="Z2458" s="36"/>
      <c r="AA2458" s="36"/>
      <c r="AB2458" s="36"/>
      <c r="AC2458" s="36"/>
      <c r="AD2458" s="36"/>
      <c r="AE2458" s="36"/>
      <c r="AF2458" s="36"/>
      <c r="AG2458" s="36"/>
      <c r="AH2458" s="36"/>
      <c r="AI2458" s="36"/>
      <c r="AJ2458" s="15">
        <f t="shared" si="85"/>
        <v>0</v>
      </c>
      <c r="AK2458" s="16"/>
    </row>
    <row r="2459" spans="2:37" x14ac:dyDescent="0.2">
      <c r="B2459" s="7"/>
      <c r="C2459" s="8">
        <v>13042</v>
      </c>
      <c r="D2459" s="9" t="s">
        <v>398</v>
      </c>
      <c r="E2459" s="10" t="s">
        <v>399</v>
      </c>
      <c r="F2459" s="10" t="s">
        <v>400</v>
      </c>
      <c r="G2459" s="8">
        <v>1</v>
      </c>
      <c r="H2459" s="11">
        <v>400</v>
      </c>
      <c r="I2459" s="12">
        <v>42659</v>
      </c>
      <c r="J2459" s="35">
        <f t="shared" si="86"/>
        <v>0</v>
      </c>
      <c r="K2459" s="36"/>
      <c r="L2459" s="36"/>
      <c r="M2459" s="36"/>
      <c r="N2459" s="36"/>
      <c r="O2459" s="36"/>
      <c r="P2459" s="36"/>
      <c r="Q2459" s="36"/>
      <c r="R2459" s="36"/>
      <c r="S2459" s="36"/>
      <c r="T2459" s="36">
        <v>400</v>
      </c>
      <c r="U2459" s="36"/>
      <c r="V2459" s="36"/>
      <c r="W2459" s="15">
        <f t="shared" si="87"/>
        <v>400</v>
      </c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15">
        <f t="shared" si="85"/>
        <v>0</v>
      </c>
      <c r="AK2459" s="16"/>
    </row>
    <row r="2460" spans="2:37" x14ac:dyDescent="0.2">
      <c r="B2460" s="7"/>
      <c r="C2460" s="8">
        <v>13043</v>
      </c>
      <c r="D2460" s="9" t="s">
        <v>277</v>
      </c>
      <c r="E2460" s="10" t="s">
        <v>278</v>
      </c>
      <c r="F2460" s="10" t="s">
        <v>279</v>
      </c>
      <c r="G2460" s="8">
        <v>1</v>
      </c>
      <c r="H2460" s="11">
        <v>200</v>
      </c>
      <c r="I2460" s="12">
        <v>42659</v>
      </c>
      <c r="J2460" s="35">
        <f t="shared" si="86"/>
        <v>0</v>
      </c>
      <c r="K2460" s="36"/>
      <c r="L2460" s="36"/>
      <c r="M2460" s="36"/>
      <c r="N2460" s="36"/>
      <c r="O2460" s="36"/>
      <c r="P2460" s="36"/>
      <c r="Q2460" s="36"/>
      <c r="R2460" s="36"/>
      <c r="S2460" s="36"/>
      <c r="T2460" s="36">
        <v>200</v>
      </c>
      <c r="U2460" s="36"/>
      <c r="V2460" s="36"/>
      <c r="W2460" s="15">
        <f t="shared" si="87"/>
        <v>200</v>
      </c>
      <c r="X2460" s="36"/>
      <c r="Y2460" s="36"/>
      <c r="Z2460" s="36"/>
      <c r="AA2460" s="36"/>
      <c r="AB2460" s="36"/>
      <c r="AC2460" s="36"/>
      <c r="AD2460" s="36"/>
      <c r="AE2460" s="36"/>
      <c r="AF2460" s="36"/>
      <c r="AG2460" s="36"/>
      <c r="AH2460" s="36"/>
      <c r="AI2460" s="36"/>
      <c r="AJ2460" s="15">
        <f t="shared" si="85"/>
        <v>0</v>
      </c>
      <c r="AK2460" s="16"/>
    </row>
    <row r="2461" spans="2:37" x14ac:dyDescent="0.2">
      <c r="B2461" s="7"/>
      <c r="C2461" s="8">
        <v>13044</v>
      </c>
      <c r="D2461" s="9" t="s">
        <v>440</v>
      </c>
      <c r="E2461" s="10" t="s">
        <v>441</v>
      </c>
      <c r="F2461" s="10" t="s">
        <v>442</v>
      </c>
      <c r="G2461" s="8">
        <v>1</v>
      </c>
      <c r="H2461" s="11">
        <v>300</v>
      </c>
      <c r="I2461" s="12">
        <v>42659</v>
      </c>
      <c r="J2461" s="35">
        <f t="shared" si="86"/>
        <v>0</v>
      </c>
      <c r="K2461" s="36"/>
      <c r="L2461" s="36"/>
      <c r="M2461" s="36"/>
      <c r="N2461" s="36"/>
      <c r="O2461" s="36"/>
      <c r="P2461" s="36"/>
      <c r="Q2461" s="36"/>
      <c r="R2461" s="36"/>
      <c r="S2461" s="36">
        <v>300</v>
      </c>
      <c r="T2461" s="36"/>
      <c r="U2461" s="36"/>
      <c r="V2461" s="36"/>
      <c r="W2461" s="15">
        <f t="shared" si="87"/>
        <v>300</v>
      </c>
      <c r="X2461" s="36"/>
      <c r="Y2461" s="36"/>
      <c r="Z2461" s="36"/>
      <c r="AA2461" s="36"/>
      <c r="AB2461" s="36"/>
      <c r="AC2461" s="36"/>
      <c r="AD2461" s="36"/>
      <c r="AE2461" s="36"/>
      <c r="AF2461" s="36"/>
      <c r="AG2461" s="36"/>
      <c r="AH2461" s="36"/>
      <c r="AI2461" s="36"/>
      <c r="AJ2461" s="15">
        <f t="shared" si="85"/>
        <v>0</v>
      </c>
      <c r="AK2461" s="16"/>
    </row>
    <row r="2462" spans="2:37" x14ac:dyDescent="0.2">
      <c r="B2462" s="7"/>
      <c r="C2462" s="8">
        <v>13045</v>
      </c>
      <c r="D2462" s="9" t="s">
        <v>620</v>
      </c>
      <c r="E2462" s="10" t="s">
        <v>621</v>
      </c>
      <c r="F2462" s="10" t="s">
        <v>366</v>
      </c>
      <c r="G2462" s="8">
        <v>1</v>
      </c>
      <c r="H2462" s="11">
        <v>400</v>
      </c>
      <c r="I2462" s="12">
        <v>42659</v>
      </c>
      <c r="J2462" s="35">
        <f t="shared" si="86"/>
        <v>0</v>
      </c>
      <c r="K2462" s="36"/>
      <c r="L2462" s="36"/>
      <c r="M2462" s="36"/>
      <c r="N2462" s="36"/>
      <c r="O2462" s="36"/>
      <c r="P2462" s="36"/>
      <c r="Q2462" s="36"/>
      <c r="R2462" s="36"/>
      <c r="S2462" s="36">
        <v>400</v>
      </c>
      <c r="T2462" s="36"/>
      <c r="U2462" s="36"/>
      <c r="V2462" s="36"/>
      <c r="W2462" s="15">
        <f t="shared" si="87"/>
        <v>400</v>
      </c>
      <c r="X2462" s="36"/>
      <c r="Y2462" s="36"/>
      <c r="Z2462" s="36"/>
      <c r="AA2462" s="36"/>
      <c r="AB2462" s="36"/>
      <c r="AC2462" s="36"/>
      <c r="AD2462" s="36"/>
      <c r="AE2462" s="36"/>
      <c r="AF2462" s="36"/>
      <c r="AG2462" s="36"/>
      <c r="AH2462" s="36"/>
      <c r="AI2462" s="36"/>
      <c r="AJ2462" s="15">
        <f t="shared" si="85"/>
        <v>0</v>
      </c>
      <c r="AK2462" s="16"/>
    </row>
    <row r="2463" spans="2:37" x14ac:dyDescent="0.2">
      <c r="B2463" s="7"/>
      <c r="C2463" s="8">
        <v>13046</v>
      </c>
      <c r="D2463" s="9" t="s">
        <v>1029</v>
      </c>
      <c r="E2463" s="10" t="s">
        <v>1030</v>
      </c>
      <c r="F2463" s="10" t="s">
        <v>1031</v>
      </c>
      <c r="G2463" s="8">
        <v>1</v>
      </c>
      <c r="H2463" s="11">
        <v>400</v>
      </c>
      <c r="I2463" s="12">
        <v>42659</v>
      </c>
      <c r="J2463" s="35">
        <f t="shared" si="86"/>
        <v>0</v>
      </c>
      <c r="K2463" s="36"/>
      <c r="L2463" s="36"/>
      <c r="M2463" s="36"/>
      <c r="N2463" s="36"/>
      <c r="O2463" s="36"/>
      <c r="P2463" s="36"/>
      <c r="Q2463" s="36"/>
      <c r="R2463" s="36"/>
      <c r="S2463" s="36"/>
      <c r="T2463" s="36">
        <v>400</v>
      </c>
      <c r="U2463" s="36"/>
      <c r="V2463" s="36"/>
      <c r="W2463" s="15">
        <f t="shared" si="87"/>
        <v>400</v>
      </c>
      <c r="X2463" s="36"/>
      <c r="Y2463" s="36"/>
      <c r="Z2463" s="36"/>
      <c r="AA2463" s="36"/>
      <c r="AB2463" s="36"/>
      <c r="AC2463" s="36"/>
      <c r="AD2463" s="36"/>
      <c r="AE2463" s="36"/>
      <c r="AF2463" s="36"/>
      <c r="AG2463" s="36"/>
      <c r="AH2463" s="36"/>
      <c r="AI2463" s="36"/>
      <c r="AJ2463" s="15">
        <f t="shared" si="85"/>
        <v>0</v>
      </c>
      <c r="AK2463" s="16"/>
    </row>
    <row r="2464" spans="2:37" x14ac:dyDescent="0.2">
      <c r="B2464" s="7"/>
      <c r="C2464" s="8">
        <v>13047</v>
      </c>
      <c r="D2464" s="9" t="s">
        <v>425</v>
      </c>
      <c r="E2464" s="10" t="s">
        <v>426</v>
      </c>
      <c r="F2464" s="10" t="s">
        <v>427</v>
      </c>
      <c r="G2464" s="8">
        <v>1</v>
      </c>
      <c r="H2464" s="11">
        <v>400</v>
      </c>
      <c r="I2464" s="12">
        <v>42659</v>
      </c>
      <c r="J2464" s="35">
        <f t="shared" si="86"/>
        <v>0</v>
      </c>
      <c r="K2464" s="36"/>
      <c r="L2464" s="36"/>
      <c r="M2464" s="36"/>
      <c r="N2464" s="36"/>
      <c r="O2464" s="36"/>
      <c r="P2464" s="36"/>
      <c r="Q2464" s="36"/>
      <c r="R2464" s="36"/>
      <c r="S2464" s="36"/>
      <c r="T2464" s="36">
        <v>400</v>
      </c>
      <c r="U2464" s="36"/>
      <c r="V2464" s="36"/>
      <c r="W2464" s="15">
        <f t="shared" si="87"/>
        <v>400</v>
      </c>
      <c r="X2464" s="36"/>
      <c r="Y2464" s="36"/>
      <c r="Z2464" s="36"/>
      <c r="AA2464" s="36"/>
      <c r="AB2464" s="36"/>
      <c r="AC2464" s="36"/>
      <c r="AD2464" s="36"/>
      <c r="AE2464" s="36"/>
      <c r="AF2464" s="36"/>
      <c r="AG2464" s="36"/>
      <c r="AH2464" s="36"/>
      <c r="AI2464" s="36"/>
      <c r="AJ2464" s="15">
        <f t="shared" si="85"/>
        <v>0</v>
      </c>
      <c r="AK2464" s="16"/>
    </row>
    <row r="2465" spans="2:37" x14ac:dyDescent="0.2">
      <c r="B2465" s="7"/>
      <c r="C2465" s="8">
        <v>13048</v>
      </c>
      <c r="D2465" s="9" t="s">
        <v>62</v>
      </c>
      <c r="E2465" s="10" t="s">
        <v>63</v>
      </c>
      <c r="F2465" s="10" t="s">
        <v>64</v>
      </c>
      <c r="G2465" s="8">
        <v>1</v>
      </c>
      <c r="H2465" s="11">
        <v>400</v>
      </c>
      <c r="I2465" s="12">
        <v>42659</v>
      </c>
      <c r="J2465" s="35">
        <f t="shared" si="86"/>
        <v>0</v>
      </c>
      <c r="K2465" s="36"/>
      <c r="L2465" s="36"/>
      <c r="M2465" s="36"/>
      <c r="N2465" s="36"/>
      <c r="O2465" s="36"/>
      <c r="P2465" s="36"/>
      <c r="Q2465" s="36"/>
      <c r="R2465" s="36"/>
      <c r="S2465" s="36"/>
      <c r="T2465" s="36"/>
      <c r="U2465" s="36">
        <v>200</v>
      </c>
      <c r="V2465" s="36">
        <v>200</v>
      </c>
      <c r="W2465" s="15">
        <f t="shared" si="87"/>
        <v>400</v>
      </c>
      <c r="X2465" s="36"/>
      <c r="Y2465" s="36"/>
      <c r="Z2465" s="36"/>
      <c r="AA2465" s="36"/>
      <c r="AB2465" s="36"/>
      <c r="AC2465" s="36"/>
      <c r="AD2465" s="36"/>
      <c r="AE2465" s="36"/>
      <c r="AF2465" s="36"/>
      <c r="AG2465" s="36"/>
      <c r="AH2465" s="36"/>
      <c r="AI2465" s="36"/>
      <c r="AJ2465" s="15">
        <f t="shared" si="85"/>
        <v>0</v>
      </c>
      <c r="AK2465" s="16"/>
    </row>
    <row r="2466" spans="2:37" x14ac:dyDescent="0.2">
      <c r="B2466" s="7"/>
      <c r="C2466" s="8">
        <v>13049</v>
      </c>
      <c r="D2466" s="9" t="s">
        <v>864</v>
      </c>
      <c r="E2466" s="10" t="s">
        <v>865</v>
      </c>
      <c r="F2466" s="10" t="s">
        <v>866</v>
      </c>
      <c r="G2466" s="8">
        <v>1</v>
      </c>
      <c r="H2466" s="11">
        <v>300</v>
      </c>
      <c r="I2466" s="12">
        <v>42659</v>
      </c>
      <c r="J2466" s="35">
        <f t="shared" si="86"/>
        <v>0</v>
      </c>
      <c r="K2466" s="36"/>
      <c r="L2466" s="36"/>
      <c r="M2466" s="36"/>
      <c r="N2466" s="36"/>
      <c r="O2466" s="36"/>
      <c r="P2466" s="36"/>
      <c r="Q2466" s="36">
        <v>300</v>
      </c>
      <c r="R2466" s="36"/>
      <c r="S2466" s="36"/>
      <c r="T2466" s="36"/>
      <c r="U2466" s="36"/>
      <c r="V2466" s="36"/>
      <c r="W2466" s="15">
        <f t="shared" si="87"/>
        <v>300</v>
      </c>
      <c r="X2466" s="36"/>
      <c r="Y2466" s="36"/>
      <c r="Z2466" s="36"/>
      <c r="AA2466" s="36"/>
      <c r="AB2466" s="36"/>
      <c r="AC2466" s="36"/>
      <c r="AD2466" s="36"/>
      <c r="AE2466" s="36"/>
      <c r="AF2466" s="36"/>
      <c r="AG2466" s="36"/>
      <c r="AH2466" s="36"/>
      <c r="AI2466" s="36"/>
      <c r="AJ2466" s="15">
        <f t="shared" si="85"/>
        <v>0</v>
      </c>
      <c r="AK2466" s="16"/>
    </row>
    <row r="2467" spans="2:37" x14ac:dyDescent="0.2">
      <c r="B2467" s="7"/>
      <c r="C2467" s="8">
        <v>13050</v>
      </c>
      <c r="D2467" s="9" t="s">
        <v>467</v>
      </c>
      <c r="E2467" s="10" t="s">
        <v>468</v>
      </c>
      <c r="F2467" s="10" t="s">
        <v>469</v>
      </c>
      <c r="G2467" s="8">
        <v>1</v>
      </c>
      <c r="H2467" s="11">
        <v>1200</v>
      </c>
      <c r="I2467" s="12">
        <v>42659</v>
      </c>
      <c r="J2467" s="35">
        <f t="shared" si="86"/>
        <v>0</v>
      </c>
      <c r="K2467" s="36"/>
      <c r="L2467" s="36"/>
      <c r="M2467" s="36"/>
      <c r="N2467" s="36"/>
      <c r="O2467" s="36"/>
      <c r="P2467" s="36"/>
      <c r="Q2467" s="36"/>
      <c r="R2467" s="36"/>
      <c r="S2467" s="36"/>
      <c r="T2467" s="36">
        <v>400</v>
      </c>
      <c r="U2467" s="36">
        <v>400</v>
      </c>
      <c r="V2467" s="36">
        <v>400</v>
      </c>
      <c r="W2467" s="15">
        <f t="shared" si="87"/>
        <v>1200</v>
      </c>
      <c r="X2467" s="36"/>
      <c r="Y2467" s="36"/>
      <c r="Z2467" s="36"/>
      <c r="AA2467" s="36"/>
      <c r="AB2467" s="36"/>
      <c r="AC2467" s="36"/>
      <c r="AD2467" s="36"/>
      <c r="AE2467" s="36"/>
      <c r="AF2467" s="36"/>
      <c r="AG2467" s="36"/>
      <c r="AH2467" s="36"/>
      <c r="AI2467" s="36"/>
      <c r="AJ2467" s="15">
        <f t="shared" si="85"/>
        <v>0</v>
      </c>
      <c r="AK2467" s="16"/>
    </row>
    <row r="2468" spans="2:37" x14ac:dyDescent="0.2">
      <c r="B2468" s="7"/>
      <c r="C2468" s="8">
        <v>13051</v>
      </c>
      <c r="D2468" s="9" t="s">
        <v>696</v>
      </c>
      <c r="E2468" s="10" t="s">
        <v>697</v>
      </c>
      <c r="F2468" s="10" t="s">
        <v>698</v>
      </c>
      <c r="G2468" s="8">
        <v>1</v>
      </c>
      <c r="H2468" s="11">
        <v>300</v>
      </c>
      <c r="I2468" s="12">
        <v>42659</v>
      </c>
      <c r="J2468" s="35">
        <f t="shared" si="86"/>
        <v>0</v>
      </c>
      <c r="K2468" s="36"/>
      <c r="L2468" s="36"/>
      <c r="M2468" s="36"/>
      <c r="N2468" s="36"/>
      <c r="O2468" s="36"/>
      <c r="P2468" s="36"/>
      <c r="Q2468" s="36"/>
      <c r="R2468" s="36"/>
      <c r="S2468" s="36"/>
      <c r="T2468" s="36">
        <v>300</v>
      </c>
      <c r="U2468" s="36"/>
      <c r="V2468" s="36"/>
      <c r="W2468" s="15">
        <f t="shared" si="87"/>
        <v>300</v>
      </c>
      <c r="X2468" s="36"/>
      <c r="Y2468" s="36"/>
      <c r="Z2468" s="36"/>
      <c r="AA2468" s="36"/>
      <c r="AB2468" s="36"/>
      <c r="AC2468" s="36"/>
      <c r="AD2468" s="36"/>
      <c r="AE2468" s="36"/>
      <c r="AF2468" s="36"/>
      <c r="AG2468" s="36"/>
      <c r="AH2468" s="36"/>
      <c r="AI2468" s="36"/>
      <c r="AJ2468" s="15">
        <f t="shared" si="85"/>
        <v>0</v>
      </c>
      <c r="AK2468" s="16"/>
    </row>
    <row r="2469" spans="2:37" x14ac:dyDescent="0.2">
      <c r="B2469" s="7"/>
      <c r="C2469" s="8">
        <v>13052</v>
      </c>
      <c r="D2469" s="9" t="s">
        <v>628</v>
      </c>
      <c r="E2469" s="10" t="s">
        <v>629</v>
      </c>
      <c r="F2469" s="10" t="s">
        <v>630</v>
      </c>
      <c r="G2469" s="8">
        <v>1</v>
      </c>
      <c r="H2469" s="11">
        <v>800</v>
      </c>
      <c r="I2469" s="12">
        <v>42659</v>
      </c>
      <c r="J2469" s="35">
        <f t="shared" si="86"/>
        <v>0</v>
      </c>
      <c r="K2469" s="36"/>
      <c r="L2469" s="36"/>
      <c r="M2469" s="36"/>
      <c r="N2469" s="36"/>
      <c r="O2469" s="36"/>
      <c r="P2469" s="36"/>
      <c r="Q2469" s="36"/>
      <c r="R2469" s="36"/>
      <c r="S2469" s="36">
        <v>400</v>
      </c>
      <c r="T2469" s="36">
        <v>400</v>
      </c>
      <c r="U2469" s="36"/>
      <c r="V2469" s="36"/>
      <c r="W2469" s="15">
        <f t="shared" si="87"/>
        <v>800</v>
      </c>
      <c r="X2469" s="36"/>
      <c r="Y2469" s="36"/>
      <c r="Z2469" s="36"/>
      <c r="AA2469" s="36"/>
      <c r="AB2469" s="36"/>
      <c r="AC2469" s="36"/>
      <c r="AD2469" s="36"/>
      <c r="AE2469" s="36"/>
      <c r="AF2469" s="36"/>
      <c r="AG2469" s="36"/>
      <c r="AH2469" s="36"/>
      <c r="AI2469" s="36"/>
      <c r="AJ2469" s="15">
        <f t="shared" si="85"/>
        <v>0</v>
      </c>
      <c r="AK2469" s="16"/>
    </row>
    <row r="2470" spans="2:37" x14ac:dyDescent="0.2">
      <c r="B2470" s="7"/>
      <c r="C2470" s="8">
        <v>13053</v>
      </c>
      <c r="D2470" s="9" t="s">
        <v>634</v>
      </c>
      <c r="E2470" s="10" t="s">
        <v>635</v>
      </c>
      <c r="F2470" s="10" t="s">
        <v>636</v>
      </c>
      <c r="G2470" s="8">
        <v>1</v>
      </c>
      <c r="H2470" s="11">
        <v>300</v>
      </c>
      <c r="I2470" s="12">
        <v>42659</v>
      </c>
      <c r="J2470" s="35">
        <f t="shared" si="86"/>
        <v>0</v>
      </c>
      <c r="K2470" s="36"/>
      <c r="L2470" s="36"/>
      <c r="M2470" s="36"/>
      <c r="N2470" s="36"/>
      <c r="O2470" s="36"/>
      <c r="P2470" s="36"/>
      <c r="Q2470" s="36"/>
      <c r="R2470" s="36"/>
      <c r="S2470" s="36"/>
      <c r="T2470" s="36">
        <v>300</v>
      </c>
      <c r="U2470" s="36"/>
      <c r="V2470" s="36"/>
      <c r="W2470" s="15">
        <f t="shared" si="87"/>
        <v>300</v>
      </c>
      <c r="X2470" s="36"/>
      <c r="Y2470" s="36"/>
      <c r="Z2470" s="36"/>
      <c r="AA2470" s="36"/>
      <c r="AB2470" s="36"/>
      <c r="AC2470" s="36"/>
      <c r="AD2470" s="36"/>
      <c r="AE2470" s="36"/>
      <c r="AF2470" s="36"/>
      <c r="AG2470" s="36"/>
      <c r="AH2470" s="36"/>
      <c r="AI2470" s="36"/>
      <c r="AJ2470" s="15">
        <f t="shared" si="85"/>
        <v>0</v>
      </c>
      <c r="AK2470" s="16"/>
    </row>
    <row r="2471" spans="2:37" x14ac:dyDescent="0.2">
      <c r="B2471" s="7"/>
      <c r="C2471" s="8">
        <v>13054</v>
      </c>
      <c r="D2471" s="9" t="s">
        <v>51</v>
      </c>
      <c r="E2471" s="10" t="s">
        <v>52</v>
      </c>
      <c r="F2471" s="10" t="s">
        <v>53</v>
      </c>
      <c r="G2471" s="8">
        <v>1</v>
      </c>
      <c r="H2471" s="11">
        <v>500</v>
      </c>
      <c r="I2471" s="12">
        <v>42659</v>
      </c>
      <c r="J2471" s="35">
        <f t="shared" si="86"/>
        <v>0</v>
      </c>
      <c r="K2471" s="36"/>
      <c r="L2471" s="36"/>
      <c r="M2471" s="36"/>
      <c r="N2471" s="36"/>
      <c r="O2471" s="36"/>
      <c r="P2471" s="36"/>
      <c r="Q2471" s="36"/>
      <c r="R2471" s="36"/>
      <c r="S2471" s="36"/>
      <c r="T2471" s="36">
        <v>250</v>
      </c>
      <c r="U2471" s="36">
        <v>250</v>
      </c>
      <c r="V2471" s="36"/>
      <c r="W2471" s="15">
        <f t="shared" si="87"/>
        <v>500</v>
      </c>
      <c r="X2471" s="36"/>
      <c r="Y2471" s="36"/>
      <c r="Z2471" s="36"/>
      <c r="AA2471" s="36"/>
      <c r="AB2471" s="36"/>
      <c r="AC2471" s="36"/>
      <c r="AD2471" s="36"/>
      <c r="AE2471" s="36"/>
      <c r="AF2471" s="36"/>
      <c r="AG2471" s="36"/>
      <c r="AH2471" s="36"/>
      <c r="AI2471" s="36"/>
      <c r="AJ2471" s="15">
        <f t="shared" si="85"/>
        <v>0</v>
      </c>
      <c r="AK2471" s="16"/>
    </row>
    <row r="2472" spans="2:37" x14ac:dyDescent="0.2">
      <c r="B2472" s="7"/>
      <c r="C2472" s="8">
        <v>13055</v>
      </c>
      <c r="D2472" s="9" t="s">
        <v>1142</v>
      </c>
      <c r="E2472" s="10" t="s">
        <v>1143</v>
      </c>
      <c r="F2472" s="10" t="s">
        <v>1144</v>
      </c>
      <c r="G2472" s="8">
        <v>1</v>
      </c>
      <c r="H2472" s="11">
        <v>800</v>
      </c>
      <c r="I2472" s="12">
        <v>42659</v>
      </c>
      <c r="J2472" s="35">
        <f t="shared" si="86"/>
        <v>0</v>
      </c>
      <c r="K2472" s="36"/>
      <c r="L2472" s="36"/>
      <c r="M2472" s="36"/>
      <c r="N2472" s="36"/>
      <c r="O2472" s="36"/>
      <c r="P2472" s="36"/>
      <c r="Q2472" s="36"/>
      <c r="R2472" s="36"/>
      <c r="S2472" s="36">
        <v>400</v>
      </c>
      <c r="T2472" s="36">
        <v>400</v>
      </c>
      <c r="U2472" s="36"/>
      <c r="V2472" s="36"/>
      <c r="W2472" s="15">
        <f t="shared" si="87"/>
        <v>800</v>
      </c>
      <c r="X2472" s="36"/>
      <c r="Y2472" s="36"/>
      <c r="Z2472" s="36"/>
      <c r="AA2472" s="36"/>
      <c r="AB2472" s="36"/>
      <c r="AC2472" s="36"/>
      <c r="AD2472" s="36"/>
      <c r="AE2472" s="36"/>
      <c r="AF2472" s="36"/>
      <c r="AG2472" s="36"/>
      <c r="AH2472" s="36"/>
      <c r="AI2472" s="36"/>
      <c r="AJ2472" s="15">
        <f t="shared" ref="AJ2472:AJ2560" si="88">SUM(X2472:AI2472)</f>
        <v>0</v>
      </c>
      <c r="AK2472" s="16"/>
    </row>
    <row r="2473" spans="2:37" x14ac:dyDescent="0.2">
      <c r="B2473" s="7"/>
      <c r="C2473" s="8">
        <v>13056</v>
      </c>
      <c r="D2473" s="9" t="s">
        <v>517</v>
      </c>
      <c r="E2473" s="10" t="s">
        <v>518</v>
      </c>
      <c r="F2473" s="10" t="s">
        <v>519</v>
      </c>
      <c r="G2473" s="8">
        <v>3</v>
      </c>
      <c r="H2473" s="11">
        <v>200</v>
      </c>
      <c r="I2473" s="12">
        <v>42659</v>
      </c>
      <c r="J2473" s="35">
        <f>IF(G2473=1,SUM(W2473,AJ2473,-H2473),0)</f>
        <v>0</v>
      </c>
      <c r="K2473" s="36"/>
      <c r="L2473" s="36"/>
      <c r="M2473" s="36"/>
      <c r="N2473" s="36"/>
      <c r="O2473" s="36"/>
      <c r="P2473" s="36"/>
      <c r="Q2473" s="36"/>
      <c r="R2473" s="36"/>
      <c r="S2473" s="36"/>
      <c r="T2473" s="36"/>
      <c r="U2473" s="36"/>
      <c r="V2473" s="36"/>
      <c r="W2473" s="15">
        <f t="shared" si="87"/>
        <v>0</v>
      </c>
      <c r="X2473" s="36"/>
      <c r="Y2473" s="36"/>
      <c r="Z2473" s="36"/>
      <c r="AA2473" s="36"/>
      <c r="AB2473" s="36"/>
      <c r="AC2473" s="36"/>
      <c r="AD2473" s="36"/>
      <c r="AE2473" s="36"/>
      <c r="AF2473" s="36"/>
      <c r="AG2473" s="36"/>
      <c r="AH2473" s="36"/>
      <c r="AI2473" s="36"/>
      <c r="AJ2473" s="15">
        <f t="shared" si="88"/>
        <v>0</v>
      </c>
      <c r="AK2473" s="16"/>
    </row>
    <row r="2474" spans="2:37" x14ac:dyDescent="0.2">
      <c r="B2474" s="7"/>
      <c r="C2474" s="8">
        <v>13057</v>
      </c>
      <c r="D2474" s="9" t="s">
        <v>574</v>
      </c>
      <c r="E2474" s="10" t="s">
        <v>575</v>
      </c>
      <c r="F2474" s="10" t="s">
        <v>576</v>
      </c>
      <c r="G2474" s="8">
        <v>1</v>
      </c>
      <c r="H2474" s="11">
        <v>400</v>
      </c>
      <c r="I2474" s="12">
        <v>42659</v>
      </c>
      <c r="J2474" s="35">
        <f>IF(G2474=1,SUM(W2474,AJ2474,-H2474),0)</f>
        <v>0</v>
      </c>
      <c r="K2474" s="36"/>
      <c r="L2474" s="36"/>
      <c r="M2474" s="36"/>
      <c r="N2474" s="36"/>
      <c r="O2474" s="36"/>
      <c r="P2474" s="36"/>
      <c r="Q2474" s="36"/>
      <c r="R2474" s="36"/>
      <c r="S2474" s="36">
        <v>400</v>
      </c>
      <c r="T2474" s="36"/>
      <c r="U2474" s="36"/>
      <c r="V2474" s="36"/>
      <c r="W2474" s="15">
        <f t="shared" si="87"/>
        <v>400</v>
      </c>
      <c r="X2474" s="36"/>
      <c r="Y2474" s="36"/>
      <c r="Z2474" s="36"/>
      <c r="AA2474" s="36"/>
      <c r="AB2474" s="36"/>
      <c r="AC2474" s="36"/>
      <c r="AD2474" s="36"/>
      <c r="AE2474" s="36"/>
      <c r="AF2474" s="36"/>
      <c r="AG2474" s="36"/>
      <c r="AH2474" s="36"/>
      <c r="AI2474" s="36"/>
      <c r="AJ2474" s="15">
        <f t="shared" si="88"/>
        <v>0</v>
      </c>
      <c r="AK2474" s="16"/>
    </row>
    <row r="2475" spans="2:37" x14ac:dyDescent="0.2">
      <c r="B2475" s="7"/>
      <c r="C2475" s="8">
        <v>13058</v>
      </c>
      <c r="D2475" s="9" t="s">
        <v>672</v>
      </c>
      <c r="E2475" s="10" t="s">
        <v>673</v>
      </c>
      <c r="F2475" s="10" t="s">
        <v>674</v>
      </c>
      <c r="G2475" s="8">
        <v>1</v>
      </c>
      <c r="H2475" s="11">
        <v>200</v>
      </c>
      <c r="I2475" s="12">
        <v>42659</v>
      </c>
      <c r="J2475" s="35">
        <f>IF(G2475=1,SUM(W2475,AJ2475,-H2475),0)</f>
        <v>0</v>
      </c>
      <c r="K2475" s="36"/>
      <c r="L2475" s="36"/>
      <c r="M2475" s="36"/>
      <c r="N2475" s="36"/>
      <c r="O2475" s="36"/>
      <c r="P2475" s="36"/>
      <c r="Q2475" s="36"/>
      <c r="R2475" s="36"/>
      <c r="S2475" s="36"/>
      <c r="T2475" s="36">
        <v>200</v>
      </c>
      <c r="U2475" s="36"/>
      <c r="V2475" s="36"/>
      <c r="W2475" s="15">
        <f t="shared" si="87"/>
        <v>200</v>
      </c>
      <c r="X2475" s="36"/>
      <c r="Y2475" s="36"/>
      <c r="Z2475" s="36"/>
      <c r="AA2475" s="36"/>
      <c r="AB2475" s="36"/>
      <c r="AC2475" s="36"/>
      <c r="AD2475" s="36"/>
      <c r="AE2475" s="36"/>
      <c r="AF2475" s="36"/>
      <c r="AG2475" s="36"/>
      <c r="AH2475" s="36"/>
      <c r="AI2475" s="36"/>
      <c r="AJ2475" s="15">
        <f t="shared" si="88"/>
        <v>0</v>
      </c>
      <c r="AK2475" s="16"/>
    </row>
    <row r="2476" spans="2:37" x14ac:dyDescent="0.2">
      <c r="B2476" s="7"/>
      <c r="C2476" s="8">
        <v>13059</v>
      </c>
      <c r="D2476" s="9" t="s">
        <v>226</v>
      </c>
      <c r="E2476" s="10" t="s">
        <v>227</v>
      </c>
      <c r="F2476" s="10" t="s">
        <v>228</v>
      </c>
      <c r="G2476" s="8">
        <v>1</v>
      </c>
      <c r="H2476" s="321">
        <v>200</v>
      </c>
      <c r="I2476" s="12">
        <v>42662</v>
      </c>
      <c r="J2476" s="35">
        <f t="shared" ref="J2476:J2560" si="89">IF(G2476=1,SUM(W2476,AJ2476,-H2476),0)</f>
        <v>0</v>
      </c>
      <c r="K2476" s="36"/>
      <c r="L2476" s="36"/>
      <c r="M2476" s="36"/>
      <c r="N2476" s="36"/>
      <c r="O2476" s="36"/>
      <c r="P2476" s="36"/>
      <c r="Q2476" s="36"/>
      <c r="R2476" s="36"/>
      <c r="S2476" s="36"/>
      <c r="T2476" s="36">
        <v>200</v>
      </c>
      <c r="U2476" s="36"/>
      <c r="V2476" s="36"/>
      <c r="W2476" s="15">
        <f t="shared" si="87"/>
        <v>200</v>
      </c>
      <c r="X2476" s="36"/>
      <c r="Y2476" s="36"/>
      <c r="Z2476" s="36"/>
      <c r="AA2476" s="36"/>
      <c r="AB2476" s="36"/>
      <c r="AC2476" s="36"/>
      <c r="AD2476" s="36"/>
      <c r="AE2476" s="36"/>
      <c r="AF2476" s="36"/>
      <c r="AG2476" s="36"/>
      <c r="AH2476" s="36"/>
      <c r="AI2476" s="36"/>
      <c r="AJ2476" s="15">
        <f t="shared" si="88"/>
        <v>0</v>
      </c>
      <c r="AK2476" s="16"/>
    </row>
    <row r="2477" spans="2:37" x14ac:dyDescent="0.2">
      <c r="B2477" s="7"/>
      <c r="C2477" s="8">
        <v>13060</v>
      </c>
      <c r="D2477" s="9" t="s">
        <v>485</v>
      </c>
      <c r="E2477" s="10" t="s">
        <v>486</v>
      </c>
      <c r="F2477" s="10" t="s">
        <v>487</v>
      </c>
      <c r="G2477" s="8">
        <v>1</v>
      </c>
      <c r="H2477" s="11">
        <v>400</v>
      </c>
      <c r="I2477" s="12">
        <v>42661</v>
      </c>
      <c r="J2477" s="35">
        <f t="shared" si="89"/>
        <v>0</v>
      </c>
      <c r="K2477" s="36"/>
      <c r="L2477" s="36"/>
      <c r="M2477" s="36"/>
      <c r="N2477" s="36"/>
      <c r="O2477" s="36"/>
      <c r="P2477" s="36"/>
      <c r="Q2477" s="36"/>
      <c r="R2477" s="36"/>
      <c r="S2477" s="36">
        <v>400</v>
      </c>
      <c r="T2477" s="36"/>
      <c r="U2477" s="36"/>
      <c r="V2477" s="36"/>
      <c r="W2477" s="15">
        <f t="shared" si="87"/>
        <v>400</v>
      </c>
      <c r="X2477" s="36"/>
      <c r="Y2477" s="36"/>
      <c r="Z2477" s="36"/>
      <c r="AA2477" s="36"/>
      <c r="AB2477" s="36"/>
      <c r="AC2477" s="36"/>
      <c r="AD2477" s="36"/>
      <c r="AE2477" s="36"/>
      <c r="AF2477" s="36"/>
      <c r="AG2477" s="36"/>
      <c r="AH2477" s="36"/>
      <c r="AI2477" s="36"/>
      <c r="AJ2477" s="15">
        <f t="shared" si="88"/>
        <v>0</v>
      </c>
      <c r="AK2477" s="16"/>
    </row>
    <row r="2478" spans="2:37" x14ac:dyDescent="0.2">
      <c r="B2478" s="7"/>
      <c r="C2478" s="8">
        <v>13061</v>
      </c>
      <c r="D2478" s="9" t="s">
        <v>373</v>
      </c>
      <c r="E2478" s="10" t="s">
        <v>374</v>
      </c>
      <c r="F2478" s="10" t="s">
        <v>375</v>
      </c>
      <c r="G2478" s="8">
        <v>1</v>
      </c>
      <c r="H2478" s="11">
        <v>400</v>
      </c>
      <c r="I2478" s="12">
        <v>42663</v>
      </c>
      <c r="J2478" s="35">
        <f t="shared" si="89"/>
        <v>0</v>
      </c>
      <c r="K2478" s="36"/>
      <c r="L2478" s="36"/>
      <c r="M2478" s="36"/>
      <c r="N2478" s="36"/>
      <c r="O2478" s="36"/>
      <c r="P2478" s="36"/>
      <c r="Q2478" s="36"/>
      <c r="R2478" s="36"/>
      <c r="S2478" s="36"/>
      <c r="T2478" s="36">
        <v>400</v>
      </c>
      <c r="U2478" s="36"/>
      <c r="V2478" s="36"/>
      <c r="W2478" s="15">
        <f t="shared" si="87"/>
        <v>400</v>
      </c>
      <c r="X2478" s="36"/>
      <c r="Y2478" s="36"/>
      <c r="Z2478" s="36"/>
      <c r="AA2478" s="36"/>
      <c r="AB2478" s="36"/>
      <c r="AC2478" s="36"/>
      <c r="AD2478" s="36"/>
      <c r="AE2478" s="36"/>
      <c r="AF2478" s="36"/>
      <c r="AG2478" s="36"/>
      <c r="AH2478" s="36"/>
      <c r="AI2478" s="36"/>
      <c r="AJ2478" s="15">
        <f t="shared" si="88"/>
        <v>0</v>
      </c>
      <c r="AK2478" s="16"/>
    </row>
    <row r="2479" spans="2:37" x14ac:dyDescent="0.2">
      <c r="B2479" s="7"/>
      <c r="C2479" s="8">
        <v>13062</v>
      </c>
      <c r="D2479" s="9" t="s">
        <v>223</v>
      </c>
      <c r="E2479" s="10" t="s">
        <v>224</v>
      </c>
      <c r="F2479" s="10" t="s">
        <v>225</v>
      </c>
      <c r="G2479" s="8">
        <v>5</v>
      </c>
      <c r="H2479" s="11">
        <v>100</v>
      </c>
      <c r="I2479" s="12">
        <v>42663</v>
      </c>
      <c r="J2479" s="35">
        <f t="shared" si="89"/>
        <v>0</v>
      </c>
      <c r="K2479" s="36"/>
      <c r="L2479" s="36"/>
      <c r="M2479" s="36"/>
      <c r="N2479" s="36"/>
      <c r="O2479" s="36"/>
      <c r="P2479" s="36"/>
      <c r="Q2479" s="36"/>
      <c r="R2479" s="36"/>
      <c r="S2479" s="36"/>
      <c r="T2479" s="36"/>
      <c r="U2479" s="36"/>
      <c r="V2479" s="36"/>
      <c r="W2479" s="15">
        <f t="shared" si="87"/>
        <v>0</v>
      </c>
      <c r="X2479" s="36"/>
      <c r="Y2479" s="36"/>
      <c r="Z2479" s="36"/>
      <c r="AA2479" s="36"/>
      <c r="AB2479" s="36"/>
      <c r="AC2479" s="36"/>
      <c r="AD2479" s="36"/>
      <c r="AE2479" s="36"/>
      <c r="AF2479" s="36"/>
      <c r="AG2479" s="36"/>
      <c r="AH2479" s="36"/>
      <c r="AI2479" s="36"/>
      <c r="AJ2479" s="15">
        <f t="shared" si="88"/>
        <v>0</v>
      </c>
      <c r="AK2479" s="16"/>
    </row>
    <row r="2480" spans="2:37" x14ac:dyDescent="0.2">
      <c r="B2480" s="7"/>
      <c r="C2480" s="8">
        <v>13063</v>
      </c>
      <c r="D2480" s="9" t="s">
        <v>488</v>
      </c>
      <c r="E2480" s="10" t="s">
        <v>489</v>
      </c>
      <c r="F2480" s="10" t="s">
        <v>490</v>
      </c>
      <c r="G2480" s="8">
        <v>1</v>
      </c>
      <c r="H2480" s="11">
        <v>400</v>
      </c>
      <c r="I2480" s="12">
        <v>42663</v>
      </c>
      <c r="J2480" s="35">
        <f t="shared" si="89"/>
        <v>0</v>
      </c>
      <c r="K2480" s="36"/>
      <c r="L2480" s="36"/>
      <c r="M2480" s="36"/>
      <c r="N2480" s="36"/>
      <c r="O2480" s="36"/>
      <c r="P2480" s="36"/>
      <c r="Q2480" s="36"/>
      <c r="R2480" s="36"/>
      <c r="S2480" s="36"/>
      <c r="T2480" s="36">
        <v>400</v>
      </c>
      <c r="U2480" s="36"/>
      <c r="V2480" s="36"/>
      <c r="W2480" s="15">
        <f t="shared" si="87"/>
        <v>400</v>
      </c>
      <c r="X2480" s="36"/>
      <c r="Y2480" s="36"/>
      <c r="Z2480" s="36"/>
      <c r="AA2480" s="36"/>
      <c r="AB2480" s="36"/>
      <c r="AC2480" s="36"/>
      <c r="AD2480" s="36"/>
      <c r="AE2480" s="36"/>
      <c r="AF2480" s="36"/>
      <c r="AG2480" s="36"/>
      <c r="AH2480" s="36"/>
      <c r="AI2480" s="36"/>
      <c r="AJ2480" s="15">
        <f t="shared" si="88"/>
        <v>0</v>
      </c>
      <c r="AK2480" s="16"/>
    </row>
    <row r="2481" spans="2:37" x14ac:dyDescent="0.2">
      <c r="B2481" s="7"/>
      <c r="C2481" s="8">
        <v>13064</v>
      </c>
      <c r="D2481" s="9" t="s">
        <v>115</v>
      </c>
      <c r="E2481" s="10" t="s">
        <v>116</v>
      </c>
      <c r="F2481" s="10" t="s">
        <v>117</v>
      </c>
      <c r="G2481" s="8">
        <v>1</v>
      </c>
      <c r="H2481" s="11">
        <v>150</v>
      </c>
      <c r="I2481" s="12">
        <v>42666</v>
      </c>
      <c r="J2481" s="35">
        <f t="shared" si="89"/>
        <v>0</v>
      </c>
      <c r="K2481" s="36"/>
      <c r="L2481" s="36"/>
      <c r="M2481" s="36"/>
      <c r="N2481" s="36"/>
      <c r="O2481" s="36"/>
      <c r="P2481" s="36"/>
      <c r="Q2481" s="36"/>
      <c r="R2481" s="36"/>
      <c r="S2481" s="36"/>
      <c r="T2481" s="36">
        <v>150</v>
      </c>
      <c r="U2481" s="36"/>
      <c r="V2481" s="36"/>
      <c r="W2481" s="15">
        <f t="shared" si="87"/>
        <v>150</v>
      </c>
      <c r="X2481" s="36"/>
      <c r="Y2481" s="36"/>
      <c r="Z2481" s="36"/>
      <c r="AA2481" s="36"/>
      <c r="AB2481" s="36"/>
      <c r="AC2481" s="36"/>
      <c r="AD2481" s="36"/>
      <c r="AE2481" s="36"/>
      <c r="AF2481" s="36"/>
      <c r="AG2481" s="36"/>
      <c r="AH2481" s="36"/>
      <c r="AI2481" s="36"/>
      <c r="AJ2481" s="15">
        <f t="shared" si="88"/>
        <v>0</v>
      </c>
      <c r="AK2481" s="16"/>
    </row>
    <row r="2482" spans="2:37" x14ac:dyDescent="0.2">
      <c r="B2482" s="7"/>
      <c r="C2482" s="8">
        <v>13065</v>
      </c>
      <c r="D2482" s="9" t="s">
        <v>858</v>
      </c>
      <c r="E2482" s="10" t="s">
        <v>859</v>
      </c>
      <c r="F2482" s="10" t="s">
        <v>860</v>
      </c>
      <c r="G2482" s="8">
        <v>4</v>
      </c>
      <c r="H2482" s="11">
        <v>200</v>
      </c>
      <c r="I2482" s="12">
        <v>42666</v>
      </c>
      <c r="J2482" s="35">
        <f t="shared" si="89"/>
        <v>0</v>
      </c>
      <c r="K2482" s="36"/>
      <c r="L2482" s="36"/>
      <c r="M2482" s="36"/>
      <c r="N2482" s="36"/>
      <c r="O2482" s="36"/>
      <c r="P2482" s="36"/>
      <c r="Q2482" s="36"/>
      <c r="R2482" s="36"/>
      <c r="S2482" s="36"/>
      <c r="T2482" s="36"/>
      <c r="U2482" s="36"/>
      <c r="V2482" s="36"/>
      <c r="W2482" s="15">
        <f t="shared" si="87"/>
        <v>0</v>
      </c>
      <c r="X2482" s="36"/>
      <c r="Y2482" s="36"/>
      <c r="Z2482" s="36"/>
      <c r="AA2482" s="36"/>
      <c r="AB2482" s="36"/>
      <c r="AC2482" s="36"/>
      <c r="AD2482" s="36"/>
      <c r="AE2482" s="36"/>
      <c r="AF2482" s="36"/>
      <c r="AG2482" s="36"/>
      <c r="AH2482" s="36"/>
      <c r="AI2482" s="36"/>
      <c r="AJ2482" s="15">
        <f t="shared" si="88"/>
        <v>0</v>
      </c>
      <c r="AK2482" s="16" t="s">
        <v>2962</v>
      </c>
    </row>
    <row r="2483" spans="2:37" x14ac:dyDescent="0.2">
      <c r="B2483" s="7"/>
      <c r="C2483" s="8">
        <v>13065</v>
      </c>
      <c r="D2483" s="9" t="s">
        <v>858</v>
      </c>
      <c r="E2483" s="10" t="s">
        <v>859</v>
      </c>
      <c r="F2483" s="10" t="s">
        <v>860</v>
      </c>
      <c r="G2483" s="8">
        <v>5</v>
      </c>
      <c r="H2483" s="11">
        <v>50</v>
      </c>
      <c r="I2483" s="12">
        <v>42666</v>
      </c>
      <c r="J2483" s="35">
        <f t="shared" si="89"/>
        <v>0</v>
      </c>
      <c r="K2483" s="36"/>
      <c r="L2483" s="36"/>
      <c r="M2483" s="36"/>
      <c r="N2483" s="36"/>
      <c r="O2483" s="36"/>
      <c r="P2483" s="36"/>
      <c r="Q2483" s="36"/>
      <c r="R2483" s="36"/>
      <c r="S2483" s="36"/>
      <c r="T2483" s="36"/>
      <c r="U2483" s="36"/>
      <c r="V2483" s="36"/>
      <c r="W2483" s="15">
        <f t="shared" si="87"/>
        <v>0</v>
      </c>
      <c r="X2483" s="36"/>
      <c r="Y2483" s="36"/>
      <c r="Z2483" s="36"/>
      <c r="AA2483" s="36"/>
      <c r="AB2483" s="36"/>
      <c r="AC2483" s="36"/>
      <c r="AD2483" s="36"/>
      <c r="AE2483" s="36"/>
      <c r="AF2483" s="36"/>
      <c r="AG2483" s="36"/>
      <c r="AH2483" s="36"/>
      <c r="AI2483" s="36"/>
      <c r="AJ2483" s="15">
        <f t="shared" si="88"/>
        <v>0</v>
      </c>
      <c r="AK2483" s="16"/>
    </row>
    <row r="2484" spans="2:37" x14ac:dyDescent="0.2">
      <c r="B2484" s="7"/>
      <c r="C2484" s="8">
        <v>13066</v>
      </c>
      <c r="D2484" s="9" t="s">
        <v>271</v>
      </c>
      <c r="E2484" s="10" t="s">
        <v>272</v>
      </c>
      <c r="F2484" s="10" t="s">
        <v>273</v>
      </c>
      <c r="G2484" s="8">
        <v>1</v>
      </c>
      <c r="H2484" s="11">
        <v>800</v>
      </c>
      <c r="I2484" s="12">
        <v>42666</v>
      </c>
      <c r="J2484" s="35">
        <f t="shared" ref="J2484:J2556" si="90">IF(G2484=1,SUM(W2484,AJ2484,-H2484),0)</f>
        <v>0</v>
      </c>
      <c r="K2484" s="36"/>
      <c r="L2484" s="36"/>
      <c r="M2484" s="36"/>
      <c r="N2484" s="36"/>
      <c r="O2484" s="36"/>
      <c r="P2484" s="36"/>
      <c r="Q2484" s="36"/>
      <c r="R2484" s="36"/>
      <c r="S2484" s="36"/>
      <c r="T2484" s="36">
        <v>400</v>
      </c>
      <c r="U2484" s="36">
        <v>400</v>
      </c>
      <c r="V2484" s="36"/>
      <c r="W2484" s="15">
        <f t="shared" ref="W2484:W2555" si="91">SUM(K2484:V2484)</f>
        <v>800</v>
      </c>
      <c r="X2484" s="36"/>
      <c r="Y2484" s="36"/>
      <c r="Z2484" s="36"/>
      <c r="AA2484" s="36"/>
      <c r="AB2484" s="36"/>
      <c r="AC2484" s="36"/>
      <c r="AD2484" s="36"/>
      <c r="AE2484" s="36"/>
      <c r="AF2484" s="36"/>
      <c r="AG2484" s="36"/>
      <c r="AH2484" s="36"/>
      <c r="AI2484" s="36"/>
      <c r="AJ2484" s="15">
        <f t="shared" ref="AJ2484:AJ2556" si="92">SUM(X2484:AI2484)</f>
        <v>0</v>
      </c>
      <c r="AK2484" s="16"/>
    </row>
    <row r="2485" spans="2:37" x14ac:dyDescent="0.2">
      <c r="B2485" s="7"/>
      <c r="C2485" s="8">
        <v>13067</v>
      </c>
      <c r="D2485" s="9" t="s">
        <v>455</v>
      </c>
      <c r="E2485" s="10" t="s">
        <v>456</v>
      </c>
      <c r="F2485" s="10" t="s">
        <v>457</v>
      </c>
      <c r="G2485" s="8">
        <v>1</v>
      </c>
      <c r="H2485" s="11">
        <v>400</v>
      </c>
      <c r="I2485" s="12">
        <v>42666</v>
      </c>
      <c r="J2485" s="35">
        <f t="shared" si="90"/>
        <v>0</v>
      </c>
      <c r="K2485" s="36"/>
      <c r="L2485" s="36"/>
      <c r="M2485" s="36"/>
      <c r="N2485" s="36"/>
      <c r="O2485" s="36"/>
      <c r="P2485" s="36"/>
      <c r="Q2485" s="36"/>
      <c r="R2485" s="36"/>
      <c r="S2485" s="36"/>
      <c r="T2485" s="36">
        <v>400</v>
      </c>
      <c r="U2485" s="36"/>
      <c r="V2485" s="36"/>
      <c r="W2485" s="15">
        <f t="shared" si="91"/>
        <v>400</v>
      </c>
      <c r="X2485" s="36"/>
      <c r="Y2485" s="36"/>
      <c r="Z2485" s="36"/>
      <c r="AA2485" s="36"/>
      <c r="AB2485" s="36"/>
      <c r="AC2485" s="36"/>
      <c r="AD2485" s="36"/>
      <c r="AE2485" s="36"/>
      <c r="AF2485" s="36"/>
      <c r="AG2485" s="36"/>
      <c r="AH2485" s="36"/>
      <c r="AI2485" s="36"/>
      <c r="AJ2485" s="15">
        <f t="shared" si="92"/>
        <v>0</v>
      </c>
      <c r="AK2485" s="16"/>
    </row>
    <row r="2486" spans="2:37" x14ac:dyDescent="0.2">
      <c r="B2486" s="7"/>
      <c r="C2486" s="8">
        <v>13068</v>
      </c>
      <c r="D2486" s="9" t="s">
        <v>97</v>
      </c>
      <c r="E2486" s="10" t="s">
        <v>98</v>
      </c>
      <c r="F2486" s="10" t="s">
        <v>99</v>
      </c>
      <c r="G2486" s="8">
        <v>3</v>
      </c>
      <c r="H2486" s="11">
        <v>200</v>
      </c>
      <c r="I2486" s="12">
        <v>42666</v>
      </c>
      <c r="J2486" s="35">
        <f t="shared" si="90"/>
        <v>0</v>
      </c>
      <c r="K2486" s="36"/>
      <c r="L2486" s="36"/>
      <c r="M2486" s="36"/>
      <c r="N2486" s="36"/>
      <c r="O2486" s="36"/>
      <c r="P2486" s="36"/>
      <c r="Q2486" s="36"/>
      <c r="R2486" s="36"/>
      <c r="S2486" s="36"/>
      <c r="T2486" s="36"/>
      <c r="U2486" s="36"/>
      <c r="V2486" s="36"/>
      <c r="W2486" s="15">
        <f t="shared" si="91"/>
        <v>0</v>
      </c>
      <c r="X2486" s="36"/>
      <c r="Y2486" s="36"/>
      <c r="Z2486" s="36"/>
      <c r="AA2486" s="36"/>
      <c r="AB2486" s="36"/>
      <c r="AC2486" s="36"/>
      <c r="AD2486" s="36"/>
      <c r="AE2486" s="36"/>
      <c r="AF2486" s="36"/>
      <c r="AG2486" s="36"/>
      <c r="AH2486" s="36"/>
      <c r="AI2486" s="36"/>
      <c r="AJ2486" s="15">
        <f t="shared" si="92"/>
        <v>0</v>
      </c>
      <c r="AK2486" s="16"/>
    </row>
    <row r="2487" spans="2:37" x14ac:dyDescent="0.2">
      <c r="B2487" s="7"/>
      <c r="C2487" s="8">
        <v>13069</v>
      </c>
      <c r="D2487" s="9" t="s">
        <v>138</v>
      </c>
      <c r="E2487" s="10" t="s">
        <v>139</v>
      </c>
      <c r="F2487" s="10" t="s">
        <v>140</v>
      </c>
      <c r="G2487" s="8">
        <v>1</v>
      </c>
      <c r="H2487" s="11">
        <v>400</v>
      </c>
      <c r="I2487" s="12">
        <v>42666</v>
      </c>
      <c r="J2487" s="35">
        <f t="shared" si="90"/>
        <v>0</v>
      </c>
      <c r="K2487" s="36"/>
      <c r="L2487" s="36"/>
      <c r="M2487" s="36"/>
      <c r="N2487" s="36"/>
      <c r="O2487" s="36"/>
      <c r="P2487" s="36"/>
      <c r="Q2487" s="36"/>
      <c r="R2487" s="36"/>
      <c r="S2487" s="36"/>
      <c r="T2487" s="36">
        <v>400</v>
      </c>
      <c r="U2487" s="36"/>
      <c r="V2487" s="36"/>
      <c r="W2487" s="15">
        <f t="shared" si="91"/>
        <v>400</v>
      </c>
      <c r="X2487" s="36"/>
      <c r="Y2487" s="36"/>
      <c r="Z2487" s="36"/>
      <c r="AA2487" s="36"/>
      <c r="AB2487" s="36"/>
      <c r="AC2487" s="36"/>
      <c r="AD2487" s="36"/>
      <c r="AE2487" s="36"/>
      <c r="AF2487" s="36"/>
      <c r="AG2487" s="36"/>
      <c r="AH2487" s="36"/>
      <c r="AI2487" s="36"/>
      <c r="AJ2487" s="15">
        <f t="shared" si="92"/>
        <v>0</v>
      </c>
      <c r="AK2487" s="16"/>
    </row>
    <row r="2488" spans="2:37" x14ac:dyDescent="0.2">
      <c r="B2488" s="7"/>
      <c r="C2488" s="8">
        <v>13070</v>
      </c>
      <c r="D2488" s="9" t="s">
        <v>404</v>
      </c>
      <c r="E2488" s="10" t="s">
        <v>405</v>
      </c>
      <c r="F2488" s="10" t="s">
        <v>406</v>
      </c>
      <c r="G2488" s="8">
        <v>1</v>
      </c>
      <c r="H2488" s="11">
        <v>400</v>
      </c>
      <c r="I2488" s="12">
        <v>42666</v>
      </c>
      <c r="J2488" s="35">
        <f t="shared" si="90"/>
        <v>0</v>
      </c>
      <c r="K2488" s="36"/>
      <c r="L2488" s="36"/>
      <c r="M2488" s="36"/>
      <c r="N2488" s="36"/>
      <c r="O2488" s="36"/>
      <c r="P2488" s="36"/>
      <c r="Q2488" s="36"/>
      <c r="R2488" s="36"/>
      <c r="S2488" s="36"/>
      <c r="T2488" s="36">
        <v>400</v>
      </c>
      <c r="U2488" s="36"/>
      <c r="V2488" s="36"/>
      <c r="W2488" s="15">
        <f t="shared" si="91"/>
        <v>400</v>
      </c>
      <c r="X2488" s="36"/>
      <c r="Y2488" s="36"/>
      <c r="Z2488" s="36"/>
      <c r="AA2488" s="36"/>
      <c r="AB2488" s="36"/>
      <c r="AC2488" s="36"/>
      <c r="AD2488" s="36"/>
      <c r="AE2488" s="36"/>
      <c r="AF2488" s="36"/>
      <c r="AG2488" s="36"/>
      <c r="AH2488" s="36"/>
      <c r="AI2488" s="36"/>
      <c r="AJ2488" s="15">
        <f t="shared" si="92"/>
        <v>0</v>
      </c>
      <c r="AK2488" s="16"/>
    </row>
    <row r="2489" spans="2:37" x14ac:dyDescent="0.2">
      <c r="B2489" s="7"/>
      <c r="C2489" s="8">
        <v>13071</v>
      </c>
      <c r="D2489" s="9" t="s">
        <v>574</v>
      </c>
      <c r="E2489" s="10" t="s">
        <v>575</v>
      </c>
      <c r="F2489" s="10" t="s">
        <v>576</v>
      </c>
      <c r="G2489" s="8">
        <v>5</v>
      </c>
      <c r="H2489" s="11">
        <v>50</v>
      </c>
      <c r="I2489" s="12">
        <v>42666</v>
      </c>
      <c r="J2489" s="35">
        <f t="shared" si="90"/>
        <v>0</v>
      </c>
      <c r="K2489" s="36"/>
      <c r="L2489" s="36"/>
      <c r="M2489" s="36"/>
      <c r="N2489" s="36"/>
      <c r="O2489" s="36"/>
      <c r="P2489" s="36"/>
      <c r="Q2489" s="36"/>
      <c r="R2489" s="36"/>
      <c r="S2489" s="36"/>
      <c r="T2489" s="36"/>
      <c r="U2489" s="36"/>
      <c r="V2489" s="36"/>
      <c r="W2489" s="15">
        <f t="shared" si="91"/>
        <v>0</v>
      </c>
      <c r="X2489" s="36"/>
      <c r="Y2489" s="36"/>
      <c r="Z2489" s="36"/>
      <c r="AA2489" s="36"/>
      <c r="AB2489" s="36"/>
      <c r="AC2489" s="36"/>
      <c r="AD2489" s="36"/>
      <c r="AE2489" s="36"/>
      <c r="AF2489" s="36"/>
      <c r="AG2489" s="36"/>
      <c r="AH2489" s="36"/>
      <c r="AI2489" s="36"/>
      <c r="AJ2489" s="15">
        <f t="shared" si="92"/>
        <v>0</v>
      </c>
      <c r="AK2489" s="16"/>
    </row>
    <row r="2490" spans="2:37" x14ac:dyDescent="0.2">
      <c r="B2490" s="7"/>
      <c r="C2490" s="8">
        <v>13072</v>
      </c>
      <c r="D2490" s="9" t="s">
        <v>800</v>
      </c>
      <c r="E2490" s="10" t="s">
        <v>801</v>
      </c>
      <c r="F2490" s="10" t="s">
        <v>802</v>
      </c>
      <c r="G2490" s="8">
        <v>1</v>
      </c>
      <c r="H2490" s="11">
        <v>800</v>
      </c>
      <c r="I2490" s="12">
        <v>42666</v>
      </c>
      <c r="J2490" s="35">
        <f t="shared" si="90"/>
        <v>0</v>
      </c>
      <c r="K2490" s="36"/>
      <c r="L2490" s="36"/>
      <c r="M2490" s="36"/>
      <c r="N2490" s="36"/>
      <c r="O2490" s="36"/>
      <c r="P2490" s="36"/>
      <c r="Q2490" s="36">
        <v>400</v>
      </c>
      <c r="R2490" s="36">
        <v>400</v>
      </c>
      <c r="S2490" s="36"/>
      <c r="T2490" s="36"/>
      <c r="U2490" s="36"/>
      <c r="V2490" s="36"/>
      <c r="W2490" s="15">
        <f t="shared" si="91"/>
        <v>800</v>
      </c>
      <c r="X2490" s="36"/>
      <c r="Y2490" s="36"/>
      <c r="Z2490" s="36"/>
      <c r="AA2490" s="36"/>
      <c r="AB2490" s="36"/>
      <c r="AC2490" s="36"/>
      <c r="AD2490" s="36"/>
      <c r="AE2490" s="36"/>
      <c r="AF2490" s="36"/>
      <c r="AG2490" s="36"/>
      <c r="AH2490" s="36"/>
      <c r="AI2490" s="36"/>
      <c r="AJ2490" s="15">
        <f t="shared" si="92"/>
        <v>0</v>
      </c>
      <c r="AK2490" s="16"/>
    </row>
    <row r="2491" spans="2:37" x14ac:dyDescent="0.2">
      <c r="B2491" s="7"/>
      <c r="C2491" s="8">
        <v>13073</v>
      </c>
      <c r="D2491" s="9" t="s">
        <v>514</v>
      </c>
      <c r="E2491" s="10" t="s">
        <v>515</v>
      </c>
      <c r="F2491" s="10" t="s">
        <v>516</v>
      </c>
      <c r="G2491" s="8">
        <v>1</v>
      </c>
      <c r="H2491" s="11">
        <v>800</v>
      </c>
      <c r="I2491" s="12">
        <v>42666</v>
      </c>
      <c r="J2491" s="35">
        <f t="shared" si="90"/>
        <v>0</v>
      </c>
      <c r="K2491" s="36"/>
      <c r="L2491" s="36"/>
      <c r="M2491" s="36"/>
      <c r="N2491" s="36"/>
      <c r="O2491" s="36"/>
      <c r="P2491" s="36"/>
      <c r="Q2491" s="36"/>
      <c r="R2491" s="36"/>
      <c r="S2491" s="36">
        <v>400</v>
      </c>
      <c r="T2491" s="36">
        <v>400</v>
      </c>
      <c r="U2491" s="36"/>
      <c r="V2491" s="36"/>
      <c r="W2491" s="15">
        <f t="shared" si="91"/>
        <v>800</v>
      </c>
      <c r="X2491" s="36"/>
      <c r="Y2491" s="36"/>
      <c r="Z2491" s="36"/>
      <c r="AA2491" s="36"/>
      <c r="AB2491" s="36"/>
      <c r="AC2491" s="36"/>
      <c r="AD2491" s="36"/>
      <c r="AE2491" s="36"/>
      <c r="AF2491" s="36"/>
      <c r="AG2491" s="36"/>
      <c r="AH2491" s="36"/>
      <c r="AI2491" s="36"/>
      <c r="AJ2491" s="15">
        <f t="shared" si="92"/>
        <v>0</v>
      </c>
      <c r="AK2491" s="16"/>
    </row>
    <row r="2492" spans="2:37" x14ac:dyDescent="0.2">
      <c r="B2492" s="7"/>
      <c r="C2492" s="8">
        <v>13074</v>
      </c>
      <c r="D2492" s="9" t="s">
        <v>571</v>
      </c>
      <c r="E2492" s="10" t="s">
        <v>572</v>
      </c>
      <c r="F2492" s="10" t="s">
        <v>573</v>
      </c>
      <c r="G2492" s="8">
        <v>1</v>
      </c>
      <c r="H2492" s="11">
        <v>800</v>
      </c>
      <c r="I2492" s="12">
        <v>42666</v>
      </c>
      <c r="J2492" s="35">
        <f t="shared" si="90"/>
        <v>0</v>
      </c>
      <c r="K2492" s="36"/>
      <c r="L2492" s="36"/>
      <c r="M2492" s="36"/>
      <c r="N2492" s="36"/>
      <c r="O2492" s="36"/>
      <c r="P2492" s="36"/>
      <c r="Q2492" s="36">
        <v>200</v>
      </c>
      <c r="R2492" s="36">
        <v>200</v>
      </c>
      <c r="S2492" s="36">
        <v>200</v>
      </c>
      <c r="T2492" s="36">
        <v>200</v>
      </c>
      <c r="U2492" s="36"/>
      <c r="V2492" s="36"/>
      <c r="W2492" s="15">
        <f t="shared" si="91"/>
        <v>800</v>
      </c>
      <c r="X2492" s="36"/>
      <c r="Y2492" s="36"/>
      <c r="Z2492" s="36"/>
      <c r="AA2492" s="36"/>
      <c r="AB2492" s="36"/>
      <c r="AC2492" s="36"/>
      <c r="AD2492" s="36"/>
      <c r="AE2492" s="36"/>
      <c r="AF2492" s="36"/>
      <c r="AG2492" s="36"/>
      <c r="AH2492" s="36"/>
      <c r="AI2492" s="36"/>
      <c r="AJ2492" s="15">
        <f t="shared" si="92"/>
        <v>0</v>
      </c>
      <c r="AK2492" s="16"/>
    </row>
    <row r="2493" spans="2:37" x14ac:dyDescent="0.2">
      <c r="B2493" s="7"/>
      <c r="C2493" s="8">
        <v>13075</v>
      </c>
      <c r="D2493" s="9" t="s">
        <v>586</v>
      </c>
      <c r="E2493" s="10" t="s">
        <v>587</v>
      </c>
      <c r="F2493" s="10" t="s">
        <v>588</v>
      </c>
      <c r="G2493" s="8">
        <v>1</v>
      </c>
      <c r="H2493" s="11">
        <v>200</v>
      </c>
      <c r="I2493" s="12">
        <v>42666</v>
      </c>
      <c r="J2493" s="35">
        <f t="shared" si="90"/>
        <v>0</v>
      </c>
      <c r="K2493" s="36"/>
      <c r="L2493" s="36"/>
      <c r="M2493" s="36"/>
      <c r="N2493" s="36"/>
      <c r="O2493" s="36"/>
      <c r="P2493" s="36"/>
      <c r="Q2493" s="36"/>
      <c r="R2493" s="36"/>
      <c r="S2493" s="36"/>
      <c r="T2493" s="36">
        <v>200</v>
      </c>
      <c r="U2493" s="36"/>
      <c r="V2493" s="36"/>
      <c r="W2493" s="15">
        <f t="shared" si="91"/>
        <v>200</v>
      </c>
      <c r="X2493" s="36"/>
      <c r="Y2493" s="36"/>
      <c r="Z2493" s="36"/>
      <c r="AA2493" s="36"/>
      <c r="AB2493" s="36"/>
      <c r="AC2493" s="36"/>
      <c r="AD2493" s="36"/>
      <c r="AE2493" s="36"/>
      <c r="AF2493" s="36"/>
      <c r="AG2493" s="36"/>
      <c r="AH2493" s="36"/>
      <c r="AI2493" s="36"/>
      <c r="AJ2493" s="15">
        <f t="shared" si="92"/>
        <v>0</v>
      </c>
      <c r="AK2493" s="16"/>
    </row>
    <row r="2494" spans="2:37" x14ac:dyDescent="0.2">
      <c r="B2494" s="7"/>
      <c r="C2494" s="8">
        <v>13076</v>
      </c>
      <c r="D2494" s="9" t="s">
        <v>523</v>
      </c>
      <c r="E2494" s="10" t="s">
        <v>524</v>
      </c>
      <c r="F2494" s="10" t="s">
        <v>525</v>
      </c>
      <c r="G2494" s="8">
        <v>1</v>
      </c>
      <c r="H2494" s="11">
        <v>400</v>
      </c>
      <c r="I2494" s="12">
        <v>42666</v>
      </c>
      <c r="J2494" s="35">
        <f t="shared" si="90"/>
        <v>0</v>
      </c>
      <c r="K2494" s="36"/>
      <c r="L2494" s="36"/>
      <c r="M2494" s="36"/>
      <c r="N2494" s="36"/>
      <c r="O2494" s="36"/>
      <c r="P2494" s="36"/>
      <c r="Q2494" s="36"/>
      <c r="R2494" s="36"/>
      <c r="S2494" s="36">
        <v>400</v>
      </c>
      <c r="T2494" s="36"/>
      <c r="U2494" s="36"/>
      <c r="V2494" s="36"/>
      <c r="W2494" s="15">
        <f t="shared" si="91"/>
        <v>400</v>
      </c>
      <c r="X2494" s="36"/>
      <c r="Y2494" s="36"/>
      <c r="Z2494" s="36"/>
      <c r="AA2494" s="36"/>
      <c r="AB2494" s="36"/>
      <c r="AC2494" s="36"/>
      <c r="AD2494" s="36"/>
      <c r="AE2494" s="36"/>
      <c r="AF2494" s="36"/>
      <c r="AG2494" s="36"/>
      <c r="AH2494" s="36"/>
      <c r="AI2494" s="36"/>
      <c r="AJ2494" s="15">
        <f t="shared" si="92"/>
        <v>0</v>
      </c>
      <c r="AK2494" s="16"/>
    </row>
    <row r="2495" spans="2:37" x14ac:dyDescent="0.2">
      <c r="B2495" s="7"/>
      <c r="C2495" s="8">
        <v>13077</v>
      </c>
      <c r="D2495" s="9" t="s">
        <v>944</v>
      </c>
      <c r="E2495" s="10" t="s">
        <v>945</v>
      </c>
      <c r="F2495" s="10" t="s">
        <v>946</v>
      </c>
      <c r="G2495" s="8">
        <v>1</v>
      </c>
      <c r="H2495" s="11">
        <v>200</v>
      </c>
      <c r="I2495" s="12">
        <v>42666</v>
      </c>
      <c r="J2495" s="35">
        <f t="shared" si="90"/>
        <v>0</v>
      </c>
      <c r="K2495" s="36"/>
      <c r="L2495" s="36"/>
      <c r="M2495" s="36"/>
      <c r="N2495" s="36"/>
      <c r="O2495" s="36"/>
      <c r="P2495" s="36"/>
      <c r="Q2495" s="36"/>
      <c r="R2495" s="36"/>
      <c r="S2495" s="36">
        <v>100</v>
      </c>
      <c r="T2495" s="36">
        <v>100</v>
      </c>
      <c r="U2495" s="36"/>
      <c r="V2495" s="36"/>
      <c r="W2495" s="15">
        <f t="shared" si="91"/>
        <v>200</v>
      </c>
      <c r="X2495" s="36"/>
      <c r="Y2495" s="36"/>
      <c r="Z2495" s="36"/>
      <c r="AA2495" s="36"/>
      <c r="AB2495" s="36"/>
      <c r="AC2495" s="36"/>
      <c r="AD2495" s="36"/>
      <c r="AE2495" s="36"/>
      <c r="AF2495" s="36"/>
      <c r="AG2495" s="36"/>
      <c r="AH2495" s="36"/>
      <c r="AI2495" s="36"/>
      <c r="AJ2495" s="15">
        <f t="shared" si="92"/>
        <v>0</v>
      </c>
      <c r="AK2495" s="16"/>
    </row>
    <row r="2496" spans="2:37" x14ac:dyDescent="0.2">
      <c r="B2496" s="7"/>
      <c r="C2496" s="8">
        <v>13078</v>
      </c>
      <c r="D2496" s="9" t="s">
        <v>1026</v>
      </c>
      <c r="E2496" s="10" t="s">
        <v>1027</v>
      </c>
      <c r="F2496" s="10" t="s">
        <v>1028</v>
      </c>
      <c r="G2496" s="8">
        <v>1</v>
      </c>
      <c r="H2496" s="11">
        <v>600</v>
      </c>
      <c r="I2496" s="12">
        <v>42666</v>
      </c>
      <c r="J2496" s="35">
        <f t="shared" si="90"/>
        <v>0</v>
      </c>
      <c r="K2496" s="36"/>
      <c r="L2496" s="36"/>
      <c r="M2496" s="36"/>
      <c r="N2496" s="36"/>
      <c r="O2496" s="36"/>
      <c r="P2496" s="36"/>
      <c r="Q2496" s="36"/>
      <c r="R2496" s="36"/>
      <c r="S2496" s="36">
        <v>200</v>
      </c>
      <c r="T2496" s="36">
        <v>200</v>
      </c>
      <c r="U2496" s="36">
        <v>200</v>
      </c>
      <c r="V2496" s="36"/>
      <c r="W2496" s="15">
        <f t="shared" si="91"/>
        <v>600</v>
      </c>
      <c r="X2496" s="36"/>
      <c r="Y2496" s="36"/>
      <c r="Z2496" s="36"/>
      <c r="AA2496" s="36"/>
      <c r="AB2496" s="36"/>
      <c r="AC2496" s="36"/>
      <c r="AD2496" s="36"/>
      <c r="AE2496" s="36"/>
      <c r="AF2496" s="36"/>
      <c r="AG2496" s="36"/>
      <c r="AH2496" s="36"/>
      <c r="AI2496" s="36"/>
      <c r="AJ2496" s="15">
        <f t="shared" si="92"/>
        <v>0</v>
      </c>
      <c r="AK2496" s="16"/>
    </row>
    <row r="2497" spans="2:37" x14ac:dyDescent="0.2">
      <c r="B2497" s="7"/>
      <c r="C2497" s="8">
        <v>13079</v>
      </c>
      <c r="D2497" s="9" t="s">
        <v>497</v>
      </c>
      <c r="E2497" s="10" t="s">
        <v>498</v>
      </c>
      <c r="F2497" s="10" t="s">
        <v>499</v>
      </c>
      <c r="G2497" s="8">
        <v>1</v>
      </c>
      <c r="H2497" s="11">
        <v>800</v>
      </c>
      <c r="I2497" s="12">
        <v>42666</v>
      </c>
      <c r="J2497" s="35">
        <f t="shared" si="90"/>
        <v>0</v>
      </c>
      <c r="K2497" s="36"/>
      <c r="L2497" s="36"/>
      <c r="M2497" s="36"/>
      <c r="N2497" s="36"/>
      <c r="O2497" s="36"/>
      <c r="P2497" s="36"/>
      <c r="Q2497" s="36"/>
      <c r="R2497" s="36"/>
      <c r="S2497" s="36"/>
      <c r="T2497" s="36"/>
      <c r="U2497" s="36">
        <v>400</v>
      </c>
      <c r="V2497" s="36">
        <v>400</v>
      </c>
      <c r="W2497" s="15">
        <f t="shared" si="91"/>
        <v>800</v>
      </c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15">
        <f t="shared" si="92"/>
        <v>0</v>
      </c>
      <c r="AK2497" s="16"/>
    </row>
    <row r="2498" spans="2:37" x14ac:dyDescent="0.2">
      <c r="B2498" s="7"/>
      <c r="C2498" s="8">
        <v>13080</v>
      </c>
      <c r="D2498" s="9" t="s">
        <v>708</v>
      </c>
      <c r="E2498" s="10" t="s">
        <v>709</v>
      </c>
      <c r="F2498" s="10" t="s">
        <v>710</v>
      </c>
      <c r="G2498" s="8">
        <v>1</v>
      </c>
      <c r="H2498" s="11">
        <v>400</v>
      </c>
      <c r="I2498" s="12">
        <v>42666</v>
      </c>
      <c r="J2498" s="35">
        <f t="shared" ref="J2498:J2507" si="93">IF(G2498=1,SUM(W2498,AJ2498,-H2498),0)</f>
        <v>0</v>
      </c>
      <c r="K2498" s="36"/>
      <c r="L2498" s="36"/>
      <c r="M2498" s="36"/>
      <c r="N2498" s="36"/>
      <c r="O2498" s="36"/>
      <c r="P2498" s="36"/>
      <c r="Q2498" s="36"/>
      <c r="R2498" s="36"/>
      <c r="S2498" s="36"/>
      <c r="T2498" s="36">
        <v>400</v>
      </c>
      <c r="U2498" s="36"/>
      <c r="V2498" s="36"/>
      <c r="W2498" s="15">
        <f t="shared" ref="W2498:W2507" si="94">SUM(K2498:V2498)</f>
        <v>400</v>
      </c>
      <c r="X2498" s="36"/>
      <c r="Y2498" s="36"/>
      <c r="Z2498" s="36"/>
      <c r="AA2498" s="36"/>
      <c r="AB2498" s="36"/>
      <c r="AC2498" s="36"/>
      <c r="AD2498" s="36"/>
      <c r="AE2498" s="36"/>
      <c r="AF2498" s="36"/>
      <c r="AG2498" s="36"/>
      <c r="AH2498" s="36"/>
      <c r="AI2498" s="36"/>
      <c r="AJ2498" s="15">
        <f t="shared" ref="AJ2498:AJ2507" si="95">SUM(X2498:AI2498)</f>
        <v>0</v>
      </c>
      <c r="AK2498" s="16"/>
    </row>
    <row r="2499" spans="2:37" x14ac:dyDescent="0.2">
      <c r="B2499" s="7"/>
      <c r="C2499" s="8">
        <v>13081</v>
      </c>
      <c r="D2499" s="9" t="s">
        <v>112</v>
      </c>
      <c r="E2499" s="10" t="s">
        <v>113</v>
      </c>
      <c r="F2499" s="10" t="s">
        <v>114</v>
      </c>
      <c r="G2499" s="8">
        <v>1</v>
      </c>
      <c r="H2499" s="11">
        <v>250</v>
      </c>
      <c r="I2499" s="12">
        <v>42666</v>
      </c>
      <c r="J2499" s="35">
        <f t="shared" si="93"/>
        <v>0</v>
      </c>
      <c r="K2499" s="36"/>
      <c r="L2499" s="36"/>
      <c r="M2499" s="36"/>
      <c r="N2499" s="36"/>
      <c r="O2499" s="36"/>
      <c r="P2499" s="36"/>
      <c r="Q2499" s="36"/>
      <c r="R2499" s="36"/>
      <c r="S2499" s="36"/>
      <c r="T2499" s="36">
        <v>250</v>
      </c>
      <c r="U2499" s="36"/>
      <c r="V2499" s="36"/>
      <c r="W2499" s="15">
        <f t="shared" si="94"/>
        <v>250</v>
      </c>
      <c r="X2499" s="36"/>
      <c r="Y2499" s="36"/>
      <c r="Z2499" s="36"/>
      <c r="AA2499" s="36"/>
      <c r="AB2499" s="36"/>
      <c r="AC2499" s="36"/>
      <c r="AD2499" s="36"/>
      <c r="AE2499" s="36"/>
      <c r="AF2499" s="36"/>
      <c r="AG2499" s="36"/>
      <c r="AH2499" s="36"/>
      <c r="AI2499" s="36"/>
      <c r="AJ2499" s="15">
        <f t="shared" si="95"/>
        <v>0</v>
      </c>
      <c r="AK2499" s="16"/>
    </row>
    <row r="2500" spans="2:37" x14ac:dyDescent="0.2">
      <c r="B2500" s="7"/>
      <c r="C2500" s="8">
        <v>13082</v>
      </c>
      <c r="D2500" s="9" t="s">
        <v>109</v>
      </c>
      <c r="E2500" s="10" t="s">
        <v>110</v>
      </c>
      <c r="F2500" s="10" t="s">
        <v>111</v>
      </c>
      <c r="G2500" s="8">
        <v>5</v>
      </c>
      <c r="H2500" s="11">
        <v>50</v>
      </c>
      <c r="I2500" s="12">
        <v>42666</v>
      </c>
      <c r="J2500" s="35">
        <f t="shared" si="93"/>
        <v>0</v>
      </c>
      <c r="K2500" s="36"/>
      <c r="L2500" s="36"/>
      <c r="M2500" s="36"/>
      <c r="N2500" s="36"/>
      <c r="O2500" s="36"/>
      <c r="P2500" s="36"/>
      <c r="Q2500" s="36"/>
      <c r="R2500" s="36"/>
      <c r="S2500" s="36"/>
      <c r="T2500" s="36"/>
      <c r="U2500" s="36"/>
      <c r="V2500" s="36"/>
      <c r="W2500" s="15">
        <f t="shared" si="94"/>
        <v>0</v>
      </c>
      <c r="X2500" s="36"/>
      <c r="Y2500" s="36"/>
      <c r="Z2500" s="36"/>
      <c r="AA2500" s="36"/>
      <c r="AB2500" s="36"/>
      <c r="AC2500" s="36"/>
      <c r="AD2500" s="36"/>
      <c r="AE2500" s="36"/>
      <c r="AF2500" s="36"/>
      <c r="AG2500" s="36"/>
      <c r="AH2500" s="36"/>
      <c r="AI2500" s="36"/>
      <c r="AJ2500" s="15">
        <f t="shared" si="95"/>
        <v>0</v>
      </c>
      <c r="AK2500" s="16"/>
    </row>
    <row r="2501" spans="2:37" x14ac:dyDescent="0.2">
      <c r="B2501" s="7"/>
      <c r="C2501" s="8">
        <v>13083</v>
      </c>
      <c r="D2501" s="9" t="s">
        <v>705</v>
      </c>
      <c r="E2501" s="10" t="s">
        <v>706</v>
      </c>
      <c r="F2501" s="10" t="s">
        <v>707</v>
      </c>
      <c r="G2501" s="8">
        <v>1</v>
      </c>
      <c r="H2501" s="11">
        <v>300</v>
      </c>
      <c r="I2501" s="12">
        <v>42666</v>
      </c>
      <c r="J2501" s="35">
        <f t="shared" si="93"/>
        <v>0</v>
      </c>
      <c r="K2501" s="36"/>
      <c r="L2501" s="36"/>
      <c r="M2501" s="36"/>
      <c r="N2501" s="36"/>
      <c r="O2501" s="36"/>
      <c r="P2501" s="36"/>
      <c r="Q2501" s="36"/>
      <c r="R2501" s="36"/>
      <c r="S2501" s="36"/>
      <c r="T2501" s="36">
        <v>300</v>
      </c>
      <c r="U2501" s="36"/>
      <c r="V2501" s="36"/>
      <c r="W2501" s="15">
        <f t="shared" si="94"/>
        <v>300</v>
      </c>
      <c r="X2501" s="36"/>
      <c r="Y2501" s="36"/>
      <c r="Z2501" s="36"/>
      <c r="AA2501" s="36"/>
      <c r="AB2501" s="36"/>
      <c r="AC2501" s="36"/>
      <c r="AD2501" s="36"/>
      <c r="AE2501" s="36"/>
      <c r="AF2501" s="36"/>
      <c r="AG2501" s="36"/>
      <c r="AH2501" s="36"/>
      <c r="AI2501" s="36"/>
      <c r="AJ2501" s="15">
        <f t="shared" si="95"/>
        <v>0</v>
      </c>
      <c r="AK2501" s="16"/>
    </row>
    <row r="2502" spans="2:37" x14ac:dyDescent="0.2">
      <c r="B2502" s="7"/>
      <c r="C2502" s="8">
        <v>13084</v>
      </c>
      <c r="D2502" s="9" t="s">
        <v>1167</v>
      </c>
      <c r="E2502" s="10" t="s">
        <v>1168</v>
      </c>
      <c r="F2502" s="10" t="s">
        <v>1169</v>
      </c>
      <c r="G2502" s="8">
        <v>1</v>
      </c>
      <c r="H2502" s="11">
        <v>1000</v>
      </c>
      <c r="I2502" s="12">
        <v>42666</v>
      </c>
      <c r="J2502" s="35">
        <f t="shared" si="93"/>
        <v>0</v>
      </c>
      <c r="K2502" s="36"/>
      <c r="L2502" s="36"/>
      <c r="M2502" s="36"/>
      <c r="N2502" s="36"/>
      <c r="O2502" s="36"/>
      <c r="P2502" s="36"/>
      <c r="Q2502" s="36"/>
      <c r="R2502" s="36">
        <v>200</v>
      </c>
      <c r="S2502" s="36">
        <v>400</v>
      </c>
      <c r="T2502" s="36">
        <v>400</v>
      </c>
      <c r="U2502" s="36"/>
      <c r="V2502" s="36"/>
      <c r="W2502" s="15">
        <f t="shared" si="94"/>
        <v>1000</v>
      </c>
      <c r="X2502" s="36"/>
      <c r="Y2502" s="36"/>
      <c r="Z2502" s="36"/>
      <c r="AA2502" s="36"/>
      <c r="AB2502" s="36"/>
      <c r="AC2502" s="36"/>
      <c r="AD2502" s="36"/>
      <c r="AE2502" s="36"/>
      <c r="AF2502" s="36"/>
      <c r="AG2502" s="36"/>
      <c r="AH2502" s="36"/>
      <c r="AI2502" s="36"/>
      <c r="AJ2502" s="15">
        <f t="shared" si="95"/>
        <v>0</v>
      </c>
      <c r="AK2502" s="16"/>
    </row>
    <row r="2503" spans="2:37" x14ac:dyDescent="0.2">
      <c r="B2503" s="7"/>
      <c r="C2503" s="8">
        <v>13085</v>
      </c>
      <c r="D2503" s="9" t="s">
        <v>731</v>
      </c>
      <c r="E2503" s="10" t="s">
        <v>732</v>
      </c>
      <c r="F2503" s="10" t="s">
        <v>733</v>
      </c>
      <c r="G2503" s="8">
        <v>1</v>
      </c>
      <c r="H2503" s="11">
        <v>600</v>
      </c>
      <c r="I2503" s="12">
        <v>42666</v>
      </c>
      <c r="J2503" s="35">
        <f t="shared" si="93"/>
        <v>0</v>
      </c>
      <c r="K2503" s="36"/>
      <c r="L2503" s="36"/>
      <c r="M2503" s="36"/>
      <c r="N2503" s="36"/>
      <c r="O2503" s="36"/>
      <c r="P2503" s="36"/>
      <c r="Q2503" s="36"/>
      <c r="R2503" s="36">
        <v>300</v>
      </c>
      <c r="S2503" s="36">
        <v>300</v>
      </c>
      <c r="T2503" s="36"/>
      <c r="U2503" s="36"/>
      <c r="V2503" s="36"/>
      <c r="W2503" s="15">
        <f t="shared" si="94"/>
        <v>600</v>
      </c>
      <c r="X2503" s="36"/>
      <c r="Y2503" s="36"/>
      <c r="Z2503" s="36"/>
      <c r="AA2503" s="36"/>
      <c r="AB2503" s="36"/>
      <c r="AC2503" s="36"/>
      <c r="AD2503" s="36"/>
      <c r="AE2503" s="36"/>
      <c r="AF2503" s="36"/>
      <c r="AG2503" s="36"/>
      <c r="AH2503" s="36"/>
      <c r="AI2503" s="36"/>
      <c r="AJ2503" s="15">
        <f t="shared" si="95"/>
        <v>0</v>
      </c>
      <c r="AK2503" s="16"/>
    </row>
    <row r="2504" spans="2:37" x14ac:dyDescent="0.2">
      <c r="B2504" s="7"/>
      <c r="C2504" s="8">
        <v>13086</v>
      </c>
      <c r="D2504" s="9" t="s">
        <v>864</v>
      </c>
      <c r="E2504" s="10" t="s">
        <v>865</v>
      </c>
      <c r="F2504" s="10" t="s">
        <v>866</v>
      </c>
      <c r="G2504" s="8">
        <v>1</v>
      </c>
      <c r="H2504" s="11">
        <v>600</v>
      </c>
      <c r="I2504" s="12">
        <v>42666</v>
      </c>
      <c r="J2504" s="35">
        <f t="shared" si="93"/>
        <v>0</v>
      </c>
      <c r="K2504" s="36"/>
      <c r="L2504" s="36"/>
      <c r="M2504" s="36"/>
      <c r="N2504" s="36"/>
      <c r="O2504" s="36"/>
      <c r="P2504" s="36"/>
      <c r="Q2504" s="36"/>
      <c r="R2504" s="36">
        <v>300</v>
      </c>
      <c r="S2504" s="36">
        <v>300</v>
      </c>
      <c r="T2504" s="36"/>
      <c r="U2504" s="36"/>
      <c r="V2504" s="36"/>
      <c r="W2504" s="15">
        <f t="shared" si="94"/>
        <v>600</v>
      </c>
      <c r="X2504" s="36"/>
      <c r="Y2504" s="36"/>
      <c r="Z2504" s="36"/>
      <c r="AA2504" s="36"/>
      <c r="AB2504" s="36"/>
      <c r="AC2504" s="36"/>
      <c r="AD2504" s="36"/>
      <c r="AE2504" s="36"/>
      <c r="AF2504" s="36"/>
      <c r="AG2504" s="36"/>
      <c r="AH2504" s="36"/>
      <c r="AI2504" s="36"/>
      <c r="AJ2504" s="15">
        <f t="shared" si="95"/>
        <v>0</v>
      </c>
      <c r="AK2504" s="16"/>
    </row>
    <row r="2505" spans="2:37" x14ac:dyDescent="0.2">
      <c r="B2505" s="7"/>
      <c r="C2505" s="8">
        <v>13087</v>
      </c>
      <c r="D2505" s="9" t="s">
        <v>583</v>
      </c>
      <c r="E2505" s="10" t="s">
        <v>584</v>
      </c>
      <c r="F2505" s="10" t="s">
        <v>585</v>
      </c>
      <c r="G2505" s="8">
        <v>1</v>
      </c>
      <c r="H2505" s="11">
        <v>200</v>
      </c>
      <c r="I2505" s="12">
        <v>42666</v>
      </c>
      <c r="J2505" s="35">
        <f t="shared" si="93"/>
        <v>0</v>
      </c>
      <c r="K2505" s="36"/>
      <c r="L2505" s="36"/>
      <c r="M2505" s="36"/>
      <c r="N2505" s="36"/>
      <c r="O2505" s="36"/>
      <c r="P2505" s="36"/>
      <c r="Q2505" s="36"/>
      <c r="R2505" s="36"/>
      <c r="S2505" s="36"/>
      <c r="T2505" s="36">
        <v>200</v>
      </c>
      <c r="U2505" s="36"/>
      <c r="V2505" s="36"/>
      <c r="W2505" s="15">
        <f t="shared" si="94"/>
        <v>200</v>
      </c>
      <c r="X2505" s="36"/>
      <c r="Y2505" s="36"/>
      <c r="Z2505" s="36"/>
      <c r="AA2505" s="36"/>
      <c r="AB2505" s="36"/>
      <c r="AC2505" s="36"/>
      <c r="AD2505" s="36"/>
      <c r="AE2505" s="36"/>
      <c r="AF2505" s="36"/>
      <c r="AG2505" s="36"/>
      <c r="AH2505" s="36"/>
      <c r="AI2505" s="36"/>
      <c r="AJ2505" s="15">
        <f t="shared" si="95"/>
        <v>0</v>
      </c>
      <c r="AK2505" s="16"/>
    </row>
    <row r="2506" spans="2:37" x14ac:dyDescent="0.2">
      <c r="B2506" s="7"/>
      <c r="C2506" s="8">
        <v>13088</v>
      </c>
      <c r="D2506" s="9" t="s">
        <v>310</v>
      </c>
      <c r="E2506" s="10" t="s">
        <v>311</v>
      </c>
      <c r="F2506" s="10" t="s">
        <v>312</v>
      </c>
      <c r="G2506" s="8">
        <v>1</v>
      </c>
      <c r="H2506" s="11">
        <v>400</v>
      </c>
      <c r="I2506" s="12">
        <v>42666</v>
      </c>
      <c r="J2506" s="35">
        <f t="shared" si="93"/>
        <v>0</v>
      </c>
      <c r="K2506" s="36"/>
      <c r="L2506" s="36"/>
      <c r="M2506" s="36"/>
      <c r="N2506" s="36"/>
      <c r="O2506" s="36"/>
      <c r="P2506" s="36"/>
      <c r="Q2506" s="36"/>
      <c r="R2506" s="36"/>
      <c r="S2506" s="36"/>
      <c r="T2506" s="36">
        <v>400</v>
      </c>
      <c r="U2506" s="36"/>
      <c r="V2506" s="36"/>
      <c r="W2506" s="15">
        <f t="shared" si="94"/>
        <v>400</v>
      </c>
      <c r="X2506" s="36"/>
      <c r="Y2506" s="36"/>
      <c r="Z2506" s="36"/>
      <c r="AA2506" s="36"/>
      <c r="AB2506" s="36"/>
      <c r="AC2506" s="36"/>
      <c r="AD2506" s="36"/>
      <c r="AE2506" s="36"/>
      <c r="AF2506" s="36"/>
      <c r="AG2506" s="36"/>
      <c r="AH2506" s="36"/>
      <c r="AI2506" s="36"/>
      <c r="AJ2506" s="15">
        <f t="shared" si="95"/>
        <v>0</v>
      </c>
      <c r="AK2506" s="16"/>
    </row>
    <row r="2507" spans="2:37" x14ac:dyDescent="0.2">
      <c r="B2507" s="7"/>
      <c r="C2507" s="8">
        <v>13088</v>
      </c>
      <c r="D2507" s="9" t="s">
        <v>310</v>
      </c>
      <c r="E2507" s="10" t="s">
        <v>311</v>
      </c>
      <c r="F2507" s="10" t="s">
        <v>312</v>
      </c>
      <c r="G2507" s="8">
        <v>5</v>
      </c>
      <c r="H2507" s="11">
        <v>50</v>
      </c>
      <c r="I2507" s="12">
        <v>42666</v>
      </c>
      <c r="J2507" s="35">
        <f t="shared" si="93"/>
        <v>0</v>
      </c>
      <c r="K2507" s="36"/>
      <c r="L2507" s="36"/>
      <c r="M2507" s="36"/>
      <c r="N2507" s="36"/>
      <c r="O2507" s="36"/>
      <c r="P2507" s="36"/>
      <c r="Q2507" s="36"/>
      <c r="R2507" s="36"/>
      <c r="S2507" s="36"/>
      <c r="T2507" s="36"/>
      <c r="U2507" s="36"/>
      <c r="V2507" s="36"/>
      <c r="W2507" s="15">
        <f t="shared" si="94"/>
        <v>0</v>
      </c>
      <c r="X2507" s="36"/>
      <c r="Y2507" s="36"/>
      <c r="Z2507" s="36"/>
      <c r="AA2507" s="36"/>
      <c r="AB2507" s="36"/>
      <c r="AC2507" s="36"/>
      <c r="AD2507" s="36"/>
      <c r="AE2507" s="36"/>
      <c r="AF2507" s="36"/>
      <c r="AG2507" s="36"/>
      <c r="AH2507" s="36"/>
      <c r="AI2507" s="36"/>
      <c r="AJ2507" s="15">
        <f t="shared" si="95"/>
        <v>0</v>
      </c>
      <c r="AK2507" s="16"/>
    </row>
    <row r="2508" spans="2:37" x14ac:dyDescent="0.2">
      <c r="B2508" s="7"/>
      <c r="C2508" s="8">
        <v>13089</v>
      </c>
      <c r="D2508" s="9" t="s">
        <v>840</v>
      </c>
      <c r="E2508" s="10" t="s">
        <v>841</v>
      </c>
      <c r="F2508" s="10" t="s">
        <v>842</v>
      </c>
      <c r="G2508" s="8">
        <v>5</v>
      </c>
      <c r="H2508" s="11">
        <v>50</v>
      </c>
      <c r="I2508" s="12">
        <v>42666</v>
      </c>
      <c r="J2508" s="35">
        <f t="shared" si="90"/>
        <v>0</v>
      </c>
      <c r="K2508" s="36"/>
      <c r="L2508" s="36"/>
      <c r="M2508" s="36"/>
      <c r="N2508" s="36"/>
      <c r="O2508" s="36"/>
      <c r="P2508" s="36"/>
      <c r="Q2508" s="36"/>
      <c r="R2508" s="36"/>
      <c r="S2508" s="36"/>
      <c r="T2508" s="36"/>
      <c r="U2508" s="36"/>
      <c r="V2508" s="36"/>
      <c r="W2508" s="15">
        <f t="shared" si="91"/>
        <v>0</v>
      </c>
      <c r="X2508" s="36"/>
      <c r="Y2508" s="36"/>
      <c r="Z2508" s="36"/>
      <c r="AA2508" s="36"/>
      <c r="AB2508" s="36"/>
      <c r="AC2508" s="36"/>
      <c r="AD2508" s="36"/>
      <c r="AE2508" s="36"/>
      <c r="AF2508" s="36"/>
      <c r="AG2508" s="36"/>
      <c r="AH2508" s="36"/>
      <c r="AI2508" s="36"/>
      <c r="AJ2508" s="15">
        <f t="shared" si="92"/>
        <v>0</v>
      </c>
      <c r="AK2508" s="322">
        <f>SUM(H2476:H2508)</f>
        <v>12650</v>
      </c>
    </row>
    <row r="2509" spans="2:37" x14ac:dyDescent="0.2">
      <c r="B2509" s="7"/>
      <c r="C2509" s="8">
        <v>13090</v>
      </c>
      <c r="D2509" s="9" t="s">
        <v>1151</v>
      </c>
      <c r="E2509" s="10" t="s">
        <v>1152</v>
      </c>
      <c r="F2509" s="10" t="s">
        <v>1153</v>
      </c>
      <c r="G2509" s="8">
        <v>1</v>
      </c>
      <c r="H2509" s="321">
        <v>400</v>
      </c>
      <c r="I2509" s="12">
        <v>42667</v>
      </c>
      <c r="J2509" s="35">
        <f t="shared" si="90"/>
        <v>0</v>
      </c>
      <c r="K2509" s="36"/>
      <c r="L2509" s="36"/>
      <c r="M2509" s="36"/>
      <c r="N2509" s="36"/>
      <c r="O2509" s="36"/>
      <c r="P2509" s="36"/>
      <c r="Q2509" s="36"/>
      <c r="R2509" s="36"/>
      <c r="S2509" s="36">
        <v>100</v>
      </c>
      <c r="T2509" s="36">
        <v>100</v>
      </c>
      <c r="U2509" s="36">
        <v>100</v>
      </c>
      <c r="V2509" s="36">
        <v>100</v>
      </c>
      <c r="W2509" s="15">
        <f t="shared" si="91"/>
        <v>400</v>
      </c>
      <c r="X2509" s="36"/>
      <c r="Y2509" s="36"/>
      <c r="Z2509" s="36"/>
      <c r="AA2509" s="36"/>
      <c r="AB2509" s="36"/>
      <c r="AC2509" s="36"/>
      <c r="AD2509" s="36"/>
      <c r="AE2509" s="36"/>
      <c r="AF2509" s="36"/>
      <c r="AG2509" s="36"/>
      <c r="AH2509" s="36"/>
      <c r="AI2509" s="36"/>
      <c r="AJ2509" s="15">
        <f t="shared" si="92"/>
        <v>0</v>
      </c>
      <c r="AK2509" s="16"/>
    </row>
    <row r="2510" spans="2:37" x14ac:dyDescent="0.2">
      <c r="B2510" s="7"/>
      <c r="C2510" s="8">
        <v>13091</v>
      </c>
      <c r="D2510" s="9" t="s">
        <v>87</v>
      </c>
      <c r="E2510" s="10" t="s">
        <v>88</v>
      </c>
      <c r="F2510" s="10" t="s">
        <v>89</v>
      </c>
      <c r="G2510" s="8">
        <v>1</v>
      </c>
      <c r="H2510" s="11">
        <v>800</v>
      </c>
      <c r="I2510" s="12">
        <v>42673</v>
      </c>
      <c r="J2510" s="35">
        <f t="shared" si="90"/>
        <v>0</v>
      </c>
      <c r="K2510" s="36"/>
      <c r="L2510" s="36"/>
      <c r="M2510" s="36"/>
      <c r="N2510" s="36"/>
      <c r="O2510" s="36"/>
      <c r="P2510" s="36"/>
      <c r="Q2510" s="36"/>
      <c r="R2510" s="36"/>
      <c r="S2510" s="36"/>
      <c r="T2510" s="36"/>
      <c r="U2510" s="36"/>
      <c r="V2510" s="36"/>
      <c r="W2510" s="15">
        <f t="shared" si="91"/>
        <v>0</v>
      </c>
      <c r="X2510" s="36"/>
      <c r="Y2510" s="36"/>
      <c r="Z2510" s="36"/>
      <c r="AA2510" s="36"/>
      <c r="AB2510" s="36"/>
      <c r="AC2510" s="36"/>
      <c r="AD2510" s="36"/>
      <c r="AE2510" s="36"/>
      <c r="AF2510" s="36"/>
      <c r="AG2510" s="36">
        <v>400</v>
      </c>
      <c r="AH2510" s="36">
        <v>400</v>
      </c>
      <c r="AI2510" s="36"/>
      <c r="AJ2510" s="15">
        <f t="shared" si="92"/>
        <v>800</v>
      </c>
      <c r="AK2510" s="16"/>
    </row>
    <row r="2511" spans="2:37" x14ac:dyDescent="0.2">
      <c r="B2511" s="7"/>
      <c r="C2511" s="8">
        <v>13091</v>
      </c>
      <c r="D2511" s="9" t="s">
        <v>87</v>
      </c>
      <c r="E2511" s="10" t="s">
        <v>88</v>
      </c>
      <c r="F2511" s="10" t="s">
        <v>89</v>
      </c>
      <c r="G2511" s="8">
        <v>5</v>
      </c>
      <c r="H2511" s="11">
        <v>50</v>
      </c>
      <c r="I2511" s="12">
        <v>42673</v>
      </c>
      <c r="J2511" s="35">
        <f t="shared" si="90"/>
        <v>0</v>
      </c>
      <c r="K2511" s="36"/>
      <c r="L2511" s="36"/>
      <c r="M2511" s="36"/>
      <c r="N2511" s="36"/>
      <c r="O2511" s="36"/>
      <c r="P2511" s="36"/>
      <c r="Q2511" s="36"/>
      <c r="R2511" s="36"/>
      <c r="S2511" s="36"/>
      <c r="T2511" s="36"/>
      <c r="U2511" s="36"/>
      <c r="V2511" s="36"/>
      <c r="W2511" s="15">
        <f t="shared" si="91"/>
        <v>0</v>
      </c>
      <c r="X2511" s="36"/>
      <c r="Y2511" s="36"/>
      <c r="Z2511" s="36"/>
      <c r="AA2511" s="36"/>
      <c r="AB2511" s="36"/>
      <c r="AC2511" s="36"/>
      <c r="AD2511" s="36"/>
      <c r="AE2511" s="36"/>
      <c r="AF2511" s="36"/>
      <c r="AG2511" s="36"/>
      <c r="AH2511" s="36"/>
      <c r="AI2511" s="36"/>
      <c r="AJ2511" s="15">
        <f t="shared" si="92"/>
        <v>0</v>
      </c>
      <c r="AK2511" s="16"/>
    </row>
    <row r="2512" spans="2:37" x14ac:dyDescent="0.2">
      <c r="B2512" s="7"/>
      <c r="C2512" s="8">
        <v>13092</v>
      </c>
      <c r="D2512" s="9" t="s">
        <v>109</v>
      </c>
      <c r="E2512" s="10" t="s">
        <v>110</v>
      </c>
      <c r="F2512" s="10" t="s">
        <v>111</v>
      </c>
      <c r="G2512" s="8">
        <v>3</v>
      </c>
      <c r="H2512" s="11">
        <v>200</v>
      </c>
      <c r="I2512" s="12">
        <v>42673</v>
      </c>
      <c r="J2512" s="35">
        <f t="shared" si="90"/>
        <v>0</v>
      </c>
      <c r="K2512" s="36"/>
      <c r="L2512" s="36"/>
      <c r="M2512" s="36"/>
      <c r="N2512" s="36"/>
      <c r="O2512" s="36"/>
      <c r="P2512" s="36"/>
      <c r="Q2512" s="36"/>
      <c r="R2512" s="36"/>
      <c r="S2512" s="36"/>
      <c r="T2512" s="36"/>
      <c r="U2512" s="36"/>
      <c r="V2512" s="36"/>
      <c r="W2512" s="15">
        <f t="shared" si="91"/>
        <v>0</v>
      </c>
      <c r="X2512" s="36"/>
      <c r="Y2512" s="36"/>
      <c r="Z2512" s="36"/>
      <c r="AA2512" s="36"/>
      <c r="AB2512" s="36"/>
      <c r="AC2512" s="36"/>
      <c r="AD2512" s="36"/>
      <c r="AE2512" s="36"/>
      <c r="AF2512" s="36"/>
      <c r="AG2512" s="36"/>
      <c r="AH2512" s="36"/>
      <c r="AI2512" s="36"/>
      <c r="AJ2512" s="15">
        <f t="shared" si="92"/>
        <v>0</v>
      </c>
      <c r="AK2512" s="16"/>
    </row>
    <row r="2513" spans="2:37" x14ac:dyDescent="0.2">
      <c r="B2513" s="7"/>
      <c r="C2513" s="8">
        <v>13093</v>
      </c>
      <c r="D2513" s="9" t="s">
        <v>295</v>
      </c>
      <c r="E2513" s="10" t="s">
        <v>296</v>
      </c>
      <c r="F2513" s="10" t="s">
        <v>297</v>
      </c>
      <c r="G2513" s="8">
        <v>1</v>
      </c>
      <c r="H2513" s="11">
        <v>300</v>
      </c>
      <c r="I2513" s="12">
        <v>42673</v>
      </c>
      <c r="J2513" s="35">
        <f t="shared" si="90"/>
        <v>0</v>
      </c>
      <c r="K2513" s="36"/>
      <c r="L2513" s="36"/>
      <c r="M2513" s="36"/>
      <c r="N2513" s="36"/>
      <c r="O2513" s="36"/>
      <c r="P2513" s="36"/>
      <c r="Q2513" s="36"/>
      <c r="R2513" s="36"/>
      <c r="S2513" s="36"/>
      <c r="T2513" s="36">
        <v>300</v>
      </c>
      <c r="U2513" s="36"/>
      <c r="V2513" s="36"/>
      <c r="W2513" s="15">
        <f t="shared" si="91"/>
        <v>300</v>
      </c>
      <c r="X2513" s="36"/>
      <c r="Y2513" s="36"/>
      <c r="Z2513" s="36"/>
      <c r="AA2513" s="36"/>
      <c r="AB2513" s="36"/>
      <c r="AC2513" s="36"/>
      <c r="AD2513" s="36"/>
      <c r="AE2513" s="36"/>
      <c r="AF2513" s="36"/>
      <c r="AG2513" s="36"/>
      <c r="AH2513" s="36"/>
      <c r="AI2513" s="36"/>
      <c r="AJ2513" s="15">
        <f t="shared" si="92"/>
        <v>0</v>
      </c>
      <c r="AK2513" s="16"/>
    </row>
    <row r="2514" spans="2:37" x14ac:dyDescent="0.2">
      <c r="B2514" s="7"/>
      <c r="C2514" s="8">
        <v>13093</v>
      </c>
      <c r="D2514" s="9" t="s">
        <v>295</v>
      </c>
      <c r="E2514" s="10" t="s">
        <v>296</v>
      </c>
      <c r="F2514" s="10" t="s">
        <v>297</v>
      </c>
      <c r="G2514" s="8">
        <v>3</v>
      </c>
      <c r="H2514" s="11">
        <v>200</v>
      </c>
      <c r="I2514" s="12">
        <v>42673</v>
      </c>
      <c r="J2514" s="35">
        <f t="shared" si="90"/>
        <v>0</v>
      </c>
      <c r="K2514" s="36"/>
      <c r="L2514" s="36"/>
      <c r="M2514" s="36"/>
      <c r="N2514" s="36"/>
      <c r="O2514" s="36"/>
      <c r="P2514" s="36"/>
      <c r="Q2514" s="36"/>
      <c r="R2514" s="36"/>
      <c r="S2514" s="36"/>
      <c r="T2514" s="36"/>
      <c r="U2514" s="36"/>
      <c r="V2514" s="36"/>
      <c r="W2514" s="15">
        <f t="shared" si="91"/>
        <v>0</v>
      </c>
      <c r="X2514" s="36"/>
      <c r="Y2514" s="36"/>
      <c r="Z2514" s="36"/>
      <c r="AA2514" s="36"/>
      <c r="AB2514" s="36"/>
      <c r="AC2514" s="36"/>
      <c r="AD2514" s="36"/>
      <c r="AE2514" s="36"/>
      <c r="AF2514" s="36"/>
      <c r="AG2514" s="36"/>
      <c r="AH2514" s="36"/>
      <c r="AI2514" s="36"/>
      <c r="AJ2514" s="15">
        <f t="shared" si="92"/>
        <v>0</v>
      </c>
      <c r="AK2514" s="16"/>
    </row>
    <row r="2515" spans="2:37" x14ac:dyDescent="0.2">
      <c r="B2515" s="7"/>
      <c r="C2515" s="8">
        <v>13094</v>
      </c>
      <c r="D2515" s="9" t="s">
        <v>461</v>
      </c>
      <c r="E2515" s="10" t="s">
        <v>462</v>
      </c>
      <c r="F2515" s="10" t="s">
        <v>463</v>
      </c>
      <c r="G2515" s="8">
        <v>1</v>
      </c>
      <c r="H2515" s="11">
        <v>1200</v>
      </c>
      <c r="I2515" s="12">
        <v>42673</v>
      </c>
      <c r="J2515" s="35">
        <f t="shared" si="90"/>
        <v>0</v>
      </c>
      <c r="K2515" s="36"/>
      <c r="L2515" s="36"/>
      <c r="M2515" s="36"/>
      <c r="N2515" s="36"/>
      <c r="O2515" s="36"/>
      <c r="P2515" s="36"/>
      <c r="Q2515" s="36">
        <v>400</v>
      </c>
      <c r="R2515" s="36">
        <v>400</v>
      </c>
      <c r="S2515" s="36">
        <v>400</v>
      </c>
      <c r="T2515" s="36"/>
      <c r="U2515" s="36"/>
      <c r="V2515" s="36"/>
      <c r="W2515" s="15">
        <f t="shared" si="91"/>
        <v>1200</v>
      </c>
      <c r="X2515" s="36"/>
      <c r="Y2515" s="36"/>
      <c r="Z2515" s="36"/>
      <c r="AA2515" s="36"/>
      <c r="AB2515" s="36"/>
      <c r="AC2515" s="36"/>
      <c r="AD2515" s="36"/>
      <c r="AE2515" s="36"/>
      <c r="AF2515" s="36"/>
      <c r="AG2515" s="36"/>
      <c r="AH2515" s="36"/>
      <c r="AI2515" s="36"/>
      <c r="AJ2515" s="15">
        <f t="shared" si="92"/>
        <v>0</v>
      </c>
      <c r="AK2515" s="16"/>
    </row>
    <row r="2516" spans="2:37" x14ac:dyDescent="0.2">
      <c r="B2516" s="7"/>
      <c r="C2516" s="8">
        <v>13095</v>
      </c>
      <c r="D2516" s="9" t="s">
        <v>458</v>
      </c>
      <c r="E2516" s="10" t="s">
        <v>459</v>
      </c>
      <c r="F2516" s="10" t="s">
        <v>460</v>
      </c>
      <c r="G2516" s="8">
        <v>4</v>
      </c>
      <c r="H2516" s="11">
        <v>200</v>
      </c>
      <c r="I2516" s="12">
        <v>42673</v>
      </c>
      <c r="J2516" s="35">
        <f t="shared" si="90"/>
        <v>0</v>
      </c>
      <c r="K2516" s="36"/>
      <c r="L2516" s="36"/>
      <c r="M2516" s="36"/>
      <c r="N2516" s="36"/>
      <c r="O2516" s="36"/>
      <c r="P2516" s="36"/>
      <c r="Q2516" s="36"/>
      <c r="R2516" s="36"/>
      <c r="S2516" s="36"/>
      <c r="T2516" s="36"/>
      <c r="U2516" s="36"/>
      <c r="V2516" s="36"/>
      <c r="W2516" s="15">
        <f t="shared" si="91"/>
        <v>0</v>
      </c>
      <c r="X2516" s="36"/>
      <c r="Y2516" s="36"/>
      <c r="Z2516" s="36"/>
      <c r="AA2516" s="36"/>
      <c r="AB2516" s="36"/>
      <c r="AC2516" s="36"/>
      <c r="AD2516" s="36"/>
      <c r="AE2516" s="36"/>
      <c r="AF2516" s="36"/>
      <c r="AG2516" s="36"/>
      <c r="AH2516" s="36"/>
      <c r="AI2516" s="36"/>
      <c r="AJ2516" s="15">
        <f t="shared" si="92"/>
        <v>0</v>
      </c>
      <c r="AK2516" s="16"/>
    </row>
    <row r="2517" spans="2:37" x14ac:dyDescent="0.2">
      <c r="B2517" s="7"/>
      <c r="C2517" s="8">
        <v>13096</v>
      </c>
      <c r="D2517" s="9" t="s">
        <v>94</v>
      </c>
      <c r="E2517" s="10" t="s">
        <v>95</v>
      </c>
      <c r="F2517" s="10" t="s">
        <v>96</v>
      </c>
      <c r="G2517" s="8">
        <v>5</v>
      </c>
      <c r="H2517" s="11">
        <v>50</v>
      </c>
      <c r="I2517" s="12">
        <v>42673</v>
      </c>
      <c r="J2517" s="35">
        <f t="shared" si="90"/>
        <v>0</v>
      </c>
      <c r="K2517" s="36"/>
      <c r="L2517" s="36"/>
      <c r="M2517" s="36"/>
      <c r="N2517" s="36"/>
      <c r="O2517" s="36"/>
      <c r="P2517" s="36"/>
      <c r="Q2517" s="36"/>
      <c r="R2517" s="36"/>
      <c r="S2517" s="36"/>
      <c r="T2517" s="36"/>
      <c r="U2517" s="36"/>
      <c r="V2517" s="36"/>
      <c r="W2517" s="15">
        <f t="shared" si="91"/>
        <v>0</v>
      </c>
      <c r="X2517" s="36"/>
      <c r="Y2517" s="36"/>
      <c r="Z2517" s="36"/>
      <c r="AA2517" s="36"/>
      <c r="AB2517" s="36"/>
      <c r="AC2517" s="36"/>
      <c r="AD2517" s="36"/>
      <c r="AE2517" s="36"/>
      <c r="AF2517" s="36"/>
      <c r="AG2517" s="36"/>
      <c r="AH2517" s="36"/>
      <c r="AI2517" s="36"/>
      <c r="AJ2517" s="15">
        <f t="shared" si="92"/>
        <v>0</v>
      </c>
      <c r="AK2517" s="16"/>
    </row>
    <row r="2518" spans="2:37" x14ac:dyDescent="0.2">
      <c r="B2518" s="7"/>
      <c r="C2518" s="8">
        <v>13097</v>
      </c>
      <c r="D2518" s="9" t="s">
        <v>538</v>
      </c>
      <c r="E2518" s="10" t="s">
        <v>539</v>
      </c>
      <c r="F2518" s="10" t="s">
        <v>540</v>
      </c>
      <c r="G2518" s="8">
        <v>1</v>
      </c>
      <c r="H2518" s="11">
        <v>400</v>
      </c>
      <c r="I2518" s="12">
        <v>42673</v>
      </c>
      <c r="J2518" s="35">
        <f t="shared" si="90"/>
        <v>0</v>
      </c>
      <c r="K2518" s="36"/>
      <c r="L2518" s="36"/>
      <c r="M2518" s="36"/>
      <c r="N2518" s="36"/>
      <c r="O2518" s="36"/>
      <c r="P2518" s="36"/>
      <c r="Q2518" s="36"/>
      <c r="R2518" s="36"/>
      <c r="S2518" s="36"/>
      <c r="T2518" s="36">
        <v>400</v>
      </c>
      <c r="U2518" s="36"/>
      <c r="V2518" s="36"/>
      <c r="W2518" s="15">
        <f t="shared" si="91"/>
        <v>400</v>
      </c>
      <c r="X2518" s="36"/>
      <c r="Y2518" s="36"/>
      <c r="Z2518" s="36"/>
      <c r="AA2518" s="36"/>
      <c r="AB2518" s="36"/>
      <c r="AC2518" s="36"/>
      <c r="AD2518" s="36"/>
      <c r="AE2518" s="36"/>
      <c r="AF2518" s="36"/>
      <c r="AG2518" s="36"/>
      <c r="AH2518" s="36"/>
      <c r="AI2518" s="36"/>
      <c r="AJ2518" s="15">
        <f t="shared" si="92"/>
        <v>0</v>
      </c>
      <c r="AK2518" s="16"/>
    </row>
    <row r="2519" spans="2:37" x14ac:dyDescent="0.2">
      <c r="B2519" s="7"/>
      <c r="C2519" s="8">
        <v>13098</v>
      </c>
      <c r="D2519" s="9" t="s">
        <v>295</v>
      </c>
      <c r="E2519" s="10" t="s">
        <v>296</v>
      </c>
      <c r="F2519" s="10" t="s">
        <v>297</v>
      </c>
      <c r="G2519" s="8">
        <v>4</v>
      </c>
      <c r="H2519" s="11">
        <v>200</v>
      </c>
      <c r="I2519" s="12">
        <v>42673</v>
      </c>
      <c r="J2519" s="35">
        <f t="shared" si="90"/>
        <v>0</v>
      </c>
      <c r="K2519" s="36"/>
      <c r="L2519" s="36"/>
      <c r="M2519" s="36"/>
      <c r="N2519" s="36"/>
      <c r="O2519" s="36"/>
      <c r="P2519" s="36"/>
      <c r="Q2519" s="36"/>
      <c r="R2519" s="36"/>
      <c r="S2519" s="36"/>
      <c r="T2519" s="36"/>
      <c r="U2519" s="36"/>
      <c r="V2519" s="36"/>
      <c r="W2519" s="15">
        <f t="shared" si="91"/>
        <v>0</v>
      </c>
      <c r="X2519" s="36"/>
      <c r="Y2519" s="36"/>
      <c r="Z2519" s="36"/>
      <c r="AA2519" s="36"/>
      <c r="AB2519" s="36"/>
      <c r="AC2519" s="36"/>
      <c r="AD2519" s="36"/>
      <c r="AE2519" s="36"/>
      <c r="AF2519" s="36"/>
      <c r="AG2519" s="36"/>
      <c r="AH2519" s="36"/>
      <c r="AI2519" s="36"/>
      <c r="AJ2519" s="15">
        <f t="shared" si="92"/>
        <v>0</v>
      </c>
      <c r="AK2519" s="16"/>
    </row>
    <row r="2520" spans="2:37" x14ac:dyDescent="0.2">
      <c r="B2520" s="7"/>
      <c r="C2520" s="8">
        <v>13098</v>
      </c>
      <c r="D2520" s="9" t="s">
        <v>295</v>
      </c>
      <c r="E2520" s="10" t="s">
        <v>296</v>
      </c>
      <c r="F2520" s="10" t="s">
        <v>297</v>
      </c>
      <c r="G2520" s="8">
        <v>5</v>
      </c>
      <c r="H2520" s="11">
        <v>50</v>
      </c>
      <c r="I2520" s="12">
        <v>42673</v>
      </c>
      <c r="J2520" s="35">
        <f t="shared" si="90"/>
        <v>0</v>
      </c>
      <c r="K2520" s="36"/>
      <c r="L2520" s="36"/>
      <c r="M2520" s="36"/>
      <c r="N2520" s="36"/>
      <c r="O2520" s="36"/>
      <c r="P2520" s="36"/>
      <c r="Q2520" s="36"/>
      <c r="R2520" s="36"/>
      <c r="S2520" s="36"/>
      <c r="T2520" s="36"/>
      <c r="U2520" s="36"/>
      <c r="V2520" s="36"/>
      <c r="W2520" s="15">
        <f t="shared" si="91"/>
        <v>0</v>
      </c>
      <c r="X2520" s="36"/>
      <c r="Y2520" s="36"/>
      <c r="Z2520" s="36"/>
      <c r="AA2520" s="36"/>
      <c r="AB2520" s="36"/>
      <c r="AC2520" s="36"/>
      <c r="AD2520" s="36"/>
      <c r="AE2520" s="36"/>
      <c r="AF2520" s="36"/>
      <c r="AG2520" s="36"/>
      <c r="AH2520" s="36"/>
      <c r="AI2520" s="36"/>
      <c r="AJ2520" s="15">
        <f t="shared" si="92"/>
        <v>0</v>
      </c>
      <c r="AK2520" s="16"/>
    </row>
    <row r="2521" spans="2:37" x14ac:dyDescent="0.2">
      <c r="B2521" s="7"/>
      <c r="C2521" s="8">
        <v>13099</v>
      </c>
      <c r="D2521" s="9" t="s">
        <v>1192</v>
      </c>
      <c r="E2521" s="10" t="s">
        <v>1193</v>
      </c>
      <c r="F2521" s="10" t="s">
        <v>1194</v>
      </c>
      <c r="G2521" s="8">
        <v>1</v>
      </c>
      <c r="H2521" s="11">
        <v>400</v>
      </c>
      <c r="I2521" s="12">
        <v>42673</v>
      </c>
      <c r="J2521" s="35">
        <f t="shared" si="90"/>
        <v>0</v>
      </c>
      <c r="K2521" s="36"/>
      <c r="L2521" s="36"/>
      <c r="M2521" s="36"/>
      <c r="N2521" s="36"/>
      <c r="O2521" s="36"/>
      <c r="P2521" s="36"/>
      <c r="Q2521" s="36"/>
      <c r="R2521" s="36"/>
      <c r="S2521" s="36"/>
      <c r="T2521" s="36">
        <v>400</v>
      </c>
      <c r="U2521" s="36"/>
      <c r="V2521" s="36"/>
      <c r="W2521" s="15">
        <f t="shared" si="91"/>
        <v>400</v>
      </c>
      <c r="X2521" s="36"/>
      <c r="Y2521" s="36"/>
      <c r="Z2521" s="36"/>
      <c r="AA2521" s="36"/>
      <c r="AB2521" s="36"/>
      <c r="AC2521" s="36"/>
      <c r="AD2521" s="36"/>
      <c r="AE2521" s="36"/>
      <c r="AF2521" s="36"/>
      <c r="AG2521" s="36"/>
      <c r="AH2521" s="36"/>
      <c r="AI2521" s="36"/>
      <c r="AJ2521" s="15">
        <f t="shared" si="92"/>
        <v>0</v>
      </c>
      <c r="AK2521" s="16"/>
    </row>
    <row r="2522" spans="2:37" x14ac:dyDescent="0.2">
      <c r="B2522" s="7"/>
      <c r="C2522" s="8">
        <v>13100</v>
      </c>
      <c r="D2522" s="9" t="s">
        <v>286</v>
      </c>
      <c r="E2522" s="10" t="s">
        <v>287</v>
      </c>
      <c r="F2522" s="10" t="s">
        <v>288</v>
      </c>
      <c r="G2522" s="8">
        <v>1</v>
      </c>
      <c r="H2522" s="11">
        <v>800</v>
      </c>
      <c r="I2522" s="12">
        <v>42673</v>
      </c>
      <c r="J2522" s="35">
        <f t="shared" si="90"/>
        <v>0</v>
      </c>
      <c r="K2522" s="36"/>
      <c r="L2522" s="36"/>
      <c r="M2522" s="36"/>
      <c r="N2522" s="36"/>
      <c r="O2522" s="36"/>
      <c r="P2522" s="36"/>
      <c r="Q2522" s="36"/>
      <c r="R2522" s="36"/>
      <c r="S2522" s="36"/>
      <c r="T2522" s="36">
        <v>400</v>
      </c>
      <c r="U2522" s="36">
        <v>400</v>
      </c>
      <c r="V2522" s="36"/>
      <c r="W2522" s="15">
        <f t="shared" si="91"/>
        <v>800</v>
      </c>
      <c r="X2522" s="36"/>
      <c r="Y2522" s="36"/>
      <c r="Z2522" s="36"/>
      <c r="AA2522" s="36"/>
      <c r="AB2522" s="36"/>
      <c r="AC2522" s="36"/>
      <c r="AD2522" s="36"/>
      <c r="AE2522" s="36"/>
      <c r="AF2522" s="36"/>
      <c r="AG2522" s="36"/>
      <c r="AH2522" s="36"/>
      <c r="AI2522" s="36"/>
      <c r="AJ2522" s="15">
        <f t="shared" si="92"/>
        <v>0</v>
      </c>
      <c r="AK2522" s="16"/>
    </row>
    <row r="2523" spans="2:37" x14ac:dyDescent="0.2">
      <c r="B2523" s="7"/>
      <c r="C2523" s="8">
        <v>13101</v>
      </c>
      <c r="D2523" s="9" t="s">
        <v>135</v>
      </c>
      <c r="E2523" s="10" t="s">
        <v>136</v>
      </c>
      <c r="F2523" s="10" t="s">
        <v>137</v>
      </c>
      <c r="G2523" s="8">
        <v>1</v>
      </c>
      <c r="H2523" s="11">
        <v>300</v>
      </c>
      <c r="I2523" s="12">
        <v>42673</v>
      </c>
      <c r="J2523" s="35">
        <f t="shared" si="90"/>
        <v>0</v>
      </c>
      <c r="K2523" s="36"/>
      <c r="L2523" s="36"/>
      <c r="M2523" s="36"/>
      <c r="N2523" s="36"/>
      <c r="O2523" s="36"/>
      <c r="P2523" s="36"/>
      <c r="Q2523" s="36"/>
      <c r="R2523" s="36"/>
      <c r="S2523" s="36"/>
      <c r="T2523" s="36"/>
      <c r="U2523" s="36">
        <v>300</v>
      </c>
      <c r="V2523" s="36"/>
      <c r="W2523" s="15">
        <f t="shared" si="91"/>
        <v>300</v>
      </c>
      <c r="X2523" s="36"/>
      <c r="Y2523" s="36"/>
      <c r="Z2523" s="36"/>
      <c r="AA2523" s="36"/>
      <c r="AB2523" s="36"/>
      <c r="AC2523" s="36"/>
      <c r="AD2523" s="36"/>
      <c r="AE2523" s="36"/>
      <c r="AF2523" s="36"/>
      <c r="AG2523" s="36"/>
      <c r="AH2523" s="36"/>
      <c r="AI2523" s="36"/>
      <c r="AJ2523" s="15">
        <f t="shared" si="92"/>
        <v>0</v>
      </c>
      <c r="AK2523" s="16"/>
    </row>
    <row r="2524" spans="2:37" x14ac:dyDescent="0.2">
      <c r="B2524" s="7"/>
      <c r="C2524" s="8">
        <v>13102</v>
      </c>
      <c r="D2524" s="9" t="s">
        <v>84</v>
      </c>
      <c r="E2524" s="10" t="s">
        <v>85</v>
      </c>
      <c r="F2524" s="10" t="s">
        <v>86</v>
      </c>
      <c r="G2524" s="8">
        <v>1</v>
      </c>
      <c r="H2524" s="11">
        <v>200</v>
      </c>
      <c r="I2524" s="12">
        <v>42673</v>
      </c>
      <c r="J2524" s="35">
        <f t="shared" si="90"/>
        <v>0</v>
      </c>
      <c r="K2524" s="36"/>
      <c r="L2524" s="36"/>
      <c r="M2524" s="36"/>
      <c r="N2524" s="36"/>
      <c r="O2524" s="36"/>
      <c r="P2524" s="36"/>
      <c r="Q2524" s="36"/>
      <c r="R2524" s="36"/>
      <c r="S2524" s="36"/>
      <c r="T2524" s="36"/>
      <c r="U2524" s="36">
        <v>200</v>
      </c>
      <c r="V2524" s="36"/>
      <c r="W2524" s="15">
        <f t="shared" si="91"/>
        <v>200</v>
      </c>
      <c r="X2524" s="36"/>
      <c r="Y2524" s="36"/>
      <c r="Z2524" s="36"/>
      <c r="AA2524" s="36"/>
      <c r="AB2524" s="36"/>
      <c r="AC2524" s="36"/>
      <c r="AD2524" s="36"/>
      <c r="AE2524" s="36"/>
      <c r="AF2524" s="36"/>
      <c r="AG2524" s="36"/>
      <c r="AH2524" s="36"/>
      <c r="AI2524" s="36"/>
      <c r="AJ2524" s="15">
        <f t="shared" si="92"/>
        <v>0</v>
      </c>
      <c r="AK2524" s="16"/>
    </row>
    <row r="2525" spans="2:37" x14ac:dyDescent="0.2">
      <c r="B2525" s="7"/>
      <c r="C2525" s="8">
        <v>13103</v>
      </c>
      <c r="D2525" s="9" t="s">
        <v>1039</v>
      </c>
      <c r="E2525" s="10" t="s">
        <v>1040</v>
      </c>
      <c r="F2525" s="10" t="s">
        <v>1041</v>
      </c>
      <c r="G2525" s="8">
        <v>1</v>
      </c>
      <c r="H2525" s="11">
        <v>400</v>
      </c>
      <c r="I2525" s="12">
        <v>42673</v>
      </c>
      <c r="J2525" s="35">
        <f t="shared" si="90"/>
        <v>0</v>
      </c>
      <c r="K2525" s="36"/>
      <c r="L2525" s="36"/>
      <c r="M2525" s="36"/>
      <c r="N2525" s="36"/>
      <c r="O2525" s="36"/>
      <c r="P2525" s="36"/>
      <c r="Q2525" s="36"/>
      <c r="R2525" s="36"/>
      <c r="S2525" s="36"/>
      <c r="T2525" s="36">
        <v>400</v>
      </c>
      <c r="U2525" s="36"/>
      <c r="V2525" s="36"/>
      <c r="W2525" s="15">
        <f t="shared" si="91"/>
        <v>400</v>
      </c>
      <c r="X2525" s="36"/>
      <c r="Y2525" s="36"/>
      <c r="Z2525" s="36"/>
      <c r="AA2525" s="36"/>
      <c r="AB2525" s="36"/>
      <c r="AC2525" s="36"/>
      <c r="AD2525" s="36"/>
      <c r="AE2525" s="36"/>
      <c r="AF2525" s="36"/>
      <c r="AG2525" s="36"/>
      <c r="AH2525" s="36"/>
      <c r="AI2525" s="36"/>
      <c r="AJ2525" s="15">
        <f t="shared" si="92"/>
        <v>0</v>
      </c>
      <c r="AK2525" s="16"/>
    </row>
    <row r="2526" spans="2:37" x14ac:dyDescent="0.2">
      <c r="B2526" s="7"/>
      <c r="C2526" s="8">
        <v>13104</v>
      </c>
      <c r="D2526" s="9" t="s">
        <v>349</v>
      </c>
      <c r="E2526" s="10" t="s">
        <v>350</v>
      </c>
      <c r="F2526" s="10" t="s">
        <v>351</v>
      </c>
      <c r="G2526" s="8">
        <v>1</v>
      </c>
      <c r="H2526" s="11">
        <v>600</v>
      </c>
      <c r="I2526" s="12">
        <v>42673</v>
      </c>
      <c r="J2526" s="35">
        <f t="shared" si="90"/>
        <v>0</v>
      </c>
      <c r="K2526" s="36"/>
      <c r="L2526" s="36"/>
      <c r="M2526" s="36"/>
      <c r="N2526" s="36"/>
      <c r="O2526" s="36"/>
      <c r="P2526" s="36"/>
      <c r="Q2526" s="36"/>
      <c r="R2526" s="36"/>
      <c r="S2526" s="36">
        <v>300</v>
      </c>
      <c r="T2526" s="36">
        <v>300</v>
      </c>
      <c r="U2526" s="36"/>
      <c r="V2526" s="36"/>
      <c r="W2526" s="15">
        <f t="shared" si="91"/>
        <v>600</v>
      </c>
      <c r="X2526" s="36"/>
      <c r="Y2526" s="36"/>
      <c r="Z2526" s="36"/>
      <c r="AA2526" s="36"/>
      <c r="AB2526" s="36"/>
      <c r="AC2526" s="36"/>
      <c r="AD2526" s="36"/>
      <c r="AE2526" s="36"/>
      <c r="AF2526" s="36"/>
      <c r="AG2526" s="36"/>
      <c r="AH2526" s="36"/>
      <c r="AI2526" s="36"/>
      <c r="AJ2526" s="15">
        <f t="shared" si="92"/>
        <v>0</v>
      </c>
      <c r="AK2526" s="16"/>
    </row>
    <row r="2527" spans="2:37" x14ac:dyDescent="0.2">
      <c r="B2527" s="7"/>
      <c r="C2527" s="8">
        <v>13105</v>
      </c>
      <c r="D2527" s="9" t="s">
        <v>162</v>
      </c>
      <c r="E2527" s="10" t="s">
        <v>163</v>
      </c>
      <c r="F2527" s="10" t="s">
        <v>164</v>
      </c>
      <c r="G2527" s="8">
        <v>1</v>
      </c>
      <c r="H2527" s="11">
        <v>800</v>
      </c>
      <c r="I2527" s="12">
        <v>42673</v>
      </c>
      <c r="J2527" s="35">
        <f t="shared" si="90"/>
        <v>0</v>
      </c>
      <c r="K2527" s="36"/>
      <c r="L2527" s="36"/>
      <c r="M2527" s="36"/>
      <c r="N2527" s="36"/>
      <c r="O2527" s="36"/>
      <c r="P2527" s="36"/>
      <c r="Q2527" s="36"/>
      <c r="R2527" s="36"/>
      <c r="S2527" s="36"/>
      <c r="T2527" s="36"/>
      <c r="U2527" s="36">
        <v>400</v>
      </c>
      <c r="V2527" s="36">
        <v>400</v>
      </c>
      <c r="W2527" s="15">
        <f t="shared" si="91"/>
        <v>800</v>
      </c>
      <c r="X2527" s="36"/>
      <c r="Y2527" s="36"/>
      <c r="Z2527" s="36"/>
      <c r="AA2527" s="36"/>
      <c r="AB2527" s="36"/>
      <c r="AC2527" s="36"/>
      <c r="AD2527" s="36"/>
      <c r="AE2527" s="36"/>
      <c r="AF2527" s="36"/>
      <c r="AG2527" s="36"/>
      <c r="AH2527" s="36"/>
      <c r="AI2527" s="36"/>
      <c r="AJ2527" s="15">
        <f t="shared" si="92"/>
        <v>0</v>
      </c>
      <c r="AK2527" s="16"/>
    </row>
    <row r="2528" spans="2:37" x14ac:dyDescent="0.2">
      <c r="B2528" s="7"/>
      <c r="C2528" s="8">
        <v>13106</v>
      </c>
      <c r="D2528" s="9" t="s">
        <v>553</v>
      </c>
      <c r="E2528" s="10" t="s">
        <v>554</v>
      </c>
      <c r="F2528" s="10" t="s">
        <v>555</v>
      </c>
      <c r="G2528" s="8">
        <v>1</v>
      </c>
      <c r="H2528" s="11">
        <v>1200</v>
      </c>
      <c r="I2528" s="12">
        <v>42673</v>
      </c>
      <c r="J2528" s="35">
        <f t="shared" si="90"/>
        <v>0</v>
      </c>
      <c r="K2528" s="36"/>
      <c r="L2528" s="36"/>
      <c r="M2528" s="36"/>
      <c r="N2528" s="36"/>
      <c r="O2528" s="36"/>
      <c r="P2528" s="36"/>
      <c r="Q2528" s="36"/>
      <c r="R2528" s="36">
        <v>400</v>
      </c>
      <c r="S2528" s="36">
        <v>400</v>
      </c>
      <c r="T2528" s="36">
        <v>400</v>
      </c>
      <c r="U2528" s="36"/>
      <c r="V2528" s="36"/>
      <c r="W2528" s="15">
        <f t="shared" si="91"/>
        <v>1200</v>
      </c>
      <c r="X2528" s="36"/>
      <c r="Y2528" s="36"/>
      <c r="Z2528" s="36"/>
      <c r="AA2528" s="36"/>
      <c r="AB2528" s="36"/>
      <c r="AC2528" s="36"/>
      <c r="AD2528" s="36"/>
      <c r="AE2528" s="36"/>
      <c r="AF2528" s="36"/>
      <c r="AG2528" s="36"/>
      <c r="AH2528" s="36"/>
      <c r="AI2528" s="36"/>
      <c r="AJ2528" s="15">
        <f t="shared" si="92"/>
        <v>0</v>
      </c>
      <c r="AK2528" s="16"/>
    </row>
    <row r="2529" spans="2:37" x14ac:dyDescent="0.2">
      <c r="B2529" s="7"/>
      <c r="C2529" s="8">
        <v>13107</v>
      </c>
      <c r="D2529" s="9" t="s">
        <v>44</v>
      </c>
      <c r="E2529" s="10" t="s">
        <v>45</v>
      </c>
      <c r="F2529" s="10" t="s">
        <v>46</v>
      </c>
      <c r="G2529" s="8">
        <v>1</v>
      </c>
      <c r="H2529" s="11">
        <v>1200</v>
      </c>
      <c r="I2529" s="12">
        <v>42673</v>
      </c>
      <c r="J2529" s="35">
        <f t="shared" si="90"/>
        <v>0</v>
      </c>
      <c r="K2529" s="36"/>
      <c r="L2529" s="36"/>
      <c r="M2529" s="36"/>
      <c r="N2529" s="36"/>
      <c r="O2529" s="36"/>
      <c r="P2529" s="36"/>
      <c r="Q2529" s="36"/>
      <c r="R2529" s="36"/>
      <c r="S2529" s="36"/>
      <c r="T2529" s="36"/>
      <c r="U2529" s="36">
        <v>400</v>
      </c>
      <c r="V2529" s="36">
        <v>400</v>
      </c>
      <c r="W2529" s="15">
        <f t="shared" si="91"/>
        <v>800</v>
      </c>
      <c r="X2529" s="36">
        <v>400</v>
      </c>
      <c r="Y2529" s="36"/>
      <c r="Z2529" s="36"/>
      <c r="AA2529" s="36"/>
      <c r="AB2529" s="36"/>
      <c r="AC2529" s="36"/>
      <c r="AD2529" s="36"/>
      <c r="AE2529" s="36"/>
      <c r="AF2529" s="36"/>
      <c r="AG2529" s="36"/>
      <c r="AH2529" s="36"/>
      <c r="AI2529" s="36"/>
      <c r="AJ2529" s="15">
        <f t="shared" si="92"/>
        <v>400</v>
      </c>
      <c r="AK2529" s="16"/>
    </row>
    <row r="2530" spans="2:37" x14ac:dyDescent="0.2">
      <c r="B2530" s="7"/>
      <c r="C2530" s="8">
        <v>13108</v>
      </c>
      <c r="D2530" s="9" t="s">
        <v>1442</v>
      </c>
      <c r="E2530" s="10" t="s">
        <v>1443</v>
      </c>
      <c r="F2530" s="10" t="s">
        <v>1444</v>
      </c>
      <c r="G2530" s="8">
        <v>5</v>
      </c>
      <c r="H2530" s="11">
        <v>50</v>
      </c>
      <c r="I2530" s="12">
        <v>42673</v>
      </c>
      <c r="J2530" s="35">
        <f t="shared" si="90"/>
        <v>0</v>
      </c>
      <c r="K2530" s="36"/>
      <c r="L2530" s="36"/>
      <c r="M2530" s="36"/>
      <c r="N2530" s="36"/>
      <c r="O2530" s="36"/>
      <c r="P2530" s="36"/>
      <c r="Q2530" s="36"/>
      <c r="R2530" s="36"/>
      <c r="S2530" s="36"/>
      <c r="T2530" s="36"/>
      <c r="U2530" s="36"/>
      <c r="V2530" s="36"/>
      <c r="W2530" s="15">
        <f t="shared" si="91"/>
        <v>0</v>
      </c>
      <c r="X2530" s="36"/>
      <c r="Y2530" s="36"/>
      <c r="Z2530" s="36"/>
      <c r="AA2530" s="36"/>
      <c r="AB2530" s="36"/>
      <c r="AC2530" s="36"/>
      <c r="AD2530" s="36"/>
      <c r="AE2530" s="36"/>
      <c r="AF2530" s="36"/>
      <c r="AG2530" s="36"/>
      <c r="AH2530" s="36"/>
      <c r="AI2530" s="36"/>
      <c r="AJ2530" s="15">
        <f t="shared" si="92"/>
        <v>0</v>
      </c>
      <c r="AK2530" s="16"/>
    </row>
    <row r="2531" spans="2:37" x14ac:dyDescent="0.2">
      <c r="B2531" s="7"/>
      <c r="C2531" s="8">
        <v>13109</v>
      </c>
      <c r="D2531" s="9" t="s">
        <v>935</v>
      </c>
      <c r="E2531" s="10" t="s">
        <v>936</v>
      </c>
      <c r="F2531" s="10" t="s">
        <v>937</v>
      </c>
      <c r="G2531" s="8">
        <v>1</v>
      </c>
      <c r="H2531" s="11">
        <v>250</v>
      </c>
      <c r="I2531" s="12">
        <v>42673</v>
      </c>
      <c r="J2531" s="35">
        <f t="shared" si="90"/>
        <v>0</v>
      </c>
      <c r="K2531" s="36"/>
      <c r="L2531" s="36"/>
      <c r="M2531" s="36"/>
      <c r="N2531" s="36"/>
      <c r="O2531" s="36"/>
      <c r="P2531" s="36"/>
      <c r="Q2531" s="36"/>
      <c r="R2531" s="36"/>
      <c r="S2531" s="36"/>
      <c r="T2531" s="36">
        <v>250</v>
      </c>
      <c r="U2531" s="36"/>
      <c r="V2531" s="36"/>
      <c r="W2531" s="15">
        <f t="shared" si="91"/>
        <v>250</v>
      </c>
      <c r="X2531" s="36"/>
      <c r="Y2531" s="36"/>
      <c r="Z2531" s="36"/>
      <c r="AA2531" s="36"/>
      <c r="AB2531" s="36"/>
      <c r="AC2531" s="36"/>
      <c r="AD2531" s="36"/>
      <c r="AE2531" s="36"/>
      <c r="AF2531" s="36"/>
      <c r="AG2531" s="36"/>
      <c r="AH2531" s="36"/>
      <c r="AI2531" s="36"/>
      <c r="AJ2531" s="15">
        <f t="shared" si="92"/>
        <v>0</v>
      </c>
      <c r="AK2531" s="16"/>
    </row>
    <row r="2532" spans="2:37" x14ac:dyDescent="0.2">
      <c r="B2532" s="7"/>
      <c r="C2532" s="8">
        <v>13110</v>
      </c>
      <c r="D2532" s="9" t="s">
        <v>766</v>
      </c>
      <c r="E2532" s="10" t="s">
        <v>767</v>
      </c>
      <c r="F2532" s="10" t="s">
        <v>768</v>
      </c>
      <c r="G2532" s="8">
        <v>1</v>
      </c>
      <c r="H2532" s="11">
        <v>1200</v>
      </c>
      <c r="I2532" s="12">
        <v>42673</v>
      </c>
      <c r="J2532" s="35">
        <f t="shared" si="90"/>
        <v>0</v>
      </c>
      <c r="K2532" s="36"/>
      <c r="L2532" s="36"/>
      <c r="M2532" s="36"/>
      <c r="N2532" s="36"/>
      <c r="O2532" s="36"/>
      <c r="P2532" s="36"/>
      <c r="Q2532" s="36"/>
      <c r="R2532" s="36"/>
      <c r="S2532" s="36"/>
      <c r="T2532" s="36">
        <v>400</v>
      </c>
      <c r="U2532" s="36">
        <v>400</v>
      </c>
      <c r="V2532" s="36">
        <v>400</v>
      </c>
      <c r="W2532" s="15">
        <f t="shared" si="91"/>
        <v>1200</v>
      </c>
      <c r="X2532" s="36"/>
      <c r="Y2532" s="36"/>
      <c r="Z2532" s="36"/>
      <c r="AA2532" s="36"/>
      <c r="AB2532" s="36"/>
      <c r="AC2532" s="36"/>
      <c r="AD2532" s="36"/>
      <c r="AE2532" s="36"/>
      <c r="AF2532" s="36"/>
      <c r="AG2532" s="36"/>
      <c r="AH2532" s="36"/>
      <c r="AI2532" s="36"/>
      <c r="AJ2532" s="15">
        <f t="shared" si="92"/>
        <v>0</v>
      </c>
      <c r="AK2532" s="16"/>
    </row>
    <row r="2533" spans="2:37" x14ac:dyDescent="0.2">
      <c r="B2533" s="7"/>
      <c r="C2533" s="8">
        <v>13111</v>
      </c>
      <c r="D2533" s="9" t="s">
        <v>763</v>
      </c>
      <c r="E2533" s="10" t="s">
        <v>764</v>
      </c>
      <c r="F2533" s="10" t="s">
        <v>765</v>
      </c>
      <c r="G2533" s="8">
        <v>1</v>
      </c>
      <c r="H2533" s="11">
        <v>400</v>
      </c>
      <c r="I2533" s="12">
        <v>42673</v>
      </c>
      <c r="J2533" s="35">
        <f t="shared" si="90"/>
        <v>0</v>
      </c>
      <c r="K2533" s="36"/>
      <c r="L2533" s="36"/>
      <c r="M2533" s="36"/>
      <c r="N2533" s="36"/>
      <c r="O2533" s="36"/>
      <c r="P2533" s="36"/>
      <c r="Q2533" s="36"/>
      <c r="R2533" s="36"/>
      <c r="S2533" s="36"/>
      <c r="T2533" s="36">
        <v>400</v>
      </c>
      <c r="U2533" s="36"/>
      <c r="V2533" s="36"/>
      <c r="W2533" s="15">
        <f t="shared" si="91"/>
        <v>400</v>
      </c>
      <c r="X2533" s="36"/>
      <c r="Y2533" s="36"/>
      <c r="Z2533" s="36"/>
      <c r="AA2533" s="36"/>
      <c r="AB2533" s="36"/>
      <c r="AC2533" s="36"/>
      <c r="AD2533" s="36"/>
      <c r="AE2533" s="36"/>
      <c r="AF2533" s="36"/>
      <c r="AG2533" s="36"/>
      <c r="AH2533" s="36"/>
      <c r="AI2533" s="36"/>
      <c r="AJ2533" s="15">
        <f t="shared" si="92"/>
        <v>0</v>
      </c>
      <c r="AK2533" s="16"/>
    </row>
    <row r="2534" spans="2:37" x14ac:dyDescent="0.2">
      <c r="B2534" s="7"/>
      <c r="C2534" s="8">
        <v>13112</v>
      </c>
      <c r="D2534" s="9" t="s">
        <v>1297</v>
      </c>
      <c r="E2534" s="10" t="s">
        <v>1298</v>
      </c>
      <c r="F2534" s="10" t="s">
        <v>1299</v>
      </c>
      <c r="G2534" s="8">
        <v>1</v>
      </c>
      <c r="H2534" s="11">
        <v>100</v>
      </c>
      <c r="I2534" s="12">
        <v>42673</v>
      </c>
      <c r="J2534" s="35">
        <f t="shared" si="90"/>
        <v>0</v>
      </c>
      <c r="K2534" s="36"/>
      <c r="L2534" s="36"/>
      <c r="M2534" s="36"/>
      <c r="N2534" s="36"/>
      <c r="O2534" s="36"/>
      <c r="P2534" s="36"/>
      <c r="Q2534" s="36"/>
      <c r="R2534" s="36"/>
      <c r="S2534" s="36"/>
      <c r="T2534" s="36">
        <v>100</v>
      </c>
      <c r="U2534" s="36"/>
      <c r="V2534" s="36"/>
      <c r="W2534" s="15">
        <f t="shared" si="91"/>
        <v>100</v>
      </c>
      <c r="X2534" s="36"/>
      <c r="Y2534" s="36"/>
      <c r="Z2534" s="36"/>
      <c r="AA2534" s="36"/>
      <c r="AB2534" s="36"/>
      <c r="AC2534" s="36"/>
      <c r="AD2534" s="36"/>
      <c r="AE2534" s="36"/>
      <c r="AF2534" s="36"/>
      <c r="AG2534" s="36"/>
      <c r="AH2534" s="36"/>
      <c r="AI2534" s="36"/>
      <c r="AJ2534" s="15">
        <f t="shared" si="92"/>
        <v>0</v>
      </c>
      <c r="AK2534" s="16"/>
    </row>
    <row r="2535" spans="2:37" x14ac:dyDescent="0.2">
      <c r="B2535" s="7"/>
      <c r="C2535" s="8">
        <v>13112</v>
      </c>
      <c r="D2535" s="9" t="s">
        <v>1297</v>
      </c>
      <c r="E2535" s="10" t="s">
        <v>1298</v>
      </c>
      <c r="F2535" s="10" t="s">
        <v>1299</v>
      </c>
      <c r="G2535" s="8">
        <v>5</v>
      </c>
      <c r="H2535" s="11">
        <v>100</v>
      </c>
      <c r="I2535" s="12">
        <v>42673</v>
      </c>
      <c r="J2535" s="35">
        <f t="shared" si="90"/>
        <v>0</v>
      </c>
      <c r="K2535" s="36"/>
      <c r="L2535" s="36"/>
      <c r="M2535" s="36"/>
      <c r="N2535" s="36"/>
      <c r="O2535" s="36"/>
      <c r="P2535" s="36"/>
      <c r="Q2535" s="36"/>
      <c r="R2535" s="36"/>
      <c r="S2535" s="36"/>
      <c r="T2535" s="36"/>
      <c r="U2535" s="36"/>
      <c r="V2535" s="36"/>
      <c r="W2535" s="15">
        <f t="shared" si="91"/>
        <v>0</v>
      </c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15">
        <f t="shared" si="92"/>
        <v>0</v>
      </c>
      <c r="AK2535" s="16"/>
    </row>
    <row r="2536" spans="2:37" x14ac:dyDescent="0.2">
      <c r="B2536" s="7"/>
      <c r="C2536" s="8">
        <v>13113</v>
      </c>
      <c r="D2536" s="9" t="s">
        <v>355</v>
      </c>
      <c r="E2536" s="10" t="s">
        <v>356</v>
      </c>
      <c r="F2536" s="10" t="s">
        <v>357</v>
      </c>
      <c r="G2536" s="8">
        <v>1</v>
      </c>
      <c r="H2536" s="11">
        <v>600</v>
      </c>
      <c r="I2536" s="12">
        <v>42673</v>
      </c>
      <c r="J2536" s="35">
        <f t="shared" si="90"/>
        <v>0</v>
      </c>
      <c r="K2536" s="36"/>
      <c r="L2536" s="36"/>
      <c r="M2536" s="36"/>
      <c r="N2536" s="36"/>
      <c r="O2536" s="36"/>
      <c r="P2536" s="36"/>
      <c r="Q2536" s="36"/>
      <c r="R2536" s="36">
        <v>300</v>
      </c>
      <c r="S2536" s="36">
        <v>300</v>
      </c>
      <c r="T2536" s="36"/>
      <c r="U2536" s="36"/>
      <c r="V2536" s="36"/>
      <c r="W2536" s="15">
        <f t="shared" si="91"/>
        <v>600</v>
      </c>
      <c r="X2536" s="36"/>
      <c r="Y2536" s="36"/>
      <c r="Z2536" s="36"/>
      <c r="AA2536" s="36"/>
      <c r="AB2536" s="36"/>
      <c r="AC2536" s="36"/>
      <c r="AD2536" s="36"/>
      <c r="AE2536" s="36"/>
      <c r="AF2536" s="36"/>
      <c r="AG2536" s="36"/>
      <c r="AH2536" s="36"/>
      <c r="AI2536" s="36"/>
      <c r="AJ2536" s="15">
        <f t="shared" si="92"/>
        <v>0</v>
      </c>
      <c r="AK2536" s="16"/>
    </row>
    <row r="2537" spans="2:37" x14ac:dyDescent="0.2">
      <c r="B2537" s="7"/>
      <c r="C2537" s="8">
        <v>13113</v>
      </c>
      <c r="D2537" s="9" t="s">
        <v>355</v>
      </c>
      <c r="E2537" s="10" t="s">
        <v>356</v>
      </c>
      <c r="F2537" s="10" t="s">
        <v>357</v>
      </c>
      <c r="G2537" s="8">
        <v>3</v>
      </c>
      <c r="H2537" s="11">
        <v>200</v>
      </c>
      <c r="I2537" s="12">
        <v>42673</v>
      </c>
      <c r="J2537" s="35">
        <f t="shared" si="90"/>
        <v>0</v>
      </c>
      <c r="K2537" s="36"/>
      <c r="L2537" s="36"/>
      <c r="M2537" s="36"/>
      <c r="N2537" s="36"/>
      <c r="O2537" s="36"/>
      <c r="P2537" s="36"/>
      <c r="Q2537" s="36"/>
      <c r="R2537" s="36"/>
      <c r="S2537" s="36"/>
      <c r="T2537" s="36"/>
      <c r="U2537" s="36"/>
      <c r="V2537" s="36"/>
      <c r="W2537" s="15">
        <f t="shared" si="91"/>
        <v>0</v>
      </c>
      <c r="X2537" s="36"/>
      <c r="Y2537" s="36"/>
      <c r="Z2537" s="36"/>
      <c r="AA2537" s="36"/>
      <c r="AB2537" s="36"/>
      <c r="AC2537" s="36"/>
      <c r="AD2537" s="36"/>
      <c r="AE2537" s="36"/>
      <c r="AF2537" s="36"/>
      <c r="AG2537" s="36"/>
      <c r="AH2537" s="36"/>
      <c r="AI2537" s="36"/>
      <c r="AJ2537" s="15">
        <f t="shared" si="92"/>
        <v>0</v>
      </c>
      <c r="AK2537" s="16"/>
    </row>
    <row r="2538" spans="2:37" x14ac:dyDescent="0.2">
      <c r="B2538" s="7"/>
      <c r="C2538" s="8">
        <v>13114</v>
      </c>
      <c r="D2538" s="9" t="s">
        <v>1178</v>
      </c>
      <c r="E2538" s="10" t="s">
        <v>1179</v>
      </c>
      <c r="F2538" s="10" t="s">
        <v>1180</v>
      </c>
      <c r="G2538" s="8">
        <v>1</v>
      </c>
      <c r="H2538" s="11">
        <v>200</v>
      </c>
      <c r="I2538" s="12">
        <v>42673</v>
      </c>
      <c r="J2538" s="35">
        <f t="shared" si="90"/>
        <v>0</v>
      </c>
      <c r="K2538" s="36"/>
      <c r="L2538" s="36"/>
      <c r="M2538" s="36"/>
      <c r="N2538" s="36"/>
      <c r="O2538" s="36"/>
      <c r="P2538" s="36"/>
      <c r="Q2538" s="36"/>
      <c r="R2538" s="36"/>
      <c r="S2538" s="36">
        <v>200</v>
      </c>
      <c r="T2538" s="36"/>
      <c r="U2538" s="36"/>
      <c r="V2538" s="36"/>
      <c r="W2538" s="15">
        <f t="shared" si="91"/>
        <v>200</v>
      </c>
      <c r="X2538" s="36"/>
      <c r="Y2538" s="36"/>
      <c r="Z2538" s="36"/>
      <c r="AA2538" s="36"/>
      <c r="AB2538" s="36"/>
      <c r="AC2538" s="36"/>
      <c r="AD2538" s="36"/>
      <c r="AE2538" s="36"/>
      <c r="AF2538" s="36"/>
      <c r="AG2538" s="36"/>
      <c r="AH2538" s="36"/>
      <c r="AI2538" s="36"/>
      <c r="AJ2538" s="15">
        <f t="shared" si="92"/>
        <v>0</v>
      </c>
      <c r="AK2538" s="16"/>
    </row>
    <row r="2539" spans="2:37" x14ac:dyDescent="0.2">
      <c r="B2539" s="7"/>
      <c r="C2539" s="8">
        <v>13114</v>
      </c>
      <c r="D2539" s="9" t="s">
        <v>1178</v>
      </c>
      <c r="E2539" s="10" t="s">
        <v>1179</v>
      </c>
      <c r="F2539" s="10" t="s">
        <v>1180</v>
      </c>
      <c r="G2539" s="8">
        <v>5</v>
      </c>
      <c r="H2539" s="11">
        <v>50</v>
      </c>
      <c r="I2539" s="12">
        <v>42673</v>
      </c>
      <c r="J2539" s="35">
        <f t="shared" ref="J2539:J2548" si="96">IF(G2539=1,SUM(W2539,AJ2539,-H2539),0)</f>
        <v>0</v>
      </c>
      <c r="K2539" s="36"/>
      <c r="L2539" s="36"/>
      <c r="M2539" s="36"/>
      <c r="N2539" s="36"/>
      <c r="O2539" s="36"/>
      <c r="P2539" s="36"/>
      <c r="Q2539" s="36"/>
      <c r="R2539" s="36"/>
      <c r="S2539" s="36"/>
      <c r="T2539" s="36"/>
      <c r="U2539" s="36"/>
      <c r="V2539" s="36"/>
      <c r="W2539" s="15">
        <f t="shared" ref="W2539:W2548" si="97">SUM(K2539:V2539)</f>
        <v>0</v>
      </c>
      <c r="X2539" s="36"/>
      <c r="Y2539" s="36"/>
      <c r="Z2539" s="36"/>
      <c r="AA2539" s="36"/>
      <c r="AB2539" s="36"/>
      <c r="AC2539" s="36"/>
      <c r="AD2539" s="36"/>
      <c r="AE2539" s="36"/>
      <c r="AF2539" s="36"/>
      <c r="AG2539" s="36"/>
      <c r="AH2539" s="36"/>
      <c r="AI2539" s="36"/>
      <c r="AJ2539" s="15">
        <f t="shared" ref="AJ2539:AJ2548" si="98">SUM(X2539:AI2539)</f>
        <v>0</v>
      </c>
      <c r="AK2539" s="16"/>
    </row>
    <row r="2540" spans="2:37" x14ac:dyDescent="0.2">
      <c r="B2540" s="7"/>
      <c r="C2540" s="8">
        <v>13115</v>
      </c>
      <c r="D2540" s="9" t="s">
        <v>681</v>
      </c>
      <c r="E2540" s="10" t="s">
        <v>682</v>
      </c>
      <c r="F2540" s="10" t="s">
        <v>683</v>
      </c>
      <c r="G2540" s="8">
        <v>1</v>
      </c>
      <c r="H2540" s="11">
        <v>300</v>
      </c>
      <c r="I2540" s="12">
        <v>42673</v>
      </c>
      <c r="J2540" s="35">
        <f t="shared" si="96"/>
        <v>0</v>
      </c>
      <c r="K2540" s="36"/>
      <c r="L2540" s="36"/>
      <c r="M2540" s="36"/>
      <c r="N2540" s="36"/>
      <c r="O2540" s="36"/>
      <c r="P2540" s="36"/>
      <c r="Q2540" s="36"/>
      <c r="R2540" s="36"/>
      <c r="S2540" s="36"/>
      <c r="T2540" s="36">
        <v>300</v>
      </c>
      <c r="U2540" s="36"/>
      <c r="V2540" s="36"/>
      <c r="W2540" s="15">
        <f t="shared" si="97"/>
        <v>300</v>
      </c>
      <c r="X2540" s="36"/>
      <c r="Y2540" s="36"/>
      <c r="Z2540" s="36"/>
      <c r="AA2540" s="36"/>
      <c r="AB2540" s="36"/>
      <c r="AC2540" s="36"/>
      <c r="AD2540" s="36"/>
      <c r="AE2540" s="36"/>
      <c r="AF2540" s="36"/>
      <c r="AG2540" s="36"/>
      <c r="AH2540" s="36"/>
      <c r="AI2540" s="36"/>
      <c r="AJ2540" s="15">
        <f t="shared" si="98"/>
        <v>0</v>
      </c>
      <c r="AK2540" s="16"/>
    </row>
    <row r="2541" spans="2:37" x14ac:dyDescent="0.2">
      <c r="B2541" s="7"/>
      <c r="C2541" s="8">
        <v>13116</v>
      </c>
      <c r="D2541" s="9" t="s">
        <v>192</v>
      </c>
      <c r="E2541" s="10" t="s">
        <v>193</v>
      </c>
      <c r="F2541" s="10" t="s">
        <v>194</v>
      </c>
      <c r="G2541" s="8">
        <v>5</v>
      </c>
      <c r="H2541" s="11">
        <v>50</v>
      </c>
      <c r="I2541" s="12">
        <v>42673</v>
      </c>
      <c r="J2541" s="35">
        <f t="shared" si="96"/>
        <v>0</v>
      </c>
      <c r="K2541" s="36"/>
      <c r="L2541" s="36"/>
      <c r="M2541" s="36"/>
      <c r="N2541" s="36"/>
      <c r="O2541" s="36"/>
      <c r="P2541" s="36"/>
      <c r="Q2541" s="36"/>
      <c r="R2541" s="36"/>
      <c r="S2541" s="36"/>
      <c r="T2541" s="36"/>
      <c r="U2541" s="36"/>
      <c r="V2541" s="36"/>
      <c r="W2541" s="15">
        <f t="shared" si="97"/>
        <v>0</v>
      </c>
      <c r="X2541" s="36"/>
      <c r="Y2541" s="36"/>
      <c r="Z2541" s="36"/>
      <c r="AA2541" s="36"/>
      <c r="AB2541" s="36"/>
      <c r="AC2541" s="36"/>
      <c r="AD2541" s="36"/>
      <c r="AE2541" s="36"/>
      <c r="AF2541" s="36"/>
      <c r="AG2541" s="36"/>
      <c r="AH2541" s="36"/>
      <c r="AI2541" s="36"/>
      <c r="AJ2541" s="15">
        <f t="shared" si="98"/>
        <v>0</v>
      </c>
      <c r="AK2541" s="16"/>
    </row>
    <row r="2542" spans="2:37" x14ac:dyDescent="0.2">
      <c r="B2542" s="7"/>
      <c r="C2542" s="8">
        <v>13117</v>
      </c>
      <c r="D2542" s="9" t="s">
        <v>301</v>
      </c>
      <c r="E2542" s="10" t="s">
        <v>302</v>
      </c>
      <c r="F2542" s="10" t="s">
        <v>303</v>
      </c>
      <c r="G2542" s="8">
        <v>1</v>
      </c>
      <c r="H2542" s="11">
        <v>200</v>
      </c>
      <c r="I2542" s="12">
        <v>42673</v>
      </c>
      <c r="J2542" s="35">
        <f t="shared" si="96"/>
        <v>0</v>
      </c>
      <c r="K2542" s="36"/>
      <c r="L2542" s="36"/>
      <c r="M2542" s="36"/>
      <c r="N2542" s="36"/>
      <c r="O2542" s="36"/>
      <c r="P2542" s="36"/>
      <c r="Q2542" s="36"/>
      <c r="R2542" s="36"/>
      <c r="S2542" s="36"/>
      <c r="T2542" s="36"/>
      <c r="U2542" s="36">
        <v>200</v>
      </c>
      <c r="V2542" s="36"/>
      <c r="W2542" s="15">
        <f t="shared" si="97"/>
        <v>200</v>
      </c>
      <c r="X2542" s="36"/>
      <c r="Y2542" s="36"/>
      <c r="Z2542" s="36"/>
      <c r="AA2542" s="36"/>
      <c r="AB2542" s="36"/>
      <c r="AC2542" s="36"/>
      <c r="AD2542" s="36"/>
      <c r="AE2542" s="36"/>
      <c r="AF2542" s="36"/>
      <c r="AG2542" s="36"/>
      <c r="AH2542" s="36"/>
      <c r="AI2542" s="36"/>
      <c r="AJ2542" s="15">
        <f t="shared" si="98"/>
        <v>0</v>
      </c>
      <c r="AK2542" s="16"/>
    </row>
    <row r="2543" spans="2:37" x14ac:dyDescent="0.2">
      <c r="B2543" s="7"/>
      <c r="C2543" s="8">
        <v>13118</v>
      </c>
      <c r="D2543" s="9" t="s">
        <v>725</v>
      </c>
      <c r="E2543" s="10" t="s">
        <v>726</v>
      </c>
      <c r="F2543" s="10" t="s">
        <v>727</v>
      </c>
      <c r="G2543" s="8">
        <v>5</v>
      </c>
      <c r="H2543" s="11">
        <v>50</v>
      </c>
      <c r="I2543" s="12">
        <v>42673</v>
      </c>
      <c r="J2543" s="35">
        <f t="shared" si="96"/>
        <v>0</v>
      </c>
      <c r="K2543" s="36"/>
      <c r="L2543" s="36"/>
      <c r="M2543" s="36"/>
      <c r="N2543" s="36"/>
      <c r="O2543" s="36"/>
      <c r="P2543" s="36"/>
      <c r="Q2543" s="36"/>
      <c r="R2543" s="36"/>
      <c r="S2543" s="36"/>
      <c r="T2543" s="36"/>
      <c r="U2543" s="36"/>
      <c r="V2543" s="36"/>
      <c r="W2543" s="15">
        <f t="shared" si="97"/>
        <v>0</v>
      </c>
      <c r="X2543" s="36"/>
      <c r="Y2543" s="36"/>
      <c r="Z2543" s="36"/>
      <c r="AA2543" s="36"/>
      <c r="AB2543" s="36"/>
      <c r="AC2543" s="36"/>
      <c r="AD2543" s="36"/>
      <c r="AE2543" s="36"/>
      <c r="AF2543" s="36"/>
      <c r="AG2543" s="36"/>
      <c r="AH2543" s="36"/>
      <c r="AI2543" s="36"/>
      <c r="AJ2543" s="15">
        <f t="shared" si="98"/>
        <v>0</v>
      </c>
      <c r="AK2543" s="16"/>
    </row>
    <row r="2544" spans="2:37" x14ac:dyDescent="0.2">
      <c r="B2544" s="7"/>
      <c r="C2544" s="8">
        <v>13119</v>
      </c>
      <c r="D2544" s="9" t="s">
        <v>361</v>
      </c>
      <c r="E2544" s="10" t="s">
        <v>362</v>
      </c>
      <c r="F2544" s="10" t="s">
        <v>363</v>
      </c>
      <c r="G2544" s="8">
        <v>1</v>
      </c>
      <c r="H2544" s="11">
        <v>400</v>
      </c>
      <c r="I2544" s="12">
        <v>42673</v>
      </c>
      <c r="J2544" s="35">
        <f t="shared" si="96"/>
        <v>0</v>
      </c>
      <c r="K2544" s="36"/>
      <c r="L2544" s="36"/>
      <c r="M2544" s="36"/>
      <c r="N2544" s="36"/>
      <c r="O2544" s="36"/>
      <c r="P2544" s="36"/>
      <c r="Q2544" s="36"/>
      <c r="R2544" s="36"/>
      <c r="S2544" s="36"/>
      <c r="T2544" s="36">
        <v>400</v>
      </c>
      <c r="U2544" s="36"/>
      <c r="V2544" s="36"/>
      <c r="W2544" s="15">
        <f t="shared" si="97"/>
        <v>400</v>
      </c>
      <c r="X2544" s="36"/>
      <c r="Y2544" s="36"/>
      <c r="Z2544" s="36"/>
      <c r="AA2544" s="36"/>
      <c r="AB2544" s="36"/>
      <c r="AC2544" s="36"/>
      <c r="AD2544" s="36"/>
      <c r="AE2544" s="36"/>
      <c r="AF2544" s="36"/>
      <c r="AG2544" s="36"/>
      <c r="AH2544" s="36"/>
      <c r="AI2544" s="36"/>
      <c r="AJ2544" s="15">
        <f t="shared" si="98"/>
        <v>0</v>
      </c>
      <c r="AK2544" s="16"/>
    </row>
    <row r="2545" spans="1:38" x14ac:dyDescent="0.2">
      <c r="B2545" s="7"/>
      <c r="C2545" s="8">
        <v>13120</v>
      </c>
      <c r="D2545" s="9" t="s">
        <v>437</v>
      </c>
      <c r="E2545" s="10" t="s">
        <v>438</v>
      </c>
      <c r="F2545" s="10" t="s">
        <v>439</v>
      </c>
      <c r="G2545" s="8">
        <v>1</v>
      </c>
      <c r="H2545" s="11">
        <v>400</v>
      </c>
      <c r="I2545" s="12">
        <v>42673</v>
      </c>
      <c r="J2545" s="35">
        <f t="shared" si="96"/>
        <v>0</v>
      </c>
      <c r="K2545" s="36"/>
      <c r="L2545" s="36"/>
      <c r="M2545" s="36"/>
      <c r="N2545" s="36"/>
      <c r="O2545" s="36"/>
      <c r="P2545" s="36"/>
      <c r="Q2545" s="36"/>
      <c r="R2545" s="36"/>
      <c r="S2545" s="36"/>
      <c r="T2545" s="36">
        <v>400</v>
      </c>
      <c r="U2545" s="36"/>
      <c r="V2545" s="36"/>
      <c r="W2545" s="15">
        <f t="shared" si="97"/>
        <v>400</v>
      </c>
      <c r="X2545" s="36"/>
      <c r="Y2545" s="36"/>
      <c r="Z2545" s="36"/>
      <c r="AA2545" s="36"/>
      <c r="AB2545" s="36"/>
      <c r="AC2545" s="36"/>
      <c r="AD2545" s="36"/>
      <c r="AE2545" s="36"/>
      <c r="AF2545" s="36"/>
      <c r="AG2545" s="36"/>
      <c r="AH2545" s="36"/>
      <c r="AI2545" s="36"/>
      <c r="AJ2545" s="15">
        <f t="shared" si="98"/>
        <v>0</v>
      </c>
      <c r="AK2545" s="16"/>
    </row>
    <row r="2546" spans="1:38" x14ac:dyDescent="0.2">
      <c r="B2546" s="7"/>
      <c r="C2546" s="8">
        <v>13121</v>
      </c>
      <c r="D2546" s="9" t="s">
        <v>592</v>
      </c>
      <c r="E2546" s="10" t="s">
        <v>593</v>
      </c>
      <c r="F2546" s="10" t="s">
        <v>594</v>
      </c>
      <c r="G2546" s="8">
        <v>1</v>
      </c>
      <c r="H2546" s="11">
        <v>1200</v>
      </c>
      <c r="I2546" s="12">
        <v>42673</v>
      </c>
      <c r="J2546" s="35">
        <f t="shared" si="96"/>
        <v>0</v>
      </c>
      <c r="K2546" s="36"/>
      <c r="L2546" s="36"/>
      <c r="M2546" s="36"/>
      <c r="N2546" s="36"/>
      <c r="O2546" s="36"/>
      <c r="P2546" s="36"/>
      <c r="Q2546" s="36"/>
      <c r="R2546" s="36"/>
      <c r="S2546" s="36"/>
      <c r="T2546" s="36">
        <v>400</v>
      </c>
      <c r="U2546" s="36">
        <v>400</v>
      </c>
      <c r="V2546" s="36">
        <v>400</v>
      </c>
      <c r="W2546" s="15">
        <f t="shared" si="97"/>
        <v>1200</v>
      </c>
      <c r="X2546" s="36"/>
      <c r="Y2546" s="36"/>
      <c r="Z2546" s="36"/>
      <c r="AA2546" s="36"/>
      <c r="AB2546" s="36"/>
      <c r="AC2546" s="36"/>
      <c r="AD2546" s="36"/>
      <c r="AE2546" s="36"/>
      <c r="AF2546" s="36"/>
      <c r="AG2546" s="36"/>
      <c r="AH2546" s="36"/>
      <c r="AI2546" s="36"/>
      <c r="AJ2546" s="15">
        <f t="shared" si="98"/>
        <v>0</v>
      </c>
      <c r="AK2546" s="16"/>
    </row>
    <row r="2547" spans="1:38" x14ac:dyDescent="0.2">
      <c r="B2547" s="7"/>
      <c r="C2547" s="8">
        <v>13122</v>
      </c>
      <c r="D2547" s="9" t="s">
        <v>577</v>
      </c>
      <c r="E2547" s="10" t="s">
        <v>578</v>
      </c>
      <c r="F2547" s="10" t="s">
        <v>579</v>
      </c>
      <c r="G2547" s="8">
        <v>1</v>
      </c>
      <c r="H2547" s="11">
        <v>400</v>
      </c>
      <c r="I2547" s="12">
        <v>42673</v>
      </c>
      <c r="J2547" s="35">
        <f t="shared" si="96"/>
        <v>0</v>
      </c>
      <c r="K2547" s="36"/>
      <c r="L2547" s="36"/>
      <c r="M2547" s="36"/>
      <c r="N2547" s="36"/>
      <c r="O2547" s="36"/>
      <c r="P2547" s="36"/>
      <c r="Q2547" s="36"/>
      <c r="R2547" s="36"/>
      <c r="S2547" s="36"/>
      <c r="T2547" s="36">
        <v>400</v>
      </c>
      <c r="U2547" s="36"/>
      <c r="V2547" s="36"/>
      <c r="W2547" s="15">
        <f t="shared" si="97"/>
        <v>400</v>
      </c>
      <c r="X2547" s="36"/>
      <c r="Y2547" s="36"/>
      <c r="Z2547" s="36"/>
      <c r="AA2547" s="36"/>
      <c r="AB2547" s="36"/>
      <c r="AC2547" s="36"/>
      <c r="AD2547" s="36"/>
      <c r="AE2547" s="36"/>
      <c r="AF2547" s="36"/>
      <c r="AG2547" s="36"/>
      <c r="AH2547" s="36"/>
      <c r="AI2547" s="36"/>
      <c r="AJ2547" s="15">
        <f t="shared" si="98"/>
        <v>0</v>
      </c>
      <c r="AK2547" s="16"/>
    </row>
    <row r="2548" spans="1:38" x14ac:dyDescent="0.2">
      <c r="B2548" s="7"/>
      <c r="C2548" s="8">
        <v>13122</v>
      </c>
      <c r="D2548" s="9" t="s">
        <v>577</v>
      </c>
      <c r="E2548" s="10" t="s">
        <v>578</v>
      </c>
      <c r="F2548" s="10" t="s">
        <v>579</v>
      </c>
      <c r="G2548" s="8">
        <v>5</v>
      </c>
      <c r="H2548" s="11">
        <v>100</v>
      </c>
      <c r="I2548" s="12">
        <v>42673</v>
      </c>
      <c r="J2548" s="35">
        <f t="shared" si="96"/>
        <v>0</v>
      </c>
      <c r="K2548" s="36"/>
      <c r="L2548" s="36"/>
      <c r="M2548" s="36"/>
      <c r="N2548" s="36"/>
      <c r="O2548" s="36"/>
      <c r="P2548" s="36"/>
      <c r="Q2548" s="36"/>
      <c r="R2548" s="36"/>
      <c r="S2548" s="36"/>
      <c r="T2548" s="36"/>
      <c r="U2548" s="36"/>
      <c r="V2548" s="36"/>
      <c r="W2548" s="15">
        <f t="shared" si="97"/>
        <v>0</v>
      </c>
      <c r="X2548" s="36"/>
      <c r="Y2548" s="36"/>
      <c r="Z2548" s="36"/>
      <c r="AA2548" s="36"/>
      <c r="AB2548" s="36"/>
      <c r="AC2548" s="36"/>
      <c r="AD2548" s="36"/>
      <c r="AE2548" s="36"/>
      <c r="AF2548" s="36"/>
      <c r="AG2548" s="36"/>
      <c r="AH2548" s="36"/>
      <c r="AI2548" s="36"/>
      <c r="AJ2548" s="15">
        <f t="shared" si="98"/>
        <v>0</v>
      </c>
      <c r="AK2548" s="16"/>
    </row>
    <row r="2549" spans="1:38" x14ac:dyDescent="0.2">
      <c r="B2549" s="7"/>
      <c r="C2549" s="8">
        <v>13123</v>
      </c>
      <c r="D2549" s="9" t="s">
        <v>1174</v>
      </c>
      <c r="E2549" s="10" t="s">
        <v>1175</v>
      </c>
      <c r="F2549" s="10" t="s">
        <v>1176</v>
      </c>
      <c r="G2549" s="8">
        <v>1</v>
      </c>
      <c r="H2549" s="11">
        <v>300</v>
      </c>
      <c r="I2549" s="12">
        <v>42673</v>
      </c>
      <c r="J2549" s="35">
        <f t="shared" si="90"/>
        <v>0</v>
      </c>
      <c r="K2549" s="36"/>
      <c r="L2549" s="36"/>
      <c r="M2549" s="36"/>
      <c r="N2549" s="36"/>
      <c r="O2549" s="36"/>
      <c r="P2549" s="36"/>
      <c r="Q2549" s="36"/>
      <c r="R2549" s="36"/>
      <c r="S2549" s="36"/>
      <c r="T2549" s="36">
        <v>300</v>
      </c>
      <c r="U2549" s="36"/>
      <c r="V2549" s="36"/>
      <c r="W2549" s="15">
        <f t="shared" si="91"/>
        <v>300</v>
      </c>
      <c r="X2549" s="36"/>
      <c r="Y2549" s="36"/>
      <c r="Z2549" s="36"/>
      <c r="AA2549" s="36"/>
      <c r="AB2549" s="36"/>
      <c r="AC2549" s="36"/>
      <c r="AD2549" s="36"/>
      <c r="AE2549" s="36"/>
      <c r="AF2549" s="36"/>
      <c r="AG2549" s="36"/>
      <c r="AH2549" s="36"/>
      <c r="AI2549" s="36"/>
      <c r="AJ2549" s="15">
        <f t="shared" si="92"/>
        <v>0</v>
      </c>
      <c r="AK2549" s="16"/>
    </row>
    <row r="2550" spans="1:38" x14ac:dyDescent="0.2">
      <c r="B2550" s="7"/>
      <c r="C2550" s="8">
        <v>13123</v>
      </c>
      <c r="D2550" s="9" t="s">
        <v>1174</v>
      </c>
      <c r="E2550" s="10" t="s">
        <v>1175</v>
      </c>
      <c r="F2550" s="10" t="s">
        <v>1176</v>
      </c>
      <c r="G2550" s="8">
        <v>4</v>
      </c>
      <c r="H2550" s="11">
        <v>200</v>
      </c>
      <c r="I2550" s="12">
        <v>42673</v>
      </c>
      <c r="J2550" s="35">
        <f t="shared" si="90"/>
        <v>0</v>
      </c>
      <c r="K2550" s="36"/>
      <c r="L2550" s="36"/>
      <c r="M2550" s="36"/>
      <c r="N2550" s="36"/>
      <c r="O2550" s="36"/>
      <c r="P2550" s="36"/>
      <c r="Q2550" s="36"/>
      <c r="R2550" s="36"/>
      <c r="S2550" s="36"/>
      <c r="T2550" s="36"/>
      <c r="U2550" s="36"/>
      <c r="V2550" s="36"/>
      <c r="W2550" s="15">
        <f t="shared" si="91"/>
        <v>0</v>
      </c>
      <c r="X2550" s="36"/>
      <c r="Y2550" s="36"/>
      <c r="Z2550" s="36"/>
      <c r="AA2550" s="36"/>
      <c r="AB2550" s="36"/>
      <c r="AC2550" s="36"/>
      <c r="AD2550" s="36"/>
      <c r="AE2550" s="36"/>
      <c r="AF2550" s="36"/>
      <c r="AG2550" s="36"/>
      <c r="AH2550" s="36"/>
      <c r="AI2550" s="36"/>
      <c r="AJ2550" s="15">
        <f t="shared" si="92"/>
        <v>0</v>
      </c>
      <c r="AK2550" s="16"/>
    </row>
    <row r="2551" spans="1:38" x14ac:dyDescent="0.2">
      <c r="B2551" s="7"/>
      <c r="C2551" s="8">
        <v>13124</v>
      </c>
      <c r="D2551" s="9" t="s">
        <v>235</v>
      </c>
      <c r="E2551" s="10" t="s">
        <v>236</v>
      </c>
      <c r="F2551" s="10" t="s">
        <v>237</v>
      </c>
      <c r="G2551" s="8">
        <v>1</v>
      </c>
      <c r="H2551" s="11">
        <v>400</v>
      </c>
      <c r="I2551" s="12">
        <v>42673</v>
      </c>
      <c r="J2551" s="35">
        <f t="shared" ref="J2551:J2552" si="99">IF(G2551=1,SUM(W2551,AJ2551,-H2551),0)</f>
        <v>0</v>
      </c>
      <c r="K2551" s="36"/>
      <c r="L2551" s="36"/>
      <c r="M2551" s="36"/>
      <c r="N2551" s="36"/>
      <c r="O2551" s="36"/>
      <c r="P2551" s="36"/>
      <c r="Q2551" s="36"/>
      <c r="R2551" s="36"/>
      <c r="S2551" s="36">
        <v>400</v>
      </c>
      <c r="T2551" s="36"/>
      <c r="U2551" s="36"/>
      <c r="V2551" s="36"/>
      <c r="W2551" s="15">
        <f t="shared" ref="W2551:W2552" si="100">SUM(K2551:V2551)</f>
        <v>400</v>
      </c>
      <c r="X2551" s="36"/>
      <c r="Y2551" s="36"/>
      <c r="Z2551" s="36"/>
      <c r="AA2551" s="36"/>
      <c r="AB2551" s="36"/>
      <c r="AC2551" s="36"/>
      <c r="AD2551" s="36"/>
      <c r="AE2551" s="36"/>
      <c r="AF2551" s="36"/>
      <c r="AG2551" s="36"/>
      <c r="AH2551" s="36"/>
      <c r="AI2551" s="36"/>
      <c r="AJ2551" s="15">
        <f t="shared" ref="AJ2551:AJ2552" si="101">SUM(X2551:AI2551)</f>
        <v>0</v>
      </c>
      <c r="AK2551" s="16"/>
    </row>
    <row r="2552" spans="1:38" x14ac:dyDescent="0.2">
      <c r="B2552" s="7"/>
      <c r="C2552" s="8">
        <v>13125</v>
      </c>
      <c r="D2552" s="9" t="s">
        <v>87</v>
      </c>
      <c r="E2552" s="10" t="s">
        <v>88</v>
      </c>
      <c r="F2552" s="10" t="s">
        <v>89</v>
      </c>
      <c r="G2552" s="8">
        <v>5</v>
      </c>
      <c r="H2552" s="11">
        <v>50</v>
      </c>
      <c r="I2552" s="12">
        <v>42673</v>
      </c>
      <c r="J2552" s="35">
        <f t="shared" si="99"/>
        <v>0</v>
      </c>
      <c r="K2552" s="36"/>
      <c r="L2552" s="36"/>
      <c r="M2552" s="36"/>
      <c r="N2552" s="36"/>
      <c r="O2552" s="36"/>
      <c r="P2552" s="36"/>
      <c r="Q2552" s="36"/>
      <c r="R2552" s="36"/>
      <c r="S2552" s="36"/>
      <c r="T2552" s="36"/>
      <c r="U2552" s="36"/>
      <c r="V2552" s="36"/>
      <c r="W2552" s="15">
        <f t="shared" si="100"/>
        <v>0</v>
      </c>
      <c r="X2552" s="36"/>
      <c r="Y2552" s="36"/>
      <c r="Z2552" s="36"/>
      <c r="AA2552" s="36"/>
      <c r="AB2552" s="36"/>
      <c r="AC2552" s="36"/>
      <c r="AD2552" s="36"/>
      <c r="AE2552" s="36"/>
      <c r="AF2552" s="36"/>
      <c r="AG2552" s="36"/>
      <c r="AH2552" s="36"/>
      <c r="AI2552" s="36"/>
      <c r="AJ2552" s="15">
        <f t="shared" si="101"/>
        <v>0</v>
      </c>
      <c r="AK2552" s="16"/>
    </row>
    <row r="2553" spans="1:38" x14ac:dyDescent="0.2">
      <c r="B2553" s="7"/>
      <c r="C2553" s="8">
        <v>13126</v>
      </c>
      <c r="D2553" s="9" t="s">
        <v>834</v>
      </c>
      <c r="E2553" s="10" t="s">
        <v>835</v>
      </c>
      <c r="F2553" s="10" t="s">
        <v>836</v>
      </c>
      <c r="G2553" s="8">
        <v>1</v>
      </c>
      <c r="H2553" s="11">
        <v>300</v>
      </c>
      <c r="I2553" s="12">
        <v>42673</v>
      </c>
      <c r="J2553" s="35">
        <f t="shared" si="90"/>
        <v>0</v>
      </c>
      <c r="K2553" s="36"/>
      <c r="L2553" s="36"/>
      <c r="M2553" s="36"/>
      <c r="N2553" s="36"/>
      <c r="O2553" s="36"/>
      <c r="P2553" s="36"/>
      <c r="Q2553" s="36"/>
      <c r="R2553" s="36">
        <v>300</v>
      </c>
      <c r="S2553" s="36"/>
      <c r="T2553" s="36"/>
      <c r="U2553" s="36"/>
      <c r="V2553" s="36"/>
      <c r="W2553" s="15">
        <f t="shared" si="91"/>
        <v>300</v>
      </c>
      <c r="X2553" s="36"/>
      <c r="Y2553" s="36"/>
      <c r="Z2553" s="36"/>
      <c r="AA2553" s="36"/>
      <c r="AB2553" s="36"/>
      <c r="AC2553" s="36"/>
      <c r="AD2553" s="36"/>
      <c r="AE2553" s="36"/>
      <c r="AF2553" s="36"/>
      <c r="AG2553" s="36"/>
      <c r="AH2553" s="36"/>
      <c r="AI2553" s="36"/>
      <c r="AJ2553" s="15">
        <f t="shared" si="92"/>
        <v>0</v>
      </c>
      <c r="AK2553" s="16"/>
    </row>
    <row r="2554" spans="1:38" x14ac:dyDescent="0.2">
      <c r="B2554" s="7"/>
      <c r="C2554" s="8">
        <v>13127</v>
      </c>
      <c r="D2554" s="9" t="s">
        <v>617</v>
      </c>
      <c r="E2554" s="10" t="s">
        <v>618</v>
      </c>
      <c r="F2554" s="10" t="s">
        <v>619</v>
      </c>
      <c r="G2554" s="8">
        <v>1</v>
      </c>
      <c r="H2554" s="11">
        <v>400</v>
      </c>
      <c r="I2554" s="12">
        <v>42673</v>
      </c>
      <c r="J2554" s="35">
        <f t="shared" si="90"/>
        <v>0</v>
      </c>
      <c r="K2554" s="36"/>
      <c r="L2554" s="36"/>
      <c r="M2554" s="36"/>
      <c r="N2554" s="36"/>
      <c r="O2554" s="36"/>
      <c r="P2554" s="36"/>
      <c r="Q2554" s="36"/>
      <c r="R2554" s="36"/>
      <c r="S2554" s="36">
        <v>400</v>
      </c>
      <c r="T2554" s="36"/>
      <c r="U2554" s="36"/>
      <c r="V2554" s="36"/>
      <c r="W2554" s="15">
        <f t="shared" si="91"/>
        <v>400</v>
      </c>
      <c r="X2554" s="36"/>
      <c r="Y2554" s="36"/>
      <c r="Z2554" s="36"/>
      <c r="AA2554" s="36"/>
      <c r="AB2554" s="36"/>
      <c r="AC2554" s="36"/>
      <c r="AD2554" s="36"/>
      <c r="AE2554" s="36"/>
      <c r="AF2554" s="36"/>
      <c r="AG2554" s="36"/>
      <c r="AH2554" s="36"/>
      <c r="AI2554" s="36"/>
      <c r="AJ2554" s="15">
        <f t="shared" si="92"/>
        <v>0</v>
      </c>
      <c r="AK2554" s="16"/>
      <c r="AL2554" s="113"/>
    </row>
    <row r="2555" spans="1:38" x14ac:dyDescent="0.2">
      <c r="B2555" s="7"/>
      <c r="C2555" s="8">
        <v>13128</v>
      </c>
      <c r="D2555" s="9" t="s">
        <v>725</v>
      </c>
      <c r="E2555" s="10" t="s">
        <v>726</v>
      </c>
      <c r="F2555" s="10" t="s">
        <v>727</v>
      </c>
      <c r="G2555" s="8">
        <v>5</v>
      </c>
      <c r="H2555" s="11">
        <v>50</v>
      </c>
      <c r="I2555" s="12">
        <v>42673</v>
      </c>
      <c r="J2555" s="35">
        <f t="shared" si="90"/>
        <v>0</v>
      </c>
      <c r="K2555" s="36"/>
      <c r="L2555" s="36"/>
      <c r="M2555" s="36"/>
      <c r="N2555" s="36"/>
      <c r="O2555" s="36"/>
      <c r="P2555" s="36"/>
      <c r="Q2555" s="36"/>
      <c r="R2555" s="36"/>
      <c r="S2555" s="36"/>
      <c r="T2555" s="36"/>
      <c r="U2555" s="36"/>
      <c r="V2555" s="36"/>
      <c r="W2555" s="15">
        <f t="shared" si="91"/>
        <v>0</v>
      </c>
      <c r="X2555" s="36"/>
      <c r="Y2555" s="36"/>
      <c r="Z2555" s="36"/>
      <c r="AA2555" s="36"/>
      <c r="AB2555" s="36"/>
      <c r="AC2555" s="36"/>
      <c r="AD2555" s="36"/>
      <c r="AE2555" s="36"/>
      <c r="AF2555" s="36"/>
      <c r="AG2555" s="36"/>
      <c r="AH2555" s="36"/>
      <c r="AI2555" s="36"/>
      <c r="AJ2555" s="15">
        <f t="shared" si="92"/>
        <v>0</v>
      </c>
      <c r="AK2555" s="322">
        <f>SUM(H2509:H2555)</f>
        <v>17900</v>
      </c>
    </row>
    <row r="2556" spans="1:38" x14ac:dyDescent="0.2">
      <c r="B2556" s="7"/>
      <c r="C2556" s="8">
        <v>13136</v>
      </c>
      <c r="D2556" s="9" t="s">
        <v>211</v>
      </c>
      <c r="E2556" s="10" t="s">
        <v>212</v>
      </c>
      <c r="F2556" s="10" t="s">
        <v>213</v>
      </c>
      <c r="G2556" s="8">
        <v>1</v>
      </c>
      <c r="H2556" s="11">
        <v>300</v>
      </c>
      <c r="I2556" s="12">
        <v>42648</v>
      </c>
      <c r="J2556" s="35">
        <f t="shared" si="90"/>
        <v>0</v>
      </c>
      <c r="K2556" s="36"/>
      <c r="L2556" s="36"/>
      <c r="M2556" s="36"/>
      <c r="N2556" s="36"/>
      <c r="O2556" s="36"/>
      <c r="P2556" s="36"/>
      <c r="Q2556" s="36"/>
      <c r="R2556" s="36"/>
      <c r="S2556" s="36"/>
      <c r="T2556" s="36">
        <v>300</v>
      </c>
      <c r="U2556" s="36"/>
      <c r="V2556" s="36"/>
      <c r="W2556" s="15">
        <f t="shared" ref="W2556" si="102">SUM(K2556:V2556)</f>
        <v>300</v>
      </c>
      <c r="X2556" s="36"/>
      <c r="Y2556" s="36"/>
      <c r="Z2556" s="36"/>
      <c r="AA2556" s="36"/>
      <c r="AB2556" s="36"/>
      <c r="AC2556" s="36"/>
      <c r="AD2556" s="36"/>
      <c r="AE2556" s="36"/>
      <c r="AF2556" s="36"/>
      <c r="AG2556" s="36"/>
      <c r="AH2556" s="36"/>
      <c r="AI2556" s="36"/>
      <c r="AJ2556" s="15">
        <f t="shared" si="92"/>
        <v>0</v>
      </c>
      <c r="AK2556" s="16"/>
    </row>
    <row r="2557" spans="1:38" x14ac:dyDescent="0.2">
      <c r="B2557" s="7"/>
      <c r="C2557" s="8"/>
      <c r="D2557" s="9" t="s">
        <v>806</v>
      </c>
      <c r="E2557" s="10" t="s">
        <v>885</v>
      </c>
      <c r="F2557" s="10" t="s">
        <v>805</v>
      </c>
      <c r="G2557" s="8">
        <v>1</v>
      </c>
      <c r="H2557" s="11">
        <v>11000</v>
      </c>
      <c r="I2557" s="12">
        <v>42648</v>
      </c>
      <c r="J2557" s="35">
        <f t="shared" si="89"/>
        <v>0</v>
      </c>
      <c r="K2557" s="36"/>
      <c r="L2557" s="36"/>
      <c r="M2557" s="36"/>
      <c r="N2557" s="36"/>
      <c r="O2557" s="36"/>
      <c r="P2557" s="36"/>
      <c r="Q2557" s="36"/>
      <c r="R2557" s="36"/>
      <c r="S2557" s="36"/>
      <c r="T2557" s="36">
        <v>11000</v>
      </c>
      <c r="U2557" s="36"/>
      <c r="V2557" s="36"/>
      <c r="W2557" s="15">
        <f t="shared" si="87"/>
        <v>11000</v>
      </c>
      <c r="X2557" s="36"/>
      <c r="Y2557" s="36"/>
      <c r="Z2557" s="36"/>
      <c r="AA2557" s="36"/>
      <c r="AB2557" s="36"/>
      <c r="AC2557" s="36"/>
      <c r="AD2557" s="36"/>
      <c r="AE2557" s="36"/>
      <c r="AF2557" s="36"/>
      <c r="AG2557" s="36"/>
      <c r="AH2557" s="36"/>
      <c r="AI2557" s="36"/>
      <c r="AJ2557" s="15">
        <f t="shared" si="88"/>
        <v>0</v>
      </c>
      <c r="AK2557" s="16"/>
    </row>
    <row r="2558" spans="1:38" x14ac:dyDescent="0.2">
      <c r="B2558" s="7"/>
      <c r="C2558" s="8"/>
      <c r="D2558" s="9"/>
      <c r="E2558" s="10"/>
      <c r="F2558" s="10" t="s">
        <v>93</v>
      </c>
      <c r="G2558" s="8"/>
      <c r="H2558" s="11"/>
      <c r="I2558" s="12"/>
      <c r="J2558" s="35">
        <f t="shared" ref="J2558:J2559" si="103">IF(G2558=1,SUM(W2558,AJ2558,-H2558),0)</f>
        <v>0</v>
      </c>
      <c r="K2558" s="36"/>
      <c r="L2558" s="36"/>
      <c r="M2558" s="36"/>
      <c r="N2558" s="36"/>
      <c r="O2558" s="36"/>
      <c r="P2558" s="36"/>
      <c r="Q2558" s="36"/>
      <c r="R2558" s="36"/>
      <c r="S2558" s="36"/>
      <c r="T2558" s="36"/>
      <c r="U2558" s="36"/>
      <c r="V2558" s="36"/>
      <c r="W2558" s="15">
        <f t="shared" ref="W2558:W2559" si="104">SUM(K2558:V2558)</f>
        <v>0</v>
      </c>
      <c r="X2558" s="36"/>
      <c r="Y2558" s="36"/>
      <c r="Z2558" s="36"/>
      <c r="AA2558" s="36"/>
      <c r="AB2558" s="36"/>
      <c r="AC2558" s="36"/>
      <c r="AD2558" s="36"/>
      <c r="AE2558" s="36"/>
      <c r="AF2558" s="36"/>
      <c r="AG2558" s="36"/>
      <c r="AH2558" s="36"/>
      <c r="AI2558" s="36"/>
      <c r="AJ2558" s="15">
        <f t="shared" ref="AJ2558:AJ2559" si="105">SUM(X2558:AI2558)</f>
        <v>0</v>
      </c>
      <c r="AK2558" s="16"/>
    </row>
    <row r="2559" spans="1:38" x14ac:dyDescent="0.2">
      <c r="B2559" s="7"/>
      <c r="C2559" s="8"/>
      <c r="D2559" s="9"/>
      <c r="E2559" s="10" t="s">
        <v>93</v>
      </c>
      <c r="F2559" s="10" t="s">
        <v>93</v>
      </c>
      <c r="G2559" s="8"/>
      <c r="H2559" s="11"/>
      <c r="I2559" s="12"/>
      <c r="J2559" s="35">
        <f t="shared" si="103"/>
        <v>0</v>
      </c>
      <c r="K2559" s="36"/>
      <c r="L2559" s="36"/>
      <c r="M2559" s="36"/>
      <c r="N2559" s="36"/>
      <c r="O2559" s="36"/>
      <c r="P2559" s="36"/>
      <c r="Q2559" s="36"/>
      <c r="R2559" s="36"/>
      <c r="S2559" s="36"/>
      <c r="T2559" s="36"/>
      <c r="U2559" s="36"/>
      <c r="V2559" s="36"/>
      <c r="W2559" s="15">
        <f t="shared" si="104"/>
        <v>0</v>
      </c>
      <c r="X2559" s="36"/>
      <c r="Y2559" s="36"/>
      <c r="Z2559" s="36"/>
      <c r="AA2559" s="36"/>
      <c r="AB2559" s="36"/>
      <c r="AC2559" s="36"/>
      <c r="AD2559" s="36"/>
      <c r="AE2559" s="36"/>
      <c r="AF2559" s="36"/>
      <c r="AG2559" s="36"/>
      <c r="AH2559" s="36"/>
      <c r="AI2559" s="36"/>
      <c r="AJ2559" s="15">
        <f t="shared" si="105"/>
        <v>0</v>
      </c>
      <c r="AK2559" s="16"/>
    </row>
    <row r="2560" spans="1:38" x14ac:dyDescent="0.2">
      <c r="A2560" s="63" t="s">
        <v>0</v>
      </c>
      <c r="B2560" s="7"/>
      <c r="C2560" s="8"/>
      <c r="D2560" s="9"/>
      <c r="E2560" s="10" t="s">
        <v>93</v>
      </c>
      <c r="F2560" s="10" t="s">
        <v>93</v>
      </c>
      <c r="G2560" s="8"/>
      <c r="H2560" s="11"/>
      <c r="I2560" s="12"/>
      <c r="J2560" s="35">
        <f t="shared" si="89"/>
        <v>0</v>
      </c>
      <c r="K2560" s="36"/>
      <c r="L2560" s="36"/>
      <c r="M2560" s="36"/>
      <c r="N2560" s="36"/>
      <c r="O2560" s="36"/>
      <c r="P2560" s="36"/>
      <c r="Q2560" s="36"/>
      <c r="R2560" s="36"/>
      <c r="S2560" s="36"/>
      <c r="T2560" s="36"/>
      <c r="U2560" s="36"/>
      <c r="V2560" s="36"/>
      <c r="W2560" s="15">
        <f t="shared" si="87"/>
        <v>0</v>
      </c>
      <c r="X2560" s="36"/>
      <c r="Y2560" s="36"/>
      <c r="Z2560" s="36"/>
      <c r="AA2560" s="36"/>
      <c r="AB2560" s="36"/>
      <c r="AC2560" s="36"/>
      <c r="AD2560" s="36"/>
      <c r="AE2560" s="36"/>
      <c r="AF2560" s="36"/>
      <c r="AG2560" s="36"/>
      <c r="AH2560" s="36"/>
      <c r="AI2560" s="36"/>
      <c r="AJ2560" s="15">
        <f t="shared" si="88"/>
        <v>0</v>
      </c>
      <c r="AK2560" s="16"/>
      <c r="AL2560" s="113">
        <f>SUM(H2343:H2560)</f>
        <v>94425</v>
      </c>
    </row>
    <row r="2561" spans="1:37" ht="22.5" x14ac:dyDescent="0.2">
      <c r="A2561" s="2"/>
      <c r="B2561" s="3" t="s">
        <v>1</v>
      </c>
      <c r="C2561" s="3" t="s">
        <v>2</v>
      </c>
      <c r="D2561" s="3" t="s">
        <v>3</v>
      </c>
      <c r="E2561" s="3" t="s">
        <v>4</v>
      </c>
      <c r="F2561" s="3" t="s">
        <v>5</v>
      </c>
      <c r="G2561" s="3" t="s">
        <v>6</v>
      </c>
      <c r="H2561" s="3" t="s">
        <v>7</v>
      </c>
      <c r="I2561" s="3" t="s">
        <v>8</v>
      </c>
      <c r="J2561" s="3" t="s">
        <v>9</v>
      </c>
      <c r="K2561" s="4" t="s">
        <v>10</v>
      </c>
      <c r="L2561" s="4" t="s">
        <v>11</v>
      </c>
      <c r="M2561" s="4" t="s">
        <v>12</v>
      </c>
      <c r="N2561" s="4" t="s">
        <v>13</v>
      </c>
      <c r="O2561" s="4" t="s">
        <v>14</v>
      </c>
      <c r="P2561" s="4" t="s">
        <v>15</v>
      </c>
      <c r="Q2561" s="4" t="s">
        <v>16</v>
      </c>
      <c r="R2561" s="4" t="s">
        <v>17</v>
      </c>
      <c r="S2561" s="4" t="s">
        <v>18</v>
      </c>
      <c r="T2561" s="4" t="s">
        <v>19</v>
      </c>
      <c r="U2561" s="4" t="s">
        <v>20</v>
      </c>
      <c r="V2561" s="4" t="s">
        <v>21</v>
      </c>
      <c r="W2561" s="5" t="s">
        <v>22</v>
      </c>
      <c r="X2561" s="4" t="s">
        <v>23</v>
      </c>
      <c r="Y2561" s="4" t="s">
        <v>24</v>
      </c>
      <c r="Z2561" s="4" t="s">
        <v>25</v>
      </c>
      <c r="AA2561" s="4" t="s">
        <v>26</v>
      </c>
      <c r="AB2561" s="4" t="s">
        <v>27</v>
      </c>
      <c r="AC2561" s="4" t="s">
        <v>28</v>
      </c>
      <c r="AD2561" s="4" t="s">
        <v>29</v>
      </c>
      <c r="AE2561" s="4" t="s">
        <v>30</v>
      </c>
      <c r="AF2561" s="4" t="s">
        <v>31</v>
      </c>
      <c r="AG2561" s="4" t="s">
        <v>32</v>
      </c>
      <c r="AH2561" s="4" t="s">
        <v>33</v>
      </c>
      <c r="AI2561" s="4" t="s">
        <v>34</v>
      </c>
      <c r="AJ2561" s="5" t="s">
        <v>35</v>
      </c>
      <c r="AK2561" s="6" t="s">
        <v>36</v>
      </c>
    </row>
    <row r="2562" spans="1:37" x14ac:dyDescent="0.2">
      <c r="B2562" s="7"/>
      <c r="C2562" s="8">
        <v>13129</v>
      </c>
      <c r="D2562" s="9" t="s">
        <v>598</v>
      </c>
      <c r="E2562" s="10" t="s">
        <v>599</v>
      </c>
      <c r="F2562" s="10" t="s">
        <v>886</v>
      </c>
      <c r="G2562" s="8">
        <v>1</v>
      </c>
      <c r="H2562" s="11">
        <v>800</v>
      </c>
      <c r="I2562" s="12">
        <v>42674</v>
      </c>
      <c r="J2562" s="35">
        <f t="shared" ref="J2562:J2625" si="106">IF(G2562=1,SUM(W2562,AJ2562,-H2562),0)</f>
        <v>0</v>
      </c>
      <c r="K2562" s="36"/>
      <c r="L2562" s="36"/>
      <c r="M2562" s="36"/>
      <c r="N2562" s="36"/>
      <c r="O2562" s="36"/>
      <c r="P2562" s="36"/>
      <c r="Q2562" s="36"/>
      <c r="R2562" s="36"/>
      <c r="S2562" s="36">
        <v>400</v>
      </c>
      <c r="T2562" s="36">
        <v>400</v>
      </c>
      <c r="U2562" s="36"/>
      <c r="V2562" s="36"/>
      <c r="W2562" s="15">
        <f t="shared" ref="W2562:W2625" si="107">SUM(K2562:V2562)</f>
        <v>800</v>
      </c>
      <c r="X2562" s="36"/>
      <c r="Y2562" s="36"/>
      <c r="Z2562" s="36"/>
      <c r="AA2562" s="36"/>
      <c r="AB2562" s="36"/>
      <c r="AC2562" s="36"/>
      <c r="AD2562" s="36"/>
      <c r="AE2562" s="36"/>
      <c r="AF2562" s="36"/>
      <c r="AG2562" s="36"/>
      <c r="AH2562" s="36"/>
      <c r="AI2562" s="36"/>
      <c r="AJ2562" s="15">
        <f t="shared" ref="AJ2562:AJ2625" si="108">SUM(X2562:AI2562)</f>
        <v>0</v>
      </c>
      <c r="AK2562" s="16"/>
    </row>
    <row r="2563" spans="1:37" x14ac:dyDescent="0.2">
      <c r="B2563" s="7"/>
      <c r="C2563" s="8">
        <v>13130</v>
      </c>
      <c r="D2563" s="9" t="s">
        <v>346</v>
      </c>
      <c r="E2563" s="10" t="s">
        <v>347</v>
      </c>
      <c r="F2563" s="10" t="s">
        <v>348</v>
      </c>
      <c r="G2563" s="8">
        <v>1</v>
      </c>
      <c r="H2563" s="11">
        <v>600</v>
      </c>
      <c r="I2563" s="12">
        <v>42677</v>
      </c>
      <c r="J2563" s="35">
        <f t="shared" si="106"/>
        <v>0</v>
      </c>
      <c r="K2563" s="36"/>
      <c r="L2563" s="36"/>
      <c r="M2563" s="36"/>
      <c r="N2563" s="36"/>
      <c r="O2563" s="36"/>
      <c r="P2563" s="36"/>
      <c r="Q2563" s="36"/>
      <c r="R2563" s="36"/>
      <c r="S2563" s="36"/>
      <c r="T2563" s="36">
        <v>300</v>
      </c>
      <c r="U2563" s="36">
        <v>300</v>
      </c>
      <c r="V2563" s="36"/>
      <c r="W2563" s="15">
        <f t="shared" si="107"/>
        <v>600</v>
      </c>
      <c r="X2563" s="36"/>
      <c r="Y2563" s="36"/>
      <c r="Z2563" s="36"/>
      <c r="AA2563" s="36"/>
      <c r="AB2563" s="36"/>
      <c r="AC2563" s="36"/>
      <c r="AD2563" s="36"/>
      <c r="AE2563" s="36"/>
      <c r="AF2563" s="36"/>
      <c r="AG2563" s="36"/>
      <c r="AH2563" s="36"/>
      <c r="AI2563" s="36"/>
      <c r="AJ2563" s="15">
        <f t="shared" si="108"/>
        <v>0</v>
      </c>
      <c r="AK2563" s="16"/>
    </row>
    <row r="2564" spans="1:37" x14ac:dyDescent="0.2">
      <c r="B2564" s="7"/>
      <c r="C2564" s="8">
        <v>13131</v>
      </c>
      <c r="D2564" s="9" t="s">
        <v>220</v>
      </c>
      <c r="E2564" s="10" t="s">
        <v>221</v>
      </c>
      <c r="F2564" s="10" t="s">
        <v>222</v>
      </c>
      <c r="G2564" s="8">
        <v>1</v>
      </c>
      <c r="H2564" s="11">
        <v>300</v>
      </c>
      <c r="I2564" s="12">
        <v>42677</v>
      </c>
      <c r="J2564" s="35">
        <f t="shared" si="106"/>
        <v>0</v>
      </c>
      <c r="K2564" s="36"/>
      <c r="L2564" s="36"/>
      <c r="M2564" s="36"/>
      <c r="N2564" s="36"/>
      <c r="O2564" s="36"/>
      <c r="P2564" s="36"/>
      <c r="Q2564" s="36"/>
      <c r="R2564" s="36"/>
      <c r="S2564" s="36"/>
      <c r="T2564" s="36">
        <v>300</v>
      </c>
      <c r="U2564" s="36"/>
      <c r="V2564" s="36"/>
      <c r="W2564" s="15">
        <f t="shared" si="107"/>
        <v>300</v>
      </c>
      <c r="X2564" s="36"/>
      <c r="Y2564" s="36"/>
      <c r="Z2564" s="36"/>
      <c r="AA2564" s="36"/>
      <c r="AB2564" s="36"/>
      <c r="AC2564" s="36"/>
      <c r="AD2564" s="36"/>
      <c r="AE2564" s="36"/>
      <c r="AF2564" s="36"/>
      <c r="AG2564" s="36"/>
      <c r="AH2564" s="36"/>
      <c r="AI2564" s="36"/>
      <c r="AJ2564" s="15">
        <f t="shared" si="108"/>
        <v>0</v>
      </c>
      <c r="AK2564" s="16"/>
    </row>
    <row r="2565" spans="1:37" x14ac:dyDescent="0.2">
      <c r="B2565" s="7"/>
      <c r="C2565" s="8">
        <v>13131</v>
      </c>
      <c r="D2565" s="9" t="s">
        <v>220</v>
      </c>
      <c r="E2565" s="10" t="s">
        <v>221</v>
      </c>
      <c r="F2565" s="10" t="s">
        <v>222</v>
      </c>
      <c r="G2565" s="8">
        <v>5</v>
      </c>
      <c r="H2565" s="11">
        <v>100</v>
      </c>
      <c r="I2565" s="12">
        <v>42677</v>
      </c>
      <c r="J2565" s="35">
        <f t="shared" si="106"/>
        <v>0</v>
      </c>
      <c r="K2565" s="36"/>
      <c r="L2565" s="36"/>
      <c r="M2565" s="36"/>
      <c r="N2565" s="36"/>
      <c r="O2565" s="36"/>
      <c r="P2565" s="36"/>
      <c r="Q2565" s="36"/>
      <c r="R2565" s="36"/>
      <c r="S2565" s="36"/>
      <c r="T2565" s="36"/>
      <c r="U2565" s="36"/>
      <c r="V2565" s="36"/>
      <c r="W2565" s="15">
        <f t="shared" si="107"/>
        <v>0</v>
      </c>
      <c r="X2565" s="36"/>
      <c r="Y2565" s="36"/>
      <c r="Z2565" s="36"/>
      <c r="AA2565" s="36"/>
      <c r="AB2565" s="36"/>
      <c r="AC2565" s="36"/>
      <c r="AD2565" s="36"/>
      <c r="AE2565" s="36"/>
      <c r="AF2565" s="36"/>
      <c r="AG2565" s="36"/>
      <c r="AH2565" s="36"/>
      <c r="AI2565" s="36"/>
      <c r="AJ2565" s="15">
        <f t="shared" si="108"/>
        <v>0</v>
      </c>
      <c r="AK2565" s="16"/>
    </row>
    <row r="2566" spans="1:37" x14ac:dyDescent="0.2">
      <c r="B2566" s="7"/>
      <c r="C2566" s="8">
        <v>13132</v>
      </c>
      <c r="D2566" s="9" t="s">
        <v>446</v>
      </c>
      <c r="E2566" s="10" t="s">
        <v>447</v>
      </c>
      <c r="F2566" s="10" t="s">
        <v>448</v>
      </c>
      <c r="G2566" s="8">
        <v>1</v>
      </c>
      <c r="H2566" s="11">
        <v>400</v>
      </c>
      <c r="I2566" s="12">
        <v>42677</v>
      </c>
      <c r="J2566" s="35">
        <f t="shared" si="106"/>
        <v>0</v>
      </c>
      <c r="K2566" s="36"/>
      <c r="L2566" s="36"/>
      <c r="M2566" s="36"/>
      <c r="N2566" s="36"/>
      <c r="O2566" s="36"/>
      <c r="P2566" s="36"/>
      <c r="Q2566" s="36"/>
      <c r="R2566" s="36"/>
      <c r="S2566" s="36">
        <v>200</v>
      </c>
      <c r="T2566" s="36">
        <v>200</v>
      </c>
      <c r="U2566" s="36"/>
      <c r="V2566" s="36"/>
      <c r="W2566" s="15">
        <f t="shared" si="107"/>
        <v>400</v>
      </c>
      <c r="X2566" s="36"/>
      <c r="Y2566" s="36"/>
      <c r="Z2566" s="36"/>
      <c r="AA2566" s="36"/>
      <c r="AB2566" s="36"/>
      <c r="AC2566" s="36"/>
      <c r="AD2566" s="36"/>
      <c r="AE2566" s="36"/>
      <c r="AF2566" s="36"/>
      <c r="AG2566" s="36"/>
      <c r="AH2566" s="36"/>
      <c r="AI2566" s="36"/>
      <c r="AJ2566" s="15">
        <f t="shared" si="108"/>
        <v>0</v>
      </c>
      <c r="AK2566" s="16"/>
    </row>
    <row r="2567" spans="1:37" x14ac:dyDescent="0.2">
      <c r="B2567" s="7"/>
      <c r="C2567" s="8">
        <v>13133</v>
      </c>
      <c r="D2567" s="9" t="s">
        <v>846</v>
      </c>
      <c r="E2567" s="10" t="s">
        <v>847</v>
      </c>
      <c r="F2567" s="10" t="s">
        <v>848</v>
      </c>
      <c r="G2567" s="8">
        <v>5</v>
      </c>
      <c r="H2567" s="11">
        <v>50</v>
      </c>
      <c r="I2567" s="12">
        <v>42678</v>
      </c>
      <c r="J2567" s="35">
        <f t="shared" si="106"/>
        <v>0</v>
      </c>
      <c r="K2567" s="36"/>
      <c r="L2567" s="36"/>
      <c r="M2567" s="36"/>
      <c r="N2567" s="36"/>
      <c r="O2567" s="36"/>
      <c r="P2567" s="36"/>
      <c r="Q2567" s="36"/>
      <c r="R2567" s="36"/>
      <c r="S2567" s="36"/>
      <c r="T2567" s="36"/>
      <c r="U2567" s="36"/>
      <c r="V2567" s="36"/>
      <c r="W2567" s="15">
        <f t="shared" si="107"/>
        <v>0</v>
      </c>
      <c r="X2567" s="36"/>
      <c r="Y2567" s="36"/>
      <c r="Z2567" s="36"/>
      <c r="AA2567" s="36"/>
      <c r="AB2567" s="36"/>
      <c r="AC2567" s="36"/>
      <c r="AD2567" s="36"/>
      <c r="AE2567" s="36"/>
      <c r="AF2567" s="36"/>
      <c r="AG2567" s="36"/>
      <c r="AH2567" s="36"/>
      <c r="AI2567" s="36"/>
      <c r="AJ2567" s="15">
        <f t="shared" si="108"/>
        <v>0</v>
      </c>
      <c r="AK2567" s="16"/>
    </row>
    <row r="2568" spans="1:37" x14ac:dyDescent="0.2">
      <c r="B2568" s="7"/>
      <c r="C2568" s="8">
        <v>13134</v>
      </c>
      <c r="D2568" s="9" t="s">
        <v>205</v>
      </c>
      <c r="E2568" s="10" t="s">
        <v>206</v>
      </c>
      <c r="F2568" s="10" t="s">
        <v>207</v>
      </c>
      <c r="G2568" s="8">
        <v>1</v>
      </c>
      <c r="H2568" s="11">
        <v>600</v>
      </c>
      <c r="I2568" s="12">
        <v>42678</v>
      </c>
      <c r="J2568" s="35">
        <f t="shared" si="106"/>
        <v>0</v>
      </c>
      <c r="K2568" s="36"/>
      <c r="L2568" s="36"/>
      <c r="M2568" s="36"/>
      <c r="N2568" s="36"/>
      <c r="O2568" s="36"/>
      <c r="P2568" s="36"/>
      <c r="Q2568" s="36"/>
      <c r="R2568" s="36"/>
      <c r="S2568" s="36"/>
      <c r="T2568" s="36">
        <v>600</v>
      </c>
      <c r="U2568" s="36"/>
      <c r="V2568" s="36"/>
      <c r="W2568" s="15">
        <f t="shared" si="107"/>
        <v>600</v>
      </c>
      <c r="X2568" s="36"/>
      <c r="Y2568" s="36"/>
      <c r="Z2568" s="36"/>
      <c r="AA2568" s="36"/>
      <c r="AB2568" s="36"/>
      <c r="AC2568" s="36"/>
      <c r="AD2568" s="36"/>
      <c r="AE2568" s="36"/>
      <c r="AF2568" s="36"/>
      <c r="AG2568" s="36"/>
      <c r="AH2568" s="36"/>
      <c r="AI2568" s="36"/>
      <c r="AJ2568" s="15">
        <f t="shared" si="108"/>
        <v>0</v>
      </c>
      <c r="AK2568" s="16"/>
    </row>
    <row r="2569" spans="1:37" x14ac:dyDescent="0.2">
      <c r="B2569" s="7"/>
      <c r="C2569" s="8">
        <v>13135</v>
      </c>
      <c r="D2569" s="9" t="s">
        <v>669</v>
      </c>
      <c r="E2569" s="10" t="s">
        <v>670</v>
      </c>
      <c r="F2569" s="10" t="s">
        <v>671</v>
      </c>
      <c r="G2569" s="8">
        <v>1</v>
      </c>
      <c r="H2569" s="11">
        <v>1200</v>
      </c>
      <c r="I2569" s="12">
        <v>42678</v>
      </c>
      <c r="J2569" s="35">
        <f t="shared" si="106"/>
        <v>0</v>
      </c>
      <c r="K2569" s="36"/>
      <c r="L2569" s="36"/>
      <c r="M2569" s="36"/>
      <c r="N2569" s="36"/>
      <c r="O2569" s="36"/>
      <c r="P2569" s="36"/>
      <c r="Q2569" s="36"/>
      <c r="R2569" s="36">
        <v>400</v>
      </c>
      <c r="S2569" s="36">
        <v>400</v>
      </c>
      <c r="T2569" s="36">
        <v>400</v>
      </c>
      <c r="U2569" s="36"/>
      <c r="V2569" s="36"/>
      <c r="W2569" s="15">
        <f t="shared" si="107"/>
        <v>1200</v>
      </c>
      <c r="X2569" s="36"/>
      <c r="Y2569" s="36"/>
      <c r="Z2569" s="36"/>
      <c r="AA2569" s="36"/>
      <c r="AB2569" s="36"/>
      <c r="AC2569" s="36"/>
      <c r="AD2569" s="36"/>
      <c r="AE2569" s="36"/>
      <c r="AF2569" s="36"/>
      <c r="AG2569" s="36"/>
      <c r="AH2569" s="36"/>
      <c r="AI2569" s="36"/>
      <c r="AJ2569" s="15">
        <f t="shared" si="108"/>
        <v>0</v>
      </c>
      <c r="AK2569" s="16"/>
    </row>
    <row r="2570" spans="1:37" x14ac:dyDescent="0.2">
      <c r="B2570" s="7"/>
      <c r="C2570" s="324">
        <v>13136</v>
      </c>
      <c r="D2570" s="9" t="s">
        <v>211</v>
      </c>
      <c r="E2570" s="10" t="s">
        <v>212</v>
      </c>
      <c r="F2570" s="10" t="s">
        <v>213</v>
      </c>
      <c r="G2570" s="8"/>
      <c r="H2570" s="11"/>
      <c r="I2570" s="12"/>
      <c r="J2570" s="35">
        <f t="shared" si="106"/>
        <v>0</v>
      </c>
      <c r="K2570" s="36"/>
      <c r="L2570" s="36"/>
      <c r="M2570" s="36"/>
      <c r="N2570" s="36"/>
      <c r="O2570" s="36"/>
      <c r="P2570" s="36"/>
      <c r="Q2570" s="36"/>
      <c r="R2570" s="36"/>
      <c r="S2570" s="36"/>
      <c r="T2570" s="36"/>
      <c r="U2570" s="36"/>
      <c r="V2570" s="36"/>
      <c r="W2570" s="15">
        <f t="shared" si="107"/>
        <v>0</v>
      </c>
      <c r="X2570" s="36"/>
      <c r="Y2570" s="36"/>
      <c r="Z2570" s="36"/>
      <c r="AA2570" s="36"/>
      <c r="AB2570" s="36"/>
      <c r="AC2570" s="36"/>
      <c r="AD2570" s="36"/>
      <c r="AE2570" s="36"/>
      <c r="AF2570" s="36"/>
      <c r="AG2570" s="36"/>
      <c r="AH2570" s="36"/>
      <c r="AI2570" s="36"/>
      <c r="AJ2570" s="15">
        <f t="shared" si="108"/>
        <v>0</v>
      </c>
      <c r="AK2570" s="16"/>
    </row>
    <row r="2571" spans="1:37" x14ac:dyDescent="0.2">
      <c r="B2571" s="7"/>
      <c r="C2571" s="8">
        <v>13137</v>
      </c>
      <c r="D2571" s="9" t="s">
        <v>1203</v>
      </c>
      <c r="E2571" s="10" t="s">
        <v>1204</v>
      </c>
      <c r="F2571" s="10" t="s">
        <v>1205</v>
      </c>
      <c r="G2571" s="8">
        <v>1</v>
      </c>
      <c r="H2571" s="11">
        <v>300</v>
      </c>
      <c r="I2571" s="12">
        <v>42680</v>
      </c>
      <c r="J2571" s="35">
        <f t="shared" si="106"/>
        <v>0</v>
      </c>
      <c r="K2571" s="36"/>
      <c r="L2571" s="36"/>
      <c r="M2571" s="36"/>
      <c r="N2571" s="36"/>
      <c r="O2571" s="36"/>
      <c r="P2571" s="36"/>
      <c r="Q2571" s="36"/>
      <c r="R2571" s="36"/>
      <c r="S2571" s="36"/>
      <c r="T2571" s="36"/>
      <c r="U2571" s="36">
        <v>300</v>
      </c>
      <c r="V2571" s="36"/>
      <c r="W2571" s="15">
        <f t="shared" si="107"/>
        <v>300</v>
      </c>
      <c r="X2571" s="36"/>
      <c r="Y2571" s="36"/>
      <c r="Z2571" s="36"/>
      <c r="AA2571" s="36"/>
      <c r="AB2571" s="36"/>
      <c r="AC2571" s="36"/>
      <c r="AD2571" s="36"/>
      <c r="AE2571" s="36"/>
      <c r="AF2571" s="36"/>
      <c r="AG2571" s="36"/>
      <c r="AH2571" s="36"/>
      <c r="AI2571" s="36"/>
      <c r="AJ2571" s="15">
        <f t="shared" si="108"/>
        <v>0</v>
      </c>
      <c r="AK2571" s="16"/>
    </row>
    <row r="2572" spans="1:37" x14ac:dyDescent="0.2">
      <c r="B2572" s="7"/>
      <c r="C2572" s="8">
        <v>13138</v>
      </c>
      <c r="D2572" s="9" t="s">
        <v>820</v>
      </c>
      <c r="E2572" s="10" t="s">
        <v>821</v>
      </c>
      <c r="F2572" s="10" t="s">
        <v>822</v>
      </c>
      <c r="G2572" s="8">
        <v>1</v>
      </c>
      <c r="H2572" s="11">
        <v>300</v>
      </c>
      <c r="I2572" s="12">
        <v>42680</v>
      </c>
      <c r="J2572" s="35">
        <f t="shared" si="106"/>
        <v>0</v>
      </c>
      <c r="K2572" s="36"/>
      <c r="L2572" s="36"/>
      <c r="M2572" s="36"/>
      <c r="N2572" s="36"/>
      <c r="O2572" s="36"/>
      <c r="P2572" s="36"/>
      <c r="Q2572" s="36"/>
      <c r="R2572" s="36"/>
      <c r="S2572" s="36"/>
      <c r="T2572" s="36">
        <v>300</v>
      </c>
      <c r="U2572" s="36"/>
      <c r="V2572" s="36"/>
      <c r="W2572" s="15">
        <f t="shared" si="107"/>
        <v>300</v>
      </c>
      <c r="X2572" s="36"/>
      <c r="Y2572" s="36"/>
      <c r="Z2572" s="36"/>
      <c r="AA2572" s="36"/>
      <c r="AB2572" s="36"/>
      <c r="AC2572" s="36"/>
      <c r="AD2572" s="36"/>
      <c r="AE2572" s="36"/>
      <c r="AF2572" s="36"/>
      <c r="AG2572" s="36"/>
      <c r="AH2572" s="36"/>
      <c r="AI2572" s="36"/>
      <c r="AJ2572" s="15">
        <f t="shared" si="108"/>
        <v>0</v>
      </c>
      <c r="AK2572" s="16"/>
    </row>
    <row r="2573" spans="1:37" x14ac:dyDescent="0.2">
      <c r="B2573" s="325"/>
      <c r="C2573" s="8">
        <v>13139</v>
      </c>
      <c r="D2573" s="9" t="s">
        <v>1017</v>
      </c>
      <c r="E2573" s="10" t="s">
        <v>1018</v>
      </c>
      <c r="F2573" s="10" t="s">
        <v>3208</v>
      </c>
      <c r="G2573" s="8">
        <v>1</v>
      </c>
      <c r="H2573" s="11">
        <v>400</v>
      </c>
      <c r="I2573" s="12">
        <v>42680</v>
      </c>
      <c r="J2573" s="35">
        <f t="shared" si="106"/>
        <v>0</v>
      </c>
      <c r="K2573" s="36"/>
      <c r="L2573" s="36"/>
      <c r="M2573" s="36"/>
      <c r="N2573" s="36"/>
      <c r="O2573" s="36"/>
      <c r="P2573" s="36"/>
      <c r="Q2573" s="36"/>
      <c r="R2573" s="36"/>
      <c r="S2573" s="36"/>
      <c r="T2573" s="36">
        <v>200</v>
      </c>
      <c r="U2573" s="36">
        <v>200</v>
      </c>
      <c r="V2573" s="36"/>
      <c r="W2573" s="15">
        <f t="shared" si="107"/>
        <v>400</v>
      </c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15">
        <f t="shared" si="108"/>
        <v>0</v>
      </c>
      <c r="AK2573" s="16"/>
    </row>
    <row r="2574" spans="1:37" x14ac:dyDescent="0.2">
      <c r="B2574" s="7"/>
      <c r="C2574" s="8">
        <v>13140</v>
      </c>
      <c r="D2574" s="9" t="s">
        <v>602</v>
      </c>
      <c r="E2574" s="10" t="s">
        <v>603</v>
      </c>
      <c r="F2574" s="10" t="s">
        <v>604</v>
      </c>
      <c r="G2574" s="8">
        <v>1</v>
      </c>
      <c r="H2574" s="11">
        <v>400</v>
      </c>
      <c r="I2574" s="12">
        <v>42680</v>
      </c>
      <c r="J2574" s="35">
        <f t="shared" si="106"/>
        <v>0</v>
      </c>
      <c r="K2574" s="36"/>
      <c r="L2574" s="36"/>
      <c r="M2574" s="36"/>
      <c r="N2574" s="36"/>
      <c r="O2574" s="36"/>
      <c r="P2574" s="36"/>
      <c r="Q2574" s="36"/>
      <c r="R2574" s="36"/>
      <c r="S2574" s="36"/>
      <c r="T2574" s="36">
        <v>200</v>
      </c>
      <c r="U2574" s="36">
        <v>200</v>
      </c>
      <c r="V2574" s="36"/>
      <c r="W2574" s="15">
        <f t="shared" si="107"/>
        <v>400</v>
      </c>
      <c r="X2574" s="36"/>
      <c r="Y2574" s="36"/>
      <c r="Z2574" s="36"/>
      <c r="AA2574" s="36"/>
      <c r="AB2574" s="36"/>
      <c r="AC2574" s="36"/>
      <c r="AD2574" s="36"/>
      <c r="AE2574" s="36"/>
      <c r="AF2574" s="36"/>
      <c r="AG2574" s="36"/>
      <c r="AH2574" s="36"/>
      <c r="AI2574" s="36"/>
      <c r="AJ2574" s="15">
        <f t="shared" si="108"/>
        <v>0</v>
      </c>
      <c r="AK2574" s="16"/>
    </row>
    <row r="2575" spans="1:37" x14ac:dyDescent="0.2">
      <c r="B2575" s="7"/>
      <c r="C2575" s="8">
        <v>13141</v>
      </c>
      <c r="D2575" s="9" t="s">
        <v>602</v>
      </c>
      <c r="E2575" s="10" t="s">
        <v>603</v>
      </c>
      <c r="F2575" s="10" t="s">
        <v>604</v>
      </c>
      <c r="G2575" s="8">
        <v>5</v>
      </c>
      <c r="H2575" s="11">
        <v>50</v>
      </c>
      <c r="I2575" s="12">
        <v>42680</v>
      </c>
      <c r="J2575" s="35">
        <f t="shared" si="106"/>
        <v>0</v>
      </c>
      <c r="K2575" s="36"/>
      <c r="L2575" s="36"/>
      <c r="M2575" s="36"/>
      <c r="N2575" s="36"/>
      <c r="O2575" s="36"/>
      <c r="P2575" s="36"/>
      <c r="Q2575" s="36"/>
      <c r="R2575" s="36"/>
      <c r="S2575" s="36"/>
      <c r="T2575" s="36"/>
      <c r="U2575" s="36"/>
      <c r="V2575" s="36"/>
      <c r="W2575" s="15">
        <f t="shared" si="107"/>
        <v>0</v>
      </c>
      <c r="X2575" s="36"/>
      <c r="Y2575" s="36"/>
      <c r="Z2575" s="36"/>
      <c r="AA2575" s="36"/>
      <c r="AB2575" s="36"/>
      <c r="AC2575" s="36"/>
      <c r="AD2575" s="36"/>
      <c r="AE2575" s="36"/>
      <c r="AF2575" s="36"/>
      <c r="AG2575" s="36"/>
      <c r="AH2575" s="36"/>
      <c r="AI2575" s="36"/>
      <c r="AJ2575" s="15">
        <f t="shared" si="108"/>
        <v>0</v>
      </c>
      <c r="AK2575" s="16"/>
    </row>
    <row r="2576" spans="1:37" x14ac:dyDescent="0.2">
      <c r="B2576" s="7"/>
      <c r="C2576" s="8">
        <v>13142</v>
      </c>
      <c r="D2576" s="9" t="s">
        <v>520</v>
      </c>
      <c r="E2576" s="10" t="s">
        <v>521</v>
      </c>
      <c r="F2576" s="10" t="s">
        <v>522</v>
      </c>
      <c r="G2576" s="8">
        <v>1</v>
      </c>
      <c r="H2576" s="11">
        <v>800</v>
      </c>
      <c r="I2576" s="12">
        <v>42680</v>
      </c>
      <c r="J2576" s="35">
        <f t="shared" si="106"/>
        <v>0</v>
      </c>
      <c r="K2576" s="36"/>
      <c r="L2576" s="36"/>
      <c r="M2576" s="36"/>
      <c r="N2576" s="36"/>
      <c r="O2576" s="36"/>
      <c r="P2576" s="36"/>
      <c r="Q2576" s="36"/>
      <c r="R2576" s="36"/>
      <c r="S2576" s="36"/>
      <c r="T2576" s="36"/>
      <c r="U2576" s="36">
        <v>400</v>
      </c>
      <c r="V2576" s="36">
        <v>400</v>
      </c>
      <c r="W2576" s="15">
        <f t="shared" si="107"/>
        <v>800</v>
      </c>
      <c r="X2576" s="36"/>
      <c r="Y2576" s="36"/>
      <c r="Z2576" s="36"/>
      <c r="AA2576" s="36"/>
      <c r="AB2576" s="36"/>
      <c r="AC2576" s="36"/>
      <c r="AD2576" s="36"/>
      <c r="AE2576" s="36"/>
      <c r="AF2576" s="36"/>
      <c r="AG2576" s="36"/>
      <c r="AH2576" s="36"/>
      <c r="AI2576" s="36"/>
      <c r="AJ2576" s="15">
        <f t="shared" si="108"/>
        <v>0</v>
      </c>
      <c r="AK2576" s="16"/>
    </row>
    <row r="2577" spans="2:37" x14ac:dyDescent="0.2">
      <c r="B2577" s="7"/>
      <c r="C2577" s="8">
        <v>13143</v>
      </c>
      <c r="D2577" s="9" t="s">
        <v>1055</v>
      </c>
      <c r="E2577" s="10" t="s">
        <v>1056</v>
      </c>
      <c r="F2577" s="10" t="s">
        <v>1057</v>
      </c>
      <c r="G2577" s="8">
        <v>1</v>
      </c>
      <c r="H2577" s="11">
        <v>400</v>
      </c>
      <c r="I2577" s="12">
        <v>42680</v>
      </c>
      <c r="J2577" s="35">
        <f t="shared" si="106"/>
        <v>0</v>
      </c>
      <c r="K2577" s="36"/>
      <c r="L2577" s="36"/>
      <c r="M2577" s="36"/>
      <c r="N2577" s="36"/>
      <c r="O2577" s="36"/>
      <c r="P2577" s="36"/>
      <c r="Q2577" s="36"/>
      <c r="R2577" s="36"/>
      <c r="S2577" s="36"/>
      <c r="T2577" s="36">
        <v>200</v>
      </c>
      <c r="U2577" s="36">
        <v>200</v>
      </c>
      <c r="V2577" s="36"/>
      <c r="W2577" s="15">
        <f t="shared" si="107"/>
        <v>400</v>
      </c>
      <c r="X2577" s="36"/>
      <c r="Y2577" s="36"/>
      <c r="Z2577" s="36"/>
      <c r="AA2577" s="36"/>
      <c r="AB2577" s="36"/>
      <c r="AC2577" s="36"/>
      <c r="AD2577" s="36"/>
      <c r="AE2577" s="36"/>
      <c r="AF2577" s="36"/>
      <c r="AG2577" s="36"/>
      <c r="AH2577" s="36"/>
      <c r="AI2577" s="36"/>
      <c r="AJ2577" s="15">
        <f t="shared" si="108"/>
        <v>0</v>
      </c>
      <c r="AK2577" s="16"/>
    </row>
    <row r="2578" spans="2:37" x14ac:dyDescent="0.2">
      <c r="B2578" s="7"/>
      <c r="C2578" s="8">
        <v>13144</v>
      </c>
      <c r="D2578" s="9" t="s">
        <v>678</v>
      </c>
      <c r="E2578" s="10" t="s">
        <v>679</v>
      </c>
      <c r="F2578" s="10" t="s">
        <v>680</v>
      </c>
      <c r="G2578" s="8">
        <v>1</v>
      </c>
      <c r="H2578" s="11">
        <v>400</v>
      </c>
      <c r="I2578" s="12">
        <v>42680</v>
      </c>
      <c r="J2578" s="35">
        <f t="shared" si="106"/>
        <v>0</v>
      </c>
      <c r="K2578" s="36"/>
      <c r="L2578" s="36"/>
      <c r="M2578" s="36"/>
      <c r="N2578" s="36"/>
      <c r="O2578" s="36"/>
      <c r="P2578" s="36"/>
      <c r="Q2578" s="36"/>
      <c r="R2578" s="36"/>
      <c r="S2578" s="36"/>
      <c r="T2578" s="36"/>
      <c r="U2578" s="36">
        <v>400</v>
      </c>
      <c r="V2578" s="36"/>
      <c r="W2578" s="15">
        <f t="shared" si="107"/>
        <v>400</v>
      </c>
      <c r="X2578" s="36"/>
      <c r="Y2578" s="36"/>
      <c r="Z2578" s="36"/>
      <c r="AA2578" s="36"/>
      <c r="AB2578" s="36"/>
      <c r="AC2578" s="36"/>
      <c r="AD2578" s="36"/>
      <c r="AE2578" s="36"/>
      <c r="AF2578" s="36"/>
      <c r="AG2578" s="36"/>
      <c r="AH2578" s="36"/>
      <c r="AI2578" s="36"/>
      <c r="AJ2578" s="15">
        <f t="shared" si="108"/>
        <v>0</v>
      </c>
      <c r="AK2578" s="16"/>
    </row>
    <row r="2579" spans="2:37" x14ac:dyDescent="0.2">
      <c r="B2579" s="7"/>
      <c r="C2579" s="8">
        <v>13145</v>
      </c>
      <c r="D2579" s="9" t="s">
        <v>343</v>
      </c>
      <c r="E2579" s="10" t="s">
        <v>344</v>
      </c>
      <c r="F2579" s="10" t="s">
        <v>345</v>
      </c>
      <c r="G2579" s="8">
        <v>1</v>
      </c>
      <c r="H2579" s="11">
        <v>800</v>
      </c>
      <c r="I2579" s="12">
        <v>42680</v>
      </c>
      <c r="J2579" s="35">
        <f t="shared" si="106"/>
        <v>0</v>
      </c>
      <c r="K2579" s="36"/>
      <c r="L2579" s="36"/>
      <c r="M2579" s="36"/>
      <c r="N2579" s="36"/>
      <c r="O2579" s="36"/>
      <c r="P2579" s="36"/>
      <c r="Q2579" s="36"/>
      <c r="R2579" s="36"/>
      <c r="S2579" s="36"/>
      <c r="T2579" s="36">
        <v>400</v>
      </c>
      <c r="U2579" s="36">
        <v>400</v>
      </c>
      <c r="V2579" s="36"/>
      <c r="W2579" s="15">
        <f t="shared" si="107"/>
        <v>800</v>
      </c>
      <c r="X2579" s="36"/>
      <c r="Y2579" s="36"/>
      <c r="Z2579" s="36"/>
      <c r="AA2579" s="36"/>
      <c r="AB2579" s="36"/>
      <c r="AC2579" s="36"/>
      <c r="AD2579" s="36"/>
      <c r="AE2579" s="36"/>
      <c r="AF2579" s="36"/>
      <c r="AG2579" s="36"/>
      <c r="AH2579" s="36"/>
      <c r="AI2579" s="36"/>
      <c r="AJ2579" s="15">
        <f t="shared" si="108"/>
        <v>0</v>
      </c>
      <c r="AK2579" s="16"/>
    </row>
    <row r="2580" spans="2:37" x14ac:dyDescent="0.2">
      <c r="B2580" s="7"/>
      <c r="C2580" s="8">
        <v>13146</v>
      </c>
      <c r="D2580" s="9" t="s">
        <v>631</v>
      </c>
      <c r="E2580" s="10" t="s">
        <v>632</v>
      </c>
      <c r="F2580" s="10" t="s">
        <v>633</v>
      </c>
      <c r="G2580" s="8">
        <v>1</v>
      </c>
      <c r="H2580" s="11">
        <v>300</v>
      </c>
      <c r="I2580" s="12">
        <v>42680</v>
      </c>
      <c r="J2580" s="35">
        <f t="shared" si="106"/>
        <v>0</v>
      </c>
      <c r="K2580" s="36"/>
      <c r="L2580" s="36"/>
      <c r="M2580" s="36"/>
      <c r="N2580" s="36"/>
      <c r="O2580" s="36"/>
      <c r="P2580" s="36"/>
      <c r="Q2580" s="36"/>
      <c r="R2580" s="36"/>
      <c r="S2580" s="36"/>
      <c r="T2580" s="36">
        <v>300</v>
      </c>
      <c r="U2580" s="36"/>
      <c r="V2580" s="36"/>
      <c r="W2580" s="15">
        <f t="shared" si="107"/>
        <v>300</v>
      </c>
      <c r="X2580" s="36"/>
      <c r="Y2580" s="36"/>
      <c r="Z2580" s="36"/>
      <c r="AA2580" s="36"/>
      <c r="AB2580" s="36"/>
      <c r="AC2580" s="36"/>
      <c r="AD2580" s="36"/>
      <c r="AE2580" s="36"/>
      <c r="AF2580" s="36"/>
      <c r="AG2580" s="36"/>
      <c r="AH2580" s="36"/>
      <c r="AI2580" s="36"/>
      <c r="AJ2580" s="15">
        <f t="shared" si="108"/>
        <v>0</v>
      </c>
      <c r="AK2580" s="16"/>
    </row>
    <row r="2581" spans="2:37" x14ac:dyDescent="0.2">
      <c r="B2581" s="7"/>
      <c r="C2581" s="8">
        <v>13146</v>
      </c>
      <c r="D2581" s="9" t="s">
        <v>631</v>
      </c>
      <c r="E2581" s="10" t="s">
        <v>632</v>
      </c>
      <c r="F2581" s="10" t="s">
        <v>633</v>
      </c>
      <c r="G2581" s="8">
        <v>5</v>
      </c>
      <c r="H2581" s="11">
        <v>50</v>
      </c>
      <c r="I2581" s="12">
        <v>42680</v>
      </c>
      <c r="J2581" s="35">
        <f t="shared" si="106"/>
        <v>0</v>
      </c>
      <c r="K2581" s="36"/>
      <c r="L2581" s="36"/>
      <c r="M2581" s="36"/>
      <c r="N2581" s="36"/>
      <c r="O2581" s="36"/>
      <c r="P2581" s="36"/>
      <c r="Q2581" s="36"/>
      <c r="R2581" s="36"/>
      <c r="S2581" s="36"/>
      <c r="T2581" s="36"/>
      <c r="U2581" s="36"/>
      <c r="V2581" s="36"/>
      <c r="W2581" s="15">
        <f t="shared" si="107"/>
        <v>0</v>
      </c>
      <c r="X2581" s="36"/>
      <c r="Y2581" s="36"/>
      <c r="Z2581" s="36"/>
      <c r="AA2581" s="36"/>
      <c r="AB2581" s="36"/>
      <c r="AC2581" s="36"/>
      <c r="AD2581" s="36"/>
      <c r="AE2581" s="36"/>
      <c r="AF2581" s="36"/>
      <c r="AG2581" s="36"/>
      <c r="AH2581" s="36"/>
      <c r="AI2581" s="36"/>
      <c r="AJ2581" s="15">
        <f t="shared" si="108"/>
        <v>0</v>
      </c>
      <c r="AK2581" s="16"/>
    </row>
    <row r="2582" spans="2:37" x14ac:dyDescent="0.2">
      <c r="B2582" s="7"/>
      <c r="C2582" s="8">
        <v>13147</v>
      </c>
      <c r="D2582" s="9" t="s">
        <v>100</v>
      </c>
      <c r="E2582" s="10" t="s">
        <v>101</v>
      </c>
      <c r="F2582" s="10" t="s">
        <v>102</v>
      </c>
      <c r="G2582" s="8">
        <v>1</v>
      </c>
      <c r="H2582" s="11">
        <v>400</v>
      </c>
      <c r="I2582" s="12">
        <v>42680</v>
      </c>
      <c r="J2582" s="35">
        <f t="shared" si="106"/>
        <v>0</v>
      </c>
      <c r="K2582" s="36"/>
      <c r="L2582" s="36"/>
      <c r="M2582" s="36"/>
      <c r="N2582" s="36"/>
      <c r="O2582" s="36"/>
      <c r="P2582" s="36"/>
      <c r="Q2582" s="36"/>
      <c r="R2582" s="36"/>
      <c r="S2582" s="36"/>
      <c r="T2582" s="36"/>
      <c r="U2582" s="36">
        <v>400</v>
      </c>
      <c r="V2582" s="36"/>
      <c r="W2582" s="15">
        <f t="shared" si="107"/>
        <v>400</v>
      </c>
      <c r="X2582" s="36"/>
      <c r="Y2582" s="36"/>
      <c r="Z2582" s="36"/>
      <c r="AA2582" s="36"/>
      <c r="AB2582" s="36"/>
      <c r="AC2582" s="36"/>
      <c r="AD2582" s="36"/>
      <c r="AE2582" s="36"/>
      <c r="AF2582" s="36"/>
      <c r="AG2582" s="36"/>
      <c r="AH2582" s="36"/>
      <c r="AI2582" s="36"/>
      <c r="AJ2582" s="15">
        <f t="shared" si="108"/>
        <v>0</v>
      </c>
      <c r="AK2582" s="16"/>
    </row>
    <row r="2583" spans="2:37" x14ac:dyDescent="0.2">
      <c r="B2583" s="7"/>
      <c r="C2583" s="8">
        <v>13148</v>
      </c>
      <c r="D2583" s="9" t="s">
        <v>831</v>
      </c>
      <c r="E2583" s="10" t="s">
        <v>832</v>
      </c>
      <c r="F2583" s="10" t="s">
        <v>833</v>
      </c>
      <c r="G2583" s="8">
        <v>1</v>
      </c>
      <c r="H2583" s="11">
        <v>800</v>
      </c>
      <c r="I2583" s="12">
        <v>42680</v>
      </c>
      <c r="J2583" s="35">
        <f t="shared" si="106"/>
        <v>0</v>
      </c>
      <c r="K2583" s="36"/>
      <c r="L2583" s="36"/>
      <c r="M2583" s="36"/>
      <c r="N2583" s="36"/>
      <c r="O2583" s="36"/>
      <c r="P2583" s="36"/>
      <c r="Q2583" s="36"/>
      <c r="R2583" s="36"/>
      <c r="S2583" s="36"/>
      <c r="T2583" s="36">
        <v>400</v>
      </c>
      <c r="U2583" s="36">
        <v>400</v>
      </c>
      <c r="V2583" s="36"/>
      <c r="W2583" s="15">
        <f t="shared" si="107"/>
        <v>800</v>
      </c>
      <c r="X2583" s="36"/>
      <c r="Y2583" s="36"/>
      <c r="Z2583" s="36"/>
      <c r="AA2583" s="36"/>
      <c r="AB2583" s="36"/>
      <c r="AC2583" s="36"/>
      <c r="AD2583" s="36"/>
      <c r="AE2583" s="36"/>
      <c r="AF2583" s="36"/>
      <c r="AG2583" s="36"/>
      <c r="AH2583" s="36"/>
      <c r="AI2583" s="36"/>
      <c r="AJ2583" s="15">
        <f t="shared" si="108"/>
        <v>0</v>
      </c>
      <c r="AK2583" s="16"/>
    </row>
    <row r="2584" spans="2:37" x14ac:dyDescent="0.2">
      <c r="B2584" s="7"/>
      <c r="C2584" s="8">
        <v>13149</v>
      </c>
      <c r="D2584" s="9" t="s">
        <v>331</v>
      </c>
      <c r="E2584" s="10" t="s">
        <v>332</v>
      </c>
      <c r="F2584" s="10" t="s">
        <v>333</v>
      </c>
      <c r="G2584" s="8">
        <v>1</v>
      </c>
      <c r="H2584" s="11">
        <v>800</v>
      </c>
      <c r="I2584" s="12">
        <v>42680</v>
      </c>
      <c r="J2584" s="35">
        <f t="shared" si="106"/>
        <v>0</v>
      </c>
      <c r="K2584" s="36"/>
      <c r="L2584" s="36"/>
      <c r="M2584" s="36"/>
      <c r="N2584" s="36"/>
      <c r="O2584" s="36"/>
      <c r="P2584" s="36"/>
      <c r="Q2584" s="36"/>
      <c r="R2584" s="36"/>
      <c r="S2584" s="36"/>
      <c r="T2584" s="36"/>
      <c r="U2584" s="36">
        <v>400</v>
      </c>
      <c r="V2584" s="36">
        <v>400</v>
      </c>
      <c r="W2584" s="15">
        <f t="shared" si="107"/>
        <v>800</v>
      </c>
      <c r="X2584" s="36"/>
      <c r="Y2584" s="36"/>
      <c r="Z2584" s="36"/>
      <c r="AA2584" s="36"/>
      <c r="AB2584" s="36"/>
      <c r="AC2584" s="36"/>
      <c r="AD2584" s="36"/>
      <c r="AE2584" s="36"/>
      <c r="AF2584" s="36"/>
      <c r="AG2584" s="36"/>
      <c r="AH2584" s="36"/>
      <c r="AI2584" s="36"/>
      <c r="AJ2584" s="15">
        <f t="shared" si="108"/>
        <v>0</v>
      </c>
      <c r="AK2584" s="16"/>
    </row>
    <row r="2585" spans="2:37" x14ac:dyDescent="0.2">
      <c r="B2585" s="7"/>
      <c r="C2585" s="8">
        <v>13150</v>
      </c>
      <c r="D2585" s="9" t="s">
        <v>1181</v>
      </c>
      <c r="E2585" s="10" t="s">
        <v>1182</v>
      </c>
      <c r="F2585" s="10" t="s">
        <v>1183</v>
      </c>
      <c r="G2585" s="8">
        <v>1</v>
      </c>
      <c r="H2585" s="11">
        <v>600</v>
      </c>
      <c r="I2585" s="12">
        <v>42680</v>
      </c>
      <c r="J2585" s="35">
        <f t="shared" si="106"/>
        <v>0</v>
      </c>
      <c r="K2585" s="36"/>
      <c r="L2585" s="36"/>
      <c r="M2585" s="36"/>
      <c r="N2585" s="36"/>
      <c r="O2585" s="36"/>
      <c r="P2585" s="36"/>
      <c r="Q2585" s="36"/>
      <c r="R2585" s="36"/>
      <c r="S2585" s="36">
        <v>200</v>
      </c>
      <c r="T2585" s="36">
        <v>200</v>
      </c>
      <c r="U2585" s="36">
        <v>200</v>
      </c>
      <c r="V2585" s="36"/>
      <c r="W2585" s="15">
        <f t="shared" si="107"/>
        <v>600</v>
      </c>
      <c r="X2585" s="36"/>
      <c r="Y2585" s="36"/>
      <c r="Z2585" s="36"/>
      <c r="AA2585" s="36"/>
      <c r="AB2585" s="36"/>
      <c r="AC2585" s="36"/>
      <c r="AD2585" s="36"/>
      <c r="AE2585" s="36"/>
      <c r="AF2585" s="36"/>
      <c r="AG2585" s="36"/>
      <c r="AH2585" s="36"/>
      <c r="AI2585" s="36"/>
      <c r="AJ2585" s="15">
        <f t="shared" si="108"/>
        <v>0</v>
      </c>
      <c r="AK2585" s="16"/>
    </row>
    <row r="2586" spans="2:37" x14ac:dyDescent="0.2">
      <c r="B2586" s="7"/>
      <c r="C2586" s="8">
        <v>13151</v>
      </c>
      <c r="D2586" s="9" t="s">
        <v>1181</v>
      </c>
      <c r="E2586" s="10" t="s">
        <v>1182</v>
      </c>
      <c r="F2586" s="10" t="s">
        <v>1183</v>
      </c>
      <c r="G2586" s="8">
        <v>3</v>
      </c>
      <c r="H2586" s="11">
        <v>200</v>
      </c>
      <c r="I2586" s="12">
        <v>42680</v>
      </c>
      <c r="J2586" s="35">
        <f t="shared" si="106"/>
        <v>0</v>
      </c>
      <c r="K2586" s="36"/>
      <c r="L2586" s="36"/>
      <c r="M2586" s="36"/>
      <c r="N2586" s="36"/>
      <c r="O2586" s="36"/>
      <c r="P2586" s="36"/>
      <c r="Q2586" s="36"/>
      <c r="R2586" s="36"/>
      <c r="S2586" s="36"/>
      <c r="T2586" s="36"/>
      <c r="U2586" s="36"/>
      <c r="V2586" s="36"/>
      <c r="W2586" s="15">
        <f t="shared" si="107"/>
        <v>0</v>
      </c>
      <c r="X2586" s="36"/>
      <c r="Y2586" s="36"/>
      <c r="Z2586" s="36"/>
      <c r="AA2586" s="36"/>
      <c r="AB2586" s="36"/>
      <c r="AC2586" s="36"/>
      <c r="AD2586" s="36"/>
      <c r="AE2586" s="36"/>
      <c r="AF2586" s="36"/>
      <c r="AG2586" s="36"/>
      <c r="AH2586" s="36"/>
      <c r="AI2586" s="36"/>
      <c r="AJ2586" s="15">
        <f t="shared" si="108"/>
        <v>0</v>
      </c>
      <c r="AK2586" s="16"/>
    </row>
    <row r="2587" spans="2:37" x14ac:dyDescent="0.2">
      <c r="B2587" s="7"/>
      <c r="C2587" s="8">
        <v>13151</v>
      </c>
      <c r="D2587" s="9" t="s">
        <v>1181</v>
      </c>
      <c r="E2587" s="10" t="s">
        <v>1182</v>
      </c>
      <c r="F2587" s="10" t="s">
        <v>1183</v>
      </c>
      <c r="G2587" s="8">
        <v>5</v>
      </c>
      <c r="H2587" s="11">
        <v>50</v>
      </c>
      <c r="I2587" s="12">
        <v>42680</v>
      </c>
      <c r="J2587" s="35">
        <f t="shared" si="106"/>
        <v>0</v>
      </c>
      <c r="K2587" s="36"/>
      <c r="L2587" s="36"/>
      <c r="M2587" s="36"/>
      <c r="N2587" s="36"/>
      <c r="O2587" s="36"/>
      <c r="P2587" s="36"/>
      <c r="Q2587" s="36"/>
      <c r="R2587" s="36"/>
      <c r="S2587" s="36"/>
      <c r="T2587" s="36"/>
      <c r="U2587" s="36"/>
      <c r="V2587" s="36"/>
      <c r="W2587" s="15">
        <f t="shared" si="107"/>
        <v>0</v>
      </c>
      <c r="X2587" s="36"/>
      <c r="Y2587" s="36"/>
      <c r="Z2587" s="36"/>
      <c r="AA2587" s="36"/>
      <c r="AB2587" s="36"/>
      <c r="AC2587" s="36"/>
      <c r="AD2587" s="36"/>
      <c r="AE2587" s="36"/>
      <c r="AF2587" s="36"/>
      <c r="AG2587" s="36"/>
      <c r="AH2587" s="36"/>
      <c r="AI2587" s="36"/>
      <c r="AJ2587" s="15">
        <f t="shared" si="108"/>
        <v>0</v>
      </c>
      <c r="AK2587" s="16"/>
    </row>
    <row r="2588" spans="2:37" x14ac:dyDescent="0.2">
      <c r="B2588" s="7"/>
      <c r="C2588" s="8">
        <v>13152</v>
      </c>
      <c r="D2588" s="9" t="s">
        <v>556</v>
      </c>
      <c r="E2588" s="10" t="s">
        <v>557</v>
      </c>
      <c r="F2588" s="10" t="s">
        <v>558</v>
      </c>
      <c r="G2588" s="8">
        <v>1</v>
      </c>
      <c r="H2588" s="11">
        <v>800</v>
      </c>
      <c r="I2588" s="12">
        <v>42680</v>
      </c>
      <c r="J2588" s="35">
        <f t="shared" si="106"/>
        <v>0</v>
      </c>
      <c r="K2588" s="36"/>
      <c r="L2588" s="36"/>
      <c r="M2588" s="36"/>
      <c r="N2588" s="36"/>
      <c r="O2588" s="36"/>
      <c r="P2588" s="36"/>
      <c r="Q2588" s="36"/>
      <c r="R2588" s="36">
        <v>400</v>
      </c>
      <c r="S2588" s="36">
        <v>400</v>
      </c>
      <c r="T2588" s="36"/>
      <c r="U2588" s="36"/>
      <c r="V2588" s="36"/>
      <c r="W2588" s="15">
        <f t="shared" si="107"/>
        <v>800</v>
      </c>
      <c r="X2588" s="36"/>
      <c r="Y2588" s="36"/>
      <c r="Z2588" s="36"/>
      <c r="AA2588" s="36"/>
      <c r="AB2588" s="36"/>
      <c r="AC2588" s="36"/>
      <c r="AD2588" s="36"/>
      <c r="AE2588" s="36"/>
      <c r="AF2588" s="36"/>
      <c r="AG2588" s="36"/>
      <c r="AH2588" s="36"/>
      <c r="AI2588" s="36"/>
      <c r="AJ2588" s="15">
        <f t="shared" si="108"/>
        <v>0</v>
      </c>
      <c r="AK2588" s="16"/>
    </row>
    <row r="2589" spans="2:37" x14ac:dyDescent="0.2">
      <c r="B2589" s="7"/>
      <c r="C2589" s="8">
        <v>13153</v>
      </c>
      <c r="D2589" s="9" t="s">
        <v>262</v>
      </c>
      <c r="E2589" s="10" t="s">
        <v>263</v>
      </c>
      <c r="F2589" s="10" t="s">
        <v>264</v>
      </c>
      <c r="G2589" s="8">
        <v>1</v>
      </c>
      <c r="H2589" s="11">
        <v>300</v>
      </c>
      <c r="I2589" s="12">
        <v>42680</v>
      </c>
      <c r="J2589" s="35">
        <f t="shared" si="106"/>
        <v>0</v>
      </c>
      <c r="K2589" s="36"/>
      <c r="L2589" s="36"/>
      <c r="M2589" s="36"/>
      <c r="N2589" s="36"/>
      <c r="O2589" s="36"/>
      <c r="P2589" s="36"/>
      <c r="Q2589" s="36"/>
      <c r="R2589" s="36"/>
      <c r="S2589" s="36"/>
      <c r="T2589" s="36"/>
      <c r="U2589" s="36">
        <v>300</v>
      </c>
      <c r="V2589" s="36"/>
      <c r="W2589" s="15">
        <f t="shared" si="107"/>
        <v>300</v>
      </c>
      <c r="X2589" s="36"/>
      <c r="Y2589" s="36"/>
      <c r="Z2589" s="36"/>
      <c r="AA2589" s="36"/>
      <c r="AB2589" s="36"/>
      <c r="AC2589" s="36"/>
      <c r="AD2589" s="36"/>
      <c r="AE2589" s="36"/>
      <c r="AF2589" s="36"/>
      <c r="AG2589" s="36"/>
      <c r="AH2589" s="36"/>
      <c r="AI2589" s="36"/>
      <c r="AJ2589" s="15">
        <f t="shared" si="108"/>
        <v>0</v>
      </c>
      <c r="AK2589" s="16"/>
    </row>
    <row r="2590" spans="2:37" x14ac:dyDescent="0.2">
      <c r="B2590" s="7"/>
      <c r="C2590" s="8">
        <v>13154</v>
      </c>
      <c r="D2590" s="9" t="s">
        <v>280</v>
      </c>
      <c r="E2590" s="10" t="s">
        <v>281</v>
      </c>
      <c r="F2590" s="10" t="s">
        <v>282</v>
      </c>
      <c r="G2590" s="8">
        <v>1</v>
      </c>
      <c r="H2590" s="11">
        <v>400</v>
      </c>
      <c r="I2590" s="12">
        <v>42680</v>
      </c>
      <c r="J2590" s="35">
        <f t="shared" si="106"/>
        <v>0</v>
      </c>
      <c r="K2590" s="36"/>
      <c r="L2590" s="36"/>
      <c r="M2590" s="36"/>
      <c r="N2590" s="36"/>
      <c r="O2590" s="36"/>
      <c r="P2590" s="36"/>
      <c r="Q2590" s="36"/>
      <c r="R2590" s="36"/>
      <c r="S2590" s="36"/>
      <c r="T2590" s="36"/>
      <c r="U2590" s="36">
        <v>400</v>
      </c>
      <c r="V2590" s="36"/>
      <c r="W2590" s="15">
        <f t="shared" si="107"/>
        <v>400</v>
      </c>
      <c r="X2590" s="36"/>
      <c r="Y2590" s="36"/>
      <c r="Z2590" s="36"/>
      <c r="AA2590" s="36"/>
      <c r="AB2590" s="36"/>
      <c r="AC2590" s="36"/>
      <c r="AD2590" s="36"/>
      <c r="AE2590" s="36"/>
      <c r="AF2590" s="36"/>
      <c r="AG2590" s="36"/>
      <c r="AH2590" s="36"/>
      <c r="AI2590" s="36"/>
      <c r="AJ2590" s="15">
        <f t="shared" si="108"/>
        <v>0</v>
      </c>
      <c r="AK2590" s="16"/>
    </row>
    <row r="2591" spans="2:37" x14ac:dyDescent="0.2">
      <c r="B2591" s="7"/>
      <c r="C2591" s="8">
        <v>13155</v>
      </c>
      <c r="D2591" s="9" t="s">
        <v>265</v>
      </c>
      <c r="E2591" s="10" t="s">
        <v>266</v>
      </c>
      <c r="F2591" s="10" t="s">
        <v>267</v>
      </c>
      <c r="G2591" s="8">
        <v>1</v>
      </c>
      <c r="H2591" s="11">
        <v>400</v>
      </c>
      <c r="I2591" s="12">
        <v>42680</v>
      </c>
      <c r="J2591" s="35">
        <f t="shared" si="106"/>
        <v>0</v>
      </c>
      <c r="K2591" s="36"/>
      <c r="L2591" s="36"/>
      <c r="M2591" s="36"/>
      <c r="N2591" s="36"/>
      <c r="O2591" s="36"/>
      <c r="P2591" s="36"/>
      <c r="Q2591" s="36"/>
      <c r="R2591" s="36"/>
      <c r="S2591" s="36"/>
      <c r="T2591" s="36"/>
      <c r="U2591" s="36">
        <v>400</v>
      </c>
      <c r="V2591" s="36"/>
      <c r="W2591" s="15">
        <f t="shared" si="107"/>
        <v>400</v>
      </c>
      <c r="X2591" s="36"/>
      <c r="Y2591" s="36"/>
      <c r="Z2591" s="36"/>
      <c r="AA2591" s="36"/>
      <c r="AB2591" s="36"/>
      <c r="AC2591" s="36"/>
      <c r="AD2591" s="36"/>
      <c r="AE2591" s="36"/>
      <c r="AF2591" s="36"/>
      <c r="AG2591" s="36"/>
      <c r="AH2591" s="36"/>
      <c r="AI2591" s="36"/>
      <c r="AJ2591" s="15">
        <f t="shared" si="108"/>
        <v>0</v>
      </c>
      <c r="AK2591" s="16"/>
    </row>
    <row r="2592" spans="2:37" x14ac:dyDescent="0.2">
      <c r="B2592" s="7"/>
      <c r="C2592" s="8">
        <v>13156</v>
      </c>
      <c r="D2592" s="9" t="s">
        <v>794</v>
      </c>
      <c r="E2592" s="10" t="s">
        <v>795</v>
      </c>
      <c r="F2592" s="10" t="s">
        <v>796</v>
      </c>
      <c r="G2592" s="8">
        <v>1</v>
      </c>
      <c r="H2592" s="11">
        <v>300</v>
      </c>
      <c r="I2592" s="12">
        <v>42680</v>
      </c>
      <c r="J2592" s="35">
        <f t="shared" si="106"/>
        <v>0</v>
      </c>
      <c r="K2592" s="36"/>
      <c r="L2592" s="36"/>
      <c r="M2592" s="36"/>
      <c r="N2592" s="36"/>
      <c r="O2592" s="36"/>
      <c r="P2592" s="36"/>
      <c r="Q2592" s="36"/>
      <c r="R2592" s="36"/>
      <c r="S2592" s="36"/>
      <c r="T2592" s="36">
        <v>300</v>
      </c>
      <c r="U2592" s="36"/>
      <c r="V2592" s="36"/>
      <c r="W2592" s="15">
        <f t="shared" si="107"/>
        <v>300</v>
      </c>
      <c r="X2592" s="36"/>
      <c r="Y2592" s="36"/>
      <c r="Z2592" s="36"/>
      <c r="AA2592" s="36"/>
      <c r="AB2592" s="36"/>
      <c r="AC2592" s="36"/>
      <c r="AD2592" s="36"/>
      <c r="AE2592" s="36"/>
      <c r="AF2592" s="36"/>
      <c r="AG2592" s="36"/>
      <c r="AH2592" s="36"/>
      <c r="AI2592" s="36"/>
      <c r="AJ2592" s="15">
        <f t="shared" si="108"/>
        <v>0</v>
      </c>
      <c r="AK2592" s="16"/>
    </row>
    <row r="2593" spans="2:37" x14ac:dyDescent="0.2">
      <c r="B2593" s="7"/>
      <c r="C2593" s="8">
        <v>13157</v>
      </c>
      <c r="D2593" s="9" t="s">
        <v>479</v>
      </c>
      <c r="E2593" s="10" t="s">
        <v>480</v>
      </c>
      <c r="F2593" s="10" t="s">
        <v>481</v>
      </c>
      <c r="G2593" s="8">
        <v>1</v>
      </c>
      <c r="H2593" s="11">
        <v>300</v>
      </c>
      <c r="I2593" s="12">
        <v>42680</v>
      </c>
      <c r="J2593" s="35">
        <f t="shared" si="106"/>
        <v>0</v>
      </c>
      <c r="K2593" s="36"/>
      <c r="L2593" s="36"/>
      <c r="M2593" s="36"/>
      <c r="N2593" s="36"/>
      <c r="O2593" s="36"/>
      <c r="P2593" s="36"/>
      <c r="Q2593" s="36"/>
      <c r="R2593" s="36"/>
      <c r="S2593" s="36"/>
      <c r="T2593" s="36"/>
      <c r="U2593" s="36">
        <v>300</v>
      </c>
      <c r="V2593" s="36"/>
      <c r="W2593" s="15">
        <f t="shared" si="107"/>
        <v>300</v>
      </c>
      <c r="X2593" s="36"/>
      <c r="Y2593" s="36"/>
      <c r="Z2593" s="36"/>
      <c r="AA2593" s="36"/>
      <c r="AB2593" s="36"/>
      <c r="AC2593" s="36"/>
      <c r="AD2593" s="36"/>
      <c r="AE2593" s="36"/>
      <c r="AF2593" s="36"/>
      <c r="AG2593" s="36"/>
      <c r="AH2593" s="36"/>
      <c r="AI2593" s="36"/>
      <c r="AJ2593" s="15">
        <f t="shared" si="108"/>
        <v>0</v>
      </c>
      <c r="AK2593" s="16"/>
    </row>
    <row r="2594" spans="2:37" x14ac:dyDescent="0.2">
      <c r="B2594" s="7"/>
      <c r="C2594" s="8">
        <v>13158</v>
      </c>
      <c r="D2594" s="9" t="s">
        <v>97</v>
      </c>
      <c r="E2594" s="10" t="s">
        <v>98</v>
      </c>
      <c r="F2594" s="10" t="s">
        <v>99</v>
      </c>
      <c r="G2594" s="8">
        <v>1</v>
      </c>
      <c r="H2594" s="11">
        <v>400</v>
      </c>
      <c r="I2594" s="12">
        <v>42680</v>
      </c>
      <c r="J2594" s="35">
        <f t="shared" si="106"/>
        <v>0</v>
      </c>
      <c r="K2594" s="36"/>
      <c r="L2594" s="36"/>
      <c r="M2594" s="36"/>
      <c r="N2594" s="36"/>
      <c r="O2594" s="36"/>
      <c r="P2594" s="36"/>
      <c r="Q2594" s="36"/>
      <c r="R2594" s="36"/>
      <c r="S2594" s="36"/>
      <c r="T2594" s="36"/>
      <c r="U2594" s="36">
        <v>400</v>
      </c>
      <c r="V2594" s="36"/>
      <c r="W2594" s="15">
        <f t="shared" si="107"/>
        <v>400</v>
      </c>
      <c r="X2594" s="36"/>
      <c r="Y2594" s="36"/>
      <c r="Z2594" s="36"/>
      <c r="AA2594" s="36"/>
      <c r="AB2594" s="36"/>
      <c r="AC2594" s="36"/>
      <c r="AD2594" s="36"/>
      <c r="AE2594" s="36"/>
      <c r="AF2594" s="36"/>
      <c r="AG2594" s="36"/>
      <c r="AH2594" s="36"/>
      <c r="AI2594" s="36"/>
      <c r="AJ2594" s="15">
        <f t="shared" si="108"/>
        <v>0</v>
      </c>
      <c r="AK2594" s="16"/>
    </row>
    <row r="2595" spans="2:37" x14ac:dyDescent="0.2">
      <c r="B2595" s="7"/>
      <c r="C2595" s="8">
        <v>13159</v>
      </c>
      <c r="D2595" s="9" t="s">
        <v>1085</v>
      </c>
      <c r="E2595" s="10" t="s">
        <v>1086</v>
      </c>
      <c r="F2595" s="10" t="s">
        <v>1087</v>
      </c>
      <c r="G2595" s="8">
        <v>3</v>
      </c>
      <c r="H2595" s="11">
        <v>200</v>
      </c>
      <c r="I2595" s="12">
        <v>42680</v>
      </c>
      <c r="J2595" s="35">
        <f t="shared" si="106"/>
        <v>0</v>
      </c>
      <c r="K2595" s="36"/>
      <c r="L2595" s="36"/>
      <c r="M2595" s="36"/>
      <c r="N2595" s="36"/>
      <c r="O2595" s="36"/>
      <c r="P2595" s="36"/>
      <c r="Q2595" s="36"/>
      <c r="R2595" s="36"/>
      <c r="S2595" s="36"/>
      <c r="T2595" s="36"/>
      <c r="U2595" s="36"/>
      <c r="V2595" s="36"/>
      <c r="W2595" s="15">
        <f t="shared" si="107"/>
        <v>0</v>
      </c>
      <c r="X2595" s="36"/>
      <c r="Y2595" s="36"/>
      <c r="Z2595" s="36"/>
      <c r="AA2595" s="36"/>
      <c r="AB2595" s="36"/>
      <c r="AC2595" s="36"/>
      <c r="AD2595" s="36"/>
      <c r="AE2595" s="36"/>
      <c r="AF2595" s="36"/>
      <c r="AG2595" s="36"/>
      <c r="AH2595" s="36"/>
      <c r="AI2595" s="36"/>
      <c r="AJ2595" s="15">
        <f t="shared" si="108"/>
        <v>0</v>
      </c>
      <c r="AK2595" s="16"/>
    </row>
    <row r="2596" spans="2:37" x14ac:dyDescent="0.2">
      <c r="B2596" s="7"/>
      <c r="C2596" s="8">
        <v>13160</v>
      </c>
      <c r="D2596" s="9" t="s">
        <v>716</v>
      </c>
      <c r="E2596" s="10" t="s">
        <v>717</v>
      </c>
      <c r="F2596" s="10" t="s">
        <v>718</v>
      </c>
      <c r="G2596" s="8">
        <v>1</v>
      </c>
      <c r="H2596" s="11">
        <v>300</v>
      </c>
      <c r="I2596" s="12">
        <v>42680</v>
      </c>
      <c r="J2596" s="35">
        <f t="shared" si="106"/>
        <v>0</v>
      </c>
      <c r="K2596" s="36"/>
      <c r="L2596" s="36"/>
      <c r="M2596" s="36"/>
      <c r="N2596" s="36"/>
      <c r="O2596" s="36"/>
      <c r="P2596" s="36"/>
      <c r="Q2596" s="36"/>
      <c r="R2596" s="36"/>
      <c r="S2596" s="36"/>
      <c r="T2596" s="36"/>
      <c r="U2596" s="36">
        <v>300</v>
      </c>
      <c r="V2596" s="36"/>
      <c r="W2596" s="15">
        <f t="shared" si="107"/>
        <v>300</v>
      </c>
      <c r="X2596" s="36"/>
      <c r="Y2596" s="36"/>
      <c r="Z2596" s="36"/>
      <c r="AA2596" s="36"/>
      <c r="AB2596" s="36"/>
      <c r="AC2596" s="36"/>
      <c r="AD2596" s="36"/>
      <c r="AE2596" s="36"/>
      <c r="AF2596" s="36"/>
      <c r="AG2596" s="36"/>
      <c r="AH2596" s="36"/>
      <c r="AI2596" s="36"/>
      <c r="AJ2596" s="15">
        <f t="shared" si="108"/>
        <v>0</v>
      </c>
      <c r="AK2596" s="16"/>
    </row>
    <row r="2597" spans="2:37" x14ac:dyDescent="0.2">
      <c r="B2597" s="7"/>
      <c r="C2597" s="8">
        <v>13161</v>
      </c>
      <c r="D2597" s="9" t="s">
        <v>238</v>
      </c>
      <c r="E2597" s="10" t="s">
        <v>239</v>
      </c>
      <c r="F2597" s="10" t="s">
        <v>240</v>
      </c>
      <c r="G2597" s="8">
        <v>1</v>
      </c>
      <c r="H2597" s="11">
        <v>125</v>
      </c>
      <c r="I2597" s="12">
        <v>42680</v>
      </c>
      <c r="J2597" s="35">
        <f t="shared" si="106"/>
        <v>0</v>
      </c>
      <c r="K2597" s="36"/>
      <c r="L2597" s="36"/>
      <c r="M2597" s="36"/>
      <c r="N2597" s="36"/>
      <c r="O2597" s="36"/>
      <c r="P2597" s="36"/>
      <c r="Q2597" s="36"/>
      <c r="R2597" s="36"/>
      <c r="S2597" s="36"/>
      <c r="T2597" s="36"/>
      <c r="U2597" s="36">
        <v>125</v>
      </c>
      <c r="V2597" s="36"/>
      <c r="W2597" s="15">
        <f t="shared" si="107"/>
        <v>125</v>
      </c>
      <c r="X2597" s="36"/>
      <c r="Y2597" s="36"/>
      <c r="Z2597" s="36"/>
      <c r="AA2597" s="36"/>
      <c r="AB2597" s="36"/>
      <c r="AC2597" s="36"/>
      <c r="AD2597" s="36"/>
      <c r="AE2597" s="36"/>
      <c r="AF2597" s="36"/>
      <c r="AG2597" s="36"/>
      <c r="AH2597" s="36"/>
      <c r="AI2597" s="36"/>
      <c r="AJ2597" s="15">
        <f t="shared" si="108"/>
        <v>0</v>
      </c>
      <c r="AK2597" s="16"/>
    </row>
    <row r="2598" spans="2:37" x14ac:dyDescent="0.2">
      <c r="B2598" s="7"/>
      <c r="C2598" s="8">
        <v>13162</v>
      </c>
      <c r="D2598" s="9" t="s">
        <v>292</v>
      </c>
      <c r="E2598" s="10" t="s">
        <v>293</v>
      </c>
      <c r="F2598" s="10" t="s">
        <v>294</v>
      </c>
      <c r="G2598" s="8">
        <v>1</v>
      </c>
      <c r="H2598" s="11">
        <v>400</v>
      </c>
      <c r="I2598" s="12">
        <v>42680</v>
      </c>
      <c r="J2598" s="35">
        <f t="shared" si="106"/>
        <v>0</v>
      </c>
      <c r="K2598" s="36"/>
      <c r="L2598" s="36"/>
      <c r="M2598" s="36"/>
      <c r="N2598" s="36"/>
      <c r="O2598" s="36"/>
      <c r="P2598" s="36"/>
      <c r="Q2598" s="36"/>
      <c r="R2598" s="36"/>
      <c r="S2598" s="36"/>
      <c r="T2598" s="36"/>
      <c r="U2598" s="36">
        <v>400</v>
      </c>
      <c r="V2598" s="36"/>
      <c r="W2598" s="15">
        <f t="shared" si="107"/>
        <v>400</v>
      </c>
      <c r="X2598" s="36"/>
      <c r="Y2598" s="36"/>
      <c r="Z2598" s="36"/>
      <c r="AA2598" s="36"/>
      <c r="AB2598" s="36"/>
      <c r="AC2598" s="36"/>
      <c r="AD2598" s="36"/>
      <c r="AE2598" s="36"/>
      <c r="AF2598" s="36"/>
      <c r="AG2598" s="36"/>
      <c r="AH2598" s="36"/>
      <c r="AI2598" s="36"/>
      <c r="AJ2598" s="15">
        <f t="shared" si="108"/>
        <v>0</v>
      </c>
      <c r="AK2598" s="16"/>
    </row>
    <row r="2599" spans="2:37" x14ac:dyDescent="0.2">
      <c r="B2599" s="7"/>
      <c r="C2599" s="8">
        <v>13163</v>
      </c>
      <c r="D2599" s="9" t="s">
        <v>1148</v>
      </c>
      <c r="E2599" s="10" t="s">
        <v>1149</v>
      </c>
      <c r="F2599" s="10" t="s">
        <v>1150</v>
      </c>
      <c r="G2599" s="8">
        <v>1</v>
      </c>
      <c r="H2599" s="11">
        <v>400</v>
      </c>
      <c r="I2599" s="12">
        <v>42680</v>
      </c>
      <c r="J2599" s="35">
        <f t="shared" si="106"/>
        <v>0</v>
      </c>
      <c r="K2599" s="36"/>
      <c r="L2599" s="36"/>
      <c r="M2599" s="36"/>
      <c r="N2599" s="36"/>
      <c r="O2599" s="36"/>
      <c r="P2599" s="36"/>
      <c r="Q2599" s="36"/>
      <c r="R2599" s="36"/>
      <c r="S2599" s="36"/>
      <c r="T2599" s="36">
        <v>400</v>
      </c>
      <c r="U2599" s="36"/>
      <c r="V2599" s="36"/>
      <c r="W2599" s="15">
        <f t="shared" si="107"/>
        <v>400</v>
      </c>
      <c r="X2599" s="36"/>
      <c r="Y2599" s="36"/>
      <c r="Z2599" s="36"/>
      <c r="AA2599" s="36"/>
      <c r="AB2599" s="36"/>
      <c r="AC2599" s="36"/>
      <c r="AD2599" s="36"/>
      <c r="AE2599" s="36"/>
      <c r="AF2599" s="36"/>
      <c r="AG2599" s="36"/>
      <c r="AH2599" s="36"/>
      <c r="AI2599" s="36"/>
      <c r="AJ2599" s="15">
        <f t="shared" si="108"/>
        <v>0</v>
      </c>
      <c r="AK2599" s="16"/>
    </row>
    <row r="2600" spans="2:37" x14ac:dyDescent="0.2">
      <c r="B2600" s="7"/>
      <c r="C2600" s="8">
        <v>13164</v>
      </c>
      <c r="D2600" s="9" t="s">
        <v>470</v>
      </c>
      <c r="E2600" s="10" t="s">
        <v>471</v>
      </c>
      <c r="F2600" s="10" t="s">
        <v>472</v>
      </c>
      <c r="G2600" s="8">
        <v>1</v>
      </c>
      <c r="H2600" s="11">
        <v>1200</v>
      </c>
      <c r="I2600" s="12">
        <v>42680</v>
      </c>
      <c r="J2600" s="35">
        <f t="shared" si="106"/>
        <v>0</v>
      </c>
      <c r="K2600" s="36"/>
      <c r="L2600" s="36"/>
      <c r="M2600" s="36"/>
      <c r="N2600" s="36"/>
      <c r="O2600" s="36"/>
      <c r="P2600" s="36"/>
      <c r="Q2600" s="36">
        <v>300</v>
      </c>
      <c r="R2600" s="36">
        <v>300</v>
      </c>
      <c r="S2600" s="36">
        <v>300</v>
      </c>
      <c r="T2600" s="36">
        <v>300</v>
      </c>
      <c r="U2600" s="36"/>
      <c r="V2600" s="36"/>
      <c r="W2600" s="15">
        <f t="shared" si="107"/>
        <v>1200</v>
      </c>
      <c r="X2600" s="36"/>
      <c r="Y2600" s="36"/>
      <c r="Z2600" s="36"/>
      <c r="AA2600" s="36"/>
      <c r="AB2600" s="36"/>
      <c r="AC2600" s="36"/>
      <c r="AD2600" s="36"/>
      <c r="AE2600" s="36"/>
      <c r="AF2600" s="36"/>
      <c r="AG2600" s="36"/>
      <c r="AH2600" s="36"/>
      <c r="AI2600" s="36"/>
      <c r="AJ2600" s="15">
        <f t="shared" si="108"/>
        <v>0</v>
      </c>
      <c r="AK2600" s="16"/>
    </row>
    <row r="2601" spans="2:37" x14ac:dyDescent="0.2">
      <c r="B2601" s="7"/>
      <c r="C2601" s="8">
        <v>13165</v>
      </c>
      <c r="D2601" s="9" t="s">
        <v>797</v>
      </c>
      <c r="E2601" s="10" t="s">
        <v>798</v>
      </c>
      <c r="F2601" s="10" t="s">
        <v>799</v>
      </c>
      <c r="G2601" s="8">
        <v>1</v>
      </c>
      <c r="H2601" s="11">
        <v>800</v>
      </c>
      <c r="I2601" s="12">
        <v>42680</v>
      </c>
      <c r="J2601" s="35">
        <f t="shared" si="106"/>
        <v>0</v>
      </c>
      <c r="K2601" s="36"/>
      <c r="L2601" s="36"/>
      <c r="M2601" s="36"/>
      <c r="N2601" s="36"/>
      <c r="O2601" s="36"/>
      <c r="P2601" s="36"/>
      <c r="Q2601" s="36"/>
      <c r="R2601" s="36"/>
      <c r="S2601" s="36"/>
      <c r="T2601" s="36">
        <v>400</v>
      </c>
      <c r="U2601" s="36">
        <v>400</v>
      </c>
      <c r="V2601" s="36"/>
      <c r="W2601" s="15">
        <f t="shared" si="107"/>
        <v>800</v>
      </c>
      <c r="X2601" s="36"/>
      <c r="Y2601" s="36"/>
      <c r="Z2601" s="36"/>
      <c r="AA2601" s="36"/>
      <c r="AB2601" s="36"/>
      <c r="AC2601" s="36"/>
      <c r="AD2601" s="36"/>
      <c r="AE2601" s="36"/>
      <c r="AF2601" s="36"/>
      <c r="AG2601" s="36"/>
      <c r="AH2601" s="36"/>
      <c r="AI2601" s="36"/>
      <c r="AJ2601" s="15">
        <f t="shared" si="108"/>
        <v>0</v>
      </c>
      <c r="AK2601" s="16"/>
    </row>
    <row r="2602" spans="2:37" x14ac:dyDescent="0.2">
      <c r="B2602" s="7"/>
      <c r="C2602" s="8">
        <v>13166</v>
      </c>
      <c r="D2602" s="9" t="s">
        <v>428</v>
      </c>
      <c r="E2602" s="10" t="s">
        <v>429</v>
      </c>
      <c r="F2602" s="10" t="s">
        <v>430</v>
      </c>
      <c r="G2602" s="8">
        <v>5</v>
      </c>
      <c r="H2602" s="11">
        <v>50</v>
      </c>
      <c r="I2602" s="12">
        <v>42680</v>
      </c>
      <c r="J2602" s="35">
        <f t="shared" si="106"/>
        <v>0</v>
      </c>
      <c r="K2602" s="36"/>
      <c r="L2602" s="36"/>
      <c r="M2602" s="36"/>
      <c r="N2602" s="36"/>
      <c r="O2602" s="36"/>
      <c r="P2602" s="36"/>
      <c r="Q2602" s="36"/>
      <c r="R2602" s="36"/>
      <c r="S2602" s="36"/>
      <c r="T2602" s="36"/>
      <c r="U2602" s="36"/>
      <c r="V2602" s="36"/>
      <c r="W2602" s="15">
        <f t="shared" si="107"/>
        <v>0</v>
      </c>
      <c r="X2602" s="36"/>
      <c r="Y2602" s="36"/>
      <c r="Z2602" s="36"/>
      <c r="AA2602" s="36"/>
      <c r="AB2602" s="36"/>
      <c r="AC2602" s="36"/>
      <c r="AD2602" s="36"/>
      <c r="AE2602" s="36"/>
      <c r="AF2602" s="36"/>
      <c r="AG2602" s="36"/>
      <c r="AH2602" s="36"/>
      <c r="AI2602" s="36"/>
      <c r="AJ2602" s="15">
        <f t="shared" si="108"/>
        <v>0</v>
      </c>
      <c r="AK2602" s="16"/>
    </row>
    <row r="2603" spans="2:37" x14ac:dyDescent="0.2">
      <c r="B2603" s="7"/>
      <c r="C2603" s="8">
        <v>13167</v>
      </c>
      <c r="D2603" s="9" t="s">
        <v>129</v>
      </c>
      <c r="E2603" s="10" t="s">
        <v>130</v>
      </c>
      <c r="F2603" s="10" t="s">
        <v>131</v>
      </c>
      <c r="G2603" s="8">
        <v>1</v>
      </c>
      <c r="H2603" s="11">
        <v>400</v>
      </c>
      <c r="I2603" s="12">
        <v>42680</v>
      </c>
      <c r="J2603" s="35">
        <f t="shared" si="106"/>
        <v>0</v>
      </c>
      <c r="K2603" s="36"/>
      <c r="L2603" s="36"/>
      <c r="M2603" s="36"/>
      <c r="N2603" s="36"/>
      <c r="O2603" s="36"/>
      <c r="P2603" s="36"/>
      <c r="Q2603" s="36"/>
      <c r="R2603" s="36"/>
      <c r="S2603" s="36"/>
      <c r="T2603" s="36"/>
      <c r="U2603" s="36">
        <v>400</v>
      </c>
      <c r="V2603" s="36"/>
      <c r="W2603" s="15">
        <f t="shared" si="107"/>
        <v>400</v>
      </c>
      <c r="X2603" s="36"/>
      <c r="Y2603" s="36"/>
      <c r="Z2603" s="36"/>
      <c r="AA2603" s="36"/>
      <c r="AB2603" s="36"/>
      <c r="AC2603" s="36"/>
      <c r="AD2603" s="36"/>
      <c r="AE2603" s="36"/>
      <c r="AF2603" s="36"/>
      <c r="AG2603" s="36"/>
      <c r="AH2603" s="36"/>
      <c r="AI2603" s="36"/>
      <c r="AJ2603" s="15">
        <f t="shared" si="108"/>
        <v>0</v>
      </c>
      <c r="AK2603" s="16"/>
    </row>
    <row r="2604" spans="2:37" x14ac:dyDescent="0.2">
      <c r="B2604" s="7"/>
      <c r="C2604" s="8">
        <v>13168</v>
      </c>
      <c r="D2604" s="9" t="s">
        <v>109</v>
      </c>
      <c r="E2604" s="10" t="s">
        <v>110</v>
      </c>
      <c r="F2604" s="10" t="s">
        <v>111</v>
      </c>
      <c r="G2604" s="8">
        <v>1</v>
      </c>
      <c r="H2604" s="11">
        <v>400</v>
      </c>
      <c r="I2604" s="12">
        <v>42680</v>
      </c>
      <c r="J2604" s="35">
        <f t="shared" si="106"/>
        <v>0</v>
      </c>
      <c r="K2604" s="36"/>
      <c r="L2604" s="36"/>
      <c r="M2604" s="36"/>
      <c r="N2604" s="36"/>
      <c r="O2604" s="36"/>
      <c r="P2604" s="36"/>
      <c r="Q2604" s="36"/>
      <c r="R2604" s="36"/>
      <c r="S2604" s="36"/>
      <c r="T2604" s="36">
        <v>400</v>
      </c>
      <c r="U2604" s="36"/>
      <c r="V2604" s="36"/>
      <c r="W2604" s="15">
        <f t="shared" si="107"/>
        <v>400</v>
      </c>
      <c r="X2604" s="36"/>
      <c r="Y2604" s="36"/>
      <c r="Z2604" s="36"/>
      <c r="AA2604" s="36"/>
      <c r="AB2604" s="36"/>
      <c r="AC2604" s="36"/>
      <c r="AD2604" s="36"/>
      <c r="AE2604" s="36"/>
      <c r="AF2604" s="36"/>
      <c r="AG2604" s="36"/>
      <c r="AH2604" s="36"/>
      <c r="AI2604" s="36"/>
      <c r="AJ2604" s="15">
        <f t="shared" si="108"/>
        <v>0</v>
      </c>
      <c r="AK2604" s="16"/>
    </row>
    <row r="2605" spans="2:37" x14ac:dyDescent="0.2">
      <c r="B2605" s="7"/>
      <c r="C2605" s="8">
        <v>13169</v>
      </c>
      <c r="D2605" s="9" t="s">
        <v>186</v>
      </c>
      <c r="E2605" s="10" t="s">
        <v>187</v>
      </c>
      <c r="F2605" s="10" t="s">
        <v>188</v>
      </c>
      <c r="G2605" s="8">
        <v>1</v>
      </c>
      <c r="H2605" s="11">
        <v>400</v>
      </c>
      <c r="I2605" s="12">
        <v>42680</v>
      </c>
      <c r="J2605" s="35">
        <f t="shared" si="106"/>
        <v>0</v>
      </c>
      <c r="K2605" s="36"/>
      <c r="L2605" s="36"/>
      <c r="M2605" s="36"/>
      <c r="N2605" s="36"/>
      <c r="O2605" s="36"/>
      <c r="P2605" s="36"/>
      <c r="Q2605" s="36"/>
      <c r="R2605" s="36"/>
      <c r="S2605" s="36"/>
      <c r="T2605" s="36"/>
      <c r="U2605" s="36">
        <v>400</v>
      </c>
      <c r="V2605" s="36"/>
      <c r="W2605" s="15">
        <f t="shared" si="107"/>
        <v>400</v>
      </c>
      <c r="X2605" s="36"/>
      <c r="Y2605" s="36"/>
      <c r="Z2605" s="36"/>
      <c r="AA2605" s="36"/>
      <c r="AB2605" s="36"/>
      <c r="AC2605" s="36"/>
      <c r="AD2605" s="36"/>
      <c r="AE2605" s="36"/>
      <c r="AF2605" s="36"/>
      <c r="AG2605" s="36"/>
      <c r="AH2605" s="36"/>
      <c r="AI2605" s="36"/>
      <c r="AJ2605" s="15">
        <f t="shared" si="108"/>
        <v>0</v>
      </c>
      <c r="AK2605" s="16"/>
    </row>
    <row r="2606" spans="2:37" x14ac:dyDescent="0.2">
      <c r="B2606" s="7"/>
      <c r="C2606" s="8">
        <v>13170</v>
      </c>
      <c r="D2606" s="9" t="s">
        <v>407</v>
      </c>
      <c r="E2606" s="10" t="s">
        <v>408</v>
      </c>
      <c r="F2606" s="10" t="s">
        <v>409</v>
      </c>
      <c r="G2606" s="8">
        <v>1</v>
      </c>
      <c r="H2606" s="11">
        <v>400</v>
      </c>
      <c r="I2606" s="12">
        <v>42680</v>
      </c>
      <c r="J2606" s="35">
        <f t="shared" si="106"/>
        <v>0</v>
      </c>
      <c r="K2606" s="36"/>
      <c r="L2606" s="36"/>
      <c r="M2606" s="36"/>
      <c r="N2606" s="36"/>
      <c r="O2606" s="36"/>
      <c r="P2606" s="36"/>
      <c r="Q2606" s="36"/>
      <c r="R2606" s="36"/>
      <c r="S2606" s="36"/>
      <c r="T2606" s="36"/>
      <c r="U2606" s="36">
        <v>400</v>
      </c>
      <c r="V2606" s="36"/>
      <c r="W2606" s="15">
        <f t="shared" si="107"/>
        <v>400</v>
      </c>
      <c r="X2606" s="36"/>
      <c r="Y2606" s="36"/>
      <c r="Z2606" s="36"/>
      <c r="AA2606" s="36"/>
      <c r="AB2606" s="36"/>
      <c r="AC2606" s="36"/>
      <c r="AD2606" s="36"/>
      <c r="AE2606" s="36"/>
      <c r="AF2606" s="36"/>
      <c r="AG2606" s="36"/>
      <c r="AH2606" s="36"/>
      <c r="AI2606" s="36"/>
      <c r="AJ2606" s="15">
        <f t="shared" si="108"/>
        <v>0</v>
      </c>
      <c r="AK2606" s="16"/>
    </row>
    <row r="2607" spans="2:37" x14ac:dyDescent="0.2">
      <c r="B2607" s="7"/>
      <c r="C2607" s="8">
        <v>13171</v>
      </c>
      <c r="D2607" s="9" t="s">
        <v>310</v>
      </c>
      <c r="E2607" s="10" t="s">
        <v>311</v>
      </c>
      <c r="F2607" s="10" t="s">
        <v>312</v>
      </c>
      <c r="G2607" s="8">
        <v>1</v>
      </c>
      <c r="H2607" s="11">
        <v>400</v>
      </c>
      <c r="I2607" s="12">
        <v>42680</v>
      </c>
      <c r="J2607" s="35">
        <f t="shared" si="106"/>
        <v>0</v>
      </c>
      <c r="K2607" s="36"/>
      <c r="L2607" s="36"/>
      <c r="M2607" s="36"/>
      <c r="N2607" s="36"/>
      <c r="O2607" s="36"/>
      <c r="P2607" s="36"/>
      <c r="Q2607" s="36"/>
      <c r="R2607" s="36"/>
      <c r="S2607" s="36"/>
      <c r="T2607" s="36"/>
      <c r="U2607" s="36">
        <v>400</v>
      </c>
      <c r="V2607" s="36"/>
      <c r="W2607" s="15">
        <f t="shared" si="107"/>
        <v>400</v>
      </c>
      <c r="X2607" s="36"/>
      <c r="Y2607" s="36"/>
      <c r="Z2607" s="36"/>
      <c r="AA2607" s="36"/>
      <c r="AB2607" s="36"/>
      <c r="AC2607" s="36"/>
      <c r="AD2607" s="36"/>
      <c r="AE2607" s="36"/>
      <c r="AF2607" s="36"/>
      <c r="AG2607" s="36"/>
      <c r="AH2607" s="36"/>
      <c r="AI2607" s="36"/>
      <c r="AJ2607" s="15">
        <f t="shared" si="108"/>
        <v>0</v>
      </c>
      <c r="AK2607" s="16"/>
    </row>
    <row r="2608" spans="2:37" x14ac:dyDescent="0.2">
      <c r="B2608" s="7"/>
      <c r="C2608" s="8">
        <v>13172</v>
      </c>
      <c r="D2608" s="9" t="s">
        <v>387</v>
      </c>
      <c r="E2608" s="10" t="s">
        <v>388</v>
      </c>
      <c r="F2608" s="10" t="s">
        <v>389</v>
      </c>
      <c r="G2608" s="8">
        <v>1</v>
      </c>
      <c r="H2608" s="11">
        <v>800</v>
      </c>
      <c r="I2608" s="12">
        <v>42680</v>
      </c>
      <c r="J2608" s="35">
        <f t="shared" si="106"/>
        <v>0</v>
      </c>
      <c r="K2608" s="36"/>
      <c r="L2608" s="36"/>
      <c r="M2608" s="36"/>
      <c r="N2608" s="36"/>
      <c r="O2608" s="36"/>
      <c r="P2608" s="36"/>
      <c r="Q2608" s="36"/>
      <c r="R2608" s="36"/>
      <c r="S2608" s="36">
        <v>400</v>
      </c>
      <c r="T2608" s="36">
        <v>400</v>
      </c>
      <c r="U2608" s="36"/>
      <c r="V2608" s="36"/>
      <c r="W2608" s="15">
        <f t="shared" si="107"/>
        <v>800</v>
      </c>
      <c r="X2608" s="36"/>
      <c r="Y2608" s="36"/>
      <c r="Z2608" s="36"/>
      <c r="AA2608" s="36"/>
      <c r="AB2608" s="36"/>
      <c r="AC2608" s="36"/>
      <c r="AD2608" s="36"/>
      <c r="AE2608" s="36"/>
      <c r="AF2608" s="36"/>
      <c r="AG2608" s="36"/>
      <c r="AH2608" s="36"/>
      <c r="AI2608" s="36"/>
      <c r="AJ2608" s="15">
        <f t="shared" si="108"/>
        <v>0</v>
      </c>
      <c r="AK2608" s="16"/>
    </row>
    <row r="2609" spans="2:37" x14ac:dyDescent="0.2">
      <c r="B2609" s="7"/>
      <c r="C2609" s="8">
        <v>13173</v>
      </c>
      <c r="D2609" s="9" t="s">
        <v>132</v>
      </c>
      <c r="E2609" s="10" t="s">
        <v>133</v>
      </c>
      <c r="F2609" s="10" t="s">
        <v>134</v>
      </c>
      <c r="G2609" s="8">
        <v>1</v>
      </c>
      <c r="H2609" s="11">
        <v>300</v>
      </c>
      <c r="I2609" s="12">
        <v>42680</v>
      </c>
      <c r="J2609" s="35">
        <f t="shared" si="106"/>
        <v>0</v>
      </c>
      <c r="K2609" s="36"/>
      <c r="L2609" s="36"/>
      <c r="M2609" s="36"/>
      <c r="N2609" s="36"/>
      <c r="O2609" s="36"/>
      <c r="P2609" s="36"/>
      <c r="Q2609" s="36"/>
      <c r="R2609" s="36"/>
      <c r="S2609" s="36"/>
      <c r="T2609" s="36"/>
      <c r="U2609" s="36">
        <v>300</v>
      </c>
      <c r="V2609" s="36"/>
      <c r="W2609" s="15">
        <f t="shared" si="107"/>
        <v>300</v>
      </c>
      <c r="X2609" s="36"/>
      <c r="Y2609" s="36"/>
      <c r="Z2609" s="36"/>
      <c r="AA2609" s="36"/>
      <c r="AB2609" s="36"/>
      <c r="AC2609" s="36"/>
      <c r="AD2609" s="36"/>
      <c r="AE2609" s="36"/>
      <c r="AF2609" s="36"/>
      <c r="AG2609" s="36"/>
      <c r="AH2609" s="36"/>
      <c r="AI2609" s="36"/>
      <c r="AJ2609" s="15">
        <f t="shared" si="108"/>
        <v>0</v>
      </c>
      <c r="AK2609" s="16"/>
    </row>
    <row r="2610" spans="2:37" x14ac:dyDescent="0.2">
      <c r="B2610" s="7"/>
      <c r="C2610" s="8">
        <v>13174</v>
      </c>
      <c r="D2610" s="9" t="s">
        <v>123</v>
      </c>
      <c r="E2610" s="10" t="s">
        <v>124</v>
      </c>
      <c r="F2610" s="10" t="s">
        <v>125</v>
      </c>
      <c r="G2610" s="8">
        <v>1</v>
      </c>
      <c r="H2610" s="11">
        <v>250</v>
      </c>
      <c r="I2610" s="12">
        <v>42680</v>
      </c>
      <c r="J2610" s="35">
        <f t="shared" si="106"/>
        <v>0</v>
      </c>
      <c r="K2610" s="36"/>
      <c r="L2610" s="36"/>
      <c r="M2610" s="36"/>
      <c r="N2610" s="36"/>
      <c r="O2610" s="36"/>
      <c r="P2610" s="36"/>
      <c r="Q2610" s="36"/>
      <c r="R2610" s="36"/>
      <c r="S2610" s="36"/>
      <c r="T2610" s="36"/>
      <c r="U2610" s="36">
        <v>250</v>
      </c>
      <c r="V2610" s="36"/>
      <c r="W2610" s="15">
        <f t="shared" si="107"/>
        <v>250</v>
      </c>
      <c r="X2610" s="36"/>
      <c r="Y2610" s="36"/>
      <c r="Z2610" s="36"/>
      <c r="AA2610" s="36"/>
      <c r="AB2610" s="36"/>
      <c r="AC2610" s="36"/>
      <c r="AD2610" s="36"/>
      <c r="AE2610" s="36"/>
      <c r="AF2610" s="36"/>
      <c r="AG2610" s="36"/>
      <c r="AH2610" s="36"/>
      <c r="AI2610" s="36"/>
      <c r="AJ2610" s="15">
        <f t="shared" si="108"/>
        <v>0</v>
      </c>
      <c r="AK2610" s="16"/>
    </row>
    <row r="2611" spans="2:37" x14ac:dyDescent="0.2">
      <c r="B2611" s="7"/>
      <c r="C2611" s="8">
        <v>13175</v>
      </c>
      <c r="D2611" s="9" t="s">
        <v>268</v>
      </c>
      <c r="E2611" s="10" t="s">
        <v>269</v>
      </c>
      <c r="F2611" s="10" t="s">
        <v>270</v>
      </c>
      <c r="G2611" s="8">
        <v>1</v>
      </c>
      <c r="H2611" s="11">
        <v>300</v>
      </c>
      <c r="I2611" s="12">
        <v>42680</v>
      </c>
      <c r="J2611" s="35">
        <f t="shared" si="106"/>
        <v>0</v>
      </c>
      <c r="K2611" s="36"/>
      <c r="L2611" s="36"/>
      <c r="M2611" s="36"/>
      <c r="N2611" s="36"/>
      <c r="O2611" s="36"/>
      <c r="P2611" s="36"/>
      <c r="Q2611" s="36"/>
      <c r="R2611" s="36"/>
      <c r="S2611" s="36"/>
      <c r="T2611" s="36"/>
      <c r="U2611" s="36">
        <v>300</v>
      </c>
      <c r="V2611" s="36"/>
      <c r="W2611" s="15">
        <f t="shared" si="107"/>
        <v>300</v>
      </c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15">
        <f t="shared" si="108"/>
        <v>0</v>
      </c>
      <c r="AK2611" s="16"/>
    </row>
    <row r="2612" spans="2:37" x14ac:dyDescent="0.2">
      <c r="B2612" s="7"/>
      <c r="C2612" s="8">
        <v>13176</v>
      </c>
      <c r="D2612" s="9" t="s">
        <v>150</v>
      </c>
      <c r="E2612" s="10" t="s">
        <v>151</v>
      </c>
      <c r="F2612" s="10" t="s">
        <v>152</v>
      </c>
      <c r="G2612" s="8">
        <v>1</v>
      </c>
      <c r="H2612" s="11">
        <v>400</v>
      </c>
      <c r="I2612" s="12">
        <v>42680</v>
      </c>
      <c r="J2612" s="35">
        <f t="shared" si="106"/>
        <v>0</v>
      </c>
      <c r="K2612" s="36"/>
      <c r="L2612" s="36"/>
      <c r="M2612" s="36"/>
      <c r="N2612" s="36"/>
      <c r="O2612" s="36"/>
      <c r="P2612" s="36"/>
      <c r="Q2612" s="36"/>
      <c r="R2612" s="36"/>
      <c r="S2612" s="36"/>
      <c r="T2612" s="36"/>
      <c r="U2612" s="36">
        <v>400</v>
      </c>
      <c r="V2612" s="36"/>
      <c r="W2612" s="15">
        <f t="shared" si="107"/>
        <v>400</v>
      </c>
      <c r="X2612" s="36"/>
      <c r="Y2612" s="36"/>
      <c r="Z2612" s="36"/>
      <c r="AA2612" s="36"/>
      <c r="AB2612" s="36"/>
      <c r="AC2612" s="36"/>
      <c r="AD2612" s="36"/>
      <c r="AE2612" s="36"/>
      <c r="AF2612" s="36"/>
      <c r="AG2612" s="36"/>
      <c r="AH2612" s="36"/>
      <c r="AI2612" s="36"/>
      <c r="AJ2612" s="15">
        <f t="shared" si="108"/>
        <v>0</v>
      </c>
      <c r="AK2612" s="16"/>
    </row>
    <row r="2613" spans="2:37" x14ac:dyDescent="0.2">
      <c r="B2613" s="7"/>
      <c r="C2613" s="8">
        <v>13177</v>
      </c>
      <c r="D2613" s="9" t="s">
        <v>416</v>
      </c>
      <c r="E2613" s="10" t="s">
        <v>417</v>
      </c>
      <c r="F2613" s="10" t="s">
        <v>418</v>
      </c>
      <c r="G2613" s="8">
        <v>1</v>
      </c>
      <c r="H2613" s="11">
        <v>200</v>
      </c>
      <c r="I2613" s="12">
        <v>42680</v>
      </c>
      <c r="J2613" s="35">
        <f t="shared" si="106"/>
        <v>0</v>
      </c>
      <c r="K2613" s="36"/>
      <c r="L2613" s="36"/>
      <c r="M2613" s="36"/>
      <c r="N2613" s="36"/>
      <c r="O2613" s="36"/>
      <c r="P2613" s="36"/>
      <c r="Q2613" s="36"/>
      <c r="R2613" s="36"/>
      <c r="S2613" s="36"/>
      <c r="T2613" s="36"/>
      <c r="U2613" s="36">
        <v>200</v>
      </c>
      <c r="V2613" s="36"/>
      <c r="W2613" s="15">
        <f t="shared" si="107"/>
        <v>200</v>
      </c>
      <c r="X2613" s="36"/>
      <c r="Y2613" s="36"/>
      <c r="Z2613" s="36"/>
      <c r="AA2613" s="36"/>
      <c r="AB2613" s="36"/>
      <c r="AC2613" s="36"/>
      <c r="AD2613" s="36"/>
      <c r="AE2613" s="36"/>
      <c r="AF2613" s="36"/>
      <c r="AG2613" s="36"/>
      <c r="AH2613" s="36"/>
      <c r="AI2613" s="36"/>
      <c r="AJ2613" s="15">
        <f t="shared" si="108"/>
        <v>0</v>
      </c>
      <c r="AK2613" s="16"/>
    </row>
    <row r="2614" spans="2:37" x14ac:dyDescent="0.2">
      <c r="B2614" s="7"/>
      <c r="C2614" s="8">
        <v>13178</v>
      </c>
      <c r="D2614" s="9" t="s">
        <v>103</v>
      </c>
      <c r="E2614" s="10" t="s">
        <v>104</v>
      </c>
      <c r="F2614" s="10" t="s">
        <v>105</v>
      </c>
      <c r="G2614" s="8">
        <v>1</v>
      </c>
      <c r="H2614" s="11">
        <v>400</v>
      </c>
      <c r="I2614" s="12">
        <v>42680</v>
      </c>
      <c r="J2614" s="35">
        <f t="shared" si="106"/>
        <v>0</v>
      </c>
      <c r="K2614" s="36"/>
      <c r="L2614" s="36"/>
      <c r="M2614" s="36"/>
      <c r="N2614" s="36"/>
      <c r="O2614" s="36"/>
      <c r="P2614" s="36"/>
      <c r="Q2614" s="36"/>
      <c r="R2614" s="36"/>
      <c r="S2614" s="36"/>
      <c r="T2614" s="36">
        <v>400</v>
      </c>
      <c r="U2614" s="36"/>
      <c r="V2614" s="36"/>
      <c r="W2614" s="15">
        <f t="shared" si="107"/>
        <v>400</v>
      </c>
      <c r="X2614" s="36"/>
      <c r="Y2614" s="36"/>
      <c r="Z2614" s="36"/>
      <c r="AA2614" s="36"/>
      <c r="AB2614" s="36"/>
      <c r="AC2614" s="36"/>
      <c r="AD2614" s="36"/>
      <c r="AE2614" s="36"/>
      <c r="AF2614" s="36"/>
      <c r="AG2614" s="36"/>
      <c r="AH2614" s="36"/>
      <c r="AI2614" s="36"/>
      <c r="AJ2614" s="15">
        <f t="shared" si="108"/>
        <v>0</v>
      </c>
      <c r="AK2614" s="16"/>
    </row>
    <row r="2615" spans="2:37" x14ac:dyDescent="0.2">
      <c r="B2615" s="7"/>
      <c r="C2615" s="8">
        <v>13179</v>
      </c>
      <c r="D2615" s="9" t="s">
        <v>159</v>
      </c>
      <c r="E2615" s="10" t="s">
        <v>160</v>
      </c>
      <c r="F2615" s="10" t="s">
        <v>161</v>
      </c>
      <c r="G2615" s="8">
        <v>1</v>
      </c>
      <c r="H2615" s="11">
        <v>400</v>
      </c>
      <c r="I2615" s="12">
        <v>42680</v>
      </c>
      <c r="J2615" s="35">
        <f t="shared" si="106"/>
        <v>0</v>
      </c>
      <c r="K2615" s="36"/>
      <c r="L2615" s="36"/>
      <c r="M2615" s="36"/>
      <c r="N2615" s="36"/>
      <c r="O2615" s="36"/>
      <c r="P2615" s="36"/>
      <c r="Q2615" s="36"/>
      <c r="R2615" s="36"/>
      <c r="S2615" s="36"/>
      <c r="T2615" s="36">
        <v>400</v>
      </c>
      <c r="U2615" s="36"/>
      <c r="V2615" s="36"/>
      <c r="W2615" s="15">
        <f t="shared" si="107"/>
        <v>400</v>
      </c>
      <c r="X2615" s="36"/>
      <c r="Y2615" s="36"/>
      <c r="Z2615" s="36"/>
      <c r="AA2615" s="36"/>
      <c r="AB2615" s="36"/>
      <c r="AC2615" s="36"/>
      <c r="AD2615" s="36"/>
      <c r="AE2615" s="36"/>
      <c r="AF2615" s="36"/>
      <c r="AG2615" s="36"/>
      <c r="AH2615" s="36"/>
      <c r="AI2615" s="36"/>
      <c r="AJ2615" s="15">
        <f t="shared" si="108"/>
        <v>0</v>
      </c>
      <c r="AK2615" s="16"/>
    </row>
    <row r="2616" spans="2:37" x14ac:dyDescent="0.2">
      <c r="B2616" s="7"/>
      <c r="C2616" s="8">
        <v>13180</v>
      </c>
      <c r="D2616" s="9" t="s">
        <v>395</v>
      </c>
      <c r="E2616" s="10" t="s">
        <v>396</v>
      </c>
      <c r="F2616" s="10" t="s">
        <v>397</v>
      </c>
      <c r="G2616" s="8">
        <v>1</v>
      </c>
      <c r="H2616" s="11">
        <v>200</v>
      </c>
      <c r="I2616" s="12">
        <v>42680</v>
      </c>
      <c r="J2616" s="35">
        <f t="shared" si="106"/>
        <v>0</v>
      </c>
      <c r="K2616" s="36"/>
      <c r="L2616" s="36"/>
      <c r="M2616" s="36"/>
      <c r="N2616" s="36"/>
      <c r="O2616" s="36"/>
      <c r="P2616" s="36"/>
      <c r="Q2616" s="36"/>
      <c r="R2616" s="36"/>
      <c r="S2616" s="36"/>
      <c r="T2616" s="36"/>
      <c r="U2616" s="36">
        <v>200</v>
      </c>
      <c r="V2616" s="36"/>
      <c r="W2616" s="15">
        <f t="shared" si="107"/>
        <v>200</v>
      </c>
      <c r="X2616" s="36"/>
      <c r="Y2616" s="36"/>
      <c r="Z2616" s="36"/>
      <c r="AA2616" s="36"/>
      <c r="AB2616" s="36"/>
      <c r="AC2616" s="36"/>
      <c r="AD2616" s="36"/>
      <c r="AE2616" s="36"/>
      <c r="AF2616" s="36"/>
      <c r="AG2616" s="36"/>
      <c r="AH2616" s="36"/>
      <c r="AI2616" s="36"/>
      <c r="AJ2616" s="15">
        <f t="shared" si="108"/>
        <v>0</v>
      </c>
      <c r="AK2616" s="16"/>
    </row>
    <row r="2617" spans="2:37" x14ac:dyDescent="0.2">
      <c r="B2617" s="7"/>
      <c r="C2617" s="8">
        <v>13181</v>
      </c>
      <c r="D2617" s="9" t="s">
        <v>431</v>
      </c>
      <c r="E2617" s="10" t="s">
        <v>432</v>
      </c>
      <c r="F2617" s="10" t="s">
        <v>433</v>
      </c>
      <c r="G2617" s="8">
        <v>1</v>
      </c>
      <c r="H2617" s="11">
        <v>800</v>
      </c>
      <c r="I2617" s="12">
        <v>42680</v>
      </c>
      <c r="J2617" s="35">
        <f t="shared" si="106"/>
        <v>0</v>
      </c>
      <c r="K2617" s="36"/>
      <c r="L2617" s="36"/>
      <c r="M2617" s="36"/>
      <c r="N2617" s="36"/>
      <c r="O2617" s="36"/>
      <c r="P2617" s="36"/>
      <c r="Q2617" s="36"/>
      <c r="R2617" s="36"/>
      <c r="S2617" s="36">
        <v>400</v>
      </c>
      <c r="T2617" s="36">
        <v>400</v>
      </c>
      <c r="U2617" s="36"/>
      <c r="V2617" s="36"/>
      <c r="W2617" s="15">
        <f t="shared" si="107"/>
        <v>800</v>
      </c>
      <c r="X2617" s="36"/>
      <c r="Y2617" s="36"/>
      <c r="Z2617" s="36"/>
      <c r="AA2617" s="36"/>
      <c r="AB2617" s="36"/>
      <c r="AC2617" s="36"/>
      <c r="AD2617" s="36"/>
      <c r="AE2617" s="36"/>
      <c r="AF2617" s="36"/>
      <c r="AG2617" s="36"/>
      <c r="AH2617" s="36"/>
      <c r="AI2617" s="36"/>
      <c r="AJ2617" s="15">
        <f t="shared" si="108"/>
        <v>0</v>
      </c>
      <c r="AK2617" s="16"/>
    </row>
    <row r="2618" spans="2:37" x14ac:dyDescent="0.2">
      <c r="B2618" s="7"/>
      <c r="C2618" s="8">
        <v>13182</v>
      </c>
      <c r="D2618" s="9" t="s">
        <v>313</v>
      </c>
      <c r="E2618" s="10" t="s">
        <v>314</v>
      </c>
      <c r="F2618" s="10" t="s">
        <v>315</v>
      </c>
      <c r="G2618" s="8">
        <v>1</v>
      </c>
      <c r="H2618" s="11">
        <v>400</v>
      </c>
      <c r="I2618" s="12">
        <v>42680</v>
      </c>
      <c r="J2618" s="35">
        <f t="shared" si="106"/>
        <v>0</v>
      </c>
      <c r="K2618" s="36"/>
      <c r="L2618" s="36"/>
      <c r="M2618" s="36"/>
      <c r="N2618" s="36"/>
      <c r="O2618" s="36"/>
      <c r="P2618" s="36"/>
      <c r="Q2618" s="36"/>
      <c r="R2618" s="36"/>
      <c r="S2618" s="36"/>
      <c r="T2618" s="36"/>
      <c r="U2618" s="36">
        <v>400</v>
      </c>
      <c r="V2618" s="36"/>
      <c r="W2618" s="15">
        <f t="shared" si="107"/>
        <v>400</v>
      </c>
      <c r="X2618" s="36"/>
      <c r="Y2618" s="36"/>
      <c r="Z2618" s="36"/>
      <c r="AA2618" s="36"/>
      <c r="AB2618" s="36"/>
      <c r="AC2618" s="36"/>
      <c r="AD2618" s="36"/>
      <c r="AE2618" s="36"/>
      <c r="AF2618" s="36"/>
      <c r="AG2618" s="36"/>
      <c r="AH2618" s="36"/>
      <c r="AI2618" s="36"/>
      <c r="AJ2618" s="15">
        <f t="shared" si="108"/>
        <v>0</v>
      </c>
      <c r="AK2618" s="16"/>
    </row>
    <row r="2619" spans="2:37" x14ac:dyDescent="0.2">
      <c r="B2619" s="7"/>
      <c r="C2619" s="8">
        <v>13183</v>
      </c>
      <c r="D2619" s="9" t="s">
        <v>174</v>
      </c>
      <c r="E2619" s="10" t="s">
        <v>175</v>
      </c>
      <c r="F2619" s="10" t="s">
        <v>176</v>
      </c>
      <c r="G2619" s="8">
        <v>1</v>
      </c>
      <c r="H2619" s="11">
        <v>300</v>
      </c>
      <c r="I2619" s="12">
        <v>42680</v>
      </c>
      <c r="J2619" s="35">
        <f t="shared" si="106"/>
        <v>0</v>
      </c>
      <c r="K2619" s="36"/>
      <c r="L2619" s="36"/>
      <c r="M2619" s="36"/>
      <c r="N2619" s="36"/>
      <c r="O2619" s="36"/>
      <c r="P2619" s="36"/>
      <c r="Q2619" s="36"/>
      <c r="R2619" s="36"/>
      <c r="S2619" s="36"/>
      <c r="T2619" s="36"/>
      <c r="U2619" s="36">
        <v>300</v>
      </c>
      <c r="V2619" s="36"/>
      <c r="W2619" s="15">
        <f t="shared" si="107"/>
        <v>300</v>
      </c>
      <c r="X2619" s="36"/>
      <c r="Y2619" s="36"/>
      <c r="Z2619" s="36"/>
      <c r="AA2619" s="36"/>
      <c r="AB2619" s="36"/>
      <c r="AC2619" s="36"/>
      <c r="AD2619" s="36"/>
      <c r="AE2619" s="36"/>
      <c r="AF2619" s="36"/>
      <c r="AG2619" s="36"/>
      <c r="AH2619" s="36"/>
      <c r="AI2619" s="36"/>
      <c r="AJ2619" s="15">
        <f t="shared" si="108"/>
        <v>0</v>
      </c>
      <c r="AK2619" s="16"/>
    </row>
    <row r="2620" spans="2:37" x14ac:dyDescent="0.2">
      <c r="B2620" s="7"/>
      <c r="C2620" s="8">
        <v>13184</v>
      </c>
      <c r="D2620" s="9" t="s">
        <v>785</v>
      </c>
      <c r="E2620" s="10" t="s">
        <v>786</v>
      </c>
      <c r="F2620" s="10" t="s">
        <v>787</v>
      </c>
      <c r="G2620" s="8">
        <v>1</v>
      </c>
      <c r="H2620" s="11">
        <v>400</v>
      </c>
      <c r="I2620" s="12">
        <v>42680</v>
      </c>
      <c r="J2620" s="35">
        <f t="shared" si="106"/>
        <v>0</v>
      </c>
      <c r="K2620" s="36"/>
      <c r="L2620" s="36"/>
      <c r="M2620" s="36"/>
      <c r="N2620" s="36"/>
      <c r="O2620" s="36"/>
      <c r="P2620" s="36"/>
      <c r="Q2620" s="36"/>
      <c r="R2620" s="36"/>
      <c r="S2620" s="36"/>
      <c r="T2620" s="36">
        <v>200</v>
      </c>
      <c r="U2620" s="36">
        <v>200</v>
      </c>
      <c r="V2620" s="36"/>
      <c r="W2620" s="15">
        <f t="shared" si="107"/>
        <v>400</v>
      </c>
      <c r="X2620" s="36"/>
      <c r="Y2620" s="36"/>
      <c r="Z2620" s="36"/>
      <c r="AA2620" s="36"/>
      <c r="AB2620" s="36"/>
      <c r="AC2620" s="36"/>
      <c r="AD2620" s="36"/>
      <c r="AE2620" s="36"/>
      <c r="AF2620" s="36"/>
      <c r="AG2620" s="36"/>
      <c r="AH2620" s="36"/>
      <c r="AI2620" s="36"/>
      <c r="AJ2620" s="15">
        <f t="shared" si="108"/>
        <v>0</v>
      </c>
      <c r="AK2620" s="16"/>
    </row>
    <row r="2621" spans="2:37" x14ac:dyDescent="0.2">
      <c r="B2621" s="7"/>
      <c r="C2621" s="8">
        <v>13185</v>
      </c>
      <c r="D2621" s="9" t="s">
        <v>899</v>
      </c>
      <c r="E2621" s="10" t="s">
        <v>900</v>
      </c>
      <c r="F2621" s="10" t="s">
        <v>901</v>
      </c>
      <c r="G2621" s="8">
        <v>1</v>
      </c>
      <c r="H2621" s="11">
        <v>400</v>
      </c>
      <c r="I2621" s="12">
        <v>42680</v>
      </c>
      <c r="J2621" s="35">
        <f t="shared" si="106"/>
        <v>0</v>
      </c>
      <c r="K2621" s="36"/>
      <c r="L2621" s="36"/>
      <c r="M2621" s="36"/>
      <c r="N2621" s="36"/>
      <c r="O2621" s="36"/>
      <c r="P2621" s="36"/>
      <c r="Q2621" s="36"/>
      <c r="R2621" s="36"/>
      <c r="S2621" s="36"/>
      <c r="T2621" s="36"/>
      <c r="U2621" s="36">
        <v>400</v>
      </c>
      <c r="V2621" s="36"/>
      <c r="W2621" s="15">
        <f t="shared" si="107"/>
        <v>400</v>
      </c>
      <c r="X2621" s="36"/>
      <c r="Y2621" s="36"/>
      <c r="Z2621" s="36"/>
      <c r="AA2621" s="36"/>
      <c r="AB2621" s="36"/>
      <c r="AC2621" s="36"/>
      <c r="AD2621" s="36"/>
      <c r="AE2621" s="36"/>
      <c r="AF2621" s="36"/>
      <c r="AG2621" s="36"/>
      <c r="AH2621" s="36"/>
      <c r="AI2621" s="36"/>
      <c r="AJ2621" s="15">
        <f t="shared" si="108"/>
        <v>0</v>
      </c>
      <c r="AK2621" s="16"/>
    </row>
    <row r="2622" spans="2:37" x14ac:dyDescent="0.2">
      <c r="B2622" s="7"/>
      <c r="C2622" s="8">
        <v>13186</v>
      </c>
      <c r="D2622" s="9" t="s">
        <v>328</v>
      </c>
      <c r="E2622" s="10" t="s">
        <v>329</v>
      </c>
      <c r="F2622" s="10" t="s">
        <v>330</v>
      </c>
      <c r="G2622" s="8">
        <v>1</v>
      </c>
      <c r="H2622" s="11">
        <v>400</v>
      </c>
      <c r="I2622" s="12">
        <v>42680</v>
      </c>
      <c r="J2622" s="35">
        <f t="shared" si="106"/>
        <v>0</v>
      </c>
      <c r="K2622" s="36"/>
      <c r="L2622" s="36"/>
      <c r="M2622" s="36"/>
      <c r="N2622" s="36"/>
      <c r="O2622" s="36"/>
      <c r="P2622" s="36"/>
      <c r="Q2622" s="36"/>
      <c r="R2622" s="36"/>
      <c r="S2622" s="36"/>
      <c r="T2622" s="36"/>
      <c r="U2622" s="36">
        <v>400</v>
      </c>
      <c r="V2622" s="36"/>
      <c r="W2622" s="15">
        <f t="shared" si="107"/>
        <v>400</v>
      </c>
      <c r="X2622" s="36"/>
      <c r="Y2622" s="36"/>
      <c r="Z2622" s="36"/>
      <c r="AA2622" s="36"/>
      <c r="AB2622" s="36"/>
      <c r="AC2622" s="36"/>
      <c r="AD2622" s="36"/>
      <c r="AE2622" s="36"/>
      <c r="AF2622" s="36"/>
      <c r="AG2622" s="36"/>
      <c r="AH2622" s="36"/>
      <c r="AI2622" s="36"/>
      <c r="AJ2622" s="15">
        <f t="shared" si="108"/>
        <v>0</v>
      </c>
      <c r="AK2622" s="16"/>
    </row>
    <row r="2623" spans="2:37" x14ac:dyDescent="0.2">
      <c r="B2623" s="7"/>
      <c r="C2623" s="8">
        <v>13187</v>
      </c>
      <c r="D2623" s="9" t="s">
        <v>165</v>
      </c>
      <c r="E2623" s="10" t="s">
        <v>166</v>
      </c>
      <c r="F2623" s="10" t="s">
        <v>167</v>
      </c>
      <c r="G2623" s="8">
        <v>1</v>
      </c>
      <c r="H2623" s="11">
        <v>350</v>
      </c>
      <c r="I2623" s="12">
        <v>42680</v>
      </c>
      <c r="J2623" s="35">
        <f t="shared" si="106"/>
        <v>0</v>
      </c>
      <c r="K2623" s="36"/>
      <c r="L2623" s="36"/>
      <c r="M2623" s="36"/>
      <c r="N2623" s="36"/>
      <c r="O2623" s="36"/>
      <c r="P2623" s="36"/>
      <c r="Q2623" s="36"/>
      <c r="R2623" s="36"/>
      <c r="S2623" s="36"/>
      <c r="T2623" s="36"/>
      <c r="U2623" s="36">
        <v>350</v>
      </c>
      <c r="V2623" s="36"/>
      <c r="W2623" s="15">
        <f t="shared" si="107"/>
        <v>350</v>
      </c>
      <c r="X2623" s="36"/>
      <c r="Y2623" s="36"/>
      <c r="Z2623" s="36"/>
      <c r="AA2623" s="36"/>
      <c r="AB2623" s="36"/>
      <c r="AC2623" s="36"/>
      <c r="AD2623" s="36"/>
      <c r="AE2623" s="36"/>
      <c r="AF2623" s="36"/>
      <c r="AG2623" s="36"/>
      <c r="AH2623" s="36"/>
      <c r="AI2623" s="36"/>
      <c r="AJ2623" s="15">
        <f t="shared" si="108"/>
        <v>0</v>
      </c>
      <c r="AK2623" s="16"/>
    </row>
    <row r="2624" spans="2:37" x14ac:dyDescent="0.2">
      <c r="B2624" s="7"/>
      <c r="C2624" s="8">
        <v>13188</v>
      </c>
      <c r="D2624" s="9" t="s">
        <v>473</v>
      </c>
      <c r="E2624" s="10" t="s">
        <v>474</v>
      </c>
      <c r="F2624" s="10" t="s">
        <v>475</v>
      </c>
      <c r="G2624" s="8">
        <v>4</v>
      </c>
      <c r="H2624" s="11">
        <v>200</v>
      </c>
      <c r="I2624" s="12">
        <v>42680</v>
      </c>
      <c r="J2624" s="35">
        <f t="shared" si="106"/>
        <v>0</v>
      </c>
      <c r="K2624" s="36"/>
      <c r="L2624" s="36"/>
      <c r="M2624" s="36"/>
      <c r="N2624" s="36"/>
      <c r="O2624" s="36"/>
      <c r="P2624" s="36"/>
      <c r="Q2624" s="36"/>
      <c r="R2624" s="36"/>
      <c r="S2624" s="36"/>
      <c r="T2624" s="36"/>
      <c r="U2624" s="36"/>
      <c r="V2624" s="36"/>
      <c r="W2624" s="15">
        <f t="shared" si="107"/>
        <v>0</v>
      </c>
      <c r="X2624" s="36"/>
      <c r="Y2624" s="36"/>
      <c r="Z2624" s="36"/>
      <c r="AA2624" s="36"/>
      <c r="AB2624" s="36"/>
      <c r="AC2624" s="36"/>
      <c r="AD2624" s="36"/>
      <c r="AE2624" s="36"/>
      <c r="AF2624" s="36"/>
      <c r="AG2624" s="36"/>
      <c r="AH2624" s="36"/>
      <c r="AI2624" s="36"/>
      <c r="AJ2624" s="15">
        <f t="shared" si="108"/>
        <v>0</v>
      </c>
      <c r="AK2624" s="16" t="s">
        <v>3047</v>
      </c>
    </row>
    <row r="2625" spans="2:38" x14ac:dyDescent="0.2">
      <c r="B2625" s="7"/>
      <c r="C2625" s="8">
        <v>13188</v>
      </c>
      <c r="D2625" s="9" t="s">
        <v>473</v>
      </c>
      <c r="E2625" s="10" t="s">
        <v>474</v>
      </c>
      <c r="F2625" s="10" t="s">
        <v>475</v>
      </c>
      <c r="G2625" s="8">
        <v>5</v>
      </c>
      <c r="H2625" s="11">
        <v>50</v>
      </c>
      <c r="I2625" s="12">
        <v>42680</v>
      </c>
      <c r="J2625" s="35">
        <f t="shared" si="106"/>
        <v>0</v>
      </c>
      <c r="K2625" s="36"/>
      <c r="L2625" s="36"/>
      <c r="M2625" s="36"/>
      <c r="N2625" s="36"/>
      <c r="O2625" s="36"/>
      <c r="P2625" s="36"/>
      <c r="Q2625" s="36"/>
      <c r="R2625" s="36"/>
      <c r="S2625" s="36"/>
      <c r="T2625" s="36"/>
      <c r="U2625" s="36"/>
      <c r="V2625" s="36"/>
      <c r="W2625" s="15">
        <f t="shared" si="107"/>
        <v>0</v>
      </c>
      <c r="X2625" s="36"/>
      <c r="Y2625" s="36"/>
      <c r="Z2625" s="36"/>
      <c r="AA2625" s="36"/>
      <c r="AB2625" s="36"/>
      <c r="AC2625" s="36"/>
      <c r="AD2625" s="36"/>
      <c r="AE2625" s="36"/>
      <c r="AF2625" s="36"/>
      <c r="AG2625" s="36"/>
      <c r="AH2625" s="36"/>
      <c r="AI2625" s="36"/>
      <c r="AJ2625" s="15">
        <f t="shared" si="108"/>
        <v>0</v>
      </c>
      <c r="AK2625" s="16"/>
    </row>
    <row r="2626" spans="2:38" x14ac:dyDescent="0.2">
      <c r="B2626" s="7"/>
      <c r="C2626" s="8">
        <v>13189</v>
      </c>
      <c r="D2626" s="9" t="s">
        <v>562</v>
      </c>
      <c r="E2626" s="10" t="s">
        <v>563</v>
      </c>
      <c r="F2626" s="10" t="s">
        <v>564</v>
      </c>
      <c r="G2626" s="8">
        <v>1</v>
      </c>
      <c r="H2626" s="11">
        <v>400</v>
      </c>
      <c r="I2626" s="12">
        <v>42680</v>
      </c>
      <c r="J2626" s="35">
        <f t="shared" ref="J2626:J2689" si="109">IF(G2626=1,SUM(W2626,AJ2626,-H2626),0)</f>
        <v>0</v>
      </c>
      <c r="K2626" s="36"/>
      <c r="L2626" s="36"/>
      <c r="M2626" s="36"/>
      <c r="N2626" s="36"/>
      <c r="O2626" s="36"/>
      <c r="P2626" s="36"/>
      <c r="Q2626" s="36"/>
      <c r="R2626" s="36"/>
      <c r="S2626" s="36"/>
      <c r="T2626" s="36"/>
      <c r="U2626" s="36">
        <v>400</v>
      </c>
      <c r="V2626" s="36"/>
      <c r="W2626" s="15">
        <f t="shared" ref="W2626:W2689" si="110">SUM(K2626:V2626)</f>
        <v>400</v>
      </c>
      <c r="X2626" s="36"/>
      <c r="Y2626" s="36"/>
      <c r="Z2626" s="36"/>
      <c r="AA2626" s="36"/>
      <c r="AB2626" s="36"/>
      <c r="AC2626" s="36"/>
      <c r="AD2626" s="36"/>
      <c r="AE2626" s="36"/>
      <c r="AF2626" s="36"/>
      <c r="AG2626" s="36"/>
      <c r="AH2626" s="36"/>
      <c r="AI2626" s="36"/>
      <c r="AJ2626" s="15">
        <f t="shared" ref="AJ2626:AJ2689" si="111">SUM(X2626:AI2626)</f>
        <v>0</v>
      </c>
      <c r="AK2626" s="16"/>
    </row>
    <row r="2627" spans="2:38" x14ac:dyDescent="0.2">
      <c r="B2627" s="7" t="s">
        <v>3048</v>
      </c>
      <c r="C2627" s="8">
        <v>13190</v>
      </c>
      <c r="D2627" s="9" t="s">
        <v>177</v>
      </c>
      <c r="E2627" s="10" t="s">
        <v>178</v>
      </c>
      <c r="F2627" s="10" t="s">
        <v>3048</v>
      </c>
      <c r="G2627" s="8">
        <v>1</v>
      </c>
      <c r="H2627" s="11">
        <v>400</v>
      </c>
      <c r="I2627" s="12">
        <v>42680</v>
      </c>
      <c r="J2627" s="35">
        <f t="shared" si="109"/>
        <v>0</v>
      </c>
      <c r="K2627" s="36"/>
      <c r="L2627" s="36"/>
      <c r="M2627" s="36"/>
      <c r="N2627" s="36"/>
      <c r="O2627" s="36"/>
      <c r="P2627" s="36"/>
      <c r="Q2627" s="36"/>
      <c r="R2627" s="36"/>
      <c r="S2627" s="36"/>
      <c r="T2627" s="36"/>
      <c r="U2627" s="36">
        <v>400</v>
      </c>
      <c r="V2627" s="36"/>
      <c r="W2627" s="15">
        <f t="shared" si="110"/>
        <v>400</v>
      </c>
      <c r="X2627" s="36"/>
      <c r="Y2627" s="36"/>
      <c r="Z2627" s="36"/>
      <c r="AA2627" s="36"/>
      <c r="AB2627" s="36"/>
      <c r="AC2627" s="36"/>
      <c r="AD2627" s="36"/>
      <c r="AE2627" s="36"/>
      <c r="AF2627" s="36"/>
      <c r="AG2627" s="36"/>
      <c r="AH2627" s="36"/>
      <c r="AI2627" s="36"/>
      <c r="AJ2627" s="15">
        <f t="shared" si="111"/>
        <v>0</v>
      </c>
      <c r="AK2627" s="16"/>
    </row>
    <row r="2628" spans="2:38" x14ac:dyDescent="0.2">
      <c r="B2628" s="7"/>
      <c r="C2628" s="8">
        <v>13191</v>
      </c>
      <c r="D2628" s="9" t="s">
        <v>404</v>
      </c>
      <c r="E2628" s="10" t="s">
        <v>405</v>
      </c>
      <c r="F2628" s="10" t="s">
        <v>406</v>
      </c>
      <c r="G2628" s="8">
        <v>1</v>
      </c>
      <c r="H2628" s="11">
        <v>400</v>
      </c>
      <c r="I2628" s="12">
        <v>42680</v>
      </c>
      <c r="J2628" s="35">
        <f t="shared" si="109"/>
        <v>0</v>
      </c>
      <c r="K2628" s="36"/>
      <c r="L2628" s="36"/>
      <c r="M2628" s="36"/>
      <c r="N2628" s="36"/>
      <c r="O2628" s="36"/>
      <c r="P2628" s="36"/>
      <c r="Q2628" s="36"/>
      <c r="R2628" s="36"/>
      <c r="S2628" s="36"/>
      <c r="T2628" s="36"/>
      <c r="U2628" s="36">
        <v>400</v>
      </c>
      <c r="V2628" s="36"/>
      <c r="W2628" s="15">
        <f t="shared" si="110"/>
        <v>400</v>
      </c>
      <c r="X2628" s="36"/>
      <c r="Y2628" s="36"/>
      <c r="Z2628" s="36"/>
      <c r="AA2628" s="36"/>
      <c r="AB2628" s="36"/>
      <c r="AC2628" s="36"/>
      <c r="AD2628" s="36"/>
      <c r="AE2628" s="36"/>
      <c r="AF2628" s="36"/>
      <c r="AG2628" s="36"/>
      <c r="AH2628" s="36"/>
      <c r="AI2628" s="36"/>
      <c r="AJ2628" s="15">
        <f t="shared" si="111"/>
        <v>0</v>
      </c>
      <c r="AK2628" s="16"/>
    </row>
    <row r="2629" spans="2:38" x14ac:dyDescent="0.2">
      <c r="B2629" s="7"/>
      <c r="C2629" s="8">
        <v>13192</v>
      </c>
      <c r="D2629" s="9"/>
      <c r="E2629" s="10" t="s">
        <v>93</v>
      </c>
      <c r="F2629" s="10" t="s">
        <v>93</v>
      </c>
      <c r="G2629" s="8">
        <v>8</v>
      </c>
      <c r="H2629" s="11"/>
      <c r="I2629" s="12"/>
      <c r="J2629" s="35">
        <f t="shared" si="109"/>
        <v>0</v>
      </c>
      <c r="K2629" s="36"/>
      <c r="L2629" s="36"/>
      <c r="M2629" s="36"/>
      <c r="N2629" s="36"/>
      <c r="O2629" s="36"/>
      <c r="P2629" s="36"/>
      <c r="Q2629" s="36"/>
      <c r="R2629" s="36"/>
      <c r="S2629" s="36"/>
      <c r="T2629" s="36"/>
      <c r="U2629" s="36"/>
      <c r="V2629" s="36"/>
      <c r="W2629" s="15">
        <f t="shared" si="110"/>
        <v>0</v>
      </c>
      <c r="X2629" s="36"/>
      <c r="Y2629" s="36"/>
      <c r="Z2629" s="36"/>
      <c r="AA2629" s="36"/>
      <c r="AB2629" s="36"/>
      <c r="AC2629" s="36"/>
      <c r="AD2629" s="36"/>
      <c r="AE2629" s="36"/>
      <c r="AF2629" s="36"/>
      <c r="AG2629" s="36"/>
      <c r="AH2629" s="36"/>
      <c r="AI2629" s="36"/>
      <c r="AJ2629" s="15">
        <f t="shared" si="111"/>
        <v>0</v>
      </c>
      <c r="AK2629" s="16"/>
    </row>
    <row r="2630" spans="2:38" x14ac:dyDescent="0.2">
      <c r="B2630" s="7"/>
      <c r="C2630" s="8">
        <v>13193</v>
      </c>
      <c r="D2630" s="9" t="s">
        <v>663</v>
      </c>
      <c r="E2630" s="10" t="s">
        <v>664</v>
      </c>
      <c r="F2630" s="10" t="s">
        <v>665</v>
      </c>
      <c r="G2630" s="8">
        <v>1</v>
      </c>
      <c r="H2630" s="11">
        <v>800</v>
      </c>
      <c r="I2630" s="12">
        <v>42680</v>
      </c>
      <c r="J2630" s="35">
        <f t="shared" si="109"/>
        <v>0</v>
      </c>
      <c r="K2630" s="36"/>
      <c r="L2630" s="36"/>
      <c r="M2630" s="36"/>
      <c r="N2630" s="36"/>
      <c r="O2630" s="36"/>
      <c r="P2630" s="36"/>
      <c r="Q2630" s="36"/>
      <c r="R2630" s="36"/>
      <c r="S2630" s="36">
        <v>400</v>
      </c>
      <c r="T2630" s="36">
        <v>400</v>
      </c>
      <c r="U2630" s="36"/>
      <c r="V2630" s="36"/>
      <c r="W2630" s="15">
        <f t="shared" si="110"/>
        <v>800</v>
      </c>
      <c r="X2630" s="36"/>
      <c r="Y2630" s="36"/>
      <c r="Z2630" s="36"/>
      <c r="AA2630" s="36"/>
      <c r="AB2630" s="36"/>
      <c r="AC2630" s="36"/>
      <c r="AD2630" s="36"/>
      <c r="AE2630" s="36"/>
      <c r="AF2630" s="36"/>
      <c r="AG2630" s="36"/>
      <c r="AH2630" s="36"/>
      <c r="AI2630" s="36"/>
      <c r="AJ2630" s="15">
        <f t="shared" si="111"/>
        <v>0</v>
      </c>
      <c r="AK2630" s="16"/>
    </row>
    <row r="2631" spans="2:38" x14ac:dyDescent="0.2">
      <c r="B2631" s="7"/>
      <c r="C2631" s="8">
        <v>13194</v>
      </c>
      <c r="D2631" s="9" t="s">
        <v>583</v>
      </c>
      <c r="E2631" s="10" t="s">
        <v>584</v>
      </c>
      <c r="F2631" s="10" t="s">
        <v>585</v>
      </c>
      <c r="G2631" s="8">
        <v>1</v>
      </c>
      <c r="H2631" s="11">
        <v>200</v>
      </c>
      <c r="I2631" s="12">
        <v>42680</v>
      </c>
      <c r="J2631" s="35">
        <f t="shared" si="109"/>
        <v>0</v>
      </c>
      <c r="K2631" s="36"/>
      <c r="L2631" s="36"/>
      <c r="M2631" s="36"/>
      <c r="N2631" s="36"/>
      <c r="O2631" s="36"/>
      <c r="P2631" s="36"/>
      <c r="Q2631" s="36"/>
      <c r="R2631" s="36"/>
      <c r="S2631" s="36"/>
      <c r="T2631" s="36"/>
      <c r="U2631" s="36">
        <v>200</v>
      </c>
      <c r="V2631" s="36"/>
      <c r="W2631" s="15">
        <f t="shared" si="110"/>
        <v>200</v>
      </c>
      <c r="X2631" s="36"/>
      <c r="Y2631" s="36"/>
      <c r="Z2631" s="36"/>
      <c r="AA2631" s="36"/>
      <c r="AB2631" s="36"/>
      <c r="AC2631" s="36"/>
      <c r="AD2631" s="36"/>
      <c r="AE2631" s="36"/>
      <c r="AF2631" s="36"/>
      <c r="AG2631" s="36"/>
      <c r="AH2631" s="36"/>
      <c r="AI2631" s="36"/>
      <c r="AJ2631" s="15">
        <f t="shared" si="111"/>
        <v>0</v>
      </c>
      <c r="AK2631" s="16"/>
      <c r="AL2631" s="113">
        <f>SUM(H2562:H2631)</f>
        <v>28225</v>
      </c>
    </row>
    <row r="2632" spans="2:38" x14ac:dyDescent="0.2">
      <c r="B2632" s="7"/>
      <c r="C2632" s="8">
        <v>13195</v>
      </c>
      <c r="D2632" s="9" t="s">
        <v>996</v>
      </c>
      <c r="E2632" s="10" t="s">
        <v>997</v>
      </c>
      <c r="F2632" s="10" t="s">
        <v>998</v>
      </c>
      <c r="G2632" s="8">
        <v>3</v>
      </c>
      <c r="H2632" s="321">
        <v>200</v>
      </c>
      <c r="I2632" s="12">
        <v>42681</v>
      </c>
      <c r="J2632" s="35">
        <f t="shared" si="109"/>
        <v>0</v>
      </c>
      <c r="K2632" s="36"/>
      <c r="L2632" s="36"/>
      <c r="M2632" s="36"/>
      <c r="N2632" s="36"/>
      <c r="O2632" s="36"/>
      <c r="P2632" s="36"/>
      <c r="Q2632" s="36"/>
      <c r="R2632" s="36"/>
      <c r="S2632" s="36"/>
      <c r="T2632" s="36"/>
      <c r="U2632" s="36"/>
      <c r="V2632" s="36"/>
      <c r="W2632" s="15">
        <f t="shared" si="110"/>
        <v>0</v>
      </c>
      <c r="X2632" s="36"/>
      <c r="Y2632" s="36"/>
      <c r="Z2632" s="36"/>
      <c r="AA2632" s="36"/>
      <c r="AB2632" s="36"/>
      <c r="AC2632" s="36"/>
      <c r="AD2632" s="36"/>
      <c r="AE2632" s="36"/>
      <c r="AF2632" s="36"/>
      <c r="AG2632" s="36"/>
      <c r="AH2632" s="36"/>
      <c r="AI2632" s="36"/>
      <c r="AJ2632" s="15">
        <f t="shared" si="111"/>
        <v>0</v>
      </c>
      <c r="AK2632" s="16"/>
    </row>
    <row r="2633" spans="2:38" x14ac:dyDescent="0.2">
      <c r="B2633" s="7"/>
      <c r="C2633" s="8">
        <v>13196</v>
      </c>
      <c r="D2633" s="9" t="s">
        <v>226</v>
      </c>
      <c r="E2633" s="10" t="s">
        <v>227</v>
      </c>
      <c r="F2633" s="10" t="s">
        <v>228</v>
      </c>
      <c r="G2633" s="8">
        <v>1</v>
      </c>
      <c r="H2633" s="11">
        <v>200</v>
      </c>
      <c r="I2633" s="12">
        <v>42681</v>
      </c>
      <c r="J2633" s="35">
        <f t="shared" si="109"/>
        <v>0</v>
      </c>
      <c r="K2633" s="36"/>
      <c r="L2633" s="36"/>
      <c r="M2633" s="36"/>
      <c r="N2633" s="36"/>
      <c r="O2633" s="36"/>
      <c r="P2633" s="36"/>
      <c r="Q2633" s="36"/>
      <c r="R2633" s="36"/>
      <c r="S2633" s="36"/>
      <c r="T2633" s="36"/>
      <c r="U2633" s="36">
        <v>200</v>
      </c>
      <c r="V2633" s="36"/>
      <c r="W2633" s="15">
        <f t="shared" si="110"/>
        <v>200</v>
      </c>
      <c r="X2633" s="36"/>
      <c r="Y2633" s="36"/>
      <c r="Z2633" s="36"/>
      <c r="AA2633" s="36"/>
      <c r="AB2633" s="36"/>
      <c r="AC2633" s="36"/>
      <c r="AD2633" s="36"/>
      <c r="AE2633" s="36"/>
      <c r="AF2633" s="36"/>
      <c r="AG2633" s="36"/>
      <c r="AH2633" s="36"/>
      <c r="AI2633" s="36"/>
      <c r="AJ2633" s="15">
        <f t="shared" si="111"/>
        <v>0</v>
      </c>
      <c r="AK2633" s="16"/>
    </row>
    <row r="2634" spans="2:38" x14ac:dyDescent="0.2">
      <c r="B2634" s="7"/>
      <c r="C2634" s="8">
        <v>13196</v>
      </c>
      <c r="D2634" s="9" t="s">
        <v>226</v>
      </c>
      <c r="E2634" s="10" t="s">
        <v>227</v>
      </c>
      <c r="F2634" s="10" t="s">
        <v>228</v>
      </c>
      <c r="G2634" s="8">
        <v>5</v>
      </c>
      <c r="H2634" s="11">
        <v>100</v>
      </c>
      <c r="I2634" s="12">
        <v>42681</v>
      </c>
      <c r="J2634" s="35">
        <f t="shared" si="109"/>
        <v>0</v>
      </c>
      <c r="K2634" s="36"/>
      <c r="L2634" s="36"/>
      <c r="M2634" s="36"/>
      <c r="N2634" s="36"/>
      <c r="O2634" s="36"/>
      <c r="P2634" s="36"/>
      <c r="Q2634" s="36"/>
      <c r="R2634" s="36"/>
      <c r="S2634" s="36"/>
      <c r="T2634" s="36"/>
      <c r="U2634" s="36"/>
      <c r="V2634" s="36"/>
      <c r="W2634" s="15">
        <f t="shared" si="110"/>
        <v>0</v>
      </c>
      <c r="X2634" s="36"/>
      <c r="Y2634" s="36"/>
      <c r="Z2634" s="36"/>
      <c r="AA2634" s="36"/>
      <c r="AB2634" s="36"/>
      <c r="AC2634" s="36"/>
      <c r="AD2634" s="36"/>
      <c r="AE2634" s="36"/>
      <c r="AF2634" s="36"/>
      <c r="AG2634" s="36"/>
      <c r="AH2634" s="36"/>
      <c r="AI2634" s="36"/>
      <c r="AJ2634" s="15">
        <f t="shared" si="111"/>
        <v>0</v>
      </c>
      <c r="AK2634" s="16"/>
    </row>
    <row r="2635" spans="2:38" x14ac:dyDescent="0.2">
      <c r="B2635" s="7"/>
      <c r="C2635" s="8">
        <v>13197</v>
      </c>
      <c r="D2635" s="9" t="s">
        <v>1064</v>
      </c>
      <c r="E2635" s="10" t="s">
        <v>1065</v>
      </c>
      <c r="F2635" s="10" t="s">
        <v>1066</v>
      </c>
      <c r="G2635" s="8">
        <v>1</v>
      </c>
      <c r="H2635" s="11">
        <v>100</v>
      </c>
      <c r="I2635" s="12">
        <v>42681</v>
      </c>
      <c r="J2635" s="35">
        <f t="shared" si="109"/>
        <v>0</v>
      </c>
      <c r="K2635" s="36"/>
      <c r="L2635" s="36"/>
      <c r="M2635" s="36"/>
      <c r="N2635" s="36"/>
      <c r="O2635" s="36"/>
      <c r="P2635" s="36"/>
      <c r="Q2635" s="36"/>
      <c r="R2635" s="36">
        <v>100</v>
      </c>
      <c r="S2635" s="36"/>
      <c r="T2635" s="36"/>
      <c r="U2635" s="36"/>
      <c r="V2635" s="36"/>
      <c r="W2635" s="15">
        <f t="shared" si="110"/>
        <v>100</v>
      </c>
      <c r="X2635" s="36"/>
      <c r="Y2635" s="36"/>
      <c r="Z2635" s="36"/>
      <c r="AA2635" s="36"/>
      <c r="AB2635" s="36"/>
      <c r="AC2635" s="36"/>
      <c r="AD2635" s="36"/>
      <c r="AE2635" s="36"/>
      <c r="AF2635" s="36"/>
      <c r="AG2635" s="36"/>
      <c r="AH2635" s="36"/>
      <c r="AI2635" s="36"/>
      <c r="AJ2635" s="15">
        <f t="shared" si="111"/>
        <v>0</v>
      </c>
      <c r="AK2635" s="16"/>
    </row>
    <row r="2636" spans="2:38" x14ac:dyDescent="0.2">
      <c r="B2636" s="7"/>
      <c r="C2636" s="8">
        <v>13197</v>
      </c>
      <c r="D2636" s="9" t="s">
        <v>1064</v>
      </c>
      <c r="E2636" s="10" t="s">
        <v>1065</v>
      </c>
      <c r="F2636" s="10" t="s">
        <v>1066</v>
      </c>
      <c r="G2636" s="8">
        <v>3</v>
      </c>
      <c r="H2636" s="11">
        <v>400</v>
      </c>
      <c r="I2636" s="12">
        <v>42681</v>
      </c>
      <c r="J2636" s="35">
        <f t="shared" si="109"/>
        <v>0</v>
      </c>
      <c r="K2636" s="36"/>
      <c r="L2636" s="36"/>
      <c r="M2636" s="36"/>
      <c r="N2636" s="36"/>
      <c r="O2636" s="36"/>
      <c r="P2636" s="36"/>
      <c r="Q2636" s="36"/>
      <c r="R2636" s="36"/>
      <c r="S2636" s="36"/>
      <c r="T2636" s="36"/>
      <c r="U2636" s="36"/>
      <c r="V2636" s="36"/>
      <c r="W2636" s="15">
        <f t="shared" si="110"/>
        <v>0</v>
      </c>
      <c r="X2636" s="36"/>
      <c r="Y2636" s="36"/>
      <c r="Z2636" s="36"/>
      <c r="AA2636" s="36"/>
      <c r="AB2636" s="36"/>
      <c r="AC2636" s="36"/>
      <c r="AD2636" s="36"/>
      <c r="AE2636" s="36"/>
      <c r="AF2636" s="36"/>
      <c r="AG2636" s="36"/>
      <c r="AH2636" s="36"/>
      <c r="AI2636" s="36"/>
      <c r="AJ2636" s="15">
        <f t="shared" si="111"/>
        <v>0</v>
      </c>
      <c r="AK2636" s="16"/>
    </row>
    <row r="2637" spans="2:38" x14ac:dyDescent="0.2">
      <c r="B2637" s="7"/>
      <c r="C2637" s="8">
        <v>13197</v>
      </c>
      <c r="D2637" s="9" t="s">
        <v>1064</v>
      </c>
      <c r="E2637" s="10" t="s">
        <v>1065</v>
      </c>
      <c r="F2637" s="10" t="s">
        <v>1066</v>
      </c>
      <c r="G2637" s="8">
        <v>5</v>
      </c>
      <c r="H2637" s="11">
        <v>50</v>
      </c>
      <c r="I2637" s="12">
        <v>42681</v>
      </c>
      <c r="J2637" s="35">
        <f t="shared" si="109"/>
        <v>0</v>
      </c>
      <c r="K2637" s="36"/>
      <c r="L2637" s="36"/>
      <c r="M2637" s="36"/>
      <c r="N2637" s="36"/>
      <c r="O2637" s="36"/>
      <c r="P2637" s="36"/>
      <c r="Q2637" s="36"/>
      <c r="R2637" s="36"/>
      <c r="S2637" s="36"/>
      <c r="T2637" s="36"/>
      <c r="U2637" s="36"/>
      <c r="V2637" s="36"/>
      <c r="W2637" s="15">
        <f t="shared" si="110"/>
        <v>0</v>
      </c>
      <c r="X2637" s="36"/>
      <c r="Y2637" s="36"/>
      <c r="Z2637" s="36"/>
      <c r="AA2637" s="36"/>
      <c r="AB2637" s="36"/>
      <c r="AC2637" s="36"/>
      <c r="AD2637" s="36"/>
      <c r="AE2637" s="36"/>
      <c r="AF2637" s="36"/>
      <c r="AG2637" s="36"/>
      <c r="AH2637" s="36"/>
      <c r="AI2637" s="36"/>
      <c r="AJ2637" s="15">
        <f t="shared" si="111"/>
        <v>0</v>
      </c>
      <c r="AK2637" s="16"/>
    </row>
    <row r="2638" spans="2:38" x14ac:dyDescent="0.2">
      <c r="B2638" s="7"/>
      <c r="C2638" s="8">
        <v>13198</v>
      </c>
      <c r="D2638" s="9" t="s">
        <v>807</v>
      </c>
      <c r="E2638" s="10" t="s">
        <v>808</v>
      </c>
      <c r="F2638" s="10" t="s">
        <v>809</v>
      </c>
      <c r="G2638" s="8">
        <v>1</v>
      </c>
      <c r="H2638" s="11">
        <v>400</v>
      </c>
      <c r="I2638" s="12">
        <v>42681</v>
      </c>
      <c r="J2638" s="35">
        <f t="shared" si="109"/>
        <v>0</v>
      </c>
      <c r="K2638" s="36"/>
      <c r="L2638" s="36"/>
      <c r="M2638" s="36"/>
      <c r="N2638" s="36"/>
      <c r="O2638" s="36"/>
      <c r="P2638" s="36"/>
      <c r="Q2638" s="36"/>
      <c r="R2638" s="36"/>
      <c r="S2638" s="36">
        <v>200</v>
      </c>
      <c r="T2638" s="36">
        <v>200</v>
      </c>
      <c r="U2638" s="36"/>
      <c r="V2638" s="36"/>
      <c r="W2638" s="15">
        <f t="shared" si="110"/>
        <v>400</v>
      </c>
      <c r="X2638" s="36"/>
      <c r="Y2638" s="36"/>
      <c r="Z2638" s="36"/>
      <c r="AA2638" s="36"/>
      <c r="AB2638" s="36"/>
      <c r="AC2638" s="36"/>
      <c r="AD2638" s="36"/>
      <c r="AE2638" s="36"/>
      <c r="AF2638" s="36"/>
      <c r="AG2638" s="36"/>
      <c r="AH2638" s="36"/>
      <c r="AI2638" s="36"/>
      <c r="AJ2638" s="15">
        <f t="shared" si="111"/>
        <v>0</v>
      </c>
      <c r="AK2638" s="16"/>
    </row>
    <row r="2639" spans="2:38" x14ac:dyDescent="0.2">
      <c r="B2639" s="7"/>
      <c r="C2639" s="8">
        <v>13199</v>
      </c>
      <c r="D2639" s="9" t="s">
        <v>1042</v>
      </c>
      <c r="E2639" s="10" t="s">
        <v>1043</v>
      </c>
      <c r="F2639" s="10" t="s">
        <v>1044</v>
      </c>
      <c r="G2639" s="8">
        <v>1</v>
      </c>
      <c r="H2639" s="11">
        <v>200</v>
      </c>
      <c r="I2639" s="12">
        <v>42650</v>
      </c>
      <c r="J2639" s="35">
        <f t="shared" si="109"/>
        <v>0</v>
      </c>
      <c r="K2639" s="36"/>
      <c r="L2639" s="36"/>
      <c r="M2639" s="36"/>
      <c r="N2639" s="36"/>
      <c r="O2639" s="36"/>
      <c r="P2639" s="36"/>
      <c r="Q2639" s="36"/>
      <c r="R2639" s="36"/>
      <c r="S2639" s="36">
        <v>100</v>
      </c>
      <c r="T2639" s="36">
        <v>100</v>
      </c>
      <c r="U2639" s="36"/>
      <c r="V2639" s="36"/>
      <c r="W2639" s="15">
        <f t="shared" si="110"/>
        <v>200</v>
      </c>
      <c r="X2639" s="36"/>
      <c r="Y2639" s="36"/>
      <c r="Z2639" s="36"/>
      <c r="AA2639" s="36"/>
      <c r="AB2639" s="36"/>
      <c r="AC2639" s="36"/>
      <c r="AD2639" s="36"/>
      <c r="AE2639" s="36"/>
      <c r="AF2639" s="36"/>
      <c r="AG2639" s="36"/>
      <c r="AH2639" s="36"/>
      <c r="AI2639" s="36"/>
      <c r="AJ2639" s="15">
        <f t="shared" si="111"/>
        <v>0</v>
      </c>
      <c r="AK2639" s="16"/>
    </row>
    <row r="2640" spans="2:38" x14ac:dyDescent="0.2">
      <c r="B2640" s="7"/>
      <c r="C2640" s="8">
        <v>13200</v>
      </c>
      <c r="D2640" s="9" t="s">
        <v>1042</v>
      </c>
      <c r="E2640" s="10" t="s">
        <v>1043</v>
      </c>
      <c r="F2640" s="10" t="s">
        <v>1044</v>
      </c>
      <c r="G2640" s="8">
        <v>5</v>
      </c>
      <c r="H2640" s="11">
        <v>50</v>
      </c>
      <c r="I2640" s="12">
        <v>43046</v>
      </c>
      <c r="J2640" s="35">
        <f t="shared" si="109"/>
        <v>0</v>
      </c>
      <c r="K2640" s="36"/>
      <c r="L2640" s="36"/>
      <c r="M2640" s="36"/>
      <c r="N2640" s="36"/>
      <c r="O2640" s="36"/>
      <c r="P2640" s="36"/>
      <c r="Q2640" s="36"/>
      <c r="R2640" s="36"/>
      <c r="S2640" s="36"/>
      <c r="T2640" s="36"/>
      <c r="U2640" s="36"/>
      <c r="V2640" s="36"/>
      <c r="W2640" s="15">
        <f t="shared" si="110"/>
        <v>0</v>
      </c>
      <c r="X2640" s="36"/>
      <c r="Y2640" s="36"/>
      <c r="Z2640" s="36"/>
      <c r="AA2640" s="36"/>
      <c r="AB2640" s="36"/>
      <c r="AC2640" s="36"/>
      <c r="AD2640" s="36"/>
      <c r="AE2640" s="36"/>
      <c r="AF2640" s="36"/>
      <c r="AG2640" s="36"/>
      <c r="AH2640" s="36"/>
      <c r="AI2640" s="36"/>
      <c r="AJ2640" s="15">
        <f t="shared" si="111"/>
        <v>0</v>
      </c>
      <c r="AK2640" s="16"/>
    </row>
    <row r="2641" spans="2:37" x14ac:dyDescent="0.2">
      <c r="B2641" s="7"/>
      <c r="C2641" s="8">
        <v>13201</v>
      </c>
      <c r="D2641" s="9" t="s">
        <v>214</v>
      </c>
      <c r="E2641" s="10" t="s">
        <v>215</v>
      </c>
      <c r="F2641" s="10" t="s">
        <v>216</v>
      </c>
      <c r="G2641" s="8">
        <v>7</v>
      </c>
      <c r="H2641" s="11">
        <v>90</v>
      </c>
      <c r="I2641" s="12">
        <v>43046</v>
      </c>
      <c r="J2641" s="35">
        <f t="shared" si="109"/>
        <v>0</v>
      </c>
      <c r="K2641" s="36"/>
      <c r="L2641" s="36"/>
      <c r="M2641" s="36"/>
      <c r="N2641" s="36"/>
      <c r="O2641" s="36"/>
      <c r="P2641" s="36"/>
      <c r="Q2641" s="36"/>
      <c r="R2641" s="36"/>
      <c r="S2641" s="36"/>
      <c r="T2641" s="36"/>
      <c r="U2641" s="36"/>
      <c r="V2641" s="36"/>
      <c r="W2641" s="15">
        <f t="shared" si="110"/>
        <v>0</v>
      </c>
      <c r="X2641" s="36"/>
      <c r="Y2641" s="36"/>
      <c r="Z2641" s="36"/>
      <c r="AA2641" s="36"/>
      <c r="AB2641" s="36"/>
      <c r="AC2641" s="36"/>
      <c r="AD2641" s="36"/>
      <c r="AE2641" s="36"/>
      <c r="AF2641" s="36"/>
      <c r="AG2641" s="36"/>
      <c r="AH2641" s="36"/>
      <c r="AI2641" s="36"/>
      <c r="AJ2641" s="15">
        <f t="shared" si="111"/>
        <v>0</v>
      </c>
      <c r="AK2641" s="16"/>
    </row>
    <row r="2642" spans="2:37" x14ac:dyDescent="0.2">
      <c r="B2642" s="7"/>
      <c r="C2642" s="8">
        <v>13202</v>
      </c>
      <c r="D2642" s="9" t="s">
        <v>1157</v>
      </c>
      <c r="E2642" s="10" t="s">
        <v>1158</v>
      </c>
      <c r="F2642" s="10" t="s">
        <v>1159</v>
      </c>
      <c r="G2642" s="8">
        <v>1</v>
      </c>
      <c r="H2642" s="11">
        <v>600</v>
      </c>
      <c r="I2642" s="12">
        <v>43046</v>
      </c>
      <c r="J2642" s="35">
        <f t="shared" si="109"/>
        <v>0</v>
      </c>
      <c r="K2642" s="36"/>
      <c r="L2642" s="36"/>
      <c r="M2642" s="36"/>
      <c r="N2642" s="36"/>
      <c r="O2642" s="36"/>
      <c r="P2642" s="36"/>
      <c r="Q2642" s="36"/>
      <c r="R2642" s="36"/>
      <c r="S2642" s="36">
        <v>200</v>
      </c>
      <c r="T2642" s="36">
        <v>200</v>
      </c>
      <c r="U2642" s="36">
        <v>200</v>
      </c>
      <c r="V2642" s="36"/>
      <c r="W2642" s="15">
        <f t="shared" si="110"/>
        <v>600</v>
      </c>
      <c r="X2642" s="36"/>
      <c r="Y2642" s="36"/>
      <c r="Z2642" s="36"/>
      <c r="AA2642" s="36"/>
      <c r="AB2642" s="36"/>
      <c r="AC2642" s="36"/>
      <c r="AD2642" s="36"/>
      <c r="AE2642" s="36"/>
      <c r="AF2642" s="36"/>
      <c r="AG2642" s="36"/>
      <c r="AH2642" s="36"/>
      <c r="AI2642" s="36"/>
      <c r="AJ2642" s="15">
        <f t="shared" si="111"/>
        <v>0</v>
      </c>
      <c r="AK2642" s="16"/>
    </row>
    <row r="2643" spans="2:37" x14ac:dyDescent="0.2">
      <c r="B2643" s="7"/>
      <c r="C2643" s="8">
        <v>13203</v>
      </c>
      <c r="D2643" s="9" t="s">
        <v>202</v>
      </c>
      <c r="E2643" s="10" t="s">
        <v>203</v>
      </c>
      <c r="F2643" s="10" t="s">
        <v>204</v>
      </c>
      <c r="G2643" s="8">
        <v>1</v>
      </c>
      <c r="H2643" s="11">
        <v>400</v>
      </c>
      <c r="I2643" s="12">
        <v>43047</v>
      </c>
      <c r="J2643" s="35">
        <f t="shared" si="109"/>
        <v>0</v>
      </c>
      <c r="K2643" s="36"/>
      <c r="L2643" s="36"/>
      <c r="M2643" s="36"/>
      <c r="N2643" s="36"/>
      <c r="O2643" s="36"/>
      <c r="P2643" s="36"/>
      <c r="Q2643" s="36"/>
      <c r="R2643" s="36"/>
      <c r="S2643" s="36"/>
      <c r="T2643" s="36"/>
      <c r="U2643" s="36">
        <v>400</v>
      </c>
      <c r="V2643" s="36"/>
      <c r="W2643" s="15">
        <f t="shared" si="110"/>
        <v>400</v>
      </c>
      <c r="X2643" s="36"/>
      <c r="Y2643" s="36"/>
      <c r="Z2643" s="36"/>
      <c r="AA2643" s="36"/>
      <c r="AB2643" s="36"/>
      <c r="AC2643" s="36"/>
      <c r="AD2643" s="36"/>
      <c r="AE2643" s="36"/>
      <c r="AF2643" s="36"/>
      <c r="AG2643" s="36"/>
      <c r="AH2643" s="36"/>
      <c r="AI2643" s="36"/>
      <c r="AJ2643" s="15">
        <f t="shared" si="111"/>
        <v>0</v>
      </c>
      <c r="AK2643" s="16"/>
    </row>
    <row r="2644" spans="2:37" x14ac:dyDescent="0.2">
      <c r="B2644" s="7"/>
      <c r="C2644" s="8">
        <v>13204</v>
      </c>
      <c r="D2644" s="9" t="s">
        <v>941</v>
      </c>
      <c r="E2644" s="10" t="s">
        <v>942</v>
      </c>
      <c r="F2644" s="10" t="s">
        <v>943</v>
      </c>
      <c r="G2644" s="8">
        <v>1</v>
      </c>
      <c r="H2644" s="11">
        <v>200</v>
      </c>
      <c r="I2644" s="12">
        <v>42683</v>
      </c>
      <c r="J2644" s="35">
        <f t="shared" si="109"/>
        <v>0</v>
      </c>
      <c r="K2644" s="36"/>
      <c r="L2644" s="36"/>
      <c r="M2644" s="36"/>
      <c r="N2644" s="36"/>
      <c r="O2644" s="36"/>
      <c r="P2644" s="36"/>
      <c r="Q2644" s="36"/>
      <c r="R2644" s="36"/>
      <c r="S2644" s="36"/>
      <c r="T2644" s="36"/>
      <c r="U2644" s="36">
        <v>200</v>
      </c>
      <c r="V2644" s="36"/>
      <c r="W2644" s="15">
        <f t="shared" si="110"/>
        <v>200</v>
      </c>
      <c r="X2644" s="36"/>
      <c r="Y2644" s="36"/>
      <c r="Z2644" s="36"/>
      <c r="AA2644" s="36"/>
      <c r="AB2644" s="36"/>
      <c r="AC2644" s="36"/>
      <c r="AD2644" s="36"/>
      <c r="AE2644" s="36"/>
      <c r="AF2644" s="36"/>
      <c r="AG2644" s="36"/>
      <c r="AH2644" s="36"/>
      <c r="AI2644" s="36"/>
      <c r="AJ2644" s="15">
        <f t="shared" si="111"/>
        <v>0</v>
      </c>
      <c r="AK2644" s="16"/>
    </row>
    <row r="2645" spans="2:37" x14ac:dyDescent="0.2">
      <c r="B2645" s="7"/>
      <c r="C2645" s="8">
        <v>13205</v>
      </c>
      <c r="D2645" s="9" t="s">
        <v>217</v>
      </c>
      <c r="E2645" s="10" t="s">
        <v>218</v>
      </c>
      <c r="F2645" s="10" t="s">
        <v>219</v>
      </c>
      <c r="G2645" s="8">
        <v>1</v>
      </c>
      <c r="H2645" s="11">
        <v>600</v>
      </c>
      <c r="I2645" s="12">
        <v>42684</v>
      </c>
      <c r="J2645" s="35">
        <f t="shared" si="109"/>
        <v>0</v>
      </c>
      <c r="K2645" s="36"/>
      <c r="L2645" s="36"/>
      <c r="M2645" s="36"/>
      <c r="N2645" s="36"/>
      <c r="O2645" s="36"/>
      <c r="P2645" s="36"/>
      <c r="Q2645" s="36"/>
      <c r="R2645" s="36"/>
      <c r="S2645" s="36"/>
      <c r="T2645" s="36">
        <v>300</v>
      </c>
      <c r="U2645" s="36">
        <v>300</v>
      </c>
      <c r="V2645" s="36"/>
      <c r="W2645" s="15">
        <f t="shared" si="110"/>
        <v>600</v>
      </c>
      <c r="X2645" s="36"/>
      <c r="Y2645" s="36"/>
      <c r="Z2645" s="36"/>
      <c r="AA2645" s="36"/>
      <c r="AB2645" s="36"/>
      <c r="AC2645" s="36"/>
      <c r="AD2645" s="36"/>
      <c r="AE2645" s="36"/>
      <c r="AF2645" s="36"/>
      <c r="AG2645" s="36"/>
      <c r="AH2645" s="36"/>
      <c r="AI2645" s="36"/>
      <c r="AJ2645" s="15">
        <f t="shared" si="111"/>
        <v>0</v>
      </c>
      <c r="AK2645" s="16"/>
    </row>
    <row r="2646" spans="2:37" x14ac:dyDescent="0.2">
      <c r="B2646" s="7"/>
      <c r="C2646" s="8">
        <v>13206</v>
      </c>
      <c r="D2646" s="9" t="s">
        <v>115</v>
      </c>
      <c r="E2646" s="10" t="s">
        <v>116</v>
      </c>
      <c r="F2646" s="10" t="s">
        <v>117</v>
      </c>
      <c r="G2646" s="8">
        <v>5</v>
      </c>
      <c r="H2646" s="11">
        <v>50</v>
      </c>
      <c r="I2646" s="12">
        <v>42684</v>
      </c>
      <c r="J2646" s="35">
        <f t="shared" si="109"/>
        <v>0</v>
      </c>
      <c r="K2646" s="36"/>
      <c r="L2646" s="36"/>
      <c r="M2646" s="36"/>
      <c r="N2646" s="36"/>
      <c r="O2646" s="36"/>
      <c r="P2646" s="36"/>
      <c r="Q2646" s="36"/>
      <c r="R2646" s="36"/>
      <c r="S2646" s="36"/>
      <c r="T2646" s="36"/>
      <c r="U2646" s="36"/>
      <c r="V2646" s="36"/>
      <c r="W2646" s="15">
        <f t="shared" si="110"/>
        <v>0</v>
      </c>
      <c r="X2646" s="36"/>
      <c r="Y2646" s="36"/>
      <c r="Z2646" s="36"/>
      <c r="AA2646" s="36"/>
      <c r="AB2646" s="36"/>
      <c r="AC2646" s="36"/>
      <c r="AD2646" s="36"/>
      <c r="AE2646" s="36"/>
      <c r="AF2646" s="36"/>
      <c r="AG2646" s="36"/>
      <c r="AH2646" s="36"/>
      <c r="AI2646" s="36"/>
      <c r="AJ2646" s="15">
        <f t="shared" si="111"/>
        <v>0</v>
      </c>
      <c r="AK2646" s="16"/>
    </row>
    <row r="2647" spans="2:37" x14ac:dyDescent="0.2">
      <c r="B2647" s="7"/>
      <c r="C2647" s="8">
        <v>13207</v>
      </c>
      <c r="D2647" s="9" t="s">
        <v>94</v>
      </c>
      <c r="E2647" s="10" t="s">
        <v>95</v>
      </c>
      <c r="F2647" s="10" t="s">
        <v>96</v>
      </c>
      <c r="G2647" s="8">
        <v>1</v>
      </c>
      <c r="H2647" s="11">
        <v>400</v>
      </c>
      <c r="I2647" s="12">
        <v>42687</v>
      </c>
      <c r="J2647" s="35">
        <f t="shared" si="109"/>
        <v>0</v>
      </c>
      <c r="K2647" s="36"/>
      <c r="L2647" s="36"/>
      <c r="M2647" s="36"/>
      <c r="N2647" s="36"/>
      <c r="O2647" s="36"/>
      <c r="P2647" s="36"/>
      <c r="Q2647" s="36"/>
      <c r="R2647" s="36"/>
      <c r="S2647" s="36"/>
      <c r="T2647" s="36"/>
      <c r="U2647" s="36">
        <v>400</v>
      </c>
      <c r="V2647" s="36"/>
      <c r="W2647" s="15">
        <f t="shared" si="110"/>
        <v>400</v>
      </c>
      <c r="X2647" s="36"/>
      <c r="Y2647" s="36"/>
      <c r="Z2647" s="36"/>
      <c r="AA2647" s="36"/>
      <c r="AB2647" s="36"/>
      <c r="AC2647" s="36"/>
      <c r="AD2647" s="36"/>
      <c r="AE2647" s="36"/>
      <c r="AF2647" s="36"/>
      <c r="AG2647" s="36"/>
      <c r="AH2647" s="36"/>
      <c r="AI2647" s="36"/>
      <c r="AJ2647" s="15">
        <f t="shared" si="111"/>
        <v>0</v>
      </c>
      <c r="AK2647" s="16"/>
    </row>
    <row r="2648" spans="2:37" x14ac:dyDescent="0.2">
      <c r="B2648" s="7"/>
      <c r="C2648" s="8">
        <v>13208</v>
      </c>
      <c r="D2648" s="9" t="s">
        <v>259</v>
      </c>
      <c r="E2648" s="10" t="s">
        <v>260</v>
      </c>
      <c r="F2648" s="10" t="s">
        <v>261</v>
      </c>
      <c r="G2648" s="8">
        <v>1</v>
      </c>
      <c r="H2648" s="11">
        <v>400</v>
      </c>
      <c r="I2648" s="12">
        <v>42687</v>
      </c>
      <c r="J2648" s="35">
        <f t="shared" si="109"/>
        <v>0</v>
      </c>
      <c r="K2648" s="36"/>
      <c r="L2648" s="36"/>
      <c r="M2648" s="36"/>
      <c r="N2648" s="36"/>
      <c r="O2648" s="36"/>
      <c r="P2648" s="36"/>
      <c r="Q2648" s="36"/>
      <c r="R2648" s="36"/>
      <c r="S2648" s="36"/>
      <c r="T2648" s="36"/>
      <c r="U2648" s="36">
        <v>400</v>
      </c>
      <c r="V2648" s="36"/>
      <c r="W2648" s="15">
        <f t="shared" si="110"/>
        <v>400</v>
      </c>
      <c r="X2648" s="36"/>
      <c r="Y2648" s="36"/>
      <c r="Z2648" s="36"/>
      <c r="AA2648" s="36"/>
      <c r="AB2648" s="36"/>
      <c r="AC2648" s="36"/>
      <c r="AD2648" s="36"/>
      <c r="AE2648" s="36"/>
      <c r="AF2648" s="36"/>
      <c r="AG2648" s="36"/>
      <c r="AH2648" s="36"/>
      <c r="AI2648" s="36"/>
      <c r="AJ2648" s="15">
        <f t="shared" si="111"/>
        <v>0</v>
      </c>
      <c r="AK2648" s="16"/>
    </row>
    <row r="2649" spans="2:37" x14ac:dyDescent="0.2">
      <c r="B2649" s="7"/>
      <c r="C2649" s="8">
        <v>13209</v>
      </c>
      <c r="D2649" s="9" t="s">
        <v>611</v>
      </c>
      <c r="E2649" s="10" t="s">
        <v>612</v>
      </c>
      <c r="F2649" s="10" t="s">
        <v>613</v>
      </c>
      <c r="G2649" s="8">
        <v>1</v>
      </c>
      <c r="H2649" s="11">
        <v>400</v>
      </c>
      <c r="I2649" s="12">
        <v>42687</v>
      </c>
      <c r="J2649" s="35">
        <f t="shared" si="109"/>
        <v>0</v>
      </c>
      <c r="K2649" s="36"/>
      <c r="L2649" s="36"/>
      <c r="M2649" s="36"/>
      <c r="N2649" s="36"/>
      <c r="O2649" s="36"/>
      <c r="P2649" s="36"/>
      <c r="Q2649" s="36"/>
      <c r="R2649" s="36"/>
      <c r="S2649" s="36"/>
      <c r="T2649" s="36"/>
      <c r="U2649" s="36">
        <v>400</v>
      </c>
      <c r="V2649" s="36"/>
      <c r="W2649" s="15">
        <f t="shared" si="110"/>
        <v>400</v>
      </c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15">
        <f t="shared" si="111"/>
        <v>0</v>
      </c>
      <c r="AK2649" s="16"/>
    </row>
    <row r="2650" spans="2:37" x14ac:dyDescent="0.2">
      <c r="B2650" s="7"/>
      <c r="C2650" s="8">
        <v>13210</v>
      </c>
      <c r="D2650" s="9" t="s">
        <v>728</v>
      </c>
      <c r="E2650" s="10" t="s">
        <v>729</v>
      </c>
      <c r="F2650" s="10" t="s">
        <v>730</v>
      </c>
      <c r="G2650" s="8">
        <v>1</v>
      </c>
      <c r="H2650" s="11">
        <v>800</v>
      </c>
      <c r="I2650" s="12">
        <v>42687</v>
      </c>
      <c r="J2650" s="35">
        <f t="shared" si="109"/>
        <v>0</v>
      </c>
      <c r="K2650" s="36"/>
      <c r="L2650" s="36"/>
      <c r="M2650" s="36"/>
      <c r="N2650" s="36"/>
      <c r="O2650" s="36"/>
      <c r="P2650" s="36"/>
      <c r="Q2650" s="36"/>
      <c r="R2650" s="36"/>
      <c r="S2650" s="36">
        <v>400</v>
      </c>
      <c r="T2650" s="36">
        <v>400</v>
      </c>
      <c r="U2650" s="36"/>
      <c r="V2650" s="36"/>
      <c r="W2650" s="15">
        <f t="shared" si="110"/>
        <v>800</v>
      </c>
      <c r="X2650" s="36"/>
      <c r="Y2650" s="36"/>
      <c r="Z2650" s="36"/>
      <c r="AA2650" s="36"/>
      <c r="AB2650" s="36"/>
      <c r="AC2650" s="36"/>
      <c r="AD2650" s="36"/>
      <c r="AE2650" s="36"/>
      <c r="AF2650" s="36"/>
      <c r="AG2650" s="36"/>
      <c r="AH2650" s="36"/>
      <c r="AI2650" s="36"/>
      <c r="AJ2650" s="15">
        <f t="shared" si="111"/>
        <v>0</v>
      </c>
      <c r="AK2650" s="16"/>
    </row>
    <row r="2651" spans="2:37" x14ac:dyDescent="0.2">
      <c r="B2651" s="7"/>
      <c r="C2651" s="8">
        <v>13211</v>
      </c>
      <c r="D2651" s="9" t="s">
        <v>398</v>
      </c>
      <c r="E2651" s="10" t="s">
        <v>399</v>
      </c>
      <c r="F2651" s="10" t="s">
        <v>400</v>
      </c>
      <c r="G2651" s="8">
        <v>1</v>
      </c>
      <c r="H2651" s="11">
        <v>400</v>
      </c>
      <c r="I2651" s="12">
        <v>42687</v>
      </c>
      <c r="J2651" s="35">
        <f t="shared" si="109"/>
        <v>0</v>
      </c>
      <c r="K2651" s="36"/>
      <c r="L2651" s="36"/>
      <c r="M2651" s="36"/>
      <c r="N2651" s="36"/>
      <c r="O2651" s="36"/>
      <c r="P2651" s="36"/>
      <c r="Q2651" s="36"/>
      <c r="R2651" s="36"/>
      <c r="S2651" s="36"/>
      <c r="T2651" s="36"/>
      <c r="U2651" s="36">
        <v>400</v>
      </c>
      <c r="V2651" s="36"/>
      <c r="W2651" s="15">
        <f t="shared" si="110"/>
        <v>400</v>
      </c>
      <c r="X2651" s="36"/>
      <c r="Y2651" s="36"/>
      <c r="Z2651" s="36"/>
      <c r="AA2651" s="36"/>
      <c r="AB2651" s="36"/>
      <c r="AC2651" s="36"/>
      <c r="AD2651" s="36"/>
      <c r="AE2651" s="36"/>
      <c r="AF2651" s="36"/>
      <c r="AG2651" s="36"/>
      <c r="AH2651" s="36"/>
      <c r="AI2651" s="36"/>
      <c r="AJ2651" s="15">
        <f t="shared" si="111"/>
        <v>0</v>
      </c>
      <c r="AK2651" s="16"/>
    </row>
    <row r="2652" spans="2:37" x14ac:dyDescent="0.2">
      <c r="B2652" s="7"/>
      <c r="C2652" s="8">
        <v>13212</v>
      </c>
      <c r="D2652" s="9" t="s">
        <v>307</v>
      </c>
      <c r="E2652" s="10" t="s">
        <v>308</v>
      </c>
      <c r="F2652" s="10" t="s">
        <v>309</v>
      </c>
      <c r="G2652" s="8">
        <v>1</v>
      </c>
      <c r="H2652" s="11">
        <v>350</v>
      </c>
      <c r="I2652" s="12">
        <v>42687</v>
      </c>
      <c r="J2652" s="35">
        <f t="shared" si="109"/>
        <v>0</v>
      </c>
      <c r="K2652" s="36"/>
      <c r="L2652" s="36"/>
      <c r="M2652" s="36"/>
      <c r="N2652" s="36"/>
      <c r="O2652" s="36"/>
      <c r="P2652" s="36"/>
      <c r="Q2652" s="36"/>
      <c r="R2652" s="36"/>
      <c r="S2652" s="36"/>
      <c r="T2652" s="36"/>
      <c r="U2652" s="36">
        <v>350</v>
      </c>
      <c r="V2652" s="36"/>
      <c r="W2652" s="15">
        <f t="shared" si="110"/>
        <v>350</v>
      </c>
      <c r="X2652" s="36"/>
      <c r="Y2652" s="36"/>
      <c r="Z2652" s="36"/>
      <c r="AA2652" s="36"/>
      <c r="AB2652" s="36"/>
      <c r="AC2652" s="36"/>
      <c r="AD2652" s="36"/>
      <c r="AE2652" s="36"/>
      <c r="AF2652" s="36"/>
      <c r="AG2652" s="36"/>
      <c r="AH2652" s="36"/>
      <c r="AI2652" s="36"/>
      <c r="AJ2652" s="15">
        <f t="shared" si="111"/>
        <v>0</v>
      </c>
      <c r="AK2652" s="16"/>
    </row>
    <row r="2653" spans="2:37" x14ac:dyDescent="0.2">
      <c r="B2653" s="7"/>
      <c r="C2653" s="8">
        <v>13213</v>
      </c>
      <c r="D2653" s="9" t="s">
        <v>115</v>
      </c>
      <c r="E2653" s="10" t="s">
        <v>116</v>
      </c>
      <c r="F2653" s="10" t="s">
        <v>117</v>
      </c>
      <c r="G2653" s="8">
        <v>1</v>
      </c>
      <c r="H2653" s="11">
        <v>150</v>
      </c>
      <c r="I2653" s="12">
        <v>42687</v>
      </c>
      <c r="J2653" s="35">
        <f t="shared" si="109"/>
        <v>0</v>
      </c>
      <c r="K2653" s="36"/>
      <c r="L2653" s="36"/>
      <c r="M2653" s="36"/>
      <c r="N2653" s="36"/>
      <c r="O2653" s="36"/>
      <c r="P2653" s="36"/>
      <c r="Q2653" s="36"/>
      <c r="R2653" s="36"/>
      <c r="S2653" s="36"/>
      <c r="T2653" s="36"/>
      <c r="U2653" s="36">
        <v>150</v>
      </c>
      <c r="V2653" s="36"/>
      <c r="W2653" s="15">
        <f t="shared" si="110"/>
        <v>150</v>
      </c>
      <c r="X2653" s="36"/>
      <c r="Y2653" s="36"/>
      <c r="Z2653" s="36"/>
      <c r="AA2653" s="36"/>
      <c r="AB2653" s="36"/>
      <c r="AC2653" s="36"/>
      <c r="AD2653" s="36"/>
      <c r="AE2653" s="36"/>
      <c r="AF2653" s="36"/>
      <c r="AG2653" s="36"/>
      <c r="AH2653" s="36"/>
      <c r="AI2653" s="36"/>
      <c r="AJ2653" s="15">
        <f t="shared" si="111"/>
        <v>0</v>
      </c>
      <c r="AK2653" s="16"/>
    </row>
    <row r="2654" spans="2:37" x14ac:dyDescent="0.2">
      <c r="B2654" s="7"/>
      <c r="C2654" s="8">
        <v>13214</v>
      </c>
      <c r="D2654" s="9" t="s">
        <v>509</v>
      </c>
      <c r="E2654" s="10" t="s">
        <v>510</v>
      </c>
      <c r="F2654" s="10" t="s">
        <v>511</v>
      </c>
      <c r="G2654" s="8">
        <v>1</v>
      </c>
      <c r="H2654" s="11">
        <v>300</v>
      </c>
      <c r="I2654" s="12">
        <v>42687</v>
      </c>
      <c r="J2654" s="35">
        <f t="shared" si="109"/>
        <v>0</v>
      </c>
      <c r="K2654" s="36"/>
      <c r="L2654" s="36"/>
      <c r="M2654" s="36"/>
      <c r="N2654" s="36"/>
      <c r="O2654" s="36"/>
      <c r="P2654" s="36"/>
      <c r="Q2654" s="36"/>
      <c r="R2654" s="36"/>
      <c r="S2654" s="36"/>
      <c r="T2654" s="36">
        <v>300</v>
      </c>
      <c r="U2654" s="36"/>
      <c r="V2654" s="36"/>
      <c r="W2654" s="15">
        <f t="shared" si="110"/>
        <v>300</v>
      </c>
      <c r="X2654" s="36"/>
      <c r="Y2654" s="36"/>
      <c r="Z2654" s="36"/>
      <c r="AA2654" s="36"/>
      <c r="AB2654" s="36"/>
      <c r="AC2654" s="36"/>
      <c r="AD2654" s="36"/>
      <c r="AE2654" s="36"/>
      <c r="AF2654" s="36"/>
      <c r="AG2654" s="36"/>
      <c r="AH2654" s="36"/>
      <c r="AI2654" s="36"/>
      <c r="AJ2654" s="15">
        <f t="shared" si="111"/>
        <v>0</v>
      </c>
      <c r="AK2654" s="16"/>
    </row>
    <row r="2655" spans="2:37" x14ac:dyDescent="0.2">
      <c r="B2655" s="7"/>
      <c r="C2655" s="8">
        <v>13215</v>
      </c>
      <c r="D2655" s="9" t="s">
        <v>1442</v>
      </c>
      <c r="E2655" s="10" t="s">
        <v>1443</v>
      </c>
      <c r="F2655" s="10" t="s">
        <v>1444</v>
      </c>
      <c r="G2655" s="8">
        <v>1</v>
      </c>
      <c r="H2655" s="11">
        <v>400</v>
      </c>
      <c r="I2655" s="12">
        <v>42687</v>
      </c>
      <c r="J2655" s="35">
        <f t="shared" si="109"/>
        <v>0</v>
      </c>
      <c r="K2655" s="36"/>
      <c r="L2655" s="36"/>
      <c r="M2655" s="36"/>
      <c r="N2655" s="36"/>
      <c r="O2655" s="36"/>
      <c r="P2655" s="36"/>
      <c r="Q2655" s="36"/>
      <c r="R2655" s="36"/>
      <c r="S2655" s="36"/>
      <c r="T2655" s="36"/>
      <c r="U2655" s="36">
        <v>400</v>
      </c>
      <c r="V2655" s="36"/>
      <c r="W2655" s="15">
        <f t="shared" si="110"/>
        <v>400</v>
      </c>
      <c r="X2655" s="36"/>
      <c r="Y2655" s="36"/>
      <c r="Z2655" s="36"/>
      <c r="AA2655" s="36"/>
      <c r="AB2655" s="36"/>
      <c r="AC2655" s="36"/>
      <c r="AD2655" s="36"/>
      <c r="AE2655" s="36"/>
      <c r="AF2655" s="36"/>
      <c r="AG2655" s="36"/>
      <c r="AH2655" s="36"/>
      <c r="AI2655" s="36"/>
      <c r="AJ2655" s="15">
        <f t="shared" si="111"/>
        <v>0</v>
      </c>
      <c r="AK2655" s="16"/>
    </row>
    <row r="2656" spans="2:37" x14ac:dyDescent="0.2">
      <c r="B2656" s="7"/>
      <c r="C2656" s="8">
        <v>13215</v>
      </c>
      <c r="D2656" s="9" t="s">
        <v>1442</v>
      </c>
      <c r="E2656" s="10" t="s">
        <v>1443</v>
      </c>
      <c r="F2656" s="10" t="s">
        <v>1444</v>
      </c>
      <c r="G2656" s="8">
        <v>5</v>
      </c>
      <c r="H2656" s="11">
        <v>50</v>
      </c>
      <c r="I2656" s="12">
        <v>42687</v>
      </c>
      <c r="J2656" s="35">
        <f t="shared" si="109"/>
        <v>0</v>
      </c>
      <c r="K2656" s="36"/>
      <c r="L2656" s="36"/>
      <c r="M2656" s="36"/>
      <c r="N2656" s="36"/>
      <c r="O2656" s="36"/>
      <c r="P2656" s="36"/>
      <c r="Q2656" s="36"/>
      <c r="R2656" s="36"/>
      <c r="S2656" s="36"/>
      <c r="T2656" s="36"/>
      <c r="U2656" s="36"/>
      <c r="V2656" s="36"/>
      <c r="W2656" s="15">
        <f t="shared" si="110"/>
        <v>0</v>
      </c>
      <c r="X2656" s="36"/>
      <c r="Y2656" s="36"/>
      <c r="Z2656" s="36"/>
      <c r="AA2656" s="36"/>
      <c r="AB2656" s="36"/>
      <c r="AC2656" s="36"/>
      <c r="AD2656" s="36"/>
      <c r="AE2656" s="36"/>
      <c r="AF2656" s="36"/>
      <c r="AG2656" s="36"/>
      <c r="AH2656" s="36"/>
      <c r="AI2656" s="36"/>
      <c r="AJ2656" s="15">
        <f t="shared" si="111"/>
        <v>0</v>
      </c>
      <c r="AK2656" s="16"/>
    </row>
    <row r="2657" spans="2:37" x14ac:dyDescent="0.2">
      <c r="B2657" s="7"/>
      <c r="C2657" s="8">
        <v>13216</v>
      </c>
      <c r="D2657" s="9" t="s">
        <v>761</v>
      </c>
      <c r="E2657" s="10" t="s">
        <v>762</v>
      </c>
      <c r="F2657" s="10" t="s">
        <v>403</v>
      </c>
      <c r="G2657" s="8">
        <v>1</v>
      </c>
      <c r="H2657" s="11">
        <v>1600</v>
      </c>
      <c r="I2657" s="12">
        <v>42687</v>
      </c>
      <c r="J2657" s="35">
        <f t="shared" si="109"/>
        <v>0</v>
      </c>
      <c r="K2657" s="36"/>
      <c r="L2657" s="36"/>
      <c r="M2657" s="36"/>
      <c r="N2657" s="36"/>
      <c r="O2657" s="36"/>
      <c r="P2657" s="36"/>
      <c r="Q2657" s="36"/>
      <c r="R2657" s="36">
        <v>400</v>
      </c>
      <c r="S2657" s="36">
        <v>400</v>
      </c>
      <c r="T2657" s="36">
        <v>400</v>
      </c>
      <c r="U2657" s="36">
        <v>400</v>
      </c>
      <c r="V2657" s="36"/>
      <c r="W2657" s="15">
        <f t="shared" si="110"/>
        <v>1600</v>
      </c>
      <c r="X2657" s="36"/>
      <c r="Y2657" s="36"/>
      <c r="Z2657" s="36"/>
      <c r="AA2657" s="36"/>
      <c r="AB2657" s="36"/>
      <c r="AC2657" s="36"/>
      <c r="AD2657" s="36"/>
      <c r="AE2657" s="36"/>
      <c r="AF2657" s="36"/>
      <c r="AG2657" s="36"/>
      <c r="AH2657" s="36"/>
      <c r="AI2657" s="36"/>
      <c r="AJ2657" s="15">
        <f t="shared" si="111"/>
        <v>0</v>
      </c>
      <c r="AK2657" s="16"/>
    </row>
    <row r="2658" spans="2:37" x14ac:dyDescent="0.2">
      <c r="B2658" s="7"/>
      <c r="C2658" s="8">
        <v>13217</v>
      </c>
      <c r="D2658" s="9" t="s">
        <v>788</v>
      </c>
      <c r="E2658" s="10" t="s">
        <v>789</v>
      </c>
      <c r="F2658" s="10" t="s">
        <v>790</v>
      </c>
      <c r="G2658" s="8">
        <v>1</v>
      </c>
      <c r="H2658" s="11">
        <v>800</v>
      </c>
      <c r="I2658" s="12">
        <v>42687</v>
      </c>
      <c r="J2658" s="35">
        <f t="shared" si="109"/>
        <v>0</v>
      </c>
      <c r="K2658" s="36"/>
      <c r="L2658" s="36"/>
      <c r="M2658" s="36"/>
      <c r="N2658" s="36"/>
      <c r="O2658" s="36"/>
      <c r="P2658" s="36"/>
      <c r="Q2658" s="36"/>
      <c r="R2658" s="36"/>
      <c r="S2658" s="36"/>
      <c r="T2658" s="36">
        <v>400</v>
      </c>
      <c r="U2658" s="36">
        <v>400</v>
      </c>
      <c r="V2658" s="36"/>
      <c r="W2658" s="15">
        <f t="shared" si="110"/>
        <v>800</v>
      </c>
      <c r="X2658" s="36"/>
      <c r="Y2658" s="36"/>
      <c r="Z2658" s="36"/>
      <c r="AA2658" s="36"/>
      <c r="AB2658" s="36"/>
      <c r="AC2658" s="36"/>
      <c r="AD2658" s="36"/>
      <c r="AE2658" s="36"/>
      <c r="AF2658" s="36"/>
      <c r="AG2658" s="36"/>
      <c r="AH2658" s="36"/>
      <c r="AI2658" s="36"/>
      <c r="AJ2658" s="15">
        <f t="shared" si="111"/>
        <v>0</v>
      </c>
      <c r="AK2658" s="16"/>
    </row>
    <row r="2659" spans="2:37" x14ac:dyDescent="0.2">
      <c r="B2659" s="7"/>
      <c r="C2659" s="8">
        <v>13218</v>
      </c>
      <c r="D2659" s="9" t="s">
        <v>119</v>
      </c>
      <c r="E2659" s="10" t="s">
        <v>120</v>
      </c>
      <c r="F2659" s="10" t="s">
        <v>121</v>
      </c>
      <c r="G2659" s="8">
        <v>1</v>
      </c>
      <c r="H2659" s="11">
        <v>800</v>
      </c>
      <c r="I2659" s="12">
        <v>42687</v>
      </c>
      <c r="J2659" s="35">
        <f t="shared" si="109"/>
        <v>0</v>
      </c>
      <c r="K2659" s="36"/>
      <c r="L2659" s="36"/>
      <c r="M2659" s="36"/>
      <c r="N2659" s="36"/>
      <c r="O2659" s="36"/>
      <c r="P2659" s="36"/>
      <c r="Q2659" s="36"/>
      <c r="R2659" s="36"/>
      <c r="S2659" s="36">
        <v>400</v>
      </c>
      <c r="T2659" s="36">
        <v>400</v>
      </c>
      <c r="U2659" s="36"/>
      <c r="V2659" s="36"/>
      <c r="W2659" s="15">
        <f t="shared" si="110"/>
        <v>800</v>
      </c>
      <c r="X2659" s="36"/>
      <c r="Y2659" s="36"/>
      <c r="Z2659" s="36"/>
      <c r="AA2659" s="36"/>
      <c r="AB2659" s="36"/>
      <c r="AC2659" s="36"/>
      <c r="AD2659" s="36"/>
      <c r="AE2659" s="36"/>
      <c r="AF2659" s="36"/>
      <c r="AG2659" s="36"/>
      <c r="AH2659" s="36"/>
      <c r="AI2659" s="36"/>
      <c r="AJ2659" s="15">
        <f t="shared" si="111"/>
        <v>0</v>
      </c>
      <c r="AK2659" s="16"/>
    </row>
    <row r="2660" spans="2:37" x14ac:dyDescent="0.2">
      <c r="B2660" s="7"/>
      <c r="C2660" s="8">
        <v>13219</v>
      </c>
      <c r="D2660" s="9" t="s">
        <v>247</v>
      </c>
      <c r="E2660" s="10" t="s">
        <v>248</v>
      </c>
      <c r="F2660" s="10" t="s">
        <v>249</v>
      </c>
      <c r="G2660" s="8">
        <v>1</v>
      </c>
      <c r="H2660" s="11">
        <v>800</v>
      </c>
      <c r="I2660" s="12">
        <v>42687</v>
      </c>
      <c r="J2660" s="35">
        <f t="shared" si="109"/>
        <v>0</v>
      </c>
      <c r="K2660" s="36"/>
      <c r="L2660" s="36"/>
      <c r="M2660" s="36"/>
      <c r="N2660" s="36"/>
      <c r="O2660" s="36"/>
      <c r="P2660" s="36"/>
      <c r="Q2660" s="36"/>
      <c r="R2660" s="36"/>
      <c r="S2660" s="36"/>
      <c r="T2660" s="36"/>
      <c r="U2660" s="36">
        <v>400</v>
      </c>
      <c r="V2660" s="36">
        <v>400</v>
      </c>
      <c r="W2660" s="15">
        <f t="shared" si="110"/>
        <v>800</v>
      </c>
      <c r="X2660" s="36"/>
      <c r="Y2660" s="36"/>
      <c r="Z2660" s="36"/>
      <c r="AA2660" s="36"/>
      <c r="AB2660" s="36"/>
      <c r="AC2660" s="36"/>
      <c r="AD2660" s="36"/>
      <c r="AE2660" s="36"/>
      <c r="AF2660" s="36"/>
      <c r="AG2660" s="36"/>
      <c r="AH2660" s="36"/>
      <c r="AI2660" s="36"/>
      <c r="AJ2660" s="15">
        <f t="shared" si="111"/>
        <v>0</v>
      </c>
      <c r="AK2660" s="16"/>
    </row>
    <row r="2661" spans="2:37" x14ac:dyDescent="0.2">
      <c r="B2661" s="7"/>
      <c r="C2661" s="8">
        <v>13220</v>
      </c>
      <c r="D2661" s="9" t="s">
        <v>171</v>
      </c>
      <c r="E2661" s="10" t="s">
        <v>172</v>
      </c>
      <c r="F2661" s="10" t="s">
        <v>173</v>
      </c>
      <c r="G2661" s="8">
        <v>1</v>
      </c>
      <c r="H2661" s="11">
        <v>400</v>
      </c>
      <c r="I2661" s="12">
        <v>42687</v>
      </c>
      <c r="J2661" s="35">
        <f t="shared" si="109"/>
        <v>0</v>
      </c>
      <c r="K2661" s="36"/>
      <c r="L2661" s="36"/>
      <c r="M2661" s="36"/>
      <c r="N2661" s="36"/>
      <c r="O2661" s="36"/>
      <c r="P2661" s="36"/>
      <c r="Q2661" s="36"/>
      <c r="R2661" s="36"/>
      <c r="S2661" s="36"/>
      <c r="T2661" s="36"/>
      <c r="U2661" s="36">
        <v>400</v>
      </c>
      <c r="V2661" s="36"/>
      <c r="W2661" s="15">
        <f t="shared" si="110"/>
        <v>400</v>
      </c>
      <c r="X2661" s="36"/>
      <c r="Y2661" s="36"/>
      <c r="Z2661" s="36"/>
      <c r="AA2661" s="36"/>
      <c r="AB2661" s="36"/>
      <c r="AC2661" s="36"/>
      <c r="AD2661" s="36"/>
      <c r="AE2661" s="36"/>
      <c r="AF2661" s="36"/>
      <c r="AG2661" s="36"/>
      <c r="AH2661" s="36"/>
      <c r="AI2661" s="36"/>
      <c r="AJ2661" s="15">
        <f t="shared" si="111"/>
        <v>0</v>
      </c>
      <c r="AK2661" s="16"/>
    </row>
    <row r="2662" spans="2:37" x14ac:dyDescent="0.2">
      <c r="B2662" s="7"/>
      <c r="C2662" s="8">
        <v>13221</v>
      </c>
      <c r="D2662" s="9" t="s">
        <v>849</v>
      </c>
      <c r="E2662" s="10" t="s">
        <v>850</v>
      </c>
      <c r="F2662" s="10" t="s">
        <v>851</v>
      </c>
      <c r="G2662" s="8">
        <v>1</v>
      </c>
      <c r="H2662" s="11">
        <v>800</v>
      </c>
      <c r="I2662" s="12">
        <v>42687</v>
      </c>
      <c r="J2662" s="35">
        <f t="shared" si="109"/>
        <v>0</v>
      </c>
      <c r="K2662" s="36"/>
      <c r="L2662" s="36"/>
      <c r="M2662" s="36"/>
      <c r="N2662" s="36"/>
      <c r="O2662" s="36"/>
      <c r="P2662" s="36"/>
      <c r="Q2662" s="36"/>
      <c r="R2662" s="36">
        <v>400</v>
      </c>
      <c r="S2662" s="36">
        <v>400</v>
      </c>
      <c r="T2662" s="36"/>
      <c r="U2662" s="36"/>
      <c r="V2662" s="36"/>
      <c r="W2662" s="15">
        <f t="shared" si="110"/>
        <v>800</v>
      </c>
      <c r="X2662" s="36"/>
      <c r="Y2662" s="36"/>
      <c r="Z2662" s="36"/>
      <c r="AA2662" s="36"/>
      <c r="AB2662" s="36"/>
      <c r="AC2662" s="36"/>
      <c r="AD2662" s="36"/>
      <c r="AE2662" s="36"/>
      <c r="AF2662" s="36"/>
      <c r="AG2662" s="36"/>
      <c r="AH2662" s="36"/>
      <c r="AI2662" s="36"/>
      <c r="AJ2662" s="15">
        <f t="shared" si="111"/>
        <v>0</v>
      </c>
      <c r="AK2662" s="16"/>
    </row>
    <row r="2663" spans="2:37" x14ac:dyDescent="0.2">
      <c r="B2663" s="7"/>
      <c r="C2663" s="8">
        <v>13222</v>
      </c>
      <c r="D2663" s="9" t="s">
        <v>849</v>
      </c>
      <c r="E2663" s="10" t="s">
        <v>850</v>
      </c>
      <c r="F2663" s="10" t="s">
        <v>851</v>
      </c>
      <c r="G2663" s="8">
        <v>5</v>
      </c>
      <c r="H2663" s="11">
        <v>50</v>
      </c>
      <c r="I2663" s="12">
        <v>42687</v>
      </c>
      <c r="J2663" s="35">
        <f t="shared" si="109"/>
        <v>0</v>
      </c>
      <c r="K2663" s="36"/>
      <c r="L2663" s="36"/>
      <c r="M2663" s="36"/>
      <c r="N2663" s="36"/>
      <c r="O2663" s="36"/>
      <c r="P2663" s="36"/>
      <c r="Q2663" s="36"/>
      <c r="R2663" s="36"/>
      <c r="S2663" s="36"/>
      <c r="T2663" s="36"/>
      <c r="U2663" s="36"/>
      <c r="V2663" s="36"/>
      <c r="W2663" s="15">
        <f t="shared" si="110"/>
        <v>0</v>
      </c>
      <c r="X2663" s="36"/>
      <c r="Y2663" s="36"/>
      <c r="Z2663" s="36"/>
      <c r="AA2663" s="36"/>
      <c r="AB2663" s="36"/>
      <c r="AC2663" s="36"/>
      <c r="AD2663" s="36"/>
      <c r="AE2663" s="36"/>
      <c r="AF2663" s="36"/>
      <c r="AG2663" s="36"/>
      <c r="AH2663" s="36"/>
      <c r="AI2663" s="36"/>
      <c r="AJ2663" s="15">
        <f t="shared" si="111"/>
        <v>0</v>
      </c>
      <c r="AK2663" s="16"/>
    </row>
    <row r="2664" spans="2:37" x14ac:dyDescent="0.2">
      <c r="B2664" s="7"/>
      <c r="C2664" s="8">
        <v>13223</v>
      </c>
      <c r="D2664" s="9" t="s">
        <v>401</v>
      </c>
      <c r="E2664" s="10" t="s">
        <v>402</v>
      </c>
      <c r="F2664" s="10" t="s">
        <v>403</v>
      </c>
      <c r="G2664" s="8">
        <v>1</v>
      </c>
      <c r="H2664" s="11">
        <v>1600</v>
      </c>
      <c r="I2664" s="12">
        <v>42687</v>
      </c>
      <c r="J2664" s="35">
        <f t="shared" si="109"/>
        <v>0</v>
      </c>
      <c r="K2664" s="36"/>
      <c r="L2664" s="36"/>
      <c r="M2664" s="36"/>
      <c r="N2664" s="36"/>
      <c r="O2664" s="36"/>
      <c r="P2664" s="36"/>
      <c r="Q2664" s="36">
        <v>400</v>
      </c>
      <c r="R2664" s="36">
        <v>400</v>
      </c>
      <c r="S2664" s="36">
        <v>400</v>
      </c>
      <c r="T2664" s="36">
        <v>400</v>
      </c>
      <c r="U2664" s="36"/>
      <c r="V2664" s="36"/>
      <c r="W2664" s="15">
        <f t="shared" si="110"/>
        <v>1600</v>
      </c>
      <c r="X2664" s="36"/>
      <c r="Y2664" s="36"/>
      <c r="Z2664" s="36"/>
      <c r="AA2664" s="36"/>
      <c r="AB2664" s="36"/>
      <c r="AC2664" s="36"/>
      <c r="AD2664" s="36"/>
      <c r="AE2664" s="36"/>
      <c r="AF2664" s="36"/>
      <c r="AG2664" s="36"/>
      <c r="AH2664" s="36"/>
      <c r="AI2664" s="36"/>
      <c r="AJ2664" s="15">
        <f t="shared" si="111"/>
        <v>0</v>
      </c>
      <c r="AK2664" s="16" t="s">
        <v>3181</v>
      </c>
    </row>
    <row r="2665" spans="2:37" x14ac:dyDescent="0.2">
      <c r="B2665" s="7"/>
      <c r="C2665" s="8">
        <v>13224</v>
      </c>
      <c r="D2665" s="9" t="s">
        <v>180</v>
      </c>
      <c r="E2665" s="10" t="s">
        <v>181</v>
      </c>
      <c r="F2665" s="10" t="s">
        <v>182</v>
      </c>
      <c r="G2665" s="8">
        <v>1</v>
      </c>
      <c r="H2665" s="11">
        <v>400</v>
      </c>
      <c r="I2665" s="12">
        <v>42687</v>
      </c>
      <c r="J2665" s="35">
        <f t="shared" si="109"/>
        <v>0</v>
      </c>
      <c r="K2665" s="36"/>
      <c r="L2665" s="36"/>
      <c r="M2665" s="36"/>
      <c r="N2665" s="36"/>
      <c r="O2665" s="36"/>
      <c r="P2665" s="36"/>
      <c r="Q2665" s="36"/>
      <c r="R2665" s="36"/>
      <c r="S2665" s="36"/>
      <c r="T2665" s="36"/>
      <c r="U2665" s="36">
        <v>400</v>
      </c>
      <c r="V2665" s="36"/>
      <c r="W2665" s="15">
        <f t="shared" si="110"/>
        <v>400</v>
      </c>
      <c r="X2665" s="36"/>
      <c r="Y2665" s="36"/>
      <c r="Z2665" s="36"/>
      <c r="AA2665" s="36"/>
      <c r="AB2665" s="36"/>
      <c r="AC2665" s="36"/>
      <c r="AD2665" s="36"/>
      <c r="AE2665" s="36"/>
      <c r="AF2665" s="36"/>
      <c r="AG2665" s="36"/>
      <c r="AH2665" s="36"/>
      <c r="AI2665" s="36"/>
      <c r="AJ2665" s="15">
        <f t="shared" si="111"/>
        <v>0</v>
      </c>
      <c r="AK2665" s="16"/>
    </row>
    <row r="2666" spans="2:37" x14ac:dyDescent="0.2">
      <c r="B2666" s="7"/>
      <c r="C2666" s="8">
        <v>13225</v>
      </c>
      <c r="D2666" s="9" t="s">
        <v>401</v>
      </c>
      <c r="E2666" s="10" t="s">
        <v>402</v>
      </c>
      <c r="F2666" s="10" t="s">
        <v>403</v>
      </c>
      <c r="G2666" s="8">
        <v>5</v>
      </c>
      <c r="H2666" s="11">
        <v>100</v>
      </c>
      <c r="I2666" s="12">
        <v>42687</v>
      </c>
      <c r="J2666" s="35">
        <f t="shared" si="109"/>
        <v>0</v>
      </c>
      <c r="K2666" s="36"/>
      <c r="L2666" s="36"/>
      <c r="M2666" s="36"/>
      <c r="N2666" s="36"/>
      <c r="O2666" s="36"/>
      <c r="P2666" s="36"/>
      <c r="Q2666" s="36"/>
      <c r="R2666" s="36"/>
      <c r="S2666" s="36"/>
      <c r="T2666" s="36"/>
      <c r="U2666" s="36"/>
      <c r="V2666" s="36"/>
      <c r="W2666" s="15">
        <f t="shared" si="110"/>
        <v>0</v>
      </c>
      <c r="X2666" s="36"/>
      <c r="Y2666" s="36"/>
      <c r="Z2666" s="36"/>
      <c r="AA2666" s="36"/>
      <c r="AB2666" s="36"/>
      <c r="AC2666" s="36"/>
      <c r="AD2666" s="36"/>
      <c r="AE2666" s="36"/>
      <c r="AF2666" s="36"/>
      <c r="AG2666" s="36"/>
      <c r="AH2666" s="36"/>
      <c r="AI2666" s="36"/>
      <c r="AJ2666" s="15">
        <f t="shared" si="111"/>
        <v>0</v>
      </c>
      <c r="AK2666" s="16"/>
    </row>
    <row r="2667" spans="2:37" x14ac:dyDescent="0.2">
      <c r="B2667" s="7"/>
      <c r="C2667" s="8">
        <v>13226</v>
      </c>
      <c r="D2667" s="9" t="s">
        <v>858</v>
      </c>
      <c r="E2667" s="10" t="s">
        <v>859</v>
      </c>
      <c r="F2667" s="10" t="s">
        <v>860</v>
      </c>
      <c r="G2667" s="8">
        <v>1</v>
      </c>
      <c r="H2667" s="11">
        <v>800</v>
      </c>
      <c r="I2667" s="12">
        <v>42687</v>
      </c>
      <c r="J2667" s="35">
        <f t="shared" si="109"/>
        <v>0</v>
      </c>
      <c r="K2667" s="36"/>
      <c r="L2667" s="36"/>
      <c r="M2667" s="36"/>
      <c r="N2667" s="36"/>
      <c r="O2667" s="36"/>
      <c r="P2667" s="36"/>
      <c r="Q2667" s="36"/>
      <c r="R2667" s="36"/>
      <c r="S2667" s="36"/>
      <c r="T2667" s="36"/>
      <c r="U2667" s="36">
        <v>400</v>
      </c>
      <c r="V2667" s="36">
        <v>400</v>
      </c>
      <c r="W2667" s="15">
        <f t="shared" si="110"/>
        <v>800</v>
      </c>
      <c r="X2667" s="36"/>
      <c r="Y2667" s="36"/>
      <c r="Z2667" s="36"/>
      <c r="AA2667" s="36"/>
      <c r="AB2667" s="36"/>
      <c r="AC2667" s="36"/>
      <c r="AD2667" s="36"/>
      <c r="AE2667" s="36"/>
      <c r="AF2667" s="36"/>
      <c r="AG2667" s="36"/>
      <c r="AH2667" s="36"/>
      <c r="AI2667" s="36"/>
      <c r="AJ2667" s="15">
        <f t="shared" si="111"/>
        <v>0</v>
      </c>
      <c r="AK2667" s="16"/>
    </row>
    <row r="2668" spans="2:37" x14ac:dyDescent="0.2">
      <c r="B2668" s="7"/>
      <c r="C2668" s="8">
        <v>13227</v>
      </c>
      <c r="D2668" s="9" t="s">
        <v>617</v>
      </c>
      <c r="E2668" s="10" t="s">
        <v>618</v>
      </c>
      <c r="F2668" s="10" t="s">
        <v>619</v>
      </c>
      <c r="G2668" s="8">
        <v>1</v>
      </c>
      <c r="H2668" s="11">
        <v>400</v>
      </c>
      <c r="I2668" s="12">
        <v>42687</v>
      </c>
      <c r="J2668" s="35">
        <f t="shared" si="109"/>
        <v>0</v>
      </c>
      <c r="K2668" s="36"/>
      <c r="L2668" s="36"/>
      <c r="M2668" s="36"/>
      <c r="N2668" s="36"/>
      <c r="O2668" s="36"/>
      <c r="P2668" s="36"/>
      <c r="Q2668" s="36"/>
      <c r="R2668" s="36"/>
      <c r="S2668" s="36"/>
      <c r="T2668" s="36">
        <v>400</v>
      </c>
      <c r="U2668" s="36"/>
      <c r="V2668" s="36"/>
      <c r="W2668" s="15">
        <f t="shared" si="110"/>
        <v>400</v>
      </c>
      <c r="X2668" s="36"/>
      <c r="Y2668" s="36"/>
      <c r="Z2668" s="36"/>
      <c r="AA2668" s="36"/>
      <c r="AB2668" s="36"/>
      <c r="AC2668" s="36"/>
      <c r="AD2668" s="36"/>
      <c r="AE2668" s="36"/>
      <c r="AF2668" s="36"/>
      <c r="AG2668" s="36"/>
      <c r="AH2668" s="36"/>
      <c r="AI2668" s="36"/>
      <c r="AJ2668" s="15">
        <f t="shared" si="111"/>
        <v>0</v>
      </c>
      <c r="AK2668" s="16"/>
    </row>
    <row r="2669" spans="2:37" x14ac:dyDescent="0.2">
      <c r="B2669" s="7"/>
      <c r="C2669" s="8">
        <v>13228</v>
      </c>
      <c r="D2669" s="9" t="s">
        <v>141</v>
      </c>
      <c r="E2669" s="10" t="s">
        <v>142</v>
      </c>
      <c r="F2669" s="10" t="s">
        <v>143</v>
      </c>
      <c r="G2669" s="8">
        <v>1</v>
      </c>
      <c r="H2669" s="11">
        <v>1200</v>
      </c>
      <c r="I2669" s="12">
        <v>42687</v>
      </c>
      <c r="J2669" s="35">
        <f t="shared" si="109"/>
        <v>0</v>
      </c>
      <c r="K2669" s="36"/>
      <c r="L2669" s="36"/>
      <c r="M2669" s="36"/>
      <c r="N2669" s="36"/>
      <c r="O2669" s="36"/>
      <c r="P2669" s="36"/>
      <c r="Q2669" s="36"/>
      <c r="R2669" s="36"/>
      <c r="S2669" s="36"/>
      <c r="T2669" s="36">
        <v>400</v>
      </c>
      <c r="U2669" s="36">
        <v>400</v>
      </c>
      <c r="V2669" s="36">
        <v>400</v>
      </c>
      <c r="W2669" s="15">
        <f t="shared" si="110"/>
        <v>1200</v>
      </c>
      <c r="X2669" s="36"/>
      <c r="Y2669" s="36"/>
      <c r="Z2669" s="36"/>
      <c r="AA2669" s="36"/>
      <c r="AB2669" s="36"/>
      <c r="AC2669" s="36"/>
      <c r="AD2669" s="36"/>
      <c r="AE2669" s="36"/>
      <c r="AF2669" s="36"/>
      <c r="AG2669" s="36"/>
      <c r="AH2669" s="36"/>
      <c r="AI2669" s="36"/>
      <c r="AJ2669" s="15">
        <f t="shared" si="111"/>
        <v>0</v>
      </c>
      <c r="AK2669" s="16"/>
    </row>
    <row r="2670" spans="2:37" x14ac:dyDescent="0.2">
      <c r="B2670" s="7"/>
      <c r="C2670" s="8">
        <v>13229</v>
      </c>
      <c r="D2670" s="9" t="s">
        <v>687</v>
      </c>
      <c r="E2670" s="10" t="s">
        <v>688</v>
      </c>
      <c r="F2670" s="10" t="s">
        <v>689</v>
      </c>
      <c r="G2670" s="8">
        <v>1</v>
      </c>
      <c r="H2670" s="11">
        <v>400</v>
      </c>
      <c r="I2670" s="12">
        <v>42687</v>
      </c>
      <c r="J2670" s="35">
        <f t="shared" si="109"/>
        <v>0</v>
      </c>
      <c r="K2670" s="36"/>
      <c r="L2670" s="36"/>
      <c r="M2670" s="36"/>
      <c r="N2670" s="36"/>
      <c r="O2670" s="36"/>
      <c r="P2670" s="36"/>
      <c r="Q2670" s="36"/>
      <c r="R2670" s="36"/>
      <c r="S2670" s="36"/>
      <c r="T2670" s="36"/>
      <c r="U2670" s="36">
        <v>400</v>
      </c>
      <c r="V2670" s="36"/>
      <c r="W2670" s="15">
        <f t="shared" si="110"/>
        <v>400</v>
      </c>
      <c r="X2670" s="36"/>
      <c r="Y2670" s="36"/>
      <c r="Z2670" s="36"/>
      <c r="AA2670" s="36"/>
      <c r="AB2670" s="36"/>
      <c r="AC2670" s="36"/>
      <c r="AD2670" s="36"/>
      <c r="AE2670" s="36"/>
      <c r="AF2670" s="36"/>
      <c r="AG2670" s="36"/>
      <c r="AH2670" s="36"/>
      <c r="AI2670" s="36"/>
      <c r="AJ2670" s="15">
        <f t="shared" si="111"/>
        <v>0</v>
      </c>
      <c r="AK2670" s="16"/>
    </row>
    <row r="2671" spans="2:37" x14ac:dyDescent="0.2">
      <c r="B2671" s="7"/>
      <c r="C2671" s="8">
        <v>13230</v>
      </c>
      <c r="D2671" s="9" t="s">
        <v>544</v>
      </c>
      <c r="E2671" s="10" t="s">
        <v>545</v>
      </c>
      <c r="F2671" s="10" t="s">
        <v>546</v>
      </c>
      <c r="G2671" s="8">
        <v>1</v>
      </c>
      <c r="H2671" s="11">
        <v>400</v>
      </c>
      <c r="I2671" s="12">
        <v>42687</v>
      </c>
      <c r="J2671" s="35">
        <f t="shared" si="109"/>
        <v>0</v>
      </c>
      <c r="K2671" s="36"/>
      <c r="L2671" s="36"/>
      <c r="M2671" s="36"/>
      <c r="N2671" s="36"/>
      <c r="O2671" s="36"/>
      <c r="P2671" s="36"/>
      <c r="Q2671" s="36"/>
      <c r="R2671" s="36"/>
      <c r="S2671" s="36"/>
      <c r="T2671" s="36"/>
      <c r="U2671" s="36">
        <v>400</v>
      </c>
      <c r="V2671" s="36"/>
      <c r="W2671" s="15">
        <f t="shared" si="110"/>
        <v>400</v>
      </c>
      <c r="X2671" s="36"/>
      <c r="Y2671" s="36"/>
      <c r="Z2671" s="36"/>
      <c r="AA2671" s="36"/>
      <c r="AB2671" s="36"/>
      <c r="AC2671" s="36"/>
      <c r="AD2671" s="36"/>
      <c r="AE2671" s="36"/>
      <c r="AF2671" s="36"/>
      <c r="AG2671" s="36"/>
      <c r="AH2671" s="36"/>
      <c r="AI2671" s="36"/>
      <c r="AJ2671" s="15">
        <f t="shared" si="111"/>
        <v>0</v>
      </c>
      <c r="AK2671" s="16"/>
    </row>
    <row r="2672" spans="2:37" x14ac:dyDescent="0.2">
      <c r="B2672" s="325" t="s">
        <v>3182</v>
      </c>
      <c r="C2672" s="8">
        <v>13231</v>
      </c>
      <c r="D2672" s="9" t="s">
        <v>814</v>
      </c>
      <c r="E2672" s="10" t="s">
        <v>815</v>
      </c>
      <c r="F2672" s="10" t="s">
        <v>1177</v>
      </c>
      <c r="G2672" s="8">
        <v>1</v>
      </c>
      <c r="H2672" s="11">
        <v>1200</v>
      </c>
      <c r="I2672" s="12">
        <v>42687</v>
      </c>
      <c r="J2672" s="35">
        <f t="shared" si="109"/>
        <v>0</v>
      </c>
      <c r="K2672" s="36"/>
      <c r="L2672" s="36"/>
      <c r="M2672" s="36"/>
      <c r="N2672" s="36"/>
      <c r="O2672" s="36"/>
      <c r="P2672" s="36"/>
      <c r="Q2672" s="36"/>
      <c r="R2672" s="36"/>
      <c r="S2672" s="36"/>
      <c r="T2672" s="36">
        <v>400</v>
      </c>
      <c r="U2672" s="36">
        <v>400</v>
      </c>
      <c r="V2672" s="36">
        <v>400</v>
      </c>
      <c r="W2672" s="15">
        <f t="shared" si="110"/>
        <v>1200</v>
      </c>
      <c r="X2672" s="36"/>
      <c r="Y2672" s="36"/>
      <c r="Z2672" s="36"/>
      <c r="AA2672" s="36"/>
      <c r="AB2672" s="36"/>
      <c r="AC2672" s="36"/>
      <c r="AD2672" s="36"/>
      <c r="AE2672" s="36"/>
      <c r="AF2672" s="36"/>
      <c r="AG2672" s="36"/>
      <c r="AH2672" s="36"/>
      <c r="AI2672" s="36"/>
      <c r="AJ2672" s="15">
        <f t="shared" si="111"/>
        <v>0</v>
      </c>
      <c r="AK2672" s="16"/>
    </row>
    <row r="2673" spans="2:37" x14ac:dyDescent="0.2">
      <c r="B2673" s="7"/>
      <c r="C2673" s="8">
        <v>13232</v>
      </c>
      <c r="D2673" s="9" t="s">
        <v>1181</v>
      </c>
      <c r="E2673" s="10" t="s">
        <v>1182</v>
      </c>
      <c r="F2673" s="10" t="s">
        <v>1183</v>
      </c>
      <c r="G2673" s="8">
        <v>3</v>
      </c>
      <c r="H2673" s="11">
        <v>200</v>
      </c>
      <c r="I2673" s="12">
        <v>42687</v>
      </c>
      <c r="J2673" s="35">
        <f t="shared" si="109"/>
        <v>0</v>
      </c>
      <c r="K2673" s="36"/>
      <c r="L2673" s="36"/>
      <c r="M2673" s="36"/>
      <c r="N2673" s="36"/>
      <c r="O2673" s="36"/>
      <c r="P2673" s="36"/>
      <c r="Q2673" s="36"/>
      <c r="R2673" s="36"/>
      <c r="S2673" s="36"/>
      <c r="T2673" s="36"/>
      <c r="U2673" s="36"/>
      <c r="V2673" s="36"/>
      <c r="W2673" s="15">
        <f t="shared" si="110"/>
        <v>0</v>
      </c>
      <c r="X2673" s="36"/>
      <c r="Y2673" s="36"/>
      <c r="Z2673" s="36"/>
      <c r="AA2673" s="36"/>
      <c r="AB2673" s="36"/>
      <c r="AC2673" s="36"/>
      <c r="AD2673" s="36"/>
      <c r="AE2673" s="36"/>
      <c r="AF2673" s="36"/>
      <c r="AG2673" s="36"/>
      <c r="AH2673" s="36"/>
      <c r="AI2673" s="36"/>
      <c r="AJ2673" s="15">
        <f t="shared" si="111"/>
        <v>0</v>
      </c>
      <c r="AK2673" s="16"/>
    </row>
    <row r="2674" spans="2:37" x14ac:dyDescent="0.2">
      <c r="B2674" s="7"/>
      <c r="C2674" s="8">
        <v>13233</v>
      </c>
      <c r="D2674" s="9" t="s">
        <v>774</v>
      </c>
      <c r="E2674" s="10" t="s">
        <v>775</v>
      </c>
      <c r="F2674" s="10" t="s">
        <v>776</v>
      </c>
      <c r="G2674" s="8">
        <v>1</v>
      </c>
      <c r="H2674" s="11">
        <v>1200</v>
      </c>
      <c r="I2674" s="12">
        <v>42687</v>
      </c>
      <c r="J2674" s="35">
        <f t="shared" si="109"/>
        <v>0</v>
      </c>
      <c r="K2674" s="36"/>
      <c r="L2674" s="36"/>
      <c r="M2674" s="36"/>
      <c r="N2674" s="36"/>
      <c r="O2674" s="36"/>
      <c r="P2674" s="36"/>
      <c r="Q2674" s="36"/>
      <c r="R2674" s="36">
        <v>400</v>
      </c>
      <c r="S2674" s="36">
        <v>400</v>
      </c>
      <c r="T2674" s="36">
        <v>400</v>
      </c>
      <c r="U2674" s="36"/>
      <c r="V2674" s="36"/>
      <c r="W2674" s="15">
        <f t="shared" si="110"/>
        <v>1200</v>
      </c>
      <c r="X2674" s="36"/>
      <c r="Y2674" s="36"/>
      <c r="Z2674" s="36"/>
      <c r="AA2674" s="36"/>
      <c r="AB2674" s="36"/>
      <c r="AC2674" s="36"/>
      <c r="AD2674" s="36"/>
      <c r="AE2674" s="36"/>
      <c r="AF2674" s="36"/>
      <c r="AG2674" s="36"/>
      <c r="AH2674" s="36"/>
      <c r="AI2674" s="36"/>
      <c r="AJ2674" s="15">
        <f t="shared" si="111"/>
        <v>0</v>
      </c>
      <c r="AK2674" s="16"/>
    </row>
    <row r="2675" spans="2:37" x14ac:dyDescent="0.2">
      <c r="B2675" s="7"/>
      <c r="C2675" s="8">
        <v>13233</v>
      </c>
      <c r="D2675" s="9" t="s">
        <v>774</v>
      </c>
      <c r="E2675" s="10" t="s">
        <v>775</v>
      </c>
      <c r="F2675" s="10" t="s">
        <v>776</v>
      </c>
      <c r="G2675" s="8">
        <v>4</v>
      </c>
      <c r="H2675" s="11">
        <v>200</v>
      </c>
      <c r="I2675" s="12">
        <v>42687</v>
      </c>
      <c r="J2675" s="35">
        <f t="shared" si="109"/>
        <v>0</v>
      </c>
      <c r="K2675" s="36"/>
      <c r="L2675" s="36"/>
      <c r="M2675" s="36"/>
      <c r="N2675" s="36"/>
      <c r="O2675" s="36"/>
      <c r="P2675" s="36"/>
      <c r="Q2675" s="36"/>
      <c r="R2675" s="36"/>
      <c r="S2675" s="36"/>
      <c r="T2675" s="36"/>
      <c r="U2675" s="36"/>
      <c r="V2675" s="36"/>
      <c r="W2675" s="15">
        <f t="shared" si="110"/>
        <v>0</v>
      </c>
      <c r="X2675" s="36"/>
      <c r="Y2675" s="36"/>
      <c r="Z2675" s="36"/>
      <c r="AA2675" s="36"/>
      <c r="AB2675" s="36"/>
      <c r="AC2675" s="36"/>
      <c r="AD2675" s="36"/>
      <c r="AE2675" s="36"/>
      <c r="AF2675" s="36"/>
      <c r="AG2675" s="36"/>
      <c r="AH2675" s="36"/>
      <c r="AI2675" s="36"/>
      <c r="AJ2675" s="15">
        <f t="shared" si="111"/>
        <v>0</v>
      </c>
      <c r="AK2675" s="16" t="s">
        <v>3183</v>
      </c>
    </row>
    <row r="2676" spans="2:37" x14ac:dyDescent="0.2">
      <c r="B2676" s="7"/>
      <c r="C2676" s="8">
        <v>13233</v>
      </c>
      <c r="D2676" s="9" t="s">
        <v>774</v>
      </c>
      <c r="E2676" s="10" t="s">
        <v>775</v>
      </c>
      <c r="F2676" s="10" t="s">
        <v>776</v>
      </c>
      <c r="G2676" s="8">
        <v>5</v>
      </c>
      <c r="H2676" s="11">
        <v>50</v>
      </c>
      <c r="I2676" s="12">
        <v>42687</v>
      </c>
      <c r="J2676" s="35">
        <f t="shared" si="109"/>
        <v>0</v>
      </c>
      <c r="K2676" s="36"/>
      <c r="L2676" s="36"/>
      <c r="M2676" s="36"/>
      <c r="N2676" s="36"/>
      <c r="O2676" s="36"/>
      <c r="P2676" s="36"/>
      <c r="Q2676" s="36"/>
      <c r="R2676" s="36"/>
      <c r="S2676" s="36"/>
      <c r="T2676" s="36"/>
      <c r="U2676" s="36"/>
      <c r="V2676" s="36"/>
      <c r="W2676" s="15">
        <f t="shared" si="110"/>
        <v>0</v>
      </c>
      <c r="X2676" s="36"/>
      <c r="Y2676" s="36"/>
      <c r="Z2676" s="36"/>
      <c r="AA2676" s="36"/>
      <c r="AB2676" s="36"/>
      <c r="AC2676" s="36"/>
      <c r="AD2676" s="36"/>
      <c r="AE2676" s="36"/>
      <c r="AF2676" s="36"/>
      <c r="AG2676" s="36"/>
      <c r="AH2676" s="36"/>
      <c r="AI2676" s="36"/>
      <c r="AJ2676" s="15">
        <f t="shared" si="111"/>
        <v>0</v>
      </c>
      <c r="AK2676" s="16"/>
    </row>
    <row r="2677" spans="2:37" x14ac:dyDescent="0.2">
      <c r="B2677" s="7"/>
      <c r="C2677" s="8">
        <v>13234</v>
      </c>
      <c r="D2677" s="9" t="s">
        <v>637</v>
      </c>
      <c r="E2677" s="10" t="s">
        <v>638</v>
      </c>
      <c r="F2677" s="10" t="s">
        <v>639</v>
      </c>
      <c r="G2677" s="8">
        <v>1</v>
      </c>
      <c r="H2677" s="11">
        <v>800</v>
      </c>
      <c r="I2677" s="12">
        <v>42687</v>
      </c>
      <c r="J2677" s="35">
        <f t="shared" si="109"/>
        <v>0</v>
      </c>
      <c r="K2677" s="36"/>
      <c r="L2677" s="36"/>
      <c r="M2677" s="36"/>
      <c r="N2677" s="36"/>
      <c r="O2677" s="36"/>
      <c r="P2677" s="36"/>
      <c r="Q2677" s="36"/>
      <c r="R2677" s="36"/>
      <c r="S2677" s="36"/>
      <c r="T2677" s="36">
        <v>400</v>
      </c>
      <c r="U2677" s="36">
        <v>400</v>
      </c>
      <c r="V2677" s="36"/>
      <c r="W2677" s="15">
        <f t="shared" si="110"/>
        <v>800</v>
      </c>
      <c r="X2677" s="36"/>
      <c r="Y2677" s="36"/>
      <c r="Z2677" s="36"/>
      <c r="AA2677" s="36"/>
      <c r="AB2677" s="36"/>
      <c r="AC2677" s="36"/>
      <c r="AD2677" s="36"/>
      <c r="AE2677" s="36"/>
      <c r="AF2677" s="36"/>
      <c r="AG2677" s="36"/>
      <c r="AH2677" s="36"/>
      <c r="AI2677" s="36"/>
      <c r="AJ2677" s="15">
        <f t="shared" si="111"/>
        <v>0</v>
      </c>
      <c r="AK2677" s="16"/>
    </row>
    <row r="2678" spans="2:37" x14ac:dyDescent="0.2">
      <c r="B2678" s="7"/>
      <c r="C2678" s="8">
        <v>13235</v>
      </c>
      <c r="D2678" s="9" t="s">
        <v>425</v>
      </c>
      <c r="E2678" s="10" t="s">
        <v>426</v>
      </c>
      <c r="F2678" s="10" t="s">
        <v>427</v>
      </c>
      <c r="G2678" s="8">
        <v>1</v>
      </c>
      <c r="H2678" s="11">
        <v>400</v>
      </c>
      <c r="I2678" s="12">
        <v>42687</v>
      </c>
      <c r="J2678" s="35">
        <f t="shared" si="109"/>
        <v>0</v>
      </c>
      <c r="K2678" s="36"/>
      <c r="L2678" s="36"/>
      <c r="M2678" s="36"/>
      <c r="N2678" s="36"/>
      <c r="O2678" s="36"/>
      <c r="P2678" s="36"/>
      <c r="Q2678" s="36"/>
      <c r="R2678" s="36"/>
      <c r="S2678" s="36"/>
      <c r="T2678" s="36"/>
      <c r="U2678" s="36">
        <v>400</v>
      </c>
      <c r="V2678" s="36"/>
      <c r="W2678" s="15">
        <f t="shared" si="110"/>
        <v>400</v>
      </c>
      <c r="X2678" s="36"/>
      <c r="Y2678" s="36"/>
      <c r="Z2678" s="36"/>
      <c r="AA2678" s="36"/>
      <c r="AB2678" s="36"/>
      <c r="AC2678" s="36"/>
      <c r="AD2678" s="36"/>
      <c r="AE2678" s="36"/>
      <c r="AF2678" s="36"/>
      <c r="AG2678" s="36"/>
      <c r="AH2678" s="36"/>
      <c r="AI2678" s="36"/>
      <c r="AJ2678" s="15">
        <f t="shared" si="111"/>
        <v>0</v>
      </c>
      <c r="AK2678" s="16"/>
    </row>
    <row r="2679" spans="2:37" x14ac:dyDescent="0.2">
      <c r="B2679" s="7"/>
      <c r="C2679" s="8">
        <v>13236</v>
      </c>
      <c r="D2679" s="9" t="s">
        <v>153</v>
      </c>
      <c r="E2679" s="10" t="s">
        <v>154</v>
      </c>
      <c r="F2679" s="10" t="s">
        <v>155</v>
      </c>
      <c r="G2679" s="8">
        <v>1</v>
      </c>
      <c r="H2679" s="11">
        <v>400</v>
      </c>
      <c r="I2679" s="12">
        <v>42656</v>
      </c>
      <c r="J2679" s="35">
        <f t="shared" si="109"/>
        <v>0</v>
      </c>
      <c r="K2679" s="36"/>
      <c r="L2679" s="36"/>
      <c r="M2679" s="36"/>
      <c r="N2679" s="36"/>
      <c r="O2679" s="36"/>
      <c r="P2679" s="36"/>
      <c r="Q2679" s="36"/>
      <c r="R2679" s="36"/>
      <c r="S2679" s="36"/>
      <c r="T2679" s="36"/>
      <c r="U2679" s="36">
        <v>400</v>
      </c>
      <c r="V2679" s="36"/>
      <c r="W2679" s="15">
        <f t="shared" si="110"/>
        <v>400</v>
      </c>
      <c r="X2679" s="36"/>
      <c r="Y2679" s="36"/>
      <c r="Z2679" s="36"/>
      <c r="AA2679" s="36"/>
      <c r="AB2679" s="36"/>
      <c r="AC2679" s="36"/>
      <c r="AD2679" s="36"/>
      <c r="AE2679" s="36"/>
      <c r="AF2679" s="36"/>
      <c r="AG2679" s="36"/>
      <c r="AH2679" s="36"/>
      <c r="AI2679" s="36"/>
      <c r="AJ2679" s="15">
        <f t="shared" si="111"/>
        <v>0</v>
      </c>
      <c r="AK2679" s="16"/>
    </row>
    <row r="2680" spans="2:37" x14ac:dyDescent="0.2">
      <c r="B2680" s="7"/>
      <c r="C2680" s="8">
        <v>13237</v>
      </c>
      <c r="D2680" s="9" t="s">
        <v>195</v>
      </c>
      <c r="E2680" s="10" t="s">
        <v>196</v>
      </c>
      <c r="F2680" s="10" t="s">
        <v>197</v>
      </c>
      <c r="G2680" s="8">
        <v>1</v>
      </c>
      <c r="H2680" s="11">
        <v>1600</v>
      </c>
      <c r="I2680" s="12">
        <v>42687</v>
      </c>
      <c r="J2680" s="35">
        <f t="shared" si="109"/>
        <v>0</v>
      </c>
      <c r="K2680" s="36"/>
      <c r="L2680" s="36"/>
      <c r="M2680" s="36"/>
      <c r="N2680" s="36"/>
      <c r="O2680" s="36"/>
      <c r="P2680" s="36"/>
      <c r="Q2680" s="36"/>
      <c r="R2680" s="36">
        <v>400</v>
      </c>
      <c r="S2680" s="36">
        <v>400</v>
      </c>
      <c r="T2680" s="36">
        <v>400</v>
      </c>
      <c r="U2680" s="36">
        <v>400</v>
      </c>
      <c r="V2680" s="36"/>
      <c r="W2680" s="15">
        <f t="shared" si="110"/>
        <v>1600</v>
      </c>
      <c r="X2680" s="36"/>
      <c r="Y2680" s="36"/>
      <c r="Z2680" s="36"/>
      <c r="AA2680" s="36"/>
      <c r="AB2680" s="36"/>
      <c r="AC2680" s="36"/>
      <c r="AD2680" s="36"/>
      <c r="AE2680" s="36"/>
      <c r="AF2680" s="36"/>
      <c r="AG2680" s="36"/>
      <c r="AH2680" s="36"/>
      <c r="AI2680" s="36"/>
      <c r="AJ2680" s="15">
        <f t="shared" si="111"/>
        <v>0</v>
      </c>
      <c r="AK2680" s="16" t="s">
        <v>3184</v>
      </c>
    </row>
    <row r="2681" spans="2:37" x14ac:dyDescent="0.2">
      <c r="B2681" s="7"/>
      <c r="C2681" s="8">
        <v>13238</v>
      </c>
      <c r="D2681" s="9" t="s">
        <v>195</v>
      </c>
      <c r="E2681" s="10" t="s">
        <v>196</v>
      </c>
      <c r="F2681" s="10" t="s">
        <v>197</v>
      </c>
      <c r="G2681" s="8">
        <v>5</v>
      </c>
      <c r="H2681" s="11">
        <v>150</v>
      </c>
      <c r="I2681" s="12">
        <v>42687</v>
      </c>
      <c r="J2681" s="35">
        <f t="shared" si="109"/>
        <v>0</v>
      </c>
      <c r="K2681" s="36"/>
      <c r="L2681" s="36"/>
      <c r="M2681" s="36"/>
      <c r="N2681" s="36"/>
      <c r="O2681" s="36"/>
      <c r="P2681" s="36"/>
      <c r="Q2681" s="36"/>
      <c r="R2681" s="36"/>
      <c r="S2681" s="36"/>
      <c r="T2681" s="36"/>
      <c r="U2681" s="36"/>
      <c r="V2681" s="36"/>
      <c r="W2681" s="15">
        <f t="shared" si="110"/>
        <v>0</v>
      </c>
      <c r="X2681" s="36"/>
      <c r="Y2681" s="36"/>
      <c r="Z2681" s="36"/>
      <c r="AA2681" s="36"/>
      <c r="AB2681" s="36"/>
      <c r="AC2681" s="36"/>
      <c r="AD2681" s="36"/>
      <c r="AE2681" s="36"/>
      <c r="AF2681" s="36"/>
      <c r="AG2681" s="36"/>
      <c r="AH2681" s="36"/>
      <c r="AI2681" s="36"/>
      <c r="AJ2681" s="15">
        <f t="shared" si="111"/>
        <v>0</v>
      </c>
      <c r="AK2681" s="16"/>
    </row>
    <row r="2682" spans="2:37" x14ac:dyDescent="0.2">
      <c r="B2682" s="7"/>
      <c r="C2682" s="8">
        <v>13239</v>
      </c>
      <c r="D2682" s="9" t="s">
        <v>473</v>
      </c>
      <c r="E2682" s="10" t="s">
        <v>474</v>
      </c>
      <c r="F2682" s="10" t="s">
        <v>475</v>
      </c>
      <c r="G2682" s="8">
        <v>1</v>
      </c>
      <c r="H2682" s="11">
        <v>800</v>
      </c>
      <c r="I2682" s="12">
        <v>42687</v>
      </c>
      <c r="J2682" s="35">
        <f t="shared" si="109"/>
        <v>0</v>
      </c>
      <c r="K2682" s="36"/>
      <c r="L2682" s="36"/>
      <c r="M2682" s="36"/>
      <c r="N2682" s="36"/>
      <c r="O2682" s="36"/>
      <c r="P2682" s="36"/>
      <c r="Q2682" s="36"/>
      <c r="R2682" s="36"/>
      <c r="S2682" s="36"/>
      <c r="T2682" s="36">
        <v>400</v>
      </c>
      <c r="U2682" s="36">
        <v>400</v>
      </c>
      <c r="V2682" s="36"/>
      <c r="W2682" s="15">
        <f t="shared" si="110"/>
        <v>800</v>
      </c>
      <c r="X2682" s="36"/>
      <c r="Y2682" s="36"/>
      <c r="Z2682" s="36"/>
      <c r="AA2682" s="36"/>
      <c r="AB2682" s="36"/>
      <c r="AC2682" s="36"/>
      <c r="AD2682" s="36"/>
      <c r="AE2682" s="36"/>
      <c r="AF2682" s="36"/>
      <c r="AG2682" s="36"/>
      <c r="AH2682" s="36"/>
      <c r="AI2682" s="36"/>
      <c r="AJ2682" s="15">
        <f t="shared" si="111"/>
        <v>0</v>
      </c>
      <c r="AK2682" s="16"/>
    </row>
    <row r="2683" spans="2:37" x14ac:dyDescent="0.2">
      <c r="B2683" s="7"/>
      <c r="C2683" s="8">
        <v>13239</v>
      </c>
      <c r="D2683" s="9" t="s">
        <v>473</v>
      </c>
      <c r="E2683" s="10" t="s">
        <v>474</v>
      </c>
      <c r="F2683" s="10" t="s">
        <v>475</v>
      </c>
      <c r="G2683" s="8">
        <v>5</v>
      </c>
      <c r="H2683" s="11">
        <v>200</v>
      </c>
      <c r="I2683" s="12">
        <v>42687</v>
      </c>
      <c r="J2683" s="35">
        <f t="shared" si="109"/>
        <v>0</v>
      </c>
      <c r="K2683" s="36"/>
      <c r="L2683" s="36"/>
      <c r="M2683" s="36"/>
      <c r="N2683" s="36"/>
      <c r="O2683" s="36"/>
      <c r="P2683" s="36"/>
      <c r="Q2683" s="36"/>
      <c r="R2683" s="36"/>
      <c r="S2683" s="36"/>
      <c r="T2683" s="36"/>
      <c r="U2683" s="36"/>
      <c r="V2683" s="36"/>
      <c r="W2683" s="15">
        <f t="shared" si="110"/>
        <v>0</v>
      </c>
      <c r="X2683" s="36"/>
      <c r="Y2683" s="36"/>
      <c r="Z2683" s="36"/>
      <c r="AA2683" s="36"/>
      <c r="AB2683" s="36"/>
      <c r="AC2683" s="36"/>
      <c r="AD2683" s="36"/>
      <c r="AE2683" s="36"/>
      <c r="AF2683" s="36"/>
      <c r="AG2683" s="36"/>
      <c r="AH2683" s="36"/>
      <c r="AI2683" s="36"/>
      <c r="AJ2683" s="15">
        <f t="shared" si="111"/>
        <v>0</v>
      </c>
      <c r="AK2683" s="16"/>
    </row>
    <row r="2684" spans="2:37" x14ac:dyDescent="0.2">
      <c r="B2684" s="7"/>
      <c r="C2684" s="8">
        <v>13240</v>
      </c>
      <c r="D2684" s="9" t="s">
        <v>183</v>
      </c>
      <c r="E2684" s="10" t="s">
        <v>184</v>
      </c>
      <c r="F2684" s="10" t="s">
        <v>185</v>
      </c>
      <c r="G2684" s="8">
        <v>1</v>
      </c>
      <c r="H2684" s="11">
        <v>400</v>
      </c>
      <c r="I2684" s="12">
        <v>42687</v>
      </c>
      <c r="J2684" s="35">
        <f t="shared" si="109"/>
        <v>0</v>
      </c>
      <c r="K2684" s="36"/>
      <c r="L2684" s="36"/>
      <c r="M2684" s="36"/>
      <c r="N2684" s="36"/>
      <c r="O2684" s="36"/>
      <c r="P2684" s="36"/>
      <c r="Q2684" s="36"/>
      <c r="R2684" s="36"/>
      <c r="S2684" s="36"/>
      <c r="T2684" s="36">
        <v>400</v>
      </c>
      <c r="U2684" s="36"/>
      <c r="V2684" s="36"/>
      <c r="W2684" s="15">
        <f t="shared" si="110"/>
        <v>400</v>
      </c>
      <c r="X2684" s="36"/>
      <c r="Y2684" s="36"/>
      <c r="Z2684" s="36"/>
      <c r="AA2684" s="36"/>
      <c r="AB2684" s="36"/>
      <c r="AC2684" s="36"/>
      <c r="AD2684" s="36"/>
      <c r="AE2684" s="36"/>
      <c r="AF2684" s="36"/>
      <c r="AG2684" s="36"/>
      <c r="AH2684" s="36"/>
      <c r="AI2684" s="36"/>
      <c r="AJ2684" s="15">
        <f t="shared" si="111"/>
        <v>0</v>
      </c>
      <c r="AK2684" s="16"/>
    </row>
    <row r="2685" spans="2:37" x14ac:dyDescent="0.2">
      <c r="B2685" s="7"/>
      <c r="C2685" s="8">
        <v>13241</v>
      </c>
      <c r="D2685" s="9" t="s">
        <v>625</v>
      </c>
      <c r="E2685" s="10" t="s">
        <v>626</v>
      </c>
      <c r="F2685" s="10" t="s">
        <v>627</v>
      </c>
      <c r="G2685" s="8">
        <v>1</v>
      </c>
      <c r="H2685" s="11">
        <v>400</v>
      </c>
      <c r="I2685" s="12">
        <v>42687</v>
      </c>
      <c r="J2685" s="35">
        <f t="shared" si="109"/>
        <v>0</v>
      </c>
      <c r="K2685" s="36"/>
      <c r="L2685" s="36"/>
      <c r="M2685" s="36"/>
      <c r="N2685" s="36"/>
      <c r="O2685" s="36"/>
      <c r="P2685" s="36"/>
      <c r="Q2685" s="36"/>
      <c r="R2685" s="36"/>
      <c r="S2685" s="36"/>
      <c r="T2685" s="36">
        <v>400</v>
      </c>
      <c r="U2685" s="36"/>
      <c r="V2685" s="36"/>
      <c r="W2685" s="15">
        <f t="shared" si="110"/>
        <v>400</v>
      </c>
      <c r="X2685" s="36"/>
      <c r="Y2685" s="36"/>
      <c r="Z2685" s="36"/>
      <c r="AA2685" s="36"/>
      <c r="AB2685" s="36"/>
      <c r="AC2685" s="36"/>
      <c r="AD2685" s="36"/>
      <c r="AE2685" s="36"/>
      <c r="AF2685" s="36"/>
      <c r="AG2685" s="36"/>
      <c r="AH2685" s="36"/>
      <c r="AI2685" s="36"/>
      <c r="AJ2685" s="15">
        <f t="shared" si="111"/>
        <v>0</v>
      </c>
      <c r="AK2685" s="16"/>
    </row>
    <row r="2686" spans="2:37" x14ac:dyDescent="0.2">
      <c r="B2686" s="7"/>
      <c r="C2686" s="8">
        <v>13242</v>
      </c>
      <c r="D2686" s="9" t="s">
        <v>1020</v>
      </c>
      <c r="E2686" s="10" t="s">
        <v>1021</v>
      </c>
      <c r="F2686" s="10" t="s">
        <v>1022</v>
      </c>
      <c r="G2686" s="8">
        <v>1</v>
      </c>
      <c r="H2686" s="11">
        <v>800</v>
      </c>
      <c r="I2686" s="12">
        <v>42687</v>
      </c>
      <c r="J2686" s="35">
        <f t="shared" si="109"/>
        <v>0</v>
      </c>
      <c r="K2686" s="36"/>
      <c r="L2686" s="36"/>
      <c r="M2686" s="36"/>
      <c r="N2686" s="36"/>
      <c r="O2686" s="36"/>
      <c r="P2686" s="36"/>
      <c r="Q2686" s="36"/>
      <c r="R2686" s="36"/>
      <c r="S2686" s="36"/>
      <c r="T2686" s="36">
        <v>400</v>
      </c>
      <c r="U2686" s="36">
        <v>400</v>
      </c>
      <c r="V2686" s="36"/>
      <c r="W2686" s="15">
        <f t="shared" si="110"/>
        <v>800</v>
      </c>
      <c r="X2686" s="36"/>
      <c r="Y2686" s="36"/>
      <c r="Z2686" s="36"/>
      <c r="AA2686" s="36"/>
      <c r="AB2686" s="36"/>
      <c r="AC2686" s="36"/>
      <c r="AD2686" s="36"/>
      <c r="AE2686" s="36"/>
      <c r="AF2686" s="36"/>
      <c r="AG2686" s="36"/>
      <c r="AH2686" s="36"/>
      <c r="AI2686" s="36"/>
      <c r="AJ2686" s="15">
        <f t="shared" si="111"/>
        <v>0</v>
      </c>
      <c r="AK2686" s="16"/>
    </row>
    <row r="2687" spans="2:37" x14ac:dyDescent="0.2">
      <c r="B2687" s="7"/>
      <c r="C2687" s="8">
        <v>13243</v>
      </c>
      <c r="D2687" s="9" t="s">
        <v>655</v>
      </c>
      <c r="E2687" s="10" t="s">
        <v>656</v>
      </c>
      <c r="F2687" s="10" t="s">
        <v>657</v>
      </c>
      <c r="G2687" s="8">
        <v>1</v>
      </c>
      <c r="H2687" s="11">
        <v>800</v>
      </c>
      <c r="I2687" s="12">
        <v>42687</v>
      </c>
      <c r="J2687" s="35">
        <f t="shared" si="109"/>
        <v>0</v>
      </c>
      <c r="K2687" s="36"/>
      <c r="L2687" s="36"/>
      <c r="M2687" s="36"/>
      <c r="N2687" s="36"/>
      <c r="O2687" s="36"/>
      <c r="P2687" s="36"/>
      <c r="Q2687" s="36"/>
      <c r="R2687" s="36">
        <v>400</v>
      </c>
      <c r="S2687" s="36">
        <v>400</v>
      </c>
      <c r="T2687" s="36"/>
      <c r="U2687" s="36"/>
      <c r="V2687" s="36"/>
      <c r="W2687" s="15">
        <f t="shared" si="110"/>
        <v>800</v>
      </c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15">
        <f t="shared" si="111"/>
        <v>0</v>
      </c>
      <c r="AK2687" s="16"/>
    </row>
    <row r="2688" spans="2:37" x14ac:dyDescent="0.2">
      <c r="B2688" s="7"/>
      <c r="C2688" s="8">
        <v>13244</v>
      </c>
      <c r="D2688" s="9" t="s">
        <v>696</v>
      </c>
      <c r="E2688" s="10" t="s">
        <v>697</v>
      </c>
      <c r="F2688" s="10" t="s">
        <v>698</v>
      </c>
      <c r="G2688" s="8">
        <v>1</v>
      </c>
      <c r="H2688" s="11">
        <v>300</v>
      </c>
      <c r="I2688" s="12">
        <v>42687</v>
      </c>
      <c r="J2688" s="35">
        <f t="shared" si="109"/>
        <v>0</v>
      </c>
      <c r="K2688" s="36"/>
      <c r="L2688" s="36"/>
      <c r="M2688" s="36"/>
      <c r="N2688" s="36"/>
      <c r="O2688" s="36"/>
      <c r="P2688" s="36"/>
      <c r="Q2688" s="36"/>
      <c r="R2688" s="36"/>
      <c r="S2688" s="36"/>
      <c r="T2688" s="36"/>
      <c r="U2688" s="36">
        <v>300</v>
      </c>
      <c r="V2688" s="36"/>
      <c r="W2688" s="15">
        <f t="shared" si="110"/>
        <v>300</v>
      </c>
      <c r="X2688" s="36"/>
      <c r="Y2688" s="36"/>
      <c r="Z2688" s="36"/>
      <c r="AA2688" s="36"/>
      <c r="AB2688" s="36"/>
      <c r="AC2688" s="36"/>
      <c r="AD2688" s="36"/>
      <c r="AE2688" s="36"/>
      <c r="AF2688" s="36"/>
      <c r="AG2688" s="36"/>
      <c r="AH2688" s="36"/>
      <c r="AI2688" s="36"/>
      <c r="AJ2688" s="15">
        <f t="shared" si="111"/>
        <v>0</v>
      </c>
      <c r="AK2688" s="16"/>
    </row>
    <row r="2689" spans="2:38" x14ac:dyDescent="0.2">
      <c r="B2689" s="7"/>
      <c r="C2689" s="8">
        <v>13245</v>
      </c>
      <c r="D2689" s="9" t="s">
        <v>716</v>
      </c>
      <c r="E2689" s="10" t="s">
        <v>717</v>
      </c>
      <c r="F2689" s="10" t="s">
        <v>718</v>
      </c>
      <c r="G2689" s="8">
        <v>1</v>
      </c>
      <c r="H2689" s="11">
        <v>300</v>
      </c>
      <c r="I2689" s="12">
        <v>42687</v>
      </c>
      <c r="J2689" s="35">
        <f t="shared" si="109"/>
        <v>0</v>
      </c>
      <c r="K2689" s="36"/>
      <c r="L2689" s="36"/>
      <c r="M2689" s="36"/>
      <c r="N2689" s="36"/>
      <c r="O2689" s="36"/>
      <c r="P2689" s="36"/>
      <c r="Q2689" s="36"/>
      <c r="R2689" s="36"/>
      <c r="S2689" s="36"/>
      <c r="T2689" s="36"/>
      <c r="U2689" s="36"/>
      <c r="V2689" s="36">
        <v>300</v>
      </c>
      <c r="W2689" s="15">
        <f t="shared" si="110"/>
        <v>300</v>
      </c>
      <c r="X2689" s="36"/>
      <c r="Y2689" s="36"/>
      <c r="Z2689" s="36"/>
      <c r="AA2689" s="36"/>
      <c r="AB2689" s="36"/>
      <c r="AC2689" s="36"/>
      <c r="AD2689" s="36"/>
      <c r="AE2689" s="36"/>
      <c r="AF2689" s="36"/>
      <c r="AG2689" s="36"/>
      <c r="AH2689" s="36"/>
      <c r="AI2689" s="36"/>
      <c r="AJ2689" s="15">
        <f t="shared" si="111"/>
        <v>0</v>
      </c>
      <c r="AK2689" s="16"/>
      <c r="AL2689" s="113">
        <f>SUM(H2632:H2689)</f>
        <v>28040</v>
      </c>
    </row>
    <row r="2690" spans="2:38" x14ac:dyDescent="0.2">
      <c r="B2690" s="7"/>
      <c r="C2690" s="8">
        <v>13246</v>
      </c>
      <c r="D2690" s="9" t="s">
        <v>189</v>
      </c>
      <c r="E2690" s="10" t="s">
        <v>190</v>
      </c>
      <c r="F2690" s="10" t="s">
        <v>191</v>
      </c>
      <c r="G2690" s="8">
        <v>5</v>
      </c>
      <c r="H2690" s="321">
        <v>50</v>
      </c>
      <c r="I2690" s="12">
        <v>42688</v>
      </c>
      <c r="J2690" s="35">
        <f t="shared" ref="J2690:J2786" si="112">IF(G2690=1,SUM(W2690,AJ2690,-H2690),0)</f>
        <v>0</v>
      </c>
      <c r="K2690" s="36"/>
      <c r="L2690" s="36"/>
      <c r="M2690" s="36"/>
      <c r="N2690" s="36"/>
      <c r="O2690" s="36"/>
      <c r="P2690" s="36"/>
      <c r="Q2690" s="36"/>
      <c r="R2690" s="36"/>
      <c r="S2690" s="36"/>
      <c r="T2690" s="36"/>
      <c r="U2690" s="36"/>
      <c r="V2690" s="36"/>
      <c r="W2690" s="15">
        <f t="shared" ref="W2690:W2786" si="113">SUM(K2690:V2690)</f>
        <v>0</v>
      </c>
      <c r="X2690" s="36"/>
      <c r="Y2690" s="36"/>
      <c r="Z2690" s="36"/>
      <c r="AA2690" s="36"/>
      <c r="AB2690" s="36"/>
      <c r="AC2690" s="36"/>
      <c r="AD2690" s="36"/>
      <c r="AE2690" s="36"/>
      <c r="AF2690" s="36"/>
      <c r="AG2690" s="36"/>
      <c r="AH2690" s="36"/>
      <c r="AI2690" s="36"/>
      <c r="AJ2690" s="15">
        <f t="shared" ref="AJ2690:AJ2786" si="114">SUM(X2690:AI2690)</f>
        <v>0</v>
      </c>
      <c r="AK2690" s="16"/>
    </row>
    <row r="2691" spans="2:38" x14ac:dyDescent="0.2">
      <c r="B2691" s="7"/>
      <c r="C2691" s="8">
        <v>13247</v>
      </c>
      <c r="D2691" s="9" t="s">
        <v>373</v>
      </c>
      <c r="E2691" s="10" t="s">
        <v>374</v>
      </c>
      <c r="F2691" s="10" t="s">
        <v>375</v>
      </c>
      <c r="G2691" s="8">
        <v>1</v>
      </c>
      <c r="H2691" s="11">
        <v>400</v>
      </c>
      <c r="I2691" s="12">
        <v>42688</v>
      </c>
      <c r="J2691" s="35">
        <f t="shared" si="112"/>
        <v>0</v>
      </c>
      <c r="K2691" s="36"/>
      <c r="L2691" s="36"/>
      <c r="M2691" s="36"/>
      <c r="N2691" s="36"/>
      <c r="O2691" s="36"/>
      <c r="P2691" s="36"/>
      <c r="Q2691" s="36"/>
      <c r="R2691" s="36"/>
      <c r="S2691" s="36"/>
      <c r="T2691" s="36"/>
      <c r="U2691" s="36">
        <v>400</v>
      </c>
      <c r="V2691" s="36"/>
      <c r="W2691" s="15">
        <f t="shared" si="113"/>
        <v>400</v>
      </c>
      <c r="X2691" s="36"/>
      <c r="Y2691" s="36"/>
      <c r="Z2691" s="36"/>
      <c r="AA2691" s="36"/>
      <c r="AB2691" s="36"/>
      <c r="AC2691" s="36"/>
      <c r="AD2691" s="36"/>
      <c r="AE2691" s="36"/>
      <c r="AF2691" s="36"/>
      <c r="AG2691" s="36"/>
      <c r="AH2691" s="36"/>
      <c r="AI2691" s="36"/>
      <c r="AJ2691" s="15">
        <f t="shared" si="114"/>
        <v>0</v>
      </c>
      <c r="AK2691" s="16"/>
    </row>
    <row r="2692" spans="2:38" x14ac:dyDescent="0.2">
      <c r="B2692" s="7"/>
      <c r="C2692" s="8">
        <v>13248</v>
      </c>
      <c r="D2692" s="9" t="s">
        <v>503</v>
      </c>
      <c r="E2692" s="10" t="s">
        <v>504</v>
      </c>
      <c r="F2692" s="10" t="s">
        <v>505</v>
      </c>
      <c r="G2692" s="8">
        <v>1</v>
      </c>
      <c r="H2692" s="11">
        <v>150</v>
      </c>
      <c r="I2692" s="12">
        <v>42690</v>
      </c>
      <c r="J2692" s="35">
        <f t="shared" si="112"/>
        <v>0</v>
      </c>
      <c r="K2692" s="36"/>
      <c r="L2692" s="36"/>
      <c r="M2692" s="36"/>
      <c r="N2692" s="36"/>
      <c r="O2692" s="36"/>
      <c r="P2692" s="36"/>
      <c r="Q2692" s="36"/>
      <c r="R2692" s="36"/>
      <c r="S2692" s="36"/>
      <c r="T2692" s="36"/>
      <c r="U2692" s="36">
        <v>150</v>
      </c>
      <c r="V2692" s="36"/>
      <c r="W2692" s="15">
        <f t="shared" si="113"/>
        <v>150</v>
      </c>
      <c r="X2692" s="36"/>
      <c r="Y2692" s="36"/>
      <c r="Z2692" s="36"/>
      <c r="AA2692" s="36"/>
      <c r="AB2692" s="36"/>
      <c r="AC2692" s="36"/>
      <c r="AD2692" s="36"/>
      <c r="AE2692" s="36"/>
      <c r="AF2692" s="36"/>
      <c r="AG2692" s="36"/>
      <c r="AH2692" s="36"/>
      <c r="AI2692" s="36"/>
      <c r="AJ2692" s="15">
        <f t="shared" si="114"/>
        <v>0</v>
      </c>
      <c r="AK2692" s="16"/>
    </row>
    <row r="2693" spans="2:38" x14ac:dyDescent="0.2">
      <c r="B2693" s="7"/>
      <c r="C2693" s="8">
        <v>13249</v>
      </c>
      <c r="D2693" s="9" t="s">
        <v>482</v>
      </c>
      <c r="E2693" s="10" t="s">
        <v>483</v>
      </c>
      <c r="F2693" s="10" t="s">
        <v>484</v>
      </c>
      <c r="G2693" s="8">
        <v>1</v>
      </c>
      <c r="H2693" s="11">
        <v>400</v>
      </c>
      <c r="I2693" s="12">
        <v>42691</v>
      </c>
      <c r="J2693" s="35">
        <f t="shared" si="112"/>
        <v>0</v>
      </c>
      <c r="K2693" s="36"/>
      <c r="L2693" s="36"/>
      <c r="M2693" s="36"/>
      <c r="N2693" s="36"/>
      <c r="O2693" s="36"/>
      <c r="P2693" s="36"/>
      <c r="Q2693" s="36"/>
      <c r="R2693" s="36"/>
      <c r="S2693" s="36"/>
      <c r="T2693" s="36"/>
      <c r="U2693" s="36">
        <v>200</v>
      </c>
      <c r="V2693" s="36">
        <v>200</v>
      </c>
      <c r="W2693" s="15">
        <f t="shared" si="113"/>
        <v>400</v>
      </c>
      <c r="X2693" s="36"/>
      <c r="Y2693" s="36"/>
      <c r="Z2693" s="36"/>
      <c r="AA2693" s="36"/>
      <c r="AB2693" s="36"/>
      <c r="AC2693" s="36"/>
      <c r="AD2693" s="36"/>
      <c r="AE2693" s="36"/>
      <c r="AF2693" s="36"/>
      <c r="AG2693" s="36"/>
      <c r="AH2693" s="36"/>
      <c r="AI2693" s="36"/>
      <c r="AJ2693" s="15">
        <f t="shared" si="114"/>
        <v>0</v>
      </c>
      <c r="AK2693" s="16"/>
    </row>
    <row r="2694" spans="2:38" x14ac:dyDescent="0.2">
      <c r="B2694" s="7"/>
      <c r="C2694" s="8">
        <v>13250</v>
      </c>
      <c r="D2694" s="9" t="s">
        <v>874</v>
      </c>
      <c r="E2694" s="10" t="s">
        <v>875</v>
      </c>
      <c r="F2694" s="10" t="s">
        <v>493</v>
      </c>
      <c r="G2694" s="8">
        <v>1</v>
      </c>
      <c r="H2694" s="11">
        <v>600</v>
      </c>
      <c r="I2694" s="12">
        <v>42692</v>
      </c>
      <c r="J2694" s="35">
        <f t="shared" si="112"/>
        <v>0</v>
      </c>
      <c r="K2694" s="36"/>
      <c r="L2694" s="36"/>
      <c r="M2694" s="36"/>
      <c r="N2694" s="36"/>
      <c r="O2694" s="36"/>
      <c r="P2694" s="36"/>
      <c r="Q2694" s="36"/>
      <c r="R2694" s="36"/>
      <c r="S2694" s="36">
        <v>200</v>
      </c>
      <c r="T2694" s="36">
        <v>200</v>
      </c>
      <c r="U2694" s="36">
        <v>200</v>
      </c>
      <c r="V2694" s="36"/>
      <c r="W2694" s="15">
        <f t="shared" si="113"/>
        <v>600</v>
      </c>
      <c r="X2694" s="36"/>
      <c r="Y2694" s="36"/>
      <c r="Z2694" s="36"/>
      <c r="AA2694" s="36"/>
      <c r="AB2694" s="36"/>
      <c r="AC2694" s="36"/>
      <c r="AD2694" s="36"/>
      <c r="AE2694" s="36"/>
      <c r="AF2694" s="36"/>
      <c r="AG2694" s="36"/>
      <c r="AH2694" s="36"/>
      <c r="AI2694" s="36"/>
      <c r="AJ2694" s="15">
        <f t="shared" si="114"/>
        <v>0</v>
      </c>
      <c r="AK2694" s="16"/>
    </row>
    <row r="2695" spans="2:38" x14ac:dyDescent="0.2">
      <c r="B2695" s="7"/>
      <c r="C2695" s="8">
        <v>13250</v>
      </c>
      <c r="D2695" s="9" t="s">
        <v>874</v>
      </c>
      <c r="E2695" s="10" t="s">
        <v>875</v>
      </c>
      <c r="F2695" s="10" t="s">
        <v>493</v>
      </c>
      <c r="G2695" s="8">
        <v>4</v>
      </c>
      <c r="H2695" s="11">
        <v>200</v>
      </c>
      <c r="I2695" s="12">
        <v>42692</v>
      </c>
      <c r="J2695" s="35">
        <f t="shared" si="112"/>
        <v>0</v>
      </c>
      <c r="K2695" s="36"/>
      <c r="L2695" s="36"/>
      <c r="M2695" s="36"/>
      <c r="N2695" s="36"/>
      <c r="O2695" s="36"/>
      <c r="P2695" s="36"/>
      <c r="Q2695" s="36"/>
      <c r="R2695" s="36"/>
      <c r="S2695" s="36"/>
      <c r="T2695" s="36"/>
      <c r="U2695" s="36"/>
      <c r="V2695" s="36"/>
      <c r="W2695" s="15">
        <f t="shared" si="113"/>
        <v>0</v>
      </c>
      <c r="X2695" s="36"/>
      <c r="Y2695" s="36"/>
      <c r="Z2695" s="36"/>
      <c r="AA2695" s="36"/>
      <c r="AB2695" s="36"/>
      <c r="AC2695" s="36"/>
      <c r="AD2695" s="36"/>
      <c r="AE2695" s="36"/>
      <c r="AF2695" s="36"/>
      <c r="AG2695" s="36"/>
      <c r="AH2695" s="36"/>
      <c r="AI2695" s="36"/>
      <c r="AJ2695" s="15">
        <f t="shared" si="114"/>
        <v>0</v>
      </c>
      <c r="AK2695" s="16" t="s">
        <v>3185</v>
      </c>
    </row>
    <row r="2696" spans="2:38" x14ac:dyDescent="0.2">
      <c r="B2696" s="7"/>
      <c r="C2696" s="8">
        <v>13251</v>
      </c>
      <c r="D2696" s="9" t="s">
        <v>598</v>
      </c>
      <c r="E2696" s="10" t="s">
        <v>599</v>
      </c>
      <c r="F2696" s="10" t="s">
        <v>886</v>
      </c>
      <c r="G2696" s="8">
        <v>5</v>
      </c>
      <c r="H2696" s="11">
        <v>50</v>
      </c>
      <c r="I2696" s="12">
        <v>42692</v>
      </c>
      <c r="J2696" s="35">
        <f t="shared" si="112"/>
        <v>0</v>
      </c>
      <c r="K2696" s="36"/>
      <c r="L2696" s="36"/>
      <c r="M2696" s="36"/>
      <c r="N2696" s="36"/>
      <c r="O2696" s="36"/>
      <c r="P2696" s="36"/>
      <c r="Q2696" s="36"/>
      <c r="R2696" s="36"/>
      <c r="S2696" s="36"/>
      <c r="T2696" s="36"/>
      <c r="U2696" s="36"/>
      <c r="V2696" s="36"/>
      <c r="W2696" s="15">
        <f t="shared" si="113"/>
        <v>0</v>
      </c>
      <c r="X2696" s="36"/>
      <c r="Y2696" s="36"/>
      <c r="Z2696" s="36"/>
      <c r="AA2696" s="36"/>
      <c r="AB2696" s="36"/>
      <c r="AC2696" s="36"/>
      <c r="AD2696" s="36"/>
      <c r="AE2696" s="36"/>
      <c r="AF2696" s="36"/>
      <c r="AG2696" s="36"/>
      <c r="AH2696" s="36"/>
      <c r="AI2696" s="36"/>
      <c r="AJ2696" s="15">
        <f t="shared" si="114"/>
        <v>0</v>
      </c>
      <c r="AK2696" s="16"/>
    </row>
    <row r="2697" spans="2:38" x14ac:dyDescent="0.2">
      <c r="B2697" s="7"/>
      <c r="C2697" s="8">
        <v>13252</v>
      </c>
      <c r="D2697" s="9" t="s">
        <v>568</v>
      </c>
      <c r="E2697" s="10" t="s">
        <v>569</v>
      </c>
      <c r="F2697" s="10" t="s">
        <v>570</v>
      </c>
      <c r="G2697" s="8">
        <v>1</v>
      </c>
      <c r="H2697" s="11">
        <v>500</v>
      </c>
      <c r="I2697" s="12">
        <v>42694</v>
      </c>
      <c r="J2697" s="35">
        <f t="shared" si="112"/>
        <v>0</v>
      </c>
      <c r="K2697" s="36"/>
      <c r="L2697" s="36"/>
      <c r="M2697" s="36"/>
      <c r="N2697" s="36"/>
      <c r="O2697" s="36"/>
      <c r="P2697" s="36"/>
      <c r="Q2697" s="36">
        <v>100</v>
      </c>
      <c r="R2697" s="36"/>
      <c r="S2697" s="36"/>
      <c r="T2697" s="36"/>
      <c r="U2697" s="36">
        <v>400</v>
      </c>
      <c r="V2697" s="36"/>
      <c r="W2697" s="15">
        <f t="shared" si="113"/>
        <v>500</v>
      </c>
      <c r="X2697" s="36"/>
      <c r="Y2697" s="36"/>
      <c r="Z2697" s="36"/>
      <c r="AA2697" s="36"/>
      <c r="AB2697" s="36"/>
      <c r="AC2697" s="36"/>
      <c r="AD2697" s="36"/>
      <c r="AE2697" s="36"/>
      <c r="AF2697" s="36"/>
      <c r="AG2697" s="36"/>
      <c r="AH2697" s="36"/>
      <c r="AI2697" s="36"/>
      <c r="AJ2697" s="15">
        <f t="shared" si="114"/>
        <v>0</v>
      </c>
      <c r="AK2697" s="16"/>
    </row>
    <row r="2698" spans="2:38" x14ac:dyDescent="0.2">
      <c r="B2698" s="7"/>
      <c r="C2698" s="8">
        <v>13253</v>
      </c>
      <c r="D2698" s="9" t="s">
        <v>129</v>
      </c>
      <c r="E2698" s="10" t="s">
        <v>130</v>
      </c>
      <c r="F2698" s="10" t="s">
        <v>131</v>
      </c>
      <c r="G2698" s="8">
        <v>5</v>
      </c>
      <c r="H2698" s="11">
        <v>50</v>
      </c>
      <c r="I2698" s="12">
        <v>42694</v>
      </c>
      <c r="J2698" s="35">
        <f t="shared" si="112"/>
        <v>0</v>
      </c>
      <c r="K2698" s="36"/>
      <c r="L2698" s="36"/>
      <c r="M2698" s="36"/>
      <c r="N2698" s="36"/>
      <c r="O2698" s="36"/>
      <c r="P2698" s="36"/>
      <c r="Q2698" s="36"/>
      <c r="R2698" s="36"/>
      <c r="S2698" s="36"/>
      <c r="T2698" s="36"/>
      <c r="U2698" s="36"/>
      <c r="V2698" s="36"/>
      <c r="W2698" s="15">
        <f t="shared" si="113"/>
        <v>0</v>
      </c>
      <c r="X2698" s="36"/>
      <c r="Y2698" s="36"/>
      <c r="Z2698" s="36"/>
      <c r="AA2698" s="36"/>
      <c r="AB2698" s="36"/>
      <c r="AC2698" s="36"/>
      <c r="AD2698" s="36"/>
      <c r="AE2698" s="36"/>
      <c r="AF2698" s="36"/>
      <c r="AG2698" s="36"/>
      <c r="AH2698" s="36"/>
      <c r="AI2698" s="36"/>
      <c r="AJ2698" s="15">
        <f t="shared" si="114"/>
        <v>0</v>
      </c>
      <c r="AK2698" s="16"/>
    </row>
    <row r="2699" spans="2:38" x14ac:dyDescent="0.2">
      <c r="B2699" s="7"/>
      <c r="C2699" s="8">
        <v>13254</v>
      </c>
      <c r="D2699" s="9" t="s">
        <v>684</v>
      </c>
      <c r="E2699" s="10" t="s">
        <v>685</v>
      </c>
      <c r="F2699" s="10" t="s">
        <v>686</v>
      </c>
      <c r="G2699" s="8">
        <v>1</v>
      </c>
      <c r="H2699" s="11">
        <v>1200</v>
      </c>
      <c r="I2699" s="12">
        <v>42694</v>
      </c>
      <c r="J2699" s="35">
        <f t="shared" si="112"/>
        <v>0</v>
      </c>
      <c r="K2699" s="36"/>
      <c r="L2699" s="36"/>
      <c r="M2699" s="36"/>
      <c r="N2699" s="36"/>
      <c r="O2699" s="36"/>
      <c r="P2699" s="36"/>
      <c r="Q2699" s="36"/>
      <c r="R2699" s="36"/>
      <c r="S2699" s="36">
        <v>400</v>
      </c>
      <c r="T2699" s="36">
        <v>400</v>
      </c>
      <c r="U2699" s="36">
        <v>400</v>
      </c>
      <c r="V2699" s="36"/>
      <c r="W2699" s="15">
        <f t="shared" si="113"/>
        <v>1200</v>
      </c>
      <c r="X2699" s="36"/>
      <c r="Y2699" s="36"/>
      <c r="Z2699" s="36"/>
      <c r="AA2699" s="36"/>
      <c r="AB2699" s="36"/>
      <c r="AC2699" s="36"/>
      <c r="AD2699" s="36"/>
      <c r="AE2699" s="36"/>
      <c r="AF2699" s="36"/>
      <c r="AG2699" s="36"/>
      <c r="AH2699" s="36"/>
      <c r="AI2699" s="36"/>
      <c r="AJ2699" s="15">
        <f t="shared" si="114"/>
        <v>0</v>
      </c>
      <c r="AK2699" s="16"/>
    </row>
    <row r="2700" spans="2:38" x14ac:dyDescent="0.2">
      <c r="B2700" s="7"/>
      <c r="C2700" s="8">
        <v>13255</v>
      </c>
      <c r="D2700" s="9" t="s">
        <v>876</v>
      </c>
      <c r="E2700" s="10" t="s">
        <v>877</v>
      </c>
      <c r="F2700" s="10" t="s">
        <v>878</v>
      </c>
      <c r="G2700" s="8">
        <v>1</v>
      </c>
      <c r="H2700" s="11">
        <v>600</v>
      </c>
      <c r="I2700" s="12">
        <v>42694</v>
      </c>
      <c r="J2700" s="35">
        <f t="shared" si="112"/>
        <v>0</v>
      </c>
      <c r="K2700" s="36"/>
      <c r="L2700" s="36"/>
      <c r="M2700" s="36"/>
      <c r="N2700" s="36"/>
      <c r="O2700" s="36"/>
      <c r="P2700" s="36"/>
      <c r="Q2700" s="36"/>
      <c r="R2700" s="36"/>
      <c r="S2700" s="36"/>
      <c r="T2700" s="36">
        <v>200</v>
      </c>
      <c r="U2700" s="36">
        <v>200</v>
      </c>
      <c r="V2700" s="36">
        <v>200</v>
      </c>
      <c r="W2700" s="15">
        <f t="shared" si="113"/>
        <v>600</v>
      </c>
      <c r="X2700" s="36"/>
      <c r="Y2700" s="36"/>
      <c r="Z2700" s="36"/>
      <c r="AA2700" s="36"/>
      <c r="AB2700" s="36"/>
      <c r="AC2700" s="36"/>
      <c r="AD2700" s="36"/>
      <c r="AE2700" s="36"/>
      <c r="AF2700" s="36"/>
      <c r="AG2700" s="36"/>
      <c r="AH2700" s="36"/>
      <c r="AI2700" s="36"/>
      <c r="AJ2700" s="15">
        <f t="shared" si="114"/>
        <v>0</v>
      </c>
      <c r="AK2700" s="16"/>
    </row>
    <row r="2701" spans="2:38" x14ac:dyDescent="0.2">
      <c r="B2701" s="7"/>
      <c r="C2701" s="8">
        <v>13256</v>
      </c>
      <c r="D2701" s="9" t="s">
        <v>156</v>
      </c>
      <c r="E2701" s="10" t="s">
        <v>157</v>
      </c>
      <c r="F2701" s="10" t="s">
        <v>158</v>
      </c>
      <c r="G2701" s="8">
        <v>1</v>
      </c>
      <c r="H2701" s="11">
        <v>300</v>
      </c>
      <c r="I2701" s="12">
        <v>42694</v>
      </c>
      <c r="J2701" s="35">
        <f t="shared" si="112"/>
        <v>0</v>
      </c>
      <c r="K2701" s="36"/>
      <c r="L2701" s="36"/>
      <c r="M2701" s="36"/>
      <c r="N2701" s="36"/>
      <c r="O2701" s="36"/>
      <c r="P2701" s="36"/>
      <c r="Q2701" s="36"/>
      <c r="R2701" s="36"/>
      <c r="S2701" s="36"/>
      <c r="T2701" s="36"/>
      <c r="U2701" s="36">
        <v>300</v>
      </c>
      <c r="V2701" s="36"/>
      <c r="W2701" s="15">
        <f t="shared" si="113"/>
        <v>300</v>
      </c>
      <c r="X2701" s="36"/>
      <c r="Y2701" s="36"/>
      <c r="Z2701" s="36"/>
      <c r="AA2701" s="36"/>
      <c r="AB2701" s="36"/>
      <c r="AC2701" s="36"/>
      <c r="AD2701" s="36"/>
      <c r="AE2701" s="36"/>
      <c r="AF2701" s="36"/>
      <c r="AG2701" s="36"/>
      <c r="AH2701" s="36"/>
      <c r="AI2701" s="36"/>
      <c r="AJ2701" s="15">
        <f t="shared" si="114"/>
        <v>0</v>
      </c>
      <c r="AK2701" s="16"/>
    </row>
    <row r="2702" spans="2:38" x14ac:dyDescent="0.2">
      <c r="B2702" s="7"/>
      <c r="C2702" s="8">
        <v>13257</v>
      </c>
      <c r="D2702" s="9" t="s">
        <v>746</v>
      </c>
      <c r="E2702" s="10" t="s">
        <v>747</v>
      </c>
      <c r="F2702" s="10" t="s">
        <v>748</v>
      </c>
      <c r="G2702" s="8">
        <v>1</v>
      </c>
      <c r="H2702" s="11">
        <v>600</v>
      </c>
      <c r="I2702" s="12">
        <v>42694</v>
      </c>
      <c r="J2702" s="35">
        <f t="shared" si="112"/>
        <v>0</v>
      </c>
      <c r="K2702" s="36"/>
      <c r="L2702" s="36"/>
      <c r="M2702" s="36"/>
      <c r="N2702" s="36"/>
      <c r="O2702" s="36"/>
      <c r="P2702" s="36"/>
      <c r="Q2702" s="36"/>
      <c r="R2702" s="36"/>
      <c r="S2702" s="36"/>
      <c r="T2702" s="36"/>
      <c r="U2702" s="36">
        <v>300</v>
      </c>
      <c r="V2702" s="36">
        <v>300</v>
      </c>
      <c r="W2702" s="15">
        <f t="shared" si="113"/>
        <v>600</v>
      </c>
      <c r="X2702" s="36"/>
      <c r="Y2702" s="36"/>
      <c r="Z2702" s="36"/>
      <c r="AA2702" s="36"/>
      <c r="AB2702" s="36"/>
      <c r="AC2702" s="36"/>
      <c r="AD2702" s="36"/>
      <c r="AE2702" s="36"/>
      <c r="AF2702" s="36"/>
      <c r="AG2702" s="36"/>
      <c r="AH2702" s="36"/>
      <c r="AI2702" s="36"/>
      <c r="AJ2702" s="15">
        <f t="shared" si="114"/>
        <v>0</v>
      </c>
      <c r="AK2702" s="16"/>
    </row>
    <row r="2703" spans="2:38" x14ac:dyDescent="0.2">
      <c r="B2703" s="7"/>
      <c r="C2703" s="8">
        <v>13258</v>
      </c>
      <c r="D2703" s="9" t="s">
        <v>725</v>
      </c>
      <c r="E2703" s="10" t="s">
        <v>726</v>
      </c>
      <c r="F2703" s="10" t="s">
        <v>727</v>
      </c>
      <c r="G2703" s="8">
        <v>5</v>
      </c>
      <c r="H2703" s="11">
        <v>50</v>
      </c>
      <c r="I2703" s="12">
        <v>42694</v>
      </c>
      <c r="J2703" s="35">
        <f t="shared" si="112"/>
        <v>0</v>
      </c>
      <c r="K2703" s="36"/>
      <c r="L2703" s="36"/>
      <c r="M2703" s="36"/>
      <c r="N2703" s="36"/>
      <c r="O2703" s="36"/>
      <c r="P2703" s="36"/>
      <c r="Q2703" s="36"/>
      <c r="R2703" s="36"/>
      <c r="S2703" s="36"/>
      <c r="T2703" s="36"/>
      <c r="U2703" s="36"/>
      <c r="V2703" s="36"/>
      <c r="W2703" s="15">
        <f t="shared" si="113"/>
        <v>0</v>
      </c>
      <c r="X2703" s="36"/>
      <c r="Y2703" s="36"/>
      <c r="Z2703" s="36"/>
      <c r="AA2703" s="36"/>
      <c r="AB2703" s="36"/>
      <c r="AC2703" s="36"/>
      <c r="AD2703" s="36"/>
      <c r="AE2703" s="36"/>
      <c r="AF2703" s="36"/>
      <c r="AG2703" s="36"/>
      <c r="AH2703" s="36"/>
      <c r="AI2703" s="36"/>
      <c r="AJ2703" s="15">
        <f t="shared" si="114"/>
        <v>0</v>
      </c>
      <c r="AK2703" s="16"/>
    </row>
    <row r="2704" spans="2:38" x14ac:dyDescent="0.2">
      <c r="B2704" s="7"/>
      <c r="C2704" s="8">
        <v>13259</v>
      </c>
      <c r="D2704" s="9" t="s">
        <v>1178</v>
      </c>
      <c r="E2704" s="10" t="s">
        <v>1179</v>
      </c>
      <c r="F2704" s="10" t="s">
        <v>1180</v>
      </c>
      <c r="G2704" s="8">
        <v>1</v>
      </c>
      <c r="H2704" s="11">
        <v>400</v>
      </c>
      <c r="I2704" s="12">
        <v>42694</v>
      </c>
      <c r="J2704" s="35">
        <f t="shared" si="112"/>
        <v>0</v>
      </c>
      <c r="K2704" s="36"/>
      <c r="L2704" s="36"/>
      <c r="M2704" s="36"/>
      <c r="N2704" s="36"/>
      <c r="O2704" s="36"/>
      <c r="P2704" s="36"/>
      <c r="Q2704" s="36"/>
      <c r="R2704" s="36"/>
      <c r="S2704" s="36"/>
      <c r="T2704" s="36">
        <v>200</v>
      </c>
      <c r="U2704" s="36">
        <v>200</v>
      </c>
      <c r="V2704" s="36"/>
      <c r="W2704" s="15">
        <f t="shared" si="113"/>
        <v>400</v>
      </c>
      <c r="X2704" s="36"/>
      <c r="Y2704" s="36"/>
      <c r="Z2704" s="36"/>
      <c r="AA2704" s="36"/>
      <c r="AB2704" s="36"/>
      <c r="AC2704" s="36"/>
      <c r="AD2704" s="36"/>
      <c r="AE2704" s="36"/>
      <c r="AF2704" s="36"/>
      <c r="AG2704" s="36"/>
      <c r="AH2704" s="36"/>
      <c r="AI2704" s="36"/>
      <c r="AJ2704" s="15">
        <f t="shared" si="114"/>
        <v>0</v>
      </c>
      <c r="AK2704" s="16"/>
    </row>
    <row r="2705" spans="2:37" x14ac:dyDescent="0.2">
      <c r="B2705" s="7"/>
      <c r="C2705" s="8">
        <v>13259</v>
      </c>
      <c r="D2705" s="9" t="s">
        <v>1178</v>
      </c>
      <c r="E2705" s="10" t="s">
        <v>1179</v>
      </c>
      <c r="F2705" s="10" t="s">
        <v>1180</v>
      </c>
      <c r="G2705" s="8">
        <v>3</v>
      </c>
      <c r="H2705" s="11">
        <v>200</v>
      </c>
      <c r="I2705" s="12">
        <v>42694</v>
      </c>
      <c r="J2705" s="35">
        <f t="shared" si="112"/>
        <v>0</v>
      </c>
      <c r="K2705" s="36"/>
      <c r="L2705" s="36"/>
      <c r="M2705" s="36"/>
      <c r="N2705" s="36"/>
      <c r="O2705" s="36"/>
      <c r="P2705" s="36"/>
      <c r="Q2705" s="36"/>
      <c r="R2705" s="36"/>
      <c r="S2705" s="36"/>
      <c r="T2705" s="36"/>
      <c r="U2705" s="36"/>
      <c r="V2705" s="36"/>
      <c r="W2705" s="15">
        <f t="shared" si="113"/>
        <v>0</v>
      </c>
      <c r="X2705" s="36"/>
      <c r="Y2705" s="36"/>
      <c r="Z2705" s="36"/>
      <c r="AA2705" s="36"/>
      <c r="AB2705" s="36"/>
      <c r="AC2705" s="36"/>
      <c r="AD2705" s="36"/>
      <c r="AE2705" s="36"/>
      <c r="AF2705" s="36"/>
      <c r="AG2705" s="36"/>
      <c r="AH2705" s="36"/>
      <c r="AI2705" s="36"/>
      <c r="AJ2705" s="15">
        <f t="shared" si="114"/>
        <v>0</v>
      </c>
      <c r="AK2705" s="16"/>
    </row>
    <row r="2706" spans="2:37" x14ac:dyDescent="0.2">
      <c r="B2706" s="7"/>
      <c r="C2706" s="8">
        <v>13260</v>
      </c>
      <c r="D2706" s="9" t="s">
        <v>699</v>
      </c>
      <c r="E2706" s="10" t="s">
        <v>700</v>
      </c>
      <c r="F2706" s="10" t="s">
        <v>701</v>
      </c>
      <c r="G2706" s="8">
        <v>1</v>
      </c>
      <c r="H2706" s="11">
        <v>800</v>
      </c>
      <c r="I2706" s="12">
        <v>42694</v>
      </c>
      <c r="J2706" s="35">
        <f t="shared" si="112"/>
        <v>0</v>
      </c>
      <c r="K2706" s="36"/>
      <c r="L2706" s="36"/>
      <c r="M2706" s="36"/>
      <c r="N2706" s="36"/>
      <c r="O2706" s="36"/>
      <c r="P2706" s="36"/>
      <c r="Q2706" s="36"/>
      <c r="R2706" s="36"/>
      <c r="S2706" s="36"/>
      <c r="T2706" s="36">
        <v>400</v>
      </c>
      <c r="U2706" s="36">
        <v>400</v>
      </c>
      <c r="V2706" s="36"/>
      <c r="W2706" s="15">
        <f t="shared" si="113"/>
        <v>800</v>
      </c>
      <c r="X2706" s="36"/>
      <c r="Y2706" s="36"/>
      <c r="Z2706" s="36"/>
      <c r="AA2706" s="36"/>
      <c r="AB2706" s="36"/>
      <c r="AC2706" s="36"/>
      <c r="AD2706" s="36"/>
      <c r="AE2706" s="36"/>
      <c r="AF2706" s="36"/>
      <c r="AG2706" s="36"/>
      <c r="AH2706" s="36"/>
      <c r="AI2706" s="36"/>
      <c r="AJ2706" s="15">
        <f t="shared" si="114"/>
        <v>0</v>
      </c>
      <c r="AK2706" s="16"/>
    </row>
    <row r="2707" spans="2:37" x14ac:dyDescent="0.2">
      <c r="B2707" s="7"/>
      <c r="C2707" s="8">
        <v>13261</v>
      </c>
      <c r="D2707" s="9" t="s">
        <v>769</v>
      </c>
      <c r="E2707" s="10" t="s">
        <v>770</v>
      </c>
      <c r="F2707" s="10" t="s">
        <v>771</v>
      </c>
      <c r="G2707" s="8">
        <v>1</v>
      </c>
      <c r="H2707" s="11">
        <v>800</v>
      </c>
      <c r="I2707" s="12">
        <v>42694</v>
      </c>
      <c r="J2707" s="35">
        <f t="shared" si="112"/>
        <v>0</v>
      </c>
      <c r="K2707" s="36"/>
      <c r="L2707" s="36"/>
      <c r="M2707" s="36"/>
      <c r="N2707" s="36"/>
      <c r="O2707" s="36"/>
      <c r="P2707" s="36"/>
      <c r="Q2707" s="36"/>
      <c r="R2707" s="36"/>
      <c r="S2707" s="36"/>
      <c r="T2707" s="36">
        <v>400</v>
      </c>
      <c r="U2707" s="36">
        <v>400</v>
      </c>
      <c r="V2707" s="36"/>
      <c r="W2707" s="15">
        <f t="shared" si="113"/>
        <v>800</v>
      </c>
      <c r="X2707" s="36"/>
      <c r="Y2707" s="36"/>
      <c r="Z2707" s="36"/>
      <c r="AA2707" s="36"/>
      <c r="AB2707" s="36"/>
      <c r="AC2707" s="36"/>
      <c r="AD2707" s="36"/>
      <c r="AE2707" s="36"/>
      <c r="AF2707" s="36"/>
      <c r="AG2707" s="36"/>
      <c r="AH2707" s="36"/>
      <c r="AI2707" s="36"/>
      <c r="AJ2707" s="15">
        <f t="shared" si="114"/>
        <v>0</v>
      </c>
      <c r="AK2707" s="16"/>
    </row>
    <row r="2708" spans="2:37" x14ac:dyDescent="0.2">
      <c r="B2708" s="7"/>
      <c r="C2708" s="8">
        <v>13262</v>
      </c>
      <c r="D2708" s="9" t="s">
        <v>1421</v>
      </c>
      <c r="E2708" s="10" t="s">
        <v>1422</v>
      </c>
      <c r="F2708" s="10" t="s">
        <v>99</v>
      </c>
      <c r="G2708" s="8">
        <v>5</v>
      </c>
      <c r="H2708" s="11">
        <v>100</v>
      </c>
      <c r="I2708" s="12">
        <v>42694</v>
      </c>
      <c r="J2708" s="35">
        <f t="shared" si="112"/>
        <v>0</v>
      </c>
      <c r="K2708" s="36"/>
      <c r="L2708" s="36"/>
      <c r="M2708" s="36"/>
      <c r="N2708" s="36"/>
      <c r="O2708" s="36"/>
      <c r="P2708" s="36"/>
      <c r="Q2708" s="36"/>
      <c r="R2708" s="36"/>
      <c r="S2708" s="36"/>
      <c r="T2708" s="36"/>
      <c r="U2708" s="36"/>
      <c r="V2708" s="36"/>
      <c r="W2708" s="15">
        <f t="shared" si="113"/>
        <v>0</v>
      </c>
      <c r="X2708" s="36"/>
      <c r="Y2708" s="36"/>
      <c r="Z2708" s="36"/>
      <c r="AA2708" s="36"/>
      <c r="AB2708" s="36"/>
      <c r="AC2708" s="36"/>
      <c r="AD2708" s="36"/>
      <c r="AE2708" s="36"/>
      <c r="AF2708" s="36"/>
      <c r="AG2708" s="36"/>
      <c r="AH2708" s="36"/>
      <c r="AI2708" s="36"/>
      <c r="AJ2708" s="15">
        <f t="shared" si="114"/>
        <v>0</v>
      </c>
      <c r="AK2708" s="16"/>
    </row>
    <row r="2709" spans="2:37" x14ac:dyDescent="0.2">
      <c r="B2709" s="7"/>
      <c r="C2709" s="8">
        <v>13263</v>
      </c>
      <c r="D2709" s="9" t="s">
        <v>526</v>
      </c>
      <c r="E2709" s="10" t="s">
        <v>527</v>
      </c>
      <c r="F2709" s="10" t="s">
        <v>528</v>
      </c>
      <c r="G2709" s="8">
        <v>1</v>
      </c>
      <c r="H2709" s="11">
        <v>600</v>
      </c>
      <c r="I2709" s="12">
        <v>42694</v>
      </c>
      <c r="J2709" s="35">
        <f t="shared" si="112"/>
        <v>0</v>
      </c>
      <c r="K2709" s="36"/>
      <c r="L2709" s="36"/>
      <c r="M2709" s="36"/>
      <c r="N2709" s="36"/>
      <c r="O2709" s="36"/>
      <c r="P2709" s="36"/>
      <c r="Q2709" s="36"/>
      <c r="R2709" s="36"/>
      <c r="S2709" s="36">
        <v>300</v>
      </c>
      <c r="T2709" s="36">
        <v>300</v>
      </c>
      <c r="U2709" s="36"/>
      <c r="V2709" s="36"/>
      <c r="W2709" s="15">
        <f t="shared" si="113"/>
        <v>600</v>
      </c>
      <c r="X2709" s="36"/>
      <c r="Y2709" s="36"/>
      <c r="Z2709" s="36"/>
      <c r="AA2709" s="36"/>
      <c r="AB2709" s="36"/>
      <c r="AC2709" s="36"/>
      <c r="AD2709" s="36"/>
      <c r="AE2709" s="36"/>
      <c r="AF2709" s="36"/>
      <c r="AG2709" s="36"/>
      <c r="AH2709" s="36"/>
      <c r="AI2709" s="36"/>
      <c r="AJ2709" s="15">
        <f t="shared" si="114"/>
        <v>0</v>
      </c>
      <c r="AK2709" s="16"/>
    </row>
    <row r="2710" spans="2:37" x14ac:dyDescent="0.2">
      <c r="B2710" s="7"/>
      <c r="C2710" s="8">
        <v>13264</v>
      </c>
      <c r="D2710" s="9" t="s">
        <v>241</v>
      </c>
      <c r="E2710" s="10" t="s">
        <v>242</v>
      </c>
      <c r="F2710" s="10" t="s">
        <v>243</v>
      </c>
      <c r="G2710" s="8">
        <v>1</v>
      </c>
      <c r="H2710" s="11">
        <v>400</v>
      </c>
      <c r="I2710" s="12">
        <v>42694</v>
      </c>
      <c r="J2710" s="35">
        <f t="shared" si="112"/>
        <v>0</v>
      </c>
      <c r="K2710" s="36"/>
      <c r="L2710" s="36"/>
      <c r="M2710" s="36"/>
      <c r="N2710" s="36"/>
      <c r="O2710" s="36"/>
      <c r="P2710" s="36"/>
      <c r="Q2710" s="36"/>
      <c r="R2710" s="36"/>
      <c r="S2710" s="36"/>
      <c r="T2710" s="36"/>
      <c r="U2710" s="36">
        <v>400</v>
      </c>
      <c r="V2710" s="36"/>
      <c r="W2710" s="15">
        <f t="shared" si="113"/>
        <v>400</v>
      </c>
      <c r="X2710" s="36"/>
      <c r="Y2710" s="36"/>
      <c r="Z2710" s="36"/>
      <c r="AA2710" s="36"/>
      <c r="AB2710" s="36"/>
      <c r="AC2710" s="36"/>
      <c r="AD2710" s="36"/>
      <c r="AE2710" s="36"/>
      <c r="AF2710" s="36"/>
      <c r="AG2710" s="36"/>
      <c r="AH2710" s="36"/>
      <c r="AI2710" s="36"/>
      <c r="AJ2710" s="15">
        <f t="shared" si="114"/>
        <v>0</v>
      </c>
      <c r="AK2710" s="16"/>
    </row>
    <row r="2711" spans="2:37" x14ac:dyDescent="0.2">
      <c r="B2711" s="7"/>
      <c r="C2711" s="8">
        <v>13265</v>
      </c>
      <c r="D2711" s="9" t="s">
        <v>48</v>
      </c>
      <c r="E2711" s="10" t="s">
        <v>49</v>
      </c>
      <c r="F2711" s="10" t="s">
        <v>50</v>
      </c>
      <c r="G2711" s="8">
        <v>1</v>
      </c>
      <c r="H2711" s="11">
        <v>800</v>
      </c>
      <c r="I2711" s="12">
        <v>42694</v>
      </c>
      <c r="J2711" s="35">
        <f t="shared" si="112"/>
        <v>0</v>
      </c>
      <c r="K2711" s="36"/>
      <c r="L2711" s="36"/>
      <c r="M2711" s="36"/>
      <c r="N2711" s="36"/>
      <c r="O2711" s="36"/>
      <c r="P2711" s="36"/>
      <c r="Q2711" s="36"/>
      <c r="R2711" s="36"/>
      <c r="S2711" s="36"/>
      <c r="T2711" s="36"/>
      <c r="U2711" s="36">
        <v>400</v>
      </c>
      <c r="V2711" s="36">
        <v>400</v>
      </c>
      <c r="W2711" s="15">
        <f t="shared" si="113"/>
        <v>800</v>
      </c>
      <c r="X2711" s="36"/>
      <c r="Y2711" s="36"/>
      <c r="Z2711" s="36"/>
      <c r="AA2711" s="36"/>
      <c r="AB2711" s="36"/>
      <c r="AC2711" s="36"/>
      <c r="AD2711" s="36"/>
      <c r="AE2711" s="36"/>
      <c r="AF2711" s="36"/>
      <c r="AG2711" s="36"/>
      <c r="AH2711" s="36"/>
      <c r="AI2711" s="36"/>
      <c r="AJ2711" s="15">
        <f t="shared" si="114"/>
        <v>0</v>
      </c>
      <c r="AK2711" s="16"/>
    </row>
    <row r="2712" spans="2:37" x14ac:dyDescent="0.2">
      <c r="B2712" s="7"/>
      <c r="C2712" s="8">
        <v>13266</v>
      </c>
      <c r="D2712" s="9" t="s">
        <v>48</v>
      </c>
      <c r="E2712" s="10" t="s">
        <v>49</v>
      </c>
      <c r="F2712" s="10" t="s">
        <v>50</v>
      </c>
      <c r="G2712" s="8">
        <v>3</v>
      </c>
      <c r="H2712" s="11">
        <v>200</v>
      </c>
      <c r="I2712" s="12">
        <v>42694</v>
      </c>
      <c r="J2712" s="35">
        <f t="shared" si="112"/>
        <v>0</v>
      </c>
      <c r="K2712" s="36"/>
      <c r="L2712" s="36"/>
      <c r="M2712" s="36"/>
      <c r="N2712" s="36"/>
      <c r="O2712" s="36"/>
      <c r="P2712" s="36"/>
      <c r="Q2712" s="36"/>
      <c r="R2712" s="36"/>
      <c r="S2712" s="36"/>
      <c r="T2712" s="36"/>
      <c r="U2712" s="36"/>
      <c r="V2712" s="36"/>
      <c r="W2712" s="15">
        <f t="shared" si="113"/>
        <v>0</v>
      </c>
      <c r="X2712" s="36"/>
      <c r="Y2712" s="36"/>
      <c r="Z2712" s="36"/>
      <c r="AA2712" s="36"/>
      <c r="AB2712" s="36"/>
      <c r="AC2712" s="36"/>
      <c r="AD2712" s="36"/>
      <c r="AE2712" s="36"/>
      <c r="AF2712" s="36"/>
      <c r="AG2712" s="36"/>
      <c r="AH2712" s="36"/>
      <c r="AI2712" s="36"/>
      <c r="AJ2712" s="15">
        <f t="shared" si="114"/>
        <v>0</v>
      </c>
      <c r="AK2712" s="16"/>
    </row>
    <row r="2713" spans="2:37" x14ac:dyDescent="0.2">
      <c r="B2713" s="7"/>
      <c r="C2713" s="8">
        <v>13267</v>
      </c>
      <c r="D2713" s="9" t="s">
        <v>915</v>
      </c>
      <c r="E2713" s="10" t="s">
        <v>916</v>
      </c>
      <c r="F2713" s="10" t="s">
        <v>917</v>
      </c>
      <c r="G2713" s="8">
        <v>1</v>
      </c>
      <c r="H2713" s="11">
        <v>1000</v>
      </c>
      <c r="I2713" s="12">
        <v>42694</v>
      </c>
      <c r="J2713" s="35">
        <f t="shared" si="112"/>
        <v>0</v>
      </c>
      <c r="K2713" s="36"/>
      <c r="L2713" s="36"/>
      <c r="M2713" s="36"/>
      <c r="N2713" s="36"/>
      <c r="O2713" s="36"/>
      <c r="P2713" s="36"/>
      <c r="Q2713" s="36"/>
      <c r="R2713" s="36">
        <v>200</v>
      </c>
      <c r="S2713" s="36">
        <v>200</v>
      </c>
      <c r="T2713" s="36">
        <v>200</v>
      </c>
      <c r="U2713" s="36">
        <v>200</v>
      </c>
      <c r="V2713" s="36">
        <v>200</v>
      </c>
      <c r="W2713" s="15">
        <f t="shared" si="113"/>
        <v>1000</v>
      </c>
      <c r="X2713" s="36"/>
      <c r="Y2713" s="36"/>
      <c r="Z2713" s="36"/>
      <c r="AA2713" s="36"/>
      <c r="AB2713" s="36"/>
      <c r="AC2713" s="36"/>
      <c r="AD2713" s="36"/>
      <c r="AE2713" s="36"/>
      <c r="AF2713" s="36"/>
      <c r="AG2713" s="36"/>
      <c r="AH2713" s="36"/>
      <c r="AI2713" s="36"/>
      <c r="AJ2713" s="15">
        <f t="shared" si="114"/>
        <v>0</v>
      </c>
      <c r="AK2713" s="16"/>
    </row>
    <row r="2714" spans="2:37" x14ac:dyDescent="0.2">
      <c r="B2714" s="7"/>
      <c r="C2714" s="8">
        <v>13268</v>
      </c>
      <c r="D2714" s="9" t="s">
        <v>256</v>
      </c>
      <c r="E2714" s="10" t="s">
        <v>257</v>
      </c>
      <c r="F2714" s="10" t="s">
        <v>258</v>
      </c>
      <c r="G2714" s="8">
        <v>1</v>
      </c>
      <c r="H2714" s="11">
        <v>300</v>
      </c>
      <c r="I2714" s="12">
        <v>42694</v>
      </c>
      <c r="J2714" s="35">
        <f t="shared" si="112"/>
        <v>0</v>
      </c>
      <c r="K2714" s="36"/>
      <c r="L2714" s="36"/>
      <c r="M2714" s="36"/>
      <c r="N2714" s="36"/>
      <c r="O2714" s="36"/>
      <c r="P2714" s="36"/>
      <c r="Q2714" s="36"/>
      <c r="R2714" s="36"/>
      <c r="S2714" s="36"/>
      <c r="T2714" s="36"/>
      <c r="U2714" s="36">
        <v>300</v>
      </c>
      <c r="V2714" s="36"/>
      <c r="W2714" s="15">
        <f t="shared" si="113"/>
        <v>300</v>
      </c>
      <c r="X2714" s="36"/>
      <c r="Y2714" s="36"/>
      <c r="Z2714" s="36"/>
      <c r="AA2714" s="36"/>
      <c r="AB2714" s="36"/>
      <c r="AC2714" s="36"/>
      <c r="AD2714" s="36"/>
      <c r="AE2714" s="36"/>
      <c r="AF2714" s="36"/>
      <c r="AG2714" s="36"/>
      <c r="AH2714" s="36"/>
      <c r="AI2714" s="36"/>
      <c r="AJ2714" s="15">
        <f t="shared" si="114"/>
        <v>0</v>
      </c>
      <c r="AK2714" s="16"/>
    </row>
    <row r="2715" spans="2:37" x14ac:dyDescent="0.2">
      <c r="B2715" s="7"/>
      <c r="C2715" s="8">
        <v>13269</v>
      </c>
      <c r="D2715" s="9" t="s">
        <v>608</v>
      </c>
      <c r="E2715" s="10" t="s">
        <v>609</v>
      </c>
      <c r="F2715" s="10" t="s">
        <v>610</v>
      </c>
      <c r="G2715" s="8">
        <v>1</v>
      </c>
      <c r="H2715" s="11">
        <v>800</v>
      </c>
      <c r="I2715" s="12">
        <v>42694</v>
      </c>
      <c r="J2715" s="35">
        <f t="shared" si="112"/>
        <v>0</v>
      </c>
      <c r="K2715" s="36"/>
      <c r="L2715" s="36"/>
      <c r="M2715" s="36"/>
      <c r="N2715" s="36"/>
      <c r="O2715" s="36"/>
      <c r="P2715" s="36"/>
      <c r="Q2715" s="36"/>
      <c r="R2715" s="36"/>
      <c r="S2715" s="36">
        <v>400</v>
      </c>
      <c r="T2715" s="36">
        <v>400</v>
      </c>
      <c r="U2715" s="36"/>
      <c r="V2715" s="36"/>
      <c r="W2715" s="15">
        <f t="shared" si="113"/>
        <v>800</v>
      </c>
      <c r="X2715" s="36"/>
      <c r="Y2715" s="36"/>
      <c r="Z2715" s="36"/>
      <c r="AA2715" s="36"/>
      <c r="AB2715" s="36"/>
      <c r="AC2715" s="36"/>
      <c r="AD2715" s="36"/>
      <c r="AE2715" s="36"/>
      <c r="AF2715" s="36"/>
      <c r="AG2715" s="36"/>
      <c r="AH2715" s="36"/>
      <c r="AI2715" s="36"/>
      <c r="AJ2715" s="15">
        <f t="shared" si="114"/>
        <v>0</v>
      </c>
      <c r="AK2715" s="16"/>
    </row>
    <row r="2716" spans="2:37" x14ac:dyDescent="0.2">
      <c r="B2716" s="7"/>
      <c r="C2716" s="8">
        <v>13270</v>
      </c>
      <c r="D2716" s="9" t="s">
        <v>458</v>
      </c>
      <c r="E2716" s="10" t="s">
        <v>459</v>
      </c>
      <c r="F2716" s="10" t="s">
        <v>460</v>
      </c>
      <c r="G2716" s="8">
        <v>1</v>
      </c>
      <c r="H2716" s="11">
        <v>800</v>
      </c>
      <c r="I2716" s="12">
        <v>42694</v>
      </c>
      <c r="J2716" s="35">
        <f t="shared" si="112"/>
        <v>0</v>
      </c>
      <c r="K2716" s="36"/>
      <c r="L2716" s="36"/>
      <c r="M2716" s="36"/>
      <c r="N2716" s="36"/>
      <c r="O2716" s="36"/>
      <c r="P2716" s="36"/>
      <c r="Q2716" s="36"/>
      <c r="R2716" s="36"/>
      <c r="S2716" s="36"/>
      <c r="T2716" s="36"/>
      <c r="U2716" s="36">
        <v>400</v>
      </c>
      <c r="V2716" s="36">
        <v>400</v>
      </c>
      <c r="W2716" s="15">
        <f t="shared" si="113"/>
        <v>800</v>
      </c>
      <c r="X2716" s="36"/>
      <c r="Y2716" s="36"/>
      <c r="Z2716" s="36"/>
      <c r="AA2716" s="36"/>
      <c r="AB2716" s="36"/>
      <c r="AC2716" s="36"/>
      <c r="AD2716" s="36"/>
      <c r="AE2716" s="36"/>
      <c r="AF2716" s="36"/>
      <c r="AG2716" s="36"/>
      <c r="AH2716" s="36"/>
      <c r="AI2716" s="36"/>
      <c r="AJ2716" s="15">
        <f t="shared" si="114"/>
        <v>0</v>
      </c>
      <c r="AK2716" s="16"/>
    </row>
    <row r="2717" spans="2:37" x14ac:dyDescent="0.2">
      <c r="B2717" s="7"/>
      <c r="C2717" s="8">
        <v>13270</v>
      </c>
      <c r="D2717" s="9" t="s">
        <v>458</v>
      </c>
      <c r="E2717" s="10" t="s">
        <v>459</v>
      </c>
      <c r="F2717" s="10" t="s">
        <v>460</v>
      </c>
      <c r="G2717" s="8">
        <v>3</v>
      </c>
      <c r="H2717" s="11">
        <v>200</v>
      </c>
      <c r="I2717" s="12">
        <v>42694</v>
      </c>
      <c r="J2717" s="35">
        <f t="shared" si="112"/>
        <v>0</v>
      </c>
      <c r="K2717" s="36"/>
      <c r="L2717" s="36"/>
      <c r="M2717" s="36"/>
      <c r="N2717" s="36"/>
      <c r="O2717" s="36"/>
      <c r="P2717" s="36"/>
      <c r="Q2717" s="36"/>
      <c r="R2717" s="36"/>
      <c r="S2717" s="36"/>
      <c r="T2717" s="36"/>
      <c r="U2717" s="36"/>
      <c r="V2717" s="36"/>
      <c r="W2717" s="15">
        <f t="shared" si="113"/>
        <v>0</v>
      </c>
      <c r="X2717" s="36"/>
      <c r="Y2717" s="36"/>
      <c r="Z2717" s="36"/>
      <c r="AA2717" s="36"/>
      <c r="AB2717" s="36"/>
      <c r="AC2717" s="36"/>
      <c r="AD2717" s="36"/>
      <c r="AE2717" s="36"/>
      <c r="AF2717" s="36"/>
      <c r="AG2717" s="36"/>
      <c r="AH2717" s="36"/>
      <c r="AI2717" s="36"/>
      <c r="AJ2717" s="15">
        <f t="shared" si="114"/>
        <v>0</v>
      </c>
      <c r="AK2717" s="16"/>
    </row>
    <row r="2718" spans="2:37" x14ac:dyDescent="0.2">
      <c r="B2718" s="7"/>
      <c r="C2718" s="8">
        <v>13270</v>
      </c>
      <c r="D2718" s="9" t="s">
        <v>458</v>
      </c>
      <c r="E2718" s="10" t="s">
        <v>459</v>
      </c>
      <c r="F2718" s="10" t="s">
        <v>460</v>
      </c>
      <c r="G2718" s="8">
        <v>4</v>
      </c>
      <c r="H2718" s="11">
        <v>200</v>
      </c>
      <c r="I2718" s="12">
        <v>42694</v>
      </c>
      <c r="J2718" s="35">
        <f t="shared" si="112"/>
        <v>0</v>
      </c>
      <c r="K2718" s="36"/>
      <c r="L2718" s="36"/>
      <c r="M2718" s="36"/>
      <c r="N2718" s="36"/>
      <c r="O2718" s="36"/>
      <c r="P2718" s="36"/>
      <c r="Q2718" s="36"/>
      <c r="R2718" s="36"/>
      <c r="S2718" s="36"/>
      <c r="T2718" s="36"/>
      <c r="U2718" s="36"/>
      <c r="V2718" s="36"/>
      <c r="W2718" s="15">
        <f t="shared" si="113"/>
        <v>0</v>
      </c>
      <c r="X2718" s="36"/>
      <c r="Y2718" s="36"/>
      <c r="Z2718" s="36"/>
      <c r="AA2718" s="36"/>
      <c r="AB2718" s="36"/>
      <c r="AC2718" s="36"/>
      <c r="AD2718" s="36"/>
      <c r="AE2718" s="36"/>
      <c r="AF2718" s="36"/>
      <c r="AG2718" s="36"/>
      <c r="AH2718" s="36"/>
      <c r="AI2718" s="36"/>
      <c r="AJ2718" s="15">
        <f t="shared" si="114"/>
        <v>0</v>
      </c>
      <c r="AK2718" s="16" t="s">
        <v>3186</v>
      </c>
    </row>
    <row r="2719" spans="2:37" x14ac:dyDescent="0.2">
      <c r="B2719" s="7"/>
      <c r="C2719" s="8">
        <v>13271</v>
      </c>
      <c r="D2719" s="9" t="s">
        <v>541</v>
      </c>
      <c r="E2719" s="10" t="s">
        <v>542</v>
      </c>
      <c r="F2719" s="10" t="s">
        <v>543</v>
      </c>
      <c r="G2719" s="8">
        <v>1</v>
      </c>
      <c r="H2719" s="11">
        <v>800</v>
      </c>
      <c r="I2719" s="12">
        <v>42694</v>
      </c>
      <c r="J2719" s="35">
        <f t="shared" si="112"/>
        <v>0</v>
      </c>
      <c r="K2719" s="36"/>
      <c r="L2719" s="36"/>
      <c r="M2719" s="36"/>
      <c r="N2719" s="36"/>
      <c r="O2719" s="36"/>
      <c r="P2719" s="36"/>
      <c r="Q2719" s="36"/>
      <c r="R2719" s="36"/>
      <c r="S2719" s="36"/>
      <c r="T2719" s="36"/>
      <c r="U2719" s="36">
        <v>400</v>
      </c>
      <c r="V2719" s="36">
        <v>400</v>
      </c>
      <c r="W2719" s="15">
        <f t="shared" si="113"/>
        <v>800</v>
      </c>
      <c r="X2719" s="36"/>
      <c r="Y2719" s="36"/>
      <c r="Z2719" s="36"/>
      <c r="AA2719" s="36"/>
      <c r="AB2719" s="36"/>
      <c r="AC2719" s="36"/>
      <c r="AD2719" s="36"/>
      <c r="AE2719" s="36"/>
      <c r="AF2719" s="36"/>
      <c r="AG2719" s="36"/>
      <c r="AH2719" s="36"/>
      <c r="AI2719" s="36"/>
      <c r="AJ2719" s="15">
        <f t="shared" si="114"/>
        <v>0</v>
      </c>
      <c r="AK2719" s="16"/>
    </row>
    <row r="2720" spans="2:37" x14ac:dyDescent="0.2">
      <c r="B2720" s="7"/>
      <c r="C2720" s="8">
        <v>13272</v>
      </c>
      <c r="D2720" s="9" t="s">
        <v>384</v>
      </c>
      <c r="E2720" s="10" t="s">
        <v>385</v>
      </c>
      <c r="F2720" s="10" t="s">
        <v>386</v>
      </c>
      <c r="G2720" s="8">
        <v>1</v>
      </c>
      <c r="H2720" s="11">
        <v>600</v>
      </c>
      <c r="I2720" s="12">
        <v>42694</v>
      </c>
      <c r="J2720" s="35">
        <f t="shared" si="112"/>
        <v>0</v>
      </c>
      <c r="K2720" s="36"/>
      <c r="L2720" s="36"/>
      <c r="M2720" s="36"/>
      <c r="N2720" s="36"/>
      <c r="O2720" s="36"/>
      <c r="P2720" s="36"/>
      <c r="Q2720" s="36"/>
      <c r="R2720" s="36"/>
      <c r="S2720" s="36"/>
      <c r="T2720" s="36">
        <v>300</v>
      </c>
      <c r="U2720" s="36">
        <v>300</v>
      </c>
      <c r="V2720" s="36"/>
      <c r="W2720" s="15">
        <f t="shared" si="113"/>
        <v>600</v>
      </c>
      <c r="X2720" s="36"/>
      <c r="Y2720" s="36"/>
      <c r="Z2720" s="36"/>
      <c r="AA2720" s="36"/>
      <c r="AB2720" s="36"/>
      <c r="AC2720" s="36"/>
      <c r="AD2720" s="36"/>
      <c r="AE2720" s="36"/>
      <c r="AF2720" s="36"/>
      <c r="AG2720" s="36"/>
      <c r="AH2720" s="36"/>
      <c r="AI2720" s="36"/>
      <c r="AJ2720" s="15">
        <f t="shared" si="114"/>
        <v>0</v>
      </c>
      <c r="AK2720" s="16"/>
    </row>
    <row r="2721" spans="2:37" x14ac:dyDescent="0.2">
      <c r="B2721" s="7"/>
      <c r="C2721" s="8">
        <v>13273</v>
      </c>
      <c r="D2721" s="9" t="s">
        <v>422</v>
      </c>
      <c r="E2721" s="10" t="s">
        <v>423</v>
      </c>
      <c r="F2721" s="10" t="s">
        <v>424</v>
      </c>
      <c r="G2721" s="8">
        <v>1</v>
      </c>
      <c r="H2721" s="11">
        <v>1200</v>
      </c>
      <c r="I2721" s="12">
        <v>42694</v>
      </c>
      <c r="J2721" s="35">
        <f t="shared" si="112"/>
        <v>0</v>
      </c>
      <c r="K2721" s="36"/>
      <c r="L2721" s="36"/>
      <c r="M2721" s="36"/>
      <c r="N2721" s="36"/>
      <c r="O2721" s="36"/>
      <c r="P2721" s="36"/>
      <c r="Q2721" s="36"/>
      <c r="R2721" s="36"/>
      <c r="S2721" s="36"/>
      <c r="T2721" s="36">
        <v>400</v>
      </c>
      <c r="U2721" s="36">
        <v>400</v>
      </c>
      <c r="V2721" s="36">
        <v>400</v>
      </c>
      <c r="W2721" s="15">
        <f t="shared" si="113"/>
        <v>1200</v>
      </c>
      <c r="X2721" s="36"/>
      <c r="Y2721" s="36"/>
      <c r="Z2721" s="36"/>
      <c r="AA2721" s="36"/>
      <c r="AB2721" s="36"/>
      <c r="AC2721" s="36"/>
      <c r="AD2721" s="36"/>
      <c r="AE2721" s="36"/>
      <c r="AF2721" s="36"/>
      <c r="AG2721" s="36"/>
      <c r="AH2721" s="36"/>
      <c r="AI2721" s="36"/>
      <c r="AJ2721" s="15">
        <f t="shared" si="114"/>
        <v>0</v>
      </c>
      <c r="AK2721" s="16" t="s">
        <v>3187</v>
      </c>
    </row>
    <row r="2722" spans="2:37" x14ac:dyDescent="0.2">
      <c r="B2722" s="7"/>
      <c r="C2722" s="8">
        <v>13274</v>
      </c>
      <c r="D2722" s="9" t="s">
        <v>340</v>
      </c>
      <c r="E2722" s="10" t="s">
        <v>341</v>
      </c>
      <c r="F2722" s="10" t="s">
        <v>342</v>
      </c>
      <c r="G2722" s="8">
        <v>5</v>
      </c>
      <c r="H2722" s="11">
        <v>50</v>
      </c>
      <c r="I2722" s="12">
        <v>42694</v>
      </c>
      <c r="J2722" s="35">
        <f t="shared" si="112"/>
        <v>0</v>
      </c>
      <c r="K2722" s="36"/>
      <c r="L2722" s="36"/>
      <c r="M2722" s="36"/>
      <c r="N2722" s="36"/>
      <c r="O2722" s="36"/>
      <c r="P2722" s="36"/>
      <c r="Q2722" s="36"/>
      <c r="R2722" s="36"/>
      <c r="S2722" s="36"/>
      <c r="T2722" s="36"/>
      <c r="U2722" s="36"/>
      <c r="V2722" s="36"/>
      <c r="W2722" s="15">
        <f t="shared" si="113"/>
        <v>0</v>
      </c>
      <c r="X2722" s="36"/>
      <c r="Y2722" s="36"/>
      <c r="Z2722" s="36"/>
      <c r="AA2722" s="36"/>
      <c r="AB2722" s="36"/>
      <c r="AC2722" s="36"/>
      <c r="AD2722" s="36"/>
      <c r="AE2722" s="36"/>
      <c r="AF2722" s="36"/>
      <c r="AG2722" s="36"/>
      <c r="AH2722" s="36"/>
      <c r="AI2722" s="36"/>
      <c r="AJ2722" s="15">
        <f t="shared" si="114"/>
        <v>0</v>
      </c>
      <c r="AK2722" s="16"/>
    </row>
    <row r="2723" spans="2:37" x14ac:dyDescent="0.2">
      <c r="B2723" s="7"/>
      <c r="C2723" s="8">
        <v>13275</v>
      </c>
      <c r="D2723" s="9" t="s">
        <v>214</v>
      </c>
      <c r="E2723" s="10" t="s">
        <v>215</v>
      </c>
      <c r="F2723" s="10" t="s">
        <v>216</v>
      </c>
      <c r="G2723" s="8">
        <v>1</v>
      </c>
      <c r="H2723" s="11">
        <v>800</v>
      </c>
      <c r="I2723" s="12">
        <v>42694</v>
      </c>
      <c r="J2723" s="35">
        <f t="shared" si="112"/>
        <v>0</v>
      </c>
      <c r="K2723" s="36"/>
      <c r="L2723" s="36"/>
      <c r="M2723" s="36"/>
      <c r="N2723" s="36"/>
      <c r="O2723" s="36"/>
      <c r="P2723" s="36"/>
      <c r="Q2723" s="36"/>
      <c r="R2723" s="36">
        <v>200</v>
      </c>
      <c r="S2723" s="36">
        <v>200</v>
      </c>
      <c r="T2723" s="36">
        <v>200</v>
      </c>
      <c r="U2723" s="36">
        <v>200</v>
      </c>
      <c r="V2723" s="36"/>
      <c r="W2723" s="15">
        <f t="shared" si="113"/>
        <v>800</v>
      </c>
      <c r="X2723" s="36"/>
      <c r="Y2723" s="36"/>
      <c r="Z2723" s="36"/>
      <c r="AA2723" s="36"/>
      <c r="AB2723" s="36"/>
      <c r="AC2723" s="36"/>
      <c r="AD2723" s="36"/>
      <c r="AE2723" s="36"/>
      <c r="AF2723" s="36"/>
      <c r="AG2723" s="36"/>
      <c r="AH2723" s="36"/>
      <c r="AI2723" s="36"/>
      <c r="AJ2723" s="15">
        <f t="shared" si="114"/>
        <v>0</v>
      </c>
      <c r="AK2723" s="322">
        <f>SUM(H2690:H2723)</f>
        <v>16200</v>
      </c>
    </row>
    <row r="2724" spans="2:37" x14ac:dyDescent="0.2">
      <c r="B2724" s="7"/>
      <c r="C2724" s="8">
        <v>13276</v>
      </c>
      <c r="D2724" s="9" t="s">
        <v>488</v>
      </c>
      <c r="E2724" s="10" t="s">
        <v>489</v>
      </c>
      <c r="F2724" s="10" t="s">
        <v>490</v>
      </c>
      <c r="G2724" s="8">
        <v>1</v>
      </c>
      <c r="H2724" s="321">
        <v>400</v>
      </c>
      <c r="I2724" s="12">
        <v>42694</v>
      </c>
      <c r="J2724" s="35">
        <f t="shared" si="112"/>
        <v>0</v>
      </c>
      <c r="K2724" s="36"/>
      <c r="L2724" s="36"/>
      <c r="M2724" s="36"/>
      <c r="N2724" s="36"/>
      <c r="O2724" s="36"/>
      <c r="P2724" s="36"/>
      <c r="Q2724" s="36"/>
      <c r="R2724" s="36"/>
      <c r="S2724" s="36"/>
      <c r="T2724" s="36"/>
      <c r="U2724" s="36">
        <v>400</v>
      </c>
      <c r="V2724" s="36"/>
      <c r="W2724" s="15">
        <f t="shared" si="113"/>
        <v>400</v>
      </c>
      <c r="X2724" s="36"/>
      <c r="Y2724" s="36"/>
      <c r="Z2724" s="36"/>
      <c r="AA2724" s="36"/>
      <c r="AB2724" s="36"/>
      <c r="AC2724" s="36"/>
      <c r="AD2724" s="36"/>
      <c r="AE2724" s="36"/>
      <c r="AF2724" s="36"/>
      <c r="AG2724" s="36"/>
      <c r="AH2724" s="36"/>
      <c r="AI2724" s="36"/>
      <c r="AJ2724" s="15">
        <f t="shared" si="114"/>
        <v>0</v>
      </c>
      <c r="AK2724" s="16"/>
    </row>
    <row r="2725" spans="2:37" x14ac:dyDescent="0.2">
      <c r="B2725" s="7"/>
      <c r="C2725" s="8">
        <v>13277</v>
      </c>
      <c r="D2725" s="9" t="s">
        <v>464</v>
      </c>
      <c r="E2725" s="10" t="s">
        <v>465</v>
      </c>
      <c r="F2725" s="10" t="s">
        <v>466</v>
      </c>
      <c r="G2725" s="8">
        <v>1</v>
      </c>
      <c r="H2725" s="11">
        <v>600</v>
      </c>
      <c r="I2725" s="12">
        <v>42696</v>
      </c>
      <c r="J2725" s="35">
        <f t="shared" si="112"/>
        <v>0</v>
      </c>
      <c r="K2725" s="36"/>
      <c r="L2725" s="36"/>
      <c r="M2725" s="36"/>
      <c r="N2725" s="36"/>
      <c r="O2725" s="36"/>
      <c r="P2725" s="36"/>
      <c r="Q2725" s="36"/>
      <c r="R2725" s="36"/>
      <c r="S2725" s="36"/>
      <c r="T2725" s="36">
        <v>200</v>
      </c>
      <c r="U2725" s="36">
        <v>200</v>
      </c>
      <c r="V2725" s="36">
        <v>200</v>
      </c>
      <c r="W2725" s="15">
        <f t="shared" si="113"/>
        <v>600</v>
      </c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15">
        <f t="shared" si="114"/>
        <v>0</v>
      </c>
      <c r="AK2725" s="16"/>
    </row>
    <row r="2726" spans="2:37" x14ac:dyDescent="0.2">
      <c r="B2726" s="7"/>
      <c r="C2726" s="8">
        <v>13278</v>
      </c>
      <c r="D2726" s="9" t="s">
        <v>514</v>
      </c>
      <c r="E2726" s="10" t="s">
        <v>515</v>
      </c>
      <c r="F2726" s="10" t="s">
        <v>516</v>
      </c>
      <c r="G2726" s="8">
        <v>1</v>
      </c>
      <c r="H2726" s="11">
        <v>400</v>
      </c>
      <c r="I2726" s="12">
        <v>42696</v>
      </c>
      <c r="J2726" s="35">
        <f t="shared" si="112"/>
        <v>0</v>
      </c>
      <c r="K2726" s="36"/>
      <c r="L2726" s="36"/>
      <c r="M2726" s="36"/>
      <c r="N2726" s="36"/>
      <c r="O2726" s="36"/>
      <c r="P2726" s="36"/>
      <c r="Q2726" s="36"/>
      <c r="R2726" s="36"/>
      <c r="S2726" s="36"/>
      <c r="T2726" s="36"/>
      <c r="U2726" s="36">
        <v>400</v>
      </c>
      <c r="V2726" s="36"/>
      <c r="W2726" s="15">
        <f t="shared" si="113"/>
        <v>400</v>
      </c>
      <c r="X2726" s="36"/>
      <c r="Y2726" s="36"/>
      <c r="Z2726" s="36"/>
      <c r="AA2726" s="36"/>
      <c r="AB2726" s="36"/>
      <c r="AC2726" s="36"/>
      <c r="AD2726" s="36"/>
      <c r="AE2726" s="36"/>
      <c r="AF2726" s="36"/>
      <c r="AG2726" s="36"/>
      <c r="AH2726" s="36"/>
      <c r="AI2726" s="36"/>
      <c r="AJ2726" s="15">
        <f t="shared" si="114"/>
        <v>0</v>
      </c>
      <c r="AK2726" s="16"/>
    </row>
    <row r="2727" spans="2:37" x14ac:dyDescent="0.2">
      <c r="B2727" s="7"/>
      <c r="C2727" s="8">
        <v>13279</v>
      </c>
      <c r="D2727" s="9" t="s">
        <v>494</v>
      </c>
      <c r="E2727" s="10" t="s">
        <v>495</v>
      </c>
      <c r="F2727" s="10" t="s">
        <v>496</v>
      </c>
      <c r="G2727" s="8">
        <v>1</v>
      </c>
      <c r="H2727" s="11">
        <v>450</v>
      </c>
      <c r="I2727" s="12">
        <v>42697</v>
      </c>
      <c r="J2727" s="35">
        <f t="shared" si="112"/>
        <v>0</v>
      </c>
      <c r="K2727" s="36"/>
      <c r="L2727" s="36"/>
      <c r="M2727" s="36"/>
      <c r="N2727" s="36"/>
      <c r="O2727" s="36"/>
      <c r="P2727" s="36"/>
      <c r="Q2727" s="36"/>
      <c r="R2727" s="36"/>
      <c r="S2727" s="36"/>
      <c r="T2727" s="36">
        <v>150</v>
      </c>
      <c r="U2727" s="36">
        <v>150</v>
      </c>
      <c r="V2727" s="36">
        <v>150</v>
      </c>
      <c r="W2727" s="15">
        <f t="shared" si="113"/>
        <v>450</v>
      </c>
      <c r="X2727" s="36"/>
      <c r="Y2727" s="36"/>
      <c r="Z2727" s="36"/>
      <c r="AA2727" s="36"/>
      <c r="AB2727" s="36"/>
      <c r="AC2727" s="36"/>
      <c r="AD2727" s="36"/>
      <c r="AE2727" s="36"/>
      <c r="AF2727" s="36"/>
      <c r="AG2727" s="36"/>
      <c r="AH2727" s="36"/>
      <c r="AI2727" s="36"/>
      <c r="AJ2727" s="15">
        <f t="shared" si="114"/>
        <v>0</v>
      </c>
      <c r="AK2727" s="16"/>
    </row>
    <row r="2728" spans="2:37" x14ac:dyDescent="0.2">
      <c r="B2728" s="7"/>
      <c r="C2728" s="8">
        <v>13280</v>
      </c>
      <c r="D2728" s="9" t="s">
        <v>1160</v>
      </c>
      <c r="E2728" s="10" t="s">
        <v>1161</v>
      </c>
      <c r="F2728" s="10" t="s">
        <v>1162</v>
      </c>
      <c r="G2728" s="8">
        <v>1</v>
      </c>
      <c r="H2728" s="11">
        <v>400</v>
      </c>
      <c r="I2728" s="12">
        <v>42697</v>
      </c>
      <c r="J2728" s="35">
        <f t="shared" si="112"/>
        <v>0</v>
      </c>
      <c r="K2728" s="36"/>
      <c r="L2728" s="36"/>
      <c r="M2728" s="36"/>
      <c r="N2728" s="36"/>
      <c r="O2728" s="36"/>
      <c r="P2728" s="36"/>
      <c r="Q2728" s="36"/>
      <c r="R2728" s="36"/>
      <c r="S2728" s="36"/>
      <c r="T2728" s="36">
        <v>200</v>
      </c>
      <c r="U2728" s="36">
        <v>200</v>
      </c>
      <c r="V2728" s="36"/>
      <c r="W2728" s="15">
        <f t="shared" si="113"/>
        <v>400</v>
      </c>
      <c r="X2728" s="36"/>
      <c r="Y2728" s="36"/>
      <c r="Z2728" s="36"/>
      <c r="AA2728" s="36"/>
      <c r="AB2728" s="36"/>
      <c r="AC2728" s="36"/>
      <c r="AD2728" s="36"/>
      <c r="AE2728" s="36"/>
      <c r="AF2728" s="36"/>
      <c r="AG2728" s="36"/>
      <c r="AH2728" s="36"/>
      <c r="AI2728" s="36"/>
      <c r="AJ2728" s="15">
        <f t="shared" si="114"/>
        <v>0</v>
      </c>
      <c r="AK2728" s="16"/>
    </row>
    <row r="2729" spans="2:37" x14ac:dyDescent="0.2">
      <c r="B2729" s="7"/>
      <c r="C2729" s="8">
        <v>13281</v>
      </c>
      <c r="D2729" s="9" t="s">
        <v>598</v>
      </c>
      <c r="E2729" s="10" t="s">
        <v>599</v>
      </c>
      <c r="F2729" s="10" t="s">
        <v>886</v>
      </c>
      <c r="G2729" s="8">
        <v>3</v>
      </c>
      <c r="H2729" s="11">
        <v>400</v>
      </c>
      <c r="I2729" s="12">
        <v>42698</v>
      </c>
      <c r="J2729" s="35">
        <f t="shared" si="112"/>
        <v>0</v>
      </c>
      <c r="K2729" s="36"/>
      <c r="L2729" s="36"/>
      <c r="M2729" s="36"/>
      <c r="N2729" s="36"/>
      <c r="O2729" s="36"/>
      <c r="P2729" s="36"/>
      <c r="Q2729" s="36"/>
      <c r="R2729" s="36"/>
      <c r="S2729" s="36"/>
      <c r="T2729" s="36"/>
      <c r="U2729" s="36"/>
      <c r="V2729" s="36"/>
      <c r="W2729" s="15">
        <f t="shared" si="113"/>
        <v>0</v>
      </c>
      <c r="X2729" s="36"/>
      <c r="Y2729" s="36"/>
      <c r="Z2729" s="36"/>
      <c r="AA2729" s="36"/>
      <c r="AB2729" s="36"/>
      <c r="AC2729" s="36"/>
      <c r="AD2729" s="36"/>
      <c r="AE2729" s="36"/>
      <c r="AF2729" s="36"/>
      <c r="AG2729" s="36"/>
      <c r="AH2729" s="36"/>
      <c r="AI2729" s="36"/>
      <c r="AJ2729" s="15">
        <f t="shared" si="114"/>
        <v>0</v>
      </c>
      <c r="AK2729" s="16"/>
    </row>
    <row r="2730" spans="2:37" x14ac:dyDescent="0.2">
      <c r="B2730" s="7"/>
      <c r="C2730" s="8">
        <v>13282</v>
      </c>
      <c r="D2730" s="9" t="s">
        <v>785</v>
      </c>
      <c r="E2730" s="10" t="s">
        <v>786</v>
      </c>
      <c r="F2730" s="10" t="s">
        <v>787</v>
      </c>
      <c r="G2730" s="8">
        <v>1</v>
      </c>
      <c r="H2730" s="11">
        <v>200</v>
      </c>
      <c r="I2730" s="12">
        <v>42701</v>
      </c>
      <c r="J2730" s="35">
        <f t="shared" si="112"/>
        <v>0</v>
      </c>
      <c r="K2730" s="36"/>
      <c r="L2730" s="36"/>
      <c r="M2730" s="36"/>
      <c r="N2730" s="36"/>
      <c r="O2730" s="36"/>
      <c r="P2730" s="36"/>
      <c r="Q2730" s="36"/>
      <c r="R2730" s="36"/>
      <c r="S2730" s="36"/>
      <c r="T2730" s="36"/>
      <c r="U2730" s="36"/>
      <c r="V2730" s="36">
        <v>200</v>
      </c>
      <c r="W2730" s="15">
        <f t="shared" si="113"/>
        <v>200</v>
      </c>
      <c r="X2730" s="36"/>
      <c r="Y2730" s="36"/>
      <c r="Z2730" s="36"/>
      <c r="AA2730" s="36"/>
      <c r="AB2730" s="36"/>
      <c r="AC2730" s="36"/>
      <c r="AD2730" s="36"/>
      <c r="AE2730" s="36"/>
      <c r="AF2730" s="36"/>
      <c r="AG2730" s="36"/>
      <c r="AH2730" s="36"/>
      <c r="AI2730" s="36"/>
      <c r="AJ2730" s="15">
        <f t="shared" si="114"/>
        <v>0</v>
      </c>
      <c r="AK2730" s="16"/>
    </row>
    <row r="2731" spans="2:37" x14ac:dyDescent="0.2">
      <c r="B2731" s="7"/>
      <c r="C2731" s="8">
        <v>13282</v>
      </c>
      <c r="D2731" s="9" t="s">
        <v>785</v>
      </c>
      <c r="E2731" s="10" t="s">
        <v>786</v>
      </c>
      <c r="F2731" s="10" t="s">
        <v>787</v>
      </c>
      <c r="G2731" s="8">
        <v>3</v>
      </c>
      <c r="H2731" s="11">
        <v>200</v>
      </c>
      <c r="I2731" s="12">
        <v>42701</v>
      </c>
      <c r="J2731" s="35">
        <f t="shared" si="112"/>
        <v>0</v>
      </c>
      <c r="K2731" s="36"/>
      <c r="L2731" s="36"/>
      <c r="M2731" s="36"/>
      <c r="N2731" s="36"/>
      <c r="O2731" s="36"/>
      <c r="P2731" s="36"/>
      <c r="Q2731" s="36"/>
      <c r="R2731" s="36"/>
      <c r="S2731" s="36"/>
      <c r="T2731" s="36"/>
      <c r="U2731" s="36"/>
      <c r="V2731" s="36"/>
      <c r="W2731" s="15">
        <f t="shared" si="113"/>
        <v>0</v>
      </c>
      <c r="X2731" s="36"/>
      <c r="Y2731" s="36"/>
      <c r="Z2731" s="36"/>
      <c r="AA2731" s="36"/>
      <c r="AB2731" s="36"/>
      <c r="AC2731" s="36"/>
      <c r="AD2731" s="36"/>
      <c r="AE2731" s="36"/>
      <c r="AF2731" s="36"/>
      <c r="AG2731" s="36"/>
      <c r="AH2731" s="36"/>
      <c r="AI2731" s="36"/>
      <c r="AJ2731" s="15">
        <f t="shared" si="114"/>
        <v>0</v>
      </c>
      <c r="AK2731" s="16"/>
    </row>
    <row r="2732" spans="2:37" x14ac:dyDescent="0.2">
      <c r="B2732" s="7"/>
      <c r="C2732" s="8">
        <v>13283</v>
      </c>
      <c r="D2732" s="9" t="s">
        <v>702</v>
      </c>
      <c r="E2732" s="10" t="s">
        <v>703</v>
      </c>
      <c r="F2732" s="10" t="s">
        <v>704</v>
      </c>
      <c r="G2732" s="8">
        <v>1</v>
      </c>
      <c r="H2732" s="11">
        <v>4400</v>
      </c>
      <c r="I2732" s="12">
        <v>42701</v>
      </c>
      <c r="J2732" s="35">
        <f t="shared" si="112"/>
        <v>0</v>
      </c>
      <c r="K2732" s="36"/>
      <c r="L2732" s="36"/>
      <c r="M2732" s="36"/>
      <c r="N2732" s="36"/>
      <c r="O2732" s="36"/>
      <c r="P2732" s="36"/>
      <c r="Q2732" s="36"/>
      <c r="R2732" s="36"/>
      <c r="S2732" s="36"/>
      <c r="T2732" s="36"/>
      <c r="U2732" s="36"/>
      <c r="V2732" s="36"/>
      <c r="W2732" s="15">
        <f t="shared" si="113"/>
        <v>0</v>
      </c>
      <c r="X2732" s="36">
        <v>400</v>
      </c>
      <c r="Y2732" s="36">
        <v>400</v>
      </c>
      <c r="Z2732" s="36">
        <v>400</v>
      </c>
      <c r="AA2732" s="36">
        <v>400</v>
      </c>
      <c r="AB2732" s="36">
        <v>400</v>
      </c>
      <c r="AC2732" s="36">
        <v>400</v>
      </c>
      <c r="AD2732" s="36">
        <v>400</v>
      </c>
      <c r="AE2732" s="36">
        <v>400</v>
      </c>
      <c r="AF2732" s="36">
        <v>400</v>
      </c>
      <c r="AG2732" s="36">
        <v>400</v>
      </c>
      <c r="AH2732" s="36">
        <v>400</v>
      </c>
      <c r="AI2732" s="36"/>
      <c r="AJ2732" s="15">
        <f t="shared" si="114"/>
        <v>4400</v>
      </c>
      <c r="AK2732" s="16" t="s">
        <v>3188</v>
      </c>
    </row>
    <row r="2733" spans="2:37" x14ac:dyDescent="0.2">
      <c r="B2733" s="7"/>
      <c r="C2733" s="8">
        <v>13284</v>
      </c>
      <c r="D2733" s="9" t="s">
        <v>538</v>
      </c>
      <c r="E2733" s="10" t="s">
        <v>539</v>
      </c>
      <c r="F2733" s="10" t="s">
        <v>540</v>
      </c>
      <c r="G2733" s="8">
        <v>1</v>
      </c>
      <c r="H2733" s="11">
        <v>400</v>
      </c>
      <c r="I2733" s="12">
        <v>42701</v>
      </c>
      <c r="J2733" s="35">
        <f t="shared" si="112"/>
        <v>0</v>
      </c>
      <c r="K2733" s="36"/>
      <c r="L2733" s="36"/>
      <c r="M2733" s="36"/>
      <c r="N2733" s="36"/>
      <c r="O2733" s="36"/>
      <c r="P2733" s="36"/>
      <c r="Q2733" s="36"/>
      <c r="R2733" s="36"/>
      <c r="S2733" s="36"/>
      <c r="T2733" s="36"/>
      <c r="U2733" s="36">
        <v>400</v>
      </c>
      <c r="V2733" s="36"/>
      <c r="W2733" s="15">
        <f t="shared" si="113"/>
        <v>400</v>
      </c>
      <c r="X2733" s="36"/>
      <c r="Y2733" s="36"/>
      <c r="Z2733" s="36"/>
      <c r="AA2733" s="36"/>
      <c r="AB2733" s="36"/>
      <c r="AC2733" s="36"/>
      <c r="AD2733" s="36"/>
      <c r="AE2733" s="36"/>
      <c r="AF2733" s="36"/>
      <c r="AG2733" s="36"/>
      <c r="AH2733" s="36"/>
      <c r="AI2733" s="36"/>
      <c r="AJ2733" s="15">
        <f t="shared" si="114"/>
        <v>0</v>
      </c>
      <c r="AK2733" s="16"/>
    </row>
    <row r="2734" spans="2:37" x14ac:dyDescent="0.2">
      <c r="B2734" s="7"/>
      <c r="C2734" s="8">
        <v>13285</v>
      </c>
      <c r="D2734" s="9" t="s">
        <v>355</v>
      </c>
      <c r="E2734" s="10" t="s">
        <v>356</v>
      </c>
      <c r="F2734" s="10" t="s">
        <v>357</v>
      </c>
      <c r="G2734" s="8">
        <v>1</v>
      </c>
      <c r="H2734" s="11">
        <v>900</v>
      </c>
      <c r="I2734" s="12">
        <v>42701</v>
      </c>
      <c r="J2734" s="35">
        <f t="shared" si="112"/>
        <v>0</v>
      </c>
      <c r="K2734" s="36"/>
      <c r="L2734" s="36"/>
      <c r="M2734" s="36"/>
      <c r="N2734" s="36"/>
      <c r="O2734" s="36"/>
      <c r="P2734" s="36"/>
      <c r="Q2734" s="36"/>
      <c r="R2734" s="36"/>
      <c r="S2734" s="36"/>
      <c r="T2734" s="36">
        <v>300</v>
      </c>
      <c r="U2734" s="36">
        <v>300</v>
      </c>
      <c r="V2734" s="36">
        <v>300</v>
      </c>
      <c r="W2734" s="15">
        <f t="shared" si="113"/>
        <v>900</v>
      </c>
      <c r="X2734" s="36"/>
      <c r="Y2734" s="36"/>
      <c r="Z2734" s="36"/>
      <c r="AA2734" s="36"/>
      <c r="AB2734" s="36"/>
      <c r="AC2734" s="36"/>
      <c r="AD2734" s="36"/>
      <c r="AE2734" s="36"/>
      <c r="AF2734" s="36"/>
      <c r="AG2734" s="36"/>
      <c r="AH2734" s="36"/>
      <c r="AI2734" s="36"/>
      <c r="AJ2734" s="15">
        <f t="shared" si="114"/>
        <v>0</v>
      </c>
      <c r="AK2734" s="16"/>
    </row>
    <row r="2735" spans="2:37" x14ac:dyDescent="0.2">
      <c r="B2735" s="7"/>
      <c r="C2735" s="8">
        <v>13286</v>
      </c>
      <c r="D2735" s="9" t="s">
        <v>1300</v>
      </c>
      <c r="E2735" s="10" t="s">
        <v>1301</v>
      </c>
      <c r="F2735" s="10" t="s">
        <v>3209</v>
      </c>
      <c r="G2735" s="8">
        <v>1</v>
      </c>
      <c r="H2735" s="11">
        <v>400</v>
      </c>
      <c r="I2735" s="12">
        <v>39048</v>
      </c>
      <c r="J2735" s="35">
        <f t="shared" si="112"/>
        <v>0</v>
      </c>
      <c r="K2735" s="36"/>
      <c r="L2735" s="36"/>
      <c r="M2735" s="36"/>
      <c r="N2735" s="36"/>
      <c r="O2735" s="36"/>
      <c r="P2735" s="36"/>
      <c r="Q2735" s="36"/>
      <c r="R2735" s="36"/>
      <c r="S2735" s="36"/>
      <c r="T2735" s="36"/>
      <c r="U2735" s="36"/>
      <c r="V2735" s="36">
        <v>400</v>
      </c>
      <c r="W2735" s="15">
        <f t="shared" si="113"/>
        <v>400</v>
      </c>
      <c r="X2735" s="36"/>
      <c r="Y2735" s="36"/>
      <c r="Z2735" s="36"/>
      <c r="AA2735" s="36"/>
      <c r="AB2735" s="36"/>
      <c r="AC2735" s="36"/>
      <c r="AD2735" s="36"/>
      <c r="AE2735" s="36"/>
      <c r="AF2735" s="36"/>
      <c r="AG2735" s="36"/>
      <c r="AH2735" s="36"/>
      <c r="AI2735" s="36"/>
      <c r="AJ2735" s="15">
        <f t="shared" si="114"/>
        <v>0</v>
      </c>
      <c r="AK2735" s="16"/>
    </row>
    <row r="2736" spans="2:37" x14ac:dyDescent="0.2">
      <c r="B2736" s="7"/>
      <c r="C2736" s="8">
        <v>13287</v>
      </c>
      <c r="D2736" s="9" t="s">
        <v>1300</v>
      </c>
      <c r="E2736" s="10" t="s">
        <v>1301</v>
      </c>
      <c r="F2736" s="10" t="s">
        <v>3209</v>
      </c>
      <c r="G2736" s="8">
        <v>3</v>
      </c>
      <c r="H2736" s="11">
        <v>200</v>
      </c>
      <c r="I2736" s="12">
        <v>42701</v>
      </c>
      <c r="J2736" s="35">
        <f t="shared" si="112"/>
        <v>0</v>
      </c>
      <c r="K2736" s="36"/>
      <c r="L2736" s="36"/>
      <c r="M2736" s="36"/>
      <c r="N2736" s="36"/>
      <c r="O2736" s="36"/>
      <c r="P2736" s="36"/>
      <c r="Q2736" s="36"/>
      <c r="R2736" s="36"/>
      <c r="S2736" s="36"/>
      <c r="T2736" s="36"/>
      <c r="U2736" s="36"/>
      <c r="V2736" s="36"/>
      <c r="W2736" s="15">
        <f t="shared" si="113"/>
        <v>0</v>
      </c>
      <c r="X2736" s="36"/>
      <c r="Y2736" s="36"/>
      <c r="Z2736" s="36"/>
      <c r="AA2736" s="36"/>
      <c r="AB2736" s="36"/>
      <c r="AC2736" s="36"/>
      <c r="AD2736" s="36"/>
      <c r="AE2736" s="36"/>
      <c r="AF2736" s="36"/>
      <c r="AG2736" s="36"/>
      <c r="AH2736" s="36"/>
      <c r="AI2736" s="36"/>
      <c r="AJ2736" s="15">
        <f t="shared" si="114"/>
        <v>0</v>
      </c>
      <c r="AK2736" s="16"/>
    </row>
    <row r="2737" spans="2:38" x14ac:dyDescent="0.2">
      <c r="B2737" s="7"/>
      <c r="C2737" s="8">
        <v>13287</v>
      </c>
      <c r="D2737" s="9" t="s">
        <v>1300</v>
      </c>
      <c r="E2737" s="10" t="s">
        <v>1301</v>
      </c>
      <c r="F2737" s="10" t="s">
        <v>1302</v>
      </c>
      <c r="G2737" s="8">
        <v>4</v>
      </c>
      <c r="H2737" s="11">
        <v>200</v>
      </c>
      <c r="I2737" s="12">
        <v>42701</v>
      </c>
      <c r="J2737" s="35">
        <f t="shared" si="112"/>
        <v>0</v>
      </c>
      <c r="K2737" s="36"/>
      <c r="L2737" s="36"/>
      <c r="M2737" s="36"/>
      <c r="N2737" s="36"/>
      <c r="O2737" s="36"/>
      <c r="P2737" s="36"/>
      <c r="Q2737" s="36"/>
      <c r="R2737" s="36"/>
      <c r="S2737" s="36"/>
      <c r="T2737" s="36"/>
      <c r="U2737" s="36"/>
      <c r="V2737" s="36"/>
      <c r="W2737" s="15">
        <f t="shared" si="113"/>
        <v>0</v>
      </c>
      <c r="X2737" s="36"/>
      <c r="Y2737" s="36"/>
      <c r="Z2737" s="36"/>
      <c r="AA2737" s="36"/>
      <c r="AB2737" s="36"/>
      <c r="AC2737" s="36"/>
      <c r="AD2737" s="36"/>
      <c r="AE2737" s="36"/>
      <c r="AF2737" s="36"/>
      <c r="AG2737" s="36"/>
      <c r="AH2737" s="36"/>
      <c r="AI2737" s="36"/>
      <c r="AJ2737" s="15">
        <f t="shared" si="114"/>
        <v>0</v>
      </c>
      <c r="AK2737" s="16"/>
    </row>
    <row r="2738" spans="2:38" x14ac:dyDescent="0.2">
      <c r="B2738" s="7"/>
      <c r="C2738" s="8">
        <v>13287</v>
      </c>
      <c r="D2738" s="9" t="s">
        <v>1300</v>
      </c>
      <c r="E2738" s="10" t="s">
        <v>1301</v>
      </c>
      <c r="F2738" s="10" t="s">
        <v>1302</v>
      </c>
      <c r="G2738" s="8">
        <v>5</v>
      </c>
      <c r="H2738" s="11">
        <v>200</v>
      </c>
      <c r="I2738" s="12">
        <v>42701</v>
      </c>
      <c r="J2738" s="35">
        <f t="shared" si="112"/>
        <v>0</v>
      </c>
      <c r="K2738" s="36"/>
      <c r="L2738" s="36"/>
      <c r="M2738" s="36"/>
      <c r="N2738" s="36"/>
      <c r="O2738" s="36"/>
      <c r="P2738" s="36"/>
      <c r="Q2738" s="36"/>
      <c r="R2738" s="36"/>
      <c r="S2738" s="36"/>
      <c r="T2738" s="36"/>
      <c r="U2738" s="36"/>
      <c r="V2738" s="36"/>
      <c r="W2738" s="15">
        <f t="shared" si="113"/>
        <v>0</v>
      </c>
      <c r="X2738" s="36"/>
      <c r="Y2738" s="36"/>
      <c r="Z2738" s="36"/>
      <c r="AA2738" s="36"/>
      <c r="AB2738" s="36"/>
      <c r="AC2738" s="36"/>
      <c r="AD2738" s="36"/>
      <c r="AE2738" s="36"/>
      <c r="AF2738" s="36"/>
      <c r="AG2738" s="36"/>
      <c r="AH2738" s="36"/>
      <c r="AI2738" s="36"/>
      <c r="AJ2738" s="15">
        <f t="shared" si="114"/>
        <v>0</v>
      </c>
      <c r="AK2738" s="16" t="s">
        <v>3189</v>
      </c>
    </row>
    <row r="2739" spans="2:38" x14ac:dyDescent="0.2">
      <c r="B2739" s="7"/>
      <c r="C2739" s="8">
        <v>13288</v>
      </c>
      <c r="D2739" s="9" t="s">
        <v>3190</v>
      </c>
      <c r="E2739" s="341" t="str">
        <f>IF($D2739=0,"",VLOOKUP(D2739,BASE,2,FALSE))</f>
        <v>Rancho La Cuchilla No. 103</v>
      </c>
      <c r="F2739" s="341" t="str">
        <f>IF(D2739=0,"",VLOOKUP(D2739,BASE,3,FALSE))</f>
        <v>Bernal</v>
      </c>
      <c r="G2739" s="8">
        <v>1</v>
      </c>
      <c r="H2739" s="11">
        <v>400</v>
      </c>
      <c r="I2739" s="12">
        <v>42701</v>
      </c>
      <c r="J2739" s="35">
        <f t="shared" si="112"/>
        <v>0</v>
      </c>
      <c r="K2739" s="36"/>
      <c r="L2739" s="36"/>
      <c r="M2739" s="36"/>
      <c r="N2739" s="36"/>
      <c r="O2739" s="36"/>
      <c r="P2739" s="36"/>
      <c r="Q2739" s="36"/>
      <c r="R2739" s="36"/>
      <c r="S2739" s="36"/>
      <c r="T2739" s="36"/>
      <c r="U2739" s="36"/>
      <c r="V2739" s="36">
        <v>400</v>
      </c>
      <c r="W2739" s="15">
        <f t="shared" si="113"/>
        <v>400</v>
      </c>
      <c r="X2739" s="36"/>
      <c r="Y2739" s="36"/>
      <c r="Z2739" s="36"/>
      <c r="AA2739" s="36"/>
      <c r="AB2739" s="36"/>
      <c r="AC2739" s="36"/>
      <c r="AD2739" s="36"/>
      <c r="AE2739" s="36"/>
      <c r="AF2739" s="36"/>
      <c r="AG2739" s="36"/>
      <c r="AH2739" s="36"/>
      <c r="AI2739" s="36"/>
      <c r="AJ2739" s="15">
        <f t="shared" si="114"/>
        <v>0</v>
      </c>
      <c r="AK2739" s="16"/>
    </row>
    <row r="2740" spans="2:38" x14ac:dyDescent="0.2">
      <c r="B2740" s="7"/>
      <c r="C2740" s="8">
        <v>13288</v>
      </c>
      <c r="D2740" s="9" t="s">
        <v>3190</v>
      </c>
      <c r="E2740" s="341" t="str">
        <f t="shared" ref="E2740" si="115">IF(D2740=0,"",VLOOKUP(D2740,BASE,2,FALSE))</f>
        <v>Rancho La Cuchilla No. 103</v>
      </c>
      <c r="F2740" s="341" t="str">
        <f>IF(D2740=0,"",VLOOKUP(D2740,BASE,3,FALSE))</f>
        <v>Bernal</v>
      </c>
      <c r="G2740" s="8">
        <v>5</v>
      </c>
      <c r="H2740" s="11">
        <v>100</v>
      </c>
      <c r="I2740" s="12">
        <v>42701</v>
      </c>
      <c r="J2740" s="35">
        <f t="shared" si="112"/>
        <v>0</v>
      </c>
      <c r="K2740" s="36"/>
      <c r="L2740" s="36"/>
      <c r="M2740" s="36"/>
      <c r="N2740" s="36"/>
      <c r="O2740" s="36"/>
      <c r="P2740" s="36"/>
      <c r="Q2740" s="36"/>
      <c r="R2740" s="36"/>
      <c r="S2740" s="36"/>
      <c r="T2740" s="36"/>
      <c r="U2740" s="36"/>
      <c r="V2740" s="36"/>
      <c r="W2740" s="15">
        <f t="shared" si="113"/>
        <v>0</v>
      </c>
      <c r="X2740" s="36"/>
      <c r="Y2740" s="36"/>
      <c r="Z2740" s="36"/>
      <c r="AA2740" s="36"/>
      <c r="AB2740" s="36"/>
      <c r="AC2740" s="36"/>
      <c r="AD2740" s="36"/>
      <c r="AE2740" s="36"/>
      <c r="AF2740" s="36"/>
      <c r="AG2740" s="36"/>
      <c r="AH2740" s="36"/>
      <c r="AI2740" s="36"/>
      <c r="AJ2740" s="15">
        <f t="shared" si="114"/>
        <v>0</v>
      </c>
      <c r="AK2740" s="16"/>
    </row>
    <row r="2741" spans="2:38" x14ac:dyDescent="0.2">
      <c r="B2741" s="7"/>
      <c r="C2741" s="8">
        <v>13289</v>
      </c>
      <c r="D2741" s="9" t="s">
        <v>322</v>
      </c>
      <c r="E2741" s="10" t="s">
        <v>323</v>
      </c>
      <c r="F2741" s="10" t="s">
        <v>324</v>
      </c>
      <c r="G2741" s="8">
        <v>1</v>
      </c>
      <c r="H2741" s="11">
        <v>400</v>
      </c>
      <c r="I2741" s="12">
        <v>42701</v>
      </c>
      <c r="J2741" s="35">
        <f t="shared" si="112"/>
        <v>0</v>
      </c>
      <c r="K2741" s="36"/>
      <c r="L2741" s="36"/>
      <c r="M2741" s="36"/>
      <c r="N2741" s="36"/>
      <c r="O2741" s="36"/>
      <c r="P2741" s="36"/>
      <c r="Q2741" s="36"/>
      <c r="R2741" s="36"/>
      <c r="S2741" s="36"/>
      <c r="T2741" s="36"/>
      <c r="U2741" s="36"/>
      <c r="V2741" s="36"/>
      <c r="W2741" s="15">
        <f t="shared" si="113"/>
        <v>0</v>
      </c>
      <c r="X2741" s="36"/>
      <c r="Y2741" s="36"/>
      <c r="Z2741" s="36"/>
      <c r="AA2741" s="36"/>
      <c r="AB2741" s="36"/>
      <c r="AC2741" s="36"/>
      <c r="AD2741" s="36"/>
      <c r="AE2741" s="36"/>
      <c r="AF2741" s="36"/>
      <c r="AG2741" s="36"/>
      <c r="AH2741" s="36">
        <v>400</v>
      </c>
      <c r="AI2741" s="36"/>
      <c r="AJ2741" s="15">
        <f t="shared" si="114"/>
        <v>400</v>
      </c>
      <c r="AK2741" s="16"/>
    </row>
    <row r="2742" spans="2:38" x14ac:dyDescent="0.2">
      <c r="B2742" s="7"/>
      <c r="C2742" s="8">
        <v>13290</v>
      </c>
      <c r="D2742" s="9" t="s">
        <v>295</v>
      </c>
      <c r="E2742" s="10" t="s">
        <v>296</v>
      </c>
      <c r="F2742" s="10" t="s">
        <v>297</v>
      </c>
      <c r="G2742" s="8">
        <v>1</v>
      </c>
      <c r="H2742" s="11">
        <v>300</v>
      </c>
      <c r="I2742" s="12">
        <v>42701</v>
      </c>
      <c r="J2742" s="35">
        <f t="shared" si="112"/>
        <v>0</v>
      </c>
      <c r="K2742" s="36"/>
      <c r="L2742" s="36"/>
      <c r="M2742" s="36"/>
      <c r="N2742" s="36"/>
      <c r="O2742" s="36"/>
      <c r="P2742" s="36"/>
      <c r="Q2742" s="36"/>
      <c r="R2742" s="36"/>
      <c r="S2742" s="36"/>
      <c r="T2742" s="36"/>
      <c r="U2742" s="36">
        <v>300</v>
      </c>
      <c r="V2742" s="36"/>
      <c r="W2742" s="15">
        <f t="shared" si="113"/>
        <v>300</v>
      </c>
      <c r="X2742" s="36"/>
      <c r="Y2742" s="36"/>
      <c r="Z2742" s="36"/>
      <c r="AA2742" s="36"/>
      <c r="AB2742" s="36"/>
      <c r="AC2742" s="36"/>
      <c r="AD2742" s="36"/>
      <c r="AE2742" s="36"/>
      <c r="AF2742" s="36"/>
      <c r="AG2742" s="36"/>
      <c r="AH2742" s="36"/>
      <c r="AI2742" s="36"/>
      <c r="AJ2742" s="15">
        <f t="shared" si="114"/>
        <v>0</v>
      </c>
      <c r="AK2742" s="16"/>
    </row>
    <row r="2743" spans="2:38" x14ac:dyDescent="0.2">
      <c r="B2743" s="7"/>
      <c r="C2743" s="8">
        <v>13291</v>
      </c>
      <c r="D2743" s="9" t="s">
        <v>509</v>
      </c>
      <c r="E2743" s="10" t="s">
        <v>510</v>
      </c>
      <c r="F2743" s="10" t="s">
        <v>511</v>
      </c>
      <c r="G2743" s="8">
        <v>1</v>
      </c>
      <c r="H2743" s="11">
        <v>300</v>
      </c>
      <c r="I2743" s="12">
        <v>42701</v>
      </c>
      <c r="J2743" s="35">
        <f t="shared" si="112"/>
        <v>0</v>
      </c>
      <c r="K2743" s="36"/>
      <c r="L2743" s="36"/>
      <c r="M2743" s="36"/>
      <c r="N2743" s="36"/>
      <c r="O2743" s="36"/>
      <c r="P2743" s="36"/>
      <c r="Q2743" s="36"/>
      <c r="R2743" s="36"/>
      <c r="S2743" s="36"/>
      <c r="T2743" s="36"/>
      <c r="U2743" s="36">
        <v>300</v>
      </c>
      <c r="V2743" s="36"/>
      <c r="W2743" s="15">
        <f t="shared" si="113"/>
        <v>300</v>
      </c>
      <c r="X2743" s="36"/>
      <c r="Y2743" s="36"/>
      <c r="Z2743" s="36"/>
      <c r="AA2743" s="36"/>
      <c r="AB2743" s="36"/>
      <c r="AC2743" s="36"/>
      <c r="AD2743" s="36"/>
      <c r="AE2743" s="36"/>
      <c r="AF2743" s="36"/>
      <c r="AG2743" s="36"/>
      <c r="AH2743" s="36"/>
      <c r="AI2743" s="36"/>
      <c r="AJ2743" s="15">
        <f t="shared" si="114"/>
        <v>0</v>
      </c>
      <c r="AK2743" s="16"/>
    </row>
    <row r="2744" spans="2:38" x14ac:dyDescent="0.2">
      <c r="B2744" s="7"/>
      <c r="C2744" s="8">
        <v>13292</v>
      </c>
      <c r="D2744" s="9" t="s">
        <v>512</v>
      </c>
      <c r="E2744" s="10" t="s">
        <v>513</v>
      </c>
      <c r="F2744" s="10" t="s">
        <v>511</v>
      </c>
      <c r="G2744" s="8">
        <v>1</v>
      </c>
      <c r="H2744" s="11">
        <v>400</v>
      </c>
      <c r="I2744" s="12">
        <v>42701</v>
      </c>
      <c r="J2744" s="35">
        <f t="shared" si="112"/>
        <v>0</v>
      </c>
      <c r="K2744" s="36"/>
      <c r="L2744" s="36"/>
      <c r="M2744" s="36"/>
      <c r="N2744" s="36"/>
      <c r="O2744" s="36"/>
      <c r="P2744" s="36"/>
      <c r="Q2744" s="36"/>
      <c r="R2744" s="36"/>
      <c r="S2744" s="36"/>
      <c r="T2744" s="36">
        <v>400</v>
      </c>
      <c r="U2744" s="36"/>
      <c r="V2744" s="36"/>
      <c r="W2744" s="15">
        <f t="shared" si="113"/>
        <v>400</v>
      </c>
      <c r="X2744" s="36"/>
      <c r="Y2744" s="36"/>
      <c r="Z2744" s="36"/>
      <c r="AA2744" s="36"/>
      <c r="AB2744" s="36"/>
      <c r="AC2744" s="36"/>
      <c r="AD2744" s="36"/>
      <c r="AE2744" s="36"/>
      <c r="AF2744" s="36"/>
      <c r="AG2744" s="36"/>
      <c r="AH2744" s="36"/>
      <c r="AI2744" s="36"/>
      <c r="AJ2744" s="15">
        <f t="shared" si="114"/>
        <v>0</v>
      </c>
      <c r="AK2744" s="16"/>
    </row>
    <row r="2745" spans="2:38" x14ac:dyDescent="0.2">
      <c r="B2745" s="7"/>
      <c r="C2745" s="8">
        <v>13293</v>
      </c>
      <c r="D2745" s="9" t="s">
        <v>346</v>
      </c>
      <c r="E2745" s="10" t="s">
        <v>347</v>
      </c>
      <c r="F2745" s="10" t="s">
        <v>348</v>
      </c>
      <c r="G2745" s="8">
        <v>1</v>
      </c>
      <c r="H2745" s="11">
        <v>300</v>
      </c>
      <c r="I2745" s="12">
        <v>42701</v>
      </c>
      <c r="J2745" s="35">
        <f t="shared" si="112"/>
        <v>0</v>
      </c>
      <c r="K2745" s="36"/>
      <c r="L2745" s="36"/>
      <c r="M2745" s="36"/>
      <c r="N2745" s="36"/>
      <c r="O2745" s="36"/>
      <c r="P2745" s="36"/>
      <c r="Q2745" s="36"/>
      <c r="R2745" s="36"/>
      <c r="S2745" s="36"/>
      <c r="T2745" s="36"/>
      <c r="U2745" s="36"/>
      <c r="V2745" s="36">
        <v>300</v>
      </c>
      <c r="W2745" s="15">
        <f t="shared" si="113"/>
        <v>300</v>
      </c>
      <c r="X2745" s="36"/>
      <c r="Y2745" s="36"/>
      <c r="Z2745" s="36"/>
      <c r="AA2745" s="36"/>
      <c r="AB2745" s="36"/>
      <c r="AC2745" s="36"/>
      <c r="AD2745" s="36"/>
      <c r="AE2745" s="36"/>
      <c r="AF2745" s="36"/>
      <c r="AG2745" s="36"/>
      <c r="AH2745" s="36"/>
      <c r="AI2745" s="36"/>
      <c r="AJ2745" s="15">
        <f t="shared" si="114"/>
        <v>0</v>
      </c>
      <c r="AK2745" s="16"/>
    </row>
    <row r="2746" spans="2:38" x14ac:dyDescent="0.2">
      <c r="B2746" s="7"/>
      <c r="C2746" s="8">
        <v>13294</v>
      </c>
      <c r="D2746" s="9" t="s">
        <v>559</v>
      </c>
      <c r="E2746" s="10" t="s">
        <v>560</v>
      </c>
      <c r="F2746" s="10" t="s">
        <v>561</v>
      </c>
      <c r="G2746" s="8">
        <v>1</v>
      </c>
      <c r="H2746" s="11">
        <v>4400</v>
      </c>
      <c r="I2746" s="12">
        <v>42701</v>
      </c>
      <c r="J2746" s="35">
        <f t="shared" si="112"/>
        <v>0</v>
      </c>
      <c r="K2746" s="36"/>
      <c r="L2746" s="36"/>
      <c r="M2746" s="36"/>
      <c r="N2746" s="36"/>
      <c r="O2746" s="36"/>
      <c r="P2746" s="36"/>
      <c r="Q2746" s="36"/>
      <c r="R2746" s="36"/>
      <c r="S2746" s="36"/>
      <c r="T2746" s="36"/>
      <c r="U2746" s="36"/>
      <c r="V2746" s="36"/>
      <c r="W2746" s="15">
        <f t="shared" si="113"/>
        <v>0</v>
      </c>
      <c r="X2746" s="36">
        <v>400</v>
      </c>
      <c r="Y2746" s="36">
        <v>400</v>
      </c>
      <c r="Z2746" s="36">
        <v>400</v>
      </c>
      <c r="AA2746" s="36">
        <v>400</v>
      </c>
      <c r="AB2746" s="36">
        <v>400</v>
      </c>
      <c r="AC2746" s="36">
        <v>400</v>
      </c>
      <c r="AD2746" s="36">
        <v>400</v>
      </c>
      <c r="AE2746" s="36">
        <v>400</v>
      </c>
      <c r="AF2746" s="36">
        <v>400</v>
      </c>
      <c r="AG2746" s="36">
        <v>400</v>
      </c>
      <c r="AH2746" s="36">
        <v>400</v>
      </c>
      <c r="AI2746" s="36"/>
      <c r="AJ2746" s="15">
        <f t="shared" si="114"/>
        <v>4400</v>
      </c>
      <c r="AK2746" s="16" t="s">
        <v>3188</v>
      </c>
      <c r="AL2746" t="s">
        <v>3191</v>
      </c>
    </row>
    <row r="2747" spans="2:38" x14ac:dyDescent="0.2">
      <c r="B2747" s="7"/>
      <c r="C2747" s="8">
        <v>13295</v>
      </c>
      <c r="D2747" s="9" t="s">
        <v>325</v>
      </c>
      <c r="E2747" s="10" t="s">
        <v>326</v>
      </c>
      <c r="F2747" s="10" t="s">
        <v>327</v>
      </c>
      <c r="G2747" s="8">
        <v>1</v>
      </c>
      <c r="H2747" s="11">
        <v>800</v>
      </c>
      <c r="I2747" s="12">
        <v>42701</v>
      </c>
      <c r="J2747" s="35">
        <f t="shared" si="112"/>
        <v>0</v>
      </c>
      <c r="K2747" s="36"/>
      <c r="L2747" s="36"/>
      <c r="M2747" s="36"/>
      <c r="N2747" s="36"/>
      <c r="O2747" s="36"/>
      <c r="P2747" s="36"/>
      <c r="Q2747" s="36"/>
      <c r="R2747" s="36"/>
      <c r="S2747" s="36"/>
      <c r="T2747" s="36"/>
      <c r="U2747" s="36">
        <v>400</v>
      </c>
      <c r="V2747" s="36">
        <v>400</v>
      </c>
      <c r="W2747" s="15">
        <f t="shared" si="113"/>
        <v>800</v>
      </c>
      <c r="X2747" s="36"/>
      <c r="Y2747" s="36"/>
      <c r="Z2747" s="36"/>
      <c r="AA2747" s="36"/>
      <c r="AB2747" s="36"/>
      <c r="AC2747" s="36"/>
      <c r="AD2747" s="36"/>
      <c r="AE2747" s="36"/>
      <c r="AF2747" s="36"/>
      <c r="AG2747" s="36"/>
      <c r="AH2747" s="36"/>
      <c r="AI2747" s="36"/>
      <c r="AJ2747" s="15">
        <f t="shared" si="114"/>
        <v>0</v>
      </c>
      <c r="AK2747" s="16"/>
    </row>
    <row r="2748" spans="2:38" x14ac:dyDescent="0.2">
      <c r="B2748" s="7"/>
      <c r="C2748" s="8">
        <v>13296</v>
      </c>
      <c r="D2748" s="9" t="s">
        <v>589</v>
      </c>
      <c r="E2748" s="10" t="s">
        <v>590</v>
      </c>
      <c r="F2748" s="10" t="s">
        <v>591</v>
      </c>
      <c r="G2748" s="8">
        <v>1</v>
      </c>
      <c r="H2748" s="11">
        <v>1200</v>
      </c>
      <c r="I2748" s="12">
        <v>42701</v>
      </c>
      <c r="J2748" s="35">
        <f t="shared" si="112"/>
        <v>0</v>
      </c>
      <c r="K2748" s="36"/>
      <c r="L2748" s="36"/>
      <c r="M2748" s="36"/>
      <c r="N2748" s="36"/>
      <c r="O2748" s="36"/>
      <c r="P2748" s="36"/>
      <c r="Q2748" s="36"/>
      <c r="R2748" s="36"/>
      <c r="S2748" s="36"/>
      <c r="T2748" s="36">
        <v>400</v>
      </c>
      <c r="U2748" s="36">
        <v>400</v>
      </c>
      <c r="V2748" s="36">
        <v>400</v>
      </c>
      <c r="W2748" s="15">
        <f t="shared" si="113"/>
        <v>1200</v>
      </c>
      <c r="X2748" s="36"/>
      <c r="Y2748" s="36"/>
      <c r="Z2748" s="36"/>
      <c r="AA2748" s="36"/>
      <c r="AB2748" s="36"/>
      <c r="AC2748" s="36"/>
      <c r="AD2748" s="36"/>
      <c r="AE2748" s="36"/>
      <c r="AF2748" s="36"/>
      <c r="AG2748" s="36"/>
      <c r="AH2748" s="36"/>
      <c r="AI2748" s="36"/>
      <c r="AJ2748" s="15">
        <f t="shared" si="114"/>
        <v>0</v>
      </c>
      <c r="AK2748" s="16"/>
    </row>
    <row r="2749" spans="2:38" x14ac:dyDescent="0.2">
      <c r="B2749" s="7"/>
      <c r="C2749" s="8">
        <v>13297</v>
      </c>
      <c r="D2749" s="9" t="s">
        <v>1192</v>
      </c>
      <c r="E2749" s="10" t="s">
        <v>1193</v>
      </c>
      <c r="F2749" s="10" t="s">
        <v>1194</v>
      </c>
      <c r="G2749" s="8">
        <v>1</v>
      </c>
      <c r="H2749" s="11">
        <v>400</v>
      </c>
      <c r="I2749" s="12">
        <v>42701</v>
      </c>
      <c r="J2749" s="35">
        <f t="shared" si="112"/>
        <v>0</v>
      </c>
      <c r="K2749" s="36"/>
      <c r="L2749" s="36"/>
      <c r="M2749" s="36"/>
      <c r="N2749" s="36"/>
      <c r="O2749" s="36"/>
      <c r="P2749" s="36"/>
      <c r="Q2749" s="36"/>
      <c r="R2749" s="36"/>
      <c r="S2749" s="36"/>
      <c r="T2749" s="36"/>
      <c r="U2749" s="36">
        <v>400</v>
      </c>
      <c r="V2749" s="36"/>
      <c r="W2749" s="15">
        <f t="shared" si="113"/>
        <v>400</v>
      </c>
      <c r="X2749" s="36"/>
      <c r="Y2749" s="36"/>
      <c r="Z2749" s="36"/>
      <c r="AA2749" s="36"/>
      <c r="AB2749" s="36"/>
      <c r="AC2749" s="36"/>
      <c r="AD2749" s="36"/>
      <c r="AE2749" s="36"/>
      <c r="AF2749" s="36"/>
      <c r="AG2749" s="36"/>
      <c r="AH2749" s="36"/>
      <c r="AI2749" s="36"/>
      <c r="AJ2749" s="15">
        <f t="shared" si="114"/>
        <v>0</v>
      </c>
      <c r="AK2749" s="16"/>
    </row>
    <row r="2750" spans="2:38" x14ac:dyDescent="0.2">
      <c r="B2750" s="7"/>
      <c r="C2750" s="8">
        <v>13298</v>
      </c>
      <c r="D2750" s="9" t="s">
        <v>316</v>
      </c>
      <c r="E2750" s="10" t="s">
        <v>317</v>
      </c>
      <c r="F2750" s="10" t="s">
        <v>318</v>
      </c>
      <c r="G2750" s="8">
        <v>1</v>
      </c>
      <c r="H2750" s="11">
        <v>300</v>
      </c>
      <c r="I2750" s="12">
        <v>42701</v>
      </c>
      <c r="J2750" s="35">
        <f t="shared" si="112"/>
        <v>0</v>
      </c>
      <c r="K2750" s="36"/>
      <c r="L2750" s="36"/>
      <c r="M2750" s="36"/>
      <c r="N2750" s="36"/>
      <c r="O2750" s="36"/>
      <c r="P2750" s="36"/>
      <c r="Q2750" s="36">
        <v>100</v>
      </c>
      <c r="R2750" s="36">
        <v>100</v>
      </c>
      <c r="S2750" s="36">
        <v>100</v>
      </c>
      <c r="T2750" s="36"/>
      <c r="U2750" s="36"/>
      <c r="V2750" s="36"/>
      <c r="W2750" s="15">
        <f t="shared" si="113"/>
        <v>300</v>
      </c>
      <c r="X2750" s="36"/>
      <c r="Y2750" s="36"/>
      <c r="Z2750" s="36"/>
      <c r="AA2750" s="36"/>
      <c r="AB2750" s="36"/>
      <c r="AC2750" s="36"/>
      <c r="AD2750" s="36"/>
      <c r="AE2750" s="36"/>
      <c r="AF2750" s="36"/>
      <c r="AG2750" s="36"/>
      <c r="AH2750" s="36"/>
      <c r="AI2750" s="36"/>
      <c r="AJ2750" s="15">
        <f t="shared" si="114"/>
        <v>0</v>
      </c>
      <c r="AK2750" s="16"/>
    </row>
    <row r="2751" spans="2:38" x14ac:dyDescent="0.2">
      <c r="B2751" s="7"/>
      <c r="C2751" s="8">
        <v>13299</v>
      </c>
      <c r="D2751" s="9" t="s">
        <v>319</v>
      </c>
      <c r="E2751" s="10" t="s">
        <v>320</v>
      </c>
      <c r="F2751" s="10" t="s">
        <v>321</v>
      </c>
      <c r="G2751" s="8">
        <v>1</v>
      </c>
      <c r="H2751" s="11">
        <v>300</v>
      </c>
      <c r="I2751" s="12">
        <v>42701</v>
      </c>
      <c r="J2751" s="35">
        <f t="shared" si="112"/>
        <v>0</v>
      </c>
      <c r="K2751" s="36"/>
      <c r="L2751" s="36"/>
      <c r="M2751" s="36"/>
      <c r="N2751" s="36"/>
      <c r="O2751" s="36"/>
      <c r="P2751" s="36"/>
      <c r="Q2751" s="36">
        <v>100</v>
      </c>
      <c r="R2751" s="36">
        <v>100</v>
      </c>
      <c r="S2751" s="36">
        <v>100</v>
      </c>
      <c r="T2751" s="36"/>
      <c r="U2751" s="36"/>
      <c r="V2751" s="36"/>
      <c r="W2751" s="15">
        <f t="shared" si="113"/>
        <v>300</v>
      </c>
      <c r="X2751" s="36"/>
      <c r="Y2751" s="36"/>
      <c r="Z2751" s="36"/>
      <c r="AA2751" s="36"/>
      <c r="AB2751" s="36"/>
      <c r="AC2751" s="36"/>
      <c r="AD2751" s="36"/>
      <c r="AE2751" s="36"/>
      <c r="AF2751" s="36"/>
      <c r="AG2751" s="36"/>
      <c r="AH2751" s="36"/>
      <c r="AI2751" s="36"/>
      <c r="AJ2751" s="15">
        <f t="shared" si="114"/>
        <v>0</v>
      </c>
      <c r="AK2751" s="16"/>
    </row>
    <row r="2752" spans="2:38" x14ac:dyDescent="0.2">
      <c r="B2752" s="7"/>
      <c r="C2752" s="8">
        <v>13300</v>
      </c>
      <c r="D2752" s="9" t="s">
        <v>316</v>
      </c>
      <c r="E2752" s="10" t="s">
        <v>317</v>
      </c>
      <c r="F2752" s="10" t="s">
        <v>318</v>
      </c>
      <c r="G2752" s="8">
        <v>5</v>
      </c>
      <c r="H2752" s="11">
        <v>100</v>
      </c>
      <c r="I2752" s="12">
        <v>42701</v>
      </c>
      <c r="J2752" s="35">
        <f t="shared" si="112"/>
        <v>0</v>
      </c>
      <c r="K2752" s="36"/>
      <c r="L2752" s="36"/>
      <c r="M2752" s="36"/>
      <c r="N2752" s="36"/>
      <c r="O2752" s="36"/>
      <c r="P2752" s="36"/>
      <c r="Q2752" s="36"/>
      <c r="R2752" s="36"/>
      <c r="S2752" s="36"/>
      <c r="T2752" s="36"/>
      <c r="U2752" s="36"/>
      <c r="V2752" s="36"/>
      <c r="W2752" s="15">
        <f t="shared" si="113"/>
        <v>0</v>
      </c>
      <c r="X2752" s="36"/>
      <c r="Y2752" s="36"/>
      <c r="Z2752" s="36"/>
      <c r="AA2752" s="36"/>
      <c r="AB2752" s="36"/>
      <c r="AC2752" s="36"/>
      <c r="AD2752" s="36"/>
      <c r="AE2752" s="36"/>
      <c r="AF2752" s="36"/>
      <c r="AG2752" s="36"/>
      <c r="AH2752" s="36"/>
      <c r="AI2752" s="36"/>
      <c r="AJ2752" s="15">
        <f t="shared" si="114"/>
        <v>0</v>
      </c>
      <c r="AK2752" s="16"/>
    </row>
    <row r="2753" spans="2:37" x14ac:dyDescent="0.2">
      <c r="B2753" s="7"/>
      <c r="C2753" s="8">
        <v>13301</v>
      </c>
      <c r="D2753" s="9" t="s">
        <v>1095</v>
      </c>
      <c r="E2753" s="10" t="s">
        <v>1096</v>
      </c>
      <c r="F2753" s="10" t="s">
        <v>765</v>
      </c>
      <c r="G2753" s="8">
        <v>1</v>
      </c>
      <c r="H2753" s="11">
        <v>500</v>
      </c>
      <c r="I2753" s="12">
        <v>42701</v>
      </c>
      <c r="J2753" s="35">
        <f t="shared" si="112"/>
        <v>0</v>
      </c>
      <c r="K2753" s="36"/>
      <c r="L2753" s="36"/>
      <c r="M2753" s="36"/>
      <c r="N2753" s="36"/>
      <c r="O2753" s="36"/>
      <c r="P2753" s="36"/>
      <c r="Q2753" s="36"/>
      <c r="R2753" s="36"/>
      <c r="S2753" s="36">
        <v>250</v>
      </c>
      <c r="T2753" s="36">
        <v>250</v>
      </c>
      <c r="U2753" s="36"/>
      <c r="V2753" s="36"/>
      <c r="W2753" s="15">
        <f t="shared" si="113"/>
        <v>500</v>
      </c>
      <c r="X2753" s="36"/>
      <c r="Y2753" s="36"/>
      <c r="Z2753" s="36"/>
      <c r="AA2753" s="36"/>
      <c r="AB2753" s="36"/>
      <c r="AC2753" s="36"/>
      <c r="AD2753" s="36"/>
      <c r="AE2753" s="36"/>
      <c r="AF2753" s="36"/>
      <c r="AG2753" s="36"/>
      <c r="AH2753" s="36"/>
      <c r="AI2753" s="36"/>
      <c r="AJ2753" s="15">
        <f t="shared" si="114"/>
        <v>0</v>
      </c>
      <c r="AK2753" s="16"/>
    </row>
    <row r="2754" spans="2:37" x14ac:dyDescent="0.2">
      <c r="B2754" s="7"/>
      <c r="C2754" s="8">
        <v>13302</v>
      </c>
      <c r="D2754" s="9" t="s">
        <v>837</v>
      </c>
      <c r="E2754" s="10" t="s">
        <v>838</v>
      </c>
      <c r="F2754" s="10" t="s">
        <v>839</v>
      </c>
      <c r="G2754" s="8">
        <v>1</v>
      </c>
      <c r="H2754" s="11">
        <v>1200</v>
      </c>
      <c r="I2754" s="12">
        <v>42701</v>
      </c>
      <c r="J2754" s="35">
        <f t="shared" si="112"/>
        <v>0</v>
      </c>
      <c r="K2754" s="36"/>
      <c r="L2754" s="36"/>
      <c r="M2754" s="36"/>
      <c r="N2754" s="36"/>
      <c r="O2754" s="36"/>
      <c r="P2754" s="36"/>
      <c r="Q2754" s="36"/>
      <c r="R2754" s="36"/>
      <c r="S2754" s="36"/>
      <c r="T2754" s="36">
        <v>400</v>
      </c>
      <c r="U2754" s="36">
        <v>400</v>
      </c>
      <c r="V2754" s="36">
        <v>400</v>
      </c>
      <c r="W2754" s="15">
        <f t="shared" si="113"/>
        <v>1200</v>
      </c>
      <c r="X2754" s="36"/>
      <c r="Y2754" s="36"/>
      <c r="Z2754" s="36"/>
      <c r="AA2754" s="36"/>
      <c r="AB2754" s="36"/>
      <c r="AC2754" s="36"/>
      <c r="AD2754" s="36"/>
      <c r="AE2754" s="36"/>
      <c r="AF2754" s="36"/>
      <c r="AG2754" s="36"/>
      <c r="AH2754" s="36"/>
      <c r="AI2754" s="36"/>
      <c r="AJ2754" s="15">
        <f t="shared" si="114"/>
        <v>0</v>
      </c>
      <c r="AK2754" s="16"/>
    </row>
    <row r="2755" spans="2:37" x14ac:dyDescent="0.2">
      <c r="B2755" s="7"/>
      <c r="C2755" s="8">
        <v>13303</v>
      </c>
      <c r="D2755" s="9" t="s">
        <v>725</v>
      </c>
      <c r="E2755" s="10" t="s">
        <v>726</v>
      </c>
      <c r="F2755" s="10" t="s">
        <v>727</v>
      </c>
      <c r="G2755" s="8">
        <v>1</v>
      </c>
      <c r="H2755" s="11">
        <v>800</v>
      </c>
      <c r="I2755" s="12">
        <v>42701</v>
      </c>
      <c r="J2755" s="35">
        <f t="shared" si="112"/>
        <v>0</v>
      </c>
      <c r="K2755" s="36"/>
      <c r="L2755" s="36"/>
      <c r="M2755" s="36"/>
      <c r="N2755" s="36"/>
      <c r="O2755" s="36"/>
      <c r="P2755" s="36"/>
      <c r="Q2755" s="36"/>
      <c r="R2755" s="36"/>
      <c r="S2755" s="36"/>
      <c r="T2755" s="36">
        <v>400</v>
      </c>
      <c r="U2755" s="36">
        <v>400</v>
      </c>
      <c r="V2755" s="36"/>
      <c r="W2755" s="15">
        <f t="shared" si="113"/>
        <v>800</v>
      </c>
      <c r="X2755" s="36"/>
      <c r="Y2755" s="36"/>
      <c r="Z2755" s="36"/>
      <c r="AA2755" s="36"/>
      <c r="AB2755" s="36"/>
      <c r="AC2755" s="36"/>
      <c r="AD2755" s="36"/>
      <c r="AE2755" s="36"/>
      <c r="AF2755" s="36"/>
      <c r="AG2755" s="36"/>
      <c r="AH2755" s="36"/>
      <c r="AI2755" s="36"/>
      <c r="AJ2755" s="15">
        <f t="shared" si="114"/>
        <v>0</v>
      </c>
      <c r="AK2755" s="16"/>
    </row>
    <row r="2756" spans="2:37" x14ac:dyDescent="0.2">
      <c r="B2756" s="7"/>
      <c r="C2756" s="8">
        <v>13304</v>
      </c>
      <c r="D2756" s="9" t="s">
        <v>87</v>
      </c>
      <c r="E2756" s="10" t="s">
        <v>88</v>
      </c>
      <c r="F2756" s="10" t="s">
        <v>89</v>
      </c>
      <c r="G2756" s="8">
        <v>5</v>
      </c>
      <c r="H2756" s="11">
        <v>100</v>
      </c>
      <c r="I2756" s="12">
        <v>42701</v>
      </c>
      <c r="J2756" s="35">
        <f t="shared" si="112"/>
        <v>0</v>
      </c>
      <c r="K2756" s="36"/>
      <c r="L2756" s="36"/>
      <c r="M2756" s="36"/>
      <c r="N2756" s="36"/>
      <c r="O2756" s="36"/>
      <c r="P2756" s="36"/>
      <c r="Q2756" s="36"/>
      <c r="R2756" s="36"/>
      <c r="S2756" s="36"/>
      <c r="T2756" s="36"/>
      <c r="U2756" s="36"/>
      <c r="V2756" s="36"/>
      <c r="W2756" s="15">
        <f t="shared" si="113"/>
        <v>0</v>
      </c>
      <c r="X2756" s="36"/>
      <c r="Y2756" s="36"/>
      <c r="Z2756" s="36"/>
      <c r="AA2756" s="36"/>
      <c r="AB2756" s="36"/>
      <c r="AC2756" s="36"/>
      <c r="AD2756" s="36"/>
      <c r="AE2756" s="36"/>
      <c r="AF2756" s="36"/>
      <c r="AG2756" s="36"/>
      <c r="AH2756" s="36"/>
      <c r="AI2756" s="36"/>
      <c r="AJ2756" s="15">
        <f t="shared" si="114"/>
        <v>0</v>
      </c>
      <c r="AK2756" s="16"/>
    </row>
    <row r="2757" spans="2:37" x14ac:dyDescent="0.2">
      <c r="B2757" s="7"/>
      <c r="C2757" s="8">
        <v>13305</v>
      </c>
      <c r="D2757" s="9" t="s">
        <v>364</v>
      </c>
      <c r="E2757" s="10" t="s">
        <v>365</v>
      </c>
      <c r="F2757" s="10" t="s">
        <v>366</v>
      </c>
      <c r="G2757" s="8">
        <v>1</v>
      </c>
      <c r="H2757" s="11">
        <v>900</v>
      </c>
      <c r="I2757" s="12">
        <v>42701</v>
      </c>
      <c r="J2757" s="35">
        <f t="shared" si="112"/>
        <v>0</v>
      </c>
      <c r="K2757" s="36"/>
      <c r="L2757" s="36"/>
      <c r="M2757" s="36"/>
      <c r="N2757" s="36"/>
      <c r="O2757" s="36"/>
      <c r="P2757" s="36"/>
      <c r="Q2757" s="36"/>
      <c r="R2757" s="36"/>
      <c r="S2757" s="36">
        <v>300</v>
      </c>
      <c r="T2757" s="36">
        <v>300</v>
      </c>
      <c r="U2757" s="36">
        <v>300</v>
      </c>
      <c r="V2757" s="36"/>
      <c r="W2757" s="15">
        <f t="shared" si="113"/>
        <v>900</v>
      </c>
      <c r="X2757" s="36"/>
      <c r="Y2757" s="36"/>
      <c r="Z2757" s="36"/>
      <c r="AA2757" s="36"/>
      <c r="AB2757" s="36"/>
      <c r="AC2757" s="36"/>
      <c r="AD2757" s="36"/>
      <c r="AE2757" s="36"/>
      <c r="AF2757" s="36"/>
      <c r="AG2757" s="36"/>
      <c r="AH2757" s="36"/>
      <c r="AI2757" s="36"/>
      <c r="AJ2757" s="15">
        <f t="shared" si="114"/>
        <v>0</v>
      </c>
      <c r="AK2757" s="16"/>
    </row>
    <row r="2758" spans="2:37" x14ac:dyDescent="0.2">
      <c r="B2758" s="7"/>
      <c r="C2758" s="8">
        <v>13306</v>
      </c>
      <c r="D2758" s="9" t="s">
        <v>810</v>
      </c>
      <c r="E2758" s="10" t="s">
        <v>811</v>
      </c>
      <c r="F2758" s="10" t="s">
        <v>812</v>
      </c>
      <c r="G2758" s="8">
        <v>3</v>
      </c>
      <c r="H2758" s="11">
        <v>200</v>
      </c>
      <c r="I2758" s="12">
        <v>42701</v>
      </c>
      <c r="J2758" s="35">
        <f t="shared" si="112"/>
        <v>0</v>
      </c>
      <c r="K2758" s="36"/>
      <c r="L2758" s="36"/>
      <c r="M2758" s="36"/>
      <c r="N2758" s="36"/>
      <c r="O2758" s="36"/>
      <c r="P2758" s="36"/>
      <c r="Q2758" s="36"/>
      <c r="R2758" s="36"/>
      <c r="S2758" s="36"/>
      <c r="T2758" s="36"/>
      <c r="U2758" s="36"/>
      <c r="V2758" s="36"/>
      <c r="W2758" s="15">
        <f t="shared" si="113"/>
        <v>0</v>
      </c>
      <c r="X2758" s="36"/>
      <c r="Y2758" s="36"/>
      <c r="Z2758" s="36"/>
      <c r="AA2758" s="36"/>
      <c r="AB2758" s="36"/>
      <c r="AC2758" s="36"/>
      <c r="AD2758" s="36"/>
      <c r="AE2758" s="36"/>
      <c r="AF2758" s="36"/>
      <c r="AG2758" s="36"/>
      <c r="AH2758" s="36"/>
      <c r="AI2758" s="36"/>
      <c r="AJ2758" s="15">
        <f t="shared" si="114"/>
        <v>0</v>
      </c>
      <c r="AK2758" s="16"/>
    </row>
    <row r="2759" spans="2:37" x14ac:dyDescent="0.2">
      <c r="B2759" s="7"/>
      <c r="C2759" s="8">
        <v>13307</v>
      </c>
      <c r="D2759" s="9" t="s">
        <v>565</v>
      </c>
      <c r="E2759" s="10" t="s">
        <v>566</v>
      </c>
      <c r="F2759" s="10" t="s">
        <v>567</v>
      </c>
      <c r="G2759" s="8">
        <v>1</v>
      </c>
      <c r="H2759" s="11">
        <v>750</v>
      </c>
      <c r="I2759" s="12">
        <v>42701</v>
      </c>
      <c r="J2759" s="35">
        <f t="shared" si="112"/>
        <v>0</v>
      </c>
      <c r="K2759" s="36"/>
      <c r="L2759" s="36"/>
      <c r="M2759" s="36"/>
      <c r="N2759" s="36"/>
      <c r="O2759" s="36"/>
      <c r="P2759" s="36"/>
      <c r="Q2759" s="36"/>
      <c r="R2759" s="36"/>
      <c r="S2759" s="36">
        <v>250</v>
      </c>
      <c r="T2759" s="36">
        <v>250</v>
      </c>
      <c r="U2759" s="36">
        <v>250</v>
      </c>
      <c r="V2759" s="36"/>
      <c r="W2759" s="15">
        <f t="shared" si="113"/>
        <v>750</v>
      </c>
      <c r="X2759" s="36"/>
      <c r="Y2759" s="36"/>
      <c r="Z2759" s="36"/>
      <c r="AA2759" s="36"/>
      <c r="AB2759" s="36"/>
      <c r="AC2759" s="36"/>
      <c r="AD2759" s="36"/>
      <c r="AE2759" s="36"/>
      <c r="AF2759" s="36"/>
      <c r="AG2759" s="36"/>
      <c r="AH2759" s="36"/>
      <c r="AI2759" s="36"/>
      <c r="AJ2759" s="15">
        <f t="shared" si="114"/>
        <v>0</v>
      </c>
      <c r="AK2759" s="16"/>
    </row>
    <row r="2760" spans="2:37" x14ac:dyDescent="0.2">
      <c r="B2760" s="7"/>
      <c r="C2760" s="8">
        <v>13308</v>
      </c>
      <c r="D2760" s="9" t="s">
        <v>274</v>
      </c>
      <c r="E2760" s="10" t="s">
        <v>275</v>
      </c>
      <c r="F2760" s="10" t="s">
        <v>276</v>
      </c>
      <c r="G2760" s="8">
        <v>5</v>
      </c>
      <c r="H2760" s="11">
        <v>50</v>
      </c>
      <c r="I2760" s="12">
        <v>42701</v>
      </c>
      <c r="J2760" s="35">
        <f t="shared" si="112"/>
        <v>0</v>
      </c>
      <c r="K2760" s="36"/>
      <c r="L2760" s="36"/>
      <c r="M2760" s="36"/>
      <c r="N2760" s="36"/>
      <c r="O2760" s="36"/>
      <c r="P2760" s="36"/>
      <c r="Q2760" s="36"/>
      <c r="R2760" s="36"/>
      <c r="S2760" s="36"/>
      <c r="T2760" s="36"/>
      <c r="U2760" s="36"/>
      <c r="V2760" s="36"/>
      <c r="W2760" s="15">
        <f t="shared" si="113"/>
        <v>0</v>
      </c>
      <c r="X2760" s="36"/>
      <c r="Y2760" s="36"/>
      <c r="Z2760" s="36"/>
      <c r="AA2760" s="36"/>
      <c r="AB2760" s="36"/>
      <c r="AC2760" s="36"/>
      <c r="AD2760" s="36"/>
      <c r="AE2760" s="36"/>
      <c r="AF2760" s="36"/>
      <c r="AG2760" s="36"/>
      <c r="AH2760" s="36"/>
      <c r="AI2760" s="36"/>
      <c r="AJ2760" s="15">
        <f t="shared" si="114"/>
        <v>0</v>
      </c>
      <c r="AK2760" s="16"/>
    </row>
    <row r="2761" spans="2:37" x14ac:dyDescent="0.2">
      <c r="B2761" s="7"/>
      <c r="C2761" s="8">
        <v>13309</v>
      </c>
      <c r="D2761" s="9" t="s">
        <v>1167</v>
      </c>
      <c r="E2761" s="10" t="s">
        <v>1168</v>
      </c>
      <c r="F2761" s="10" t="s">
        <v>1169</v>
      </c>
      <c r="G2761" s="8">
        <v>1</v>
      </c>
      <c r="H2761" s="11">
        <v>400</v>
      </c>
      <c r="I2761" s="12">
        <v>42701</v>
      </c>
      <c r="J2761" s="35">
        <f t="shared" si="112"/>
        <v>0</v>
      </c>
      <c r="K2761" s="36"/>
      <c r="L2761" s="36"/>
      <c r="M2761" s="36"/>
      <c r="N2761" s="36"/>
      <c r="O2761" s="36"/>
      <c r="P2761" s="36"/>
      <c r="Q2761" s="36"/>
      <c r="R2761" s="36"/>
      <c r="S2761" s="36"/>
      <c r="T2761" s="36"/>
      <c r="U2761" s="36"/>
      <c r="V2761" s="36">
        <v>400</v>
      </c>
      <c r="W2761" s="15">
        <f t="shared" si="113"/>
        <v>400</v>
      </c>
      <c r="X2761" s="36"/>
      <c r="Y2761" s="36"/>
      <c r="Z2761" s="36"/>
      <c r="AA2761" s="36"/>
      <c r="AB2761" s="36"/>
      <c r="AC2761" s="36"/>
      <c r="AD2761" s="36"/>
      <c r="AE2761" s="36"/>
      <c r="AF2761" s="36"/>
      <c r="AG2761" s="36"/>
      <c r="AH2761" s="36"/>
      <c r="AI2761" s="36"/>
      <c r="AJ2761" s="15">
        <f t="shared" si="114"/>
        <v>0</v>
      </c>
      <c r="AK2761" s="16"/>
    </row>
    <row r="2762" spans="2:37" x14ac:dyDescent="0.2">
      <c r="B2762" s="7"/>
      <c r="C2762" s="8">
        <v>13310</v>
      </c>
      <c r="D2762" s="9" t="s">
        <v>800</v>
      </c>
      <c r="E2762" s="10" t="s">
        <v>801</v>
      </c>
      <c r="F2762" s="10" t="s">
        <v>802</v>
      </c>
      <c r="G2762" s="8">
        <v>1</v>
      </c>
      <c r="H2762" s="11">
        <v>1200</v>
      </c>
      <c r="I2762" s="12">
        <v>42701</v>
      </c>
      <c r="J2762" s="35">
        <f t="shared" si="112"/>
        <v>0</v>
      </c>
      <c r="K2762" s="36"/>
      <c r="L2762" s="36"/>
      <c r="M2762" s="36"/>
      <c r="N2762" s="36"/>
      <c r="O2762" s="36"/>
      <c r="P2762" s="36"/>
      <c r="Q2762" s="36"/>
      <c r="R2762" s="36"/>
      <c r="S2762" s="36">
        <v>400</v>
      </c>
      <c r="T2762" s="36">
        <v>400</v>
      </c>
      <c r="U2762" s="36">
        <v>400</v>
      </c>
      <c r="V2762" s="36"/>
      <c r="W2762" s="15">
        <f t="shared" si="113"/>
        <v>1200</v>
      </c>
      <c r="X2762" s="36"/>
      <c r="Y2762" s="36"/>
      <c r="Z2762" s="36"/>
      <c r="AA2762" s="36"/>
      <c r="AB2762" s="36"/>
      <c r="AC2762" s="36"/>
      <c r="AD2762" s="36"/>
      <c r="AE2762" s="36"/>
      <c r="AF2762" s="36"/>
      <c r="AG2762" s="36"/>
      <c r="AH2762" s="36"/>
      <c r="AI2762" s="36"/>
      <c r="AJ2762" s="15">
        <f t="shared" si="114"/>
        <v>0</v>
      </c>
      <c r="AK2762" s="16"/>
    </row>
    <row r="2763" spans="2:37" x14ac:dyDescent="0.2">
      <c r="B2763" s="7"/>
      <c r="C2763" s="8">
        <v>13311</v>
      </c>
      <c r="D2763" s="9" t="s">
        <v>823</v>
      </c>
      <c r="E2763" s="10" t="s">
        <v>824</v>
      </c>
      <c r="F2763" s="10" t="s">
        <v>765</v>
      </c>
      <c r="G2763" s="8">
        <v>1</v>
      </c>
      <c r="H2763" s="11">
        <v>400</v>
      </c>
      <c r="I2763" s="12">
        <v>42701</v>
      </c>
      <c r="J2763" s="35">
        <f t="shared" si="112"/>
        <v>0</v>
      </c>
      <c r="K2763" s="36"/>
      <c r="L2763" s="36"/>
      <c r="M2763" s="36"/>
      <c r="N2763" s="36"/>
      <c r="O2763" s="36"/>
      <c r="P2763" s="36"/>
      <c r="Q2763" s="36"/>
      <c r="R2763" s="36"/>
      <c r="S2763" s="36"/>
      <c r="T2763" s="36"/>
      <c r="U2763" s="36">
        <v>200</v>
      </c>
      <c r="V2763" s="36">
        <v>200</v>
      </c>
      <c r="W2763" s="15">
        <f t="shared" si="113"/>
        <v>400</v>
      </c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15">
        <f t="shared" si="114"/>
        <v>0</v>
      </c>
      <c r="AK2763" s="16"/>
    </row>
    <row r="2764" spans="2:37" x14ac:dyDescent="0.2">
      <c r="B2764" s="7"/>
      <c r="C2764" s="8">
        <v>13311</v>
      </c>
      <c r="D2764" s="9" t="s">
        <v>823</v>
      </c>
      <c r="E2764" s="10" t="s">
        <v>824</v>
      </c>
      <c r="F2764" s="10" t="s">
        <v>765</v>
      </c>
      <c r="G2764" s="8">
        <v>5</v>
      </c>
      <c r="H2764" s="11">
        <v>50</v>
      </c>
      <c r="I2764" s="12">
        <v>42701</v>
      </c>
      <c r="J2764" s="35">
        <f t="shared" si="112"/>
        <v>0</v>
      </c>
      <c r="K2764" s="36"/>
      <c r="L2764" s="36"/>
      <c r="M2764" s="36"/>
      <c r="N2764" s="36"/>
      <c r="O2764" s="36"/>
      <c r="P2764" s="36"/>
      <c r="Q2764" s="36"/>
      <c r="R2764" s="36"/>
      <c r="S2764" s="36"/>
      <c r="T2764" s="36"/>
      <c r="U2764" s="36"/>
      <c r="V2764" s="36"/>
      <c r="W2764" s="15">
        <f t="shared" si="113"/>
        <v>0</v>
      </c>
      <c r="X2764" s="36"/>
      <c r="Y2764" s="36"/>
      <c r="Z2764" s="36"/>
      <c r="AA2764" s="36"/>
      <c r="AB2764" s="36"/>
      <c r="AC2764" s="36"/>
      <c r="AD2764" s="36"/>
      <c r="AE2764" s="36"/>
      <c r="AF2764" s="36"/>
      <c r="AG2764" s="36"/>
      <c r="AH2764" s="36"/>
      <c r="AI2764" s="36"/>
      <c r="AJ2764" s="15">
        <f t="shared" si="114"/>
        <v>0</v>
      </c>
      <c r="AK2764" s="16"/>
    </row>
    <row r="2765" spans="2:37" x14ac:dyDescent="0.2">
      <c r="B2765" s="7"/>
      <c r="C2765" s="8">
        <v>13312</v>
      </c>
      <c r="D2765" s="9"/>
      <c r="E2765" s="10" t="s">
        <v>93</v>
      </c>
      <c r="F2765" s="10" t="s">
        <v>93</v>
      </c>
      <c r="G2765" s="8">
        <v>8</v>
      </c>
      <c r="H2765" s="11"/>
      <c r="I2765" s="12"/>
      <c r="J2765" s="35">
        <f t="shared" si="112"/>
        <v>0</v>
      </c>
      <c r="K2765" s="36"/>
      <c r="L2765" s="36"/>
      <c r="M2765" s="36"/>
      <c r="N2765" s="36"/>
      <c r="O2765" s="36"/>
      <c r="P2765" s="36"/>
      <c r="Q2765" s="36"/>
      <c r="R2765" s="36"/>
      <c r="S2765" s="36"/>
      <c r="T2765" s="36"/>
      <c r="U2765" s="36"/>
      <c r="V2765" s="36"/>
      <c r="W2765" s="15">
        <f t="shared" si="113"/>
        <v>0</v>
      </c>
      <c r="X2765" s="36"/>
      <c r="Y2765" s="36"/>
      <c r="Z2765" s="36"/>
      <c r="AA2765" s="36"/>
      <c r="AB2765" s="36"/>
      <c r="AC2765" s="36"/>
      <c r="AD2765" s="36"/>
      <c r="AE2765" s="36"/>
      <c r="AF2765" s="36"/>
      <c r="AG2765" s="36"/>
      <c r="AH2765" s="36"/>
      <c r="AI2765" s="36"/>
      <c r="AJ2765" s="15">
        <f t="shared" si="114"/>
        <v>0</v>
      </c>
      <c r="AK2765" s="16"/>
    </row>
    <row r="2766" spans="2:37" x14ac:dyDescent="0.2">
      <c r="B2766" s="7"/>
      <c r="C2766" s="8">
        <v>13313</v>
      </c>
      <c r="D2766" s="9" t="s">
        <v>138</v>
      </c>
      <c r="E2766" s="10" t="s">
        <v>139</v>
      </c>
      <c r="F2766" s="10" t="s">
        <v>140</v>
      </c>
      <c r="G2766" s="8">
        <v>1</v>
      </c>
      <c r="H2766" s="11">
        <v>400</v>
      </c>
      <c r="I2766" s="12">
        <v>42701</v>
      </c>
      <c r="J2766" s="35">
        <f t="shared" si="112"/>
        <v>0</v>
      </c>
      <c r="K2766" s="36"/>
      <c r="L2766" s="36"/>
      <c r="M2766" s="36"/>
      <c r="N2766" s="36"/>
      <c r="O2766" s="36"/>
      <c r="P2766" s="36"/>
      <c r="Q2766" s="36"/>
      <c r="R2766" s="36"/>
      <c r="S2766" s="36"/>
      <c r="T2766" s="36"/>
      <c r="U2766" s="36">
        <v>400</v>
      </c>
      <c r="V2766" s="36"/>
      <c r="W2766" s="15">
        <f t="shared" si="113"/>
        <v>400</v>
      </c>
      <c r="X2766" s="36"/>
      <c r="Y2766" s="36"/>
      <c r="Z2766" s="36"/>
      <c r="AA2766" s="36"/>
      <c r="AB2766" s="36"/>
      <c r="AC2766" s="36"/>
      <c r="AD2766" s="36"/>
      <c r="AE2766" s="36"/>
      <c r="AF2766" s="36"/>
      <c r="AG2766" s="36"/>
      <c r="AH2766" s="36"/>
      <c r="AI2766" s="36"/>
      <c r="AJ2766" s="15">
        <f t="shared" si="114"/>
        <v>0</v>
      </c>
      <c r="AK2766" s="16"/>
    </row>
    <row r="2767" spans="2:37" x14ac:dyDescent="0.2">
      <c r="B2767" s="7"/>
      <c r="C2767" s="8">
        <v>13314</v>
      </c>
      <c r="D2767" s="9" t="s">
        <v>620</v>
      </c>
      <c r="E2767" s="10" t="s">
        <v>621</v>
      </c>
      <c r="F2767" s="10" t="s">
        <v>366</v>
      </c>
      <c r="G2767" s="8">
        <v>1</v>
      </c>
      <c r="H2767" s="11">
        <v>400</v>
      </c>
      <c r="I2767" s="12">
        <v>42701</v>
      </c>
      <c r="J2767" s="35">
        <f t="shared" si="112"/>
        <v>0</v>
      </c>
      <c r="K2767" s="36"/>
      <c r="L2767" s="36"/>
      <c r="M2767" s="36"/>
      <c r="N2767" s="36"/>
      <c r="O2767" s="36"/>
      <c r="P2767" s="36"/>
      <c r="Q2767" s="36"/>
      <c r="R2767" s="36"/>
      <c r="S2767" s="36"/>
      <c r="T2767" s="36">
        <v>400</v>
      </c>
      <c r="U2767" s="36"/>
      <c r="V2767" s="36"/>
      <c r="W2767" s="15">
        <f t="shared" si="113"/>
        <v>400</v>
      </c>
      <c r="X2767" s="36"/>
      <c r="Y2767" s="36"/>
      <c r="Z2767" s="36"/>
      <c r="AA2767" s="36"/>
      <c r="AB2767" s="36"/>
      <c r="AC2767" s="36"/>
      <c r="AD2767" s="36"/>
      <c r="AE2767" s="36"/>
      <c r="AF2767" s="36"/>
      <c r="AG2767" s="36"/>
      <c r="AH2767" s="36"/>
      <c r="AI2767" s="36"/>
      <c r="AJ2767" s="15">
        <f t="shared" si="114"/>
        <v>0</v>
      </c>
      <c r="AK2767" s="16"/>
    </row>
    <row r="2768" spans="2:37" x14ac:dyDescent="0.2">
      <c r="B2768" s="7"/>
      <c r="C2768" s="8">
        <v>13315</v>
      </c>
      <c r="D2768" s="9" t="s">
        <v>476</v>
      </c>
      <c r="E2768" s="10" t="s">
        <v>477</v>
      </c>
      <c r="F2768" s="10" t="s">
        <v>478</v>
      </c>
      <c r="G2768" s="8">
        <v>1</v>
      </c>
      <c r="H2768" s="11">
        <v>800</v>
      </c>
      <c r="I2768" s="12">
        <v>42701</v>
      </c>
      <c r="J2768" s="35">
        <f t="shared" si="112"/>
        <v>0</v>
      </c>
      <c r="K2768" s="36"/>
      <c r="L2768" s="36"/>
      <c r="M2768" s="36"/>
      <c r="N2768" s="36"/>
      <c r="O2768" s="36"/>
      <c r="P2768" s="36"/>
      <c r="Q2768" s="36"/>
      <c r="R2768" s="36"/>
      <c r="S2768" s="36"/>
      <c r="T2768" s="36"/>
      <c r="U2768" s="36">
        <v>400</v>
      </c>
      <c r="V2768" s="36">
        <v>400</v>
      </c>
      <c r="W2768" s="15">
        <f t="shared" si="113"/>
        <v>800</v>
      </c>
      <c r="X2768" s="36"/>
      <c r="Y2768" s="36"/>
      <c r="Z2768" s="36"/>
      <c r="AA2768" s="36"/>
      <c r="AB2768" s="36"/>
      <c r="AC2768" s="36"/>
      <c r="AD2768" s="36"/>
      <c r="AE2768" s="36"/>
      <c r="AF2768" s="36"/>
      <c r="AG2768" s="36"/>
      <c r="AH2768" s="36"/>
      <c r="AI2768" s="36"/>
      <c r="AJ2768" s="15">
        <f t="shared" si="114"/>
        <v>0</v>
      </c>
      <c r="AK2768" s="16"/>
    </row>
    <row r="2769" spans="1:38" x14ac:dyDescent="0.2">
      <c r="B2769" s="7"/>
      <c r="C2769" s="8">
        <v>13316</v>
      </c>
      <c r="D2769" s="9" t="s">
        <v>547</v>
      </c>
      <c r="E2769" s="10" t="s">
        <v>548</v>
      </c>
      <c r="F2769" s="10" t="s">
        <v>549</v>
      </c>
      <c r="G2769" s="8">
        <v>1</v>
      </c>
      <c r="H2769" s="11">
        <v>400</v>
      </c>
      <c r="I2769" s="12">
        <v>42701</v>
      </c>
      <c r="J2769" s="35">
        <f t="shared" si="112"/>
        <v>0</v>
      </c>
      <c r="K2769" s="36"/>
      <c r="L2769" s="36"/>
      <c r="M2769" s="36"/>
      <c r="N2769" s="36"/>
      <c r="O2769" s="36"/>
      <c r="P2769" s="36"/>
      <c r="Q2769" s="36"/>
      <c r="R2769" s="36"/>
      <c r="S2769" s="36">
        <v>200</v>
      </c>
      <c r="T2769" s="36">
        <v>200</v>
      </c>
      <c r="U2769" s="36"/>
      <c r="V2769" s="36"/>
      <c r="W2769" s="15">
        <f t="shared" si="113"/>
        <v>400</v>
      </c>
      <c r="X2769" s="36"/>
      <c r="Y2769" s="36"/>
      <c r="Z2769" s="36"/>
      <c r="AA2769" s="36"/>
      <c r="AB2769" s="36"/>
      <c r="AC2769" s="36"/>
      <c r="AD2769" s="36"/>
      <c r="AE2769" s="36"/>
      <c r="AF2769" s="36"/>
      <c r="AG2769" s="36"/>
      <c r="AH2769" s="36"/>
      <c r="AI2769" s="36"/>
      <c r="AJ2769" s="15">
        <f t="shared" si="114"/>
        <v>0</v>
      </c>
      <c r="AK2769" s="16"/>
    </row>
    <row r="2770" spans="1:38" x14ac:dyDescent="0.2">
      <c r="B2770" s="7"/>
      <c r="C2770" s="8">
        <v>13317</v>
      </c>
      <c r="D2770" s="9" t="s">
        <v>1184</v>
      </c>
      <c r="E2770" s="10" t="s">
        <v>1185</v>
      </c>
      <c r="F2770" s="10" t="s">
        <v>1186</v>
      </c>
      <c r="G2770" s="8">
        <v>1</v>
      </c>
      <c r="H2770" s="321">
        <v>400</v>
      </c>
      <c r="I2770" s="12">
        <v>42702</v>
      </c>
      <c r="J2770" s="35">
        <f t="shared" si="112"/>
        <v>0</v>
      </c>
      <c r="K2770" s="36"/>
      <c r="L2770" s="36"/>
      <c r="M2770" s="36"/>
      <c r="N2770" s="36"/>
      <c r="O2770" s="36"/>
      <c r="P2770" s="36"/>
      <c r="Q2770" s="36"/>
      <c r="R2770" s="36"/>
      <c r="S2770" s="36"/>
      <c r="T2770" s="36">
        <v>400</v>
      </c>
      <c r="U2770" s="36"/>
      <c r="V2770" s="36"/>
      <c r="W2770" s="15">
        <f t="shared" si="113"/>
        <v>400</v>
      </c>
      <c r="X2770" s="36"/>
      <c r="Y2770" s="36"/>
      <c r="Z2770" s="36"/>
      <c r="AA2770" s="36"/>
      <c r="AB2770" s="36"/>
      <c r="AC2770" s="36"/>
      <c r="AD2770" s="36"/>
      <c r="AE2770" s="36"/>
      <c r="AF2770" s="36"/>
      <c r="AG2770" s="36"/>
      <c r="AH2770" s="36"/>
      <c r="AI2770" s="36"/>
      <c r="AJ2770" s="15">
        <f t="shared" si="114"/>
        <v>0</v>
      </c>
      <c r="AK2770" s="16"/>
    </row>
    <row r="2771" spans="1:38" x14ac:dyDescent="0.2">
      <c r="B2771" s="7"/>
      <c r="C2771" s="8">
        <v>13318</v>
      </c>
      <c r="D2771" s="9" t="s">
        <v>373</v>
      </c>
      <c r="E2771" s="10" t="s">
        <v>374</v>
      </c>
      <c r="F2771" s="10" t="s">
        <v>375</v>
      </c>
      <c r="G2771" s="8">
        <v>5</v>
      </c>
      <c r="H2771" s="11">
        <v>200</v>
      </c>
      <c r="I2771" s="12">
        <v>42703</v>
      </c>
      <c r="J2771" s="35">
        <f t="shared" si="112"/>
        <v>0</v>
      </c>
      <c r="K2771" s="36"/>
      <c r="L2771" s="36"/>
      <c r="M2771" s="36"/>
      <c r="N2771" s="36"/>
      <c r="O2771" s="36"/>
      <c r="P2771" s="36"/>
      <c r="Q2771" s="36"/>
      <c r="R2771" s="36"/>
      <c r="S2771" s="36"/>
      <c r="T2771" s="36"/>
      <c r="U2771" s="36"/>
      <c r="V2771" s="36"/>
      <c r="W2771" s="15">
        <f t="shared" si="113"/>
        <v>0</v>
      </c>
      <c r="X2771" s="36"/>
      <c r="Y2771" s="36"/>
      <c r="Z2771" s="36"/>
      <c r="AA2771" s="36"/>
      <c r="AB2771" s="36"/>
      <c r="AC2771" s="36"/>
      <c r="AD2771" s="36"/>
      <c r="AE2771" s="36"/>
      <c r="AF2771" s="36"/>
      <c r="AG2771" s="36"/>
      <c r="AH2771" s="36"/>
      <c r="AI2771" s="36"/>
      <c r="AJ2771" s="15">
        <f t="shared" si="114"/>
        <v>0</v>
      </c>
      <c r="AK2771" s="16"/>
    </row>
    <row r="2772" spans="1:38" x14ac:dyDescent="0.2">
      <c r="B2772" s="7"/>
      <c r="C2772" s="8">
        <v>13319</v>
      </c>
      <c r="D2772" s="9" t="s">
        <v>373</v>
      </c>
      <c r="E2772" s="10" t="s">
        <v>374</v>
      </c>
      <c r="F2772" s="10" t="s">
        <v>375</v>
      </c>
      <c r="G2772" s="8">
        <v>4</v>
      </c>
      <c r="H2772" s="11">
        <v>200</v>
      </c>
      <c r="I2772" s="12">
        <v>42703</v>
      </c>
      <c r="J2772" s="35">
        <f t="shared" si="112"/>
        <v>0</v>
      </c>
      <c r="K2772" s="36"/>
      <c r="L2772" s="36"/>
      <c r="M2772" s="36"/>
      <c r="N2772" s="36"/>
      <c r="O2772" s="36"/>
      <c r="P2772" s="36"/>
      <c r="Q2772" s="36"/>
      <c r="R2772" s="36"/>
      <c r="S2772" s="36"/>
      <c r="T2772" s="36"/>
      <c r="U2772" s="36"/>
      <c r="V2772" s="36"/>
      <c r="W2772" s="15">
        <f t="shared" si="113"/>
        <v>0</v>
      </c>
      <c r="X2772" s="36"/>
      <c r="Y2772" s="36"/>
      <c r="Z2772" s="36"/>
      <c r="AA2772" s="36"/>
      <c r="AB2772" s="36"/>
      <c r="AC2772" s="36"/>
      <c r="AD2772" s="36"/>
      <c r="AE2772" s="36"/>
      <c r="AF2772" s="36"/>
      <c r="AG2772" s="36"/>
      <c r="AH2772" s="36"/>
      <c r="AI2772" s="36"/>
      <c r="AJ2772" s="15">
        <f t="shared" si="114"/>
        <v>0</v>
      </c>
      <c r="AK2772" s="16" t="s">
        <v>3192</v>
      </c>
      <c r="AL2772" s="113">
        <f>SUM(H2724:H2769)</f>
        <v>28000</v>
      </c>
    </row>
    <row r="2773" spans="1:38" x14ac:dyDescent="0.2">
      <c r="B2773" s="7"/>
      <c r="C2773" s="8">
        <v>13320</v>
      </c>
      <c r="D2773" s="9" t="s">
        <v>514</v>
      </c>
      <c r="E2773" s="10" t="s">
        <v>515</v>
      </c>
      <c r="F2773" s="10" t="s">
        <v>516</v>
      </c>
      <c r="G2773" s="8">
        <v>7</v>
      </c>
      <c r="H2773" s="11">
        <v>350</v>
      </c>
      <c r="I2773" s="12">
        <v>42703</v>
      </c>
      <c r="J2773" s="35">
        <f t="shared" si="112"/>
        <v>0</v>
      </c>
      <c r="K2773" s="36"/>
      <c r="L2773" s="36"/>
      <c r="M2773" s="36"/>
      <c r="N2773" s="36"/>
      <c r="O2773" s="36"/>
      <c r="P2773" s="36"/>
      <c r="Q2773" s="36"/>
      <c r="R2773" s="36"/>
      <c r="S2773" s="36"/>
      <c r="T2773" s="36"/>
      <c r="U2773" s="36"/>
      <c r="V2773" s="36"/>
      <c r="W2773" s="15">
        <f t="shared" si="113"/>
        <v>0</v>
      </c>
      <c r="X2773" s="36"/>
      <c r="Y2773" s="36"/>
      <c r="Z2773" s="36"/>
      <c r="AA2773" s="36"/>
      <c r="AB2773" s="36"/>
      <c r="AC2773" s="36"/>
      <c r="AD2773" s="36"/>
      <c r="AE2773" s="36"/>
      <c r="AF2773" s="36"/>
      <c r="AG2773" s="36"/>
      <c r="AH2773" s="36"/>
      <c r="AI2773" s="36"/>
      <c r="AJ2773" s="15">
        <f t="shared" si="114"/>
        <v>0</v>
      </c>
      <c r="AK2773" s="16"/>
    </row>
    <row r="2774" spans="1:38" x14ac:dyDescent="0.2">
      <c r="B2774" s="7"/>
      <c r="C2774" s="8">
        <v>13321</v>
      </c>
      <c r="D2774" s="9" t="s">
        <v>220</v>
      </c>
      <c r="E2774" s="10" t="s">
        <v>221</v>
      </c>
      <c r="F2774" s="10" t="s">
        <v>222</v>
      </c>
      <c r="G2774" s="8">
        <v>1</v>
      </c>
      <c r="H2774" s="11">
        <v>300</v>
      </c>
      <c r="I2774" s="12">
        <v>42703</v>
      </c>
      <c r="J2774" s="35">
        <f t="shared" si="112"/>
        <v>0</v>
      </c>
      <c r="K2774" s="36"/>
      <c r="L2774" s="36"/>
      <c r="M2774" s="36"/>
      <c r="N2774" s="36"/>
      <c r="O2774" s="36"/>
      <c r="P2774" s="36"/>
      <c r="Q2774" s="36"/>
      <c r="R2774" s="36"/>
      <c r="S2774" s="36"/>
      <c r="T2774" s="36"/>
      <c r="U2774" s="36">
        <v>300</v>
      </c>
      <c r="V2774" s="36"/>
      <c r="W2774" s="15">
        <f t="shared" si="113"/>
        <v>300</v>
      </c>
      <c r="X2774" s="36"/>
      <c r="Y2774" s="36"/>
      <c r="Z2774" s="36"/>
      <c r="AA2774" s="36"/>
      <c r="AB2774" s="36"/>
      <c r="AC2774" s="36"/>
      <c r="AD2774" s="36"/>
      <c r="AE2774" s="36"/>
      <c r="AF2774" s="36"/>
      <c r="AG2774" s="36"/>
      <c r="AH2774" s="36"/>
      <c r="AI2774" s="36"/>
      <c r="AJ2774" s="15">
        <f t="shared" si="114"/>
        <v>0</v>
      </c>
      <c r="AK2774" s="16"/>
      <c r="AL2774" s="113">
        <f>SUM(H2770:H2774)</f>
        <v>1450</v>
      </c>
    </row>
    <row r="2775" spans="1:38" x14ac:dyDescent="0.2">
      <c r="B2775" s="7"/>
      <c r="C2775" s="8"/>
      <c r="D2775" s="9" t="s">
        <v>211</v>
      </c>
      <c r="E2775" s="10" t="s">
        <v>212</v>
      </c>
      <c r="F2775" s="10" t="s">
        <v>213</v>
      </c>
      <c r="G2775" s="8">
        <v>1</v>
      </c>
      <c r="H2775" s="11">
        <v>300</v>
      </c>
      <c r="I2775" s="12">
        <v>42678</v>
      </c>
      <c r="J2775" s="35">
        <f t="shared" si="112"/>
        <v>0</v>
      </c>
      <c r="K2775" s="36"/>
      <c r="L2775" s="36"/>
      <c r="M2775" s="36"/>
      <c r="N2775" s="36"/>
      <c r="O2775" s="36"/>
      <c r="P2775" s="36"/>
      <c r="Q2775" s="36"/>
      <c r="R2775" s="36"/>
      <c r="S2775" s="36"/>
      <c r="T2775" s="36"/>
      <c r="U2775" s="36">
        <v>300</v>
      </c>
      <c r="V2775" s="36"/>
      <c r="W2775" s="15">
        <f t="shared" si="113"/>
        <v>300</v>
      </c>
      <c r="X2775" s="36"/>
      <c r="Y2775" s="36"/>
      <c r="Z2775" s="36"/>
      <c r="AA2775" s="36"/>
      <c r="AB2775" s="36"/>
      <c r="AC2775" s="36"/>
      <c r="AD2775" s="36"/>
      <c r="AE2775" s="36"/>
      <c r="AF2775" s="36"/>
      <c r="AG2775" s="36"/>
      <c r="AH2775" s="36"/>
      <c r="AI2775" s="36"/>
      <c r="AJ2775" s="15">
        <f t="shared" si="114"/>
        <v>0</v>
      </c>
      <c r="AK2775" s="16"/>
    </row>
    <row r="2776" spans="1:38" x14ac:dyDescent="0.2">
      <c r="B2776" s="7"/>
      <c r="C2776" s="8"/>
      <c r="D2776" s="9" t="s">
        <v>806</v>
      </c>
      <c r="E2776" s="10" t="s">
        <v>885</v>
      </c>
      <c r="F2776" s="10" t="s">
        <v>805</v>
      </c>
      <c r="G2776" s="8">
        <v>1</v>
      </c>
      <c r="H2776" s="11">
        <v>11000</v>
      </c>
      <c r="I2776" s="12">
        <v>42698</v>
      </c>
      <c r="J2776" s="35">
        <f t="shared" si="112"/>
        <v>0</v>
      </c>
      <c r="K2776" s="36"/>
      <c r="L2776" s="36"/>
      <c r="M2776" s="36"/>
      <c r="N2776" s="36"/>
      <c r="O2776" s="36"/>
      <c r="P2776" s="36"/>
      <c r="Q2776" s="36"/>
      <c r="R2776" s="36"/>
      <c r="S2776" s="36"/>
      <c r="T2776" s="36"/>
      <c r="U2776" s="36">
        <v>11000</v>
      </c>
      <c r="V2776" s="36"/>
      <c r="W2776" s="15">
        <f t="shared" si="113"/>
        <v>11000</v>
      </c>
      <c r="X2776" s="36"/>
      <c r="Y2776" s="36"/>
      <c r="Z2776" s="36"/>
      <c r="AA2776" s="36"/>
      <c r="AB2776" s="36"/>
      <c r="AC2776" s="36"/>
      <c r="AD2776" s="36"/>
      <c r="AE2776" s="36"/>
      <c r="AF2776" s="36"/>
      <c r="AG2776" s="36"/>
      <c r="AH2776" s="36"/>
      <c r="AI2776" s="36"/>
      <c r="AJ2776" s="15">
        <f t="shared" si="114"/>
        <v>0</v>
      </c>
      <c r="AK2776" s="16"/>
    </row>
    <row r="2777" spans="1:38" x14ac:dyDescent="0.2">
      <c r="B2777" s="7"/>
      <c r="C2777" s="8"/>
      <c r="D2777" s="9"/>
      <c r="E2777" s="10" t="s">
        <v>93</v>
      </c>
      <c r="F2777" s="10" t="s">
        <v>93</v>
      </c>
      <c r="G2777" s="8"/>
      <c r="H2777" s="11"/>
      <c r="I2777" s="12"/>
      <c r="J2777" s="35">
        <f t="shared" si="112"/>
        <v>0</v>
      </c>
      <c r="K2777" s="36"/>
      <c r="L2777" s="36"/>
      <c r="M2777" s="36"/>
      <c r="N2777" s="36"/>
      <c r="O2777" s="36"/>
      <c r="P2777" s="36"/>
      <c r="Q2777" s="36"/>
      <c r="R2777" s="36"/>
      <c r="S2777" s="36"/>
      <c r="T2777" s="36"/>
      <c r="U2777" s="36"/>
      <c r="V2777" s="36"/>
      <c r="W2777" s="15">
        <f t="shared" si="113"/>
        <v>0</v>
      </c>
      <c r="X2777" s="36"/>
      <c r="Y2777" s="36"/>
      <c r="Z2777" s="36"/>
      <c r="AA2777" s="36"/>
      <c r="AB2777" s="36"/>
      <c r="AC2777" s="36"/>
      <c r="AD2777" s="36"/>
      <c r="AE2777" s="36"/>
      <c r="AF2777" s="36"/>
      <c r="AG2777" s="36"/>
      <c r="AH2777" s="36"/>
      <c r="AI2777" s="36"/>
      <c r="AJ2777" s="15">
        <f t="shared" si="114"/>
        <v>0</v>
      </c>
      <c r="AK2777" s="16"/>
    </row>
    <row r="2778" spans="1:38" x14ac:dyDescent="0.2">
      <c r="B2778" s="7"/>
      <c r="C2778" s="8"/>
      <c r="D2778" s="9"/>
      <c r="E2778" s="10" t="s">
        <v>93</v>
      </c>
      <c r="F2778" s="10" t="s">
        <v>93</v>
      </c>
      <c r="G2778" s="8"/>
      <c r="H2778" s="11"/>
      <c r="I2778" s="12"/>
      <c r="J2778" s="35">
        <f t="shared" si="112"/>
        <v>0</v>
      </c>
      <c r="K2778" s="36"/>
      <c r="L2778" s="36"/>
      <c r="M2778" s="36"/>
      <c r="N2778" s="36"/>
      <c r="O2778" s="36"/>
      <c r="P2778" s="36"/>
      <c r="Q2778" s="36"/>
      <c r="R2778" s="36"/>
      <c r="S2778" s="36"/>
      <c r="T2778" s="36"/>
      <c r="U2778" s="36"/>
      <c r="V2778" s="36"/>
      <c r="W2778" s="15">
        <f t="shared" si="113"/>
        <v>0</v>
      </c>
      <c r="X2778" s="36"/>
      <c r="Y2778" s="36"/>
      <c r="Z2778" s="36"/>
      <c r="AA2778" s="36"/>
      <c r="AB2778" s="36"/>
      <c r="AC2778" s="36"/>
      <c r="AD2778" s="36"/>
      <c r="AE2778" s="36"/>
      <c r="AF2778" s="36"/>
      <c r="AG2778" s="36"/>
      <c r="AH2778" s="36"/>
      <c r="AI2778" s="36"/>
      <c r="AJ2778" s="15">
        <f t="shared" si="114"/>
        <v>0</v>
      </c>
      <c r="AK2778" s="16"/>
      <c r="AL2778" s="113">
        <f>SUM(H2562:H2776)</f>
        <v>113215</v>
      </c>
    </row>
    <row r="2779" spans="1:38" ht="22.5" x14ac:dyDescent="0.2">
      <c r="A2779" s="2"/>
      <c r="B2779" s="7"/>
      <c r="C2779" s="3" t="s">
        <v>2</v>
      </c>
      <c r="D2779" s="3" t="s">
        <v>3</v>
      </c>
      <c r="E2779" s="3" t="s">
        <v>4</v>
      </c>
      <c r="F2779" s="3" t="s">
        <v>5</v>
      </c>
      <c r="G2779" s="3" t="s">
        <v>6</v>
      </c>
      <c r="H2779" s="3" t="s">
        <v>7</v>
      </c>
      <c r="I2779" s="3" t="s">
        <v>8</v>
      </c>
      <c r="J2779" s="3" t="s">
        <v>9</v>
      </c>
      <c r="K2779" s="4" t="s">
        <v>10</v>
      </c>
      <c r="L2779" s="4" t="s">
        <v>11</v>
      </c>
      <c r="M2779" s="4" t="s">
        <v>12</v>
      </c>
      <c r="N2779" s="4" t="s">
        <v>13</v>
      </c>
      <c r="O2779" s="4" t="s">
        <v>14</v>
      </c>
      <c r="P2779" s="4" t="s">
        <v>15</v>
      </c>
      <c r="Q2779" s="4" t="s">
        <v>16</v>
      </c>
      <c r="R2779" s="4" t="s">
        <v>17</v>
      </c>
      <c r="S2779" s="4" t="s">
        <v>18</v>
      </c>
      <c r="T2779" s="4" t="s">
        <v>19</v>
      </c>
      <c r="U2779" s="4" t="s">
        <v>20</v>
      </c>
      <c r="V2779" s="4" t="s">
        <v>21</v>
      </c>
      <c r="W2779" s="5" t="s">
        <v>22</v>
      </c>
      <c r="X2779" s="4" t="s">
        <v>23</v>
      </c>
      <c r="Y2779" s="4" t="s">
        <v>24</v>
      </c>
      <c r="Z2779" s="4" t="s">
        <v>25</v>
      </c>
      <c r="AA2779" s="4" t="s">
        <v>26</v>
      </c>
      <c r="AB2779" s="4" t="s">
        <v>27</v>
      </c>
      <c r="AC2779" s="4" t="s">
        <v>28</v>
      </c>
      <c r="AD2779" s="4" t="s">
        <v>29</v>
      </c>
      <c r="AE2779" s="4" t="s">
        <v>30</v>
      </c>
      <c r="AF2779" s="4" t="s">
        <v>31</v>
      </c>
      <c r="AG2779" s="4" t="s">
        <v>32</v>
      </c>
      <c r="AH2779" s="4" t="s">
        <v>33</v>
      </c>
      <c r="AI2779" s="4" t="s">
        <v>34</v>
      </c>
      <c r="AJ2779" s="5" t="s">
        <v>35</v>
      </c>
      <c r="AK2779" s="6" t="s">
        <v>36</v>
      </c>
    </row>
    <row r="2780" spans="1:38" x14ac:dyDescent="0.2">
      <c r="B2780" s="7"/>
      <c r="C2780" s="8">
        <v>13322</v>
      </c>
      <c r="D2780" s="9" t="s">
        <v>861</v>
      </c>
      <c r="E2780" s="10" t="str">
        <f t="shared" ref="E2780:E2783" si="116">IF(D2780=0,"",VLOOKUP(D2780,BASE,2,FALSE))</f>
        <v>Rancho La Cuchilla No. 7, 202</v>
      </c>
      <c r="F2780" s="10" t="str">
        <f t="shared" ref="F2780:F2783" si="117">IF(D2780=0,"",VLOOKUP(D2780,BASE,3,FALSE))</f>
        <v>Carbajal Zayas</v>
      </c>
      <c r="G2780" s="8">
        <v>1</v>
      </c>
      <c r="H2780" s="11">
        <v>400</v>
      </c>
      <c r="I2780" s="12">
        <v>42705</v>
      </c>
      <c r="J2780" s="35">
        <f t="shared" si="112"/>
        <v>0</v>
      </c>
      <c r="K2780" s="36"/>
      <c r="L2780" s="36"/>
      <c r="M2780" s="36"/>
      <c r="N2780" s="36"/>
      <c r="O2780" s="36"/>
      <c r="P2780" s="36"/>
      <c r="Q2780" s="36"/>
      <c r="R2780" s="36">
        <v>100</v>
      </c>
      <c r="S2780" s="36">
        <v>100</v>
      </c>
      <c r="T2780" s="36">
        <v>100</v>
      </c>
      <c r="U2780" s="36">
        <v>100</v>
      </c>
      <c r="V2780" s="36"/>
      <c r="W2780" s="15">
        <f t="shared" si="113"/>
        <v>400</v>
      </c>
      <c r="X2780" s="36"/>
      <c r="Y2780" s="36"/>
      <c r="Z2780" s="36"/>
      <c r="AA2780" s="36"/>
      <c r="AB2780" s="36"/>
      <c r="AC2780" s="36"/>
      <c r="AD2780" s="36"/>
      <c r="AE2780" s="36"/>
      <c r="AF2780" s="36"/>
      <c r="AG2780" s="36"/>
      <c r="AH2780" s="36"/>
      <c r="AI2780" s="36"/>
      <c r="AJ2780" s="15">
        <f t="shared" si="114"/>
        <v>0</v>
      </c>
      <c r="AK2780" s="16"/>
    </row>
    <row r="2781" spans="1:38" x14ac:dyDescent="0.2">
      <c r="B2781" s="7"/>
      <c r="C2781" s="8">
        <v>13323</v>
      </c>
      <c r="D2781" s="9" t="s">
        <v>803</v>
      </c>
      <c r="E2781" s="10" t="str">
        <f t="shared" si="116"/>
        <v>Rancho La Cuchilla No. 36</v>
      </c>
      <c r="F2781" s="10" t="str">
        <f t="shared" si="117"/>
        <v>Castillo</v>
      </c>
      <c r="G2781" s="8">
        <v>1</v>
      </c>
      <c r="H2781" s="11">
        <v>1200</v>
      </c>
      <c r="I2781" s="12">
        <v>42705</v>
      </c>
      <c r="J2781" s="35">
        <f t="shared" si="112"/>
        <v>0</v>
      </c>
      <c r="K2781" s="36"/>
      <c r="L2781" s="36"/>
      <c r="M2781" s="36"/>
      <c r="N2781" s="36"/>
      <c r="O2781" s="36"/>
      <c r="P2781" s="36"/>
      <c r="Q2781" s="36"/>
      <c r="R2781" s="36"/>
      <c r="S2781" s="36">
        <v>400</v>
      </c>
      <c r="T2781" s="36">
        <v>400</v>
      </c>
      <c r="U2781" s="36">
        <v>400</v>
      </c>
      <c r="V2781" s="36"/>
      <c r="W2781" s="15">
        <f t="shared" si="113"/>
        <v>1200</v>
      </c>
      <c r="X2781" s="36"/>
      <c r="Y2781" s="36"/>
      <c r="Z2781" s="36"/>
      <c r="AA2781" s="36"/>
      <c r="AB2781" s="36"/>
      <c r="AC2781" s="36"/>
      <c r="AD2781" s="36"/>
      <c r="AE2781" s="36"/>
      <c r="AF2781" s="36"/>
      <c r="AG2781" s="36"/>
      <c r="AH2781" s="36"/>
      <c r="AI2781" s="36"/>
      <c r="AJ2781" s="15">
        <f t="shared" si="114"/>
        <v>0</v>
      </c>
      <c r="AK2781" s="16"/>
    </row>
    <row r="2782" spans="1:38" x14ac:dyDescent="0.2">
      <c r="B2782" s="7"/>
      <c r="C2782" s="8">
        <v>13324</v>
      </c>
      <c r="D2782" s="9" t="s">
        <v>965</v>
      </c>
      <c r="E2782" s="10" t="str">
        <f t="shared" si="116"/>
        <v>Rancho La Cuchilla No. 52</v>
      </c>
      <c r="F2782" s="10" t="str">
        <f t="shared" si="117"/>
        <v>Velázquez</v>
      </c>
      <c r="G2782" s="8">
        <v>1</v>
      </c>
      <c r="H2782" s="11">
        <v>800</v>
      </c>
      <c r="I2782" s="12">
        <v>42705</v>
      </c>
      <c r="J2782" s="35">
        <f t="shared" si="112"/>
        <v>0</v>
      </c>
      <c r="K2782" s="36"/>
      <c r="L2782" s="36"/>
      <c r="M2782" s="36"/>
      <c r="N2782" s="36"/>
      <c r="O2782" s="36"/>
      <c r="P2782" s="36"/>
      <c r="Q2782" s="36"/>
      <c r="R2782" s="36">
        <v>400</v>
      </c>
      <c r="S2782" s="36">
        <v>400</v>
      </c>
      <c r="T2782" s="36"/>
      <c r="U2782" s="36"/>
      <c r="V2782" s="36"/>
      <c r="W2782" s="15">
        <f t="shared" si="113"/>
        <v>800</v>
      </c>
      <c r="X2782" s="36"/>
      <c r="Y2782" s="36"/>
      <c r="Z2782" s="36"/>
      <c r="AA2782" s="36"/>
      <c r="AB2782" s="36"/>
      <c r="AC2782" s="36"/>
      <c r="AD2782" s="36"/>
      <c r="AE2782" s="36"/>
      <c r="AF2782" s="36"/>
      <c r="AG2782" s="36"/>
      <c r="AH2782" s="36"/>
      <c r="AI2782" s="36"/>
      <c r="AJ2782" s="15">
        <f t="shared" si="114"/>
        <v>0</v>
      </c>
      <c r="AK2782" s="16"/>
    </row>
    <row r="2783" spans="1:38" x14ac:dyDescent="0.2">
      <c r="B2783" s="7"/>
      <c r="C2783" s="8">
        <v>13325</v>
      </c>
      <c r="D2783" s="9" t="s">
        <v>550</v>
      </c>
      <c r="E2783" s="10" t="str">
        <f t="shared" si="116"/>
        <v>Rancho Landero No. 89</v>
      </c>
      <c r="F2783" s="10" t="str">
        <f t="shared" si="117"/>
        <v>Del Pozo Solís</v>
      </c>
      <c r="G2783" s="8">
        <v>1</v>
      </c>
      <c r="H2783" s="11">
        <v>300</v>
      </c>
      <c r="I2783" s="12">
        <v>42705</v>
      </c>
      <c r="J2783" s="35">
        <f t="shared" si="112"/>
        <v>0</v>
      </c>
      <c r="K2783" s="36"/>
      <c r="L2783" s="36"/>
      <c r="M2783" s="36"/>
      <c r="N2783" s="36"/>
      <c r="O2783" s="36"/>
      <c r="P2783" s="36"/>
      <c r="Q2783" s="36"/>
      <c r="R2783" s="36"/>
      <c r="S2783" s="36"/>
      <c r="T2783" s="36"/>
      <c r="U2783" s="36">
        <v>300</v>
      </c>
      <c r="V2783" s="36"/>
      <c r="W2783" s="15">
        <f t="shared" si="113"/>
        <v>300</v>
      </c>
      <c r="X2783" s="36"/>
      <c r="Y2783" s="36"/>
      <c r="Z2783" s="36"/>
      <c r="AA2783" s="36"/>
      <c r="AB2783" s="36"/>
      <c r="AC2783" s="36"/>
      <c r="AD2783" s="36"/>
      <c r="AE2783" s="36"/>
      <c r="AF2783" s="36"/>
      <c r="AG2783" s="36"/>
      <c r="AH2783" s="36"/>
      <c r="AI2783" s="36"/>
      <c r="AJ2783" s="15">
        <f t="shared" si="114"/>
        <v>0</v>
      </c>
      <c r="AK2783" s="16"/>
    </row>
    <row r="2784" spans="1:38" x14ac:dyDescent="0.2">
      <c r="B2784" s="7"/>
      <c r="C2784" s="8">
        <v>13326</v>
      </c>
      <c r="D2784" s="9" t="s">
        <v>211</v>
      </c>
      <c r="E2784" s="10" t="str">
        <f t="shared" ref="E2784" si="118">IF(D2784=0,"",VLOOKUP(D2784,BASE,2,FALSE))</f>
        <v>Rancho Upácuaro No. 46</v>
      </c>
      <c r="F2784" s="10" t="str">
        <f t="shared" ref="F2784" si="119">IF(D2784=0,"",VLOOKUP(D2784,BASE,3,FALSE))</f>
        <v>Fuentes</v>
      </c>
      <c r="G2784" s="8"/>
      <c r="H2784" s="11"/>
      <c r="I2784" s="12"/>
      <c r="J2784" s="35">
        <f t="shared" si="112"/>
        <v>0</v>
      </c>
      <c r="K2784" s="36"/>
      <c r="L2784" s="36"/>
      <c r="M2784" s="36"/>
      <c r="N2784" s="36"/>
      <c r="O2784" s="36"/>
      <c r="P2784" s="36"/>
      <c r="Q2784" s="36"/>
      <c r="R2784" s="36"/>
      <c r="S2784" s="36"/>
      <c r="T2784" s="36"/>
      <c r="U2784" s="36"/>
      <c r="V2784" s="36"/>
      <c r="W2784" s="15">
        <f t="shared" si="113"/>
        <v>0</v>
      </c>
      <c r="X2784" s="36"/>
      <c r="Y2784" s="36"/>
      <c r="Z2784" s="36"/>
      <c r="AA2784" s="36"/>
      <c r="AB2784" s="36"/>
      <c r="AC2784" s="36"/>
      <c r="AD2784" s="36"/>
      <c r="AE2784" s="36"/>
      <c r="AF2784" s="36"/>
      <c r="AG2784" s="36"/>
      <c r="AH2784" s="36"/>
      <c r="AI2784" s="36"/>
      <c r="AJ2784" s="15">
        <f t="shared" si="114"/>
        <v>0</v>
      </c>
      <c r="AK2784" s="16"/>
    </row>
    <row r="2785" spans="2:37" x14ac:dyDescent="0.2">
      <c r="B2785" s="7"/>
      <c r="C2785" s="8">
        <v>13327</v>
      </c>
      <c r="D2785" s="9" t="s">
        <v>280</v>
      </c>
      <c r="E2785" s="10" t="str">
        <f t="shared" ref="E2785:E2803" si="120">IF(D2785=0,"",VLOOKUP(D2785,BASE,2,FALSE))</f>
        <v>Rancho La Cuchilla No. 40</v>
      </c>
      <c r="F2785" s="10" t="str">
        <f t="shared" ref="F2785:F2803" si="121">IF(D2785=0,"",VLOOKUP(D2785,BASE,3,FALSE))</f>
        <v>López Pico</v>
      </c>
      <c r="G2785" s="8">
        <v>1</v>
      </c>
      <c r="H2785" s="11">
        <v>400</v>
      </c>
      <c r="I2785" s="12">
        <v>42707</v>
      </c>
      <c r="J2785" s="35">
        <f t="shared" si="112"/>
        <v>0</v>
      </c>
      <c r="K2785" s="36"/>
      <c r="L2785" s="36"/>
      <c r="M2785" s="36"/>
      <c r="N2785" s="36"/>
      <c r="O2785" s="36"/>
      <c r="P2785" s="36"/>
      <c r="Q2785" s="36"/>
      <c r="R2785" s="36"/>
      <c r="S2785" s="36"/>
      <c r="T2785" s="36"/>
      <c r="U2785" s="36"/>
      <c r="V2785" s="36">
        <v>400</v>
      </c>
      <c r="W2785" s="15">
        <f t="shared" si="113"/>
        <v>400</v>
      </c>
      <c r="X2785" s="36"/>
      <c r="Y2785" s="36"/>
      <c r="Z2785" s="36"/>
      <c r="AA2785" s="36"/>
      <c r="AB2785" s="36"/>
      <c r="AC2785" s="36"/>
      <c r="AD2785" s="36"/>
      <c r="AE2785" s="36"/>
      <c r="AF2785" s="36"/>
      <c r="AG2785" s="36"/>
      <c r="AH2785" s="36"/>
      <c r="AI2785" s="36"/>
      <c r="AJ2785" s="15">
        <f t="shared" si="114"/>
        <v>0</v>
      </c>
      <c r="AK2785" s="16"/>
    </row>
    <row r="2786" spans="2:37" x14ac:dyDescent="0.2">
      <c r="B2786" s="7"/>
      <c r="C2786" s="8">
        <v>13328</v>
      </c>
      <c r="D2786" s="9" t="s">
        <v>189</v>
      </c>
      <c r="E2786" s="10" t="str">
        <f t="shared" si="120"/>
        <v>Rancho La Cuchilla No. 42</v>
      </c>
      <c r="F2786" s="10" t="str">
        <f t="shared" si="121"/>
        <v>Mac Kinney</v>
      </c>
      <c r="G2786" s="8">
        <v>1</v>
      </c>
      <c r="H2786" s="11">
        <v>800</v>
      </c>
      <c r="I2786" s="12">
        <v>42707</v>
      </c>
      <c r="J2786" s="35">
        <f t="shared" si="112"/>
        <v>0</v>
      </c>
      <c r="K2786" s="36"/>
      <c r="L2786" s="36"/>
      <c r="M2786" s="36"/>
      <c r="N2786" s="36"/>
      <c r="O2786" s="36"/>
      <c r="P2786" s="36"/>
      <c r="Q2786" s="36"/>
      <c r="R2786" s="36"/>
      <c r="S2786" s="36"/>
      <c r="T2786" s="36">
        <v>400</v>
      </c>
      <c r="U2786" s="36">
        <v>400</v>
      </c>
      <c r="V2786" s="36"/>
      <c r="W2786" s="15">
        <f t="shared" si="113"/>
        <v>800</v>
      </c>
      <c r="X2786" s="36"/>
      <c r="Y2786" s="36"/>
      <c r="Z2786" s="36"/>
      <c r="AA2786" s="36"/>
      <c r="AB2786" s="36"/>
      <c r="AC2786" s="36"/>
      <c r="AD2786" s="36"/>
      <c r="AE2786" s="36"/>
      <c r="AF2786" s="36"/>
      <c r="AG2786" s="36"/>
      <c r="AH2786" s="36"/>
      <c r="AI2786" s="36"/>
      <c r="AJ2786" s="15">
        <f t="shared" si="114"/>
        <v>0</v>
      </c>
      <c r="AK2786" s="16"/>
    </row>
    <row r="2787" spans="2:37" x14ac:dyDescent="0.2">
      <c r="B2787" s="7"/>
      <c r="C2787" s="8">
        <v>13329</v>
      </c>
      <c r="D2787" s="9" t="s">
        <v>640</v>
      </c>
      <c r="E2787" s="10" t="str">
        <f t="shared" si="120"/>
        <v>Rancho Estopila No. 22, A</v>
      </c>
      <c r="F2787" s="10" t="str">
        <f t="shared" si="121"/>
        <v>Ayala Carranza</v>
      </c>
      <c r="G2787" s="8">
        <v>1</v>
      </c>
      <c r="H2787" s="11">
        <v>400</v>
      </c>
      <c r="I2787" s="12">
        <v>42707</v>
      </c>
      <c r="J2787" s="35">
        <f t="shared" ref="J2787:J2848" si="122">IF(G2787=1,SUM(W2787,AJ2787,-H2787),0)</f>
        <v>0</v>
      </c>
      <c r="K2787" s="36"/>
      <c r="L2787" s="36"/>
      <c r="M2787" s="36"/>
      <c r="N2787" s="36"/>
      <c r="O2787" s="36"/>
      <c r="P2787" s="36"/>
      <c r="Q2787" s="36"/>
      <c r="R2787" s="36"/>
      <c r="S2787" s="36"/>
      <c r="T2787" s="36">
        <v>200</v>
      </c>
      <c r="U2787" s="36">
        <v>200</v>
      </c>
      <c r="V2787" s="36"/>
      <c r="W2787" s="15">
        <f t="shared" ref="W2787:W2848" si="123">SUM(K2787:V2787)</f>
        <v>400</v>
      </c>
      <c r="X2787" s="36"/>
      <c r="Y2787" s="36"/>
      <c r="Z2787" s="36"/>
      <c r="AA2787" s="36"/>
      <c r="AB2787" s="36"/>
      <c r="AC2787" s="36"/>
      <c r="AD2787" s="36"/>
      <c r="AE2787" s="36"/>
      <c r="AF2787" s="36"/>
      <c r="AG2787" s="36"/>
      <c r="AH2787" s="36"/>
      <c r="AI2787" s="36"/>
      <c r="AJ2787" s="15">
        <f t="shared" ref="AJ2787:AJ2848" si="124">SUM(X2787:AI2787)</f>
        <v>0</v>
      </c>
      <c r="AK2787" s="16"/>
    </row>
    <row r="2788" spans="2:37" x14ac:dyDescent="0.2">
      <c r="B2788" s="7"/>
      <c r="C2788" s="8">
        <v>13330</v>
      </c>
      <c r="D2788" s="9" t="s">
        <v>103</v>
      </c>
      <c r="E2788" s="10" t="str">
        <f t="shared" si="120"/>
        <v>Rancho La Cuchilla No. 41</v>
      </c>
      <c r="F2788" s="10" t="str">
        <f t="shared" si="121"/>
        <v>Arriaga Lemus</v>
      </c>
      <c r="G2788" s="8">
        <v>1</v>
      </c>
      <c r="H2788" s="11">
        <v>400</v>
      </c>
      <c r="I2788" s="12">
        <v>42707</v>
      </c>
      <c r="J2788" s="35">
        <f t="shared" si="122"/>
        <v>0</v>
      </c>
      <c r="K2788" s="36"/>
      <c r="L2788" s="36"/>
      <c r="M2788" s="36"/>
      <c r="N2788" s="36"/>
      <c r="O2788" s="36"/>
      <c r="P2788" s="36"/>
      <c r="Q2788" s="36"/>
      <c r="R2788" s="36"/>
      <c r="S2788" s="36"/>
      <c r="T2788" s="36"/>
      <c r="U2788" s="36">
        <v>400</v>
      </c>
      <c r="V2788" s="36"/>
      <c r="W2788" s="15">
        <f t="shared" si="123"/>
        <v>400</v>
      </c>
      <c r="X2788" s="36"/>
      <c r="Y2788" s="36"/>
      <c r="Z2788" s="36"/>
      <c r="AA2788" s="36"/>
      <c r="AB2788" s="36"/>
      <c r="AC2788" s="36"/>
      <c r="AD2788" s="36"/>
      <c r="AE2788" s="36"/>
      <c r="AF2788" s="36"/>
      <c r="AG2788" s="36"/>
      <c r="AH2788" s="36"/>
      <c r="AI2788" s="36"/>
      <c r="AJ2788" s="15">
        <f t="shared" si="124"/>
        <v>0</v>
      </c>
      <c r="AK2788" s="16"/>
    </row>
    <row r="2789" spans="2:37" x14ac:dyDescent="0.2">
      <c r="B2789" s="7"/>
      <c r="C2789" s="8">
        <v>13331</v>
      </c>
      <c r="D2789" s="9" t="s">
        <v>241</v>
      </c>
      <c r="E2789" s="10" t="str">
        <f t="shared" si="120"/>
        <v>Rancho La Cuchilla No. 81, A</v>
      </c>
      <c r="F2789" s="10" t="str">
        <f t="shared" si="121"/>
        <v>Barrientos López</v>
      </c>
      <c r="G2789" s="8">
        <v>1</v>
      </c>
      <c r="H2789" s="11">
        <v>400</v>
      </c>
      <c r="I2789" s="12">
        <v>42707</v>
      </c>
      <c r="J2789" s="35">
        <f t="shared" si="122"/>
        <v>0</v>
      </c>
      <c r="K2789" s="36"/>
      <c r="L2789" s="36"/>
      <c r="M2789" s="36"/>
      <c r="N2789" s="36"/>
      <c r="O2789" s="36"/>
      <c r="P2789" s="36"/>
      <c r="Q2789" s="36"/>
      <c r="R2789" s="36"/>
      <c r="S2789" s="36"/>
      <c r="T2789" s="36"/>
      <c r="U2789" s="36"/>
      <c r="V2789" s="36">
        <v>400</v>
      </c>
      <c r="W2789" s="15">
        <f t="shared" si="123"/>
        <v>400</v>
      </c>
      <c r="X2789" s="36"/>
      <c r="Y2789" s="36"/>
      <c r="Z2789" s="36"/>
      <c r="AA2789" s="36"/>
      <c r="AB2789" s="36"/>
      <c r="AC2789" s="36"/>
      <c r="AD2789" s="36"/>
      <c r="AE2789" s="36"/>
      <c r="AF2789" s="36"/>
      <c r="AG2789" s="36"/>
      <c r="AH2789" s="36"/>
      <c r="AI2789" s="36"/>
      <c r="AJ2789" s="15">
        <f t="shared" si="124"/>
        <v>0</v>
      </c>
      <c r="AK2789" s="16"/>
    </row>
    <row r="2790" spans="2:37" x14ac:dyDescent="0.2">
      <c r="B2790" s="7"/>
      <c r="C2790" s="8">
        <v>13332</v>
      </c>
      <c r="D2790" s="9" t="s">
        <v>882</v>
      </c>
      <c r="E2790" s="10" t="str">
        <f t="shared" si="120"/>
        <v>Rancho Upácuaro No. 54</v>
      </c>
      <c r="F2790" s="10" t="str">
        <f t="shared" si="121"/>
        <v>García Rueda</v>
      </c>
      <c r="G2790" s="8">
        <v>1</v>
      </c>
      <c r="H2790" s="11">
        <v>400</v>
      </c>
      <c r="I2790" s="12">
        <v>42707</v>
      </c>
      <c r="J2790" s="35">
        <f t="shared" si="122"/>
        <v>0</v>
      </c>
      <c r="K2790" s="36"/>
      <c r="L2790" s="36"/>
      <c r="M2790" s="36"/>
      <c r="N2790" s="36"/>
      <c r="O2790" s="36"/>
      <c r="P2790" s="36"/>
      <c r="Q2790" s="36"/>
      <c r="R2790" s="36"/>
      <c r="S2790" s="36"/>
      <c r="T2790" s="36"/>
      <c r="U2790" s="36">
        <v>200</v>
      </c>
      <c r="V2790" s="36">
        <v>200</v>
      </c>
      <c r="W2790" s="15">
        <f t="shared" si="123"/>
        <v>400</v>
      </c>
      <c r="X2790" s="36"/>
      <c r="Y2790" s="36"/>
      <c r="Z2790" s="36"/>
      <c r="AA2790" s="36"/>
      <c r="AB2790" s="36"/>
      <c r="AC2790" s="36"/>
      <c r="AD2790" s="36"/>
      <c r="AE2790" s="36"/>
      <c r="AF2790" s="36"/>
      <c r="AG2790" s="36"/>
      <c r="AH2790" s="36"/>
      <c r="AI2790" s="36"/>
      <c r="AJ2790" s="15">
        <f t="shared" si="124"/>
        <v>0</v>
      </c>
      <c r="AK2790" s="16"/>
    </row>
    <row r="2791" spans="2:37" x14ac:dyDescent="0.2">
      <c r="B2791" s="7"/>
      <c r="C2791" s="8">
        <v>13333</v>
      </c>
      <c r="D2791" s="9" t="s">
        <v>797</v>
      </c>
      <c r="E2791" s="10" t="str">
        <f t="shared" si="120"/>
        <v>Rancho Recoveco No. 195</v>
      </c>
      <c r="F2791" s="10" t="str">
        <f t="shared" si="121"/>
        <v>Sandoval</v>
      </c>
      <c r="G2791" s="8">
        <v>1</v>
      </c>
      <c r="H2791" s="11">
        <v>400</v>
      </c>
      <c r="I2791" s="12">
        <v>42707</v>
      </c>
      <c r="J2791" s="35">
        <f t="shared" si="122"/>
        <v>0</v>
      </c>
      <c r="K2791" s="36"/>
      <c r="L2791" s="36"/>
      <c r="M2791" s="36"/>
      <c r="N2791" s="36"/>
      <c r="O2791" s="36"/>
      <c r="P2791" s="36"/>
      <c r="Q2791" s="36"/>
      <c r="R2791" s="36"/>
      <c r="S2791" s="36"/>
      <c r="T2791" s="36"/>
      <c r="U2791" s="36"/>
      <c r="V2791" s="36">
        <v>400</v>
      </c>
      <c r="W2791" s="15">
        <f t="shared" si="123"/>
        <v>400</v>
      </c>
      <c r="X2791" s="36"/>
      <c r="Y2791" s="36"/>
      <c r="Z2791" s="36"/>
      <c r="AA2791" s="36"/>
      <c r="AB2791" s="36"/>
      <c r="AC2791" s="36"/>
      <c r="AD2791" s="36"/>
      <c r="AE2791" s="36"/>
      <c r="AF2791" s="36"/>
      <c r="AG2791" s="36"/>
      <c r="AH2791" s="36"/>
      <c r="AI2791" s="36"/>
      <c r="AJ2791" s="15">
        <f t="shared" si="124"/>
        <v>0</v>
      </c>
      <c r="AK2791" s="16"/>
    </row>
    <row r="2792" spans="2:37" x14ac:dyDescent="0.2">
      <c r="B2792" s="7"/>
      <c r="C2792" s="8">
        <v>13334</v>
      </c>
      <c r="D2792" s="9" t="s">
        <v>97</v>
      </c>
      <c r="E2792" s="10" t="str">
        <f t="shared" si="120"/>
        <v>Rancho La Cuchilla No. 78</v>
      </c>
      <c r="F2792" s="10" t="str">
        <f t="shared" si="121"/>
        <v>García</v>
      </c>
      <c r="G2792" s="8">
        <v>1</v>
      </c>
      <c r="H2792" s="11">
        <v>400</v>
      </c>
      <c r="I2792" s="12">
        <v>42707</v>
      </c>
      <c r="J2792" s="35">
        <f t="shared" si="122"/>
        <v>0</v>
      </c>
      <c r="K2792" s="36"/>
      <c r="L2792" s="36"/>
      <c r="M2792" s="36"/>
      <c r="N2792" s="36"/>
      <c r="O2792" s="36"/>
      <c r="P2792" s="36"/>
      <c r="Q2792" s="36"/>
      <c r="R2792" s="36"/>
      <c r="S2792" s="36"/>
      <c r="T2792" s="36"/>
      <c r="U2792" s="36"/>
      <c r="V2792" s="36">
        <v>400</v>
      </c>
      <c r="W2792" s="15">
        <f t="shared" si="123"/>
        <v>400</v>
      </c>
      <c r="X2792" s="36"/>
      <c r="Y2792" s="36"/>
      <c r="Z2792" s="36"/>
      <c r="AA2792" s="36"/>
      <c r="AB2792" s="36"/>
      <c r="AC2792" s="36"/>
      <c r="AD2792" s="36"/>
      <c r="AE2792" s="36"/>
      <c r="AF2792" s="36"/>
      <c r="AG2792" s="36"/>
      <c r="AH2792" s="36"/>
      <c r="AI2792" s="36"/>
      <c r="AJ2792" s="15">
        <f t="shared" si="124"/>
        <v>0</v>
      </c>
      <c r="AK2792" s="16"/>
    </row>
    <row r="2793" spans="2:37" x14ac:dyDescent="0.2">
      <c r="B2793" s="7"/>
      <c r="C2793" s="8">
        <v>13335</v>
      </c>
      <c r="D2793" s="9" t="s">
        <v>479</v>
      </c>
      <c r="E2793" s="10" t="str">
        <f t="shared" si="120"/>
        <v>Rancho Zinamba No. 68</v>
      </c>
      <c r="F2793" s="10" t="str">
        <f t="shared" si="121"/>
        <v>Rivera Villicaña</v>
      </c>
      <c r="G2793" s="8">
        <v>1</v>
      </c>
      <c r="H2793" s="11">
        <v>300</v>
      </c>
      <c r="I2793" s="12">
        <v>42707</v>
      </c>
      <c r="J2793" s="35">
        <f t="shared" si="122"/>
        <v>0</v>
      </c>
      <c r="K2793" s="36"/>
      <c r="L2793" s="36"/>
      <c r="M2793" s="36"/>
      <c r="N2793" s="36"/>
      <c r="O2793" s="36"/>
      <c r="P2793" s="36"/>
      <c r="Q2793" s="36"/>
      <c r="R2793" s="36"/>
      <c r="S2793" s="36"/>
      <c r="T2793" s="36"/>
      <c r="U2793" s="36"/>
      <c r="V2793" s="36">
        <v>300</v>
      </c>
      <c r="W2793" s="15">
        <f t="shared" si="123"/>
        <v>300</v>
      </c>
      <c r="X2793" s="36"/>
      <c r="Y2793" s="36"/>
      <c r="Z2793" s="36"/>
      <c r="AA2793" s="36"/>
      <c r="AB2793" s="36"/>
      <c r="AC2793" s="36"/>
      <c r="AD2793" s="36"/>
      <c r="AE2793" s="36"/>
      <c r="AF2793" s="36"/>
      <c r="AG2793" s="36"/>
      <c r="AH2793" s="36"/>
      <c r="AI2793" s="36"/>
      <c r="AJ2793" s="15">
        <f t="shared" si="124"/>
        <v>0</v>
      </c>
      <c r="AK2793" s="16"/>
    </row>
    <row r="2794" spans="2:37" x14ac:dyDescent="0.2">
      <c r="B2794" s="7"/>
      <c r="C2794" s="8">
        <v>13336</v>
      </c>
      <c r="D2794" s="9" t="s">
        <v>392</v>
      </c>
      <c r="E2794" s="10" t="str">
        <f t="shared" si="120"/>
        <v>Rancho Estopila No. 18</v>
      </c>
      <c r="F2794" s="10" t="str">
        <f t="shared" si="121"/>
        <v>Aguilar Zarmeño</v>
      </c>
      <c r="G2794" s="8">
        <v>1</v>
      </c>
      <c r="H2794" s="11">
        <v>4400</v>
      </c>
      <c r="I2794" s="12">
        <v>42707</v>
      </c>
      <c r="J2794" s="35">
        <f t="shared" si="122"/>
        <v>0</v>
      </c>
      <c r="K2794" s="36"/>
      <c r="L2794" s="36"/>
      <c r="M2794" s="36"/>
      <c r="N2794" s="36"/>
      <c r="O2794" s="36"/>
      <c r="P2794" s="36"/>
      <c r="Q2794" s="36"/>
      <c r="R2794" s="36"/>
      <c r="S2794" s="36"/>
      <c r="T2794" s="36"/>
      <c r="U2794" s="36"/>
      <c r="V2794" s="36"/>
      <c r="W2794" s="15">
        <f t="shared" si="123"/>
        <v>0</v>
      </c>
      <c r="X2794" s="36">
        <v>400</v>
      </c>
      <c r="Y2794" s="36">
        <v>400</v>
      </c>
      <c r="Z2794" s="36">
        <v>400</v>
      </c>
      <c r="AA2794" s="36">
        <v>400</v>
      </c>
      <c r="AB2794" s="36">
        <v>400</v>
      </c>
      <c r="AC2794" s="36">
        <v>400</v>
      </c>
      <c r="AD2794" s="36">
        <v>400</v>
      </c>
      <c r="AE2794" s="36">
        <v>400</v>
      </c>
      <c r="AF2794" s="36">
        <v>400</v>
      </c>
      <c r="AG2794" s="36">
        <v>400</v>
      </c>
      <c r="AH2794" s="36">
        <v>400</v>
      </c>
      <c r="AI2794" s="36"/>
      <c r="AJ2794" s="15">
        <f t="shared" si="124"/>
        <v>4400</v>
      </c>
      <c r="AK2794" s="16" t="s">
        <v>3188</v>
      </c>
    </row>
    <row r="2795" spans="2:37" x14ac:dyDescent="0.2">
      <c r="B2795" s="7"/>
      <c r="C2795" s="8">
        <v>13337</v>
      </c>
      <c r="D2795" s="9" t="s">
        <v>238</v>
      </c>
      <c r="E2795" s="10" t="str">
        <f t="shared" si="120"/>
        <v>Rancho La Cuchilla No. 43, B</v>
      </c>
      <c r="F2795" s="10" t="str">
        <f t="shared" si="121"/>
        <v>Luna Albertano</v>
      </c>
      <c r="G2795" s="8">
        <v>1</v>
      </c>
      <c r="H2795" s="11">
        <v>125</v>
      </c>
      <c r="I2795" s="12">
        <v>42707</v>
      </c>
      <c r="J2795" s="35">
        <f t="shared" si="122"/>
        <v>0</v>
      </c>
      <c r="K2795" s="36"/>
      <c r="L2795" s="36"/>
      <c r="M2795" s="36"/>
      <c r="N2795" s="36"/>
      <c r="O2795" s="36"/>
      <c r="P2795" s="36"/>
      <c r="Q2795" s="36"/>
      <c r="R2795" s="36"/>
      <c r="S2795" s="36"/>
      <c r="T2795" s="36"/>
      <c r="U2795" s="36"/>
      <c r="V2795" s="36">
        <v>125</v>
      </c>
      <c r="W2795" s="15">
        <f t="shared" si="123"/>
        <v>125</v>
      </c>
      <c r="X2795" s="36"/>
      <c r="Y2795" s="36"/>
      <c r="Z2795" s="36"/>
      <c r="AA2795" s="36"/>
      <c r="AB2795" s="36"/>
      <c r="AC2795" s="36"/>
      <c r="AD2795" s="36"/>
      <c r="AE2795" s="36"/>
      <c r="AF2795" s="36"/>
      <c r="AG2795" s="36"/>
      <c r="AH2795" s="36"/>
      <c r="AI2795" s="36"/>
      <c r="AJ2795" s="15">
        <f t="shared" si="124"/>
        <v>0</v>
      </c>
      <c r="AK2795" s="16"/>
    </row>
    <row r="2796" spans="2:37" x14ac:dyDescent="0.2">
      <c r="B2796" s="7"/>
      <c r="C2796" s="8">
        <v>13338</v>
      </c>
      <c r="D2796" s="9" t="s">
        <v>678</v>
      </c>
      <c r="E2796" s="10" t="str">
        <f t="shared" si="120"/>
        <v>Rancho Upácuaro No. 76</v>
      </c>
      <c r="F2796" s="10" t="str">
        <f t="shared" si="121"/>
        <v>Ruiz de San Pedro</v>
      </c>
      <c r="G2796" s="8">
        <v>1</v>
      </c>
      <c r="H2796" s="11">
        <v>400</v>
      </c>
      <c r="I2796" s="12">
        <v>42707</v>
      </c>
      <c r="J2796" s="35">
        <f t="shared" si="122"/>
        <v>0</v>
      </c>
      <c r="K2796" s="36"/>
      <c r="L2796" s="36"/>
      <c r="M2796" s="36"/>
      <c r="N2796" s="36"/>
      <c r="O2796" s="36"/>
      <c r="P2796" s="36"/>
      <c r="Q2796" s="36"/>
      <c r="R2796" s="36"/>
      <c r="S2796" s="36"/>
      <c r="T2796" s="36"/>
      <c r="U2796" s="36"/>
      <c r="V2796" s="36">
        <v>400</v>
      </c>
      <c r="W2796" s="15">
        <f t="shared" si="123"/>
        <v>400</v>
      </c>
      <c r="X2796" s="36"/>
      <c r="Y2796" s="36"/>
      <c r="Z2796" s="36"/>
      <c r="AA2796" s="36"/>
      <c r="AB2796" s="36"/>
      <c r="AC2796" s="36"/>
      <c r="AD2796" s="36"/>
      <c r="AE2796" s="36"/>
      <c r="AF2796" s="36"/>
      <c r="AG2796" s="36"/>
      <c r="AH2796" s="36"/>
      <c r="AI2796" s="36"/>
      <c r="AJ2796" s="15">
        <f t="shared" si="124"/>
        <v>0</v>
      </c>
      <c r="AK2796" s="16"/>
    </row>
    <row r="2797" spans="2:37" x14ac:dyDescent="0.2">
      <c r="B2797" s="7"/>
      <c r="C2797" s="8">
        <v>13339</v>
      </c>
      <c r="D2797" s="9" t="s">
        <v>84</v>
      </c>
      <c r="E2797" s="10" t="str">
        <f t="shared" si="120"/>
        <v>Rancho La Cuchilla No. 139</v>
      </c>
      <c r="F2797" s="10" t="str">
        <f t="shared" si="121"/>
        <v>Garcia</v>
      </c>
      <c r="G2797" s="8">
        <v>1</v>
      </c>
      <c r="H2797" s="11">
        <v>200</v>
      </c>
      <c r="I2797" s="12">
        <v>42707</v>
      </c>
      <c r="J2797" s="35">
        <f t="shared" si="122"/>
        <v>0</v>
      </c>
      <c r="K2797" s="36"/>
      <c r="L2797" s="36"/>
      <c r="M2797" s="36"/>
      <c r="N2797" s="36"/>
      <c r="O2797" s="36"/>
      <c r="P2797" s="36"/>
      <c r="Q2797" s="36"/>
      <c r="R2797" s="36"/>
      <c r="S2797" s="36"/>
      <c r="T2797" s="36"/>
      <c r="U2797" s="36"/>
      <c r="V2797" s="36">
        <v>200</v>
      </c>
      <c r="W2797" s="15">
        <f t="shared" si="123"/>
        <v>200</v>
      </c>
      <c r="X2797" s="36"/>
      <c r="Y2797" s="36"/>
      <c r="Z2797" s="36"/>
      <c r="AA2797" s="36"/>
      <c r="AB2797" s="36"/>
      <c r="AC2797" s="36"/>
      <c r="AD2797" s="36"/>
      <c r="AE2797" s="36"/>
      <c r="AF2797" s="36"/>
      <c r="AG2797" s="36"/>
      <c r="AH2797" s="36"/>
      <c r="AI2797" s="36"/>
      <c r="AJ2797" s="15">
        <f t="shared" si="124"/>
        <v>0</v>
      </c>
      <c r="AK2797" s="16"/>
    </row>
    <row r="2798" spans="2:37" x14ac:dyDescent="0.2">
      <c r="B2798" s="7"/>
      <c r="C2798" s="8">
        <v>13340</v>
      </c>
      <c r="D2798" s="9" t="s">
        <v>1257</v>
      </c>
      <c r="E2798" s="10" t="str">
        <f t="shared" si="120"/>
        <v>Rancho La Cuchilla No. 9</v>
      </c>
      <c r="F2798" s="10" t="str">
        <f t="shared" si="121"/>
        <v>Martín del Campo</v>
      </c>
      <c r="G2798" s="8">
        <v>5</v>
      </c>
      <c r="H2798" s="11">
        <v>50</v>
      </c>
      <c r="I2798" s="12">
        <v>42707</v>
      </c>
      <c r="J2798" s="35">
        <f t="shared" si="122"/>
        <v>0</v>
      </c>
      <c r="K2798" s="36"/>
      <c r="L2798" s="36"/>
      <c r="M2798" s="36"/>
      <c r="N2798" s="36"/>
      <c r="O2798" s="36"/>
      <c r="P2798" s="36"/>
      <c r="Q2798" s="36"/>
      <c r="R2798" s="36"/>
      <c r="S2798" s="36"/>
      <c r="T2798" s="36"/>
      <c r="U2798" s="36"/>
      <c r="V2798" s="36"/>
      <c r="W2798" s="15">
        <f t="shared" si="123"/>
        <v>0</v>
      </c>
      <c r="X2798" s="36"/>
      <c r="Y2798" s="36"/>
      <c r="Z2798" s="36"/>
      <c r="AA2798" s="36"/>
      <c r="AB2798" s="36"/>
      <c r="AC2798" s="36"/>
      <c r="AD2798" s="36"/>
      <c r="AE2798" s="36"/>
      <c r="AF2798" s="36"/>
      <c r="AG2798" s="36"/>
      <c r="AH2798" s="36"/>
      <c r="AI2798" s="36"/>
      <c r="AJ2798" s="15">
        <f t="shared" si="124"/>
        <v>0</v>
      </c>
      <c r="AK2798" s="16"/>
    </row>
    <row r="2799" spans="2:37" x14ac:dyDescent="0.2">
      <c r="B2799" s="7"/>
      <c r="C2799" s="8">
        <v>13341</v>
      </c>
      <c r="D2799" s="9" t="s">
        <v>1092</v>
      </c>
      <c r="E2799" s="10" t="str">
        <f t="shared" si="120"/>
        <v>Rancho Estanzuela No. 9, A</v>
      </c>
      <c r="F2799" s="10" t="str">
        <f t="shared" si="121"/>
        <v>Castañeda</v>
      </c>
      <c r="G2799" s="8">
        <v>1</v>
      </c>
      <c r="H2799" s="11">
        <v>400</v>
      </c>
      <c r="I2799" s="12">
        <v>42707</v>
      </c>
      <c r="J2799" s="35">
        <f t="shared" si="122"/>
        <v>0</v>
      </c>
      <c r="K2799" s="36"/>
      <c r="L2799" s="36"/>
      <c r="M2799" s="36"/>
      <c r="N2799" s="36"/>
      <c r="O2799" s="36"/>
      <c r="P2799" s="36"/>
      <c r="Q2799" s="36"/>
      <c r="R2799" s="36"/>
      <c r="S2799" s="36"/>
      <c r="T2799" s="36"/>
      <c r="U2799" s="36">
        <v>200</v>
      </c>
      <c r="V2799" s="36">
        <v>200</v>
      </c>
      <c r="W2799" s="15">
        <f t="shared" si="123"/>
        <v>400</v>
      </c>
      <c r="X2799" s="36"/>
      <c r="Y2799" s="36"/>
      <c r="Z2799" s="36"/>
      <c r="AA2799" s="36"/>
      <c r="AB2799" s="36"/>
      <c r="AC2799" s="36"/>
      <c r="AD2799" s="36"/>
      <c r="AE2799" s="36"/>
      <c r="AF2799" s="36"/>
      <c r="AG2799" s="36"/>
      <c r="AH2799" s="36"/>
      <c r="AI2799" s="36"/>
      <c r="AJ2799" s="15">
        <f t="shared" si="124"/>
        <v>0</v>
      </c>
      <c r="AK2799" s="16"/>
    </row>
    <row r="2800" spans="2:37" x14ac:dyDescent="0.2">
      <c r="B2800" s="7"/>
      <c r="C2800" s="8">
        <v>13342</v>
      </c>
      <c r="D2800" s="9" t="s">
        <v>681</v>
      </c>
      <c r="E2800" s="10" t="str">
        <f t="shared" si="120"/>
        <v>Rancho Landero No. 87</v>
      </c>
      <c r="F2800" s="10" t="str">
        <f t="shared" si="121"/>
        <v>Fey Lafferla</v>
      </c>
      <c r="G2800" s="8">
        <v>1</v>
      </c>
      <c r="H2800" s="11">
        <v>300</v>
      </c>
      <c r="I2800" s="12">
        <v>42707</v>
      </c>
      <c r="J2800" s="35">
        <f t="shared" si="122"/>
        <v>0</v>
      </c>
      <c r="K2800" s="36"/>
      <c r="L2800" s="36"/>
      <c r="M2800" s="36"/>
      <c r="N2800" s="36"/>
      <c r="O2800" s="36"/>
      <c r="P2800" s="36"/>
      <c r="Q2800" s="36"/>
      <c r="R2800" s="36"/>
      <c r="S2800" s="36"/>
      <c r="T2800" s="36"/>
      <c r="U2800" s="36">
        <v>300</v>
      </c>
      <c r="V2800" s="36"/>
      <c r="W2800" s="15">
        <f t="shared" si="123"/>
        <v>300</v>
      </c>
      <c r="X2800" s="36"/>
      <c r="Y2800" s="36"/>
      <c r="Z2800" s="36"/>
      <c r="AA2800" s="36"/>
      <c r="AB2800" s="36"/>
      <c r="AC2800" s="36"/>
      <c r="AD2800" s="36"/>
      <c r="AE2800" s="36"/>
      <c r="AF2800" s="36"/>
      <c r="AG2800" s="36"/>
      <c r="AH2800" s="36"/>
      <c r="AI2800" s="36"/>
      <c r="AJ2800" s="15">
        <f t="shared" si="124"/>
        <v>0</v>
      </c>
      <c r="AK2800" s="16"/>
    </row>
    <row r="2801" spans="2:37" x14ac:dyDescent="0.2">
      <c r="B2801" s="7"/>
      <c r="C2801" s="8">
        <v>13343</v>
      </c>
      <c r="D2801" s="9" t="s">
        <v>617</v>
      </c>
      <c r="E2801" s="10" t="str">
        <f t="shared" si="120"/>
        <v>Rancho Zinamba No. 50</v>
      </c>
      <c r="F2801" s="10" t="str">
        <f t="shared" si="121"/>
        <v>Del Castillo</v>
      </c>
      <c r="G2801" s="8">
        <v>1</v>
      </c>
      <c r="H2801" s="11">
        <v>400</v>
      </c>
      <c r="I2801" s="12">
        <v>42707</v>
      </c>
      <c r="J2801" s="35">
        <f t="shared" si="122"/>
        <v>0</v>
      </c>
      <c r="K2801" s="36"/>
      <c r="L2801" s="36"/>
      <c r="M2801" s="36"/>
      <c r="N2801" s="36"/>
      <c r="O2801" s="36"/>
      <c r="P2801" s="36"/>
      <c r="Q2801" s="36"/>
      <c r="R2801" s="36"/>
      <c r="S2801" s="36"/>
      <c r="T2801" s="36"/>
      <c r="U2801" s="36">
        <v>400</v>
      </c>
      <c r="V2801" s="36"/>
      <c r="W2801" s="15">
        <f t="shared" si="123"/>
        <v>400</v>
      </c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15">
        <f t="shared" si="124"/>
        <v>0</v>
      </c>
      <c r="AK2801" s="16"/>
    </row>
    <row r="2802" spans="2:37" x14ac:dyDescent="0.2">
      <c r="B2802" s="7"/>
      <c r="C2802" s="8">
        <v>13344</v>
      </c>
      <c r="D2802" s="9" t="s">
        <v>905</v>
      </c>
      <c r="E2802" s="10" t="str">
        <f t="shared" si="120"/>
        <v>Rancho Landero No. 81</v>
      </c>
      <c r="F2802" s="10" t="str">
        <f t="shared" si="121"/>
        <v>Cebrían Saldaña</v>
      </c>
      <c r="G2802" s="8">
        <v>1</v>
      </c>
      <c r="H2802" s="11">
        <v>800</v>
      </c>
      <c r="I2802" s="12">
        <v>42707</v>
      </c>
      <c r="J2802" s="35">
        <f t="shared" si="122"/>
        <v>0</v>
      </c>
      <c r="K2802" s="36"/>
      <c r="L2802" s="36"/>
      <c r="M2802" s="36"/>
      <c r="N2802" s="36"/>
      <c r="O2802" s="36"/>
      <c r="P2802" s="36"/>
      <c r="Q2802" s="36"/>
      <c r="R2802" s="36"/>
      <c r="S2802" s="36">
        <v>200</v>
      </c>
      <c r="T2802" s="36">
        <v>200</v>
      </c>
      <c r="U2802" s="36">
        <v>200</v>
      </c>
      <c r="V2802" s="36">
        <v>200</v>
      </c>
      <c r="W2802" s="15">
        <f t="shared" si="123"/>
        <v>800</v>
      </c>
      <c r="X2802" s="36"/>
      <c r="Y2802" s="36"/>
      <c r="Z2802" s="36"/>
      <c r="AA2802" s="36"/>
      <c r="AB2802" s="36"/>
      <c r="AC2802" s="36"/>
      <c r="AD2802" s="36"/>
      <c r="AE2802" s="36"/>
      <c r="AF2802" s="36"/>
      <c r="AG2802" s="36"/>
      <c r="AH2802" s="36"/>
      <c r="AI2802" s="36"/>
      <c r="AJ2802" s="15">
        <f t="shared" si="124"/>
        <v>0</v>
      </c>
      <c r="AK2802" s="16"/>
    </row>
    <row r="2803" spans="2:37" x14ac:dyDescent="0.2">
      <c r="B2803" s="7"/>
      <c r="C2803" s="8">
        <v>13345</v>
      </c>
      <c r="D2803" s="9" t="s">
        <v>62</v>
      </c>
      <c r="E2803" s="10" t="str">
        <f t="shared" si="120"/>
        <v>Rancho Romeral No. 10, A</v>
      </c>
      <c r="F2803" s="10" t="str">
        <f t="shared" si="121"/>
        <v>Casillas Álvarez</v>
      </c>
      <c r="G2803" s="8">
        <v>1</v>
      </c>
      <c r="H2803" s="11">
        <v>400</v>
      </c>
      <c r="I2803" s="12">
        <v>42707</v>
      </c>
      <c r="J2803" s="35">
        <f t="shared" si="122"/>
        <v>0</v>
      </c>
      <c r="K2803" s="36"/>
      <c r="L2803" s="36"/>
      <c r="M2803" s="36"/>
      <c r="N2803" s="36"/>
      <c r="O2803" s="36"/>
      <c r="P2803" s="36"/>
      <c r="Q2803" s="36"/>
      <c r="R2803" s="36"/>
      <c r="S2803" s="36"/>
      <c r="T2803" s="36"/>
      <c r="U2803" s="36"/>
      <c r="V2803" s="36"/>
      <c r="W2803" s="15">
        <f t="shared" si="123"/>
        <v>0</v>
      </c>
      <c r="X2803" s="36">
        <v>200</v>
      </c>
      <c r="Y2803" s="36">
        <v>200</v>
      </c>
      <c r="Z2803" s="36"/>
      <c r="AA2803" s="36"/>
      <c r="AB2803" s="36"/>
      <c r="AC2803" s="36"/>
      <c r="AD2803" s="36"/>
      <c r="AE2803" s="36"/>
      <c r="AF2803" s="36"/>
      <c r="AG2803" s="36"/>
      <c r="AH2803" s="36"/>
      <c r="AI2803" s="36"/>
      <c r="AJ2803" s="15">
        <f t="shared" si="124"/>
        <v>400</v>
      </c>
      <c r="AK2803" s="16"/>
    </row>
    <row r="2804" spans="2:37" x14ac:dyDescent="0.2">
      <c r="B2804" s="7"/>
      <c r="C2804" s="8">
        <v>13346</v>
      </c>
      <c r="D2804" s="9" t="s">
        <v>100</v>
      </c>
      <c r="E2804" s="10" t="str">
        <f t="shared" ref="E2804:E2818" si="125">IF(D2804=0,"",VLOOKUP(D2804,BASE,2,FALSE))</f>
        <v>Rancho Upácuaro No. 32</v>
      </c>
      <c r="F2804" s="10" t="str">
        <f t="shared" ref="F2804:F2818" si="126">IF(D2804=0,"",VLOOKUP(D2804,BASE,3,FALSE))</f>
        <v>Sairafi Carmen</v>
      </c>
      <c r="G2804" s="8">
        <v>1</v>
      </c>
      <c r="H2804" s="11">
        <v>400</v>
      </c>
      <c r="I2804" s="12">
        <v>42707</v>
      </c>
      <c r="J2804" s="35">
        <f t="shared" si="122"/>
        <v>0</v>
      </c>
      <c r="K2804" s="36"/>
      <c r="L2804" s="36"/>
      <c r="M2804" s="36"/>
      <c r="N2804" s="36"/>
      <c r="O2804" s="36"/>
      <c r="P2804" s="36"/>
      <c r="Q2804" s="36"/>
      <c r="R2804" s="36"/>
      <c r="S2804" s="36"/>
      <c r="T2804" s="36"/>
      <c r="U2804" s="36"/>
      <c r="V2804" s="36">
        <v>400</v>
      </c>
      <c r="W2804" s="15">
        <f t="shared" si="123"/>
        <v>400</v>
      </c>
      <c r="X2804" s="36"/>
      <c r="Y2804" s="36"/>
      <c r="Z2804" s="36"/>
      <c r="AA2804" s="36"/>
      <c r="AB2804" s="36"/>
      <c r="AC2804" s="36"/>
      <c r="AD2804" s="36"/>
      <c r="AE2804" s="36"/>
      <c r="AF2804" s="36"/>
      <c r="AG2804" s="36"/>
      <c r="AH2804" s="36"/>
      <c r="AI2804" s="36"/>
      <c r="AJ2804" s="15">
        <f t="shared" si="124"/>
        <v>0</v>
      </c>
      <c r="AK2804" s="16"/>
    </row>
    <row r="2805" spans="2:37" x14ac:dyDescent="0.2">
      <c r="B2805" s="7"/>
      <c r="C2805" s="8">
        <v>13347</v>
      </c>
      <c r="D2805" s="9" t="s">
        <v>637</v>
      </c>
      <c r="E2805" s="10" t="str">
        <f t="shared" si="125"/>
        <v>Rancho Recoveco No. 193</v>
      </c>
      <c r="F2805" s="10" t="str">
        <f t="shared" si="126"/>
        <v>Salazar Pérez</v>
      </c>
      <c r="G2805" s="8">
        <v>4</v>
      </c>
      <c r="H2805" s="11">
        <v>200</v>
      </c>
      <c r="I2805" s="12">
        <v>42707</v>
      </c>
      <c r="J2805" s="35">
        <f t="shared" si="122"/>
        <v>0</v>
      </c>
      <c r="K2805" s="36"/>
      <c r="L2805" s="36"/>
      <c r="M2805" s="36"/>
      <c r="N2805" s="36"/>
      <c r="O2805" s="36"/>
      <c r="P2805" s="36"/>
      <c r="Q2805" s="36"/>
      <c r="R2805" s="36"/>
      <c r="S2805" s="36"/>
      <c r="T2805" s="36"/>
      <c r="U2805" s="36"/>
      <c r="V2805" s="36"/>
      <c r="W2805" s="15">
        <f t="shared" si="123"/>
        <v>0</v>
      </c>
      <c r="X2805" s="36"/>
      <c r="Y2805" s="36"/>
      <c r="Z2805" s="36"/>
      <c r="AA2805" s="36"/>
      <c r="AB2805" s="36"/>
      <c r="AC2805" s="36"/>
      <c r="AD2805" s="36"/>
      <c r="AE2805" s="36"/>
      <c r="AF2805" s="36"/>
      <c r="AG2805" s="36"/>
      <c r="AH2805" s="36"/>
      <c r="AI2805" s="36"/>
      <c r="AJ2805" s="15">
        <f t="shared" si="124"/>
        <v>0</v>
      </c>
      <c r="AK2805" s="16" t="s">
        <v>3193</v>
      </c>
    </row>
    <row r="2806" spans="2:37" x14ac:dyDescent="0.2">
      <c r="B2806" s="7"/>
      <c r="C2806" s="8">
        <v>13348</v>
      </c>
      <c r="D2806" s="9" t="s">
        <v>292</v>
      </c>
      <c r="E2806" s="10" t="str">
        <f t="shared" si="125"/>
        <v>Rancho Upácuaro No. 140</v>
      </c>
      <c r="F2806" s="10" t="str">
        <f t="shared" si="126"/>
        <v>Gozain</v>
      </c>
      <c r="G2806" s="8">
        <v>1</v>
      </c>
      <c r="H2806" s="11">
        <v>400</v>
      </c>
      <c r="I2806" s="12">
        <v>42707</v>
      </c>
      <c r="J2806" s="35">
        <f t="shared" si="122"/>
        <v>0</v>
      </c>
      <c r="K2806" s="36"/>
      <c r="L2806" s="36"/>
      <c r="M2806" s="36"/>
      <c r="N2806" s="36"/>
      <c r="O2806" s="36"/>
      <c r="P2806" s="36"/>
      <c r="Q2806" s="36"/>
      <c r="R2806" s="36"/>
      <c r="S2806" s="36"/>
      <c r="T2806" s="36"/>
      <c r="U2806" s="36"/>
      <c r="V2806" s="36">
        <v>400</v>
      </c>
      <c r="W2806" s="15">
        <f t="shared" si="123"/>
        <v>400</v>
      </c>
      <c r="X2806" s="36"/>
      <c r="Y2806" s="36"/>
      <c r="Z2806" s="36"/>
      <c r="AA2806" s="36"/>
      <c r="AB2806" s="36"/>
      <c r="AC2806" s="36"/>
      <c r="AD2806" s="36"/>
      <c r="AE2806" s="36"/>
      <c r="AF2806" s="36"/>
      <c r="AG2806" s="36"/>
      <c r="AH2806" s="36"/>
      <c r="AI2806" s="36"/>
      <c r="AJ2806" s="15">
        <f t="shared" si="124"/>
        <v>0</v>
      </c>
      <c r="AK2806" s="16"/>
    </row>
    <row r="2807" spans="2:37" x14ac:dyDescent="0.2">
      <c r="B2807" s="7"/>
      <c r="C2807" s="8">
        <v>13349</v>
      </c>
      <c r="D2807" s="9" t="s">
        <v>106</v>
      </c>
      <c r="E2807" s="10" t="str">
        <f t="shared" si="125"/>
        <v>Rancho La Cuchilla No. 45</v>
      </c>
      <c r="F2807" s="10" t="str">
        <f t="shared" si="126"/>
        <v>Estévez Hernández</v>
      </c>
      <c r="G2807" s="8">
        <v>1</v>
      </c>
      <c r="H2807" s="11">
        <v>4400</v>
      </c>
      <c r="I2807" s="12">
        <v>42707</v>
      </c>
      <c r="J2807" s="35">
        <f t="shared" si="122"/>
        <v>0</v>
      </c>
      <c r="K2807" s="36"/>
      <c r="L2807" s="36"/>
      <c r="M2807" s="36"/>
      <c r="N2807" s="36"/>
      <c r="O2807" s="36"/>
      <c r="P2807" s="36"/>
      <c r="Q2807" s="36"/>
      <c r="R2807" s="36"/>
      <c r="S2807" s="36"/>
      <c r="T2807" s="36"/>
      <c r="U2807" s="36"/>
      <c r="V2807" s="36"/>
      <c r="W2807" s="15">
        <f t="shared" si="123"/>
        <v>0</v>
      </c>
      <c r="X2807" s="36">
        <v>400</v>
      </c>
      <c r="Y2807" s="36">
        <v>400</v>
      </c>
      <c r="Z2807" s="36">
        <v>400</v>
      </c>
      <c r="AA2807" s="36">
        <v>400</v>
      </c>
      <c r="AB2807" s="36">
        <v>400</v>
      </c>
      <c r="AC2807" s="36">
        <v>400</v>
      </c>
      <c r="AD2807" s="36">
        <v>400</v>
      </c>
      <c r="AE2807" s="36">
        <v>400</v>
      </c>
      <c r="AF2807" s="36">
        <v>400</v>
      </c>
      <c r="AG2807" s="36">
        <v>400</v>
      </c>
      <c r="AH2807" s="36">
        <v>400</v>
      </c>
      <c r="AI2807" s="36"/>
      <c r="AJ2807" s="15">
        <f t="shared" si="124"/>
        <v>4400</v>
      </c>
      <c r="AK2807" s="16" t="s">
        <v>3188</v>
      </c>
    </row>
    <row r="2808" spans="2:37" x14ac:dyDescent="0.2">
      <c r="B2808" s="7"/>
      <c r="C2808" s="8">
        <v>13350</v>
      </c>
      <c r="D2808" s="9" t="s">
        <v>106</v>
      </c>
      <c r="E2808" s="10" t="str">
        <f t="shared" si="125"/>
        <v>Rancho La Cuchilla No. 45</v>
      </c>
      <c r="F2808" s="10" t="str">
        <f t="shared" si="126"/>
        <v>Estévez Hernández</v>
      </c>
      <c r="G2808" s="8">
        <v>5</v>
      </c>
      <c r="H2808" s="11">
        <v>50</v>
      </c>
      <c r="I2808" s="12">
        <v>42707</v>
      </c>
      <c r="J2808" s="35">
        <f t="shared" si="122"/>
        <v>0</v>
      </c>
      <c r="K2808" s="36"/>
      <c r="L2808" s="36"/>
      <c r="M2808" s="36"/>
      <c r="N2808" s="36"/>
      <c r="O2808" s="36"/>
      <c r="P2808" s="36"/>
      <c r="Q2808" s="36"/>
      <c r="R2808" s="36"/>
      <c r="S2808" s="36"/>
      <c r="T2808" s="36"/>
      <c r="U2808" s="36"/>
      <c r="V2808" s="36"/>
      <c r="W2808" s="15">
        <f t="shared" si="123"/>
        <v>0</v>
      </c>
      <c r="X2808" s="36"/>
      <c r="Y2808" s="36"/>
      <c r="Z2808" s="36"/>
      <c r="AA2808" s="36"/>
      <c r="AB2808" s="36"/>
      <c r="AC2808" s="36"/>
      <c r="AD2808" s="36"/>
      <c r="AE2808" s="36"/>
      <c r="AF2808" s="36"/>
      <c r="AG2808" s="36"/>
      <c r="AH2808" s="36"/>
      <c r="AI2808" s="36"/>
      <c r="AJ2808" s="15">
        <f t="shared" si="124"/>
        <v>0</v>
      </c>
      <c r="AK2808" s="16"/>
    </row>
    <row r="2809" spans="2:37" x14ac:dyDescent="0.2">
      <c r="B2809" s="7"/>
      <c r="C2809" s="8">
        <v>13351</v>
      </c>
      <c r="D2809" s="9" t="s">
        <v>123</v>
      </c>
      <c r="E2809" s="10" t="str">
        <f t="shared" si="125"/>
        <v>Rancho Recoveco No. 175, B</v>
      </c>
      <c r="F2809" s="10" t="str">
        <f t="shared" si="126"/>
        <v>García Calderón</v>
      </c>
      <c r="G2809" s="8">
        <v>1</v>
      </c>
      <c r="H2809" s="11">
        <v>250</v>
      </c>
      <c r="I2809" s="12">
        <v>42707</v>
      </c>
      <c r="J2809" s="35">
        <f t="shared" si="122"/>
        <v>0</v>
      </c>
      <c r="K2809" s="36"/>
      <c r="L2809" s="36"/>
      <c r="M2809" s="36"/>
      <c r="N2809" s="36"/>
      <c r="O2809" s="36"/>
      <c r="P2809" s="36"/>
      <c r="Q2809" s="36"/>
      <c r="R2809" s="36"/>
      <c r="S2809" s="36"/>
      <c r="T2809" s="36"/>
      <c r="U2809" s="36"/>
      <c r="V2809" s="36">
        <v>250</v>
      </c>
      <c r="W2809" s="15">
        <f t="shared" si="123"/>
        <v>250</v>
      </c>
      <c r="X2809" s="36"/>
      <c r="Y2809" s="36"/>
      <c r="Z2809" s="36"/>
      <c r="AA2809" s="36"/>
      <c r="AB2809" s="36"/>
      <c r="AC2809" s="36"/>
      <c r="AD2809" s="36"/>
      <c r="AE2809" s="36"/>
      <c r="AF2809" s="36"/>
      <c r="AG2809" s="36"/>
      <c r="AH2809" s="36"/>
      <c r="AI2809" s="36"/>
      <c r="AJ2809" s="15">
        <f t="shared" si="124"/>
        <v>0</v>
      </c>
      <c r="AK2809" s="16"/>
    </row>
    <row r="2810" spans="2:37" x14ac:dyDescent="0.2">
      <c r="B2810" s="345"/>
      <c r="C2810" s="8">
        <v>13352</v>
      </c>
      <c r="D2810" s="9" t="s">
        <v>1442</v>
      </c>
      <c r="E2810" s="10" t="str">
        <f t="shared" si="125"/>
        <v>Rancho Upácuaro No. 92</v>
      </c>
      <c r="F2810" s="10" t="str">
        <f t="shared" si="126"/>
        <v>Rosetti</v>
      </c>
      <c r="G2810" s="8">
        <v>1</v>
      </c>
      <c r="H2810" s="11">
        <v>400</v>
      </c>
      <c r="I2810" s="12">
        <v>42707</v>
      </c>
      <c r="J2810" s="35">
        <f t="shared" si="122"/>
        <v>0</v>
      </c>
      <c r="K2810" s="36"/>
      <c r="L2810" s="36"/>
      <c r="M2810" s="36"/>
      <c r="N2810" s="36"/>
      <c r="O2810" s="36"/>
      <c r="P2810" s="36"/>
      <c r="Q2810" s="36"/>
      <c r="R2810" s="36"/>
      <c r="S2810" s="36"/>
      <c r="T2810" s="36"/>
      <c r="U2810" s="36"/>
      <c r="V2810" s="36">
        <v>400</v>
      </c>
      <c r="W2810" s="15">
        <f t="shared" si="123"/>
        <v>400</v>
      </c>
      <c r="X2810" s="36"/>
      <c r="Y2810" s="36"/>
      <c r="Z2810" s="36"/>
      <c r="AA2810" s="36"/>
      <c r="AB2810" s="36"/>
      <c r="AC2810" s="36"/>
      <c r="AD2810" s="36"/>
      <c r="AE2810" s="36"/>
      <c r="AF2810" s="36"/>
      <c r="AG2810" s="36"/>
      <c r="AH2810" s="36"/>
      <c r="AI2810" s="36"/>
      <c r="AJ2810" s="15">
        <f t="shared" si="124"/>
        <v>0</v>
      </c>
      <c r="AK2810" s="16"/>
    </row>
    <row r="2811" spans="2:37" x14ac:dyDescent="0.2">
      <c r="B2811" s="7"/>
      <c r="C2811" s="8">
        <v>13353</v>
      </c>
      <c r="D2811" s="9" t="s">
        <v>186</v>
      </c>
      <c r="E2811" s="10" t="str">
        <f t="shared" si="125"/>
        <v>Rancho Upácuaro No. 100</v>
      </c>
      <c r="F2811" s="10" t="str">
        <f t="shared" si="126"/>
        <v>Mancera Rodríguez</v>
      </c>
      <c r="G2811" s="8">
        <v>1</v>
      </c>
      <c r="H2811" s="11">
        <v>400</v>
      </c>
      <c r="I2811" s="12">
        <v>42707</v>
      </c>
      <c r="J2811" s="35">
        <f t="shared" si="122"/>
        <v>0</v>
      </c>
      <c r="K2811" s="36"/>
      <c r="L2811" s="36"/>
      <c r="M2811" s="36"/>
      <c r="N2811" s="36"/>
      <c r="O2811" s="36"/>
      <c r="P2811" s="36"/>
      <c r="Q2811" s="36"/>
      <c r="R2811" s="36"/>
      <c r="S2811" s="36"/>
      <c r="T2811" s="36"/>
      <c r="U2811" s="36"/>
      <c r="V2811" s="36">
        <v>400</v>
      </c>
      <c r="W2811" s="15">
        <f t="shared" si="123"/>
        <v>400</v>
      </c>
      <c r="X2811" s="36"/>
      <c r="Y2811" s="36"/>
      <c r="Z2811" s="36"/>
      <c r="AA2811" s="36"/>
      <c r="AB2811" s="36"/>
      <c r="AC2811" s="36"/>
      <c r="AD2811" s="36"/>
      <c r="AE2811" s="36"/>
      <c r="AF2811" s="36"/>
      <c r="AG2811" s="36"/>
      <c r="AH2811" s="36"/>
      <c r="AI2811" s="36"/>
      <c r="AJ2811" s="15">
        <f t="shared" si="124"/>
        <v>0</v>
      </c>
      <c r="AK2811" s="16"/>
    </row>
    <row r="2812" spans="2:37" x14ac:dyDescent="0.2">
      <c r="B2812" s="7"/>
      <c r="C2812" s="8">
        <v>13354</v>
      </c>
      <c r="D2812" s="9" t="s">
        <v>90</v>
      </c>
      <c r="E2812" s="10" t="str">
        <f t="shared" si="125"/>
        <v>Rancho Estanzuela No. 69</v>
      </c>
      <c r="F2812" s="10" t="str">
        <f t="shared" si="126"/>
        <v>Apaez</v>
      </c>
      <c r="G2812" s="8">
        <v>1</v>
      </c>
      <c r="H2812" s="11">
        <v>4400</v>
      </c>
      <c r="I2812" s="12">
        <v>42707</v>
      </c>
      <c r="J2812" s="35">
        <f t="shared" si="122"/>
        <v>0</v>
      </c>
      <c r="K2812" s="36"/>
      <c r="L2812" s="36"/>
      <c r="M2812" s="36"/>
      <c r="N2812" s="36"/>
      <c r="O2812" s="36"/>
      <c r="P2812" s="36"/>
      <c r="Q2812" s="36"/>
      <c r="R2812" s="36"/>
      <c r="S2812" s="36"/>
      <c r="T2812" s="36"/>
      <c r="U2812" s="36"/>
      <c r="V2812" s="36"/>
      <c r="W2812" s="15">
        <f t="shared" si="123"/>
        <v>0</v>
      </c>
      <c r="X2812" s="36">
        <v>400</v>
      </c>
      <c r="Y2812" s="36">
        <v>400</v>
      </c>
      <c r="Z2812" s="36">
        <v>400</v>
      </c>
      <c r="AA2812" s="36">
        <v>400</v>
      </c>
      <c r="AB2812" s="36">
        <v>400</v>
      </c>
      <c r="AC2812" s="36">
        <v>400</v>
      </c>
      <c r="AD2812" s="36">
        <v>400</v>
      </c>
      <c r="AE2812" s="36">
        <v>400</v>
      </c>
      <c r="AF2812" s="36">
        <v>400</v>
      </c>
      <c r="AG2812" s="36">
        <v>400</v>
      </c>
      <c r="AH2812" s="36">
        <v>400</v>
      </c>
      <c r="AI2812" s="36"/>
      <c r="AJ2812" s="15">
        <f t="shared" si="124"/>
        <v>4400</v>
      </c>
      <c r="AK2812" s="16" t="s">
        <v>3188</v>
      </c>
    </row>
    <row r="2813" spans="2:37" x14ac:dyDescent="0.2">
      <c r="B2813" s="7"/>
      <c r="C2813" s="8">
        <v>13355</v>
      </c>
      <c r="D2813" s="9" t="s">
        <v>94</v>
      </c>
      <c r="E2813" s="10" t="str">
        <f t="shared" si="125"/>
        <v>Rancho Landero No. 42</v>
      </c>
      <c r="F2813" s="10" t="str">
        <f t="shared" si="126"/>
        <v>Ávila Fidel</v>
      </c>
      <c r="G2813" s="8">
        <v>1</v>
      </c>
      <c r="H2813" s="11">
        <v>400</v>
      </c>
      <c r="I2813" s="12">
        <v>42707</v>
      </c>
      <c r="J2813" s="35">
        <f t="shared" si="122"/>
        <v>0</v>
      </c>
      <c r="K2813" s="36"/>
      <c r="L2813" s="36"/>
      <c r="M2813" s="36"/>
      <c r="N2813" s="36"/>
      <c r="O2813" s="36"/>
      <c r="P2813" s="36"/>
      <c r="Q2813" s="36"/>
      <c r="R2813" s="36"/>
      <c r="S2813" s="36"/>
      <c r="T2813" s="36"/>
      <c r="U2813" s="36"/>
      <c r="V2813" s="36">
        <v>400</v>
      </c>
      <c r="W2813" s="15">
        <f t="shared" si="123"/>
        <v>400</v>
      </c>
      <c r="X2813" s="36"/>
      <c r="Y2813" s="36"/>
      <c r="Z2813" s="36"/>
      <c r="AA2813" s="36"/>
      <c r="AB2813" s="36"/>
      <c r="AC2813" s="36"/>
      <c r="AD2813" s="36"/>
      <c r="AE2813" s="36"/>
      <c r="AF2813" s="36"/>
      <c r="AG2813" s="36"/>
      <c r="AH2813" s="36"/>
      <c r="AI2813" s="36"/>
      <c r="AJ2813" s="15">
        <f t="shared" si="124"/>
        <v>0</v>
      </c>
      <c r="AK2813" s="16"/>
    </row>
    <row r="2814" spans="2:37" x14ac:dyDescent="0.2">
      <c r="B2814" s="7"/>
      <c r="C2814" s="8">
        <v>13356</v>
      </c>
      <c r="D2814" s="9" t="s">
        <v>437</v>
      </c>
      <c r="E2814" s="10" t="str">
        <f t="shared" si="125"/>
        <v>Rancho Upácuaro No. 47</v>
      </c>
      <c r="F2814" s="10" t="str">
        <f t="shared" si="126"/>
        <v>Flores Muñoz</v>
      </c>
      <c r="G2814" s="8">
        <v>1</v>
      </c>
      <c r="H2814" s="11">
        <v>800</v>
      </c>
      <c r="I2814" s="12">
        <v>42707</v>
      </c>
      <c r="J2814" s="35">
        <f t="shared" si="122"/>
        <v>0</v>
      </c>
      <c r="K2814" s="36"/>
      <c r="L2814" s="36"/>
      <c r="M2814" s="36"/>
      <c r="N2814" s="36"/>
      <c r="O2814" s="36"/>
      <c r="P2814" s="36"/>
      <c r="Q2814" s="36"/>
      <c r="R2814" s="36"/>
      <c r="S2814" s="36"/>
      <c r="T2814" s="36"/>
      <c r="U2814" s="36">
        <v>400</v>
      </c>
      <c r="V2814" s="36">
        <v>400</v>
      </c>
      <c r="W2814" s="15">
        <f t="shared" si="123"/>
        <v>800</v>
      </c>
      <c r="X2814" s="36"/>
      <c r="Y2814" s="36"/>
      <c r="Z2814" s="36"/>
      <c r="AA2814" s="36"/>
      <c r="AB2814" s="36"/>
      <c r="AC2814" s="36"/>
      <c r="AD2814" s="36"/>
      <c r="AE2814" s="36"/>
      <c r="AF2814" s="36"/>
      <c r="AG2814" s="36"/>
      <c r="AH2814" s="36"/>
      <c r="AI2814" s="36"/>
      <c r="AJ2814" s="15">
        <f t="shared" si="124"/>
        <v>0</v>
      </c>
      <c r="AK2814" s="16"/>
    </row>
    <row r="2815" spans="2:37" x14ac:dyDescent="0.2">
      <c r="B2815" s="7"/>
      <c r="C2815" s="8">
        <v>13357</v>
      </c>
      <c r="D2815" s="9" t="s">
        <v>422</v>
      </c>
      <c r="E2815" s="10" t="str">
        <f t="shared" si="125"/>
        <v>Rancho Recoveco No. 183</v>
      </c>
      <c r="F2815" s="10" t="str">
        <f t="shared" si="126"/>
        <v>Atilano Limón</v>
      </c>
      <c r="G2815" s="8">
        <v>5</v>
      </c>
      <c r="H2815" s="11">
        <v>50</v>
      </c>
      <c r="I2815" s="12">
        <v>42707</v>
      </c>
      <c r="J2815" s="35">
        <f t="shared" si="122"/>
        <v>0</v>
      </c>
      <c r="K2815" s="36"/>
      <c r="L2815" s="36"/>
      <c r="M2815" s="36"/>
      <c r="N2815" s="36"/>
      <c r="O2815" s="36"/>
      <c r="P2815" s="36"/>
      <c r="Q2815" s="36"/>
      <c r="R2815" s="36"/>
      <c r="S2815" s="36"/>
      <c r="T2815" s="36"/>
      <c r="U2815" s="36"/>
      <c r="V2815" s="36"/>
      <c r="W2815" s="15">
        <f t="shared" si="123"/>
        <v>0</v>
      </c>
      <c r="X2815" s="36"/>
      <c r="Y2815" s="36"/>
      <c r="Z2815" s="36"/>
      <c r="AA2815" s="36"/>
      <c r="AB2815" s="36"/>
      <c r="AC2815" s="36"/>
      <c r="AD2815" s="36"/>
      <c r="AE2815" s="36"/>
      <c r="AF2815" s="36"/>
      <c r="AG2815" s="36"/>
      <c r="AH2815" s="36"/>
      <c r="AI2815" s="36"/>
      <c r="AJ2815" s="15">
        <f t="shared" si="124"/>
        <v>0</v>
      </c>
      <c r="AK2815" s="16"/>
    </row>
    <row r="2816" spans="2:37" x14ac:dyDescent="0.2">
      <c r="B2816" s="7"/>
      <c r="C2816" s="8">
        <v>13358</v>
      </c>
      <c r="D2816" s="9" t="s">
        <v>1421</v>
      </c>
      <c r="E2816" s="10" t="str">
        <f t="shared" si="125"/>
        <v>Rancho Upácuaro No. 35</v>
      </c>
      <c r="F2816" s="10" t="str">
        <f t="shared" si="126"/>
        <v>García</v>
      </c>
      <c r="G2816" s="8">
        <v>3</v>
      </c>
      <c r="H2816" s="11">
        <v>200</v>
      </c>
      <c r="I2816" s="12">
        <v>42707</v>
      </c>
      <c r="J2816" s="35">
        <f t="shared" si="122"/>
        <v>0</v>
      </c>
      <c r="K2816" s="36"/>
      <c r="L2816" s="36"/>
      <c r="M2816" s="36"/>
      <c r="N2816" s="36"/>
      <c r="O2816" s="36"/>
      <c r="P2816" s="36"/>
      <c r="Q2816" s="36"/>
      <c r="R2816" s="36"/>
      <c r="S2816" s="36"/>
      <c r="T2816" s="36"/>
      <c r="U2816" s="36"/>
      <c r="V2816" s="36"/>
      <c r="W2816" s="15">
        <f t="shared" si="123"/>
        <v>0</v>
      </c>
      <c r="X2816" s="36"/>
      <c r="Y2816" s="36"/>
      <c r="Z2816" s="36"/>
      <c r="AA2816" s="36"/>
      <c r="AB2816" s="36"/>
      <c r="AC2816" s="36"/>
      <c r="AD2816" s="36"/>
      <c r="AE2816" s="36"/>
      <c r="AF2816" s="36"/>
      <c r="AG2816" s="36"/>
      <c r="AH2816" s="36"/>
      <c r="AI2816" s="36"/>
      <c r="AJ2816" s="15">
        <f t="shared" si="124"/>
        <v>0</v>
      </c>
      <c r="AK2816" s="16"/>
    </row>
    <row r="2817" spans="2:37" x14ac:dyDescent="0.2">
      <c r="B2817" s="7"/>
      <c r="C2817" s="8">
        <v>13359</v>
      </c>
      <c r="D2817" s="9" t="s">
        <v>132</v>
      </c>
      <c r="E2817" s="10" t="str">
        <f t="shared" si="125"/>
        <v>Rancho La Cuchilla No. 129</v>
      </c>
      <c r="F2817" s="10" t="str">
        <f t="shared" si="126"/>
        <v>Gamboa Rueda</v>
      </c>
      <c r="G2817" s="8">
        <v>1</v>
      </c>
      <c r="H2817" s="11">
        <v>300</v>
      </c>
      <c r="I2817" s="12">
        <v>42707</v>
      </c>
      <c r="J2817" s="35">
        <f t="shared" si="122"/>
        <v>0</v>
      </c>
      <c r="K2817" s="36"/>
      <c r="L2817" s="36"/>
      <c r="M2817" s="36"/>
      <c r="N2817" s="36"/>
      <c r="O2817" s="36"/>
      <c r="P2817" s="36"/>
      <c r="Q2817" s="36"/>
      <c r="R2817" s="36"/>
      <c r="S2817" s="36"/>
      <c r="T2817" s="36">
        <v>300</v>
      </c>
      <c r="U2817" s="36"/>
      <c r="V2817" s="36"/>
      <c r="W2817" s="15">
        <f t="shared" si="123"/>
        <v>300</v>
      </c>
      <c r="X2817" s="36"/>
      <c r="Y2817" s="36"/>
      <c r="Z2817" s="36"/>
      <c r="AA2817" s="36"/>
      <c r="AB2817" s="36"/>
      <c r="AC2817" s="36"/>
      <c r="AD2817" s="36"/>
      <c r="AE2817" s="36"/>
      <c r="AF2817" s="36"/>
      <c r="AG2817" s="36"/>
      <c r="AH2817" s="36"/>
      <c r="AI2817" s="36"/>
      <c r="AJ2817" s="15">
        <f t="shared" si="124"/>
        <v>0</v>
      </c>
      <c r="AK2817" s="16"/>
    </row>
    <row r="2818" spans="2:37" x14ac:dyDescent="0.2">
      <c r="B2818" s="7"/>
      <c r="C2818" s="8">
        <v>13360</v>
      </c>
      <c r="D2818" s="9" t="s">
        <v>361</v>
      </c>
      <c r="E2818" s="10" t="str">
        <f t="shared" si="125"/>
        <v>Rancho Upácuaro No. 101</v>
      </c>
      <c r="F2818" s="10" t="str">
        <f t="shared" si="126"/>
        <v>Chávez, Arturo</v>
      </c>
      <c r="G2818" s="8">
        <v>1</v>
      </c>
      <c r="H2818" s="11">
        <v>400</v>
      </c>
      <c r="I2818" s="12">
        <v>42707</v>
      </c>
      <c r="J2818" s="35">
        <f t="shared" si="122"/>
        <v>0</v>
      </c>
      <c r="K2818" s="36"/>
      <c r="L2818" s="36"/>
      <c r="M2818" s="36"/>
      <c r="N2818" s="36"/>
      <c r="O2818" s="36"/>
      <c r="P2818" s="36"/>
      <c r="Q2818" s="36"/>
      <c r="R2818" s="36"/>
      <c r="S2818" s="36"/>
      <c r="T2818" s="36"/>
      <c r="U2818" s="36">
        <v>400</v>
      </c>
      <c r="V2818" s="36"/>
      <c r="W2818" s="15">
        <f t="shared" si="123"/>
        <v>400</v>
      </c>
      <c r="X2818" s="36"/>
      <c r="Y2818" s="36"/>
      <c r="Z2818" s="36"/>
      <c r="AA2818" s="36"/>
      <c r="AB2818" s="36"/>
      <c r="AC2818" s="36"/>
      <c r="AD2818" s="36"/>
      <c r="AE2818" s="36"/>
      <c r="AF2818" s="36"/>
      <c r="AG2818" s="36"/>
      <c r="AH2818" s="36"/>
      <c r="AI2818" s="36"/>
      <c r="AJ2818" s="15">
        <f t="shared" si="124"/>
        <v>0</v>
      </c>
      <c r="AK2818" s="16"/>
    </row>
    <row r="2819" spans="2:37" x14ac:dyDescent="0.2">
      <c r="B2819" s="7"/>
      <c r="C2819" s="8">
        <v>13361</v>
      </c>
      <c r="D2819" s="9" t="s">
        <v>769</v>
      </c>
      <c r="E2819" s="10" t="str">
        <f t="shared" ref="E2819:E2848" si="127">IF(D2819=0,"",VLOOKUP(D2819,BASE,2,FALSE))</f>
        <v>Rancho La Cuchilla No. 66</v>
      </c>
      <c r="F2819" s="10" t="str">
        <f t="shared" ref="F2819:F2848" si="128">IF(D2819=0,"",VLOOKUP(D2819,BASE,3,FALSE))</f>
        <v>Prieto</v>
      </c>
      <c r="G2819" s="8">
        <v>1</v>
      </c>
      <c r="H2819" s="11">
        <v>400</v>
      </c>
      <c r="I2819" s="12">
        <v>42707</v>
      </c>
      <c r="J2819" s="35">
        <f t="shared" si="122"/>
        <v>0</v>
      </c>
      <c r="K2819" s="36"/>
      <c r="L2819" s="36"/>
      <c r="M2819" s="36"/>
      <c r="N2819" s="36"/>
      <c r="O2819" s="36"/>
      <c r="P2819" s="36"/>
      <c r="Q2819" s="36"/>
      <c r="R2819" s="36"/>
      <c r="S2819" s="36"/>
      <c r="T2819" s="36"/>
      <c r="U2819" s="36"/>
      <c r="V2819" s="36">
        <v>400</v>
      </c>
      <c r="W2819" s="15">
        <f t="shared" si="123"/>
        <v>400</v>
      </c>
      <c r="X2819" s="36"/>
      <c r="Y2819" s="36"/>
      <c r="Z2819" s="36"/>
      <c r="AA2819" s="36"/>
      <c r="AB2819" s="36"/>
      <c r="AC2819" s="36"/>
      <c r="AD2819" s="36"/>
      <c r="AE2819" s="36"/>
      <c r="AF2819" s="36"/>
      <c r="AG2819" s="36"/>
      <c r="AH2819" s="36"/>
      <c r="AI2819" s="36"/>
      <c r="AJ2819" s="15">
        <f t="shared" si="124"/>
        <v>0</v>
      </c>
      <c r="AK2819" s="16"/>
    </row>
    <row r="2820" spans="2:37" x14ac:dyDescent="0.2">
      <c r="B2820" s="7"/>
      <c r="C2820" s="8">
        <v>13362</v>
      </c>
      <c r="D2820" s="9" t="s">
        <v>165</v>
      </c>
      <c r="E2820" s="10" t="str">
        <f t="shared" si="127"/>
        <v>Rancho Upácuaro No. 23</v>
      </c>
      <c r="F2820" s="10" t="str">
        <f t="shared" si="128"/>
        <v>Arredondo</v>
      </c>
      <c r="G2820" s="8">
        <v>1</v>
      </c>
      <c r="H2820" s="11">
        <v>350</v>
      </c>
      <c r="I2820" s="12">
        <v>42707</v>
      </c>
      <c r="J2820" s="35">
        <f t="shared" si="122"/>
        <v>0</v>
      </c>
      <c r="K2820" s="36"/>
      <c r="L2820" s="36"/>
      <c r="M2820" s="36"/>
      <c r="N2820" s="36"/>
      <c r="O2820" s="36"/>
      <c r="P2820" s="36"/>
      <c r="Q2820" s="36"/>
      <c r="R2820" s="36"/>
      <c r="S2820" s="36"/>
      <c r="T2820" s="36"/>
      <c r="U2820" s="36"/>
      <c r="V2820" s="36">
        <v>350</v>
      </c>
      <c r="W2820" s="15">
        <f t="shared" si="123"/>
        <v>350</v>
      </c>
      <c r="X2820" s="36"/>
      <c r="Y2820" s="36"/>
      <c r="Z2820" s="36"/>
      <c r="AA2820" s="36"/>
      <c r="AB2820" s="36"/>
      <c r="AC2820" s="36"/>
      <c r="AD2820" s="36"/>
      <c r="AE2820" s="36"/>
      <c r="AF2820" s="36"/>
      <c r="AG2820" s="36"/>
      <c r="AH2820" s="36"/>
      <c r="AI2820" s="36"/>
      <c r="AJ2820" s="15">
        <f t="shared" si="124"/>
        <v>0</v>
      </c>
      <c r="AK2820" s="16"/>
    </row>
    <row r="2821" spans="2:37" x14ac:dyDescent="0.2">
      <c r="B2821" s="7"/>
      <c r="C2821" s="8">
        <v>13363</v>
      </c>
      <c r="D2821" s="9" t="s">
        <v>902</v>
      </c>
      <c r="E2821" s="10" t="str">
        <f t="shared" si="127"/>
        <v>Rancho Romeral No. 33</v>
      </c>
      <c r="F2821" s="10" t="str">
        <f t="shared" si="128"/>
        <v>Juárez Alva</v>
      </c>
      <c r="G2821" s="8">
        <v>1</v>
      </c>
      <c r="H2821" s="11">
        <v>1600</v>
      </c>
      <c r="I2821" s="12">
        <v>42707</v>
      </c>
      <c r="J2821" s="35">
        <f t="shared" si="122"/>
        <v>0</v>
      </c>
      <c r="K2821" s="36"/>
      <c r="L2821" s="36"/>
      <c r="M2821" s="36"/>
      <c r="N2821" s="36"/>
      <c r="O2821" s="36"/>
      <c r="P2821" s="36"/>
      <c r="Q2821" s="36"/>
      <c r="R2821" s="36">
        <v>400</v>
      </c>
      <c r="S2821" s="36">
        <v>400</v>
      </c>
      <c r="T2821" s="36">
        <v>400</v>
      </c>
      <c r="U2821" s="36">
        <v>400</v>
      </c>
      <c r="V2821" s="36"/>
      <c r="W2821" s="15">
        <f t="shared" si="123"/>
        <v>1600</v>
      </c>
      <c r="X2821" s="36"/>
      <c r="Y2821" s="36"/>
      <c r="Z2821" s="36"/>
      <c r="AA2821" s="36"/>
      <c r="AB2821" s="36"/>
      <c r="AC2821" s="36"/>
      <c r="AD2821" s="36"/>
      <c r="AE2821" s="36"/>
      <c r="AF2821" s="36"/>
      <c r="AG2821" s="36"/>
      <c r="AH2821" s="36"/>
      <c r="AI2821" s="36"/>
      <c r="AJ2821" s="15">
        <f t="shared" si="124"/>
        <v>0</v>
      </c>
      <c r="AK2821" s="16"/>
    </row>
    <row r="2822" spans="2:37" x14ac:dyDescent="0.2">
      <c r="B2822" s="7"/>
      <c r="C2822" s="8">
        <v>13363</v>
      </c>
      <c r="D2822" s="9" t="s">
        <v>902</v>
      </c>
      <c r="E2822" s="10" t="str">
        <f t="shared" si="127"/>
        <v>Rancho Romeral No. 33</v>
      </c>
      <c r="F2822" s="10" t="str">
        <f t="shared" si="128"/>
        <v>Juárez Alva</v>
      </c>
      <c r="G2822" s="8">
        <v>5</v>
      </c>
      <c r="H2822" s="11">
        <v>100</v>
      </c>
      <c r="I2822" s="12">
        <v>42707</v>
      </c>
      <c r="J2822" s="35">
        <f t="shared" si="122"/>
        <v>0</v>
      </c>
      <c r="K2822" s="36"/>
      <c r="L2822" s="36"/>
      <c r="M2822" s="36"/>
      <c r="N2822" s="36"/>
      <c r="O2822" s="36"/>
      <c r="P2822" s="36"/>
      <c r="Q2822" s="36"/>
      <c r="R2822" s="36"/>
      <c r="S2822" s="36"/>
      <c r="T2822" s="36"/>
      <c r="U2822" s="36"/>
      <c r="V2822" s="36"/>
      <c r="W2822" s="15">
        <f t="shared" si="123"/>
        <v>0</v>
      </c>
      <c r="X2822" s="36"/>
      <c r="Y2822" s="36"/>
      <c r="Z2822" s="36"/>
      <c r="AA2822" s="36"/>
      <c r="AB2822" s="36"/>
      <c r="AC2822" s="36"/>
      <c r="AD2822" s="36"/>
      <c r="AE2822" s="36"/>
      <c r="AF2822" s="36"/>
      <c r="AG2822" s="36"/>
      <c r="AH2822" s="36"/>
      <c r="AI2822" s="36"/>
      <c r="AJ2822" s="15">
        <f t="shared" si="124"/>
        <v>0</v>
      </c>
      <c r="AK2822" s="16"/>
    </row>
    <row r="2823" spans="2:37" x14ac:dyDescent="0.2">
      <c r="B2823" s="7"/>
      <c r="C2823" s="8">
        <v>13364</v>
      </c>
      <c r="D2823" s="9" t="s">
        <v>150</v>
      </c>
      <c r="E2823" s="10" t="str">
        <f t="shared" si="127"/>
        <v>Rancho La Cuchilla No. 33</v>
      </c>
      <c r="F2823" s="10" t="str">
        <f t="shared" si="128"/>
        <v>Tanús</v>
      </c>
      <c r="G2823" s="8">
        <v>1</v>
      </c>
      <c r="H2823" s="11">
        <v>400</v>
      </c>
      <c r="I2823" s="12">
        <v>42707</v>
      </c>
      <c r="J2823" s="35">
        <f t="shared" si="122"/>
        <v>0</v>
      </c>
      <c r="K2823" s="36"/>
      <c r="L2823" s="36"/>
      <c r="M2823" s="36"/>
      <c r="N2823" s="36"/>
      <c r="O2823" s="36"/>
      <c r="P2823" s="36"/>
      <c r="Q2823" s="36"/>
      <c r="R2823" s="36"/>
      <c r="S2823" s="36"/>
      <c r="T2823" s="36"/>
      <c r="U2823" s="36"/>
      <c r="V2823" s="36">
        <v>400</v>
      </c>
      <c r="W2823" s="15">
        <f t="shared" si="123"/>
        <v>400</v>
      </c>
      <c r="X2823" s="36"/>
      <c r="Y2823" s="36"/>
      <c r="Z2823" s="36"/>
      <c r="AA2823" s="36"/>
      <c r="AB2823" s="36"/>
      <c r="AC2823" s="36"/>
      <c r="AD2823" s="36"/>
      <c r="AE2823" s="36"/>
      <c r="AF2823" s="36"/>
      <c r="AG2823" s="36"/>
      <c r="AH2823" s="36"/>
      <c r="AI2823" s="36"/>
      <c r="AJ2823" s="15">
        <f t="shared" si="124"/>
        <v>0</v>
      </c>
      <c r="AK2823" s="16"/>
    </row>
    <row r="2824" spans="2:37" x14ac:dyDescent="0.2">
      <c r="B2824" s="7"/>
      <c r="C2824" s="8">
        <v>13365</v>
      </c>
      <c r="D2824" s="9" t="s">
        <v>649</v>
      </c>
      <c r="E2824" s="10" t="str">
        <f t="shared" si="127"/>
        <v>Rancho Estanzuela No. 57</v>
      </c>
      <c r="F2824" s="10" t="str">
        <f t="shared" si="128"/>
        <v>Olivares</v>
      </c>
      <c r="G2824" s="8">
        <v>1</v>
      </c>
      <c r="H2824" s="11">
        <v>600</v>
      </c>
      <c r="I2824" s="12">
        <v>42707</v>
      </c>
      <c r="J2824" s="35">
        <f t="shared" si="122"/>
        <v>0</v>
      </c>
      <c r="K2824" s="36"/>
      <c r="L2824" s="36"/>
      <c r="M2824" s="36"/>
      <c r="N2824" s="36"/>
      <c r="O2824" s="36"/>
      <c r="P2824" s="36"/>
      <c r="Q2824" s="36"/>
      <c r="R2824" s="36"/>
      <c r="S2824" s="36"/>
      <c r="T2824" s="36"/>
      <c r="U2824" s="36">
        <v>300</v>
      </c>
      <c r="V2824" s="36">
        <v>300</v>
      </c>
      <c r="W2824" s="15">
        <f t="shared" si="123"/>
        <v>600</v>
      </c>
      <c r="X2824" s="36"/>
      <c r="Y2824" s="36"/>
      <c r="Z2824" s="36"/>
      <c r="AA2824" s="36"/>
      <c r="AB2824" s="36"/>
      <c r="AC2824" s="36"/>
      <c r="AD2824" s="36"/>
      <c r="AE2824" s="36"/>
      <c r="AF2824" s="36"/>
      <c r="AG2824" s="36"/>
      <c r="AH2824" s="36"/>
      <c r="AI2824" s="36"/>
      <c r="AJ2824" s="15">
        <f t="shared" si="124"/>
        <v>0</v>
      </c>
      <c r="AK2824" s="16"/>
    </row>
    <row r="2825" spans="2:37" x14ac:dyDescent="0.2">
      <c r="B2825" s="7"/>
      <c r="C2825" s="8">
        <v>13366</v>
      </c>
      <c r="D2825" s="9" t="s">
        <v>634</v>
      </c>
      <c r="E2825" s="10" t="str">
        <f t="shared" si="127"/>
        <v>Rancho Upácuaro No. 19</v>
      </c>
      <c r="F2825" s="10" t="str">
        <f t="shared" si="128"/>
        <v>Peña Inclán</v>
      </c>
      <c r="G2825" s="8">
        <v>1</v>
      </c>
      <c r="H2825" s="11">
        <v>600</v>
      </c>
      <c r="I2825" s="12">
        <v>42707</v>
      </c>
      <c r="J2825" s="35">
        <f t="shared" si="122"/>
        <v>0</v>
      </c>
      <c r="K2825" s="36"/>
      <c r="L2825" s="36"/>
      <c r="M2825" s="36"/>
      <c r="N2825" s="36"/>
      <c r="O2825" s="36"/>
      <c r="P2825" s="36"/>
      <c r="Q2825" s="36"/>
      <c r="R2825" s="36"/>
      <c r="S2825" s="36"/>
      <c r="T2825" s="36"/>
      <c r="U2825" s="36">
        <v>300</v>
      </c>
      <c r="V2825" s="36">
        <v>300</v>
      </c>
      <c r="W2825" s="15">
        <f t="shared" si="123"/>
        <v>600</v>
      </c>
      <c r="X2825" s="36"/>
      <c r="Y2825" s="36"/>
      <c r="Z2825" s="36"/>
      <c r="AA2825" s="36"/>
      <c r="AB2825" s="36"/>
      <c r="AC2825" s="36"/>
      <c r="AD2825" s="36"/>
      <c r="AE2825" s="36"/>
      <c r="AF2825" s="36"/>
      <c r="AG2825" s="36"/>
      <c r="AH2825" s="36"/>
      <c r="AI2825" s="36"/>
      <c r="AJ2825" s="15">
        <f t="shared" si="124"/>
        <v>0</v>
      </c>
      <c r="AK2825" s="16"/>
    </row>
    <row r="2826" spans="2:37" x14ac:dyDescent="0.2">
      <c r="B2826" s="7"/>
      <c r="C2826" s="8">
        <v>13367</v>
      </c>
      <c r="D2826" s="9" t="s">
        <v>562</v>
      </c>
      <c r="E2826" s="10" t="str">
        <f t="shared" si="127"/>
        <v>Rancho Upácuaro No. 87</v>
      </c>
      <c r="F2826" s="10" t="str">
        <f t="shared" si="128"/>
        <v>Rodríguez Parés</v>
      </c>
      <c r="G2826" s="8">
        <v>1</v>
      </c>
      <c r="H2826" s="11">
        <v>400</v>
      </c>
      <c r="I2826" s="12">
        <v>42707</v>
      </c>
      <c r="J2826" s="35">
        <f t="shared" si="122"/>
        <v>0</v>
      </c>
      <c r="K2826" s="36"/>
      <c r="L2826" s="36"/>
      <c r="M2826" s="36"/>
      <c r="N2826" s="36"/>
      <c r="O2826" s="36"/>
      <c r="P2826" s="36"/>
      <c r="Q2826" s="36"/>
      <c r="R2826" s="36"/>
      <c r="S2826" s="36"/>
      <c r="T2826" s="36"/>
      <c r="U2826" s="36"/>
      <c r="V2826" s="36">
        <v>400</v>
      </c>
      <c r="W2826" s="15">
        <f t="shared" si="123"/>
        <v>400</v>
      </c>
      <c r="X2826" s="36"/>
      <c r="Y2826" s="36"/>
      <c r="Z2826" s="36"/>
      <c r="AA2826" s="36"/>
      <c r="AB2826" s="36"/>
      <c r="AC2826" s="36"/>
      <c r="AD2826" s="36"/>
      <c r="AE2826" s="36"/>
      <c r="AF2826" s="36"/>
      <c r="AG2826" s="36"/>
      <c r="AH2826" s="36"/>
      <c r="AI2826" s="36"/>
      <c r="AJ2826" s="15">
        <f t="shared" si="124"/>
        <v>0</v>
      </c>
      <c r="AK2826" s="16"/>
    </row>
    <row r="2827" spans="2:37" x14ac:dyDescent="0.2">
      <c r="B2827" s="7"/>
      <c r="C2827" s="8">
        <v>13368</v>
      </c>
      <c r="D2827" s="9" t="s">
        <v>893</v>
      </c>
      <c r="E2827" s="10" t="str">
        <f t="shared" si="127"/>
        <v>Rancho Upácuaro No. 136</v>
      </c>
      <c r="F2827" s="10" t="str">
        <f t="shared" si="128"/>
        <v>López Lena</v>
      </c>
      <c r="G2827" s="8">
        <v>1</v>
      </c>
      <c r="H2827" s="11">
        <v>800</v>
      </c>
      <c r="I2827" s="12">
        <v>42707</v>
      </c>
      <c r="J2827" s="35">
        <f t="shared" si="122"/>
        <v>0</v>
      </c>
      <c r="K2827" s="36"/>
      <c r="L2827" s="36"/>
      <c r="M2827" s="36"/>
      <c r="N2827" s="36"/>
      <c r="O2827" s="36"/>
      <c r="P2827" s="36"/>
      <c r="Q2827" s="36"/>
      <c r="R2827" s="36"/>
      <c r="S2827" s="36">
        <v>400</v>
      </c>
      <c r="T2827" s="36">
        <v>400</v>
      </c>
      <c r="U2827" s="36"/>
      <c r="V2827" s="36"/>
      <c r="W2827" s="15">
        <f t="shared" si="123"/>
        <v>800</v>
      </c>
      <c r="X2827" s="36"/>
      <c r="Y2827" s="36"/>
      <c r="Z2827" s="36"/>
      <c r="AA2827" s="36"/>
      <c r="AB2827" s="36"/>
      <c r="AC2827" s="36"/>
      <c r="AD2827" s="36"/>
      <c r="AE2827" s="36"/>
      <c r="AF2827" s="36"/>
      <c r="AG2827" s="36"/>
      <c r="AH2827" s="36"/>
      <c r="AI2827" s="36"/>
      <c r="AJ2827" s="15">
        <f t="shared" si="124"/>
        <v>0</v>
      </c>
      <c r="AK2827" s="16"/>
    </row>
    <row r="2828" spans="2:37" x14ac:dyDescent="0.2">
      <c r="B2828" s="7"/>
      <c r="C2828" s="8">
        <v>13369</v>
      </c>
      <c r="D2828" s="9" t="s">
        <v>749</v>
      </c>
      <c r="E2828" s="10" t="str">
        <f t="shared" si="127"/>
        <v>Rancho Landero No. 96</v>
      </c>
      <c r="F2828" s="10" t="str">
        <f t="shared" si="128"/>
        <v>Espinoza Aguirre</v>
      </c>
      <c r="G2828" s="8">
        <v>1</v>
      </c>
      <c r="H2828" s="11">
        <v>1200</v>
      </c>
      <c r="I2828" s="12">
        <v>42707</v>
      </c>
      <c r="J2828" s="35">
        <f t="shared" si="122"/>
        <v>0</v>
      </c>
      <c r="K2828" s="36"/>
      <c r="L2828" s="36"/>
      <c r="M2828" s="36"/>
      <c r="N2828" s="36"/>
      <c r="O2828" s="36"/>
      <c r="P2828" s="36"/>
      <c r="Q2828" s="36"/>
      <c r="R2828" s="36"/>
      <c r="S2828" s="36"/>
      <c r="T2828" s="36">
        <v>400</v>
      </c>
      <c r="U2828" s="36">
        <v>400</v>
      </c>
      <c r="V2828" s="36">
        <v>400</v>
      </c>
      <c r="W2828" s="15">
        <f t="shared" si="123"/>
        <v>1200</v>
      </c>
      <c r="X2828" s="36"/>
      <c r="Y2828" s="36"/>
      <c r="Z2828" s="36"/>
      <c r="AA2828" s="36"/>
      <c r="AB2828" s="36"/>
      <c r="AC2828" s="36"/>
      <c r="AD2828" s="36"/>
      <c r="AE2828" s="36"/>
      <c r="AF2828" s="36"/>
      <c r="AG2828" s="36"/>
      <c r="AH2828" s="36"/>
      <c r="AI2828" s="36"/>
      <c r="AJ2828" s="15">
        <f t="shared" si="124"/>
        <v>0</v>
      </c>
      <c r="AK2828" s="16"/>
    </row>
    <row r="2829" spans="2:37" x14ac:dyDescent="0.2">
      <c r="B2829" s="7"/>
      <c r="C2829" s="8">
        <v>13370</v>
      </c>
      <c r="D2829" s="9" t="s">
        <v>171</v>
      </c>
      <c r="E2829" s="10" t="str">
        <f t="shared" si="127"/>
        <v>Rancho La Cuchilla No. 72</v>
      </c>
      <c r="F2829" s="10" t="str">
        <f t="shared" si="128"/>
        <v>Ortiz González</v>
      </c>
      <c r="G2829" s="8">
        <v>1</v>
      </c>
      <c r="H2829" s="11">
        <v>400</v>
      </c>
      <c r="I2829" s="12">
        <v>42707</v>
      </c>
      <c r="J2829" s="35">
        <f t="shared" si="122"/>
        <v>0</v>
      </c>
      <c r="K2829" s="36"/>
      <c r="L2829" s="36"/>
      <c r="M2829" s="36"/>
      <c r="N2829" s="36"/>
      <c r="O2829" s="36"/>
      <c r="P2829" s="36"/>
      <c r="Q2829" s="36"/>
      <c r="R2829" s="36"/>
      <c r="S2829" s="36"/>
      <c r="T2829" s="36"/>
      <c r="U2829" s="36"/>
      <c r="V2829" s="36">
        <v>400</v>
      </c>
      <c r="W2829" s="15">
        <f t="shared" si="123"/>
        <v>400</v>
      </c>
      <c r="X2829" s="36"/>
      <c r="Y2829" s="36"/>
      <c r="Z2829" s="36"/>
      <c r="AA2829" s="36"/>
      <c r="AB2829" s="36"/>
      <c r="AC2829" s="36"/>
      <c r="AD2829" s="36"/>
      <c r="AE2829" s="36"/>
      <c r="AF2829" s="36"/>
      <c r="AG2829" s="36"/>
      <c r="AH2829" s="36"/>
      <c r="AI2829" s="36"/>
      <c r="AJ2829" s="15">
        <f t="shared" si="124"/>
        <v>0</v>
      </c>
      <c r="AK2829" s="16"/>
    </row>
    <row r="2830" spans="2:37" x14ac:dyDescent="0.2">
      <c r="B2830" s="7"/>
      <c r="C2830" s="8">
        <v>13371</v>
      </c>
      <c r="D2830" s="9" t="s">
        <v>470</v>
      </c>
      <c r="E2830" s="10" t="str">
        <f t="shared" si="127"/>
        <v>Rancho Zinamba No. 42</v>
      </c>
      <c r="F2830" s="10" t="str">
        <f t="shared" si="128"/>
        <v>López Aldave</v>
      </c>
      <c r="G2830" s="8">
        <v>1</v>
      </c>
      <c r="H2830" s="11">
        <v>600</v>
      </c>
      <c r="I2830" s="12">
        <v>42707</v>
      </c>
      <c r="J2830" s="35">
        <f t="shared" si="122"/>
        <v>0</v>
      </c>
      <c r="K2830" s="36"/>
      <c r="L2830" s="36"/>
      <c r="M2830" s="36"/>
      <c r="N2830" s="36"/>
      <c r="O2830" s="36"/>
      <c r="P2830" s="36"/>
      <c r="Q2830" s="36"/>
      <c r="R2830" s="36"/>
      <c r="S2830" s="36"/>
      <c r="T2830" s="36"/>
      <c r="U2830" s="36">
        <v>300</v>
      </c>
      <c r="V2830" s="36">
        <v>300</v>
      </c>
      <c r="W2830" s="15">
        <f t="shared" si="123"/>
        <v>600</v>
      </c>
      <c r="X2830" s="36"/>
      <c r="Y2830" s="36"/>
      <c r="Z2830" s="36"/>
      <c r="AA2830" s="36"/>
      <c r="AB2830" s="36"/>
      <c r="AC2830" s="36"/>
      <c r="AD2830" s="36"/>
      <c r="AE2830" s="36"/>
      <c r="AF2830" s="36"/>
      <c r="AG2830" s="36"/>
      <c r="AH2830" s="36"/>
      <c r="AI2830" s="36"/>
      <c r="AJ2830" s="15">
        <f t="shared" si="124"/>
        <v>0</v>
      </c>
      <c r="AK2830" s="16"/>
    </row>
    <row r="2831" spans="2:37" x14ac:dyDescent="0.2">
      <c r="B2831" s="7"/>
      <c r="C2831" s="8">
        <v>13372</v>
      </c>
      <c r="D2831" s="9" t="s">
        <v>328</v>
      </c>
      <c r="E2831" s="10" t="str">
        <f t="shared" si="127"/>
        <v>Rancho La Cuchilla No. 130</v>
      </c>
      <c r="F2831" s="10" t="str">
        <f t="shared" si="128"/>
        <v>Gonzalez</v>
      </c>
      <c r="G2831" s="8">
        <v>1</v>
      </c>
      <c r="H2831" s="11">
        <v>400</v>
      </c>
      <c r="I2831" s="12">
        <v>42707</v>
      </c>
      <c r="J2831" s="35">
        <f t="shared" si="122"/>
        <v>0</v>
      </c>
      <c r="K2831" s="36"/>
      <c r="L2831" s="36"/>
      <c r="M2831" s="36"/>
      <c r="N2831" s="36"/>
      <c r="O2831" s="36"/>
      <c r="P2831" s="36"/>
      <c r="Q2831" s="36"/>
      <c r="R2831" s="36"/>
      <c r="S2831" s="36"/>
      <c r="T2831" s="36"/>
      <c r="U2831" s="36"/>
      <c r="V2831" s="36">
        <v>400</v>
      </c>
      <c r="W2831" s="15">
        <f t="shared" si="123"/>
        <v>400</v>
      </c>
      <c r="X2831" s="36"/>
      <c r="Y2831" s="36"/>
      <c r="Z2831" s="36"/>
      <c r="AA2831" s="36"/>
      <c r="AB2831" s="36"/>
      <c r="AC2831" s="36"/>
      <c r="AD2831" s="36"/>
      <c r="AE2831" s="36"/>
      <c r="AF2831" s="36"/>
      <c r="AG2831" s="36"/>
      <c r="AH2831" s="36"/>
      <c r="AI2831" s="36"/>
      <c r="AJ2831" s="15">
        <f t="shared" si="124"/>
        <v>0</v>
      </c>
      <c r="AK2831" s="16"/>
    </row>
    <row r="2832" spans="2:37" x14ac:dyDescent="0.2">
      <c r="B2832" s="7"/>
      <c r="C2832" s="8">
        <v>13373</v>
      </c>
      <c r="D2832" s="9" t="s">
        <v>911</v>
      </c>
      <c r="E2832" s="10" t="str">
        <f t="shared" si="127"/>
        <v>Rancho Estanzuela No. 19</v>
      </c>
      <c r="F2832" s="10" t="str">
        <f t="shared" si="128"/>
        <v>Robles</v>
      </c>
      <c r="G2832" s="8">
        <v>1</v>
      </c>
      <c r="H2832" s="11">
        <v>800</v>
      </c>
      <c r="I2832" s="12">
        <v>42707</v>
      </c>
      <c r="J2832" s="35">
        <f t="shared" si="122"/>
        <v>0</v>
      </c>
      <c r="K2832" s="36"/>
      <c r="L2832" s="36"/>
      <c r="M2832" s="36"/>
      <c r="N2832" s="36"/>
      <c r="O2832" s="36"/>
      <c r="P2832" s="36"/>
      <c r="Q2832" s="36"/>
      <c r="R2832" s="36"/>
      <c r="S2832" s="36"/>
      <c r="T2832" s="36"/>
      <c r="U2832" s="36">
        <v>400</v>
      </c>
      <c r="V2832" s="36">
        <v>400</v>
      </c>
      <c r="W2832" s="15">
        <f t="shared" si="123"/>
        <v>800</v>
      </c>
      <c r="X2832" s="36"/>
      <c r="Y2832" s="36"/>
      <c r="Z2832" s="36"/>
      <c r="AA2832" s="36"/>
      <c r="AB2832" s="36"/>
      <c r="AC2832" s="36"/>
      <c r="AD2832" s="36"/>
      <c r="AE2832" s="36"/>
      <c r="AF2832" s="36"/>
      <c r="AG2832" s="36"/>
      <c r="AH2832" s="36"/>
      <c r="AI2832" s="36"/>
      <c r="AJ2832" s="15">
        <f t="shared" si="124"/>
        <v>0</v>
      </c>
      <c r="AK2832" s="16"/>
    </row>
    <row r="2833" spans="2:38" x14ac:dyDescent="0.2">
      <c r="B2833" s="7"/>
      <c r="C2833" s="8">
        <v>13374</v>
      </c>
      <c r="D2833" s="9" t="s">
        <v>950</v>
      </c>
      <c r="E2833" s="10" t="str">
        <f t="shared" si="127"/>
        <v>Rancho La Cuchilla No. 93</v>
      </c>
      <c r="F2833" s="10" t="str">
        <f t="shared" si="128"/>
        <v>Alcántara Silva</v>
      </c>
      <c r="G2833" s="8">
        <v>1</v>
      </c>
      <c r="H2833" s="11">
        <v>1200</v>
      </c>
      <c r="I2833" s="12">
        <v>42707</v>
      </c>
      <c r="J2833" s="35">
        <f t="shared" si="122"/>
        <v>0</v>
      </c>
      <c r="K2833" s="36"/>
      <c r="L2833" s="36"/>
      <c r="M2833" s="36"/>
      <c r="N2833" s="36"/>
      <c r="O2833" s="36"/>
      <c r="P2833" s="36"/>
      <c r="Q2833" s="36"/>
      <c r="R2833" s="36"/>
      <c r="S2833" s="36">
        <v>400</v>
      </c>
      <c r="T2833" s="36">
        <v>400</v>
      </c>
      <c r="U2833" s="36">
        <v>400</v>
      </c>
      <c r="V2833" s="36"/>
      <c r="W2833" s="15">
        <f t="shared" si="123"/>
        <v>1200</v>
      </c>
      <c r="X2833" s="36"/>
      <c r="Y2833" s="36"/>
      <c r="Z2833" s="36"/>
      <c r="AA2833" s="36"/>
      <c r="AB2833" s="36"/>
      <c r="AC2833" s="36"/>
      <c r="AD2833" s="36"/>
      <c r="AE2833" s="36"/>
      <c r="AF2833" s="36"/>
      <c r="AG2833" s="36"/>
      <c r="AH2833" s="36"/>
      <c r="AI2833" s="36"/>
      <c r="AJ2833" s="15">
        <f t="shared" si="124"/>
        <v>0</v>
      </c>
      <c r="AK2833" s="16"/>
    </row>
    <row r="2834" spans="2:38" x14ac:dyDescent="0.2">
      <c r="B2834" s="7"/>
      <c r="C2834" s="8">
        <v>13375</v>
      </c>
      <c r="D2834" s="9" t="s">
        <v>763</v>
      </c>
      <c r="E2834" s="10" t="str">
        <f t="shared" si="127"/>
        <v>Rancho Estanzuela No. 79</v>
      </c>
      <c r="F2834" s="10" t="str">
        <f t="shared" si="128"/>
        <v>Mendoza</v>
      </c>
      <c r="G2834" s="8">
        <v>1</v>
      </c>
      <c r="H2834" s="11">
        <v>800</v>
      </c>
      <c r="I2834" s="12">
        <v>42707</v>
      </c>
      <c r="J2834" s="35">
        <f t="shared" si="122"/>
        <v>0</v>
      </c>
      <c r="K2834" s="36"/>
      <c r="L2834" s="36"/>
      <c r="M2834" s="36"/>
      <c r="N2834" s="36"/>
      <c r="O2834" s="36"/>
      <c r="P2834" s="36"/>
      <c r="Q2834" s="36"/>
      <c r="R2834" s="36"/>
      <c r="S2834" s="36"/>
      <c r="T2834" s="36"/>
      <c r="U2834" s="36">
        <v>400</v>
      </c>
      <c r="V2834" s="36">
        <v>400</v>
      </c>
      <c r="W2834" s="15">
        <f t="shared" si="123"/>
        <v>800</v>
      </c>
      <c r="X2834" s="36"/>
      <c r="Y2834" s="36"/>
      <c r="Z2834" s="36"/>
      <c r="AA2834" s="36"/>
      <c r="AB2834" s="36"/>
      <c r="AC2834" s="36"/>
      <c r="AD2834" s="36"/>
      <c r="AE2834" s="36"/>
      <c r="AF2834" s="36"/>
      <c r="AG2834" s="36"/>
      <c r="AH2834" s="36"/>
      <c r="AI2834" s="36"/>
      <c r="AJ2834" s="15">
        <f t="shared" si="124"/>
        <v>0</v>
      </c>
      <c r="AK2834" s="16"/>
    </row>
    <row r="2835" spans="2:38" x14ac:dyDescent="0.2">
      <c r="B2835" s="7"/>
      <c r="C2835" s="8">
        <v>13376</v>
      </c>
      <c r="D2835" s="9" t="s">
        <v>763</v>
      </c>
      <c r="E2835" s="10" t="str">
        <f t="shared" si="127"/>
        <v>Rancho Estanzuela No. 79</v>
      </c>
      <c r="F2835" s="10" t="str">
        <f t="shared" si="128"/>
        <v>Mendoza</v>
      </c>
      <c r="G2835" s="8">
        <v>5</v>
      </c>
      <c r="H2835" s="11">
        <v>50</v>
      </c>
      <c r="I2835" s="12">
        <v>42707</v>
      </c>
      <c r="J2835" s="35">
        <f t="shared" si="122"/>
        <v>0</v>
      </c>
      <c r="K2835" s="36"/>
      <c r="L2835" s="36"/>
      <c r="M2835" s="36"/>
      <c r="N2835" s="36"/>
      <c r="O2835" s="36"/>
      <c r="P2835" s="36"/>
      <c r="Q2835" s="36"/>
      <c r="R2835" s="36"/>
      <c r="S2835" s="36"/>
      <c r="T2835" s="36"/>
      <c r="U2835" s="36"/>
      <c r="V2835" s="36"/>
      <c r="W2835" s="15">
        <f t="shared" si="123"/>
        <v>0</v>
      </c>
      <c r="X2835" s="36"/>
      <c r="Y2835" s="36"/>
      <c r="Z2835" s="36"/>
      <c r="AA2835" s="36"/>
      <c r="AB2835" s="36"/>
      <c r="AC2835" s="36"/>
      <c r="AD2835" s="36"/>
      <c r="AE2835" s="36"/>
      <c r="AF2835" s="36"/>
      <c r="AG2835" s="36"/>
      <c r="AH2835" s="36"/>
      <c r="AI2835" s="36"/>
      <c r="AJ2835" s="15">
        <f t="shared" si="124"/>
        <v>0</v>
      </c>
      <c r="AK2835" s="16"/>
    </row>
    <row r="2836" spans="2:38" x14ac:dyDescent="0.2">
      <c r="B2836" s="7"/>
      <c r="C2836" s="8">
        <v>13377</v>
      </c>
      <c r="D2836" s="9" t="s">
        <v>87</v>
      </c>
      <c r="E2836" s="10" t="str">
        <f t="shared" si="127"/>
        <v>Rancho Zinamba No. 36</v>
      </c>
      <c r="F2836" s="10" t="str">
        <f t="shared" si="128"/>
        <v>Rodríguez Ortiz</v>
      </c>
      <c r="G2836" s="8">
        <v>1</v>
      </c>
      <c r="H2836" s="11">
        <v>400</v>
      </c>
      <c r="I2836" s="12">
        <v>42707</v>
      </c>
      <c r="J2836" s="35">
        <f t="shared" si="122"/>
        <v>0</v>
      </c>
      <c r="K2836" s="36"/>
      <c r="L2836" s="36"/>
      <c r="M2836" s="36"/>
      <c r="N2836" s="36"/>
      <c r="O2836" s="36"/>
      <c r="P2836" s="36"/>
      <c r="Q2836" s="36"/>
      <c r="R2836" s="36"/>
      <c r="S2836" s="36"/>
      <c r="T2836" s="36"/>
      <c r="U2836" s="36"/>
      <c r="V2836" s="36">
        <v>400</v>
      </c>
      <c r="W2836" s="15">
        <f t="shared" si="123"/>
        <v>400</v>
      </c>
      <c r="X2836" s="36"/>
      <c r="Y2836" s="36"/>
      <c r="Z2836" s="36"/>
      <c r="AA2836" s="36"/>
      <c r="AB2836" s="36"/>
      <c r="AC2836" s="36"/>
      <c r="AD2836" s="36"/>
      <c r="AE2836" s="36"/>
      <c r="AF2836" s="36"/>
      <c r="AG2836" s="36"/>
      <c r="AH2836" s="36"/>
      <c r="AI2836" s="36"/>
      <c r="AJ2836" s="15">
        <f t="shared" si="124"/>
        <v>0</v>
      </c>
      <c r="AK2836" s="16"/>
    </row>
    <row r="2837" spans="2:38" x14ac:dyDescent="0.2">
      <c r="B2837" s="7"/>
      <c r="C2837" s="8">
        <v>13378</v>
      </c>
      <c r="D2837" s="9" t="s">
        <v>794</v>
      </c>
      <c r="E2837" s="10" t="str">
        <f t="shared" si="127"/>
        <v>Rancho Landero No. 18</v>
      </c>
      <c r="F2837" s="10" t="str">
        <f t="shared" si="128"/>
        <v>Rosado</v>
      </c>
      <c r="G2837" s="8">
        <v>1</v>
      </c>
      <c r="H2837" s="11">
        <v>300</v>
      </c>
      <c r="I2837" s="12">
        <v>42707</v>
      </c>
      <c r="J2837" s="35">
        <f t="shared" si="122"/>
        <v>0</v>
      </c>
      <c r="K2837" s="36"/>
      <c r="L2837" s="36"/>
      <c r="M2837" s="36"/>
      <c r="N2837" s="36"/>
      <c r="O2837" s="36"/>
      <c r="P2837" s="36"/>
      <c r="Q2837" s="36"/>
      <c r="R2837" s="36"/>
      <c r="S2837" s="36"/>
      <c r="T2837" s="36"/>
      <c r="U2837" s="36">
        <v>300</v>
      </c>
      <c r="V2837" s="36"/>
      <c r="W2837" s="15">
        <f t="shared" si="123"/>
        <v>300</v>
      </c>
      <c r="X2837" s="36"/>
      <c r="Y2837" s="36"/>
      <c r="Z2837" s="36"/>
      <c r="AA2837" s="36"/>
      <c r="AB2837" s="36"/>
      <c r="AC2837" s="36"/>
      <c r="AD2837" s="36"/>
      <c r="AE2837" s="36"/>
      <c r="AF2837" s="36"/>
      <c r="AG2837" s="36"/>
      <c r="AH2837" s="36"/>
      <c r="AI2837" s="36"/>
      <c r="AJ2837" s="15">
        <f t="shared" si="124"/>
        <v>0</v>
      </c>
      <c r="AK2837" s="16"/>
    </row>
    <row r="2838" spans="2:38" x14ac:dyDescent="0.2">
      <c r="B2838" s="7"/>
      <c r="C2838" s="8">
        <v>13379</v>
      </c>
      <c r="D2838" s="9" t="s">
        <v>950</v>
      </c>
      <c r="E2838" s="10" t="str">
        <f t="shared" si="127"/>
        <v>Rancho La Cuchilla No. 93</v>
      </c>
      <c r="F2838" s="10" t="str">
        <f t="shared" si="128"/>
        <v>Alcántara Silva</v>
      </c>
      <c r="G2838" s="8">
        <v>5</v>
      </c>
      <c r="H2838" s="11">
        <v>100</v>
      </c>
      <c r="I2838" s="12">
        <v>42707</v>
      </c>
      <c r="J2838" s="35">
        <f t="shared" si="122"/>
        <v>0</v>
      </c>
      <c r="K2838" s="36"/>
      <c r="L2838" s="36"/>
      <c r="M2838" s="36"/>
      <c r="N2838" s="36"/>
      <c r="O2838" s="36"/>
      <c r="P2838" s="36"/>
      <c r="Q2838" s="36"/>
      <c r="R2838" s="36"/>
      <c r="S2838" s="36"/>
      <c r="T2838" s="36"/>
      <c r="U2838" s="36"/>
      <c r="V2838" s="36"/>
      <c r="W2838" s="15">
        <f t="shared" si="123"/>
        <v>0</v>
      </c>
      <c r="X2838" s="36"/>
      <c r="Y2838" s="36"/>
      <c r="Z2838" s="36"/>
      <c r="AA2838" s="36"/>
      <c r="AB2838" s="36"/>
      <c r="AC2838" s="36"/>
      <c r="AD2838" s="36"/>
      <c r="AE2838" s="36"/>
      <c r="AF2838" s="36"/>
      <c r="AG2838" s="36"/>
      <c r="AH2838" s="36"/>
      <c r="AI2838" s="36"/>
      <c r="AJ2838" s="15">
        <f t="shared" si="124"/>
        <v>0</v>
      </c>
      <c r="AK2838" s="16"/>
    </row>
    <row r="2839" spans="2:38" x14ac:dyDescent="0.2">
      <c r="B2839" s="7"/>
      <c r="C2839" s="8">
        <v>13380</v>
      </c>
      <c r="D2839" s="9" t="s">
        <v>583</v>
      </c>
      <c r="E2839" s="10" t="str">
        <f t="shared" si="127"/>
        <v>Rancho La Cuchilla No. 111</v>
      </c>
      <c r="F2839" s="10" t="str">
        <f t="shared" si="128"/>
        <v>García Santos Ofelia</v>
      </c>
      <c r="G2839" s="8">
        <v>1</v>
      </c>
      <c r="H2839" s="11">
        <v>200</v>
      </c>
      <c r="I2839" s="12">
        <v>42707</v>
      </c>
      <c r="J2839" s="35">
        <f t="shared" si="122"/>
        <v>0</v>
      </c>
      <c r="K2839" s="36"/>
      <c r="L2839" s="36"/>
      <c r="M2839" s="36"/>
      <c r="N2839" s="36"/>
      <c r="O2839" s="36"/>
      <c r="P2839" s="36"/>
      <c r="Q2839" s="36"/>
      <c r="R2839" s="36"/>
      <c r="S2839" s="36"/>
      <c r="T2839" s="36"/>
      <c r="U2839" s="36"/>
      <c r="V2839" s="36">
        <v>200</v>
      </c>
      <c r="W2839" s="15">
        <f t="shared" si="123"/>
        <v>200</v>
      </c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15">
        <f t="shared" si="124"/>
        <v>0</v>
      </c>
      <c r="AK2839" s="16"/>
    </row>
    <row r="2840" spans="2:38" x14ac:dyDescent="0.2">
      <c r="B2840" s="7"/>
      <c r="C2840" s="8">
        <v>13381</v>
      </c>
      <c r="D2840" s="9" t="s">
        <v>831</v>
      </c>
      <c r="E2840" s="10" t="str">
        <f t="shared" si="127"/>
        <v>Rancho Upácuaro No. 80</v>
      </c>
      <c r="F2840" s="10" t="str">
        <f t="shared" si="128"/>
        <v>De los Ríos</v>
      </c>
      <c r="G2840" s="8">
        <v>1</v>
      </c>
      <c r="H2840" s="11">
        <v>400</v>
      </c>
      <c r="I2840" s="12">
        <v>42707</v>
      </c>
      <c r="J2840" s="35">
        <f t="shared" si="122"/>
        <v>0</v>
      </c>
      <c r="K2840" s="36"/>
      <c r="L2840" s="36"/>
      <c r="M2840" s="36"/>
      <c r="N2840" s="36"/>
      <c r="O2840" s="36"/>
      <c r="P2840" s="36"/>
      <c r="Q2840" s="36"/>
      <c r="R2840" s="36"/>
      <c r="S2840" s="36"/>
      <c r="T2840" s="36"/>
      <c r="U2840" s="36"/>
      <c r="V2840" s="36">
        <v>400</v>
      </c>
      <c r="W2840" s="15">
        <f t="shared" si="123"/>
        <v>400</v>
      </c>
      <c r="X2840" s="36"/>
      <c r="Y2840" s="36"/>
      <c r="Z2840" s="36"/>
      <c r="AA2840" s="36"/>
      <c r="AB2840" s="36"/>
      <c r="AC2840" s="36"/>
      <c r="AD2840" s="36"/>
      <c r="AE2840" s="36"/>
      <c r="AF2840" s="36"/>
      <c r="AG2840" s="36"/>
      <c r="AH2840" s="36"/>
      <c r="AI2840" s="36"/>
      <c r="AJ2840" s="15">
        <f t="shared" si="124"/>
        <v>0</v>
      </c>
      <c r="AK2840" s="16"/>
    </row>
    <row r="2841" spans="2:38" x14ac:dyDescent="0.2">
      <c r="B2841" s="7"/>
      <c r="C2841" s="8">
        <v>13382</v>
      </c>
      <c r="D2841" s="9" t="s">
        <v>404</v>
      </c>
      <c r="E2841" s="10" t="str">
        <f t="shared" si="127"/>
        <v>Rancho La Cuchilla No. 89</v>
      </c>
      <c r="F2841" s="10" t="str">
        <f t="shared" si="128"/>
        <v>Gálvez</v>
      </c>
      <c r="G2841" s="8">
        <v>1</v>
      </c>
      <c r="H2841" s="11">
        <v>400</v>
      </c>
      <c r="I2841" s="12">
        <v>42707</v>
      </c>
      <c r="J2841" s="35">
        <f t="shared" si="122"/>
        <v>0</v>
      </c>
      <c r="K2841" s="36"/>
      <c r="L2841" s="36"/>
      <c r="M2841" s="36"/>
      <c r="N2841" s="36"/>
      <c r="O2841" s="36"/>
      <c r="P2841" s="36"/>
      <c r="Q2841" s="36"/>
      <c r="R2841" s="36"/>
      <c r="S2841" s="36"/>
      <c r="T2841" s="36"/>
      <c r="U2841" s="36"/>
      <c r="V2841" s="36">
        <v>400</v>
      </c>
      <c r="W2841" s="15">
        <f t="shared" si="123"/>
        <v>400</v>
      </c>
      <c r="X2841" s="36"/>
      <c r="Y2841" s="36"/>
      <c r="Z2841" s="36"/>
      <c r="AA2841" s="36"/>
      <c r="AB2841" s="36"/>
      <c r="AC2841" s="36"/>
      <c r="AD2841" s="36"/>
      <c r="AE2841" s="36"/>
      <c r="AF2841" s="36"/>
      <c r="AG2841" s="36"/>
      <c r="AH2841" s="36"/>
      <c r="AI2841" s="36"/>
      <c r="AJ2841" s="15">
        <f t="shared" si="124"/>
        <v>0</v>
      </c>
      <c r="AK2841" s="16"/>
    </row>
    <row r="2842" spans="2:38" x14ac:dyDescent="0.2">
      <c r="B2842" s="7"/>
      <c r="C2842" s="8">
        <v>13383</v>
      </c>
      <c r="D2842" s="9" t="s">
        <v>112</v>
      </c>
      <c r="E2842" s="10" t="str">
        <f t="shared" si="127"/>
        <v>Rancho Estanzuela No. 129</v>
      </c>
      <c r="F2842" s="10" t="str">
        <f t="shared" si="128"/>
        <v>Sta. María Mendoza</v>
      </c>
      <c r="G2842" s="8">
        <v>1</v>
      </c>
      <c r="H2842" s="11">
        <v>250</v>
      </c>
      <c r="I2842" s="12">
        <v>42707</v>
      </c>
      <c r="J2842" s="35">
        <f t="shared" si="122"/>
        <v>0</v>
      </c>
      <c r="K2842" s="36"/>
      <c r="L2842" s="36"/>
      <c r="M2842" s="36"/>
      <c r="N2842" s="36"/>
      <c r="O2842" s="36"/>
      <c r="P2842" s="36"/>
      <c r="Q2842" s="36"/>
      <c r="R2842" s="36"/>
      <c r="S2842" s="36"/>
      <c r="T2842" s="36"/>
      <c r="U2842" s="36">
        <v>250</v>
      </c>
      <c r="V2842" s="36"/>
      <c r="W2842" s="15">
        <f t="shared" si="123"/>
        <v>250</v>
      </c>
      <c r="X2842" s="36"/>
      <c r="Y2842" s="36"/>
      <c r="Z2842" s="36"/>
      <c r="AA2842" s="36"/>
      <c r="AB2842" s="36"/>
      <c r="AC2842" s="36"/>
      <c r="AD2842" s="36"/>
      <c r="AE2842" s="36"/>
      <c r="AF2842" s="36"/>
      <c r="AG2842" s="36"/>
      <c r="AH2842" s="36"/>
      <c r="AI2842" s="36"/>
      <c r="AJ2842" s="15">
        <f t="shared" si="124"/>
        <v>0</v>
      </c>
      <c r="AK2842" s="16"/>
    </row>
    <row r="2843" spans="2:38" x14ac:dyDescent="0.2">
      <c r="B2843" s="7"/>
      <c r="C2843" s="8">
        <v>13384</v>
      </c>
      <c r="D2843" s="9" t="s">
        <v>455</v>
      </c>
      <c r="E2843" s="10" t="str">
        <f t="shared" si="127"/>
        <v>Rancho Zinamba No. 38</v>
      </c>
      <c r="F2843" s="10" t="str">
        <f t="shared" si="128"/>
        <v>Ramírez Díaz</v>
      </c>
      <c r="G2843" s="8">
        <v>1</v>
      </c>
      <c r="H2843" s="11">
        <v>800</v>
      </c>
      <c r="I2843" s="12">
        <v>42707</v>
      </c>
      <c r="J2843" s="35">
        <f t="shared" si="122"/>
        <v>0</v>
      </c>
      <c r="K2843" s="36"/>
      <c r="L2843" s="36"/>
      <c r="M2843" s="36"/>
      <c r="N2843" s="36"/>
      <c r="O2843" s="36"/>
      <c r="P2843" s="36"/>
      <c r="Q2843" s="36"/>
      <c r="R2843" s="36"/>
      <c r="S2843" s="36"/>
      <c r="T2843" s="36"/>
      <c r="U2843" s="36">
        <v>400</v>
      </c>
      <c r="V2843" s="36">
        <v>400</v>
      </c>
      <c r="W2843" s="15">
        <f t="shared" si="123"/>
        <v>800</v>
      </c>
      <c r="X2843" s="36"/>
      <c r="Y2843" s="36"/>
      <c r="Z2843" s="36"/>
      <c r="AA2843" s="36"/>
      <c r="AB2843" s="36"/>
      <c r="AC2843" s="36"/>
      <c r="AD2843" s="36"/>
      <c r="AE2843" s="36"/>
      <c r="AF2843" s="36"/>
      <c r="AG2843" s="36"/>
      <c r="AH2843" s="36"/>
      <c r="AI2843" s="36"/>
      <c r="AJ2843" s="15">
        <f t="shared" si="124"/>
        <v>0</v>
      </c>
      <c r="AK2843" s="16"/>
    </row>
    <row r="2844" spans="2:38" x14ac:dyDescent="0.2">
      <c r="B2844" s="7"/>
      <c r="C2844" s="8">
        <v>13385</v>
      </c>
      <c r="D2844" s="9" t="s">
        <v>586</v>
      </c>
      <c r="E2844" s="10" t="str">
        <f t="shared" si="127"/>
        <v>Rancho Estanzuela No. 161, 1</v>
      </c>
      <c r="F2844" s="10" t="str">
        <f t="shared" si="128"/>
        <v>Guevara</v>
      </c>
      <c r="G2844" s="8">
        <v>1</v>
      </c>
      <c r="H2844" s="11">
        <v>400</v>
      </c>
      <c r="I2844" s="12">
        <v>42707</v>
      </c>
      <c r="J2844" s="35">
        <f t="shared" si="122"/>
        <v>0</v>
      </c>
      <c r="K2844" s="36"/>
      <c r="L2844" s="36"/>
      <c r="M2844" s="36"/>
      <c r="N2844" s="36"/>
      <c r="O2844" s="36"/>
      <c r="P2844" s="36"/>
      <c r="Q2844" s="36"/>
      <c r="R2844" s="36"/>
      <c r="S2844" s="36"/>
      <c r="T2844" s="36"/>
      <c r="U2844" s="36">
        <v>200</v>
      </c>
      <c r="V2844" s="36">
        <v>200</v>
      </c>
      <c r="W2844" s="15">
        <f t="shared" si="123"/>
        <v>400</v>
      </c>
      <c r="X2844" s="36"/>
      <c r="Y2844" s="36"/>
      <c r="Z2844" s="36"/>
      <c r="AA2844" s="36"/>
      <c r="AB2844" s="36"/>
      <c r="AC2844" s="36"/>
      <c r="AD2844" s="36"/>
      <c r="AE2844" s="36"/>
      <c r="AF2844" s="36"/>
      <c r="AG2844" s="36"/>
      <c r="AH2844" s="36"/>
      <c r="AI2844" s="36"/>
      <c r="AJ2844" s="15">
        <f t="shared" si="124"/>
        <v>0</v>
      </c>
      <c r="AK2844" s="16"/>
    </row>
    <row r="2845" spans="2:38" x14ac:dyDescent="0.2">
      <c r="B2845" s="7"/>
      <c r="C2845" s="8">
        <v>13386</v>
      </c>
      <c r="D2845" s="9" t="s">
        <v>395</v>
      </c>
      <c r="E2845" s="10" t="str">
        <f t="shared" si="127"/>
        <v>Rancho Landero No. 7</v>
      </c>
      <c r="F2845" s="10" t="str">
        <f t="shared" si="128"/>
        <v>Robles</v>
      </c>
      <c r="G2845" s="8">
        <v>1</v>
      </c>
      <c r="H2845" s="11">
        <v>200</v>
      </c>
      <c r="I2845" s="12">
        <v>42707</v>
      </c>
      <c r="J2845" s="35">
        <f t="shared" si="122"/>
        <v>0</v>
      </c>
      <c r="K2845" s="36"/>
      <c r="L2845" s="36"/>
      <c r="M2845" s="36"/>
      <c r="N2845" s="36"/>
      <c r="O2845" s="36"/>
      <c r="P2845" s="36"/>
      <c r="Q2845" s="36"/>
      <c r="R2845" s="36"/>
      <c r="S2845" s="36"/>
      <c r="T2845" s="36"/>
      <c r="U2845" s="36"/>
      <c r="V2845" s="36">
        <v>200</v>
      </c>
      <c r="W2845" s="15">
        <f t="shared" si="123"/>
        <v>200</v>
      </c>
      <c r="X2845" s="36"/>
      <c r="Y2845" s="36"/>
      <c r="Z2845" s="36"/>
      <c r="AA2845" s="36"/>
      <c r="AB2845" s="36"/>
      <c r="AC2845" s="36"/>
      <c r="AD2845" s="36"/>
      <c r="AE2845" s="36"/>
      <c r="AF2845" s="36"/>
      <c r="AG2845" s="36"/>
      <c r="AH2845" s="36"/>
      <c r="AI2845" s="36"/>
      <c r="AJ2845" s="15">
        <f t="shared" si="124"/>
        <v>0</v>
      </c>
      <c r="AK2845" s="16"/>
    </row>
    <row r="2846" spans="2:38" x14ac:dyDescent="0.2">
      <c r="B2846" s="7"/>
      <c r="C2846" s="8">
        <v>13387</v>
      </c>
      <c r="D2846" s="9" t="s">
        <v>577</v>
      </c>
      <c r="E2846" s="10" t="str">
        <f t="shared" si="127"/>
        <v>Rancho La Cuchilla No. 46</v>
      </c>
      <c r="F2846" s="10" t="str">
        <f t="shared" si="128"/>
        <v>Cruz López</v>
      </c>
      <c r="G2846" s="8">
        <v>1</v>
      </c>
      <c r="H2846" s="11">
        <v>800</v>
      </c>
      <c r="I2846" s="12">
        <v>42707</v>
      </c>
      <c r="J2846" s="35">
        <f t="shared" si="122"/>
        <v>0</v>
      </c>
      <c r="K2846" s="36"/>
      <c r="L2846" s="36"/>
      <c r="M2846" s="36"/>
      <c r="N2846" s="36"/>
      <c r="O2846" s="36"/>
      <c r="P2846" s="36"/>
      <c r="Q2846" s="36"/>
      <c r="R2846" s="36"/>
      <c r="S2846" s="36"/>
      <c r="T2846" s="36"/>
      <c r="U2846" s="36">
        <v>400</v>
      </c>
      <c r="V2846" s="36">
        <v>400</v>
      </c>
      <c r="W2846" s="15">
        <f t="shared" si="123"/>
        <v>800</v>
      </c>
      <c r="X2846" s="36"/>
      <c r="Y2846" s="36"/>
      <c r="Z2846" s="36"/>
      <c r="AA2846" s="36"/>
      <c r="AB2846" s="36"/>
      <c r="AC2846" s="36"/>
      <c r="AD2846" s="36"/>
      <c r="AE2846" s="36"/>
      <c r="AF2846" s="36"/>
      <c r="AG2846" s="36"/>
      <c r="AH2846" s="36"/>
      <c r="AI2846" s="36"/>
      <c r="AJ2846" s="15">
        <f t="shared" si="124"/>
        <v>0</v>
      </c>
      <c r="AK2846" s="16"/>
    </row>
    <row r="2847" spans="2:38" x14ac:dyDescent="0.2">
      <c r="B2847" s="7"/>
      <c r="C2847" s="8">
        <v>13388</v>
      </c>
      <c r="D2847" s="9" t="s">
        <v>523</v>
      </c>
      <c r="E2847" s="10" t="str">
        <f t="shared" si="127"/>
        <v>Rancho Estanzuela No. 139</v>
      </c>
      <c r="F2847" s="10" t="str">
        <f t="shared" si="128"/>
        <v xml:space="preserve">Ortiz   </v>
      </c>
      <c r="G2847" s="8">
        <v>1</v>
      </c>
      <c r="H2847" s="11">
        <v>400</v>
      </c>
      <c r="I2847" s="12">
        <v>42707</v>
      </c>
      <c r="J2847" s="35">
        <f t="shared" si="122"/>
        <v>0</v>
      </c>
      <c r="K2847" s="36"/>
      <c r="L2847" s="36"/>
      <c r="M2847" s="36"/>
      <c r="N2847" s="36"/>
      <c r="O2847" s="36"/>
      <c r="P2847" s="36"/>
      <c r="Q2847" s="36"/>
      <c r="R2847" s="36"/>
      <c r="S2847" s="36"/>
      <c r="T2847" s="36"/>
      <c r="U2847" s="36">
        <v>400</v>
      </c>
      <c r="V2847" s="36"/>
      <c r="W2847" s="15">
        <f t="shared" si="123"/>
        <v>400</v>
      </c>
      <c r="X2847" s="36"/>
      <c r="Y2847" s="36"/>
      <c r="Z2847" s="36"/>
      <c r="AA2847" s="36"/>
      <c r="AB2847" s="36"/>
      <c r="AC2847" s="36"/>
      <c r="AD2847" s="36"/>
      <c r="AE2847" s="36"/>
      <c r="AF2847" s="36"/>
      <c r="AG2847" s="36"/>
      <c r="AH2847" s="36"/>
      <c r="AI2847" s="36"/>
      <c r="AJ2847" s="15">
        <f t="shared" si="124"/>
        <v>0</v>
      </c>
      <c r="AK2847" s="16"/>
    </row>
    <row r="2848" spans="2:38" x14ac:dyDescent="0.2">
      <c r="B2848" s="7"/>
      <c r="C2848" s="8">
        <v>13389</v>
      </c>
      <c r="D2848" s="9" t="s">
        <v>325</v>
      </c>
      <c r="E2848" s="10" t="str">
        <f t="shared" si="127"/>
        <v>Rancho Upácuaro No. 120</v>
      </c>
      <c r="F2848" s="10" t="str">
        <f t="shared" si="128"/>
        <v>Rayas Rivera</v>
      </c>
      <c r="G2848" s="8">
        <v>3</v>
      </c>
      <c r="H2848" s="11">
        <v>200</v>
      </c>
      <c r="I2848" s="12">
        <v>42707</v>
      </c>
      <c r="J2848" s="35">
        <f t="shared" si="122"/>
        <v>0</v>
      </c>
      <c r="K2848" s="36"/>
      <c r="L2848" s="36"/>
      <c r="M2848" s="36"/>
      <c r="N2848" s="36"/>
      <c r="O2848" s="36"/>
      <c r="P2848" s="36"/>
      <c r="Q2848" s="36"/>
      <c r="R2848" s="36"/>
      <c r="S2848" s="36"/>
      <c r="T2848" s="36"/>
      <c r="U2848" s="36"/>
      <c r="V2848" s="36"/>
      <c r="W2848" s="15">
        <f t="shared" si="123"/>
        <v>0</v>
      </c>
      <c r="X2848" s="36"/>
      <c r="Y2848" s="36"/>
      <c r="Z2848" s="36"/>
      <c r="AA2848" s="36"/>
      <c r="AB2848" s="36"/>
      <c r="AC2848" s="36"/>
      <c r="AD2848" s="36"/>
      <c r="AE2848" s="36"/>
      <c r="AF2848" s="36"/>
      <c r="AG2848" s="36"/>
      <c r="AH2848" s="36"/>
      <c r="AI2848" s="36"/>
      <c r="AJ2848" s="15">
        <f t="shared" si="124"/>
        <v>0</v>
      </c>
      <c r="AK2848" s="16"/>
      <c r="AL2848">
        <f>SUM(H2780:H2848)</f>
        <v>42675</v>
      </c>
    </row>
    <row r="2849" spans="1:37" x14ac:dyDescent="0.2">
      <c r="A2849" s="346"/>
      <c r="B2849" s="7"/>
      <c r="C2849" s="8">
        <v>13390</v>
      </c>
      <c r="D2849" s="9" t="s">
        <v>205</v>
      </c>
      <c r="E2849" s="10" t="str">
        <f t="shared" ref="E2849" si="129">IF(D2849=0,"",VLOOKUP(D2849,BASE,2,FALSE))</f>
        <v>Rancho Landero No. 1, A</v>
      </c>
      <c r="F2849" s="10" t="str">
        <f t="shared" ref="F2849" si="130">IF(D2849=0,"",VLOOKUP(D2849,BASE,3,FALSE))</f>
        <v>Ebysos</v>
      </c>
      <c r="G2849" s="8">
        <v>1</v>
      </c>
      <c r="H2849" s="321">
        <v>600</v>
      </c>
      <c r="I2849" s="12">
        <v>42708</v>
      </c>
      <c r="J2849" s="35">
        <f t="shared" ref="J2849:J2912" si="131">IF(G2849=1,SUM(W2849,AJ2849,-H2849),0)</f>
        <v>0</v>
      </c>
      <c r="K2849" s="36"/>
      <c r="L2849" s="36"/>
      <c r="M2849" s="36"/>
      <c r="N2849" s="36"/>
      <c r="O2849" s="36"/>
      <c r="P2849" s="36"/>
      <c r="Q2849" s="36"/>
      <c r="R2849" s="36"/>
      <c r="S2849" s="36"/>
      <c r="T2849" s="36"/>
      <c r="U2849" s="36">
        <v>600</v>
      </c>
      <c r="V2849" s="36"/>
      <c r="W2849" s="15">
        <f t="shared" ref="W2849:W2912" si="132">SUM(K2849:V2849)</f>
        <v>600</v>
      </c>
      <c r="X2849" s="36"/>
      <c r="Y2849" s="36"/>
      <c r="Z2849" s="36"/>
      <c r="AA2849" s="36"/>
      <c r="AB2849" s="36"/>
      <c r="AC2849" s="36"/>
      <c r="AD2849" s="36"/>
      <c r="AE2849" s="36"/>
      <c r="AF2849" s="36"/>
      <c r="AG2849" s="36"/>
      <c r="AH2849" s="36"/>
      <c r="AI2849" s="36"/>
      <c r="AJ2849" s="15">
        <f t="shared" ref="AJ2849:AJ2912" si="133">SUM(X2849:AI2849)</f>
        <v>0</v>
      </c>
      <c r="AK2849" s="16"/>
    </row>
    <row r="2850" spans="1:37" x14ac:dyDescent="0.2">
      <c r="B2850" s="7"/>
      <c r="C2850" s="8">
        <v>13391</v>
      </c>
      <c r="D2850" s="9" t="s">
        <v>244</v>
      </c>
      <c r="E2850" s="10" t="str">
        <f t="shared" ref="E2850" si="134">IF(D2850=0,"",VLOOKUP(D2850,BASE,2,FALSE))</f>
        <v>Rancho La Cuchilla No. 28</v>
      </c>
      <c r="F2850" s="10" t="str">
        <f t="shared" ref="F2850" si="135">IF(D2850=0,"",VLOOKUP(D2850,BASE,3,FALSE))</f>
        <v>Prado de los S.</v>
      </c>
      <c r="G2850" s="8">
        <v>4</v>
      </c>
      <c r="H2850" s="11">
        <v>200</v>
      </c>
      <c r="I2850" s="12">
        <v>42711</v>
      </c>
      <c r="J2850" s="35">
        <f t="shared" si="131"/>
        <v>0</v>
      </c>
      <c r="K2850" s="36"/>
      <c r="L2850" s="36"/>
      <c r="M2850" s="36"/>
      <c r="N2850" s="36"/>
      <c r="O2850" s="36"/>
      <c r="P2850" s="36"/>
      <c r="Q2850" s="36"/>
      <c r="R2850" s="36"/>
      <c r="S2850" s="36"/>
      <c r="T2850" s="36"/>
      <c r="U2850" s="36"/>
      <c r="V2850" s="36"/>
      <c r="W2850" s="15">
        <f t="shared" si="132"/>
        <v>0</v>
      </c>
      <c r="X2850" s="36"/>
      <c r="Y2850" s="36"/>
      <c r="Z2850" s="36"/>
      <c r="AA2850" s="36"/>
      <c r="AB2850" s="36"/>
      <c r="AC2850" s="36"/>
      <c r="AD2850" s="36"/>
      <c r="AE2850" s="36"/>
      <c r="AF2850" s="36"/>
      <c r="AG2850" s="36"/>
      <c r="AH2850" s="36"/>
      <c r="AI2850" s="36"/>
      <c r="AJ2850" s="15">
        <f t="shared" si="133"/>
        <v>0</v>
      </c>
      <c r="AK2850" s="16" t="s">
        <v>3213</v>
      </c>
    </row>
    <row r="2851" spans="1:37" x14ac:dyDescent="0.2">
      <c r="B2851" s="7"/>
      <c r="C2851" s="8">
        <v>13392</v>
      </c>
      <c r="D2851" s="9" t="s">
        <v>358</v>
      </c>
      <c r="E2851" s="10" t="str">
        <f t="shared" ref="E2851:E2914" si="136">IF(D2851=0,"",VLOOKUP(D2851,BASE,2,FALSE))</f>
        <v>Rancho Landero No. 2, 4</v>
      </c>
      <c r="F2851" s="10" t="str">
        <f t="shared" ref="F2851:F2914" si="137">IF(D2851=0,"",VLOOKUP(D2851,BASE,3,FALSE))</f>
        <v>Cortés</v>
      </c>
      <c r="G2851" s="8">
        <v>1</v>
      </c>
      <c r="H2851" s="11">
        <v>450</v>
      </c>
      <c r="I2851" s="12">
        <v>42712</v>
      </c>
      <c r="J2851" s="35">
        <f t="shared" si="131"/>
        <v>0</v>
      </c>
      <c r="K2851" s="36"/>
      <c r="L2851" s="36"/>
      <c r="M2851" s="36"/>
      <c r="N2851" s="36"/>
      <c r="O2851" s="36">
        <v>150</v>
      </c>
      <c r="P2851" s="36"/>
      <c r="Q2851" s="36"/>
      <c r="R2851" s="36"/>
      <c r="S2851" s="36"/>
      <c r="T2851" s="36"/>
      <c r="U2851" s="36">
        <v>150</v>
      </c>
      <c r="V2851" s="36">
        <v>150</v>
      </c>
      <c r="W2851" s="15">
        <f t="shared" si="132"/>
        <v>450</v>
      </c>
      <c r="X2851" s="36"/>
      <c r="Y2851" s="36"/>
      <c r="Z2851" s="36"/>
      <c r="AA2851" s="36"/>
      <c r="AB2851" s="36"/>
      <c r="AC2851" s="36"/>
      <c r="AD2851" s="36"/>
      <c r="AE2851" s="36"/>
      <c r="AF2851" s="36"/>
      <c r="AG2851" s="36"/>
      <c r="AH2851" s="36"/>
      <c r="AI2851" s="36"/>
      <c r="AJ2851" s="15">
        <f t="shared" si="133"/>
        <v>0</v>
      </c>
      <c r="AK2851" s="16"/>
    </row>
    <row r="2852" spans="1:37" x14ac:dyDescent="0.2">
      <c r="B2852" s="7"/>
      <c r="C2852" s="8">
        <v>13392</v>
      </c>
      <c r="D2852" s="9" t="s">
        <v>358</v>
      </c>
      <c r="E2852" s="10" t="str">
        <f t="shared" si="136"/>
        <v>Rancho Landero No. 2, 4</v>
      </c>
      <c r="F2852" s="10" t="str">
        <f t="shared" si="137"/>
        <v>Cortés</v>
      </c>
      <c r="G2852" s="8">
        <v>5</v>
      </c>
      <c r="H2852" s="11">
        <v>50</v>
      </c>
      <c r="I2852" s="12">
        <v>42712</v>
      </c>
      <c r="J2852" s="35">
        <f t="shared" si="131"/>
        <v>0</v>
      </c>
      <c r="K2852" s="36"/>
      <c r="L2852" s="36"/>
      <c r="M2852" s="36"/>
      <c r="N2852" s="36"/>
      <c r="O2852" s="36"/>
      <c r="P2852" s="36"/>
      <c r="Q2852" s="36"/>
      <c r="R2852" s="36"/>
      <c r="S2852" s="36"/>
      <c r="T2852" s="36"/>
      <c r="U2852" s="36"/>
      <c r="V2852" s="36"/>
      <c r="W2852" s="15">
        <f t="shared" si="132"/>
        <v>0</v>
      </c>
      <c r="X2852" s="36"/>
      <c r="Y2852" s="36"/>
      <c r="Z2852" s="36"/>
      <c r="AA2852" s="36"/>
      <c r="AB2852" s="36"/>
      <c r="AC2852" s="36"/>
      <c r="AD2852" s="36"/>
      <c r="AE2852" s="36"/>
      <c r="AF2852" s="36"/>
      <c r="AG2852" s="36"/>
      <c r="AH2852" s="36"/>
      <c r="AI2852" s="36"/>
      <c r="AJ2852" s="15">
        <f t="shared" si="133"/>
        <v>0</v>
      </c>
      <c r="AK2852" s="16"/>
    </row>
    <row r="2853" spans="1:37" x14ac:dyDescent="0.2">
      <c r="B2853" s="7"/>
      <c r="C2853" s="8">
        <v>13393</v>
      </c>
      <c r="D2853" s="9" t="s">
        <v>177</v>
      </c>
      <c r="E2853" s="10" t="str">
        <f t="shared" si="136"/>
        <v>Rancho Landero No. 71</v>
      </c>
      <c r="F2853" s="10" t="str">
        <f t="shared" si="137"/>
        <v>Maldonado</v>
      </c>
      <c r="G2853" s="8">
        <v>1</v>
      </c>
      <c r="H2853" s="11">
        <v>400</v>
      </c>
      <c r="I2853" s="12">
        <v>42712</v>
      </c>
      <c r="J2853" s="35">
        <f t="shared" si="131"/>
        <v>0</v>
      </c>
      <c r="K2853" s="36"/>
      <c r="L2853" s="36"/>
      <c r="M2853" s="36"/>
      <c r="N2853" s="36"/>
      <c r="O2853" s="36"/>
      <c r="P2853" s="36"/>
      <c r="Q2853" s="36"/>
      <c r="R2853" s="36"/>
      <c r="S2853" s="36"/>
      <c r="T2853" s="36"/>
      <c r="U2853" s="36"/>
      <c r="V2853" s="36">
        <v>400</v>
      </c>
      <c r="W2853" s="15">
        <f t="shared" si="132"/>
        <v>400</v>
      </c>
      <c r="X2853" s="36"/>
      <c r="Y2853" s="36"/>
      <c r="Z2853" s="36"/>
      <c r="AA2853" s="36"/>
      <c r="AB2853" s="36"/>
      <c r="AC2853" s="36"/>
      <c r="AD2853" s="36"/>
      <c r="AE2853" s="36"/>
      <c r="AF2853" s="36"/>
      <c r="AG2853" s="36"/>
      <c r="AH2853" s="36"/>
      <c r="AI2853" s="36"/>
      <c r="AJ2853" s="15">
        <f t="shared" si="133"/>
        <v>0</v>
      </c>
      <c r="AK2853" s="16"/>
    </row>
    <row r="2854" spans="1:37" x14ac:dyDescent="0.2">
      <c r="B2854" s="7"/>
      <c r="C2854" s="8">
        <v>13394</v>
      </c>
      <c r="D2854" s="9" t="s">
        <v>485</v>
      </c>
      <c r="E2854" s="10" t="str">
        <f t="shared" si="136"/>
        <v>Rancho Estanzuela No. 111</v>
      </c>
      <c r="F2854" s="10" t="str">
        <f t="shared" si="137"/>
        <v>Flores Pérez</v>
      </c>
      <c r="G2854" s="8">
        <v>1</v>
      </c>
      <c r="H2854" s="11">
        <v>1200</v>
      </c>
      <c r="I2854" s="12">
        <v>42712</v>
      </c>
      <c r="J2854" s="35">
        <f t="shared" si="131"/>
        <v>0</v>
      </c>
      <c r="K2854" s="36"/>
      <c r="L2854" s="36"/>
      <c r="M2854" s="36"/>
      <c r="N2854" s="36"/>
      <c r="O2854" s="36"/>
      <c r="P2854" s="36"/>
      <c r="Q2854" s="36"/>
      <c r="R2854" s="36"/>
      <c r="S2854" s="36"/>
      <c r="T2854" s="36">
        <v>400</v>
      </c>
      <c r="U2854" s="36">
        <v>400</v>
      </c>
      <c r="V2854" s="36">
        <v>400</v>
      </c>
      <c r="W2854" s="15">
        <f t="shared" si="132"/>
        <v>1200</v>
      </c>
      <c r="X2854" s="36"/>
      <c r="Y2854" s="36"/>
      <c r="Z2854" s="36"/>
      <c r="AA2854" s="36"/>
      <c r="AB2854" s="36"/>
      <c r="AC2854" s="36"/>
      <c r="AD2854" s="36"/>
      <c r="AE2854" s="36"/>
      <c r="AF2854" s="36"/>
      <c r="AG2854" s="36"/>
      <c r="AH2854" s="36"/>
      <c r="AI2854" s="36"/>
      <c r="AJ2854" s="15">
        <f t="shared" si="133"/>
        <v>0</v>
      </c>
      <c r="AK2854" s="16"/>
    </row>
    <row r="2855" spans="1:37" x14ac:dyDescent="0.2">
      <c r="B2855" s="7"/>
      <c r="C2855" s="8">
        <v>13395</v>
      </c>
      <c r="D2855" s="9" t="s">
        <v>425</v>
      </c>
      <c r="E2855" s="10" t="str">
        <f t="shared" si="136"/>
        <v>Rancho La Cuchilla No. 120</v>
      </c>
      <c r="F2855" s="10" t="str">
        <f t="shared" si="137"/>
        <v>Pozos Vilchis</v>
      </c>
      <c r="G2855" s="8">
        <v>1</v>
      </c>
      <c r="H2855" s="11">
        <v>400</v>
      </c>
      <c r="I2855" s="12">
        <v>42715</v>
      </c>
      <c r="J2855" s="35">
        <f t="shared" si="131"/>
        <v>0</v>
      </c>
      <c r="K2855" s="36"/>
      <c r="L2855" s="36"/>
      <c r="M2855" s="36"/>
      <c r="N2855" s="36"/>
      <c r="O2855" s="36"/>
      <c r="P2855" s="36"/>
      <c r="Q2855" s="36"/>
      <c r="R2855" s="36"/>
      <c r="S2855" s="36"/>
      <c r="T2855" s="36"/>
      <c r="U2855" s="36"/>
      <c r="V2855" s="36">
        <v>400</v>
      </c>
      <c r="W2855" s="15">
        <f t="shared" si="132"/>
        <v>400</v>
      </c>
      <c r="X2855" s="36"/>
      <c r="Y2855" s="36"/>
      <c r="Z2855" s="36"/>
      <c r="AA2855" s="36"/>
      <c r="AB2855" s="36"/>
      <c r="AC2855" s="36"/>
      <c r="AD2855" s="36"/>
      <c r="AE2855" s="36"/>
      <c r="AF2855" s="36"/>
      <c r="AG2855" s="36"/>
      <c r="AH2855" s="36"/>
      <c r="AI2855" s="36"/>
      <c r="AJ2855" s="15">
        <f t="shared" si="133"/>
        <v>0</v>
      </c>
      <c r="AK2855" s="16"/>
    </row>
    <row r="2856" spans="1:37" x14ac:dyDescent="0.2">
      <c r="B2856" s="7"/>
      <c r="C2856" s="8">
        <v>13396</v>
      </c>
      <c r="D2856" s="9" t="s">
        <v>814</v>
      </c>
      <c r="E2856" s="10" t="str">
        <f t="shared" si="136"/>
        <v>Rancho Landero No. 47</v>
      </c>
      <c r="F2856" s="10" t="str">
        <f t="shared" si="137"/>
        <v>García González</v>
      </c>
      <c r="G2856" s="8">
        <v>4</v>
      </c>
      <c r="H2856" s="11">
        <v>600</v>
      </c>
      <c r="I2856" s="12">
        <v>42715</v>
      </c>
      <c r="J2856" s="35">
        <f t="shared" si="131"/>
        <v>0</v>
      </c>
      <c r="K2856" s="36"/>
      <c r="L2856" s="36"/>
      <c r="M2856" s="36"/>
      <c r="N2856" s="36"/>
      <c r="O2856" s="36"/>
      <c r="P2856" s="36"/>
      <c r="Q2856" s="36"/>
      <c r="R2856" s="36"/>
      <c r="S2856" s="36"/>
      <c r="T2856" s="36"/>
      <c r="U2856" s="36"/>
      <c r="V2856" s="36"/>
      <c r="W2856" s="15">
        <f t="shared" si="132"/>
        <v>0</v>
      </c>
      <c r="X2856" s="36"/>
      <c r="Y2856" s="36"/>
      <c r="Z2856" s="36"/>
      <c r="AA2856" s="36"/>
      <c r="AB2856" s="36"/>
      <c r="AC2856" s="36"/>
      <c r="AD2856" s="36"/>
      <c r="AE2856" s="36"/>
      <c r="AF2856" s="36"/>
      <c r="AG2856" s="36"/>
      <c r="AH2856" s="36"/>
      <c r="AI2856" s="36"/>
      <c r="AJ2856" s="15">
        <f t="shared" si="133"/>
        <v>0</v>
      </c>
      <c r="AK2856" s="16" t="s">
        <v>3214</v>
      </c>
    </row>
    <row r="2857" spans="1:37" x14ac:dyDescent="0.2">
      <c r="B2857" s="7"/>
      <c r="C2857" s="8">
        <v>13396</v>
      </c>
      <c r="D2857" s="9" t="s">
        <v>814</v>
      </c>
      <c r="E2857" s="10" t="str">
        <f t="shared" si="136"/>
        <v>Rancho Landero No. 47</v>
      </c>
      <c r="F2857" s="10" t="str">
        <f t="shared" si="137"/>
        <v>García González</v>
      </c>
      <c r="G2857" s="8">
        <v>5</v>
      </c>
      <c r="H2857" s="11">
        <v>50</v>
      </c>
      <c r="I2857" s="12">
        <v>42715</v>
      </c>
      <c r="J2857" s="35">
        <f t="shared" si="131"/>
        <v>0</v>
      </c>
      <c r="K2857" s="36"/>
      <c r="L2857" s="36"/>
      <c r="M2857" s="36"/>
      <c r="N2857" s="36"/>
      <c r="O2857" s="36"/>
      <c r="P2857" s="36"/>
      <c r="Q2857" s="36"/>
      <c r="R2857" s="36"/>
      <c r="S2857" s="36"/>
      <c r="T2857" s="36"/>
      <c r="U2857" s="36"/>
      <c r="V2857" s="36"/>
      <c r="W2857" s="15">
        <f t="shared" si="132"/>
        <v>0</v>
      </c>
      <c r="X2857" s="36"/>
      <c r="Y2857" s="36"/>
      <c r="Z2857" s="36"/>
      <c r="AA2857" s="36"/>
      <c r="AB2857" s="36"/>
      <c r="AC2857" s="36"/>
      <c r="AD2857" s="36"/>
      <c r="AE2857" s="36"/>
      <c r="AF2857" s="36"/>
      <c r="AG2857" s="36"/>
      <c r="AH2857" s="36"/>
      <c r="AI2857" s="36"/>
      <c r="AJ2857" s="15">
        <f t="shared" si="133"/>
        <v>0</v>
      </c>
      <c r="AK2857" s="16"/>
    </row>
    <row r="2858" spans="1:37" x14ac:dyDescent="0.2">
      <c r="B2858" s="7"/>
      <c r="C2858" s="8">
        <v>13397</v>
      </c>
      <c r="D2858" s="9" t="s">
        <v>135</v>
      </c>
      <c r="E2858" s="10" t="str">
        <f t="shared" si="136"/>
        <v>Rancho Upácuaro No. 70</v>
      </c>
      <c r="F2858" s="10" t="str">
        <f t="shared" si="137"/>
        <v>Ramírez Tejeda</v>
      </c>
      <c r="G2858" s="8">
        <v>1</v>
      </c>
      <c r="H2858" s="11">
        <v>300</v>
      </c>
      <c r="I2858" s="12">
        <v>42715</v>
      </c>
      <c r="J2858" s="35">
        <f t="shared" si="131"/>
        <v>0</v>
      </c>
      <c r="K2858" s="36"/>
      <c r="L2858" s="36"/>
      <c r="M2858" s="36"/>
      <c r="N2858" s="36"/>
      <c r="O2858" s="36"/>
      <c r="P2858" s="36"/>
      <c r="Q2858" s="36"/>
      <c r="R2858" s="36"/>
      <c r="S2858" s="36"/>
      <c r="T2858" s="36"/>
      <c r="U2858" s="36"/>
      <c r="V2858" s="36">
        <v>300</v>
      </c>
      <c r="W2858" s="15">
        <f t="shared" si="132"/>
        <v>300</v>
      </c>
      <c r="X2858" s="36"/>
      <c r="Y2858" s="36"/>
      <c r="Z2858" s="36"/>
      <c r="AA2858" s="36"/>
      <c r="AB2858" s="36"/>
      <c r="AC2858" s="36"/>
      <c r="AD2858" s="36"/>
      <c r="AE2858" s="36"/>
      <c r="AF2858" s="36"/>
      <c r="AG2858" s="36"/>
      <c r="AH2858" s="36"/>
      <c r="AI2858" s="36"/>
      <c r="AJ2858" s="15">
        <f t="shared" si="133"/>
        <v>0</v>
      </c>
      <c r="AK2858" s="16"/>
    </row>
    <row r="2859" spans="1:37" x14ac:dyDescent="0.2">
      <c r="B2859" s="7"/>
      <c r="C2859" s="8">
        <v>13398</v>
      </c>
      <c r="D2859" s="9" t="s">
        <v>159</v>
      </c>
      <c r="E2859" s="10" t="str">
        <f t="shared" si="136"/>
        <v>Rancho Zinamba No. 24</v>
      </c>
      <c r="F2859" s="10" t="str">
        <f t="shared" si="137"/>
        <v>Monroy García</v>
      </c>
      <c r="G2859" s="8">
        <v>1</v>
      </c>
      <c r="H2859" s="11">
        <v>400</v>
      </c>
      <c r="I2859" s="12">
        <v>42715</v>
      </c>
      <c r="J2859" s="35">
        <f t="shared" si="131"/>
        <v>0</v>
      </c>
      <c r="K2859" s="36"/>
      <c r="L2859" s="36"/>
      <c r="M2859" s="36"/>
      <c r="N2859" s="36"/>
      <c r="O2859" s="36"/>
      <c r="P2859" s="36"/>
      <c r="Q2859" s="36"/>
      <c r="R2859" s="36"/>
      <c r="S2859" s="36"/>
      <c r="T2859" s="36"/>
      <c r="U2859" s="36">
        <v>400</v>
      </c>
      <c r="V2859" s="36"/>
      <c r="W2859" s="15">
        <f t="shared" si="132"/>
        <v>400</v>
      </c>
      <c r="X2859" s="36"/>
      <c r="Y2859" s="36"/>
      <c r="Z2859" s="36"/>
      <c r="AA2859" s="36"/>
      <c r="AB2859" s="36"/>
      <c r="AC2859" s="36"/>
      <c r="AD2859" s="36"/>
      <c r="AE2859" s="36"/>
      <c r="AF2859" s="36"/>
      <c r="AG2859" s="36"/>
      <c r="AH2859" s="36"/>
      <c r="AI2859" s="36"/>
      <c r="AJ2859" s="15">
        <f t="shared" si="133"/>
        <v>0</v>
      </c>
      <c r="AK2859" s="16"/>
    </row>
    <row r="2860" spans="1:37" x14ac:dyDescent="0.2">
      <c r="B2860" s="7"/>
      <c r="C2860" s="8">
        <v>13399</v>
      </c>
      <c r="D2860" s="9" t="s">
        <v>271</v>
      </c>
      <c r="E2860" s="10" t="str">
        <f t="shared" si="136"/>
        <v>Rancho Landero No. 76</v>
      </c>
      <c r="F2860" s="10" t="str">
        <f t="shared" si="137"/>
        <v>Ugarte</v>
      </c>
      <c r="G2860" s="8">
        <v>1</v>
      </c>
      <c r="H2860" s="11">
        <v>400</v>
      </c>
      <c r="I2860" s="12">
        <v>42715</v>
      </c>
      <c r="J2860" s="35">
        <f t="shared" si="131"/>
        <v>0</v>
      </c>
      <c r="K2860" s="36"/>
      <c r="L2860" s="36"/>
      <c r="M2860" s="36"/>
      <c r="N2860" s="36"/>
      <c r="O2860" s="36"/>
      <c r="P2860" s="36"/>
      <c r="Q2860" s="36"/>
      <c r="R2860" s="36"/>
      <c r="S2860" s="36"/>
      <c r="T2860" s="36"/>
      <c r="U2860" s="36"/>
      <c r="V2860" s="36">
        <v>400</v>
      </c>
      <c r="W2860" s="15">
        <f t="shared" si="132"/>
        <v>400</v>
      </c>
      <c r="X2860" s="36"/>
      <c r="Y2860" s="36"/>
      <c r="Z2860" s="36"/>
      <c r="AA2860" s="36"/>
      <c r="AB2860" s="36"/>
      <c r="AC2860" s="36"/>
      <c r="AD2860" s="36"/>
      <c r="AE2860" s="36"/>
      <c r="AF2860" s="36"/>
      <c r="AG2860" s="36"/>
      <c r="AH2860" s="36"/>
      <c r="AI2860" s="36"/>
      <c r="AJ2860" s="15">
        <f t="shared" si="133"/>
        <v>0</v>
      </c>
      <c r="AK2860" s="16"/>
    </row>
    <row r="2861" spans="1:37" x14ac:dyDescent="0.2">
      <c r="B2861" s="7"/>
      <c r="C2861" s="8">
        <v>13400</v>
      </c>
      <c r="D2861" s="9" t="s">
        <v>640</v>
      </c>
      <c r="E2861" s="10" t="str">
        <f t="shared" si="136"/>
        <v>Rancho Estopila No. 22, A</v>
      </c>
      <c r="F2861" s="10" t="str">
        <f t="shared" si="137"/>
        <v>Ayala Carranza</v>
      </c>
      <c r="G2861" s="8">
        <v>1</v>
      </c>
      <c r="H2861" s="11">
        <v>200</v>
      </c>
      <c r="I2861" s="12">
        <v>42715</v>
      </c>
      <c r="J2861" s="35">
        <f t="shared" si="131"/>
        <v>0</v>
      </c>
      <c r="K2861" s="36"/>
      <c r="L2861" s="36"/>
      <c r="M2861" s="36"/>
      <c r="N2861" s="36"/>
      <c r="O2861" s="36"/>
      <c r="P2861" s="36"/>
      <c r="Q2861" s="36"/>
      <c r="R2861" s="36"/>
      <c r="S2861" s="36"/>
      <c r="T2861" s="36"/>
      <c r="U2861" s="36"/>
      <c r="V2861" s="36">
        <v>200</v>
      </c>
      <c r="W2861" s="15">
        <f t="shared" si="132"/>
        <v>200</v>
      </c>
      <c r="X2861" s="36"/>
      <c r="Y2861" s="36"/>
      <c r="Z2861" s="36"/>
      <c r="AA2861" s="36"/>
      <c r="AB2861" s="36"/>
      <c r="AC2861" s="36"/>
      <c r="AD2861" s="36"/>
      <c r="AE2861" s="36"/>
      <c r="AF2861" s="36"/>
      <c r="AG2861" s="36"/>
      <c r="AH2861" s="36"/>
      <c r="AI2861" s="36"/>
      <c r="AJ2861" s="15">
        <f t="shared" si="133"/>
        <v>0</v>
      </c>
      <c r="AK2861" s="16"/>
    </row>
    <row r="2862" spans="1:37" x14ac:dyDescent="0.2">
      <c r="B2862" s="7"/>
      <c r="C2862" s="8">
        <v>13401</v>
      </c>
      <c r="D2862" s="9" t="s">
        <v>265</v>
      </c>
      <c r="E2862" s="10" t="str">
        <f t="shared" si="136"/>
        <v>Rancho Upácuaro No. 85</v>
      </c>
      <c r="F2862" s="10" t="str">
        <f t="shared" si="137"/>
        <v>Del Toro Huerta</v>
      </c>
      <c r="G2862" s="8">
        <v>1</v>
      </c>
      <c r="H2862" s="11">
        <v>400</v>
      </c>
      <c r="I2862" s="12">
        <v>42715</v>
      </c>
      <c r="J2862" s="35">
        <f t="shared" si="131"/>
        <v>0</v>
      </c>
      <c r="K2862" s="36"/>
      <c r="L2862" s="36"/>
      <c r="M2862" s="36"/>
      <c r="N2862" s="36"/>
      <c r="O2862" s="36"/>
      <c r="P2862" s="36"/>
      <c r="Q2862" s="36"/>
      <c r="R2862" s="36"/>
      <c r="S2862" s="36"/>
      <c r="T2862" s="36"/>
      <c r="U2862" s="36"/>
      <c r="V2862" s="36">
        <v>400</v>
      </c>
      <c r="W2862" s="15">
        <f t="shared" si="132"/>
        <v>400</v>
      </c>
      <c r="X2862" s="36"/>
      <c r="Y2862" s="36"/>
      <c r="Z2862" s="36"/>
      <c r="AA2862" s="36"/>
      <c r="AB2862" s="36"/>
      <c r="AC2862" s="36"/>
      <c r="AD2862" s="36"/>
      <c r="AE2862" s="36"/>
      <c r="AF2862" s="36"/>
      <c r="AG2862" s="36"/>
      <c r="AH2862" s="36"/>
      <c r="AI2862" s="36"/>
      <c r="AJ2862" s="15">
        <f t="shared" si="133"/>
        <v>0</v>
      </c>
      <c r="AK2862" s="16"/>
    </row>
    <row r="2863" spans="1:37" x14ac:dyDescent="0.2">
      <c r="B2863" s="7"/>
      <c r="C2863" s="8">
        <v>13402</v>
      </c>
      <c r="D2863" s="9" t="s">
        <v>51</v>
      </c>
      <c r="E2863" s="10" t="str">
        <f t="shared" si="136"/>
        <v>Rancho Landero No. 22</v>
      </c>
      <c r="F2863" s="10" t="str">
        <f t="shared" si="137"/>
        <v>Reyes</v>
      </c>
      <c r="G2863" s="8">
        <v>1</v>
      </c>
      <c r="H2863" s="11">
        <v>500</v>
      </c>
      <c r="I2863" s="12">
        <v>42715</v>
      </c>
      <c r="J2863" s="35">
        <f t="shared" si="131"/>
        <v>0</v>
      </c>
      <c r="K2863" s="36"/>
      <c r="L2863" s="36"/>
      <c r="M2863" s="36"/>
      <c r="N2863" s="36"/>
      <c r="O2863" s="36"/>
      <c r="P2863" s="36"/>
      <c r="Q2863" s="36"/>
      <c r="R2863" s="36"/>
      <c r="S2863" s="36"/>
      <c r="T2863" s="36"/>
      <c r="U2863" s="36"/>
      <c r="V2863" s="36">
        <v>250</v>
      </c>
      <c r="W2863" s="15">
        <f t="shared" si="132"/>
        <v>250</v>
      </c>
      <c r="X2863" s="36">
        <v>250</v>
      </c>
      <c r="Y2863" s="36"/>
      <c r="Z2863" s="36"/>
      <c r="AA2863" s="36"/>
      <c r="AB2863" s="36"/>
      <c r="AC2863" s="36"/>
      <c r="AD2863" s="36"/>
      <c r="AE2863" s="36"/>
      <c r="AF2863" s="36"/>
      <c r="AG2863" s="36"/>
      <c r="AH2863" s="36"/>
      <c r="AI2863" s="36"/>
      <c r="AJ2863" s="15">
        <f t="shared" si="133"/>
        <v>250</v>
      </c>
      <c r="AK2863" s="16"/>
    </row>
    <row r="2864" spans="1:37" x14ac:dyDescent="0.2">
      <c r="B2864" s="7"/>
      <c r="C2864" s="8">
        <v>13403</v>
      </c>
      <c r="D2864" s="9" t="s">
        <v>307</v>
      </c>
      <c r="E2864" s="10" t="str">
        <f t="shared" si="136"/>
        <v>Rancho Landero No. 83</v>
      </c>
      <c r="F2864" s="10" t="str">
        <f t="shared" si="137"/>
        <v>Aguilar</v>
      </c>
      <c r="G2864" s="8">
        <v>1</v>
      </c>
      <c r="H2864" s="11">
        <v>350</v>
      </c>
      <c r="I2864" s="12">
        <v>42715</v>
      </c>
      <c r="J2864" s="35">
        <f t="shared" si="131"/>
        <v>0</v>
      </c>
      <c r="K2864" s="36"/>
      <c r="L2864" s="36"/>
      <c r="M2864" s="36"/>
      <c r="N2864" s="36"/>
      <c r="O2864" s="36"/>
      <c r="P2864" s="36"/>
      <c r="Q2864" s="36"/>
      <c r="R2864" s="36"/>
      <c r="S2864" s="36"/>
      <c r="T2864" s="36"/>
      <c r="U2864" s="36"/>
      <c r="V2864" s="36">
        <v>350</v>
      </c>
      <c r="W2864" s="15">
        <f t="shared" si="132"/>
        <v>350</v>
      </c>
      <c r="X2864" s="36"/>
      <c r="Y2864" s="36"/>
      <c r="Z2864" s="36"/>
      <c r="AA2864" s="36"/>
      <c r="AB2864" s="36"/>
      <c r="AC2864" s="36"/>
      <c r="AD2864" s="36"/>
      <c r="AE2864" s="36"/>
      <c r="AF2864" s="36"/>
      <c r="AG2864" s="36"/>
      <c r="AH2864" s="36"/>
      <c r="AI2864" s="36"/>
      <c r="AJ2864" s="15">
        <f t="shared" si="133"/>
        <v>0</v>
      </c>
      <c r="AK2864" s="16"/>
    </row>
    <row r="2865" spans="2:37" x14ac:dyDescent="0.2">
      <c r="B2865" s="7"/>
      <c r="C2865" s="8">
        <v>13404</v>
      </c>
      <c r="D2865" s="9" t="s">
        <v>1267</v>
      </c>
      <c r="E2865" s="10" t="str">
        <f t="shared" si="136"/>
        <v>Rancho La Cuchilla No. 31</v>
      </c>
      <c r="F2865" s="10" t="str">
        <f t="shared" si="137"/>
        <v>Lince</v>
      </c>
      <c r="G2865" s="8">
        <v>1</v>
      </c>
      <c r="H2865" s="11">
        <v>300</v>
      </c>
      <c r="I2865" s="12">
        <v>42715</v>
      </c>
      <c r="J2865" s="35">
        <f t="shared" si="131"/>
        <v>0</v>
      </c>
      <c r="K2865" s="36"/>
      <c r="L2865" s="36"/>
      <c r="M2865" s="36"/>
      <c r="N2865" s="36"/>
      <c r="O2865" s="36"/>
      <c r="P2865" s="36"/>
      <c r="Q2865" s="36"/>
      <c r="R2865" s="36"/>
      <c r="S2865" s="36"/>
      <c r="T2865" s="36"/>
      <c r="U2865" s="36"/>
      <c r="V2865" s="36">
        <v>300</v>
      </c>
      <c r="W2865" s="15">
        <f t="shared" si="132"/>
        <v>300</v>
      </c>
      <c r="X2865" s="36"/>
      <c r="Y2865" s="36"/>
      <c r="Z2865" s="36"/>
      <c r="AA2865" s="36"/>
      <c r="AB2865" s="36"/>
      <c r="AC2865" s="36"/>
      <c r="AD2865" s="36"/>
      <c r="AE2865" s="36"/>
      <c r="AF2865" s="36"/>
      <c r="AG2865" s="36"/>
      <c r="AH2865" s="36"/>
      <c r="AI2865" s="36"/>
      <c r="AJ2865" s="15">
        <f t="shared" si="133"/>
        <v>0</v>
      </c>
      <c r="AK2865" s="16"/>
    </row>
    <row r="2866" spans="2:37" x14ac:dyDescent="0.2">
      <c r="B2866" s="7"/>
      <c r="C2866" s="8">
        <v>13405</v>
      </c>
      <c r="D2866" s="9" t="s">
        <v>714</v>
      </c>
      <c r="E2866" s="10" t="str">
        <f t="shared" si="136"/>
        <v>Rancho Upácuaro No. 134</v>
      </c>
      <c r="F2866" s="10" t="str">
        <f t="shared" si="137"/>
        <v>Flores Pérez</v>
      </c>
      <c r="G2866" s="8">
        <v>1</v>
      </c>
      <c r="H2866" s="11">
        <v>2400</v>
      </c>
      <c r="I2866" s="12">
        <v>42715</v>
      </c>
      <c r="J2866" s="35">
        <f t="shared" si="131"/>
        <v>0</v>
      </c>
      <c r="K2866" s="36"/>
      <c r="L2866" s="36"/>
      <c r="M2866" s="36"/>
      <c r="N2866" s="36"/>
      <c r="O2866" s="36"/>
      <c r="P2866" s="36"/>
      <c r="Q2866" s="36">
        <v>400</v>
      </c>
      <c r="R2866" s="36">
        <v>400</v>
      </c>
      <c r="S2866" s="36">
        <v>400</v>
      </c>
      <c r="T2866" s="36">
        <v>400</v>
      </c>
      <c r="U2866" s="36">
        <v>400</v>
      </c>
      <c r="V2866" s="36">
        <v>400</v>
      </c>
      <c r="W2866" s="15">
        <f t="shared" si="132"/>
        <v>2400</v>
      </c>
      <c r="X2866" s="36"/>
      <c r="Y2866" s="36"/>
      <c r="Z2866" s="36"/>
      <c r="AA2866" s="36"/>
      <c r="AB2866" s="36"/>
      <c r="AC2866" s="36"/>
      <c r="AD2866" s="36"/>
      <c r="AE2866" s="36"/>
      <c r="AF2866" s="36"/>
      <c r="AG2866" s="36"/>
      <c r="AH2866" s="36"/>
      <c r="AI2866" s="36"/>
      <c r="AJ2866" s="15">
        <f t="shared" si="133"/>
        <v>0</v>
      </c>
      <c r="AK2866" s="16"/>
    </row>
    <row r="2867" spans="2:37" x14ac:dyDescent="0.2">
      <c r="B2867" s="7"/>
      <c r="C2867" s="8">
        <v>13406</v>
      </c>
      <c r="D2867" s="9" t="s">
        <v>44</v>
      </c>
      <c r="E2867" s="10" t="str">
        <f t="shared" si="136"/>
        <v>Rancho Landero No. 14</v>
      </c>
      <c r="F2867" s="10" t="str">
        <f t="shared" si="137"/>
        <v xml:space="preserve">Castrejón  </v>
      </c>
      <c r="G2867" s="8">
        <v>3</v>
      </c>
      <c r="H2867" s="11">
        <v>200</v>
      </c>
      <c r="I2867" s="12">
        <v>42715</v>
      </c>
      <c r="J2867" s="35">
        <f t="shared" si="131"/>
        <v>0</v>
      </c>
      <c r="K2867" s="36"/>
      <c r="L2867" s="36"/>
      <c r="M2867" s="36"/>
      <c r="N2867" s="36"/>
      <c r="O2867" s="36"/>
      <c r="P2867" s="36"/>
      <c r="Q2867" s="36"/>
      <c r="R2867" s="36"/>
      <c r="S2867" s="36"/>
      <c r="T2867" s="36"/>
      <c r="U2867" s="36"/>
      <c r="V2867" s="36"/>
      <c r="W2867" s="15">
        <f t="shared" si="132"/>
        <v>0</v>
      </c>
      <c r="X2867" s="36"/>
      <c r="Y2867" s="36"/>
      <c r="Z2867" s="36"/>
      <c r="AA2867" s="36"/>
      <c r="AB2867" s="36"/>
      <c r="AC2867" s="36"/>
      <c r="AD2867" s="36"/>
      <c r="AE2867" s="36"/>
      <c r="AF2867" s="36"/>
      <c r="AG2867" s="36"/>
      <c r="AH2867" s="36"/>
      <c r="AI2867" s="36"/>
      <c r="AJ2867" s="15">
        <f t="shared" si="133"/>
        <v>0</v>
      </c>
      <c r="AK2867" s="16"/>
    </row>
    <row r="2868" spans="2:37" x14ac:dyDescent="0.2">
      <c r="B2868" s="7"/>
      <c r="C2868" s="8">
        <v>13407</v>
      </c>
      <c r="D2868" s="9" t="s">
        <v>407</v>
      </c>
      <c r="E2868" s="10" t="str">
        <f t="shared" si="136"/>
        <v>Rancho Estanzuela No. 99</v>
      </c>
      <c r="F2868" s="10" t="str">
        <f t="shared" si="137"/>
        <v>García López</v>
      </c>
      <c r="G2868" s="8">
        <v>1</v>
      </c>
      <c r="H2868" s="11">
        <v>400</v>
      </c>
      <c r="I2868" s="12">
        <v>42715</v>
      </c>
      <c r="J2868" s="35">
        <f t="shared" si="131"/>
        <v>0</v>
      </c>
      <c r="K2868" s="36"/>
      <c r="L2868" s="36"/>
      <c r="M2868" s="36"/>
      <c r="N2868" s="36"/>
      <c r="O2868" s="36"/>
      <c r="P2868" s="36"/>
      <c r="Q2868" s="36"/>
      <c r="R2868" s="36"/>
      <c r="S2868" s="36"/>
      <c r="T2868" s="36"/>
      <c r="U2868" s="36"/>
      <c r="V2868" s="36">
        <v>400</v>
      </c>
      <c r="W2868" s="15">
        <f t="shared" si="132"/>
        <v>400</v>
      </c>
      <c r="X2868" s="36"/>
      <c r="Y2868" s="36"/>
      <c r="Z2868" s="36"/>
      <c r="AA2868" s="36"/>
      <c r="AB2868" s="36"/>
      <c r="AC2868" s="36"/>
      <c r="AD2868" s="36"/>
      <c r="AE2868" s="36"/>
      <c r="AF2868" s="36"/>
      <c r="AG2868" s="36"/>
      <c r="AH2868" s="36"/>
      <c r="AI2868" s="36"/>
      <c r="AJ2868" s="15">
        <f t="shared" si="133"/>
        <v>0</v>
      </c>
      <c r="AK2868" s="16"/>
    </row>
    <row r="2869" spans="2:37" x14ac:dyDescent="0.2">
      <c r="B2869" s="7"/>
      <c r="C2869" s="8">
        <v>13408</v>
      </c>
      <c r="D2869" s="9" t="s">
        <v>1073</v>
      </c>
      <c r="E2869" s="10" t="str">
        <f t="shared" si="136"/>
        <v>Rancho Upácuaro No. 96</v>
      </c>
      <c r="F2869" s="10" t="str">
        <f t="shared" si="137"/>
        <v>Daza Gutiérrez</v>
      </c>
      <c r="G2869" s="8">
        <v>1</v>
      </c>
      <c r="H2869" s="11">
        <v>1200</v>
      </c>
      <c r="I2869" s="12">
        <v>42715</v>
      </c>
      <c r="J2869" s="35">
        <f t="shared" si="131"/>
        <v>0</v>
      </c>
      <c r="K2869" s="36"/>
      <c r="L2869" s="36"/>
      <c r="M2869" s="36"/>
      <c r="N2869" s="36"/>
      <c r="O2869" s="36"/>
      <c r="P2869" s="36"/>
      <c r="Q2869" s="36"/>
      <c r="R2869" s="36">
        <v>400</v>
      </c>
      <c r="S2869" s="36">
        <v>400</v>
      </c>
      <c r="T2869" s="36">
        <v>400</v>
      </c>
      <c r="U2869" s="36"/>
      <c r="V2869" s="36"/>
      <c r="W2869" s="15">
        <f t="shared" si="132"/>
        <v>1200</v>
      </c>
      <c r="X2869" s="36"/>
      <c r="Y2869" s="36"/>
      <c r="Z2869" s="36"/>
      <c r="AA2869" s="36"/>
      <c r="AB2869" s="36"/>
      <c r="AC2869" s="36"/>
      <c r="AD2869" s="36"/>
      <c r="AE2869" s="36"/>
      <c r="AF2869" s="36"/>
      <c r="AG2869" s="36"/>
      <c r="AH2869" s="36"/>
      <c r="AI2869" s="36"/>
      <c r="AJ2869" s="15">
        <f t="shared" si="133"/>
        <v>0</v>
      </c>
      <c r="AK2869" s="16"/>
    </row>
    <row r="2870" spans="2:37" x14ac:dyDescent="0.2">
      <c r="B2870" s="7"/>
      <c r="C2870" s="8">
        <v>13409</v>
      </c>
      <c r="D2870" s="9" t="s">
        <v>810</v>
      </c>
      <c r="E2870" s="10" t="str">
        <f t="shared" si="136"/>
        <v>Rancho La Cuchilla No. 90</v>
      </c>
      <c r="F2870" s="10" t="str">
        <f t="shared" si="137"/>
        <v>Porras Fuentes</v>
      </c>
      <c r="G2870" s="8">
        <v>1</v>
      </c>
      <c r="H2870" s="11">
        <v>200</v>
      </c>
      <c r="I2870" s="12">
        <v>42715</v>
      </c>
      <c r="J2870" s="35">
        <f t="shared" si="131"/>
        <v>0</v>
      </c>
      <c r="K2870" s="36"/>
      <c r="L2870" s="36"/>
      <c r="M2870" s="36"/>
      <c r="N2870" s="36"/>
      <c r="O2870" s="36"/>
      <c r="P2870" s="36"/>
      <c r="Q2870" s="36"/>
      <c r="R2870" s="36"/>
      <c r="S2870" s="36"/>
      <c r="T2870" s="36"/>
      <c r="U2870" s="36"/>
      <c r="V2870" s="36">
        <v>200</v>
      </c>
      <c r="W2870" s="15">
        <f t="shared" si="132"/>
        <v>200</v>
      </c>
      <c r="X2870" s="36"/>
      <c r="Y2870" s="36"/>
      <c r="Z2870" s="36"/>
      <c r="AA2870" s="36"/>
      <c r="AB2870" s="36"/>
      <c r="AC2870" s="36"/>
      <c r="AD2870" s="36"/>
      <c r="AE2870" s="36"/>
      <c r="AF2870" s="36"/>
      <c r="AG2870" s="36"/>
      <c r="AH2870" s="36"/>
      <c r="AI2870" s="36"/>
      <c r="AJ2870" s="15">
        <f t="shared" si="133"/>
        <v>0</v>
      </c>
      <c r="AK2870" s="16"/>
    </row>
    <row r="2871" spans="2:37" x14ac:dyDescent="0.2">
      <c r="B2871" s="7"/>
      <c r="C2871" s="8">
        <v>13410</v>
      </c>
      <c r="D2871" s="9" t="s">
        <v>129</v>
      </c>
      <c r="E2871" s="10" t="str">
        <f t="shared" si="136"/>
        <v>Rancho Zinamba No. 44</v>
      </c>
      <c r="F2871" s="10" t="str">
        <f t="shared" si="137"/>
        <v>Canales</v>
      </c>
      <c r="G2871" s="8">
        <v>1</v>
      </c>
      <c r="H2871" s="11">
        <v>400</v>
      </c>
      <c r="I2871" s="12">
        <v>42715</v>
      </c>
      <c r="J2871" s="35">
        <f t="shared" si="131"/>
        <v>0</v>
      </c>
      <c r="K2871" s="36"/>
      <c r="L2871" s="36"/>
      <c r="M2871" s="36"/>
      <c r="N2871" s="36"/>
      <c r="O2871" s="36"/>
      <c r="P2871" s="36"/>
      <c r="Q2871" s="36"/>
      <c r="R2871" s="36"/>
      <c r="S2871" s="36"/>
      <c r="T2871" s="36"/>
      <c r="U2871" s="36"/>
      <c r="V2871" s="36">
        <v>400</v>
      </c>
      <c r="W2871" s="15">
        <f t="shared" si="132"/>
        <v>400</v>
      </c>
      <c r="X2871" s="36"/>
      <c r="Y2871" s="36"/>
      <c r="Z2871" s="36"/>
      <c r="AA2871" s="36"/>
      <c r="AB2871" s="36"/>
      <c r="AC2871" s="36"/>
      <c r="AD2871" s="36"/>
      <c r="AE2871" s="36"/>
      <c r="AF2871" s="36"/>
      <c r="AG2871" s="36"/>
      <c r="AH2871" s="36"/>
      <c r="AI2871" s="36"/>
      <c r="AJ2871" s="15">
        <f t="shared" si="133"/>
        <v>0</v>
      </c>
      <c r="AK2871" s="16"/>
    </row>
    <row r="2872" spans="2:37" x14ac:dyDescent="0.2">
      <c r="B2872" s="7"/>
      <c r="C2872" s="8">
        <v>13411</v>
      </c>
      <c r="D2872" s="9" t="s">
        <v>696</v>
      </c>
      <c r="E2872" s="10" t="str">
        <f t="shared" si="136"/>
        <v>Rancho Upácuaro No. 64</v>
      </c>
      <c r="F2872" s="10" t="str">
        <f t="shared" si="137"/>
        <v>Méndez Oliva</v>
      </c>
      <c r="G2872" s="8">
        <v>1</v>
      </c>
      <c r="H2872" s="11">
        <v>300</v>
      </c>
      <c r="I2872" s="12">
        <v>42715</v>
      </c>
      <c r="J2872" s="35">
        <f t="shared" si="131"/>
        <v>0</v>
      </c>
      <c r="K2872" s="36"/>
      <c r="L2872" s="36"/>
      <c r="M2872" s="36"/>
      <c r="N2872" s="36"/>
      <c r="O2872" s="36"/>
      <c r="P2872" s="36"/>
      <c r="Q2872" s="36"/>
      <c r="R2872" s="36"/>
      <c r="S2872" s="36"/>
      <c r="T2872" s="36"/>
      <c r="U2872" s="36"/>
      <c r="V2872" s="36">
        <v>300</v>
      </c>
      <c r="W2872" s="15">
        <f t="shared" si="132"/>
        <v>300</v>
      </c>
      <c r="X2872" s="36"/>
      <c r="Y2872" s="36"/>
      <c r="Z2872" s="36"/>
      <c r="AA2872" s="36"/>
      <c r="AB2872" s="36"/>
      <c r="AC2872" s="36"/>
      <c r="AD2872" s="36"/>
      <c r="AE2872" s="36"/>
      <c r="AF2872" s="36"/>
      <c r="AG2872" s="36"/>
      <c r="AH2872" s="36"/>
      <c r="AI2872" s="36"/>
      <c r="AJ2872" s="15">
        <f t="shared" si="133"/>
        <v>0</v>
      </c>
      <c r="AK2872" s="16"/>
    </row>
    <row r="2873" spans="2:37" x14ac:dyDescent="0.2">
      <c r="B2873" s="7"/>
      <c r="C2873" s="8">
        <v>13412</v>
      </c>
      <c r="D2873" s="9" t="s">
        <v>628</v>
      </c>
      <c r="E2873" s="10" t="str">
        <f t="shared" si="136"/>
        <v>Rancho Landero No. 51</v>
      </c>
      <c r="F2873" s="10" t="str">
        <f t="shared" si="137"/>
        <v>H. Robles Tamayo</v>
      </c>
      <c r="G2873" s="8">
        <v>1</v>
      </c>
      <c r="H2873" s="11">
        <v>800</v>
      </c>
      <c r="I2873" s="12">
        <v>42715</v>
      </c>
      <c r="J2873" s="35">
        <f t="shared" si="131"/>
        <v>0</v>
      </c>
      <c r="K2873" s="36"/>
      <c r="L2873" s="36"/>
      <c r="M2873" s="36"/>
      <c r="N2873" s="36"/>
      <c r="O2873" s="36"/>
      <c r="P2873" s="36"/>
      <c r="Q2873" s="36"/>
      <c r="R2873" s="36"/>
      <c r="S2873" s="36"/>
      <c r="T2873" s="36"/>
      <c r="U2873" s="36">
        <v>400</v>
      </c>
      <c r="V2873" s="36">
        <v>400</v>
      </c>
      <c r="W2873" s="15">
        <f t="shared" si="132"/>
        <v>800</v>
      </c>
      <c r="X2873" s="36"/>
      <c r="Y2873" s="36"/>
      <c r="Z2873" s="36"/>
      <c r="AA2873" s="36"/>
      <c r="AB2873" s="36"/>
      <c r="AC2873" s="36"/>
      <c r="AD2873" s="36"/>
      <c r="AE2873" s="36"/>
      <c r="AF2873" s="36"/>
      <c r="AG2873" s="36"/>
      <c r="AH2873" s="36"/>
      <c r="AI2873" s="36"/>
      <c r="AJ2873" s="15">
        <f t="shared" si="133"/>
        <v>0</v>
      </c>
      <c r="AK2873" s="16"/>
    </row>
    <row r="2874" spans="2:37" x14ac:dyDescent="0.2">
      <c r="B2874" s="7"/>
      <c r="C2874" s="8">
        <v>13413</v>
      </c>
      <c r="D2874" s="9" t="s">
        <v>719</v>
      </c>
      <c r="E2874" s="10" t="str">
        <f t="shared" si="136"/>
        <v>Rancho Estanzuela No. 119, 1</v>
      </c>
      <c r="F2874" s="10" t="str">
        <f t="shared" si="137"/>
        <v>Crespo</v>
      </c>
      <c r="G2874" s="8">
        <v>1</v>
      </c>
      <c r="H2874" s="11">
        <v>400</v>
      </c>
      <c r="I2874" s="12">
        <v>42715</v>
      </c>
      <c r="J2874" s="35">
        <f t="shared" si="131"/>
        <v>0</v>
      </c>
      <c r="K2874" s="36"/>
      <c r="L2874" s="36"/>
      <c r="M2874" s="36"/>
      <c r="N2874" s="36"/>
      <c r="O2874" s="36"/>
      <c r="P2874" s="36"/>
      <c r="Q2874" s="36"/>
      <c r="R2874" s="36"/>
      <c r="S2874" s="36"/>
      <c r="T2874" s="36"/>
      <c r="U2874" s="36">
        <v>200</v>
      </c>
      <c r="V2874" s="36">
        <v>200</v>
      </c>
      <c r="W2874" s="15">
        <f t="shared" si="132"/>
        <v>400</v>
      </c>
      <c r="X2874" s="36"/>
      <c r="Y2874" s="36"/>
      <c r="Z2874" s="36"/>
      <c r="AA2874" s="36"/>
      <c r="AB2874" s="36"/>
      <c r="AC2874" s="36"/>
      <c r="AD2874" s="36"/>
      <c r="AE2874" s="36"/>
      <c r="AF2874" s="36"/>
      <c r="AG2874" s="36"/>
      <c r="AH2874" s="36"/>
      <c r="AI2874" s="36"/>
      <c r="AJ2874" s="15">
        <f t="shared" si="133"/>
        <v>0</v>
      </c>
      <c r="AK2874" s="16"/>
    </row>
    <row r="2875" spans="2:37" x14ac:dyDescent="0.2">
      <c r="B2875" s="7"/>
      <c r="C2875" s="8">
        <v>13414</v>
      </c>
      <c r="D2875" s="9" t="s">
        <v>268</v>
      </c>
      <c r="E2875" s="10" t="str">
        <f t="shared" si="136"/>
        <v>Rancho Landero No. 90</v>
      </c>
      <c r="F2875" s="10" t="str">
        <f t="shared" si="137"/>
        <v>Córdova Reséndiz</v>
      </c>
      <c r="G2875" s="8">
        <v>1</v>
      </c>
      <c r="H2875" s="11">
        <v>300</v>
      </c>
      <c r="I2875" s="12">
        <v>42715</v>
      </c>
      <c r="J2875" s="35">
        <f t="shared" si="131"/>
        <v>0</v>
      </c>
      <c r="K2875" s="36"/>
      <c r="L2875" s="36"/>
      <c r="M2875" s="36"/>
      <c r="N2875" s="36"/>
      <c r="O2875" s="36"/>
      <c r="P2875" s="36"/>
      <c r="Q2875" s="36"/>
      <c r="R2875" s="36"/>
      <c r="S2875" s="36"/>
      <c r="T2875" s="36"/>
      <c r="U2875" s="36"/>
      <c r="V2875" s="36">
        <v>300</v>
      </c>
      <c r="W2875" s="15">
        <f t="shared" si="132"/>
        <v>300</v>
      </c>
      <c r="X2875" s="36"/>
      <c r="Y2875" s="36"/>
      <c r="Z2875" s="36"/>
      <c r="AA2875" s="36"/>
      <c r="AB2875" s="36"/>
      <c r="AC2875" s="36"/>
      <c r="AD2875" s="36"/>
      <c r="AE2875" s="36"/>
      <c r="AF2875" s="36"/>
      <c r="AG2875" s="36"/>
      <c r="AH2875" s="36"/>
      <c r="AI2875" s="36"/>
      <c r="AJ2875" s="15">
        <f t="shared" si="133"/>
        <v>0</v>
      </c>
      <c r="AK2875" s="16"/>
    </row>
    <row r="2876" spans="2:37" x14ac:dyDescent="0.2">
      <c r="B2876" s="7"/>
      <c r="C2876" s="8">
        <v>13415</v>
      </c>
      <c r="D2876" s="9" t="s">
        <v>109</v>
      </c>
      <c r="E2876" s="10" t="str">
        <f t="shared" si="136"/>
        <v>Rancho Estanzuela No. 31</v>
      </c>
      <c r="F2876" s="10" t="str">
        <f t="shared" si="137"/>
        <v>Chávez Valdés</v>
      </c>
      <c r="G2876" s="8">
        <v>1</v>
      </c>
      <c r="H2876" s="11">
        <v>400</v>
      </c>
      <c r="I2876" s="12">
        <v>42715</v>
      </c>
      <c r="J2876" s="35">
        <f t="shared" si="131"/>
        <v>0</v>
      </c>
      <c r="K2876" s="36"/>
      <c r="L2876" s="36"/>
      <c r="M2876" s="36"/>
      <c r="N2876" s="36"/>
      <c r="O2876" s="36"/>
      <c r="P2876" s="36"/>
      <c r="Q2876" s="36"/>
      <c r="R2876" s="36"/>
      <c r="S2876" s="36"/>
      <c r="T2876" s="36"/>
      <c r="U2876" s="36">
        <v>400</v>
      </c>
      <c r="V2876" s="36"/>
      <c r="W2876" s="15">
        <f t="shared" si="132"/>
        <v>400</v>
      </c>
      <c r="X2876" s="36"/>
      <c r="Y2876" s="36"/>
      <c r="Z2876" s="36"/>
      <c r="AA2876" s="36"/>
      <c r="AB2876" s="36"/>
      <c r="AC2876" s="36"/>
      <c r="AD2876" s="36"/>
      <c r="AE2876" s="36"/>
      <c r="AF2876" s="36"/>
      <c r="AG2876" s="36"/>
      <c r="AH2876" s="36"/>
      <c r="AI2876" s="36"/>
      <c r="AJ2876" s="15">
        <f t="shared" si="133"/>
        <v>0</v>
      </c>
      <c r="AK2876" s="16"/>
    </row>
    <row r="2877" spans="2:37" x14ac:dyDescent="0.2">
      <c r="B2877" s="7"/>
      <c r="C2877" s="8">
        <v>13416</v>
      </c>
      <c r="D2877" s="9" t="s">
        <v>932</v>
      </c>
      <c r="E2877" s="10" t="str">
        <f t="shared" si="136"/>
        <v>Rancho Landero No. 58</v>
      </c>
      <c r="F2877" s="10" t="str">
        <f t="shared" si="137"/>
        <v>Valero</v>
      </c>
      <c r="G2877" s="8">
        <v>1</v>
      </c>
      <c r="H2877" s="11">
        <v>3200</v>
      </c>
      <c r="I2877" s="12">
        <v>42715</v>
      </c>
      <c r="J2877" s="35">
        <f t="shared" si="131"/>
        <v>0</v>
      </c>
      <c r="K2877" s="36"/>
      <c r="L2877" s="36"/>
      <c r="M2877" s="36"/>
      <c r="N2877" s="36"/>
      <c r="O2877" s="36"/>
      <c r="P2877" s="36"/>
      <c r="Q2877" s="36"/>
      <c r="R2877" s="36">
        <v>400</v>
      </c>
      <c r="S2877" s="36">
        <v>400</v>
      </c>
      <c r="T2877" s="36">
        <v>400</v>
      </c>
      <c r="U2877" s="36">
        <v>400</v>
      </c>
      <c r="V2877" s="36">
        <v>400</v>
      </c>
      <c r="W2877" s="15">
        <f t="shared" si="132"/>
        <v>2000</v>
      </c>
      <c r="X2877" s="36">
        <v>400</v>
      </c>
      <c r="Y2877" s="36">
        <v>400</v>
      </c>
      <c r="Z2877" s="36">
        <v>400</v>
      </c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15">
        <f t="shared" si="133"/>
        <v>1200</v>
      </c>
      <c r="AK2877" s="16"/>
    </row>
    <row r="2878" spans="2:37" x14ac:dyDescent="0.2">
      <c r="B2878" s="7"/>
      <c r="C2878" s="8">
        <v>13417</v>
      </c>
      <c r="D2878" s="9" t="s">
        <v>434</v>
      </c>
      <c r="E2878" s="10" t="str">
        <f t="shared" si="136"/>
        <v>Rancho La Cuchilla No. 55</v>
      </c>
      <c r="F2878" s="10" t="str">
        <f t="shared" si="137"/>
        <v>López Velázquez</v>
      </c>
      <c r="G2878" s="8">
        <v>1</v>
      </c>
      <c r="H2878" s="11">
        <v>800</v>
      </c>
      <c r="I2878" s="12">
        <v>42715</v>
      </c>
      <c r="J2878" s="35">
        <f t="shared" si="131"/>
        <v>0</v>
      </c>
      <c r="K2878" s="36"/>
      <c r="L2878" s="36"/>
      <c r="M2878" s="36"/>
      <c r="N2878" s="36"/>
      <c r="O2878" s="36"/>
      <c r="P2878" s="36"/>
      <c r="Q2878" s="36"/>
      <c r="R2878" s="36"/>
      <c r="S2878" s="36"/>
      <c r="T2878" s="36"/>
      <c r="U2878" s="36">
        <v>400</v>
      </c>
      <c r="V2878" s="36">
        <v>400</v>
      </c>
      <c r="W2878" s="15">
        <f t="shared" si="132"/>
        <v>800</v>
      </c>
      <c r="X2878" s="36"/>
      <c r="Y2878" s="36"/>
      <c r="Z2878" s="36"/>
      <c r="AA2878" s="36"/>
      <c r="AB2878" s="36"/>
      <c r="AC2878" s="36"/>
      <c r="AD2878" s="36"/>
      <c r="AE2878" s="36"/>
      <c r="AF2878" s="36"/>
      <c r="AG2878" s="36"/>
      <c r="AH2878" s="36"/>
      <c r="AI2878" s="36"/>
      <c r="AJ2878" s="15">
        <f t="shared" si="133"/>
        <v>0</v>
      </c>
      <c r="AK2878" s="16"/>
    </row>
    <row r="2879" spans="2:37" x14ac:dyDescent="0.2">
      <c r="B2879" s="7"/>
      <c r="C2879" s="8">
        <v>13418</v>
      </c>
      <c r="D2879" s="9" t="s">
        <v>941</v>
      </c>
      <c r="E2879" s="10" t="str">
        <f t="shared" si="136"/>
        <v>Rancho Landero No. 29</v>
      </c>
      <c r="F2879" s="10" t="str">
        <f t="shared" si="137"/>
        <v>Ulrich Cervantes</v>
      </c>
      <c r="G2879" s="8">
        <v>1</v>
      </c>
      <c r="H2879" s="11">
        <v>200</v>
      </c>
      <c r="I2879" s="12">
        <v>42715</v>
      </c>
      <c r="J2879" s="35">
        <f t="shared" si="131"/>
        <v>0</v>
      </c>
      <c r="K2879" s="36"/>
      <c r="L2879" s="36"/>
      <c r="M2879" s="36"/>
      <c r="N2879" s="36"/>
      <c r="O2879" s="36"/>
      <c r="P2879" s="36"/>
      <c r="Q2879" s="36"/>
      <c r="R2879" s="36"/>
      <c r="S2879" s="36"/>
      <c r="T2879" s="36"/>
      <c r="U2879" s="36"/>
      <c r="V2879" s="36">
        <v>200</v>
      </c>
      <c r="W2879" s="15">
        <f t="shared" si="132"/>
        <v>200</v>
      </c>
      <c r="X2879" s="36"/>
      <c r="Y2879" s="36"/>
      <c r="Z2879" s="36"/>
      <c r="AA2879" s="36"/>
      <c r="AB2879" s="36"/>
      <c r="AC2879" s="36"/>
      <c r="AD2879" s="36"/>
      <c r="AE2879" s="36"/>
      <c r="AF2879" s="36"/>
      <c r="AG2879" s="36"/>
      <c r="AH2879" s="36"/>
      <c r="AI2879" s="36"/>
      <c r="AJ2879" s="15">
        <f t="shared" si="133"/>
        <v>0</v>
      </c>
      <c r="AK2879" s="16"/>
    </row>
    <row r="2880" spans="2:37" x14ac:dyDescent="0.2">
      <c r="B2880" s="7"/>
      <c r="C2880" s="8">
        <v>13419</v>
      </c>
      <c r="D2880" s="9" t="s">
        <v>693</v>
      </c>
      <c r="E2880" s="10" t="str">
        <f t="shared" si="136"/>
        <v>Rancho Romeral No. 9, B</v>
      </c>
      <c r="F2880" s="10" t="str">
        <f t="shared" si="137"/>
        <v>Morales Macías</v>
      </c>
      <c r="G2880" s="8">
        <v>1</v>
      </c>
      <c r="H2880" s="11">
        <v>450</v>
      </c>
      <c r="I2880" s="12">
        <v>42715</v>
      </c>
      <c r="J2880" s="35">
        <f t="shared" si="131"/>
        <v>0</v>
      </c>
      <c r="K2880" s="36"/>
      <c r="L2880" s="36"/>
      <c r="M2880" s="36"/>
      <c r="N2880" s="36"/>
      <c r="O2880" s="36"/>
      <c r="P2880" s="36"/>
      <c r="Q2880" s="36"/>
      <c r="R2880" s="36"/>
      <c r="S2880" s="36"/>
      <c r="T2880" s="36">
        <v>150</v>
      </c>
      <c r="U2880" s="36">
        <v>150</v>
      </c>
      <c r="V2880" s="36">
        <v>150</v>
      </c>
      <c r="W2880" s="15">
        <f t="shared" si="132"/>
        <v>450</v>
      </c>
      <c r="X2880" s="36"/>
      <c r="Y2880" s="36"/>
      <c r="Z2880" s="36"/>
      <c r="AA2880" s="36"/>
      <c r="AB2880" s="36"/>
      <c r="AC2880" s="36"/>
      <c r="AD2880" s="36"/>
      <c r="AE2880" s="36"/>
      <c r="AF2880" s="36"/>
      <c r="AG2880" s="36"/>
      <c r="AH2880" s="36"/>
      <c r="AI2880" s="36"/>
      <c r="AJ2880" s="15">
        <f t="shared" si="133"/>
        <v>0</v>
      </c>
      <c r="AK2880" s="16"/>
    </row>
    <row r="2881" spans="2:37" x14ac:dyDescent="0.2">
      <c r="B2881" s="7"/>
      <c r="C2881" s="8">
        <v>13420</v>
      </c>
      <c r="D2881" s="9" t="s">
        <v>514</v>
      </c>
      <c r="E2881" s="10" t="str">
        <f t="shared" si="136"/>
        <v>Rancho Upácuaro No. 114</v>
      </c>
      <c r="F2881" s="10" t="str">
        <f t="shared" si="137"/>
        <v>Hernández Cornejo</v>
      </c>
      <c r="G2881" s="8">
        <v>1</v>
      </c>
      <c r="H2881" s="11">
        <v>400</v>
      </c>
      <c r="I2881" s="12">
        <v>42715</v>
      </c>
      <c r="J2881" s="35">
        <f t="shared" si="131"/>
        <v>0</v>
      </c>
      <c r="K2881" s="36"/>
      <c r="L2881" s="36"/>
      <c r="M2881" s="36"/>
      <c r="N2881" s="36"/>
      <c r="O2881" s="36"/>
      <c r="P2881" s="36"/>
      <c r="Q2881" s="36"/>
      <c r="R2881" s="36"/>
      <c r="S2881" s="36"/>
      <c r="T2881" s="36"/>
      <c r="U2881" s="36"/>
      <c r="V2881" s="36">
        <v>400</v>
      </c>
      <c r="W2881" s="15">
        <f t="shared" si="132"/>
        <v>400</v>
      </c>
      <c r="X2881" s="36"/>
      <c r="Y2881" s="36"/>
      <c r="Z2881" s="36"/>
      <c r="AA2881" s="36"/>
      <c r="AB2881" s="36"/>
      <c r="AC2881" s="36"/>
      <c r="AD2881" s="36"/>
      <c r="AE2881" s="36"/>
      <c r="AF2881" s="36"/>
      <c r="AG2881" s="36"/>
      <c r="AH2881" s="36"/>
      <c r="AI2881" s="36"/>
      <c r="AJ2881" s="15">
        <f t="shared" si="133"/>
        <v>0</v>
      </c>
      <c r="AK2881" s="16"/>
    </row>
    <row r="2882" spans="2:37" x14ac:dyDescent="0.2">
      <c r="B2882" s="7"/>
      <c r="C2882" s="8">
        <v>13421</v>
      </c>
      <c r="D2882" s="9" t="s">
        <v>119</v>
      </c>
      <c r="E2882" s="10" t="str">
        <f t="shared" si="136"/>
        <v>Rancho Landero No. 25</v>
      </c>
      <c r="F2882" s="10" t="str">
        <f t="shared" si="137"/>
        <v>Escamilla Martínez</v>
      </c>
      <c r="G2882" s="8">
        <v>1</v>
      </c>
      <c r="H2882" s="11">
        <v>400</v>
      </c>
      <c r="I2882" s="12">
        <v>42715</v>
      </c>
      <c r="J2882" s="35">
        <f t="shared" si="131"/>
        <v>0</v>
      </c>
      <c r="K2882" s="36"/>
      <c r="L2882" s="36"/>
      <c r="M2882" s="36"/>
      <c r="N2882" s="36"/>
      <c r="O2882" s="36"/>
      <c r="P2882" s="36"/>
      <c r="Q2882" s="36"/>
      <c r="R2882" s="36"/>
      <c r="S2882" s="36"/>
      <c r="T2882" s="36"/>
      <c r="U2882" s="36">
        <v>400</v>
      </c>
      <c r="V2882" s="36"/>
      <c r="W2882" s="15">
        <f t="shared" si="132"/>
        <v>400</v>
      </c>
      <c r="X2882" s="36"/>
      <c r="Y2882" s="36"/>
      <c r="Z2882" s="36"/>
      <c r="AA2882" s="36"/>
      <c r="AB2882" s="36"/>
      <c r="AC2882" s="36"/>
      <c r="AD2882" s="36"/>
      <c r="AE2882" s="36"/>
      <c r="AF2882" s="36"/>
      <c r="AG2882" s="36"/>
      <c r="AH2882" s="36"/>
      <c r="AI2882" s="36"/>
      <c r="AJ2882" s="15">
        <f t="shared" si="133"/>
        <v>0</v>
      </c>
      <c r="AK2882" s="16"/>
    </row>
    <row r="2883" spans="2:37" x14ac:dyDescent="0.2">
      <c r="B2883" s="7"/>
      <c r="C2883" s="8">
        <v>13422</v>
      </c>
      <c r="D2883" s="9" t="s">
        <v>458</v>
      </c>
      <c r="E2883" s="10" t="str">
        <f t="shared" si="136"/>
        <v>Rancho Estanzuela No. 143, B</v>
      </c>
      <c r="F2883" s="10" t="str">
        <f t="shared" si="137"/>
        <v>López</v>
      </c>
      <c r="G2883" s="8">
        <v>4</v>
      </c>
      <c r="H2883" s="11">
        <v>200</v>
      </c>
      <c r="I2883" s="12">
        <v>42715</v>
      </c>
      <c r="J2883" s="35">
        <f t="shared" si="131"/>
        <v>0</v>
      </c>
      <c r="K2883" s="36"/>
      <c r="L2883" s="36"/>
      <c r="M2883" s="36"/>
      <c r="N2883" s="36"/>
      <c r="O2883" s="36"/>
      <c r="P2883" s="36"/>
      <c r="Q2883" s="36"/>
      <c r="R2883" s="36"/>
      <c r="S2883" s="36"/>
      <c r="T2883" s="36"/>
      <c r="U2883" s="36"/>
      <c r="V2883" s="36"/>
      <c r="W2883" s="15">
        <f t="shared" si="132"/>
        <v>0</v>
      </c>
      <c r="X2883" s="36"/>
      <c r="Y2883" s="36"/>
      <c r="Z2883" s="36"/>
      <c r="AA2883" s="36"/>
      <c r="AB2883" s="36"/>
      <c r="AC2883" s="36"/>
      <c r="AD2883" s="36"/>
      <c r="AE2883" s="36"/>
      <c r="AF2883" s="36"/>
      <c r="AG2883" s="36"/>
      <c r="AH2883" s="36"/>
      <c r="AI2883" s="36"/>
      <c r="AJ2883" s="15">
        <f t="shared" si="133"/>
        <v>0</v>
      </c>
      <c r="AK2883" s="16" t="s">
        <v>3215</v>
      </c>
    </row>
    <row r="2884" spans="2:37" x14ac:dyDescent="0.2">
      <c r="B2884" s="7"/>
      <c r="C2884" s="8">
        <v>13423</v>
      </c>
      <c r="D2884" s="9" t="s">
        <v>823</v>
      </c>
      <c r="E2884" s="10" t="str">
        <f t="shared" si="136"/>
        <v>Rancho La Cuchilla No. 122</v>
      </c>
      <c r="F2884" s="10" t="str">
        <f t="shared" si="137"/>
        <v>Mendoza</v>
      </c>
      <c r="G2884" s="8">
        <v>5</v>
      </c>
      <c r="H2884" s="11">
        <v>50</v>
      </c>
      <c r="I2884" s="12">
        <v>42715</v>
      </c>
      <c r="J2884" s="35">
        <f t="shared" si="131"/>
        <v>0</v>
      </c>
      <c r="K2884" s="36"/>
      <c r="L2884" s="36"/>
      <c r="M2884" s="36"/>
      <c r="N2884" s="36"/>
      <c r="O2884" s="36"/>
      <c r="P2884" s="36"/>
      <c r="Q2884" s="36"/>
      <c r="R2884" s="36"/>
      <c r="S2884" s="36"/>
      <c r="T2884" s="36"/>
      <c r="U2884" s="36"/>
      <c r="V2884" s="36"/>
      <c r="W2884" s="15">
        <f t="shared" si="132"/>
        <v>0</v>
      </c>
      <c r="X2884" s="36"/>
      <c r="Y2884" s="36"/>
      <c r="Z2884" s="36"/>
      <c r="AA2884" s="36"/>
      <c r="AB2884" s="36"/>
      <c r="AC2884" s="36"/>
      <c r="AD2884" s="36"/>
      <c r="AE2884" s="36"/>
      <c r="AF2884" s="36"/>
      <c r="AG2884" s="36"/>
      <c r="AH2884" s="36"/>
      <c r="AI2884" s="36"/>
      <c r="AJ2884" s="15">
        <f t="shared" si="133"/>
        <v>0</v>
      </c>
      <c r="AK2884" s="16"/>
    </row>
    <row r="2885" spans="2:37" x14ac:dyDescent="0.2">
      <c r="B2885" s="7"/>
      <c r="C2885" s="8">
        <v>13424</v>
      </c>
      <c r="D2885" s="9" t="s">
        <v>708</v>
      </c>
      <c r="E2885" s="10" t="str">
        <f t="shared" si="136"/>
        <v>Rancho Landero No. 21</v>
      </c>
      <c r="F2885" s="10" t="str">
        <f t="shared" si="137"/>
        <v>Meza</v>
      </c>
      <c r="G2885" s="8">
        <v>1</v>
      </c>
      <c r="H2885" s="11">
        <v>800</v>
      </c>
      <c r="I2885" s="12">
        <v>42715</v>
      </c>
      <c r="J2885" s="35">
        <f t="shared" si="131"/>
        <v>0</v>
      </c>
      <c r="K2885" s="36"/>
      <c r="L2885" s="36"/>
      <c r="M2885" s="36"/>
      <c r="N2885" s="36"/>
      <c r="O2885" s="36"/>
      <c r="P2885" s="36"/>
      <c r="Q2885" s="36"/>
      <c r="R2885" s="36"/>
      <c r="S2885" s="36"/>
      <c r="T2885" s="36"/>
      <c r="U2885" s="36">
        <v>400</v>
      </c>
      <c r="V2885" s="36">
        <v>400</v>
      </c>
      <c r="W2885" s="15">
        <f t="shared" si="132"/>
        <v>800</v>
      </c>
      <c r="X2885" s="36"/>
      <c r="Y2885" s="36"/>
      <c r="Z2885" s="36"/>
      <c r="AA2885" s="36"/>
      <c r="AB2885" s="36"/>
      <c r="AC2885" s="36"/>
      <c r="AD2885" s="36"/>
      <c r="AE2885" s="36"/>
      <c r="AF2885" s="36"/>
      <c r="AG2885" s="36"/>
      <c r="AH2885" s="36"/>
      <c r="AI2885" s="36"/>
      <c r="AJ2885" s="15">
        <f t="shared" si="133"/>
        <v>0</v>
      </c>
      <c r="AK2885" s="16"/>
    </row>
    <row r="2886" spans="2:37" x14ac:dyDescent="0.2">
      <c r="B2886" s="7"/>
      <c r="C2886" s="8">
        <v>13425</v>
      </c>
      <c r="D2886" s="9" t="s">
        <v>1181</v>
      </c>
      <c r="E2886" s="10" t="str">
        <f t="shared" si="136"/>
        <v>Rancho Upácuaro No. 31</v>
      </c>
      <c r="F2886" s="10" t="str">
        <f t="shared" si="137"/>
        <v>Gallardo Ávila</v>
      </c>
      <c r="G2886" s="8">
        <v>1</v>
      </c>
      <c r="H2886" s="11">
        <v>200</v>
      </c>
      <c r="I2886" s="12">
        <v>42715</v>
      </c>
      <c r="J2886" s="35">
        <f t="shared" si="131"/>
        <v>0</v>
      </c>
      <c r="K2886" s="36"/>
      <c r="L2886" s="36"/>
      <c r="M2886" s="36"/>
      <c r="N2886" s="36"/>
      <c r="O2886" s="36"/>
      <c r="P2886" s="36"/>
      <c r="Q2886" s="36"/>
      <c r="R2886" s="36"/>
      <c r="S2886" s="36"/>
      <c r="T2886" s="36"/>
      <c r="U2886" s="36"/>
      <c r="V2886" s="36">
        <v>200</v>
      </c>
      <c r="W2886" s="15">
        <f t="shared" si="132"/>
        <v>200</v>
      </c>
      <c r="X2886" s="36"/>
      <c r="Y2886" s="36"/>
      <c r="Z2886" s="36"/>
      <c r="AA2886" s="36"/>
      <c r="AB2886" s="36"/>
      <c r="AC2886" s="36"/>
      <c r="AD2886" s="36"/>
      <c r="AE2886" s="36"/>
      <c r="AF2886" s="36"/>
      <c r="AG2886" s="36"/>
      <c r="AH2886" s="36"/>
      <c r="AI2886" s="36"/>
      <c r="AJ2886" s="15">
        <f t="shared" si="133"/>
        <v>0</v>
      </c>
      <c r="AK2886" s="16"/>
    </row>
    <row r="2887" spans="2:37" x14ac:dyDescent="0.2">
      <c r="B2887" s="7"/>
      <c r="C2887" s="8">
        <v>13426</v>
      </c>
      <c r="D2887" s="9" t="s">
        <v>957</v>
      </c>
      <c r="E2887" s="10" t="str">
        <f t="shared" si="136"/>
        <v>Rancho La Cuchilla No. 148</v>
      </c>
      <c r="F2887" s="10" t="str">
        <f t="shared" si="137"/>
        <v>Vázquez Vázquez</v>
      </c>
      <c r="G2887" s="8">
        <v>1</v>
      </c>
      <c r="H2887" s="11">
        <v>1600</v>
      </c>
      <c r="I2887" s="12">
        <v>42715</v>
      </c>
      <c r="J2887" s="35">
        <f t="shared" si="131"/>
        <v>0</v>
      </c>
      <c r="K2887" s="36"/>
      <c r="L2887" s="36"/>
      <c r="M2887" s="36"/>
      <c r="N2887" s="36"/>
      <c r="O2887" s="36"/>
      <c r="P2887" s="36"/>
      <c r="Q2887" s="36"/>
      <c r="R2887" s="36"/>
      <c r="S2887" s="36">
        <v>400</v>
      </c>
      <c r="T2887" s="36">
        <v>400</v>
      </c>
      <c r="U2887" s="36">
        <v>400</v>
      </c>
      <c r="V2887" s="36">
        <v>400</v>
      </c>
      <c r="W2887" s="15">
        <f t="shared" si="132"/>
        <v>1600</v>
      </c>
      <c r="X2887" s="36"/>
      <c r="Y2887" s="36"/>
      <c r="Z2887" s="36"/>
      <c r="AA2887" s="36"/>
      <c r="AB2887" s="36"/>
      <c r="AC2887" s="36"/>
      <c r="AD2887" s="36"/>
      <c r="AE2887" s="36"/>
      <c r="AF2887" s="36"/>
      <c r="AG2887" s="36"/>
      <c r="AH2887" s="36"/>
      <c r="AI2887" s="36"/>
      <c r="AJ2887" s="15">
        <f t="shared" si="133"/>
        <v>0</v>
      </c>
      <c r="AK2887" s="16"/>
    </row>
    <row r="2888" spans="2:37" x14ac:dyDescent="0.2">
      <c r="B2888" s="7"/>
      <c r="C2888" s="8">
        <v>13427</v>
      </c>
      <c r="D2888" s="9" t="s">
        <v>310</v>
      </c>
      <c r="E2888" s="10" t="str">
        <f t="shared" si="136"/>
        <v>Rancho Recoveco No. 181</v>
      </c>
      <c r="F2888" s="10" t="str">
        <f t="shared" si="137"/>
        <v>Castillo</v>
      </c>
      <c r="G2888" s="8">
        <v>1</v>
      </c>
      <c r="H2888" s="11">
        <v>400</v>
      </c>
      <c r="I2888" s="12">
        <v>42715</v>
      </c>
      <c r="J2888" s="35">
        <f t="shared" si="131"/>
        <v>0</v>
      </c>
      <c r="K2888" s="36"/>
      <c r="L2888" s="36"/>
      <c r="M2888" s="36"/>
      <c r="N2888" s="36"/>
      <c r="O2888" s="36"/>
      <c r="P2888" s="36"/>
      <c r="Q2888" s="36"/>
      <c r="R2888" s="36"/>
      <c r="S2888" s="36"/>
      <c r="T2888" s="36"/>
      <c r="U2888" s="36"/>
      <c r="V2888" s="36">
        <v>400</v>
      </c>
      <c r="W2888" s="15">
        <f t="shared" si="132"/>
        <v>400</v>
      </c>
      <c r="X2888" s="36"/>
      <c r="Y2888" s="36"/>
      <c r="Z2888" s="36"/>
      <c r="AA2888" s="36"/>
      <c r="AB2888" s="36"/>
      <c r="AC2888" s="36"/>
      <c r="AD2888" s="36"/>
      <c r="AE2888" s="36"/>
      <c r="AF2888" s="36"/>
      <c r="AG2888" s="36"/>
      <c r="AH2888" s="36"/>
      <c r="AI2888" s="36"/>
      <c r="AJ2888" s="15">
        <f t="shared" si="133"/>
        <v>0</v>
      </c>
      <c r="AK2888" s="16"/>
    </row>
    <row r="2889" spans="2:37" x14ac:dyDescent="0.2">
      <c r="B2889" s="7"/>
      <c r="C2889" s="8">
        <v>13428</v>
      </c>
      <c r="D2889" s="9" t="s">
        <v>180</v>
      </c>
      <c r="E2889" s="10" t="str">
        <f t="shared" si="136"/>
        <v>Rancho Landero No. 80</v>
      </c>
      <c r="F2889" s="10" t="str">
        <f t="shared" si="137"/>
        <v>Villaseñor Sánchez</v>
      </c>
      <c r="G2889" s="8">
        <v>1</v>
      </c>
      <c r="H2889" s="11">
        <v>400</v>
      </c>
      <c r="I2889" s="12">
        <v>42715</v>
      </c>
      <c r="J2889" s="35">
        <f t="shared" si="131"/>
        <v>0</v>
      </c>
      <c r="K2889" s="36"/>
      <c r="L2889" s="36"/>
      <c r="M2889" s="36"/>
      <c r="N2889" s="36"/>
      <c r="O2889" s="36"/>
      <c r="P2889" s="36"/>
      <c r="Q2889" s="36"/>
      <c r="R2889" s="36"/>
      <c r="S2889" s="36"/>
      <c r="T2889" s="36"/>
      <c r="U2889" s="36"/>
      <c r="V2889" s="36">
        <v>400</v>
      </c>
      <c r="W2889" s="15">
        <f t="shared" si="132"/>
        <v>400</v>
      </c>
      <c r="X2889" s="36"/>
      <c r="Y2889" s="36"/>
      <c r="Z2889" s="36"/>
      <c r="AA2889" s="36"/>
      <c r="AB2889" s="36"/>
      <c r="AC2889" s="36"/>
      <c r="AD2889" s="36"/>
      <c r="AE2889" s="36"/>
      <c r="AF2889" s="36"/>
      <c r="AG2889" s="36"/>
      <c r="AH2889" s="36"/>
      <c r="AI2889" s="36"/>
      <c r="AJ2889" s="15">
        <f t="shared" si="133"/>
        <v>0</v>
      </c>
      <c r="AK2889" s="16"/>
    </row>
    <row r="2890" spans="2:37" x14ac:dyDescent="0.2">
      <c r="B2890" s="7"/>
      <c r="C2890" s="8">
        <v>13429</v>
      </c>
      <c r="D2890" s="9" t="s">
        <v>235</v>
      </c>
      <c r="E2890" s="10" t="str">
        <f t="shared" si="136"/>
        <v>Rancho La Cuchilla No. 43, A</v>
      </c>
      <c r="F2890" s="10" t="str">
        <f t="shared" si="137"/>
        <v>De la Rosa</v>
      </c>
      <c r="G2890" s="8">
        <v>1</v>
      </c>
      <c r="H2890" s="11">
        <v>800</v>
      </c>
      <c r="I2890" s="12">
        <v>42715</v>
      </c>
      <c r="J2890" s="35">
        <f t="shared" si="131"/>
        <v>0</v>
      </c>
      <c r="K2890" s="36"/>
      <c r="L2890" s="36"/>
      <c r="M2890" s="36"/>
      <c r="N2890" s="36"/>
      <c r="O2890" s="36"/>
      <c r="P2890" s="36"/>
      <c r="Q2890" s="36"/>
      <c r="R2890" s="36"/>
      <c r="S2890" s="36"/>
      <c r="T2890" s="36">
        <v>400</v>
      </c>
      <c r="U2890" s="36">
        <v>400</v>
      </c>
      <c r="V2890" s="36"/>
      <c r="W2890" s="15">
        <f t="shared" si="132"/>
        <v>800</v>
      </c>
      <c r="X2890" s="36"/>
      <c r="Y2890" s="36"/>
      <c r="Z2890" s="36"/>
      <c r="AA2890" s="36"/>
      <c r="AB2890" s="36"/>
      <c r="AC2890" s="36"/>
      <c r="AD2890" s="36"/>
      <c r="AE2890" s="36"/>
      <c r="AF2890" s="36"/>
      <c r="AG2890" s="36"/>
      <c r="AH2890" s="36"/>
      <c r="AI2890" s="36"/>
      <c r="AJ2890" s="15">
        <f t="shared" si="133"/>
        <v>0</v>
      </c>
      <c r="AK2890" s="16"/>
    </row>
    <row r="2891" spans="2:37" x14ac:dyDescent="0.2">
      <c r="B2891" s="7"/>
      <c r="C2891" s="8">
        <v>13430</v>
      </c>
      <c r="D2891" s="9" t="s">
        <v>112</v>
      </c>
      <c r="E2891" s="10" t="str">
        <f t="shared" si="136"/>
        <v>Rancho Estanzuela No. 129</v>
      </c>
      <c r="F2891" s="10" t="str">
        <f t="shared" si="137"/>
        <v>Sta. María Mendoza</v>
      </c>
      <c r="G2891" s="8">
        <v>1</v>
      </c>
      <c r="H2891" s="11">
        <v>250</v>
      </c>
      <c r="I2891" s="12">
        <v>42715</v>
      </c>
      <c r="J2891" s="35">
        <f t="shared" si="131"/>
        <v>0</v>
      </c>
      <c r="K2891" s="36"/>
      <c r="L2891" s="36"/>
      <c r="M2891" s="36"/>
      <c r="N2891" s="36"/>
      <c r="O2891" s="36"/>
      <c r="P2891" s="36"/>
      <c r="Q2891" s="36"/>
      <c r="R2891" s="36"/>
      <c r="S2891" s="36"/>
      <c r="T2891" s="36"/>
      <c r="U2891" s="36"/>
      <c r="V2891" s="36">
        <v>250</v>
      </c>
      <c r="W2891" s="15">
        <f t="shared" si="132"/>
        <v>250</v>
      </c>
      <c r="X2891" s="36"/>
      <c r="Y2891" s="36"/>
      <c r="Z2891" s="36"/>
      <c r="AA2891" s="36"/>
      <c r="AB2891" s="36"/>
      <c r="AC2891" s="36"/>
      <c r="AD2891" s="36"/>
      <c r="AE2891" s="36"/>
      <c r="AF2891" s="36"/>
      <c r="AG2891" s="36"/>
      <c r="AH2891" s="36"/>
      <c r="AI2891" s="36"/>
      <c r="AJ2891" s="15">
        <f t="shared" si="133"/>
        <v>0</v>
      </c>
      <c r="AK2891" s="16"/>
    </row>
    <row r="2892" spans="2:37" x14ac:dyDescent="0.2">
      <c r="B2892" s="7"/>
      <c r="C2892" s="8">
        <v>13431</v>
      </c>
      <c r="D2892" s="9" t="s">
        <v>737</v>
      </c>
      <c r="E2892" s="10" t="str">
        <f t="shared" si="136"/>
        <v>Rancho Romeral No. 9, A</v>
      </c>
      <c r="F2892" s="10" t="str">
        <f t="shared" si="137"/>
        <v>Quiñones Hernández</v>
      </c>
      <c r="G2892" s="8">
        <v>1</v>
      </c>
      <c r="H2892" s="11">
        <v>800</v>
      </c>
      <c r="I2892" s="12">
        <v>42715</v>
      </c>
      <c r="J2892" s="35">
        <f t="shared" si="131"/>
        <v>0</v>
      </c>
      <c r="K2892" s="36"/>
      <c r="L2892" s="36"/>
      <c r="M2892" s="36"/>
      <c r="N2892" s="36"/>
      <c r="O2892" s="36"/>
      <c r="P2892" s="36"/>
      <c r="Q2892" s="36"/>
      <c r="R2892" s="36"/>
      <c r="S2892" s="36"/>
      <c r="T2892" s="36">
        <v>400</v>
      </c>
      <c r="U2892" s="36">
        <v>400</v>
      </c>
      <c r="V2892" s="36"/>
      <c r="W2892" s="15">
        <f t="shared" si="132"/>
        <v>800</v>
      </c>
      <c r="X2892" s="36"/>
      <c r="Y2892" s="36"/>
      <c r="Z2892" s="36"/>
      <c r="AA2892" s="36"/>
      <c r="AB2892" s="36"/>
      <c r="AC2892" s="36"/>
      <c r="AD2892" s="36"/>
      <c r="AE2892" s="36"/>
      <c r="AF2892" s="36"/>
      <c r="AG2892" s="36"/>
      <c r="AH2892" s="36"/>
      <c r="AI2892" s="36"/>
      <c r="AJ2892" s="15">
        <f t="shared" si="133"/>
        <v>0</v>
      </c>
      <c r="AK2892" s="16"/>
    </row>
    <row r="2893" spans="2:37" x14ac:dyDescent="0.2">
      <c r="B2893" s="7"/>
      <c r="C2893" s="8">
        <v>13432</v>
      </c>
      <c r="D2893" s="9" t="s">
        <v>1267</v>
      </c>
      <c r="E2893" s="10" t="str">
        <f t="shared" si="136"/>
        <v>Rancho La Cuchilla No. 31</v>
      </c>
      <c r="F2893" s="10" t="str">
        <f t="shared" si="137"/>
        <v>Lince</v>
      </c>
      <c r="G2893" s="8">
        <v>5</v>
      </c>
      <c r="H2893" s="11">
        <v>50</v>
      </c>
      <c r="I2893" s="12">
        <v>42715</v>
      </c>
      <c r="J2893" s="35">
        <f t="shared" si="131"/>
        <v>0</v>
      </c>
      <c r="K2893" s="36"/>
      <c r="L2893" s="36"/>
      <c r="M2893" s="36"/>
      <c r="N2893" s="36"/>
      <c r="O2893" s="36"/>
      <c r="P2893" s="36"/>
      <c r="Q2893" s="36"/>
      <c r="R2893" s="36"/>
      <c r="S2893" s="36"/>
      <c r="T2893" s="36"/>
      <c r="U2893" s="36"/>
      <c r="V2893" s="36"/>
      <c r="W2893" s="15">
        <f t="shared" si="132"/>
        <v>0</v>
      </c>
      <c r="X2893" s="36"/>
      <c r="Y2893" s="36"/>
      <c r="Z2893" s="36"/>
      <c r="AA2893" s="36"/>
      <c r="AB2893" s="36"/>
      <c r="AC2893" s="36"/>
      <c r="AD2893" s="36"/>
      <c r="AE2893" s="36"/>
      <c r="AF2893" s="36"/>
      <c r="AG2893" s="36"/>
      <c r="AH2893" s="36"/>
      <c r="AI2893" s="36"/>
      <c r="AJ2893" s="15">
        <f t="shared" si="133"/>
        <v>0</v>
      </c>
      <c r="AK2893" s="16"/>
    </row>
    <row r="2894" spans="2:37" x14ac:dyDescent="0.2">
      <c r="B2894" s="7"/>
      <c r="C2894" s="8">
        <v>13433</v>
      </c>
      <c r="D2894" s="9" t="s">
        <v>550</v>
      </c>
      <c r="E2894" s="10" t="str">
        <f t="shared" si="136"/>
        <v>Rancho Landero No. 89</v>
      </c>
      <c r="F2894" s="10" t="str">
        <f t="shared" si="137"/>
        <v>Del Pozo Solís</v>
      </c>
      <c r="G2894" s="8">
        <v>1</v>
      </c>
      <c r="H2894" s="11">
        <v>600</v>
      </c>
      <c r="I2894" s="12">
        <v>42715</v>
      </c>
      <c r="J2894" s="35">
        <f t="shared" si="131"/>
        <v>0</v>
      </c>
      <c r="K2894" s="36"/>
      <c r="L2894" s="36"/>
      <c r="M2894" s="36"/>
      <c r="N2894" s="36"/>
      <c r="O2894" s="36"/>
      <c r="P2894" s="36"/>
      <c r="Q2894" s="36"/>
      <c r="R2894" s="36"/>
      <c r="S2894" s="36">
        <v>200</v>
      </c>
      <c r="T2894" s="36">
        <v>200</v>
      </c>
      <c r="U2894" s="36"/>
      <c r="V2894" s="36">
        <v>200</v>
      </c>
      <c r="W2894" s="15">
        <f t="shared" si="132"/>
        <v>600</v>
      </c>
      <c r="X2894" s="36"/>
      <c r="Y2894" s="36"/>
      <c r="Z2894" s="36"/>
      <c r="AA2894" s="36"/>
      <c r="AB2894" s="36"/>
      <c r="AC2894" s="36"/>
      <c r="AD2894" s="36"/>
      <c r="AE2894" s="36"/>
      <c r="AF2894" s="36"/>
      <c r="AG2894" s="36"/>
      <c r="AH2894" s="36"/>
      <c r="AI2894" s="36"/>
      <c r="AJ2894" s="15">
        <f t="shared" si="133"/>
        <v>0</v>
      </c>
      <c r="AK2894" s="322">
        <f>SUM(H2849:H2894)</f>
        <v>25400</v>
      </c>
    </row>
    <row r="2895" spans="2:37" x14ac:dyDescent="0.2">
      <c r="B2895" s="7"/>
      <c r="C2895" s="8">
        <v>13434</v>
      </c>
      <c r="D2895" s="9" t="s">
        <v>611</v>
      </c>
      <c r="E2895" s="10" t="str">
        <f t="shared" si="136"/>
        <v>Rancho Estanzuela No. 47</v>
      </c>
      <c r="F2895" s="10" t="str">
        <f t="shared" si="137"/>
        <v>Bussey García</v>
      </c>
      <c r="G2895" s="8">
        <v>1</v>
      </c>
      <c r="H2895" s="321">
        <v>400</v>
      </c>
      <c r="I2895" s="12">
        <v>42716</v>
      </c>
      <c r="J2895" s="35">
        <f t="shared" si="131"/>
        <v>0</v>
      </c>
      <c r="K2895" s="36"/>
      <c r="L2895" s="36"/>
      <c r="M2895" s="36"/>
      <c r="N2895" s="36"/>
      <c r="O2895" s="36"/>
      <c r="P2895" s="36"/>
      <c r="Q2895" s="36"/>
      <c r="R2895" s="36"/>
      <c r="S2895" s="36"/>
      <c r="T2895" s="36"/>
      <c r="U2895" s="36"/>
      <c r="V2895" s="36">
        <v>400</v>
      </c>
      <c r="W2895" s="15">
        <f t="shared" si="132"/>
        <v>400</v>
      </c>
      <c r="X2895" s="36"/>
      <c r="Y2895" s="36"/>
      <c r="Z2895" s="36"/>
      <c r="AA2895" s="36"/>
      <c r="AB2895" s="36"/>
      <c r="AC2895" s="36"/>
      <c r="AD2895" s="36"/>
      <c r="AE2895" s="36"/>
      <c r="AF2895" s="36"/>
      <c r="AG2895" s="36"/>
      <c r="AH2895" s="36"/>
      <c r="AI2895" s="36"/>
      <c r="AJ2895" s="15">
        <f t="shared" si="133"/>
        <v>0</v>
      </c>
      <c r="AK2895" s="16"/>
    </row>
    <row r="2896" spans="2:37" x14ac:dyDescent="0.2">
      <c r="B2896" s="7"/>
      <c r="C2896" s="8">
        <v>13435</v>
      </c>
      <c r="D2896" s="9" t="s">
        <v>202</v>
      </c>
      <c r="E2896" s="10" t="str">
        <f t="shared" si="136"/>
        <v>Rancho Estanzuela No. 25</v>
      </c>
      <c r="F2896" s="10" t="str">
        <f t="shared" si="137"/>
        <v>Contreras Figueroa</v>
      </c>
      <c r="G2896" s="8">
        <v>1</v>
      </c>
      <c r="H2896" s="11">
        <v>400</v>
      </c>
      <c r="I2896" s="12">
        <v>42717</v>
      </c>
      <c r="J2896" s="35">
        <f t="shared" si="131"/>
        <v>0</v>
      </c>
      <c r="K2896" s="36"/>
      <c r="L2896" s="36"/>
      <c r="M2896" s="36"/>
      <c r="N2896" s="36"/>
      <c r="O2896" s="36"/>
      <c r="P2896" s="36"/>
      <c r="Q2896" s="36"/>
      <c r="R2896" s="36"/>
      <c r="S2896" s="36"/>
      <c r="T2896" s="36"/>
      <c r="U2896" s="36"/>
      <c r="V2896" s="36">
        <v>400</v>
      </c>
      <c r="W2896" s="15">
        <f t="shared" si="132"/>
        <v>400</v>
      </c>
      <c r="X2896" s="36"/>
      <c r="Y2896" s="36"/>
      <c r="Z2896" s="36"/>
      <c r="AA2896" s="36"/>
      <c r="AB2896" s="36"/>
      <c r="AC2896" s="36"/>
      <c r="AD2896" s="36"/>
      <c r="AE2896" s="36"/>
      <c r="AF2896" s="36"/>
      <c r="AG2896" s="36"/>
      <c r="AH2896" s="36"/>
      <c r="AI2896" s="36"/>
      <c r="AJ2896" s="15">
        <f t="shared" si="133"/>
        <v>0</v>
      </c>
      <c r="AK2896" s="16"/>
    </row>
    <row r="2897" spans="2:38" x14ac:dyDescent="0.2">
      <c r="B2897" s="7"/>
      <c r="C2897" s="8">
        <v>13436</v>
      </c>
      <c r="D2897" s="9" t="s">
        <v>205</v>
      </c>
      <c r="E2897" s="10" t="str">
        <f t="shared" si="136"/>
        <v>Rancho Landero No. 1, A</v>
      </c>
      <c r="F2897" s="10" t="str">
        <f t="shared" si="137"/>
        <v>Ebysos</v>
      </c>
      <c r="G2897" s="8">
        <v>1</v>
      </c>
      <c r="H2897" s="11">
        <v>600</v>
      </c>
      <c r="I2897" s="12">
        <v>42719</v>
      </c>
      <c r="J2897" s="35">
        <f t="shared" si="131"/>
        <v>0</v>
      </c>
      <c r="K2897" s="36"/>
      <c r="L2897" s="36"/>
      <c r="M2897" s="36"/>
      <c r="N2897" s="36"/>
      <c r="O2897" s="36"/>
      <c r="P2897" s="36"/>
      <c r="Q2897" s="36"/>
      <c r="R2897" s="36"/>
      <c r="S2897" s="36"/>
      <c r="T2897" s="36"/>
      <c r="U2897" s="36"/>
      <c r="V2897" s="36">
        <v>600</v>
      </c>
      <c r="W2897" s="15">
        <f t="shared" si="132"/>
        <v>600</v>
      </c>
      <c r="X2897" s="36"/>
      <c r="Y2897" s="36"/>
      <c r="Z2897" s="36"/>
      <c r="AA2897" s="36"/>
      <c r="AB2897" s="36"/>
      <c r="AC2897" s="36"/>
      <c r="AD2897" s="36"/>
      <c r="AE2897" s="36"/>
      <c r="AF2897" s="36"/>
      <c r="AG2897" s="36"/>
      <c r="AH2897" s="36"/>
      <c r="AI2897" s="36"/>
      <c r="AJ2897" s="15">
        <f t="shared" si="133"/>
        <v>0</v>
      </c>
      <c r="AK2897" s="16"/>
    </row>
    <row r="2898" spans="2:38" x14ac:dyDescent="0.2">
      <c r="B2898" s="7"/>
      <c r="C2898" s="8">
        <v>13437</v>
      </c>
      <c r="D2898" s="9" t="s">
        <v>1029</v>
      </c>
      <c r="E2898" s="10" t="str">
        <f t="shared" si="136"/>
        <v>Rancho La Cuchilla No. 134</v>
      </c>
      <c r="F2898" s="10" t="str">
        <f t="shared" si="137"/>
        <v>Moreno Sánchez</v>
      </c>
      <c r="G2898" s="8">
        <v>1</v>
      </c>
      <c r="H2898" s="11">
        <v>800</v>
      </c>
      <c r="I2898" s="12">
        <v>42719</v>
      </c>
      <c r="J2898" s="35">
        <f t="shared" si="131"/>
        <v>0</v>
      </c>
      <c r="K2898" s="36"/>
      <c r="L2898" s="36"/>
      <c r="M2898" s="36"/>
      <c r="N2898" s="36"/>
      <c r="O2898" s="36"/>
      <c r="P2898" s="36"/>
      <c r="Q2898" s="36"/>
      <c r="R2898" s="36"/>
      <c r="S2898" s="36"/>
      <c r="T2898" s="36"/>
      <c r="U2898" s="36">
        <v>400</v>
      </c>
      <c r="V2898" s="36">
        <v>400</v>
      </c>
      <c r="W2898" s="15">
        <f t="shared" si="132"/>
        <v>800</v>
      </c>
      <c r="X2898" s="36"/>
      <c r="Y2898" s="36"/>
      <c r="Z2898" s="36"/>
      <c r="AA2898" s="36"/>
      <c r="AB2898" s="36"/>
      <c r="AC2898" s="36"/>
      <c r="AD2898" s="36"/>
      <c r="AE2898" s="36"/>
      <c r="AF2898" s="36"/>
      <c r="AG2898" s="36"/>
      <c r="AH2898" s="36"/>
      <c r="AI2898" s="36"/>
      <c r="AJ2898" s="15">
        <f t="shared" si="133"/>
        <v>0</v>
      </c>
      <c r="AK2898" s="16"/>
      <c r="AL2898" t="s">
        <v>3295</v>
      </c>
    </row>
    <row r="2899" spans="2:38" x14ac:dyDescent="0.2">
      <c r="B2899" s="7"/>
      <c r="C2899" s="8">
        <v>13437</v>
      </c>
      <c r="D2899" s="9" t="s">
        <v>1029</v>
      </c>
      <c r="E2899" s="10" t="str">
        <f t="shared" si="136"/>
        <v>Rancho La Cuchilla No. 134</v>
      </c>
      <c r="F2899" s="10" t="str">
        <f t="shared" si="137"/>
        <v>Moreno Sánchez</v>
      </c>
      <c r="G2899" s="8">
        <v>5</v>
      </c>
      <c r="H2899" s="11">
        <v>50</v>
      </c>
      <c r="I2899" s="12">
        <v>42719</v>
      </c>
      <c r="J2899" s="35">
        <f t="shared" si="131"/>
        <v>0</v>
      </c>
      <c r="K2899" s="36"/>
      <c r="L2899" s="36"/>
      <c r="M2899" s="36"/>
      <c r="N2899" s="36"/>
      <c r="O2899" s="36"/>
      <c r="P2899" s="36"/>
      <c r="Q2899" s="36"/>
      <c r="R2899" s="36"/>
      <c r="S2899" s="36"/>
      <c r="T2899" s="36"/>
      <c r="U2899" s="36"/>
      <c r="V2899" s="36"/>
      <c r="W2899" s="15">
        <f t="shared" si="132"/>
        <v>0</v>
      </c>
      <c r="X2899" s="36"/>
      <c r="Y2899" s="36"/>
      <c r="Z2899" s="36"/>
      <c r="AA2899" s="36"/>
      <c r="AB2899" s="36"/>
      <c r="AC2899" s="36"/>
      <c r="AD2899" s="36"/>
      <c r="AE2899" s="36"/>
      <c r="AF2899" s="36"/>
      <c r="AG2899" s="36"/>
      <c r="AH2899" s="36"/>
      <c r="AI2899" s="36"/>
      <c r="AJ2899" s="15">
        <f t="shared" si="133"/>
        <v>0</v>
      </c>
      <c r="AK2899" s="16"/>
    </row>
    <row r="2900" spans="2:38" x14ac:dyDescent="0.2">
      <c r="B2900" s="7"/>
      <c r="C2900" s="8">
        <v>13438</v>
      </c>
      <c r="D2900" s="9" t="s">
        <v>899</v>
      </c>
      <c r="E2900" s="10" t="str">
        <f t="shared" si="136"/>
        <v>Rancho Landero No. 8</v>
      </c>
      <c r="F2900" s="10" t="str">
        <f t="shared" si="137"/>
        <v>Garces Suarez</v>
      </c>
      <c r="G2900" s="8">
        <v>1</v>
      </c>
      <c r="H2900" s="11">
        <v>800</v>
      </c>
      <c r="I2900" s="12">
        <v>42719</v>
      </c>
      <c r="J2900" s="35">
        <f t="shared" si="131"/>
        <v>0</v>
      </c>
      <c r="K2900" s="36"/>
      <c r="L2900" s="36"/>
      <c r="M2900" s="36"/>
      <c r="N2900" s="36"/>
      <c r="O2900" s="36"/>
      <c r="P2900" s="36"/>
      <c r="Q2900" s="36"/>
      <c r="R2900" s="36"/>
      <c r="S2900" s="36"/>
      <c r="T2900" s="36"/>
      <c r="U2900" s="36"/>
      <c r="V2900" s="36">
        <v>400</v>
      </c>
      <c r="W2900" s="15">
        <f t="shared" si="132"/>
        <v>400</v>
      </c>
      <c r="X2900" s="36">
        <v>400</v>
      </c>
      <c r="Y2900" s="36"/>
      <c r="Z2900" s="36"/>
      <c r="AA2900" s="36"/>
      <c r="AB2900" s="36"/>
      <c r="AC2900" s="36"/>
      <c r="AD2900" s="36"/>
      <c r="AE2900" s="36"/>
      <c r="AF2900" s="36"/>
      <c r="AG2900" s="36"/>
      <c r="AH2900" s="36"/>
      <c r="AI2900" s="36"/>
      <c r="AJ2900" s="15">
        <f t="shared" si="133"/>
        <v>400</v>
      </c>
      <c r="AK2900" s="16"/>
    </row>
    <row r="2901" spans="2:38" x14ac:dyDescent="0.2">
      <c r="B2901" s="7"/>
      <c r="C2901" s="8">
        <v>13439</v>
      </c>
      <c r="D2901" s="9" t="s">
        <v>226</v>
      </c>
      <c r="E2901" s="10" t="str">
        <f t="shared" si="136"/>
        <v>Rancho Landero No. 31</v>
      </c>
      <c r="F2901" s="10" t="str">
        <f t="shared" si="137"/>
        <v>Díaz Hernández</v>
      </c>
      <c r="G2901" s="8">
        <v>1</v>
      </c>
      <c r="H2901" s="11">
        <v>200</v>
      </c>
      <c r="I2901" s="12">
        <v>42720</v>
      </c>
      <c r="J2901" s="35">
        <f t="shared" si="131"/>
        <v>0</v>
      </c>
      <c r="K2901" s="36"/>
      <c r="L2901" s="36"/>
      <c r="M2901" s="36"/>
      <c r="N2901" s="36"/>
      <c r="O2901" s="36"/>
      <c r="P2901" s="36"/>
      <c r="Q2901" s="36"/>
      <c r="R2901" s="36"/>
      <c r="S2901" s="36"/>
      <c r="T2901" s="36"/>
      <c r="U2901" s="36"/>
      <c r="V2901" s="36">
        <v>200</v>
      </c>
      <c r="W2901" s="15">
        <f t="shared" si="132"/>
        <v>200</v>
      </c>
      <c r="X2901" s="36"/>
      <c r="Y2901" s="36"/>
      <c r="Z2901" s="36"/>
      <c r="AA2901" s="36"/>
      <c r="AB2901" s="36"/>
      <c r="AC2901" s="36"/>
      <c r="AD2901" s="36"/>
      <c r="AE2901" s="36"/>
      <c r="AF2901" s="36"/>
      <c r="AG2901" s="36"/>
      <c r="AH2901" s="36"/>
      <c r="AI2901" s="36"/>
      <c r="AJ2901" s="15">
        <f t="shared" si="133"/>
        <v>0</v>
      </c>
      <c r="AK2901" s="16"/>
    </row>
    <row r="2902" spans="2:38" x14ac:dyDescent="0.2">
      <c r="B2902" s="7"/>
      <c r="C2902" s="8">
        <v>13440</v>
      </c>
      <c r="D2902" s="9" t="s">
        <v>517</v>
      </c>
      <c r="E2902" s="10" t="str">
        <f t="shared" si="136"/>
        <v>Rancho La Cuchilla No. 91</v>
      </c>
      <c r="F2902" s="10" t="str">
        <f t="shared" si="137"/>
        <v>Roldán Flores</v>
      </c>
      <c r="G2902" s="8">
        <v>1</v>
      </c>
      <c r="H2902" s="11">
        <v>4400</v>
      </c>
      <c r="I2902" s="12">
        <v>42720</v>
      </c>
      <c r="J2902" s="35">
        <f t="shared" si="131"/>
        <v>0</v>
      </c>
      <c r="K2902" s="36"/>
      <c r="L2902" s="36"/>
      <c r="M2902" s="36"/>
      <c r="N2902" s="36"/>
      <c r="O2902" s="36"/>
      <c r="P2902" s="36"/>
      <c r="Q2902" s="36"/>
      <c r="R2902" s="36"/>
      <c r="S2902" s="36"/>
      <c r="T2902" s="36"/>
      <c r="U2902" s="36"/>
      <c r="V2902" s="36"/>
      <c r="W2902" s="15">
        <f t="shared" si="132"/>
        <v>0</v>
      </c>
      <c r="X2902" s="36">
        <v>400</v>
      </c>
      <c r="Y2902" s="36">
        <v>400</v>
      </c>
      <c r="Z2902" s="36">
        <v>400</v>
      </c>
      <c r="AA2902" s="36">
        <v>400</v>
      </c>
      <c r="AB2902" s="36">
        <v>400</v>
      </c>
      <c r="AC2902" s="36">
        <v>400</v>
      </c>
      <c r="AD2902" s="36">
        <v>400</v>
      </c>
      <c r="AE2902" s="36">
        <v>400</v>
      </c>
      <c r="AF2902" s="36">
        <v>400</v>
      </c>
      <c r="AG2902" s="36">
        <v>400</v>
      </c>
      <c r="AH2902" s="36">
        <v>400</v>
      </c>
      <c r="AI2902" s="36"/>
      <c r="AJ2902" s="15">
        <f t="shared" si="133"/>
        <v>4400</v>
      </c>
      <c r="AK2902" s="16" t="s">
        <v>3188</v>
      </c>
    </row>
    <row r="2903" spans="2:38" x14ac:dyDescent="0.2">
      <c r="B2903" s="7"/>
      <c r="C2903" s="8">
        <v>13441</v>
      </c>
      <c r="D2903" s="9" t="s">
        <v>538</v>
      </c>
      <c r="E2903" s="10" t="str">
        <f t="shared" si="136"/>
        <v>Rancho Landero No. 73</v>
      </c>
      <c r="F2903" s="10" t="str">
        <f t="shared" si="137"/>
        <v>Islas Palacios</v>
      </c>
      <c r="G2903" s="8">
        <v>1</v>
      </c>
      <c r="H2903" s="11">
        <v>400</v>
      </c>
      <c r="I2903" s="12">
        <v>42720</v>
      </c>
      <c r="J2903" s="35">
        <f t="shared" si="131"/>
        <v>0</v>
      </c>
      <c r="K2903" s="36"/>
      <c r="L2903" s="36"/>
      <c r="M2903" s="36"/>
      <c r="N2903" s="36"/>
      <c r="O2903" s="36"/>
      <c r="P2903" s="36"/>
      <c r="Q2903" s="36"/>
      <c r="R2903" s="36"/>
      <c r="S2903" s="36"/>
      <c r="T2903" s="36"/>
      <c r="U2903" s="36"/>
      <c r="V2903" s="36">
        <v>400</v>
      </c>
      <c r="W2903" s="15">
        <f t="shared" si="132"/>
        <v>400</v>
      </c>
      <c r="X2903" s="36"/>
      <c r="Y2903" s="36"/>
      <c r="Z2903" s="36"/>
      <c r="AA2903" s="36"/>
      <c r="AB2903" s="36"/>
      <c r="AC2903" s="36"/>
      <c r="AD2903" s="36"/>
      <c r="AE2903" s="36"/>
      <c r="AF2903" s="36"/>
      <c r="AG2903" s="36"/>
      <c r="AH2903" s="36"/>
      <c r="AI2903" s="36"/>
      <c r="AJ2903" s="15">
        <f t="shared" si="133"/>
        <v>0</v>
      </c>
      <c r="AK2903" s="16"/>
    </row>
    <row r="2904" spans="2:38" x14ac:dyDescent="0.2">
      <c r="B2904" s="7"/>
      <c r="C2904" s="8">
        <v>13442</v>
      </c>
      <c r="D2904" s="9" t="s">
        <v>855</v>
      </c>
      <c r="E2904" s="10" t="str">
        <f t="shared" si="136"/>
        <v>Rancho Upácuaro No. 99</v>
      </c>
      <c r="F2904" s="10" t="str">
        <f t="shared" si="137"/>
        <v>Frías</v>
      </c>
      <c r="G2904" s="8">
        <v>5</v>
      </c>
      <c r="H2904" s="11">
        <v>50</v>
      </c>
      <c r="I2904" s="12">
        <v>42722</v>
      </c>
      <c r="J2904" s="35">
        <f t="shared" si="131"/>
        <v>0</v>
      </c>
      <c r="K2904" s="36"/>
      <c r="L2904" s="36"/>
      <c r="M2904" s="36"/>
      <c r="N2904" s="36"/>
      <c r="O2904" s="36"/>
      <c r="P2904" s="36"/>
      <c r="Q2904" s="36"/>
      <c r="R2904" s="36"/>
      <c r="S2904" s="36"/>
      <c r="T2904" s="36"/>
      <c r="U2904" s="36"/>
      <c r="V2904" s="36"/>
      <c r="W2904" s="15">
        <f t="shared" si="132"/>
        <v>0</v>
      </c>
      <c r="X2904" s="36"/>
      <c r="Y2904" s="36"/>
      <c r="Z2904" s="36"/>
      <c r="AA2904" s="36"/>
      <c r="AB2904" s="36"/>
      <c r="AC2904" s="36"/>
      <c r="AD2904" s="36"/>
      <c r="AE2904" s="36"/>
      <c r="AF2904" s="36"/>
      <c r="AG2904" s="36"/>
      <c r="AH2904" s="36"/>
      <c r="AI2904" s="36"/>
      <c r="AJ2904" s="15">
        <f t="shared" si="133"/>
        <v>0</v>
      </c>
      <c r="AK2904" s="16"/>
    </row>
    <row r="2905" spans="2:38" x14ac:dyDescent="0.2">
      <c r="B2905" s="7"/>
      <c r="C2905" s="8">
        <v>13443</v>
      </c>
      <c r="D2905" s="9" t="s">
        <v>523</v>
      </c>
      <c r="E2905" s="10" t="str">
        <f t="shared" si="136"/>
        <v>Rancho Estanzuela No. 139</v>
      </c>
      <c r="F2905" s="10" t="str">
        <f t="shared" si="137"/>
        <v xml:space="preserve">Ortiz   </v>
      </c>
      <c r="G2905" s="8">
        <v>1</v>
      </c>
      <c r="H2905" s="11">
        <v>400</v>
      </c>
      <c r="I2905" s="12">
        <v>42722</v>
      </c>
      <c r="J2905" s="35">
        <f t="shared" si="131"/>
        <v>0</v>
      </c>
      <c r="K2905" s="36"/>
      <c r="L2905" s="36"/>
      <c r="M2905" s="36"/>
      <c r="N2905" s="36"/>
      <c r="O2905" s="36"/>
      <c r="P2905" s="36"/>
      <c r="Q2905" s="36"/>
      <c r="R2905" s="36"/>
      <c r="S2905" s="36"/>
      <c r="T2905" s="36"/>
      <c r="U2905" s="36"/>
      <c r="V2905" s="36">
        <v>400</v>
      </c>
      <c r="W2905" s="15">
        <f t="shared" si="132"/>
        <v>400</v>
      </c>
      <c r="X2905" s="36"/>
      <c r="Y2905" s="36"/>
      <c r="Z2905" s="36"/>
      <c r="AA2905" s="36"/>
      <c r="AB2905" s="36"/>
      <c r="AC2905" s="36"/>
      <c r="AD2905" s="36"/>
      <c r="AE2905" s="36"/>
      <c r="AF2905" s="36"/>
      <c r="AG2905" s="36"/>
      <c r="AH2905" s="36"/>
      <c r="AI2905" s="36"/>
      <c r="AJ2905" s="15">
        <f t="shared" si="133"/>
        <v>0</v>
      </c>
      <c r="AK2905" s="16"/>
    </row>
    <row r="2906" spans="2:38" x14ac:dyDescent="0.2">
      <c r="B2906" s="7"/>
      <c r="C2906" s="8">
        <v>13444</v>
      </c>
      <c r="D2906" s="9" t="s">
        <v>235</v>
      </c>
      <c r="E2906" s="10" t="str">
        <f t="shared" si="136"/>
        <v>Rancho La Cuchilla No. 43, A</v>
      </c>
      <c r="F2906" s="10" t="str">
        <f t="shared" si="137"/>
        <v>De la Rosa</v>
      </c>
      <c r="G2906" s="8">
        <v>1</v>
      </c>
      <c r="H2906" s="11">
        <v>400</v>
      </c>
      <c r="I2906" s="12">
        <v>42722</v>
      </c>
      <c r="J2906" s="35">
        <f t="shared" si="131"/>
        <v>0</v>
      </c>
      <c r="K2906" s="36"/>
      <c r="L2906" s="36"/>
      <c r="M2906" s="36"/>
      <c r="N2906" s="36"/>
      <c r="O2906" s="36"/>
      <c r="P2906" s="36"/>
      <c r="Q2906" s="36"/>
      <c r="R2906" s="36"/>
      <c r="S2906" s="36"/>
      <c r="T2906" s="36"/>
      <c r="U2906" s="36"/>
      <c r="V2906" s="36">
        <v>400</v>
      </c>
      <c r="W2906" s="15">
        <f t="shared" si="132"/>
        <v>400</v>
      </c>
      <c r="X2906" s="36"/>
      <c r="Y2906" s="36"/>
      <c r="Z2906" s="36"/>
      <c r="AA2906" s="36"/>
      <c r="AB2906" s="36"/>
      <c r="AC2906" s="36"/>
      <c r="AD2906" s="36"/>
      <c r="AE2906" s="36"/>
      <c r="AF2906" s="36"/>
      <c r="AG2906" s="36"/>
      <c r="AH2906" s="36"/>
      <c r="AI2906" s="36"/>
      <c r="AJ2906" s="15">
        <f t="shared" si="133"/>
        <v>0</v>
      </c>
      <c r="AK2906" s="16"/>
    </row>
    <row r="2907" spans="2:38" x14ac:dyDescent="0.2">
      <c r="B2907" s="7"/>
      <c r="C2907" s="8">
        <v>13445</v>
      </c>
      <c r="D2907" s="9" t="s">
        <v>488</v>
      </c>
      <c r="E2907" s="10" t="str">
        <f t="shared" si="136"/>
        <v>Rancho Landero No. 85</v>
      </c>
      <c r="F2907" s="10" t="str">
        <f t="shared" si="137"/>
        <v>Martínez Olague</v>
      </c>
      <c r="G2907" s="8">
        <v>1</v>
      </c>
      <c r="H2907" s="11">
        <v>400</v>
      </c>
      <c r="I2907" s="12">
        <v>42722</v>
      </c>
      <c r="J2907" s="35">
        <f t="shared" si="131"/>
        <v>0</v>
      </c>
      <c r="K2907" s="36"/>
      <c r="L2907" s="36"/>
      <c r="M2907" s="36"/>
      <c r="N2907" s="36"/>
      <c r="O2907" s="36"/>
      <c r="P2907" s="36"/>
      <c r="Q2907" s="36"/>
      <c r="R2907" s="36"/>
      <c r="S2907" s="36"/>
      <c r="T2907" s="36"/>
      <c r="U2907" s="36"/>
      <c r="V2907" s="36">
        <v>400</v>
      </c>
      <c r="W2907" s="15">
        <f t="shared" si="132"/>
        <v>400</v>
      </c>
      <c r="X2907" s="36"/>
      <c r="Y2907" s="36"/>
      <c r="Z2907" s="36"/>
      <c r="AA2907" s="36"/>
      <c r="AB2907" s="36"/>
      <c r="AC2907" s="36"/>
      <c r="AD2907" s="36"/>
      <c r="AE2907" s="36"/>
      <c r="AF2907" s="36"/>
      <c r="AG2907" s="36"/>
      <c r="AH2907" s="36"/>
      <c r="AI2907" s="36"/>
      <c r="AJ2907" s="15">
        <f t="shared" si="133"/>
        <v>0</v>
      </c>
      <c r="AK2907" s="16"/>
    </row>
    <row r="2908" spans="2:38" x14ac:dyDescent="0.2">
      <c r="B2908" s="7"/>
      <c r="C2908" s="8">
        <v>13446</v>
      </c>
      <c r="D2908" s="9" t="s">
        <v>156</v>
      </c>
      <c r="E2908" s="10" t="str">
        <f t="shared" si="136"/>
        <v>Rancho Zinamba No. 80</v>
      </c>
      <c r="F2908" s="10" t="str">
        <f t="shared" si="137"/>
        <v>Vázquez</v>
      </c>
      <c r="G2908" s="8">
        <v>1</v>
      </c>
      <c r="H2908" s="11">
        <v>300</v>
      </c>
      <c r="I2908" s="12">
        <v>42722</v>
      </c>
      <c r="J2908" s="35">
        <f t="shared" si="131"/>
        <v>0</v>
      </c>
      <c r="K2908" s="36"/>
      <c r="L2908" s="36"/>
      <c r="M2908" s="36"/>
      <c r="N2908" s="36"/>
      <c r="O2908" s="36"/>
      <c r="P2908" s="36"/>
      <c r="Q2908" s="36"/>
      <c r="R2908" s="36"/>
      <c r="S2908" s="36"/>
      <c r="T2908" s="36"/>
      <c r="U2908" s="36"/>
      <c r="V2908" s="36">
        <v>300</v>
      </c>
      <c r="W2908" s="15">
        <f t="shared" si="132"/>
        <v>300</v>
      </c>
      <c r="X2908" s="36"/>
      <c r="Y2908" s="36"/>
      <c r="Z2908" s="36"/>
      <c r="AA2908" s="36"/>
      <c r="AB2908" s="36"/>
      <c r="AC2908" s="36"/>
      <c r="AD2908" s="36"/>
      <c r="AE2908" s="36"/>
      <c r="AF2908" s="36"/>
      <c r="AG2908" s="36"/>
      <c r="AH2908" s="36"/>
      <c r="AI2908" s="36"/>
      <c r="AJ2908" s="15">
        <f t="shared" si="133"/>
        <v>0</v>
      </c>
      <c r="AK2908" s="16"/>
    </row>
    <row r="2909" spans="2:38" x14ac:dyDescent="0.2">
      <c r="B2909" s="7"/>
      <c r="C2909" s="8">
        <v>13447</v>
      </c>
      <c r="D2909" s="9" t="s">
        <v>675</v>
      </c>
      <c r="E2909" s="10" t="str">
        <f t="shared" si="136"/>
        <v>Rancho Estanzuela No. 155</v>
      </c>
      <c r="F2909" s="10" t="str">
        <f t="shared" si="137"/>
        <v>Anchondo Valerio</v>
      </c>
      <c r="G2909" s="8">
        <v>1</v>
      </c>
      <c r="H2909" s="11">
        <v>4400</v>
      </c>
      <c r="I2909" s="12">
        <v>42722</v>
      </c>
      <c r="J2909" s="35">
        <f t="shared" si="131"/>
        <v>0</v>
      </c>
      <c r="K2909" s="36"/>
      <c r="L2909" s="36"/>
      <c r="M2909" s="36"/>
      <c r="N2909" s="36"/>
      <c r="O2909" s="36"/>
      <c r="P2909" s="36"/>
      <c r="Q2909" s="36"/>
      <c r="R2909" s="36"/>
      <c r="S2909" s="36"/>
      <c r="T2909" s="36"/>
      <c r="U2909" s="36"/>
      <c r="V2909" s="36"/>
      <c r="W2909" s="15">
        <f t="shared" si="132"/>
        <v>0</v>
      </c>
      <c r="X2909" s="36">
        <v>400</v>
      </c>
      <c r="Y2909" s="36">
        <v>400</v>
      </c>
      <c r="Z2909" s="36">
        <v>400</v>
      </c>
      <c r="AA2909" s="36">
        <v>400</v>
      </c>
      <c r="AB2909" s="36">
        <v>400</v>
      </c>
      <c r="AC2909" s="36">
        <v>400</v>
      </c>
      <c r="AD2909" s="36">
        <v>400</v>
      </c>
      <c r="AE2909" s="36">
        <v>400</v>
      </c>
      <c r="AF2909" s="36">
        <v>400</v>
      </c>
      <c r="AG2909" s="36">
        <v>400</v>
      </c>
      <c r="AH2909" s="36">
        <v>400</v>
      </c>
      <c r="AI2909" s="36"/>
      <c r="AJ2909" s="15">
        <f t="shared" si="133"/>
        <v>4400</v>
      </c>
      <c r="AK2909" s="16" t="s">
        <v>3188</v>
      </c>
      <c r="AL2909" t="s">
        <v>383</v>
      </c>
    </row>
    <row r="2910" spans="2:38" x14ac:dyDescent="0.2">
      <c r="B2910" s="7"/>
      <c r="C2910" s="8">
        <v>13448</v>
      </c>
      <c r="D2910" s="9" t="s">
        <v>94</v>
      </c>
      <c r="E2910" s="10" t="str">
        <f t="shared" si="136"/>
        <v>Rancho Landero No. 42</v>
      </c>
      <c r="F2910" s="10" t="str">
        <f t="shared" si="137"/>
        <v>Ávila Fidel</v>
      </c>
      <c r="G2910" s="8">
        <v>7</v>
      </c>
      <c r="H2910" s="11">
        <v>500</v>
      </c>
      <c r="I2910" s="12">
        <v>42722</v>
      </c>
      <c r="J2910" s="35">
        <v>0</v>
      </c>
      <c r="K2910" s="36"/>
      <c r="L2910" s="36"/>
      <c r="M2910" s="36"/>
      <c r="N2910" s="36"/>
      <c r="O2910" s="36"/>
      <c r="P2910" s="36"/>
      <c r="Q2910" s="36"/>
      <c r="R2910" s="36"/>
      <c r="S2910" s="36"/>
      <c r="T2910" s="36"/>
      <c r="U2910" s="36"/>
      <c r="V2910" s="36"/>
      <c r="W2910" s="15">
        <f t="shared" si="132"/>
        <v>0</v>
      </c>
      <c r="X2910" s="36"/>
      <c r="Y2910" s="36"/>
      <c r="Z2910" s="36"/>
      <c r="AA2910" s="36"/>
      <c r="AB2910" s="36"/>
      <c r="AC2910" s="36"/>
      <c r="AD2910" s="36"/>
      <c r="AE2910" s="36"/>
      <c r="AF2910" s="36"/>
      <c r="AG2910" s="36"/>
      <c r="AH2910" s="36"/>
      <c r="AI2910" s="36"/>
      <c r="AJ2910" s="15">
        <f t="shared" si="133"/>
        <v>0</v>
      </c>
      <c r="AK2910" s="16"/>
    </row>
    <row r="2911" spans="2:38" x14ac:dyDescent="0.2">
      <c r="B2911" s="7"/>
      <c r="C2911" s="8">
        <v>13449</v>
      </c>
      <c r="D2911" s="9" t="s">
        <v>602</v>
      </c>
      <c r="E2911" s="10" t="str">
        <f t="shared" si="136"/>
        <v>Rancho Upácuaro No. 30</v>
      </c>
      <c r="F2911" s="10" t="str">
        <f t="shared" si="137"/>
        <v>Dorantes</v>
      </c>
      <c r="G2911" s="8">
        <v>1</v>
      </c>
      <c r="H2911" s="11">
        <v>200</v>
      </c>
      <c r="I2911" s="12">
        <v>42722</v>
      </c>
      <c r="J2911" s="35">
        <f t="shared" si="131"/>
        <v>0</v>
      </c>
      <c r="K2911" s="36"/>
      <c r="L2911" s="36"/>
      <c r="M2911" s="36"/>
      <c r="N2911" s="36"/>
      <c r="O2911" s="36"/>
      <c r="P2911" s="36"/>
      <c r="Q2911" s="36"/>
      <c r="R2911" s="36"/>
      <c r="S2911" s="36"/>
      <c r="T2911" s="36"/>
      <c r="U2911" s="36"/>
      <c r="V2911" s="36">
        <v>200</v>
      </c>
      <c r="W2911" s="15">
        <f t="shared" si="132"/>
        <v>200</v>
      </c>
      <c r="X2911" s="36"/>
      <c r="Y2911" s="36"/>
      <c r="Z2911" s="36"/>
      <c r="AA2911" s="36"/>
      <c r="AB2911" s="36"/>
      <c r="AC2911" s="36"/>
      <c r="AD2911" s="36"/>
      <c r="AE2911" s="36"/>
      <c r="AF2911" s="36"/>
      <c r="AG2911" s="36"/>
      <c r="AH2911" s="36"/>
      <c r="AI2911" s="36"/>
      <c r="AJ2911" s="15">
        <f t="shared" si="133"/>
        <v>0</v>
      </c>
      <c r="AK2911" s="16"/>
    </row>
    <row r="2912" spans="2:38" x14ac:dyDescent="0.2">
      <c r="B2912" s="7"/>
      <c r="C2912" s="8">
        <v>13450</v>
      </c>
      <c r="D2912" s="9" t="s">
        <v>3190</v>
      </c>
      <c r="E2912" s="10" t="str">
        <f t="shared" si="136"/>
        <v>Rancho La Cuchilla No. 103</v>
      </c>
      <c r="F2912" s="10" t="str">
        <f t="shared" si="137"/>
        <v>Bernal</v>
      </c>
      <c r="G2912" s="8">
        <v>3</v>
      </c>
      <c r="H2912" s="11">
        <v>200</v>
      </c>
      <c r="I2912" s="12">
        <v>42722</v>
      </c>
      <c r="J2912" s="35">
        <f t="shared" si="131"/>
        <v>0</v>
      </c>
      <c r="K2912" s="36"/>
      <c r="L2912" s="36"/>
      <c r="M2912" s="36"/>
      <c r="N2912" s="36"/>
      <c r="O2912" s="36"/>
      <c r="P2912" s="36"/>
      <c r="Q2912" s="36"/>
      <c r="R2912" s="36"/>
      <c r="S2912" s="36"/>
      <c r="T2912" s="36"/>
      <c r="U2912" s="36"/>
      <c r="V2912" s="36"/>
      <c r="W2912" s="15">
        <f t="shared" si="132"/>
        <v>0</v>
      </c>
      <c r="X2912" s="36"/>
      <c r="Y2912" s="36"/>
      <c r="Z2912" s="36"/>
      <c r="AA2912" s="36"/>
      <c r="AB2912" s="36"/>
      <c r="AC2912" s="36"/>
      <c r="AD2912" s="36"/>
      <c r="AE2912" s="36"/>
      <c r="AF2912" s="36"/>
      <c r="AG2912" s="36"/>
      <c r="AH2912" s="36"/>
      <c r="AI2912" s="36"/>
      <c r="AJ2912" s="15">
        <f t="shared" si="133"/>
        <v>0</v>
      </c>
      <c r="AK2912" s="16"/>
    </row>
    <row r="2913" spans="2:38" x14ac:dyDescent="0.2">
      <c r="B2913" s="7"/>
      <c r="C2913" s="8">
        <v>13451</v>
      </c>
      <c r="D2913" s="9" t="s">
        <v>401</v>
      </c>
      <c r="E2913" s="10" t="str">
        <f t="shared" si="136"/>
        <v>Rancho Landero No. 68</v>
      </c>
      <c r="F2913" s="10" t="str">
        <f t="shared" si="137"/>
        <v>Moreno</v>
      </c>
      <c r="G2913" s="8">
        <v>1</v>
      </c>
      <c r="H2913" s="11">
        <v>800</v>
      </c>
      <c r="I2913" s="12">
        <v>42722</v>
      </c>
      <c r="J2913" s="35">
        <f t="shared" ref="J2913:J2986" si="138">IF(G2913=1,SUM(W2913,AJ2913,-H2913),0)</f>
        <v>0</v>
      </c>
      <c r="K2913" s="36"/>
      <c r="L2913" s="36"/>
      <c r="M2913" s="36"/>
      <c r="N2913" s="36"/>
      <c r="O2913" s="36"/>
      <c r="P2913" s="36"/>
      <c r="Q2913" s="36"/>
      <c r="R2913" s="36"/>
      <c r="S2913" s="36"/>
      <c r="T2913" s="36"/>
      <c r="U2913" s="36">
        <v>400</v>
      </c>
      <c r="V2913" s="36">
        <v>400</v>
      </c>
      <c r="W2913" s="15">
        <f t="shared" ref="W2913:W2986" si="139">SUM(K2913:V2913)</f>
        <v>800</v>
      </c>
      <c r="X2913" s="36"/>
      <c r="Y2913" s="36"/>
      <c r="Z2913" s="36"/>
      <c r="AA2913" s="36"/>
      <c r="AB2913" s="36"/>
      <c r="AC2913" s="36"/>
      <c r="AD2913" s="36"/>
      <c r="AE2913" s="36"/>
      <c r="AF2913" s="36"/>
      <c r="AG2913" s="36"/>
      <c r="AH2913" s="36"/>
      <c r="AI2913" s="36"/>
      <c r="AJ2913" s="15">
        <f t="shared" ref="AJ2913:AJ2986" si="140">SUM(X2913:AI2913)</f>
        <v>0</v>
      </c>
      <c r="AK2913" s="16"/>
    </row>
    <row r="2914" spans="2:38" x14ac:dyDescent="0.2">
      <c r="B2914" s="7"/>
      <c r="C2914" s="8">
        <v>13452</v>
      </c>
      <c r="D2914" s="9" t="s">
        <v>905</v>
      </c>
      <c r="E2914" s="10" t="str">
        <f t="shared" si="136"/>
        <v>Rancho Landero No. 81</v>
      </c>
      <c r="F2914" s="10" t="str">
        <f t="shared" si="137"/>
        <v>Cebrían Saldaña</v>
      </c>
      <c r="G2914" s="8">
        <v>5</v>
      </c>
      <c r="H2914" s="11">
        <v>50</v>
      </c>
      <c r="I2914" s="12">
        <v>42722</v>
      </c>
      <c r="J2914" s="35">
        <f t="shared" si="138"/>
        <v>0</v>
      </c>
      <c r="K2914" s="36"/>
      <c r="L2914" s="36"/>
      <c r="M2914" s="36"/>
      <c r="N2914" s="36"/>
      <c r="O2914" s="36"/>
      <c r="P2914" s="36"/>
      <c r="Q2914" s="36"/>
      <c r="R2914" s="36"/>
      <c r="S2914" s="36"/>
      <c r="T2914" s="36"/>
      <c r="U2914" s="36"/>
      <c r="V2914" s="36"/>
      <c r="W2914" s="15">
        <f t="shared" si="139"/>
        <v>0</v>
      </c>
      <c r="X2914" s="36"/>
      <c r="Y2914" s="36"/>
      <c r="Z2914" s="36"/>
      <c r="AA2914" s="36"/>
      <c r="AB2914" s="36"/>
      <c r="AC2914" s="36"/>
      <c r="AD2914" s="36"/>
      <c r="AE2914" s="36"/>
      <c r="AF2914" s="36"/>
      <c r="AG2914" s="36"/>
      <c r="AH2914" s="36"/>
      <c r="AI2914" s="36"/>
      <c r="AJ2914" s="15">
        <f t="shared" si="140"/>
        <v>0</v>
      </c>
      <c r="AK2914" s="16"/>
    </row>
    <row r="2915" spans="2:38" x14ac:dyDescent="0.2">
      <c r="B2915" s="7"/>
      <c r="C2915" s="8">
        <v>13453</v>
      </c>
      <c r="D2915" s="9" t="s">
        <v>431</v>
      </c>
      <c r="E2915" s="10" t="str">
        <f t="shared" ref="E2915:E2988" si="141">IF(D2915=0,"",VLOOKUP(D2915,BASE,2,FALSE))</f>
        <v>Rancho Landero No. 63</v>
      </c>
      <c r="F2915" s="10" t="str">
        <f t="shared" ref="F2915:F2988" si="142">IF(D2915=0,"",VLOOKUP(D2915,BASE,3,FALSE))</f>
        <v>Hernández Chávez</v>
      </c>
      <c r="G2915" s="8">
        <v>1</v>
      </c>
      <c r="H2915" s="11">
        <v>800</v>
      </c>
      <c r="I2915" s="12">
        <v>42722</v>
      </c>
      <c r="J2915" s="35">
        <f t="shared" si="138"/>
        <v>0</v>
      </c>
      <c r="K2915" s="36"/>
      <c r="L2915" s="36"/>
      <c r="M2915" s="36"/>
      <c r="N2915" s="36"/>
      <c r="O2915" s="36"/>
      <c r="P2915" s="36"/>
      <c r="Q2915" s="36"/>
      <c r="R2915" s="36"/>
      <c r="S2915" s="36"/>
      <c r="T2915" s="36"/>
      <c r="U2915" s="36">
        <v>400</v>
      </c>
      <c r="V2915" s="36">
        <v>400</v>
      </c>
      <c r="W2915" s="15">
        <f t="shared" si="139"/>
        <v>800</v>
      </c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15">
        <f t="shared" si="140"/>
        <v>0</v>
      </c>
      <c r="AK2915" s="16"/>
      <c r="AL2915" t="s">
        <v>383</v>
      </c>
    </row>
    <row r="2916" spans="2:38" x14ac:dyDescent="0.2">
      <c r="B2916" s="7"/>
      <c r="C2916" s="8">
        <v>13454</v>
      </c>
      <c r="D2916" s="9" t="s">
        <v>526</v>
      </c>
      <c r="E2916" s="10" t="str">
        <f t="shared" si="141"/>
        <v>Rancho Landero No. 62</v>
      </c>
      <c r="F2916" s="10" t="str">
        <f t="shared" si="142"/>
        <v>Narvaez Sara</v>
      </c>
      <c r="G2916" s="8">
        <v>1</v>
      </c>
      <c r="H2916" s="11">
        <v>600</v>
      </c>
      <c r="I2916" s="12">
        <v>42722</v>
      </c>
      <c r="J2916" s="35">
        <f t="shared" si="138"/>
        <v>0</v>
      </c>
      <c r="K2916" s="36"/>
      <c r="L2916" s="36"/>
      <c r="M2916" s="36"/>
      <c r="N2916" s="36"/>
      <c r="O2916" s="36"/>
      <c r="P2916" s="36"/>
      <c r="Q2916" s="36"/>
      <c r="R2916" s="36"/>
      <c r="S2916" s="36"/>
      <c r="T2916" s="36"/>
      <c r="U2916" s="36">
        <v>300</v>
      </c>
      <c r="V2916" s="36">
        <v>300</v>
      </c>
      <c r="W2916" s="15">
        <f t="shared" si="139"/>
        <v>600</v>
      </c>
      <c r="X2916" s="36"/>
      <c r="Y2916" s="36"/>
      <c r="Z2916" s="36"/>
      <c r="AA2916" s="36"/>
      <c r="AB2916" s="36"/>
      <c r="AC2916" s="36"/>
      <c r="AD2916" s="36"/>
      <c r="AE2916" s="36"/>
      <c r="AF2916" s="36"/>
      <c r="AG2916" s="36"/>
      <c r="AH2916" s="36"/>
      <c r="AI2916" s="36"/>
      <c r="AJ2916" s="15">
        <f t="shared" si="140"/>
        <v>0</v>
      </c>
      <c r="AK2916" s="16"/>
    </row>
    <row r="2917" spans="2:38" x14ac:dyDescent="0.2">
      <c r="B2917" s="7"/>
      <c r="C2917" s="8">
        <v>13455</v>
      </c>
      <c r="D2917" s="9" t="s">
        <v>192</v>
      </c>
      <c r="E2917" s="10" t="str">
        <f t="shared" si="141"/>
        <v>Rancho Landero No. 77</v>
      </c>
      <c r="F2917" s="10" t="str">
        <f t="shared" si="142"/>
        <v>Muñoz</v>
      </c>
      <c r="G2917" s="8">
        <v>1</v>
      </c>
      <c r="H2917" s="11">
        <v>1200</v>
      </c>
      <c r="I2917" s="12">
        <v>42722</v>
      </c>
      <c r="J2917" s="35">
        <f t="shared" si="138"/>
        <v>0</v>
      </c>
      <c r="K2917" s="36"/>
      <c r="L2917" s="36"/>
      <c r="M2917" s="36"/>
      <c r="N2917" s="36"/>
      <c r="O2917" s="36"/>
      <c r="P2917" s="36"/>
      <c r="Q2917" s="36"/>
      <c r="R2917" s="36"/>
      <c r="S2917" s="36"/>
      <c r="T2917" s="36">
        <v>400</v>
      </c>
      <c r="U2917" s="36">
        <v>400</v>
      </c>
      <c r="V2917" s="36">
        <v>400</v>
      </c>
      <c r="W2917" s="15">
        <f t="shared" si="139"/>
        <v>1200</v>
      </c>
      <c r="X2917" s="36"/>
      <c r="Y2917" s="36"/>
      <c r="Z2917" s="36"/>
      <c r="AA2917" s="36"/>
      <c r="AB2917" s="36"/>
      <c r="AC2917" s="36"/>
      <c r="AD2917" s="36"/>
      <c r="AE2917" s="36"/>
      <c r="AF2917" s="36"/>
      <c r="AG2917" s="36"/>
      <c r="AH2917" s="36"/>
      <c r="AI2917" s="36"/>
      <c r="AJ2917" s="15">
        <f t="shared" si="140"/>
        <v>0</v>
      </c>
      <c r="AK2917" s="16"/>
    </row>
    <row r="2918" spans="2:38" x14ac:dyDescent="0.2">
      <c r="B2918" s="7"/>
      <c r="C2918" s="8">
        <v>13456</v>
      </c>
      <c r="D2918" s="9" t="s">
        <v>652</v>
      </c>
      <c r="E2918" s="10" t="str">
        <f t="shared" si="141"/>
        <v>Rancho Zinamba No. 74</v>
      </c>
      <c r="F2918" s="10" t="str">
        <f t="shared" si="142"/>
        <v>García Castellanos</v>
      </c>
      <c r="G2918" s="8">
        <v>1</v>
      </c>
      <c r="H2918" s="11">
        <v>800</v>
      </c>
      <c r="I2918" s="12">
        <v>42722</v>
      </c>
      <c r="J2918" s="35">
        <f t="shared" si="138"/>
        <v>0</v>
      </c>
      <c r="K2918" s="36"/>
      <c r="L2918" s="36"/>
      <c r="M2918" s="36"/>
      <c r="N2918" s="36"/>
      <c r="O2918" s="36"/>
      <c r="P2918" s="36"/>
      <c r="Q2918" s="36"/>
      <c r="R2918" s="36"/>
      <c r="S2918" s="36"/>
      <c r="T2918" s="36">
        <v>400</v>
      </c>
      <c r="U2918" s="36">
        <v>400</v>
      </c>
      <c r="V2918" s="36"/>
      <c r="W2918" s="15">
        <f t="shared" si="139"/>
        <v>800</v>
      </c>
      <c r="X2918" s="36"/>
      <c r="Y2918" s="36"/>
      <c r="Z2918" s="36"/>
      <c r="AA2918" s="36"/>
      <c r="AB2918" s="36"/>
      <c r="AC2918" s="36"/>
      <c r="AD2918" s="36"/>
      <c r="AE2918" s="36"/>
      <c r="AF2918" s="36"/>
      <c r="AG2918" s="36"/>
      <c r="AH2918" s="36"/>
      <c r="AI2918" s="36"/>
      <c r="AJ2918" s="15">
        <f t="shared" si="140"/>
        <v>0</v>
      </c>
      <c r="AK2918" s="16"/>
    </row>
    <row r="2919" spans="2:38" x14ac:dyDescent="0.2">
      <c r="B2919" s="7"/>
      <c r="C2919" s="8">
        <v>13457</v>
      </c>
      <c r="D2919" s="9" t="s">
        <v>153</v>
      </c>
      <c r="E2919" s="10" t="str">
        <f t="shared" si="141"/>
        <v>Rancho La Cuchilla No. 92</v>
      </c>
      <c r="F2919" s="10" t="str">
        <f t="shared" si="142"/>
        <v>Cabrera</v>
      </c>
      <c r="G2919" s="8">
        <v>1</v>
      </c>
      <c r="H2919" s="11">
        <v>400</v>
      </c>
      <c r="I2919" s="12">
        <v>42722</v>
      </c>
      <c r="J2919" s="35">
        <f t="shared" si="138"/>
        <v>0</v>
      </c>
      <c r="K2919" s="36"/>
      <c r="L2919" s="36"/>
      <c r="M2919" s="36"/>
      <c r="N2919" s="36"/>
      <c r="O2919" s="36"/>
      <c r="P2919" s="36"/>
      <c r="Q2919" s="36"/>
      <c r="R2919" s="36"/>
      <c r="S2919" s="36"/>
      <c r="T2919" s="36"/>
      <c r="U2919" s="36"/>
      <c r="V2919" s="36">
        <v>400</v>
      </c>
      <c r="W2919" s="15">
        <f t="shared" si="139"/>
        <v>400</v>
      </c>
      <c r="X2919" s="36"/>
      <c r="Y2919" s="36"/>
      <c r="Z2919" s="36"/>
      <c r="AA2919" s="36"/>
      <c r="AB2919" s="36"/>
      <c r="AC2919" s="36"/>
      <c r="AD2919" s="36"/>
      <c r="AE2919" s="36"/>
      <c r="AF2919" s="36"/>
      <c r="AG2919" s="36"/>
      <c r="AH2919" s="36"/>
      <c r="AI2919" s="36"/>
      <c r="AJ2919" s="15">
        <f t="shared" si="140"/>
        <v>0</v>
      </c>
      <c r="AK2919" s="16"/>
    </row>
    <row r="2920" spans="2:38" x14ac:dyDescent="0.2">
      <c r="B2920" s="7"/>
      <c r="C2920" s="8">
        <v>13458</v>
      </c>
      <c r="D2920" s="9" t="s">
        <v>684</v>
      </c>
      <c r="E2920" s="10" t="str">
        <f t="shared" si="141"/>
        <v>Rancho Landero No. 65</v>
      </c>
      <c r="F2920" s="10" t="str">
        <f t="shared" si="142"/>
        <v>Alpizar</v>
      </c>
      <c r="G2920" s="8">
        <v>1</v>
      </c>
      <c r="H2920" s="11">
        <v>800</v>
      </c>
      <c r="I2920" s="12">
        <v>42722</v>
      </c>
      <c r="J2920" s="35">
        <f t="shared" si="138"/>
        <v>0</v>
      </c>
      <c r="K2920" s="36"/>
      <c r="L2920" s="36"/>
      <c r="M2920" s="36"/>
      <c r="N2920" s="36"/>
      <c r="O2920" s="36"/>
      <c r="P2920" s="36"/>
      <c r="Q2920" s="36"/>
      <c r="R2920" s="36"/>
      <c r="S2920" s="36"/>
      <c r="T2920" s="36"/>
      <c r="U2920" s="36"/>
      <c r="V2920" s="36">
        <v>400</v>
      </c>
      <c r="W2920" s="15">
        <f t="shared" si="139"/>
        <v>400</v>
      </c>
      <c r="X2920" s="36">
        <v>400</v>
      </c>
      <c r="Y2920" s="36"/>
      <c r="Z2920" s="36"/>
      <c r="AA2920" s="36"/>
      <c r="AB2920" s="36"/>
      <c r="AC2920" s="36"/>
      <c r="AD2920" s="36"/>
      <c r="AE2920" s="36"/>
      <c r="AF2920" s="36"/>
      <c r="AG2920" s="36"/>
      <c r="AH2920" s="36"/>
      <c r="AI2920" s="36"/>
      <c r="AJ2920" s="15">
        <f t="shared" si="140"/>
        <v>400</v>
      </c>
      <c r="AK2920" s="16"/>
    </row>
    <row r="2921" spans="2:38" x14ac:dyDescent="0.2">
      <c r="B2921" s="7"/>
      <c r="C2921" s="8">
        <v>13458</v>
      </c>
      <c r="D2921" s="9" t="s">
        <v>684</v>
      </c>
      <c r="E2921" s="10" t="str">
        <f t="shared" si="141"/>
        <v>Rancho Landero No. 65</v>
      </c>
      <c r="F2921" s="10" t="str">
        <f t="shared" si="142"/>
        <v>Alpizar</v>
      </c>
      <c r="G2921" s="8">
        <v>5</v>
      </c>
      <c r="H2921" s="11">
        <v>50</v>
      </c>
      <c r="I2921" s="12">
        <v>42722</v>
      </c>
      <c r="J2921" s="35">
        <f t="shared" si="138"/>
        <v>0</v>
      </c>
      <c r="K2921" s="36"/>
      <c r="L2921" s="36"/>
      <c r="M2921" s="36"/>
      <c r="N2921" s="36"/>
      <c r="O2921" s="36"/>
      <c r="P2921" s="36"/>
      <c r="Q2921" s="36"/>
      <c r="R2921" s="36"/>
      <c r="S2921" s="36"/>
      <c r="T2921" s="36"/>
      <c r="U2921" s="36"/>
      <c r="V2921" s="36"/>
      <c r="W2921" s="15">
        <f t="shared" si="139"/>
        <v>0</v>
      </c>
      <c r="X2921" s="36"/>
      <c r="Y2921" s="36"/>
      <c r="Z2921" s="36"/>
      <c r="AA2921" s="36"/>
      <c r="AB2921" s="36"/>
      <c r="AC2921" s="36"/>
      <c r="AD2921" s="36"/>
      <c r="AE2921" s="36"/>
      <c r="AF2921" s="36"/>
      <c r="AG2921" s="36"/>
      <c r="AH2921" s="36"/>
      <c r="AI2921" s="36"/>
      <c r="AJ2921" s="15">
        <f t="shared" si="140"/>
        <v>0</v>
      </c>
      <c r="AK2921" s="16"/>
    </row>
    <row r="2922" spans="2:38" x14ac:dyDescent="0.2">
      <c r="B2922" s="7"/>
      <c r="C2922" s="8">
        <v>13459</v>
      </c>
      <c r="D2922" s="9" t="s">
        <v>274</v>
      </c>
      <c r="E2922" s="10" t="str">
        <f t="shared" si="141"/>
        <v>Rancho Zinamba No. 82</v>
      </c>
      <c r="F2922" s="10" t="str">
        <f t="shared" si="142"/>
        <v>Morán Carmona</v>
      </c>
      <c r="G2922" s="8">
        <v>5</v>
      </c>
      <c r="H2922" s="11">
        <v>100</v>
      </c>
      <c r="I2922" s="12">
        <v>42722</v>
      </c>
      <c r="J2922" s="35">
        <f t="shared" si="138"/>
        <v>0</v>
      </c>
      <c r="K2922" s="36"/>
      <c r="L2922" s="36"/>
      <c r="M2922" s="36"/>
      <c r="N2922" s="36"/>
      <c r="O2922" s="36"/>
      <c r="P2922" s="36"/>
      <c r="Q2922" s="36"/>
      <c r="R2922" s="36"/>
      <c r="S2922" s="36"/>
      <c r="T2922" s="36"/>
      <c r="U2922" s="36"/>
      <c r="V2922" s="36"/>
      <c r="W2922" s="15">
        <f t="shared" si="139"/>
        <v>0</v>
      </c>
      <c r="X2922" s="36"/>
      <c r="Y2922" s="36"/>
      <c r="Z2922" s="36"/>
      <c r="AA2922" s="36"/>
      <c r="AB2922" s="36"/>
      <c r="AC2922" s="36"/>
      <c r="AD2922" s="36"/>
      <c r="AE2922" s="36"/>
      <c r="AF2922" s="36"/>
      <c r="AG2922" s="36"/>
      <c r="AH2922" s="36"/>
      <c r="AI2922" s="36"/>
      <c r="AJ2922" s="15">
        <f t="shared" si="140"/>
        <v>0</v>
      </c>
      <c r="AK2922" s="16"/>
    </row>
    <row r="2923" spans="2:38" x14ac:dyDescent="0.2">
      <c r="B2923" s="7"/>
      <c r="C2923" s="8">
        <v>13460</v>
      </c>
      <c r="D2923" s="9" t="s">
        <v>70</v>
      </c>
      <c r="E2923" s="10" t="str">
        <f t="shared" si="141"/>
        <v>Rancho Upácuaro No. 63</v>
      </c>
      <c r="F2923" s="10" t="str">
        <f t="shared" si="142"/>
        <v>González Benavides</v>
      </c>
      <c r="G2923" s="8">
        <v>1</v>
      </c>
      <c r="H2923" s="11">
        <v>4400</v>
      </c>
      <c r="I2923" s="12">
        <v>42722</v>
      </c>
      <c r="J2923" s="35">
        <f t="shared" si="138"/>
        <v>0</v>
      </c>
      <c r="K2923" s="36"/>
      <c r="L2923" s="36"/>
      <c r="M2923" s="36"/>
      <c r="N2923" s="36"/>
      <c r="O2923" s="36"/>
      <c r="P2923" s="36"/>
      <c r="Q2923" s="36"/>
      <c r="R2923" s="36"/>
      <c r="S2923" s="36"/>
      <c r="T2923" s="36"/>
      <c r="U2923" s="36"/>
      <c r="V2923" s="36"/>
      <c r="W2923" s="15">
        <f t="shared" si="139"/>
        <v>0</v>
      </c>
      <c r="X2923" s="36">
        <v>400</v>
      </c>
      <c r="Y2923" s="36">
        <v>400</v>
      </c>
      <c r="Z2923" s="36">
        <v>400</v>
      </c>
      <c r="AA2923" s="36">
        <v>400</v>
      </c>
      <c r="AB2923" s="36">
        <v>400</v>
      </c>
      <c r="AC2923" s="36">
        <v>400</v>
      </c>
      <c r="AD2923" s="36">
        <v>400</v>
      </c>
      <c r="AE2923" s="36">
        <v>400</v>
      </c>
      <c r="AF2923" s="36">
        <v>400</v>
      </c>
      <c r="AG2923" s="36">
        <v>400</v>
      </c>
      <c r="AH2923" s="36">
        <v>400</v>
      </c>
      <c r="AI2923" s="36"/>
      <c r="AJ2923" s="15">
        <f t="shared" si="140"/>
        <v>4400</v>
      </c>
      <c r="AK2923" s="16" t="s">
        <v>3188</v>
      </c>
    </row>
    <row r="2924" spans="2:38" x14ac:dyDescent="0.2">
      <c r="B2924" s="7"/>
      <c r="C2924" s="8">
        <v>13460</v>
      </c>
      <c r="D2924" s="9" t="s">
        <v>70</v>
      </c>
      <c r="E2924" s="10" t="str">
        <f t="shared" si="141"/>
        <v>Rancho Upácuaro No. 63</v>
      </c>
      <c r="F2924" s="10" t="str">
        <f t="shared" si="142"/>
        <v>González Benavides</v>
      </c>
      <c r="G2924" s="8">
        <v>4</v>
      </c>
      <c r="H2924" s="11">
        <v>200</v>
      </c>
      <c r="I2924" s="12">
        <v>42722</v>
      </c>
      <c r="J2924" s="35">
        <f t="shared" si="138"/>
        <v>0</v>
      </c>
      <c r="K2924" s="36"/>
      <c r="L2924" s="36"/>
      <c r="M2924" s="36"/>
      <c r="N2924" s="36"/>
      <c r="O2924" s="36"/>
      <c r="P2924" s="36"/>
      <c r="Q2924" s="36"/>
      <c r="R2924" s="36"/>
      <c r="S2924" s="36"/>
      <c r="T2924" s="36"/>
      <c r="U2924" s="36"/>
      <c r="V2924" s="36"/>
      <c r="W2924" s="15">
        <f t="shared" si="139"/>
        <v>0</v>
      </c>
      <c r="X2924" s="36"/>
      <c r="Y2924" s="36"/>
      <c r="Z2924" s="36"/>
      <c r="AA2924" s="36"/>
      <c r="AB2924" s="36"/>
      <c r="AC2924" s="36"/>
      <c r="AD2924" s="36"/>
      <c r="AE2924" s="36"/>
      <c r="AF2924" s="36"/>
      <c r="AG2924" s="36"/>
      <c r="AH2924" s="36"/>
      <c r="AI2924" s="36"/>
      <c r="AJ2924" s="15">
        <f t="shared" si="140"/>
        <v>0</v>
      </c>
      <c r="AK2924" s="16" t="s">
        <v>3293</v>
      </c>
    </row>
    <row r="2925" spans="2:38" x14ac:dyDescent="0.2">
      <c r="B2925" s="7"/>
      <c r="C2925" s="8">
        <v>13461</v>
      </c>
      <c r="D2925" s="9" t="s">
        <v>168</v>
      </c>
      <c r="E2925" s="10" t="str">
        <f t="shared" si="141"/>
        <v>Rancho Upácuaro No. 73, A</v>
      </c>
      <c r="F2925" s="10" t="str">
        <f t="shared" si="142"/>
        <v>Ortega</v>
      </c>
      <c r="G2925" s="8">
        <v>1</v>
      </c>
      <c r="H2925" s="11">
        <v>400</v>
      </c>
      <c r="I2925" s="12">
        <v>42722</v>
      </c>
      <c r="J2925" s="35">
        <f t="shared" si="138"/>
        <v>0</v>
      </c>
      <c r="K2925" s="36"/>
      <c r="L2925" s="36"/>
      <c r="M2925" s="36"/>
      <c r="N2925" s="36"/>
      <c r="O2925" s="36"/>
      <c r="P2925" s="36"/>
      <c r="Q2925" s="36"/>
      <c r="R2925" s="36"/>
      <c r="S2925" s="36"/>
      <c r="T2925" s="36">
        <v>200</v>
      </c>
      <c r="U2925" s="36">
        <v>200</v>
      </c>
      <c r="V2925" s="36"/>
      <c r="W2925" s="15">
        <f t="shared" si="139"/>
        <v>400</v>
      </c>
      <c r="X2925" s="36"/>
      <c r="Y2925" s="36"/>
      <c r="Z2925" s="36"/>
      <c r="AA2925" s="36"/>
      <c r="AB2925" s="36"/>
      <c r="AC2925" s="36"/>
      <c r="AD2925" s="36"/>
      <c r="AE2925" s="36"/>
      <c r="AF2925" s="36"/>
      <c r="AG2925" s="36"/>
      <c r="AH2925" s="36"/>
      <c r="AI2925" s="36"/>
      <c r="AJ2925" s="15">
        <f t="shared" si="140"/>
        <v>0</v>
      </c>
      <c r="AK2925" s="16"/>
    </row>
    <row r="2926" spans="2:38" x14ac:dyDescent="0.2">
      <c r="B2926" s="7"/>
      <c r="C2926" s="8">
        <v>13462</v>
      </c>
      <c r="D2926" s="9" t="s">
        <v>174</v>
      </c>
      <c r="E2926" s="10" t="str">
        <f t="shared" si="141"/>
        <v>Rancho Upácuaro No. 18</v>
      </c>
      <c r="F2926" s="10" t="str">
        <f t="shared" si="142"/>
        <v>Guzmán</v>
      </c>
      <c r="G2926" s="8">
        <v>1</v>
      </c>
      <c r="H2926" s="11">
        <v>300</v>
      </c>
      <c r="I2926" s="12">
        <v>42722</v>
      </c>
      <c r="J2926" s="35">
        <f t="shared" si="138"/>
        <v>0</v>
      </c>
      <c r="K2926" s="36"/>
      <c r="L2926" s="36"/>
      <c r="M2926" s="36"/>
      <c r="N2926" s="36"/>
      <c r="O2926" s="36"/>
      <c r="P2926" s="36"/>
      <c r="Q2926" s="36"/>
      <c r="R2926" s="36"/>
      <c r="S2926" s="36"/>
      <c r="T2926" s="36"/>
      <c r="U2926" s="36"/>
      <c r="V2926" s="36">
        <v>300</v>
      </c>
      <c r="W2926" s="15">
        <f t="shared" si="139"/>
        <v>300</v>
      </c>
      <c r="X2926" s="36"/>
      <c r="Y2926" s="36"/>
      <c r="Z2926" s="36"/>
      <c r="AA2926" s="36"/>
      <c r="AB2926" s="36"/>
      <c r="AC2926" s="36"/>
      <c r="AD2926" s="36"/>
      <c r="AE2926" s="36"/>
      <c r="AF2926" s="36"/>
      <c r="AG2926" s="36"/>
      <c r="AH2926" s="36"/>
      <c r="AI2926" s="36"/>
      <c r="AJ2926" s="15">
        <f t="shared" si="140"/>
        <v>0</v>
      </c>
      <c r="AK2926" s="16"/>
    </row>
    <row r="2927" spans="2:38" x14ac:dyDescent="0.2">
      <c r="B2927" s="7"/>
      <c r="C2927" s="8">
        <v>13462</v>
      </c>
      <c r="D2927" s="9" t="s">
        <v>174</v>
      </c>
      <c r="E2927" s="10" t="str">
        <f t="shared" si="141"/>
        <v>Rancho Upácuaro No. 18</v>
      </c>
      <c r="F2927" s="10" t="str">
        <f t="shared" si="142"/>
        <v>Guzmán</v>
      </c>
      <c r="G2927" s="8">
        <v>3</v>
      </c>
      <c r="H2927" s="11">
        <v>200</v>
      </c>
      <c r="I2927" s="12">
        <v>42722</v>
      </c>
      <c r="J2927" s="35">
        <f t="shared" si="138"/>
        <v>0</v>
      </c>
      <c r="K2927" s="36"/>
      <c r="L2927" s="36"/>
      <c r="M2927" s="36"/>
      <c r="N2927" s="36"/>
      <c r="O2927" s="36"/>
      <c r="P2927" s="36"/>
      <c r="Q2927" s="36"/>
      <c r="R2927" s="36"/>
      <c r="S2927" s="36"/>
      <c r="T2927" s="36"/>
      <c r="U2927" s="36"/>
      <c r="V2927" s="36"/>
      <c r="W2927" s="15">
        <f t="shared" si="139"/>
        <v>0</v>
      </c>
      <c r="X2927" s="36"/>
      <c r="Y2927" s="36"/>
      <c r="Z2927" s="36"/>
      <c r="AA2927" s="36"/>
      <c r="AB2927" s="36"/>
      <c r="AC2927" s="36"/>
      <c r="AD2927" s="36"/>
      <c r="AE2927" s="36"/>
      <c r="AF2927" s="36"/>
      <c r="AG2927" s="36"/>
      <c r="AH2927" s="36"/>
      <c r="AI2927" s="36"/>
      <c r="AJ2927" s="15">
        <f t="shared" si="140"/>
        <v>0</v>
      </c>
      <c r="AK2927" s="16"/>
    </row>
    <row r="2928" spans="2:38" x14ac:dyDescent="0.2">
      <c r="B2928" s="7"/>
      <c r="C2928" s="8">
        <v>13463</v>
      </c>
      <c r="D2928" s="9" t="s">
        <v>620</v>
      </c>
      <c r="E2928" s="10" t="str">
        <f t="shared" si="141"/>
        <v>Rancho La Cuchilla No. 32</v>
      </c>
      <c r="F2928" s="10" t="str">
        <f t="shared" si="142"/>
        <v>Hernández</v>
      </c>
      <c r="G2928" s="8">
        <v>1</v>
      </c>
      <c r="H2928" s="11">
        <v>400</v>
      </c>
      <c r="I2928" s="12">
        <v>42722</v>
      </c>
      <c r="J2928" s="35">
        <f t="shared" si="138"/>
        <v>0</v>
      </c>
      <c r="K2928" s="36"/>
      <c r="L2928" s="36"/>
      <c r="M2928" s="36"/>
      <c r="N2928" s="36"/>
      <c r="O2928" s="36"/>
      <c r="P2928" s="36"/>
      <c r="Q2928" s="36"/>
      <c r="R2928" s="36"/>
      <c r="S2928" s="36"/>
      <c r="T2928" s="36"/>
      <c r="U2928" s="36">
        <v>400</v>
      </c>
      <c r="V2928" s="36"/>
      <c r="W2928" s="15">
        <f t="shared" si="139"/>
        <v>400</v>
      </c>
      <c r="X2928" s="36"/>
      <c r="Y2928" s="36"/>
      <c r="Z2928" s="36"/>
      <c r="AA2928" s="36"/>
      <c r="AB2928" s="36"/>
      <c r="AC2928" s="36"/>
      <c r="AD2928" s="36"/>
      <c r="AE2928" s="36"/>
      <c r="AF2928" s="36"/>
      <c r="AG2928" s="36"/>
      <c r="AH2928" s="36"/>
      <c r="AI2928" s="36"/>
      <c r="AJ2928" s="15">
        <f t="shared" si="140"/>
        <v>0</v>
      </c>
      <c r="AK2928" s="16"/>
    </row>
    <row r="2929" spans="2:38" x14ac:dyDescent="0.2">
      <c r="B2929" s="7"/>
      <c r="C2929" s="8">
        <v>13464</v>
      </c>
      <c r="D2929" s="9" t="s">
        <v>620</v>
      </c>
      <c r="E2929" s="10" t="str">
        <f t="shared" si="141"/>
        <v>Rancho La Cuchilla No. 32</v>
      </c>
      <c r="F2929" s="10" t="str">
        <f t="shared" si="142"/>
        <v>Hernández</v>
      </c>
      <c r="G2929" s="8">
        <v>1</v>
      </c>
      <c r="H2929" s="11">
        <v>400</v>
      </c>
      <c r="I2929" s="12">
        <v>42722</v>
      </c>
      <c r="J2929" s="35">
        <f t="shared" si="138"/>
        <v>0</v>
      </c>
      <c r="K2929" s="36"/>
      <c r="L2929" s="36"/>
      <c r="M2929" s="36"/>
      <c r="N2929" s="36"/>
      <c r="O2929" s="36"/>
      <c r="P2929" s="36"/>
      <c r="Q2929" s="36"/>
      <c r="R2929" s="36"/>
      <c r="S2929" s="36"/>
      <c r="T2929" s="36"/>
      <c r="U2929" s="36"/>
      <c r="V2929" s="36">
        <v>400</v>
      </c>
      <c r="W2929" s="15">
        <f t="shared" si="139"/>
        <v>400</v>
      </c>
      <c r="X2929" s="36"/>
      <c r="Y2929" s="36"/>
      <c r="Z2929" s="36"/>
      <c r="AA2929" s="36"/>
      <c r="AB2929" s="36"/>
      <c r="AC2929" s="36"/>
      <c r="AD2929" s="36"/>
      <c r="AE2929" s="36"/>
      <c r="AF2929" s="36"/>
      <c r="AG2929" s="36"/>
      <c r="AH2929" s="36"/>
      <c r="AI2929" s="36"/>
      <c r="AJ2929" s="15">
        <f t="shared" si="140"/>
        <v>0</v>
      </c>
      <c r="AK2929" s="16"/>
    </row>
    <row r="2930" spans="2:38" x14ac:dyDescent="0.2">
      <c r="B2930" s="7"/>
      <c r="C2930" s="8">
        <v>13465</v>
      </c>
      <c r="D2930" s="9" t="s">
        <v>65</v>
      </c>
      <c r="E2930" s="10" t="str">
        <f t="shared" si="141"/>
        <v>Rancho La Cuchilla No. 141</v>
      </c>
      <c r="F2930" s="10" t="str">
        <f t="shared" si="142"/>
        <v>Salazar Torres</v>
      </c>
      <c r="G2930" s="8">
        <v>1</v>
      </c>
      <c r="H2930" s="11">
        <v>4400</v>
      </c>
      <c r="I2930" s="12">
        <v>42722</v>
      </c>
      <c r="J2930" s="35">
        <f t="shared" si="138"/>
        <v>0</v>
      </c>
      <c r="K2930" s="36"/>
      <c r="L2930" s="36"/>
      <c r="M2930" s="36"/>
      <c r="N2930" s="36"/>
      <c r="O2930" s="36"/>
      <c r="P2930" s="36"/>
      <c r="Q2930" s="36"/>
      <c r="R2930" s="36"/>
      <c r="S2930" s="36"/>
      <c r="T2930" s="36"/>
      <c r="U2930" s="36"/>
      <c r="V2930" s="36"/>
      <c r="W2930" s="15">
        <f t="shared" si="139"/>
        <v>0</v>
      </c>
      <c r="X2930" s="36">
        <v>400</v>
      </c>
      <c r="Y2930" s="36">
        <v>400</v>
      </c>
      <c r="Z2930" s="36">
        <v>400</v>
      </c>
      <c r="AA2930" s="36">
        <v>400</v>
      </c>
      <c r="AB2930" s="36">
        <v>400</v>
      </c>
      <c r="AC2930" s="36">
        <v>400</v>
      </c>
      <c r="AD2930" s="36">
        <v>400</v>
      </c>
      <c r="AE2930" s="36">
        <v>400</v>
      </c>
      <c r="AF2930" s="36">
        <v>400</v>
      </c>
      <c r="AG2930" s="36">
        <v>400</v>
      </c>
      <c r="AH2930" s="36">
        <v>400</v>
      </c>
      <c r="AI2930" s="36"/>
      <c r="AJ2930" s="15">
        <f t="shared" si="140"/>
        <v>4400</v>
      </c>
      <c r="AK2930" s="16" t="s">
        <v>3188</v>
      </c>
    </row>
    <row r="2931" spans="2:38" x14ac:dyDescent="0.2">
      <c r="B2931" s="7"/>
      <c r="C2931" s="8">
        <v>13466</v>
      </c>
      <c r="D2931" s="9" t="s">
        <v>349</v>
      </c>
      <c r="E2931" s="10" t="str">
        <f t="shared" si="141"/>
        <v>Rancho La Cuchilla No. 15</v>
      </c>
      <c r="F2931" s="10" t="str">
        <f t="shared" si="142"/>
        <v>Guerrero Ponce</v>
      </c>
      <c r="G2931" s="8">
        <v>1</v>
      </c>
      <c r="H2931" s="11">
        <v>600</v>
      </c>
      <c r="I2931" s="12">
        <v>42722</v>
      </c>
      <c r="J2931" s="35">
        <f t="shared" si="138"/>
        <v>0</v>
      </c>
      <c r="K2931" s="36"/>
      <c r="L2931" s="36"/>
      <c r="M2931" s="36"/>
      <c r="N2931" s="36"/>
      <c r="O2931" s="36"/>
      <c r="P2931" s="36"/>
      <c r="Q2931" s="36"/>
      <c r="R2931" s="36"/>
      <c r="S2931" s="36"/>
      <c r="T2931" s="36"/>
      <c r="U2931" s="36">
        <v>300</v>
      </c>
      <c r="V2931" s="36">
        <v>300</v>
      </c>
      <c r="W2931" s="15">
        <f t="shared" si="139"/>
        <v>600</v>
      </c>
      <c r="X2931" s="36"/>
      <c r="Y2931" s="36"/>
      <c r="Z2931" s="36"/>
      <c r="AA2931" s="36"/>
      <c r="AB2931" s="36"/>
      <c r="AC2931" s="36"/>
      <c r="AD2931" s="36"/>
      <c r="AE2931" s="36"/>
      <c r="AF2931" s="36"/>
      <c r="AG2931" s="36"/>
      <c r="AH2931" s="36"/>
      <c r="AI2931" s="36"/>
      <c r="AJ2931" s="15">
        <f t="shared" si="140"/>
        <v>0</v>
      </c>
      <c r="AK2931" s="16"/>
    </row>
    <row r="2932" spans="2:38" x14ac:dyDescent="0.2">
      <c r="B2932" s="7"/>
      <c r="C2932" s="8">
        <v>13467</v>
      </c>
      <c r="D2932" s="9" t="s">
        <v>672</v>
      </c>
      <c r="E2932" s="10" t="str">
        <f t="shared" si="141"/>
        <v>Rancho Estanzuela No. 11, B</v>
      </c>
      <c r="F2932" s="10" t="str">
        <f t="shared" si="142"/>
        <v>Gómez Miguel</v>
      </c>
      <c r="G2932" s="8">
        <v>1</v>
      </c>
      <c r="H2932" s="11">
        <v>400</v>
      </c>
      <c r="I2932" s="12">
        <v>42722</v>
      </c>
      <c r="J2932" s="35">
        <f t="shared" si="138"/>
        <v>0</v>
      </c>
      <c r="K2932" s="36"/>
      <c r="L2932" s="36"/>
      <c r="M2932" s="36"/>
      <c r="N2932" s="36"/>
      <c r="O2932" s="36"/>
      <c r="P2932" s="36"/>
      <c r="Q2932" s="36"/>
      <c r="R2932" s="36"/>
      <c r="S2932" s="36"/>
      <c r="T2932" s="36"/>
      <c r="U2932" s="36">
        <v>200</v>
      </c>
      <c r="V2932" s="36">
        <v>200</v>
      </c>
      <c r="W2932" s="15">
        <f t="shared" si="139"/>
        <v>400</v>
      </c>
      <c r="X2932" s="36"/>
      <c r="Y2932" s="36"/>
      <c r="Z2932" s="36"/>
      <c r="AA2932" s="36"/>
      <c r="AB2932" s="36"/>
      <c r="AC2932" s="36"/>
      <c r="AD2932" s="36"/>
      <c r="AE2932" s="36"/>
      <c r="AF2932" s="36"/>
      <c r="AG2932" s="36"/>
      <c r="AH2932" s="36"/>
      <c r="AI2932" s="36"/>
      <c r="AJ2932" s="15">
        <f t="shared" si="140"/>
        <v>0</v>
      </c>
      <c r="AK2932" s="16"/>
    </row>
    <row r="2933" spans="2:38" x14ac:dyDescent="0.2">
      <c r="B2933" s="7"/>
      <c r="C2933" s="8">
        <v>13468</v>
      </c>
      <c r="D2933" s="9" t="s">
        <v>331</v>
      </c>
      <c r="E2933" s="10" t="str">
        <f t="shared" si="141"/>
        <v>Rancho Recoveco No. 197</v>
      </c>
      <c r="F2933" s="10" t="str">
        <f t="shared" si="142"/>
        <v>Colín González</v>
      </c>
      <c r="G2933" s="8">
        <v>3</v>
      </c>
      <c r="H2933" s="11">
        <v>200</v>
      </c>
      <c r="I2933" s="12">
        <v>42722</v>
      </c>
      <c r="J2933" s="35">
        <f t="shared" si="138"/>
        <v>0</v>
      </c>
      <c r="K2933" s="36"/>
      <c r="L2933" s="36"/>
      <c r="M2933" s="36"/>
      <c r="N2933" s="36"/>
      <c r="O2933" s="36"/>
      <c r="P2933" s="36"/>
      <c r="Q2933" s="36"/>
      <c r="R2933" s="36"/>
      <c r="S2933" s="36"/>
      <c r="T2933" s="36"/>
      <c r="U2933" s="36"/>
      <c r="V2933" s="36"/>
      <c r="W2933" s="15">
        <f t="shared" si="139"/>
        <v>0</v>
      </c>
      <c r="X2933" s="36"/>
      <c r="Y2933" s="36"/>
      <c r="Z2933" s="36"/>
      <c r="AA2933" s="36"/>
      <c r="AB2933" s="36"/>
      <c r="AC2933" s="36"/>
      <c r="AD2933" s="36"/>
      <c r="AE2933" s="36"/>
      <c r="AF2933" s="36"/>
      <c r="AG2933" s="36"/>
      <c r="AH2933" s="36"/>
      <c r="AI2933" s="36"/>
      <c r="AJ2933" s="15">
        <f t="shared" si="140"/>
        <v>0</v>
      </c>
      <c r="AK2933" s="16"/>
    </row>
    <row r="2934" spans="2:38" x14ac:dyDescent="0.2">
      <c r="B2934" s="7"/>
      <c r="C2934" s="8">
        <v>13469</v>
      </c>
      <c r="D2934" s="9" t="s">
        <v>1137</v>
      </c>
      <c r="E2934" s="10" t="str">
        <f t="shared" si="141"/>
        <v>Rancho La Cuchilla No. 7, 101</v>
      </c>
      <c r="F2934" s="10" t="str">
        <f t="shared" si="142"/>
        <v>Olivares</v>
      </c>
      <c r="G2934" s="8">
        <v>1</v>
      </c>
      <c r="H2934" s="11">
        <v>300</v>
      </c>
      <c r="I2934" s="12">
        <v>42722</v>
      </c>
      <c r="J2934" s="35">
        <f t="shared" si="138"/>
        <v>0</v>
      </c>
      <c r="K2934" s="36"/>
      <c r="L2934" s="36"/>
      <c r="M2934" s="36"/>
      <c r="N2934" s="36"/>
      <c r="O2934" s="36"/>
      <c r="P2934" s="36"/>
      <c r="Q2934" s="36"/>
      <c r="R2934" s="36"/>
      <c r="S2934" s="36"/>
      <c r="T2934" s="36">
        <v>100</v>
      </c>
      <c r="U2934" s="36">
        <v>100</v>
      </c>
      <c r="V2934" s="36">
        <v>100</v>
      </c>
      <c r="W2934" s="15">
        <f t="shared" si="139"/>
        <v>300</v>
      </c>
      <c r="X2934" s="36"/>
      <c r="Y2934" s="36"/>
      <c r="Z2934" s="36"/>
      <c r="AA2934" s="36"/>
      <c r="AB2934" s="36"/>
      <c r="AC2934" s="36"/>
      <c r="AD2934" s="36"/>
      <c r="AE2934" s="36"/>
      <c r="AF2934" s="36"/>
      <c r="AG2934" s="36"/>
      <c r="AH2934" s="36"/>
      <c r="AI2934" s="36"/>
      <c r="AJ2934" s="15">
        <f t="shared" si="140"/>
        <v>0</v>
      </c>
      <c r="AK2934" s="16"/>
    </row>
    <row r="2935" spans="2:38" x14ac:dyDescent="0.2">
      <c r="B2935" s="7" t="s">
        <v>3294</v>
      </c>
      <c r="C2935" s="348">
        <v>13501</v>
      </c>
      <c r="D2935" s="9" t="s">
        <v>398</v>
      </c>
      <c r="E2935" s="10" t="str">
        <f t="shared" si="141"/>
        <v>Rancho Estanzuela No. 151</v>
      </c>
      <c r="F2935" s="10" t="str">
        <f t="shared" si="142"/>
        <v>Pérez Salazar</v>
      </c>
      <c r="G2935" s="8">
        <v>1</v>
      </c>
      <c r="H2935" s="11">
        <v>400</v>
      </c>
      <c r="I2935" s="12">
        <v>42722</v>
      </c>
      <c r="J2935" s="35">
        <f t="shared" si="138"/>
        <v>0</v>
      </c>
      <c r="K2935" s="36"/>
      <c r="L2935" s="36"/>
      <c r="M2935" s="36"/>
      <c r="N2935" s="36"/>
      <c r="O2935" s="36"/>
      <c r="P2935" s="36"/>
      <c r="Q2935" s="36"/>
      <c r="R2935" s="36"/>
      <c r="S2935" s="36"/>
      <c r="T2935" s="36"/>
      <c r="U2935" s="36"/>
      <c r="V2935" s="36">
        <v>400</v>
      </c>
      <c r="W2935" s="15">
        <f t="shared" si="139"/>
        <v>400</v>
      </c>
      <c r="X2935" s="36"/>
      <c r="Y2935" s="36"/>
      <c r="Z2935" s="36"/>
      <c r="AA2935" s="36"/>
      <c r="AB2935" s="36"/>
      <c r="AC2935" s="36"/>
      <c r="AD2935" s="36"/>
      <c r="AE2935" s="36"/>
      <c r="AF2935" s="36"/>
      <c r="AG2935" s="36"/>
      <c r="AH2935" s="36"/>
      <c r="AI2935" s="36"/>
      <c r="AJ2935" s="15">
        <f t="shared" si="140"/>
        <v>0</v>
      </c>
      <c r="AK2935" s="16"/>
    </row>
    <row r="2936" spans="2:38" x14ac:dyDescent="0.2">
      <c r="B2936" s="7"/>
      <c r="C2936" s="348">
        <v>13502</v>
      </c>
      <c r="D2936" s="9" t="s">
        <v>54</v>
      </c>
      <c r="E2936" s="10" t="str">
        <f t="shared" si="141"/>
        <v>Rancho La Cuchilla No. 80</v>
      </c>
      <c r="F2936" s="10" t="str">
        <f t="shared" si="142"/>
        <v>Aparicio</v>
      </c>
      <c r="G2936" s="8">
        <v>1</v>
      </c>
      <c r="H2936" s="11">
        <v>4400</v>
      </c>
      <c r="I2936" s="12">
        <v>42722</v>
      </c>
      <c r="J2936" s="35">
        <f t="shared" si="138"/>
        <v>0</v>
      </c>
      <c r="K2936" s="36"/>
      <c r="L2936" s="36"/>
      <c r="M2936" s="36"/>
      <c r="N2936" s="36"/>
      <c r="O2936" s="36"/>
      <c r="P2936" s="36"/>
      <c r="Q2936" s="36"/>
      <c r="R2936" s="36"/>
      <c r="S2936" s="36"/>
      <c r="T2936" s="36"/>
      <c r="U2936" s="36"/>
      <c r="V2936" s="36"/>
      <c r="W2936" s="15">
        <f t="shared" si="139"/>
        <v>0</v>
      </c>
      <c r="X2936" s="36">
        <v>400</v>
      </c>
      <c r="Y2936" s="36">
        <v>400</v>
      </c>
      <c r="Z2936" s="36">
        <v>400</v>
      </c>
      <c r="AA2936" s="36">
        <v>400</v>
      </c>
      <c r="AB2936" s="36">
        <v>400</v>
      </c>
      <c r="AC2936" s="36">
        <v>400</v>
      </c>
      <c r="AD2936" s="36">
        <v>400</v>
      </c>
      <c r="AE2936" s="36">
        <v>400</v>
      </c>
      <c r="AF2936" s="36">
        <v>400</v>
      </c>
      <c r="AG2936" s="36">
        <v>400</v>
      </c>
      <c r="AH2936" s="36">
        <v>400</v>
      </c>
      <c r="AI2936" s="36"/>
      <c r="AJ2936" s="15">
        <f t="shared" si="140"/>
        <v>4400</v>
      </c>
      <c r="AK2936" s="16" t="s">
        <v>3188</v>
      </c>
      <c r="AL2936" t="s">
        <v>3296</v>
      </c>
    </row>
    <row r="2937" spans="2:38" x14ac:dyDescent="0.2">
      <c r="B2937" s="7"/>
      <c r="C2937" s="348">
        <v>13503</v>
      </c>
      <c r="D2937" s="9" t="s">
        <v>874</v>
      </c>
      <c r="E2937" s="10" t="str">
        <f t="shared" si="141"/>
        <v>Rancho Zinamba No. 46</v>
      </c>
      <c r="F2937" s="10" t="str">
        <f t="shared" si="142"/>
        <v>Olguín</v>
      </c>
      <c r="G2937" s="8">
        <v>1</v>
      </c>
      <c r="H2937" s="11">
        <v>200</v>
      </c>
      <c r="I2937" s="12">
        <v>42722</v>
      </c>
      <c r="J2937" s="35">
        <f t="shared" si="138"/>
        <v>0</v>
      </c>
      <c r="K2937" s="36"/>
      <c r="L2937" s="36"/>
      <c r="M2937" s="36"/>
      <c r="N2937" s="36"/>
      <c r="O2937" s="36"/>
      <c r="P2937" s="36"/>
      <c r="Q2937" s="36"/>
      <c r="R2937" s="36"/>
      <c r="S2937" s="36"/>
      <c r="T2937" s="36"/>
      <c r="U2937" s="36"/>
      <c r="V2937" s="36">
        <v>200</v>
      </c>
      <c r="W2937" s="15">
        <f t="shared" si="139"/>
        <v>200</v>
      </c>
      <c r="X2937" s="36"/>
      <c r="Y2937" s="36"/>
      <c r="Z2937" s="36"/>
      <c r="AA2937" s="36"/>
      <c r="AB2937" s="36"/>
      <c r="AC2937" s="36"/>
      <c r="AD2937" s="36"/>
      <c r="AE2937" s="36"/>
      <c r="AF2937" s="36"/>
      <c r="AG2937" s="36"/>
      <c r="AH2937" s="36"/>
      <c r="AI2937" s="36"/>
      <c r="AJ2937" s="15">
        <f t="shared" si="140"/>
        <v>0</v>
      </c>
      <c r="AK2937" s="16"/>
    </row>
    <row r="2938" spans="2:38" x14ac:dyDescent="0.2">
      <c r="B2938" s="7"/>
      <c r="C2938" s="348">
        <v>13504</v>
      </c>
      <c r="D2938" s="9" t="s">
        <v>422</v>
      </c>
      <c r="E2938" s="10" t="str">
        <f t="shared" si="141"/>
        <v>Rancho Recoveco No. 183</v>
      </c>
      <c r="F2938" s="10" t="str">
        <f t="shared" si="142"/>
        <v>Atilano Limón</v>
      </c>
      <c r="G2938" s="8">
        <v>5</v>
      </c>
      <c r="H2938" s="11">
        <v>50</v>
      </c>
      <c r="I2938" s="12">
        <v>42722</v>
      </c>
      <c r="J2938" s="35">
        <f t="shared" si="138"/>
        <v>0</v>
      </c>
      <c r="K2938" s="36"/>
      <c r="L2938" s="36"/>
      <c r="M2938" s="36"/>
      <c r="N2938" s="36"/>
      <c r="O2938" s="36"/>
      <c r="P2938" s="36"/>
      <c r="Q2938" s="36"/>
      <c r="R2938" s="36"/>
      <c r="S2938" s="36"/>
      <c r="T2938" s="36"/>
      <c r="U2938" s="36"/>
      <c r="V2938" s="36"/>
      <c r="W2938" s="15">
        <f t="shared" si="139"/>
        <v>0</v>
      </c>
      <c r="X2938" s="36"/>
      <c r="Y2938" s="36"/>
      <c r="Z2938" s="36"/>
      <c r="AA2938" s="36"/>
      <c r="AB2938" s="36"/>
      <c r="AC2938" s="36"/>
      <c r="AD2938" s="36"/>
      <c r="AE2938" s="36"/>
      <c r="AF2938" s="36"/>
      <c r="AG2938" s="36"/>
      <c r="AH2938" s="36"/>
      <c r="AI2938" s="36"/>
      <c r="AJ2938" s="15">
        <f t="shared" si="140"/>
        <v>0</v>
      </c>
      <c r="AK2938" s="16"/>
    </row>
    <row r="2939" spans="2:38" x14ac:dyDescent="0.2">
      <c r="B2939" s="7"/>
      <c r="C2939" s="348">
        <v>13505</v>
      </c>
      <c r="D2939" s="9" t="s">
        <v>256</v>
      </c>
      <c r="E2939" s="10" t="str">
        <f t="shared" si="141"/>
        <v>Rancho Recoveco No. 179</v>
      </c>
      <c r="F2939" s="10" t="str">
        <f t="shared" si="142"/>
        <v>Flores Delgado</v>
      </c>
      <c r="G2939" s="8">
        <v>1</v>
      </c>
      <c r="H2939" s="11">
        <v>300</v>
      </c>
      <c r="I2939" s="12">
        <v>42722</v>
      </c>
      <c r="J2939" s="35">
        <f t="shared" si="138"/>
        <v>0</v>
      </c>
      <c r="K2939" s="36"/>
      <c r="L2939" s="36"/>
      <c r="M2939" s="36"/>
      <c r="N2939" s="36"/>
      <c r="O2939" s="36"/>
      <c r="P2939" s="36"/>
      <c r="Q2939" s="36"/>
      <c r="R2939" s="36"/>
      <c r="S2939" s="36"/>
      <c r="T2939" s="36"/>
      <c r="U2939" s="36"/>
      <c r="V2939" s="36">
        <v>300</v>
      </c>
      <c r="W2939" s="15">
        <f t="shared" si="139"/>
        <v>300</v>
      </c>
      <c r="X2939" s="36"/>
      <c r="Y2939" s="36"/>
      <c r="Z2939" s="36"/>
      <c r="AA2939" s="36"/>
      <c r="AB2939" s="36"/>
      <c r="AC2939" s="36"/>
      <c r="AD2939" s="36"/>
      <c r="AE2939" s="36"/>
      <c r="AF2939" s="36"/>
      <c r="AG2939" s="36"/>
      <c r="AH2939" s="36"/>
      <c r="AI2939" s="36"/>
      <c r="AJ2939" s="15">
        <f t="shared" si="140"/>
        <v>0</v>
      </c>
      <c r="AK2939" s="16"/>
    </row>
    <row r="2940" spans="2:38" x14ac:dyDescent="0.2">
      <c r="B2940" s="7"/>
      <c r="C2940" s="348">
        <v>13506</v>
      </c>
      <c r="D2940" s="9" t="s">
        <v>301</v>
      </c>
      <c r="E2940" s="10" t="str">
        <f t="shared" si="141"/>
        <v>Rancho Upácuaro No. 51, 2</v>
      </c>
      <c r="F2940" s="10" t="str">
        <f t="shared" si="142"/>
        <v>Gutierrez Colin</v>
      </c>
      <c r="G2940" s="8">
        <v>1</v>
      </c>
      <c r="H2940" s="11">
        <v>200</v>
      </c>
      <c r="I2940" s="12">
        <v>42722</v>
      </c>
      <c r="J2940" s="35">
        <f t="shared" si="138"/>
        <v>0</v>
      </c>
      <c r="K2940" s="36"/>
      <c r="L2940" s="36"/>
      <c r="M2940" s="36"/>
      <c r="N2940" s="36"/>
      <c r="O2940" s="36"/>
      <c r="P2940" s="36"/>
      <c r="Q2940" s="36"/>
      <c r="R2940" s="36"/>
      <c r="S2940" s="36"/>
      <c r="T2940" s="36"/>
      <c r="U2940" s="36"/>
      <c r="V2940" s="36">
        <v>200</v>
      </c>
      <c r="W2940" s="15">
        <f t="shared" si="139"/>
        <v>200</v>
      </c>
      <c r="X2940" s="36"/>
      <c r="Y2940" s="36"/>
      <c r="Z2940" s="36"/>
      <c r="AA2940" s="36"/>
      <c r="AB2940" s="36"/>
      <c r="AC2940" s="36"/>
      <c r="AD2940" s="36"/>
      <c r="AE2940" s="36"/>
      <c r="AF2940" s="36"/>
      <c r="AG2940" s="36"/>
      <c r="AH2940" s="36"/>
      <c r="AI2940" s="36"/>
      <c r="AJ2940" s="15">
        <f t="shared" si="140"/>
        <v>0</v>
      </c>
      <c r="AK2940" s="322">
        <f>SUM(H2895:H2940)</f>
        <v>38250</v>
      </c>
    </row>
    <row r="2941" spans="2:38" x14ac:dyDescent="0.2">
      <c r="B2941" s="7"/>
      <c r="C2941" s="8">
        <v>13470</v>
      </c>
      <c r="D2941" s="349" t="s">
        <v>90</v>
      </c>
      <c r="E2941" s="10" t="str">
        <f t="shared" si="141"/>
        <v>Rancho Estanzuela No. 69</v>
      </c>
      <c r="F2941" s="10" t="str">
        <f t="shared" si="142"/>
        <v>Apaez</v>
      </c>
      <c r="G2941" s="8">
        <v>4</v>
      </c>
      <c r="H2941" s="321">
        <v>200</v>
      </c>
      <c r="I2941" s="12">
        <v>42723</v>
      </c>
      <c r="J2941" s="35">
        <f t="shared" si="138"/>
        <v>0</v>
      </c>
      <c r="K2941" s="36"/>
      <c r="L2941" s="36"/>
      <c r="M2941" s="36"/>
      <c r="N2941" s="36"/>
      <c r="O2941" s="36"/>
      <c r="P2941" s="36"/>
      <c r="Q2941" s="36"/>
      <c r="R2941" s="36"/>
      <c r="S2941" s="36"/>
      <c r="T2941" s="36"/>
      <c r="U2941" s="36"/>
      <c r="V2941" s="36"/>
      <c r="W2941" s="15">
        <f t="shared" si="139"/>
        <v>0</v>
      </c>
      <c r="X2941" s="36"/>
      <c r="Y2941" s="36"/>
      <c r="Z2941" s="36"/>
      <c r="AA2941" s="36"/>
      <c r="AB2941" s="36"/>
      <c r="AC2941" s="36"/>
      <c r="AD2941" s="36"/>
      <c r="AE2941" s="36"/>
      <c r="AF2941" s="36"/>
      <c r="AG2941" s="36"/>
      <c r="AH2941" s="36"/>
      <c r="AI2941" s="36"/>
      <c r="AJ2941" s="15">
        <f t="shared" si="140"/>
        <v>0</v>
      </c>
      <c r="AK2941" s="16" t="s">
        <v>3321</v>
      </c>
    </row>
    <row r="2942" spans="2:38" x14ac:dyDescent="0.2">
      <c r="B2942" s="7" t="s">
        <v>3322</v>
      </c>
      <c r="C2942" s="8">
        <v>13471</v>
      </c>
      <c r="D2942" s="9" t="s">
        <v>571</v>
      </c>
      <c r="E2942" s="10" t="str">
        <f t="shared" ref="E2942:E2950" si="143">IF(D2942=0,"",VLOOKUP(D2942,BASE,2,FALSE))</f>
        <v>Rancho Estanzuela No. 15, A</v>
      </c>
      <c r="F2942" s="10" t="str">
        <f t="shared" ref="F2942:F2950" si="144">IF(D2942=0,"",VLOOKUP(D2942,BASE,3,FALSE))</f>
        <v>González</v>
      </c>
      <c r="G2942" s="8">
        <v>1</v>
      </c>
      <c r="H2942" s="11">
        <v>200</v>
      </c>
      <c r="I2942" s="12">
        <v>42726</v>
      </c>
      <c r="J2942" s="35">
        <f t="shared" ref="J2942:J2950" si="145">IF(G2942=1,SUM(W2942,AJ2942,-H2942),0)</f>
        <v>0</v>
      </c>
      <c r="K2942" s="36"/>
      <c r="L2942" s="36"/>
      <c r="M2942" s="36"/>
      <c r="N2942" s="36"/>
      <c r="O2942" s="36"/>
      <c r="P2942" s="36"/>
      <c r="Q2942" s="36"/>
      <c r="R2942" s="36"/>
      <c r="S2942" s="36"/>
      <c r="T2942" s="36"/>
      <c r="U2942" s="36">
        <v>200</v>
      </c>
      <c r="V2942" s="36"/>
      <c r="W2942" s="15">
        <f t="shared" ref="W2942:W2950" si="146">SUM(K2942:V2942)</f>
        <v>200</v>
      </c>
      <c r="X2942" s="36"/>
      <c r="Y2942" s="36"/>
      <c r="Z2942" s="36"/>
      <c r="AA2942" s="36"/>
      <c r="AB2942" s="36"/>
      <c r="AC2942" s="36"/>
      <c r="AD2942" s="36"/>
      <c r="AE2942" s="36"/>
      <c r="AF2942" s="36"/>
      <c r="AG2942" s="36"/>
      <c r="AH2942" s="36"/>
      <c r="AI2942" s="36"/>
      <c r="AJ2942" s="15">
        <f t="shared" ref="AJ2942:AJ2950" si="147">SUM(X2942:AI2942)</f>
        <v>0</v>
      </c>
      <c r="AK2942" s="16"/>
    </row>
    <row r="2943" spans="2:38" x14ac:dyDescent="0.2">
      <c r="B2943" s="7" t="s">
        <v>3322</v>
      </c>
      <c r="C2943" s="8">
        <v>13472</v>
      </c>
      <c r="D2943" s="9" t="s">
        <v>208</v>
      </c>
      <c r="E2943" s="10" t="str">
        <f t="shared" si="143"/>
        <v>Rancho La Cuchilla No. 29</v>
      </c>
      <c r="F2943" s="10" t="str">
        <f t="shared" si="144"/>
        <v>Vega Sánchez C.</v>
      </c>
      <c r="G2943" s="8">
        <v>1</v>
      </c>
      <c r="H2943" s="11">
        <v>1200</v>
      </c>
      <c r="I2943" s="12">
        <v>42726</v>
      </c>
      <c r="J2943" s="35">
        <f t="shared" si="145"/>
        <v>0</v>
      </c>
      <c r="K2943" s="36"/>
      <c r="L2943" s="36"/>
      <c r="M2943" s="36"/>
      <c r="N2943" s="36">
        <v>400</v>
      </c>
      <c r="O2943" s="36">
        <v>400</v>
      </c>
      <c r="P2943" s="36">
        <v>400</v>
      </c>
      <c r="Q2943" s="36"/>
      <c r="R2943" s="36"/>
      <c r="S2943" s="36"/>
      <c r="T2943" s="36"/>
      <c r="U2943" s="36"/>
      <c r="V2943" s="36"/>
      <c r="W2943" s="15">
        <f t="shared" si="146"/>
        <v>1200</v>
      </c>
      <c r="X2943" s="36"/>
      <c r="Y2943" s="36"/>
      <c r="Z2943" s="36"/>
      <c r="AA2943" s="36"/>
      <c r="AB2943" s="36"/>
      <c r="AC2943" s="36"/>
      <c r="AD2943" s="36"/>
      <c r="AE2943" s="36"/>
      <c r="AF2943" s="36"/>
      <c r="AG2943" s="36"/>
      <c r="AH2943" s="36"/>
      <c r="AI2943" s="36"/>
      <c r="AJ2943" s="15">
        <f t="shared" si="147"/>
        <v>0</v>
      </c>
      <c r="AK2943" s="16"/>
    </row>
    <row r="2944" spans="2:38" x14ac:dyDescent="0.2">
      <c r="B2944" s="7" t="s">
        <v>3322</v>
      </c>
      <c r="C2944" s="8">
        <v>13473</v>
      </c>
      <c r="D2944" s="9" t="s">
        <v>211</v>
      </c>
      <c r="E2944" s="10" t="str">
        <f t="shared" si="143"/>
        <v>Rancho Upácuaro No. 46</v>
      </c>
      <c r="F2944" s="10" t="str">
        <f t="shared" si="144"/>
        <v>Fuentes</v>
      </c>
      <c r="G2944" s="8">
        <v>1</v>
      </c>
      <c r="H2944" s="11">
        <v>300</v>
      </c>
      <c r="I2944" s="12">
        <v>42726</v>
      </c>
      <c r="J2944" s="35">
        <f t="shared" si="145"/>
        <v>0</v>
      </c>
      <c r="K2944" s="36"/>
      <c r="L2944" s="36"/>
      <c r="M2944" s="36"/>
      <c r="N2944" s="36"/>
      <c r="O2944" s="36"/>
      <c r="P2944" s="36"/>
      <c r="Q2944" s="36"/>
      <c r="R2944" s="36"/>
      <c r="S2944" s="36"/>
      <c r="T2944" s="36"/>
      <c r="U2944" s="36"/>
      <c r="V2944" s="36">
        <v>300</v>
      </c>
      <c r="W2944" s="15">
        <f t="shared" si="146"/>
        <v>300</v>
      </c>
      <c r="X2944" s="36"/>
      <c r="Y2944" s="36"/>
      <c r="Z2944" s="36"/>
      <c r="AA2944" s="36"/>
      <c r="AB2944" s="36"/>
      <c r="AC2944" s="36"/>
      <c r="AD2944" s="36"/>
      <c r="AE2944" s="36"/>
      <c r="AF2944" s="36"/>
      <c r="AG2944" s="36"/>
      <c r="AH2944" s="36"/>
      <c r="AI2944" s="36"/>
      <c r="AJ2944" s="15">
        <f t="shared" si="147"/>
        <v>0</v>
      </c>
      <c r="AK2944" s="16"/>
    </row>
    <row r="2945" spans="2:37" x14ac:dyDescent="0.2">
      <c r="B2945" s="7"/>
      <c r="C2945" s="8">
        <v>13474</v>
      </c>
      <c r="D2945" s="9" t="s">
        <v>861</v>
      </c>
      <c r="E2945" s="10" t="str">
        <f t="shared" si="143"/>
        <v>Rancho La Cuchilla No. 7, 202</v>
      </c>
      <c r="F2945" s="10" t="str">
        <f t="shared" si="144"/>
        <v>Carbajal Zayas</v>
      </c>
      <c r="G2945" s="8">
        <v>3</v>
      </c>
      <c r="H2945" s="11">
        <v>200</v>
      </c>
      <c r="I2945" s="12">
        <v>42726</v>
      </c>
      <c r="J2945" s="35">
        <f t="shared" si="145"/>
        <v>0</v>
      </c>
      <c r="K2945" s="36"/>
      <c r="L2945" s="36"/>
      <c r="M2945" s="36"/>
      <c r="N2945" s="36"/>
      <c r="O2945" s="36"/>
      <c r="P2945" s="36"/>
      <c r="Q2945" s="36"/>
      <c r="R2945" s="36"/>
      <c r="S2945" s="36"/>
      <c r="T2945" s="36"/>
      <c r="U2945" s="36"/>
      <c r="V2945" s="36"/>
      <c r="W2945" s="15">
        <f t="shared" si="146"/>
        <v>0</v>
      </c>
      <c r="X2945" s="36"/>
      <c r="Y2945" s="36"/>
      <c r="Z2945" s="36"/>
      <c r="AA2945" s="36"/>
      <c r="AB2945" s="36"/>
      <c r="AC2945" s="36"/>
      <c r="AD2945" s="36"/>
      <c r="AE2945" s="36"/>
      <c r="AF2945" s="36"/>
      <c r="AG2945" s="36"/>
      <c r="AH2945" s="36"/>
      <c r="AI2945" s="36"/>
      <c r="AJ2945" s="15">
        <f t="shared" si="147"/>
        <v>0</v>
      </c>
      <c r="AK2945" s="16"/>
    </row>
    <row r="2946" spans="2:37" x14ac:dyDescent="0.2">
      <c r="B2946" s="7"/>
      <c r="C2946" s="8">
        <v>13475</v>
      </c>
      <c r="D2946" s="9" t="s">
        <v>871</v>
      </c>
      <c r="E2946" s="10" t="str">
        <f t="shared" si="143"/>
        <v>Rancho Upácuaro No. 68</v>
      </c>
      <c r="F2946" s="10" t="str">
        <f t="shared" si="144"/>
        <v>Colin Guerrero</v>
      </c>
      <c r="G2946" s="8">
        <v>1</v>
      </c>
      <c r="H2946" s="11">
        <v>400</v>
      </c>
      <c r="I2946" s="12">
        <v>42727</v>
      </c>
      <c r="J2946" s="35">
        <f t="shared" si="145"/>
        <v>0</v>
      </c>
      <c r="K2946" s="36"/>
      <c r="L2946" s="36"/>
      <c r="M2946" s="36"/>
      <c r="N2946" s="36">
        <v>200</v>
      </c>
      <c r="O2946" s="36"/>
      <c r="P2946" s="36"/>
      <c r="Q2946" s="36"/>
      <c r="R2946" s="36">
        <v>200</v>
      </c>
      <c r="S2946" s="36"/>
      <c r="T2946" s="36"/>
      <c r="U2946" s="36"/>
      <c r="V2946" s="36"/>
      <c r="W2946" s="15">
        <f t="shared" si="146"/>
        <v>400</v>
      </c>
      <c r="X2946" s="36"/>
      <c r="Y2946" s="36"/>
      <c r="Z2946" s="36"/>
      <c r="AA2946" s="36"/>
      <c r="AB2946" s="36"/>
      <c r="AC2946" s="36"/>
      <c r="AD2946" s="36"/>
      <c r="AE2946" s="36"/>
      <c r="AF2946" s="36"/>
      <c r="AG2946" s="36"/>
      <c r="AH2946" s="36"/>
      <c r="AI2946" s="36"/>
      <c r="AJ2946" s="15">
        <f t="shared" si="147"/>
        <v>0</v>
      </c>
      <c r="AK2946" s="16"/>
    </row>
    <row r="2947" spans="2:37" x14ac:dyDescent="0.2">
      <c r="B2947" s="7"/>
      <c r="C2947" s="8">
        <v>13476</v>
      </c>
      <c r="D2947" s="9" t="s">
        <v>115</v>
      </c>
      <c r="E2947" s="10" t="str">
        <f t="shared" si="143"/>
        <v>Rancho Estanzuela No. 127</v>
      </c>
      <c r="F2947" s="10" t="str">
        <f t="shared" si="144"/>
        <v>Luna Zepeda</v>
      </c>
      <c r="G2947" s="8">
        <v>1</v>
      </c>
      <c r="H2947" s="11">
        <v>150</v>
      </c>
      <c r="I2947" s="12">
        <v>42729</v>
      </c>
      <c r="J2947" s="35">
        <f t="shared" si="145"/>
        <v>0</v>
      </c>
      <c r="K2947" s="36"/>
      <c r="L2947" s="36"/>
      <c r="M2947" s="36"/>
      <c r="N2947" s="36"/>
      <c r="O2947" s="36"/>
      <c r="P2947" s="36"/>
      <c r="Q2947" s="36"/>
      <c r="R2947" s="36"/>
      <c r="S2947" s="36"/>
      <c r="T2947" s="36"/>
      <c r="U2947" s="36"/>
      <c r="V2947" s="36">
        <v>150</v>
      </c>
      <c r="W2947" s="15">
        <f t="shared" si="146"/>
        <v>150</v>
      </c>
      <c r="X2947" s="36"/>
      <c r="Y2947" s="36"/>
      <c r="Z2947" s="36"/>
      <c r="AA2947" s="36"/>
      <c r="AB2947" s="36"/>
      <c r="AC2947" s="36"/>
      <c r="AD2947" s="36"/>
      <c r="AE2947" s="36"/>
      <c r="AF2947" s="36"/>
      <c r="AG2947" s="36"/>
      <c r="AH2947" s="36"/>
      <c r="AI2947" s="36"/>
      <c r="AJ2947" s="15">
        <f t="shared" si="147"/>
        <v>0</v>
      </c>
      <c r="AK2947" s="16"/>
    </row>
    <row r="2948" spans="2:37" x14ac:dyDescent="0.2">
      <c r="B2948" s="7"/>
      <c r="C2948" s="8">
        <v>13477</v>
      </c>
      <c r="D2948" s="9" t="s">
        <v>568</v>
      </c>
      <c r="E2948" s="10" t="str">
        <f t="shared" si="143"/>
        <v>Rancho Landero No. 95</v>
      </c>
      <c r="F2948" s="10" t="str">
        <f t="shared" si="144"/>
        <v>Rivas Rangel</v>
      </c>
      <c r="G2948" s="8">
        <v>1</v>
      </c>
      <c r="H2948" s="11">
        <v>500</v>
      </c>
      <c r="I2948" s="12">
        <v>42729</v>
      </c>
      <c r="J2948" s="35">
        <f t="shared" si="145"/>
        <v>0</v>
      </c>
      <c r="K2948" s="36"/>
      <c r="L2948" s="36"/>
      <c r="M2948" s="36"/>
      <c r="N2948" s="36"/>
      <c r="O2948" s="36"/>
      <c r="P2948" s="36"/>
      <c r="Q2948" s="36">
        <v>100</v>
      </c>
      <c r="R2948" s="36"/>
      <c r="S2948" s="36"/>
      <c r="T2948" s="36"/>
      <c r="U2948" s="36"/>
      <c r="V2948" s="36">
        <v>400</v>
      </c>
      <c r="W2948" s="15">
        <f t="shared" si="146"/>
        <v>500</v>
      </c>
      <c r="X2948" s="36"/>
      <c r="Y2948" s="36"/>
      <c r="Z2948" s="36"/>
      <c r="AA2948" s="36"/>
      <c r="AB2948" s="36"/>
      <c r="AC2948" s="36"/>
      <c r="AD2948" s="36"/>
      <c r="AE2948" s="36"/>
      <c r="AF2948" s="36"/>
      <c r="AG2948" s="36"/>
      <c r="AH2948" s="36"/>
      <c r="AI2948" s="36"/>
      <c r="AJ2948" s="15">
        <f t="shared" si="147"/>
        <v>0</v>
      </c>
      <c r="AK2948" s="16"/>
    </row>
    <row r="2949" spans="2:37" x14ac:dyDescent="0.2">
      <c r="B2949" s="7"/>
      <c r="C2949" s="8">
        <v>13478</v>
      </c>
      <c r="D2949" s="9" t="s">
        <v>159</v>
      </c>
      <c r="E2949" s="10" t="str">
        <f t="shared" si="143"/>
        <v>Rancho Zinamba No. 24</v>
      </c>
      <c r="F2949" s="10" t="str">
        <f t="shared" si="144"/>
        <v>Monroy García</v>
      </c>
      <c r="G2949" s="8">
        <v>1</v>
      </c>
      <c r="H2949" s="11">
        <v>400</v>
      </c>
      <c r="I2949" s="12">
        <v>42729</v>
      </c>
      <c r="J2949" s="35">
        <f t="shared" si="145"/>
        <v>0</v>
      </c>
      <c r="K2949" s="36"/>
      <c r="L2949" s="36"/>
      <c r="M2949" s="36"/>
      <c r="N2949" s="36"/>
      <c r="O2949" s="36"/>
      <c r="P2949" s="36"/>
      <c r="Q2949" s="36"/>
      <c r="R2949" s="36"/>
      <c r="S2949" s="36"/>
      <c r="T2949" s="36"/>
      <c r="U2949" s="36"/>
      <c r="V2949" s="36">
        <v>400</v>
      </c>
      <c r="W2949" s="15">
        <f t="shared" si="146"/>
        <v>400</v>
      </c>
      <c r="X2949" s="36"/>
      <c r="Y2949" s="36"/>
      <c r="Z2949" s="36"/>
      <c r="AA2949" s="36"/>
      <c r="AB2949" s="36"/>
      <c r="AC2949" s="36"/>
      <c r="AD2949" s="36"/>
      <c r="AE2949" s="36"/>
      <c r="AF2949" s="36"/>
      <c r="AG2949" s="36"/>
      <c r="AH2949" s="36"/>
      <c r="AI2949" s="36"/>
      <c r="AJ2949" s="15">
        <f t="shared" si="147"/>
        <v>0</v>
      </c>
      <c r="AK2949" s="16"/>
    </row>
    <row r="2950" spans="2:37" x14ac:dyDescent="0.2">
      <c r="B2950" s="7"/>
      <c r="C2950" s="8">
        <v>13479</v>
      </c>
      <c r="D2950" s="9" t="s">
        <v>556</v>
      </c>
      <c r="E2950" s="10" t="str">
        <f t="shared" si="143"/>
        <v>Rancho Zinamba No. 26</v>
      </c>
      <c r="F2950" s="10" t="str">
        <f t="shared" si="144"/>
        <v>Ayala</v>
      </c>
      <c r="G2950" s="8">
        <v>1</v>
      </c>
      <c r="H2950" s="11">
        <v>400</v>
      </c>
      <c r="I2950" s="12">
        <v>42729</v>
      </c>
      <c r="J2950" s="35">
        <f t="shared" si="145"/>
        <v>0</v>
      </c>
      <c r="K2950" s="36"/>
      <c r="L2950" s="36"/>
      <c r="M2950" s="36"/>
      <c r="N2950" s="36"/>
      <c r="O2950" s="36"/>
      <c r="P2950" s="36"/>
      <c r="Q2950" s="36"/>
      <c r="R2950" s="36"/>
      <c r="S2950" s="36"/>
      <c r="T2950" s="36">
        <v>400</v>
      </c>
      <c r="U2950" s="36"/>
      <c r="V2950" s="36"/>
      <c r="W2950" s="15">
        <f t="shared" si="146"/>
        <v>400</v>
      </c>
      <c r="X2950" s="36"/>
      <c r="Y2950" s="36"/>
      <c r="Z2950" s="36"/>
      <c r="AA2950" s="36"/>
      <c r="AB2950" s="36"/>
      <c r="AC2950" s="36"/>
      <c r="AD2950" s="36"/>
      <c r="AE2950" s="36"/>
      <c r="AF2950" s="36"/>
      <c r="AG2950" s="36"/>
      <c r="AH2950" s="36"/>
      <c r="AI2950" s="36"/>
      <c r="AJ2950" s="15">
        <f t="shared" si="147"/>
        <v>0</v>
      </c>
      <c r="AK2950" s="16"/>
    </row>
    <row r="2951" spans="2:37" x14ac:dyDescent="0.2">
      <c r="B2951" s="7"/>
      <c r="C2951" s="8">
        <v>13480</v>
      </c>
      <c r="D2951" s="9" t="s">
        <v>820</v>
      </c>
      <c r="E2951" s="10" t="str">
        <f t="shared" si="141"/>
        <v>Rancho Zinamba No. 84</v>
      </c>
      <c r="F2951" s="10" t="str">
        <f t="shared" si="142"/>
        <v>Lobato</v>
      </c>
      <c r="G2951" s="8">
        <v>1</v>
      </c>
      <c r="H2951" s="11">
        <v>300</v>
      </c>
      <c r="I2951" s="12">
        <v>42729</v>
      </c>
      <c r="J2951" s="35">
        <f t="shared" si="138"/>
        <v>0</v>
      </c>
      <c r="K2951" s="36"/>
      <c r="L2951" s="36"/>
      <c r="M2951" s="36"/>
      <c r="N2951" s="36"/>
      <c r="O2951" s="36"/>
      <c r="P2951" s="36"/>
      <c r="Q2951" s="36"/>
      <c r="R2951" s="36"/>
      <c r="S2951" s="36"/>
      <c r="T2951" s="36"/>
      <c r="U2951" s="36">
        <v>300</v>
      </c>
      <c r="V2951" s="36"/>
      <c r="W2951" s="15">
        <f t="shared" si="139"/>
        <v>300</v>
      </c>
      <c r="X2951" s="36"/>
      <c r="Y2951" s="36"/>
      <c r="Z2951" s="36"/>
      <c r="AA2951" s="36"/>
      <c r="AB2951" s="36"/>
      <c r="AC2951" s="36"/>
      <c r="AD2951" s="36"/>
      <c r="AE2951" s="36"/>
      <c r="AF2951" s="36"/>
      <c r="AG2951" s="36"/>
      <c r="AH2951" s="36"/>
      <c r="AI2951" s="36"/>
      <c r="AJ2951" s="15">
        <f t="shared" si="140"/>
        <v>0</v>
      </c>
      <c r="AK2951" s="16"/>
    </row>
    <row r="2952" spans="2:37" x14ac:dyDescent="0.2">
      <c r="B2952" s="7"/>
      <c r="C2952" s="8">
        <v>13481</v>
      </c>
      <c r="D2952" s="9" t="s">
        <v>259</v>
      </c>
      <c r="E2952" s="10" t="str">
        <f t="shared" si="141"/>
        <v>Rancho Estanzuela No. 55</v>
      </c>
      <c r="F2952" s="10" t="str">
        <f t="shared" si="142"/>
        <v>Rodríguez Acevedo</v>
      </c>
      <c r="G2952" s="8">
        <v>1</v>
      </c>
      <c r="H2952" s="11">
        <v>400</v>
      </c>
      <c r="I2952" s="12">
        <v>42729</v>
      </c>
      <c r="J2952" s="35">
        <f t="shared" si="138"/>
        <v>0</v>
      </c>
      <c r="K2952" s="36"/>
      <c r="L2952" s="36"/>
      <c r="M2952" s="36"/>
      <c r="N2952" s="36"/>
      <c r="O2952" s="36"/>
      <c r="P2952" s="36"/>
      <c r="Q2952" s="36"/>
      <c r="R2952" s="36"/>
      <c r="S2952" s="36"/>
      <c r="T2952" s="36"/>
      <c r="U2952" s="36"/>
      <c r="V2952" s="36">
        <v>400</v>
      </c>
      <c r="W2952" s="15">
        <f t="shared" si="139"/>
        <v>400</v>
      </c>
      <c r="X2952" s="36"/>
      <c r="Y2952" s="36"/>
      <c r="Z2952" s="36"/>
      <c r="AA2952" s="36"/>
      <c r="AB2952" s="36"/>
      <c r="AC2952" s="36"/>
      <c r="AD2952" s="36"/>
      <c r="AE2952" s="36"/>
      <c r="AF2952" s="36"/>
      <c r="AG2952" s="36"/>
      <c r="AH2952" s="36"/>
      <c r="AI2952" s="36"/>
      <c r="AJ2952" s="15">
        <f t="shared" si="140"/>
        <v>0</v>
      </c>
      <c r="AK2952" s="16"/>
    </row>
    <row r="2953" spans="2:37" x14ac:dyDescent="0.2">
      <c r="B2953" s="7"/>
      <c r="C2953" s="8">
        <v>13482</v>
      </c>
      <c r="D2953" s="9" t="s">
        <v>387</v>
      </c>
      <c r="E2953" s="10" t="str">
        <f t="shared" si="141"/>
        <v>Rancho Upácuaro No. 69</v>
      </c>
      <c r="F2953" s="10" t="str">
        <f t="shared" si="142"/>
        <v>Gómez</v>
      </c>
      <c r="G2953" s="8">
        <v>1</v>
      </c>
      <c r="H2953" s="11">
        <v>800</v>
      </c>
      <c r="I2953" s="12">
        <v>42729</v>
      </c>
      <c r="J2953" s="35">
        <f t="shared" si="138"/>
        <v>0</v>
      </c>
      <c r="K2953" s="36"/>
      <c r="L2953" s="36"/>
      <c r="M2953" s="36"/>
      <c r="N2953" s="36"/>
      <c r="O2953" s="36"/>
      <c r="P2953" s="36"/>
      <c r="Q2953" s="36"/>
      <c r="R2953" s="36"/>
      <c r="S2953" s="36"/>
      <c r="T2953" s="36"/>
      <c r="U2953" s="36">
        <v>400</v>
      </c>
      <c r="V2953" s="36">
        <v>400</v>
      </c>
      <c r="W2953" s="15">
        <f t="shared" si="139"/>
        <v>800</v>
      </c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15">
        <f t="shared" si="140"/>
        <v>0</v>
      </c>
      <c r="AK2953" s="16"/>
    </row>
    <row r="2954" spans="2:37" x14ac:dyDescent="0.2">
      <c r="B2954" s="7"/>
      <c r="C2954" s="8">
        <v>13483</v>
      </c>
      <c r="D2954" s="9" t="s">
        <v>944</v>
      </c>
      <c r="E2954" s="10" t="str">
        <f t="shared" si="141"/>
        <v>Rancho Upácuaro No. 104</v>
      </c>
      <c r="F2954" s="10" t="str">
        <f t="shared" si="142"/>
        <v>Jiménez Almazo</v>
      </c>
      <c r="G2954" s="8">
        <v>1</v>
      </c>
      <c r="H2954" s="11">
        <v>200</v>
      </c>
      <c r="I2954" s="12">
        <v>42729</v>
      </c>
      <c r="J2954" s="35">
        <f t="shared" si="138"/>
        <v>0</v>
      </c>
      <c r="K2954" s="36"/>
      <c r="L2954" s="36"/>
      <c r="M2954" s="36"/>
      <c r="N2954" s="36"/>
      <c r="O2954" s="36"/>
      <c r="P2954" s="36"/>
      <c r="Q2954" s="36"/>
      <c r="R2954" s="36"/>
      <c r="S2954" s="36"/>
      <c r="T2954" s="36"/>
      <c r="U2954" s="36">
        <v>100</v>
      </c>
      <c r="V2954" s="36">
        <v>100</v>
      </c>
      <c r="W2954" s="15">
        <f t="shared" si="139"/>
        <v>200</v>
      </c>
      <c r="X2954" s="36"/>
      <c r="Y2954" s="36"/>
      <c r="Z2954" s="36"/>
      <c r="AA2954" s="36"/>
      <c r="AB2954" s="36"/>
      <c r="AC2954" s="36"/>
      <c r="AD2954" s="36"/>
      <c r="AE2954" s="36"/>
      <c r="AF2954" s="36"/>
      <c r="AG2954" s="36"/>
      <c r="AH2954" s="36"/>
      <c r="AI2954" s="36"/>
      <c r="AJ2954" s="15">
        <f t="shared" si="140"/>
        <v>0</v>
      </c>
      <c r="AK2954" s="16"/>
    </row>
    <row r="2955" spans="2:37" x14ac:dyDescent="0.2">
      <c r="B2955" s="7"/>
      <c r="C2955" s="8">
        <v>13483</v>
      </c>
      <c r="D2955" s="9" t="s">
        <v>944</v>
      </c>
      <c r="E2955" s="10" t="str">
        <f t="shared" si="141"/>
        <v>Rancho Upácuaro No. 104</v>
      </c>
      <c r="F2955" s="10" t="str">
        <f t="shared" si="142"/>
        <v>Jiménez Almazo</v>
      </c>
      <c r="G2955" s="8">
        <v>5</v>
      </c>
      <c r="H2955" s="11">
        <v>50</v>
      </c>
      <c r="I2955" s="12">
        <v>42729</v>
      </c>
      <c r="J2955" s="35">
        <f t="shared" si="138"/>
        <v>0</v>
      </c>
      <c r="K2955" s="36"/>
      <c r="L2955" s="36"/>
      <c r="M2955" s="36"/>
      <c r="N2955" s="36"/>
      <c r="O2955" s="36"/>
      <c r="P2955" s="36"/>
      <c r="Q2955" s="36"/>
      <c r="R2955" s="36"/>
      <c r="S2955" s="36"/>
      <c r="T2955" s="36"/>
      <c r="U2955" s="36"/>
      <c r="V2955" s="36"/>
      <c r="W2955" s="15">
        <f t="shared" si="139"/>
        <v>0</v>
      </c>
      <c r="X2955" s="36"/>
      <c r="Y2955" s="36"/>
      <c r="Z2955" s="36"/>
      <c r="AA2955" s="36"/>
      <c r="AB2955" s="36"/>
      <c r="AC2955" s="36"/>
      <c r="AD2955" s="36"/>
      <c r="AE2955" s="36"/>
      <c r="AF2955" s="36"/>
      <c r="AG2955" s="36"/>
      <c r="AH2955" s="36"/>
      <c r="AI2955" s="36"/>
      <c r="AJ2955" s="15">
        <f t="shared" si="140"/>
        <v>0</v>
      </c>
      <c r="AK2955" s="16"/>
    </row>
    <row r="2956" spans="2:37" x14ac:dyDescent="0.2">
      <c r="B2956" s="7"/>
      <c r="C2956" s="8">
        <v>13484</v>
      </c>
      <c r="D2956" s="9" t="s">
        <v>449</v>
      </c>
      <c r="E2956" s="10" t="str">
        <f t="shared" si="141"/>
        <v>Rancho La Cuchilla No. 132</v>
      </c>
      <c r="F2956" s="10" t="str">
        <f t="shared" si="142"/>
        <v>Téllez Girón</v>
      </c>
      <c r="G2956" s="8">
        <v>1</v>
      </c>
      <c r="H2956" s="11">
        <v>900</v>
      </c>
      <c r="I2956" s="12">
        <v>42729</v>
      </c>
      <c r="J2956" s="35">
        <f t="shared" si="138"/>
        <v>0</v>
      </c>
      <c r="K2956" s="36"/>
      <c r="L2956" s="36"/>
      <c r="M2956" s="36"/>
      <c r="N2956" s="36"/>
      <c r="O2956" s="36"/>
      <c r="P2956" s="36"/>
      <c r="Q2956" s="36"/>
      <c r="R2956" s="36"/>
      <c r="S2956" s="36"/>
      <c r="T2956" s="36">
        <v>300</v>
      </c>
      <c r="U2956" s="36">
        <v>300</v>
      </c>
      <c r="V2956" s="36">
        <v>300</v>
      </c>
      <c r="W2956" s="15">
        <f t="shared" si="139"/>
        <v>900</v>
      </c>
      <c r="X2956" s="36"/>
      <c r="Y2956" s="36"/>
      <c r="Z2956" s="36"/>
      <c r="AA2956" s="36"/>
      <c r="AB2956" s="36"/>
      <c r="AC2956" s="36"/>
      <c r="AD2956" s="36"/>
      <c r="AE2956" s="36"/>
      <c r="AF2956" s="36"/>
      <c r="AG2956" s="36"/>
      <c r="AH2956" s="36"/>
      <c r="AI2956" s="36"/>
      <c r="AJ2956" s="15">
        <f t="shared" si="140"/>
        <v>0</v>
      </c>
      <c r="AK2956" s="16"/>
    </row>
    <row r="2957" spans="2:37" x14ac:dyDescent="0.2">
      <c r="B2957" s="7"/>
      <c r="C2957" s="8">
        <v>13485</v>
      </c>
      <c r="D2957" s="9" t="s">
        <v>223</v>
      </c>
      <c r="E2957" s="10" t="str">
        <f t="shared" si="141"/>
        <v>Rancho Landero No. 26</v>
      </c>
      <c r="F2957" s="10" t="str">
        <f t="shared" si="142"/>
        <v>Balderas Martínez</v>
      </c>
      <c r="G2957" s="8">
        <v>3</v>
      </c>
      <c r="H2957" s="11">
        <v>200</v>
      </c>
      <c r="I2957" s="12">
        <v>42729</v>
      </c>
      <c r="J2957" s="35">
        <f t="shared" si="138"/>
        <v>0</v>
      </c>
      <c r="K2957" s="36"/>
      <c r="L2957" s="36"/>
      <c r="M2957" s="36"/>
      <c r="N2957" s="36"/>
      <c r="O2957" s="36"/>
      <c r="P2957" s="36"/>
      <c r="Q2957" s="36"/>
      <c r="R2957" s="36"/>
      <c r="S2957" s="36"/>
      <c r="T2957" s="36"/>
      <c r="U2957" s="36"/>
      <c r="V2957" s="36"/>
      <c r="W2957" s="15">
        <f t="shared" si="139"/>
        <v>0</v>
      </c>
      <c r="X2957" s="36"/>
      <c r="Y2957" s="36"/>
      <c r="Z2957" s="36"/>
      <c r="AA2957" s="36"/>
      <c r="AB2957" s="36"/>
      <c r="AC2957" s="36"/>
      <c r="AD2957" s="36"/>
      <c r="AE2957" s="36"/>
      <c r="AF2957" s="36"/>
      <c r="AG2957" s="36"/>
      <c r="AH2957" s="36"/>
      <c r="AI2957" s="36"/>
      <c r="AJ2957" s="15">
        <f t="shared" si="140"/>
        <v>0</v>
      </c>
      <c r="AK2957" s="16"/>
    </row>
    <row r="2958" spans="2:37" x14ac:dyDescent="0.2">
      <c r="B2958" s="7"/>
      <c r="C2958" s="8">
        <v>13486</v>
      </c>
      <c r="D2958" s="9" t="s">
        <v>1039</v>
      </c>
      <c r="E2958" s="10" t="str">
        <f t="shared" si="141"/>
        <v>Rancho Upácuaro No. 77</v>
      </c>
      <c r="F2958" s="10" t="str">
        <f t="shared" si="142"/>
        <v>Alvarado</v>
      </c>
      <c r="G2958" s="8">
        <v>1</v>
      </c>
      <c r="H2958" s="11">
        <v>400</v>
      </c>
      <c r="I2958" s="12">
        <v>42729</v>
      </c>
      <c r="J2958" s="35">
        <f t="shared" si="138"/>
        <v>0</v>
      </c>
      <c r="K2958" s="36"/>
      <c r="L2958" s="36"/>
      <c r="M2958" s="36"/>
      <c r="N2958" s="36"/>
      <c r="O2958" s="36"/>
      <c r="P2958" s="36"/>
      <c r="Q2958" s="36"/>
      <c r="R2958" s="36"/>
      <c r="S2958" s="36"/>
      <c r="T2958" s="36"/>
      <c r="U2958" s="36"/>
      <c r="V2958" s="36">
        <v>400</v>
      </c>
      <c r="W2958" s="15">
        <f t="shared" si="139"/>
        <v>400</v>
      </c>
      <c r="X2958" s="36"/>
      <c r="Y2958" s="36"/>
      <c r="Z2958" s="36"/>
      <c r="AA2958" s="36"/>
      <c r="AB2958" s="36"/>
      <c r="AC2958" s="36"/>
      <c r="AD2958" s="36"/>
      <c r="AE2958" s="36"/>
      <c r="AF2958" s="36"/>
      <c r="AG2958" s="36"/>
      <c r="AH2958" s="36"/>
      <c r="AI2958" s="36"/>
      <c r="AJ2958" s="15">
        <f t="shared" si="140"/>
        <v>0</v>
      </c>
      <c r="AK2958" s="16"/>
    </row>
    <row r="2959" spans="2:37" x14ac:dyDescent="0.2">
      <c r="B2959" s="7"/>
      <c r="C2959" s="8">
        <v>13487</v>
      </c>
      <c r="D2959" s="9" t="s">
        <v>658</v>
      </c>
      <c r="E2959" s="10" t="str">
        <f t="shared" si="141"/>
        <v>Rancho La Cuchilla No. 71</v>
      </c>
      <c r="F2959" s="10" t="str">
        <f t="shared" si="142"/>
        <v>Flores</v>
      </c>
      <c r="G2959" s="8">
        <v>1</v>
      </c>
      <c r="H2959" s="11">
        <v>1200</v>
      </c>
      <c r="I2959" s="12">
        <v>42729</v>
      </c>
      <c r="J2959" s="35">
        <f t="shared" si="138"/>
        <v>0</v>
      </c>
      <c r="K2959" s="36"/>
      <c r="L2959" s="36"/>
      <c r="M2959" s="36"/>
      <c r="N2959" s="36"/>
      <c r="O2959" s="36"/>
      <c r="P2959" s="36"/>
      <c r="Q2959" s="36"/>
      <c r="R2959" s="36"/>
      <c r="S2959" s="36"/>
      <c r="T2959" s="36">
        <v>400</v>
      </c>
      <c r="U2959" s="36">
        <v>400</v>
      </c>
      <c r="V2959" s="36">
        <v>400</v>
      </c>
      <c r="W2959" s="15">
        <f t="shared" si="139"/>
        <v>1200</v>
      </c>
      <c r="X2959" s="36"/>
      <c r="Y2959" s="36"/>
      <c r="Z2959" s="36"/>
      <c r="AA2959" s="36"/>
      <c r="AB2959" s="36"/>
      <c r="AC2959" s="36"/>
      <c r="AD2959" s="36"/>
      <c r="AE2959" s="36"/>
      <c r="AF2959" s="36"/>
      <c r="AG2959" s="36"/>
      <c r="AH2959" s="36"/>
      <c r="AI2959" s="36"/>
      <c r="AJ2959" s="15">
        <f t="shared" si="140"/>
        <v>0</v>
      </c>
      <c r="AK2959" s="16"/>
    </row>
    <row r="2960" spans="2:37" x14ac:dyDescent="0.2">
      <c r="B2960" s="7"/>
      <c r="C2960" s="8">
        <v>13488</v>
      </c>
      <c r="D2960" s="9" t="s">
        <v>834</v>
      </c>
      <c r="E2960" s="10" t="str">
        <f t="shared" si="141"/>
        <v>Rancho Upácuaro No. 110</v>
      </c>
      <c r="F2960" s="10" t="str">
        <f t="shared" si="142"/>
        <v>Ruiz Mijangos</v>
      </c>
      <c r="G2960" s="8">
        <v>1</v>
      </c>
      <c r="H2960" s="11">
        <v>300</v>
      </c>
      <c r="I2960" s="12">
        <v>42729</v>
      </c>
      <c r="J2960" s="35">
        <f t="shared" si="138"/>
        <v>0</v>
      </c>
      <c r="K2960" s="36"/>
      <c r="L2960" s="36"/>
      <c r="M2960" s="36"/>
      <c r="N2960" s="36"/>
      <c r="O2960" s="36"/>
      <c r="P2960" s="36"/>
      <c r="Q2960" s="36"/>
      <c r="R2960" s="36"/>
      <c r="S2960" s="36">
        <v>300</v>
      </c>
      <c r="T2960" s="36"/>
      <c r="U2960" s="36"/>
      <c r="V2960" s="36"/>
      <c r="W2960" s="15">
        <f t="shared" si="139"/>
        <v>300</v>
      </c>
      <c r="X2960" s="36"/>
      <c r="Y2960" s="36"/>
      <c r="Z2960" s="36"/>
      <c r="AA2960" s="36"/>
      <c r="AB2960" s="36"/>
      <c r="AC2960" s="36"/>
      <c r="AD2960" s="36"/>
      <c r="AE2960" s="36"/>
      <c r="AF2960" s="36"/>
      <c r="AG2960" s="36"/>
      <c r="AH2960" s="36"/>
      <c r="AI2960" s="36"/>
      <c r="AJ2960" s="15">
        <f t="shared" si="140"/>
        <v>0</v>
      </c>
      <c r="AK2960" s="16"/>
    </row>
    <row r="2961" spans="2:41" x14ac:dyDescent="0.2">
      <c r="B2961" s="7"/>
      <c r="C2961" s="8">
        <v>13489</v>
      </c>
      <c r="D2961" s="9" t="s">
        <v>1095</v>
      </c>
      <c r="E2961" s="10" t="str">
        <f t="shared" si="141"/>
        <v>Rancho La Cuchilla No. 35</v>
      </c>
      <c r="F2961" s="10" t="str">
        <f t="shared" si="142"/>
        <v>Mendoza</v>
      </c>
      <c r="G2961" s="8">
        <v>1</v>
      </c>
      <c r="H2961" s="11">
        <v>500</v>
      </c>
      <c r="I2961" s="12">
        <v>42729</v>
      </c>
      <c r="J2961" s="35">
        <f t="shared" si="138"/>
        <v>0</v>
      </c>
      <c r="K2961" s="36"/>
      <c r="L2961" s="36"/>
      <c r="M2961" s="36"/>
      <c r="N2961" s="36"/>
      <c r="O2961" s="36"/>
      <c r="P2961" s="36"/>
      <c r="Q2961" s="36"/>
      <c r="R2961" s="36"/>
      <c r="S2961" s="36"/>
      <c r="T2961" s="36"/>
      <c r="U2961" s="36">
        <v>250</v>
      </c>
      <c r="V2961" s="36">
        <v>250</v>
      </c>
      <c r="W2961" s="15">
        <f t="shared" si="139"/>
        <v>500</v>
      </c>
      <c r="X2961" s="36"/>
      <c r="Y2961" s="36"/>
      <c r="Z2961" s="36"/>
      <c r="AA2961" s="36"/>
      <c r="AB2961" s="36"/>
      <c r="AC2961" s="36"/>
      <c r="AD2961" s="36"/>
      <c r="AE2961" s="36"/>
      <c r="AF2961" s="36"/>
      <c r="AG2961" s="36"/>
      <c r="AH2961" s="36"/>
      <c r="AI2961" s="36"/>
      <c r="AJ2961" s="15">
        <f t="shared" si="140"/>
        <v>0</v>
      </c>
      <c r="AK2961" s="16"/>
    </row>
    <row r="2962" spans="2:41" x14ac:dyDescent="0.2">
      <c r="B2962" s="7"/>
      <c r="C2962" s="8">
        <v>13489</v>
      </c>
      <c r="D2962" s="9" t="s">
        <v>1095</v>
      </c>
      <c r="E2962" s="10" t="str">
        <f t="shared" si="141"/>
        <v>Rancho La Cuchilla No. 35</v>
      </c>
      <c r="F2962" s="10" t="str">
        <f t="shared" si="142"/>
        <v>Mendoza</v>
      </c>
      <c r="G2962" s="8">
        <v>5</v>
      </c>
      <c r="H2962" s="11">
        <v>50</v>
      </c>
      <c r="I2962" s="12">
        <v>42729</v>
      </c>
      <c r="J2962" s="35">
        <f t="shared" si="138"/>
        <v>0</v>
      </c>
      <c r="K2962" s="36"/>
      <c r="L2962" s="36"/>
      <c r="M2962" s="36"/>
      <c r="N2962" s="36"/>
      <c r="O2962" s="36"/>
      <c r="P2962" s="36"/>
      <c r="Q2962" s="36"/>
      <c r="R2962" s="36"/>
      <c r="S2962" s="36"/>
      <c r="T2962" s="36"/>
      <c r="U2962" s="36"/>
      <c r="V2962" s="36"/>
      <c r="W2962" s="15">
        <f t="shared" si="139"/>
        <v>0</v>
      </c>
      <c r="X2962" s="36"/>
      <c r="Y2962" s="36"/>
      <c r="Z2962" s="36"/>
      <c r="AA2962" s="36"/>
      <c r="AB2962" s="36"/>
      <c r="AC2962" s="36"/>
      <c r="AD2962" s="36"/>
      <c r="AE2962" s="36"/>
      <c r="AF2962" s="36"/>
      <c r="AG2962" s="36"/>
      <c r="AH2962" s="36"/>
      <c r="AI2962" s="36"/>
      <c r="AJ2962" s="15">
        <f t="shared" si="140"/>
        <v>0</v>
      </c>
      <c r="AK2962" s="16"/>
    </row>
    <row r="2963" spans="2:41" x14ac:dyDescent="0.2">
      <c r="B2963" s="7"/>
      <c r="C2963" s="8">
        <v>13490</v>
      </c>
      <c r="D2963" s="9" t="s">
        <v>343</v>
      </c>
      <c r="E2963" s="10" t="str">
        <f t="shared" si="141"/>
        <v>Rancho Upácuaro No. 88</v>
      </c>
      <c r="F2963" s="10" t="str">
        <f t="shared" si="142"/>
        <v>Millán Núñez</v>
      </c>
      <c r="G2963" s="8">
        <v>1</v>
      </c>
      <c r="H2963" s="11">
        <v>400</v>
      </c>
      <c r="I2963" s="12">
        <v>42729</v>
      </c>
      <c r="J2963" s="35">
        <f t="shared" si="138"/>
        <v>0</v>
      </c>
      <c r="K2963" s="36"/>
      <c r="L2963" s="36"/>
      <c r="M2963" s="36"/>
      <c r="N2963" s="36"/>
      <c r="O2963" s="36"/>
      <c r="P2963" s="36"/>
      <c r="Q2963" s="36"/>
      <c r="R2963" s="36"/>
      <c r="S2963" s="36"/>
      <c r="T2963" s="36"/>
      <c r="U2963" s="36"/>
      <c r="V2963" s="36">
        <v>400</v>
      </c>
      <c r="W2963" s="15">
        <f t="shared" si="139"/>
        <v>400</v>
      </c>
      <c r="X2963" s="36"/>
      <c r="Y2963" s="36"/>
      <c r="Z2963" s="36"/>
      <c r="AA2963" s="36"/>
      <c r="AB2963" s="36"/>
      <c r="AC2963" s="36"/>
      <c r="AD2963" s="36"/>
      <c r="AE2963" s="36"/>
      <c r="AF2963" s="36"/>
      <c r="AG2963" s="36"/>
      <c r="AH2963" s="36"/>
      <c r="AI2963" s="36"/>
      <c r="AJ2963" s="15">
        <f t="shared" si="140"/>
        <v>0</v>
      </c>
      <c r="AK2963" s="16"/>
    </row>
    <row r="2964" spans="2:41" x14ac:dyDescent="0.2">
      <c r="B2964" s="7"/>
      <c r="C2964" s="8">
        <v>13491</v>
      </c>
      <c r="D2964" s="9" t="s">
        <v>109</v>
      </c>
      <c r="E2964" s="10" t="str">
        <f t="shared" si="141"/>
        <v>Rancho Estanzuela No. 31</v>
      </c>
      <c r="F2964" s="10" t="str">
        <f t="shared" si="142"/>
        <v>Chávez Valdés</v>
      </c>
      <c r="G2964" s="8">
        <v>1</v>
      </c>
      <c r="H2964" s="11">
        <v>400</v>
      </c>
      <c r="I2964" s="12">
        <v>42729</v>
      </c>
      <c r="J2964" s="35">
        <f t="shared" si="138"/>
        <v>0</v>
      </c>
      <c r="K2964" s="36"/>
      <c r="L2964" s="36"/>
      <c r="M2964" s="36"/>
      <c r="N2964" s="36"/>
      <c r="O2964" s="36"/>
      <c r="P2964" s="36"/>
      <c r="Q2964" s="36"/>
      <c r="R2964" s="36"/>
      <c r="S2964" s="36"/>
      <c r="T2964" s="36"/>
      <c r="U2964" s="36"/>
      <c r="V2964" s="36">
        <v>400</v>
      </c>
      <c r="W2964" s="15">
        <f t="shared" si="139"/>
        <v>400</v>
      </c>
      <c r="X2964" s="36"/>
      <c r="Y2964" s="36"/>
      <c r="Z2964" s="36"/>
      <c r="AA2964" s="36"/>
      <c r="AB2964" s="36"/>
      <c r="AC2964" s="36"/>
      <c r="AD2964" s="36"/>
      <c r="AE2964" s="36"/>
      <c r="AF2964" s="36"/>
      <c r="AG2964" s="36"/>
      <c r="AH2964" s="36"/>
      <c r="AI2964" s="36"/>
      <c r="AJ2964" s="15">
        <f t="shared" si="140"/>
        <v>0</v>
      </c>
      <c r="AK2964" s="16"/>
    </row>
    <row r="2965" spans="2:41" x14ac:dyDescent="0.2">
      <c r="B2965" s="7"/>
      <c r="C2965" s="8">
        <v>13491</v>
      </c>
      <c r="D2965" s="9" t="s">
        <v>109</v>
      </c>
      <c r="E2965" s="10" t="str">
        <f t="shared" si="141"/>
        <v>Rancho Estanzuela No. 31</v>
      </c>
      <c r="F2965" s="10" t="str">
        <f t="shared" si="142"/>
        <v>Chávez Valdés</v>
      </c>
      <c r="G2965" s="8">
        <v>5</v>
      </c>
      <c r="H2965" s="11">
        <v>50</v>
      </c>
      <c r="I2965" s="12">
        <v>42729</v>
      </c>
      <c r="J2965" s="35">
        <f t="shared" si="138"/>
        <v>0</v>
      </c>
      <c r="K2965" s="36"/>
      <c r="L2965" s="36"/>
      <c r="M2965" s="36"/>
      <c r="N2965" s="36"/>
      <c r="O2965" s="36"/>
      <c r="P2965" s="36"/>
      <c r="Q2965" s="36"/>
      <c r="R2965" s="36"/>
      <c r="S2965" s="36"/>
      <c r="T2965" s="36"/>
      <c r="U2965" s="36"/>
      <c r="V2965" s="36"/>
      <c r="W2965" s="15">
        <f t="shared" si="139"/>
        <v>0</v>
      </c>
      <c r="X2965" s="36"/>
      <c r="Y2965" s="36"/>
      <c r="Z2965" s="36"/>
      <c r="AA2965" s="36"/>
      <c r="AB2965" s="36"/>
      <c r="AC2965" s="36"/>
      <c r="AD2965" s="36"/>
      <c r="AE2965" s="36"/>
      <c r="AF2965" s="36"/>
      <c r="AG2965" s="36"/>
      <c r="AH2965" s="36"/>
      <c r="AI2965" s="36"/>
      <c r="AJ2965" s="15">
        <f t="shared" si="140"/>
        <v>0</v>
      </c>
      <c r="AK2965" s="322">
        <f>SUM(H2941:H2965)</f>
        <v>10100</v>
      </c>
      <c r="AL2965">
        <v>200</v>
      </c>
      <c r="AM2965">
        <v>1200</v>
      </c>
      <c r="AN2965">
        <v>300</v>
      </c>
      <c r="AO2965">
        <f>SUM(AL2965:AN2965)</f>
        <v>1700</v>
      </c>
    </row>
    <row r="2966" spans="2:41" x14ac:dyDescent="0.2">
      <c r="B2966" s="7"/>
      <c r="C2966" s="324">
        <v>13492</v>
      </c>
      <c r="D2966" s="9" t="s">
        <v>890</v>
      </c>
      <c r="E2966" s="10" t="str">
        <f t="shared" si="141"/>
        <v>Rancho Upácuaro No. 74</v>
      </c>
      <c r="F2966" s="10" t="str">
        <f t="shared" si="142"/>
        <v>Flores</v>
      </c>
      <c r="G2966" s="8">
        <v>1</v>
      </c>
      <c r="H2966" s="11">
        <v>1600</v>
      </c>
      <c r="I2966" s="12">
        <v>42732</v>
      </c>
      <c r="J2966" s="35">
        <f t="shared" si="138"/>
        <v>0</v>
      </c>
      <c r="K2966" s="36"/>
      <c r="L2966" s="36"/>
      <c r="M2966" s="36"/>
      <c r="N2966" s="36"/>
      <c r="O2966" s="36"/>
      <c r="P2966" s="36">
        <v>400</v>
      </c>
      <c r="Q2966" s="36">
        <v>400</v>
      </c>
      <c r="R2966" s="36">
        <v>400</v>
      </c>
      <c r="S2966" s="36">
        <v>400</v>
      </c>
      <c r="T2966" s="36"/>
      <c r="U2966" s="36"/>
      <c r="V2966" s="36"/>
      <c r="W2966" s="15">
        <f t="shared" si="139"/>
        <v>1600</v>
      </c>
      <c r="X2966" s="36"/>
      <c r="Y2966" s="36"/>
      <c r="Z2966" s="36"/>
      <c r="AA2966" s="36"/>
      <c r="AB2966" s="36"/>
      <c r="AC2966" s="36"/>
      <c r="AD2966" s="36"/>
      <c r="AE2966" s="36"/>
      <c r="AF2966" s="36"/>
      <c r="AG2966" s="36"/>
      <c r="AH2966" s="36"/>
      <c r="AI2966" s="36"/>
      <c r="AJ2966" s="15">
        <f t="shared" si="140"/>
        <v>0</v>
      </c>
      <c r="AK2966" s="16"/>
    </row>
    <row r="2967" spans="2:41" x14ac:dyDescent="0.2">
      <c r="B2967" s="7"/>
      <c r="C2967" s="8">
        <v>13493</v>
      </c>
      <c r="D2967" s="9" t="s">
        <v>446</v>
      </c>
      <c r="E2967" s="10" t="str">
        <f t="shared" si="141"/>
        <v>Rancho Landero No. 44</v>
      </c>
      <c r="F2967" s="10" t="str">
        <f t="shared" si="142"/>
        <v>Rodríguez C.</v>
      </c>
      <c r="G2967" s="8">
        <v>1</v>
      </c>
      <c r="H2967" s="11">
        <v>200</v>
      </c>
      <c r="I2967" s="12">
        <v>42732</v>
      </c>
      <c r="J2967" s="35">
        <f t="shared" si="138"/>
        <v>0</v>
      </c>
      <c r="K2967" s="36"/>
      <c r="L2967" s="36"/>
      <c r="M2967" s="36"/>
      <c r="N2967" s="36"/>
      <c r="O2967" s="36"/>
      <c r="P2967" s="36"/>
      <c r="Q2967" s="36"/>
      <c r="R2967" s="36"/>
      <c r="S2967" s="36"/>
      <c r="T2967" s="36"/>
      <c r="U2967" s="36">
        <v>200</v>
      </c>
      <c r="V2967" s="36"/>
      <c r="W2967" s="15">
        <f t="shared" si="139"/>
        <v>200</v>
      </c>
      <c r="X2967" s="36"/>
      <c r="Y2967" s="36"/>
      <c r="Z2967" s="36"/>
      <c r="AA2967" s="36"/>
      <c r="AB2967" s="36"/>
      <c r="AC2967" s="36"/>
      <c r="AD2967" s="36"/>
      <c r="AE2967" s="36"/>
      <c r="AF2967" s="36"/>
      <c r="AG2967" s="36"/>
      <c r="AH2967" s="36"/>
      <c r="AI2967" s="36"/>
      <c r="AJ2967" s="15">
        <f t="shared" si="140"/>
        <v>0</v>
      </c>
      <c r="AK2967" s="16"/>
    </row>
    <row r="2968" spans="2:41" x14ac:dyDescent="0.2">
      <c r="B2968" s="7"/>
      <c r="C2968" s="8">
        <v>13494</v>
      </c>
      <c r="D2968" s="9" t="s">
        <v>223</v>
      </c>
      <c r="E2968" s="10" t="str">
        <f t="shared" si="141"/>
        <v>Rancho Landero No. 26</v>
      </c>
      <c r="F2968" s="10" t="str">
        <f t="shared" si="142"/>
        <v>Balderas Martínez</v>
      </c>
      <c r="G2968" s="8">
        <v>5</v>
      </c>
      <c r="H2968" s="11">
        <v>50</v>
      </c>
      <c r="I2968" s="12">
        <v>42732</v>
      </c>
      <c r="J2968" s="35">
        <f t="shared" si="138"/>
        <v>0</v>
      </c>
      <c r="K2968" s="36"/>
      <c r="L2968" s="36"/>
      <c r="M2968" s="36"/>
      <c r="N2968" s="36"/>
      <c r="O2968" s="36"/>
      <c r="P2968" s="36"/>
      <c r="Q2968" s="36"/>
      <c r="R2968" s="36"/>
      <c r="S2968" s="36"/>
      <c r="T2968" s="36"/>
      <c r="U2968" s="36"/>
      <c r="V2968" s="36"/>
      <c r="W2968" s="15">
        <f t="shared" si="139"/>
        <v>0</v>
      </c>
      <c r="X2968" s="36"/>
      <c r="Y2968" s="36"/>
      <c r="Z2968" s="36"/>
      <c r="AA2968" s="36"/>
      <c r="AB2968" s="36"/>
      <c r="AC2968" s="36"/>
      <c r="AD2968" s="36"/>
      <c r="AE2968" s="36"/>
      <c r="AF2968" s="36"/>
      <c r="AG2968" s="36"/>
      <c r="AH2968" s="36"/>
      <c r="AI2968" s="36"/>
      <c r="AJ2968" s="15">
        <f t="shared" si="140"/>
        <v>0</v>
      </c>
      <c r="AK2968" s="16"/>
    </row>
    <row r="2969" spans="2:41" x14ac:dyDescent="0.2">
      <c r="B2969" s="7"/>
      <c r="C2969" s="8">
        <v>13495</v>
      </c>
      <c r="D2969" s="9" t="s">
        <v>78</v>
      </c>
      <c r="E2969" s="10" t="str">
        <f t="shared" si="141"/>
        <v>Rancho Zinamba No. 12</v>
      </c>
      <c r="F2969" s="10" t="str">
        <f t="shared" si="142"/>
        <v>Ramírez Soto</v>
      </c>
      <c r="G2969" s="8">
        <v>1</v>
      </c>
      <c r="H2969" s="11">
        <v>4400</v>
      </c>
      <c r="I2969" s="12">
        <v>42734</v>
      </c>
      <c r="J2969" s="35">
        <f t="shared" si="138"/>
        <v>0</v>
      </c>
      <c r="K2969" s="36"/>
      <c r="L2969" s="36"/>
      <c r="M2969" s="36"/>
      <c r="N2969" s="36"/>
      <c r="O2969" s="36"/>
      <c r="P2969" s="36"/>
      <c r="Q2969" s="36"/>
      <c r="R2969" s="36"/>
      <c r="S2969" s="36"/>
      <c r="T2969" s="36"/>
      <c r="U2969" s="36"/>
      <c r="V2969" s="36"/>
      <c r="W2969" s="15">
        <f t="shared" si="139"/>
        <v>0</v>
      </c>
      <c r="X2969" s="36">
        <v>400</v>
      </c>
      <c r="Y2969" s="36">
        <v>400</v>
      </c>
      <c r="Z2969" s="36">
        <v>400</v>
      </c>
      <c r="AA2969" s="36">
        <v>400</v>
      </c>
      <c r="AB2969" s="36">
        <v>400</v>
      </c>
      <c r="AC2969" s="36">
        <v>400</v>
      </c>
      <c r="AD2969" s="36">
        <v>400</v>
      </c>
      <c r="AE2969" s="36">
        <v>400</v>
      </c>
      <c r="AF2969" s="36">
        <v>400</v>
      </c>
      <c r="AG2969" s="36">
        <v>400</v>
      </c>
      <c r="AH2969" s="36">
        <v>400</v>
      </c>
      <c r="AI2969" s="36"/>
      <c r="AJ2969" s="15">
        <f t="shared" si="140"/>
        <v>4400</v>
      </c>
      <c r="AK2969" s="16" t="s">
        <v>3188</v>
      </c>
    </row>
    <row r="2970" spans="2:41" x14ac:dyDescent="0.2">
      <c r="B2970" s="7"/>
      <c r="C2970" s="8">
        <v>13496</v>
      </c>
      <c r="D2970" s="9" t="s">
        <v>852</v>
      </c>
      <c r="E2970" s="10" t="str">
        <f t="shared" si="141"/>
        <v>Rancho La Cuchilla No. 97</v>
      </c>
      <c r="F2970" s="10" t="str">
        <f t="shared" si="142"/>
        <v>López Ruiz</v>
      </c>
      <c r="G2970" s="8">
        <v>1</v>
      </c>
      <c r="H2970" s="11">
        <v>900</v>
      </c>
      <c r="I2970" s="12">
        <v>42734</v>
      </c>
      <c r="J2970" s="35">
        <f t="shared" si="138"/>
        <v>0</v>
      </c>
      <c r="K2970" s="36"/>
      <c r="L2970" s="36"/>
      <c r="M2970" s="36"/>
      <c r="N2970" s="36"/>
      <c r="O2970" s="36"/>
      <c r="P2970" s="36"/>
      <c r="Q2970" s="36"/>
      <c r="R2970" s="36"/>
      <c r="S2970" s="36"/>
      <c r="T2970" s="36">
        <v>300</v>
      </c>
      <c r="U2970" s="36">
        <v>300</v>
      </c>
      <c r="V2970" s="36">
        <v>300</v>
      </c>
      <c r="W2970" s="15">
        <f t="shared" si="139"/>
        <v>900</v>
      </c>
      <c r="X2970" s="36"/>
      <c r="Y2970" s="36"/>
      <c r="Z2970" s="36"/>
      <c r="AA2970" s="36"/>
      <c r="AB2970" s="36"/>
      <c r="AC2970" s="36"/>
      <c r="AD2970" s="36"/>
      <c r="AE2970" s="36"/>
      <c r="AF2970" s="36"/>
      <c r="AG2970" s="36"/>
      <c r="AH2970" s="36"/>
      <c r="AI2970" s="36"/>
      <c r="AJ2970" s="15">
        <f t="shared" si="140"/>
        <v>0</v>
      </c>
      <c r="AK2970" s="16"/>
    </row>
    <row r="2971" spans="2:41" x14ac:dyDescent="0.2">
      <c r="B2971" s="7"/>
      <c r="C2971" s="8">
        <v>13497</v>
      </c>
      <c r="D2971" s="9" t="s">
        <v>852</v>
      </c>
      <c r="E2971" s="10" t="str">
        <f t="shared" si="141"/>
        <v>Rancho La Cuchilla No. 97</v>
      </c>
      <c r="F2971" s="10" t="str">
        <f t="shared" si="142"/>
        <v>López Ruiz</v>
      </c>
      <c r="G2971" s="8">
        <v>5</v>
      </c>
      <c r="H2971" s="11">
        <v>100</v>
      </c>
      <c r="I2971" s="12">
        <v>42734</v>
      </c>
      <c r="J2971" s="35">
        <f t="shared" si="138"/>
        <v>0</v>
      </c>
      <c r="K2971" s="36"/>
      <c r="L2971" s="36"/>
      <c r="M2971" s="36"/>
      <c r="N2971" s="36"/>
      <c r="O2971" s="36"/>
      <c r="P2971" s="36"/>
      <c r="Q2971" s="36"/>
      <c r="R2971" s="36"/>
      <c r="S2971" s="36"/>
      <c r="T2971" s="36"/>
      <c r="U2971" s="36"/>
      <c r="V2971" s="36"/>
      <c r="W2971" s="15">
        <f t="shared" si="139"/>
        <v>0</v>
      </c>
      <c r="X2971" s="36"/>
      <c r="Y2971" s="36"/>
      <c r="Z2971" s="36"/>
      <c r="AA2971" s="36"/>
      <c r="AB2971" s="36"/>
      <c r="AC2971" s="36"/>
      <c r="AD2971" s="36"/>
      <c r="AE2971" s="36"/>
      <c r="AF2971" s="36"/>
      <c r="AG2971" s="36"/>
      <c r="AH2971" s="36"/>
      <c r="AI2971" s="36"/>
      <c r="AJ2971" s="15">
        <f t="shared" si="140"/>
        <v>0</v>
      </c>
      <c r="AK2971" s="16"/>
    </row>
    <row r="2972" spans="2:41" x14ac:dyDescent="0.2">
      <c r="B2972" s="7"/>
      <c r="C2972" s="8">
        <v>13498</v>
      </c>
      <c r="D2972" s="9" t="s">
        <v>217</v>
      </c>
      <c r="E2972" s="10" t="str">
        <f t="shared" si="141"/>
        <v>Rancho Recoveco No. 173</v>
      </c>
      <c r="F2972" s="10" t="str">
        <f t="shared" si="142"/>
        <v>Velarde</v>
      </c>
      <c r="G2972" s="8">
        <v>1</v>
      </c>
      <c r="H2972" s="11">
        <v>600</v>
      </c>
      <c r="I2972" s="12">
        <v>42734</v>
      </c>
      <c r="J2972" s="35">
        <f t="shared" si="138"/>
        <v>0</v>
      </c>
      <c r="K2972" s="36"/>
      <c r="L2972" s="36"/>
      <c r="M2972" s="36"/>
      <c r="N2972" s="36"/>
      <c r="O2972" s="36"/>
      <c r="P2972" s="36"/>
      <c r="Q2972" s="36"/>
      <c r="R2972" s="36"/>
      <c r="S2972" s="36"/>
      <c r="T2972" s="36"/>
      <c r="U2972" s="36"/>
      <c r="V2972" s="36">
        <v>300</v>
      </c>
      <c r="W2972" s="15">
        <f t="shared" si="139"/>
        <v>300</v>
      </c>
      <c r="X2972" s="36">
        <v>300</v>
      </c>
      <c r="Y2972" s="36"/>
      <c r="Z2972" s="36"/>
      <c r="AA2972" s="36"/>
      <c r="AB2972" s="36"/>
      <c r="AC2972" s="36"/>
      <c r="AD2972" s="36"/>
      <c r="AE2972" s="36"/>
      <c r="AF2972" s="36"/>
      <c r="AG2972" s="36"/>
      <c r="AH2972" s="36"/>
      <c r="AI2972" s="36"/>
      <c r="AJ2972" s="15">
        <f t="shared" si="140"/>
        <v>300</v>
      </c>
      <c r="AK2972" s="322">
        <f>SUM(H2966:H2972)</f>
        <v>7850</v>
      </c>
    </row>
    <row r="2973" spans="2:41" x14ac:dyDescent="0.2">
      <c r="B2973" s="7"/>
      <c r="C2973" s="8"/>
      <c r="D2973" s="9"/>
      <c r="E2973" s="10"/>
      <c r="F2973" s="10"/>
      <c r="G2973" s="8"/>
      <c r="H2973" s="11"/>
      <c r="I2973" s="12"/>
      <c r="J2973" s="35"/>
      <c r="K2973" s="36"/>
      <c r="L2973" s="36"/>
      <c r="M2973" s="36"/>
      <c r="N2973" s="36"/>
      <c r="O2973" s="36"/>
      <c r="P2973" s="36"/>
      <c r="Q2973" s="36"/>
      <c r="R2973" s="36"/>
      <c r="S2973" s="36"/>
      <c r="T2973" s="36"/>
      <c r="U2973" s="36"/>
      <c r="V2973" s="36"/>
      <c r="W2973" s="15"/>
      <c r="X2973" s="36"/>
      <c r="Y2973" s="36"/>
      <c r="Z2973" s="36"/>
      <c r="AA2973" s="36"/>
      <c r="AB2973" s="36"/>
      <c r="AC2973" s="36"/>
      <c r="AD2973" s="36"/>
      <c r="AE2973" s="36"/>
      <c r="AF2973" s="36"/>
      <c r="AG2973" s="36"/>
      <c r="AH2973" s="36"/>
      <c r="AI2973" s="36"/>
      <c r="AJ2973" s="15"/>
      <c r="AK2973" s="322"/>
    </row>
    <row r="2974" spans="2:41" x14ac:dyDescent="0.2">
      <c r="B2974" s="7"/>
      <c r="C2974" s="8"/>
      <c r="D2974" s="9"/>
      <c r="E2974" s="10"/>
      <c r="F2974" s="10"/>
      <c r="G2974" s="8"/>
      <c r="H2974" s="11"/>
      <c r="I2974" s="12"/>
      <c r="J2974" s="35"/>
      <c r="K2974" s="36"/>
      <c r="L2974" s="36"/>
      <c r="M2974" s="36"/>
      <c r="N2974" s="36"/>
      <c r="O2974" s="36"/>
      <c r="P2974" s="36"/>
      <c r="Q2974" s="36"/>
      <c r="R2974" s="36"/>
      <c r="S2974" s="36"/>
      <c r="T2974" s="36"/>
      <c r="U2974" s="36"/>
      <c r="V2974" s="36"/>
      <c r="W2974" s="15"/>
      <c r="X2974" s="36"/>
      <c r="Y2974" s="36"/>
      <c r="Z2974" s="36"/>
      <c r="AA2974" s="36"/>
      <c r="AB2974" s="36"/>
      <c r="AC2974" s="36"/>
      <c r="AD2974" s="36"/>
      <c r="AE2974" s="36"/>
      <c r="AF2974" s="36"/>
      <c r="AG2974" s="36"/>
      <c r="AH2974" s="36"/>
      <c r="AI2974" s="36"/>
      <c r="AJ2974" s="15"/>
      <c r="AK2974" s="322"/>
    </row>
    <row r="2975" spans="2:41" x14ac:dyDescent="0.2">
      <c r="B2975" s="7"/>
      <c r="C2975" s="8"/>
      <c r="D2975" s="9" t="s">
        <v>806</v>
      </c>
      <c r="E2975" s="10" t="str">
        <f t="shared" si="141"/>
        <v>Rancho Estanzuela No. 130, A</v>
      </c>
      <c r="F2975" s="10" t="str">
        <f t="shared" si="142"/>
        <v>Colegio Carmel</v>
      </c>
      <c r="G2975" s="8">
        <v>1</v>
      </c>
      <c r="H2975" s="11">
        <v>11000</v>
      </c>
      <c r="I2975" s="12"/>
      <c r="J2975" s="35">
        <f t="shared" si="138"/>
        <v>0</v>
      </c>
      <c r="K2975" s="36"/>
      <c r="L2975" s="36"/>
      <c r="M2975" s="36"/>
      <c r="N2975" s="36"/>
      <c r="O2975" s="36"/>
      <c r="P2975" s="36"/>
      <c r="Q2975" s="36"/>
      <c r="R2975" s="36"/>
      <c r="S2975" s="36"/>
      <c r="T2975" s="36"/>
      <c r="U2975" s="36"/>
      <c r="V2975" s="36">
        <v>11000</v>
      </c>
      <c r="W2975" s="15">
        <f t="shared" si="139"/>
        <v>11000</v>
      </c>
      <c r="X2975" s="36"/>
      <c r="Y2975" s="36"/>
      <c r="Z2975" s="36"/>
      <c r="AA2975" s="36"/>
      <c r="AB2975" s="36"/>
      <c r="AC2975" s="36"/>
      <c r="AD2975" s="36"/>
      <c r="AE2975" s="36"/>
      <c r="AF2975" s="36"/>
      <c r="AG2975" s="36"/>
      <c r="AH2975" s="36"/>
      <c r="AI2975" s="36"/>
      <c r="AJ2975" s="15">
        <f t="shared" si="140"/>
        <v>0</v>
      </c>
      <c r="AK2975" s="16"/>
    </row>
    <row r="2976" spans="2:41" ht="22.5" customHeight="1" x14ac:dyDescent="0.2">
      <c r="B2976" s="7"/>
      <c r="C2976" s="3" t="s">
        <v>2</v>
      </c>
      <c r="D2976" s="3" t="s">
        <v>3</v>
      </c>
      <c r="E2976" s="3" t="s">
        <v>4</v>
      </c>
      <c r="F2976" s="3" t="s">
        <v>5</v>
      </c>
      <c r="G2976" s="3" t="s">
        <v>6</v>
      </c>
      <c r="H2976" s="3" t="s">
        <v>7</v>
      </c>
      <c r="I2976" s="3" t="s">
        <v>8</v>
      </c>
      <c r="J2976" s="3" t="s">
        <v>9</v>
      </c>
      <c r="K2976" s="4" t="s">
        <v>10</v>
      </c>
      <c r="L2976" s="4" t="s">
        <v>11</v>
      </c>
      <c r="M2976" s="4" t="s">
        <v>12</v>
      </c>
      <c r="N2976" s="4" t="s">
        <v>13</v>
      </c>
      <c r="O2976" s="4" t="s">
        <v>14</v>
      </c>
      <c r="P2976" s="4" t="s">
        <v>15</v>
      </c>
      <c r="Q2976" s="4" t="s">
        <v>16</v>
      </c>
      <c r="R2976" s="4" t="s">
        <v>17</v>
      </c>
      <c r="S2976" s="4" t="s">
        <v>18</v>
      </c>
      <c r="T2976" s="4" t="s">
        <v>19</v>
      </c>
      <c r="U2976" s="4" t="s">
        <v>20</v>
      </c>
      <c r="V2976" s="4" t="s">
        <v>21</v>
      </c>
      <c r="W2976" s="5" t="s">
        <v>22</v>
      </c>
      <c r="X2976" s="4" t="s">
        <v>23</v>
      </c>
      <c r="Y2976" s="4" t="s">
        <v>24</v>
      </c>
      <c r="Z2976" s="4" t="s">
        <v>25</v>
      </c>
      <c r="AA2976" s="4" t="s">
        <v>26</v>
      </c>
      <c r="AB2976" s="4" t="s">
        <v>27</v>
      </c>
      <c r="AC2976" s="4" t="s">
        <v>28</v>
      </c>
      <c r="AD2976" s="4" t="s">
        <v>29</v>
      </c>
      <c r="AE2976" s="4" t="s">
        <v>30</v>
      </c>
      <c r="AF2976" s="4" t="s">
        <v>31</v>
      </c>
      <c r="AG2976" s="4" t="s">
        <v>32</v>
      </c>
      <c r="AH2976" s="4" t="s">
        <v>33</v>
      </c>
      <c r="AI2976" s="4" t="s">
        <v>34</v>
      </c>
      <c r="AJ2976" s="5" t="s">
        <v>35</v>
      </c>
      <c r="AK2976" s="6" t="s">
        <v>36</v>
      </c>
    </row>
    <row r="2977" spans="2:38" x14ac:dyDescent="0.2">
      <c r="B2977" s="7"/>
      <c r="C2977" s="8">
        <v>13499</v>
      </c>
      <c r="D2977" s="9" t="s">
        <v>740</v>
      </c>
      <c r="E2977" s="10" t="str">
        <f t="shared" si="141"/>
        <v>Rancho Upácuaro No. 65</v>
      </c>
      <c r="F2977" s="10" t="str">
        <f t="shared" si="142"/>
        <v>Cruz González</v>
      </c>
      <c r="G2977" s="8">
        <v>1</v>
      </c>
      <c r="H2977" s="11">
        <v>800</v>
      </c>
      <c r="I2977" s="12">
        <v>42736</v>
      </c>
      <c r="J2977" s="35">
        <f t="shared" si="138"/>
        <v>0</v>
      </c>
      <c r="K2977" s="36"/>
      <c r="L2977" s="36"/>
      <c r="M2977" s="36"/>
      <c r="N2977" s="36"/>
      <c r="O2977" s="36"/>
      <c r="P2977" s="36"/>
      <c r="Q2977" s="36"/>
      <c r="R2977" s="36"/>
      <c r="S2977" s="36"/>
      <c r="T2977" s="36"/>
      <c r="U2977" s="36">
        <v>400</v>
      </c>
      <c r="V2977" s="36">
        <v>400</v>
      </c>
      <c r="W2977" s="15">
        <f t="shared" si="139"/>
        <v>800</v>
      </c>
      <c r="X2977" s="36"/>
      <c r="Y2977" s="36"/>
      <c r="Z2977" s="36"/>
      <c r="AA2977" s="36"/>
      <c r="AB2977" s="36"/>
      <c r="AC2977" s="36"/>
      <c r="AD2977" s="36"/>
      <c r="AE2977" s="36"/>
      <c r="AF2977" s="36"/>
      <c r="AG2977" s="36"/>
      <c r="AH2977" s="36"/>
      <c r="AI2977" s="36"/>
      <c r="AJ2977" s="15">
        <f t="shared" si="140"/>
        <v>0</v>
      </c>
      <c r="AK2977" s="16"/>
    </row>
    <row r="2978" spans="2:38" x14ac:dyDescent="0.2">
      <c r="B2978" s="7"/>
      <c r="C2978" s="8">
        <v>13500</v>
      </c>
      <c r="D2978" s="9" t="s">
        <v>3190</v>
      </c>
      <c r="E2978" s="10" t="str">
        <f t="shared" si="141"/>
        <v>Rancho La Cuchilla No. 103</v>
      </c>
      <c r="F2978" s="10" t="str">
        <f t="shared" si="142"/>
        <v>Bernal</v>
      </c>
      <c r="G2978" s="8">
        <v>1</v>
      </c>
      <c r="H2978" s="11">
        <v>500</v>
      </c>
      <c r="I2978" s="12">
        <v>42736</v>
      </c>
      <c r="J2978" s="35">
        <f t="shared" si="138"/>
        <v>0</v>
      </c>
      <c r="K2978" s="36"/>
      <c r="L2978" s="36"/>
      <c r="M2978" s="36"/>
      <c r="N2978" s="36"/>
      <c r="O2978" s="36"/>
      <c r="P2978" s="36"/>
      <c r="Q2978" s="36"/>
      <c r="R2978" s="36"/>
      <c r="S2978" s="36"/>
      <c r="T2978" s="36"/>
      <c r="U2978" s="36"/>
      <c r="V2978" s="36"/>
      <c r="W2978" s="15">
        <f t="shared" si="139"/>
        <v>0</v>
      </c>
      <c r="X2978" s="36">
        <v>500</v>
      </c>
      <c r="Y2978" s="36"/>
      <c r="Z2978" s="36"/>
      <c r="AA2978" s="36"/>
      <c r="AB2978" s="36"/>
      <c r="AC2978" s="36"/>
      <c r="AD2978" s="36"/>
      <c r="AE2978" s="36"/>
      <c r="AF2978" s="36"/>
      <c r="AG2978" s="36"/>
      <c r="AH2978" s="36"/>
      <c r="AI2978" s="36"/>
      <c r="AJ2978" s="15">
        <f t="shared" si="140"/>
        <v>500</v>
      </c>
      <c r="AK2978" s="16"/>
    </row>
    <row r="2979" spans="2:38" x14ac:dyDescent="0.2">
      <c r="B2979" s="7"/>
      <c r="C2979" s="353">
        <v>13507</v>
      </c>
      <c r="D2979" s="9" t="s">
        <v>115</v>
      </c>
      <c r="E2979" s="10" t="str">
        <f t="shared" si="141"/>
        <v>Rancho Estanzuela No. 127</v>
      </c>
      <c r="F2979" s="10" t="str">
        <f t="shared" si="142"/>
        <v>Luna Zepeda</v>
      </c>
      <c r="G2979" s="8">
        <v>1</v>
      </c>
      <c r="H2979" s="11">
        <v>1650</v>
      </c>
      <c r="I2979" s="12">
        <v>42736</v>
      </c>
      <c r="J2979" s="35">
        <f t="shared" si="138"/>
        <v>0</v>
      </c>
      <c r="K2979" s="36"/>
      <c r="L2979" s="36"/>
      <c r="M2979" s="36"/>
      <c r="N2979" s="36"/>
      <c r="O2979" s="36"/>
      <c r="P2979" s="36"/>
      <c r="Q2979" s="36"/>
      <c r="R2979" s="36"/>
      <c r="S2979" s="36"/>
      <c r="T2979" s="36"/>
      <c r="U2979" s="36"/>
      <c r="V2979" s="36"/>
      <c r="W2979" s="15">
        <f t="shared" si="139"/>
        <v>0</v>
      </c>
      <c r="X2979" s="36">
        <v>150</v>
      </c>
      <c r="Y2979" s="36">
        <v>150</v>
      </c>
      <c r="Z2979" s="36">
        <v>150</v>
      </c>
      <c r="AA2979" s="36">
        <v>150</v>
      </c>
      <c r="AB2979" s="36">
        <v>150</v>
      </c>
      <c r="AC2979" s="36">
        <v>150</v>
      </c>
      <c r="AD2979" s="36">
        <v>150</v>
      </c>
      <c r="AE2979" s="36">
        <v>150</v>
      </c>
      <c r="AF2979" s="36">
        <v>150</v>
      </c>
      <c r="AG2979" s="36">
        <v>150</v>
      </c>
      <c r="AH2979" s="36">
        <v>150</v>
      </c>
      <c r="AI2979" s="36"/>
      <c r="AJ2979" s="15">
        <f t="shared" si="140"/>
        <v>1650</v>
      </c>
      <c r="AK2979" s="16" t="s">
        <v>3376</v>
      </c>
    </row>
    <row r="2980" spans="2:38" x14ac:dyDescent="0.2">
      <c r="B2980" s="7"/>
      <c r="C2980" s="8">
        <v>13508</v>
      </c>
      <c r="D2980" s="9" t="s">
        <v>678</v>
      </c>
      <c r="E2980" s="10" t="str">
        <f t="shared" si="141"/>
        <v>Rancho Upácuaro No. 76</v>
      </c>
      <c r="F2980" s="10" t="str">
        <f t="shared" si="142"/>
        <v>Ruiz de San Pedro</v>
      </c>
      <c r="G2980" s="8">
        <v>1</v>
      </c>
      <c r="H2980" s="11">
        <v>400</v>
      </c>
      <c r="I2980" s="12">
        <v>42736</v>
      </c>
      <c r="J2980" s="35">
        <f t="shared" si="138"/>
        <v>0</v>
      </c>
      <c r="K2980" s="36"/>
      <c r="L2980" s="36"/>
      <c r="M2980" s="36"/>
      <c r="N2980" s="36"/>
      <c r="O2980" s="36"/>
      <c r="P2980" s="36"/>
      <c r="Q2980" s="36"/>
      <c r="R2980" s="36"/>
      <c r="S2980" s="36"/>
      <c r="T2980" s="36"/>
      <c r="U2980" s="36"/>
      <c r="V2980" s="36"/>
      <c r="W2980" s="15">
        <f t="shared" si="139"/>
        <v>0</v>
      </c>
      <c r="X2980" s="36">
        <v>400</v>
      </c>
      <c r="Y2980" s="36"/>
      <c r="Z2980" s="36"/>
      <c r="AA2980" s="36"/>
      <c r="AB2980" s="36"/>
      <c r="AC2980" s="36"/>
      <c r="AD2980" s="36"/>
      <c r="AE2980" s="36"/>
      <c r="AF2980" s="36"/>
      <c r="AG2980" s="36"/>
      <c r="AH2980" s="36"/>
      <c r="AI2980" s="36"/>
      <c r="AJ2980" s="15">
        <f t="shared" si="140"/>
        <v>400</v>
      </c>
      <c r="AK2980" s="16"/>
    </row>
    <row r="2981" spans="2:38" x14ac:dyDescent="0.2">
      <c r="B2981" s="7"/>
      <c r="C2981" s="8">
        <v>13509</v>
      </c>
      <c r="D2981" s="9" t="s">
        <v>150</v>
      </c>
      <c r="E2981" s="10" t="str">
        <f t="shared" si="141"/>
        <v>Rancho La Cuchilla No. 33</v>
      </c>
      <c r="F2981" s="10" t="str">
        <f t="shared" si="142"/>
        <v>Tanús</v>
      </c>
      <c r="G2981" s="8">
        <v>1</v>
      </c>
      <c r="H2981" s="11">
        <v>400</v>
      </c>
      <c r="I2981" s="12">
        <v>42736</v>
      </c>
      <c r="J2981" s="35">
        <f t="shared" si="138"/>
        <v>0</v>
      </c>
      <c r="K2981" s="36"/>
      <c r="L2981" s="36"/>
      <c r="M2981" s="36"/>
      <c r="N2981" s="36"/>
      <c r="O2981" s="36"/>
      <c r="P2981" s="36"/>
      <c r="Q2981" s="36"/>
      <c r="R2981" s="36"/>
      <c r="S2981" s="36"/>
      <c r="T2981" s="36"/>
      <c r="U2981" s="36"/>
      <c r="V2981" s="36"/>
      <c r="W2981" s="15">
        <f t="shared" si="139"/>
        <v>0</v>
      </c>
      <c r="X2981" s="36">
        <v>400</v>
      </c>
      <c r="Y2981" s="36"/>
      <c r="Z2981" s="36"/>
      <c r="AA2981" s="36"/>
      <c r="AB2981" s="36"/>
      <c r="AC2981" s="36"/>
      <c r="AD2981" s="36"/>
      <c r="AE2981" s="36"/>
      <c r="AF2981" s="36"/>
      <c r="AG2981" s="36"/>
      <c r="AH2981" s="36"/>
      <c r="AI2981" s="36"/>
      <c r="AJ2981" s="15">
        <f t="shared" si="140"/>
        <v>400</v>
      </c>
      <c r="AK2981" s="16"/>
    </row>
    <row r="2982" spans="2:38" x14ac:dyDescent="0.2">
      <c r="B2982" s="7"/>
      <c r="C2982" s="8">
        <v>13510</v>
      </c>
      <c r="D2982" s="9" t="s">
        <v>782</v>
      </c>
      <c r="E2982" s="10" t="str">
        <f t="shared" si="141"/>
        <v>Rancho Estanzuela No. 35</v>
      </c>
      <c r="F2982" s="10" t="str">
        <f t="shared" si="142"/>
        <v>Rodríguez</v>
      </c>
      <c r="G2982" s="8">
        <v>1</v>
      </c>
      <c r="H2982" s="11">
        <v>600</v>
      </c>
      <c r="I2982" s="12">
        <v>42736</v>
      </c>
      <c r="J2982" s="35">
        <f t="shared" si="138"/>
        <v>0</v>
      </c>
      <c r="K2982" s="36"/>
      <c r="L2982" s="36"/>
      <c r="M2982" s="36"/>
      <c r="N2982" s="36"/>
      <c r="O2982" s="36"/>
      <c r="P2982" s="36"/>
      <c r="Q2982" s="36"/>
      <c r="R2982" s="36"/>
      <c r="S2982" s="36"/>
      <c r="T2982" s="36"/>
      <c r="U2982" s="36"/>
      <c r="V2982" s="36"/>
      <c r="W2982" s="15">
        <f t="shared" si="139"/>
        <v>0</v>
      </c>
      <c r="X2982" s="36">
        <v>200</v>
      </c>
      <c r="Y2982" s="36">
        <v>200</v>
      </c>
      <c r="Z2982" s="36">
        <v>200</v>
      </c>
      <c r="AA2982" s="36"/>
      <c r="AB2982" s="36"/>
      <c r="AC2982" s="36"/>
      <c r="AD2982" s="36"/>
      <c r="AE2982" s="36"/>
      <c r="AF2982" s="36"/>
      <c r="AG2982" s="36"/>
      <c r="AH2982" s="36"/>
      <c r="AI2982" s="36"/>
      <c r="AJ2982" s="15">
        <f t="shared" si="140"/>
        <v>600</v>
      </c>
      <c r="AK2982" s="16"/>
    </row>
    <row r="2983" spans="2:38" x14ac:dyDescent="0.2">
      <c r="B2983" s="7"/>
      <c r="C2983" s="8">
        <v>13511</v>
      </c>
      <c r="D2983" s="9" t="s">
        <v>523</v>
      </c>
      <c r="E2983" s="10" t="str">
        <f t="shared" si="141"/>
        <v>Rancho Estanzuela No. 139</v>
      </c>
      <c r="F2983" s="10" t="str">
        <f t="shared" si="142"/>
        <v xml:space="preserve">Ortiz   </v>
      </c>
      <c r="G2983" s="8">
        <v>1</v>
      </c>
      <c r="H2983" s="11">
        <v>400</v>
      </c>
      <c r="I2983" s="12">
        <v>42736</v>
      </c>
      <c r="J2983" s="35">
        <f t="shared" si="138"/>
        <v>0</v>
      </c>
      <c r="K2983" s="36"/>
      <c r="L2983" s="36"/>
      <c r="M2983" s="36"/>
      <c r="N2983" s="36"/>
      <c r="O2983" s="36"/>
      <c r="P2983" s="36"/>
      <c r="Q2983" s="36"/>
      <c r="R2983" s="36"/>
      <c r="S2983" s="36"/>
      <c r="T2983" s="36">
        <v>400</v>
      </c>
      <c r="U2983" s="36"/>
      <c r="V2983" s="36"/>
      <c r="W2983" s="15">
        <f t="shared" si="139"/>
        <v>400</v>
      </c>
      <c r="X2983" s="36"/>
      <c r="Y2983" s="36"/>
      <c r="Z2983" s="36"/>
      <c r="AA2983" s="36"/>
      <c r="AB2983" s="36"/>
      <c r="AC2983" s="36"/>
      <c r="AD2983" s="36"/>
      <c r="AE2983" s="36"/>
      <c r="AF2983" s="36"/>
      <c r="AG2983" s="36"/>
      <c r="AH2983" s="36"/>
      <c r="AI2983" s="36"/>
      <c r="AJ2983" s="15">
        <f t="shared" si="140"/>
        <v>0</v>
      </c>
      <c r="AK2983" s="16"/>
    </row>
    <row r="2984" spans="2:38" x14ac:dyDescent="0.2">
      <c r="B2984" s="7"/>
      <c r="C2984" s="8">
        <v>13512</v>
      </c>
      <c r="D2984" s="9" t="s">
        <v>97</v>
      </c>
      <c r="E2984" s="10" t="str">
        <f t="shared" si="141"/>
        <v>Rancho La Cuchilla No. 78</v>
      </c>
      <c r="F2984" s="10" t="str">
        <f t="shared" si="142"/>
        <v>García</v>
      </c>
      <c r="G2984" s="8">
        <v>1</v>
      </c>
      <c r="H2984" s="11">
        <v>400</v>
      </c>
      <c r="I2984" s="12">
        <v>42736</v>
      </c>
      <c r="J2984" s="35">
        <f t="shared" si="138"/>
        <v>0</v>
      </c>
      <c r="K2984" s="36"/>
      <c r="L2984" s="36"/>
      <c r="M2984" s="36"/>
      <c r="N2984" s="36"/>
      <c r="O2984" s="36"/>
      <c r="P2984" s="36"/>
      <c r="Q2984" s="36"/>
      <c r="R2984" s="36"/>
      <c r="S2984" s="36"/>
      <c r="T2984" s="36"/>
      <c r="U2984" s="36"/>
      <c r="V2984" s="36"/>
      <c r="W2984" s="15">
        <f t="shared" si="139"/>
        <v>0</v>
      </c>
      <c r="X2984" s="36">
        <v>400</v>
      </c>
      <c r="Y2984" s="36"/>
      <c r="Z2984" s="36"/>
      <c r="AA2984" s="36"/>
      <c r="AB2984" s="36"/>
      <c r="AC2984" s="36"/>
      <c r="AD2984" s="36"/>
      <c r="AE2984" s="36"/>
      <c r="AF2984" s="36"/>
      <c r="AG2984" s="36"/>
      <c r="AH2984" s="36"/>
      <c r="AI2984" s="36"/>
      <c r="AJ2984" s="15">
        <f t="shared" si="140"/>
        <v>400</v>
      </c>
      <c r="AK2984" s="16"/>
    </row>
    <row r="2985" spans="2:38" x14ac:dyDescent="0.2">
      <c r="B2985" s="7"/>
      <c r="C2985" s="8">
        <v>13513</v>
      </c>
      <c r="D2985" s="9" t="s">
        <v>171</v>
      </c>
      <c r="E2985" s="10" t="str">
        <f t="shared" si="141"/>
        <v>Rancho La Cuchilla No. 72</v>
      </c>
      <c r="F2985" s="10" t="str">
        <f t="shared" si="142"/>
        <v>Ortiz González</v>
      </c>
      <c r="G2985" s="8">
        <v>1</v>
      </c>
      <c r="H2985" s="11">
        <v>400</v>
      </c>
      <c r="I2985" s="12">
        <v>42736</v>
      </c>
      <c r="J2985" s="35">
        <f t="shared" si="138"/>
        <v>0</v>
      </c>
      <c r="K2985" s="36"/>
      <c r="L2985" s="36"/>
      <c r="M2985" s="36"/>
      <c r="N2985" s="36"/>
      <c r="O2985" s="36"/>
      <c r="P2985" s="36"/>
      <c r="Q2985" s="36"/>
      <c r="R2985" s="36"/>
      <c r="S2985" s="36"/>
      <c r="T2985" s="36"/>
      <c r="U2985" s="36"/>
      <c r="V2985" s="36"/>
      <c r="W2985" s="15">
        <f t="shared" si="139"/>
        <v>0</v>
      </c>
      <c r="X2985" s="36">
        <v>400</v>
      </c>
      <c r="Y2985" s="36"/>
      <c r="Z2985" s="36"/>
      <c r="AA2985" s="36"/>
      <c r="AB2985" s="36"/>
      <c r="AC2985" s="36"/>
      <c r="AD2985" s="36"/>
      <c r="AE2985" s="36"/>
      <c r="AF2985" s="36"/>
      <c r="AG2985" s="36"/>
      <c r="AH2985" s="36"/>
      <c r="AI2985" s="36"/>
      <c r="AJ2985" s="15">
        <f t="shared" si="140"/>
        <v>400</v>
      </c>
      <c r="AK2985" s="16"/>
    </row>
    <row r="2986" spans="2:38" x14ac:dyDescent="0.2">
      <c r="B2986" s="7"/>
      <c r="C2986" s="8">
        <v>13514</v>
      </c>
      <c r="D2986" s="9" t="s">
        <v>58</v>
      </c>
      <c r="E2986" s="10" t="str">
        <f t="shared" si="141"/>
        <v>Rancho Landero No. 19</v>
      </c>
      <c r="F2986" s="10" t="str">
        <f t="shared" si="142"/>
        <v>Jiménez Guadarrama</v>
      </c>
      <c r="G2986" s="8">
        <v>5</v>
      </c>
      <c r="H2986" s="11">
        <v>50</v>
      </c>
      <c r="I2986" s="12">
        <v>42736</v>
      </c>
      <c r="J2986" s="35">
        <f t="shared" si="138"/>
        <v>0</v>
      </c>
      <c r="K2986" s="36"/>
      <c r="L2986" s="36"/>
      <c r="M2986" s="36"/>
      <c r="N2986" s="36"/>
      <c r="O2986" s="36"/>
      <c r="P2986" s="36"/>
      <c r="Q2986" s="36"/>
      <c r="R2986" s="36"/>
      <c r="S2986" s="36"/>
      <c r="T2986" s="36"/>
      <c r="U2986" s="36"/>
      <c r="V2986" s="36"/>
      <c r="W2986" s="15">
        <f t="shared" si="139"/>
        <v>0</v>
      </c>
      <c r="X2986" s="36"/>
      <c r="Y2986" s="36"/>
      <c r="Z2986" s="36"/>
      <c r="AA2986" s="36"/>
      <c r="AB2986" s="36"/>
      <c r="AC2986" s="36"/>
      <c r="AD2986" s="36"/>
      <c r="AE2986" s="36"/>
      <c r="AF2986" s="36"/>
      <c r="AG2986" s="36"/>
      <c r="AH2986" s="36"/>
      <c r="AI2986" s="36"/>
      <c r="AJ2986" s="15">
        <f t="shared" si="140"/>
        <v>0</v>
      </c>
      <c r="AK2986" s="16"/>
    </row>
    <row r="2987" spans="2:38" x14ac:dyDescent="0.2">
      <c r="B2987" s="7"/>
      <c r="C2987" s="8">
        <v>13515</v>
      </c>
      <c r="D2987" s="9" t="s">
        <v>289</v>
      </c>
      <c r="E2987" s="10" t="str">
        <f t="shared" si="141"/>
        <v>Rancho Estanzuela No. 17</v>
      </c>
      <c r="F2987" s="10" t="str">
        <f t="shared" si="142"/>
        <v>Enciso Ledesma</v>
      </c>
      <c r="G2987" s="8">
        <v>1</v>
      </c>
      <c r="H2987" s="11">
        <v>2200</v>
      </c>
      <c r="I2987" s="12">
        <v>42736</v>
      </c>
      <c r="J2987" s="35">
        <f t="shared" ref="J2987:J3010" si="148">IF(G2987=1,SUM(W2987,AJ2987,-H2987),0)</f>
        <v>0</v>
      </c>
      <c r="K2987" s="36"/>
      <c r="L2987" s="36"/>
      <c r="M2987" s="36"/>
      <c r="N2987" s="36"/>
      <c r="O2987" s="36"/>
      <c r="P2987" s="36"/>
      <c r="Q2987" s="36"/>
      <c r="R2987" s="36"/>
      <c r="S2987" s="36"/>
      <c r="T2987" s="36"/>
      <c r="U2987" s="36"/>
      <c r="V2987" s="36"/>
      <c r="W2987" s="15">
        <f t="shared" ref="W2987:W3010" si="149">SUM(K2987:V2987)</f>
        <v>0</v>
      </c>
      <c r="X2987" s="36">
        <v>200</v>
      </c>
      <c r="Y2987" s="36">
        <v>200</v>
      </c>
      <c r="Z2987" s="36">
        <v>200</v>
      </c>
      <c r="AA2987" s="36">
        <v>200</v>
      </c>
      <c r="AB2987" s="36">
        <v>200</v>
      </c>
      <c r="AC2987" s="36">
        <v>200</v>
      </c>
      <c r="AD2987" s="36">
        <v>200</v>
      </c>
      <c r="AE2987" s="36">
        <v>200</v>
      </c>
      <c r="AF2987" s="36">
        <v>200</v>
      </c>
      <c r="AG2987" s="36">
        <v>200</v>
      </c>
      <c r="AH2987" s="36">
        <v>200</v>
      </c>
      <c r="AI2987" s="36"/>
      <c r="AJ2987" s="15">
        <f t="shared" ref="AJ2987:AJ3010" si="150">SUM(X2987:AI2987)</f>
        <v>2200</v>
      </c>
      <c r="AK2987" s="16" t="s">
        <v>3376</v>
      </c>
    </row>
    <row r="2988" spans="2:38" x14ac:dyDescent="0.2">
      <c r="B2988" s="7"/>
      <c r="C2988" s="8">
        <v>13516</v>
      </c>
      <c r="D2988" s="9" t="s">
        <v>262</v>
      </c>
      <c r="E2988" s="10" t="str">
        <f t="shared" si="141"/>
        <v>Rancho Recoveco No. 1</v>
      </c>
      <c r="F2988" s="10" t="str">
        <f t="shared" si="142"/>
        <v>Díaz</v>
      </c>
      <c r="G2988" s="8">
        <v>1</v>
      </c>
      <c r="H2988" s="11">
        <v>600</v>
      </c>
      <c r="I2988" s="12">
        <v>42736</v>
      </c>
      <c r="J2988" s="35">
        <f t="shared" si="148"/>
        <v>0</v>
      </c>
      <c r="K2988" s="36"/>
      <c r="L2988" s="36"/>
      <c r="M2988" s="36"/>
      <c r="N2988" s="36"/>
      <c r="O2988" s="36"/>
      <c r="P2988" s="36"/>
      <c r="Q2988" s="36"/>
      <c r="R2988" s="36"/>
      <c r="S2988" s="36"/>
      <c r="T2988" s="36"/>
      <c r="U2988" s="36"/>
      <c r="V2988" s="36">
        <v>300</v>
      </c>
      <c r="W2988" s="15">
        <f t="shared" si="149"/>
        <v>300</v>
      </c>
      <c r="X2988" s="36">
        <v>300</v>
      </c>
      <c r="Y2988" s="36"/>
      <c r="Z2988" s="36"/>
      <c r="AA2988" s="36"/>
      <c r="AB2988" s="36"/>
      <c r="AC2988" s="36"/>
      <c r="AD2988" s="36"/>
      <c r="AE2988" s="36"/>
      <c r="AF2988" s="36"/>
      <c r="AG2988" s="36"/>
      <c r="AH2988" s="36"/>
      <c r="AI2988" s="36"/>
      <c r="AJ2988" s="15">
        <f t="shared" si="150"/>
        <v>300</v>
      </c>
      <c r="AK2988" s="16"/>
    </row>
    <row r="2989" spans="2:38" x14ac:dyDescent="0.2">
      <c r="B2989" s="7"/>
      <c r="C2989" s="8">
        <v>13517</v>
      </c>
      <c r="D2989" s="9" t="s">
        <v>384</v>
      </c>
      <c r="E2989" s="10" t="str">
        <f t="shared" ref="E2989:E3010" si="151">IF(D2989=0,"",VLOOKUP(D2989,BASE,2,FALSE))</f>
        <v>Rancho Zinamba No. 88</v>
      </c>
      <c r="F2989" s="10" t="str">
        <f t="shared" ref="F2989:F3010" si="152">IF(D2989=0,"",VLOOKUP(D2989,BASE,3,FALSE))</f>
        <v>Martínez</v>
      </c>
      <c r="G2989" s="8">
        <v>1</v>
      </c>
      <c r="H2989" s="11">
        <v>300</v>
      </c>
      <c r="I2989" s="12">
        <v>42736</v>
      </c>
      <c r="J2989" s="35">
        <f t="shared" si="148"/>
        <v>0</v>
      </c>
      <c r="K2989" s="36"/>
      <c r="L2989" s="36"/>
      <c r="M2989" s="36"/>
      <c r="N2989" s="36"/>
      <c r="O2989" s="36"/>
      <c r="P2989" s="36"/>
      <c r="Q2989" s="36"/>
      <c r="R2989" s="36"/>
      <c r="S2989" s="36"/>
      <c r="T2989" s="36"/>
      <c r="U2989" s="36"/>
      <c r="V2989" s="36">
        <v>300</v>
      </c>
      <c r="W2989" s="15">
        <f t="shared" si="149"/>
        <v>300</v>
      </c>
      <c r="X2989" s="36"/>
      <c r="Y2989" s="36"/>
      <c r="Z2989" s="36"/>
      <c r="AA2989" s="36"/>
      <c r="AB2989" s="36"/>
      <c r="AC2989" s="36"/>
      <c r="AD2989" s="36"/>
      <c r="AE2989" s="36"/>
      <c r="AF2989" s="36"/>
      <c r="AG2989" s="36"/>
      <c r="AH2989" s="36"/>
      <c r="AI2989" s="36"/>
      <c r="AJ2989" s="15">
        <f t="shared" si="150"/>
        <v>0</v>
      </c>
      <c r="AK2989" s="16"/>
    </row>
    <row r="2990" spans="2:38" x14ac:dyDescent="0.2">
      <c r="B2990" s="7"/>
      <c r="C2990" s="8">
        <v>13518</v>
      </c>
      <c r="D2990" s="9" t="s">
        <v>129</v>
      </c>
      <c r="E2990" s="10" t="str">
        <f t="shared" si="151"/>
        <v>Rancho Zinamba No. 44</v>
      </c>
      <c r="F2990" s="10" t="str">
        <f t="shared" si="152"/>
        <v>Canales</v>
      </c>
      <c r="G2990" s="8">
        <v>1</v>
      </c>
      <c r="H2990" s="11">
        <v>400</v>
      </c>
      <c r="I2990" s="12">
        <v>42736</v>
      </c>
      <c r="J2990" s="35">
        <f t="shared" si="148"/>
        <v>0</v>
      </c>
      <c r="K2990" s="36"/>
      <c r="L2990" s="36"/>
      <c r="M2990" s="36"/>
      <c r="N2990" s="36"/>
      <c r="O2990" s="36"/>
      <c r="P2990" s="36"/>
      <c r="Q2990" s="36"/>
      <c r="R2990" s="36"/>
      <c r="S2990" s="36"/>
      <c r="T2990" s="36"/>
      <c r="U2990" s="36"/>
      <c r="V2990" s="36"/>
      <c r="W2990" s="15">
        <f t="shared" si="149"/>
        <v>0</v>
      </c>
      <c r="X2990" s="36">
        <v>400</v>
      </c>
      <c r="Y2990" s="36"/>
      <c r="Z2990" s="36"/>
      <c r="AA2990" s="36"/>
      <c r="AB2990" s="36"/>
      <c r="AC2990" s="36"/>
      <c r="AD2990" s="36"/>
      <c r="AE2990" s="36"/>
      <c r="AF2990" s="36"/>
      <c r="AG2990" s="36"/>
      <c r="AH2990" s="36"/>
      <c r="AI2990" s="36"/>
      <c r="AJ2990" s="15">
        <f t="shared" si="150"/>
        <v>400</v>
      </c>
      <c r="AK2990" s="16"/>
    </row>
    <row r="2991" spans="2:38" x14ac:dyDescent="0.2">
      <c r="B2991" s="7"/>
      <c r="C2991" s="8">
        <v>13519</v>
      </c>
      <c r="D2991" s="9" t="s">
        <v>229</v>
      </c>
      <c r="E2991" s="10" t="str">
        <f t="shared" si="151"/>
        <v>Rancho La Cuchilla No. 14</v>
      </c>
      <c r="F2991" s="10" t="str">
        <f t="shared" si="152"/>
        <v>Chávez Lara</v>
      </c>
      <c r="G2991" s="8">
        <v>1</v>
      </c>
      <c r="H2991" s="11">
        <v>4400</v>
      </c>
      <c r="I2991" s="12">
        <v>42736</v>
      </c>
      <c r="J2991" s="35">
        <f t="shared" si="148"/>
        <v>0</v>
      </c>
      <c r="K2991" s="36"/>
      <c r="L2991" s="36"/>
      <c r="M2991" s="36"/>
      <c r="N2991" s="36"/>
      <c r="O2991" s="36"/>
      <c r="P2991" s="36"/>
      <c r="Q2991" s="36"/>
      <c r="R2991" s="36"/>
      <c r="S2991" s="36"/>
      <c r="T2991" s="36"/>
      <c r="U2991" s="36"/>
      <c r="V2991" s="36"/>
      <c r="W2991" s="15">
        <f t="shared" si="149"/>
        <v>0</v>
      </c>
      <c r="X2991" s="36">
        <v>400</v>
      </c>
      <c r="Y2991" s="36">
        <v>400</v>
      </c>
      <c r="Z2991" s="36">
        <v>400</v>
      </c>
      <c r="AA2991" s="36">
        <v>400</v>
      </c>
      <c r="AB2991" s="36">
        <v>400</v>
      </c>
      <c r="AC2991" s="36">
        <v>400</v>
      </c>
      <c r="AD2991" s="36">
        <v>400</v>
      </c>
      <c r="AE2991" s="36">
        <v>400</v>
      </c>
      <c r="AF2991" s="36">
        <v>400</v>
      </c>
      <c r="AG2991" s="36">
        <v>400</v>
      </c>
      <c r="AH2991" s="36">
        <v>400</v>
      </c>
      <c r="AI2991" s="36"/>
      <c r="AJ2991" s="15">
        <f t="shared" si="150"/>
        <v>4400</v>
      </c>
      <c r="AK2991" s="16" t="s">
        <v>3376</v>
      </c>
      <c r="AL2991" t="s">
        <v>3377</v>
      </c>
    </row>
    <row r="2992" spans="2:38" x14ac:dyDescent="0.2">
      <c r="B2992" s="7"/>
      <c r="C2992" s="8">
        <v>13520</v>
      </c>
      <c r="D2992" s="9"/>
      <c r="E2992" s="10" t="str">
        <f t="shared" si="151"/>
        <v/>
      </c>
      <c r="F2992" s="10" t="str">
        <f t="shared" si="152"/>
        <v/>
      </c>
      <c r="G2992" s="8">
        <v>8</v>
      </c>
      <c r="H2992" s="11"/>
      <c r="I2992" s="12"/>
      <c r="J2992" s="35">
        <f t="shared" si="148"/>
        <v>0</v>
      </c>
      <c r="K2992" s="36"/>
      <c r="L2992" s="36"/>
      <c r="M2992" s="36"/>
      <c r="N2992" s="36"/>
      <c r="O2992" s="36"/>
      <c r="P2992" s="36"/>
      <c r="Q2992" s="36"/>
      <c r="R2992" s="36"/>
      <c r="S2992" s="36"/>
      <c r="T2992" s="36"/>
      <c r="U2992" s="36"/>
      <c r="V2992" s="36"/>
      <c r="W2992" s="15">
        <f t="shared" si="149"/>
        <v>0</v>
      </c>
      <c r="X2992" s="36"/>
      <c r="Y2992" s="36"/>
      <c r="Z2992" s="36"/>
      <c r="AA2992" s="36"/>
      <c r="AB2992" s="36"/>
      <c r="AC2992" s="36"/>
      <c r="AD2992" s="36"/>
      <c r="AE2992" s="36"/>
      <c r="AF2992" s="36"/>
      <c r="AG2992" s="36"/>
      <c r="AH2992" s="36"/>
      <c r="AI2992" s="36"/>
      <c r="AJ2992" s="15">
        <f t="shared" si="150"/>
        <v>0</v>
      </c>
      <c r="AK2992" s="16"/>
      <c r="AL2992" t="s">
        <v>3378</v>
      </c>
    </row>
    <row r="2993" spans="2:37" x14ac:dyDescent="0.2">
      <c r="B2993" s="7"/>
      <c r="C2993" s="8">
        <v>13521</v>
      </c>
      <c r="D2993" s="9" t="s">
        <v>963</v>
      </c>
      <c r="E2993" s="10" t="str">
        <f t="shared" si="151"/>
        <v>Rancho La Cuchilla No. 47</v>
      </c>
      <c r="F2993" s="10" t="str">
        <f t="shared" si="152"/>
        <v>López</v>
      </c>
      <c r="G2993" s="8">
        <v>1</v>
      </c>
      <c r="H2993" s="321">
        <v>800</v>
      </c>
      <c r="I2993" s="12">
        <v>42736</v>
      </c>
      <c r="J2993" s="35">
        <f t="shared" si="148"/>
        <v>0</v>
      </c>
      <c r="K2993" s="36"/>
      <c r="L2993" s="36"/>
      <c r="M2993" s="36"/>
      <c r="N2993" s="36"/>
      <c r="O2993" s="36"/>
      <c r="P2993" s="36"/>
      <c r="Q2993" s="36"/>
      <c r="R2993" s="36"/>
      <c r="S2993" s="36"/>
      <c r="T2993" s="36"/>
      <c r="U2993" s="36"/>
      <c r="V2993" s="36">
        <v>400</v>
      </c>
      <c r="W2993" s="15">
        <f t="shared" si="149"/>
        <v>400</v>
      </c>
      <c r="X2993" s="36">
        <v>400</v>
      </c>
      <c r="Y2993" s="36"/>
      <c r="Z2993" s="36"/>
      <c r="AA2993" s="36"/>
      <c r="AB2993" s="36"/>
      <c r="AC2993" s="36"/>
      <c r="AD2993" s="36"/>
      <c r="AE2993" s="36"/>
      <c r="AF2993" s="36"/>
      <c r="AG2993" s="36"/>
      <c r="AH2993" s="36"/>
      <c r="AI2993" s="36"/>
      <c r="AJ2993" s="15">
        <f t="shared" si="150"/>
        <v>400</v>
      </c>
      <c r="AK2993" s="322">
        <f>SUM(H2977:H2993)</f>
        <v>14300</v>
      </c>
    </row>
    <row r="2994" spans="2:37" x14ac:dyDescent="0.2">
      <c r="B2994" s="7"/>
      <c r="C2994" s="8"/>
      <c r="D2994" s="9"/>
      <c r="E2994" s="10" t="str">
        <f t="shared" si="151"/>
        <v/>
      </c>
      <c r="F2994" s="10" t="str">
        <f t="shared" si="152"/>
        <v/>
      </c>
      <c r="G2994" s="8"/>
      <c r="H2994" s="11"/>
      <c r="I2994" s="12"/>
      <c r="J2994" s="35">
        <f t="shared" si="148"/>
        <v>0</v>
      </c>
      <c r="K2994" s="36"/>
      <c r="L2994" s="36"/>
      <c r="M2994" s="36"/>
      <c r="N2994" s="36"/>
      <c r="O2994" s="36"/>
      <c r="P2994" s="36"/>
      <c r="Q2994" s="36"/>
      <c r="R2994" s="36"/>
      <c r="S2994" s="36"/>
      <c r="T2994" s="36"/>
      <c r="U2994" s="36"/>
      <c r="V2994" s="36"/>
      <c r="W2994" s="15">
        <f t="shared" si="149"/>
        <v>0</v>
      </c>
      <c r="X2994" s="36"/>
      <c r="Y2994" s="36"/>
      <c r="Z2994" s="36"/>
      <c r="AA2994" s="36"/>
      <c r="AB2994" s="36"/>
      <c r="AC2994" s="36"/>
      <c r="AD2994" s="36"/>
      <c r="AE2994" s="36"/>
      <c r="AF2994" s="36"/>
      <c r="AG2994" s="36"/>
      <c r="AH2994" s="36"/>
      <c r="AI2994" s="36"/>
      <c r="AJ2994" s="15">
        <f t="shared" si="150"/>
        <v>0</v>
      </c>
      <c r="AK2994" s="16"/>
    </row>
    <row r="2995" spans="2:37" x14ac:dyDescent="0.2">
      <c r="B2995" s="7"/>
      <c r="C2995" s="8"/>
      <c r="D2995" s="9"/>
      <c r="E2995" s="10" t="str">
        <f t="shared" si="151"/>
        <v/>
      </c>
      <c r="F2995" s="10" t="str">
        <f t="shared" si="152"/>
        <v/>
      </c>
      <c r="G2995" s="8"/>
      <c r="H2995" s="11"/>
      <c r="I2995" s="12"/>
      <c r="J2995" s="35">
        <f t="shared" si="148"/>
        <v>0</v>
      </c>
      <c r="K2995" s="36"/>
      <c r="L2995" s="36"/>
      <c r="M2995" s="36"/>
      <c r="N2995" s="36"/>
      <c r="O2995" s="36"/>
      <c r="P2995" s="36"/>
      <c r="Q2995" s="36"/>
      <c r="R2995" s="36"/>
      <c r="S2995" s="36"/>
      <c r="T2995" s="36"/>
      <c r="U2995" s="36"/>
      <c r="V2995" s="36"/>
      <c r="W2995" s="15">
        <f t="shared" si="149"/>
        <v>0</v>
      </c>
      <c r="X2995" s="36"/>
      <c r="Y2995" s="36"/>
      <c r="Z2995" s="36"/>
      <c r="AA2995" s="36"/>
      <c r="AB2995" s="36"/>
      <c r="AC2995" s="36"/>
      <c r="AD2995" s="36"/>
      <c r="AE2995" s="36"/>
      <c r="AF2995" s="36"/>
      <c r="AG2995" s="36"/>
      <c r="AH2995" s="36"/>
      <c r="AI2995" s="36"/>
      <c r="AJ2995" s="15">
        <f t="shared" si="150"/>
        <v>0</v>
      </c>
      <c r="AK2995" s="16"/>
    </row>
    <row r="2996" spans="2:37" x14ac:dyDescent="0.2">
      <c r="B2996" s="7"/>
      <c r="C2996" s="8"/>
      <c r="D2996" s="9"/>
      <c r="E2996" s="10" t="str">
        <f t="shared" si="151"/>
        <v/>
      </c>
      <c r="F2996" s="10" t="str">
        <f t="shared" si="152"/>
        <v/>
      </c>
      <c r="G2996" s="8"/>
      <c r="H2996" s="11"/>
      <c r="I2996" s="12"/>
      <c r="J2996" s="35">
        <f t="shared" si="148"/>
        <v>0</v>
      </c>
      <c r="K2996" s="36"/>
      <c r="L2996" s="36"/>
      <c r="M2996" s="36"/>
      <c r="N2996" s="36"/>
      <c r="O2996" s="36"/>
      <c r="P2996" s="36"/>
      <c r="Q2996" s="36"/>
      <c r="R2996" s="36"/>
      <c r="S2996" s="36"/>
      <c r="T2996" s="36"/>
      <c r="U2996" s="36"/>
      <c r="V2996" s="36"/>
      <c r="W2996" s="15">
        <f t="shared" si="149"/>
        <v>0</v>
      </c>
      <c r="X2996" s="36"/>
      <c r="Y2996" s="36"/>
      <c r="Z2996" s="36"/>
      <c r="AA2996" s="36"/>
      <c r="AB2996" s="36"/>
      <c r="AC2996" s="36"/>
      <c r="AD2996" s="36"/>
      <c r="AE2996" s="36"/>
      <c r="AF2996" s="36"/>
      <c r="AG2996" s="36"/>
      <c r="AH2996" s="36"/>
      <c r="AI2996" s="36"/>
      <c r="AJ2996" s="15">
        <f t="shared" si="150"/>
        <v>0</v>
      </c>
      <c r="AK2996" s="16"/>
    </row>
    <row r="2997" spans="2:37" x14ac:dyDescent="0.2">
      <c r="B2997" s="7"/>
      <c r="C2997" s="8"/>
      <c r="D2997" s="9"/>
      <c r="E2997" s="10" t="str">
        <f t="shared" si="151"/>
        <v/>
      </c>
      <c r="F2997" s="10" t="str">
        <f t="shared" si="152"/>
        <v/>
      </c>
      <c r="G2997" s="8"/>
      <c r="H2997" s="11"/>
      <c r="I2997" s="12"/>
      <c r="J2997" s="35">
        <f t="shared" si="148"/>
        <v>0</v>
      </c>
      <c r="K2997" s="36"/>
      <c r="L2997" s="36"/>
      <c r="M2997" s="36"/>
      <c r="N2997" s="36"/>
      <c r="O2997" s="36"/>
      <c r="P2997" s="36"/>
      <c r="Q2997" s="36"/>
      <c r="R2997" s="36"/>
      <c r="S2997" s="36"/>
      <c r="T2997" s="36"/>
      <c r="U2997" s="36"/>
      <c r="V2997" s="36"/>
      <c r="W2997" s="15">
        <f t="shared" si="149"/>
        <v>0</v>
      </c>
      <c r="X2997" s="36"/>
      <c r="Y2997" s="36"/>
      <c r="Z2997" s="36"/>
      <c r="AA2997" s="36"/>
      <c r="AB2997" s="36"/>
      <c r="AC2997" s="36"/>
      <c r="AD2997" s="36"/>
      <c r="AE2997" s="36"/>
      <c r="AF2997" s="36"/>
      <c r="AG2997" s="36"/>
      <c r="AH2997" s="36"/>
      <c r="AI2997" s="36"/>
      <c r="AJ2997" s="15">
        <f t="shared" si="150"/>
        <v>0</v>
      </c>
      <c r="AK2997" s="16"/>
    </row>
    <row r="2998" spans="2:37" x14ac:dyDescent="0.2">
      <c r="B2998" s="7"/>
      <c r="C2998" s="8"/>
      <c r="D2998" s="9"/>
      <c r="E2998" s="10" t="str">
        <f t="shared" si="151"/>
        <v/>
      </c>
      <c r="F2998" s="10" t="str">
        <f t="shared" si="152"/>
        <v/>
      </c>
      <c r="G2998" s="8"/>
      <c r="H2998" s="11"/>
      <c r="I2998" s="12"/>
      <c r="J2998" s="35">
        <f t="shared" si="148"/>
        <v>0</v>
      </c>
      <c r="K2998" s="36"/>
      <c r="L2998" s="36"/>
      <c r="M2998" s="36"/>
      <c r="N2998" s="36"/>
      <c r="O2998" s="36"/>
      <c r="P2998" s="36"/>
      <c r="Q2998" s="36"/>
      <c r="R2998" s="36"/>
      <c r="S2998" s="36"/>
      <c r="T2998" s="36"/>
      <c r="U2998" s="36"/>
      <c r="V2998" s="36"/>
      <c r="W2998" s="15">
        <f t="shared" si="149"/>
        <v>0</v>
      </c>
      <c r="X2998" s="36"/>
      <c r="Y2998" s="36"/>
      <c r="Z2998" s="36"/>
      <c r="AA2998" s="36"/>
      <c r="AB2998" s="36"/>
      <c r="AC2998" s="36"/>
      <c r="AD2998" s="36"/>
      <c r="AE2998" s="36"/>
      <c r="AF2998" s="36"/>
      <c r="AG2998" s="36"/>
      <c r="AH2998" s="36"/>
      <c r="AI2998" s="36"/>
      <c r="AJ2998" s="15">
        <f t="shared" si="150"/>
        <v>0</v>
      </c>
      <c r="AK2998" s="16"/>
    </row>
    <row r="2999" spans="2:37" x14ac:dyDescent="0.2">
      <c r="B2999" s="7"/>
      <c r="C2999" s="8"/>
      <c r="D2999" s="9"/>
      <c r="E2999" s="10" t="str">
        <f t="shared" si="151"/>
        <v/>
      </c>
      <c r="F2999" s="10" t="str">
        <f t="shared" si="152"/>
        <v/>
      </c>
      <c r="G2999" s="8"/>
      <c r="H2999" s="11"/>
      <c r="I2999" s="12"/>
      <c r="J2999" s="35">
        <f t="shared" si="148"/>
        <v>0</v>
      </c>
      <c r="K2999" s="36"/>
      <c r="L2999" s="36"/>
      <c r="M2999" s="36"/>
      <c r="N2999" s="36"/>
      <c r="O2999" s="36"/>
      <c r="P2999" s="36"/>
      <c r="Q2999" s="36"/>
      <c r="R2999" s="36"/>
      <c r="S2999" s="36"/>
      <c r="T2999" s="36"/>
      <c r="U2999" s="36"/>
      <c r="V2999" s="36"/>
      <c r="W2999" s="15">
        <f t="shared" si="149"/>
        <v>0</v>
      </c>
      <c r="X2999" s="36"/>
      <c r="Y2999" s="36"/>
      <c r="Z2999" s="36"/>
      <c r="AA2999" s="36"/>
      <c r="AB2999" s="36"/>
      <c r="AC2999" s="36"/>
      <c r="AD2999" s="36"/>
      <c r="AE2999" s="36"/>
      <c r="AF2999" s="36"/>
      <c r="AG2999" s="36"/>
      <c r="AH2999" s="36"/>
      <c r="AI2999" s="36"/>
      <c r="AJ2999" s="15">
        <f t="shared" si="150"/>
        <v>0</v>
      </c>
      <c r="AK2999" s="16"/>
    </row>
    <row r="3000" spans="2:37" x14ac:dyDescent="0.2">
      <c r="B3000" s="7"/>
      <c r="C3000" s="8"/>
      <c r="D3000" s="9"/>
      <c r="E3000" s="10" t="str">
        <f t="shared" si="151"/>
        <v/>
      </c>
      <c r="F3000" s="10" t="str">
        <f t="shared" si="152"/>
        <v/>
      </c>
      <c r="G3000" s="8"/>
      <c r="H3000" s="11"/>
      <c r="I3000" s="12"/>
      <c r="J3000" s="35">
        <f t="shared" si="148"/>
        <v>0</v>
      </c>
      <c r="K3000" s="36"/>
      <c r="L3000" s="36"/>
      <c r="M3000" s="36"/>
      <c r="N3000" s="36"/>
      <c r="O3000" s="36"/>
      <c r="P3000" s="36"/>
      <c r="Q3000" s="36"/>
      <c r="R3000" s="36"/>
      <c r="S3000" s="36"/>
      <c r="T3000" s="36"/>
      <c r="U3000" s="36"/>
      <c r="V3000" s="36"/>
      <c r="W3000" s="15">
        <f t="shared" si="149"/>
        <v>0</v>
      </c>
      <c r="X3000" s="36"/>
      <c r="Y3000" s="36"/>
      <c r="Z3000" s="36"/>
      <c r="AA3000" s="36"/>
      <c r="AB3000" s="36"/>
      <c r="AC3000" s="36"/>
      <c r="AD3000" s="36"/>
      <c r="AE3000" s="36"/>
      <c r="AF3000" s="36"/>
      <c r="AG3000" s="36"/>
      <c r="AH3000" s="36"/>
      <c r="AI3000" s="36"/>
      <c r="AJ3000" s="15">
        <f t="shared" si="150"/>
        <v>0</v>
      </c>
      <c r="AK3000" s="16"/>
    </row>
    <row r="3001" spans="2:37" x14ac:dyDescent="0.2">
      <c r="B3001" s="7"/>
      <c r="C3001" s="8"/>
      <c r="D3001" s="9"/>
      <c r="E3001" s="10" t="str">
        <f t="shared" si="151"/>
        <v/>
      </c>
      <c r="F3001" s="10" t="str">
        <f t="shared" si="152"/>
        <v/>
      </c>
      <c r="G3001" s="8"/>
      <c r="H3001" s="11"/>
      <c r="I3001" s="12"/>
      <c r="J3001" s="35">
        <f t="shared" si="148"/>
        <v>0</v>
      </c>
      <c r="K3001" s="36"/>
      <c r="L3001" s="36"/>
      <c r="M3001" s="36"/>
      <c r="N3001" s="36"/>
      <c r="O3001" s="36"/>
      <c r="P3001" s="36"/>
      <c r="Q3001" s="36"/>
      <c r="R3001" s="36"/>
      <c r="S3001" s="36"/>
      <c r="T3001" s="36"/>
      <c r="U3001" s="36"/>
      <c r="V3001" s="36"/>
      <c r="W3001" s="15">
        <f t="shared" si="149"/>
        <v>0</v>
      </c>
      <c r="X3001" s="36"/>
      <c r="Y3001" s="36"/>
      <c r="Z3001" s="36"/>
      <c r="AA3001" s="36"/>
      <c r="AB3001" s="36"/>
      <c r="AC3001" s="36"/>
      <c r="AD3001" s="36"/>
      <c r="AE3001" s="36"/>
      <c r="AF3001" s="36"/>
      <c r="AG3001" s="36"/>
      <c r="AH3001" s="36"/>
      <c r="AI3001" s="36"/>
      <c r="AJ3001" s="15">
        <f t="shared" si="150"/>
        <v>0</v>
      </c>
      <c r="AK3001" s="16"/>
    </row>
    <row r="3002" spans="2:37" x14ac:dyDescent="0.2">
      <c r="B3002" s="7"/>
      <c r="C3002" s="8"/>
      <c r="D3002" s="9"/>
      <c r="E3002" s="10" t="str">
        <f t="shared" si="151"/>
        <v/>
      </c>
      <c r="F3002" s="10" t="str">
        <f t="shared" si="152"/>
        <v/>
      </c>
      <c r="G3002" s="8"/>
      <c r="H3002" s="11"/>
      <c r="I3002" s="12"/>
      <c r="J3002" s="35">
        <f t="shared" si="148"/>
        <v>0</v>
      </c>
      <c r="K3002" s="36"/>
      <c r="L3002" s="36"/>
      <c r="M3002" s="36"/>
      <c r="N3002" s="36"/>
      <c r="O3002" s="36"/>
      <c r="P3002" s="36"/>
      <c r="Q3002" s="36"/>
      <c r="R3002" s="36"/>
      <c r="S3002" s="36"/>
      <c r="T3002" s="36"/>
      <c r="U3002" s="36"/>
      <c r="V3002" s="36"/>
      <c r="W3002" s="15">
        <f t="shared" si="149"/>
        <v>0</v>
      </c>
      <c r="X3002" s="36"/>
      <c r="Y3002" s="36"/>
      <c r="Z3002" s="36"/>
      <c r="AA3002" s="36"/>
      <c r="AB3002" s="36"/>
      <c r="AC3002" s="36"/>
      <c r="AD3002" s="36"/>
      <c r="AE3002" s="36"/>
      <c r="AF3002" s="36"/>
      <c r="AG3002" s="36"/>
      <c r="AH3002" s="36"/>
      <c r="AI3002" s="36"/>
      <c r="AJ3002" s="15">
        <f t="shared" si="150"/>
        <v>0</v>
      </c>
      <c r="AK3002" s="16"/>
    </row>
    <row r="3003" spans="2:37" x14ac:dyDescent="0.2">
      <c r="B3003" s="7"/>
      <c r="C3003" s="8"/>
      <c r="D3003" s="9"/>
      <c r="E3003" s="10" t="str">
        <f t="shared" si="151"/>
        <v/>
      </c>
      <c r="F3003" s="10" t="str">
        <f t="shared" si="152"/>
        <v/>
      </c>
      <c r="G3003" s="8"/>
      <c r="H3003" s="11"/>
      <c r="I3003" s="12"/>
      <c r="J3003" s="35">
        <f t="shared" si="148"/>
        <v>0</v>
      </c>
      <c r="K3003" s="36"/>
      <c r="L3003" s="36"/>
      <c r="M3003" s="36"/>
      <c r="N3003" s="36"/>
      <c r="O3003" s="36"/>
      <c r="P3003" s="36"/>
      <c r="Q3003" s="36"/>
      <c r="R3003" s="36"/>
      <c r="S3003" s="36"/>
      <c r="T3003" s="36"/>
      <c r="U3003" s="36"/>
      <c r="V3003" s="36"/>
      <c r="W3003" s="15">
        <f t="shared" si="149"/>
        <v>0</v>
      </c>
      <c r="X3003" s="36"/>
      <c r="Y3003" s="36"/>
      <c r="Z3003" s="36"/>
      <c r="AA3003" s="36"/>
      <c r="AB3003" s="36"/>
      <c r="AC3003" s="36"/>
      <c r="AD3003" s="36"/>
      <c r="AE3003" s="36"/>
      <c r="AF3003" s="36"/>
      <c r="AG3003" s="36"/>
      <c r="AH3003" s="36"/>
      <c r="AI3003" s="36"/>
      <c r="AJ3003" s="15">
        <f t="shared" si="150"/>
        <v>0</v>
      </c>
      <c r="AK3003" s="16"/>
    </row>
    <row r="3004" spans="2:37" x14ac:dyDescent="0.2">
      <c r="B3004" s="7"/>
      <c r="C3004" s="8"/>
      <c r="D3004" s="9"/>
      <c r="E3004" s="10" t="str">
        <f t="shared" si="151"/>
        <v/>
      </c>
      <c r="F3004" s="10" t="str">
        <f t="shared" si="152"/>
        <v/>
      </c>
      <c r="G3004" s="8"/>
      <c r="H3004" s="11"/>
      <c r="I3004" s="12"/>
      <c r="J3004" s="35">
        <f t="shared" si="148"/>
        <v>0</v>
      </c>
      <c r="K3004" s="36"/>
      <c r="L3004" s="36"/>
      <c r="M3004" s="36"/>
      <c r="N3004" s="36"/>
      <c r="O3004" s="36"/>
      <c r="P3004" s="36"/>
      <c r="Q3004" s="36"/>
      <c r="R3004" s="36"/>
      <c r="S3004" s="36"/>
      <c r="T3004" s="36"/>
      <c r="U3004" s="36"/>
      <c r="V3004" s="36"/>
      <c r="W3004" s="15">
        <f t="shared" si="149"/>
        <v>0</v>
      </c>
      <c r="X3004" s="36"/>
      <c r="Y3004" s="36"/>
      <c r="Z3004" s="36"/>
      <c r="AA3004" s="36"/>
      <c r="AB3004" s="36"/>
      <c r="AC3004" s="36"/>
      <c r="AD3004" s="36"/>
      <c r="AE3004" s="36"/>
      <c r="AF3004" s="36"/>
      <c r="AG3004" s="36"/>
      <c r="AH3004" s="36"/>
      <c r="AI3004" s="36"/>
      <c r="AJ3004" s="15">
        <f t="shared" si="150"/>
        <v>0</v>
      </c>
      <c r="AK3004" s="16"/>
    </row>
    <row r="3005" spans="2:37" x14ac:dyDescent="0.2">
      <c r="B3005" s="7"/>
      <c r="C3005" s="8"/>
      <c r="D3005" s="9"/>
      <c r="E3005" s="10" t="str">
        <f t="shared" si="151"/>
        <v/>
      </c>
      <c r="F3005" s="10" t="str">
        <f t="shared" si="152"/>
        <v/>
      </c>
      <c r="G3005" s="8"/>
      <c r="H3005" s="11"/>
      <c r="I3005" s="12"/>
      <c r="J3005" s="35">
        <f t="shared" si="148"/>
        <v>0</v>
      </c>
      <c r="K3005" s="36"/>
      <c r="L3005" s="36"/>
      <c r="M3005" s="36"/>
      <c r="N3005" s="36"/>
      <c r="O3005" s="36"/>
      <c r="P3005" s="36"/>
      <c r="Q3005" s="36"/>
      <c r="R3005" s="36"/>
      <c r="S3005" s="36"/>
      <c r="T3005" s="36"/>
      <c r="U3005" s="36"/>
      <c r="V3005" s="36"/>
      <c r="W3005" s="15">
        <f t="shared" si="149"/>
        <v>0</v>
      </c>
      <c r="X3005" s="36"/>
      <c r="Y3005" s="36"/>
      <c r="Z3005" s="36"/>
      <c r="AA3005" s="36"/>
      <c r="AB3005" s="36"/>
      <c r="AC3005" s="36"/>
      <c r="AD3005" s="36"/>
      <c r="AE3005" s="36"/>
      <c r="AF3005" s="36"/>
      <c r="AG3005" s="36"/>
      <c r="AH3005" s="36"/>
      <c r="AI3005" s="36"/>
      <c r="AJ3005" s="15">
        <f t="shared" si="150"/>
        <v>0</v>
      </c>
      <c r="AK3005" s="16"/>
    </row>
    <row r="3006" spans="2:37" x14ac:dyDescent="0.2">
      <c r="B3006" s="7"/>
      <c r="C3006" s="8"/>
      <c r="D3006" s="9"/>
      <c r="E3006" s="10" t="str">
        <f t="shared" si="151"/>
        <v/>
      </c>
      <c r="F3006" s="10" t="str">
        <f t="shared" si="152"/>
        <v/>
      </c>
      <c r="G3006" s="8"/>
      <c r="H3006" s="11"/>
      <c r="I3006" s="12"/>
      <c r="J3006" s="35">
        <f t="shared" si="148"/>
        <v>0</v>
      </c>
      <c r="K3006" s="36"/>
      <c r="L3006" s="36"/>
      <c r="M3006" s="36"/>
      <c r="N3006" s="36"/>
      <c r="O3006" s="36"/>
      <c r="P3006" s="36"/>
      <c r="Q3006" s="36"/>
      <c r="R3006" s="36"/>
      <c r="S3006" s="36"/>
      <c r="T3006" s="36"/>
      <c r="U3006" s="36"/>
      <c r="V3006" s="36"/>
      <c r="W3006" s="15">
        <f t="shared" si="149"/>
        <v>0</v>
      </c>
      <c r="X3006" s="36"/>
      <c r="Y3006" s="36"/>
      <c r="Z3006" s="36"/>
      <c r="AA3006" s="36"/>
      <c r="AB3006" s="36"/>
      <c r="AC3006" s="36"/>
      <c r="AD3006" s="36"/>
      <c r="AE3006" s="36"/>
      <c r="AF3006" s="36"/>
      <c r="AG3006" s="36"/>
      <c r="AH3006" s="36"/>
      <c r="AI3006" s="36"/>
      <c r="AJ3006" s="15">
        <f t="shared" si="150"/>
        <v>0</v>
      </c>
      <c r="AK3006" s="16"/>
    </row>
    <row r="3007" spans="2:37" x14ac:dyDescent="0.2">
      <c r="B3007" s="7"/>
      <c r="C3007" s="8"/>
      <c r="D3007" s="9"/>
      <c r="E3007" s="10" t="str">
        <f t="shared" si="151"/>
        <v/>
      </c>
      <c r="F3007" s="10" t="str">
        <f t="shared" si="152"/>
        <v/>
      </c>
      <c r="G3007" s="8"/>
      <c r="H3007" s="11"/>
      <c r="I3007" s="12"/>
      <c r="J3007" s="35">
        <f t="shared" si="148"/>
        <v>0</v>
      </c>
      <c r="K3007" s="36"/>
      <c r="L3007" s="36"/>
      <c r="M3007" s="36"/>
      <c r="N3007" s="36"/>
      <c r="O3007" s="36"/>
      <c r="P3007" s="36"/>
      <c r="Q3007" s="36"/>
      <c r="R3007" s="36"/>
      <c r="S3007" s="36"/>
      <c r="T3007" s="36"/>
      <c r="U3007" s="36"/>
      <c r="V3007" s="36"/>
      <c r="W3007" s="15">
        <f t="shared" si="149"/>
        <v>0</v>
      </c>
      <c r="X3007" s="36"/>
      <c r="Y3007" s="36"/>
      <c r="Z3007" s="36"/>
      <c r="AA3007" s="36"/>
      <c r="AB3007" s="36"/>
      <c r="AC3007" s="36"/>
      <c r="AD3007" s="36"/>
      <c r="AE3007" s="36"/>
      <c r="AF3007" s="36"/>
      <c r="AG3007" s="36"/>
      <c r="AH3007" s="36"/>
      <c r="AI3007" s="36"/>
      <c r="AJ3007" s="15">
        <f t="shared" si="150"/>
        <v>0</v>
      </c>
      <c r="AK3007" s="16"/>
    </row>
    <row r="3008" spans="2:37" x14ac:dyDescent="0.2">
      <c r="B3008" s="7"/>
      <c r="C3008" s="8"/>
      <c r="D3008" s="9"/>
      <c r="E3008" s="10" t="str">
        <f t="shared" si="151"/>
        <v/>
      </c>
      <c r="F3008" s="10" t="str">
        <f t="shared" si="152"/>
        <v/>
      </c>
      <c r="G3008" s="8"/>
      <c r="H3008" s="11"/>
      <c r="I3008" s="12"/>
      <c r="J3008" s="35">
        <f t="shared" si="148"/>
        <v>0</v>
      </c>
      <c r="K3008" s="36"/>
      <c r="L3008" s="36"/>
      <c r="M3008" s="36"/>
      <c r="N3008" s="36"/>
      <c r="O3008" s="36"/>
      <c r="P3008" s="36"/>
      <c r="Q3008" s="36"/>
      <c r="R3008" s="36"/>
      <c r="S3008" s="36"/>
      <c r="T3008" s="36"/>
      <c r="U3008" s="36"/>
      <c r="V3008" s="36"/>
      <c r="W3008" s="15">
        <f t="shared" si="149"/>
        <v>0</v>
      </c>
      <c r="X3008" s="36"/>
      <c r="Y3008" s="36"/>
      <c r="Z3008" s="36"/>
      <c r="AA3008" s="36"/>
      <c r="AB3008" s="36"/>
      <c r="AC3008" s="36"/>
      <c r="AD3008" s="36"/>
      <c r="AE3008" s="36"/>
      <c r="AF3008" s="36"/>
      <c r="AG3008" s="36"/>
      <c r="AH3008" s="36"/>
      <c r="AI3008" s="36"/>
      <c r="AJ3008" s="15">
        <f t="shared" si="150"/>
        <v>0</v>
      </c>
      <c r="AK3008" s="16"/>
    </row>
    <row r="3009" spans="1:37" x14ac:dyDescent="0.2">
      <c r="B3009" s="7"/>
      <c r="C3009" s="8"/>
      <c r="D3009" s="9"/>
      <c r="E3009" s="10" t="str">
        <f t="shared" si="151"/>
        <v/>
      </c>
      <c r="F3009" s="10" t="str">
        <f t="shared" si="152"/>
        <v/>
      </c>
      <c r="G3009" s="8"/>
      <c r="H3009" s="11"/>
      <c r="I3009" s="12"/>
      <c r="J3009" s="35">
        <f t="shared" si="148"/>
        <v>0</v>
      </c>
      <c r="K3009" s="36"/>
      <c r="L3009" s="36"/>
      <c r="M3009" s="36"/>
      <c r="N3009" s="36"/>
      <c r="O3009" s="36"/>
      <c r="P3009" s="36"/>
      <c r="Q3009" s="36"/>
      <c r="R3009" s="36"/>
      <c r="S3009" s="36"/>
      <c r="T3009" s="36"/>
      <c r="U3009" s="36"/>
      <c r="V3009" s="36"/>
      <c r="W3009" s="15">
        <f t="shared" si="149"/>
        <v>0</v>
      </c>
      <c r="X3009" s="36"/>
      <c r="Y3009" s="36"/>
      <c r="Z3009" s="36"/>
      <c r="AA3009" s="36"/>
      <c r="AB3009" s="36"/>
      <c r="AC3009" s="36"/>
      <c r="AD3009" s="36"/>
      <c r="AE3009" s="36"/>
      <c r="AF3009" s="36"/>
      <c r="AG3009" s="36"/>
      <c r="AH3009" s="36"/>
      <c r="AI3009" s="36"/>
      <c r="AJ3009" s="15">
        <f t="shared" si="150"/>
        <v>0</v>
      </c>
      <c r="AK3009" s="16"/>
    </row>
    <row r="3010" spans="1:37" x14ac:dyDescent="0.2">
      <c r="A3010" s="342"/>
      <c r="B3010" s="7"/>
      <c r="C3010" s="8"/>
      <c r="D3010" s="9"/>
      <c r="E3010" s="10" t="str">
        <f t="shared" si="151"/>
        <v/>
      </c>
      <c r="F3010" s="10" t="str">
        <f t="shared" si="152"/>
        <v/>
      </c>
      <c r="G3010" s="8"/>
      <c r="H3010" s="11"/>
      <c r="I3010" s="12"/>
      <c r="J3010" s="35">
        <f t="shared" si="148"/>
        <v>0</v>
      </c>
      <c r="K3010" s="36"/>
      <c r="L3010" s="36"/>
      <c r="M3010" s="36"/>
      <c r="N3010" s="36"/>
      <c r="O3010" s="36"/>
      <c r="P3010" s="36"/>
      <c r="Q3010" s="36"/>
      <c r="R3010" s="36"/>
      <c r="S3010" s="36"/>
      <c r="T3010" s="36"/>
      <c r="U3010" s="36"/>
      <c r="V3010" s="36"/>
      <c r="W3010" s="15">
        <f t="shared" si="149"/>
        <v>0</v>
      </c>
      <c r="X3010" s="36"/>
      <c r="Y3010" s="36"/>
      <c r="Z3010" s="36"/>
      <c r="AA3010" s="36"/>
      <c r="AB3010" s="36"/>
      <c r="AC3010" s="36"/>
      <c r="AD3010" s="36"/>
      <c r="AE3010" s="36"/>
      <c r="AF3010" s="36"/>
      <c r="AG3010" s="36"/>
      <c r="AH3010" s="36"/>
      <c r="AI3010" s="36"/>
      <c r="AJ3010" s="15">
        <f t="shared" si="150"/>
        <v>0</v>
      </c>
      <c r="AK3010" s="16"/>
    </row>
    <row r="3026" spans="5:5" x14ac:dyDescent="0.2">
      <c r="E3026" s="346"/>
    </row>
  </sheetData>
  <autoFilter ref="B3:Y3010"/>
  <conditionalFormatting sqref="J4:J22 J2407:J2508 J2557:J2560 J2549 J2551:J2552">
    <cfRule type="cellIs" dxfId="82" priority="109" operator="notEqual">
      <formula>0</formula>
    </cfRule>
  </conditionalFormatting>
  <conditionalFormatting sqref="J25:J273">
    <cfRule type="cellIs" dxfId="81" priority="108" operator="notEqual">
      <formula>0</formula>
    </cfRule>
  </conditionalFormatting>
  <conditionalFormatting sqref="J276:J431">
    <cfRule type="cellIs" dxfId="80" priority="107" operator="notEqual">
      <formula>0</formula>
    </cfRule>
  </conditionalFormatting>
  <conditionalFormatting sqref="J434:J588">
    <cfRule type="cellIs" dxfId="79" priority="106" operator="notEqual">
      <formula>0</formula>
    </cfRule>
  </conditionalFormatting>
  <conditionalFormatting sqref="J591:J784">
    <cfRule type="cellIs" dxfId="78" priority="105" operator="notEqual">
      <formula>0</formula>
    </cfRule>
  </conditionalFormatting>
  <conditionalFormatting sqref="J787:J1017">
    <cfRule type="cellIs" dxfId="77" priority="104" operator="notEqual">
      <formula>0</formula>
    </cfRule>
  </conditionalFormatting>
  <conditionalFormatting sqref="J1020:J1422">
    <cfRule type="cellIs" dxfId="76" priority="103" operator="notEqual">
      <formula>0</formula>
    </cfRule>
  </conditionalFormatting>
  <conditionalFormatting sqref="J1425:J1805">
    <cfRule type="cellIs" dxfId="75" priority="102" operator="notEqual">
      <formula>0</formula>
    </cfRule>
  </conditionalFormatting>
  <conditionalFormatting sqref="J1807:J2081">
    <cfRule type="cellIs" dxfId="74" priority="101" operator="notEqual">
      <formula>0</formula>
    </cfRule>
  </conditionalFormatting>
  <conditionalFormatting sqref="J2083:J2341">
    <cfRule type="cellIs" dxfId="73" priority="100" operator="notEqual">
      <formula>0</formula>
    </cfRule>
  </conditionalFormatting>
  <conditionalFormatting sqref="J2343:J2406">
    <cfRule type="cellIs" dxfId="72" priority="99" operator="notEqual">
      <formula>0</formula>
    </cfRule>
  </conditionalFormatting>
  <conditionalFormatting sqref="J2509">
    <cfRule type="cellIs" dxfId="71" priority="97" operator="notEqual">
      <formula>0</formula>
    </cfRule>
  </conditionalFormatting>
  <conditionalFormatting sqref="J2510">
    <cfRule type="cellIs" dxfId="70" priority="96" operator="notEqual">
      <formula>0</formula>
    </cfRule>
  </conditionalFormatting>
  <conditionalFormatting sqref="J2511">
    <cfRule type="cellIs" dxfId="69" priority="95" operator="notEqual">
      <formula>0</formula>
    </cfRule>
  </conditionalFormatting>
  <conditionalFormatting sqref="J2512">
    <cfRule type="cellIs" dxfId="68" priority="94" operator="notEqual">
      <formula>0</formula>
    </cfRule>
  </conditionalFormatting>
  <conditionalFormatting sqref="J2513">
    <cfRule type="cellIs" dxfId="67" priority="93" operator="notEqual">
      <formula>0</formula>
    </cfRule>
  </conditionalFormatting>
  <conditionalFormatting sqref="J2514">
    <cfRule type="cellIs" dxfId="66" priority="92" operator="notEqual">
      <formula>0</formula>
    </cfRule>
  </conditionalFormatting>
  <conditionalFormatting sqref="J2515">
    <cfRule type="cellIs" dxfId="65" priority="91" operator="notEqual">
      <formula>0</formula>
    </cfRule>
  </conditionalFormatting>
  <conditionalFormatting sqref="J2516">
    <cfRule type="cellIs" dxfId="64" priority="90" operator="notEqual">
      <formula>0</formula>
    </cfRule>
  </conditionalFormatting>
  <conditionalFormatting sqref="J2517">
    <cfRule type="cellIs" dxfId="63" priority="89" operator="notEqual">
      <formula>0</formula>
    </cfRule>
  </conditionalFormatting>
  <conditionalFormatting sqref="J2518">
    <cfRule type="cellIs" dxfId="62" priority="88" operator="notEqual">
      <formula>0</formula>
    </cfRule>
  </conditionalFormatting>
  <conditionalFormatting sqref="J2519">
    <cfRule type="cellIs" dxfId="61" priority="87" operator="notEqual">
      <formula>0</formula>
    </cfRule>
  </conditionalFormatting>
  <conditionalFormatting sqref="J2520">
    <cfRule type="cellIs" dxfId="60" priority="86" operator="notEqual">
      <formula>0</formula>
    </cfRule>
  </conditionalFormatting>
  <conditionalFormatting sqref="J2521">
    <cfRule type="cellIs" dxfId="59" priority="85" operator="notEqual">
      <formula>0</formula>
    </cfRule>
  </conditionalFormatting>
  <conditionalFormatting sqref="J2522">
    <cfRule type="cellIs" dxfId="58" priority="84" operator="notEqual">
      <formula>0</formula>
    </cfRule>
  </conditionalFormatting>
  <conditionalFormatting sqref="J2523">
    <cfRule type="cellIs" dxfId="57" priority="83" operator="notEqual">
      <formula>0</formula>
    </cfRule>
  </conditionalFormatting>
  <conditionalFormatting sqref="J2524">
    <cfRule type="cellIs" dxfId="56" priority="82" operator="notEqual">
      <formula>0</formula>
    </cfRule>
  </conditionalFormatting>
  <conditionalFormatting sqref="J2525">
    <cfRule type="cellIs" dxfId="55" priority="81" operator="notEqual">
      <formula>0</formula>
    </cfRule>
  </conditionalFormatting>
  <conditionalFormatting sqref="J2526">
    <cfRule type="cellIs" dxfId="54" priority="80" operator="notEqual">
      <formula>0</formula>
    </cfRule>
  </conditionalFormatting>
  <conditionalFormatting sqref="J2527">
    <cfRule type="cellIs" dxfId="53" priority="79" operator="notEqual">
      <formula>0</formula>
    </cfRule>
  </conditionalFormatting>
  <conditionalFormatting sqref="J2528">
    <cfRule type="cellIs" dxfId="52" priority="78" operator="notEqual">
      <formula>0</formula>
    </cfRule>
  </conditionalFormatting>
  <conditionalFormatting sqref="J2529">
    <cfRule type="cellIs" dxfId="51" priority="77" operator="notEqual">
      <formula>0</formula>
    </cfRule>
  </conditionalFormatting>
  <conditionalFormatting sqref="J2530">
    <cfRule type="cellIs" dxfId="50" priority="76" operator="notEqual">
      <formula>0</formula>
    </cfRule>
  </conditionalFormatting>
  <conditionalFormatting sqref="J2531">
    <cfRule type="cellIs" dxfId="49" priority="75" operator="notEqual">
      <formula>0</formula>
    </cfRule>
  </conditionalFormatting>
  <conditionalFormatting sqref="J2532">
    <cfRule type="cellIs" dxfId="48" priority="74" operator="notEqual">
      <formula>0</formula>
    </cfRule>
  </conditionalFormatting>
  <conditionalFormatting sqref="J2533">
    <cfRule type="cellIs" dxfId="47" priority="73" operator="notEqual">
      <formula>0</formula>
    </cfRule>
  </conditionalFormatting>
  <conditionalFormatting sqref="J2534">
    <cfRule type="cellIs" dxfId="46" priority="72" operator="notEqual">
      <formula>0</formula>
    </cfRule>
  </conditionalFormatting>
  <conditionalFormatting sqref="J2535">
    <cfRule type="cellIs" dxfId="45" priority="71" operator="notEqual">
      <formula>0</formula>
    </cfRule>
  </conditionalFormatting>
  <conditionalFormatting sqref="J2536">
    <cfRule type="cellIs" dxfId="44" priority="70" operator="notEqual">
      <formula>0</formula>
    </cfRule>
  </conditionalFormatting>
  <conditionalFormatting sqref="J2537">
    <cfRule type="cellIs" dxfId="43" priority="69" operator="notEqual">
      <formula>0</formula>
    </cfRule>
  </conditionalFormatting>
  <conditionalFormatting sqref="J2538:J2548">
    <cfRule type="cellIs" dxfId="42" priority="68" operator="notEqual">
      <formula>0</formula>
    </cfRule>
  </conditionalFormatting>
  <conditionalFormatting sqref="J2553">
    <cfRule type="cellIs" dxfId="41" priority="66" operator="notEqual">
      <formula>0</formula>
    </cfRule>
  </conditionalFormatting>
  <conditionalFormatting sqref="J2555">
    <cfRule type="cellIs" dxfId="40" priority="62" operator="notEqual">
      <formula>0</formula>
    </cfRule>
  </conditionalFormatting>
  <conditionalFormatting sqref="J2554">
    <cfRule type="cellIs" dxfId="39" priority="64" operator="notEqual">
      <formula>0</formula>
    </cfRule>
  </conditionalFormatting>
  <conditionalFormatting sqref="J2575">
    <cfRule type="cellIs" dxfId="38" priority="25" operator="notEqual">
      <formula>0</formula>
    </cfRule>
  </conditionalFormatting>
  <conditionalFormatting sqref="J2576">
    <cfRule type="cellIs" dxfId="37" priority="24" operator="notEqual">
      <formula>0</formula>
    </cfRule>
  </conditionalFormatting>
  <conditionalFormatting sqref="J2577">
    <cfRule type="cellIs" dxfId="36" priority="23" operator="notEqual">
      <formula>0</formula>
    </cfRule>
  </conditionalFormatting>
  <conditionalFormatting sqref="J2578">
    <cfRule type="cellIs" dxfId="35" priority="22" operator="notEqual">
      <formula>0</formula>
    </cfRule>
  </conditionalFormatting>
  <conditionalFormatting sqref="J2567">
    <cfRule type="cellIs" dxfId="34" priority="21" operator="notEqual">
      <formula>0</formula>
    </cfRule>
  </conditionalFormatting>
  <conditionalFormatting sqref="J2579">
    <cfRule type="cellIs" dxfId="33" priority="20" operator="notEqual">
      <formula>0</formula>
    </cfRule>
  </conditionalFormatting>
  <conditionalFormatting sqref="J2724">
    <cfRule type="cellIs" dxfId="32" priority="19" operator="notEqual">
      <formula>0</formula>
    </cfRule>
  </conditionalFormatting>
  <conditionalFormatting sqref="J2725">
    <cfRule type="cellIs" dxfId="31" priority="18" operator="notEqual">
      <formula>0</formula>
    </cfRule>
  </conditionalFormatting>
  <conditionalFormatting sqref="J2726">
    <cfRule type="cellIs" dxfId="30" priority="17" operator="notEqual">
      <formula>0</formula>
    </cfRule>
  </conditionalFormatting>
  <conditionalFormatting sqref="J2727">
    <cfRule type="cellIs" dxfId="29" priority="16" operator="notEqual">
      <formula>0</formula>
    </cfRule>
  </conditionalFormatting>
  <conditionalFormatting sqref="J2728">
    <cfRule type="cellIs" dxfId="28" priority="15" operator="notEqual">
      <formula>0</formula>
    </cfRule>
  </conditionalFormatting>
  <conditionalFormatting sqref="J2729">
    <cfRule type="cellIs" dxfId="27" priority="14" operator="notEqual">
      <formula>0</formula>
    </cfRule>
  </conditionalFormatting>
  <conditionalFormatting sqref="J2730">
    <cfRule type="cellIs" dxfId="26" priority="13" operator="notEqual">
      <formula>0</formula>
    </cfRule>
  </conditionalFormatting>
  <conditionalFormatting sqref="J2731">
    <cfRule type="cellIs" dxfId="25" priority="12" operator="notEqual">
      <formula>0</formula>
    </cfRule>
  </conditionalFormatting>
  <conditionalFormatting sqref="J2732">
    <cfRule type="cellIs" dxfId="24" priority="11" operator="notEqual">
      <formula>0</formula>
    </cfRule>
  </conditionalFormatting>
  <conditionalFormatting sqref="J2733">
    <cfRule type="cellIs" dxfId="23" priority="10" operator="notEqual">
      <formula>0</formula>
    </cfRule>
  </conditionalFormatting>
  <conditionalFormatting sqref="J2734">
    <cfRule type="cellIs" dxfId="22" priority="9" operator="notEqual">
      <formula>0</formula>
    </cfRule>
  </conditionalFormatting>
  <conditionalFormatting sqref="J2736">
    <cfRule type="cellIs" dxfId="21" priority="7" operator="notEqual">
      <formula>0</formula>
    </cfRule>
  </conditionalFormatting>
  <conditionalFormatting sqref="J2739">
    <cfRule type="cellIs" dxfId="20" priority="6" operator="notEqual">
      <formula>0</formula>
    </cfRule>
  </conditionalFormatting>
  <conditionalFormatting sqref="J2550">
    <cfRule type="cellIs" dxfId="19" priority="41" operator="notEqual">
      <formula>0</formula>
    </cfRule>
  </conditionalFormatting>
  <conditionalFormatting sqref="J2556">
    <cfRule type="cellIs" dxfId="18" priority="39" operator="notEqual">
      <formula>0</formula>
    </cfRule>
  </conditionalFormatting>
  <conditionalFormatting sqref="J2580:J2723 J2741:J2778 J2780:J2847">
    <cfRule type="cellIs" dxfId="17" priority="38" operator="notEqual">
      <formula>0</formula>
    </cfRule>
  </conditionalFormatting>
  <conditionalFormatting sqref="J2562">
    <cfRule type="cellIs" dxfId="16" priority="37" operator="notEqual">
      <formula>0</formula>
    </cfRule>
  </conditionalFormatting>
  <conditionalFormatting sqref="J2563">
    <cfRule type="cellIs" dxfId="15" priority="36" operator="notEqual">
      <formula>0</formula>
    </cfRule>
  </conditionalFormatting>
  <conditionalFormatting sqref="J2564">
    <cfRule type="cellIs" dxfId="14" priority="35" operator="notEqual">
      <formula>0</formula>
    </cfRule>
  </conditionalFormatting>
  <conditionalFormatting sqref="J2565">
    <cfRule type="cellIs" dxfId="13" priority="34" operator="notEqual">
      <formula>0</formula>
    </cfRule>
  </conditionalFormatting>
  <conditionalFormatting sqref="J2566">
    <cfRule type="cellIs" dxfId="12" priority="33" operator="notEqual">
      <formula>0</formula>
    </cfRule>
  </conditionalFormatting>
  <conditionalFormatting sqref="J2568">
    <cfRule type="cellIs" dxfId="11" priority="32" operator="notEqual">
      <formula>0</formula>
    </cfRule>
  </conditionalFormatting>
  <conditionalFormatting sqref="J2569">
    <cfRule type="cellIs" dxfId="10" priority="31" operator="notEqual">
      <formula>0</formula>
    </cfRule>
  </conditionalFormatting>
  <conditionalFormatting sqref="J2570">
    <cfRule type="cellIs" dxfId="9" priority="30" operator="notEqual">
      <formula>0</formula>
    </cfRule>
  </conditionalFormatting>
  <conditionalFormatting sqref="J2571">
    <cfRule type="cellIs" dxfId="8" priority="29" operator="notEqual">
      <formula>0</formula>
    </cfRule>
  </conditionalFormatting>
  <conditionalFormatting sqref="J2572">
    <cfRule type="cellIs" dxfId="7" priority="28" operator="notEqual">
      <formula>0</formula>
    </cfRule>
  </conditionalFormatting>
  <conditionalFormatting sqref="J2573">
    <cfRule type="cellIs" dxfId="6" priority="27" operator="notEqual">
      <formula>0</formula>
    </cfRule>
  </conditionalFormatting>
  <conditionalFormatting sqref="J2574">
    <cfRule type="cellIs" dxfId="5" priority="26" operator="notEqual">
      <formula>0</formula>
    </cfRule>
  </conditionalFormatting>
  <conditionalFormatting sqref="J2735">
    <cfRule type="cellIs" dxfId="4" priority="8" operator="notEqual">
      <formula>0</formula>
    </cfRule>
  </conditionalFormatting>
  <conditionalFormatting sqref="J2740">
    <cfRule type="cellIs" dxfId="3" priority="5" operator="notEqual">
      <formula>0</formula>
    </cfRule>
  </conditionalFormatting>
  <conditionalFormatting sqref="J2737">
    <cfRule type="cellIs" dxfId="2" priority="4" operator="notEqual">
      <formula>0</formula>
    </cfRule>
  </conditionalFormatting>
  <conditionalFormatting sqref="J2738">
    <cfRule type="cellIs" dxfId="1" priority="3" operator="notEqual">
      <formula>0</formula>
    </cfRule>
  </conditionalFormatting>
  <conditionalFormatting sqref="J2848:J2975 J2977:J3010">
    <cfRule type="cellIs" dxfId="0" priority="2" operator="notEqual">
      <formula>0</formula>
    </cfRule>
  </conditionalFormatting>
  <pageMargins left="0.7" right="0.7" top="0.75" bottom="0.75" header="0.3" footer="0.3"/>
  <pageSetup orientation="portrait" horizontalDpi="0" verticalDpi="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63"/>
  <sheetViews>
    <sheetView showGridLines="0" showZeros="0" tabSelected="1" topLeftCell="A3" zoomScale="80" zoomScaleNormal="80" zoomScaleSheetLayoutView="80" workbookViewId="0">
      <pane xSplit="43" ySplit="2" topLeftCell="AS28" activePane="bottomRight" state="frozenSplit"/>
      <selection activeCell="A3" sqref="A3"/>
      <selection pane="topRight" activeCell="AR3" sqref="AR3"/>
      <selection pane="bottomLeft" activeCell="A50" sqref="A50"/>
      <selection pane="bottomRight" activeCell="BD48" sqref="BD48"/>
    </sheetView>
  </sheetViews>
  <sheetFormatPr baseColWidth="10" defaultRowHeight="12.75" x14ac:dyDescent="0.2"/>
  <cols>
    <col min="1" max="1" width="12.85546875" customWidth="1"/>
    <col min="2" max="2" width="4.5703125" customWidth="1"/>
    <col min="3" max="3" width="46.42578125" customWidth="1"/>
    <col min="4" max="5" width="13.7109375" hidden="1" customWidth="1"/>
    <col min="6" max="17" width="11.7109375" hidden="1" customWidth="1"/>
    <col min="18" max="18" width="13.7109375" hidden="1" customWidth="1"/>
    <col min="19" max="28" width="11.7109375" hidden="1" customWidth="1"/>
    <col min="29" max="31" width="12.7109375" hidden="1" customWidth="1"/>
    <col min="32" max="32" width="13.5703125" hidden="1" customWidth="1"/>
    <col min="33" max="33" width="16.7109375" hidden="1" customWidth="1"/>
    <col min="34" max="34" width="15.5703125" hidden="1" customWidth="1"/>
    <col min="35" max="35" width="14.140625" hidden="1" customWidth="1"/>
    <col min="36" max="36" width="14.5703125" hidden="1" customWidth="1"/>
    <col min="37" max="37" width="15.140625" hidden="1" customWidth="1"/>
    <col min="38" max="42" width="14.28515625" hidden="1" customWidth="1"/>
    <col min="43" max="43" width="12.7109375" hidden="1" customWidth="1"/>
    <col min="44" max="44" width="13.28515625" hidden="1" customWidth="1"/>
    <col min="45" max="56" width="13.28515625" customWidth="1"/>
  </cols>
  <sheetData>
    <row r="1" spans="1:56" ht="28.5" customHeight="1" x14ac:dyDescent="0.2">
      <c r="C1" s="178" t="s">
        <v>2885</v>
      </c>
      <c r="D1" s="179"/>
      <c r="E1" s="179"/>
      <c r="F1" s="179"/>
      <c r="G1" s="179"/>
      <c r="H1" s="179"/>
      <c r="I1" s="179"/>
      <c r="J1" s="179"/>
      <c r="K1" s="179"/>
      <c r="L1" s="180"/>
      <c r="M1" s="180"/>
      <c r="N1" s="180"/>
      <c r="O1" s="180"/>
      <c r="R1" s="179"/>
      <c r="S1" s="179"/>
      <c r="T1" s="179"/>
      <c r="U1" s="179"/>
      <c r="AE1" s="179"/>
      <c r="AF1" s="179"/>
      <c r="AG1" s="179"/>
      <c r="AH1" s="179"/>
      <c r="AI1" s="179"/>
      <c r="AJ1" s="179"/>
      <c r="AK1" s="179"/>
      <c r="AL1" s="179"/>
      <c r="AM1" s="179"/>
      <c r="AN1" s="179"/>
      <c r="AO1" s="179"/>
      <c r="AP1" s="179"/>
      <c r="AQ1" s="179"/>
      <c r="AR1" s="179"/>
      <c r="AS1" s="179"/>
      <c r="AT1" s="179"/>
      <c r="AU1" s="179"/>
      <c r="AV1" s="179"/>
      <c r="AW1" s="179"/>
      <c r="AX1" s="179"/>
      <c r="AY1" s="179"/>
      <c r="AZ1" s="179"/>
      <c r="BA1" s="179"/>
      <c r="BB1" s="179"/>
      <c r="BC1" s="179"/>
      <c r="BD1" s="179"/>
    </row>
    <row r="2" spans="1:56" ht="12.75" customHeight="1" x14ac:dyDescent="0.2">
      <c r="C2" s="181" t="s">
        <v>2959</v>
      </c>
      <c r="D2" s="181"/>
      <c r="E2" s="180"/>
      <c r="F2" s="180"/>
      <c r="G2" s="180"/>
      <c r="H2" s="180"/>
      <c r="I2" s="180"/>
      <c r="J2" s="180"/>
      <c r="K2" s="180"/>
      <c r="L2" s="180"/>
      <c r="M2" s="180"/>
      <c r="N2" s="180"/>
      <c r="O2" s="180"/>
      <c r="R2" s="181"/>
      <c r="S2" s="180"/>
      <c r="T2" s="180"/>
      <c r="U2" s="180"/>
      <c r="AE2" s="181"/>
      <c r="AF2" s="180"/>
      <c r="AG2" s="180"/>
      <c r="AH2" s="180"/>
      <c r="AI2" s="180"/>
      <c r="AJ2" s="180"/>
      <c r="AK2" s="180"/>
      <c r="AL2" s="180"/>
      <c r="AM2" s="180"/>
      <c r="AN2" s="180"/>
      <c r="AO2" s="180"/>
      <c r="AP2" s="180"/>
      <c r="AQ2" s="180"/>
      <c r="AR2" s="181"/>
      <c r="AS2" s="180"/>
    </row>
    <row r="3" spans="1:56" ht="12.75" customHeight="1" x14ac:dyDescent="0.2">
      <c r="C3" s="181"/>
      <c r="D3" s="181"/>
      <c r="E3" s="180"/>
      <c r="F3" s="180"/>
      <c r="G3" s="180"/>
      <c r="H3" s="180"/>
      <c r="I3" s="180"/>
      <c r="J3" s="180"/>
      <c r="K3" s="180"/>
      <c r="L3" s="180"/>
      <c r="M3" s="180"/>
      <c r="N3" s="180"/>
      <c r="O3" s="180"/>
      <c r="R3" s="181"/>
      <c r="S3" s="180"/>
      <c r="T3" s="180"/>
      <c r="U3" s="180"/>
      <c r="AE3" s="181"/>
      <c r="AF3" s="180"/>
      <c r="AG3" s="180"/>
      <c r="AH3" s="180"/>
      <c r="AI3" s="180"/>
      <c r="AJ3" s="180"/>
      <c r="AK3" s="180"/>
      <c r="AL3" s="180"/>
      <c r="AM3" s="180"/>
      <c r="AN3" s="180"/>
      <c r="AO3" s="180"/>
      <c r="AP3" s="180"/>
      <c r="AQ3" s="180"/>
      <c r="AR3" s="181"/>
      <c r="AS3" s="180"/>
      <c r="AT3" s="180"/>
      <c r="AU3" s="180"/>
      <c r="AV3" s="180"/>
      <c r="AW3" s="180"/>
      <c r="AX3" s="180"/>
      <c r="AY3" s="180"/>
      <c r="AZ3" s="180"/>
      <c r="BA3" s="180"/>
      <c r="BB3" s="180"/>
      <c r="BC3" s="180"/>
      <c r="BD3" s="180"/>
    </row>
    <row r="4" spans="1:56" ht="25.5" customHeight="1" x14ac:dyDescent="0.2">
      <c r="C4" s="182" t="s">
        <v>2886</v>
      </c>
      <c r="D4" s="183" t="s">
        <v>2887</v>
      </c>
      <c r="E4" s="183" t="s">
        <v>2888</v>
      </c>
      <c r="F4" s="184" t="s">
        <v>2889</v>
      </c>
      <c r="G4" s="184" t="s">
        <v>2890</v>
      </c>
      <c r="H4" s="184" t="s">
        <v>2891</v>
      </c>
      <c r="I4" s="184" t="s">
        <v>2892</v>
      </c>
      <c r="J4" s="184" t="s">
        <v>2893</v>
      </c>
      <c r="K4" s="184" t="s">
        <v>2894</v>
      </c>
      <c r="L4" s="184" t="s">
        <v>2895</v>
      </c>
      <c r="M4" s="184" t="s">
        <v>2896</v>
      </c>
      <c r="N4" s="184" t="s">
        <v>2897</v>
      </c>
      <c r="O4" s="184" t="s">
        <v>2898</v>
      </c>
      <c r="P4" s="184" t="s">
        <v>2899</v>
      </c>
      <c r="Q4" s="184" t="s">
        <v>2900</v>
      </c>
      <c r="R4" s="183" t="s">
        <v>2901</v>
      </c>
      <c r="S4" s="184" t="s">
        <v>2889</v>
      </c>
      <c r="T4" s="184" t="s">
        <v>2890</v>
      </c>
      <c r="U4" s="184" t="s">
        <v>2891</v>
      </c>
      <c r="V4" s="184" t="s">
        <v>2892</v>
      </c>
      <c r="W4" s="184" t="s">
        <v>2893</v>
      </c>
      <c r="X4" s="184" t="s">
        <v>2894</v>
      </c>
      <c r="Y4" s="184" t="s">
        <v>2895</v>
      </c>
      <c r="Z4" s="184" t="s">
        <v>2896</v>
      </c>
      <c r="AA4" s="184" t="s">
        <v>2897</v>
      </c>
      <c r="AB4" s="184" t="s">
        <v>2898</v>
      </c>
      <c r="AC4" s="184" t="s">
        <v>2899</v>
      </c>
      <c r="AD4" s="184" t="s">
        <v>2900</v>
      </c>
      <c r="AE4" s="183" t="s">
        <v>2902</v>
      </c>
      <c r="AF4" s="184" t="s">
        <v>2889</v>
      </c>
      <c r="AG4" s="184" t="s">
        <v>2890</v>
      </c>
      <c r="AH4" s="184" t="s">
        <v>2891</v>
      </c>
      <c r="AI4" s="184" t="s">
        <v>2892</v>
      </c>
      <c r="AJ4" s="184" t="s">
        <v>2893</v>
      </c>
      <c r="AK4" s="184" t="s">
        <v>2894</v>
      </c>
      <c r="AL4" s="184" t="s">
        <v>2895</v>
      </c>
      <c r="AM4" s="184" t="s">
        <v>2896</v>
      </c>
      <c r="AN4" s="184" t="s">
        <v>2897</v>
      </c>
      <c r="AO4" s="184" t="s">
        <v>2898</v>
      </c>
      <c r="AP4" s="184" t="s">
        <v>2899</v>
      </c>
      <c r="AQ4" s="184" t="s">
        <v>2900</v>
      </c>
      <c r="AR4" s="183" t="s">
        <v>2903</v>
      </c>
      <c r="AS4" s="183" t="s">
        <v>10</v>
      </c>
      <c r="AT4" s="183" t="s">
        <v>11</v>
      </c>
      <c r="AU4" s="183" t="s">
        <v>12</v>
      </c>
      <c r="AV4" s="183" t="s">
        <v>13</v>
      </c>
      <c r="AW4" s="183" t="s">
        <v>14</v>
      </c>
      <c r="AX4" s="183" t="s">
        <v>15</v>
      </c>
      <c r="AY4" s="183" t="s">
        <v>16</v>
      </c>
      <c r="AZ4" s="183" t="s">
        <v>17</v>
      </c>
      <c r="BA4" s="183" t="s">
        <v>18</v>
      </c>
      <c r="BB4" s="183" t="s">
        <v>19</v>
      </c>
      <c r="BC4" s="183" t="s">
        <v>20</v>
      </c>
      <c r="BD4" s="183" t="s">
        <v>21</v>
      </c>
    </row>
    <row r="5" spans="1:56" ht="15" customHeight="1" x14ac:dyDescent="0.2">
      <c r="C5" s="185" t="s">
        <v>2904</v>
      </c>
      <c r="D5" s="186"/>
      <c r="E5" s="186"/>
      <c r="F5" s="187"/>
      <c r="G5" s="187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6"/>
      <c r="S5" s="187"/>
      <c r="T5" s="187"/>
      <c r="U5" s="187"/>
      <c r="V5" s="187"/>
      <c r="W5" s="187"/>
      <c r="X5" s="187"/>
      <c r="Y5" s="187"/>
      <c r="Z5" s="187"/>
      <c r="AA5" s="187"/>
      <c r="AB5" s="187"/>
      <c r="AC5" s="187"/>
      <c r="AD5" s="187"/>
      <c r="AE5" s="186"/>
      <c r="AF5" s="187"/>
      <c r="AG5" s="187"/>
      <c r="AH5" s="187"/>
      <c r="AI5" s="187"/>
      <c r="AJ5" s="187"/>
      <c r="AK5" s="187"/>
      <c r="AL5" s="187"/>
      <c r="AM5" s="187"/>
      <c r="AN5" s="187"/>
      <c r="AO5" s="187"/>
      <c r="AP5" s="187"/>
      <c r="AQ5" s="187"/>
      <c r="AR5" s="186"/>
      <c r="AS5" s="187"/>
      <c r="AT5" s="187"/>
      <c r="AU5" s="187"/>
      <c r="AV5" s="187"/>
      <c r="AW5" s="187"/>
      <c r="AX5" s="187"/>
      <c r="AY5" s="187"/>
      <c r="AZ5" s="187"/>
      <c r="BA5" s="187"/>
      <c r="BB5" s="187"/>
      <c r="BC5" s="187"/>
      <c r="BD5" s="187"/>
    </row>
    <row r="6" spans="1:56" x14ac:dyDescent="0.2">
      <c r="A6" s="287" t="s">
        <v>2952</v>
      </c>
      <c r="B6" s="287"/>
      <c r="C6" s="188" t="s">
        <v>2905</v>
      </c>
      <c r="D6" s="189">
        <v>81975</v>
      </c>
      <c r="E6" s="189">
        <v>1055765</v>
      </c>
      <c r="F6" s="189">
        <v>137825</v>
      </c>
      <c r="G6" s="189">
        <v>98775</v>
      </c>
      <c r="H6" s="189">
        <v>93175</v>
      </c>
      <c r="I6" s="189">
        <v>59125</v>
      </c>
      <c r="J6" s="190">
        <v>88995</v>
      </c>
      <c r="K6" s="189">
        <v>81375</v>
      </c>
      <c r="L6" s="189">
        <v>79225</v>
      </c>
      <c r="M6" s="189">
        <v>69575</v>
      </c>
      <c r="N6" s="189">
        <v>97975</v>
      </c>
      <c r="O6" s="189">
        <v>75475</v>
      </c>
      <c r="P6" s="189">
        <v>73075</v>
      </c>
      <c r="Q6" s="189">
        <v>101170</v>
      </c>
      <c r="R6" s="189">
        <v>1222640</v>
      </c>
      <c r="S6" s="190">
        <v>132675</v>
      </c>
      <c r="T6" s="190">
        <v>134025</v>
      </c>
      <c r="U6" s="190">
        <v>118825</v>
      </c>
      <c r="V6" s="190">
        <v>79675</v>
      </c>
      <c r="W6" s="190">
        <v>88675</v>
      </c>
      <c r="X6" s="190">
        <v>78375</v>
      </c>
      <c r="Y6" s="190">
        <v>89925</v>
      </c>
      <c r="Z6" s="190">
        <v>118370</v>
      </c>
      <c r="AA6" s="190">
        <v>112720</v>
      </c>
      <c r="AB6" s="190">
        <v>70875</v>
      </c>
      <c r="AC6" s="190">
        <v>117375</v>
      </c>
      <c r="AD6" s="190">
        <v>81125</v>
      </c>
      <c r="AE6" s="189">
        <v>1315050</v>
      </c>
      <c r="AF6" s="190">
        <v>152075</v>
      </c>
      <c r="AG6" s="190">
        <v>105825</v>
      </c>
      <c r="AH6" s="190">
        <v>128075</v>
      </c>
      <c r="AI6" s="190">
        <v>98475</v>
      </c>
      <c r="AJ6" s="190">
        <v>102275</v>
      </c>
      <c r="AK6" s="190">
        <v>90825</v>
      </c>
      <c r="AL6" s="190">
        <v>81650</v>
      </c>
      <c r="AM6" s="190">
        <v>106475</v>
      </c>
      <c r="AN6" s="190">
        <v>110100</v>
      </c>
      <c r="AO6" s="190">
        <v>110575</v>
      </c>
      <c r="AP6" s="190">
        <v>124125</v>
      </c>
      <c r="AQ6" s="190">
        <v>104575</v>
      </c>
      <c r="AR6" s="189">
        <f t="shared" ref="AR6:AR11" si="0">SUM(AS6:BD6)</f>
        <v>1350750</v>
      </c>
      <c r="AS6" s="190">
        <f>DSUM(ENE_2016,importe,ING_CUOTAS)</f>
        <v>213050</v>
      </c>
      <c r="AT6" s="190">
        <f>DSUM(FEB_2016,importe,ING_CUOTAS)</f>
        <v>94750</v>
      </c>
      <c r="AU6" s="190">
        <f>DSUM(MAR_2016,importe,ING_CUOTAS)</f>
        <v>82625</v>
      </c>
      <c r="AV6" s="190">
        <f>DSUM(ABR_2016,importe,ING_CUOTAS)</f>
        <v>102075</v>
      </c>
      <c r="AW6" s="190">
        <f>DSUM(MAY_2016,importe,ING_CUOTAS)</f>
        <v>108875</v>
      </c>
      <c r="AX6" s="190">
        <f>DSUM(JUN_2016,importe,ING_CUOTAS)</f>
        <v>117275</v>
      </c>
      <c r="AY6" s="190">
        <f>DSUM(JUL_2016,importe,ING_CUOTAS)</f>
        <v>104575</v>
      </c>
      <c r="AZ6" s="190">
        <f>DSUM(AGO_2016,importe,ING_CUOTAS)</f>
        <v>106275</v>
      </c>
      <c r="BA6" s="190">
        <f>DSUM(SEP_2016,importe,ING_CUOTAS)</f>
        <v>95625</v>
      </c>
      <c r="BB6" s="190">
        <f>DSUM(OCT_2016,importe,ING_CUOTAS)</f>
        <v>88925</v>
      </c>
      <c r="BC6" s="190">
        <f>DSUM(NOV_2016,importe,ING_CUOTAS)</f>
        <v>106375</v>
      </c>
      <c r="BD6" s="190">
        <f>DSUM(DIC_2016,importe,ING_CUOTAS)</f>
        <v>130325</v>
      </c>
    </row>
    <row r="7" spans="1:56" x14ac:dyDescent="0.2">
      <c r="A7" s="287" t="s">
        <v>2953</v>
      </c>
      <c r="B7" s="287"/>
      <c r="C7" s="188" t="s">
        <v>2906</v>
      </c>
      <c r="D7" s="189">
        <v>8750</v>
      </c>
      <c r="E7" s="189">
        <v>5960.71</v>
      </c>
      <c r="F7" s="189">
        <v>900</v>
      </c>
      <c r="G7" s="189">
        <v>1100</v>
      </c>
      <c r="H7" s="189">
        <v>300</v>
      </c>
      <c r="I7" s="189">
        <v>0</v>
      </c>
      <c r="J7" s="189">
        <v>0</v>
      </c>
      <c r="K7" s="189">
        <v>0</v>
      </c>
      <c r="L7" s="189">
        <v>0</v>
      </c>
      <c r="M7" s="189">
        <v>3360.71</v>
      </c>
      <c r="N7" s="189">
        <v>0</v>
      </c>
      <c r="O7" s="189">
        <v>0</v>
      </c>
      <c r="P7" s="189">
        <v>0</v>
      </c>
      <c r="Q7" s="189">
        <v>300</v>
      </c>
      <c r="R7" s="189">
        <v>0</v>
      </c>
      <c r="S7" s="190">
        <v>0</v>
      </c>
      <c r="T7" s="190">
        <v>0</v>
      </c>
      <c r="U7" s="190">
        <v>0</v>
      </c>
      <c r="V7" s="190">
        <v>0</v>
      </c>
      <c r="W7" s="190">
        <v>0</v>
      </c>
      <c r="X7" s="190">
        <v>0</v>
      </c>
      <c r="Y7" s="190">
        <v>0</v>
      </c>
      <c r="Z7" s="190">
        <v>0</v>
      </c>
      <c r="AA7" s="190">
        <v>0</v>
      </c>
      <c r="AB7" s="190">
        <v>0</v>
      </c>
      <c r="AC7" s="190">
        <v>0</v>
      </c>
      <c r="AD7" s="190">
        <v>0</v>
      </c>
      <c r="AE7" s="189">
        <v>0</v>
      </c>
      <c r="AF7" s="190">
        <v>0</v>
      </c>
      <c r="AG7" s="190">
        <v>0</v>
      </c>
      <c r="AH7" s="190">
        <v>0</v>
      </c>
      <c r="AI7" s="190">
        <v>0</v>
      </c>
      <c r="AJ7" s="190">
        <v>0</v>
      </c>
      <c r="AK7" s="190">
        <v>0</v>
      </c>
      <c r="AL7" s="190">
        <v>0</v>
      </c>
      <c r="AM7" s="190">
        <v>0</v>
      </c>
      <c r="AN7" s="190">
        <v>0</v>
      </c>
      <c r="AO7" s="190">
        <v>0</v>
      </c>
      <c r="AP7" s="190">
        <v>0</v>
      </c>
      <c r="AQ7" s="190">
        <v>0</v>
      </c>
      <c r="AR7" s="189">
        <f t="shared" si="0"/>
        <v>0</v>
      </c>
      <c r="AS7" s="190">
        <f>DSUM(ENE_2016,importe,ING_EXTRA)</f>
        <v>0</v>
      </c>
      <c r="AT7" s="190">
        <f>DSUM(FEB_2016,importe,ING_EXTRA)</f>
        <v>0</v>
      </c>
      <c r="AU7" s="190">
        <f>DSUM(MAR_2016,importe,ING_EXTRA)</f>
        <v>0</v>
      </c>
      <c r="AV7" s="190">
        <f>DSUM(ABR_2016,importe,ING_EXTRA)</f>
        <v>0</v>
      </c>
      <c r="AW7" s="190">
        <f>DSUM(MAY_2016,importe,ING_EXTRA)</f>
        <v>0</v>
      </c>
      <c r="AX7" s="190">
        <f>DSUM(JUN_2016,importe,ING_EXTRA)</f>
        <v>0</v>
      </c>
      <c r="AY7" s="190">
        <f>DSUM(JUL_2016,importe,ING_EXTRA)</f>
        <v>0</v>
      </c>
      <c r="AZ7" s="190">
        <f>DSUM(AGO_2016,importe,ING_EXTRA)</f>
        <v>0</v>
      </c>
      <c r="BA7" s="190">
        <f>DSUM(SEP_2016,importe,ING_EXTRA)</f>
        <v>0</v>
      </c>
      <c r="BB7" s="190">
        <f>DSUM(OCT_2016,importe,ING_EXTRA)</f>
        <v>0</v>
      </c>
      <c r="BC7" s="190">
        <f>DSUM(NOV_2016,importe,ING_EXTRA)</f>
        <v>0</v>
      </c>
      <c r="BD7" s="190">
        <f>DSUM(DIC_2016,importe,ING_EXTRA)</f>
        <v>0</v>
      </c>
    </row>
    <row r="8" spans="1:56" x14ac:dyDescent="0.2">
      <c r="A8" s="287" t="s">
        <v>2954</v>
      </c>
      <c r="B8" s="287"/>
      <c r="C8" s="188" t="s">
        <v>2907</v>
      </c>
      <c r="D8" s="189">
        <v>1500</v>
      </c>
      <c r="E8" s="189">
        <v>21520</v>
      </c>
      <c r="F8" s="189">
        <v>3180</v>
      </c>
      <c r="G8" s="189">
        <v>2280</v>
      </c>
      <c r="H8" s="189">
        <v>1650</v>
      </c>
      <c r="I8" s="189">
        <v>1390</v>
      </c>
      <c r="J8" s="189">
        <v>1650</v>
      </c>
      <c r="K8" s="189">
        <v>1500</v>
      </c>
      <c r="L8" s="189">
        <v>2550</v>
      </c>
      <c r="M8" s="189">
        <v>1080</v>
      </c>
      <c r="N8" s="189">
        <v>2560</v>
      </c>
      <c r="O8" s="189">
        <v>1440</v>
      </c>
      <c r="P8" s="189">
        <v>640</v>
      </c>
      <c r="Q8" s="189">
        <v>1600</v>
      </c>
      <c r="R8" s="189">
        <v>23030</v>
      </c>
      <c r="S8" s="190">
        <v>2560</v>
      </c>
      <c r="T8" s="190">
        <v>2070</v>
      </c>
      <c r="U8" s="190">
        <v>1440</v>
      </c>
      <c r="V8" s="190">
        <v>2080</v>
      </c>
      <c r="W8" s="190">
        <v>1440</v>
      </c>
      <c r="X8" s="190">
        <v>1280</v>
      </c>
      <c r="Y8" s="190">
        <v>1600</v>
      </c>
      <c r="Z8" s="190">
        <v>1600</v>
      </c>
      <c r="AA8" s="190">
        <v>3040</v>
      </c>
      <c r="AB8" s="190">
        <v>2080</v>
      </c>
      <c r="AC8" s="190">
        <v>2240</v>
      </c>
      <c r="AD8" s="190">
        <v>1600</v>
      </c>
      <c r="AE8" s="189">
        <v>24000</v>
      </c>
      <c r="AF8" s="190">
        <v>2080</v>
      </c>
      <c r="AG8" s="190">
        <v>2400</v>
      </c>
      <c r="AH8" s="190">
        <v>2400</v>
      </c>
      <c r="AI8" s="190">
        <v>640</v>
      </c>
      <c r="AJ8" s="190">
        <v>2720</v>
      </c>
      <c r="AK8" s="190">
        <v>1120</v>
      </c>
      <c r="AL8" s="190">
        <v>960</v>
      </c>
      <c r="AM8" s="190">
        <v>2880</v>
      </c>
      <c r="AN8" s="190">
        <v>2400</v>
      </c>
      <c r="AO8" s="190">
        <v>1760</v>
      </c>
      <c r="AP8" s="190">
        <v>2400</v>
      </c>
      <c r="AQ8" s="190">
        <v>2240</v>
      </c>
      <c r="AR8" s="189">
        <f t="shared" si="0"/>
        <v>29530</v>
      </c>
      <c r="AS8" s="190">
        <f>DSUM(ENE_2016,importe,ING_LLAVES)</f>
        <v>2080</v>
      </c>
      <c r="AT8" s="190">
        <f>DSUM(FEB_2016,importe,ING_LLAVES)</f>
        <v>2080</v>
      </c>
      <c r="AU8" s="190">
        <f>DSUM(MAR_2016,importe,ING_LLAVES)</f>
        <v>800</v>
      </c>
      <c r="AV8" s="190">
        <f>DSUM(ABR_2016,importe,ING_LLAVES)</f>
        <v>2400</v>
      </c>
      <c r="AW8" s="190">
        <f>DSUM(MAY_2016,importe,ING_LLAVES)</f>
        <v>4150</v>
      </c>
      <c r="AX8" s="190">
        <f>DSUM(JUN_2016,importe,ING_LLAVES)</f>
        <v>3120</v>
      </c>
      <c r="AY8" s="190">
        <f>DSUM(JUL_2016,importe,ING_LLAVES)</f>
        <v>3200</v>
      </c>
      <c r="AZ8" s="190">
        <f>DSUM(AGO_2016,importe,ING_LLAVES)</f>
        <v>2300</v>
      </c>
      <c r="BA8" s="190">
        <f>DSUM(SEP_2016,importe,ING_LLAVES)</f>
        <v>3000</v>
      </c>
      <c r="BB8" s="190">
        <f>DSUM(OCT_2016,importe,ING_LLAVES)</f>
        <v>2000</v>
      </c>
      <c r="BC8" s="190">
        <f>DSUM(NOV_2016,importe,ING_LLAVES)</f>
        <v>2800</v>
      </c>
      <c r="BD8" s="190">
        <f>DSUM(DIC_2016,importe,ING_LLAVES)</f>
        <v>1600</v>
      </c>
    </row>
    <row r="9" spans="1:56" x14ac:dyDescent="0.2">
      <c r="A9" s="287" t="s">
        <v>2955</v>
      </c>
      <c r="B9" s="287"/>
      <c r="C9" s="188" t="s">
        <v>2908</v>
      </c>
      <c r="D9" s="189">
        <v>2080</v>
      </c>
      <c r="E9" s="189">
        <v>20960</v>
      </c>
      <c r="F9" s="189">
        <v>1920</v>
      </c>
      <c r="G9" s="189">
        <v>800</v>
      </c>
      <c r="H9" s="189">
        <v>2560</v>
      </c>
      <c r="I9" s="189">
        <v>2240</v>
      </c>
      <c r="J9" s="189">
        <v>2880</v>
      </c>
      <c r="K9" s="189">
        <v>2560</v>
      </c>
      <c r="L9" s="189">
        <v>800</v>
      </c>
      <c r="M9" s="189">
        <v>1440</v>
      </c>
      <c r="N9" s="189">
        <v>2080</v>
      </c>
      <c r="O9" s="189">
        <v>1600</v>
      </c>
      <c r="P9" s="189">
        <v>320</v>
      </c>
      <c r="Q9" s="189">
        <v>1760</v>
      </c>
      <c r="R9" s="189">
        <v>22400</v>
      </c>
      <c r="S9" s="189">
        <v>1280</v>
      </c>
      <c r="T9" s="189">
        <v>480</v>
      </c>
      <c r="U9" s="189">
        <v>0</v>
      </c>
      <c r="V9" s="189">
        <v>5120</v>
      </c>
      <c r="W9" s="189">
        <v>2560</v>
      </c>
      <c r="X9" s="189">
        <v>1120</v>
      </c>
      <c r="Y9" s="189">
        <v>960</v>
      </c>
      <c r="Z9" s="189">
        <v>2880</v>
      </c>
      <c r="AA9" s="189">
        <v>1920</v>
      </c>
      <c r="AB9" s="189">
        <v>2880</v>
      </c>
      <c r="AC9" s="189">
        <v>1280</v>
      </c>
      <c r="AD9" s="189">
        <v>1920</v>
      </c>
      <c r="AE9" s="189">
        <v>25600</v>
      </c>
      <c r="AF9" s="189">
        <v>2880</v>
      </c>
      <c r="AG9" s="189">
        <v>1920</v>
      </c>
      <c r="AH9" s="189">
        <v>2080</v>
      </c>
      <c r="AI9" s="189">
        <v>1760</v>
      </c>
      <c r="AJ9" s="189">
        <v>2400</v>
      </c>
      <c r="AK9" s="189">
        <v>1280</v>
      </c>
      <c r="AL9" s="189">
        <v>1600</v>
      </c>
      <c r="AM9" s="189">
        <v>2080</v>
      </c>
      <c r="AN9" s="189">
        <v>2880</v>
      </c>
      <c r="AO9" s="189">
        <v>2400</v>
      </c>
      <c r="AP9" s="189">
        <v>2240</v>
      </c>
      <c r="AQ9" s="189">
        <v>2080</v>
      </c>
      <c r="AR9" s="189">
        <f t="shared" si="0"/>
        <v>23360</v>
      </c>
      <c r="AS9" s="189">
        <f>DSUM(ENE_2016,importe,ING_TELE)</f>
        <v>2560</v>
      </c>
      <c r="AT9" s="189">
        <f>DSUM(FEB_2016,importe,ING_TELE)</f>
        <v>1440</v>
      </c>
      <c r="AU9" s="189">
        <f>DSUM(MAR_2016,importe,ING_TELE)</f>
        <v>1120</v>
      </c>
      <c r="AV9" s="189">
        <f>DSUM(ABR_2016,importe,ING_TELE)</f>
        <v>2080</v>
      </c>
      <c r="AW9" s="189">
        <f>DSUM(MAY_2016,importe,ING_TELE)</f>
        <v>2720</v>
      </c>
      <c r="AX9" s="189">
        <f>DSUM(JUN_2016,importe,ING_TELE)</f>
        <v>2240</v>
      </c>
      <c r="AY9" s="189">
        <f>DSUM(JUL_2016,importe,ING_TELE)</f>
        <v>2800</v>
      </c>
      <c r="AZ9" s="189">
        <f>DSUM(AGO_2016,importe,ING_TELE)</f>
        <v>2600</v>
      </c>
      <c r="BA9" s="189">
        <f>DSUM(SEP_2016,importe,ING_TELE)</f>
        <v>1200</v>
      </c>
      <c r="BB9" s="189">
        <f>DSUM(OCT_2016,importe,ING_TELE)</f>
        <v>1800</v>
      </c>
      <c r="BC9" s="189">
        <f>DSUM(NOV_2016,importe,ING_TELE)</f>
        <v>1200</v>
      </c>
      <c r="BD9" s="189">
        <f>DSUM(DIC_2016,importe,ING_TELE)</f>
        <v>1600</v>
      </c>
    </row>
    <row r="10" spans="1:56" x14ac:dyDescent="0.2">
      <c r="A10" s="287" t="s">
        <v>2956</v>
      </c>
      <c r="B10" s="287"/>
      <c r="C10" s="188" t="s">
        <v>2909</v>
      </c>
      <c r="D10" s="189">
        <v>320</v>
      </c>
      <c r="E10" s="189">
        <v>1680</v>
      </c>
      <c r="F10" s="189">
        <v>20</v>
      </c>
      <c r="G10" s="189">
        <v>300</v>
      </c>
      <c r="H10" s="189">
        <v>320</v>
      </c>
      <c r="I10" s="189">
        <v>240</v>
      </c>
      <c r="J10" s="189">
        <v>60</v>
      </c>
      <c r="K10" s="189">
        <v>80</v>
      </c>
      <c r="L10" s="189">
        <v>460</v>
      </c>
      <c r="M10" s="189">
        <v>100</v>
      </c>
      <c r="N10" s="189">
        <v>100</v>
      </c>
      <c r="O10" s="189">
        <v>0</v>
      </c>
      <c r="P10" s="189">
        <v>0</v>
      </c>
      <c r="Q10" s="189">
        <v>0</v>
      </c>
      <c r="R10" s="189">
        <v>23530</v>
      </c>
      <c r="S10" s="189">
        <v>0</v>
      </c>
      <c r="T10" s="189">
        <v>0</v>
      </c>
      <c r="U10" s="189">
        <v>0</v>
      </c>
      <c r="V10" s="189">
        <v>0</v>
      </c>
      <c r="W10" s="189">
        <v>0</v>
      </c>
      <c r="X10" s="189">
        <v>0</v>
      </c>
      <c r="Y10" s="189">
        <v>0</v>
      </c>
      <c r="Z10" s="189">
        <v>0</v>
      </c>
      <c r="AA10" s="189">
        <v>11930</v>
      </c>
      <c r="AB10" s="189">
        <v>6900</v>
      </c>
      <c r="AC10" s="189">
        <v>3660</v>
      </c>
      <c r="AD10" s="189">
        <v>1040</v>
      </c>
      <c r="AE10" s="189">
        <v>1160</v>
      </c>
      <c r="AF10" s="189">
        <v>600</v>
      </c>
      <c r="AG10" s="189">
        <v>160</v>
      </c>
      <c r="AH10" s="189">
        <v>0</v>
      </c>
      <c r="AI10" s="189">
        <v>0</v>
      </c>
      <c r="AJ10" s="189">
        <v>0</v>
      </c>
      <c r="AK10" s="189">
        <v>0</v>
      </c>
      <c r="AL10" s="189">
        <v>0</v>
      </c>
      <c r="AM10" s="189">
        <v>0</v>
      </c>
      <c r="AN10" s="189">
        <v>0</v>
      </c>
      <c r="AO10" s="189">
        <v>400</v>
      </c>
      <c r="AP10" s="189">
        <v>0</v>
      </c>
      <c r="AQ10" s="189">
        <v>0</v>
      </c>
      <c r="AR10" s="189">
        <f t="shared" si="0"/>
        <v>59200</v>
      </c>
      <c r="AS10" s="189">
        <f>DSUM(ENE_2016,importe,ING_TAR)</f>
        <v>0</v>
      </c>
      <c r="AT10" s="189">
        <f>DSUM(FEB_2016,importe,ING_TAR)</f>
        <v>0</v>
      </c>
      <c r="AU10" s="189">
        <f>DSUM(MAR_2016,importe,ING_TAR)</f>
        <v>0</v>
      </c>
      <c r="AV10" s="189">
        <f>DSUM(ABR_2016,importe,ING_TAR)</f>
        <v>0</v>
      </c>
      <c r="AW10" s="189">
        <f>DSUM(MAY_2016,importe,ING_TAR)</f>
        <v>0</v>
      </c>
      <c r="AX10" s="189">
        <f>DSUM(JUN_2016,importe,ING_TAR)</f>
        <v>24100</v>
      </c>
      <c r="AY10" s="189">
        <f>DSUM(JUL_2016,importe,ING_TAR)</f>
        <v>18300</v>
      </c>
      <c r="AZ10" s="189">
        <f>DSUM(AGO_2016,importe,ING_TAR)</f>
        <v>6200</v>
      </c>
      <c r="BA10" s="189">
        <f>DSUM(SEP_2016,importe,ING_TAR)</f>
        <v>5250</v>
      </c>
      <c r="BB10" s="189">
        <f>DSUM(OCT_2016,importe,ING_TAR)</f>
        <v>1700</v>
      </c>
      <c r="BC10" s="189">
        <f>DSUM(NOV_2016,importe,ING_TAR)</f>
        <v>2400</v>
      </c>
      <c r="BD10" s="189">
        <f>DSUM(DIC_2016,importe,ING_TAR)</f>
        <v>1250</v>
      </c>
    </row>
    <row r="11" spans="1:56" x14ac:dyDescent="0.2">
      <c r="A11" s="287" t="s">
        <v>2957</v>
      </c>
      <c r="B11" s="287"/>
      <c r="C11" s="191" t="s">
        <v>2910</v>
      </c>
      <c r="D11" s="192">
        <v>1000</v>
      </c>
      <c r="E11" s="192">
        <v>10193</v>
      </c>
      <c r="F11" s="192">
        <v>200</v>
      </c>
      <c r="G11" s="192">
        <v>0</v>
      </c>
      <c r="H11" s="192">
        <v>50</v>
      </c>
      <c r="I11" s="192">
        <v>0</v>
      </c>
      <c r="J11" s="192">
        <v>0</v>
      </c>
      <c r="K11" s="192">
        <v>0</v>
      </c>
      <c r="L11" s="192">
        <v>0</v>
      </c>
      <c r="M11" s="192">
        <v>0</v>
      </c>
      <c r="N11" s="192">
        <v>0</v>
      </c>
      <c r="O11" s="192">
        <v>0</v>
      </c>
      <c r="P11" s="192">
        <v>0</v>
      </c>
      <c r="Q11" s="192">
        <v>9943</v>
      </c>
      <c r="R11" s="192">
        <v>0</v>
      </c>
      <c r="S11" s="192">
        <v>0</v>
      </c>
      <c r="T11" s="192">
        <v>0</v>
      </c>
      <c r="U11" s="192">
        <v>0</v>
      </c>
      <c r="V11" s="192">
        <v>0</v>
      </c>
      <c r="W11" s="192">
        <v>0</v>
      </c>
      <c r="X11" s="192">
        <v>0</v>
      </c>
      <c r="Y11" s="192">
        <v>0</v>
      </c>
      <c r="Z11" s="192">
        <v>0</v>
      </c>
      <c r="AA11" s="192">
        <v>0</v>
      </c>
      <c r="AB11" s="192">
        <v>0</v>
      </c>
      <c r="AC11" s="192">
        <v>0</v>
      </c>
      <c r="AD11" s="192">
        <v>0</v>
      </c>
      <c r="AE11" s="192">
        <v>2700</v>
      </c>
      <c r="AF11" s="192">
        <v>0</v>
      </c>
      <c r="AG11" s="192">
        <v>0</v>
      </c>
      <c r="AH11" s="192">
        <v>2700</v>
      </c>
      <c r="AI11" s="192">
        <v>0</v>
      </c>
      <c r="AJ11" s="192">
        <v>0</v>
      </c>
      <c r="AK11" s="192">
        <v>0</v>
      </c>
      <c r="AL11" s="192">
        <v>0</v>
      </c>
      <c r="AM11" s="192">
        <v>0</v>
      </c>
      <c r="AN11" s="192">
        <v>0</v>
      </c>
      <c r="AO11" s="192">
        <v>0</v>
      </c>
      <c r="AP11" s="192">
        <v>0</v>
      </c>
      <c r="AQ11" s="192">
        <v>0</v>
      </c>
      <c r="AR11" s="192">
        <f t="shared" si="0"/>
        <v>4890</v>
      </c>
      <c r="AS11" s="192">
        <f>DSUM(ENE_2016,importe,ING_OTROS)</f>
        <v>0</v>
      </c>
      <c r="AT11" s="192">
        <f>DSUM(FEB_2016,importe,ING_OTROS)</f>
        <v>500</v>
      </c>
      <c r="AU11" s="192">
        <f>DSUM(MAR_2016,importe,ING_OTROS)</f>
        <v>150</v>
      </c>
      <c r="AV11" s="192">
        <f>DSUM(ABR_2016,importe,ING_OTROS)</f>
        <v>0</v>
      </c>
      <c r="AW11" s="192">
        <f>DSUM(MAY_2016,importe,ING_OTROS)</f>
        <v>1300</v>
      </c>
      <c r="AX11" s="192">
        <f>DSUM(JUN_2016,importe,ING_OTROS)</f>
        <v>300</v>
      </c>
      <c r="AY11" s="192">
        <f>DSUM(JUL_2016,importe,ING_OTROS)</f>
        <v>350</v>
      </c>
      <c r="AZ11" s="192">
        <f>DSUM(AGO_2016,importe,ING_OTROS)</f>
        <v>350</v>
      </c>
      <c r="BA11" s="192">
        <f>DSUM(SEP_2016,importe,ING_OTROS)</f>
        <v>1000</v>
      </c>
      <c r="BB11" s="192">
        <f>DSUM(OCT_2016,importe,ING_OTROS)</f>
        <v>0</v>
      </c>
      <c r="BC11" s="192">
        <f>DSUM(NOV_2016,importe,ING_OTROS)</f>
        <v>440</v>
      </c>
      <c r="BD11" s="192">
        <f>DSUM(DIC_2016,importe,ING_OTROS)</f>
        <v>500</v>
      </c>
    </row>
    <row r="12" spans="1:56" ht="6" customHeight="1" x14ac:dyDescent="0.2">
      <c r="C12" s="193"/>
      <c r="D12" s="194"/>
      <c r="E12" s="194"/>
      <c r="F12" s="194"/>
      <c r="G12" s="194"/>
      <c r="H12" s="194"/>
      <c r="I12" s="194"/>
      <c r="J12" s="194"/>
      <c r="K12" s="195"/>
      <c r="L12" s="196"/>
      <c r="M12" s="196"/>
      <c r="N12" s="196"/>
      <c r="O12" s="196"/>
      <c r="P12" s="194"/>
      <c r="Q12" s="196"/>
      <c r="R12" s="197"/>
      <c r="S12" s="194"/>
      <c r="T12" s="194"/>
      <c r="U12" s="194"/>
      <c r="V12" s="194"/>
      <c r="W12" s="194"/>
      <c r="X12" s="196"/>
      <c r="Y12" s="196"/>
      <c r="Z12" s="196"/>
      <c r="AA12" s="196"/>
      <c r="AB12" s="196"/>
      <c r="AC12" s="196"/>
      <c r="AD12" s="196"/>
      <c r="AE12" s="197"/>
      <c r="AF12" s="194"/>
      <c r="AG12" s="194"/>
      <c r="AH12" s="194"/>
      <c r="AI12" s="194"/>
      <c r="AJ12" s="194"/>
      <c r="AK12" s="194"/>
      <c r="AL12" s="194"/>
      <c r="AM12" s="194"/>
      <c r="AN12" s="194"/>
      <c r="AO12" s="194"/>
      <c r="AP12" s="194"/>
      <c r="AQ12" s="194"/>
      <c r="AR12" s="197"/>
      <c r="AS12" s="194"/>
      <c r="AT12" s="194"/>
      <c r="AU12" s="194"/>
      <c r="AV12" s="194"/>
      <c r="AW12" s="194"/>
      <c r="AX12" s="194"/>
      <c r="AY12" s="194"/>
      <c r="AZ12" s="194"/>
      <c r="BA12" s="194"/>
      <c r="BB12" s="194"/>
      <c r="BC12" s="194"/>
      <c r="BD12" s="194"/>
    </row>
    <row r="13" spans="1:56" ht="21.95" customHeight="1" thickBot="1" x14ac:dyDescent="0.25">
      <c r="C13" s="198" t="s">
        <v>2911</v>
      </c>
      <c r="D13" s="199">
        <v>95625</v>
      </c>
      <c r="E13" s="199">
        <v>1116078.71</v>
      </c>
      <c r="F13" s="199">
        <v>144045</v>
      </c>
      <c r="G13" s="199">
        <v>103255</v>
      </c>
      <c r="H13" s="199">
        <v>98055</v>
      </c>
      <c r="I13" s="200">
        <v>62995</v>
      </c>
      <c r="J13" s="200">
        <v>93585</v>
      </c>
      <c r="K13" s="199">
        <v>85515</v>
      </c>
      <c r="L13" s="199">
        <v>83035</v>
      </c>
      <c r="M13" s="199">
        <v>75555.710000000006</v>
      </c>
      <c r="N13" s="199">
        <v>102715</v>
      </c>
      <c r="O13" s="199">
        <v>78515</v>
      </c>
      <c r="P13" s="199">
        <v>74035</v>
      </c>
      <c r="Q13" s="199">
        <v>114773</v>
      </c>
      <c r="R13" s="199">
        <v>1291600</v>
      </c>
      <c r="S13" s="199">
        <v>136515</v>
      </c>
      <c r="T13" s="199">
        <v>136575</v>
      </c>
      <c r="U13" s="199">
        <v>120265</v>
      </c>
      <c r="V13" s="199">
        <v>86875</v>
      </c>
      <c r="W13" s="199">
        <v>92675</v>
      </c>
      <c r="X13" s="199">
        <v>80775</v>
      </c>
      <c r="Y13" s="199">
        <v>92485</v>
      </c>
      <c r="Z13" s="199">
        <v>122850</v>
      </c>
      <c r="AA13" s="199">
        <v>129610</v>
      </c>
      <c r="AB13" s="199">
        <v>82735</v>
      </c>
      <c r="AC13" s="199">
        <v>124555</v>
      </c>
      <c r="AD13" s="199">
        <v>85685</v>
      </c>
      <c r="AE13" s="201">
        <v>1368510</v>
      </c>
      <c r="AF13" s="201">
        <v>157635</v>
      </c>
      <c r="AG13" s="201">
        <v>110305</v>
      </c>
      <c r="AH13" s="201">
        <v>135255</v>
      </c>
      <c r="AI13" s="201">
        <v>100875</v>
      </c>
      <c r="AJ13" s="201">
        <v>107395</v>
      </c>
      <c r="AK13" s="201">
        <v>93225</v>
      </c>
      <c r="AL13" s="201">
        <v>84210</v>
      </c>
      <c r="AM13" s="201">
        <v>111435</v>
      </c>
      <c r="AN13" s="201">
        <v>115380</v>
      </c>
      <c r="AO13" s="201">
        <v>115135</v>
      </c>
      <c r="AP13" s="201">
        <v>128765</v>
      </c>
      <c r="AQ13" s="201">
        <v>108895</v>
      </c>
      <c r="AR13" s="201">
        <f t="shared" ref="AR13:BC13" si="1">SUM(AR6:AR11)</f>
        <v>1467730</v>
      </c>
      <c r="AS13" s="201">
        <f t="shared" si="1"/>
        <v>217690</v>
      </c>
      <c r="AT13" s="201">
        <f t="shared" si="1"/>
        <v>98770</v>
      </c>
      <c r="AU13" s="201">
        <f t="shared" si="1"/>
        <v>84695</v>
      </c>
      <c r="AV13" s="201">
        <f>SUM(AV6:AV11)</f>
        <v>106555</v>
      </c>
      <c r="AW13" s="201">
        <f t="shared" si="1"/>
        <v>117045</v>
      </c>
      <c r="AX13" s="201">
        <f t="shared" si="1"/>
        <v>147035</v>
      </c>
      <c r="AY13" s="201">
        <f t="shared" si="1"/>
        <v>129225</v>
      </c>
      <c r="AZ13" s="201">
        <f t="shared" si="1"/>
        <v>117725</v>
      </c>
      <c r="BA13" s="201">
        <f t="shared" si="1"/>
        <v>106075</v>
      </c>
      <c r="BB13" s="201">
        <f t="shared" si="1"/>
        <v>94425</v>
      </c>
      <c r="BC13" s="201">
        <f t="shared" si="1"/>
        <v>113215</v>
      </c>
      <c r="BD13" s="201">
        <f t="shared" ref="BD13" si="2">SUM(BD6:BD11)</f>
        <v>135275</v>
      </c>
    </row>
    <row r="14" spans="1:56" ht="15" customHeight="1" thickTop="1" x14ac:dyDescent="0.2">
      <c r="C14" s="202" t="s">
        <v>2912</v>
      </c>
      <c r="D14" s="203"/>
      <c r="E14" s="203"/>
      <c r="F14" s="204"/>
      <c r="G14" s="204"/>
      <c r="H14" s="204"/>
      <c r="I14" s="204"/>
      <c r="J14" s="205"/>
      <c r="K14" s="206"/>
      <c r="L14" s="204"/>
      <c r="M14" s="204"/>
      <c r="N14" s="204"/>
      <c r="O14" s="204"/>
      <c r="P14" s="207"/>
      <c r="Q14" s="208"/>
      <c r="R14" s="203"/>
      <c r="S14" s="204"/>
      <c r="T14" s="204"/>
      <c r="U14" s="204"/>
      <c r="V14" s="204"/>
      <c r="W14" s="204"/>
      <c r="X14" s="209"/>
      <c r="Y14" s="209"/>
      <c r="Z14" s="209"/>
      <c r="AA14" s="209"/>
      <c r="AB14" s="209"/>
      <c r="AC14" s="209"/>
      <c r="AD14" s="209"/>
      <c r="AE14" s="203"/>
      <c r="AF14" s="204"/>
      <c r="AG14" s="204"/>
      <c r="AH14" s="204"/>
      <c r="AI14" s="204"/>
      <c r="AJ14" s="204"/>
      <c r="AK14" s="204"/>
      <c r="AL14" s="204"/>
      <c r="AM14" s="204"/>
      <c r="AN14" s="204"/>
      <c r="AO14" s="204"/>
      <c r="AP14" s="204"/>
      <c r="AQ14" s="204"/>
      <c r="AR14" s="203"/>
      <c r="AS14" s="204"/>
      <c r="AT14" s="204"/>
      <c r="AU14" s="204"/>
      <c r="AV14" s="204"/>
      <c r="AW14" s="204"/>
      <c r="AX14" s="204"/>
      <c r="AY14" s="204"/>
      <c r="AZ14" s="204"/>
      <c r="BA14" s="204"/>
      <c r="BB14" s="204"/>
      <c r="BC14" s="204"/>
      <c r="BD14" s="204"/>
    </row>
    <row r="15" spans="1:56" x14ac:dyDescent="0.2">
      <c r="C15" s="210" t="s">
        <v>2913</v>
      </c>
      <c r="D15" s="211"/>
      <c r="E15" s="211">
        <v>710950.42</v>
      </c>
      <c r="F15" s="211">
        <v>59769.5</v>
      </c>
      <c r="G15" s="211">
        <v>57058.52</v>
      </c>
      <c r="H15" s="211">
        <v>61345.5</v>
      </c>
      <c r="I15" s="211">
        <v>58909</v>
      </c>
      <c r="J15" s="211">
        <v>55230.92</v>
      </c>
      <c r="K15" s="211">
        <v>48437.84</v>
      </c>
      <c r="L15" s="211">
        <v>51489.570000000007</v>
      </c>
      <c r="M15" s="211">
        <v>54106.619999999995</v>
      </c>
      <c r="N15" s="211">
        <v>55106.86</v>
      </c>
      <c r="O15" s="211">
        <v>54653.859999999993</v>
      </c>
      <c r="P15" s="211">
        <v>57103.34</v>
      </c>
      <c r="Q15" s="212">
        <v>97738.89</v>
      </c>
      <c r="R15" s="213">
        <v>771113.85</v>
      </c>
      <c r="S15" s="214">
        <v>72465.06</v>
      </c>
      <c r="T15" s="214">
        <v>62813.7</v>
      </c>
      <c r="U15" s="214">
        <v>65742.73</v>
      </c>
      <c r="V15" s="214">
        <v>62819.7</v>
      </c>
      <c r="W15" s="214">
        <v>62786.2</v>
      </c>
      <c r="X15" s="212">
        <v>62978.1</v>
      </c>
      <c r="Y15" s="212">
        <v>63028.4</v>
      </c>
      <c r="Z15" s="212">
        <v>63299.23</v>
      </c>
      <c r="AA15" s="212">
        <v>62856.5</v>
      </c>
      <c r="AB15" s="212">
        <v>62794.75</v>
      </c>
      <c r="AC15" s="212">
        <v>63317.08</v>
      </c>
      <c r="AD15" s="212">
        <v>66212.399999999994</v>
      </c>
      <c r="AE15" s="213">
        <v>806226.69000000006</v>
      </c>
      <c r="AF15" s="214">
        <v>63118.6</v>
      </c>
      <c r="AG15" s="214">
        <v>62560</v>
      </c>
      <c r="AH15" s="214">
        <v>63355</v>
      </c>
      <c r="AI15" s="214">
        <v>65030</v>
      </c>
      <c r="AJ15" s="214">
        <v>65463.3</v>
      </c>
      <c r="AK15" s="214">
        <v>65719.7</v>
      </c>
      <c r="AL15" s="214">
        <v>65525.99</v>
      </c>
      <c r="AM15" s="214">
        <v>65871.56</v>
      </c>
      <c r="AN15" s="214">
        <v>66034.78</v>
      </c>
      <c r="AO15" s="214">
        <v>37103.949999999997</v>
      </c>
      <c r="AP15" s="214">
        <v>94672</v>
      </c>
      <c r="AQ15" s="214">
        <v>91771.81</v>
      </c>
      <c r="AR15" s="213">
        <f t="shared" ref="AR15:AZ15" si="3">SUM(AR16:AR22)</f>
        <v>812792.27</v>
      </c>
      <c r="AS15" s="214">
        <f t="shared" si="3"/>
        <v>68136.09</v>
      </c>
      <c r="AT15" s="214">
        <f t="shared" si="3"/>
        <v>66276.930000000008</v>
      </c>
      <c r="AU15" s="214">
        <f t="shared" si="3"/>
        <v>39398.449999999997</v>
      </c>
      <c r="AV15" s="214">
        <f t="shared" si="3"/>
        <v>85127.079999999987</v>
      </c>
      <c r="AW15" s="214">
        <f t="shared" si="3"/>
        <v>75120.3</v>
      </c>
      <c r="AX15" s="214">
        <f t="shared" si="3"/>
        <v>65737.290000000008</v>
      </c>
      <c r="AY15" s="214">
        <f t="shared" si="3"/>
        <v>68116.929999999993</v>
      </c>
      <c r="AZ15" s="214">
        <f t="shared" si="3"/>
        <v>62813.03</v>
      </c>
      <c r="BA15" s="214">
        <f>SUM(BA16:BA22)</f>
        <v>63486.47</v>
      </c>
      <c r="BB15" s="214">
        <f t="shared" ref="BB15:BC15" si="4">SUM(BB16:BB22)</f>
        <v>51081.9</v>
      </c>
      <c r="BC15" s="214">
        <f t="shared" si="4"/>
        <v>73710</v>
      </c>
      <c r="BD15" s="214">
        <f>SUM(BD16:BD22)</f>
        <v>93787.8</v>
      </c>
    </row>
    <row r="16" spans="1:56" x14ac:dyDescent="0.2">
      <c r="A16" s="286" t="s">
        <v>1585</v>
      </c>
      <c r="B16" s="286"/>
      <c r="C16" s="215" t="s">
        <v>2914</v>
      </c>
      <c r="D16" s="216"/>
      <c r="E16" s="217">
        <v>671009.90999999992</v>
      </c>
      <c r="F16" s="217">
        <v>56500</v>
      </c>
      <c r="G16" s="217">
        <v>54400</v>
      </c>
      <c r="H16" s="217">
        <v>57023</v>
      </c>
      <c r="I16" s="217">
        <v>55120</v>
      </c>
      <c r="J16" s="217">
        <v>51790</v>
      </c>
      <c r="K16" s="217">
        <v>46400</v>
      </c>
      <c r="L16" s="217">
        <v>46150</v>
      </c>
      <c r="M16" s="217">
        <v>51353.34</v>
      </c>
      <c r="N16" s="217">
        <v>51840</v>
      </c>
      <c r="O16" s="217">
        <v>50193.34</v>
      </c>
      <c r="P16" s="217">
        <v>54743.34</v>
      </c>
      <c r="Q16" s="217">
        <v>95496.89</v>
      </c>
      <c r="R16" s="217">
        <v>759100</v>
      </c>
      <c r="S16" s="217">
        <v>71700</v>
      </c>
      <c r="T16" s="217">
        <v>62200</v>
      </c>
      <c r="U16" s="217">
        <v>62200</v>
      </c>
      <c r="V16" s="217">
        <v>62200</v>
      </c>
      <c r="W16" s="217">
        <v>62200</v>
      </c>
      <c r="X16" s="217">
        <v>62200</v>
      </c>
      <c r="Y16" s="217">
        <v>62200</v>
      </c>
      <c r="Z16" s="217">
        <v>62200</v>
      </c>
      <c r="AA16" s="217">
        <v>62200</v>
      </c>
      <c r="AB16" s="217">
        <v>62200</v>
      </c>
      <c r="AC16" s="217">
        <v>62200</v>
      </c>
      <c r="AD16" s="217">
        <v>65400</v>
      </c>
      <c r="AE16" s="217">
        <v>788950</v>
      </c>
      <c r="AF16" s="217">
        <v>62200</v>
      </c>
      <c r="AG16" s="217">
        <v>62200</v>
      </c>
      <c r="AH16" s="217">
        <v>62200</v>
      </c>
      <c r="AI16" s="217">
        <v>64400</v>
      </c>
      <c r="AJ16" s="217">
        <v>64400</v>
      </c>
      <c r="AK16" s="217">
        <v>64400</v>
      </c>
      <c r="AL16" s="217">
        <v>64400</v>
      </c>
      <c r="AM16" s="217">
        <v>64400</v>
      </c>
      <c r="AN16" s="217">
        <v>64400</v>
      </c>
      <c r="AO16" s="218">
        <v>35400</v>
      </c>
      <c r="AP16" s="218">
        <v>93400</v>
      </c>
      <c r="AQ16" s="217">
        <v>87150</v>
      </c>
      <c r="AR16" s="217">
        <f t="shared" ref="AR16:AR22" si="5">SUM(AS16:BD16)</f>
        <v>769220.23</v>
      </c>
      <c r="AS16" s="217">
        <f>DSUM(G_ENE_2016,GASTO,G_NMNVG)</f>
        <v>63900</v>
      </c>
      <c r="AT16" s="217">
        <f>DSUM(G_FEB_2016,GASTO,G_NMNVG)</f>
        <v>63400</v>
      </c>
      <c r="AU16" s="217">
        <f>DSUM(G_MAR_2016,GASTO,G_NMNVG)</f>
        <v>35400</v>
      </c>
      <c r="AV16" s="217">
        <f>DSUM(G_ABR_2016,GASTO,G_NMNVG)</f>
        <v>82400</v>
      </c>
      <c r="AW16" s="217">
        <f>DSUM(G_MAY_2016,GASTO,G_NMNVG)</f>
        <v>72400</v>
      </c>
      <c r="AX16" s="217">
        <f>DSUM(G_JUN_2016,GASTO,G_NMNVG)</f>
        <v>63400</v>
      </c>
      <c r="AY16" s="217">
        <f>DSUM(G_JUL_2016,GASTO,G_NMNVG)</f>
        <v>66400</v>
      </c>
      <c r="AZ16" s="217">
        <f>DSUM(G_AGO_2016,GASTO,G_NMNVG)</f>
        <v>60750</v>
      </c>
      <c r="BA16" s="217">
        <f>DSUM(G_SEP_2016,GASTO,G_NMNVG)</f>
        <v>60700</v>
      </c>
      <c r="BB16" s="217">
        <f>DSUM(G_OCT_2016,GASTO,G_NMNVG)</f>
        <v>48000</v>
      </c>
      <c r="BC16" s="217">
        <f>DSUM(G_NOV_2016,GASTO,G_NMNVG)</f>
        <v>68000</v>
      </c>
      <c r="BD16" s="217">
        <f>DSUM(G_DIC_2016,GASTO,G_NMNVG)</f>
        <v>84470.23</v>
      </c>
    </row>
    <row r="17" spans="1:56" x14ac:dyDescent="0.2">
      <c r="A17" s="286" t="s">
        <v>1875</v>
      </c>
      <c r="B17" s="286"/>
      <c r="C17" s="219" t="s">
        <v>1892</v>
      </c>
      <c r="D17" s="220"/>
      <c r="E17" s="190">
        <v>5137.0200000000004</v>
      </c>
      <c r="F17" s="190">
        <v>689.5</v>
      </c>
      <c r="G17" s="190">
        <v>478.52</v>
      </c>
      <c r="H17" s="190">
        <v>420</v>
      </c>
      <c r="I17" s="190">
        <v>501</v>
      </c>
      <c r="J17" s="190">
        <v>678</v>
      </c>
      <c r="K17" s="190">
        <v>300</v>
      </c>
      <c r="L17" s="190">
        <v>390</v>
      </c>
      <c r="M17" s="190">
        <v>270</v>
      </c>
      <c r="N17" s="190">
        <v>270</v>
      </c>
      <c r="O17" s="190">
        <v>390</v>
      </c>
      <c r="P17" s="190">
        <v>360</v>
      </c>
      <c r="Q17" s="190">
        <v>390</v>
      </c>
      <c r="R17" s="190">
        <v>4802</v>
      </c>
      <c r="S17" s="190">
        <v>300</v>
      </c>
      <c r="T17" s="190">
        <v>360</v>
      </c>
      <c r="U17" s="190">
        <v>332</v>
      </c>
      <c r="V17" s="190">
        <v>480</v>
      </c>
      <c r="W17" s="190">
        <v>390</v>
      </c>
      <c r="X17" s="190">
        <v>360</v>
      </c>
      <c r="Y17" s="190">
        <v>390</v>
      </c>
      <c r="Z17" s="190">
        <v>420</v>
      </c>
      <c r="AA17" s="190">
        <v>450</v>
      </c>
      <c r="AB17" s="190">
        <v>450</v>
      </c>
      <c r="AC17" s="190">
        <v>390</v>
      </c>
      <c r="AD17" s="190">
        <v>480</v>
      </c>
      <c r="AE17" s="190">
        <v>8692.5</v>
      </c>
      <c r="AF17" s="190">
        <v>360</v>
      </c>
      <c r="AG17" s="190">
        <v>360</v>
      </c>
      <c r="AH17" s="190">
        <v>390</v>
      </c>
      <c r="AI17" s="190">
        <v>630</v>
      </c>
      <c r="AJ17" s="190">
        <v>568.5</v>
      </c>
      <c r="AK17" s="190">
        <v>630</v>
      </c>
      <c r="AL17" s="190">
        <v>690</v>
      </c>
      <c r="AM17" s="190">
        <v>622</v>
      </c>
      <c r="AN17" s="190">
        <v>727.5</v>
      </c>
      <c r="AO17" s="190">
        <v>1060.5</v>
      </c>
      <c r="AP17" s="190">
        <v>1041</v>
      </c>
      <c r="AQ17" s="190">
        <v>1613</v>
      </c>
      <c r="AR17" s="190">
        <f t="shared" si="5"/>
        <v>19904.010000000002</v>
      </c>
      <c r="AS17" s="190">
        <f>DSUM(G_ENE_2016,GASTO,G_AGUA)</f>
        <v>1273.9100000000001</v>
      </c>
      <c r="AT17" s="190">
        <f>DSUM(G_FEB_2016,GASTO,G_AGUA)</f>
        <v>1577.6000000000001</v>
      </c>
      <c r="AU17" s="190">
        <f>DSUM(G_MAR_2016,GASTO,G_AGUA)</f>
        <v>1485.4</v>
      </c>
      <c r="AV17" s="190">
        <f>DSUM(G_ABR_2016,GASTO,G_AGUA)</f>
        <v>1680.9</v>
      </c>
      <c r="AW17" s="190">
        <f>DSUM(G_MAY_2016,GASTO,G_AGUA)</f>
        <v>2354.3000000000002</v>
      </c>
      <c r="AX17" s="190">
        <f>DSUM(G_JUN_2016,GASTO,G_AGUA)</f>
        <v>2116.9</v>
      </c>
      <c r="AY17" s="190">
        <f>DSUM(G_JUL_2016,GASTO,G_AGUA)</f>
        <v>1263</v>
      </c>
      <c r="AZ17" s="190">
        <f>DSUM(G_AGO_2016,GASTO,G_AGUA)</f>
        <v>1600</v>
      </c>
      <c r="BA17" s="190">
        <f>DSUM(G_SEP_2016,GASTO,G_AGUA)</f>
        <v>1630</v>
      </c>
      <c r="BB17" s="190">
        <f>DSUM(G_OCT_2016,GASTO,G_AGUA)</f>
        <v>1244</v>
      </c>
      <c r="BC17" s="190">
        <f>DSUM(G_NOV_2016,GASTO,G_AGUA)</f>
        <v>2210</v>
      </c>
      <c r="BD17" s="190">
        <f>DSUM(G_DIC_2016,GASTO,G_AGUA)</f>
        <v>1468</v>
      </c>
    </row>
    <row r="18" spans="1:56" x14ac:dyDescent="0.2">
      <c r="A18" s="286" t="s">
        <v>1870</v>
      </c>
      <c r="B18" s="286"/>
      <c r="C18" s="219" t="s">
        <v>2915</v>
      </c>
      <c r="D18" s="220"/>
      <c r="E18" s="190">
        <v>22680</v>
      </c>
      <c r="F18" s="190">
        <v>2580</v>
      </c>
      <c r="G18" s="190">
        <v>2180</v>
      </c>
      <c r="H18" s="190">
        <v>2320</v>
      </c>
      <c r="I18" s="190">
        <v>2200</v>
      </c>
      <c r="J18" s="190">
        <v>2000</v>
      </c>
      <c r="K18" s="190">
        <v>1600</v>
      </c>
      <c r="L18" s="190">
        <v>1600</v>
      </c>
      <c r="M18" s="190">
        <v>1800</v>
      </c>
      <c r="N18" s="190">
        <v>1600</v>
      </c>
      <c r="O18" s="190">
        <v>1600</v>
      </c>
      <c r="P18" s="190">
        <v>2000</v>
      </c>
      <c r="Q18" s="190">
        <v>1200</v>
      </c>
      <c r="R18" s="190">
        <v>0</v>
      </c>
      <c r="S18" s="190">
        <v>0</v>
      </c>
      <c r="T18" s="190">
        <v>0</v>
      </c>
      <c r="U18" s="190">
        <v>0</v>
      </c>
      <c r="V18" s="190">
        <v>0</v>
      </c>
      <c r="W18" s="190">
        <v>0</v>
      </c>
      <c r="X18" s="190">
        <v>0</v>
      </c>
      <c r="Y18" s="190">
        <v>0</v>
      </c>
      <c r="Z18" s="190">
        <v>0</v>
      </c>
      <c r="AA18" s="190">
        <v>0</v>
      </c>
      <c r="AB18" s="190">
        <v>0</v>
      </c>
      <c r="AC18" s="190">
        <v>0</v>
      </c>
      <c r="AD18" s="190">
        <v>0</v>
      </c>
      <c r="AE18" s="190">
        <v>2851.8</v>
      </c>
      <c r="AF18" s="190">
        <v>0</v>
      </c>
      <c r="AG18" s="190">
        <v>0</v>
      </c>
      <c r="AH18" s="190">
        <v>0</v>
      </c>
      <c r="AI18" s="190">
        <v>0</v>
      </c>
      <c r="AJ18" s="190">
        <v>0</v>
      </c>
      <c r="AK18" s="190">
        <v>0</v>
      </c>
      <c r="AL18" s="190">
        <v>0</v>
      </c>
      <c r="AM18" s="190">
        <v>0</v>
      </c>
      <c r="AN18" s="190">
        <v>390</v>
      </c>
      <c r="AO18" s="190">
        <v>0</v>
      </c>
      <c r="AP18" s="190">
        <v>0</v>
      </c>
      <c r="AQ18" s="190">
        <v>2461.8000000000002</v>
      </c>
      <c r="AR18" s="190">
        <f t="shared" si="5"/>
        <v>12730.49</v>
      </c>
      <c r="AS18" s="190">
        <f>DSUM(G_ENE_2016,GASTO,G_ALMVG)</f>
        <v>1593.7499999999998</v>
      </c>
      <c r="AT18" s="190">
        <f>DSUM(G_FEB_2016,GASTO,G_ALMVG)</f>
        <v>570</v>
      </c>
      <c r="AU18" s="190">
        <f>DSUM(G_MAR_2016,GASTO,G_ALMVG)</f>
        <v>2216.7400000000002</v>
      </c>
      <c r="AV18" s="190">
        <f>DSUM(G_ABR_2016,GASTO,G_ALMVG)</f>
        <v>100</v>
      </c>
      <c r="AW18" s="190">
        <f>DSUM(G_MAY_2016,GASTO,G_ALMVG)</f>
        <v>0</v>
      </c>
      <c r="AX18" s="190">
        <f>DSUM(G_JUN_2016,GASTO,G_ALMVG)</f>
        <v>0</v>
      </c>
      <c r="AY18" s="190">
        <f>DSUM(G_JUL_2016,GASTO,G_ALMVG)</f>
        <v>0</v>
      </c>
      <c r="AZ18" s="190">
        <f>DSUM(G_AGO_2016,GASTO,G_ALMVG)</f>
        <v>0</v>
      </c>
      <c r="BA18" s="190">
        <f>DSUM(G_SEP_2016,GASTO,G_ALMVG)</f>
        <v>580</v>
      </c>
      <c r="BB18" s="190">
        <f>DSUM(G_OCT_2016,GASTO,G_ALMVG)</f>
        <v>857</v>
      </c>
      <c r="BC18" s="190">
        <f>DSUM(G_NOV_2016,GASTO,G_ALMVG)</f>
        <v>0</v>
      </c>
      <c r="BD18" s="190">
        <f>DSUM(G_DIC_2016,GASTO,G_ALMVG)</f>
        <v>6813</v>
      </c>
    </row>
    <row r="19" spans="1:56" x14ac:dyDescent="0.2">
      <c r="A19" s="286" t="s">
        <v>1884</v>
      </c>
      <c r="B19" s="286"/>
      <c r="C19" s="219" t="s">
        <v>1885</v>
      </c>
      <c r="D19" s="220"/>
      <c r="E19" s="190">
        <v>502.76</v>
      </c>
      <c r="F19" s="190">
        <v>0</v>
      </c>
      <c r="G19" s="190">
        <v>0</v>
      </c>
      <c r="H19" s="190">
        <v>0</v>
      </c>
      <c r="I19" s="190">
        <v>0</v>
      </c>
      <c r="J19" s="190">
        <v>0</v>
      </c>
      <c r="K19" s="190">
        <v>137.84</v>
      </c>
      <c r="L19" s="190">
        <v>151.63999999999999</v>
      </c>
      <c r="M19" s="190">
        <v>213.28</v>
      </c>
      <c r="N19" s="190">
        <v>0</v>
      </c>
      <c r="O19" s="190">
        <v>0</v>
      </c>
      <c r="P19" s="190">
        <v>0</v>
      </c>
      <c r="Q19" s="190">
        <v>0</v>
      </c>
      <c r="R19" s="190">
        <v>4453.2299999999996</v>
      </c>
      <c r="S19" s="190">
        <v>465.06000000000006</v>
      </c>
      <c r="T19" s="190">
        <v>253.7</v>
      </c>
      <c r="U19" s="190">
        <v>452.11</v>
      </c>
      <c r="V19" s="190">
        <v>139.69999999999999</v>
      </c>
      <c r="W19" s="190">
        <v>196.2</v>
      </c>
      <c r="X19" s="190">
        <v>418.1</v>
      </c>
      <c r="Y19" s="190">
        <v>438.4</v>
      </c>
      <c r="Z19" s="190">
        <v>679.23</v>
      </c>
      <c r="AA19" s="190">
        <v>206.5</v>
      </c>
      <c r="AB19" s="190">
        <v>144.75</v>
      </c>
      <c r="AC19" s="190">
        <v>727.07999999999993</v>
      </c>
      <c r="AD19" s="190">
        <v>332.4</v>
      </c>
      <c r="AE19" s="190">
        <v>3320.3900000000003</v>
      </c>
      <c r="AF19" s="190">
        <v>378.6</v>
      </c>
      <c r="AG19" s="190">
        <v>0</v>
      </c>
      <c r="AH19" s="190">
        <v>0</v>
      </c>
      <c r="AI19" s="190">
        <v>0</v>
      </c>
      <c r="AJ19" s="190">
        <v>494.8</v>
      </c>
      <c r="AK19" s="190">
        <v>409.7</v>
      </c>
      <c r="AL19" s="190">
        <v>435.99</v>
      </c>
      <c r="AM19" s="190">
        <v>449.56</v>
      </c>
      <c r="AN19" s="190">
        <v>517.28</v>
      </c>
      <c r="AO19" s="190">
        <v>163.44999999999999</v>
      </c>
      <c r="AP19" s="190">
        <v>231</v>
      </c>
      <c r="AQ19" s="190">
        <v>240.01</v>
      </c>
      <c r="AR19" s="190">
        <f t="shared" si="5"/>
        <v>4961.5399999999991</v>
      </c>
      <c r="AS19" s="190">
        <f>DSUM(G_ENE_2016,GASTO,G_MTLPZ)</f>
        <v>248.43</v>
      </c>
      <c r="AT19" s="190">
        <f>DSUM(G_FEB_2016,GASTO,G_MTLPZ)</f>
        <v>729.32999999999993</v>
      </c>
      <c r="AU19" s="190">
        <f>DSUM(G_MAR_2016,GASTO,G_MTLPZ)</f>
        <v>296.31</v>
      </c>
      <c r="AV19" s="190">
        <f>DSUM(G_ABR_2016,GASTO,G_MTLPZ)</f>
        <v>435.18</v>
      </c>
      <c r="AW19" s="190">
        <f>DSUM(G_MAY_2016,GASTO,G_MTLPZ)</f>
        <v>366</v>
      </c>
      <c r="AX19" s="190">
        <f>DSUM(G_JUN_2016,GASTO,G_MTLPZ)</f>
        <v>220.39000000000001</v>
      </c>
      <c r="AY19" s="190">
        <f>DSUM(G_JUL_2016,GASTO,G_MTLPZ)</f>
        <v>453.93</v>
      </c>
      <c r="AZ19" s="190">
        <f>DSUM(G_AGO_2016,GASTO,G_MTLPZ)</f>
        <v>363.03</v>
      </c>
      <c r="BA19" s="190">
        <f>DSUM(G_SEP_2016,GASTO,G_MTLPZ)</f>
        <v>301.47000000000003</v>
      </c>
      <c r="BB19" s="190">
        <f>DSUM(G_OCT_2016,GASTO,G_MTLPZ)</f>
        <v>620.9</v>
      </c>
      <c r="BC19" s="190">
        <f>DSUM(G_NOV_2016,GASTO,G_MTLPZ)</f>
        <v>480</v>
      </c>
      <c r="BD19" s="190">
        <f>DSUM(G_DIC_2016,GASTO,G_MTLPZ)</f>
        <v>446.57</v>
      </c>
    </row>
    <row r="20" spans="1:56" x14ac:dyDescent="0.2">
      <c r="A20" s="286" t="s">
        <v>1878</v>
      </c>
      <c r="B20" s="286"/>
      <c r="C20" s="219" t="s">
        <v>2916</v>
      </c>
      <c r="D20" s="220"/>
      <c r="E20" s="190">
        <v>3061.55</v>
      </c>
      <c r="F20" s="190">
        <v>0</v>
      </c>
      <c r="G20" s="190">
        <v>0</v>
      </c>
      <c r="H20" s="190">
        <v>0</v>
      </c>
      <c r="I20" s="190">
        <v>1088</v>
      </c>
      <c r="J20" s="190">
        <v>0</v>
      </c>
      <c r="K20" s="190">
        <v>0</v>
      </c>
      <c r="L20" s="190">
        <v>864.55</v>
      </c>
      <c r="M20" s="190">
        <v>0</v>
      </c>
      <c r="N20" s="190">
        <v>171</v>
      </c>
      <c r="O20" s="190">
        <v>286</v>
      </c>
      <c r="P20" s="190">
        <v>0</v>
      </c>
      <c r="Q20" s="190">
        <v>652</v>
      </c>
      <c r="R20" s="190">
        <v>0</v>
      </c>
      <c r="S20" s="190">
        <v>0</v>
      </c>
      <c r="T20" s="190">
        <v>0</v>
      </c>
      <c r="U20" s="190">
        <v>0</v>
      </c>
      <c r="V20" s="190">
        <v>0</v>
      </c>
      <c r="W20" s="190">
        <v>0</v>
      </c>
      <c r="X20" s="190">
        <v>0</v>
      </c>
      <c r="Y20" s="190">
        <v>0</v>
      </c>
      <c r="Z20" s="190">
        <v>0</v>
      </c>
      <c r="AA20" s="190">
        <v>0</v>
      </c>
      <c r="AB20" s="190">
        <v>0</v>
      </c>
      <c r="AC20" s="190">
        <v>0</v>
      </c>
      <c r="AD20" s="190">
        <v>0</v>
      </c>
      <c r="AE20" s="190">
        <v>707</v>
      </c>
      <c r="AF20" s="190">
        <v>0</v>
      </c>
      <c r="AG20" s="190">
        <v>0</v>
      </c>
      <c r="AH20" s="190">
        <v>0</v>
      </c>
      <c r="AI20" s="190">
        <v>0</v>
      </c>
      <c r="AJ20" s="190">
        <v>0</v>
      </c>
      <c r="AK20" s="190">
        <v>0</v>
      </c>
      <c r="AL20" s="190">
        <v>0</v>
      </c>
      <c r="AM20" s="190">
        <v>400</v>
      </c>
      <c r="AN20" s="190">
        <v>0</v>
      </c>
      <c r="AO20" s="190">
        <v>0</v>
      </c>
      <c r="AP20" s="190">
        <v>0</v>
      </c>
      <c r="AQ20" s="190">
        <v>307</v>
      </c>
      <c r="AR20" s="190">
        <f t="shared" si="5"/>
        <v>400</v>
      </c>
      <c r="AS20" s="190">
        <f>DSUM(G_ENE_2016,GASTO,G_MDC)</f>
        <v>0</v>
      </c>
      <c r="AT20" s="190">
        <f>DSUM(G_FEB_2016,GASTO,G_MDC)</f>
        <v>0</v>
      </c>
      <c r="AU20" s="190">
        <f>DSUM(G_MAR_2016,GASTO,G_MDC)</f>
        <v>0</v>
      </c>
      <c r="AV20" s="190">
        <f>DSUM(G_ABR_2016,GASTO,G_MDC)</f>
        <v>0</v>
      </c>
      <c r="AW20" s="190">
        <f>DSUM(G_MAY_2016,GASTO,G_MDC)</f>
        <v>0</v>
      </c>
      <c r="AX20" s="190">
        <f>DSUM(G_JUN_2016,GASTO,G_MDC)</f>
        <v>0</v>
      </c>
      <c r="AY20" s="190">
        <f>DSUM(G_JUL_2016,GASTO,G_MDC)</f>
        <v>0</v>
      </c>
      <c r="AZ20" s="190">
        <f>DSUM(G_AGO_2016,GASTO,G_MDC)</f>
        <v>0</v>
      </c>
      <c r="BA20" s="190">
        <f>DSUM(G_SEP_2016,GASTO,G_MDC)</f>
        <v>0</v>
      </c>
      <c r="BB20" s="190">
        <f>DSUM(G_OCT_2016,GASTO,G_MDC)</f>
        <v>0</v>
      </c>
      <c r="BC20" s="190">
        <f>DSUM(G_NOV_2016,GASTO,G_MDC)</f>
        <v>0</v>
      </c>
      <c r="BD20" s="190">
        <f>DSUM(G_DIC_2016,GASTO,G_MDC)</f>
        <v>400</v>
      </c>
    </row>
    <row r="21" spans="1:56" x14ac:dyDescent="0.2">
      <c r="A21" s="286" t="s">
        <v>1880</v>
      </c>
      <c r="B21" s="286"/>
      <c r="C21" s="219" t="s">
        <v>1889</v>
      </c>
      <c r="D21" s="220"/>
      <c r="E21" s="190">
        <v>1574.56</v>
      </c>
      <c r="F21" s="190">
        <v>0</v>
      </c>
      <c r="G21" s="190">
        <v>0</v>
      </c>
      <c r="H21" s="190">
        <v>0</v>
      </c>
      <c r="I21" s="190">
        <v>0</v>
      </c>
      <c r="J21" s="190">
        <v>762.92000000000007</v>
      </c>
      <c r="K21" s="190">
        <v>0</v>
      </c>
      <c r="L21" s="190">
        <v>323.26</v>
      </c>
      <c r="M21" s="190">
        <v>0</v>
      </c>
      <c r="N21" s="190">
        <v>285.86</v>
      </c>
      <c r="O21" s="190">
        <v>202.52</v>
      </c>
      <c r="P21" s="190">
        <v>0</v>
      </c>
      <c r="Q21" s="190">
        <v>0</v>
      </c>
      <c r="R21" s="190">
        <v>2758.62</v>
      </c>
      <c r="S21" s="190">
        <v>0</v>
      </c>
      <c r="T21" s="190">
        <v>0</v>
      </c>
      <c r="U21" s="190">
        <v>2758.62</v>
      </c>
      <c r="V21" s="190">
        <v>0</v>
      </c>
      <c r="W21" s="190">
        <v>0</v>
      </c>
      <c r="X21" s="190">
        <v>0</v>
      </c>
      <c r="Y21" s="190">
        <v>0</v>
      </c>
      <c r="Z21" s="190">
        <v>0</v>
      </c>
      <c r="AA21" s="190">
        <v>0</v>
      </c>
      <c r="AB21" s="190">
        <v>0</v>
      </c>
      <c r="AC21" s="190">
        <v>0</v>
      </c>
      <c r="AD21" s="190">
        <v>0</v>
      </c>
      <c r="AE21" s="190">
        <v>1705</v>
      </c>
      <c r="AF21" s="190">
        <v>180</v>
      </c>
      <c r="AG21" s="190">
        <v>0</v>
      </c>
      <c r="AH21" s="190">
        <v>765</v>
      </c>
      <c r="AI21" s="190">
        <v>0</v>
      </c>
      <c r="AJ21" s="190">
        <v>0</v>
      </c>
      <c r="AK21" s="190">
        <v>280</v>
      </c>
      <c r="AL21" s="190">
        <v>0</v>
      </c>
      <c r="AM21" s="190">
        <v>0</v>
      </c>
      <c r="AN21" s="190">
        <v>0</v>
      </c>
      <c r="AO21" s="190">
        <v>480</v>
      </c>
      <c r="AP21" s="190">
        <v>0</v>
      </c>
      <c r="AQ21" s="190">
        <v>0</v>
      </c>
      <c r="AR21" s="190">
        <f t="shared" si="5"/>
        <v>5576</v>
      </c>
      <c r="AS21" s="190">
        <f>DSUM(G_ENE_2016,GASTO,G_TRSP)</f>
        <v>1120</v>
      </c>
      <c r="AT21" s="190">
        <f>DSUM(G_FEB_2016,GASTO,G_TRSP)</f>
        <v>0</v>
      </c>
      <c r="AU21" s="190">
        <f>DSUM(G_MAR_2016,GASTO,G_TRSP)</f>
        <v>0</v>
      </c>
      <c r="AV21" s="190">
        <f>DSUM(G_ABR_2016,GASTO,G_TRSP)</f>
        <v>511</v>
      </c>
      <c r="AW21" s="190">
        <f>DSUM(G_MAY_2016,GASTO,G_TRSP)</f>
        <v>0</v>
      </c>
      <c r="AX21" s="190">
        <f>DSUM(G_JUN_2016,GASTO,G_TRSP)</f>
        <v>0</v>
      </c>
      <c r="AY21" s="190">
        <f>DSUM(G_JUL_2016,GASTO,G_TRSP)</f>
        <v>0</v>
      </c>
      <c r="AZ21" s="190">
        <f>DSUM(G_AGO_2016,GASTO,G_TRSP)</f>
        <v>100</v>
      </c>
      <c r="BA21" s="190">
        <f>DSUM(G_SEP_2016,GASTO,G_TRSP)</f>
        <v>275</v>
      </c>
      <c r="BB21" s="190">
        <f>DSUM(G_OCT_2016,GASTO,G_TRSP)</f>
        <v>360</v>
      </c>
      <c r="BC21" s="190">
        <f>DSUM(G_NOV_2016,GASTO,G_TRSP)</f>
        <v>3020</v>
      </c>
      <c r="BD21" s="190">
        <f>DSUM(G_DIC_2016,GASTO,G_TRSP)</f>
        <v>190</v>
      </c>
    </row>
    <row r="22" spans="1:56" x14ac:dyDescent="0.2">
      <c r="A22" s="286" t="s">
        <v>1877</v>
      </c>
      <c r="B22" s="286"/>
      <c r="C22" s="221" t="s">
        <v>2917</v>
      </c>
      <c r="D22" s="222"/>
      <c r="E22" s="223">
        <v>6984.62</v>
      </c>
      <c r="F22" s="223">
        <v>0</v>
      </c>
      <c r="G22" s="223">
        <v>0</v>
      </c>
      <c r="H22" s="223">
        <v>1582.5</v>
      </c>
      <c r="I22" s="223">
        <v>0</v>
      </c>
      <c r="J22" s="223">
        <v>0</v>
      </c>
      <c r="K22" s="223">
        <v>0</v>
      </c>
      <c r="L22" s="223">
        <v>2010.12</v>
      </c>
      <c r="M22" s="223">
        <v>470</v>
      </c>
      <c r="N22" s="223">
        <v>940</v>
      </c>
      <c r="O22" s="223">
        <v>1982</v>
      </c>
      <c r="P22" s="223">
        <v>0</v>
      </c>
      <c r="Q22" s="223">
        <v>0</v>
      </c>
      <c r="R22" s="223">
        <v>0</v>
      </c>
      <c r="S22" s="223">
        <v>0</v>
      </c>
      <c r="T22" s="223">
        <v>0</v>
      </c>
      <c r="U22" s="223">
        <v>0</v>
      </c>
      <c r="V22" s="223">
        <v>0</v>
      </c>
      <c r="W22" s="223">
        <v>0</v>
      </c>
      <c r="X22" s="223">
        <v>0</v>
      </c>
      <c r="Y22" s="223">
        <v>0</v>
      </c>
      <c r="Z22" s="223">
        <v>0</v>
      </c>
      <c r="AA22" s="223">
        <v>0</v>
      </c>
      <c r="AB22" s="223">
        <v>0</v>
      </c>
      <c r="AC22" s="223">
        <v>0</v>
      </c>
      <c r="AD22" s="223">
        <v>0</v>
      </c>
      <c r="AE22" s="223">
        <v>0</v>
      </c>
      <c r="AF22" s="223">
        <v>0</v>
      </c>
      <c r="AG22" s="223">
        <v>0</v>
      </c>
      <c r="AH22" s="223">
        <v>0</v>
      </c>
      <c r="AI22" s="223">
        <v>0</v>
      </c>
      <c r="AJ22" s="223">
        <v>0</v>
      </c>
      <c r="AK22" s="223">
        <v>0</v>
      </c>
      <c r="AL22" s="223">
        <v>0</v>
      </c>
      <c r="AM22" s="223">
        <v>0</v>
      </c>
      <c r="AN22" s="223">
        <v>0</v>
      </c>
      <c r="AO22" s="223">
        <v>0</v>
      </c>
      <c r="AP22" s="223">
        <v>0</v>
      </c>
      <c r="AQ22" s="223">
        <v>0</v>
      </c>
      <c r="AR22" s="223">
        <f t="shared" si="5"/>
        <v>0</v>
      </c>
      <c r="AS22" s="223">
        <f>DSUM(G_ENE_2016,GASTO,G_UNF)</f>
        <v>0</v>
      </c>
      <c r="AT22" s="223">
        <f>DSUM(G_FEB_2016,GASTO,G_UNF)</f>
        <v>0</v>
      </c>
      <c r="AU22" s="223">
        <f>DSUM(G_MAR_2016,GASTO,G_UNF)</f>
        <v>0</v>
      </c>
      <c r="AV22" s="223">
        <f>DSUM(G_ABR_2016,GASTO,G_UNF)</f>
        <v>0</v>
      </c>
      <c r="AW22" s="223">
        <f>DSUM(G_MAY_2016,GASTO,G_UNF)</f>
        <v>0</v>
      </c>
      <c r="AX22" s="223">
        <f>DSUM(G_JUN_2016,GASTO,G_UNF)</f>
        <v>0</v>
      </c>
      <c r="AY22" s="223">
        <f>DSUM(G_JUL_2016,GASTO,G_UNF)</f>
        <v>0</v>
      </c>
      <c r="AZ22" s="223">
        <f>DSUM(G_AGO_2016,GASTO,G_UNF)</f>
        <v>0</v>
      </c>
      <c r="BA22" s="223">
        <f>DSUM(G_SEP_2016,GASTO,G_UNF)</f>
        <v>0</v>
      </c>
      <c r="BB22" s="223">
        <f>DSUM(G_OCT_2016,GASTO,G_UNF)</f>
        <v>0</v>
      </c>
      <c r="BC22" s="223">
        <f>DSUM(G_NOV_2016,GASTO,G_UNF)</f>
        <v>0</v>
      </c>
      <c r="BD22" s="223">
        <f>DSUM(G_DIC_2016,GASTO,G_UNF)</f>
        <v>0</v>
      </c>
    </row>
    <row r="23" spans="1:56" x14ac:dyDescent="0.2">
      <c r="A23" s="286"/>
      <c r="B23" s="286"/>
      <c r="C23" s="224" t="s">
        <v>2918</v>
      </c>
      <c r="D23" s="214"/>
      <c r="E23" s="211">
        <v>130579.11</v>
      </c>
      <c r="F23" s="211">
        <v>42712</v>
      </c>
      <c r="G23" s="211">
        <v>21000</v>
      </c>
      <c r="H23" s="211">
        <v>4950</v>
      </c>
      <c r="I23" s="211">
        <v>2400</v>
      </c>
      <c r="J23" s="211">
        <v>22400</v>
      </c>
      <c r="K23" s="211">
        <v>13800</v>
      </c>
      <c r="L23" s="211">
        <v>2540.52</v>
      </c>
      <c r="M23" s="211">
        <v>783.63</v>
      </c>
      <c r="N23" s="211">
        <v>949.96</v>
      </c>
      <c r="O23" s="211">
        <v>6600</v>
      </c>
      <c r="P23" s="211">
        <v>0</v>
      </c>
      <c r="Q23" s="225">
        <v>12443</v>
      </c>
      <c r="R23" s="213">
        <v>97482.49</v>
      </c>
      <c r="S23" s="214">
        <v>6000</v>
      </c>
      <c r="T23" s="214">
        <v>0</v>
      </c>
      <c r="U23" s="214">
        <v>3600</v>
      </c>
      <c r="V23" s="214">
        <v>5830</v>
      </c>
      <c r="W23" s="214">
        <v>1850</v>
      </c>
      <c r="X23" s="212">
        <v>4141.75</v>
      </c>
      <c r="Y23" s="212">
        <v>21993.57</v>
      </c>
      <c r="Z23" s="212">
        <v>7186.11</v>
      </c>
      <c r="AA23" s="212">
        <v>6852.78</v>
      </c>
      <c r="AB23" s="212">
        <v>16613.11</v>
      </c>
      <c r="AC23" s="212">
        <v>7915.17</v>
      </c>
      <c r="AD23" s="212">
        <v>15500</v>
      </c>
      <c r="AE23" s="213">
        <v>95387.939999999988</v>
      </c>
      <c r="AF23" s="214">
        <v>0</v>
      </c>
      <c r="AG23" s="214">
        <v>20700</v>
      </c>
      <c r="AH23" s="214">
        <v>15343.98</v>
      </c>
      <c r="AI23" s="214">
        <v>8100</v>
      </c>
      <c r="AJ23" s="214">
        <v>5500</v>
      </c>
      <c r="AK23" s="214">
        <v>8822.67</v>
      </c>
      <c r="AL23" s="214">
        <v>6697.24</v>
      </c>
      <c r="AM23" s="214">
        <v>3320</v>
      </c>
      <c r="AN23" s="214">
        <v>10393.709999999999</v>
      </c>
      <c r="AO23" s="214">
        <v>7789.92</v>
      </c>
      <c r="AP23" s="214">
        <v>3830.42</v>
      </c>
      <c r="AQ23" s="214">
        <v>4890</v>
      </c>
      <c r="AR23" s="213">
        <f t="shared" ref="AR23:AZ23" si="6">SUM(AR24:AR27)</f>
        <v>101822.571</v>
      </c>
      <c r="AS23" s="214">
        <f t="shared" si="6"/>
        <v>13295</v>
      </c>
      <c r="AT23" s="214">
        <f t="shared" si="6"/>
        <v>7760</v>
      </c>
      <c r="AU23" s="214">
        <f t="shared" si="6"/>
        <v>9611.2099999999991</v>
      </c>
      <c r="AV23" s="214">
        <f t="shared" si="6"/>
        <v>2065.5209999999997</v>
      </c>
      <c r="AW23" s="214">
        <f t="shared" si="6"/>
        <v>9820</v>
      </c>
      <c r="AX23" s="214">
        <f t="shared" si="6"/>
        <v>14371.07</v>
      </c>
      <c r="AY23" s="214">
        <f t="shared" si="6"/>
        <v>13326.97</v>
      </c>
      <c r="AZ23" s="214">
        <f t="shared" si="6"/>
        <v>9992.7999999999993</v>
      </c>
      <c r="BA23" s="214">
        <f>SUM(BA24:BA27)</f>
        <v>7430</v>
      </c>
      <c r="BB23" s="214">
        <f>SUM(BB24:BB27)</f>
        <v>0</v>
      </c>
      <c r="BC23" s="214">
        <f>SUM(BC24:BC27)</f>
        <v>5650</v>
      </c>
      <c r="BD23" s="214">
        <f>SUM(BD24:BD27)</f>
        <v>8500</v>
      </c>
    </row>
    <row r="24" spans="1:56" x14ac:dyDescent="0.2">
      <c r="A24" s="286" t="s">
        <v>1871</v>
      </c>
      <c r="B24" s="286"/>
      <c r="C24" s="226" t="s">
        <v>2919</v>
      </c>
      <c r="D24" s="216"/>
      <c r="E24" s="216">
        <v>102381.75</v>
      </c>
      <c r="F24" s="217">
        <v>35000</v>
      </c>
      <c r="G24" s="217">
        <v>21000</v>
      </c>
      <c r="H24" s="217">
        <v>0</v>
      </c>
      <c r="I24" s="217">
        <v>0</v>
      </c>
      <c r="J24" s="217">
        <v>20000</v>
      </c>
      <c r="K24" s="217">
        <v>12000</v>
      </c>
      <c r="L24" s="217">
        <v>1200</v>
      </c>
      <c r="M24" s="217">
        <v>0</v>
      </c>
      <c r="N24" s="217">
        <v>738.75</v>
      </c>
      <c r="O24" s="217">
        <v>0</v>
      </c>
      <c r="P24" s="217">
        <v>0</v>
      </c>
      <c r="Q24" s="217">
        <v>12443</v>
      </c>
      <c r="R24" s="216">
        <v>55293.67</v>
      </c>
      <c r="S24" s="217">
        <v>0</v>
      </c>
      <c r="T24" s="217">
        <v>0</v>
      </c>
      <c r="U24" s="217">
        <v>0</v>
      </c>
      <c r="V24" s="217">
        <v>0</v>
      </c>
      <c r="W24" s="217">
        <v>1350</v>
      </c>
      <c r="X24" s="217">
        <v>3441.75</v>
      </c>
      <c r="Y24" s="217">
        <v>17064.25</v>
      </c>
      <c r="Z24" s="217">
        <v>7186.11</v>
      </c>
      <c r="AA24" s="217">
        <v>1723.28</v>
      </c>
      <c r="AB24" s="217">
        <v>11613.11</v>
      </c>
      <c r="AC24" s="217">
        <v>7915.17</v>
      </c>
      <c r="AD24" s="217">
        <v>5000</v>
      </c>
      <c r="AE24" s="216">
        <v>59014.039999999994</v>
      </c>
      <c r="AF24" s="217">
        <v>0</v>
      </c>
      <c r="AG24" s="217">
        <v>15200</v>
      </c>
      <c r="AH24" s="217">
        <v>13700</v>
      </c>
      <c r="AI24" s="217">
        <v>2600</v>
      </c>
      <c r="AJ24" s="217">
        <v>0</v>
      </c>
      <c r="AK24" s="217">
        <v>3822.67</v>
      </c>
      <c r="AL24" s="217">
        <v>6697.24</v>
      </c>
      <c r="AM24" s="217">
        <v>3320</v>
      </c>
      <c r="AN24" s="217">
        <v>4893.71</v>
      </c>
      <c r="AO24" s="217">
        <v>1000</v>
      </c>
      <c r="AP24" s="217">
        <v>3830.42</v>
      </c>
      <c r="AQ24" s="217">
        <v>3950</v>
      </c>
      <c r="AR24" s="216">
        <f>SUM(AS24:BD24)</f>
        <v>45428.120999999999</v>
      </c>
      <c r="AS24" s="217">
        <f>DSUM(G_ENE_2016,GASTO,G_INFRA)</f>
        <v>8220</v>
      </c>
      <c r="AT24" s="217">
        <f>DSUM(G_FEB_2016,GASTO,G_INFRA)</f>
        <v>560</v>
      </c>
      <c r="AU24" s="217">
        <f>DSUM(G_MAR_2016,GASTO,G_INFRA)</f>
        <v>8911.2099999999991</v>
      </c>
      <c r="AV24" s="217">
        <f>DSUM(G_ABR_2016,GASTO,G_INFRA)</f>
        <v>1265.521</v>
      </c>
      <c r="AW24" s="217">
        <f>DSUM(G_MAY_2016,GASTO,G_INFRA)</f>
        <v>1100</v>
      </c>
      <c r="AX24" s="217">
        <f>DSUM(G_JUN_2016,GASTO,G_INFRA)</f>
        <v>10761.07</v>
      </c>
      <c r="AY24" s="217">
        <f>DSUM(G_JUL_2016,GASTO,G_INFRA)</f>
        <v>8710.32</v>
      </c>
      <c r="AZ24" s="217">
        <f>DSUM(G_AGO_2016,GASTO,G_INFRA)</f>
        <v>500</v>
      </c>
      <c r="BA24" s="217">
        <f>DSUM(G_SEP_2016,GASTO,G_INFRA)</f>
        <v>800</v>
      </c>
      <c r="BB24" s="217">
        <f>DSUM(G_OCT_2016,GASTO,G_INFRA)</f>
        <v>0</v>
      </c>
      <c r="BC24" s="217">
        <f>DSUM(G_NOV_2016,GASTO,G_INFRA)</f>
        <v>1850</v>
      </c>
      <c r="BD24" s="217">
        <f>DSUM(G_DIC_2016,GASTO,G_INFRA)</f>
        <v>2750</v>
      </c>
    </row>
    <row r="25" spans="1:56" x14ac:dyDescent="0.2">
      <c r="A25" s="286" t="s">
        <v>1888</v>
      </c>
      <c r="B25" s="286"/>
      <c r="C25" s="219" t="s">
        <v>2920</v>
      </c>
      <c r="D25" s="220"/>
      <c r="E25" s="220">
        <v>1640.52</v>
      </c>
      <c r="F25" s="190">
        <v>0</v>
      </c>
      <c r="G25" s="190">
        <v>0</v>
      </c>
      <c r="H25" s="190">
        <v>0</v>
      </c>
      <c r="I25" s="190">
        <v>0</v>
      </c>
      <c r="J25" s="190">
        <v>0</v>
      </c>
      <c r="K25" s="190">
        <v>0</v>
      </c>
      <c r="L25" s="190">
        <v>240.51999999999998</v>
      </c>
      <c r="M25" s="190">
        <v>0</v>
      </c>
      <c r="N25" s="190">
        <v>0</v>
      </c>
      <c r="O25" s="190">
        <v>1400</v>
      </c>
      <c r="P25" s="190">
        <v>0</v>
      </c>
      <c r="Q25" s="190">
        <v>0</v>
      </c>
      <c r="R25" s="220">
        <v>1159.5</v>
      </c>
      <c r="S25" s="190">
        <v>0</v>
      </c>
      <c r="T25" s="190">
        <v>0</v>
      </c>
      <c r="U25" s="190">
        <v>0</v>
      </c>
      <c r="V25" s="190">
        <v>330</v>
      </c>
      <c r="W25" s="190">
        <v>0</v>
      </c>
      <c r="X25" s="190">
        <v>700</v>
      </c>
      <c r="Y25" s="190">
        <v>0</v>
      </c>
      <c r="Z25" s="190">
        <v>0</v>
      </c>
      <c r="AA25" s="190">
        <v>129.5</v>
      </c>
      <c r="AB25" s="190">
        <v>0</v>
      </c>
      <c r="AC25" s="190">
        <v>0</v>
      </c>
      <c r="AD25" s="190">
        <v>0</v>
      </c>
      <c r="AE25" s="220">
        <v>940</v>
      </c>
      <c r="AF25" s="190">
        <v>0</v>
      </c>
      <c r="AG25" s="190">
        <v>0</v>
      </c>
      <c r="AH25" s="190">
        <v>0</v>
      </c>
      <c r="AI25" s="190">
        <v>0</v>
      </c>
      <c r="AJ25" s="190">
        <v>0</v>
      </c>
      <c r="AK25" s="190">
        <v>0</v>
      </c>
      <c r="AL25" s="190">
        <v>0</v>
      </c>
      <c r="AM25" s="190">
        <v>0</v>
      </c>
      <c r="AN25" s="190">
        <v>0</v>
      </c>
      <c r="AO25" s="190">
        <v>0</v>
      </c>
      <c r="AP25" s="190">
        <v>0</v>
      </c>
      <c r="AQ25" s="190">
        <v>940</v>
      </c>
      <c r="AR25" s="220">
        <f>SUM(AS25:BD25)</f>
        <v>14350</v>
      </c>
      <c r="AS25" s="190">
        <f>DSUM(G_ENE_2016,GASTO,G_USB)</f>
        <v>1700</v>
      </c>
      <c r="AT25" s="190">
        <f>DSUM(G_FEB_2016,GASTO,G_USB)</f>
        <v>1950</v>
      </c>
      <c r="AU25" s="190">
        <f>DSUM(G_MAR_2016,GASTO,G_USB)</f>
        <v>700</v>
      </c>
      <c r="AV25" s="190">
        <f>DSUM(G_ABR_2016,GASTO,G_USB)</f>
        <v>800</v>
      </c>
      <c r="AW25" s="190">
        <f>DSUM(G_MAY_2016,GASTO,G_USB)</f>
        <v>1850</v>
      </c>
      <c r="AX25" s="190">
        <f>DSUM(G_JUN_2016,GASTO,G_USB)</f>
        <v>0</v>
      </c>
      <c r="AY25" s="190">
        <f>DSUM(G_JUL_2016,GASTO,G_USB)</f>
        <v>350</v>
      </c>
      <c r="AZ25" s="190">
        <f>DSUM(G_AGO_2016,GASTO,G_USB)</f>
        <v>1900</v>
      </c>
      <c r="BA25" s="190">
        <f>DSUM(G_SEP_2016,GASTO,G_USB)</f>
        <v>2900</v>
      </c>
      <c r="BB25" s="334">
        <f>DSUM(G_OCT_2016,GASTO,G_USB)</f>
        <v>0</v>
      </c>
      <c r="BC25" s="334">
        <f>DSUM(G_NOV_2016,GASTO,G_USB)</f>
        <v>350</v>
      </c>
      <c r="BD25" s="334">
        <f>DSUM(G_DIC_2016,GASTO,G_USB)</f>
        <v>1850</v>
      </c>
    </row>
    <row r="26" spans="1:56" x14ac:dyDescent="0.2">
      <c r="A26" s="286" t="s">
        <v>1830</v>
      </c>
      <c r="B26" s="286"/>
      <c r="C26" s="219" t="s">
        <v>2921</v>
      </c>
      <c r="D26" s="220"/>
      <c r="E26" s="220">
        <v>25712</v>
      </c>
      <c r="F26" s="190">
        <v>7712</v>
      </c>
      <c r="G26" s="190">
        <v>0</v>
      </c>
      <c r="H26" s="190">
        <v>4950</v>
      </c>
      <c r="I26" s="190">
        <v>2400</v>
      </c>
      <c r="J26" s="190">
        <v>2400</v>
      </c>
      <c r="K26" s="190">
        <v>1800</v>
      </c>
      <c r="L26" s="190">
        <v>1100</v>
      </c>
      <c r="M26" s="190">
        <v>150</v>
      </c>
      <c r="N26" s="190">
        <v>0</v>
      </c>
      <c r="O26" s="190">
        <v>5200</v>
      </c>
      <c r="P26" s="190">
        <v>0</v>
      </c>
      <c r="Q26" s="190">
        <v>0</v>
      </c>
      <c r="R26" s="220">
        <v>40600</v>
      </c>
      <c r="S26" s="190">
        <v>6000</v>
      </c>
      <c r="T26" s="190">
        <v>0</v>
      </c>
      <c r="U26" s="190">
        <v>3600</v>
      </c>
      <c r="V26" s="190">
        <v>5500</v>
      </c>
      <c r="W26" s="190">
        <v>500</v>
      </c>
      <c r="X26" s="190">
        <v>0</v>
      </c>
      <c r="Y26" s="190">
        <v>4500</v>
      </c>
      <c r="Z26" s="190">
        <v>0</v>
      </c>
      <c r="AA26" s="190">
        <v>5000</v>
      </c>
      <c r="AB26" s="190">
        <v>5000</v>
      </c>
      <c r="AC26" s="190">
        <v>0</v>
      </c>
      <c r="AD26" s="190">
        <v>10500</v>
      </c>
      <c r="AE26" s="220">
        <v>33212</v>
      </c>
      <c r="AF26" s="190">
        <v>0</v>
      </c>
      <c r="AG26" s="190">
        <v>5500</v>
      </c>
      <c r="AH26" s="190">
        <v>1000</v>
      </c>
      <c r="AI26" s="190">
        <v>5500</v>
      </c>
      <c r="AJ26" s="190">
        <v>5500</v>
      </c>
      <c r="AK26" s="190">
        <v>5000</v>
      </c>
      <c r="AL26" s="190">
        <v>0</v>
      </c>
      <c r="AM26" s="190">
        <v>0</v>
      </c>
      <c r="AN26" s="190">
        <v>5500</v>
      </c>
      <c r="AO26" s="190">
        <v>5212</v>
      </c>
      <c r="AP26" s="190">
        <v>0</v>
      </c>
      <c r="AQ26" s="190">
        <v>0</v>
      </c>
      <c r="AR26" s="220">
        <f>SUM(AS26:BD26)</f>
        <v>40230.800000000003</v>
      </c>
      <c r="AS26" s="190">
        <f>DSUM(G_ENE_2016,GASTO,G_ADQ)</f>
        <v>3375</v>
      </c>
      <c r="AT26" s="190">
        <f>DSUM(G_FEB_2016,GASTO,G_ADQ)</f>
        <v>5250</v>
      </c>
      <c r="AU26" s="190">
        <f>DSUM(G_MAR_2016,GASTO,G_ADQ)</f>
        <v>0</v>
      </c>
      <c r="AV26" s="190">
        <f>DSUM(G_ABR_2016,GASTO,G_ADQ)</f>
        <v>0</v>
      </c>
      <c r="AW26" s="190">
        <f>DSUM(G_MAY_2016,GASTO,G_ADQ)</f>
        <v>6450</v>
      </c>
      <c r="AX26" s="190">
        <f>DSUM(G_JUN_2016,GASTO,G_ADQ)</f>
        <v>3000</v>
      </c>
      <c r="AY26" s="190">
        <f>DSUM(G_JUL_2016,GASTO,G_ADQ)</f>
        <v>3900</v>
      </c>
      <c r="AZ26" s="190">
        <f>DSUM(G_AGO_2016,GASTO,G_ADQ)</f>
        <v>7475.8</v>
      </c>
      <c r="BA26" s="190">
        <f>DSUM(G_SEP_2016,GASTO,G_ADQ)</f>
        <v>3730</v>
      </c>
      <c r="BB26" s="190">
        <f>DSUM(G_OCT_2016,GASTO,G_ADQ)</f>
        <v>0</v>
      </c>
      <c r="BC26" s="190">
        <f>DSUM(G_NOV_2016,GASTO,G_ADQ)</f>
        <v>3150</v>
      </c>
      <c r="BD26" s="190">
        <f>DSUM(G_DIC_2016,GASTO,G_ADQ)</f>
        <v>3900</v>
      </c>
    </row>
    <row r="27" spans="1:56" x14ac:dyDescent="0.2">
      <c r="A27" s="286" t="s">
        <v>1891</v>
      </c>
      <c r="B27" s="286"/>
      <c r="C27" s="221" t="s">
        <v>2922</v>
      </c>
      <c r="D27" s="222"/>
      <c r="E27" s="222">
        <v>844.84</v>
      </c>
      <c r="F27" s="223">
        <v>0</v>
      </c>
      <c r="G27" s="223">
        <v>0</v>
      </c>
      <c r="H27" s="223">
        <v>0</v>
      </c>
      <c r="I27" s="223">
        <v>0</v>
      </c>
      <c r="J27" s="223">
        <v>0</v>
      </c>
      <c r="K27" s="223">
        <v>0</v>
      </c>
      <c r="L27" s="223">
        <v>0</v>
      </c>
      <c r="M27" s="223">
        <v>633.63</v>
      </c>
      <c r="N27" s="223">
        <v>211.21</v>
      </c>
      <c r="O27" s="223">
        <v>0</v>
      </c>
      <c r="P27" s="223">
        <v>0</v>
      </c>
      <c r="Q27" s="223">
        <v>0</v>
      </c>
      <c r="R27" s="222">
        <v>429.32</v>
      </c>
      <c r="S27" s="223">
        <v>0</v>
      </c>
      <c r="T27" s="223">
        <v>0</v>
      </c>
      <c r="U27" s="223">
        <v>0</v>
      </c>
      <c r="V27" s="223">
        <v>0</v>
      </c>
      <c r="W27" s="223">
        <v>0</v>
      </c>
      <c r="X27" s="223">
        <v>0</v>
      </c>
      <c r="Y27" s="223">
        <v>429.32</v>
      </c>
      <c r="Z27" s="223">
        <v>0</v>
      </c>
      <c r="AA27" s="223">
        <v>0</v>
      </c>
      <c r="AB27" s="223">
        <v>0</v>
      </c>
      <c r="AC27" s="223">
        <v>0</v>
      </c>
      <c r="AD27" s="223">
        <v>0</v>
      </c>
      <c r="AE27" s="222">
        <v>2221.9</v>
      </c>
      <c r="AF27" s="223">
        <v>0</v>
      </c>
      <c r="AG27" s="223">
        <v>0</v>
      </c>
      <c r="AH27" s="223">
        <v>643.98</v>
      </c>
      <c r="AI27" s="223">
        <v>0</v>
      </c>
      <c r="AJ27" s="223">
        <v>0</v>
      </c>
      <c r="AK27" s="223">
        <v>0</v>
      </c>
      <c r="AL27" s="223">
        <v>0</v>
      </c>
      <c r="AM27" s="223">
        <v>0</v>
      </c>
      <c r="AN27" s="223">
        <v>0</v>
      </c>
      <c r="AO27" s="223">
        <v>1577.92</v>
      </c>
      <c r="AP27" s="223">
        <v>0</v>
      </c>
      <c r="AQ27" s="223">
        <v>0</v>
      </c>
      <c r="AR27" s="222">
        <f>SUM(AS27:BD27)</f>
        <v>1813.65</v>
      </c>
      <c r="AS27" s="223">
        <f>DSUM(G_ENE_2016,GASTO,G_SÑ)</f>
        <v>0</v>
      </c>
      <c r="AT27" s="223">
        <f>DSUM(G_FEB_2016,GASTO,G_SÑ)</f>
        <v>0</v>
      </c>
      <c r="AU27" s="223">
        <f>DSUM(G_MAR_2016,GASTO,G_SÑ)</f>
        <v>0</v>
      </c>
      <c r="AV27" s="223">
        <f>DSUM(G_ABR_2016,GASTO,G_SÑ)</f>
        <v>0</v>
      </c>
      <c r="AW27" s="223">
        <f>DSUM(G_MAY_2016,GASTO,G_SÑ)</f>
        <v>420</v>
      </c>
      <c r="AX27" s="223">
        <f>DSUM(G_JUN_2016,GASTO,G_SÑ)</f>
        <v>610</v>
      </c>
      <c r="AY27" s="223">
        <f>DSUM(G_JUL_2016,GASTO,G_SÑ)</f>
        <v>366.65</v>
      </c>
      <c r="AZ27" s="223">
        <f>DSUM(G_AGO_2016,GASTO,G_SÑ)</f>
        <v>117</v>
      </c>
      <c r="BA27" s="223">
        <f>DSUM(G_SEP_2016,GASTO,G_SÑ)</f>
        <v>0</v>
      </c>
      <c r="BB27" s="223">
        <f>DSUM(G_OCT_2016,GASTO,G_SÑ)</f>
        <v>0</v>
      </c>
      <c r="BC27" s="223">
        <f>DSUM(G_NOV_2016,GASTO,G_SÑ)</f>
        <v>300</v>
      </c>
      <c r="BD27" s="223">
        <f>DSUM(G_DIC_2016,GASTO,G_SÑ)</f>
        <v>0</v>
      </c>
    </row>
    <row r="28" spans="1:56" x14ac:dyDescent="0.2">
      <c r="A28" s="286"/>
      <c r="B28" s="286"/>
      <c r="C28" s="224" t="s">
        <v>2923</v>
      </c>
      <c r="D28" s="211"/>
      <c r="E28" s="211">
        <v>138908.47</v>
      </c>
      <c r="F28" s="211">
        <v>23851.15</v>
      </c>
      <c r="G28" s="211">
        <v>17379.89</v>
      </c>
      <c r="H28" s="211">
        <v>9092.5</v>
      </c>
      <c r="I28" s="211">
        <v>3550</v>
      </c>
      <c r="J28" s="211">
        <v>3670</v>
      </c>
      <c r="K28" s="211">
        <v>2000</v>
      </c>
      <c r="L28" s="211">
        <v>8562.4700000000012</v>
      </c>
      <c r="M28" s="211">
        <v>10018.4</v>
      </c>
      <c r="N28" s="211">
        <v>17019.11</v>
      </c>
      <c r="O28" s="211">
        <v>18138.769999999997</v>
      </c>
      <c r="P28" s="211">
        <v>13501.039999999999</v>
      </c>
      <c r="Q28" s="225">
        <v>12125.14</v>
      </c>
      <c r="R28" s="227">
        <v>260684.84000000003</v>
      </c>
      <c r="S28" s="211">
        <v>6430.35</v>
      </c>
      <c r="T28" s="211">
        <v>4210</v>
      </c>
      <c r="U28" s="211">
        <v>18985.03</v>
      </c>
      <c r="V28" s="211">
        <v>31351.559999999998</v>
      </c>
      <c r="W28" s="211">
        <v>48187.77</v>
      </c>
      <c r="X28" s="225">
        <v>21425.82</v>
      </c>
      <c r="Y28" s="225">
        <v>23339.489999999998</v>
      </c>
      <c r="Z28" s="225">
        <v>22901.670000000002</v>
      </c>
      <c r="AA28" s="225">
        <v>17777</v>
      </c>
      <c r="AB28" s="225">
        <v>9047</v>
      </c>
      <c r="AC28" s="225">
        <v>13036.5</v>
      </c>
      <c r="AD28" s="225">
        <v>43992.649999999994</v>
      </c>
      <c r="AE28" s="227">
        <v>456723.21</v>
      </c>
      <c r="AF28" s="211">
        <v>19250</v>
      </c>
      <c r="AG28" s="211">
        <v>10485</v>
      </c>
      <c r="AH28" s="211">
        <v>3450</v>
      </c>
      <c r="AI28" s="211">
        <v>14418.53</v>
      </c>
      <c r="AJ28" s="211">
        <v>56094.5</v>
      </c>
      <c r="AK28" s="211">
        <v>134972.09</v>
      </c>
      <c r="AL28" s="211">
        <v>72928.38</v>
      </c>
      <c r="AM28" s="211">
        <v>25698.33</v>
      </c>
      <c r="AN28" s="211">
        <v>17063.54</v>
      </c>
      <c r="AO28" s="211">
        <v>32495.239999999998</v>
      </c>
      <c r="AP28" s="211">
        <v>14989</v>
      </c>
      <c r="AQ28" s="211">
        <v>54878.599999999991</v>
      </c>
      <c r="AR28" s="227">
        <f t="shared" ref="AR28:BA28" si="7">SUM(AR29:AR35)</f>
        <v>302639.35000000003</v>
      </c>
      <c r="AS28" s="211">
        <f t="shared" si="7"/>
        <v>13237</v>
      </c>
      <c r="AT28" s="211">
        <f t="shared" si="7"/>
        <v>29528.82</v>
      </c>
      <c r="AU28" s="211">
        <f t="shared" si="7"/>
        <v>38392.850000000006</v>
      </c>
      <c r="AV28" s="211">
        <f t="shared" si="7"/>
        <v>13660.24</v>
      </c>
      <c r="AW28" s="211">
        <f t="shared" si="7"/>
        <v>15706.41</v>
      </c>
      <c r="AX28" s="211">
        <f t="shared" si="7"/>
        <v>24812.6</v>
      </c>
      <c r="AY28" s="211">
        <f t="shared" si="7"/>
        <v>25610.07</v>
      </c>
      <c r="AZ28" s="211">
        <f t="shared" si="7"/>
        <v>34169.64</v>
      </c>
      <c r="BA28" s="211">
        <f t="shared" si="7"/>
        <v>41612.369999999995</v>
      </c>
      <c r="BB28" s="211">
        <f t="shared" ref="BB28:BC28" si="8">SUM(BB29:BB35)</f>
        <v>10639.05</v>
      </c>
      <c r="BC28" s="211">
        <f t="shared" si="8"/>
        <v>25257.89</v>
      </c>
      <c r="BD28" s="211">
        <f t="shared" ref="BD28" si="9">SUM(BD29:BD35)</f>
        <v>30012.410000000003</v>
      </c>
    </row>
    <row r="29" spans="1:56" x14ac:dyDescent="0.2">
      <c r="A29" s="286" t="s">
        <v>1890</v>
      </c>
      <c r="B29" s="286"/>
      <c r="C29" s="226" t="s">
        <v>2924</v>
      </c>
      <c r="D29" s="216"/>
      <c r="E29" s="216">
        <v>2544.6099999999997</v>
      </c>
      <c r="F29" s="217">
        <v>0</v>
      </c>
      <c r="G29" s="217">
        <v>0</v>
      </c>
      <c r="H29" s="217">
        <v>0</v>
      </c>
      <c r="I29" s="217">
        <v>0</v>
      </c>
      <c r="J29" s="217">
        <v>0</v>
      </c>
      <c r="K29" s="217">
        <v>0</v>
      </c>
      <c r="L29" s="217">
        <v>0</v>
      </c>
      <c r="M29" s="217">
        <v>1898.1</v>
      </c>
      <c r="N29" s="217">
        <v>646.51</v>
      </c>
      <c r="O29" s="217">
        <v>0</v>
      </c>
      <c r="P29" s="217">
        <v>0</v>
      </c>
      <c r="Q29" s="217">
        <v>0</v>
      </c>
      <c r="R29" s="216">
        <v>14824.31</v>
      </c>
      <c r="S29" s="217">
        <v>400</v>
      </c>
      <c r="T29" s="217">
        <v>0</v>
      </c>
      <c r="U29" s="217">
        <v>0</v>
      </c>
      <c r="V29" s="217">
        <v>600</v>
      </c>
      <c r="W29" s="217">
        <v>0</v>
      </c>
      <c r="X29" s="217">
        <v>1795.69</v>
      </c>
      <c r="Y29" s="217">
        <v>5408.62</v>
      </c>
      <c r="Z29" s="217">
        <v>0</v>
      </c>
      <c r="AA29" s="217">
        <v>2700</v>
      </c>
      <c r="AB29" s="217">
        <v>3400</v>
      </c>
      <c r="AC29" s="217">
        <v>520</v>
      </c>
      <c r="AD29" s="217">
        <v>0</v>
      </c>
      <c r="AE29" s="216">
        <v>132690.76</v>
      </c>
      <c r="AF29" s="217">
        <v>0</v>
      </c>
      <c r="AG29" s="217">
        <v>485</v>
      </c>
      <c r="AH29" s="217">
        <v>0</v>
      </c>
      <c r="AI29" s="217">
        <v>0</v>
      </c>
      <c r="AJ29" s="217">
        <v>0</v>
      </c>
      <c r="AK29" s="217">
        <v>90330</v>
      </c>
      <c r="AL29" s="217">
        <v>28730</v>
      </c>
      <c r="AM29" s="217">
        <v>8300</v>
      </c>
      <c r="AN29" s="217">
        <v>3415.76</v>
      </c>
      <c r="AO29" s="217">
        <v>250</v>
      </c>
      <c r="AP29" s="217">
        <v>0</v>
      </c>
      <c r="AQ29" s="217">
        <v>1180</v>
      </c>
      <c r="AR29" s="216">
        <f t="shared" ref="AR29:AR35" si="10">SUM(AS29:BD29)</f>
        <v>3486</v>
      </c>
      <c r="AS29" s="217">
        <f>DSUM(G_ENE_2016,GASTO,G_MTCBQ)</f>
        <v>1180</v>
      </c>
      <c r="AT29" s="217">
        <f>DSUM(G_FEB_2016,GASTO,G_MTCBQ)</f>
        <v>0</v>
      </c>
      <c r="AU29" s="217">
        <f>DSUM(G_MAR_2016,GASTO,G_MTCBQ)</f>
        <v>0</v>
      </c>
      <c r="AV29" s="217">
        <f>DSUM(G_ABR_2016,GASTO,G_MTCBQ)</f>
        <v>0</v>
      </c>
      <c r="AW29" s="217">
        <f>DSUM(G_MAY_2016,GASTO,G_MTCBQ)</f>
        <v>0</v>
      </c>
      <c r="AX29" s="217">
        <f>DSUM(G_JUN_2016,GASTO,G_MTCBQ)</f>
        <v>86</v>
      </c>
      <c r="AY29" s="217">
        <f>DSUM(G_JUL_2016,GASTO,G_MTCBQ)</f>
        <v>0</v>
      </c>
      <c r="AZ29" s="217">
        <f>DSUM(G_AGO_2016,GASTO,G_MTCBQ)</f>
        <v>2220</v>
      </c>
      <c r="BA29" s="217">
        <f>DSUM(G_SEP_2016,GASTO,G_MTCBQ)</f>
        <v>0</v>
      </c>
      <c r="BB29" s="217">
        <f>DSUM(G_OCT_2016,GASTO,G_MTCBQ)</f>
        <v>0</v>
      </c>
      <c r="BC29" s="217">
        <f>DSUM(G_NOV_2016,GASTO,G_MTCBQ)</f>
        <v>0</v>
      </c>
      <c r="BD29" s="217">
        <f>DSUM(G_DIC_2016,GASTO,G_MTCBQ)</f>
        <v>0</v>
      </c>
    </row>
    <row r="30" spans="1:56" x14ac:dyDescent="0.2">
      <c r="A30" s="286" t="s">
        <v>1879</v>
      </c>
      <c r="B30" s="286"/>
      <c r="C30" s="219" t="s">
        <v>2925</v>
      </c>
      <c r="D30" s="220"/>
      <c r="E30" s="220">
        <v>32627.769999999997</v>
      </c>
      <c r="F30" s="190">
        <v>0</v>
      </c>
      <c r="G30" s="190">
        <v>0</v>
      </c>
      <c r="H30" s="190">
        <v>0</v>
      </c>
      <c r="I30" s="190">
        <v>2500</v>
      </c>
      <c r="J30" s="190">
        <v>2500</v>
      </c>
      <c r="K30" s="190">
        <v>0</v>
      </c>
      <c r="L30" s="190">
        <v>1600</v>
      </c>
      <c r="M30" s="190">
        <v>3955</v>
      </c>
      <c r="N30" s="190">
        <v>3938.6</v>
      </c>
      <c r="O30" s="190">
        <v>3188</v>
      </c>
      <c r="P30" s="190">
        <v>7862.5</v>
      </c>
      <c r="Q30" s="190">
        <v>7083.67</v>
      </c>
      <c r="R30" s="220">
        <v>56154.810000000005</v>
      </c>
      <c r="S30" s="190">
        <v>550</v>
      </c>
      <c r="T30" s="190">
        <v>2810</v>
      </c>
      <c r="U30" s="190">
        <v>15060.5</v>
      </c>
      <c r="V30" s="190">
        <v>6951.38</v>
      </c>
      <c r="W30" s="190">
        <v>11567.42</v>
      </c>
      <c r="X30" s="190">
        <v>2906.8900000000003</v>
      </c>
      <c r="Y30" s="190">
        <v>3368.9700000000003</v>
      </c>
      <c r="Z30" s="190">
        <v>11139.65</v>
      </c>
      <c r="AA30" s="190">
        <v>1000</v>
      </c>
      <c r="AB30" s="190">
        <v>0</v>
      </c>
      <c r="AC30" s="190">
        <v>800</v>
      </c>
      <c r="AD30" s="190">
        <v>0</v>
      </c>
      <c r="AE30" s="220">
        <v>53612.679999999993</v>
      </c>
      <c r="AF30" s="190">
        <v>7600</v>
      </c>
      <c r="AG30" s="190">
        <v>0</v>
      </c>
      <c r="AH30" s="190">
        <v>420</v>
      </c>
      <c r="AI30" s="190">
        <v>1500</v>
      </c>
      <c r="AJ30" s="190">
        <v>5660</v>
      </c>
      <c r="AK30" s="190">
        <v>9592.5</v>
      </c>
      <c r="AL30" s="190">
        <v>7754.84</v>
      </c>
      <c r="AM30" s="190">
        <v>3200</v>
      </c>
      <c r="AN30" s="190">
        <v>4155</v>
      </c>
      <c r="AO30" s="190">
        <v>3100</v>
      </c>
      <c r="AP30" s="190">
        <v>5110</v>
      </c>
      <c r="AQ30" s="190">
        <v>5520.34</v>
      </c>
      <c r="AR30" s="220">
        <f t="shared" si="10"/>
        <v>56302</v>
      </c>
      <c r="AS30" s="190">
        <f>DSUM(G_ENE_2016,GASTO,G_MTCYP)</f>
        <v>2450</v>
      </c>
      <c r="AT30" s="190">
        <f>DSUM(G_FEB_2016,GASTO,G_MTCYP)</f>
        <v>3900</v>
      </c>
      <c r="AU30" s="190">
        <f>DSUM(G_MAR_2016,GASTO,G_MTCYP)</f>
        <v>6100</v>
      </c>
      <c r="AV30" s="190">
        <f>DSUM(G_ABR_2016,GASTO,G_MTCYP)</f>
        <v>6100</v>
      </c>
      <c r="AW30" s="190">
        <f>DSUM(G_MAY_2016,GASTO,G_MTCYP)</f>
        <v>4750</v>
      </c>
      <c r="AX30" s="190">
        <f>DSUM(G_JUN_2016,GASTO,G_MTCYP)</f>
        <v>5570</v>
      </c>
      <c r="AY30" s="190">
        <f>DSUM(G_JUL_2016,GASTO,G_MTCYP)</f>
        <v>8690</v>
      </c>
      <c r="AZ30" s="190">
        <f>DSUM(G_AGO_2016,GASTO,G_MTCYP)</f>
        <v>6018</v>
      </c>
      <c r="BA30" s="190">
        <f>DSUM(G_SEP_2016,GASTO,G_MTCYP)</f>
        <v>8210</v>
      </c>
      <c r="BB30" s="190">
        <f>DSUM(G_OCT_2016,GASTO,G_MTCYP)</f>
        <v>444</v>
      </c>
      <c r="BC30" s="190">
        <f>DSUM(G_NOV_2016,GASTO,G_MTCYP)</f>
        <v>3870</v>
      </c>
      <c r="BD30" s="190">
        <f>DSUM(G_DIC_2016,GASTO,G_MTCYP)</f>
        <v>200</v>
      </c>
    </row>
    <row r="31" spans="1:56" x14ac:dyDescent="0.2">
      <c r="A31" s="286" t="s">
        <v>1867</v>
      </c>
      <c r="B31" s="286"/>
      <c r="C31" s="219" t="s">
        <v>2926</v>
      </c>
      <c r="D31" s="220"/>
      <c r="E31" s="220">
        <v>26565.120000000003</v>
      </c>
      <c r="F31" s="190">
        <v>8625.15</v>
      </c>
      <c r="G31" s="190">
        <v>7389.89</v>
      </c>
      <c r="H31" s="190">
        <v>8092.5</v>
      </c>
      <c r="I31" s="190">
        <v>300</v>
      </c>
      <c r="J31" s="190">
        <v>0</v>
      </c>
      <c r="K31" s="190">
        <v>0</v>
      </c>
      <c r="L31" s="190">
        <v>0</v>
      </c>
      <c r="M31" s="190">
        <v>1057.58</v>
      </c>
      <c r="N31" s="190">
        <v>1100</v>
      </c>
      <c r="O31" s="190">
        <v>0</v>
      </c>
      <c r="P31" s="190">
        <v>0</v>
      </c>
      <c r="Q31" s="190">
        <v>0</v>
      </c>
      <c r="R31" s="220">
        <v>17976.68</v>
      </c>
      <c r="S31" s="190">
        <v>347.85</v>
      </c>
      <c r="T31" s="190">
        <v>300</v>
      </c>
      <c r="U31" s="190">
        <v>2190.91</v>
      </c>
      <c r="V31" s="190">
        <v>1770.18</v>
      </c>
      <c r="W31" s="190">
        <v>1150</v>
      </c>
      <c r="X31" s="190">
        <v>7805.74</v>
      </c>
      <c r="Y31" s="190">
        <v>3845</v>
      </c>
      <c r="Z31" s="190">
        <v>300</v>
      </c>
      <c r="AA31" s="190">
        <v>267</v>
      </c>
      <c r="AB31" s="190">
        <v>0</v>
      </c>
      <c r="AC31" s="190">
        <v>0</v>
      </c>
      <c r="AD31" s="190">
        <v>0</v>
      </c>
      <c r="AE31" s="220">
        <v>65739.97</v>
      </c>
      <c r="AF31" s="190">
        <v>0</v>
      </c>
      <c r="AG31" s="190">
        <v>0</v>
      </c>
      <c r="AH31" s="190">
        <v>200</v>
      </c>
      <c r="AI31" s="190">
        <v>0</v>
      </c>
      <c r="AJ31" s="190">
        <v>33000</v>
      </c>
      <c r="AK31" s="190">
        <v>22011</v>
      </c>
      <c r="AL31" s="190">
        <v>7150</v>
      </c>
      <c r="AM31" s="190">
        <v>0</v>
      </c>
      <c r="AN31" s="190">
        <v>598.97</v>
      </c>
      <c r="AO31" s="190">
        <v>2500</v>
      </c>
      <c r="AP31" s="190">
        <v>0</v>
      </c>
      <c r="AQ31" s="190">
        <v>280</v>
      </c>
      <c r="AR31" s="220">
        <f t="shared" si="10"/>
        <v>12398.99</v>
      </c>
      <c r="AS31" s="190">
        <f>DSUM(G_ENE_2016,GASTO,G_MTCST)</f>
        <v>0</v>
      </c>
      <c r="AT31" s="190">
        <f>DSUM(G_FEB_2016,GASTO,G_MTCST)</f>
        <v>0</v>
      </c>
      <c r="AU31" s="190">
        <f>DSUM(G_MAR_2016,GASTO,G_MTCST)</f>
        <v>0</v>
      </c>
      <c r="AV31" s="190">
        <f>DSUM(G_ABR_2016,GASTO,G_MTCST)</f>
        <v>0</v>
      </c>
      <c r="AW31" s="190">
        <f>DSUM(G_MAY_2016,GASTO,G_MTCST)</f>
        <v>1250</v>
      </c>
      <c r="AX31" s="190">
        <f>DSUM(G_JUN_2016,GASTO,G_MTCST)</f>
        <v>3543.5</v>
      </c>
      <c r="AY31" s="190">
        <f>DSUM(G_JUL_2016,GASTO,G_MTCST)</f>
        <v>0</v>
      </c>
      <c r="AZ31" s="190">
        <f>DSUM(G_AGO_2016,GASTO,G_MTCST)</f>
        <v>2600</v>
      </c>
      <c r="BA31" s="190">
        <f>DSUM(G_SEP_2016,GASTO,G_MTCST)</f>
        <v>3325.49</v>
      </c>
      <c r="BB31" s="190">
        <f>DSUM(G_OCT_2016,GASTO,G_MTCST)</f>
        <v>1330</v>
      </c>
      <c r="BC31" s="190">
        <f>DSUM(G_NOV_2016,GASTO,G_MTCST)</f>
        <v>0</v>
      </c>
      <c r="BD31" s="190">
        <f>DSUM(G_DIC_2016,GASTO,G_MTCST)</f>
        <v>350</v>
      </c>
    </row>
    <row r="32" spans="1:56" x14ac:dyDescent="0.2">
      <c r="A32" s="286" t="s">
        <v>1866</v>
      </c>
      <c r="B32" s="286"/>
      <c r="C32" s="219" t="s">
        <v>2927</v>
      </c>
      <c r="D32" s="220"/>
      <c r="E32" s="220">
        <v>25268.820000000003</v>
      </c>
      <c r="F32" s="190">
        <v>8500</v>
      </c>
      <c r="G32" s="190">
        <v>0</v>
      </c>
      <c r="H32" s="190">
        <v>0</v>
      </c>
      <c r="I32" s="190">
        <v>750</v>
      </c>
      <c r="J32" s="190">
        <v>0</v>
      </c>
      <c r="K32" s="190">
        <v>350</v>
      </c>
      <c r="L32" s="190">
        <v>6087.47</v>
      </c>
      <c r="M32" s="190">
        <v>1607.72</v>
      </c>
      <c r="N32" s="190">
        <v>1520</v>
      </c>
      <c r="O32" s="190">
        <v>4254.99</v>
      </c>
      <c r="P32" s="190">
        <v>505.49</v>
      </c>
      <c r="Q32" s="190">
        <v>1693.15</v>
      </c>
      <c r="R32" s="220">
        <v>38720.85</v>
      </c>
      <c r="S32" s="190">
        <v>2110</v>
      </c>
      <c r="T32" s="190">
        <v>700</v>
      </c>
      <c r="U32" s="190">
        <v>700</v>
      </c>
      <c r="V32" s="190">
        <v>3800</v>
      </c>
      <c r="W32" s="190">
        <v>25560.35</v>
      </c>
      <c r="X32" s="190">
        <v>590.5</v>
      </c>
      <c r="Y32" s="190">
        <v>3360</v>
      </c>
      <c r="Z32" s="190">
        <v>0</v>
      </c>
      <c r="AA32" s="190">
        <v>0</v>
      </c>
      <c r="AB32" s="190">
        <v>250</v>
      </c>
      <c r="AC32" s="190">
        <v>0</v>
      </c>
      <c r="AD32" s="190">
        <v>1650</v>
      </c>
      <c r="AE32" s="220">
        <v>14745.8</v>
      </c>
      <c r="AF32" s="190">
        <v>0</v>
      </c>
      <c r="AG32" s="190">
        <v>0</v>
      </c>
      <c r="AH32" s="190">
        <v>0</v>
      </c>
      <c r="AI32" s="190">
        <v>0</v>
      </c>
      <c r="AJ32" s="190">
        <v>6000</v>
      </c>
      <c r="AK32" s="190">
        <v>881</v>
      </c>
      <c r="AL32" s="190">
        <v>1850</v>
      </c>
      <c r="AM32" s="190">
        <v>1550</v>
      </c>
      <c r="AN32" s="190">
        <v>1761.21</v>
      </c>
      <c r="AO32" s="190">
        <v>1523.59</v>
      </c>
      <c r="AP32" s="190">
        <v>400</v>
      </c>
      <c r="AQ32" s="190">
        <v>780</v>
      </c>
      <c r="AR32" s="220">
        <f t="shared" si="10"/>
        <v>17896.400000000001</v>
      </c>
      <c r="AS32" s="190">
        <f>DSUM(G_ENE_2016,GASTO,G_MTPTA)</f>
        <v>1327</v>
      </c>
      <c r="AT32" s="190">
        <f>DSUM(G_FEB_2016,GASTO,G_MTPTA)</f>
        <v>0</v>
      </c>
      <c r="AU32" s="190">
        <f>DSUM(G_MAR_2016,GASTO,G_MTPTA)</f>
        <v>0</v>
      </c>
      <c r="AV32" s="190">
        <f>DSUM(G_ABR_2016,GASTO,G_MTPTA)</f>
        <v>1300</v>
      </c>
      <c r="AW32" s="190">
        <f>DSUM(G_MAY_2016,GASTO,G_MTPTA)</f>
        <v>1600</v>
      </c>
      <c r="AX32" s="190">
        <f>DSUM(G_JUN_2016,GASTO,G_MTPTA)</f>
        <v>4350</v>
      </c>
      <c r="AY32" s="190">
        <f>DSUM(G_JUL_2016,GASTO,G_MTPTA)</f>
        <v>2950</v>
      </c>
      <c r="AZ32" s="190">
        <f>DSUM(G_AGO_2016,GASTO,G_MTPTA)</f>
        <v>400</v>
      </c>
      <c r="BA32" s="190">
        <f>DSUM(G_SEP_2016,GASTO,G_MTPTA)</f>
        <v>3600</v>
      </c>
      <c r="BB32" s="190">
        <f>DSUM(G_OCT_2016,GASTO,G_MTPTA)</f>
        <v>15.5</v>
      </c>
      <c r="BC32" s="190">
        <f>DSUM(G_NOV_2016,GASTO,G_MTPTA)</f>
        <v>830</v>
      </c>
      <c r="BD32" s="190">
        <f>DSUM(G_DIC_2016,GASTO,G_MTPTA)</f>
        <v>1523.9</v>
      </c>
    </row>
    <row r="33" spans="1:56" x14ac:dyDescent="0.2">
      <c r="A33" s="286" t="s">
        <v>1874</v>
      </c>
      <c r="B33" s="286"/>
      <c r="C33" s="219" t="s">
        <v>2928</v>
      </c>
      <c r="D33" s="220"/>
      <c r="E33" s="220">
        <v>34713</v>
      </c>
      <c r="F33" s="190">
        <v>1000</v>
      </c>
      <c r="G33" s="190">
        <v>9500</v>
      </c>
      <c r="H33" s="190">
        <v>1000</v>
      </c>
      <c r="I33" s="190">
        <v>0</v>
      </c>
      <c r="J33" s="190">
        <v>0</v>
      </c>
      <c r="K33" s="190">
        <v>1200</v>
      </c>
      <c r="L33" s="190">
        <v>200</v>
      </c>
      <c r="M33" s="190">
        <v>0</v>
      </c>
      <c r="N33" s="190">
        <v>9550</v>
      </c>
      <c r="O33" s="190">
        <v>7863</v>
      </c>
      <c r="P33" s="190">
        <v>2300</v>
      </c>
      <c r="Q33" s="190">
        <v>2100</v>
      </c>
      <c r="R33" s="220">
        <v>30222.5</v>
      </c>
      <c r="S33" s="190">
        <v>0</v>
      </c>
      <c r="T33" s="190">
        <v>0</v>
      </c>
      <c r="U33" s="190">
        <v>0</v>
      </c>
      <c r="V33" s="190">
        <v>6200</v>
      </c>
      <c r="W33" s="190">
        <v>500</v>
      </c>
      <c r="X33" s="190">
        <v>4000</v>
      </c>
      <c r="Y33" s="190">
        <v>0</v>
      </c>
      <c r="Z33" s="190">
        <v>5000</v>
      </c>
      <c r="AA33" s="190">
        <v>5500</v>
      </c>
      <c r="AB33" s="190">
        <v>0</v>
      </c>
      <c r="AC33" s="190">
        <v>0</v>
      </c>
      <c r="AD33" s="190">
        <v>9022.5</v>
      </c>
      <c r="AE33" s="220">
        <v>17580</v>
      </c>
      <c r="AF33" s="190">
        <v>3500</v>
      </c>
      <c r="AG33" s="190">
        <v>5300</v>
      </c>
      <c r="AH33" s="190">
        <v>0</v>
      </c>
      <c r="AI33" s="190">
        <v>0</v>
      </c>
      <c r="AJ33" s="190">
        <v>0</v>
      </c>
      <c r="AK33" s="190">
        <v>400</v>
      </c>
      <c r="AL33" s="190">
        <v>0</v>
      </c>
      <c r="AM33" s="190">
        <v>0</v>
      </c>
      <c r="AN33" s="190">
        <v>0</v>
      </c>
      <c r="AO33" s="190">
        <v>0</v>
      </c>
      <c r="AP33" s="190">
        <v>880</v>
      </c>
      <c r="AQ33" s="190">
        <v>7500</v>
      </c>
      <c r="AR33" s="220">
        <f t="shared" si="10"/>
        <v>29016.050000000003</v>
      </c>
      <c r="AS33" s="190">
        <f>DSUM(G_ENE_2016,GASTO,G_MTILM)</f>
        <v>3330</v>
      </c>
      <c r="AT33" s="190">
        <f>DSUM(G_FEB_2016,GASTO,G_MTILM)</f>
        <v>10920</v>
      </c>
      <c r="AU33" s="190">
        <f>DSUM(G_MAR_2016,GASTO,G_MTILM)</f>
        <v>4515.6499999999996</v>
      </c>
      <c r="AV33" s="190">
        <f>DSUM(G_ABR_2016,GASTO,G_MTILM)</f>
        <v>600</v>
      </c>
      <c r="AW33" s="190">
        <f>DSUM(G_MAY_2016,GASTO,G_MTILM)</f>
        <v>0</v>
      </c>
      <c r="AX33" s="190">
        <f>DSUM(G_JUN_2016,GASTO,G_MTILM)</f>
        <v>790</v>
      </c>
      <c r="AY33" s="190">
        <f>DSUM(G_JUL_2016,GASTO,G_MTILM)</f>
        <v>294.7</v>
      </c>
      <c r="AZ33" s="190">
        <f>DSUM(G_AGO_2016,GASTO,G_MTILM)</f>
        <v>0</v>
      </c>
      <c r="BA33" s="190">
        <f>DSUM(G_SEP_2016,GASTO,G_MTILM)</f>
        <v>2153.6999999999998</v>
      </c>
      <c r="BB33" s="190">
        <f>DSUM(G_OCT_2016,GASTO,G_MTILM)</f>
        <v>550</v>
      </c>
      <c r="BC33" s="190">
        <f>DSUM(G_NOV_2016,GASTO,G_MTILM)</f>
        <v>4982</v>
      </c>
      <c r="BD33" s="190">
        <f>DSUM(G_DIC_2016,GASTO,G_MTILM)</f>
        <v>880</v>
      </c>
    </row>
    <row r="34" spans="1:56" x14ac:dyDescent="0.2">
      <c r="A34" s="286" t="s">
        <v>1872</v>
      </c>
      <c r="B34" s="286"/>
      <c r="C34" s="219" t="s">
        <v>2929</v>
      </c>
      <c r="D34" s="220"/>
      <c r="E34" s="220">
        <v>14356</v>
      </c>
      <c r="F34" s="190">
        <v>5726</v>
      </c>
      <c r="G34" s="190">
        <v>490</v>
      </c>
      <c r="H34" s="190">
        <v>0</v>
      </c>
      <c r="I34" s="190">
        <v>0</v>
      </c>
      <c r="J34" s="190">
        <v>1170</v>
      </c>
      <c r="K34" s="190">
        <v>450</v>
      </c>
      <c r="L34" s="190">
        <v>675</v>
      </c>
      <c r="M34" s="190">
        <v>1500</v>
      </c>
      <c r="N34" s="190">
        <v>220</v>
      </c>
      <c r="O34" s="190">
        <v>1850</v>
      </c>
      <c r="P34" s="190">
        <v>1875</v>
      </c>
      <c r="Q34" s="190">
        <v>400</v>
      </c>
      <c r="R34" s="220">
        <v>42629.4</v>
      </c>
      <c r="S34" s="190">
        <v>2022.5</v>
      </c>
      <c r="T34" s="190">
        <v>400</v>
      </c>
      <c r="U34" s="190">
        <v>200</v>
      </c>
      <c r="V34" s="190">
        <v>11600</v>
      </c>
      <c r="W34" s="190">
        <v>2750</v>
      </c>
      <c r="X34" s="190">
        <v>600</v>
      </c>
      <c r="Y34" s="190">
        <v>5656.9</v>
      </c>
      <c r="Z34" s="190">
        <v>1200</v>
      </c>
      <c r="AA34" s="190">
        <v>4700</v>
      </c>
      <c r="AB34" s="190">
        <v>700</v>
      </c>
      <c r="AC34" s="190">
        <v>8600</v>
      </c>
      <c r="AD34" s="190">
        <v>4200</v>
      </c>
      <c r="AE34" s="220">
        <v>48624.75</v>
      </c>
      <c r="AF34" s="190">
        <v>6700</v>
      </c>
      <c r="AG34" s="190">
        <v>2300</v>
      </c>
      <c r="AH34" s="190">
        <v>600</v>
      </c>
      <c r="AI34" s="190">
        <v>9250</v>
      </c>
      <c r="AJ34" s="190">
        <v>6142.5</v>
      </c>
      <c r="AK34" s="190">
        <v>5600</v>
      </c>
      <c r="AL34" s="190">
        <v>700</v>
      </c>
      <c r="AM34" s="190">
        <v>6880</v>
      </c>
      <c r="AN34" s="190">
        <v>1714.6</v>
      </c>
      <c r="AO34" s="190">
        <v>8037.65</v>
      </c>
      <c r="AP34" s="190">
        <v>0</v>
      </c>
      <c r="AQ34" s="190">
        <v>700</v>
      </c>
      <c r="AR34" s="220">
        <f t="shared" si="10"/>
        <v>56239.060000000005</v>
      </c>
      <c r="AS34" s="190">
        <f>DSUM(G_ENE_2016,GASTO,G_JDN)</f>
        <v>1750</v>
      </c>
      <c r="AT34" s="190">
        <f>DSUM(G_FEB_2016,GASTO,G_JDN)</f>
        <v>6535</v>
      </c>
      <c r="AU34" s="190">
        <f>DSUM(G_MAR_2016,GASTO,G_JDN)</f>
        <v>6010</v>
      </c>
      <c r="AV34" s="190">
        <f>DSUM(G_ABR_2016,GASTO,G_JDN)</f>
        <v>360</v>
      </c>
      <c r="AW34" s="190">
        <f>DSUM(G_MAY_2016,GASTO,G_JDN)</f>
        <v>823</v>
      </c>
      <c r="AX34" s="190">
        <f>DSUM(G_JUN_2016,GASTO,G_JDN)</f>
        <v>0</v>
      </c>
      <c r="AY34" s="190">
        <f>DSUM(G_JUL_2016,GASTO,G_JDN)</f>
        <v>1070</v>
      </c>
      <c r="AZ34" s="190">
        <f>DSUM(G_AGO_2016,GASTO,G_JDN)</f>
        <v>6894.42</v>
      </c>
      <c r="BA34" s="190">
        <f>DSUM(G_SEP_2016,GASTO,G_JDN)</f>
        <v>15012.77</v>
      </c>
      <c r="BB34" s="190">
        <f>DSUM(G_OCT_2016,GASTO,G_JDN)</f>
        <v>5633.87</v>
      </c>
      <c r="BC34" s="190">
        <f>DSUM(G_NOV_2016,GASTO,G_JDN)</f>
        <v>6472</v>
      </c>
      <c r="BD34" s="190">
        <f>DSUM(G_DIC_2016,GASTO,G_JDN)</f>
        <v>5678</v>
      </c>
    </row>
    <row r="35" spans="1:56" x14ac:dyDescent="0.2">
      <c r="A35" s="286" t="s">
        <v>1893</v>
      </c>
      <c r="B35" s="286"/>
      <c r="C35" s="221" t="s">
        <v>2930</v>
      </c>
      <c r="D35" s="222"/>
      <c r="E35" s="222">
        <v>2833.1499999999996</v>
      </c>
      <c r="F35" s="223">
        <v>0</v>
      </c>
      <c r="G35" s="223">
        <v>0</v>
      </c>
      <c r="H35" s="223">
        <v>0</v>
      </c>
      <c r="I35" s="223">
        <v>0</v>
      </c>
      <c r="J35" s="223">
        <v>0</v>
      </c>
      <c r="K35" s="223">
        <v>0</v>
      </c>
      <c r="L35" s="223">
        <v>0</v>
      </c>
      <c r="M35" s="223">
        <v>0</v>
      </c>
      <c r="N35" s="223">
        <v>44</v>
      </c>
      <c r="O35" s="223">
        <v>982.78</v>
      </c>
      <c r="P35" s="223">
        <v>958.05</v>
      </c>
      <c r="Q35" s="223">
        <v>848.31999999999994</v>
      </c>
      <c r="R35" s="222">
        <v>60156.289999999994</v>
      </c>
      <c r="S35" s="223">
        <v>1000</v>
      </c>
      <c r="T35" s="223">
        <v>0</v>
      </c>
      <c r="U35" s="223">
        <v>833.62</v>
      </c>
      <c r="V35" s="223">
        <v>430</v>
      </c>
      <c r="W35" s="223">
        <v>6660</v>
      </c>
      <c r="X35" s="223">
        <v>3727</v>
      </c>
      <c r="Y35" s="223">
        <v>1700</v>
      </c>
      <c r="Z35" s="223">
        <v>5262.02</v>
      </c>
      <c r="AA35" s="223">
        <v>3610</v>
      </c>
      <c r="AB35" s="223">
        <v>4697</v>
      </c>
      <c r="AC35" s="223">
        <v>3116.5</v>
      </c>
      <c r="AD35" s="223">
        <v>29120.149999999998</v>
      </c>
      <c r="AE35" s="222">
        <v>123729.25</v>
      </c>
      <c r="AF35" s="223">
        <v>1450</v>
      </c>
      <c r="AG35" s="223">
        <v>2400</v>
      </c>
      <c r="AH35" s="223">
        <v>2230</v>
      </c>
      <c r="AI35" s="223">
        <v>3668.53</v>
      </c>
      <c r="AJ35" s="223">
        <v>5292</v>
      </c>
      <c r="AK35" s="223">
        <v>6157.59</v>
      </c>
      <c r="AL35" s="223">
        <v>26743.54</v>
      </c>
      <c r="AM35" s="223">
        <v>5768.33</v>
      </c>
      <c r="AN35" s="223">
        <v>5418</v>
      </c>
      <c r="AO35" s="223">
        <v>17084</v>
      </c>
      <c r="AP35" s="223">
        <v>8599</v>
      </c>
      <c r="AQ35" s="223">
        <v>38918.259999999995</v>
      </c>
      <c r="AR35" s="222">
        <f t="shared" si="10"/>
        <v>127300.85</v>
      </c>
      <c r="AS35" s="223">
        <f>DSUM(G_ENE_2016,GASTO,G_VRS)</f>
        <v>3200</v>
      </c>
      <c r="AT35" s="223">
        <f>DSUM(G_FEB_2016,GASTO,G_VRS)</f>
        <v>8173.82</v>
      </c>
      <c r="AU35" s="223">
        <f>DSUM(G_MAR_2016,GASTO,G_VRS)</f>
        <v>21767.200000000001</v>
      </c>
      <c r="AV35" s="223">
        <f>DSUM(G_ABR_2016,GASTO,G_VRS)</f>
        <v>5300.24</v>
      </c>
      <c r="AW35" s="223">
        <f>DSUM(G_MAY_2016,GASTO,G_VRS)</f>
        <v>7283.41</v>
      </c>
      <c r="AX35" s="223">
        <f>DSUM(G_JUN_2016,GASTO,G_VRS)</f>
        <v>10473.1</v>
      </c>
      <c r="AY35" s="223">
        <f>DSUM(G_JUL_2016,GASTO,G_VRS)</f>
        <v>12605.369999999999</v>
      </c>
      <c r="AZ35" s="223">
        <f>DSUM(G_AGO_2016,GASTO,G_VRS)</f>
        <v>16037.220000000001</v>
      </c>
      <c r="BA35" s="223">
        <f>DSUM(G_SEP_2016,GASTO,G_VRS)</f>
        <v>9310.41</v>
      </c>
      <c r="BB35" s="223">
        <f>DSUM(G_OCT_2016,GASTO,G_VRS)</f>
        <v>2665.6799999999985</v>
      </c>
      <c r="BC35" s="223">
        <f>DSUM(G_NOV_2016,GASTO,G_VRS)</f>
        <v>9103.8900000000012</v>
      </c>
      <c r="BD35" s="223">
        <f>DSUM(G_DIC_2016,GASTO,G_VRS)</f>
        <v>21380.510000000002</v>
      </c>
    </row>
    <row r="36" spans="1:56" x14ac:dyDescent="0.2">
      <c r="A36" s="286"/>
      <c r="B36" s="286"/>
      <c r="C36" s="210" t="s">
        <v>2931</v>
      </c>
      <c r="D36" s="211"/>
      <c r="E36" s="211">
        <v>79031.389999999985</v>
      </c>
      <c r="F36" s="211">
        <v>11658.39</v>
      </c>
      <c r="G36" s="211">
        <v>14110.82</v>
      </c>
      <c r="H36" s="211">
        <v>9773.2000000000007</v>
      </c>
      <c r="I36" s="211">
        <v>8809.31</v>
      </c>
      <c r="J36" s="211">
        <v>13242.220000000001</v>
      </c>
      <c r="K36" s="211">
        <v>569.95000000000005</v>
      </c>
      <c r="L36" s="211">
        <v>2280.4500000000003</v>
      </c>
      <c r="M36" s="211">
        <v>342.51</v>
      </c>
      <c r="N36" s="211">
        <v>3716.84</v>
      </c>
      <c r="O36" s="211">
        <v>3880.84</v>
      </c>
      <c r="P36" s="211">
        <v>4879.1099999999997</v>
      </c>
      <c r="Q36" s="225">
        <v>5767.75</v>
      </c>
      <c r="R36" s="227">
        <v>61540.32</v>
      </c>
      <c r="S36" s="211">
        <v>1567.49</v>
      </c>
      <c r="T36" s="211">
        <v>4624.91</v>
      </c>
      <c r="U36" s="211">
        <v>4192.84</v>
      </c>
      <c r="V36" s="211">
        <v>3501.36</v>
      </c>
      <c r="W36" s="211">
        <v>7829.93</v>
      </c>
      <c r="X36" s="225">
        <v>4236.3099999999995</v>
      </c>
      <c r="Y36" s="225">
        <v>5812.71</v>
      </c>
      <c r="Z36" s="225">
        <v>5290.93</v>
      </c>
      <c r="AA36" s="225">
        <v>9318.68</v>
      </c>
      <c r="AB36" s="225">
        <v>7666.48</v>
      </c>
      <c r="AC36" s="225">
        <v>4498.43</v>
      </c>
      <c r="AD36" s="225">
        <v>3000.25</v>
      </c>
      <c r="AE36" s="227">
        <v>160295.902</v>
      </c>
      <c r="AF36" s="211">
        <v>5922.2</v>
      </c>
      <c r="AG36" s="211">
        <v>5804.9619999999995</v>
      </c>
      <c r="AH36" s="211">
        <v>5535.46</v>
      </c>
      <c r="AI36" s="211">
        <v>6990.65</v>
      </c>
      <c r="AJ36" s="211">
        <v>5597.35</v>
      </c>
      <c r="AK36" s="211">
        <v>14670.53</v>
      </c>
      <c r="AL36" s="211">
        <v>10901.01</v>
      </c>
      <c r="AM36" s="211">
        <v>15762.5</v>
      </c>
      <c r="AN36" s="211">
        <v>18856.309999999998</v>
      </c>
      <c r="AO36" s="211">
        <v>25447.820000000003</v>
      </c>
      <c r="AP36" s="211">
        <v>15451.6</v>
      </c>
      <c r="AQ36" s="211">
        <v>29355.510000000002</v>
      </c>
      <c r="AR36" s="227">
        <f t="shared" ref="AR36:BA36" si="11">SUM(AR37:AR45)</f>
        <v>215353.52</v>
      </c>
      <c r="AS36" s="211">
        <f t="shared" si="11"/>
        <v>17505.560000000001</v>
      </c>
      <c r="AT36" s="211">
        <f t="shared" si="11"/>
        <v>18179.59</v>
      </c>
      <c r="AU36" s="211">
        <f t="shared" si="11"/>
        <v>13528.84</v>
      </c>
      <c r="AV36" s="211">
        <f t="shared" si="11"/>
        <v>15503.660000000002</v>
      </c>
      <c r="AW36" s="211">
        <f t="shared" si="11"/>
        <v>19943.52</v>
      </c>
      <c r="AX36" s="211">
        <f t="shared" si="11"/>
        <v>20925.54</v>
      </c>
      <c r="AY36" s="211">
        <f t="shared" si="11"/>
        <v>16606.140000000003</v>
      </c>
      <c r="AZ36" s="211">
        <f t="shared" si="11"/>
        <v>18094.59</v>
      </c>
      <c r="BA36" s="211">
        <f t="shared" si="11"/>
        <v>17356.260000000002</v>
      </c>
      <c r="BB36" s="211">
        <f t="shared" ref="BB36:BC36" si="12">SUM(BB37:BB45)</f>
        <v>18714.740000000002</v>
      </c>
      <c r="BC36" s="211">
        <f t="shared" si="12"/>
        <v>18670.34</v>
      </c>
      <c r="BD36" s="211">
        <f t="shared" ref="BD36" si="13">SUM(BD37:BD45)</f>
        <v>20324.740000000002</v>
      </c>
    </row>
    <row r="37" spans="1:56" x14ac:dyDescent="0.2">
      <c r="A37" s="286" t="s">
        <v>1873</v>
      </c>
      <c r="B37" s="286"/>
      <c r="C37" s="226" t="s">
        <v>2932</v>
      </c>
      <c r="D37" s="216"/>
      <c r="E37" s="216">
        <v>4762.41</v>
      </c>
      <c r="F37" s="217">
        <v>1700</v>
      </c>
      <c r="G37" s="217">
        <v>1120</v>
      </c>
      <c r="H37" s="217">
        <v>1000</v>
      </c>
      <c r="I37" s="217">
        <v>520</v>
      </c>
      <c r="J37" s="217">
        <v>0</v>
      </c>
      <c r="K37" s="217">
        <v>0</v>
      </c>
      <c r="L37" s="217">
        <v>0</v>
      </c>
      <c r="M37" s="217">
        <v>0</v>
      </c>
      <c r="N37" s="217">
        <v>0</v>
      </c>
      <c r="O37" s="217">
        <v>0</v>
      </c>
      <c r="P37" s="217">
        <v>0</v>
      </c>
      <c r="Q37" s="217">
        <v>422.41</v>
      </c>
      <c r="R37" s="216">
        <v>0</v>
      </c>
      <c r="S37" s="217">
        <v>0</v>
      </c>
      <c r="T37" s="217">
        <v>0</v>
      </c>
      <c r="U37" s="217">
        <v>0</v>
      </c>
      <c r="V37" s="217">
        <v>0</v>
      </c>
      <c r="W37" s="217">
        <v>0</v>
      </c>
      <c r="X37" s="217">
        <v>0</v>
      </c>
      <c r="Y37" s="217">
        <v>0</v>
      </c>
      <c r="Z37" s="217">
        <v>0</v>
      </c>
      <c r="AA37" s="217">
        <v>0</v>
      </c>
      <c r="AB37" s="217">
        <v>0</v>
      </c>
      <c r="AC37" s="217">
        <v>0</v>
      </c>
      <c r="AD37" s="217">
        <v>0</v>
      </c>
      <c r="AE37" s="216">
        <v>0</v>
      </c>
      <c r="AF37" s="217">
        <v>0</v>
      </c>
      <c r="AG37" s="217">
        <v>0</v>
      </c>
      <c r="AH37" s="217">
        <v>0</v>
      </c>
      <c r="AI37" s="217">
        <v>0</v>
      </c>
      <c r="AJ37" s="217">
        <v>0</v>
      </c>
      <c r="AK37" s="217">
        <v>0</v>
      </c>
      <c r="AL37" s="217">
        <v>0</v>
      </c>
      <c r="AM37" s="217">
        <v>0</v>
      </c>
      <c r="AN37" s="217">
        <v>0</v>
      </c>
      <c r="AO37" s="217">
        <v>0</v>
      </c>
      <c r="AP37" s="217">
        <v>0</v>
      </c>
      <c r="AQ37" s="217">
        <v>0</v>
      </c>
      <c r="AR37" s="216">
        <f t="shared" ref="AR37:AR45" si="14">SUM(AS37:BD37)</f>
        <v>5618.8899999999994</v>
      </c>
      <c r="AS37" s="217">
        <f>DSUM(G_ENE_2016,GASTO,G_CBR)</f>
        <v>0</v>
      </c>
      <c r="AT37" s="217">
        <f>DSUM(G_FEB_2016,GASTO,G_CBR)</f>
        <v>0</v>
      </c>
      <c r="AU37" s="217">
        <f>DSUM(G_MAR_2016,GASTO,G_CBR)</f>
        <v>0</v>
      </c>
      <c r="AV37" s="217">
        <f>DSUM(G_ABR_2016,GASTO,G_CBR)</f>
        <v>400</v>
      </c>
      <c r="AW37" s="217">
        <f>DSUM(G_MAY_2016,GASTO,G_CBR)</f>
        <v>0</v>
      </c>
      <c r="AX37" s="217">
        <f>DSUM(G_JUN_2016,GASTO,G_CBR)</f>
        <v>0</v>
      </c>
      <c r="AY37" s="217">
        <f>DSUM(G_JUL_2016,GASTO,G_CBR)</f>
        <v>0</v>
      </c>
      <c r="AZ37" s="217">
        <f>DSUM(G_AGO_2016,GASTO,G_CBR)</f>
        <v>0</v>
      </c>
      <c r="BA37" s="217">
        <f>DSUM(G_SEP_2016,GASTO,G_CBR)</f>
        <v>800</v>
      </c>
      <c r="BB37" s="217">
        <f>DSUM(G_OCT_2016,GASTO,G_CBR)</f>
        <v>1698.5</v>
      </c>
      <c r="BC37" s="217">
        <f>DSUM(G_NOV_2016,GASTO,G_CBR)</f>
        <v>1235.8899999999999</v>
      </c>
      <c r="BD37" s="217">
        <f>DSUM(G_DIC_2016,GASTO,G_CBR)</f>
        <v>1484.5</v>
      </c>
    </row>
    <row r="38" spans="1:56" x14ac:dyDescent="0.2">
      <c r="A38" s="286" t="s">
        <v>1868</v>
      </c>
      <c r="B38" s="286"/>
      <c r="C38" s="228" t="s">
        <v>2933</v>
      </c>
      <c r="D38" s="220"/>
      <c r="E38" s="220">
        <v>25828.329999999998</v>
      </c>
      <c r="F38" s="190">
        <v>6481.3899999999994</v>
      </c>
      <c r="G38" s="190">
        <v>6605.32</v>
      </c>
      <c r="H38" s="190">
        <v>4579.51</v>
      </c>
      <c r="I38" s="190">
        <v>5100</v>
      </c>
      <c r="J38" s="190">
        <v>3008.19</v>
      </c>
      <c r="K38" s="190">
        <v>53.92</v>
      </c>
      <c r="L38" s="190">
        <v>0</v>
      </c>
      <c r="M38" s="190">
        <v>0</v>
      </c>
      <c r="N38" s="190">
        <v>0</v>
      </c>
      <c r="O38" s="190">
        <v>0</v>
      </c>
      <c r="P38" s="190">
        <v>0</v>
      </c>
      <c r="Q38" s="190">
        <v>0</v>
      </c>
      <c r="R38" s="220">
        <v>18000</v>
      </c>
      <c r="S38" s="190">
        <v>400</v>
      </c>
      <c r="T38" s="190">
        <v>400</v>
      </c>
      <c r="U38" s="190">
        <v>1000</v>
      </c>
      <c r="V38" s="190">
        <v>1600</v>
      </c>
      <c r="W38" s="190">
        <v>2000</v>
      </c>
      <c r="X38" s="190">
        <v>1600</v>
      </c>
      <c r="Y38" s="190">
        <v>1600</v>
      </c>
      <c r="Z38" s="190">
        <v>2000</v>
      </c>
      <c r="AA38" s="190">
        <v>1800</v>
      </c>
      <c r="AB38" s="190">
        <v>2000</v>
      </c>
      <c r="AC38" s="190">
        <v>1600</v>
      </c>
      <c r="AD38" s="190">
        <v>2000</v>
      </c>
      <c r="AE38" s="220">
        <v>95277.959999999992</v>
      </c>
      <c r="AF38" s="190">
        <v>2500</v>
      </c>
      <c r="AG38" s="190">
        <v>2400</v>
      </c>
      <c r="AH38" s="190">
        <v>2600</v>
      </c>
      <c r="AI38" s="190">
        <v>2400</v>
      </c>
      <c r="AJ38" s="190">
        <v>2520</v>
      </c>
      <c r="AK38" s="190">
        <v>2400</v>
      </c>
      <c r="AL38" s="190">
        <v>6050</v>
      </c>
      <c r="AM38" s="190">
        <v>11791.51</v>
      </c>
      <c r="AN38" s="190">
        <v>14313.4</v>
      </c>
      <c r="AO38" s="190">
        <v>19297.150000000001</v>
      </c>
      <c r="AP38" s="190">
        <v>13181.5</v>
      </c>
      <c r="AQ38" s="190">
        <v>15824.4</v>
      </c>
      <c r="AR38" s="220">
        <f t="shared" si="14"/>
        <v>126361.1</v>
      </c>
      <c r="AS38" s="190">
        <f>DSUM(G_ENE_2016,GASTO,G_ORG)</f>
        <v>13582.220000000001</v>
      </c>
      <c r="AT38" s="190">
        <f>DSUM(G_FEB_2016,GASTO,G_ORG)</f>
        <v>14088.82</v>
      </c>
      <c r="AU38" s="190">
        <f>DSUM(G_MAR_2016,GASTO,G_ORG)</f>
        <v>9400</v>
      </c>
      <c r="AV38" s="190">
        <f>DSUM(G_ABR_2016,GASTO,G_ORG)</f>
        <v>12000</v>
      </c>
      <c r="AW38" s="190">
        <f>DSUM(G_MAY_2016,GASTO,G_ORG)</f>
        <v>13000</v>
      </c>
      <c r="AX38" s="190">
        <f>DSUM(G_JUN_2016,GASTO,G_ORG)</f>
        <v>11000</v>
      </c>
      <c r="AY38" s="190">
        <f>DSUM(G_JUL_2016,GASTO,G_ORG)</f>
        <v>13290.060000000001</v>
      </c>
      <c r="AZ38" s="190">
        <f>DSUM(G_AGO_2016,GASTO,G_ORG)</f>
        <v>8000</v>
      </c>
      <c r="BA38" s="190">
        <f>DSUM(G_SEP_2016,GASTO,G_ORG)</f>
        <v>8000</v>
      </c>
      <c r="BB38" s="190">
        <f>DSUM(G_OCT_2016,GASTO,G_ORG)</f>
        <v>8000</v>
      </c>
      <c r="BC38" s="190">
        <f>DSUM(G_NOV_2016,GASTO,G_ORG)</f>
        <v>8000</v>
      </c>
      <c r="BD38" s="190">
        <f>DSUM(G_DIC_2016,GASTO,G_ORG)</f>
        <v>8000</v>
      </c>
    </row>
    <row r="39" spans="1:56" x14ac:dyDescent="0.2">
      <c r="A39" s="286" t="s">
        <v>1540</v>
      </c>
      <c r="B39" s="286"/>
      <c r="C39" s="219" t="s">
        <v>2934</v>
      </c>
      <c r="D39" s="220"/>
      <c r="E39" s="220">
        <v>0</v>
      </c>
      <c r="F39" s="190">
        <v>0</v>
      </c>
      <c r="G39" s="190">
        <v>0</v>
      </c>
      <c r="H39" s="190">
        <v>0</v>
      </c>
      <c r="I39" s="190">
        <v>0</v>
      </c>
      <c r="J39" s="190">
        <v>0</v>
      </c>
      <c r="K39" s="190">
        <v>0</v>
      </c>
      <c r="L39" s="190">
        <v>0</v>
      </c>
      <c r="M39" s="190">
        <v>0</v>
      </c>
      <c r="N39" s="190">
        <v>0</v>
      </c>
      <c r="O39" s="190">
        <v>0</v>
      </c>
      <c r="P39" s="190">
        <v>0</v>
      </c>
      <c r="Q39" s="190">
        <v>0</v>
      </c>
      <c r="R39" s="220">
        <v>444.78000000000009</v>
      </c>
      <c r="S39" s="190">
        <v>23.25</v>
      </c>
      <c r="T39" s="190">
        <v>113.54</v>
      </c>
      <c r="U39" s="190">
        <v>105.47999999999999</v>
      </c>
      <c r="V39" s="190">
        <v>64.930000000000007</v>
      </c>
      <c r="W39" s="190">
        <v>23.54</v>
      </c>
      <c r="X39" s="190">
        <v>53.39</v>
      </c>
      <c r="Y39" s="190">
        <v>29.54</v>
      </c>
      <c r="Z39" s="190">
        <v>-0.46</v>
      </c>
      <c r="AA39" s="190">
        <v>9.07</v>
      </c>
      <c r="AB39" s="190">
        <v>-0.28999999999999998</v>
      </c>
      <c r="AC39" s="190">
        <v>-0.46</v>
      </c>
      <c r="AD39" s="190">
        <v>23.25</v>
      </c>
      <c r="AE39" s="220">
        <v>536.35</v>
      </c>
      <c r="AF39" s="190">
        <v>-0.46</v>
      </c>
      <c r="AG39" s="190">
        <v>-0.55000000000000004</v>
      </c>
      <c r="AH39" s="190">
        <v>335.46</v>
      </c>
      <c r="AI39" s="190">
        <v>-0.75</v>
      </c>
      <c r="AJ39" s="190">
        <v>13</v>
      </c>
      <c r="AK39" s="190">
        <v>83.1</v>
      </c>
      <c r="AL39" s="190">
        <v>55</v>
      </c>
      <c r="AM39" s="190">
        <v>-0.9</v>
      </c>
      <c r="AN39" s="190">
        <v>27.14</v>
      </c>
      <c r="AO39" s="190">
        <v>12.96</v>
      </c>
      <c r="AP39" s="190">
        <v>13.1</v>
      </c>
      <c r="AQ39" s="190">
        <v>-0.75</v>
      </c>
      <c r="AR39" s="220">
        <f t="shared" si="14"/>
        <v>682.02</v>
      </c>
      <c r="AS39" s="190">
        <f>DSUM(G_ENE_2016,GASTO,G_P_FIN)</f>
        <v>0</v>
      </c>
      <c r="AT39" s="190">
        <f>DSUM(G_FEB_2016,GASTO,G_P_FIN)</f>
        <v>-0.28999999999999998</v>
      </c>
      <c r="AU39" s="190">
        <f>DSUM(G_MAR_2016,GASTO,G_P_FIN)</f>
        <v>12.89</v>
      </c>
      <c r="AV39" s="190">
        <f>DSUM(G_ABR_2016,GASTO,G_P_FIN)</f>
        <v>83.54</v>
      </c>
      <c r="AW39" s="190">
        <f>DSUM(G_MAY_2016,GASTO,G_P_FIN)</f>
        <v>69.540000000000006</v>
      </c>
      <c r="AX39" s="190">
        <f>DSUM(G_JUN_2016,GASTO,G_P_FIN)</f>
        <v>83.54</v>
      </c>
      <c r="AY39" s="190">
        <f>DSUM(G_JUL_2016,GASTO,G_P_FIN)</f>
        <v>71.539999999999992</v>
      </c>
      <c r="AZ39" s="190">
        <f>DSUM(G_AGO_2016,GASTO,G_P_FIN)</f>
        <v>69.540000000000006</v>
      </c>
      <c r="BA39" s="190">
        <f>DSUM(G_SEP_2016,GASTO,G_P_FIN)</f>
        <v>97.54</v>
      </c>
      <c r="BB39" s="190">
        <f>DSUM(G_OCT_2016,GASTO,G_P_FIN)</f>
        <v>41.54</v>
      </c>
      <c r="BC39" s="190">
        <f>DSUM(G_NOV_2016,GASTO,G_P_FIN)</f>
        <v>83.54</v>
      </c>
      <c r="BD39" s="190">
        <f>DSUM(G_DIC_2016,GASTO,G_P_FIN)</f>
        <v>69.099999999999994</v>
      </c>
    </row>
    <row r="40" spans="1:56" x14ac:dyDescent="0.2">
      <c r="A40" s="286" t="s">
        <v>1814</v>
      </c>
      <c r="B40" s="286"/>
      <c r="C40" s="219" t="s">
        <v>2935</v>
      </c>
      <c r="D40" s="220"/>
      <c r="E40" s="220">
        <v>13800</v>
      </c>
      <c r="F40" s="190">
        <v>1160</v>
      </c>
      <c r="G40" s="190">
        <v>1160</v>
      </c>
      <c r="H40" s="190">
        <v>2320</v>
      </c>
      <c r="I40" s="190">
        <v>1160</v>
      </c>
      <c r="J40" s="190">
        <v>0</v>
      </c>
      <c r="K40" s="190">
        <v>0</v>
      </c>
      <c r="L40" s="190">
        <v>0</v>
      </c>
      <c r="M40" s="190">
        <v>0</v>
      </c>
      <c r="N40" s="190">
        <v>0</v>
      </c>
      <c r="O40" s="190">
        <v>2000</v>
      </c>
      <c r="P40" s="190">
        <v>3000</v>
      </c>
      <c r="Q40" s="190">
        <v>3000</v>
      </c>
      <c r="R40" s="220">
        <v>12166.21</v>
      </c>
      <c r="S40" s="190">
        <v>0</v>
      </c>
      <c r="T40" s="190">
        <v>1000</v>
      </c>
      <c r="U40" s="190">
        <v>862.07</v>
      </c>
      <c r="V40" s="190">
        <v>0</v>
      </c>
      <c r="W40" s="190">
        <v>2000</v>
      </c>
      <c r="X40" s="190">
        <v>862.07</v>
      </c>
      <c r="Y40" s="190">
        <v>862.07</v>
      </c>
      <c r="Z40" s="190">
        <v>862</v>
      </c>
      <c r="AA40" s="190">
        <v>3994</v>
      </c>
      <c r="AB40" s="190">
        <v>862</v>
      </c>
      <c r="AC40" s="190">
        <v>862</v>
      </c>
      <c r="AD40" s="190">
        <v>0</v>
      </c>
      <c r="AE40" s="220">
        <v>12085.929999999998</v>
      </c>
      <c r="AF40" s="190">
        <v>1768</v>
      </c>
      <c r="AG40" s="190">
        <v>906</v>
      </c>
      <c r="AH40" s="190">
        <v>962</v>
      </c>
      <c r="AI40" s="190">
        <v>905</v>
      </c>
      <c r="AJ40" s="190">
        <v>905</v>
      </c>
      <c r="AK40" s="190">
        <v>0</v>
      </c>
      <c r="AL40" s="190">
        <v>949</v>
      </c>
      <c r="AM40" s="190">
        <v>949</v>
      </c>
      <c r="AN40" s="190">
        <v>905</v>
      </c>
      <c r="AO40" s="190">
        <v>991.38</v>
      </c>
      <c r="AP40" s="190">
        <v>949</v>
      </c>
      <c r="AQ40" s="190">
        <v>1896.55</v>
      </c>
      <c r="AR40" s="220">
        <f t="shared" si="14"/>
        <v>38248.22</v>
      </c>
      <c r="AS40" s="190">
        <f>DSUM(G_ENE_2016,GASTO,G_HCTB)</f>
        <v>1145.17</v>
      </c>
      <c r="AT40" s="190">
        <f>DSUM(G_FEB_2016,GASTO,G_HCTB)</f>
        <v>1055.17</v>
      </c>
      <c r="AU40" s="190">
        <f>DSUM(G_MAR_2016,GASTO,G_HCTB)</f>
        <v>1155.17</v>
      </c>
      <c r="AV40" s="190">
        <f>DSUM(G_ABR_2016,GASTO,G_HCTB)</f>
        <v>1514.3700000000001</v>
      </c>
      <c r="AW40" s="190">
        <f>DSUM(G_MAY_2016,GASTO,G_HCTB)</f>
        <v>1704</v>
      </c>
      <c r="AX40" s="190">
        <f>DSUM(G_JUN_2016,GASTO,G_HCTB)</f>
        <v>1224</v>
      </c>
      <c r="AY40" s="190">
        <f>DSUM(G_JUL_2016,GASTO,G_HCTB)</f>
        <v>1224</v>
      </c>
      <c r="AZ40" s="190">
        <f>DSUM(G_AGO_2016,GASTO,G_HCTB)</f>
        <v>5224</v>
      </c>
      <c r="BA40" s="190">
        <f>DSUM(G_SEP_2016,GASTO,G_HCTB)</f>
        <v>6224</v>
      </c>
      <c r="BB40" s="190">
        <f>DSUM(G_OCT_2016,GASTO,G_HCTB)</f>
        <v>5344</v>
      </c>
      <c r="BC40" s="190">
        <f>DSUM(G_NOV_2016,GASTO,G_HCTB)</f>
        <v>5324</v>
      </c>
      <c r="BD40" s="190">
        <f>DSUM(G_DIC_2016,GASTO,G_HCTB)</f>
        <v>7110.34</v>
      </c>
    </row>
    <row r="41" spans="1:56" x14ac:dyDescent="0.2">
      <c r="A41" s="286" t="s">
        <v>1828</v>
      </c>
      <c r="B41" s="286"/>
      <c r="C41" s="219" t="s">
        <v>2936</v>
      </c>
      <c r="D41" s="220"/>
      <c r="E41" s="220">
        <v>8052</v>
      </c>
      <c r="F41" s="190">
        <v>0</v>
      </c>
      <c r="G41" s="190">
        <v>0</v>
      </c>
      <c r="H41" s="190">
        <v>0</v>
      </c>
      <c r="I41" s="190">
        <v>0</v>
      </c>
      <c r="J41" s="190">
        <v>8052</v>
      </c>
      <c r="K41" s="190">
        <v>0</v>
      </c>
      <c r="L41" s="190">
        <v>0</v>
      </c>
      <c r="M41" s="190">
        <v>0</v>
      </c>
      <c r="N41" s="190">
        <v>0</v>
      </c>
      <c r="O41" s="190">
        <v>0</v>
      </c>
      <c r="P41" s="190">
        <v>0</v>
      </c>
      <c r="Q41" s="190">
        <v>0</v>
      </c>
      <c r="R41" s="220">
        <v>500</v>
      </c>
      <c r="S41" s="190">
        <v>0</v>
      </c>
      <c r="T41" s="190">
        <v>0</v>
      </c>
      <c r="U41" s="190">
        <v>0</v>
      </c>
      <c r="V41" s="190">
        <v>0</v>
      </c>
      <c r="W41" s="190">
        <v>0</v>
      </c>
      <c r="X41" s="190">
        <v>500</v>
      </c>
      <c r="Y41" s="190">
        <v>0</v>
      </c>
      <c r="Z41" s="190">
        <v>0</v>
      </c>
      <c r="AA41" s="190">
        <v>0</v>
      </c>
      <c r="AB41" s="190">
        <v>0</v>
      </c>
      <c r="AC41" s="190">
        <v>0</v>
      </c>
      <c r="AD41" s="190">
        <v>0</v>
      </c>
      <c r="AE41" s="220">
        <v>4350.99</v>
      </c>
      <c r="AF41" s="190">
        <v>0</v>
      </c>
      <c r="AG41" s="190">
        <v>0</v>
      </c>
      <c r="AH41" s="190">
        <v>0</v>
      </c>
      <c r="AI41" s="190">
        <v>0</v>
      </c>
      <c r="AJ41" s="190">
        <v>0</v>
      </c>
      <c r="AK41" s="190">
        <v>0</v>
      </c>
      <c r="AL41" s="190">
        <v>0</v>
      </c>
      <c r="AM41" s="190">
        <v>0</v>
      </c>
      <c r="AN41" s="190">
        <v>0</v>
      </c>
      <c r="AO41" s="190">
        <v>0</v>
      </c>
      <c r="AP41" s="190">
        <v>0</v>
      </c>
      <c r="AQ41" s="190">
        <v>4350.99</v>
      </c>
      <c r="AR41" s="220">
        <f t="shared" si="14"/>
        <v>4000</v>
      </c>
      <c r="AS41" s="190">
        <f>DSUM(G_ENE_2016,GASTO,G_HJRD)</f>
        <v>0</v>
      </c>
      <c r="AT41" s="190">
        <f>DSUM(G_FEB_2016,GASTO,G_HJRD)</f>
        <v>0</v>
      </c>
      <c r="AU41" s="190">
        <f>DSUM(G_MAR_2016,GASTO,G_HJRD)</f>
        <v>0</v>
      </c>
      <c r="AV41" s="190">
        <f>DSUM(G_ABR_2016,GASTO,G_HJRD)</f>
        <v>0</v>
      </c>
      <c r="AW41" s="190">
        <f>DSUM(G_MAY_2016,GASTO,G_HJRD)</f>
        <v>0</v>
      </c>
      <c r="AX41" s="190">
        <f>DSUM(G_JUN_2016,GASTO,G_HJRD)</f>
        <v>4000</v>
      </c>
      <c r="AY41" s="190">
        <f>DSUM(G_JUL_2016,GASTO,G_HJRD)</f>
        <v>0</v>
      </c>
      <c r="AZ41" s="190">
        <f>DSUM(G_AGO_2016,GASTO,G_HJRD)</f>
        <v>0</v>
      </c>
      <c r="BA41" s="190">
        <f>DSUM(G_SEP_2016,GASTO,G_HJRD)</f>
        <v>0</v>
      </c>
      <c r="BB41" s="190">
        <f>DSUM(G_OCT_2016,GASTO,G_HJRD)</f>
        <v>0</v>
      </c>
      <c r="BC41" s="190">
        <f>DSUM(G_NOV_2016,GASTO,G_HJRD)</f>
        <v>0</v>
      </c>
      <c r="BD41" s="190">
        <f>DSUM(G_DIC_2016,GASTO,G_HJRD)</f>
        <v>0</v>
      </c>
    </row>
    <row r="42" spans="1:56" x14ac:dyDescent="0.2">
      <c r="A42" s="286" t="s">
        <v>1549</v>
      </c>
      <c r="B42" s="286"/>
      <c r="C42" s="219" t="s">
        <v>2937</v>
      </c>
      <c r="D42" s="220"/>
      <c r="E42" s="220">
        <v>4000</v>
      </c>
      <c r="F42" s="190">
        <v>0</v>
      </c>
      <c r="G42" s="190">
        <v>4000</v>
      </c>
      <c r="H42" s="190">
        <v>0</v>
      </c>
      <c r="I42" s="190">
        <v>0</v>
      </c>
      <c r="J42" s="190">
        <v>0</v>
      </c>
      <c r="K42" s="190">
        <v>0</v>
      </c>
      <c r="L42" s="190">
        <v>0</v>
      </c>
      <c r="M42" s="190">
        <v>0</v>
      </c>
      <c r="N42" s="190">
        <v>0</v>
      </c>
      <c r="O42" s="190">
        <v>0</v>
      </c>
      <c r="P42" s="190">
        <v>0</v>
      </c>
      <c r="Q42" s="190">
        <v>0</v>
      </c>
      <c r="R42" s="220">
        <v>0</v>
      </c>
      <c r="S42" s="190">
        <v>0</v>
      </c>
      <c r="T42" s="190">
        <v>0</v>
      </c>
      <c r="U42" s="190">
        <v>0</v>
      </c>
      <c r="V42" s="190">
        <v>0</v>
      </c>
      <c r="W42" s="190">
        <v>0</v>
      </c>
      <c r="X42" s="190">
        <v>0</v>
      </c>
      <c r="Y42" s="190">
        <v>0</v>
      </c>
      <c r="Z42" s="190">
        <v>0</v>
      </c>
      <c r="AA42" s="190">
        <v>0</v>
      </c>
      <c r="AB42" s="190">
        <v>0</v>
      </c>
      <c r="AC42" s="190">
        <v>0</v>
      </c>
      <c r="AD42" s="190">
        <v>0</v>
      </c>
      <c r="AE42" s="220">
        <v>400</v>
      </c>
      <c r="AF42" s="190">
        <v>0</v>
      </c>
      <c r="AG42" s="190">
        <v>0</v>
      </c>
      <c r="AH42" s="190">
        <v>0</v>
      </c>
      <c r="AI42" s="190">
        <v>0</v>
      </c>
      <c r="AJ42" s="190">
        <v>0</v>
      </c>
      <c r="AK42" s="190">
        <v>0</v>
      </c>
      <c r="AL42" s="190">
        <v>0</v>
      </c>
      <c r="AM42" s="190">
        <v>0</v>
      </c>
      <c r="AN42" s="190">
        <v>400</v>
      </c>
      <c r="AO42" s="190">
        <v>0</v>
      </c>
      <c r="AP42" s="190">
        <v>0</v>
      </c>
      <c r="AQ42" s="190">
        <v>0</v>
      </c>
      <c r="AR42" s="220">
        <f t="shared" si="14"/>
        <v>0</v>
      </c>
      <c r="AS42" s="190">
        <f>DSUM(G_ENE_2016,GASTO,G_ASLE)</f>
        <v>0</v>
      </c>
      <c r="AT42" s="190">
        <f>DSUM(G_FEB_2016,GASTO,G_ASLE)</f>
        <v>0</v>
      </c>
      <c r="AU42" s="190">
        <f>DSUM(G_MAR_2016,GASTO,G_ASLE)</f>
        <v>0</v>
      </c>
      <c r="AV42" s="190">
        <f>DSUM(G_ABR_2016,GASTO,G_ASLE)</f>
        <v>0</v>
      </c>
      <c r="AW42" s="190">
        <f>DSUM(G_MAY_2016,GASTO,G_ASLE)</f>
        <v>0</v>
      </c>
      <c r="AX42" s="190">
        <f>DSUM(G_JUN_2016,GASTO,G_ASLE)</f>
        <v>0</v>
      </c>
      <c r="AY42" s="190">
        <f>DSUM(G_JUL_2016,GASTO,G_ASLE)</f>
        <v>0</v>
      </c>
      <c r="AZ42" s="190">
        <f>DSUM(G_AGO_2016,GASTO,G_ASLE)</f>
        <v>0</v>
      </c>
      <c r="BA42" s="190">
        <f>DSUM(G_SEP_2016,GASTO,G_ASLE)</f>
        <v>0</v>
      </c>
      <c r="BB42" s="190">
        <f>DSUM(G_SEP_2016,GASTO,G_ASLE)</f>
        <v>0</v>
      </c>
      <c r="BC42" s="190">
        <f>DSUM(G_NOV_2016,GASTO,G_ASLE)</f>
        <v>0</v>
      </c>
      <c r="BD42" s="190">
        <f>DSUM(G_DIC_2016,GASTO,G_ASLE)</f>
        <v>0</v>
      </c>
    </row>
    <row r="43" spans="1:56" x14ac:dyDescent="0.2">
      <c r="A43" s="286" t="s">
        <v>1869</v>
      </c>
      <c r="B43" s="286"/>
      <c r="C43" s="219" t="s">
        <v>2938</v>
      </c>
      <c r="D43" s="220"/>
      <c r="E43" s="220">
        <v>12273.359999999999</v>
      </c>
      <c r="F43" s="190">
        <v>1438</v>
      </c>
      <c r="G43" s="190">
        <v>287.5</v>
      </c>
      <c r="H43" s="190">
        <v>1002.69</v>
      </c>
      <c r="I43" s="190">
        <v>1217.31</v>
      </c>
      <c r="J43" s="190">
        <v>1497</v>
      </c>
      <c r="K43" s="190">
        <v>124.03</v>
      </c>
      <c r="L43" s="190">
        <v>686.36</v>
      </c>
      <c r="M43" s="190">
        <v>342.51</v>
      </c>
      <c r="N43" s="190">
        <v>2077.14</v>
      </c>
      <c r="O43" s="190">
        <v>1094.8400000000001</v>
      </c>
      <c r="P43" s="190">
        <v>1201.48</v>
      </c>
      <c r="Q43" s="190">
        <v>1304.5</v>
      </c>
      <c r="R43" s="220">
        <v>16619.730000000003</v>
      </c>
      <c r="S43" s="190">
        <v>358.24</v>
      </c>
      <c r="T43" s="190">
        <v>1652.7700000000002</v>
      </c>
      <c r="U43" s="190">
        <v>1439.29</v>
      </c>
      <c r="V43" s="190">
        <v>841.43000000000006</v>
      </c>
      <c r="W43" s="190">
        <v>2234.39</v>
      </c>
      <c r="X43" s="190">
        <v>1070.8499999999999</v>
      </c>
      <c r="Y43" s="190">
        <v>1595.1</v>
      </c>
      <c r="Z43" s="190">
        <v>1791.3899999999999</v>
      </c>
      <c r="AA43" s="190">
        <v>1641.6100000000001</v>
      </c>
      <c r="AB43" s="190">
        <v>2296.77</v>
      </c>
      <c r="AC43" s="190">
        <v>1536.8899999999999</v>
      </c>
      <c r="AD43" s="190">
        <v>161</v>
      </c>
      <c r="AE43" s="220">
        <v>20682.802</v>
      </c>
      <c r="AF43" s="190">
        <v>1460</v>
      </c>
      <c r="AG43" s="190">
        <v>718.63199999999995</v>
      </c>
      <c r="AH43" s="190">
        <v>650</v>
      </c>
      <c r="AI43" s="190">
        <v>2572.4</v>
      </c>
      <c r="AJ43" s="190">
        <v>867.1</v>
      </c>
      <c r="AK43" s="190">
        <v>1256.9099999999999</v>
      </c>
      <c r="AL43" s="190">
        <v>1798.45</v>
      </c>
      <c r="AM43" s="190">
        <v>1997.8899999999999</v>
      </c>
      <c r="AN43" s="190">
        <v>2115.77</v>
      </c>
      <c r="AO43" s="190">
        <v>3959.3300000000004</v>
      </c>
      <c r="AP43" s="190">
        <v>89</v>
      </c>
      <c r="AQ43" s="190">
        <v>3197.3199999999997</v>
      </c>
      <c r="AR43" s="220">
        <f t="shared" si="14"/>
        <v>26505.29</v>
      </c>
      <c r="AS43" s="190">
        <f>DSUM(G_ENE_2016,GASTO,G_PAPE)</f>
        <v>1705.17</v>
      </c>
      <c r="AT43" s="190">
        <f>DSUM(G_FEB_2016,GASTO,G_PAPE)</f>
        <v>1788.89</v>
      </c>
      <c r="AU43" s="190">
        <f>DSUM(G_MAR_2016,GASTO,G_PAPE)</f>
        <v>1826.78</v>
      </c>
      <c r="AV43" s="190">
        <f>DSUM(G_ABR_2016,GASTO,G_PAPE)</f>
        <v>514.75</v>
      </c>
      <c r="AW43" s="190">
        <f>DSUM(G_MAY_2016,GASTO,G_PAPE)</f>
        <v>4065.98</v>
      </c>
      <c r="AX43" s="190">
        <f>DSUM(G_JUN_2016,GASTO,G_PAPE)</f>
        <v>2232</v>
      </c>
      <c r="AY43" s="190">
        <f>DSUM(G_JUL_2016,GASTO,G_PAPE)</f>
        <v>2020.54</v>
      </c>
      <c r="AZ43" s="190">
        <f>DSUM(G_AGO_2016,GASTO,G_PAPE)</f>
        <v>3703.0499999999997</v>
      </c>
      <c r="BA43" s="190">
        <f>DSUM(G_SEP_2016,GASTO,G_PAPE)</f>
        <v>1283.72</v>
      </c>
      <c r="BB43" s="190">
        <f>DSUM(G_OCT_2016,GASTO,G_PAPE)</f>
        <v>2333.6999999999998</v>
      </c>
      <c r="BC43" s="190">
        <f>DSUM(G_NOV_2016,GASTO,G_PAPE)</f>
        <v>3240.91</v>
      </c>
      <c r="BD43" s="190">
        <f>DSUM(G_DIC_2016,GASTO,G_PAPE)</f>
        <v>1789.8</v>
      </c>
    </row>
    <row r="44" spans="1:56" x14ac:dyDescent="0.2">
      <c r="A44" s="286" t="s">
        <v>1886</v>
      </c>
      <c r="B44" s="286"/>
      <c r="C44" s="219" t="s">
        <v>2939</v>
      </c>
      <c r="D44" s="220"/>
      <c r="E44" s="220">
        <v>1255.3399999999999</v>
      </c>
      <c r="F44" s="190">
        <v>0</v>
      </c>
      <c r="G44" s="190">
        <v>0</v>
      </c>
      <c r="H44" s="190">
        <v>0</v>
      </c>
      <c r="I44" s="190">
        <v>0</v>
      </c>
      <c r="J44" s="190">
        <v>0</v>
      </c>
      <c r="K44" s="190">
        <v>392</v>
      </c>
      <c r="L44" s="190">
        <v>0</v>
      </c>
      <c r="M44" s="190">
        <v>0</v>
      </c>
      <c r="N44" s="190">
        <v>661.5</v>
      </c>
      <c r="O44" s="190">
        <v>0</v>
      </c>
      <c r="P44" s="190">
        <v>0</v>
      </c>
      <c r="Q44" s="190">
        <v>201.84</v>
      </c>
      <c r="R44" s="220">
        <v>3847.6</v>
      </c>
      <c r="S44" s="190">
        <v>0</v>
      </c>
      <c r="T44" s="190">
        <v>660.6</v>
      </c>
      <c r="U44" s="190">
        <v>0</v>
      </c>
      <c r="V44" s="190">
        <v>209</v>
      </c>
      <c r="W44" s="190">
        <v>0</v>
      </c>
      <c r="X44" s="190">
        <v>150</v>
      </c>
      <c r="Y44" s="190">
        <v>45</v>
      </c>
      <c r="Z44" s="190">
        <v>638</v>
      </c>
      <c r="AA44" s="190">
        <v>0</v>
      </c>
      <c r="AB44" s="190">
        <v>1645</v>
      </c>
      <c r="AC44" s="190">
        <v>500</v>
      </c>
      <c r="AD44" s="190">
        <v>0</v>
      </c>
      <c r="AE44" s="220">
        <v>14092.87</v>
      </c>
      <c r="AF44" s="190">
        <v>194.66</v>
      </c>
      <c r="AG44" s="190">
        <v>92.88</v>
      </c>
      <c r="AH44" s="190">
        <v>0</v>
      </c>
      <c r="AI44" s="190">
        <v>0</v>
      </c>
      <c r="AJ44" s="190">
        <v>116.25</v>
      </c>
      <c r="AK44" s="190">
        <v>9690.52</v>
      </c>
      <c r="AL44" s="190">
        <v>948.56</v>
      </c>
      <c r="AM44" s="190">
        <v>0</v>
      </c>
      <c r="AN44" s="190">
        <v>0</v>
      </c>
      <c r="AO44" s="190">
        <v>0</v>
      </c>
      <c r="AP44" s="190">
        <v>0</v>
      </c>
      <c r="AQ44" s="190">
        <v>3050</v>
      </c>
      <c r="AR44" s="220">
        <f t="shared" si="14"/>
        <v>1991</v>
      </c>
      <c r="AS44" s="190">
        <f>DSUM(G_ENE_2016,GASTO,G_DIF)</f>
        <v>0</v>
      </c>
      <c r="AT44" s="190">
        <f>DSUM(G_FEB_2016,GASTO,G_DIF)</f>
        <v>250</v>
      </c>
      <c r="AU44" s="190">
        <f>DSUM(G_MAR_2016,GASTO,G_DIF)</f>
        <v>150</v>
      </c>
      <c r="AV44" s="190">
        <f>DSUM(G_ABR_2016,GASTO,G_DIF)</f>
        <v>0</v>
      </c>
      <c r="AW44" s="190">
        <f>DSUM(G_MAY_2016,GASTO,G_DIF)</f>
        <v>0</v>
      </c>
      <c r="AX44" s="190">
        <f>DSUM(G_JUN_2016,GASTO,G_DIF)</f>
        <v>0</v>
      </c>
      <c r="AY44" s="190">
        <f>DSUM(G_JUL_2016,GASTO,G_DIF)</f>
        <v>0</v>
      </c>
      <c r="AZ44" s="190">
        <f>DSUM(G_AGO_2016,GASTO,G_DIF)</f>
        <v>0</v>
      </c>
      <c r="BA44" s="190">
        <f>DSUM(G_SEP_2016,GASTO,G_DIF)</f>
        <v>0</v>
      </c>
      <c r="BB44" s="190">
        <f>DSUM(G_OCT_2016,GASTO,G_DIF)</f>
        <v>506</v>
      </c>
      <c r="BC44" s="190">
        <f>DSUM(G_NOV_2016,GASTO,G_DIF)</f>
        <v>0</v>
      </c>
      <c r="BD44" s="190">
        <f>DSUM(G_DIC_2016,GASTO,G_DIF)</f>
        <v>1085</v>
      </c>
    </row>
    <row r="45" spans="1:56" x14ac:dyDescent="0.2">
      <c r="A45" s="286" t="s">
        <v>1876</v>
      </c>
      <c r="B45" s="286"/>
      <c r="C45" s="221" t="s">
        <v>2940</v>
      </c>
      <c r="D45" s="222"/>
      <c r="E45" s="222">
        <v>9059.9499999999989</v>
      </c>
      <c r="F45" s="223">
        <v>879</v>
      </c>
      <c r="G45" s="223">
        <v>938</v>
      </c>
      <c r="H45" s="223">
        <v>871</v>
      </c>
      <c r="I45" s="223">
        <v>812</v>
      </c>
      <c r="J45" s="223">
        <v>685.03</v>
      </c>
      <c r="K45" s="223">
        <v>0</v>
      </c>
      <c r="L45" s="223">
        <v>1594.0900000000001</v>
      </c>
      <c r="M45" s="223">
        <v>0</v>
      </c>
      <c r="N45" s="223">
        <v>978.2</v>
      </c>
      <c r="O45" s="223">
        <v>786</v>
      </c>
      <c r="P45" s="223">
        <v>677.63</v>
      </c>
      <c r="Q45" s="223">
        <v>839</v>
      </c>
      <c r="R45" s="222">
        <v>9962</v>
      </c>
      <c r="S45" s="223">
        <v>786</v>
      </c>
      <c r="T45" s="223">
        <v>798</v>
      </c>
      <c r="U45" s="223">
        <v>786</v>
      </c>
      <c r="V45" s="223">
        <v>786</v>
      </c>
      <c r="W45" s="223">
        <v>1572</v>
      </c>
      <c r="X45" s="223">
        <v>0</v>
      </c>
      <c r="Y45" s="223">
        <v>1681</v>
      </c>
      <c r="Z45" s="223">
        <v>0</v>
      </c>
      <c r="AA45" s="223">
        <v>1874</v>
      </c>
      <c r="AB45" s="223">
        <v>863</v>
      </c>
      <c r="AC45" s="223">
        <v>0</v>
      </c>
      <c r="AD45" s="223">
        <v>816</v>
      </c>
      <c r="AE45" s="222">
        <v>12869</v>
      </c>
      <c r="AF45" s="223">
        <v>0</v>
      </c>
      <c r="AG45" s="223">
        <v>1688</v>
      </c>
      <c r="AH45" s="223">
        <v>988</v>
      </c>
      <c r="AI45" s="223">
        <v>1114</v>
      </c>
      <c r="AJ45" s="223">
        <v>1176</v>
      </c>
      <c r="AK45" s="223">
        <v>1240</v>
      </c>
      <c r="AL45" s="223">
        <v>1100</v>
      </c>
      <c r="AM45" s="223">
        <v>1025</v>
      </c>
      <c r="AN45" s="223">
        <v>1095</v>
      </c>
      <c r="AO45" s="223">
        <v>1187</v>
      </c>
      <c r="AP45" s="223">
        <v>1219</v>
      </c>
      <c r="AQ45" s="223">
        <v>1037</v>
      </c>
      <c r="AR45" s="222">
        <f t="shared" si="14"/>
        <v>11947</v>
      </c>
      <c r="AS45" s="223">
        <f>DSUM(G_ENE_2016,GASTO,G_TLF)</f>
        <v>1073</v>
      </c>
      <c r="AT45" s="223">
        <f>DSUM(G_FEB_2016,GASTO,G_TLF)</f>
        <v>997</v>
      </c>
      <c r="AU45" s="223">
        <f>DSUM(G_MAR_2016,GASTO,G_TLF)</f>
        <v>984</v>
      </c>
      <c r="AV45" s="223">
        <f>DSUM(G_ABR_2016,GASTO,G_TLF)</f>
        <v>991</v>
      </c>
      <c r="AW45" s="223">
        <f>DSUM(G_MAY_2016,GASTO,G_TLF)</f>
        <v>1104</v>
      </c>
      <c r="AX45" s="223">
        <f>DSUM(G_JUN_2016,GASTO,G_TLF)</f>
        <v>2386</v>
      </c>
      <c r="AY45" s="223">
        <f>DSUM(G_JUL_2016,GASTO,G_TLF)</f>
        <v>0</v>
      </c>
      <c r="AZ45" s="223">
        <f>DSUM(G_AGO_2016,GASTO,G_TLF)</f>
        <v>1098</v>
      </c>
      <c r="BA45" s="223">
        <f>DSUM(G_SEP_2016,GASTO,G_TLF)</f>
        <v>951</v>
      </c>
      <c r="BB45" s="223">
        <f>DSUM(G_OCT_2016,GASTO,G_TLF)</f>
        <v>791</v>
      </c>
      <c r="BC45" s="223">
        <f>DSUM(G_NOV_2016,GASTO,G_TLF)</f>
        <v>786</v>
      </c>
      <c r="BD45" s="223">
        <f>DSUM(G_DIC_2016,GASTO,G_TLF)</f>
        <v>786</v>
      </c>
    </row>
    <row r="46" spans="1:56" x14ac:dyDescent="0.2">
      <c r="A46" s="286"/>
      <c r="B46" s="286"/>
      <c r="C46" s="224" t="s">
        <v>2941</v>
      </c>
      <c r="D46" s="211"/>
      <c r="E46" s="211">
        <v>5954.92</v>
      </c>
      <c r="F46" s="211">
        <v>1.92</v>
      </c>
      <c r="G46" s="211">
        <v>3.84</v>
      </c>
      <c r="H46" s="211">
        <v>4.8</v>
      </c>
      <c r="I46" s="211">
        <v>37.33</v>
      </c>
      <c r="J46" s="211">
        <v>232.75</v>
      </c>
      <c r="K46" s="211">
        <v>108.52</v>
      </c>
      <c r="L46" s="211">
        <v>968.88000000000022</v>
      </c>
      <c r="M46" s="211">
        <v>432.42</v>
      </c>
      <c r="N46" s="211">
        <v>768.12999999999988</v>
      </c>
      <c r="O46" s="211">
        <v>786.91999999999985</v>
      </c>
      <c r="P46" s="211">
        <v>1635.1999999999998</v>
      </c>
      <c r="Q46" s="225">
        <v>974.21</v>
      </c>
      <c r="R46" s="227">
        <v>16523.82</v>
      </c>
      <c r="S46" s="211">
        <v>1767.15</v>
      </c>
      <c r="T46" s="211">
        <v>-1338.73</v>
      </c>
      <c r="U46" s="211">
        <v>1149.29</v>
      </c>
      <c r="V46" s="211">
        <v>2045.1100000000001</v>
      </c>
      <c r="W46" s="211">
        <v>-440.40999999999985</v>
      </c>
      <c r="X46" s="225">
        <v>1630.8000000000002</v>
      </c>
      <c r="Y46" s="225">
        <v>5392.84</v>
      </c>
      <c r="Z46" s="225">
        <v>1929.79</v>
      </c>
      <c r="AA46" s="225">
        <v>-1085.0699999999997</v>
      </c>
      <c r="AB46" s="225">
        <v>3712.1799999999994</v>
      </c>
      <c r="AC46" s="225">
        <v>1188.6400000000003</v>
      </c>
      <c r="AD46" s="225">
        <v>572.2299999999999</v>
      </c>
      <c r="AE46" s="227">
        <v>10612.36</v>
      </c>
      <c r="AF46" s="211">
        <v>-1287.8499999999999</v>
      </c>
      <c r="AG46" s="211">
        <v>2019.98</v>
      </c>
      <c r="AH46" s="211">
        <v>310.84000000000015</v>
      </c>
      <c r="AI46" s="211">
        <v>155.97000000000003</v>
      </c>
      <c r="AJ46" s="211">
        <v>147.24</v>
      </c>
      <c r="AK46" s="211">
        <v>573.07000000000016</v>
      </c>
      <c r="AL46" s="211">
        <v>2108.9</v>
      </c>
      <c r="AM46" s="211">
        <v>628.79000000000042</v>
      </c>
      <c r="AN46" s="211">
        <v>1125.2300000000005</v>
      </c>
      <c r="AO46" s="211">
        <v>438.49</v>
      </c>
      <c r="AP46" s="211">
        <v>345.52000000000021</v>
      </c>
      <c r="AQ46" s="211">
        <v>4046.1799999999994</v>
      </c>
      <c r="AR46" s="227">
        <f t="shared" ref="AR46:AY46" si="15">SUM(AR47)</f>
        <v>6166.36</v>
      </c>
      <c r="AS46" s="211">
        <f t="shared" si="15"/>
        <v>392.17999999999984</v>
      </c>
      <c r="AT46" s="211">
        <f t="shared" si="15"/>
        <v>678.7800000000002</v>
      </c>
      <c r="AU46" s="211">
        <f t="shared" si="15"/>
        <v>1664.3099999999993</v>
      </c>
      <c r="AV46" s="211">
        <f t="shared" si="15"/>
        <v>464.84999999999985</v>
      </c>
      <c r="AW46" s="211">
        <f t="shared" si="15"/>
        <v>246.41000000000003</v>
      </c>
      <c r="AX46" s="211">
        <f t="shared" si="15"/>
        <v>43.630000000000052</v>
      </c>
      <c r="AY46" s="211">
        <f t="shared" si="15"/>
        <v>681.02999999999975</v>
      </c>
      <c r="AZ46" s="211">
        <f>SUM(AZ47)</f>
        <v>750.15000000000032</v>
      </c>
      <c r="BA46" s="211">
        <f>SUM(BA47)</f>
        <v>345.65000000000026</v>
      </c>
      <c r="BB46" s="211">
        <f>SUM(BB47)</f>
        <v>105.83000000000013</v>
      </c>
      <c r="BC46" s="211">
        <f>SUM(BC47)</f>
        <v>79.150000000000034</v>
      </c>
      <c r="BD46" s="211">
        <f>SUM(BD47)</f>
        <v>714.3900000000001</v>
      </c>
    </row>
    <row r="47" spans="1:56" x14ac:dyDescent="0.2">
      <c r="A47" s="286" t="s">
        <v>2942</v>
      </c>
      <c r="B47" s="286"/>
      <c r="C47" s="229" t="s">
        <v>2943</v>
      </c>
      <c r="D47" s="230"/>
      <c r="E47" s="230">
        <v>5954.92</v>
      </c>
      <c r="F47" s="217">
        <v>1.92</v>
      </c>
      <c r="G47" s="217">
        <v>3.84</v>
      </c>
      <c r="H47" s="217">
        <v>4.8</v>
      </c>
      <c r="I47" s="217">
        <v>37.33</v>
      </c>
      <c r="J47" s="217">
        <v>232.75</v>
      </c>
      <c r="K47" s="217">
        <v>108.52</v>
      </c>
      <c r="L47" s="217">
        <v>968.88000000000022</v>
      </c>
      <c r="M47" s="217">
        <v>432.42</v>
      </c>
      <c r="N47" s="217">
        <v>768.12999999999988</v>
      </c>
      <c r="O47" s="217">
        <v>786.91999999999985</v>
      </c>
      <c r="P47" s="217">
        <v>1635.1999999999998</v>
      </c>
      <c r="Q47" s="217">
        <v>974.21</v>
      </c>
      <c r="R47" s="230">
        <v>16523.82</v>
      </c>
      <c r="S47" s="217">
        <v>1767.15</v>
      </c>
      <c r="T47" s="217">
        <v>-1338.73</v>
      </c>
      <c r="U47" s="217">
        <v>1149.29</v>
      </c>
      <c r="V47" s="217">
        <v>2045.1100000000001</v>
      </c>
      <c r="W47" s="217">
        <v>-440.40999999999985</v>
      </c>
      <c r="X47" s="217">
        <v>1630.8000000000002</v>
      </c>
      <c r="Y47" s="217">
        <v>5392.84</v>
      </c>
      <c r="Z47" s="217">
        <v>1929.79</v>
      </c>
      <c r="AA47" s="217">
        <v>-1085.0699999999997</v>
      </c>
      <c r="AB47" s="217">
        <v>3712.1799999999994</v>
      </c>
      <c r="AC47" s="217">
        <v>1188.6400000000003</v>
      </c>
      <c r="AD47" s="217">
        <v>572.2299999999999</v>
      </c>
      <c r="AE47" s="230">
        <v>10612.36</v>
      </c>
      <c r="AF47" s="217">
        <v>-1287.8499999999999</v>
      </c>
      <c r="AG47" s="217">
        <v>2019.98</v>
      </c>
      <c r="AH47" s="217">
        <v>310.84000000000015</v>
      </c>
      <c r="AI47" s="217">
        <v>155.97000000000003</v>
      </c>
      <c r="AJ47" s="217">
        <v>147.24</v>
      </c>
      <c r="AK47" s="217">
        <v>573.07000000000016</v>
      </c>
      <c r="AL47" s="217">
        <v>2108.9</v>
      </c>
      <c r="AM47" s="217">
        <v>628.79000000000042</v>
      </c>
      <c r="AN47" s="217">
        <v>1125.2300000000005</v>
      </c>
      <c r="AO47" s="217">
        <v>438.49</v>
      </c>
      <c r="AP47" s="217">
        <v>345.52000000000021</v>
      </c>
      <c r="AQ47" s="217">
        <v>4046.1799999999994</v>
      </c>
      <c r="AR47" s="230">
        <f>SUM(AS47:BD47)</f>
        <v>6166.36</v>
      </c>
      <c r="AS47" s="217">
        <f>DSUM(G_ENE_2016,IVA,G_TOTAL)</f>
        <v>392.17999999999984</v>
      </c>
      <c r="AT47" s="217">
        <f>DSUM(G_FEB_2016,IVA,G_TOTAL)</f>
        <v>678.7800000000002</v>
      </c>
      <c r="AU47" s="217">
        <f>DSUM(G_MAR_2016,IVA,G_TOTAL)</f>
        <v>1664.3099999999993</v>
      </c>
      <c r="AV47" s="217">
        <f>DSUM(G_ABR_2016,IVA,G_TOTAL)</f>
        <v>464.84999999999985</v>
      </c>
      <c r="AW47" s="217">
        <f>DSUM(G_MAY_2016,IVA,G_TOTAL)</f>
        <v>246.41000000000003</v>
      </c>
      <c r="AX47" s="217">
        <f>DSUM(G_JUN_2016,IVA,G_TOTAL)</f>
        <v>43.630000000000052</v>
      </c>
      <c r="AY47" s="217">
        <f>DSUM(G_JUL_2016,IVA,G_TOTAL)</f>
        <v>681.02999999999975</v>
      </c>
      <c r="AZ47" s="217">
        <f>DSUM(G_AGO_2016,IVA,G_TOTAL)</f>
        <v>750.15000000000032</v>
      </c>
      <c r="BA47" s="217">
        <f>DSUM(G_SEP_2016,IVA,G_TOTAL)</f>
        <v>345.65000000000026</v>
      </c>
      <c r="BB47" s="217">
        <f>DSUM(G_OCT_2016,IVA,G_TOTAL)</f>
        <v>105.83000000000013</v>
      </c>
      <c r="BC47" s="217">
        <f>DSUM(G_NOV_2016,IVA,G_TOTAL)</f>
        <v>79.150000000000034</v>
      </c>
      <c r="BD47" s="217">
        <f>DSUM(G_DIC_2016,IVA,G_TOTAL)</f>
        <v>714.3900000000001</v>
      </c>
    </row>
    <row r="48" spans="1:56" ht="21.95" customHeight="1" thickBot="1" x14ac:dyDescent="0.25">
      <c r="A48" s="231"/>
      <c r="B48" s="231"/>
      <c r="C48" s="198" t="s">
        <v>2944</v>
      </c>
      <c r="D48" s="199">
        <v>0</v>
      </c>
      <c r="E48" s="199">
        <v>1065424.3099999998</v>
      </c>
      <c r="F48" s="199">
        <v>137992.95999999999</v>
      </c>
      <c r="G48" s="199">
        <v>109553.06999999998</v>
      </c>
      <c r="H48" s="199">
        <v>85166</v>
      </c>
      <c r="I48" s="199">
        <v>73705.64</v>
      </c>
      <c r="J48" s="199">
        <v>94775.89</v>
      </c>
      <c r="K48" s="199">
        <v>64916.30999999999</v>
      </c>
      <c r="L48" s="199">
        <v>65841.89</v>
      </c>
      <c r="M48" s="199">
        <v>65683.58</v>
      </c>
      <c r="N48" s="199">
        <v>77560.899999999994</v>
      </c>
      <c r="O48" s="199">
        <v>84060.389999999985</v>
      </c>
      <c r="P48" s="199">
        <v>77118.689999999988</v>
      </c>
      <c r="Q48" s="199">
        <v>129048.99</v>
      </c>
      <c r="R48" s="232">
        <v>1207345.32</v>
      </c>
      <c r="S48" s="233">
        <v>88230.05</v>
      </c>
      <c r="T48" s="234">
        <v>70309.88</v>
      </c>
      <c r="U48" s="234">
        <v>93669.889999999985</v>
      </c>
      <c r="V48" s="234">
        <v>105547.73</v>
      </c>
      <c r="W48" s="234">
        <v>120213.48999999999</v>
      </c>
      <c r="X48" s="234">
        <v>94412.780000000013</v>
      </c>
      <c r="Y48" s="234">
        <v>119567.01</v>
      </c>
      <c r="Z48" s="234">
        <v>100607.73</v>
      </c>
      <c r="AA48" s="234">
        <v>95719.889999999985</v>
      </c>
      <c r="AB48" s="234">
        <v>99833.51999999999</v>
      </c>
      <c r="AC48" s="234">
        <v>89955.819999999992</v>
      </c>
      <c r="AD48" s="234">
        <v>129277.52999999998</v>
      </c>
      <c r="AE48" s="235">
        <v>1529246.1020000002</v>
      </c>
      <c r="AF48" s="236">
        <v>87002.95</v>
      </c>
      <c r="AG48" s="236">
        <v>101569.942</v>
      </c>
      <c r="AH48" s="236">
        <v>87995.28</v>
      </c>
      <c r="AI48" s="236">
        <v>94695.15</v>
      </c>
      <c r="AJ48" s="236">
        <v>132802.38999999998</v>
      </c>
      <c r="AK48" s="236">
        <v>224758.06</v>
      </c>
      <c r="AL48" s="236">
        <v>158161.51999999999</v>
      </c>
      <c r="AM48" s="236">
        <v>111281.18</v>
      </c>
      <c r="AN48" s="236">
        <v>113473.56999999999</v>
      </c>
      <c r="AO48" s="236">
        <v>103275.42</v>
      </c>
      <c r="AP48" s="236">
        <v>129288.54000000001</v>
      </c>
      <c r="AQ48" s="236">
        <v>184942.09999999998</v>
      </c>
      <c r="AR48" s="235">
        <f t="shared" ref="AR48:AV48" si="16">SUM(AR15,AR23,AR28,AR36,AR46)</f>
        <v>1438774.0710000002</v>
      </c>
      <c r="AS48" s="236">
        <f t="shared" si="16"/>
        <v>112565.82999999999</v>
      </c>
      <c r="AT48" s="236">
        <f t="shared" si="16"/>
        <v>122424.12</v>
      </c>
      <c r="AU48" s="236">
        <f t="shared" si="16"/>
        <v>102595.66</v>
      </c>
      <c r="AV48" s="236">
        <f t="shared" si="16"/>
        <v>116821.351</v>
      </c>
      <c r="AW48" s="236">
        <f t="shared" ref="AW48:BB48" si="17">SUM(AW15,AW23,AW28,AW36,AW46)</f>
        <v>120836.64000000001</v>
      </c>
      <c r="AX48" s="236">
        <f t="shared" si="17"/>
        <v>125890.13000000003</v>
      </c>
      <c r="AY48" s="236">
        <f t="shared" si="17"/>
        <v>124341.14</v>
      </c>
      <c r="AZ48" s="236">
        <f t="shared" si="17"/>
        <v>125820.20999999999</v>
      </c>
      <c r="BA48" s="236">
        <f t="shared" si="17"/>
        <v>130230.75</v>
      </c>
      <c r="BB48" s="236">
        <f t="shared" si="17"/>
        <v>80541.52</v>
      </c>
      <c r="BC48" s="236">
        <f t="shared" ref="BC48" si="18">SUM(BC15,BC23,BC28,BC36,BC46)</f>
        <v>123367.37999999999</v>
      </c>
      <c r="BD48" s="236">
        <f>SUM(BD15,BD23,BD28,BD36,BD46)</f>
        <v>153339.34000000003</v>
      </c>
    </row>
    <row r="49" spans="1:56" ht="21.95" customHeight="1" thickTop="1" thickBot="1" x14ac:dyDescent="0.25">
      <c r="C49" s="237" t="s">
        <v>2945</v>
      </c>
      <c r="D49" s="199"/>
      <c r="E49" s="199">
        <v>50654.40000000014</v>
      </c>
      <c r="F49" s="199">
        <v>6052.0400000000081</v>
      </c>
      <c r="G49" s="200">
        <v>-6298.0699999999779</v>
      </c>
      <c r="H49" s="199">
        <v>12889</v>
      </c>
      <c r="I49" s="199">
        <v>-10710.64</v>
      </c>
      <c r="J49" s="199">
        <v>-1190.8899999999994</v>
      </c>
      <c r="K49" s="199">
        <v>20598.69000000001</v>
      </c>
      <c r="L49" s="199">
        <v>17193.11</v>
      </c>
      <c r="M49" s="199">
        <v>9872.1300000000047</v>
      </c>
      <c r="N49" s="199">
        <v>25154.100000000006</v>
      </c>
      <c r="O49" s="199">
        <v>-5545.3899999999849</v>
      </c>
      <c r="P49" s="199">
        <v>-3083.6899999999878</v>
      </c>
      <c r="Q49" s="199">
        <v>-14275.990000000005</v>
      </c>
      <c r="R49" s="238">
        <v>84254.679999999935</v>
      </c>
      <c r="S49" s="238">
        <v>48284.95</v>
      </c>
      <c r="T49" s="239">
        <v>66265.119999999995</v>
      </c>
      <c r="U49" s="238">
        <v>26595.110000000015</v>
      </c>
      <c r="V49" s="238">
        <v>-18672.729999999996</v>
      </c>
      <c r="W49" s="238">
        <v>-27538.489999999991</v>
      </c>
      <c r="X49" s="238">
        <v>-13637.780000000013</v>
      </c>
      <c r="Y49" s="238">
        <v>-27082.009999999995</v>
      </c>
      <c r="Z49" s="238">
        <v>22242.270000000004</v>
      </c>
      <c r="AA49" s="238">
        <v>33890.110000000015</v>
      </c>
      <c r="AB49" s="238">
        <v>-17098.51999999999</v>
      </c>
      <c r="AC49" s="238">
        <v>34599.180000000008</v>
      </c>
      <c r="AD49" s="238">
        <v>-43592.529999999984</v>
      </c>
      <c r="AE49" s="240">
        <v>-160736.10200000019</v>
      </c>
      <c r="AF49" s="238">
        <v>70632.05</v>
      </c>
      <c r="AG49" s="238">
        <v>8735.0580000000045</v>
      </c>
      <c r="AH49" s="238">
        <v>47259.72</v>
      </c>
      <c r="AI49" s="238">
        <v>6179.8500000000058</v>
      </c>
      <c r="AJ49" s="240">
        <v>-25407.389999999985</v>
      </c>
      <c r="AK49" s="240">
        <v>-131533.06</v>
      </c>
      <c r="AL49" s="240">
        <v>-73951.51999999999</v>
      </c>
      <c r="AM49" s="238">
        <v>153.82000000000698</v>
      </c>
      <c r="AN49" s="238">
        <v>1906.4300000000076</v>
      </c>
      <c r="AO49" s="238">
        <v>11859.580000000002</v>
      </c>
      <c r="AP49" s="240">
        <v>-523.54000000000815</v>
      </c>
      <c r="AQ49" s="240">
        <v>-76047.099999999977</v>
      </c>
      <c r="AR49" s="240">
        <f t="shared" ref="AR49:AW49" si="19">AR13-AR48</f>
        <v>28955.928999999771</v>
      </c>
      <c r="AS49" s="238">
        <f t="shared" si="19"/>
        <v>105124.17000000001</v>
      </c>
      <c r="AT49" s="238">
        <f t="shared" si="19"/>
        <v>-23654.119999999995</v>
      </c>
      <c r="AU49" s="238">
        <f t="shared" si="19"/>
        <v>-17900.660000000003</v>
      </c>
      <c r="AV49" s="238">
        <f t="shared" si="19"/>
        <v>-10266.350999999995</v>
      </c>
      <c r="AW49" s="238">
        <f t="shared" si="19"/>
        <v>-3791.640000000014</v>
      </c>
      <c r="AX49" s="238">
        <f t="shared" ref="AX49:BC49" si="20">AX13-AX48</f>
        <v>21144.869999999966</v>
      </c>
      <c r="AY49" s="238">
        <f t="shared" si="20"/>
        <v>4883.8600000000006</v>
      </c>
      <c r="AZ49" s="238">
        <f t="shared" si="20"/>
        <v>-8095.2099999999919</v>
      </c>
      <c r="BA49" s="238">
        <f t="shared" si="20"/>
        <v>-24155.75</v>
      </c>
      <c r="BB49" s="238">
        <f t="shared" si="20"/>
        <v>13883.479999999996</v>
      </c>
      <c r="BC49" s="238">
        <f t="shared" si="20"/>
        <v>-10152.37999999999</v>
      </c>
      <c r="BD49" s="238">
        <f t="shared" ref="BD49" si="21">BD13-BD48</f>
        <v>-18064.340000000026</v>
      </c>
    </row>
    <row r="50" spans="1:56" ht="21.95" customHeight="1" thickTop="1" thickBot="1" x14ac:dyDescent="0.25">
      <c r="C50" s="241" t="s">
        <v>2946</v>
      </c>
      <c r="D50" s="242"/>
      <c r="E50" s="242"/>
      <c r="F50" s="242"/>
      <c r="G50" s="242"/>
      <c r="H50" s="242"/>
      <c r="I50" s="242"/>
      <c r="J50" s="242"/>
      <c r="K50" s="242"/>
      <c r="L50" s="242"/>
      <c r="M50" s="242"/>
      <c r="N50" s="242"/>
      <c r="O50" s="242"/>
      <c r="P50" s="242"/>
      <c r="Q50" s="242"/>
      <c r="R50" s="243"/>
      <c r="S50" s="242"/>
      <c r="T50" s="242"/>
      <c r="U50" s="242"/>
      <c r="V50" s="242"/>
      <c r="W50" s="242"/>
      <c r="X50" s="244"/>
      <c r="Y50" s="244"/>
      <c r="Z50" s="244"/>
      <c r="AA50" s="244"/>
      <c r="AB50" s="244"/>
      <c r="AC50" s="244"/>
      <c r="AD50" s="244"/>
      <c r="AE50" s="243"/>
      <c r="AF50" s="242"/>
      <c r="AG50" s="242"/>
      <c r="AH50" s="242"/>
      <c r="AI50" s="242"/>
      <c r="AJ50" s="242"/>
      <c r="AK50" s="242"/>
      <c r="AL50" s="242"/>
      <c r="AM50" s="242"/>
      <c r="AN50" s="242"/>
      <c r="AO50" s="242"/>
      <c r="AP50" s="242"/>
      <c r="AQ50" s="242"/>
      <c r="AR50" s="243"/>
      <c r="AS50" s="242"/>
      <c r="AT50" s="242"/>
      <c r="AU50" s="242"/>
      <c r="AV50" s="242"/>
      <c r="AW50" s="242"/>
      <c r="AX50" s="242"/>
      <c r="AY50" s="242"/>
      <c r="AZ50" s="242"/>
      <c r="BA50" s="242"/>
      <c r="BB50" s="242"/>
      <c r="BC50" s="242"/>
      <c r="BD50" s="242"/>
    </row>
    <row r="51" spans="1:56" ht="13.5" thickTop="1" x14ac:dyDescent="0.2">
      <c r="A51" s="245"/>
      <c r="B51" s="245"/>
      <c r="C51" s="215" t="s">
        <v>2947</v>
      </c>
      <c r="D51" s="190"/>
      <c r="E51" s="190"/>
      <c r="F51" s="190"/>
      <c r="G51" s="190"/>
      <c r="H51" s="190">
        <v>8240.4199999999983</v>
      </c>
      <c r="I51" s="190">
        <v>9963.2199999999975</v>
      </c>
      <c r="J51" s="246">
        <v>-1948.4200000000055</v>
      </c>
      <c r="K51" s="190">
        <v>5978.3999999999978</v>
      </c>
      <c r="L51" s="190">
        <v>27985.620000000006</v>
      </c>
      <c r="M51" s="190">
        <v>33078.120000000017</v>
      </c>
      <c r="N51" s="190">
        <v>32349.500000000022</v>
      </c>
      <c r="O51" s="190">
        <v>46787.500000000029</v>
      </c>
      <c r="P51" s="190">
        <v>30641.36000000003</v>
      </c>
      <c r="Q51" s="247">
        <v>17257.210000000036</v>
      </c>
      <c r="R51" s="190">
        <v>8208.3100000000268</v>
      </c>
      <c r="S51" s="190">
        <v>8208.3100000000268</v>
      </c>
      <c r="T51" s="190">
        <v>-27269.649999999951</v>
      </c>
      <c r="U51" s="190">
        <v>4242.4500000000698</v>
      </c>
      <c r="V51" s="190">
        <v>-16115.659999999916</v>
      </c>
      <c r="W51" s="190">
        <v>15087.100000000064</v>
      </c>
      <c r="X51" s="190">
        <v>875.990000000078</v>
      </c>
      <c r="Y51" s="190">
        <v>30000.240000000049</v>
      </c>
      <c r="Z51" s="190">
        <v>2652.5700000000361</v>
      </c>
      <c r="AA51" s="190">
        <v>10994.380000000063</v>
      </c>
      <c r="AB51" s="190">
        <v>25485.480000000069</v>
      </c>
      <c r="AC51" s="190">
        <v>7786.2100000000792</v>
      </c>
      <c r="AD51" s="190">
        <v>30084.640000000072</v>
      </c>
      <c r="AE51" s="190">
        <v>42219.200000000099</v>
      </c>
      <c r="AF51" s="190">
        <v>42219.200000000099</v>
      </c>
      <c r="AG51" s="190">
        <v>77370.790000000095</v>
      </c>
      <c r="AH51" s="190">
        <v>85405.098000000056</v>
      </c>
      <c r="AI51" s="190">
        <v>80404.068000000145</v>
      </c>
      <c r="AJ51" s="190">
        <v>68723.168000000063</v>
      </c>
      <c r="AK51" s="190">
        <v>60871.01800000004</v>
      </c>
      <c r="AL51" s="190">
        <v>28414.498000000051</v>
      </c>
      <c r="AM51" s="190">
        <v>41826.938000000111</v>
      </c>
      <c r="AN51" s="190">
        <v>26319.858000000124</v>
      </c>
      <c r="AO51" s="190">
        <v>19437.908000000127</v>
      </c>
      <c r="AP51" s="190">
        <v>36252.688000000133</v>
      </c>
      <c r="AQ51" s="190">
        <v>36724.488000000121</v>
      </c>
      <c r="AR51" s="190">
        <f>AQ54</f>
        <v>3799.8180000001448</v>
      </c>
      <c r="AS51" s="190">
        <f>AQ54</f>
        <v>3799.8180000001448</v>
      </c>
      <c r="AT51" s="190">
        <f t="shared" ref="AT51:BD51" si="22">AS54</f>
        <v>108923.98800000016</v>
      </c>
      <c r="AU51" s="190">
        <f t="shared" si="22"/>
        <v>24209.578000000161</v>
      </c>
      <c r="AV51" s="190">
        <f t="shared" si="22"/>
        <v>-5835.9519999998447</v>
      </c>
      <c r="AW51" s="190">
        <f t="shared" si="22"/>
        <v>-5573.3229999998366</v>
      </c>
      <c r="AX51" s="190">
        <f>AW54</f>
        <v>-5910.2229999998526</v>
      </c>
      <c r="AY51" s="190">
        <f t="shared" si="22"/>
        <v>21520.627000000117</v>
      </c>
      <c r="AZ51" s="190">
        <f t="shared" si="22"/>
        <v>32771.547000000115</v>
      </c>
      <c r="BA51" s="190">
        <f>AZ54</f>
        <v>7871.0770000001212</v>
      </c>
      <c r="BB51" s="190">
        <f t="shared" si="22"/>
        <v>-7315.4529999998776</v>
      </c>
      <c r="BC51" s="190">
        <f t="shared" si="22"/>
        <v>8540.2870000001203</v>
      </c>
      <c r="BD51" s="190">
        <f t="shared" si="22"/>
        <v>30408.88700000013</v>
      </c>
    </row>
    <row r="52" spans="1:56" ht="13.5" thickBot="1" x14ac:dyDescent="0.25">
      <c r="A52" s="245"/>
      <c r="B52" s="245"/>
      <c r="C52" s="219" t="s">
        <v>2948</v>
      </c>
      <c r="D52" s="190"/>
      <c r="E52" s="190"/>
      <c r="F52" s="190"/>
      <c r="G52" s="190"/>
      <c r="H52" s="190">
        <v>21140.39</v>
      </c>
      <c r="I52" s="190">
        <v>32306.59</v>
      </c>
      <c r="J52" s="190">
        <v>33507.590000000004</v>
      </c>
      <c r="K52" s="190">
        <v>24389.88</v>
      </c>
      <c r="L52" s="190">
        <v>22981.350000000002</v>
      </c>
      <c r="M52" s="190">
        <v>35081.96</v>
      </c>
      <c r="N52" s="190">
        <v>45682.71</v>
      </c>
      <c r="O52" s="190">
        <v>56398.81</v>
      </c>
      <c r="P52" s="190">
        <v>66999.560000000012</v>
      </c>
      <c r="Q52" s="190">
        <v>77300.020000000019</v>
      </c>
      <c r="R52" s="190">
        <v>72072.930000000022</v>
      </c>
      <c r="S52" s="190">
        <v>72072.930000000022</v>
      </c>
      <c r="T52" s="190">
        <v>155835.84</v>
      </c>
      <c r="U52" s="190">
        <v>190588.86</v>
      </c>
      <c r="V52" s="190">
        <v>237542.08</v>
      </c>
      <c r="W52" s="190">
        <v>187666.59</v>
      </c>
      <c r="X52" s="190">
        <v>174339.21</v>
      </c>
      <c r="Y52" s="190">
        <v>131577.18</v>
      </c>
      <c r="Z52" s="190">
        <v>131842.84</v>
      </c>
      <c r="AA52" s="190">
        <v>145743.29999999999</v>
      </c>
      <c r="AB52" s="190">
        <v>165142.31</v>
      </c>
      <c r="AC52" s="190">
        <v>165743.06</v>
      </c>
      <c r="AD52" s="190">
        <v>178043.81</v>
      </c>
      <c r="AE52" s="190">
        <v>122316.72</v>
      </c>
      <c r="AF52" s="190">
        <v>122316.72</v>
      </c>
      <c r="AG52" s="190">
        <v>157797.18</v>
      </c>
      <c r="AH52" s="190">
        <v>158497.93000000005</v>
      </c>
      <c r="AI52" s="190">
        <v>210758.68</v>
      </c>
      <c r="AJ52" s="190">
        <v>228619.43000000005</v>
      </c>
      <c r="AK52" s="190">
        <v>211064.19000000006</v>
      </c>
      <c r="AL52" s="190">
        <v>111987.65000000005</v>
      </c>
      <c r="AM52" s="190">
        <v>24623.69</v>
      </c>
      <c r="AN52" s="190">
        <v>40284.589999999997</v>
      </c>
      <c r="AO52" s="190">
        <v>49072.97</v>
      </c>
      <c r="AP52" s="190">
        <v>44117.77</v>
      </c>
      <c r="AQ52" s="190">
        <v>43122.43</v>
      </c>
      <c r="AR52" s="190">
        <f>AQ56</f>
        <v>0</v>
      </c>
      <c r="AS52" s="190">
        <f>AQ56</f>
        <v>0</v>
      </c>
      <c r="AT52" s="190">
        <f t="shared" ref="AT52:AY52" si="23">AS56</f>
        <v>0</v>
      </c>
      <c r="AU52" s="190">
        <f t="shared" si="23"/>
        <v>61060.29</v>
      </c>
      <c r="AV52" s="190">
        <f t="shared" si="23"/>
        <v>73205.16</v>
      </c>
      <c r="AW52" s="190">
        <f t="shared" si="23"/>
        <v>62676.18</v>
      </c>
      <c r="AX52" s="190">
        <f t="shared" si="23"/>
        <v>59221.440000000002</v>
      </c>
      <c r="AY52" s="190">
        <f t="shared" si="23"/>
        <v>52935.46</v>
      </c>
      <c r="AZ52" s="190">
        <f>AY56</f>
        <v>46568.4</v>
      </c>
      <c r="BA52" s="190">
        <f>AZ56</f>
        <v>63373.66</v>
      </c>
      <c r="BB52" s="190">
        <f>BA56</f>
        <v>54404.44</v>
      </c>
      <c r="BC52" s="190">
        <f>BB56</f>
        <v>52432.18</v>
      </c>
      <c r="BD52" s="190">
        <f>BC56</f>
        <v>20411.2</v>
      </c>
    </row>
    <row r="53" spans="1:56" ht="21.95" customHeight="1" thickTop="1" thickBot="1" x14ac:dyDescent="0.25">
      <c r="C53" s="241" t="s">
        <v>2949</v>
      </c>
      <c r="D53" s="242"/>
      <c r="E53" s="242"/>
      <c r="F53" s="242"/>
      <c r="G53" s="242"/>
      <c r="H53" s="242"/>
      <c r="I53" s="242"/>
      <c r="J53" s="242"/>
      <c r="K53" s="242"/>
      <c r="L53" s="244"/>
      <c r="M53" s="244"/>
      <c r="N53" s="244"/>
      <c r="O53" s="244"/>
      <c r="P53" s="244"/>
      <c r="Q53" s="238"/>
      <c r="R53" s="243"/>
      <c r="S53" s="242"/>
      <c r="T53" s="242"/>
      <c r="U53" s="242"/>
      <c r="V53" s="242"/>
      <c r="W53" s="242"/>
      <c r="X53" s="244"/>
      <c r="Y53" s="244"/>
      <c r="Z53" s="244"/>
      <c r="AA53" s="244"/>
      <c r="AB53" s="244"/>
      <c r="AC53" s="244"/>
      <c r="AD53" s="244"/>
      <c r="AE53" s="243"/>
      <c r="AF53" s="242"/>
      <c r="AG53" s="242"/>
      <c r="AH53" s="242"/>
      <c r="AI53" s="242"/>
      <c r="AJ53" s="242"/>
      <c r="AK53" s="242"/>
      <c r="AL53" s="242"/>
      <c r="AM53" s="242"/>
      <c r="AN53" s="242"/>
      <c r="AO53" s="242"/>
      <c r="AP53" s="242"/>
      <c r="AQ53" s="242"/>
      <c r="AR53" s="243"/>
      <c r="AS53" s="242"/>
      <c r="AT53" s="242"/>
      <c r="AU53" s="242"/>
      <c r="AV53" s="242"/>
      <c r="AW53" s="242"/>
      <c r="AX53" s="242"/>
      <c r="AY53" s="242"/>
      <c r="AZ53" s="242"/>
      <c r="BA53" s="242"/>
      <c r="BB53" s="242"/>
      <c r="BC53" s="242"/>
      <c r="BD53" s="242"/>
    </row>
    <row r="54" spans="1:56" ht="13.5" thickTop="1" x14ac:dyDescent="0.2">
      <c r="A54" s="245"/>
      <c r="B54" s="245"/>
      <c r="C54" s="248" t="s">
        <v>2947</v>
      </c>
      <c r="D54" s="247"/>
      <c r="E54" s="247"/>
      <c r="F54" s="247"/>
      <c r="G54" s="247">
        <v>8240.4199999999983</v>
      </c>
      <c r="H54" s="247">
        <v>9963.2199999999975</v>
      </c>
      <c r="I54" s="247">
        <v>-1948.4200000000055</v>
      </c>
      <c r="J54" s="247">
        <v>5978.3999999999978</v>
      </c>
      <c r="K54" s="247">
        <v>27985.620000000006</v>
      </c>
      <c r="L54" s="247">
        <v>33078.120000000017</v>
      </c>
      <c r="M54" s="247">
        <v>32349.500000000022</v>
      </c>
      <c r="N54" s="247">
        <v>46787.500000000029</v>
      </c>
      <c r="O54" s="247">
        <v>30641.36000000003</v>
      </c>
      <c r="P54" s="247">
        <v>17257.210000000036</v>
      </c>
      <c r="Q54" s="247">
        <v>8208.3100000000268</v>
      </c>
      <c r="R54" s="247">
        <v>-606.39000000001397</v>
      </c>
      <c r="S54" s="247">
        <v>-27269.649999999951</v>
      </c>
      <c r="T54" s="247">
        <v>4242.4500000000698</v>
      </c>
      <c r="U54" s="247">
        <v>-16115.659999999916</v>
      </c>
      <c r="V54" s="247">
        <v>15087.100000000064</v>
      </c>
      <c r="W54" s="247">
        <v>875.990000000078</v>
      </c>
      <c r="X54" s="247">
        <v>30000.240000000049</v>
      </c>
      <c r="Y54" s="247">
        <v>2652.5700000000361</v>
      </c>
      <c r="Z54" s="247">
        <v>10994.380000000063</v>
      </c>
      <c r="AA54" s="247">
        <v>25485.480000000069</v>
      </c>
      <c r="AB54" s="247">
        <v>7786.2100000000792</v>
      </c>
      <c r="AC54" s="247">
        <v>30084.640000000072</v>
      </c>
      <c r="AD54" s="247">
        <v>42219.200000000099</v>
      </c>
      <c r="AE54" s="247">
        <v>-45273.152000000089</v>
      </c>
      <c r="AF54" s="247">
        <v>77370.790000000095</v>
      </c>
      <c r="AG54" s="247">
        <v>85405.098000000056</v>
      </c>
      <c r="AH54" s="247">
        <v>80404.068000000145</v>
      </c>
      <c r="AI54" s="247">
        <v>68723.168000000063</v>
      </c>
      <c r="AJ54" s="247">
        <v>60871.01800000004</v>
      </c>
      <c r="AK54" s="247">
        <v>28414.498000000051</v>
      </c>
      <c r="AL54" s="247">
        <v>41826.938000000111</v>
      </c>
      <c r="AM54" s="247">
        <v>26319.858000000124</v>
      </c>
      <c r="AN54" s="247">
        <v>19437.908000000127</v>
      </c>
      <c r="AO54" s="247">
        <v>36252.688000000133</v>
      </c>
      <c r="AP54" s="247">
        <v>36724.488000000121</v>
      </c>
      <c r="AQ54" s="247">
        <v>3799.8180000001448</v>
      </c>
      <c r="AR54" s="247">
        <f t="shared" ref="AR54:AW54" si="24">SUM(AR51:AR52,AR49,-(AR56+AR55))</f>
        <v>-21648.693000000087</v>
      </c>
      <c r="AS54" s="247">
        <f>SUM(AS51:AS52,AS49,-(AS56+AS55))</f>
        <v>108923.98800000016</v>
      </c>
      <c r="AT54" s="247">
        <f t="shared" si="24"/>
        <v>24209.578000000161</v>
      </c>
      <c r="AU54" s="247">
        <f t="shared" si="24"/>
        <v>-5835.9519999998447</v>
      </c>
      <c r="AV54" s="247">
        <f t="shared" si="24"/>
        <v>-5573.3229999998366</v>
      </c>
      <c r="AW54" s="247">
        <f t="shared" si="24"/>
        <v>-5910.2229999998526</v>
      </c>
      <c r="AX54" s="247">
        <f t="shared" ref="AX54:BC54" si="25">SUM(AX51:AX52,AX49,-(AX56+AX55))</f>
        <v>21520.627000000117</v>
      </c>
      <c r="AY54" s="247">
        <f t="shared" si="25"/>
        <v>32771.547000000115</v>
      </c>
      <c r="AZ54" s="247">
        <f t="shared" si="25"/>
        <v>7871.0770000001212</v>
      </c>
      <c r="BA54" s="247">
        <f t="shared" si="25"/>
        <v>-7315.4529999998776</v>
      </c>
      <c r="BB54" s="247">
        <f t="shared" si="25"/>
        <v>8540.2870000001203</v>
      </c>
      <c r="BC54" s="247">
        <f t="shared" si="25"/>
        <v>30408.88700000013</v>
      </c>
      <c r="BD54" s="247">
        <f t="shared" ref="BD54" si="26">SUM(BD51:BD52,BD49,-(BD56+BD55))</f>
        <v>21307.847000000103</v>
      </c>
    </row>
    <row r="55" spans="1:56" x14ac:dyDescent="0.2">
      <c r="A55" s="245"/>
      <c r="B55" s="245"/>
      <c r="C55" s="249" t="s">
        <v>2950</v>
      </c>
      <c r="D55" s="250"/>
      <c r="E55" s="250"/>
      <c r="F55" s="250"/>
      <c r="G55" s="250"/>
      <c r="H55" s="250"/>
      <c r="I55" s="250"/>
      <c r="J55" s="250"/>
      <c r="K55" s="250"/>
      <c r="L55" s="250"/>
      <c r="M55" s="250"/>
      <c r="N55" s="250"/>
      <c r="O55" s="250"/>
      <c r="P55" s="250"/>
      <c r="Q55" s="250"/>
      <c r="R55" s="250">
        <v>0</v>
      </c>
      <c r="S55" s="250"/>
      <c r="T55" s="250"/>
      <c r="U55" s="250"/>
      <c r="V55" s="250"/>
      <c r="W55" s="250"/>
      <c r="X55" s="250"/>
      <c r="Y55" s="250"/>
      <c r="Z55" s="250"/>
      <c r="AA55" s="250"/>
      <c r="AB55" s="250"/>
      <c r="AC55" s="250"/>
      <c r="AD55" s="250"/>
      <c r="AE55" s="250">
        <v>0</v>
      </c>
      <c r="AF55" s="250"/>
      <c r="AG55" s="250"/>
      <c r="AH55" s="250"/>
      <c r="AI55" s="250"/>
      <c r="AJ55" s="250"/>
      <c r="AK55" s="250"/>
      <c r="AL55" s="250"/>
      <c r="AM55" s="250"/>
      <c r="AN55" s="250"/>
      <c r="AO55" s="250"/>
      <c r="AP55" s="250"/>
      <c r="AQ55" s="250"/>
      <c r="AR55" s="250">
        <f>BA55</f>
        <v>0</v>
      </c>
      <c r="AS55" s="250"/>
      <c r="AT55" s="250"/>
      <c r="AU55" s="250"/>
      <c r="AV55" s="250"/>
      <c r="AW55" s="250"/>
      <c r="AX55" s="250"/>
      <c r="AY55" s="250"/>
      <c r="AZ55" s="250"/>
      <c r="BA55" s="250"/>
      <c r="BB55" s="250"/>
      <c r="BC55" s="250"/>
      <c r="BD55" s="250"/>
    </row>
    <row r="56" spans="1:56" ht="13.5" thickBot="1" x14ac:dyDescent="0.25">
      <c r="A56" s="245"/>
      <c r="B56" s="245"/>
      <c r="C56" s="251" t="s">
        <v>2948</v>
      </c>
      <c r="D56" s="252"/>
      <c r="E56" s="252"/>
      <c r="F56" s="252"/>
      <c r="G56" s="252">
        <v>21140.39</v>
      </c>
      <c r="H56" s="252">
        <v>32306.59</v>
      </c>
      <c r="I56" s="252">
        <v>33507.590000000004</v>
      </c>
      <c r="J56" s="252">
        <v>24389.88</v>
      </c>
      <c r="K56" s="252">
        <v>22981.350000000002</v>
      </c>
      <c r="L56" s="252">
        <v>35081.96</v>
      </c>
      <c r="M56" s="252">
        <v>45682.71</v>
      </c>
      <c r="N56" s="252">
        <v>56398.81</v>
      </c>
      <c r="O56" s="252">
        <v>66999.560000000012</v>
      </c>
      <c r="P56" s="252">
        <v>77300.020000000019</v>
      </c>
      <c r="Q56" s="253">
        <v>72072.930000000022</v>
      </c>
      <c r="R56" s="252">
        <v>165142.31</v>
      </c>
      <c r="S56" s="252">
        <v>155835.84</v>
      </c>
      <c r="T56" s="252">
        <v>190588.86</v>
      </c>
      <c r="U56" s="252">
        <v>237542.08</v>
      </c>
      <c r="V56" s="252">
        <v>187666.59</v>
      </c>
      <c r="W56" s="252">
        <v>174339.21</v>
      </c>
      <c r="X56" s="252">
        <v>131577.18</v>
      </c>
      <c r="Y56" s="252">
        <v>131842.84</v>
      </c>
      <c r="Z56" s="252">
        <v>145743.29999999999</v>
      </c>
      <c r="AA56" s="252">
        <v>165142.31</v>
      </c>
      <c r="AB56" s="252">
        <v>165743.06</v>
      </c>
      <c r="AC56" s="252">
        <v>178043.81</v>
      </c>
      <c r="AD56" s="252">
        <v>122316.72</v>
      </c>
      <c r="AE56" s="254">
        <v>49072.97</v>
      </c>
      <c r="AF56" s="254">
        <v>157797.18</v>
      </c>
      <c r="AG56" s="254">
        <v>158497.93000000005</v>
      </c>
      <c r="AH56" s="254">
        <v>210758.68</v>
      </c>
      <c r="AI56" s="254">
        <v>228619.43000000005</v>
      </c>
      <c r="AJ56" s="254">
        <v>211064.19000000006</v>
      </c>
      <c r="AK56" s="254">
        <v>111987.65000000005</v>
      </c>
      <c r="AL56" s="255">
        <v>24623.69</v>
      </c>
      <c r="AM56" s="255">
        <v>40284.589999999997</v>
      </c>
      <c r="AN56" s="255">
        <v>49072.97</v>
      </c>
      <c r="AO56" s="255">
        <v>44117.77</v>
      </c>
      <c r="AP56" s="255">
        <v>43122.43</v>
      </c>
      <c r="AQ56" s="255">
        <v>0</v>
      </c>
      <c r="AR56" s="256">
        <f>BA56</f>
        <v>54404.44</v>
      </c>
      <c r="AS56" s="256">
        <v>0</v>
      </c>
      <c r="AT56" s="256">
        <v>61060.29</v>
      </c>
      <c r="AU56" s="256">
        <v>73205.16</v>
      </c>
      <c r="AV56" s="256">
        <v>62676.18</v>
      </c>
      <c r="AW56" s="257">
        <v>59221.440000000002</v>
      </c>
      <c r="AX56" s="257">
        <v>52935.46</v>
      </c>
      <c r="AY56" s="256">
        <v>46568.4</v>
      </c>
      <c r="AZ56" s="256">
        <v>63373.66</v>
      </c>
      <c r="BA56" s="256">
        <v>54404.44</v>
      </c>
      <c r="BB56" s="256">
        <v>52432.18</v>
      </c>
      <c r="BC56" s="258">
        <v>20411.2</v>
      </c>
      <c r="BD56" s="258">
        <v>11447.9</v>
      </c>
    </row>
    <row r="57" spans="1:56" ht="13.5" thickTop="1" x14ac:dyDescent="0.2">
      <c r="C57" s="259" t="s">
        <v>2951</v>
      </c>
      <c r="E57" s="113"/>
      <c r="F57" s="113"/>
      <c r="G57" s="113"/>
      <c r="H57" s="113"/>
      <c r="I57" s="113"/>
      <c r="R57" s="113"/>
      <c r="S57" s="113"/>
      <c r="T57" s="113"/>
      <c r="U57" s="113"/>
      <c r="AE57" s="113"/>
      <c r="AF57" s="113"/>
      <c r="AG57" s="113"/>
      <c r="AH57" s="113"/>
      <c r="AI57" s="113"/>
      <c r="AJ57" s="113"/>
      <c r="AK57" s="113"/>
      <c r="AL57" s="113"/>
      <c r="AM57" s="113"/>
      <c r="AN57" s="113"/>
      <c r="AO57" s="113"/>
      <c r="AP57" s="113"/>
      <c r="AQ57" s="113"/>
      <c r="AR57" s="260"/>
      <c r="AS57" s="260"/>
      <c r="AT57" s="260">
        <f t="shared" ref="AT57:AY57" si="27">SUM(AT54:AT56)</f>
        <v>85269.868000000162</v>
      </c>
      <c r="AU57" s="260">
        <f t="shared" si="27"/>
        <v>67369.208000000159</v>
      </c>
      <c r="AV57" s="260">
        <f t="shared" si="27"/>
        <v>57102.857000000164</v>
      </c>
      <c r="AW57" s="260">
        <f t="shared" si="27"/>
        <v>53311.21700000015</v>
      </c>
      <c r="AX57" s="260">
        <f t="shared" si="27"/>
        <v>74456.087000000116</v>
      </c>
      <c r="AY57" s="260">
        <f t="shared" si="27"/>
        <v>79339.947000000117</v>
      </c>
      <c r="AZ57" s="260">
        <f>SUM(AZ54:AZ56)</f>
        <v>71244.737000000125</v>
      </c>
      <c r="BA57" s="260">
        <f>SUM(BA54:BA56)</f>
        <v>47088.987000000125</v>
      </c>
      <c r="BB57" s="260">
        <f>SUM(BB54:BB56)</f>
        <v>60972.467000000121</v>
      </c>
      <c r="BC57" s="260">
        <f>SUM(BC54:BC56)</f>
        <v>50820.087000000131</v>
      </c>
      <c r="BD57" s="260">
        <f>SUM(BD54:BD56)</f>
        <v>32755.747000000105</v>
      </c>
    </row>
    <row r="58" spans="1:56" x14ac:dyDescent="0.2">
      <c r="G58" s="64"/>
      <c r="J58" s="1"/>
      <c r="P58" s="64"/>
      <c r="Q58" s="64"/>
      <c r="T58" s="64"/>
      <c r="Z58" s="177"/>
      <c r="AA58" s="1"/>
      <c r="AB58" s="1"/>
      <c r="AC58" s="1"/>
      <c r="AD58" s="1"/>
    </row>
    <row r="60" spans="1:56" x14ac:dyDescent="0.2">
      <c r="BB60" s="190">
        <v>8540.2900000000009</v>
      </c>
    </row>
    <row r="61" spans="1:56" x14ac:dyDescent="0.2">
      <c r="BB61" s="329">
        <f>BB60-BB54</f>
        <v>2.9999998805578798E-3</v>
      </c>
    </row>
    <row r="62" spans="1:56" x14ac:dyDescent="0.2">
      <c r="BB62" s="190"/>
    </row>
    <row r="63" spans="1:56" x14ac:dyDescent="0.2">
      <c r="BB63" s="190"/>
    </row>
  </sheetData>
  <printOptions horizontalCentered="1" verticalCentered="1"/>
  <pageMargins left="0" right="0.59055118110236227" top="0" bottom="0.19685039370078741" header="0" footer="0.19685039370078741"/>
  <pageSetup scale="70" fitToWidth="0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584"/>
  <sheetViews>
    <sheetView showGridLines="0" zoomScale="80" zoomScaleNormal="80" workbookViewId="0">
      <pane ySplit="3" topLeftCell="A554" activePane="bottomLeft" state="frozen"/>
      <selection pane="bottomLeft" activeCell="F577" sqref="F577"/>
    </sheetView>
  </sheetViews>
  <sheetFormatPr baseColWidth="10" defaultRowHeight="12.75" x14ac:dyDescent="0.2"/>
  <cols>
    <col min="1" max="1" width="11" customWidth="1"/>
    <col min="2" max="3" width="11.5703125" customWidth="1"/>
    <col min="4" max="4" width="10.140625" bestFit="1" customWidth="1"/>
    <col min="5" max="5" width="36.28515625" hidden="1" customWidth="1"/>
    <col min="6" max="6" width="68.28515625" customWidth="1"/>
    <col min="7" max="7" width="9.85546875" bestFit="1" customWidth="1"/>
    <col min="8" max="10" width="12.7109375" customWidth="1"/>
  </cols>
  <sheetData>
    <row r="1" spans="2:11" ht="18" x14ac:dyDescent="0.25">
      <c r="H1" s="364">
        <v>813034795</v>
      </c>
      <c r="I1" s="364"/>
      <c r="J1" s="364"/>
    </row>
    <row r="2" spans="2:11" x14ac:dyDescent="0.2">
      <c r="H2" s="93"/>
    </row>
    <row r="3" spans="2:11" ht="25.5" x14ac:dyDescent="0.2">
      <c r="B3" s="94" t="s">
        <v>1527</v>
      </c>
      <c r="C3" s="94" t="s">
        <v>1528</v>
      </c>
      <c r="D3" s="95" t="s">
        <v>1529</v>
      </c>
      <c r="E3" s="52" t="s">
        <v>1530</v>
      </c>
      <c r="F3" s="52" t="s">
        <v>1531</v>
      </c>
      <c r="G3" s="3" t="s">
        <v>3</v>
      </c>
      <c r="H3" s="96" t="s">
        <v>1532</v>
      </c>
      <c r="I3" s="96" t="s">
        <v>1533</v>
      </c>
      <c r="J3" s="96" t="s">
        <v>1534</v>
      </c>
      <c r="K3" s="97" t="s">
        <v>1535</v>
      </c>
    </row>
    <row r="4" spans="2:11" x14ac:dyDescent="0.2">
      <c r="B4" s="98"/>
      <c r="C4" s="98"/>
      <c r="D4" s="99"/>
      <c r="E4" s="99"/>
      <c r="F4" s="100"/>
      <c r="G4" s="101"/>
      <c r="H4" s="102"/>
      <c r="I4" s="102"/>
      <c r="J4" s="102">
        <v>1280.1699999999994</v>
      </c>
      <c r="K4" s="103"/>
    </row>
    <row r="5" spans="2:11" x14ac:dyDescent="0.2">
      <c r="B5" s="104"/>
      <c r="C5" s="104">
        <v>41281</v>
      </c>
      <c r="D5" s="105"/>
      <c r="E5" s="105"/>
      <c r="F5" s="106" t="s">
        <v>1536</v>
      </c>
      <c r="G5" s="107"/>
      <c r="H5" s="93">
        <v>6000</v>
      </c>
      <c r="I5" s="93"/>
      <c r="J5" s="93">
        <f>J4+H5-I5</f>
        <v>7280.1699999999992</v>
      </c>
      <c r="K5" s="103"/>
    </row>
    <row r="6" spans="2:11" x14ac:dyDescent="0.2">
      <c r="B6" s="104"/>
      <c r="C6" s="108">
        <v>41284</v>
      </c>
      <c r="D6" s="105"/>
      <c r="E6" s="109" t="s">
        <v>1537</v>
      </c>
      <c r="F6" s="106" t="s">
        <v>1538</v>
      </c>
      <c r="G6" s="107" t="s">
        <v>211</v>
      </c>
      <c r="H6" s="93">
        <v>300</v>
      </c>
      <c r="I6" s="93"/>
      <c r="J6" s="93">
        <f t="shared" ref="J6:J22" si="0">J5+H6-I6</f>
        <v>7580.1699999999992</v>
      </c>
      <c r="K6" s="110">
        <v>6088</v>
      </c>
    </row>
    <row r="7" spans="2:11" x14ac:dyDescent="0.2">
      <c r="B7" s="104"/>
      <c r="C7" s="104">
        <v>41284</v>
      </c>
      <c r="D7" s="105"/>
      <c r="E7" s="109" t="s">
        <v>1537</v>
      </c>
      <c r="F7" s="106" t="s">
        <v>1539</v>
      </c>
      <c r="G7" s="107" t="s">
        <v>1540</v>
      </c>
      <c r="H7" s="93">
        <v>0.46</v>
      </c>
      <c r="I7" s="93"/>
      <c r="J7" s="93">
        <f t="shared" si="0"/>
        <v>7580.6299999999992</v>
      </c>
      <c r="K7" s="103"/>
    </row>
    <row r="8" spans="2:11" x14ac:dyDescent="0.2">
      <c r="B8" s="104"/>
      <c r="C8" s="104">
        <v>41284</v>
      </c>
      <c r="D8" s="105"/>
      <c r="E8" s="109" t="s">
        <v>1541</v>
      </c>
      <c r="F8" s="106" t="s">
        <v>1538</v>
      </c>
      <c r="G8" s="107" t="s">
        <v>208</v>
      </c>
      <c r="H8" s="93">
        <v>300</v>
      </c>
      <c r="I8" s="93"/>
      <c r="J8" s="93">
        <f t="shared" si="0"/>
        <v>7880.6299999999992</v>
      </c>
      <c r="K8" s="110">
        <v>6089</v>
      </c>
    </row>
    <row r="9" spans="2:11" x14ac:dyDescent="0.2">
      <c r="B9" s="104"/>
      <c r="C9" s="104">
        <v>41284</v>
      </c>
      <c r="D9" s="105"/>
      <c r="E9" s="109" t="s">
        <v>1541</v>
      </c>
      <c r="F9" s="106" t="s">
        <v>1539</v>
      </c>
      <c r="G9" s="107" t="s">
        <v>1540</v>
      </c>
      <c r="H9" s="93">
        <v>0.28999999999999998</v>
      </c>
      <c r="I9" s="93"/>
      <c r="J9" s="93">
        <f t="shared" si="0"/>
        <v>7880.9199999999992</v>
      </c>
      <c r="K9" s="103"/>
    </row>
    <row r="10" spans="2:11" x14ac:dyDescent="0.2">
      <c r="B10" s="104"/>
      <c r="C10" s="104">
        <v>41288</v>
      </c>
      <c r="D10" s="105"/>
      <c r="E10" s="105"/>
      <c r="F10" s="106"/>
      <c r="G10" s="111"/>
      <c r="H10" s="93">
        <v>13000</v>
      </c>
      <c r="I10" s="93"/>
      <c r="J10" s="93">
        <f t="shared" si="0"/>
        <v>20880.919999999998</v>
      </c>
      <c r="K10" s="103"/>
    </row>
    <row r="11" spans="2:11" x14ac:dyDescent="0.2">
      <c r="B11" s="104"/>
      <c r="C11" s="104">
        <v>41288</v>
      </c>
      <c r="D11" s="105"/>
      <c r="E11" s="105"/>
      <c r="F11" s="106"/>
      <c r="G11" s="111"/>
      <c r="H11" s="93">
        <v>3600</v>
      </c>
      <c r="I11" s="93"/>
      <c r="J11" s="93">
        <f t="shared" si="0"/>
        <v>24480.92</v>
      </c>
      <c r="K11" s="103"/>
    </row>
    <row r="12" spans="2:11" x14ac:dyDescent="0.2">
      <c r="B12" s="104"/>
      <c r="C12" s="104">
        <v>41288</v>
      </c>
      <c r="D12" s="105"/>
      <c r="E12" s="105"/>
      <c r="F12" s="106"/>
      <c r="G12" s="111"/>
      <c r="H12" s="93">
        <v>2000</v>
      </c>
      <c r="I12" s="93"/>
      <c r="J12" s="93">
        <f t="shared" si="0"/>
        <v>26480.92</v>
      </c>
      <c r="K12" s="103"/>
    </row>
    <row r="13" spans="2:11" x14ac:dyDescent="0.2">
      <c r="B13" s="104"/>
      <c r="C13" s="104">
        <v>41288</v>
      </c>
      <c r="D13" s="105"/>
      <c r="E13" s="105"/>
      <c r="F13" s="106"/>
      <c r="G13" s="111"/>
      <c r="H13" s="93">
        <v>2000</v>
      </c>
      <c r="I13" s="93"/>
      <c r="J13" s="93">
        <f t="shared" si="0"/>
        <v>28480.92</v>
      </c>
      <c r="K13" s="103"/>
    </row>
    <row r="14" spans="2:11" x14ac:dyDescent="0.2">
      <c r="B14" s="104"/>
      <c r="C14" s="104">
        <v>41291</v>
      </c>
      <c r="D14" s="105">
        <v>40</v>
      </c>
      <c r="E14" s="109" t="s">
        <v>1542</v>
      </c>
      <c r="F14" s="106" t="s">
        <v>1543</v>
      </c>
      <c r="G14" s="111"/>
      <c r="H14" s="93"/>
      <c r="I14" s="93">
        <v>20000</v>
      </c>
      <c r="J14" s="93">
        <f t="shared" si="0"/>
        <v>8480.9199999999983</v>
      </c>
      <c r="K14" s="103"/>
    </row>
    <row r="15" spans="2:11" x14ac:dyDescent="0.2">
      <c r="B15" s="104"/>
      <c r="C15" s="104">
        <v>41291</v>
      </c>
      <c r="D15" s="105"/>
      <c r="E15" s="105"/>
      <c r="F15" s="106"/>
      <c r="G15" s="111"/>
      <c r="H15" s="93">
        <v>1500</v>
      </c>
      <c r="I15" s="93"/>
      <c r="J15" s="93">
        <f t="shared" si="0"/>
        <v>9980.9199999999983</v>
      </c>
      <c r="K15" s="103"/>
    </row>
    <row r="16" spans="2:11" x14ac:dyDescent="0.2">
      <c r="B16" s="104"/>
      <c r="C16" s="104">
        <v>41291</v>
      </c>
      <c r="D16" s="105"/>
      <c r="E16" s="105"/>
      <c r="F16" s="106"/>
      <c r="G16" s="111"/>
      <c r="H16" s="93">
        <v>3300</v>
      </c>
      <c r="I16" s="93"/>
      <c r="J16" s="93">
        <f t="shared" si="0"/>
        <v>13280.919999999998</v>
      </c>
      <c r="K16" s="103"/>
    </row>
    <row r="17" spans="2:13" x14ac:dyDescent="0.2">
      <c r="B17" s="104"/>
      <c r="C17" s="104">
        <v>41291</v>
      </c>
      <c r="D17" s="112"/>
      <c r="E17" s="109" t="s">
        <v>805</v>
      </c>
      <c r="F17" s="106"/>
      <c r="G17" s="107" t="s">
        <v>806</v>
      </c>
      <c r="H17" s="93">
        <v>10000</v>
      </c>
      <c r="I17" s="93"/>
      <c r="J17" s="93">
        <f t="shared" si="0"/>
        <v>23280.92</v>
      </c>
      <c r="K17" s="110">
        <v>33</v>
      </c>
    </row>
    <row r="18" spans="2:13" x14ac:dyDescent="0.2">
      <c r="B18" s="104"/>
      <c r="C18" s="104">
        <v>41302</v>
      </c>
      <c r="D18" s="105"/>
      <c r="E18" s="105"/>
      <c r="F18" s="106"/>
      <c r="G18" s="111"/>
      <c r="H18" s="93">
        <v>15000</v>
      </c>
      <c r="I18" s="93"/>
      <c r="J18" s="93">
        <f t="shared" si="0"/>
        <v>38280.92</v>
      </c>
      <c r="K18" s="103"/>
    </row>
    <row r="19" spans="2:13" x14ac:dyDescent="0.2">
      <c r="B19" s="104"/>
      <c r="C19" s="104">
        <v>41302</v>
      </c>
      <c r="D19" s="105"/>
      <c r="E19" s="105"/>
      <c r="F19" s="106"/>
      <c r="G19" s="111"/>
      <c r="H19" s="93">
        <v>600</v>
      </c>
      <c r="I19" s="93"/>
      <c r="J19" s="93">
        <f t="shared" si="0"/>
        <v>38880.92</v>
      </c>
      <c r="K19" s="103"/>
    </row>
    <row r="20" spans="2:13" x14ac:dyDescent="0.2">
      <c r="B20" s="104"/>
      <c r="C20" s="104">
        <v>41303</v>
      </c>
      <c r="D20" s="105">
        <v>41</v>
      </c>
      <c r="E20" s="109" t="s">
        <v>1542</v>
      </c>
      <c r="F20" s="106" t="s">
        <v>1543</v>
      </c>
      <c r="G20" s="111"/>
      <c r="H20" s="93"/>
      <c r="I20" s="93">
        <v>13000</v>
      </c>
      <c r="J20" s="93">
        <f t="shared" si="0"/>
        <v>25880.92</v>
      </c>
      <c r="K20" s="103"/>
    </row>
    <row r="21" spans="2:13" x14ac:dyDescent="0.2">
      <c r="B21" s="104"/>
      <c r="C21" s="104">
        <v>41305</v>
      </c>
      <c r="D21" s="105"/>
      <c r="E21" s="105"/>
      <c r="F21" s="106" t="s">
        <v>1544</v>
      </c>
      <c r="G21" s="107" t="s">
        <v>1540</v>
      </c>
      <c r="H21" s="93"/>
      <c r="I21" s="93">
        <v>12</v>
      </c>
      <c r="J21" s="93">
        <f t="shared" si="0"/>
        <v>25868.92</v>
      </c>
      <c r="K21" s="103"/>
    </row>
    <row r="22" spans="2:13" x14ac:dyDescent="0.2">
      <c r="B22" s="104"/>
      <c r="C22" s="104">
        <v>41305</v>
      </c>
      <c r="D22" s="105"/>
      <c r="E22" s="105"/>
      <c r="F22" s="106" t="s">
        <v>1545</v>
      </c>
      <c r="G22" s="107" t="s">
        <v>1546</v>
      </c>
      <c r="H22" s="93"/>
      <c r="I22" s="93">
        <v>1.92</v>
      </c>
      <c r="J22" s="93">
        <f t="shared" si="0"/>
        <v>25867</v>
      </c>
      <c r="K22" s="103"/>
      <c r="M22" s="113"/>
    </row>
    <row r="23" spans="2:13" ht="25.5" x14ac:dyDescent="0.2">
      <c r="B23" s="94" t="s">
        <v>1527</v>
      </c>
      <c r="C23" s="94" t="s">
        <v>1528</v>
      </c>
      <c r="D23" s="95" t="s">
        <v>1529</v>
      </c>
      <c r="E23" s="95"/>
      <c r="F23" s="52" t="s">
        <v>1531</v>
      </c>
      <c r="G23" s="3" t="s">
        <v>3</v>
      </c>
      <c r="H23" s="96" t="s">
        <v>1532</v>
      </c>
      <c r="I23" s="96" t="s">
        <v>1533</v>
      </c>
      <c r="J23" s="96" t="s">
        <v>1534</v>
      </c>
    </row>
    <row r="24" spans="2:13" x14ac:dyDescent="0.2">
      <c r="B24" s="104"/>
      <c r="C24" s="104">
        <v>41310</v>
      </c>
      <c r="D24" s="105"/>
      <c r="E24" s="105"/>
      <c r="F24" s="106"/>
      <c r="G24" s="111"/>
      <c r="H24" s="93">
        <v>4000</v>
      </c>
      <c r="I24" s="93"/>
      <c r="J24" s="93">
        <f>J22+H24-I24</f>
        <v>29867</v>
      </c>
      <c r="K24" s="103"/>
    </row>
    <row r="25" spans="2:13" x14ac:dyDescent="0.2">
      <c r="B25" s="104"/>
      <c r="C25" s="104">
        <v>41310</v>
      </c>
      <c r="D25" s="105"/>
      <c r="E25" s="105"/>
      <c r="F25" s="106"/>
      <c r="G25" s="111"/>
      <c r="H25" s="93">
        <v>1200</v>
      </c>
      <c r="I25" s="93"/>
      <c r="J25" s="93">
        <f t="shared" ref="J25:J39" si="1">J24+H25-I25</f>
        <v>31067</v>
      </c>
      <c r="K25" s="103"/>
    </row>
    <row r="26" spans="2:13" x14ac:dyDescent="0.2">
      <c r="B26" s="104"/>
      <c r="C26" s="104">
        <v>41310</v>
      </c>
      <c r="D26" s="105"/>
      <c r="E26" s="105"/>
      <c r="F26" s="106"/>
      <c r="G26" s="111"/>
      <c r="H26" s="93">
        <v>600</v>
      </c>
      <c r="I26" s="93"/>
      <c r="J26" s="93">
        <f t="shared" si="1"/>
        <v>31667</v>
      </c>
      <c r="K26" s="103"/>
    </row>
    <row r="27" spans="2:13" x14ac:dyDescent="0.2">
      <c r="B27" s="104"/>
      <c r="C27" s="104">
        <v>41313</v>
      </c>
      <c r="D27" s="105">
        <v>42</v>
      </c>
      <c r="E27" s="109" t="s">
        <v>1542</v>
      </c>
      <c r="F27" s="106" t="s">
        <v>1543</v>
      </c>
      <c r="G27" s="111"/>
      <c r="H27" s="93"/>
      <c r="I27" s="93">
        <v>15000</v>
      </c>
      <c r="J27" s="93">
        <f t="shared" si="1"/>
        <v>16667</v>
      </c>
      <c r="K27" s="103"/>
    </row>
    <row r="28" spans="2:13" x14ac:dyDescent="0.2">
      <c r="B28" s="104"/>
      <c r="C28" s="104">
        <v>41313</v>
      </c>
      <c r="D28" s="105"/>
      <c r="E28" s="109" t="s">
        <v>430</v>
      </c>
      <c r="F28" s="106" t="s">
        <v>1538</v>
      </c>
      <c r="G28" s="107" t="s">
        <v>428</v>
      </c>
      <c r="H28" s="93">
        <v>600</v>
      </c>
      <c r="I28" s="93"/>
      <c r="J28" s="93">
        <f t="shared" si="1"/>
        <v>17267</v>
      </c>
      <c r="K28" s="110">
        <v>6090</v>
      </c>
    </row>
    <row r="29" spans="2:13" x14ac:dyDescent="0.2">
      <c r="B29" s="104"/>
      <c r="C29" s="104">
        <v>41313</v>
      </c>
      <c r="D29" s="105"/>
      <c r="E29" s="109" t="s">
        <v>430</v>
      </c>
      <c r="F29" s="106" t="s">
        <v>1539</v>
      </c>
      <c r="G29" s="107" t="s">
        <v>1540</v>
      </c>
      <c r="H29" s="93">
        <v>0.2</v>
      </c>
      <c r="I29" s="93"/>
      <c r="J29" s="93">
        <f t="shared" si="1"/>
        <v>17267.2</v>
      </c>
      <c r="K29" s="103"/>
    </row>
    <row r="30" spans="2:13" x14ac:dyDescent="0.2">
      <c r="B30" s="104"/>
      <c r="C30" s="104">
        <v>41313</v>
      </c>
      <c r="D30" s="105"/>
      <c r="E30" s="109" t="s">
        <v>1541</v>
      </c>
      <c r="F30" s="106" t="s">
        <v>1538</v>
      </c>
      <c r="G30" s="107" t="s">
        <v>208</v>
      </c>
      <c r="H30" s="93">
        <v>300</v>
      </c>
      <c r="I30" s="93"/>
      <c r="J30" s="93">
        <f t="shared" si="1"/>
        <v>17567.2</v>
      </c>
      <c r="K30" s="110">
        <v>6091</v>
      </c>
    </row>
    <row r="31" spans="2:13" x14ac:dyDescent="0.2">
      <c r="B31" s="104"/>
      <c r="C31" s="104">
        <v>41313</v>
      </c>
      <c r="D31" s="105"/>
      <c r="E31" s="109" t="s">
        <v>1541</v>
      </c>
      <c r="F31" s="106" t="s">
        <v>1539</v>
      </c>
      <c r="G31" s="107" t="s">
        <v>1540</v>
      </c>
      <c r="H31" s="93">
        <v>0.28999999999999998</v>
      </c>
      <c r="I31" s="93"/>
      <c r="J31" s="93">
        <f t="shared" si="1"/>
        <v>17567.490000000002</v>
      </c>
      <c r="K31" s="103"/>
    </row>
    <row r="32" spans="2:13" x14ac:dyDescent="0.2">
      <c r="B32" s="104"/>
      <c r="C32" s="108">
        <v>41318</v>
      </c>
      <c r="D32" s="105"/>
      <c r="E32" s="109" t="s">
        <v>1537</v>
      </c>
      <c r="F32" s="106" t="s">
        <v>1538</v>
      </c>
      <c r="G32" s="107" t="s">
        <v>211</v>
      </c>
      <c r="H32" s="93">
        <v>300</v>
      </c>
      <c r="I32" s="93"/>
      <c r="J32" s="93">
        <f t="shared" si="1"/>
        <v>17867.490000000002</v>
      </c>
      <c r="K32" s="110">
        <v>6092</v>
      </c>
    </row>
    <row r="33" spans="2:13" x14ac:dyDescent="0.2">
      <c r="B33" s="104"/>
      <c r="C33" s="104">
        <v>41318</v>
      </c>
      <c r="D33" s="105"/>
      <c r="E33" s="109" t="s">
        <v>1537</v>
      </c>
      <c r="F33" s="106" t="s">
        <v>1539</v>
      </c>
      <c r="G33" s="107" t="s">
        <v>1540</v>
      </c>
      <c r="H33" s="93">
        <v>0.46</v>
      </c>
      <c r="I33" s="93"/>
      <c r="J33" s="93">
        <f t="shared" si="1"/>
        <v>17867.95</v>
      </c>
      <c r="K33" s="103"/>
    </row>
    <row r="34" spans="2:13" x14ac:dyDescent="0.2">
      <c r="B34" s="104"/>
      <c r="C34" s="104">
        <v>41319</v>
      </c>
      <c r="D34" s="105"/>
      <c r="E34" s="105"/>
      <c r="F34" s="106"/>
      <c r="G34" s="111"/>
      <c r="H34" s="93">
        <v>3300.28</v>
      </c>
      <c r="I34" s="93"/>
      <c r="J34" s="93">
        <f t="shared" si="1"/>
        <v>21168.23</v>
      </c>
      <c r="K34" s="103"/>
    </row>
    <row r="35" spans="2:13" x14ac:dyDescent="0.2">
      <c r="B35" s="104"/>
      <c r="C35" s="104">
        <v>41320</v>
      </c>
      <c r="D35" s="112"/>
      <c r="E35" s="109" t="s">
        <v>805</v>
      </c>
      <c r="F35" s="106"/>
      <c r="G35" s="107" t="s">
        <v>806</v>
      </c>
      <c r="H35" s="93">
        <v>10000</v>
      </c>
      <c r="I35" s="93"/>
      <c r="J35" s="93">
        <f t="shared" si="1"/>
        <v>31168.23</v>
      </c>
      <c r="K35" s="110">
        <v>35</v>
      </c>
    </row>
    <row r="36" spans="2:13" x14ac:dyDescent="0.2">
      <c r="B36" s="104"/>
      <c r="C36" s="104">
        <v>41331</v>
      </c>
      <c r="D36" s="105">
        <v>43</v>
      </c>
      <c r="E36" s="109" t="s">
        <v>1542</v>
      </c>
      <c r="F36" s="106" t="s">
        <v>1543</v>
      </c>
      <c r="G36" s="111"/>
      <c r="H36" s="93"/>
      <c r="I36" s="93">
        <v>6000</v>
      </c>
      <c r="J36" s="93">
        <f t="shared" si="1"/>
        <v>25168.23</v>
      </c>
      <c r="K36" s="103"/>
    </row>
    <row r="37" spans="2:13" x14ac:dyDescent="0.2">
      <c r="B37" s="104"/>
      <c r="C37" s="104">
        <v>41332</v>
      </c>
      <c r="D37" s="105">
        <v>44</v>
      </c>
      <c r="E37" s="109" t="s">
        <v>1547</v>
      </c>
      <c r="F37" s="106" t="s">
        <v>1548</v>
      </c>
      <c r="G37" s="107" t="s">
        <v>1549</v>
      </c>
      <c r="H37" s="93"/>
      <c r="I37" s="93">
        <v>4000</v>
      </c>
      <c r="J37" s="93">
        <f t="shared" si="1"/>
        <v>21168.23</v>
      </c>
      <c r="K37" s="103"/>
    </row>
    <row r="38" spans="2:13" x14ac:dyDescent="0.2">
      <c r="B38" s="104"/>
      <c r="C38" s="104">
        <v>41333</v>
      </c>
      <c r="D38" s="105"/>
      <c r="E38" s="105"/>
      <c r="F38" s="106" t="s">
        <v>1544</v>
      </c>
      <c r="G38" s="107" t="s">
        <v>1540</v>
      </c>
      <c r="H38" s="93"/>
      <c r="I38" s="93">
        <v>24</v>
      </c>
      <c r="J38" s="93">
        <f t="shared" si="1"/>
        <v>21144.23</v>
      </c>
      <c r="K38" s="103"/>
    </row>
    <row r="39" spans="2:13" x14ac:dyDescent="0.2">
      <c r="B39" s="104"/>
      <c r="C39" s="104">
        <v>41333</v>
      </c>
      <c r="D39" s="105"/>
      <c r="E39" s="105"/>
      <c r="F39" s="106" t="s">
        <v>1545</v>
      </c>
      <c r="G39" s="107" t="s">
        <v>1546</v>
      </c>
      <c r="H39" s="93"/>
      <c r="I39" s="93">
        <v>3.84</v>
      </c>
      <c r="J39" s="93">
        <f t="shared" si="1"/>
        <v>21140.39</v>
      </c>
      <c r="K39" s="103"/>
      <c r="M39" s="113"/>
    </row>
    <row r="40" spans="2:13" ht="25.5" x14ac:dyDescent="0.2">
      <c r="B40" s="94" t="s">
        <v>1527</v>
      </c>
      <c r="C40" s="94" t="s">
        <v>1528</v>
      </c>
      <c r="D40" s="95" t="s">
        <v>1529</v>
      </c>
      <c r="E40" s="95"/>
      <c r="F40" s="52" t="s">
        <v>1531</v>
      </c>
      <c r="G40" s="3" t="s">
        <v>3</v>
      </c>
      <c r="H40" s="96" t="s">
        <v>1532</v>
      </c>
      <c r="I40" s="96" t="s">
        <v>1533</v>
      </c>
      <c r="J40" s="96" t="s">
        <v>1534</v>
      </c>
    </row>
    <row r="41" spans="2:13" x14ac:dyDescent="0.2">
      <c r="B41" s="104"/>
      <c r="C41" s="108">
        <v>41334</v>
      </c>
      <c r="D41" s="105"/>
      <c r="E41" s="109" t="s">
        <v>1550</v>
      </c>
      <c r="F41" s="106" t="s">
        <v>1538</v>
      </c>
      <c r="G41" s="107" t="s">
        <v>571</v>
      </c>
      <c r="H41" s="93">
        <v>300</v>
      </c>
      <c r="I41" s="93"/>
      <c r="J41" s="93">
        <f>J39+H41-I41</f>
        <v>21440.39</v>
      </c>
      <c r="K41" s="110" t="s">
        <v>1551</v>
      </c>
    </row>
    <row r="42" spans="2:13" x14ac:dyDescent="0.2">
      <c r="B42" s="104"/>
      <c r="C42" s="104">
        <v>41334</v>
      </c>
      <c r="D42" s="105"/>
      <c r="E42" s="109" t="s">
        <v>1550</v>
      </c>
      <c r="F42" s="106" t="s">
        <v>1539</v>
      </c>
      <c r="G42" s="107" t="s">
        <v>1540</v>
      </c>
      <c r="H42" s="93">
        <v>0.15</v>
      </c>
      <c r="I42" s="93"/>
      <c r="J42" s="93">
        <f t="shared" ref="J42:J51" si="2">J41+H42-I42</f>
        <v>21440.54</v>
      </c>
      <c r="K42" s="103"/>
    </row>
    <row r="43" spans="2:13" x14ac:dyDescent="0.2">
      <c r="B43" s="104"/>
      <c r="C43" s="104">
        <v>41338</v>
      </c>
      <c r="D43" s="105"/>
      <c r="E43" s="109" t="s">
        <v>430</v>
      </c>
      <c r="F43" s="106" t="s">
        <v>1538</v>
      </c>
      <c r="G43" s="107" t="s">
        <v>428</v>
      </c>
      <c r="H43" s="93">
        <v>300</v>
      </c>
      <c r="I43" s="93"/>
      <c r="J43" s="93">
        <f t="shared" si="2"/>
        <v>21740.54</v>
      </c>
      <c r="K43" s="110">
        <v>6093</v>
      </c>
    </row>
    <row r="44" spans="2:13" x14ac:dyDescent="0.2">
      <c r="B44" s="104"/>
      <c r="C44" s="104">
        <v>41338</v>
      </c>
      <c r="D44" s="105"/>
      <c r="E44" s="109" t="s">
        <v>430</v>
      </c>
      <c r="F44" s="106" t="s">
        <v>1539</v>
      </c>
      <c r="G44" s="107" t="s">
        <v>1540</v>
      </c>
      <c r="H44" s="93">
        <v>0.1</v>
      </c>
      <c r="I44" s="93"/>
      <c r="J44" s="93">
        <f t="shared" si="2"/>
        <v>21740.639999999999</v>
      </c>
      <c r="K44" s="103"/>
    </row>
    <row r="45" spans="2:13" x14ac:dyDescent="0.2">
      <c r="B45" s="104"/>
      <c r="C45" s="104">
        <v>41340</v>
      </c>
      <c r="D45" s="105"/>
      <c r="E45" s="105"/>
      <c r="F45" s="106" t="s">
        <v>1552</v>
      </c>
      <c r="G45" s="107" t="s">
        <v>1540</v>
      </c>
      <c r="H45" s="93"/>
      <c r="I45" s="93">
        <v>30</v>
      </c>
      <c r="J45" s="93">
        <f t="shared" si="2"/>
        <v>21710.639999999999</v>
      </c>
      <c r="K45" s="103"/>
    </row>
    <row r="46" spans="2:13" x14ac:dyDescent="0.2">
      <c r="B46" s="104"/>
      <c r="C46" s="104">
        <v>41340</v>
      </c>
      <c r="D46" s="105"/>
      <c r="E46" s="105"/>
      <c r="F46" s="106" t="s">
        <v>1545</v>
      </c>
      <c r="G46" s="107" t="s">
        <v>1546</v>
      </c>
      <c r="H46" s="93"/>
      <c r="I46" s="93">
        <v>4.8</v>
      </c>
      <c r="J46" s="93">
        <f t="shared" si="2"/>
        <v>21705.84</v>
      </c>
      <c r="K46" s="103"/>
    </row>
    <row r="47" spans="2:13" x14ac:dyDescent="0.2">
      <c r="B47" s="104"/>
      <c r="C47" s="104">
        <v>41344</v>
      </c>
      <c r="D47" s="105"/>
      <c r="E47" s="109" t="s">
        <v>1541</v>
      </c>
      <c r="F47" s="106" t="s">
        <v>1538</v>
      </c>
      <c r="G47" s="107" t="s">
        <v>208</v>
      </c>
      <c r="H47" s="93">
        <v>300</v>
      </c>
      <c r="I47" s="93"/>
      <c r="J47" s="93">
        <f t="shared" si="2"/>
        <v>22005.84</v>
      </c>
      <c r="K47" s="110">
        <v>6094</v>
      </c>
    </row>
    <row r="48" spans="2:13" x14ac:dyDescent="0.2">
      <c r="B48" s="104"/>
      <c r="C48" s="104">
        <v>41344</v>
      </c>
      <c r="D48" s="105"/>
      <c r="E48" s="109" t="s">
        <v>1541</v>
      </c>
      <c r="F48" s="106" t="s">
        <v>1539</v>
      </c>
      <c r="G48" s="107" t="s">
        <v>1540</v>
      </c>
      <c r="H48" s="93">
        <v>0.28999999999999998</v>
      </c>
      <c r="I48" s="93"/>
      <c r="J48" s="93">
        <f t="shared" si="2"/>
        <v>22006.13</v>
      </c>
      <c r="K48" s="103"/>
    </row>
    <row r="49" spans="2:13" x14ac:dyDescent="0.2">
      <c r="B49" s="104"/>
      <c r="C49" s="108">
        <v>41349</v>
      </c>
      <c r="D49" s="105"/>
      <c r="E49" s="109" t="s">
        <v>1537</v>
      </c>
      <c r="F49" s="106" t="s">
        <v>1538</v>
      </c>
      <c r="G49" s="107" t="s">
        <v>211</v>
      </c>
      <c r="H49" s="93">
        <v>300</v>
      </c>
      <c r="I49" s="93"/>
      <c r="J49" s="93">
        <f t="shared" si="2"/>
        <v>22306.13</v>
      </c>
      <c r="K49" s="110">
        <v>6095</v>
      </c>
    </row>
    <row r="50" spans="2:13" x14ac:dyDescent="0.2">
      <c r="B50" s="104"/>
      <c r="C50" s="104">
        <v>41349</v>
      </c>
      <c r="D50" s="105"/>
      <c r="E50" s="109" t="s">
        <v>1537</v>
      </c>
      <c r="F50" s="106" t="s">
        <v>1539</v>
      </c>
      <c r="G50" s="107" t="s">
        <v>1540</v>
      </c>
      <c r="H50" s="93">
        <v>0.46</v>
      </c>
      <c r="I50" s="93"/>
      <c r="J50" s="93">
        <f t="shared" si="2"/>
        <v>22306.59</v>
      </c>
      <c r="K50" s="103"/>
    </row>
    <row r="51" spans="2:13" x14ac:dyDescent="0.2">
      <c r="B51" s="104"/>
      <c r="C51" s="104">
        <v>41354</v>
      </c>
      <c r="D51" s="112"/>
      <c r="E51" s="109" t="s">
        <v>805</v>
      </c>
      <c r="F51" s="106"/>
      <c r="G51" s="107" t="s">
        <v>806</v>
      </c>
      <c r="H51" s="93">
        <v>10000</v>
      </c>
      <c r="I51" s="93"/>
      <c r="J51" s="93">
        <f t="shared" si="2"/>
        <v>32306.59</v>
      </c>
      <c r="K51" s="110" t="s">
        <v>1553</v>
      </c>
      <c r="M51" s="113"/>
    </row>
    <row r="52" spans="2:13" ht="25.5" x14ac:dyDescent="0.2">
      <c r="B52" s="94" t="s">
        <v>1527</v>
      </c>
      <c r="C52" s="94" t="s">
        <v>1528</v>
      </c>
      <c r="D52" s="95" t="s">
        <v>1529</v>
      </c>
      <c r="E52" s="95"/>
      <c r="F52" s="52" t="s">
        <v>1531</v>
      </c>
      <c r="G52" s="3" t="s">
        <v>3</v>
      </c>
      <c r="H52" s="96" t="s">
        <v>1532</v>
      </c>
      <c r="I52" s="96" t="s">
        <v>1533</v>
      </c>
      <c r="J52" s="96" t="s">
        <v>1534</v>
      </c>
    </row>
    <row r="53" spans="2:13" x14ac:dyDescent="0.2">
      <c r="B53" s="104"/>
      <c r="C53" s="104">
        <v>41372</v>
      </c>
      <c r="D53" s="105"/>
      <c r="E53" s="109" t="s">
        <v>430</v>
      </c>
      <c r="F53" s="106" t="s">
        <v>1538</v>
      </c>
      <c r="G53" s="107" t="s">
        <v>428</v>
      </c>
      <c r="H53" s="93">
        <v>300</v>
      </c>
      <c r="I53" s="93"/>
      <c r="J53" s="93">
        <f>J51+H53-I53</f>
        <v>32606.59</v>
      </c>
      <c r="K53" s="110">
        <v>6096</v>
      </c>
    </row>
    <row r="54" spans="2:13" x14ac:dyDescent="0.2">
      <c r="B54" s="104"/>
      <c r="C54" s="104">
        <v>41372</v>
      </c>
      <c r="D54" s="105"/>
      <c r="E54" s="109" t="s">
        <v>430</v>
      </c>
      <c r="F54" s="106" t="s">
        <v>1539</v>
      </c>
      <c r="G54" s="107" t="s">
        <v>1540</v>
      </c>
      <c r="H54" s="93">
        <v>0.1</v>
      </c>
      <c r="I54" s="93"/>
      <c r="J54" s="93">
        <f t="shared" ref="J54:J60" si="3">J53+H54-I54</f>
        <v>32606.69</v>
      </c>
      <c r="K54" s="103"/>
    </row>
    <row r="55" spans="2:13" x14ac:dyDescent="0.2">
      <c r="B55" s="104"/>
      <c r="C55" s="104">
        <v>41373</v>
      </c>
      <c r="D55" s="105"/>
      <c r="E55" s="109" t="s">
        <v>1541</v>
      </c>
      <c r="F55" s="106" t="s">
        <v>1538</v>
      </c>
      <c r="G55" s="107" t="s">
        <v>208</v>
      </c>
      <c r="H55" s="93">
        <v>300</v>
      </c>
      <c r="I55" s="93"/>
      <c r="J55" s="93">
        <f t="shared" si="3"/>
        <v>32906.69</v>
      </c>
      <c r="K55" s="110">
        <v>6097</v>
      </c>
    </row>
    <row r="56" spans="2:13" x14ac:dyDescent="0.2">
      <c r="B56" s="104"/>
      <c r="C56" s="104">
        <v>41373</v>
      </c>
      <c r="D56" s="105"/>
      <c r="E56" s="109" t="s">
        <v>1541</v>
      </c>
      <c r="F56" s="106" t="s">
        <v>1539</v>
      </c>
      <c r="G56" s="107" t="s">
        <v>1540</v>
      </c>
      <c r="H56" s="93">
        <v>0.28999999999999998</v>
      </c>
      <c r="I56" s="93"/>
      <c r="J56" s="93">
        <f t="shared" si="3"/>
        <v>32906.980000000003</v>
      </c>
      <c r="K56" s="103"/>
    </row>
    <row r="57" spans="2:13" x14ac:dyDescent="0.2">
      <c r="B57" s="104"/>
      <c r="C57" s="108">
        <v>41390</v>
      </c>
      <c r="D57" s="105"/>
      <c r="E57" s="109" t="s">
        <v>1550</v>
      </c>
      <c r="F57" s="106" t="s">
        <v>1538</v>
      </c>
      <c r="G57" s="107" t="s">
        <v>571</v>
      </c>
      <c r="H57" s="93">
        <v>300</v>
      </c>
      <c r="I57" s="93"/>
      <c r="J57" s="93">
        <f t="shared" si="3"/>
        <v>33206.980000000003</v>
      </c>
      <c r="K57" s="110">
        <v>6098</v>
      </c>
    </row>
    <row r="58" spans="2:13" x14ac:dyDescent="0.2">
      <c r="B58" s="104"/>
      <c r="C58" s="104">
        <v>41390</v>
      </c>
      <c r="D58" s="105"/>
      <c r="E58" s="109" t="s">
        <v>1550</v>
      </c>
      <c r="F58" s="106" t="s">
        <v>1539</v>
      </c>
      <c r="G58" s="107" t="s">
        <v>1540</v>
      </c>
      <c r="H58" s="93">
        <v>0.15</v>
      </c>
      <c r="I58" s="93"/>
      <c r="J58" s="93">
        <f t="shared" si="3"/>
        <v>33207.130000000005</v>
      </c>
      <c r="K58" s="103"/>
    </row>
    <row r="59" spans="2:13" x14ac:dyDescent="0.2">
      <c r="B59" s="104"/>
      <c r="C59" s="108">
        <v>41390</v>
      </c>
      <c r="D59" s="105"/>
      <c r="E59" s="109" t="s">
        <v>1537</v>
      </c>
      <c r="F59" s="106" t="s">
        <v>1538</v>
      </c>
      <c r="G59" s="107" t="s">
        <v>211</v>
      </c>
      <c r="H59" s="93">
        <v>300</v>
      </c>
      <c r="I59" s="93"/>
      <c r="J59" s="93">
        <f t="shared" si="3"/>
        <v>33507.130000000005</v>
      </c>
      <c r="K59" s="110">
        <v>6112</v>
      </c>
    </row>
    <row r="60" spans="2:13" x14ac:dyDescent="0.2">
      <c r="B60" s="114"/>
      <c r="C60" s="104">
        <v>41390</v>
      </c>
      <c r="D60" s="115"/>
      <c r="E60" s="109" t="s">
        <v>1537</v>
      </c>
      <c r="F60" s="106" t="s">
        <v>1539</v>
      </c>
      <c r="G60" s="107" t="s">
        <v>1540</v>
      </c>
      <c r="H60" s="116">
        <v>0.46</v>
      </c>
      <c r="I60" s="116"/>
      <c r="J60" s="116">
        <f t="shared" si="3"/>
        <v>33507.590000000004</v>
      </c>
      <c r="K60" s="103"/>
      <c r="M60" s="113"/>
    </row>
    <row r="61" spans="2:13" ht="25.5" x14ac:dyDescent="0.2">
      <c r="B61" s="94" t="s">
        <v>1527</v>
      </c>
      <c r="C61" s="94" t="s">
        <v>1528</v>
      </c>
      <c r="D61" s="95" t="s">
        <v>1529</v>
      </c>
      <c r="E61" s="95"/>
      <c r="F61" s="52" t="s">
        <v>1531</v>
      </c>
      <c r="G61" s="3" t="s">
        <v>3</v>
      </c>
      <c r="H61" s="96" t="s">
        <v>1532</v>
      </c>
      <c r="I61" s="96" t="s">
        <v>1533</v>
      </c>
      <c r="J61" s="96" t="s">
        <v>1534</v>
      </c>
    </row>
    <row r="62" spans="2:13" x14ac:dyDescent="0.2">
      <c r="B62" s="104"/>
      <c r="C62" s="108">
        <v>41401</v>
      </c>
      <c r="D62" s="105"/>
      <c r="E62" s="109" t="s">
        <v>1537</v>
      </c>
      <c r="F62" s="106" t="s">
        <v>1538</v>
      </c>
      <c r="G62" s="107" t="s">
        <v>211</v>
      </c>
      <c r="H62" s="93">
        <v>300</v>
      </c>
      <c r="I62" s="93"/>
      <c r="J62" s="93">
        <f>J60+H62-I62</f>
        <v>33807.590000000004</v>
      </c>
      <c r="K62" s="110">
        <v>6099</v>
      </c>
    </row>
    <row r="63" spans="2:13" x14ac:dyDescent="0.2">
      <c r="B63" s="104"/>
      <c r="C63" s="104">
        <v>41401</v>
      </c>
      <c r="D63" s="105"/>
      <c r="E63" s="109" t="s">
        <v>1537</v>
      </c>
      <c r="F63" s="106" t="s">
        <v>1539</v>
      </c>
      <c r="G63" s="107" t="s">
        <v>1540</v>
      </c>
      <c r="H63" s="93">
        <v>0.46</v>
      </c>
      <c r="I63" s="93"/>
      <c r="J63" s="93">
        <f t="shared" ref="J63:J73" si="4">J62+H63-I63</f>
        <v>33808.050000000003</v>
      </c>
      <c r="K63" s="103"/>
    </row>
    <row r="64" spans="2:13" x14ac:dyDescent="0.2">
      <c r="B64" s="104"/>
      <c r="C64" s="104">
        <v>41403</v>
      </c>
      <c r="D64" s="112"/>
      <c r="E64" s="109" t="s">
        <v>805</v>
      </c>
      <c r="F64" s="106"/>
      <c r="G64" s="107" t="s">
        <v>806</v>
      </c>
      <c r="H64" s="93">
        <v>10000</v>
      </c>
      <c r="I64" s="93"/>
      <c r="J64" s="93">
        <f t="shared" si="4"/>
        <v>43808.05</v>
      </c>
      <c r="K64" s="110">
        <v>40</v>
      </c>
    </row>
    <row r="65" spans="2:13" x14ac:dyDescent="0.2">
      <c r="B65" s="104"/>
      <c r="C65" s="104">
        <v>41403</v>
      </c>
      <c r="D65" s="105"/>
      <c r="E65" s="109" t="s">
        <v>430</v>
      </c>
      <c r="F65" s="106" t="s">
        <v>1538</v>
      </c>
      <c r="G65" s="107" t="s">
        <v>428</v>
      </c>
      <c r="H65" s="93">
        <v>300</v>
      </c>
      <c r="I65" s="93"/>
      <c r="J65" s="93">
        <f t="shared" si="4"/>
        <v>44108.05</v>
      </c>
      <c r="K65" s="110">
        <v>6100</v>
      </c>
    </row>
    <row r="66" spans="2:13" x14ac:dyDescent="0.2">
      <c r="B66" s="104"/>
      <c r="C66" s="104">
        <v>41403</v>
      </c>
      <c r="D66" s="105"/>
      <c r="E66" s="109" t="s">
        <v>430</v>
      </c>
      <c r="F66" s="106" t="s">
        <v>1539</v>
      </c>
      <c r="G66" s="107" t="s">
        <v>1540</v>
      </c>
      <c r="H66" s="93">
        <v>0.1</v>
      </c>
      <c r="I66" s="93"/>
      <c r="J66" s="93">
        <f t="shared" si="4"/>
        <v>44108.15</v>
      </c>
      <c r="K66" s="103"/>
    </row>
    <row r="67" spans="2:13" x14ac:dyDescent="0.2">
      <c r="B67" s="104"/>
      <c r="C67" s="104">
        <v>41409</v>
      </c>
      <c r="D67" s="105"/>
      <c r="E67" s="109" t="s">
        <v>1541</v>
      </c>
      <c r="F67" s="106" t="s">
        <v>1538</v>
      </c>
      <c r="G67" s="107" t="s">
        <v>208</v>
      </c>
      <c r="H67" s="93">
        <v>300</v>
      </c>
      <c r="I67" s="93"/>
      <c r="J67" s="93">
        <f t="shared" si="4"/>
        <v>44408.15</v>
      </c>
      <c r="K67" s="110">
        <v>6101</v>
      </c>
    </row>
    <row r="68" spans="2:13" x14ac:dyDescent="0.2">
      <c r="B68" s="104"/>
      <c r="C68" s="104">
        <v>41409</v>
      </c>
      <c r="D68" s="105"/>
      <c r="E68" s="109" t="s">
        <v>1541</v>
      </c>
      <c r="F68" s="106" t="s">
        <v>1539</v>
      </c>
      <c r="G68" s="107" t="s">
        <v>1540</v>
      </c>
      <c r="H68" s="93">
        <v>0.28999999999999998</v>
      </c>
      <c r="I68" s="93"/>
      <c r="J68" s="93">
        <f t="shared" si="4"/>
        <v>44408.44</v>
      </c>
      <c r="K68" s="103"/>
    </row>
    <row r="69" spans="2:13" x14ac:dyDescent="0.2">
      <c r="B69" s="104"/>
      <c r="C69" s="104">
        <v>41418</v>
      </c>
      <c r="D69" s="105">
        <v>46</v>
      </c>
      <c r="E69" s="109" t="s">
        <v>1554</v>
      </c>
      <c r="F69" s="106" t="s">
        <v>1555</v>
      </c>
      <c r="G69" s="111"/>
      <c r="H69" s="93"/>
      <c r="I69" s="93">
        <v>10000</v>
      </c>
      <c r="J69" s="117">
        <f t="shared" si="4"/>
        <v>34408.44</v>
      </c>
      <c r="K69" s="103"/>
    </row>
    <row r="70" spans="2:13" x14ac:dyDescent="0.2">
      <c r="B70" s="104"/>
      <c r="C70" s="104">
        <v>41422</v>
      </c>
      <c r="D70" s="105">
        <v>45</v>
      </c>
      <c r="E70" s="109" t="s">
        <v>1542</v>
      </c>
      <c r="F70" s="106" t="s">
        <v>1543</v>
      </c>
      <c r="G70" s="111" t="s">
        <v>1556</v>
      </c>
      <c r="H70" s="93"/>
      <c r="I70" s="93">
        <v>20000</v>
      </c>
      <c r="J70" s="93">
        <f t="shared" si="4"/>
        <v>14408.440000000002</v>
      </c>
      <c r="K70" s="103"/>
    </row>
    <row r="71" spans="2:13" x14ac:dyDescent="0.2">
      <c r="B71" s="104"/>
      <c r="C71" s="104">
        <v>41423</v>
      </c>
      <c r="D71" s="112"/>
      <c r="E71" s="109" t="s">
        <v>805</v>
      </c>
      <c r="F71" s="106"/>
      <c r="G71" s="107" t="s">
        <v>806</v>
      </c>
      <c r="H71" s="93">
        <v>10000</v>
      </c>
      <c r="I71" s="93"/>
      <c r="J71" s="93">
        <f t="shared" si="4"/>
        <v>24408.440000000002</v>
      </c>
      <c r="K71" s="110">
        <v>44</v>
      </c>
    </row>
    <row r="72" spans="2:13" x14ac:dyDescent="0.2">
      <c r="B72" s="104"/>
      <c r="C72" s="104">
        <v>41425</v>
      </c>
      <c r="D72" s="105"/>
      <c r="E72" s="105"/>
      <c r="F72" s="106" t="s">
        <v>1544</v>
      </c>
      <c r="G72" s="107" t="s">
        <v>1540</v>
      </c>
      <c r="H72" s="93"/>
      <c r="I72" s="93">
        <v>16</v>
      </c>
      <c r="J72" s="93">
        <f t="shared" si="4"/>
        <v>24392.440000000002</v>
      </c>
      <c r="K72" s="103"/>
    </row>
    <row r="73" spans="2:13" x14ac:dyDescent="0.2">
      <c r="B73" s="104"/>
      <c r="C73" s="104">
        <v>41425</v>
      </c>
      <c r="D73" s="105"/>
      <c r="E73" s="105"/>
      <c r="F73" s="106" t="s">
        <v>1545</v>
      </c>
      <c r="G73" s="107" t="s">
        <v>1546</v>
      </c>
      <c r="H73" s="93"/>
      <c r="I73" s="93">
        <v>2.56</v>
      </c>
      <c r="J73" s="93">
        <f t="shared" si="4"/>
        <v>24389.88</v>
      </c>
      <c r="K73" s="103"/>
      <c r="M73" s="113"/>
    </row>
    <row r="74" spans="2:13" ht="25.5" x14ac:dyDescent="0.2">
      <c r="B74" s="94" t="s">
        <v>1527</v>
      </c>
      <c r="C74" s="94" t="s">
        <v>1528</v>
      </c>
      <c r="D74" s="95" t="s">
        <v>1529</v>
      </c>
      <c r="E74" s="95"/>
      <c r="F74" s="52" t="s">
        <v>1531</v>
      </c>
      <c r="G74" s="3" t="s">
        <v>3</v>
      </c>
      <c r="H74" s="96" t="s">
        <v>1532</v>
      </c>
      <c r="I74" s="96" t="s">
        <v>1533</v>
      </c>
      <c r="J74" s="96" t="s">
        <v>1534</v>
      </c>
    </row>
    <row r="75" spans="2:13" ht="14.25" x14ac:dyDescent="0.2">
      <c r="B75" s="104"/>
      <c r="C75" s="104">
        <v>41428</v>
      </c>
      <c r="D75" s="105">
        <v>47</v>
      </c>
      <c r="E75" s="109" t="s">
        <v>1542</v>
      </c>
      <c r="F75" s="106" t="s">
        <v>1557</v>
      </c>
      <c r="G75" s="111" t="s">
        <v>1556</v>
      </c>
      <c r="H75" s="93"/>
      <c r="I75" s="93">
        <v>12000</v>
      </c>
      <c r="J75" s="93">
        <f>J73+H75-I75</f>
        <v>12389.880000000001</v>
      </c>
      <c r="K75" s="103"/>
    </row>
    <row r="76" spans="2:13" x14ac:dyDescent="0.2">
      <c r="B76" s="104"/>
      <c r="C76" s="104">
        <v>41432</v>
      </c>
      <c r="D76" s="105"/>
      <c r="E76" s="109" t="s">
        <v>1541</v>
      </c>
      <c r="F76" s="106" t="s">
        <v>1538</v>
      </c>
      <c r="G76" s="107" t="s">
        <v>208</v>
      </c>
      <c r="H76" s="93">
        <v>300</v>
      </c>
      <c r="I76" s="93"/>
      <c r="J76" s="93">
        <f t="shared" ref="J76:J82" si="5">J75+H76-I76</f>
        <v>12689.880000000001</v>
      </c>
      <c r="K76" s="110">
        <v>6102</v>
      </c>
    </row>
    <row r="77" spans="2:13" x14ac:dyDescent="0.2">
      <c r="B77" s="104"/>
      <c r="C77" s="104">
        <v>41432</v>
      </c>
      <c r="D77" s="105"/>
      <c r="E77" s="109" t="s">
        <v>1541</v>
      </c>
      <c r="F77" s="106" t="s">
        <v>1539</v>
      </c>
      <c r="G77" s="107" t="s">
        <v>1540</v>
      </c>
      <c r="H77" s="93">
        <v>0.28999999999999998</v>
      </c>
      <c r="I77" s="93"/>
      <c r="J77" s="93">
        <f t="shared" si="5"/>
        <v>12690.170000000002</v>
      </c>
      <c r="K77" s="103"/>
    </row>
    <row r="78" spans="2:13" x14ac:dyDescent="0.2">
      <c r="B78" s="104"/>
      <c r="C78" s="108">
        <v>41439</v>
      </c>
      <c r="D78" s="105"/>
      <c r="E78" s="109" t="s">
        <v>1537</v>
      </c>
      <c r="F78" s="106" t="s">
        <v>1538</v>
      </c>
      <c r="G78" s="107" t="s">
        <v>211</v>
      </c>
      <c r="H78" s="93">
        <v>300</v>
      </c>
      <c r="I78" s="93"/>
      <c r="J78" s="93">
        <f t="shared" si="5"/>
        <v>12990.170000000002</v>
      </c>
      <c r="K78" s="110">
        <v>6103</v>
      </c>
    </row>
    <row r="79" spans="2:13" x14ac:dyDescent="0.2">
      <c r="B79" s="104"/>
      <c r="C79" s="104">
        <v>41439</v>
      </c>
      <c r="D79" s="105"/>
      <c r="E79" s="109" t="s">
        <v>1537</v>
      </c>
      <c r="F79" s="106" t="s">
        <v>1539</v>
      </c>
      <c r="G79" s="107" t="s">
        <v>1540</v>
      </c>
      <c r="H79" s="93">
        <v>0.46</v>
      </c>
      <c r="I79" s="93"/>
      <c r="J79" s="93">
        <f t="shared" si="5"/>
        <v>12990.630000000001</v>
      </c>
      <c r="K79" s="103"/>
    </row>
    <row r="80" spans="2:13" x14ac:dyDescent="0.2">
      <c r="B80" s="104"/>
      <c r="C80" s="104">
        <v>41449</v>
      </c>
      <c r="D80" s="112"/>
      <c r="E80" s="109" t="s">
        <v>805</v>
      </c>
      <c r="F80" s="106"/>
      <c r="G80" s="107" t="s">
        <v>806</v>
      </c>
      <c r="H80" s="93">
        <v>10000</v>
      </c>
      <c r="I80" s="93"/>
      <c r="J80" s="93">
        <f t="shared" si="5"/>
        <v>22990.63</v>
      </c>
      <c r="K80" s="110">
        <v>45</v>
      </c>
    </row>
    <row r="81" spans="2:13" x14ac:dyDescent="0.2">
      <c r="B81" s="104"/>
      <c r="C81" s="104">
        <v>41453</v>
      </c>
      <c r="D81" s="105"/>
      <c r="E81" s="105"/>
      <c r="F81" s="106" t="s">
        <v>1544</v>
      </c>
      <c r="G81" s="107" t="s">
        <v>1540</v>
      </c>
      <c r="H81" s="93"/>
      <c r="I81" s="93">
        <v>8</v>
      </c>
      <c r="J81" s="93">
        <f t="shared" si="5"/>
        <v>22982.63</v>
      </c>
      <c r="K81" s="103"/>
    </row>
    <row r="82" spans="2:13" x14ac:dyDescent="0.2">
      <c r="B82" s="104"/>
      <c r="C82" s="104">
        <v>41453</v>
      </c>
      <c r="D82" s="105"/>
      <c r="E82" s="105"/>
      <c r="F82" s="106" t="s">
        <v>1545</v>
      </c>
      <c r="G82" s="107" t="s">
        <v>1546</v>
      </c>
      <c r="H82" s="93"/>
      <c r="I82" s="93">
        <v>1.28</v>
      </c>
      <c r="J82" s="93">
        <f t="shared" si="5"/>
        <v>22981.350000000002</v>
      </c>
      <c r="K82" s="103"/>
      <c r="M82" s="113"/>
    </row>
    <row r="83" spans="2:13" ht="25.5" x14ac:dyDescent="0.2">
      <c r="B83" s="94" t="s">
        <v>1527</v>
      </c>
      <c r="C83" s="94" t="s">
        <v>1528</v>
      </c>
      <c r="D83" s="95" t="s">
        <v>1529</v>
      </c>
      <c r="E83" s="95"/>
      <c r="F83" s="52" t="s">
        <v>1531</v>
      </c>
      <c r="G83" s="3" t="s">
        <v>3</v>
      </c>
      <c r="H83" s="96" t="s">
        <v>1532</v>
      </c>
      <c r="I83" s="96" t="s">
        <v>1533</v>
      </c>
      <c r="J83" s="96" t="s">
        <v>1534</v>
      </c>
    </row>
    <row r="84" spans="2:13" x14ac:dyDescent="0.2">
      <c r="B84" s="104"/>
      <c r="C84" s="104"/>
      <c r="D84" s="105"/>
      <c r="E84" s="105"/>
      <c r="F84" s="106"/>
      <c r="G84" s="111"/>
      <c r="H84" s="93"/>
      <c r="I84" s="93"/>
      <c r="J84" s="93">
        <f>J82+H84-I84</f>
        <v>22981.350000000002</v>
      </c>
      <c r="K84" s="103"/>
    </row>
    <row r="85" spans="2:13" x14ac:dyDescent="0.2">
      <c r="B85" s="104"/>
      <c r="C85" s="108">
        <v>41458</v>
      </c>
      <c r="D85" s="105"/>
      <c r="E85" s="109" t="s">
        <v>1537</v>
      </c>
      <c r="F85" s="106" t="s">
        <v>1558</v>
      </c>
      <c r="G85" s="107" t="s">
        <v>211</v>
      </c>
      <c r="H85" s="93">
        <v>300</v>
      </c>
      <c r="I85" s="93"/>
      <c r="J85" s="93">
        <f t="shared" ref="J85:J90" si="6">J84+H85-I85</f>
        <v>23281.350000000002</v>
      </c>
      <c r="K85" s="110">
        <v>6104</v>
      </c>
    </row>
    <row r="86" spans="2:13" x14ac:dyDescent="0.2">
      <c r="B86" s="104"/>
      <c r="C86" s="104">
        <v>41458</v>
      </c>
      <c r="D86" s="105"/>
      <c r="E86" s="109" t="s">
        <v>1537</v>
      </c>
      <c r="F86" s="106" t="s">
        <v>1539</v>
      </c>
      <c r="G86" s="107" t="s">
        <v>1540</v>
      </c>
      <c r="H86" s="93">
        <v>0.46</v>
      </c>
      <c r="I86" s="93"/>
      <c r="J86" s="93">
        <f t="shared" si="6"/>
        <v>23281.81</v>
      </c>
      <c r="K86" s="103"/>
    </row>
    <row r="87" spans="2:13" x14ac:dyDescent="0.2">
      <c r="B87" s="104"/>
      <c r="C87" s="104">
        <v>41472</v>
      </c>
      <c r="D87" s="105"/>
      <c r="E87" s="109"/>
      <c r="F87" s="106" t="s">
        <v>1559</v>
      </c>
      <c r="G87" s="111"/>
      <c r="H87" s="93">
        <v>1200</v>
      </c>
      <c r="I87" s="93"/>
      <c r="J87" s="93">
        <f t="shared" si="6"/>
        <v>24481.81</v>
      </c>
      <c r="K87" s="103"/>
    </row>
    <row r="88" spans="2:13" x14ac:dyDescent="0.2">
      <c r="B88" s="104">
        <v>41474</v>
      </c>
      <c r="C88" s="104">
        <v>41474</v>
      </c>
      <c r="D88" s="112"/>
      <c r="E88" s="109" t="s">
        <v>805</v>
      </c>
      <c r="F88" s="106" t="s">
        <v>1560</v>
      </c>
      <c r="G88" s="107" t="s">
        <v>806</v>
      </c>
      <c r="H88" s="93">
        <v>10000</v>
      </c>
      <c r="I88" s="93"/>
      <c r="J88" s="93">
        <f t="shared" si="6"/>
        <v>34481.81</v>
      </c>
      <c r="K88" s="110">
        <v>47</v>
      </c>
    </row>
    <row r="89" spans="2:13" x14ac:dyDescent="0.2">
      <c r="B89" s="104">
        <v>41474</v>
      </c>
      <c r="C89" s="108">
        <v>41474</v>
      </c>
      <c r="D89" s="105"/>
      <c r="E89" s="109" t="s">
        <v>1550</v>
      </c>
      <c r="F89" s="106" t="s">
        <v>1561</v>
      </c>
      <c r="G89" s="107" t="s">
        <v>571</v>
      </c>
      <c r="H89" s="93">
        <v>600</v>
      </c>
      <c r="I89" s="93"/>
      <c r="J89" s="93">
        <f t="shared" si="6"/>
        <v>35081.81</v>
      </c>
      <c r="K89" s="110">
        <v>6105</v>
      </c>
    </row>
    <row r="90" spans="2:13" x14ac:dyDescent="0.2">
      <c r="B90" s="104"/>
      <c r="C90" s="104">
        <v>41474</v>
      </c>
      <c r="D90" s="105"/>
      <c r="E90" s="109" t="s">
        <v>1550</v>
      </c>
      <c r="F90" s="106" t="s">
        <v>1539</v>
      </c>
      <c r="G90" s="107" t="s">
        <v>1540</v>
      </c>
      <c r="H90" s="93">
        <v>0.15</v>
      </c>
      <c r="I90" s="93"/>
      <c r="J90" s="93">
        <f t="shared" si="6"/>
        <v>35081.96</v>
      </c>
      <c r="K90" s="103"/>
      <c r="M90" s="113"/>
    </row>
    <row r="91" spans="2:13" ht="25.5" x14ac:dyDescent="0.2">
      <c r="B91" s="94" t="s">
        <v>1527</v>
      </c>
      <c r="C91" s="94" t="s">
        <v>1528</v>
      </c>
      <c r="D91" s="95" t="s">
        <v>1529</v>
      </c>
      <c r="E91" s="95"/>
      <c r="F91" s="52" t="s">
        <v>1531</v>
      </c>
      <c r="G91" s="3" t="s">
        <v>3</v>
      </c>
      <c r="H91" s="96" t="s">
        <v>1532</v>
      </c>
      <c r="I91" s="96" t="s">
        <v>1533</v>
      </c>
      <c r="J91" s="96" t="s">
        <v>1534</v>
      </c>
    </row>
    <row r="92" spans="2:13" x14ac:dyDescent="0.2">
      <c r="B92" s="104"/>
      <c r="C92" s="108">
        <v>41492</v>
      </c>
      <c r="D92" s="105"/>
      <c r="E92" s="109" t="s">
        <v>1537</v>
      </c>
      <c r="F92" s="106" t="s">
        <v>1562</v>
      </c>
      <c r="G92" s="107" t="s">
        <v>211</v>
      </c>
      <c r="H92" s="93">
        <v>300</v>
      </c>
      <c r="I92" s="93"/>
      <c r="J92" s="93">
        <f>J90+H92-I92</f>
        <v>35381.96</v>
      </c>
      <c r="K92" s="110">
        <v>6106</v>
      </c>
    </row>
    <row r="93" spans="2:13" x14ac:dyDescent="0.2">
      <c r="B93" s="104"/>
      <c r="C93" s="104">
        <v>41492</v>
      </c>
      <c r="D93" s="105"/>
      <c r="E93" s="109" t="s">
        <v>1537</v>
      </c>
      <c r="F93" s="106" t="s">
        <v>1539</v>
      </c>
      <c r="G93" s="107" t="s">
        <v>1540</v>
      </c>
      <c r="H93" s="93">
        <v>0.46</v>
      </c>
      <c r="I93" s="93"/>
      <c r="J93" s="93">
        <f>J92+H93-I93</f>
        <v>35382.42</v>
      </c>
      <c r="K93" s="103"/>
    </row>
    <row r="94" spans="2:13" x14ac:dyDescent="0.2">
      <c r="B94" s="104"/>
      <c r="C94" s="104">
        <v>41494</v>
      </c>
      <c r="D94" s="105"/>
      <c r="E94" s="109" t="s">
        <v>1541</v>
      </c>
      <c r="F94" s="106" t="s">
        <v>1562</v>
      </c>
      <c r="G94" s="107" t="s">
        <v>208</v>
      </c>
      <c r="H94" s="93">
        <v>300</v>
      </c>
      <c r="I94" s="93"/>
      <c r="J94" s="93">
        <f>J93+H94-I94</f>
        <v>35682.42</v>
      </c>
      <c r="K94" s="110">
        <v>6107</v>
      </c>
    </row>
    <row r="95" spans="2:13" x14ac:dyDescent="0.2">
      <c r="B95" s="104"/>
      <c r="C95" s="104">
        <v>41494</v>
      </c>
      <c r="D95" s="105"/>
      <c r="E95" s="109" t="s">
        <v>1541</v>
      </c>
      <c r="F95" s="106" t="s">
        <v>1539</v>
      </c>
      <c r="G95" s="107" t="s">
        <v>1540</v>
      </c>
      <c r="H95" s="93">
        <v>0.28999999999999998</v>
      </c>
      <c r="I95" s="93"/>
      <c r="J95" s="93">
        <f>J94+H95-I95</f>
        <v>35682.71</v>
      </c>
      <c r="K95" s="103"/>
    </row>
    <row r="96" spans="2:13" x14ac:dyDescent="0.2">
      <c r="B96" s="104"/>
      <c r="C96" s="104">
        <v>41509</v>
      </c>
      <c r="D96" s="112"/>
      <c r="E96" s="109" t="s">
        <v>805</v>
      </c>
      <c r="F96" s="106" t="s">
        <v>1563</v>
      </c>
      <c r="G96" s="107" t="s">
        <v>806</v>
      </c>
      <c r="H96" s="93">
        <v>10000</v>
      </c>
      <c r="I96" s="93"/>
      <c r="J96" s="93">
        <f>J95+H96-I96</f>
        <v>45682.71</v>
      </c>
      <c r="K96" s="110">
        <v>49</v>
      </c>
      <c r="M96" s="113"/>
    </row>
    <row r="97" spans="2:13" ht="25.5" x14ac:dyDescent="0.2">
      <c r="B97" s="94" t="s">
        <v>1527</v>
      </c>
      <c r="C97" s="94" t="s">
        <v>1528</v>
      </c>
      <c r="D97" s="95" t="s">
        <v>1529</v>
      </c>
      <c r="E97" s="95"/>
      <c r="F97" s="52" t="s">
        <v>1531</v>
      </c>
      <c r="G97" s="3" t="s">
        <v>3</v>
      </c>
      <c r="H97" s="96" t="s">
        <v>1532</v>
      </c>
      <c r="I97" s="96" t="s">
        <v>1533</v>
      </c>
      <c r="J97" s="96" t="s">
        <v>1534</v>
      </c>
    </row>
    <row r="98" spans="2:13" x14ac:dyDescent="0.2">
      <c r="B98" s="104"/>
      <c r="C98" s="104">
        <v>41519</v>
      </c>
      <c r="D98" s="105"/>
      <c r="E98" s="109"/>
      <c r="F98" s="106" t="s">
        <v>1544</v>
      </c>
      <c r="G98" s="107" t="s">
        <v>1540</v>
      </c>
      <c r="H98" s="93"/>
      <c r="I98" s="93">
        <v>30</v>
      </c>
      <c r="J98" s="93">
        <f>J96+H98-I98</f>
        <v>45652.71</v>
      </c>
      <c r="K98" s="103"/>
    </row>
    <row r="99" spans="2:13" x14ac:dyDescent="0.2">
      <c r="B99" s="104"/>
      <c r="C99" s="104">
        <v>41519</v>
      </c>
      <c r="D99" s="105"/>
      <c r="E99" s="109"/>
      <c r="F99" s="106" t="s">
        <v>1545</v>
      </c>
      <c r="G99" s="107" t="s">
        <v>1546</v>
      </c>
      <c r="H99" s="93"/>
      <c r="I99" s="93">
        <v>4.8</v>
      </c>
      <c r="J99" s="93">
        <f t="shared" ref="J99:J106" si="7">J98+H99-I99</f>
        <v>45647.909999999996</v>
      </c>
      <c r="K99" s="103"/>
    </row>
    <row r="100" spans="2:13" x14ac:dyDescent="0.2">
      <c r="B100" s="104"/>
      <c r="C100" s="108">
        <v>41522</v>
      </c>
      <c r="D100" s="105"/>
      <c r="E100" s="109" t="s">
        <v>1537</v>
      </c>
      <c r="F100" s="106" t="s">
        <v>1564</v>
      </c>
      <c r="G100" s="107" t="s">
        <v>211</v>
      </c>
      <c r="H100" s="93">
        <v>300</v>
      </c>
      <c r="I100" s="93"/>
      <c r="J100" s="93">
        <f t="shared" si="7"/>
        <v>45947.909999999996</v>
      </c>
      <c r="K100" s="110">
        <v>6108</v>
      </c>
    </row>
    <row r="101" spans="2:13" x14ac:dyDescent="0.2">
      <c r="B101" s="104"/>
      <c r="C101" s="104">
        <v>41522</v>
      </c>
      <c r="D101" s="105"/>
      <c r="E101" s="109" t="s">
        <v>1537</v>
      </c>
      <c r="F101" s="106" t="s">
        <v>1539</v>
      </c>
      <c r="G101" s="107" t="s">
        <v>1540</v>
      </c>
      <c r="H101" s="93">
        <v>0.46</v>
      </c>
      <c r="I101" s="93"/>
      <c r="J101" s="93">
        <f t="shared" si="7"/>
        <v>45948.369999999995</v>
      </c>
      <c r="K101" s="103"/>
    </row>
    <row r="102" spans="2:13" x14ac:dyDescent="0.2">
      <c r="B102" s="104"/>
      <c r="C102" s="104">
        <v>41526</v>
      </c>
      <c r="D102" s="105"/>
      <c r="E102" s="109" t="s">
        <v>1541</v>
      </c>
      <c r="F102" s="106" t="s">
        <v>1565</v>
      </c>
      <c r="G102" s="107" t="s">
        <v>208</v>
      </c>
      <c r="H102" s="93">
        <v>300</v>
      </c>
      <c r="I102" s="93"/>
      <c r="J102" s="93">
        <f t="shared" si="7"/>
        <v>46248.369999999995</v>
      </c>
      <c r="K102" s="110">
        <v>6109</v>
      </c>
    </row>
    <row r="103" spans="2:13" x14ac:dyDescent="0.2">
      <c r="B103" s="104"/>
      <c r="C103" s="104">
        <v>41526</v>
      </c>
      <c r="D103" s="105"/>
      <c r="E103" s="109" t="s">
        <v>1541</v>
      </c>
      <c r="F103" s="106" t="s">
        <v>1539</v>
      </c>
      <c r="G103" s="107" t="s">
        <v>1540</v>
      </c>
      <c r="H103" s="93">
        <v>0.28999999999999998</v>
      </c>
      <c r="I103" s="93"/>
      <c r="J103" s="93">
        <f t="shared" si="7"/>
        <v>46248.659999999996</v>
      </c>
      <c r="K103" s="103"/>
    </row>
    <row r="104" spans="2:13" x14ac:dyDescent="0.2">
      <c r="B104" s="104"/>
      <c r="C104" s="104">
        <v>41540</v>
      </c>
      <c r="D104" s="112"/>
      <c r="E104" s="109" t="s">
        <v>805</v>
      </c>
      <c r="F104" s="106" t="s">
        <v>1566</v>
      </c>
      <c r="G104" s="107" t="s">
        <v>806</v>
      </c>
      <c r="H104" s="93">
        <v>10000</v>
      </c>
      <c r="I104" s="93"/>
      <c r="J104" s="93">
        <f t="shared" si="7"/>
        <v>56248.659999999996</v>
      </c>
      <c r="K104" s="110">
        <v>57</v>
      </c>
    </row>
    <row r="105" spans="2:13" x14ac:dyDescent="0.2">
      <c r="B105" s="104"/>
      <c r="C105" s="108">
        <v>41544</v>
      </c>
      <c r="D105" s="105"/>
      <c r="E105" s="109" t="s">
        <v>1550</v>
      </c>
      <c r="F105" s="106" t="s">
        <v>1567</v>
      </c>
      <c r="G105" s="107" t="s">
        <v>571</v>
      </c>
      <c r="H105" s="93">
        <v>150</v>
      </c>
      <c r="I105" s="93"/>
      <c r="J105" s="93">
        <f t="shared" si="7"/>
        <v>56398.659999999996</v>
      </c>
      <c r="K105" s="110">
        <v>6110</v>
      </c>
    </row>
    <row r="106" spans="2:13" x14ac:dyDescent="0.2">
      <c r="B106" s="104"/>
      <c r="C106" s="104">
        <v>41544</v>
      </c>
      <c r="D106" s="105"/>
      <c r="E106" s="109" t="s">
        <v>1550</v>
      </c>
      <c r="F106" s="106" t="s">
        <v>1539</v>
      </c>
      <c r="G106" s="107" t="s">
        <v>1540</v>
      </c>
      <c r="H106" s="93">
        <v>0.15</v>
      </c>
      <c r="I106" s="93"/>
      <c r="J106" s="93">
        <f t="shared" si="7"/>
        <v>56398.81</v>
      </c>
      <c r="K106" s="103"/>
      <c r="M106" s="113"/>
    </row>
    <row r="107" spans="2:13" ht="25.5" x14ac:dyDescent="0.2">
      <c r="B107" s="94" t="s">
        <v>1527</v>
      </c>
      <c r="C107" s="94" t="s">
        <v>1528</v>
      </c>
      <c r="D107" s="95" t="s">
        <v>1529</v>
      </c>
      <c r="E107" s="95"/>
      <c r="F107" s="52" t="s">
        <v>1531</v>
      </c>
      <c r="G107" s="3" t="s">
        <v>3</v>
      </c>
      <c r="H107" s="96" t="s">
        <v>1532</v>
      </c>
      <c r="I107" s="96" t="s">
        <v>1533</v>
      </c>
      <c r="J107" s="96" t="s">
        <v>1534</v>
      </c>
    </row>
    <row r="108" spans="2:13" x14ac:dyDescent="0.2">
      <c r="B108" s="104"/>
      <c r="C108" s="104">
        <v>41551</v>
      </c>
      <c r="D108" s="105"/>
      <c r="E108" s="109" t="s">
        <v>1541</v>
      </c>
      <c r="F108" s="106" t="s">
        <v>1568</v>
      </c>
      <c r="G108" s="107" t="s">
        <v>208</v>
      </c>
      <c r="H108" s="93">
        <v>300</v>
      </c>
      <c r="I108" s="93"/>
      <c r="J108" s="93">
        <f>J106+H108-I108</f>
        <v>56698.81</v>
      </c>
      <c r="K108" s="110">
        <v>6111</v>
      </c>
    </row>
    <row r="109" spans="2:13" x14ac:dyDescent="0.2">
      <c r="B109" s="104"/>
      <c r="C109" s="104">
        <v>41551</v>
      </c>
      <c r="D109" s="105"/>
      <c r="E109" s="109" t="s">
        <v>1541</v>
      </c>
      <c r="F109" s="106" t="s">
        <v>1539</v>
      </c>
      <c r="G109" s="107" t="s">
        <v>1540</v>
      </c>
      <c r="H109" s="93">
        <v>0.28999999999999998</v>
      </c>
      <c r="I109" s="93"/>
      <c r="J109" s="93">
        <f>J108+H109-I109</f>
        <v>56699.1</v>
      </c>
      <c r="K109" s="103"/>
    </row>
    <row r="110" spans="2:13" x14ac:dyDescent="0.2">
      <c r="B110" s="104"/>
      <c r="C110" s="104">
        <v>41563</v>
      </c>
      <c r="D110" s="112"/>
      <c r="E110" s="109" t="s">
        <v>805</v>
      </c>
      <c r="F110" s="106" t="s">
        <v>1569</v>
      </c>
      <c r="G110" s="107" t="s">
        <v>806</v>
      </c>
      <c r="H110" s="93">
        <v>10000</v>
      </c>
      <c r="I110" s="93"/>
      <c r="J110" s="93">
        <f>J109+H110-I110</f>
        <v>66699.100000000006</v>
      </c>
      <c r="K110" s="103">
        <v>6154</v>
      </c>
      <c r="L110" s="110">
        <v>60</v>
      </c>
    </row>
    <row r="111" spans="2:13" x14ac:dyDescent="0.2">
      <c r="B111" s="104"/>
      <c r="C111" s="108">
        <v>41569</v>
      </c>
      <c r="D111" s="105"/>
      <c r="E111" s="109" t="s">
        <v>1537</v>
      </c>
      <c r="F111" s="106" t="s">
        <v>1570</v>
      </c>
      <c r="G111" s="107" t="s">
        <v>211</v>
      </c>
      <c r="H111" s="93">
        <v>300</v>
      </c>
      <c r="I111" s="93"/>
      <c r="J111" s="93">
        <f>J110+H111-I111</f>
        <v>66999.100000000006</v>
      </c>
      <c r="K111" s="110">
        <v>6155</v>
      </c>
    </row>
    <row r="112" spans="2:13" x14ac:dyDescent="0.2">
      <c r="B112" s="104"/>
      <c r="C112" s="104">
        <v>41569</v>
      </c>
      <c r="D112" s="105"/>
      <c r="E112" s="109" t="s">
        <v>1537</v>
      </c>
      <c r="F112" s="106" t="s">
        <v>1539</v>
      </c>
      <c r="G112" s="107" t="s">
        <v>1540</v>
      </c>
      <c r="H112" s="93">
        <v>0.46</v>
      </c>
      <c r="I112" s="93"/>
      <c r="J112" s="93">
        <f>J111+H112-I112</f>
        <v>66999.560000000012</v>
      </c>
      <c r="K112" s="103"/>
      <c r="M112" s="113"/>
    </row>
    <row r="113" spans="2:13" ht="25.5" x14ac:dyDescent="0.2">
      <c r="B113" s="94" t="s">
        <v>1527</v>
      </c>
      <c r="C113" s="94" t="s">
        <v>1528</v>
      </c>
      <c r="D113" s="95" t="s">
        <v>1529</v>
      </c>
      <c r="E113" s="95"/>
      <c r="F113" s="52" t="s">
        <v>1531</v>
      </c>
      <c r="G113" s="3" t="s">
        <v>3</v>
      </c>
      <c r="H113" s="96" t="s">
        <v>1532</v>
      </c>
      <c r="I113" s="96" t="s">
        <v>1533</v>
      </c>
      <c r="J113" s="96" t="s">
        <v>1534</v>
      </c>
      <c r="K113" s="103"/>
    </row>
    <row r="114" spans="2:13" x14ac:dyDescent="0.2">
      <c r="B114" s="104"/>
      <c r="C114" s="108">
        <v>41584</v>
      </c>
      <c r="D114" s="105"/>
      <c r="E114" s="109" t="s">
        <v>1537</v>
      </c>
      <c r="F114" s="106" t="s">
        <v>1571</v>
      </c>
      <c r="G114" s="107" t="s">
        <v>211</v>
      </c>
      <c r="H114" s="93">
        <v>300</v>
      </c>
      <c r="I114" s="93"/>
      <c r="J114" s="93">
        <f>J112+H114-I114</f>
        <v>67299.560000000012</v>
      </c>
      <c r="K114" s="110">
        <v>6156</v>
      </c>
    </row>
    <row r="115" spans="2:13" x14ac:dyDescent="0.2">
      <c r="B115" s="104"/>
      <c r="C115" s="104">
        <v>41584</v>
      </c>
      <c r="D115" s="105"/>
      <c r="E115" s="109" t="s">
        <v>1537</v>
      </c>
      <c r="F115" s="106" t="s">
        <v>1539</v>
      </c>
      <c r="G115" s="107" t="s">
        <v>1540</v>
      </c>
      <c r="H115" s="93">
        <v>0.46</v>
      </c>
      <c r="I115" s="93"/>
      <c r="J115" s="93">
        <f>J114+H115-I115</f>
        <v>67300.020000000019</v>
      </c>
      <c r="K115" s="103"/>
    </row>
    <row r="116" spans="2:13" x14ac:dyDescent="0.2">
      <c r="B116" s="104"/>
      <c r="C116" s="104">
        <v>41600</v>
      </c>
      <c r="D116" s="112"/>
      <c r="E116" s="109" t="s">
        <v>805</v>
      </c>
      <c r="F116" s="106" t="s">
        <v>1572</v>
      </c>
      <c r="G116" s="118" t="s">
        <v>806</v>
      </c>
      <c r="H116" s="93">
        <v>10000</v>
      </c>
      <c r="I116" s="93"/>
      <c r="J116" s="93">
        <f>J115+H116-I116</f>
        <v>77300.020000000019</v>
      </c>
      <c r="K116">
        <v>6157</v>
      </c>
      <c r="L116" s="110">
        <v>62</v>
      </c>
    </row>
    <row r="117" spans="2:13" ht="25.5" x14ac:dyDescent="0.2">
      <c r="B117" s="94" t="s">
        <v>1527</v>
      </c>
      <c r="C117" s="94" t="s">
        <v>1528</v>
      </c>
      <c r="D117" s="95" t="s">
        <v>1529</v>
      </c>
      <c r="E117" s="95"/>
      <c r="F117" s="52" t="s">
        <v>1531</v>
      </c>
      <c r="G117" s="3" t="s">
        <v>3</v>
      </c>
      <c r="H117" s="96" t="s">
        <v>1532</v>
      </c>
      <c r="I117" s="96" t="s">
        <v>1533</v>
      </c>
      <c r="J117" s="96" t="s">
        <v>1534</v>
      </c>
      <c r="K117" s="103"/>
    </row>
    <row r="118" spans="2:13" x14ac:dyDescent="0.2">
      <c r="B118" s="104"/>
      <c r="C118" s="104">
        <v>41611</v>
      </c>
      <c r="D118" s="105"/>
      <c r="E118" s="109" t="s">
        <v>1573</v>
      </c>
      <c r="F118" s="106" t="s">
        <v>1574</v>
      </c>
      <c r="G118" s="111"/>
      <c r="H118" s="93">
        <v>1200</v>
      </c>
      <c r="I118" s="93"/>
      <c r="J118" s="93">
        <f>+J116+H118</f>
        <v>78500.020000000019</v>
      </c>
      <c r="K118" s="103"/>
      <c r="L118" t="s">
        <v>1575</v>
      </c>
    </row>
    <row r="119" spans="2:13" x14ac:dyDescent="0.2">
      <c r="B119" s="104"/>
      <c r="C119" s="108">
        <v>41612</v>
      </c>
      <c r="D119" s="105"/>
      <c r="E119" s="109" t="s">
        <v>1537</v>
      </c>
      <c r="F119" s="106" t="s">
        <v>1576</v>
      </c>
      <c r="G119" s="107" t="s">
        <v>211</v>
      </c>
      <c r="H119" s="93">
        <v>300</v>
      </c>
      <c r="I119" s="93"/>
      <c r="J119" s="93">
        <f>+J118+H119</f>
        <v>78800.020000000019</v>
      </c>
      <c r="K119" s="119" t="s">
        <v>1577</v>
      </c>
    </row>
    <row r="120" spans="2:13" x14ac:dyDescent="0.2">
      <c r="B120" s="104"/>
      <c r="C120" s="104">
        <v>41612</v>
      </c>
      <c r="D120" s="105"/>
      <c r="E120" s="109" t="s">
        <v>1537</v>
      </c>
      <c r="F120" s="106" t="s">
        <v>1539</v>
      </c>
      <c r="G120" s="107" t="s">
        <v>1540</v>
      </c>
      <c r="H120" s="93">
        <v>0.46</v>
      </c>
      <c r="I120" s="93"/>
      <c r="J120" s="93">
        <f>+J119+H120</f>
        <v>78800.480000000025</v>
      </c>
    </row>
    <row r="121" spans="2:13" x14ac:dyDescent="0.2">
      <c r="B121" s="104"/>
      <c r="C121" s="104">
        <v>41617</v>
      </c>
      <c r="D121" s="105"/>
      <c r="E121" s="109" t="s">
        <v>1541</v>
      </c>
      <c r="F121" s="106" t="s">
        <v>1576</v>
      </c>
      <c r="G121" s="107" t="s">
        <v>208</v>
      </c>
      <c r="H121" s="93">
        <v>300</v>
      </c>
      <c r="I121" s="93"/>
      <c r="J121" s="93">
        <f>+J120+H121</f>
        <v>79100.480000000025</v>
      </c>
      <c r="K121" s="119" t="s">
        <v>1578</v>
      </c>
    </row>
    <row r="122" spans="2:13" x14ac:dyDescent="0.2">
      <c r="B122" s="104"/>
      <c r="C122" s="104">
        <v>41617</v>
      </c>
      <c r="D122" s="105"/>
      <c r="E122" s="109" t="s">
        <v>1541</v>
      </c>
      <c r="F122" s="106" t="s">
        <v>1539</v>
      </c>
      <c r="G122" s="107" t="s">
        <v>1540</v>
      </c>
      <c r="H122" s="93">
        <v>0.28999999999999998</v>
      </c>
      <c r="I122" s="93"/>
      <c r="J122" s="93">
        <f>+J121+H122</f>
        <v>79100.770000000019</v>
      </c>
    </row>
    <row r="123" spans="2:13" x14ac:dyDescent="0.2">
      <c r="B123" s="104"/>
      <c r="C123" s="108">
        <v>41621</v>
      </c>
      <c r="D123" s="105"/>
      <c r="E123" s="109" t="s">
        <v>805</v>
      </c>
      <c r="F123" s="106" t="s">
        <v>1579</v>
      </c>
      <c r="G123" s="107" t="s">
        <v>806</v>
      </c>
      <c r="H123" s="93">
        <v>10000</v>
      </c>
      <c r="I123" s="93"/>
      <c r="J123" s="93">
        <f>+J122+H123</f>
        <v>89100.770000000019</v>
      </c>
      <c r="K123" s="119" t="s">
        <v>1580</v>
      </c>
    </row>
    <row r="124" spans="2:13" x14ac:dyDescent="0.2">
      <c r="B124" s="104"/>
      <c r="C124" s="104">
        <v>41632</v>
      </c>
      <c r="D124" s="105">
        <v>48</v>
      </c>
      <c r="E124" s="109" t="s">
        <v>1581</v>
      </c>
      <c r="F124" s="106" t="s">
        <v>1582</v>
      </c>
      <c r="G124" s="111"/>
      <c r="H124" s="93"/>
      <c r="I124" s="120">
        <v>10000</v>
      </c>
      <c r="J124" s="93">
        <f>+J123-I124</f>
        <v>79100.770000000019</v>
      </c>
      <c r="K124" s="113"/>
    </row>
    <row r="125" spans="2:13" x14ac:dyDescent="0.2">
      <c r="B125" s="104"/>
      <c r="C125" s="104">
        <v>41639</v>
      </c>
      <c r="D125" s="105">
        <v>49</v>
      </c>
      <c r="E125" s="109" t="s">
        <v>1583</v>
      </c>
      <c r="F125" s="106" t="s">
        <v>1584</v>
      </c>
      <c r="G125" s="111" t="s">
        <v>1585</v>
      </c>
      <c r="H125" s="93"/>
      <c r="I125" s="121">
        <v>3500</v>
      </c>
      <c r="J125" s="93">
        <f>+J124-I125</f>
        <v>75600.770000000019</v>
      </c>
    </row>
    <row r="126" spans="2:13" x14ac:dyDescent="0.2">
      <c r="B126" s="104"/>
      <c r="C126" s="104">
        <v>41639</v>
      </c>
      <c r="D126" s="105">
        <v>50</v>
      </c>
      <c r="E126" s="109" t="s">
        <v>1586</v>
      </c>
      <c r="F126" s="106" t="s">
        <v>1584</v>
      </c>
      <c r="G126" s="111" t="s">
        <v>1585</v>
      </c>
      <c r="H126" s="93"/>
      <c r="I126" s="121">
        <v>3500</v>
      </c>
      <c r="J126" s="93">
        <f>+J125-I126</f>
        <v>72100.770000000019</v>
      </c>
    </row>
    <row r="127" spans="2:13" x14ac:dyDescent="0.2">
      <c r="B127" s="104"/>
      <c r="C127" s="104">
        <v>41639</v>
      </c>
      <c r="D127" s="105"/>
      <c r="E127" s="109"/>
      <c r="F127" s="106" t="s">
        <v>1587</v>
      </c>
      <c r="G127" s="107" t="s">
        <v>1540</v>
      </c>
      <c r="H127" s="93"/>
      <c r="I127" s="93">
        <v>24</v>
      </c>
      <c r="J127" s="93">
        <f>+J126-I127</f>
        <v>72076.770000000019</v>
      </c>
      <c r="K127" s="113"/>
    </row>
    <row r="128" spans="2:13" x14ac:dyDescent="0.2">
      <c r="B128" s="122"/>
      <c r="C128" s="122">
        <v>41639</v>
      </c>
      <c r="D128" s="123"/>
      <c r="E128" s="124"/>
      <c r="F128" s="125" t="s">
        <v>1588</v>
      </c>
      <c r="G128" s="107" t="s">
        <v>1546</v>
      </c>
      <c r="H128" s="126"/>
      <c r="I128" s="126">
        <v>3.84</v>
      </c>
      <c r="J128" s="127">
        <f>+J127-I128</f>
        <v>72072.930000000022</v>
      </c>
      <c r="M128" s="113"/>
    </row>
    <row r="129" spans="1:11" ht="25.5" x14ac:dyDescent="0.2">
      <c r="B129" s="94" t="s">
        <v>1527</v>
      </c>
      <c r="C129" s="94" t="s">
        <v>1528</v>
      </c>
      <c r="D129" s="95" t="s">
        <v>1529</v>
      </c>
      <c r="E129" s="95"/>
      <c r="F129" s="52" t="s">
        <v>1531</v>
      </c>
      <c r="G129" s="3" t="s">
        <v>3</v>
      </c>
      <c r="H129" s="96" t="s">
        <v>1532</v>
      </c>
      <c r="I129" s="96" t="s">
        <v>1533</v>
      </c>
      <c r="J129" s="96" t="s">
        <v>1534</v>
      </c>
      <c r="K129" s="103"/>
    </row>
    <row r="130" spans="1:11" x14ac:dyDescent="0.2">
      <c r="B130" s="128"/>
      <c r="C130" s="128">
        <v>41642</v>
      </c>
      <c r="D130" s="129">
        <v>51</v>
      </c>
      <c r="E130" s="130" t="s">
        <v>1589</v>
      </c>
      <c r="F130" s="131" t="s">
        <v>1584</v>
      </c>
      <c r="G130" s="132" t="s">
        <v>1585</v>
      </c>
      <c r="H130" s="133"/>
      <c r="I130" s="133">
        <v>5000</v>
      </c>
      <c r="J130" s="133">
        <f>+J128-I130</f>
        <v>67072.930000000022</v>
      </c>
    </row>
    <row r="131" spans="1:11" x14ac:dyDescent="0.2">
      <c r="B131" s="104"/>
      <c r="C131" s="104">
        <v>41646</v>
      </c>
      <c r="D131" s="105">
        <v>52</v>
      </c>
      <c r="E131" s="109"/>
      <c r="F131" s="106"/>
      <c r="G131" s="111"/>
      <c r="H131" s="93"/>
      <c r="I131" s="93">
        <v>3000</v>
      </c>
      <c r="J131" s="133">
        <f>+J130+H131-I131</f>
        <v>64072.930000000022</v>
      </c>
    </row>
    <row r="132" spans="1:11" x14ac:dyDescent="0.2">
      <c r="B132" s="104"/>
      <c r="C132" s="108">
        <v>41647</v>
      </c>
      <c r="D132" s="105"/>
      <c r="E132" s="109" t="s">
        <v>1537</v>
      </c>
      <c r="F132" s="106" t="s">
        <v>1590</v>
      </c>
      <c r="G132" s="107" t="s">
        <v>211</v>
      </c>
      <c r="H132" s="93">
        <v>300</v>
      </c>
      <c r="I132" s="93"/>
      <c r="J132" s="93">
        <f>+J131+H132-I132</f>
        <v>64372.930000000022</v>
      </c>
    </row>
    <row r="133" spans="1:11" x14ac:dyDescent="0.2">
      <c r="B133" s="104"/>
      <c r="C133" s="104">
        <v>41647</v>
      </c>
      <c r="D133" s="105"/>
      <c r="E133" s="109" t="s">
        <v>1537</v>
      </c>
      <c r="F133" s="106" t="s">
        <v>1539</v>
      </c>
      <c r="G133" s="107" t="s">
        <v>1540</v>
      </c>
      <c r="H133" s="93">
        <v>0.46</v>
      </c>
      <c r="I133" s="93"/>
      <c r="J133" s="93">
        <f t="shared" ref="J133:J138" si="8">+J132+H133</f>
        <v>64373.390000000021</v>
      </c>
    </row>
    <row r="134" spans="1:11" x14ac:dyDescent="0.2">
      <c r="B134" s="104"/>
      <c r="C134" s="104">
        <v>41648</v>
      </c>
      <c r="D134" s="105"/>
      <c r="E134" s="109" t="s">
        <v>1541</v>
      </c>
      <c r="F134" s="106" t="s">
        <v>1590</v>
      </c>
      <c r="G134" s="107" t="s">
        <v>208</v>
      </c>
      <c r="H134" s="93">
        <v>300</v>
      </c>
      <c r="I134" s="93"/>
      <c r="J134" s="93">
        <f t="shared" si="8"/>
        <v>64673.390000000021</v>
      </c>
    </row>
    <row r="135" spans="1:11" x14ac:dyDescent="0.2">
      <c r="A135" s="134"/>
      <c r="B135" s="104"/>
      <c r="C135" s="104">
        <v>41653</v>
      </c>
      <c r="D135" s="105"/>
      <c r="E135" s="109" t="s">
        <v>1541</v>
      </c>
      <c r="F135" s="106" t="s">
        <v>1539</v>
      </c>
      <c r="G135" s="107" t="s">
        <v>1540</v>
      </c>
      <c r="H135" s="93">
        <v>0.28999999999999998</v>
      </c>
      <c r="I135" s="93"/>
      <c r="J135" s="93">
        <f t="shared" si="8"/>
        <v>64673.680000000022</v>
      </c>
    </row>
    <row r="136" spans="1:11" x14ac:dyDescent="0.2">
      <c r="B136" s="104"/>
      <c r="C136" s="104">
        <v>41653</v>
      </c>
      <c r="D136" s="105"/>
      <c r="E136" s="109"/>
      <c r="F136" s="106" t="s">
        <v>1591</v>
      </c>
      <c r="G136" s="111"/>
      <c r="H136" s="93">
        <v>56500</v>
      </c>
      <c r="I136" s="93"/>
      <c r="J136" s="93">
        <f t="shared" si="8"/>
        <v>121173.68000000002</v>
      </c>
    </row>
    <row r="137" spans="1:11" x14ac:dyDescent="0.2">
      <c r="B137" s="114"/>
      <c r="C137" s="114">
        <v>41654</v>
      </c>
      <c r="D137" s="115"/>
      <c r="E137" s="135"/>
      <c r="F137" s="136" t="s">
        <v>1592</v>
      </c>
      <c r="G137" s="137"/>
      <c r="H137" s="138">
        <v>4400</v>
      </c>
      <c r="I137" s="116"/>
      <c r="J137" s="93">
        <f t="shared" si="8"/>
        <v>125573.68000000002</v>
      </c>
      <c r="K137" t="s">
        <v>1593</v>
      </c>
    </row>
    <row r="138" spans="1:11" x14ac:dyDescent="0.2">
      <c r="B138" s="104"/>
      <c r="C138" s="104">
        <v>41654</v>
      </c>
      <c r="D138" s="105">
        <v>995</v>
      </c>
      <c r="E138" s="139"/>
      <c r="F138" s="106" t="s">
        <v>1594</v>
      </c>
      <c r="G138" s="111"/>
      <c r="H138" s="121">
        <v>4400</v>
      </c>
      <c r="I138" s="93"/>
      <c r="J138" s="93">
        <f t="shared" si="8"/>
        <v>129973.68000000002</v>
      </c>
    </row>
    <row r="139" spans="1:11" x14ac:dyDescent="0.2">
      <c r="B139" s="114"/>
      <c r="C139" s="114">
        <v>41659</v>
      </c>
      <c r="D139" s="115">
        <v>55</v>
      </c>
      <c r="E139" s="140"/>
      <c r="F139" s="136" t="s">
        <v>1595</v>
      </c>
      <c r="G139" s="137"/>
      <c r="H139" s="116"/>
      <c r="I139" s="116">
        <v>27900</v>
      </c>
      <c r="J139" s="93">
        <f>+J138-I139</f>
        <v>102073.68000000002</v>
      </c>
    </row>
    <row r="140" spans="1:11" x14ac:dyDescent="0.2">
      <c r="B140" s="104"/>
      <c r="C140" s="104">
        <v>41660</v>
      </c>
      <c r="D140" s="105"/>
      <c r="E140" s="109"/>
      <c r="F140" s="106" t="s">
        <v>1591</v>
      </c>
      <c r="G140" s="111"/>
      <c r="H140" s="93">
        <v>19200</v>
      </c>
      <c r="I140" s="93"/>
      <c r="J140" s="93">
        <f t="shared" ref="J140:J146" si="9">+J139+H140</f>
        <v>121273.68000000002</v>
      </c>
    </row>
    <row r="141" spans="1:11" x14ac:dyDescent="0.2">
      <c r="B141" s="114"/>
      <c r="C141" s="114">
        <v>41660</v>
      </c>
      <c r="D141" s="115">
        <v>598</v>
      </c>
      <c r="E141" s="140" t="s">
        <v>1596</v>
      </c>
      <c r="F141" s="136" t="s">
        <v>1597</v>
      </c>
      <c r="G141" s="137"/>
      <c r="H141" s="116">
        <v>800</v>
      </c>
      <c r="I141" s="116"/>
      <c r="J141" s="93">
        <f t="shared" si="9"/>
        <v>122073.68000000002</v>
      </c>
    </row>
    <row r="142" spans="1:11" x14ac:dyDescent="0.2">
      <c r="B142" s="104"/>
      <c r="C142" s="104">
        <v>41666</v>
      </c>
      <c r="D142" s="105"/>
      <c r="E142" s="109"/>
      <c r="F142" s="106"/>
      <c r="G142" s="111"/>
      <c r="H142" s="93">
        <v>19790</v>
      </c>
      <c r="I142" s="93"/>
      <c r="J142" s="93">
        <f t="shared" si="9"/>
        <v>141863.68000000002</v>
      </c>
    </row>
    <row r="143" spans="1:11" x14ac:dyDescent="0.2">
      <c r="B143" s="122"/>
      <c r="C143" s="104">
        <v>41666</v>
      </c>
      <c r="D143" s="123">
        <v>389</v>
      </c>
      <c r="E143" s="141"/>
      <c r="F143" s="125"/>
      <c r="G143" s="142"/>
      <c r="H143" s="126">
        <v>1200</v>
      </c>
      <c r="I143" s="126"/>
      <c r="J143" s="93">
        <f t="shared" si="9"/>
        <v>143063.68000000002</v>
      </c>
    </row>
    <row r="144" spans="1:11" x14ac:dyDescent="0.2">
      <c r="B144" s="104"/>
      <c r="C144" s="104">
        <v>41666</v>
      </c>
      <c r="D144" s="123">
        <v>2603</v>
      </c>
      <c r="E144" s="109" t="s">
        <v>1598</v>
      </c>
      <c r="F144" s="125" t="s">
        <v>1599</v>
      </c>
      <c r="G144" s="143" t="s">
        <v>517</v>
      </c>
      <c r="H144" s="126">
        <v>4400</v>
      </c>
      <c r="I144" s="126"/>
      <c r="J144" s="93">
        <f t="shared" si="9"/>
        <v>147463.68000000002</v>
      </c>
    </row>
    <row r="145" spans="2:12" x14ac:dyDescent="0.2">
      <c r="B145" s="114"/>
      <c r="C145" s="104">
        <v>41666</v>
      </c>
      <c r="D145" s="105">
        <v>839</v>
      </c>
      <c r="E145" s="109" t="s">
        <v>1600</v>
      </c>
      <c r="F145" s="106" t="s">
        <v>1591</v>
      </c>
      <c r="G145" s="107" t="s">
        <v>559</v>
      </c>
      <c r="H145" s="93">
        <v>4000</v>
      </c>
      <c r="I145" s="93"/>
      <c r="J145" s="93">
        <f t="shared" si="9"/>
        <v>151463.68000000002</v>
      </c>
    </row>
    <row r="146" spans="2:12" x14ac:dyDescent="0.2">
      <c r="B146" s="104"/>
      <c r="C146" s="104">
        <v>41670</v>
      </c>
      <c r="D146" s="105">
        <v>203</v>
      </c>
      <c r="E146" s="139"/>
      <c r="F146" s="106"/>
      <c r="G146" s="111"/>
      <c r="H146" s="93">
        <v>4400</v>
      </c>
      <c r="I146" s="93"/>
      <c r="J146" s="93">
        <f t="shared" si="9"/>
        <v>155863.68000000002</v>
      </c>
    </row>
    <row r="147" spans="2:12" x14ac:dyDescent="0.2">
      <c r="B147" s="104"/>
      <c r="C147" s="104">
        <v>41670</v>
      </c>
      <c r="D147" s="105"/>
      <c r="E147" s="109"/>
      <c r="F147" s="106"/>
      <c r="G147" s="107" t="s">
        <v>1540</v>
      </c>
      <c r="H147" s="93"/>
      <c r="I147" s="93">
        <v>24</v>
      </c>
      <c r="J147" s="93">
        <f>+J146+H147-I147</f>
        <v>155839.68000000002</v>
      </c>
    </row>
    <row r="148" spans="2:12" x14ac:dyDescent="0.2">
      <c r="B148" s="122"/>
      <c r="C148" s="122">
        <v>41670</v>
      </c>
      <c r="D148" s="123"/>
      <c r="E148" s="144"/>
      <c r="F148" s="125"/>
      <c r="G148" s="107" t="s">
        <v>1546</v>
      </c>
      <c r="H148" s="126"/>
      <c r="I148" s="126">
        <v>3.84</v>
      </c>
      <c r="J148" s="126">
        <f>+J147+H148-I148</f>
        <v>155835.84000000003</v>
      </c>
      <c r="K148" s="113">
        <f>SUM(H130:H148)</f>
        <v>119690.75</v>
      </c>
      <c r="L148" s="113">
        <f>SUM(I130:I148)</f>
        <v>35927.839999999997</v>
      </c>
    </row>
    <row r="149" spans="2:12" ht="25.5" x14ac:dyDescent="0.2">
      <c r="B149" s="94" t="s">
        <v>1527</v>
      </c>
      <c r="C149" s="94" t="s">
        <v>1528</v>
      </c>
      <c r="D149" s="95" t="s">
        <v>1529</v>
      </c>
      <c r="E149" s="145"/>
      <c r="F149" s="52" t="s">
        <v>1531</v>
      </c>
      <c r="G149" s="3" t="s">
        <v>3</v>
      </c>
      <c r="H149" s="96" t="s">
        <v>1532</v>
      </c>
      <c r="I149" s="96" t="s">
        <v>1533</v>
      </c>
      <c r="J149" s="96" t="s">
        <v>1534</v>
      </c>
    </row>
    <row r="150" spans="2:12" x14ac:dyDescent="0.2">
      <c r="B150" s="128"/>
      <c r="C150" s="128">
        <v>41674</v>
      </c>
      <c r="D150" s="129">
        <v>56</v>
      </c>
      <c r="E150" s="130" t="s">
        <v>1601</v>
      </c>
      <c r="F150" s="131" t="s">
        <v>1602</v>
      </c>
      <c r="G150" s="132"/>
      <c r="H150" s="133"/>
      <c r="I150" s="133">
        <v>27900</v>
      </c>
      <c r="J150" s="133">
        <f>+J148-I150</f>
        <v>127935.84000000003</v>
      </c>
    </row>
    <row r="151" spans="2:12" x14ac:dyDescent="0.2">
      <c r="B151" s="104"/>
      <c r="C151" s="108">
        <v>41675</v>
      </c>
      <c r="D151" s="105"/>
      <c r="E151" s="109" t="s">
        <v>1537</v>
      </c>
      <c r="F151" s="106" t="s">
        <v>1603</v>
      </c>
      <c r="G151" s="107" t="s">
        <v>211</v>
      </c>
      <c r="H151" s="93">
        <v>300</v>
      </c>
      <c r="I151" s="93"/>
      <c r="J151" s="133">
        <f>+J150+H151-I151</f>
        <v>128235.84000000003</v>
      </c>
    </row>
    <row r="152" spans="2:12" x14ac:dyDescent="0.2">
      <c r="B152" s="104"/>
      <c r="C152" s="104">
        <v>41675</v>
      </c>
      <c r="D152" s="105"/>
      <c r="E152" s="109" t="s">
        <v>1537</v>
      </c>
      <c r="F152" s="106" t="s">
        <v>1539</v>
      </c>
      <c r="G152" s="107" t="s">
        <v>1540</v>
      </c>
      <c r="H152" s="93">
        <v>0.46</v>
      </c>
      <c r="I152" s="93"/>
      <c r="J152" s="133">
        <f t="shared" ref="J152:J171" si="10">+J151+H152-I152</f>
        <v>128236.30000000003</v>
      </c>
    </row>
    <row r="153" spans="2:12" x14ac:dyDescent="0.2">
      <c r="B153" s="104"/>
      <c r="C153" s="104">
        <v>41680</v>
      </c>
      <c r="D153" s="105"/>
      <c r="E153" s="109"/>
      <c r="F153" s="106" t="s">
        <v>1591</v>
      </c>
      <c r="G153" s="111"/>
      <c r="H153" s="93">
        <v>33200</v>
      </c>
      <c r="I153" s="93"/>
      <c r="J153" s="133">
        <f t="shared" si="10"/>
        <v>161436.30000000005</v>
      </c>
    </row>
    <row r="154" spans="2:12" x14ac:dyDescent="0.2">
      <c r="B154" s="104"/>
      <c r="C154" s="108">
        <v>41680</v>
      </c>
      <c r="D154" s="105">
        <v>427</v>
      </c>
      <c r="E154" s="109" t="s">
        <v>805</v>
      </c>
      <c r="F154" s="146" t="s">
        <v>1604</v>
      </c>
      <c r="G154" s="107" t="s">
        <v>806</v>
      </c>
      <c r="H154" s="147">
        <v>10000</v>
      </c>
      <c r="I154" s="93"/>
      <c r="J154" s="133">
        <f t="shared" si="10"/>
        <v>171436.30000000005</v>
      </c>
    </row>
    <row r="155" spans="2:12" x14ac:dyDescent="0.2">
      <c r="B155" s="104"/>
      <c r="C155" s="108">
        <v>41680</v>
      </c>
      <c r="D155" s="105"/>
      <c r="E155" s="109" t="s">
        <v>805</v>
      </c>
      <c r="F155" s="146" t="s">
        <v>1605</v>
      </c>
      <c r="G155" s="107" t="s">
        <v>1546</v>
      </c>
      <c r="H155" s="147">
        <v>1600</v>
      </c>
      <c r="I155" s="93"/>
      <c r="J155" s="133">
        <f t="shared" si="10"/>
        <v>173036.30000000005</v>
      </c>
    </row>
    <row r="156" spans="2:12" x14ac:dyDescent="0.2">
      <c r="B156" s="104"/>
      <c r="C156" s="104">
        <v>41680</v>
      </c>
      <c r="D156" s="105"/>
      <c r="E156" s="109" t="s">
        <v>1606</v>
      </c>
      <c r="F156" s="106" t="s">
        <v>1607</v>
      </c>
      <c r="G156" s="107" t="s">
        <v>1540</v>
      </c>
      <c r="H156" s="93"/>
      <c r="I156" s="93">
        <v>30</v>
      </c>
      <c r="J156" s="133">
        <f t="shared" si="10"/>
        <v>173006.30000000005</v>
      </c>
    </row>
    <row r="157" spans="2:12" x14ac:dyDescent="0.2">
      <c r="B157" s="104"/>
      <c r="C157" s="104">
        <v>41680</v>
      </c>
      <c r="D157" s="105"/>
      <c r="E157" s="109" t="s">
        <v>1606</v>
      </c>
      <c r="F157" s="106" t="s">
        <v>1608</v>
      </c>
      <c r="G157" s="107" t="s">
        <v>1546</v>
      </c>
      <c r="H157" s="93"/>
      <c r="I157" s="93">
        <v>4.8</v>
      </c>
      <c r="J157" s="133">
        <f t="shared" si="10"/>
        <v>173001.50000000006</v>
      </c>
    </row>
    <row r="158" spans="2:12" x14ac:dyDescent="0.2">
      <c r="B158" s="114"/>
      <c r="C158" s="114">
        <v>41690</v>
      </c>
      <c r="D158" s="115">
        <v>58</v>
      </c>
      <c r="E158" s="109" t="s">
        <v>1601</v>
      </c>
      <c r="F158" s="136" t="s">
        <v>1609</v>
      </c>
      <c r="G158" s="137"/>
      <c r="H158" s="116"/>
      <c r="I158" s="116">
        <v>27900</v>
      </c>
      <c r="J158" s="133">
        <f t="shared" si="10"/>
        <v>145101.50000000006</v>
      </c>
    </row>
    <row r="159" spans="2:12" x14ac:dyDescent="0.2">
      <c r="B159" s="104"/>
      <c r="C159" s="104">
        <v>41695</v>
      </c>
      <c r="D159" s="105"/>
      <c r="E159" s="140"/>
      <c r="F159" s="106" t="s">
        <v>1591</v>
      </c>
      <c r="G159" s="111"/>
      <c r="H159" s="93">
        <v>35700</v>
      </c>
      <c r="I159" s="93"/>
      <c r="J159" s="133">
        <f t="shared" si="10"/>
        <v>180801.50000000006</v>
      </c>
    </row>
    <row r="160" spans="2:12" x14ac:dyDescent="0.2">
      <c r="B160" s="114"/>
      <c r="C160" s="148">
        <v>41695</v>
      </c>
      <c r="D160" s="115">
        <v>442</v>
      </c>
      <c r="E160" s="109" t="s">
        <v>805</v>
      </c>
      <c r="F160" s="146" t="s">
        <v>1610</v>
      </c>
      <c r="G160" s="107" t="s">
        <v>806</v>
      </c>
      <c r="H160" s="147">
        <v>10000</v>
      </c>
      <c r="I160" s="116"/>
      <c r="J160" s="133">
        <f t="shared" si="10"/>
        <v>190801.50000000006</v>
      </c>
    </row>
    <row r="161" spans="1:10" x14ac:dyDescent="0.2">
      <c r="B161" s="114"/>
      <c r="C161" s="148">
        <v>41695</v>
      </c>
      <c r="D161" s="115"/>
      <c r="E161" s="109" t="s">
        <v>805</v>
      </c>
      <c r="F161" s="146" t="s">
        <v>1605</v>
      </c>
      <c r="G161" s="107" t="s">
        <v>1546</v>
      </c>
      <c r="H161" s="147">
        <v>1600</v>
      </c>
      <c r="I161" s="116"/>
      <c r="J161" s="133">
        <f t="shared" si="10"/>
        <v>192401.50000000006</v>
      </c>
    </row>
    <row r="162" spans="1:10" x14ac:dyDescent="0.2">
      <c r="B162" s="104"/>
      <c r="C162" s="104">
        <v>41695</v>
      </c>
      <c r="D162" s="105">
        <v>2361</v>
      </c>
      <c r="E162" s="140" t="s">
        <v>1611</v>
      </c>
      <c r="F162" s="106" t="s">
        <v>1612</v>
      </c>
      <c r="G162" s="111"/>
      <c r="H162" s="149">
        <v>4400</v>
      </c>
      <c r="I162" s="93"/>
      <c r="J162" s="133">
        <f t="shared" si="10"/>
        <v>196801.50000000006</v>
      </c>
    </row>
    <row r="163" spans="1:10" x14ac:dyDescent="0.2">
      <c r="B163" s="114"/>
      <c r="C163" s="114">
        <v>41695</v>
      </c>
      <c r="D163" s="115">
        <v>2361</v>
      </c>
      <c r="E163" s="109" t="s">
        <v>1611</v>
      </c>
      <c r="F163" s="136" t="s">
        <v>1613</v>
      </c>
      <c r="G163" s="137"/>
      <c r="H163" s="116">
        <v>150</v>
      </c>
      <c r="I163" s="116"/>
      <c r="J163" s="133">
        <f t="shared" si="10"/>
        <v>196951.50000000006</v>
      </c>
    </row>
    <row r="164" spans="1:10" x14ac:dyDescent="0.2">
      <c r="B164" s="104"/>
      <c r="C164" s="104">
        <v>41695</v>
      </c>
      <c r="D164" s="105">
        <v>2932</v>
      </c>
      <c r="E164" s="124" t="s">
        <v>1614</v>
      </c>
      <c r="F164" s="106" t="s">
        <v>1615</v>
      </c>
      <c r="G164" s="111"/>
      <c r="H164" s="93">
        <v>1200</v>
      </c>
      <c r="I164" s="93"/>
      <c r="J164" s="133">
        <f t="shared" si="10"/>
        <v>198151.50000000006</v>
      </c>
    </row>
    <row r="165" spans="1:10" x14ac:dyDescent="0.2">
      <c r="B165" s="122"/>
      <c r="C165" s="104">
        <v>41695</v>
      </c>
      <c r="D165" s="123"/>
      <c r="E165" s="109" t="s">
        <v>1606</v>
      </c>
      <c r="F165" s="125" t="s">
        <v>1607</v>
      </c>
      <c r="G165" s="107" t="s">
        <v>1540</v>
      </c>
      <c r="H165" s="126"/>
      <c r="I165" s="126">
        <v>30</v>
      </c>
      <c r="J165" s="133">
        <f t="shared" si="10"/>
        <v>198121.50000000006</v>
      </c>
    </row>
    <row r="166" spans="1:10" x14ac:dyDescent="0.2">
      <c r="B166" s="122"/>
      <c r="C166" s="104">
        <v>41695</v>
      </c>
      <c r="D166" s="123"/>
      <c r="E166" s="109" t="s">
        <v>1606</v>
      </c>
      <c r="F166" s="125" t="s">
        <v>1616</v>
      </c>
      <c r="G166" s="107" t="s">
        <v>1546</v>
      </c>
      <c r="H166" s="126"/>
      <c r="I166" s="126">
        <v>4.8</v>
      </c>
      <c r="J166" s="133">
        <f t="shared" si="10"/>
        <v>198116.70000000007</v>
      </c>
    </row>
    <row r="167" spans="1:10" x14ac:dyDescent="0.2">
      <c r="B167" s="122"/>
      <c r="C167" s="104">
        <v>41696</v>
      </c>
      <c r="D167" s="123">
        <v>60</v>
      </c>
      <c r="E167" s="124" t="s">
        <v>1601</v>
      </c>
      <c r="F167" s="125" t="s">
        <v>1617</v>
      </c>
      <c r="G167" s="142"/>
      <c r="H167" s="126"/>
      <c r="I167" s="126">
        <v>27900</v>
      </c>
      <c r="J167" s="133">
        <f t="shared" si="10"/>
        <v>170216.70000000007</v>
      </c>
    </row>
    <row r="168" spans="1:10" x14ac:dyDescent="0.2">
      <c r="B168" s="122"/>
      <c r="C168" s="104">
        <v>41697</v>
      </c>
      <c r="D168" s="123"/>
      <c r="E168" s="124"/>
      <c r="F168" s="125" t="s">
        <v>1618</v>
      </c>
      <c r="G168" s="142"/>
      <c r="H168" s="126">
        <v>16000</v>
      </c>
      <c r="I168" s="126"/>
      <c r="J168" s="133">
        <f t="shared" si="10"/>
        <v>186216.70000000007</v>
      </c>
    </row>
    <row r="169" spans="1:10" x14ac:dyDescent="0.2">
      <c r="B169" s="122"/>
      <c r="C169" s="104">
        <v>41697</v>
      </c>
      <c r="D169" s="123">
        <v>126</v>
      </c>
      <c r="E169" s="124" t="s">
        <v>1619</v>
      </c>
      <c r="F169" s="125" t="s">
        <v>1612</v>
      </c>
      <c r="G169" s="142"/>
      <c r="H169" s="150">
        <v>4400</v>
      </c>
      <c r="I169" s="126"/>
      <c r="J169" s="133">
        <f t="shared" si="10"/>
        <v>190616.70000000007</v>
      </c>
    </row>
    <row r="170" spans="1:10" x14ac:dyDescent="0.2">
      <c r="B170" s="104"/>
      <c r="C170" s="104">
        <v>41698</v>
      </c>
      <c r="D170" s="123"/>
      <c r="E170" s="109" t="s">
        <v>1606</v>
      </c>
      <c r="F170" s="125" t="s">
        <v>1620</v>
      </c>
      <c r="G170" s="107" t="s">
        <v>1540</v>
      </c>
      <c r="H170" s="126"/>
      <c r="I170" s="126">
        <v>24</v>
      </c>
      <c r="J170" s="133">
        <f t="shared" si="10"/>
        <v>190592.70000000007</v>
      </c>
    </row>
    <row r="171" spans="1:10" x14ac:dyDescent="0.2">
      <c r="B171" s="114"/>
      <c r="C171" s="104">
        <v>41698</v>
      </c>
      <c r="D171" s="105"/>
      <c r="E171" s="109" t="s">
        <v>1606</v>
      </c>
      <c r="F171" s="106" t="s">
        <v>1588</v>
      </c>
      <c r="G171" s="107" t="s">
        <v>1546</v>
      </c>
      <c r="H171" s="93"/>
      <c r="I171" s="93">
        <v>3.84</v>
      </c>
      <c r="J171" s="133">
        <f t="shared" si="10"/>
        <v>190588.86000000007</v>
      </c>
    </row>
    <row r="172" spans="1:10" ht="25.5" x14ac:dyDescent="0.2">
      <c r="B172" s="94" t="s">
        <v>1527</v>
      </c>
      <c r="C172" s="94" t="s">
        <v>1528</v>
      </c>
      <c r="D172" s="95" t="s">
        <v>1529</v>
      </c>
      <c r="E172" s="151"/>
      <c r="F172" s="52" t="s">
        <v>1531</v>
      </c>
      <c r="G172" s="3" t="s">
        <v>3</v>
      </c>
      <c r="H172" s="96" t="s">
        <v>1532</v>
      </c>
      <c r="I172" s="96" t="s">
        <v>1533</v>
      </c>
      <c r="J172" s="96" t="s">
        <v>1534</v>
      </c>
    </row>
    <row r="173" spans="1:10" x14ac:dyDescent="0.2">
      <c r="B173" s="128"/>
      <c r="C173" s="152">
        <v>41701</v>
      </c>
      <c r="D173" s="153">
        <v>59</v>
      </c>
      <c r="E173" s="154" t="s">
        <v>1581</v>
      </c>
      <c r="F173" s="155" t="s">
        <v>1621</v>
      </c>
      <c r="G173" s="156"/>
      <c r="H173" s="157"/>
      <c r="I173" s="157">
        <v>9443</v>
      </c>
      <c r="J173" s="133">
        <f>+J171+H173-I173</f>
        <v>181145.86000000007</v>
      </c>
    </row>
    <row r="174" spans="1:10" x14ac:dyDescent="0.2">
      <c r="A174" s="103"/>
      <c r="B174" s="104"/>
      <c r="C174" s="158">
        <v>41701</v>
      </c>
      <c r="D174" s="105"/>
      <c r="E174" s="109"/>
      <c r="F174" s="106" t="s">
        <v>1591</v>
      </c>
      <c r="G174" s="111"/>
      <c r="H174" s="93">
        <v>32000</v>
      </c>
      <c r="I174" s="93"/>
      <c r="J174" s="133">
        <f>+J173+H174-I174</f>
        <v>213145.86000000007</v>
      </c>
    </row>
    <row r="175" spans="1:10" x14ac:dyDescent="0.2">
      <c r="B175" s="104"/>
      <c r="C175" s="159">
        <v>41712</v>
      </c>
      <c r="D175" s="160"/>
      <c r="E175" s="154" t="s">
        <v>1606</v>
      </c>
      <c r="F175" s="155" t="s">
        <v>1607</v>
      </c>
      <c r="G175" s="107" t="s">
        <v>1540</v>
      </c>
      <c r="H175" s="161"/>
      <c r="I175" s="161">
        <v>30</v>
      </c>
      <c r="J175" s="133">
        <f t="shared" ref="J175:J187" si="11">+J174+H175-I175</f>
        <v>213115.86000000007</v>
      </c>
    </row>
    <row r="176" spans="1:10" x14ac:dyDescent="0.2">
      <c r="B176" s="104"/>
      <c r="C176" s="159">
        <v>41712</v>
      </c>
      <c r="D176" s="160"/>
      <c r="E176" s="154" t="s">
        <v>1606</v>
      </c>
      <c r="F176" s="155" t="s">
        <v>1622</v>
      </c>
      <c r="G176" s="107" t="s">
        <v>1546</v>
      </c>
      <c r="H176" s="161"/>
      <c r="I176" s="161">
        <v>4.8</v>
      </c>
      <c r="J176" s="133">
        <f t="shared" si="11"/>
        <v>213111.06000000008</v>
      </c>
    </row>
    <row r="177" spans="2:10" x14ac:dyDescent="0.2">
      <c r="B177" s="104"/>
      <c r="C177" s="159">
        <v>41712</v>
      </c>
      <c r="D177" s="160"/>
      <c r="E177" s="154" t="s">
        <v>1606</v>
      </c>
      <c r="F177" s="155" t="s">
        <v>1623</v>
      </c>
      <c r="G177" s="107" t="s">
        <v>1540</v>
      </c>
      <c r="H177" s="161"/>
      <c r="I177" s="161">
        <v>21.74</v>
      </c>
      <c r="J177" s="133">
        <f t="shared" si="11"/>
        <v>213089.32000000009</v>
      </c>
    </row>
    <row r="178" spans="2:10" x14ac:dyDescent="0.2">
      <c r="B178" s="104"/>
      <c r="C178" s="159">
        <v>41712</v>
      </c>
      <c r="D178" s="160"/>
      <c r="E178" s="154" t="s">
        <v>1606</v>
      </c>
      <c r="F178" s="155" t="s">
        <v>1624</v>
      </c>
      <c r="G178" s="107" t="s">
        <v>1546</v>
      </c>
      <c r="H178" s="161"/>
      <c r="I178" s="161">
        <v>3.47</v>
      </c>
      <c r="J178" s="133">
        <f t="shared" si="11"/>
        <v>213085.85000000009</v>
      </c>
    </row>
    <row r="179" spans="2:10" x14ac:dyDescent="0.2">
      <c r="B179" s="104"/>
      <c r="C179" s="159">
        <v>41712</v>
      </c>
      <c r="D179" s="160"/>
      <c r="E179" s="154" t="s">
        <v>1606</v>
      </c>
      <c r="F179" s="155" t="s">
        <v>1623</v>
      </c>
      <c r="G179" s="107" t="s">
        <v>1540</v>
      </c>
      <c r="H179" s="161"/>
      <c r="I179" s="161">
        <v>21.74</v>
      </c>
      <c r="J179" s="133">
        <f t="shared" si="11"/>
        <v>213064.1100000001</v>
      </c>
    </row>
    <row r="180" spans="2:10" x14ac:dyDescent="0.2">
      <c r="B180" s="114"/>
      <c r="C180" s="162">
        <v>41712</v>
      </c>
      <c r="D180" s="163"/>
      <c r="E180" s="154" t="s">
        <v>1606</v>
      </c>
      <c r="F180" s="164" t="s">
        <v>1625</v>
      </c>
      <c r="G180" s="107" t="s">
        <v>1546</v>
      </c>
      <c r="H180" s="165"/>
      <c r="I180" s="165">
        <v>3.47</v>
      </c>
      <c r="J180" s="133">
        <f t="shared" si="11"/>
        <v>213060.6400000001</v>
      </c>
    </row>
    <row r="181" spans="2:10" x14ac:dyDescent="0.2">
      <c r="B181" s="104"/>
      <c r="C181" s="104">
        <v>41716</v>
      </c>
      <c r="D181" s="105"/>
      <c r="E181" s="140" t="s">
        <v>1601</v>
      </c>
      <c r="F181" s="106" t="s">
        <v>1626</v>
      </c>
      <c r="G181" s="111"/>
      <c r="H181" s="93"/>
      <c r="I181" s="93">
        <v>27900</v>
      </c>
      <c r="J181" s="133">
        <f t="shared" si="11"/>
        <v>185160.6400000001</v>
      </c>
    </row>
    <row r="182" spans="2:10" x14ac:dyDescent="0.2">
      <c r="B182" s="114"/>
      <c r="C182" s="114">
        <v>41722</v>
      </c>
      <c r="D182" s="115"/>
      <c r="E182" s="109"/>
      <c r="F182" s="136" t="s">
        <v>1591</v>
      </c>
      <c r="G182" s="137"/>
      <c r="H182" s="116">
        <v>40000</v>
      </c>
      <c r="I182" s="116"/>
      <c r="J182" s="133">
        <f t="shared" si="11"/>
        <v>225160.6400000001</v>
      </c>
    </row>
    <row r="183" spans="2:10" x14ac:dyDescent="0.2">
      <c r="B183" s="104"/>
      <c r="C183" s="104">
        <v>41722</v>
      </c>
      <c r="D183" s="105">
        <v>603</v>
      </c>
      <c r="E183" s="140"/>
      <c r="F183" s="106" t="s">
        <v>1627</v>
      </c>
      <c r="G183" s="111"/>
      <c r="H183" s="93">
        <v>800</v>
      </c>
      <c r="I183" s="93"/>
      <c r="J183" s="133">
        <f t="shared" si="11"/>
        <v>225960.6400000001</v>
      </c>
    </row>
    <row r="184" spans="2:10" x14ac:dyDescent="0.2">
      <c r="B184" s="114"/>
      <c r="C184" s="148">
        <v>41722</v>
      </c>
      <c r="D184" s="115">
        <v>462</v>
      </c>
      <c r="E184" s="109" t="s">
        <v>805</v>
      </c>
      <c r="F184" s="146" t="s">
        <v>1628</v>
      </c>
      <c r="G184" s="107" t="s">
        <v>806</v>
      </c>
      <c r="H184" s="116">
        <v>10000</v>
      </c>
      <c r="I184" s="116"/>
      <c r="J184" s="133">
        <f t="shared" si="11"/>
        <v>235960.6400000001</v>
      </c>
    </row>
    <row r="185" spans="2:10" x14ac:dyDescent="0.2">
      <c r="B185" s="114"/>
      <c r="C185" s="148">
        <v>41722</v>
      </c>
      <c r="D185" s="115"/>
      <c r="E185" s="109" t="s">
        <v>805</v>
      </c>
      <c r="F185" s="146" t="s">
        <v>1605</v>
      </c>
      <c r="G185" s="107" t="s">
        <v>1546</v>
      </c>
      <c r="H185" s="116">
        <v>1600</v>
      </c>
      <c r="I185" s="116"/>
      <c r="J185" s="133">
        <f t="shared" si="11"/>
        <v>237560.6400000001</v>
      </c>
    </row>
    <row r="186" spans="2:10" x14ac:dyDescent="0.2">
      <c r="B186" s="104"/>
      <c r="C186" s="159">
        <v>41729</v>
      </c>
      <c r="D186" s="160"/>
      <c r="E186" s="166" t="s">
        <v>1606</v>
      </c>
      <c r="F186" s="155" t="s">
        <v>1587</v>
      </c>
      <c r="G186" s="107" t="s">
        <v>1540</v>
      </c>
      <c r="H186" s="161"/>
      <c r="I186" s="161">
        <v>16</v>
      </c>
      <c r="J186" s="133">
        <f t="shared" si="11"/>
        <v>237544.6400000001</v>
      </c>
    </row>
    <row r="187" spans="2:10" x14ac:dyDescent="0.2">
      <c r="B187" s="122"/>
      <c r="C187" s="159">
        <v>41729</v>
      </c>
      <c r="D187" s="167"/>
      <c r="E187" s="166" t="s">
        <v>1606</v>
      </c>
      <c r="F187" s="168" t="s">
        <v>1629</v>
      </c>
      <c r="G187" s="107" t="s">
        <v>1546</v>
      </c>
      <c r="H187" s="169"/>
      <c r="I187" s="169">
        <v>2.56</v>
      </c>
      <c r="J187" s="133">
        <f t="shared" si="11"/>
        <v>237542.0800000001</v>
      </c>
    </row>
    <row r="188" spans="2:10" ht="25.5" x14ac:dyDescent="0.2">
      <c r="B188" s="94" t="s">
        <v>1527</v>
      </c>
      <c r="C188" s="94" t="s">
        <v>1528</v>
      </c>
      <c r="D188" s="95" t="s">
        <v>1529</v>
      </c>
      <c r="E188" s="151"/>
      <c r="F188" s="52" t="s">
        <v>1531</v>
      </c>
      <c r="G188" s="3" t="s">
        <v>3</v>
      </c>
      <c r="H188" s="96" t="s">
        <v>1532</v>
      </c>
      <c r="I188" s="96" t="s">
        <v>1533</v>
      </c>
      <c r="J188" s="96" t="s">
        <v>1534</v>
      </c>
    </row>
    <row r="189" spans="2:10" x14ac:dyDescent="0.2">
      <c r="B189" s="128"/>
      <c r="C189" s="128">
        <v>41731</v>
      </c>
      <c r="D189" s="129">
        <v>62</v>
      </c>
      <c r="E189" s="109" t="s">
        <v>1601</v>
      </c>
      <c r="F189" s="106" t="s">
        <v>1630</v>
      </c>
      <c r="G189" s="111"/>
      <c r="H189" s="133"/>
      <c r="I189" s="133">
        <v>27900</v>
      </c>
      <c r="J189" s="133">
        <f>+J187+H189-I189</f>
        <v>209642.0800000001</v>
      </c>
    </row>
    <row r="190" spans="2:10" x14ac:dyDescent="0.2">
      <c r="B190" s="104"/>
      <c r="C190" s="104">
        <v>41736</v>
      </c>
      <c r="D190" s="105"/>
      <c r="E190" s="109"/>
      <c r="F190" s="106" t="s">
        <v>1591</v>
      </c>
      <c r="G190" s="111"/>
      <c r="H190" s="93">
        <v>19500</v>
      </c>
      <c r="I190" s="93"/>
      <c r="J190" s="133">
        <f>+J189+H190-I190</f>
        <v>229142.0800000001</v>
      </c>
    </row>
    <row r="191" spans="2:10" x14ac:dyDescent="0.2">
      <c r="B191" s="104"/>
      <c r="C191" s="104">
        <v>41736</v>
      </c>
      <c r="D191" s="105">
        <v>140</v>
      </c>
      <c r="E191" s="109"/>
      <c r="F191" s="170" t="s">
        <v>1631</v>
      </c>
      <c r="G191" s="111"/>
      <c r="H191" s="93">
        <v>1200</v>
      </c>
      <c r="I191" s="93"/>
      <c r="J191" s="133">
        <f>+J190+H191-I191</f>
        <v>230342.0800000001</v>
      </c>
    </row>
    <row r="192" spans="2:10" x14ac:dyDescent="0.2">
      <c r="B192" s="104"/>
      <c r="C192" s="104">
        <v>41736</v>
      </c>
      <c r="D192" s="105"/>
      <c r="E192" s="109" t="s">
        <v>1606</v>
      </c>
      <c r="F192" s="106" t="s">
        <v>1607</v>
      </c>
      <c r="G192" s="107" t="s">
        <v>1540</v>
      </c>
      <c r="H192" s="93"/>
      <c r="I192" s="93">
        <v>30</v>
      </c>
      <c r="J192" s="133">
        <f t="shared" ref="J192:J244" si="12">+J191+H192-I192</f>
        <v>230312.0800000001</v>
      </c>
    </row>
    <row r="193" spans="2:10" x14ac:dyDescent="0.2">
      <c r="B193" s="104"/>
      <c r="C193" s="104">
        <v>41736</v>
      </c>
      <c r="D193" s="105"/>
      <c r="E193" s="109" t="s">
        <v>1606</v>
      </c>
      <c r="F193" s="106" t="s">
        <v>1622</v>
      </c>
      <c r="G193" s="107" t="s">
        <v>1546</v>
      </c>
      <c r="H193" s="93"/>
      <c r="I193" s="93">
        <v>4.8</v>
      </c>
      <c r="J193" s="133">
        <f t="shared" si="12"/>
        <v>230307.28000000012</v>
      </c>
    </row>
    <row r="194" spans="2:10" x14ac:dyDescent="0.2">
      <c r="B194" s="104"/>
      <c r="C194" s="108">
        <v>41736</v>
      </c>
      <c r="D194" s="105"/>
      <c r="E194" s="109" t="s">
        <v>1537</v>
      </c>
      <c r="F194" s="106" t="s">
        <v>1632</v>
      </c>
      <c r="G194" s="107" t="s">
        <v>211</v>
      </c>
      <c r="H194" s="93">
        <v>300</v>
      </c>
      <c r="I194" s="93"/>
      <c r="J194" s="133">
        <f t="shared" si="12"/>
        <v>230607.28000000012</v>
      </c>
    </row>
    <row r="195" spans="2:10" x14ac:dyDescent="0.2">
      <c r="B195" s="104"/>
      <c r="C195" s="104">
        <v>41736</v>
      </c>
      <c r="D195" s="105"/>
      <c r="E195" s="109" t="s">
        <v>1537</v>
      </c>
      <c r="F195" s="106" t="s">
        <v>1539</v>
      </c>
      <c r="G195" s="107" t="s">
        <v>1540</v>
      </c>
      <c r="H195" s="93">
        <v>0.46</v>
      </c>
      <c r="I195" s="93"/>
      <c r="J195" s="133">
        <f t="shared" si="12"/>
        <v>230607.74000000011</v>
      </c>
    </row>
    <row r="196" spans="2:10" x14ac:dyDescent="0.2">
      <c r="B196" s="114"/>
      <c r="C196" s="148">
        <v>41737</v>
      </c>
      <c r="D196" s="115"/>
      <c r="E196" s="109" t="s">
        <v>1537</v>
      </c>
      <c r="F196" s="136" t="s">
        <v>1633</v>
      </c>
      <c r="G196" s="171" t="s">
        <v>211</v>
      </c>
      <c r="H196" s="116">
        <v>300</v>
      </c>
      <c r="I196" s="116"/>
      <c r="J196" s="133">
        <f t="shared" si="12"/>
        <v>230907.74000000011</v>
      </c>
    </row>
    <row r="197" spans="2:10" x14ac:dyDescent="0.2">
      <c r="B197" s="104"/>
      <c r="C197" s="104">
        <v>41737</v>
      </c>
      <c r="D197" s="105"/>
      <c r="E197" s="109" t="s">
        <v>1537</v>
      </c>
      <c r="F197" s="106" t="s">
        <v>1539</v>
      </c>
      <c r="G197" s="107" t="s">
        <v>1540</v>
      </c>
      <c r="H197" s="93">
        <v>0.46</v>
      </c>
      <c r="I197" s="93"/>
      <c r="J197" s="133">
        <f>+J196+H197-I197</f>
        <v>230908.2000000001</v>
      </c>
    </row>
    <row r="198" spans="2:10" x14ac:dyDescent="0.2">
      <c r="B198" s="114"/>
      <c r="C198" s="114">
        <v>41745</v>
      </c>
      <c r="D198" s="115">
        <v>64</v>
      </c>
      <c r="E198" s="109" t="s">
        <v>1601</v>
      </c>
      <c r="F198" s="172" t="s">
        <v>1634</v>
      </c>
      <c r="G198" s="173"/>
      <c r="H198" s="116"/>
      <c r="I198" s="116">
        <v>27900</v>
      </c>
      <c r="J198" s="133">
        <f t="shared" si="12"/>
        <v>203008.2000000001</v>
      </c>
    </row>
    <row r="199" spans="2:10" x14ac:dyDescent="0.2">
      <c r="B199" s="104"/>
      <c r="C199" s="104">
        <v>41745</v>
      </c>
      <c r="D199" s="105"/>
      <c r="E199" s="140"/>
      <c r="F199" s="131" t="s">
        <v>1591</v>
      </c>
      <c r="G199" s="111"/>
      <c r="H199" s="93">
        <v>11000</v>
      </c>
      <c r="I199" s="93"/>
      <c r="J199" s="133">
        <f>+J198+H199-I199</f>
        <v>214008.2000000001</v>
      </c>
    </row>
    <row r="200" spans="2:10" x14ac:dyDescent="0.2">
      <c r="B200" s="114"/>
      <c r="C200" s="114">
        <v>41752</v>
      </c>
      <c r="D200" s="115">
        <v>3079</v>
      </c>
      <c r="E200" s="109" t="s">
        <v>1635</v>
      </c>
      <c r="F200" s="136"/>
      <c r="G200" s="137"/>
      <c r="H200" s="116">
        <v>800</v>
      </c>
      <c r="I200" s="116"/>
      <c r="J200" s="133">
        <f t="shared" si="12"/>
        <v>214808.2000000001</v>
      </c>
    </row>
    <row r="201" spans="2:10" x14ac:dyDescent="0.2">
      <c r="B201" s="104"/>
      <c r="C201" s="104">
        <v>41758</v>
      </c>
      <c r="D201" s="105">
        <v>66</v>
      </c>
      <c r="E201" s="124" t="s">
        <v>1601</v>
      </c>
      <c r="F201" s="106" t="s">
        <v>1636</v>
      </c>
      <c r="G201" s="111"/>
      <c r="H201" s="93"/>
      <c r="I201" s="93">
        <v>27900</v>
      </c>
      <c r="J201" s="133">
        <f t="shared" si="12"/>
        <v>186908.2000000001</v>
      </c>
    </row>
    <row r="202" spans="2:10" x14ac:dyDescent="0.2">
      <c r="B202" s="104"/>
      <c r="C202" s="108">
        <v>41759</v>
      </c>
      <c r="D202" s="105"/>
      <c r="E202" s="109" t="s">
        <v>1550</v>
      </c>
      <c r="F202" s="106" t="s">
        <v>1637</v>
      </c>
      <c r="G202" s="107" t="s">
        <v>571</v>
      </c>
      <c r="H202" s="93">
        <v>800</v>
      </c>
      <c r="I202" s="93"/>
      <c r="J202" s="133">
        <f t="shared" si="12"/>
        <v>187708.2000000001</v>
      </c>
    </row>
    <row r="203" spans="2:10" x14ac:dyDescent="0.2">
      <c r="B203" s="104"/>
      <c r="C203" s="104">
        <v>41759</v>
      </c>
      <c r="D203" s="105"/>
      <c r="E203" s="109" t="s">
        <v>1550</v>
      </c>
      <c r="F203" s="106" t="s">
        <v>1539</v>
      </c>
      <c r="G203" s="107" t="s">
        <v>1540</v>
      </c>
      <c r="H203" s="93">
        <v>0.15</v>
      </c>
      <c r="I203" s="93"/>
      <c r="J203" s="133">
        <f t="shared" si="12"/>
        <v>187708.35000000009</v>
      </c>
    </row>
    <row r="204" spans="2:10" x14ac:dyDescent="0.2">
      <c r="B204" s="104"/>
      <c r="C204" s="104">
        <v>41759</v>
      </c>
      <c r="D204" s="105"/>
      <c r="E204" s="124" t="s">
        <v>1606</v>
      </c>
      <c r="F204" s="106" t="s">
        <v>1587</v>
      </c>
      <c r="G204" s="107" t="s">
        <v>1540</v>
      </c>
      <c r="H204" s="93"/>
      <c r="I204" s="93">
        <v>36</v>
      </c>
      <c r="J204" s="133">
        <f t="shared" si="12"/>
        <v>187672.35000000009</v>
      </c>
    </row>
    <row r="205" spans="2:10" x14ac:dyDescent="0.2">
      <c r="B205" s="104"/>
      <c r="C205" s="104">
        <v>41759</v>
      </c>
      <c r="D205" s="105"/>
      <c r="E205" s="124" t="s">
        <v>1606</v>
      </c>
      <c r="F205" s="106" t="s">
        <v>1629</v>
      </c>
      <c r="G205" s="107" t="s">
        <v>1546</v>
      </c>
      <c r="H205" s="93"/>
      <c r="I205" s="93">
        <v>5.76</v>
      </c>
      <c r="J205" s="133">
        <f t="shared" si="12"/>
        <v>187666.59000000008</v>
      </c>
    </row>
    <row r="206" spans="2:10" ht="25.5" x14ac:dyDescent="0.2">
      <c r="B206" s="94" t="s">
        <v>1527</v>
      </c>
      <c r="C206" s="94" t="s">
        <v>1528</v>
      </c>
      <c r="D206" s="95" t="s">
        <v>1529</v>
      </c>
      <c r="E206" s="151"/>
      <c r="F206" s="52" t="s">
        <v>1531</v>
      </c>
      <c r="G206" s="3" t="s">
        <v>3</v>
      </c>
      <c r="H206" s="96" t="s">
        <v>1532</v>
      </c>
      <c r="I206" s="96" t="s">
        <v>1533</v>
      </c>
      <c r="J206" s="96" t="s">
        <v>1534</v>
      </c>
    </row>
    <row r="207" spans="2:10" x14ac:dyDescent="0.2">
      <c r="B207" s="104"/>
      <c r="C207" s="108">
        <v>41765</v>
      </c>
      <c r="D207" s="105"/>
      <c r="E207" s="124" t="s">
        <v>1537</v>
      </c>
      <c r="F207" s="106" t="s">
        <v>1638</v>
      </c>
      <c r="G207" s="107" t="s">
        <v>211</v>
      </c>
      <c r="H207" s="93">
        <v>300</v>
      </c>
      <c r="I207" s="93"/>
      <c r="J207" s="133">
        <f>+J205+H207-I207</f>
        <v>187966.59000000008</v>
      </c>
    </row>
    <row r="208" spans="2:10" x14ac:dyDescent="0.2">
      <c r="B208" s="104"/>
      <c r="C208" s="104">
        <v>41765</v>
      </c>
      <c r="D208" s="105"/>
      <c r="E208" s="109" t="s">
        <v>1537</v>
      </c>
      <c r="F208" s="106" t="s">
        <v>1539</v>
      </c>
      <c r="G208" s="107" t="s">
        <v>1540</v>
      </c>
      <c r="H208" s="93">
        <v>0.46</v>
      </c>
      <c r="I208" s="93"/>
      <c r="J208" s="133">
        <f t="shared" si="12"/>
        <v>187967.05000000008</v>
      </c>
    </row>
    <row r="209" spans="2:10" x14ac:dyDescent="0.2">
      <c r="B209" s="104"/>
      <c r="C209" s="104">
        <v>41766</v>
      </c>
      <c r="D209" s="105"/>
      <c r="E209" s="124"/>
      <c r="F209" s="106" t="s">
        <v>1591</v>
      </c>
      <c r="G209" s="111"/>
      <c r="H209" s="93">
        <v>17000</v>
      </c>
      <c r="I209" s="93"/>
      <c r="J209" s="133">
        <f t="shared" si="12"/>
        <v>204967.05000000008</v>
      </c>
    </row>
    <row r="210" spans="2:10" x14ac:dyDescent="0.2">
      <c r="B210" s="104"/>
      <c r="C210" s="104">
        <v>41766</v>
      </c>
      <c r="D210" s="105"/>
      <c r="E210" s="124"/>
      <c r="F210" s="106" t="s">
        <v>1639</v>
      </c>
      <c r="G210" s="111"/>
      <c r="H210" s="93">
        <v>1200</v>
      </c>
      <c r="I210" s="93"/>
      <c r="J210" s="133">
        <f t="shared" si="12"/>
        <v>206167.05000000008</v>
      </c>
    </row>
    <row r="211" spans="2:10" x14ac:dyDescent="0.2">
      <c r="B211" s="104"/>
      <c r="C211" s="104">
        <v>41774</v>
      </c>
      <c r="D211" s="105">
        <v>67</v>
      </c>
      <c r="E211" s="124" t="s">
        <v>1601</v>
      </c>
      <c r="F211" s="106" t="s">
        <v>1640</v>
      </c>
      <c r="G211" s="111"/>
      <c r="H211" s="93"/>
      <c r="I211" s="93">
        <v>27900</v>
      </c>
      <c r="J211" s="133">
        <f t="shared" si="12"/>
        <v>178267.05000000008</v>
      </c>
    </row>
    <row r="212" spans="2:10" x14ac:dyDescent="0.2">
      <c r="B212" s="104"/>
      <c r="C212" s="108">
        <v>41785</v>
      </c>
      <c r="D212" s="105">
        <v>7527</v>
      </c>
      <c r="E212" s="109" t="s">
        <v>805</v>
      </c>
      <c r="F212" s="146" t="s">
        <v>1641</v>
      </c>
      <c r="G212" s="107" t="s">
        <v>806</v>
      </c>
      <c r="H212" s="93">
        <v>10000</v>
      </c>
      <c r="I212" s="93"/>
      <c r="J212" s="133">
        <f t="shared" si="12"/>
        <v>188267.05000000008</v>
      </c>
    </row>
    <row r="213" spans="2:10" x14ac:dyDescent="0.2">
      <c r="B213" s="104"/>
      <c r="C213" s="108">
        <v>41785</v>
      </c>
      <c r="D213" s="105"/>
      <c r="E213" s="109" t="s">
        <v>805</v>
      </c>
      <c r="F213" s="146" t="s">
        <v>1605</v>
      </c>
      <c r="G213" s="107" t="s">
        <v>1546</v>
      </c>
      <c r="H213" s="93">
        <v>1600</v>
      </c>
      <c r="I213" s="93"/>
      <c r="J213" s="133">
        <f t="shared" si="12"/>
        <v>189867.05000000008</v>
      </c>
    </row>
    <row r="214" spans="2:10" x14ac:dyDescent="0.2">
      <c r="B214" s="104"/>
      <c r="C214" s="108">
        <v>41785</v>
      </c>
      <c r="D214" s="105">
        <v>7528</v>
      </c>
      <c r="E214" s="109" t="s">
        <v>805</v>
      </c>
      <c r="F214" s="146" t="s">
        <v>1642</v>
      </c>
      <c r="G214" s="107" t="s">
        <v>806</v>
      </c>
      <c r="H214" s="93">
        <v>10000</v>
      </c>
      <c r="I214" s="93"/>
      <c r="J214" s="133">
        <f t="shared" si="12"/>
        <v>199867.05000000008</v>
      </c>
    </row>
    <row r="215" spans="2:10" x14ac:dyDescent="0.2">
      <c r="B215" s="104"/>
      <c r="C215" s="108">
        <v>41785</v>
      </c>
      <c r="D215" s="105"/>
      <c r="E215" s="109" t="s">
        <v>805</v>
      </c>
      <c r="F215" s="146" t="s">
        <v>1605</v>
      </c>
      <c r="G215" s="107" t="s">
        <v>1546</v>
      </c>
      <c r="H215" s="93">
        <v>1600</v>
      </c>
      <c r="I215" s="93"/>
      <c r="J215" s="133">
        <f t="shared" si="12"/>
        <v>201467.05000000008</v>
      </c>
    </row>
    <row r="216" spans="2:10" x14ac:dyDescent="0.2">
      <c r="B216" s="104"/>
      <c r="C216" s="104">
        <v>41785</v>
      </c>
      <c r="D216" s="105"/>
      <c r="E216" s="124"/>
      <c r="F216" s="106" t="s">
        <v>1639</v>
      </c>
      <c r="G216" s="111"/>
      <c r="H216" s="93">
        <v>800</v>
      </c>
      <c r="I216" s="93"/>
      <c r="J216" s="133">
        <f t="shared" si="12"/>
        <v>202267.05000000008</v>
      </c>
    </row>
    <row r="217" spans="2:10" x14ac:dyDescent="0.2">
      <c r="B217" s="104"/>
      <c r="C217" s="104">
        <v>41787</v>
      </c>
      <c r="D217" s="105"/>
      <c r="E217" s="124" t="s">
        <v>1601</v>
      </c>
      <c r="F217" s="106" t="s">
        <v>1643</v>
      </c>
      <c r="G217" s="111"/>
      <c r="H217" s="93"/>
      <c r="I217" s="93">
        <v>27900</v>
      </c>
      <c r="J217" s="133">
        <f t="shared" si="12"/>
        <v>174367.05000000008</v>
      </c>
    </row>
    <row r="218" spans="2:10" x14ac:dyDescent="0.2">
      <c r="B218" s="104"/>
      <c r="C218" s="104">
        <v>41789</v>
      </c>
      <c r="D218" s="105"/>
      <c r="E218" s="124" t="s">
        <v>1606</v>
      </c>
      <c r="F218" s="106" t="s">
        <v>1587</v>
      </c>
      <c r="G218" s="107" t="s">
        <v>1540</v>
      </c>
      <c r="H218" s="93"/>
      <c r="I218" s="93">
        <v>24</v>
      </c>
      <c r="J218" s="133">
        <f t="shared" si="12"/>
        <v>174343.05000000008</v>
      </c>
    </row>
    <row r="219" spans="2:10" x14ac:dyDescent="0.2">
      <c r="B219" s="104"/>
      <c r="C219" s="104">
        <v>41789</v>
      </c>
      <c r="D219" s="105"/>
      <c r="E219" s="124" t="s">
        <v>1606</v>
      </c>
      <c r="F219" s="106" t="s">
        <v>1629</v>
      </c>
      <c r="G219" s="107" t="s">
        <v>1546</v>
      </c>
      <c r="H219" s="93"/>
      <c r="I219" s="93">
        <v>3.84</v>
      </c>
      <c r="J219" s="133">
        <f t="shared" si="12"/>
        <v>174339.21000000008</v>
      </c>
    </row>
    <row r="220" spans="2:10" ht="25.5" x14ac:dyDescent="0.2">
      <c r="B220" s="94" t="s">
        <v>1527</v>
      </c>
      <c r="C220" s="94" t="s">
        <v>1528</v>
      </c>
      <c r="D220" s="95" t="s">
        <v>1529</v>
      </c>
      <c r="E220" s="151"/>
      <c r="F220" s="52" t="s">
        <v>1531</v>
      </c>
      <c r="G220" s="3" t="s">
        <v>3</v>
      </c>
      <c r="H220" s="96" t="s">
        <v>1532</v>
      </c>
      <c r="I220" s="96" t="s">
        <v>1533</v>
      </c>
      <c r="J220" s="96" t="s">
        <v>1534</v>
      </c>
    </row>
    <row r="221" spans="2:10" x14ac:dyDescent="0.2">
      <c r="B221" s="104"/>
      <c r="C221" s="104">
        <v>41799</v>
      </c>
      <c r="D221" s="105"/>
      <c r="E221" s="124" t="s">
        <v>1606</v>
      </c>
      <c r="F221" s="106" t="s">
        <v>1644</v>
      </c>
      <c r="G221" s="107" t="s">
        <v>1540</v>
      </c>
      <c r="H221" s="93"/>
      <c r="I221" s="93">
        <v>30</v>
      </c>
      <c r="J221" s="133">
        <f>+J219+H221-I221</f>
        <v>174309.21000000008</v>
      </c>
    </row>
    <row r="222" spans="2:10" x14ac:dyDescent="0.2">
      <c r="B222" s="104"/>
      <c r="C222" s="104">
        <v>41799</v>
      </c>
      <c r="D222" s="105"/>
      <c r="E222" s="124" t="s">
        <v>1606</v>
      </c>
      <c r="F222" s="106" t="s">
        <v>1645</v>
      </c>
      <c r="G222" s="107" t="s">
        <v>1546</v>
      </c>
      <c r="H222" s="93"/>
      <c r="I222" s="93">
        <v>4.8</v>
      </c>
      <c r="J222" s="133">
        <f t="shared" si="12"/>
        <v>174304.41000000009</v>
      </c>
    </row>
    <row r="223" spans="2:10" x14ac:dyDescent="0.2">
      <c r="B223" s="104"/>
      <c r="C223" s="108">
        <v>41800</v>
      </c>
      <c r="D223" s="105"/>
      <c r="E223" s="124" t="s">
        <v>1537</v>
      </c>
      <c r="F223" s="106" t="s">
        <v>1646</v>
      </c>
      <c r="G223" s="107" t="s">
        <v>211</v>
      </c>
      <c r="H223" s="93">
        <v>300</v>
      </c>
      <c r="I223" s="93"/>
      <c r="J223" s="133">
        <f t="shared" si="12"/>
        <v>174604.41000000009</v>
      </c>
    </row>
    <row r="224" spans="2:10" x14ac:dyDescent="0.2">
      <c r="B224" s="104"/>
      <c r="C224" s="104">
        <v>41800</v>
      </c>
      <c r="D224" s="105"/>
      <c r="E224" s="109" t="s">
        <v>1537</v>
      </c>
      <c r="F224" s="106" t="s">
        <v>1539</v>
      </c>
      <c r="G224" s="107" t="s">
        <v>1540</v>
      </c>
      <c r="H224" s="93">
        <v>0.46</v>
      </c>
      <c r="I224" s="93"/>
      <c r="J224" s="133">
        <f t="shared" si="12"/>
        <v>174604.87000000008</v>
      </c>
    </row>
    <row r="225" spans="2:10" x14ac:dyDescent="0.2">
      <c r="B225" s="104"/>
      <c r="C225" s="104">
        <v>41810</v>
      </c>
      <c r="D225" s="105"/>
      <c r="E225" s="124" t="s">
        <v>1550</v>
      </c>
      <c r="F225" s="106" t="s">
        <v>1647</v>
      </c>
      <c r="G225" s="107" t="s">
        <v>571</v>
      </c>
      <c r="H225" s="93">
        <v>400</v>
      </c>
      <c r="I225" s="93"/>
      <c r="J225" s="133">
        <f t="shared" si="12"/>
        <v>175004.87000000008</v>
      </c>
    </row>
    <row r="226" spans="2:10" x14ac:dyDescent="0.2">
      <c r="B226" s="104"/>
      <c r="C226" s="104">
        <v>41810</v>
      </c>
      <c r="D226" s="105"/>
      <c r="E226" s="109" t="s">
        <v>1550</v>
      </c>
      <c r="F226" s="106" t="s">
        <v>1539</v>
      </c>
      <c r="G226" s="107" t="s">
        <v>1540</v>
      </c>
      <c r="H226" s="93">
        <v>0.15</v>
      </c>
      <c r="I226" s="93"/>
      <c r="J226" s="133">
        <f t="shared" si="12"/>
        <v>175005.02000000008</v>
      </c>
    </row>
    <row r="227" spans="2:10" x14ac:dyDescent="0.2">
      <c r="B227" s="104"/>
      <c r="C227" s="104">
        <v>41810</v>
      </c>
      <c r="D227" s="105">
        <v>70</v>
      </c>
      <c r="E227" s="124"/>
      <c r="F227" s="106" t="s">
        <v>1648</v>
      </c>
      <c r="G227" s="111"/>
      <c r="H227" s="93"/>
      <c r="I227" s="93">
        <v>30000</v>
      </c>
      <c r="J227" s="133">
        <f t="shared" si="12"/>
        <v>145005.02000000008</v>
      </c>
    </row>
    <row r="228" spans="2:10" x14ac:dyDescent="0.2">
      <c r="B228" s="104"/>
      <c r="C228" s="108">
        <v>41820</v>
      </c>
      <c r="D228" s="105">
        <v>7545</v>
      </c>
      <c r="E228" s="109" t="s">
        <v>805</v>
      </c>
      <c r="F228" s="146" t="s">
        <v>1649</v>
      </c>
      <c r="G228" s="107" t="s">
        <v>806</v>
      </c>
      <c r="H228" s="93">
        <v>10000</v>
      </c>
      <c r="I228" s="93"/>
      <c r="J228" s="133">
        <f t="shared" si="12"/>
        <v>155005.02000000008</v>
      </c>
    </row>
    <row r="229" spans="2:10" x14ac:dyDescent="0.2">
      <c r="B229" s="104"/>
      <c r="C229" s="108">
        <v>41820</v>
      </c>
      <c r="D229" s="105"/>
      <c r="E229" s="109" t="s">
        <v>805</v>
      </c>
      <c r="F229" s="146" t="s">
        <v>1605</v>
      </c>
      <c r="G229" s="107" t="s">
        <v>1546</v>
      </c>
      <c r="H229" s="93">
        <v>1600</v>
      </c>
      <c r="I229" s="93"/>
      <c r="J229" s="133">
        <f t="shared" si="12"/>
        <v>156605.02000000008</v>
      </c>
    </row>
    <row r="230" spans="2:10" x14ac:dyDescent="0.2">
      <c r="B230" s="104"/>
      <c r="C230" s="104">
        <v>41820</v>
      </c>
      <c r="D230" s="105">
        <v>221</v>
      </c>
      <c r="E230" s="124"/>
      <c r="F230" s="106" t="s">
        <v>1650</v>
      </c>
      <c r="G230" s="111"/>
      <c r="H230" s="93"/>
      <c r="I230" s="93">
        <v>25000</v>
      </c>
      <c r="J230" s="133">
        <f t="shared" si="12"/>
        <v>131605.02000000008</v>
      </c>
    </row>
    <row r="231" spans="2:10" x14ac:dyDescent="0.2">
      <c r="B231" s="104"/>
      <c r="C231" s="104">
        <v>41820</v>
      </c>
      <c r="D231" s="105"/>
      <c r="E231" s="124" t="s">
        <v>1606</v>
      </c>
      <c r="F231" s="106" t="s">
        <v>1651</v>
      </c>
      <c r="G231" s="107" t="s">
        <v>1540</v>
      </c>
      <c r="H231" s="93"/>
      <c r="I231" s="93">
        <v>24</v>
      </c>
      <c r="J231" s="133">
        <f t="shared" si="12"/>
        <v>131581.02000000008</v>
      </c>
    </row>
    <row r="232" spans="2:10" x14ac:dyDescent="0.2">
      <c r="B232" s="104"/>
      <c r="C232" s="104">
        <v>41820</v>
      </c>
      <c r="D232" s="105"/>
      <c r="E232" s="124" t="s">
        <v>1606</v>
      </c>
      <c r="F232" s="106" t="s">
        <v>1629</v>
      </c>
      <c r="G232" s="107" t="s">
        <v>1546</v>
      </c>
      <c r="H232" s="93"/>
      <c r="I232" s="93">
        <v>3.84</v>
      </c>
      <c r="J232" s="133">
        <f t="shared" si="12"/>
        <v>131577.18000000008</v>
      </c>
    </row>
    <row r="233" spans="2:10" ht="25.5" x14ac:dyDescent="0.2">
      <c r="B233" s="94" t="s">
        <v>1527</v>
      </c>
      <c r="C233" s="94" t="s">
        <v>1528</v>
      </c>
      <c r="D233" s="95" t="s">
        <v>1529</v>
      </c>
      <c r="E233" s="151"/>
      <c r="F233" s="52" t="s">
        <v>1531</v>
      </c>
      <c r="G233" s="3" t="s">
        <v>3</v>
      </c>
      <c r="H233" s="96" t="s">
        <v>1532</v>
      </c>
      <c r="I233" s="96" t="s">
        <v>1533</v>
      </c>
      <c r="J233" s="96" t="s">
        <v>1534</v>
      </c>
    </row>
    <row r="234" spans="2:10" x14ac:dyDescent="0.2">
      <c r="B234" s="104"/>
      <c r="C234" s="108">
        <v>41825</v>
      </c>
      <c r="D234" s="105"/>
      <c r="E234" s="124" t="s">
        <v>1537</v>
      </c>
      <c r="F234" s="106" t="s">
        <v>1652</v>
      </c>
      <c r="G234" s="107" t="s">
        <v>211</v>
      </c>
      <c r="H234" s="93">
        <v>300</v>
      </c>
      <c r="I234" s="93"/>
      <c r="J234" s="133">
        <f>+J232+H234-I234</f>
        <v>131877.18000000008</v>
      </c>
    </row>
    <row r="235" spans="2:10" x14ac:dyDescent="0.2">
      <c r="B235" s="104"/>
      <c r="C235" s="104">
        <v>41825</v>
      </c>
      <c r="D235" s="105"/>
      <c r="E235" s="109" t="s">
        <v>1537</v>
      </c>
      <c r="F235" s="106" t="s">
        <v>1539</v>
      </c>
      <c r="G235" s="107" t="s">
        <v>1540</v>
      </c>
      <c r="H235" s="93">
        <v>0.46</v>
      </c>
      <c r="I235" s="93"/>
      <c r="J235" s="133">
        <f t="shared" si="12"/>
        <v>131877.64000000007</v>
      </c>
    </row>
    <row r="236" spans="2:10" x14ac:dyDescent="0.2">
      <c r="B236" s="104"/>
      <c r="C236" s="104">
        <v>41827</v>
      </c>
      <c r="D236" s="105"/>
      <c r="E236" s="124" t="s">
        <v>1606</v>
      </c>
      <c r="F236" s="106" t="s">
        <v>1607</v>
      </c>
      <c r="G236" s="107" t="s">
        <v>1540</v>
      </c>
      <c r="H236" s="93"/>
      <c r="I236" s="93">
        <v>30</v>
      </c>
      <c r="J236" s="133">
        <f>+J235+H236-I236</f>
        <v>131847.64000000007</v>
      </c>
    </row>
    <row r="237" spans="2:10" x14ac:dyDescent="0.2">
      <c r="B237" s="104"/>
      <c r="C237" s="104">
        <v>41827</v>
      </c>
      <c r="D237" s="105"/>
      <c r="E237" s="124" t="s">
        <v>1606</v>
      </c>
      <c r="F237" s="106" t="s">
        <v>1622</v>
      </c>
      <c r="G237" s="107" t="s">
        <v>1546</v>
      </c>
      <c r="H237" s="93"/>
      <c r="I237" s="93">
        <v>4.8</v>
      </c>
      <c r="J237" s="133">
        <f t="shared" si="12"/>
        <v>131842.84000000008</v>
      </c>
    </row>
    <row r="238" spans="2:10" ht="25.5" x14ac:dyDescent="0.2">
      <c r="B238" s="94" t="s">
        <v>1527</v>
      </c>
      <c r="C238" s="94" t="s">
        <v>1528</v>
      </c>
      <c r="D238" s="95" t="s">
        <v>1529</v>
      </c>
      <c r="E238" s="151"/>
      <c r="F238" s="52" t="s">
        <v>1531</v>
      </c>
      <c r="G238" s="3" t="s">
        <v>3</v>
      </c>
      <c r="H238" s="96" t="s">
        <v>1532</v>
      </c>
      <c r="I238" s="96" t="s">
        <v>1533</v>
      </c>
      <c r="J238" s="96" t="s">
        <v>1534</v>
      </c>
    </row>
    <row r="239" spans="2:10" x14ac:dyDescent="0.2">
      <c r="B239" s="104"/>
      <c r="C239" s="108">
        <v>41856</v>
      </c>
      <c r="D239" s="105"/>
      <c r="E239" s="124" t="s">
        <v>1537</v>
      </c>
      <c r="F239" s="106" t="s">
        <v>1653</v>
      </c>
      <c r="G239" s="107" t="s">
        <v>211</v>
      </c>
      <c r="H239" s="93">
        <v>300</v>
      </c>
      <c r="I239" s="93"/>
      <c r="J239" s="133">
        <f>+J237+H239-I239</f>
        <v>132142.84000000008</v>
      </c>
    </row>
    <row r="240" spans="2:10" x14ac:dyDescent="0.2">
      <c r="B240" s="104"/>
      <c r="C240" s="104">
        <v>41856</v>
      </c>
      <c r="D240" s="105"/>
      <c r="E240" s="109" t="s">
        <v>1537</v>
      </c>
      <c r="F240" s="106" t="s">
        <v>1539</v>
      </c>
      <c r="G240" s="107" t="s">
        <v>1540</v>
      </c>
      <c r="H240" s="93">
        <v>0.46</v>
      </c>
      <c r="I240" s="93"/>
      <c r="J240" s="133">
        <f t="shared" si="12"/>
        <v>132143.30000000008</v>
      </c>
    </row>
    <row r="241" spans="1:10" x14ac:dyDescent="0.2">
      <c r="B241" s="104"/>
      <c r="C241" s="104">
        <v>41856</v>
      </c>
      <c r="D241" s="105"/>
      <c r="E241" s="124"/>
      <c r="F241" s="106" t="s">
        <v>1654</v>
      </c>
      <c r="G241" s="111"/>
      <c r="H241" s="93">
        <v>800</v>
      </c>
      <c r="I241" s="93"/>
      <c r="J241" s="133">
        <f t="shared" si="12"/>
        <v>132943.30000000008</v>
      </c>
    </row>
    <row r="242" spans="1:10" x14ac:dyDescent="0.2">
      <c r="B242" s="104"/>
      <c r="C242" s="104">
        <v>41856</v>
      </c>
      <c r="D242" s="105"/>
      <c r="E242" s="124"/>
      <c r="F242" s="106" t="s">
        <v>1654</v>
      </c>
      <c r="G242" s="111"/>
      <c r="H242" s="93">
        <v>1200</v>
      </c>
      <c r="I242" s="93"/>
      <c r="J242" s="133">
        <f t="shared" si="12"/>
        <v>134143.30000000008</v>
      </c>
    </row>
    <row r="243" spans="1:10" x14ac:dyDescent="0.2">
      <c r="B243" s="104"/>
      <c r="C243" s="108">
        <v>41856</v>
      </c>
      <c r="D243" s="105">
        <v>7570</v>
      </c>
      <c r="E243" s="109" t="s">
        <v>805</v>
      </c>
      <c r="F243" s="146" t="s">
        <v>1655</v>
      </c>
      <c r="G243" s="107" t="s">
        <v>806</v>
      </c>
      <c r="H243" s="93">
        <v>10000</v>
      </c>
      <c r="I243" s="93"/>
      <c r="J243" s="133">
        <f t="shared" si="12"/>
        <v>144143.30000000008</v>
      </c>
    </row>
    <row r="244" spans="1:10" x14ac:dyDescent="0.2">
      <c r="B244" s="114"/>
      <c r="C244" s="108">
        <v>41856</v>
      </c>
      <c r="D244" s="115"/>
      <c r="E244" s="109" t="s">
        <v>805</v>
      </c>
      <c r="F244" s="146" t="s">
        <v>1605</v>
      </c>
      <c r="G244" s="107" t="s">
        <v>1546</v>
      </c>
      <c r="H244" s="116">
        <v>1600</v>
      </c>
      <c r="I244" s="116"/>
      <c r="J244" s="133">
        <f t="shared" si="12"/>
        <v>145743.30000000008</v>
      </c>
    </row>
    <row r="245" spans="1:10" ht="25.5" x14ac:dyDescent="0.2">
      <c r="B245" s="94" t="s">
        <v>1527</v>
      </c>
      <c r="C245" s="94" t="s">
        <v>1528</v>
      </c>
      <c r="D245" s="95" t="s">
        <v>1529</v>
      </c>
      <c r="E245" s="151"/>
      <c r="F245" s="52" t="s">
        <v>1656</v>
      </c>
      <c r="G245" s="3" t="s">
        <v>3</v>
      </c>
      <c r="H245" s="96" t="s">
        <v>1532</v>
      </c>
      <c r="I245" s="96" t="s">
        <v>1533</v>
      </c>
      <c r="J245" s="96" t="s">
        <v>1534</v>
      </c>
    </row>
    <row r="246" spans="1:10" x14ac:dyDescent="0.2">
      <c r="B246" s="104"/>
      <c r="C246" s="104">
        <v>41883</v>
      </c>
      <c r="D246" s="105">
        <v>4795</v>
      </c>
      <c r="E246" s="124" t="s">
        <v>1541</v>
      </c>
      <c r="F246" s="106" t="s">
        <v>1657</v>
      </c>
      <c r="G246" s="107" t="s">
        <v>208</v>
      </c>
      <c r="H246" s="93">
        <v>2400</v>
      </c>
      <c r="I246" s="93"/>
      <c r="J246" s="133">
        <f>+J244+H246-I246</f>
        <v>148143.30000000008</v>
      </c>
    </row>
    <row r="247" spans="1:10" x14ac:dyDescent="0.2">
      <c r="A247" s="103"/>
      <c r="B247" s="104"/>
      <c r="C247" s="104">
        <v>41883</v>
      </c>
      <c r="D247" s="105"/>
      <c r="E247" s="124" t="s">
        <v>1541</v>
      </c>
      <c r="F247" s="106" t="s">
        <v>1539</v>
      </c>
      <c r="G247" s="107" t="s">
        <v>1540</v>
      </c>
      <c r="H247" s="93">
        <v>2.3199999999999998</v>
      </c>
      <c r="I247" s="93"/>
      <c r="J247" s="133">
        <f>+J246+H247-I247</f>
        <v>148145.62000000008</v>
      </c>
    </row>
    <row r="248" spans="1:10" x14ac:dyDescent="0.2">
      <c r="B248" s="104"/>
      <c r="C248" s="104">
        <v>41884</v>
      </c>
      <c r="D248" s="105">
        <v>3095</v>
      </c>
      <c r="E248" s="124"/>
      <c r="F248" s="106" t="s">
        <v>1654</v>
      </c>
      <c r="G248" s="111"/>
      <c r="H248" s="93">
        <v>800</v>
      </c>
      <c r="I248" s="93"/>
      <c r="J248" s="133">
        <f t="shared" ref="J248:J264" si="13">+J247+H248-I248</f>
        <v>148945.62000000008</v>
      </c>
    </row>
    <row r="249" spans="1:10" x14ac:dyDescent="0.2">
      <c r="B249" s="104"/>
      <c r="C249" s="104">
        <v>41884</v>
      </c>
      <c r="D249" s="105">
        <v>493</v>
      </c>
      <c r="E249" s="124"/>
      <c r="F249" s="106" t="s">
        <v>1654</v>
      </c>
      <c r="G249" s="111"/>
      <c r="H249" s="93">
        <v>1200</v>
      </c>
      <c r="I249" s="93"/>
      <c r="J249" s="133">
        <f t="shared" si="13"/>
        <v>150145.62000000008</v>
      </c>
    </row>
    <row r="250" spans="1:10" x14ac:dyDescent="0.2">
      <c r="B250" s="104"/>
      <c r="C250" s="104">
        <v>41884</v>
      </c>
      <c r="D250" s="105">
        <v>3390</v>
      </c>
      <c r="E250" s="124"/>
      <c r="F250" s="106" t="s">
        <v>1654</v>
      </c>
      <c r="G250" s="111"/>
      <c r="H250" s="93">
        <v>2400</v>
      </c>
      <c r="I250" s="93"/>
      <c r="J250" s="133">
        <f t="shared" si="13"/>
        <v>152545.62000000008</v>
      </c>
    </row>
    <row r="251" spans="1:10" x14ac:dyDescent="0.2">
      <c r="B251" s="104"/>
      <c r="C251" s="108">
        <v>41884</v>
      </c>
      <c r="D251" s="105">
        <v>7636</v>
      </c>
      <c r="E251" s="109" t="s">
        <v>805</v>
      </c>
      <c r="F251" s="146" t="s">
        <v>1658</v>
      </c>
      <c r="G251" s="107" t="s">
        <v>806</v>
      </c>
      <c r="H251" s="93">
        <v>10000</v>
      </c>
      <c r="I251" s="93"/>
      <c r="J251" s="133">
        <f t="shared" si="13"/>
        <v>162545.62000000008</v>
      </c>
    </row>
    <row r="252" spans="1:10" x14ac:dyDescent="0.2">
      <c r="B252" s="104"/>
      <c r="C252" s="108">
        <v>41884</v>
      </c>
      <c r="D252" s="105"/>
      <c r="E252" s="109" t="s">
        <v>805</v>
      </c>
      <c r="F252" s="146" t="s">
        <v>1605</v>
      </c>
      <c r="G252" s="107" t="s">
        <v>1546</v>
      </c>
      <c r="H252" s="93">
        <v>1600</v>
      </c>
      <c r="I252" s="93"/>
      <c r="J252" s="133">
        <f t="shared" si="13"/>
        <v>164145.62000000008</v>
      </c>
    </row>
    <row r="253" spans="1:10" x14ac:dyDescent="0.2">
      <c r="B253" s="104"/>
      <c r="C253" s="108">
        <v>41891</v>
      </c>
      <c r="D253" s="105">
        <v>914</v>
      </c>
      <c r="E253" s="124" t="s">
        <v>1537</v>
      </c>
      <c r="F253" s="106" t="s">
        <v>1659</v>
      </c>
      <c r="G253" s="107" t="s">
        <v>211</v>
      </c>
      <c r="H253" s="93">
        <v>300</v>
      </c>
      <c r="I253" s="93"/>
      <c r="J253" s="133">
        <f t="shared" si="13"/>
        <v>164445.62000000008</v>
      </c>
    </row>
    <row r="254" spans="1:10" x14ac:dyDescent="0.2">
      <c r="B254" s="104"/>
      <c r="C254" s="104">
        <v>41891</v>
      </c>
      <c r="D254" s="105"/>
      <c r="E254" s="109" t="s">
        <v>1537</v>
      </c>
      <c r="F254" s="106" t="s">
        <v>1539</v>
      </c>
      <c r="G254" s="107" t="s">
        <v>1540</v>
      </c>
      <c r="H254" s="93">
        <v>0.46</v>
      </c>
      <c r="I254" s="93"/>
      <c r="J254" s="133">
        <f t="shared" si="13"/>
        <v>164446.08000000007</v>
      </c>
    </row>
    <row r="255" spans="1:10" x14ac:dyDescent="0.2">
      <c r="B255" s="104"/>
      <c r="C255" s="104">
        <v>41900</v>
      </c>
      <c r="D255" s="105"/>
      <c r="E255" s="124"/>
      <c r="F255" s="106" t="s">
        <v>1648</v>
      </c>
      <c r="G255" s="111"/>
      <c r="H255" s="93"/>
      <c r="I255" s="93">
        <v>15000</v>
      </c>
      <c r="J255" s="133">
        <f t="shared" si="13"/>
        <v>149446.08000000007</v>
      </c>
    </row>
    <row r="256" spans="1:10" x14ac:dyDescent="0.2">
      <c r="B256" s="104"/>
      <c r="C256" s="104">
        <v>41908</v>
      </c>
      <c r="D256" s="105"/>
      <c r="E256" s="124" t="s">
        <v>1550</v>
      </c>
      <c r="F256" s="106" t="s">
        <v>1660</v>
      </c>
      <c r="G256" s="107" t="s">
        <v>571</v>
      </c>
      <c r="H256" s="93">
        <v>600</v>
      </c>
      <c r="I256" s="93"/>
      <c r="J256" s="133">
        <f t="shared" si="13"/>
        <v>150046.08000000007</v>
      </c>
    </row>
    <row r="257" spans="1:10" x14ac:dyDescent="0.2">
      <c r="B257" s="104"/>
      <c r="C257" s="104">
        <v>41908</v>
      </c>
      <c r="D257" s="105"/>
      <c r="E257" s="109" t="s">
        <v>1550</v>
      </c>
      <c r="F257" s="106" t="s">
        <v>1539</v>
      </c>
      <c r="G257" s="107" t="s">
        <v>1540</v>
      </c>
      <c r="H257" s="93">
        <v>0.15</v>
      </c>
      <c r="I257" s="93"/>
      <c r="J257" s="133">
        <f>+J256+H257-I257</f>
        <v>150046.23000000007</v>
      </c>
    </row>
    <row r="258" spans="1:10" x14ac:dyDescent="0.2">
      <c r="B258" s="104"/>
      <c r="C258" s="104">
        <v>41912</v>
      </c>
      <c r="D258" s="105">
        <v>3284</v>
      </c>
      <c r="E258" s="124"/>
      <c r="F258" s="106" t="s">
        <v>1654</v>
      </c>
      <c r="G258" s="111"/>
      <c r="H258" s="93">
        <v>1710</v>
      </c>
      <c r="I258" s="93"/>
      <c r="J258" s="133">
        <f t="shared" si="13"/>
        <v>151756.23000000007</v>
      </c>
    </row>
    <row r="259" spans="1:10" x14ac:dyDescent="0.2">
      <c r="B259" s="104"/>
      <c r="C259" s="104">
        <v>41912</v>
      </c>
      <c r="D259" s="105">
        <v>239</v>
      </c>
      <c r="E259" s="124"/>
      <c r="F259" s="106" t="s">
        <v>1654</v>
      </c>
      <c r="G259" s="111"/>
      <c r="H259" s="93">
        <v>1000</v>
      </c>
      <c r="I259" s="93"/>
      <c r="J259" s="133">
        <f t="shared" si="13"/>
        <v>152756.23000000007</v>
      </c>
    </row>
    <row r="260" spans="1:10" x14ac:dyDescent="0.2">
      <c r="B260" s="104"/>
      <c r="C260" s="104">
        <v>41912</v>
      </c>
      <c r="D260" s="105">
        <v>607</v>
      </c>
      <c r="E260" s="124"/>
      <c r="F260" s="106" t="s">
        <v>1654</v>
      </c>
      <c r="G260" s="111"/>
      <c r="H260" s="93">
        <v>800</v>
      </c>
      <c r="I260" s="93"/>
      <c r="J260" s="133">
        <f t="shared" si="13"/>
        <v>153556.23000000007</v>
      </c>
    </row>
    <row r="261" spans="1:10" x14ac:dyDescent="0.2">
      <c r="B261" s="104"/>
      <c r="C261" s="108">
        <v>41912</v>
      </c>
      <c r="D261" s="105">
        <v>7656</v>
      </c>
      <c r="E261" s="109" t="s">
        <v>805</v>
      </c>
      <c r="F261" s="146" t="s">
        <v>1661</v>
      </c>
      <c r="G261" s="107" t="s">
        <v>806</v>
      </c>
      <c r="H261" s="93">
        <v>10000</v>
      </c>
      <c r="I261" s="93"/>
      <c r="J261" s="133">
        <f t="shared" si="13"/>
        <v>163556.23000000007</v>
      </c>
    </row>
    <row r="262" spans="1:10" x14ac:dyDescent="0.2">
      <c r="A262" s="110"/>
      <c r="B262" s="104"/>
      <c r="C262" s="108">
        <v>41912</v>
      </c>
      <c r="D262" s="105"/>
      <c r="E262" s="109" t="s">
        <v>805</v>
      </c>
      <c r="F262" s="146" t="s">
        <v>1605</v>
      </c>
      <c r="G262" s="107" t="s">
        <v>1546</v>
      </c>
      <c r="H262" s="93">
        <v>1600</v>
      </c>
      <c r="I262" s="93"/>
      <c r="J262" s="133">
        <f t="shared" si="13"/>
        <v>165156.23000000007</v>
      </c>
    </row>
    <row r="263" spans="1:10" x14ac:dyDescent="0.2">
      <c r="B263" s="104"/>
      <c r="C263" s="104">
        <v>41912</v>
      </c>
      <c r="D263" s="105"/>
      <c r="E263" s="124" t="s">
        <v>1606</v>
      </c>
      <c r="F263" s="106" t="s">
        <v>1587</v>
      </c>
      <c r="G263" s="107" t="s">
        <v>1540</v>
      </c>
      <c r="H263" s="93"/>
      <c r="I263" s="93">
        <v>12</v>
      </c>
      <c r="J263" s="133">
        <f t="shared" si="13"/>
        <v>165144.23000000007</v>
      </c>
    </row>
    <row r="264" spans="1:10" x14ac:dyDescent="0.2">
      <c r="B264" s="104"/>
      <c r="C264" s="104">
        <v>41912</v>
      </c>
      <c r="D264" s="105"/>
      <c r="E264" s="124" t="s">
        <v>1606</v>
      </c>
      <c r="F264" s="106" t="s">
        <v>1622</v>
      </c>
      <c r="G264" s="107" t="s">
        <v>1546</v>
      </c>
      <c r="H264" s="93"/>
      <c r="I264" s="93">
        <v>1.92</v>
      </c>
      <c r="J264" s="133">
        <f t="shared" si="13"/>
        <v>165142.31000000006</v>
      </c>
    </row>
    <row r="265" spans="1:10" ht="25.5" x14ac:dyDescent="0.2">
      <c r="B265" s="94" t="s">
        <v>1527</v>
      </c>
      <c r="C265" s="94" t="s">
        <v>1528</v>
      </c>
      <c r="D265" s="95" t="s">
        <v>1529</v>
      </c>
      <c r="E265" s="151"/>
      <c r="F265" s="52" t="s">
        <v>1531</v>
      </c>
      <c r="G265" s="3" t="s">
        <v>3</v>
      </c>
      <c r="H265" s="96" t="s">
        <v>1532</v>
      </c>
      <c r="I265" s="96" t="s">
        <v>1533</v>
      </c>
      <c r="J265" s="96" t="s">
        <v>1534</v>
      </c>
    </row>
    <row r="266" spans="1:10" x14ac:dyDescent="0.2">
      <c r="B266" s="104"/>
      <c r="C266" s="104">
        <v>41919</v>
      </c>
      <c r="D266" s="105">
        <v>12</v>
      </c>
      <c r="E266" s="124" t="s">
        <v>1537</v>
      </c>
      <c r="F266" s="106" t="s">
        <v>1662</v>
      </c>
      <c r="G266" s="111" t="s">
        <v>211</v>
      </c>
      <c r="H266" s="93">
        <v>300</v>
      </c>
      <c r="I266" s="93"/>
      <c r="J266" s="133">
        <f>+J264+H266-I266</f>
        <v>165442.31000000006</v>
      </c>
    </row>
    <row r="267" spans="1:10" x14ac:dyDescent="0.2">
      <c r="B267" s="104"/>
      <c r="C267" s="104">
        <v>41919</v>
      </c>
      <c r="D267" s="105"/>
      <c r="E267" s="124" t="s">
        <v>1537</v>
      </c>
      <c r="F267" s="106" t="s">
        <v>1539</v>
      </c>
      <c r="G267" s="111" t="s">
        <v>1540</v>
      </c>
      <c r="H267" s="93">
        <v>0.46</v>
      </c>
      <c r="I267" s="93"/>
      <c r="J267" s="133">
        <f>+J266+H267-I267</f>
        <v>165442.77000000005</v>
      </c>
    </row>
    <row r="268" spans="1:10" x14ac:dyDescent="0.2">
      <c r="B268" s="104"/>
      <c r="C268" s="104">
        <v>41922</v>
      </c>
      <c r="D268" s="105">
        <v>4795</v>
      </c>
      <c r="E268" s="124" t="s">
        <v>1541</v>
      </c>
      <c r="F268" s="106" t="s">
        <v>1663</v>
      </c>
      <c r="G268" s="111" t="s">
        <v>208</v>
      </c>
      <c r="H268" s="93">
        <v>300</v>
      </c>
      <c r="I268" s="93"/>
      <c r="J268" s="133">
        <f>+J267+H268-I268</f>
        <v>165742.77000000005</v>
      </c>
    </row>
    <row r="269" spans="1:10" x14ac:dyDescent="0.2">
      <c r="B269" s="104"/>
      <c r="C269" s="104">
        <v>41922</v>
      </c>
      <c r="D269" s="105"/>
      <c r="E269" s="124" t="s">
        <v>1541</v>
      </c>
      <c r="F269" s="106" t="s">
        <v>1539</v>
      </c>
      <c r="G269" s="111" t="s">
        <v>1540</v>
      </c>
      <c r="H269" s="93">
        <v>0.28999999999999998</v>
      </c>
      <c r="I269" s="93"/>
      <c r="J269" s="133">
        <f>+J268+H269-I269</f>
        <v>165743.06000000006</v>
      </c>
    </row>
    <row r="270" spans="1:10" x14ac:dyDescent="0.2">
      <c r="B270" s="114"/>
      <c r="C270" s="114"/>
      <c r="D270" s="115"/>
      <c r="E270" s="140"/>
      <c r="F270" s="136"/>
      <c r="G270" s="137"/>
      <c r="H270" s="116"/>
      <c r="I270" s="116"/>
      <c r="J270" s="116"/>
    </row>
    <row r="271" spans="1:10" ht="25.5" x14ac:dyDescent="0.2">
      <c r="B271" s="94" t="s">
        <v>1527</v>
      </c>
      <c r="C271" s="94" t="s">
        <v>1528</v>
      </c>
      <c r="D271" s="95" t="s">
        <v>1529</v>
      </c>
      <c r="E271" s="151"/>
      <c r="F271" s="52" t="s">
        <v>1531</v>
      </c>
      <c r="G271" s="3" t="s">
        <v>3</v>
      </c>
      <c r="H271" s="96" t="s">
        <v>1532</v>
      </c>
      <c r="I271" s="96" t="s">
        <v>1533</v>
      </c>
      <c r="J271" s="96" t="s">
        <v>1534</v>
      </c>
    </row>
    <row r="272" spans="1:10" x14ac:dyDescent="0.2">
      <c r="B272" s="104"/>
      <c r="C272" s="104">
        <v>41948</v>
      </c>
      <c r="D272" s="105">
        <v>7396</v>
      </c>
      <c r="E272" s="124" t="s">
        <v>805</v>
      </c>
      <c r="F272" s="106" t="s">
        <v>1664</v>
      </c>
      <c r="G272" s="111" t="s">
        <v>806</v>
      </c>
      <c r="H272" s="93">
        <v>10000</v>
      </c>
      <c r="I272" s="93"/>
      <c r="J272" s="133">
        <f>+J269+H272-I272</f>
        <v>175743.06000000006</v>
      </c>
    </row>
    <row r="273" spans="2:10" x14ac:dyDescent="0.2">
      <c r="B273" s="104"/>
      <c r="C273" s="104">
        <v>41948</v>
      </c>
      <c r="D273" s="105"/>
      <c r="E273" s="124" t="s">
        <v>805</v>
      </c>
      <c r="F273" s="106" t="s">
        <v>1605</v>
      </c>
      <c r="G273" s="111" t="s">
        <v>1546</v>
      </c>
      <c r="H273" s="93">
        <v>1600</v>
      </c>
      <c r="I273" s="93"/>
      <c r="J273" s="133">
        <f t="shared" ref="J273:J304" si="14">+J272+H273-I273</f>
        <v>177343.06000000006</v>
      </c>
    </row>
    <row r="274" spans="2:10" x14ac:dyDescent="0.2">
      <c r="B274" s="104"/>
      <c r="C274" s="104">
        <v>41951</v>
      </c>
      <c r="D274" s="105">
        <v>114</v>
      </c>
      <c r="E274" s="124" t="s">
        <v>1537</v>
      </c>
      <c r="F274" s="106" t="s">
        <v>1665</v>
      </c>
      <c r="G274" s="111" t="s">
        <v>211</v>
      </c>
      <c r="H274" s="93">
        <v>300</v>
      </c>
      <c r="I274" s="93"/>
      <c r="J274" s="133">
        <f t="shared" si="14"/>
        <v>177643.06000000006</v>
      </c>
    </row>
    <row r="275" spans="2:10" x14ac:dyDescent="0.2">
      <c r="B275" s="104"/>
      <c r="C275" s="104">
        <v>41951</v>
      </c>
      <c r="D275" s="105"/>
      <c r="E275" s="124" t="s">
        <v>1537</v>
      </c>
      <c r="F275" s="106" t="s">
        <v>1539</v>
      </c>
      <c r="G275" s="111" t="s">
        <v>1540</v>
      </c>
      <c r="H275" s="93">
        <v>0.46</v>
      </c>
      <c r="I275" s="93"/>
      <c r="J275" s="133">
        <f t="shared" si="14"/>
        <v>177643.52000000005</v>
      </c>
    </row>
    <row r="276" spans="2:10" x14ac:dyDescent="0.2">
      <c r="B276" s="104"/>
      <c r="C276" s="104">
        <v>41957</v>
      </c>
      <c r="D276" s="105">
        <v>4795</v>
      </c>
      <c r="E276" s="124" t="s">
        <v>1541</v>
      </c>
      <c r="F276" s="106" t="s">
        <v>1665</v>
      </c>
      <c r="G276" s="111" t="s">
        <v>208</v>
      </c>
      <c r="H276" s="93">
        <v>400</v>
      </c>
      <c r="I276" s="93"/>
      <c r="J276" s="133">
        <f t="shared" si="14"/>
        <v>178043.52000000005</v>
      </c>
    </row>
    <row r="277" spans="2:10" x14ac:dyDescent="0.2">
      <c r="B277" s="104"/>
      <c r="C277" s="104">
        <v>41957</v>
      </c>
      <c r="D277" s="105"/>
      <c r="E277" s="124" t="s">
        <v>1541</v>
      </c>
      <c r="F277" s="106" t="s">
        <v>1539</v>
      </c>
      <c r="G277" s="111" t="s">
        <v>208</v>
      </c>
      <c r="H277" s="93">
        <v>0.28999999999999998</v>
      </c>
      <c r="I277" s="93"/>
      <c r="J277" s="133">
        <f>+J276+H277-I277</f>
        <v>178043.81000000006</v>
      </c>
    </row>
    <row r="278" spans="2:10" ht="26.25" customHeight="1" x14ac:dyDescent="0.2">
      <c r="B278" s="94" t="s">
        <v>1527</v>
      </c>
      <c r="C278" s="94" t="s">
        <v>1528</v>
      </c>
      <c r="D278" s="95" t="s">
        <v>1529</v>
      </c>
      <c r="E278" s="151"/>
      <c r="F278" s="52" t="s">
        <v>1531</v>
      </c>
      <c r="G278" s="3" t="s">
        <v>3</v>
      </c>
      <c r="H278" s="96" t="s">
        <v>1532</v>
      </c>
      <c r="I278" s="96" t="s">
        <v>1533</v>
      </c>
      <c r="J278" s="96" t="s">
        <v>1534</v>
      </c>
    </row>
    <row r="279" spans="2:10" x14ac:dyDescent="0.2">
      <c r="B279" s="104"/>
      <c r="C279" s="104">
        <v>41976</v>
      </c>
      <c r="D279" s="105"/>
      <c r="E279" s="124"/>
      <c r="F279" s="106"/>
      <c r="G279" s="111"/>
      <c r="H279" s="93">
        <v>800</v>
      </c>
      <c r="I279" s="93"/>
      <c r="J279" s="133">
        <f>+J277+H279-I279</f>
        <v>178843.81000000006</v>
      </c>
    </row>
    <row r="280" spans="2:10" x14ac:dyDescent="0.2">
      <c r="B280" s="104"/>
      <c r="C280" s="104">
        <v>41976</v>
      </c>
      <c r="D280" s="105">
        <v>608</v>
      </c>
      <c r="E280" s="124" t="s">
        <v>805</v>
      </c>
      <c r="F280" s="106" t="s">
        <v>1665</v>
      </c>
      <c r="G280" s="111" t="s">
        <v>806</v>
      </c>
      <c r="H280" s="93">
        <v>10000</v>
      </c>
      <c r="I280" s="93"/>
      <c r="J280" s="133">
        <f>+J279+H280-I280</f>
        <v>188843.81000000006</v>
      </c>
    </row>
    <row r="281" spans="2:10" x14ac:dyDescent="0.2">
      <c r="B281" s="104"/>
      <c r="C281" s="104">
        <v>41976</v>
      </c>
      <c r="D281" s="105"/>
      <c r="E281" s="124" t="s">
        <v>805</v>
      </c>
      <c r="F281" s="106" t="s">
        <v>1605</v>
      </c>
      <c r="G281" s="111" t="s">
        <v>1540</v>
      </c>
      <c r="H281" s="93">
        <v>1600</v>
      </c>
      <c r="I281" s="93"/>
      <c r="J281" s="133">
        <f t="shared" si="14"/>
        <v>190443.81000000006</v>
      </c>
    </row>
    <row r="282" spans="2:10" x14ac:dyDescent="0.2">
      <c r="B282" s="104"/>
      <c r="C282" s="104">
        <v>41976</v>
      </c>
      <c r="D282" s="105"/>
      <c r="E282" s="124"/>
      <c r="F282" s="106"/>
      <c r="G282" s="111"/>
      <c r="H282" s="93">
        <v>1200</v>
      </c>
      <c r="I282" s="93"/>
      <c r="J282" s="133">
        <f t="shared" si="14"/>
        <v>191643.81000000006</v>
      </c>
    </row>
    <row r="283" spans="2:10" x14ac:dyDescent="0.2">
      <c r="B283" s="104"/>
      <c r="C283" s="104">
        <v>41983</v>
      </c>
      <c r="D283" s="105">
        <v>4795</v>
      </c>
      <c r="E283" s="124" t="s">
        <v>1541</v>
      </c>
      <c r="F283" s="106" t="s">
        <v>1666</v>
      </c>
      <c r="G283" s="111" t="s">
        <v>208</v>
      </c>
      <c r="H283" s="93">
        <v>400</v>
      </c>
      <c r="I283" s="93"/>
      <c r="J283" s="133">
        <f t="shared" si="14"/>
        <v>192043.81000000006</v>
      </c>
    </row>
    <row r="284" spans="2:10" x14ac:dyDescent="0.2">
      <c r="B284" s="104"/>
      <c r="C284" s="104">
        <v>41983</v>
      </c>
      <c r="D284" s="105"/>
      <c r="E284" s="124" t="s">
        <v>1541</v>
      </c>
      <c r="F284" s="106" t="s">
        <v>1539</v>
      </c>
      <c r="G284" s="111" t="s">
        <v>1540</v>
      </c>
      <c r="H284" s="93">
        <v>0.28999999999999998</v>
      </c>
      <c r="I284" s="93"/>
      <c r="J284" s="133">
        <f t="shared" si="14"/>
        <v>192044.10000000006</v>
      </c>
    </row>
    <row r="285" spans="2:10" x14ac:dyDescent="0.2">
      <c r="B285" s="104"/>
      <c r="C285" s="104">
        <v>41990</v>
      </c>
      <c r="D285" s="105">
        <v>9754</v>
      </c>
      <c r="E285" s="124" t="s">
        <v>1537</v>
      </c>
      <c r="F285" s="106" t="s">
        <v>1666</v>
      </c>
      <c r="G285" s="111" t="s">
        <v>211</v>
      </c>
      <c r="H285" s="93">
        <v>300</v>
      </c>
      <c r="I285" s="93"/>
      <c r="J285" s="133">
        <f t="shared" si="14"/>
        <v>192344.10000000006</v>
      </c>
    </row>
    <row r="286" spans="2:10" x14ac:dyDescent="0.2">
      <c r="B286" s="104"/>
      <c r="C286" s="104">
        <v>41990</v>
      </c>
      <c r="D286" s="105"/>
      <c r="E286" s="124" t="s">
        <v>1537</v>
      </c>
      <c r="F286" s="106" t="s">
        <v>1539</v>
      </c>
      <c r="G286" s="111" t="s">
        <v>1540</v>
      </c>
      <c r="H286" s="93">
        <v>0.46</v>
      </c>
      <c r="I286" s="93"/>
      <c r="J286" s="133">
        <f t="shared" si="14"/>
        <v>192344.56000000006</v>
      </c>
    </row>
    <row r="287" spans="2:10" x14ac:dyDescent="0.2">
      <c r="B287" s="104"/>
      <c r="C287" s="104">
        <v>41992</v>
      </c>
      <c r="D287" s="105"/>
      <c r="E287" s="124"/>
      <c r="F287" s="106"/>
      <c r="G287" s="111"/>
      <c r="H287" s="93"/>
      <c r="I287" s="93">
        <v>45000</v>
      </c>
      <c r="J287" s="133">
        <f t="shared" si="14"/>
        <v>147344.56000000006</v>
      </c>
    </row>
    <row r="288" spans="2:10" x14ac:dyDescent="0.2">
      <c r="B288" s="104"/>
      <c r="C288" s="104">
        <v>42002</v>
      </c>
      <c r="D288" s="105"/>
      <c r="E288" s="124"/>
      <c r="F288" s="106"/>
      <c r="G288" s="111"/>
      <c r="H288" s="93"/>
      <c r="I288" s="93">
        <v>25000</v>
      </c>
      <c r="J288" s="133">
        <f t="shared" si="14"/>
        <v>122344.56000000006</v>
      </c>
    </row>
    <row r="289" spans="2:10" x14ac:dyDescent="0.2">
      <c r="B289" s="104"/>
      <c r="C289" s="104">
        <v>42004</v>
      </c>
      <c r="D289" s="105"/>
      <c r="E289" s="124" t="s">
        <v>1606</v>
      </c>
      <c r="F289" s="106" t="s">
        <v>1667</v>
      </c>
      <c r="G289" s="111" t="s">
        <v>1540</v>
      </c>
      <c r="H289" s="93"/>
      <c r="I289" s="93">
        <v>24</v>
      </c>
      <c r="J289" s="133">
        <f t="shared" si="14"/>
        <v>122320.56000000006</v>
      </c>
    </row>
    <row r="290" spans="2:10" x14ac:dyDescent="0.2">
      <c r="B290" s="104"/>
      <c r="C290" s="104">
        <v>42004</v>
      </c>
      <c r="D290" s="105"/>
      <c r="E290" s="124" t="s">
        <v>1606</v>
      </c>
      <c r="F290" s="106" t="s">
        <v>1668</v>
      </c>
      <c r="G290" s="111" t="s">
        <v>1546</v>
      </c>
      <c r="H290" s="93"/>
      <c r="I290" s="93">
        <v>3.84</v>
      </c>
      <c r="J290" s="133">
        <f>+J289+H290-I290</f>
        <v>122316.72000000006</v>
      </c>
    </row>
    <row r="291" spans="2:10" ht="26.25" customHeight="1" x14ac:dyDescent="0.2">
      <c r="B291" s="94" t="s">
        <v>1527</v>
      </c>
      <c r="C291" s="94" t="s">
        <v>1528</v>
      </c>
      <c r="D291" s="95" t="s">
        <v>1529</v>
      </c>
      <c r="E291" s="151"/>
      <c r="F291" s="52" t="s">
        <v>1531</v>
      </c>
      <c r="G291" s="3" t="s">
        <v>3</v>
      </c>
      <c r="H291" s="96" t="s">
        <v>1532</v>
      </c>
      <c r="I291" s="96" t="s">
        <v>1533</v>
      </c>
      <c r="J291" s="96" t="s">
        <v>1534</v>
      </c>
    </row>
    <row r="292" spans="2:10" x14ac:dyDescent="0.2">
      <c r="B292" s="104"/>
      <c r="C292" s="104">
        <v>42007</v>
      </c>
      <c r="D292" s="105">
        <v>5014</v>
      </c>
      <c r="E292" s="124" t="s">
        <v>1537</v>
      </c>
      <c r="F292" s="106" t="s">
        <v>1669</v>
      </c>
      <c r="G292" s="111" t="s">
        <v>211</v>
      </c>
      <c r="H292" s="93">
        <v>300</v>
      </c>
      <c r="I292" s="93"/>
      <c r="J292" s="133">
        <f>+J290+H292-I292</f>
        <v>122616.72000000006</v>
      </c>
    </row>
    <row r="293" spans="2:10" x14ac:dyDescent="0.2">
      <c r="B293" s="104"/>
      <c r="C293" s="104">
        <v>42007</v>
      </c>
      <c r="D293" s="105"/>
      <c r="E293" s="124" t="s">
        <v>1537</v>
      </c>
      <c r="F293" s="106" t="s">
        <v>1539</v>
      </c>
      <c r="G293" s="111" t="s">
        <v>1540</v>
      </c>
      <c r="H293" s="93">
        <v>0.46</v>
      </c>
      <c r="I293" s="93"/>
      <c r="J293" s="133">
        <f t="shared" si="14"/>
        <v>122617.18000000007</v>
      </c>
    </row>
    <row r="294" spans="2:10" x14ac:dyDescent="0.2">
      <c r="B294" s="104"/>
      <c r="C294" s="104">
        <v>42031</v>
      </c>
      <c r="D294" s="105">
        <v>3110</v>
      </c>
      <c r="E294" s="124" t="s">
        <v>1670</v>
      </c>
      <c r="F294" s="106" t="s">
        <v>1671</v>
      </c>
      <c r="G294" s="111" t="s">
        <v>932</v>
      </c>
      <c r="H294" s="93">
        <v>820</v>
      </c>
      <c r="I294" s="93"/>
      <c r="J294" s="133">
        <f t="shared" si="14"/>
        <v>123437.18000000007</v>
      </c>
    </row>
    <row r="295" spans="2:10" x14ac:dyDescent="0.2">
      <c r="B295" s="104"/>
      <c r="C295" s="104">
        <v>42031</v>
      </c>
      <c r="D295" s="105">
        <v>146</v>
      </c>
      <c r="E295" s="124" t="s">
        <v>1672</v>
      </c>
      <c r="F295" s="106" t="s">
        <v>1673</v>
      </c>
      <c r="G295" s="111" t="s">
        <v>380</v>
      </c>
      <c r="H295" s="93">
        <v>1200</v>
      </c>
      <c r="I295" s="93"/>
      <c r="J295" s="133">
        <f t="shared" si="14"/>
        <v>124637.18000000007</v>
      </c>
    </row>
    <row r="296" spans="2:10" x14ac:dyDescent="0.2">
      <c r="B296" s="104"/>
      <c r="C296" s="104">
        <v>42031</v>
      </c>
      <c r="D296" s="105">
        <v>1040</v>
      </c>
      <c r="E296" s="124" t="s">
        <v>1674</v>
      </c>
      <c r="F296" s="106" t="s">
        <v>1675</v>
      </c>
      <c r="G296" s="111" t="s">
        <v>54</v>
      </c>
      <c r="H296" s="93">
        <v>4400</v>
      </c>
      <c r="I296" s="93"/>
      <c r="J296" s="133">
        <f t="shared" si="14"/>
        <v>129037.18000000007</v>
      </c>
    </row>
    <row r="297" spans="2:10" x14ac:dyDescent="0.2">
      <c r="B297" s="104"/>
      <c r="C297" s="104">
        <v>42031</v>
      </c>
      <c r="D297" s="105">
        <v>2170</v>
      </c>
      <c r="E297" s="124" t="s">
        <v>1676</v>
      </c>
      <c r="F297" s="106" t="s">
        <v>1677</v>
      </c>
      <c r="G297" s="111" t="s">
        <v>65</v>
      </c>
      <c r="H297" s="93">
        <v>4400</v>
      </c>
      <c r="I297" s="93"/>
      <c r="J297" s="133">
        <f t="shared" si="14"/>
        <v>133437.18000000005</v>
      </c>
    </row>
    <row r="298" spans="2:10" x14ac:dyDescent="0.2">
      <c r="B298" s="104"/>
      <c r="C298" s="104">
        <v>42031</v>
      </c>
      <c r="D298" s="105">
        <v>7762</v>
      </c>
      <c r="E298" s="124" t="s">
        <v>805</v>
      </c>
      <c r="F298" s="106" t="s">
        <v>1678</v>
      </c>
      <c r="G298" s="111" t="s">
        <v>806</v>
      </c>
      <c r="H298" s="93">
        <v>11000</v>
      </c>
      <c r="I298" s="93"/>
      <c r="J298" s="133">
        <f t="shared" si="14"/>
        <v>144437.18000000005</v>
      </c>
    </row>
    <row r="299" spans="2:10" x14ac:dyDescent="0.2">
      <c r="B299" s="104"/>
      <c r="C299" s="104">
        <v>42031</v>
      </c>
      <c r="D299" s="105"/>
      <c r="E299" s="124" t="s">
        <v>805</v>
      </c>
      <c r="F299" s="106" t="s">
        <v>1605</v>
      </c>
      <c r="G299" s="111" t="s">
        <v>1540</v>
      </c>
      <c r="H299" s="93">
        <v>1760</v>
      </c>
      <c r="I299" s="93"/>
      <c r="J299" s="133">
        <f t="shared" si="14"/>
        <v>146197.18000000005</v>
      </c>
    </row>
    <row r="300" spans="2:10" ht="12.75" customHeight="1" x14ac:dyDescent="0.2">
      <c r="B300" s="104"/>
      <c r="C300" s="104">
        <v>42031</v>
      </c>
      <c r="D300" s="105">
        <v>7747</v>
      </c>
      <c r="E300" s="124" t="s">
        <v>805</v>
      </c>
      <c r="F300" s="106" t="s">
        <v>1666</v>
      </c>
      <c r="G300" s="111" t="s">
        <v>806</v>
      </c>
      <c r="H300" s="93">
        <v>10000</v>
      </c>
      <c r="I300" s="93"/>
      <c r="J300" s="133">
        <f t="shared" si="14"/>
        <v>156197.18000000005</v>
      </c>
    </row>
    <row r="301" spans="2:10" x14ac:dyDescent="0.2">
      <c r="B301" s="104"/>
      <c r="C301" s="104">
        <v>42031</v>
      </c>
      <c r="D301" s="105"/>
      <c r="E301" s="124" t="s">
        <v>805</v>
      </c>
      <c r="F301" s="106" t="s">
        <v>1605</v>
      </c>
      <c r="G301" s="111" t="s">
        <v>1679</v>
      </c>
      <c r="H301" s="93">
        <v>1600</v>
      </c>
      <c r="I301" s="93"/>
      <c r="J301" s="133">
        <f t="shared" si="14"/>
        <v>157797.18000000005</v>
      </c>
    </row>
    <row r="302" spans="2:10" ht="25.5" x14ac:dyDescent="0.2">
      <c r="B302" s="94" t="s">
        <v>1527</v>
      </c>
      <c r="C302" s="94" t="s">
        <v>1528</v>
      </c>
      <c r="D302" s="95" t="s">
        <v>1529</v>
      </c>
      <c r="E302" s="151"/>
      <c r="F302" s="52" t="s">
        <v>1531</v>
      </c>
      <c r="G302" s="3" t="s">
        <v>3</v>
      </c>
      <c r="H302" s="96" t="s">
        <v>1532</v>
      </c>
      <c r="I302" s="96" t="s">
        <v>1533</v>
      </c>
      <c r="J302" s="96" t="s">
        <v>1534</v>
      </c>
    </row>
    <row r="303" spans="2:10" x14ac:dyDescent="0.2">
      <c r="B303" s="104"/>
      <c r="C303" s="104">
        <v>42039</v>
      </c>
      <c r="D303" s="105">
        <v>8944</v>
      </c>
      <c r="E303" s="124" t="s">
        <v>1537</v>
      </c>
      <c r="F303" s="106" t="s">
        <v>1680</v>
      </c>
      <c r="G303" s="111" t="s">
        <v>211</v>
      </c>
      <c r="H303" s="93">
        <v>300</v>
      </c>
      <c r="I303" s="93"/>
      <c r="J303" s="133">
        <f>+J301+H303-I303</f>
        <v>158097.18000000005</v>
      </c>
    </row>
    <row r="304" spans="2:10" x14ac:dyDescent="0.2">
      <c r="B304" s="104"/>
      <c r="C304" s="104"/>
      <c r="D304" s="105"/>
      <c r="E304" s="124" t="s">
        <v>1537</v>
      </c>
      <c r="F304" s="106" t="s">
        <v>1539</v>
      </c>
      <c r="G304" s="111" t="s">
        <v>1540</v>
      </c>
      <c r="H304" s="93">
        <v>0.46</v>
      </c>
      <c r="I304" s="93"/>
      <c r="J304" s="133">
        <f t="shared" si="14"/>
        <v>158097.64000000004</v>
      </c>
    </row>
    <row r="305" spans="2:10" x14ac:dyDescent="0.2">
      <c r="B305" s="104"/>
      <c r="C305" s="104">
        <v>42044</v>
      </c>
      <c r="D305" s="105">
        <v>4795</v>
      </c>
      <c r="E305" s="124" t="s">
        <v>1541</v>
      </c>
      <c r="F305" s="106" t="s">
        <v>1669</v>
      </c>
      <c r="G305" s="111" t="s">
        <v>208</v>
      </c>
      <c r="H305" s="93">
        <v>400</v>
      </c>
      <c r="I305" s="93"/>
      <c r="J305" s="133">
        <f>+J304+H305-I305</f>
        <v>158497.64000000004</v>
      </c>
    </row>
    <row r="306" spans="2:10" x14ac:dyDescent="0.2">
      <c r="B306" s="104"/>
      <c r="C306" s="104"/>
      <c r="D306" s="105"/>
      <c r="E306" s="124" t="s">
        <v>1541</v>
      </c>
      <c r="F306" s="106" t="s">
        <v>1539</v>
      </c>
      <c r="G306" s="111" t="s">
        <v>1540</v>
      </c>
      <c r="H306" s="93">
        <v>0.28999999999999998</v>
      </c>
      <c r="I306" s="93"/>
      <c r="J306" s="133">
        <f>+J305+H306-I306</f>
        <v>158497.93000000005</v>
      </c>
    </row>
    <row r="307" spans="2:10" ht="25.5" x14ac:dyDescent="0.2">
      <c r="B307" s="94" t="s">
        <v>1527</v>
      </c>
      <c r="C307" s="94" t="s">
        <v>1528</v>
      </c>
      <c r="D307" s="95" t="s">
        <v>1529</v>
      </c>
      <c r="E307" s="151"/>
      <c r="F307" s="52" t="s">
        <v>1531</v>
      </c>
      <c r="G307" s="3" t="s">
        <v>3</v>
      </c>
      <c r="H307" s="96" t="s">
        <v>1532</v>
      </c>
      <c r="I307" s="96" t="s">
        <v>1533</v>
      </c>
      <c r="J307" s="96" t="s">
        <v>1534</v>
      </c>
    </row>
    <row r="308" spans="2:10" x14ac:dyDescent="0.2">
      <c r="B308" s="104"/>
      <c r="C308" s="104">
        <v>42067</v>
      </c>
      <c r="D308" s="105">
        <v>30315</v>
      </c>
      <c r="E308" s="124" t="s">
        <v>1537</v>
      </c>
      <c r="F308" s="106" t="s">
        <v>1681</v>
      </c>
      <c r="G308" s="111" t="s">
        <v>211</v>
      </c>
      <c r="H308" s="93">
        <v>300</v>
      </c>
      <c r="I308" s="93"/>
      <c r="J308" s="133">
        <f>+J306+H308-I308</f>
        <v>158797.93000000005</v>
      </c>
    </row>
    <row r="309" spans="2:10" x14ac:dyDescent="0.2">
      <c r="B309" s="104"/>
      <c r="C309" s="104">
        <v>42067</v>
      </c>
      <c r="D309" s="105"/>
      <c r="E309" s="124" t="s">
        <v>1537</v>
      </c>
      <c r="F309" s="106" t="s">
        <v>1539</v>
      </c>
      <c r="G309" s="111" t="s">
        <v>1540</v>
      </c>
      <c r="H309" s="93">
        <v>0.46</v>
      </c>
      <c r="I309" s="93"/>
      <c r="J309" s="133">
        <f>+J308+H309-I309</f>
        <v>158798.39000000004</v>
      </c>
    </row>
    <row r="310" spans="2:10" x14ac:dyDescent="0.2">
      <c r="B310" s="104"/>
      <c r="C310" s="104">
        <v>42069</v>
      </c>
      <c r="D310" s="105" t="s">
        <v>1682</v>
      </c>
      <c r="E310" s="124" t="s">
        <v>1683</v>
      </c>
      <c r="F310" s="106" t="s">
        <v>1684</v>
      </c>
      <c r="G310" s="111"/>
      <c r="H310" s="93">
        <v>30000</v>
      </c>
      <c r="I310" s="174"/>
      <c r="J310" s="133">
        <f t="shared" ref="J310:J317" si="15">+J309+H310-I310</f>
        <v>188798.39000000004</v>
      </c>
    </row>
    <row r="311" spans="2:10" x14ac:dyDescent="0.2">
      <c r="B311" s="104"/>
      <c r="C311" s="104">
        <v>42069</v>
      </c>
      <c r="D311" s="105">
        <v>3397</v>
      </c>
      <c r="E311" s="124" t="s">
        <v>197</v>
      </c>
      <c r="F311" s="106" t="s">
        <v>1685</v>
      </c>
      <c r="G311" s="111" t="s">
        <v>1686</v>
      </c>
      <c r="H311" s="93">
        <v>1200</v>
      </c>
      <c r="I311" s="93"/>
      <c r="J311" s="133">
        <f t="shared" si="15"/>
        <v>189998.39000000004</v>
      </c>
    </row>
    <row r="312" spans="2:10" x14ac:dyDescent="0.2">
      <c r="B312" s="104"/>
      <c r="C312" s="104">
        <v>42069</v>
      </c>
      <c r="D312" s="105">
        <v>7787</v>
      </c>
      <c r="E312" s="124" t="s">
        <v>805</v>
      </c>
      <c r="F312" s="106" t="s">
        <v>1687</v>
      </c>
      <c r="G312" s="111" t="s">
        <v>806</v>
      </c>
      <c r="H312" s="93">
        <v>11000</v>
      </c>
      <c r="I312" s="93"/>
      <c r="J312" s="133">
        <f t="shared" si="15"/>
        <v>200998.39000000004</v>
      </c>
    </row>
    <row r="313" spans="2:10" x14ac:dyDescent="0.2">
      <c r="B313" s="104"/>
      <c r="C313" s="104">
        <v>42069</v>
      </c>
      <c r="D313" s="105"/>
      <c r="E313" s="124" t="s">
        <v>805</v>
      </c>
      <c r="F313" s="106" t="s">
        <v>1605</v>
      </c>
      <c r="G313" s="111" t="s">
        <v>1540</v>
      </c>
      <c r="H313" s="93">
        <v>1760</v>
      </c>
      <c r="I313" s="93"/>
      <c r="J313" s="133">
        <f t="shared" si="15"/>
        <v>202758.39000000004</v>
      </c>
    </row>
    <row r="314" spans="2:10" x14ac:dyDescent="0.2">
      <c r="B314" s="104"/>
      <c r="C314" s="104">
        <v>42069</v>
      </c>
      <c r="D314" s="105">
        <v>2267</v>
      </c>
      <c r="E314" s="124" t="s">
        <v>1688</v>
      </c>
      <c r="F314" s="106" t="s">
        <v>1689</v>
      </c>
      <c r="G314" s="111" t="s">
        <v>517</v>
      </c>
      <c r="H314" s="93">
        <v>4400</v>
      </c>
      <c r="I314" s="93"/>
      <c r="J314" s="133">
        <f t="shared" si="15"/>
        <v>207158.39000000004</v>
      </c>
    </row>
    <row r="315" spans="2:10" x14ac:dyDescent="0.2">
      <c r="B315" s="104"/>
      <c r="C315" s="104">
        <v>42069</v>
      </c>
      <c r="D315" s="105"/>
      <c r="E315" s="124" t="s">
        <v>1541</v>
      </c>
      <c r="F315" s="106" t="s">
        <v>1680</v>
      </c>
      <c r="G315" s="111" t="s">
        <v>208</v>
      </c>
      <c r="H315" s="93">
        <v>400</v>
      </c>
      <c r="I315" s="93"/>
      <c r="J315" s="133">
        <f t="shared" si="15"/>
        <v>207558.39000000004</v>
      </c>
    </row>
    <row r="316" spans="2:10" x14ac:dyDescent="0.2">
      <c r="B316" s="104"/>
      <c r="C316" s="104">
        <v>42069</v>
      </c>
      <c r="D316" s="105"/>
      <c r="E316" s="124" t="s">
        <v>1541</v>
      </c>
      <c r="F316" s="106" t="s">
        <v>1539</v>
      </c>
      <c r="G316" s="111" t="s">
        <v>1540</v>
      </c>
      <c r="H316" s="93">
        <v>0.28999999999999998</v>
      </c>
      <c r="I316" s="93"/>
      <c r="J316" s="133">
        <f t="shared" si="15"/>
        <v>207558.68000000005</v>
      </c>
    </row>
    <row r="317" spans="2:10" x14ac:dyDescent="0.2">
      <c r="B317" s="104"/>
      <c r="C317" s="104">
        <v>42080</v>
      </c>
      <c r="D317" s="105">
        <v>4603</v>
      </c>
      <c r="E317" s="124" t="s">
        <v>1690</v>
      </c>
      <c r="F317" s="106" t="s">
        <v>1691</v>
      </c>
      <c r="G317" s="111" t="s">
        <v>971</v>
      </c>
      <c r="H317" s="93">
        <v>3200</v>
      </c>
      <c r="I317" s="93"/>
      <c r="J317" s="133">
        <f t="shared" si="15"/>
        <v>210758.68000000005</v>
      </c>
    </row>
    <row r="318" spans="2:10" ht="25.5" x14ac:dyDescent="0.2">
      <c r="B318" s="94" t="s">
        <v>1527</v>
      </c>
      <c r="C318" s="94" t="s">
        <v>1528</v>
      </c>
      <c r="D318" s="95" t="s">
        <v>1529</v>
      </c>
      <c r="E318" s="151"/>
      <c r="F318" s="52" t="s">
        <v>1531</v>
      </c>
      <c r="G318" s="3" t="s">
        <v>3</v>
      </c>
      <c r="H318" s="96" t="s">
        <v>1532</v>
      </c>
      <c r="I318" s="96" t="s">
        <v>1533</v>
      </c>
      <c r="J318" s="96" t="s">
        <v>1534</v>
      </c>
    </row>
    <row r="319" spans="2:10" x14ac:dyDescent="0.2">
      <c r="B319" s="104"/>
      <c r="C319" s="104">
        <v>42100</v>
      </c>
      <c r="D319" s="105">
        <v>155</v>
      </c>
      <c r="E319" s="124" t="s">
        <v>531</v>
      </c>
      <c r="F319" s="106" t="s">
        <v>1692</v>
      </c>
      <c r="G319" s="111" t="s">
        <v>529</v>
      </c>
      <c r="H319" s="93">
        <v>2400</v>
      </c>
      <c r="I319" s="93"/>
      <c r="J319" s="133">
        <f>+J317+H319-I319</f>
        <v>213158.68000000005</v>
      </c>
    </row>
    <row r="320" spans="2:10" x14ac:dyDescent="0.2">
      <c r="B320" s="104"/>
      <c r="C320" s="104">
        <v>42100</v>
      </c>
      <c r="D320" s="105">
        <v>614</v>
      </c>
      <c r="E320" s="124" t="s">
        <v>403</v>
      </c>
      <c r="F320" s="106" t="s">
        <v>1693</v>
      </c>
      <c r="G320" s="111" t="s">
        <v>401</v>
      </c>
      <c r="H320" s="93">
        <v>800</v>
      </c>
      <c r="I320" s="93"/>
      <c r="J320" s="133">
        <f t="shared" ref="J320:J327" si="16">+J319+H320-I320</f>
        <v>213958.68000000005</v>
      </c>
    </row>
    <row r="321" spans="2:10" x14ac:dyDescent="0.2">
      <c r="B321" s="104"/>
      <c r="C321" s="104">
        <v>42100</v>
      </c>
      <c r="D321" s="105">
        <v>3352</v>
      </c>
      <c r="E321" s="124" t="s">
        <v>1694</v>
      </c>
      <c r="F321" s="106" t="s">
        <v>1695</v>
      </c>
      <c r="G321" s="111" t="s">
        <v>380</v>
      </c>
      <c r="H321" s="93">
        <v>1200</v>
      </c>
      <c r="I321" s="93"/>
      <c r="J321" s="133">
        <f t="shared" si="16"/>
        <v>215158.68000000005</v>
      </c>
    </row>
    <row r="322" spans="2:10" x14ac:dyDescent="0.2">
      <c r="B322" s="104"/>
      <c r="C322" s="104">
        <v>42100</v>
      </c>
      <c r="D322" s="105">
        <v>7810</v>
      </c>
      <c r="E322" s="124" t="s">
        <v>805</v>
      </c>
      <c r="F322" s="106" t="s">
        <v>1696</v>
      </c>
      <c r="G322" s="111" t="s">
        <v>806</v>
      </c>
      <c r="H322" s="93">
        <v>11000</v>
      </c>
      <c r="I322" s="93"/>
      <c r="J322" s="133">
        <f t="shared" si="16"/>
        <v>226158.68000000005</v>
      </c>
    </row>
    <row r="323" spans="2:10" x14ac:dyDescent="0.2">
      <c r="B323" s="104"/>
      <c r="C323" s="104">
        <v>42100</v>
      </c>
      <c r="D323" s="105"/>
      <c r="E323" s="124" t="s">
        <v>805</v>
      </c>
      <c r="F323" s="106" t="s">
        <v>1605</v>
      </c>
      <c r="G323" s="111" t="s">
        <v>1540</v>
      </c>
      <c r="H323" s="93">
        <v>1760</v>
      </c>
      <c r="I323" s="93"/>
      <c r="J323" s="133">
        <f t="shared" si="16"/>
        <v>227918.68000000005</v>
      </c>
    </row>
    <row r="324" spans="2:10" x14ac:dyDescent="0.2">
      <c r="B324" s="104"/>
      <c r="C324" s="104">
        <v>42103</v>
      </c>
      <c r="D324" s="105">
        <v>9670</v>
      </c>
      <c r="E324" s="124" t="s">
        <v>1537</v>
      </c>
      <c r="F324" s="106" t="s">
        <v>1697</v>
      </c>
      <c r="G324" s="111" t="s">
        <v>211</v>
      </c>
      <c r="H324" s="93">
        <v>300</v>
      </c>
      <c r="I324" s="93"/>
      <c r="J324" s="133">
        <f t="shared" si="16"/>
        <v>228218.68000000005</v>
      </c>
    </row>
    <row r="325" spans="2:10" x14ac:dyDescent="0.2">
      <c r="B325" s="104"/>
      <c r="C325" s="104">
        <v>42103</v>
      </c>
      <c r="D325" s="105"/>
      <c r="E325" s="124" t="s">
        <v>1537</v>
      </c>
      <c r="F325" s="106" t="s">
        <v>1539</v>
      </c>
      <c r="G325" s="111" t="s">
        <v>1540</v>
      </c>
      <c r="H325" s="93">
        <v>0.46</v>
      </c>
      <c r="I325" s="93"/>
      <c r="J325" s="133">
        <f t="shared" si="16"/>
        <v>228219.14000000004</v>
      </c>
    </row>
    <row r="326" spans="2:10" x14ac:dyDescent="0.2">
      <c r="B326" s="104"/>
      <c r="C326" s="104">
        <v>42103</v>
      </c>
      <c r="D326" s="105">
        <v>4795</v>
      </c>
      <c r="E326" s="124" t="s">
        <v>1698</v>
      </c>
      <c r="F326" s="106" t="s">
        <v>1699</v>
      </c>
      <c r="G326" s="111" t="s">
        <v>208</v>
      </c>
      <c r="H326" s="93">
        <v>400</v>
      </c>
      <c r="I326" s="93"/>
      <c r="J326" s="133">
        <f t="shared" si="16"/>
        <v>228619.14000000004</v>
      </c>
    </row>
    <row r="327" spans="2:10" x14ac:dyDescent="0.2">
      <c r="B327" s="104"/>
      <c r="C327" s="104">
        <v>42103</v>
      </c>
      <c r="D327" s="105"/>
      <c r="E327" s="124" t="s">
        <v>1541</v>
      </c>
      <c r="F327" s="106" t="s">
        <v>1539</v>
      </c>
      <c r="G327" s="111" t="s">
        <v>1540</v>
      </c>
      <c r="H327" s="93">
        <v>0.28999999999999998</v>
      </c>
      <c r="I327" s="93"/>
      <c r="J327" s="133">
        <f t="shared" si="16"/>
        <v>228619.43000000005</v>
      </c>
    </row>
    <row r="328" spans="2:10" ht="25.5" x14ac:dyDescent="0.2">
      <c r="B328" s="94" t="s">
        <v>1527</v>
      </c>
      <c r="C328" s="94" t="s">
        <v>1528</v>
      </c>
      <c r="D328" s="95" t="s">
        <v>1529</v>
      </c>
      <c r="E328" s="151"/>
      <c r="F328" s="52" t="s">
        <v>1531</v>
      </c>
      <c r="G328" s="3" t="s">
        <v>3</v>
      </c>
      <c r="H328" s="96" t="s">
        <v>1532</v>
      </c>
      <c r="I328" s="96" t="s">
        <v>1533</v>
      </c>
      <c r="J328" s="96" t="s">
        <v>1534</v>
      </c>
    </row>
    <row r="329" spans="2:10" x14ac:dyDescent="0.2">
      <c r="B329" s="104"/>
      <c r="C329" s="104">
        <v>42129</v>
      </c>
      <c r="D329" s="105">
        <v>6470</v>
      </c>
      <c r="E329" s="124" t="s">
        <v>1700</v>
      </c>
      <c r="F329" s="106" t="s">
        <v>1701</v>
      </c>
      <c r="G329" s="111" t="s">
        <v>1702</v>
      </c>
      <c r="H329" s="93">
        <v>1600</v>
      </c>
      <c r="I329" s="93"/>
      <c r="J329" s="133">
        <f>+J327+H329-I329</f>
        <v>230219.43000000005</v>
      </c>
    </row>
    <row r="330" spans="2:10" x14ac:dyDescent="0.2">
      <c r="B330" s="104"/>
      <c r="C330" s="104">
        <v>42129</v>
      </c>
      <c r="D330" s="105">
        <v>7823</v>
      </c>
      <c r="E330" s="124" t="s">
        <v>805</v>
      </c>
      <c r="F330" s="106" t="s">
        <v>1703</v>
      </c>
      <c r="G330" s="111" t="s">
        <v>806</v>
      </c>
      <c r="H330" s="93">
        <v>11000</v>
      </c>
      <c r="I330" s="93"/>
      <c r="J330" s="133">
        <f>+J329+H330-I330</f>
        <v>241219.43000000005</v>
      </c>
    </row>
    <row r="331" spans="2:10" x14ac:dyDescent="0.2">
      <c r="B331" s="104"/>
      <c r="C331" s="104">
        <v>42129</v>
      </c>
      <c r="D331" s="105"/>
      <c r="E331" s="124" t="s">
        <v>805</v>
      </c>
      <c r="F331" s="106" t="s">
        <v>1605</v>
      </c>
      <c r="G331" s="111" t="s">
        <v>1540</v>
      </c>
      <c r="H331" s="93">
        <v>1760</v>
      </c>
      <c r="I331" s="93"/>
      <c r="J331" s="133">
        <f>+J330+H331-I331</f>
        <v>242979.43000000005</v>
      </c>
    </row>
    <row r="332" spans="2:10" x14ac:dyDescent="0.2">
      <c r="B332" s="104"/>
      <c r="C332" s="104">
        <v>42131</v>
      </c>
      <c r="D332" s="105">
        <v>9555</v>
      </c>
      <c r="E332" s="124" t="s">
        <v>1537</v>
      </c>
      <c r="F332" s="106" t="s">
        <v>1704</v>
      </c>
      <c r="G332" s="111" t="s">
        <v>211</v>
      </c>
      <c r="H332" s="93">
        <v>300</v>
      </c>
      <c r="I332" s="93"/>
      <c r="J332" s="133">
        <f t="shared" ref="J332:J340" si="17">+J331+H332-I332</f>
        <v>243279.43000000005</v>
      </c>
    </row>
    <row r="333" spans="2:10" x14ac:dyDescent="0.2">
      <c r="B333" s="104"/>
      <c r="C333" s="104">
        <v>42131</v>
      </c>
      <c r="D333" s="105"/>
      <c r="E333" s="124" t="s">
        <v>1537</v>
      </c>
      <c r="F333" s="106" t="s">
        <v>1539</v>
      </c>
      <c r="G333" s="111" t="s">
        <v>1540</v>
      </c>
      <c r="H333" s="93">
        <v>0.46</v>
      </c>
      <c r="I333" s="93"/>
      <c r="J333" s="133">
        <f t="shared" si="17"/>
        <v>243279.89000000004</v>
      </c>
    </row>
    <row r="334" spans="2:10" x14ac:dyDescent="0.2">
      <c r="B334" s="104"/>
      <c r="C334" s="104">
        <v>42132</v>
      </c>
      <c r="D334" s="105">
        <v>4795</v>
      </c>
      <c r="E334" s="124" t="s">
        <v>1541</v>
      </c>
      <c r="F334" s="106" t="s">
        <v>1704</v>
      </c>
      <c r="G334" s="111" t="s">
        <v>208</v>
      </c>
      <c r="H334" s="93">
        <v>400</v>
      </c>
      <c r="I334" s="93"/>
      <c r="J334" s="133">
        <f t="shared" si="17"/>
        <v>243679.89000000004</v>
      </c>
    </row>
    <row r="335" spans="2:10" x14ac:dyDescent="0.2">
      <c r="B335" s="104"/>
      <c r="C335" s="104">
        <v>42132</v>
      </c>
      <c r="D335" s="105"/>
      <c r="E335" s="124" t="s">
        <v>1541</v>
      </c>
      <c r="F335" s="106" t="s">
        <v>1539</v>
      </c>
      <c r="G335" s="111" t="s">
        <v>1540</v>
      </c>
      <c r="H335" s="93">
        <v>0.28999999999999998</v>
      </c>
      <c r="I335" s="93"/>
      <c r="J335" s="133">
        <f t="shared" si="17"/>
        <v>243680.18000000005</v>
      </c>
    </row>
    <row r="336" spans="2:10" x14ac:dyDescent="0.2">
      <c r="B336" s="104"/>
      <c r="C336" s="104">
        <v>42142</v>
      </c>
      <c r="D336" s="105">
        <v>226</v>
      </c>
      <c r="E336" s="175" t="s">
        <v>1705</v>
      </c>
      <c r="F336" s="176" t="s">
        <v>1706</v>
      </c>
      <c r="G336" s="111"/>
      <c r="H336" s="93"/>
      <c r="I336" s="93">
        <v>33000</v>
      </c>
      <c r="J336" s="133">
        <f t="shared" si="17"/>
        <v>210680.18000000005</v>
      </c>
    </row>
    <row r="337" spans="2:10" x14ac:dyDescent="0.2">
      <c r="B337" s="104"/>
      <c r="C337" s="104">
        <v>42150</v>
      </c>
      <c r="D337" s="105">
        <v>4186</v>
      </c>
      <c r="E337" s="124" t="s">
        <v>1707</v>
      </c>
      <c r="F337" s="106" t="s">
        <v>1708</v>
      </c>
      <c r="G337" s="111" t="s">
        <v>119</v>
      </c>
      <c r="H337" s="93">
        <v>400</v>
      </c>
      <c r="I337" s="93"/>
      <c r="J337" s="133">
        <f t="shared" si="17"/>
        <v>211080.18000000005</v>
      </c>
    </row>
    <row r="338" spans="2:10" x14ac:dyDescent="0.2">
      <c r="B338" s="104"/>
      <c r="C338" s="104">
        <v>42150</v>
      </c>
      <c r="D338" s="105"/>
      <c r="E338" s="124" t="s">
        <v>1707</v>
      </c>
      <c r="F338" s="106" t="s">
        <v>1539</v>
      </c>
      <c r="G338" s="111" t="s">
        <v>1540</v>
      </c>
      <c r="H338" s="93">
        <v>0.25</v>
      </c>
      <c r="I338" s="93"/>
      <c r="J338" s="133">
        <f t="shared" si="17"/>
        <v>211080.43000000005</v>
      </c>
    </row>
    <row r="339" spans="2:10" x14ac:dyDescent="0.2">
      <c r="B339" s="104"/>
      <c r="C339" s="104">
        <v>42153</v>
      </c>
      <c r="D339" s="105"/>
      <c r="E339" s="124" t="s">
        <v>1606</v>
      </c>
      <c r="F339" s="106" t="s">
        <v>1709</v>
      </c>
      <c r="G339" s="111" t="s">
        <v>1540</v>
      </c>
      <c r="H339" s="93"/>
      <c r="I339" s="93">
        <v>14</v>
      </c>
      <c r="J339" s="133">
        <f t="shared" si="17"/>
        <v>211066.43000000005</v>
      </c>
    </row>
    <row r="340" spans="2:10" x14ac:dyDescent="0.2">
      <c r="B340" s="104"/>
      <c r="C340" s="104">
        <v>42153</v>
      </c>
      <c r="D340" s="105"/>
      <c r="E340" s="124" t="s">
        <v>1606</v>
      </c>
      <c r="F340" s="106" t="s">
        <v>1710</v>
      </c>
      <c r="G340" s="111" t="s">
        <v>1546</v>
      </c>
      <c r="H340" s="93"/>
      <c r="I340" s="93">
        <v>2.2400000000000002</v>
      </c>
      <c r="J340" s="133">
        <f t="shared" si="17"/>
        <v>211064.19000000006</v>
      </c>
    </row>
    <row r="341" spans="2:10" ht="25.5" x14ac:dyDescent="0.2">
      <c r="B341" s="94" t="s">
        <v>1527</v>
      </c>
      <c r="C341" s="94" t="s">
        <v>1528</v>
      </c>
      <c r="D341" s="95" t="s">
        <v>1529</v>
      </c>
      <c r="E341" s="151"/>
      <c r="F341" s="52" t="s">
        <v>1531</v>
      </c>
      <c r="G341" s="3" t="s">
        <v>3</v>
      </c>
      <c r="H341" s="96" t="s">
        <v>1532</v>
      </c>
      <c r="I341" s="96" t="s">
        <v>1533</v>
      </c>
      <c r="J341" s="96" t="s">
        <v>1534</v>
      </c>
    </row>
    <row r="342" spans="2:10" x14ac:dyDescent="0.2">
      <c r="B342" s="104"/>
      <c r="C342" s="104">
        <v>42160</v>
      </c>
      <c r="D342" s="105">
        <v>15</v>
      </c>
      <c r="E342" s="124" t="s">
        <v>1550</v>
      </c>
      <c r="F342" s="106" t="s">
        <v>1711</v>
      </c>
      <c r="G342" s="111" t="s">
        <v>571</v>
      </c>
      <c r="H342" s="93">
        <v>600</v>
      </c>
      <c r="I342" s="93"/>
      <c r="J342" s="133">
        <f>+J340+H342-I342</f>
        <v>211664.19000000006</v>
      </c>
    </row>
    <row r="343" spans="2:10" x14ac:dyDescent="0.2">
      <c r="B343" s="104"/>
      <c r="C343" s="104">
        <v>42160</v>
      </c>
      <c r="D343" s="105"/>
      <c r="E343" s="124" t="s">
        <v>1550</v>
      </c>
      <c r="F343" s="106" t="s">
        <v>1539</v>
      </c>
      <c r="G343" s="111" t="s">
        <v>1540</v>
      </c>
      <c r="H343" s="93">
        <v>0.15</v>
      </c>
      <c r="I343" s="93"/>
      <c r="J343" s="133">
        <f t="shared" ref="J343:J358" si="18">+J342+H343-I343</f>
        <v>211664.34000000005</v>
      </c>
    </row>
    <row r="344" spans="2:10" x14ac:dyDescent="0.2">
      <c r="B344" s="104"/>
      <c r="C344" s="104">
        <v>42165</v>
      </c>
      <c r="D344" s="105">
        <v>4795</v>
      </c>
      <c r="E344" s="124" t="s">
        <v>1541</v>
      </c>
      <c r="F344" s="106" t="s">
        <v>1712</v>
      </c>
      <c r="G344" s="111" t="s">
        <v>1713</v>
      </c>
      <c r="H344" s="93">
        <v>400</v>
      </c>
      <c r="I344" s="93"/>
      <c r="J344" s="133">
        <f t="shared" si="18"/>
        <v>212064.34000000005</v>
      </c>
    </row>
    <row r="345" spans="2:10" x14ac:dyDescent="0.2">
      <c r="B345" s="104"/>
      <c r="C345" s="104">
        <v>42165</v>
      </c>
      <c r="D345" s="105"/>
      <c r="E345" s="124" t="s">
        <v>1541</v>
      </c>
      <c r="F345" s="106" t="s">
        <v>1539</v>
      </c>
      <c r="G345" s="111" t="s">
        <v>1540</v>
      </c>
      <c r="H345" s="93">
        <v>0.28999999999999998</v>
      </c>
      <c r="I345" s="93"/>
      <c r="J345" s="133">
        <f t="shared" si="18"/>
        <v>212064.63000000006</v>
      </c>
    </row>
    <row r="346" spans="2:10" x14ac:dyDescent="0.2">
      <c r="B346" s="104"/>
      <c r="C346" s="104">
        <v>42165</v>
      </c>
      <c r="D346" s="105">
        <v>7851</v>
      </c>
      <c r="E346" s="124" t="s">
        <v>805</v>
      </c>
      <c r="F346" s="106" t="s">
        <v>1704</v>
      </c>
      <c r="G346" s="111" t="s">
        <v>806</v>
      </c>
      <c r="H346" s="93">
        <v>11000</v>
      </c>
      <c r="I346" s="93"/>
      <c r="J346" s="133">
        <f t="shared" si="18"/>
        <v>223064.63000000006</v>
      </c>
    </row>
    <row r="347" spans="2:10" x14ac:dyDescent="0.2">
      <c r="B347" s="104"/>
      <c r="C347" s="104">
        <v>42165</v>
      </c>
      <c r="D347" s="105"/>
      <c r="E347" s="124" t="s">
        <v>805</v>
      </c>
      <c r="F347" s="106" t="s">
        <v>1605</v>
      </c>
      <c r="G347" s="111" t="s">
        <v>1540</v>
      </c>
      <c r="H347" s="93">
        <v>1760</v>
      </c>
      <c r="I347" s="93"/>
      <c r="J347" s="133">
        <f t="shared" si="18"/>
        <v>224824.63000000006</v>
      </c>
    </row>
    <row r="348" spans="2:10" x14ac:dyDescent="0.2">
      <c r="B348" s="104"/>
      <c r="C348" s="104">
        <v>42165</v>
      </c>
      <c r="D348" s="105">
        <v>3385</v>
      </c>
      <c r="E348" s="124" t="s">
        <v>1714</v>
      </c>
      <c r="F348" s="106" t="s">
        <v>1715</v>
      </c>
      <c r="G348" s="111" t="s">
        <v>195</v>
      </c>
      <c r="H348" s="93">
        <v>1200</v>
      </c>
      <c r="I348" s="93"/>
      <c r="J348" s="133">
        <f t="shared" si="18"/>
        <v>226024.63000000006</v>
      </c>
    </row>
    <row r="349" spans="2:10" x14ac:dyDescent="0.2">
      <c r="B349" s="104"/>
      <c r="C349" s="104">
        <v>42165</v>
      </c>
      <c r="D349" s="105">
        <v>618</v>
      </c>
      <c r="E349" s="124" t="s">
        <v>1716</v>
      </c>
      <c r="F349" s="106" t="s">
        <v>1717</v>
      </c>
      <c r="G349" s="111" t="s">
        <v>401</v>
      </c>
      <c r="H349" s="93">
        <v>800</v>
      </c>
      <c r="I349" s="93"/>
      <c r="J349" s="133">
        <f t="shared" si="18"/>
        <v>226824.63000000006</v>
      </c>
    </row>
    <row r="350" spans="2:10" x14ac:dyDescent="0.2">
      <c r="B350" s="104"/>
      <c r="C350" s="104">
        <v>42165</v>
      </c>
      <c r="D350" s="105">
        <v>3398</v>
      </c>
      <c r="E350" s="124" t="s">
        <v>1718</v>
      </c>
      <c r="F350" s="106" t="s">
        <v>1719</v>
      </c>
      <c r="G350" s="111" t="s">
        <v>380</v>
      </c>
      <c r="H350" s="93">
        <v>1600</v>
      </c>
      <c r="I350" s="93"/>
      <c r="J350" s="133">
        <f t="shared" si="18"/>
        <v>228424.63000000006</v>
      </c>
    </row>
    <row r="351" spans="2:10" x14ac:dyDescent="0.2">
      <c r="B351" s="104"/>
      <c r="C351" s="104">
        <v>42166</v>
      </c>
      <c r="D351" s="105">
        <v>228</v>
      </c>
      <c r="E351" s="124"/>
      <c r="F351" s="106" t="s">
        <v>1720</v>
      </c>
      <c r="G351" s="111"/>
      <c r="H351" s="93"/>
      <c r="I351" s="93">
        <v>30000</v>
      </c>
      <c r="J351" s="133">
        <f t="shared" si="18"/>
        <v>198424.63000000006</v>
      </c>
    </row>
    <row r="352" spans="2:10" x14ac:dyDescent="0.2">
      <c r="B352" s="104"/>
      <c r="C352" s="104">
        <v>42168</v>
      </c>
      <c r="D352" s="105">
        <v>2015</v>
      </c>
      <c r="E352" s="124" t="s">
        <v>1537</v>
      </c>
      <c r="F352" s="106" t="s">
        <v>1721</v>
      </c>
      <c r="G352" s="111" t="s">
        <v>211</v>
      </c>
      <c r="H352" s="93">
        <v>300</v>
      </c>
      <c r="I352" s="93"/>
      <c r="J352" s="133">
        <f t="shared" si="18"/>
        <v>198724.63000000006</v>
      </c>
    </row>
    <row r="353" spans="2:10" x14ac:dyDescent="0.2">
      <c r="B353" s="104"/>
      <c r="C353" s="104">
        <v>42168</v>
      </c>
      <c r="D353" s="105"/>
      <c r="E353" s="124" t="s">
        <v>1537</v>
      </c>
      <c r="F353" s="106" t="s">
        <v>1539</v>
      </c>
      <c r="G353" s="111" t="s">
        <v>1540</v>
      </c>
      <c r="H353" s="93">
        <v>0.46</v>
      </c>
      <c r="I353" s="93"/>
      <c r="J353" s="133">
        <f t="shared" si="18"/>
        <v>198725.09000000005</v>
      </c>
    </row>
    <row r="354" spans="2:10" x14ac:dyDescent="0.2">
      <c r="B354" s="104"/>
      <c r="C354" s="104">
        <v>42168</v>
      </c>
      <c r="D354" s="105">
        <v>229</v>
      </c>
      <c r="E354" s="124" t="s">
        <v>1705</v>
      </c>
      <c r="F354" s="106" t="s">
        <v>1722</v>
      </c>
      <c r="G354" s="111"/>
      <c r="H354" s="93"/>
      <c r="I354" s="93">
        <v>22000</v>
      </c>
      <c r="J354" s="133">
        <f t="shared" si="18"/>
        <v>176725.09000000005</v>
      </c>
    </row>
    <row r="355" spans="2:10" x14ac:dyDescent="0.2">
      <c r="B355" s="104"/>
      <c r="C355" s="104">
        <v>42173</v>
      </c>
      <c r="D355" s="105">
        <v>230</v>
      </c>
      <c r="E355" s="124" t="s">
        <v>1723</v>
      </c>
      <c r="F355" s="176" t="s">
        <v>1724</v>
      </c>
      <c r="G355" s="111"/>
      <c r="H355" s="93"/>
      <c r="I355" s="93">
        <v>16000</v>
      </c>
      <c r="J355" s="133">
        <f t="shared" si="18"/>
        <v>160725.09000000005</v>
      </c>
    </row>
    <row r="356" spans="2:10" x14ac:dyDescent="0.2">
      <c r="B356" s="104"/>
      <c r="C356" s="104">
        <v>42173</v>
      </c>
      <c r="D356" s="105">
        <v>231</v>
      </c>
      <c r="E356" s="124"/>
      <c r="F356" s="106" t="s">
        <v>1720</v>
      </c>
      <c r="G356" s="111"/>
      <c r="H356" s="93"/>
      <c r="I356" s="93">
        <v>15000</v>
      </c>
      <c r="J356" s="133">
        <f t="shared" si="18"/>
        <v>145725.09000000005</v>
      </c>
    </row>
    <row r="357" spans="2:10" x14ac:dyDescent="0.2">
      <c r="B357" s="104"/>
      <c r="C357" s="104">
        <v>42173</v>
      </c>
      <c r="D357" s="105">
        <v>315</v>
      </c>
      <c r="E357" s="124" t="s">
        <v>1725</v>
      </c>
      <c r="F357" s="106" t="s">
        <v>1726</v>
      </c>
      <c r="G357" s="111" t="s">
        <v>535</v>
      </c>
      <c r="H357" s="93">
        <v>3600</v>
      </c>
      <c r="I357" s="93"/>
      <c r="J357" s="133">
        <f t="shared" si="18"/>
        <v>149325.09000000005</v>
      </c>
    </row>
    <row r="358" spans="2:10" x14ac:dyDescent="0.2">
      <c r="B358" s="104"/>
      <c r="C358" s="104">
        <v>42173</v>
      </c>
      <c r="D358" s="105">
        <v>7870</v>
      </c>
      <c r="E358" s="124" t="s">
        <v>805</v>
      </c>
      <c r="F358" s="106" t="s">
        <v>1721</v>
      </c>
      <c r="G358" s="111" t="s">
        <v>806</v>
      </c>
      <c r="H358" s="93">
        <v>11000</v>
      </c>
      <c r="I358" s="93"/>
      <c r="J358" s="133">
        <f t="shared" si="18"/>
        <v>160325.09000000005</v>
      </c>
    </row>
    <row r="359" spans="2:10" x14ac:dyDescent="0.2">
      <c r="B359" s="104"/>
      <c r="C359" s="104">
        <v>42173</v>
      </c>
      <c r="D359" s="105"/>
      <c r="E359" s="124" t="s">
        <v>805</v>
      </c>
      <c r="F359" s="106" t="s">
        <v>1605</v>
      </c>
      <c r="G359" s="111" t="s">
        <v>1540</v>
      </c>
      <c r="H359" s="93">
        <v>1760</v>
      </c>
      <c r="I359" s="93"/>
      <c r="J359" s="133">
        <f>+J358+H359-I359</f>
        <v>162085.09000000005</v>
      </c>
    </row>
    <row r="360" spans="2:10" x14ac:dyDescent="0.2">
      <c r="B360" s="104"/>
      <c r="C360" s="104">
        <v>42185</v>
      </c>
      <c r="D360" s="105">
        <v>234</v>
      </c>
      <c r="E360" s="124"/>
      <c r="F360" s="106" t="s">
        <v>1720</v>
      </c>
      <c r="G360" s="111"/>
      <c r="H360" s="93"/>
      <c r="I360" s="93">
        <v>20000</v>
      </c>
      <c r="J360" s="133">
        <f>+J359+H360-I360</f>
        <v>142085.09000000005</v>
      </c>
    </row>
    <row r="361" spans="2:10" x14ac:dyDescent="0.2">
      <c r="B361" s="104"/>
      <c r="C361" s="104">
        <v>42185</v>
      </c>
      <c r="D361" s="105">
        <v>235</v>
      </c>
      <c r="E361" s="124"/>
      <c r="F361" s="106" t="s">
        <v>1720</v>
      </c>
      <c r="G361" s="111"/>
      <c r="H361" s="93"/>
      <c r="I361" s="93">
        <v>30000</v>
      </c>
      <c r="J361" s="133">
        <f>+J360+H361-I361</f>
        <v>112085.09000000005</v>
      </c>
    </row>
    <row r="362" spans="2:10" x14ac:dyDescent="0.2">
      <c r="B362" s="104"/>
      <c r="C362" s="104">
        <v>42185</v>
      </c>
      <c r="D362" s="105"/>
      <c r="E362" s="124" t="s">
        <v>1606</v>
      </c>
      <c r="F362" s="106" t="s">
        <v>1727</v>
      </c>
      <c r="G362" s="111" t="s">
        <v>1540</v>
      </c>
      <c r="H362" s="93"/>
      <c r="I362" s="93">
        <v>84</v>
      </c>
      <c r="J362" s="133">
        <f>+J361+H362-I362</f>
        <v>112001.09000000005</v>
      </c>
    </row>
    <row r="363" spans="2:10" x14ac:dyDescent="0.2">
      <c r="B363" s="104"/>
      <c r="C363" s="104">
        <v>42185</v>
      </c>
      <c r="D363" s="105"/>
      <c r="E363" s="124" t="s">
        <v>1606</v>
      </c>
      <c r="F363" s="106" t="s">
        <v>1728</v>
      </c>
      <c r="G363" s="111" t="s">
        <v>1546</v>
      </c>
      <c r="H363" s="93"/>
      <c r="I363" s="93">
        <v>13.44</v>
      </c>
      <c r="J363" s="133">
        <f>+J362+H363-I363</f>
        <v>111987.65000000005</v>
      </c>
    </row>
    <row r="364" spans="2:10" ht="25.5" x14ac:dyDescent="0.2">
      <c r="B364" s="94" t="s">
        <v>1527</v>
      </c>
      <c r="C364" s="94" t="s">
        <v>1528</v>
      </c>
      <c r="D364" s="95" t="s">
        <v>1529</v>
      </c>
      <c r="E364" s="151"/>
      <c r="F364" s="52" t="s">
        <v>1531</v>
      </c>
      <c r="G364" s="3" t="s">
        <v>3</v>
      </c>
      <c r="H364" s="96" t="s">
        <v>1532</v>
      </c>
      <c r="I364" s="96" t="s">
        <v>1533</v>
      </c>
      <c r="J364" s="96" t="s">
        <v>1534</v>
      </c>
    </row>
    <row r="365" spans="2:10" x14ac:dyDescent="0.2">
      <c r="B365" s="104"/>
      <c r="C365" s="104">
        <v>42187</v>
      </c>
      <c r="D365" s="105">
        <v>236</v>
      </c>
      <c r="E365" s="124" t="s">
        <v>1729</v>
      </c>
      <c r="F365" s="106" t="s">
        <v>1730</v>
      </c>
      <c r="G365" s="111"/>
      <c r="H365" s="93"/>
      <c r="I365" s="93">
        <v>30000</v>
      </c>
      <c r="J365" s="133">
        <f>+J363+H365-I365</f>
        <v>81987.650000000052</v>
      </c>
    </row>
    <row r="366" spans="2:10" x14ac:dyDescent="0.2">
      <c r="B366" s="104"/>
      <c r="C366" s="104">
        <v>42192</v>
      </c>
      <c r="D366" s="105">
        <v>5920</v>
      </c>
      <c r="E366" s="124" t="s">
        <v>1537</v>
      </c>
      <c r="F366" s="106" t="s">
        <v>1731</v>
      </c>
      <c r="G366" s="111" t="s">
        <v>211</v>
      </c>
      <c r="H366" s="93">
        <v>300</v>
      </c>
      <c r="I366" s="93"/>
      <c r="J366" s="133">
        <f>+J365+H366-I366</f>
        <v>82287.650000000052</v>
      </c>
    </row>
    <row r="367" spans="2:10" x14ac:dyDescent="0.2">
      <c r="B367" s="104"/>
      <c r="C367" s="104">
        <v>42192</v>
      </c>
      <c r="D367" s="105"/>
      <c r="E367" s="124" t="s">
        <v>1537</v>
      </c>
      <c r="F367" s="106" t="s">
        <v>1539</v>
      </c>
      <c r="G367" s="111" t="s">
        <v>1540</v>
      </c>
      <c r="H367" s="93">
        <v>0.46</v>
      </c>
      <c r="I367" s="93"/>
      <c r="J367" s="133">
        <f t="shared" ref="J367:J377" si="19">+J366+H367-I367</f>
        <v>82288.110000000059</v>
      </c>
    </row>
    <row r="368" spans="2:10" x14ac:dyDescent="0.2">
      <c r="B368" s="104"/>
      <c r="C368" s="104">
        <v>42194</v>
      </c>
      <c r="D368" s="105">
        <v>4795</v>
      </c>
      <c r="E368" s="124" t="s">
        <v>1541</v>
      </c>
      <c r="F368" s="106" t="s">
        <v>1732</v>
      </c>
      <c r="G368" s="111" t="s">
        <v>208</v>
      </c>
      <c r="H368" s="93">
        <v>400</v>
      </c>
      <c r="I368" s="93"/>
      <c r="J368" s="133">
        <f t="shared" si="19"/>
        <v>82688.110000000059</v>
      </c>
    </row>
    <row r="369" spans="2:10" x14ac:dyDescent="0.2">
      <c r="B369" s="104"/>
      <c r="C369" s="104">
        <v>42194</v>
      </c>
      <c r="D369" s="105"/>
      <c r="E369" s="124" t="s">
        <v>1541</v>
      </c>
      <c r="F369" s="106" t="s">
        <v>1539</v>
      </c>
      <c r="G369" s="111" t="s">
        <v>1540</v>
      </c>
      <c r="H369" s="93">
        <v>0.28999999999999998</v>
      </c>
      <c r="I369" s="93"/>
      <c r="J369" s="133">
        <f t="shared" si="19"/>
        <v>82688.400000000052</v>
      </c>
    </row>
    <row r="370" spans="2:10" x14ac:dyDescent="0.2">
      <c r="B370" s="104"/>
      <c r="C370" s="104">
        <v>42201</v>
      </c>
      <c r="D370" s="105">
        <v>237</v>
      </c>
      <c r="E370" s="124" t="s">
        <v>1729</v>
      </c>
      <c r="F370" s="106" t="s">
        <v>1730</v>
      </c>
      <c r="G370" s="111"/>
      <c r="H370" s="93"/>
      <c r="I370" s="93">
        <v>20000</v>
      </c>
      <c r="J370" s="133">
        <f t="shared" si="19"/>
        <v>62688.400000000052</v>
      </c>
    </row>
    <row r="371" spans="2:10" x14ac:dyDescent="0.2">
      <c r="B371" s="104"/>
      <c r="C371" s="104">
        <v>42202</v>
      </c>
      <c r="D371" s="105">
        <v>7346</v>
      </c>
      <c r="E371" s="124" t="s">
        <v>1707</v>
      </c>
      <c r="F371" s="106" t="s">
        <v>1733</v>
      </c>
      <c r="G371" s="111" t="s">
        <v>119</v>
      </c>
      <c r="H371" s="93">
        <v>1200</v>
      </c>
      <c r="I371" s="93"/>
      <c r="J371" s="133">
        <f t="shared" si="19"/>
        <v>63888.400000000052</v>
      </c>
    </row>
    <row r="372" spans="2:10" x14ac:dyDescent="0.2">
      <c r="B372" s="104"/>
      <c r="C372" s="104">
        <v>42202</v>
      </c>
      <c r="D372" s="105"/>
      <c r="E372" s="124" t="s">
        <v>1707</v>
      </c>
      <c r="F372" s="106" t="s">
        <v>1539</v>
      </c>
      <c r="G372" s="111" t="s">
        <v>1540</v>
      </c>
      <c r="H372" s="93">
        <v>0.25</v>
      </c>
      <c r="I372" s="93"/>
      <c r="J372" s="133">
        <f t="shared" si="19"/>
        <v>63888.650000000052</v>
      </c>
    </row>
    <row r="373" spans="2:10" x14ac:dyDescent="0.2">
      <c r="B373" s="104"/>
      <c r="C373" s="104">
        <v>42209</v>
      </c>
      <c r="D373" s="105">
        <v>238</v>
      </c>
      <c r="E373" s="124" t="s">
        <v>1729</v>
      </c>
      <c r="F373" s="106" t="s">
        <v>1730</v>
      </c>
      <c r="G373" s="111"/>
      <c r="H373" s="93"/>
      <c r="I373" s="93">
        <v>20000</v>
      </c>
      <c r="J373" s="133">
        <f t="shared" si="19"/>
        <v>43888.650000000052</v>
      </c>
    </row>
    <row r="374" spans="2:10" x14ac:dyDescent="0.2">
      <c r="B374" s="104"/>
      <c r="C374" s="104">
        <v>42216</v>
      </c>
      <c r="D374" s="105">
        <v>239</v>
      </c>
      <c r="E374" s="124" t="s">
        <v>1729</v>
      </c>
      <c r="F374" s="106" t="s">
        <v>1730</v>
      </c>
      <c r="G374" s="111"/>
      <c r="H374" s="93"/>
      <c r="I374" s="93">
        <v>20000</v>
      </c>
      <c r="J374" s="133">
        <f t="shared" si="19"/>
        <v>23888.650000000052</v>
      </c>
    </row>
    <row r="375" spans="2:10" x14ac:dyDescent="0.2">
      <c r="B375" s="104"/>
      <c r="C375" s="104">
        <v>42216</v>
      </c>
      <c r="D375" s="105">
        <v>621</v>
      </c>
      <c r="E375" s="124" t="s">
        <v>1716</v>
      </c>
      <c r="F375" s="106" t="s">
        <v>1734</v>
      </c>
      <c r="G375" s="111" t="s">
        <v>401</v>
      </c>
      <c r="H375" s="93">
        <v>800</v>
      </c>
      <c r="I375" s="93"/>
      <c r="J375" s="133">
        <f t="shared" si="19"/>
        <v>24688.650000000052</v>
      </c>
    </row>
    <row r="376" spans="2:10" x14ac:dyDescent="0.2">
      <c r="B376" s="104"/>
      <c r="C376" s="104">
        <v>42216</v>
      </c>
      <c r="D376" s="105"/>
      <c r="E376" s="124" t="s">
        <v>1606</v>
      </c>
      <c r="F376" s="106" t="s">
        <v>1727</v>
      </c>
      <c r="G376" s="111" t="s">
        <v>1540</v>
      </c>
      <c r="H376" s="93"/>
      <c r="I376" s="93">
        <v>56</v>
      </c>
      <c r="J376" s="133">
        <f t="shared" si="19"/>
        <v>24632.650000000052</v>
      </c>
    </row>
    <row r="377" spans="2:10" x14ac:dyDescent="0.2">
      <c r="B377" s="104"/>
      <c r="C377" s="104">
        <v>42216</v>
      </c>
      <c r="D377" s="105"/>
      <c r="E377" s="124" t="s">
        <v>1606</v>
      </c>
      <c r="F377" s="106" t="s">
        <v>1735</v>
      </c>
      <c r="G377" s="111" t="s">
        <v>1546</v>
      </c>
      <c r="H377" s="93"/>
      <c r="I377" s="93">
        <v>8.9600000000000009</v>
      </c>
      <c r="J377" s="133">
        <f t="shared" si="19"/>
        <v>24623.690000000053</v>
      </c>
    </row>
    <row r="378" spans="2:10" ht="25.5" x14ac:dyDescent="0.2">
      <c r="B378" s="94" t="s">
        <v>1527</v>
      </c>
      <c r="C378" s="94" t="s">
        <v>1528</v>
      </c>
      <c r="D378" s="95" t="s">
        <v>1529</v>
      </c>
      <c r="E378" s="151"/>
      <c r="F378" s="52" t="s">
        <v>1531</v>
      </c>
      <c r="G378" s="3" t="s">
        <v>3</v>
      </c>
      <c r="H378" s="96" t="s">
        <v>1532</v>
      </c>
      <c r="I378" s="96" t="s">
        <v>1533</v>
      </c>
      <c r="J378" s="96" t="s">
        <v>1534</v>
      </c>
    </row>
    <row r="379" spans="2:10" x14ac:dyDescent="0.2">
      <c r="B379" s="104"/>
      <c r="C379" s="104">
        <v>42223</v>
      </c>
      <c r="D379" s="105">
        <v>4795</v>
      </c>
      <c r="E379" s="124" t="s">
        <v>1541</v>
      </c>
      <c r="F379" s="106" t="s">
        <v>1736</v>
      </c>
      <c r="G379" s="111" t="s">
        <v>208</v>
      </c>
      <c r="H379" s="93">
        <v>400</v>
      </c>
      <c r="I379" s="93"/>
      <c r="J379" s="133">
        <f>+J377+H379-I379</f>
        <v>25023.690000000053</v>
      </c>
    </row>
    <row r="380" spans="2:10" x14ac:dyDescent="0.2">
      <c r="B380" s="104"/>
      <c r="C380" s="104">
        <v>42223</v>
      </c>
      <c r="D380" s="105"/>
      <c r="E380" s="124" t="s">
        <v>1541</v>
      </c>
      <c r="F380" s="106" t="s">
        <v>1539</v>
      </c>
      <c r="G380" s="111" t="s">
        <v>1540</v>
      </c>
      <c r="H380" s="93">
        <v>0.28999999999999998</v>
      </c>
      <c r="I380" s="93"/>
      <c r="J380" s="133">
        <f t="shared" ref="J380:J432" si="20">+J379+H380-I380</f>
        <v>25023.980000000054</v>
      </c>
    </row>
    <row r="381" spans="2:10" x14ac:dyDescent="0.2">
      <c r="B381" s="104"/>
      <c r="C381" s="104">
        <v>42235</v>
      </c>
      <c r="D381" s="105">
        <v>9585</v>
      </c>
      <c r="E381" s="124" t="s">
        <v>1537</v>
      </c>
      <c r="F381" s="106" t="s">
        <v>1736</v>
      </c>
      <c r="G381" s="111" t="s">
        <v>211</v>
      </c>
      <c r="H381" s="93">
        <v>300</v>
      </c>
      <c r="I381" s="93"/>
      <c r="J381" s="133">
        <f t="shared" si="20"/>
        <v>25323.980000000054</v>
      </c>
    </row>
    <row r="382" spans="2:10" x14ac:dyDescent="0.2">
      <c r="B382" s="104"/>
      <c r="C382" s="104">
        <v>42235</v>
      </c>
      <c r="D382" s="105"/>
      <c r="E382" s="124" t="s">
        <v>1537</v>
      </c>
      <c r="F382" s="106" t="s">
        <v>1539</v>
      </c>
      <c r="G382" s="111" t="s">
        <v>1540</v>
      </c>
      <c r="H382" s="93">
        <v>0.46</v>
      </c>
      <c r="I382" s="93"/>
      <c r="J382" s="133">
        <f t="shared" si="20"/>
        <v>25324.440000000053</v>
      </c>
    </row>
    <row r="383" spans="2:10" x14ac:dyDescent="0.2">
      <c r="B383" s="104"/>
      <c r="C383" s="104">
        <v>42235</v>
      </c>
      <c r="D383" s="105">
        <v>3409</v>
      </c>
      <c r="E383" s="124" t="s">
        <v>197</v>
      </c>
      <c r="F383" s="106" t="s">
        <v>1737</v>
      </c>
      <c r="G383" s="111" t="s">
        <v>195</v>
      </c>
      <c r="H383" s="93">
        <v>1200</v>
      </c>
      <c r="I383" s="93"/>
      <c r="J383" s="133">
        <f t="shared" si="20"/>
        <v>26524.440000000053</v>
      </c>
    </row>
    <row r="384" spans="2:10" x14ac:dyDescent="0.2">
      <c r="B384" s="104"/>
      <c r="C384" s="104">
        <v>42235</v>
      </c>
      <c r="D384" s="105">
        <v>7898</v>
      </c>
      <c r="E384" s="124" t="s">
        <v>805</v>
      </c>
      <c r="F384" s="106" t="s">
        <v>1738</v>
      </c>
      <c r="G384" s="111" t="s">
        <v>806</v>
      </c>
      <c r="H384" s="93">
        <v>11000</v>
      </c>
      <c r="I384" s="93"/>
      <c r="J384" s="133">
        <f t="shared" si="20"/>
        <v>37524.440000000053</v>
      </c>
    </row>
    <row r="385" spans="2:10" x14ac:dyDescent="0.2">
      <c r="B385" s="104"/>
      <c r="C385" s="104">
        <v>42235</v>
      </c>
      <c r="D385" s="105"/>
      <c r="E385" s="124" t="s">
        <v>805</v>
      </c>
      <c r="F385" s="106" t="s">
        <v>1605</v>
      </c>
      <c r="G385" s="111" t="s">
        <v>1540</v>
      </c>
      <c r="H385" s="93">
        <v>1760</v>
      </c>
      <c r="I385" s="93"/>
      <c r="J385" s="133">
        <f t="shared" si="20"/>
        <v>39284.440000000053</v>
      </c>
    </row>
    <row r="386" spans="2:10" x14ac:dyDescent="0.2">
      <c r="B386" s="104"/>
      <c r="C386" s="104">
        <v>42245</v>
      </c>
      <c r="D386" s="105">
        <v>4052</v>
      </c>
      <c r="E386" s="124" t="s">
        <v>1550</v>
      </c>
      <c r="F386" s="106" t="s">
        <v>1739</v>
      </c>
      <c r="G386" s="111" t="s">
        <v>571</v>
      </c>
      <c r="H386" s="93">
        <v>600</v>
      </c>
      <c r="I386" s="93"/>
      <c r="J386" s="133">
        <f t="shared" si="20"/>
        <v>39884.440000000053</v>
      </c>
    </row>
    <row r="387" spans="2:10" x14ac:dyDescent="0.2">
      <c r="B387" s="104"/>
      <c r="C387" s="104">
        <v>42245</v>
      </c>
      <c r="D387" s="105"/>
      <c r="E387" s="124" t="s">
        <v>1550</v>
      </c>
      <c r="F387" s="106" t="s">
        <v>1539</v>
      </c>
      <c r="G387" s="111" t="s">
        <v>1540</v>
      </c>
      <c r="H387" s="93">
        <v>0.15</v>
      </c>
      <c r="I387" s="93"/>
      <c r="J387" s="133">
        <f t="shared" si="20"/>
        <v>39884.590000000055</v>
      </c>
    </row>
    <row r="388" spans="2:10" x14ac:dyDescent="0.2">
      <c r="B388" s="104"/>
      <c r="C388" s="104">
        <v>42247</v>
      </c>
      <c r="D388" s="105">
        <v>1247</v>
      </c>
      <c r="E388" s="141"/>
      <c r="F388" s="170"/>
      <c r="G388" s="118"/>
      <c r="H388" s="93">
        <v>400</v>
      </c>
      <c r="I388" s="93"/>
      <c r="J388" s="133">
        <f t="shared" si="20"/>
        <v>40284.590000000055</v>
      </c>
    </row>
    <row r="389" spans="2:10" ht="26.25" customHeight="1" x14ac:dyDescent="0.2">
      <c r="B389" s="94" t="s">
        <v>1527</v>
      </c>
      <c r="C389" s="94" t="s">
        <v>1528</v>
      </c>
      <c r="D389" s="95" t="s">
        <v>1529</v>
      </c>
      <c r="E389" s="151"/>
      <c r="F389" s="52" t="s">
        <v>1531</v>
      </c>
      <c r="G389" s="3" t="s">
        <v>3</v>
      </c>
      <c r="H389" s="96" t="s">
        <v>1532</v>
      </c>
      <c r="I389" s="96" t="s">
        <v>1533</v>
      </c>
      <c r="J389" s="96" t="s">
        <v>1534</v>
      </c>
    </row>
    <row r="390" spans="2:10" x14ac:dyDescent="0.2">
      <c r="B390" s="104"/>
      <c r="C390" s="104">
        <v>42251</v>
      </c>
      <c r="D390" s="105">
        <v>3521</v>
      </c>
      <c r="E390" s="124" t="s">
        <v>1707</v>
      </c>
      <c r="F390" s="106" t="s">
        <v>1740</v>
      </c>
      <c r="G390" s="111" t="s">
        <v>119</v>
      </c>
      <c r="H390" s="93">
        <v>800</v>
      </c>
      <c r="I390" s="93"/>
      <c r="J390" s="133">
        <f>+J388+H390-I390</f>
        <v>41084.590000000055</v>
      </c>
    </row>
    <row r="391" spans="2:10" x14ac:dyDescent="0.2">
      <c r="B391" s="104"/>
      <c r="C391" s="104">
        <v>42251</v>
      </c>
      <c r="D391" s="105"/>
      <c r="E391" s="124" t="s">
        <v>1707</v>
      </c>
      <c r="F391" s="106" t="s">
        <v>1539</v>
      </c>
      <c r="G391" s="111" t="s">
        <v>1540</v>
      </c>
      <c r="H391" s="93">
        <v>0.25</v>
      </c>
      <c r="I391" s="93"/>
      <c r="J391" s="133">
        <f t="shared" si="20"/>
        <v>41084.840000000055</v>
      </c>
    </row>
    <row r="392" spans="2:10" x14ac:dyDescent="0.2">
      <c r="B392" s="104"/>
      <c r="C392" s="104">
        <v>42256</v>
      </c>
      <c r="D392" s="105">
        <v>5359</v>
      </c>
      <c r="E392" s="124" t="s">
        <v>1537</v>
      </c>
      <c r="F392" s="106" t="s">
        <v>1741</v>
      </c>
      <c r="G392" s="111" t="s">
        <v>211</v>
      </c>
      <c r="H392" s="93">
        <v>300</v>
      </c>
      <c r="I392" s="93"/>
      <c r="J392" s="133">
        <f t="shared" si="20"/>
        <v>41384.840000000055</v>
      </c>
    </row>
    <row r="393" spans="2:10" x14ac:dyDescent="0.2">
      <c r="B393" s="104"/>
      <c r="C393" s="104">
        <v>42256</v>
      </c>
      <c r="D393" s="105"/>
      <c r="E393" s="124" t="s">
        <v>1537</v>
      </c>
      <c r="F393" s="106" t="s">
        <v>1539</v>
      </c>
      <c r="G393" s="111" t="s">
        <v>1540</v>
      </c>
      <c r="H393" s="93">
        <v>0.46</v>
      </c>
      <c r="I393" s="93"/>
      <c r="J393" s="133">
        <f t="shared" si="20"/>
        <v>41385.300000000054</v>
      </c>
    </row>
    <row r="394" spans="2:10" x14ac:dyDescent="0.2">
      <c r="B394" s="104"/>
      <c r="C394" s="104">
        <v>42256</v>
      </c>
      <c r="D394" s="105">
        <v>4795</v>
      </c>
      <c r="E394" s="141" t="s">
        <v>1541</v>
      </c>
      <c r="F394" s="170" t="s">
        <v>1742</v>
      </c>
      <c r="G394" s="118" t="s">
        <v>208</v>
      </c>
      <c r="H394" s="93">
        <v>400</v>
      </c>
      <c r="I394" s="93"/>
      <c r="J394" s="133">
        <f t="shared" si="20"/>
        <v>41785.300000000054</v>
      </c>
    </row>
    <row r="395" spans="2:10" x14ac:dyDescent="0.2">
      <c r="B395" s="104"/>
      <c r="C395" s="104">
        <v>42261</v>
      </c>
      <c r="D395" s="105">
        <v>7914</v>
      </c>
      <c r="E395" s="124" t="s">
        <v>805</v>
      </c>
      <c r="F395" s="106" t="s">
        <v>1743</v>
      </c>
      <c r="G395" s="111" t="s">
        <v>806</v>
      </c>
      <c r="H395" s="93">
        <v>11000</v>
      </c>
      <c r="I395" s="93"/>
      <c r="J395" s="133">
        <f t="shared" si="20"/>
        <v>52785.300000000054</v>
      </c>
    </row>
    <row r="396" spans="2:10" x14ac:dyDescent="0.2">
      <c r="B396" s="104"/>
      <c r="C396" s="104">
        <v>42261</v>
      </c>
      <c r="D396" s="105"/>
      <c r="E396" s="124" t="s">
        <v>805</v>
      </c>
      <c r="F396" s="106" t="s">
        <v>1605</v>
      </c>
      <c r="G396" s="111" t="s">
        <v>1540</v>
      </c>
      <c r="H396" s="93">
        <v>1760</v>
      </c>
      <c r="I396" s="93"/>
      <c r="J396" s="133">
        <f t="shared" si="20"/>
        <v>54545.300000000054</v>
      </c>
    </row>
    <row r="397" spans="2:10" x14ac:dyDescent="0.2">
      <c r="B397" s="104"/>
      <c r="C397" s="104">
        <v>42262</v>
      </c>
      <c r="D397" s="105">
        <v>240</v>
      </c>
      <c r="E397" s="124"/>
      <c r="F397" s="106"/>
      <c r="G397" s="111"/>
      <c r="H397" s="93"/>
      <c r="I397" s="93">
        <v>10000</v>
      </c>
      <c r="J397" s="133">
        <f t="shared" si="20"/>
        <v>44545.300000000054</v>
      </c>
    </row>
    <row r="398" spans="2:10" x14ac:dyDescent="0.2">
      <c r="B398" s="104"/>
      <c r="C398" s="104">
        <v>42275</v>
      </c>
      <c r="D398" s="105">
        <v>2</v>
      </c>
      <c r="E398" s="124" t="s">
        <v>1550</v>
      </c>
      <c r="F398" s="106" t="s">
        <v>1744</v>
      </c>
      <c r="G398" s="111" t="s">
        <v>571</v>
      </c>
      <c r="H398" s="93">
        <v>600</v>
      </c>
      <c r="I398" s="93"/>
      <c r="J398" s="133">
        <f t="shared" si="20"/>
        <v>45145.300000000054</v>
      </c>
    </row>
    <row r="399" spans="2:10" x14ac:dyDescent="0.2">
      <c r="B399" s="104"/>
      <c r="C399" s="104">
        <v>42275</v>
      </c>
      <c r="D399" s="105">
        <v>7154</v>
      </c>
      <c r="E399" s="124" t="s">
        <v>1550</v>
      </c>
      <c r="F399" s="106" t="s">
        <v>1539</v>
      </c>
      <c r="G399" s="111" t="s">
        <v>1540</v>
      </c>
      <c r="H399" s="93">
        <v>0.15</v>
      </c>
      <c r="I399" s="93"/>
      <c r="J399" s="133">
        <f t="shared" si="20"/>
        <v>45145.450000000055</v>
      </c>
    </row>
    <row r="400" spans="2:10" x14ac:dyDescent="0.2">
      <c r="B400" s="104"/>
      <c r="C400" s="104">
        <v>42276</v>
      </c>
      <c r="D400" s="105">
        <v>3399</v>
      </c>
      <c r="E400" s="124" t="s">
        <v>1694</v>
      </c>
      <c r="F400" s="106" t="s">
        <v>1745</v>
      </c>
      <c r="G400" s="111" t="s">
        <v>380</v>
      </c>
      <c r="H400" s="93">
        <v>1200</v>
      </c>
      <c r="I400" s="93"/>
      <c r="J400" s="133">
        <f t="shared" si="20"/>
        <v>46345.450000000055</v>
      </c>
    </row>
    <row r="401" spans="2:10" x14ac:dyDescent="0.2">
      <c r="B401" s="104"/>
      <c r="C401" s="104">
        <v>42276</v>
      </c>
      <c r="D401" s="105">
        <v>7931</v>
      </c>
      <c r="E401" s="124" t="s">
        <v>805</v>
      </c>
      <c r="F401" s="106" t="s">
        <v>1746</v>
      </c>
      <c r="G401" s="111" t="s">
        <v>806</v>
      </c>
      <c r="H401" s="93">
        <v>11000</v>
      </c>
      <c r="I401" s="93"/>
      <c r="J401" s="133">
        <f t="shared" si="20"/>
        <v>57345.450000000055</v>
      </c>
    </row>
    <row r="402" spans="2:10" x14ac:dyDescent="0.2">
      <c r="B402" s="104"/>
      <c r="C402" s="104">
        <v>42276</v>
      </c>
      <c r="D402" s="105"/>
      <c r="E402" s="124" t="s">
        <v>805</v>
      </c>
      <c r="F402" s="106" t="s">
        <v>1605</v>
      </c>
      <c r="G402" s="111" t="s">
        <v>1540</v>
      </c>
      <c r="H402" s="93">
        <v>1760</v>
      </c>
      <c r="I402" s="93"/>
      <c r="J402" s="133">
        <f t="shared" si="20"/>
        <v>59105.450000000055</v>
      </c>
    </row>
    <row r="403" spans="2:10" x14ac:dyDescent="0.2">
      <c r="B403" s="104"/>
      <c r="C403" s="104">
        <v>42276</v>
      </c>
      <c r="D403" s="105"/>
      <c r="E403" s="106" t="s">
        <v>1747</v>
      </c>
      <c r="F403" s="106" t="s">
        <v>1748</v>
      </c>
      <c r="G403" s="111"/>
      <c r="H403" s="93"/>
      <c r="I403" s="93">
        <v>10000</v>
      </c>
      <c r="J403" s="133">
        <f t="shared" si="20"/>
        <v>49105.450000000055</v>
      </c>
    </row>
    <row r="404" spans="2:10" x14ac:dyDescent="0.2">
      <c r="B404" s="104"/>
      <c r="C404" s="104">
        <v>42277</v>
      </c>
      <c r="D404" s="105"/>
      <c r="E404" s="106" t="s">
        <v>1606</v>
      </c>
      <c r="F404" s="106" t="s">
        <v>1749</v>
      </c>
      <c r="G404" s="111" t="s">
        <v>1540</v>
      </c>
      <c r="H404" s="93"/>
      <c r="I404" s="93">
        <v>28</v>
      </c>
      <c r="J404" s="133">
        <f t="shared" si="20"/>
        <v>49077.450000000055</v>
      </c>
    </row>
    <row r="405" spans="2:10" x14ac:dyDescent="0.2">
      <c r="B405" s="104"/>
      <c r="C405" s="104">
        <v>42277</v>
      </c>
      <c r="D405" s="105"/>
      <c r="E405" s="106" t="s">
        <v>1606</v>
      </c>
      <c r="F405" s="106" t="s">
        <v>1735</v>
      </c>
      <c r="G405" s="111" t="s">
        <v>1546</v>
      </c>
      <c r="H405" s="93"/>
      <c r="I405" s="93">
        <v>4.4800000000000004</v>
      </c>
      <c r="J405" s="133">
        <f t="shared" si="20"/>
        <v>49072.970000000052</v>
      </c>
    </row>
    <row r="406" spans="2:10" ht="27" customHeight="1" x14ac:dyDescent="0.2">
      <c r="B406" s="94" t="s">
        <v>1527</v>
      </c>
      <c r="C406" s="94" t="s">
        <v>1528</v>
      </c>
      <c r="D406" s="95" t="s">
        <v>1529</v>
      </c>
      <c r="E406" s="151"/>
      <c r="F406" s="52" t="s">
        <v>1531</v>
      </c>
      <c r="G406" s="3" t="s">
        <v>3</v>
      </c>
      <c r="H406" s="96" t="s">
        <v>1532</v>
      </c>
      <c r="I406" s="96" t="s">
        <v>1533</v>
      </c>
      <c r="J406" s="96" t="s">
        <v>1534</v>
      </c>
    </row>
    <row r="407" spans="2:10" x14ac:dyDescent="0.2">
      <c r="B407" s="104"/>
      <c r="C407" s="104">
        <v>42282</v>
      </c>
      <c r="D407" s="105">
        <v>4795</v>
      </c>
      <c r="E407" s="106" t="s">
        <v>1541</v>
      </c>
      <c r="F407" s="106" t="s">
        <v>1746</v>
      </c>
      <c r="G407" s="111" t="s">
        <v>208</v>
      </c>
      <c r="H407" s="93">
        <v>400</v>
      </c>
      <c r="I407" s="93"/>
      <c r="J407" s="133">
        <f>+J405+H407-I407</f>
        <v>49472.970000000052</v>
      </c>
    </row>
    <row r="408" spans="2:10" x14ac:dyDescent="0.2">
      <c r="B408" s="104"/>
      <c r="C408" s="104">
        <v>42282</v>
      </c>
      <c r="D408" s="105"/>
      <c r="E408" s="106" t="s">
        <v>1541</v>
      </c>
      <c r="F408" s="106" t="s">
        <v>1539</v>
      </c>
      <c r="G408" s="111" t="s">
        <v>1540</v>
      </c>
      <c r="H408" s="93">
        <v>0.28999999999999998</v>
      </c>
      <c r="I408" s="93"/>
      <c r="J408" s="133">
        <f t="shared" si="20"/>
        <v>49473.260000000053</v>
      </c>
    </row>
    <row r="409" spans="2:10" x14ac:dyDescent="0.2">
      <c r="B409" s="104"/>
      <c r="C409" s="104">
        <v>42283</v>
      </c>
      <c r="D409" s="105">
        <v>5582</v>
      </c>
      <c r="E409" s="106" t="s">
        <v>1537</v>
      </c>
      <c r="F409" s="106" t="s">
        <v>1750</v>
      </c>
      <c r="G409" s="111" t="s">
        <v>211</v>
      </c>
      <c r="H409" s="93">
        <v>300</v>
      </c>
      <c r="I409" s="93"/>
      <c r="J409" s="133">
        <f t="shared" si="20"/>
        <v>49773.260000000053</v>
      </c>
    </row>
    <row r="410" spans="2:10" x14ac:dyDescent="0.2">
      <c r="B410" s="104"/>
      <c r="C410" s="104">
        <v>42283</v>
      </c>
      <c r="D410" s="105"/>
      <c r="E410" s="106" t="s">
        <v>1537</v>
      </c>
      <c r="F410" s="106" t="s">
        <v>1539</v>
      </c>
      <c r="G410" s="111" t="s">
        <v>1540</v>
      </c>
      <c r="H410" s="93">
        <v>0.46</v>
      </c>
      <c r="I410" s="93"/>
      <c r="J410" s="133">
        <f t="shared" si="20"/>
        <v>49773.720000000052</v>
      </c>
    </row>
    <row r="411" spans="2:10" x14ac:dyDescent="0.2">
      <c r="B411" s="104"/>
      <c r="C411" s="104">
        <v>42286</v>
      </c>
      <c r="D411" s="105">
        <v>4795</v>
      </c>
      <c r="E411" s="106" t="s">
        <v>1541</v>
      </c>
      <c r="F411" s="106" t="s">
        <v>1751</v>
      </c>
      <c r="G411" s="111" t="s">
        <v>208</v>
      </c>
      <c r="H411" s="93">
        <v>400</v>
      </c>
      <c r="I411" s="93"/>
      <c r="J411" s="133">
        <f t="shared" si="20"/>
        <v>50173.720000000052</v>
      </c>
    </row>
    <row r="412" spans="2:10" x14ac:dyDescent="0.2">
      <c r="B412" s="104"/>
      <c r="C412" s="104">
        <v>42286</v>
      </c>
      <c r="D412" s="105"/>
      <c r="E412" s="106" t="s">
        <v>1541</v>
      </c>
      <c r="F412" s="106" t="s">
        <v>1539</v>
      </c>
      <c r="G412" s="111" t="s">
        <v>1540</v>
      </c>
      <c r="H412" s="93">
        <v>0.28999999999999998</v>
      </c>
      <c r="I412" s="93"/>
      <c r="J412" s="133">
        <f t="shared" si="20"/>
        <v>50174.010000000053</v>
      </c>
    </row>
    <row r="413" spans="2:10" x14ac:dyDescent="0.2">
      <c r="B413" s="104"/>
      <c r="C413" s="104">
        <v>42290</v>
      </c>
      <c r="D413" s="105">
        <v>6481</v>
      </c>
      <c r="E413" s="106" t="s">
        <v>1716</v>
      </c>
      <c r="F413" s="106" t="s">
        <v>1752</v>
      </c>
      <c r="G413" s="111" t="s">
        <v>1753</v>
      </c>
      <c r="H413" s="93">
        <v>1200</v>
      </c>
      <c r="I413" s="93"/>
      <c r="J413" s="133">
        <f t="shared" si="20"/>
        <v>51374.010000000053</v>
      </c>
    </row>
    <row r="414" spans="2:10" x14ac:dyDescent="0.2">
      <c r="B414" s="104"/>
      <c r="C414" s="104">
        <v>42291</v>
      </c>
      <c r="D414" s="105">
        <v>7957</v>
      </c>
      <c r="E414" s="106" t="s">
        <v>805</v>
      </c>
      <c r="F414" s="106" t="s">
        <v>1754</v>
      </c>
      <c r="G414" s="111" t="s">
        <v>806</v>
      </c>
      <c r="H414" s="93">
        <v>11000</v>
      </c>
      <c r="I414" s="93"/>
      <c r="J414" s="133">
        <f t="shared" si="20"/>
        <v>62374.010000000053</v>
      </c>
    </row>
    <row r="415" spans="2:10" x14ac:dyDescent="0.2">
      <c r="B415" s="104"/>
      <c r="C415" s="104">
        <v>42296</v>
      </c>
      <c r="D415" s="105"/>
      <c r="E415" s="106" t="s">
        <v>805</v>
      </c>
      <c r="F415" s="106" t="s">
        <v>1605</v>
      </c>
      <c r="G415" s="111" t="s">
        <v>1540</v>
      </c>
      <c r="H415" s="93">
        <v>1760</v>
      </c>
      <c r="I415" s="93"/>
      <c r="J415" s="133">
        <f t="shared" si="20"/>
        <v>64134.010000000053</v>
      </c>
    </row>
    <row r="416" spans="2:10" x14ac:dyDescent="0.2">
      <c r="B416" s="104"/>
      <c r="C416" s="104">
        <v>42296</v>
      </c>
      <c r="D416" s="105">
        <v>242</v>
      </c>
      <c r="E416" s="106" t="s">
        <v>1747</v>
      </c>
      <c r="F416" s="106" t="s">
        <v>1755</v>
      </c>
      <c r="G416" s="111"/>
      <c r="H416" s="93"/>
      <c r="I416" s="93">
        <v>20000</v>
      </c>
      <c r="J416" s="133">
        <f t="shared" si="20"/>
        <v>44134.010000000053</v>
      </c>
    </row>
    <row r="417" spans="2:10" x14ac:dyDescent="0.2">
      <c r="B417" s="104"/>
      <c r="C417" s="104">
        <v>42307</v>
      </c>
      <c r="D417" s="105"/>
      <c r="E417" s="106" t="s">
        <v>1606</v>
      </c>
      <c r="F417" s="106" t="s">
        <v>1749</v>
      </c>
      <c r="G417" s="111" t="s">
        <v>1540</v>
      </c>
      <c r="H417" s="93"/>
      <c r="I417" s="93">
        <v>14</v>
      </c>
      <c r="J417" s="133">
        <f t="shared" si="20"/>
        <v>44120.010000000053</v>
      </c>
    </row>
    <row r="418" spans="2:10" x14ac:dyDescent="0.2">
      <c r="B418" s="104"/>
      <c r="C418" s="104">
        <v>42307</v>
      </c>
      <c r="D418" s="105"/>
      <c r="E418" s="106" t="s">
        <v>1606</v>
      </c>
      <c r="F418" s="106" t="s">
        <v>1735</v>
      </c>
      <c r="G418" s="111" t="s">
        <v>1546</v>
      </c>
      <c r="H418" s="93"/>
      <c r="I418" s="93">
        <v>2.2400000000000002</v>
      </c>
      <c r="J418" s="133">
        <f t="shared" si="20"/>
        <v>44117.770000000055</v>
      </c>
    </row>
    <row r="419" spans="2:10" ht="25.5" x14ac:dyDescent="0.2">
      <c r="B419" s="94" t="s">
        <v>1527</v>
      </c>
      <c r="C419" s="94" t="s">
        <v>1528</v>
      </c>
      <c r="D419" s="95" t="s">
        <v>1529</v>
      </c>
      <c r="E419" s="151"/>
      <c r="F419" s="52" t="s">
        <v>1531</v>
      </c>
      <c r="G419" s="3" t="s">
        <v>3</v>
      </c>
      <c r="H419" s="96" t="s">
        <v>1532</v>
      </c>
      <c r="I419" s="96" t="s">
        <v>1533</v>
      </c>
      <c r="J419" s="96" t="s">
        <v>1534</v>
      </c>
    </row>
    <row r="420" spans="2:10" x14ac:dyDescent="0.2">
      <c r="B420" s="104"/>
      <c r="C420" s="104">
        <v>42312</v>
      </c>
      <c r="D420" s="105">
        <v>330</v>
      </c>
      <c r="E420" s="106" t="s">
        <v>1550</v>
      </c>
      <c r="F420" s="106" t="s">
        <v>1756</v>
      </c>
      <c r="G420" s="111" t="s">
        <v>571</v>
      </c>
      <c r="H420" s="93">
        <v>200</v>
      </c>
      <c r="I420" s="93"/>
      <c r="J420" s="133">
        <f>+J418+H420-I420</f>
        <v>44317.770000000055</v>
      </c>
    </row>
    <row r="421" spans="2:10" x14ac:dyDescent="0.2">
      <c r="B421" s="104"/>
      <c r="C421" s="104">
        <v>42312</v>
      </c>
      <c r="D421" s="105"/>
      <c r="E421" s="106" t="s">
        <v>1550</v>
      </c>
      <c r="F421" s="106" t="s">
        <v>1539</v>
      </c>
      <c r="G421" s="111" t="s">
        <v>1540</v>
      </c>
      <c r="H421" s="93">
        <v>0.15</v>
      </c>
      <c r="I421" s="93"/>
      <c r="J421" s="133">
        <f t="shared" si="20"/>
        <v>44317.920000000056</v>
      </c>
    </row>
    <row r="422" spans="2:10" x14ac:dyDescent="0.2">
      <c r="B422" s="104"/>
      <c r="C422" s="104">
        <v>42314</v>
      </c>
      <c r="D422" s="105">
        <v>7196</v>
      </c>
      <c r="E422" s="106" t="s">
        <v>1757</v>
      </c>
      <c r="F422" s="106" t="s">
        <v>1758</v>
      </c>
      <c r="G422" s="111" t="s">
        <v>734</v>
      </c>
      <c r="H422" s="93">
        <v>4560</v>
      </c>
      <c r="I422" s="93"/>
      <c r="J422" s="133">
        <f t="shared" si="20"/>
        <v>48877.920000000056</v>
      </c>
    </row>
    <row r="423" spans="2:10" x14ac:dyDescent="0.2">
      <c r="B423" s="104"/>
      <c r="C423" s="104">
        <v>42317</v>
      </c>
      <c r="D423" s="105"/>
      <c r="E423" s="106" t="s">
        <v>1759</v>
      </c>
      <c r="F423" s="106" t="s">
        <v>1760</v>
      </c>
      <c r="G423" s="111" t="s">
        <v>208</v>
      </c>
      <c r="H423" s="93">
        <v>400</v>
      </c>
      <c r="I423" s="93"/>
      <c r="J423" s="133">
        <f t="shared" si="20"/>
        <v>49277.920000000056</v>
      </c>
    </row>
    <row r="424" spans="2:10" x14ac:dyDescent="0.2">
      <c r="B424" s="104"/>
      <c r="C424" s="104">
        <v>42317</v>
      </c>
      <c r="D424" s="105"/>
      <c r="E424" s="106" t="s">
        <v>1759</v>
      </c>
      <c r="F424" s="106" t="s">
        <v>1539</v>
      </c>
      <c r="G424" s="111" t="s">
        <v>1540</v>
      </c>
      <c r="H424" s="93">
        <v>0.28999999999999998</v>
      </c>
      <c r="I424" s="93"/>
      <c r="J424" s="133">
        <f t="shared" si="20"/>
        <v>49278.210000000057</v>
      </c>
    </row>
    <row r="425" spans="2:10" x14ac:dyDescent="0.2">
      <c r="B425" s="104"/>
      <c r="C425" s="104">
        <v>42328</v>
      </c>
      <c r="D425" s="105">
        <v>1115</v>
      </c>
      <c r="E425" s="106" t="s">
        <v>1537</v>
      </c>
      <c r="F425" s="106" t="s">
        <v>1760</v>
      </c>
      <c r="G425" s="111" t="s">
        <v>211</v>
      </c>
      <c r="H425" s="93">
        <v>300</v>
      </c>
      <c r="I425" s="93"/>
      <c r="J425" s="133">
        <f t="shared" si="20"/>
        <v>49578.210000000057</v>
      </c>
    </row>
    <row r="426" spans="2:10" x14ac:dyDescent="0.2">
      <c r="B426" s="104"/>
      <c r="C426" s="104">
        <v>42328</v>
      </c>
      <c r="D426" s="105"/>
      <c r="E426" s="106" t="s">
        <v>1537</v>
      </c>
      <c r="F426" s="106" t="s">
        <v>1539</v>
      </c>
      <c r="G426" s="111" t="s">
        <v>1540</v>
      </c>
      <c r="H426" s="93">
        <v>0.46</v>
      </c>
      <c r="I426" s="93"/>
      <c r="J426" s="133">
        <f t="shared" si="20"/>
        <v>49578.670000000056</v>
      </c>
    </row>
    <row r="427" spans="2:10" x14ac:dyDescent="0.2">
      <c r="B427" s="104"/>
      <c r="C427" s="104">
        <v>42332</v>
      </c>
      <c r="D427" s="105">
        <v>7979</v>
      </c>
      <c r="E427" s="106" t="s">
        <v>805</v>
      </c>
      <c r="F427" s="106" t="s">
        <v>1761</v>
      </c>
      <c r="G427" s="111" t="s">
        <v>806</v>
      </c>
      <c r="H427" s="93">
        <v>11000</v>
      </c>
      <c r="I427" s="93"/>
      <c r="J427" s="133">
        <f t="shared" si="20"/>
        <v>60578.670000000056</v>
      </c>
    </row>
    <row r="428" spans="2:10" x14ac:dyDescent="0.2">
      <c r="B428" s="104"/>
      <c r="C428" s="104">
        <v>42332</v>
      </c>
      <c r="D428" s="105"/>
      <c r="E428" s="106" t="s">
        <v>805</v>
      </c>
      <c r="F428" s="106" t="s">
        <v>1605</v>
      </c>
      <c r="G428" s="111" t="s">
        <v>1540</v>
      </c>
      <c r="H428" s="93">
        <v>1760</v>
      </c>
      <c r="I428" s="93"/>
      <c r="J428" s="133">
        <f t="shared" si="20"/>
        <v>62338.670000000056</v>
      </c>
    </row>
    <row r="429" spans="2:10" x14ac:dyDescent="0.2">
      <c r="B429" s="104"/>
      <c r="C429" s="104">
        <v>42332</v>
      </c>
      <c r="D429" s="105">
        <v>466</v>
      </c>
      <c r="E429" s="106" t="s">
        <v>1716</v>
      </c>
      <c r="F429" s="106" t="s">
        <v>1762</v>
      </c>
      <c r="G429" s="111" t="s">
        <v>401</v>
      </c>
      <c r="H429" s="93">
        <v>800</v>
      </c>
      <c r="I429" s="93"/>
      <c r="J429" s="133">
        <f t="shared" si="20"/>
        <v>63138.670000000056</v>
      </c>
    </row>
    <row r="430" spans="2:10" x14ac:dyDescent="0.2">
      <c r="B430" s="104"/>
      <c r="C430" s="104">
        <v>42338</v>
      </c>
      <c r="D430" s="105">
        <v>244</v>
      </c>
      <c r="E430" s="106" t="s">
        <v>1747</v>
      </c>
      <c r="F430" s="106" t="s">
        <v>1748</v>
      </c>
      <c r="G430" s="111"/>
      <c r="H430" s="93"/>
      <c r="I430" s="93">
        <v>20000</v>
      </c>
      <c r="J430" s="133">
        <f t="shared" si="20"/>
        <v>43138.670000000056</v>
      </c>
    </row>
    <row r="431" spans="2:10" x14ac:dyDescent="0.2">
      <c r="B431" s="104"/>
      <c r="C431" s="104">
        <v>42338</v>
      </c>
      <c r="D431" s="105"/>
      <c r="E431" s="106" t="s">
        <v>1606</v>
      </c>
      <c r="F431" s="106" t="s">
        <v>1749</v>
      </c>
      <c r="G431" s="111" t="s">
        <v>1540</v>
      </c>
      <c r="H431" s="93"/>
      <c r="I431" s="93">
        <v>14</v>
      </c>
      <c r="J431" s="133">
        <f t="shared" si="20"/>
        <v>43124.670000000056</v>
      </c>
    </row>
    <row r="432" spans="2:10" x14ac:dyDescent="0.2">
      <c r="B432" s="104"/>
      <c r="C432" s="104">
        <v>42338</v>
      </c>
      <c r="D432" s="105"/>
      <c r="E432" s="106" t="s">
        <v>1606</v>
      </c>
      <c r="F432" s="106" t="s">
        <v>1735</v>
      </c>
      <c r="G432" s="111" t="s">
        <v>1546</v>
      </c>
      <c r="H432" s="93"/>
      <c r="I432" s="93">
        <v>2.2400000000000002</v>
      </c>
      <c r="J432" s="133">
        <f t="shared" si="20"/>
        <v>43122.430000000058</v>
      </c>
    </row>
    <row r="433" spans="2:10" ht="25.5" x14ac:dyDescent="0.2">
      <c r="B433" s="94" t="s">
        <v>1527</v>
      </c>
      <c r="C433" s="94" t="s">
        <v>1528</v>
      </c>
      <c r="D433" s="95" t="s">
        <v>1529</v>
      </c>
      <c r="E433" s="151"/>
      <c r="F433" s="52" t="s">
        <v>1531</v>
      </c>
      <c r="G433" s="3" t="s">
        <v>3</v>
      </c>
      <c r="H433" s="96" t="s">
        <v>1532</v>
      </c>
      <c r="I433" s="96" t="s">
        <v>1533</v>
      </c>
      <c r="J433" s="96" t="s">
        <v>1534</v>
      </c>
    </row>
    <row r="434" spans="2:10" x14ac:dyDescent="0.2">
      <c r="B434" s="104"/>
      <c r="C434" s="104">
        <v>42341</v>
      </c>
      <c r="D434" s="105">
        <v>245</v>
      </c>
      <c r="E434" s="106" t="s">
        <v>1747</v>
      </c>
      <c r="F434" s="106" t="s">
        <v>1763</v>
      </c>
      <c r="G434" s="111"/>
      <c r="H434" s="93"/>
      <c r="I434" s="93">
        <v>5000</v>
      </c>
      <c r="J434" s="133">
        <f>+J432+H434-I434</f>
        <v>38122.430000000058</v>
      </c>
    </row>
    <row r="435" spans="2:10" x14ac:dyDescent="0.2">
      <c r="B435" s="104"/>
      <c r="C435" s="104">
        <v>42347</v>
      </c>
      <c r="D435" s="105">
        <v>5339</v>
      </c>
      <c r="E435" s="106" t="s">
        <v>1537</v>
      </c>
      <c r="F435" s="106" t="s">
        <v>1764</v>
      </c>
      <c r="G435" s="111" t="s">
        <v>211</v>
      </c>
      <c r="H435" s="93">
        <v>300</v>
      </c>
      <c r="I435" s="93"/>
      <c r="J435" s="133">
        <f t="shared" ref="J435:J444" si="21">+J434+H435-I435</f>
        <v>38422.430000000058</v>
      </c>
    </row>
    <row r="436" spans="2:10" x14ac:dyDescent="0.2">
      <c r="B436" s="104"/>
      <c r="C436" s="104">
        <v>42347</v>
      </c>
      <c r="D436" s="105"/>
      <c r="E436" s="106" t="s">
        <v>1537</v>
      </c>
      <c r="F436" s="106" t="s">
        <v>1539</v>
      </c>
      <c r="G436" s="111" t="s">
        <v>1540</v>
      </c>
      <c r="H436" s="93">
        <v>0.46</v>
      </c>
      <c r="I436" s="93"/>
      <c r="J436" s="133">
        <f t="shared" si="21"/>
        <v>38422.890000000058</v>
      </c>
    </row>
    <row r="437" spans="2:10" x14ac:dyDescent="0.2">
      <c r="B437" s="104"/>
      <c r="C437" s="104">
        <v>42347</v>
      </c>
      <c r="D437" s="105">
        <v>4795</v>
      </c>
      <c r="E437" s="106" t="s">
        <v>1759</v>
      </c>
      <c r="F437" s="106" t="s">
        <v>1764</v>
      </c>
      <c r="G437" s="111" t="s">
        <v>208</v>
      </c>
      <c r="H437" s="93">
        <v>400</v>
      </c>
      <c r="I437" s="93"/>
      <c r="J437" s="133">
        <f t="shared" si="21"/>
        <v>38822.890000000058</v>
      </c>
    </row>
    <row r="438" spans="2:10" x14ac:dyDescent="0.2">
      <c r="B438" s="104"/>
      <c r="C438" s="104">
        <v>42347</v>
      </c>
      <c r="D438" s="105"/>
      <c r="E438" s="106" t="s">
        <v>1759</v>
      </c>
      <c r="F438" s="106" t="s">
        <v>1539</v>
      </c>
      <c r="G438" s="111" t="s">
        <v>1540</v>
      </c>
      <c r="H438" s="93">
        <v>0.28999999999999998</v>
      </c>
      <c r="I438" s="93"/>
      <c r="J438" s="133">
        <f t="shared" si="21"/>
        <v>38823.180000000058</v>
      </c>
    </row>
    <row r="439" spans="2:10" x14ac:dyDescent="0.2">
      <c r="B439" s="104"/>
      <c r="C439" s="104">
        <v>42349</v>
      </c>
      <c r="D439" s="105">
        <v>247</v>
      </c>
      <c r="E439" s="106" t="s">
        <v>1747</v>
      </c>
      <c r="F439" s="106" t="s">
        <v>1765</v>
      </c>
      <c r="G439" s="111"/>
      <c r="H439" s="93"/>
      <c r="I439" s="93">
        <v>26000</v>
      </c>
      <c r="J439" s="133">
        <f t="shared" si="21"/>
        <v>12823.180000000058</v>
      </c>
    </row>
    <row r="440" spans="2:10" x14ac:dyDescent="0.2">
      <c r="B440" s="104"/>
      <c r="C440" s="104">
        <v>42353</v>
      </c>
      <c r="D440" s="105">
        <v>8007</v>
      </c>
      <c r="E440" s="106" t="s">
        <v>805</v>
      </c>
      <c r="F440" s="106" t="s">
        <v>1764</v>
      </c>
      <c r="G440" s="111" t="s">
        <v>806</v>
      </c>
      <c r="H440" s="93">
        <v>11000</v>
      </c>
      <c r="I440" s="93"/>
      <c r="J440" s="133">
        <f t="shared" si="21"/>
        <v>23823.180000000058</v>
      </c>
    </row>
    <row r="441" spans="2:10" x14ac:dyDescent="0.2">
      <c r="B441" s="104"/>
      <c r="C441" s="104">
        <v>42353</v>
      </c>
      <c r="D441" s="105"/>
      <c r="E441" s="106" t="s">
        <v>805</v>
      </c>
      <c r="F441" s="106" t="s">
        <v>1605</v>
      </c>
      <c r="G441" s="111" t="s">
        <v>1540</v>
      </c>
      <c r="H441" s="93">
        <v>1760</v>
      </c>
      <c r="I441" s="93"/>
      <c r="J441" s="133">
        <f t="shared" si="21"/>
        <v>25583.180000000058</v>
      </c>
    </row>
    <row r="442" spans="2:10" x14ac:dyDescent="0.2">
      <c r="B442" s="104"/>
      <c r="C442" s="104">
        <v>42353</v>
      </c>
      <c r="D442" s="105"/>
      <c r="E442" s="106" t="s">
        <v>1766</v>
      </c>
      <c r="F442" s="106" t="s">
        <v>1767</v>
      </c>
      <c r="G442" s="111"/>
      <c r="H442" s="93"/>
      <c r="I442" s="93"/>
      <c r="J442" s="133">
        <f t="shared" si="21"/>
        <v>25583.180000000058</v>
      </c>
    </row>
    <row r="443" spans="2:10" x14ac:dyDescent="0.2">
      <c r="B443" s="104"/>
      <c r="C443" s="104">
        <v>42356</v>
      </c>
      <c r="D443" s="105">
        <v>249</v>
      </c>
      <c r="E443" s="106" t="s">
        <v>1747</v>
      </c>
      <c r="F443" s="106" t="s">
        <v>1768</v>
      </c>
      <c r="G443" s="111"/>
      <c r="H443" s="93"/>
      <c r="I443" s="93">
        <v>15000</v>
      </c>
      <c r="J443" s="133">
        <f t="shared" si="21"/>
        <v>10583.180000000058</v>
      </c>
    </row>
    <row r="444" spans="2:10" x14ac:dyDescent="0.2">
      <c r="B444" s="104"/>
      <c r="C444" s="104">
        <v>42360</v>
      </c>
      <c r="D444" s="105">
        <v>250</v>
      </c>
      <c r="E444" s="106" t="s">
        <v>1766</v>
      </c>
      <c r="F444" s="106" t="s">
        <v>1769</v>
      </c>
      <c r="G444" s="111"/>
      <c r="H444" s="93"/>
      <c r="I444" s="93">
        <v>10583.18</v>
      </c>
      <c r="J444" s="133">
        <f t="shared" si="21"/>
        <v>5.8207660913467407E-11</v>
      </c>
    </row>
    <row r="445" spans="2:10" ht="25.5" x14ac:dyDescent="0.2">
      <c r="B445" s="94" t="s">
        <v>1527</v>
      </c>
      <c r="C445" s="94" t="s">
        <v>1528</v>
      </c>
      <c r="D445" s="95" t="s">
        <v>1529</v>
      </c>
      <c r="E445" s="151"/>
      <c r="F445" s="52" t="s">
        <v>1531</v>
      </c>
      <c r="G445" s="3" t="s">
        <v>3</v>
      </c>
      <c r="H445" s="96" t="s">
        <v>1532</v>
      </c>
      <c r="I445" s="96" t="s">
        <v>1533</v>
      </c>
      <c r="J445" s="96" t="s">
        <v>1534</v>
      </c>
    </row>
    <row r="446" spans="2:10" x14ac:dyDescent="0.2">
      <c r="B446" s="104"/>
      <c r="C446" s="104"/>
      <c r="D446" s="105"/>
      <c r="E446" s="106"/>
      <c r="F446" s="106"/>
      <c r="G446" s="111"/>
      <c r="H446" s="93"/>
      <c r="I446" s="93"/>
      <c r="J446" s="133">
        <v>0</v>
      </c>
    </row>
    <row r="447" spans="2:10" ht="25.5" x14ac:dyDescent="0.2">
      <c r="B447" s="94" t="s">
        <v>1527</v>
      </c>
      <c r="C447" s="94" t="s">
        <v>1528</v>
      </c>
      <c r="D447" s="95" t="s">
        <v>1529</v>
      </c>
      <c r="E447" s="151"/>
      <c r="F447" s="52" t="s">
        <v>1531</v>
      </c>
      <c r="G447" s="3" t="s">
        <v>3</v>
      </c>
      <c r="H447" s="96" t="s">
        <v>1532</v>
      </c>
      <c r="I447" s="96" t="s">
        <v>1533</v>
      </c>
      <c r="J447" s="96" t="s">
        <v>1534</v>
      </c>
    </row>
    <row r="448" spans="2:10" x14ac:dyDescent="0.2">
      <c r="B448" s="104"/>
      <c r="C448" s="104">
        <v>42411</v>
      </c>
      <c r="D448" s="105"/>
      <c r="E448" s="106" t="s">
        <v>1766</v>
      </c>
      <c r="F448" s="106" t="s">
        <v>1770</v>
      </c>
      <c r="G448" s="111"/>
      <c r="H448" s="93">
        <v>41500</v>
      </c>
      <c r="I448" s="93"/>
      <c r="J448" s="133">
        <f>+J446+H448-I448</f>
        <v>41500</v>
      </c>
    </row>
    <row r="449" spans="2:10" x14ac:dyDescent="0.2">
      <c r="B449" s="104"/>
      <c r="C449" s="104">
        <v>42411</v>
      </c>
      <c r="D449" s="105">
        <v>7785</v>
      </c>
      <c r="E449" s="106" t="s">
        <v>1771</v>
      </c>
      <c r="F449" s="106" t="s">
        <v>1772</v>
      </c>
      <c r="G449" s="111" t="s">
        <v>422</v>
      </c>
      <c r="H449" s="121">
        <v>1200</v>
      </c>
      <c r="I449" s="93"/>
      <c r="J449" s="133">
        <f t="shared" ref="J449:J456" si="22">+J448+H449-I449</f>
        <v>42700</v>
      </c>
    </row>
    <row r="450" spans="2:10" x14ac:dyDescent="0.2">
      <c r="B450" s="104"/>
      <c r="C450" s="104">
        <v>42411</v>
      </c>
      <c r="D450" s="105">
        <v>630</v>
      </c>
      <c r="E450" s="106" t="s">
        <v>403</v>
      </c>
      <c r="F450" s="106" t="s">
        <v>1773</v>
      </c>
      <c r="G450" s="111" t="s">
        <v>401</v>
      </c>
      <c r="H450" s="121">
        <v>800</v>
      </c>
      <c r="I450" s="93"/>
      <c r="J450" s="133">
        <f t="shared" si="22"/>
        <v>43500</v>
      </c>
    </row>
    <row r="451" spans="2:10" x14ac:dyDescent="0.2">
      <c r="B451" s="104"/>
      <c r="C451" s="104">
        <v>42411</v>
      </c>
      <c r="D451" s="105"/>
      <c r="E451" s="106" t="s">
        <v>805</v>
      </c>
      <c r="F451" s="106" t="s">
        <v>1774</v>
      </c>
      <c r="G451" s="111" t="s">
        <v>806</v>
      </c>
      <c r="H451" s="93">
        <v>11000</v>
      </c>
      <c r="I451" s="93"/>
      <c r="J451" s="133">
        <f t="shared" si="22"/>
        <v>54500</v>
      </c>
    </row>
    <row r="452" spans="2:10" x14ac:dyDescent="0.2">
      <c r="B452" s="104"/>
      <c r="C452" s="104">
        <v>42411</v>
      </c>
      <c r="D452" s="105"/>
      <c r="E452" s="106" t="s">
        <v>805</v>
      </c>
      <c r="F452" s="106" t="s">
        <v>1775</v>
      </c>
      <c r="G452" s="111" t="s">
        <v>1540</v>
      </c>
      <c r="H452" s="93">
        <v>1760</v>
      </c>
      <c r="I452" s="93"/>
      <c r="J452" s="133">
        <f t="shared" si="22"/>
        <v>56260</v>
      </c>
    </row>
    <row r="453" spans="2:10" x14ac:dyDescent="0.2">
      <c r="B453" s="104"/>
      <c r="C453" s="104">
        <v>42415</v>
      </c>
      <c r="D453" s="105">
        <v>467</v>
      </c>
      <c r="E453" s="106" t="s">
        <v>378</v>
      </c>
      <c r="F453" s="106" t="s">
        <v>1776</v>
      </c>
      <c r="G453" s="111" t="s">
        <v>376</v>
      </c>
      <c r="H453" s="121">
        <v>4400</v>
      </c>
      <c r="I453" s="93"/>
      <c r="J453" s="133">
        <f t="shared" si="22"/>
        <v>60660</v>
      </c>
    </row>
    <row r="454" spans="2:10" x14ac:dyDescent="0.2">
      <c r="B454" s="104"/>
      <c r="C454" s="104">
        <v>42419</v>
      </c>
      <c r="D454" s="105">
        <v>3842</v>
      </c>
      <c r="E454" s="106" t="s">
        <v>1759</v>
      </c>
      <c r="F454" s="106" t="s">
        <v>1777</v>
      </c>
      <c r="G454" s="111" t="s">
        <v>208</v>
      </c>
      <c r="H454" s="93">
        <v>400</v>
      </c>
      <c r="I454" s="93"/>
      <c r="J454" s="133">
        <f t="shared" si="22"/>
        <v>61060</v>
      </c>
    </row>
    <row r="455" spans="2:10" x14ac:dyDescent="0.2">
      <c r="B455" s="104"/>
      <c r="C455" s="104">
        <v>42419</v>
      </c>
      <c r="D455" s="105"/>
      <c r="E455" s="106" t="s">
        <v>1759</v>
      </c>
      <c r="F455" s="106" t="s">
        <v>1539</v>
      </c>
      <c r="G455" s="111" t="s">
        <v>1540</v>
      </c>
      <c r="H455" s="93">
        <v>0.28999999999999998</v>
      </c>
      <c r="I455" s="93"/>
      <c r="J455" s="133">
        <f t="shared" si="22"/>
        <v>61060.29</v>
      </c>
    </row>
    <row r="456" spans="2:10" x14ac:dyDescent="0.2">
      <c r="B456" s="104"/>
      <c r="C456" s="104"/>
      <c r="D456" s="105"/>
      <c r="E456" s="106"/>
      <c r="F456" s="106"/>
      <c r="G456" s="111"/>
      <c r="H456" s="93"/>
      <c r="I456" s="93"/>
      <c r="J456" s="133">
        <f t="shared" si="22"/>
        <v>61060.29</v>
      </c>
    </row>
    <row r="457" spans="2:10" ht="25.5" x14ac:dyDescent="0.2">
      <c r="B457" s="94" t="s">
        <v>1527</v>
      </c>
      <c r="C457" s="94" t="s">
        <v>1528</v>
      </c>
      <c r="D457" s="95" t="s">
        <v>1529</v>
      </c>
      <c r="E457" s="151"/>
      <c r="F457" s="52" t="s">
        <v>1531</v>
      </c>
      <c r="G457" s="3" t="s">
        <v>3</v>
      </c>
      <c r="H457" s="96" t="s">
        <v>1532</v>
      </c>
      <c r="I457" s="96" t="s">
        <v>1533</v>
      </c>
      <c r="J457" s="96" t="s">
        <v>1534</v>
      </c>
    </row>
    <row r="458" spans="2:10" x14ac:dyDescent="0.2">
      <c r="B458" s="104"/>
      <c r="C458" s="104">
        <v>42430</v>
      </c>
      <c r="D458" s="105">
        <v>8041</v>
      </c>
      <c r="E458" s="106" t="s">
        <v>805</v>
      </c>
      <c r="F458" s="106" t="s">
        <v>1777</v>
      </c>
      <c r="G458" s="111" t="s">
        <v>806</v>
      </c>
      <c r="H458" s="93">
        <v>11000</v>
      </c>
      <c r="I458" s="93"/>
      <c r="J458" s="133">
        <f>+J456+H458-I458</f>
        <v>72060.290000000008</v>
      </c>
    </row>
    <row r="459" spans="2:10" x14ac:dyDescent="0.2">
      <c r="B459" s="104"/>
      <c r="C459" s="104">
        <v>42430</v>
      </c>
      <c r="D459" s="105"/>
      <c r="E459" s="106" t="s">
        <v>805</v>
      </c>
      <c r="F459" s="106" t="s">
        <v>1778</v>
      </c>
      <c r="G459" s="111" t="s">
        <v>1540</v>
      </c>
      <c r="H459" s="93">
        <v>1760</v>
      </c>
      <c r="I459" s="93"/>
      <c r="J459" s="133">
        <f t="shared" ref="J459:J490" si="23">+J458+H459-I459</f>
        <v>73820.290000000008</v>
      </c>
    </row>
    <row r="460" spans="2:10" x14ac:dyDescent="0.2">
      <c r="B460" s="104"/>
      <c r="C460" s="104">
        <v>42431</v>
      </c>
      <c r="D460" s="105">
        <v>523</v>
      </c>
      <c r="E460" s="106" t="s">
        <v>1537</v>
      </c>
      <c r="F460" s="106" t="s">
        <v>1779</v>
      </c>
      <c r="G460" s="111" t="s">
        <v>211</v>
      </c>
      <c r="H460" s="93">
        <v>300</v>
      </c>
      <c r="I460" s="93"/>
      <c r="J460" s="133">
        <f t="shared" si="23"/>
        <v>74120.290000000008</v>
      </c>
    </row>
    <row r="461" spans="2:10" x14ac:dyDescent="0.2">
      <c r="B461" s="104"/>
      <c r="C461" s="104">
        <v>42431</v>
      </c>
      <c r="D461" s="105"/>
      <c r="E461" s="106" t="s">
        <v>1537</v>
      </c>
      <c r="F461" s="106" t="s">
        <v>1539</v>
      </c>
      <c r="G461" s="111" t="s">
        <v>1540</v>
      </c>
      <c r="H461" s="93">
        <v>0.36</v>
      </c>
      <c r="I461" s="93"/>
      <c r="J461" s="133">
        <f t="shared" si="23"/>
        <v>74120.650000000009</v>
      </c>
    </row>
    <row r="462" spans="2:10" x14ac:dyDescent="0.2">
      <c r="B462" s="104"/>
      <c r="C462" s="104">
        <v>42431</v>
      </c>
      <c r="D462" s="105">
        <v>15</v>
      </c>
      <c r="E462" s="106" t="s">
        <v>1780</v>
      </c>
      <c r="F462" s="106" t="s">
        <v>1781</v>
      </c>
      <c r="G462" s="111" t="s">
        <v>1782</v>
      </c>
      <c r="H462" s="93">
        <v>1600</v>
      </c>
      <c r="I462" s="93"/>
      <c r="J462" s="133">
        <f t="shared" si="23"/>
        <v>75720.650000000009</v>
      </c>
    </row>
    <row r="463" spans="2:10" x14ac:dyDescent="0.2">
      <c r="B463" s="104"/>
      <c r="C463" s="104">
        <v>42432</v>
      </c>
      <c r="D463" s="105">
        <v>15</v>
      </c>
      <c r="E463" s="106" t="s">
        <v>1780</v>
      </c>
      <c r="F463" s="106" t="s">
        <v>1783</v>
      </c>
      <c r="G463" s="111"/>
      <c r="H463" s="93"/>
      <c r="I463" s="93">
        <v>1600</v>
      </c>
      <c r="J463" s="133">
        <f t="shared" si="23"/>
        <v>74120.650000000009</v>
      </c>
    </row>
    <row r="464" spans="2:10" x14ac:dyDescent="0.2">
      <c r="B464" s="104"/>
      <c r="C464" s="104">
        <v>42437</v>
      </c>
      <c r="D464" s="105">
        <v>4352</v>
      </c>
      <c r="E464" s="106" t="s">
        <v>1537</v>
      </c>
      <c r="F464" s="106" t="s">
        <v>1784</v>
      </c>
      <c r="G464" s="111" t="s">
        <v>211</v>
      </c>
      <c r="H464" s="93">
        <v>300</v>
      </c>
      <c r="I464" s="93"/>
      <c r="J464" s="133">
        <f t="shared" si="23"/>
        <v>74420.650000000009</v>
      </c>
    </row>
    <row r="465" spans="2:10" x14ac:dyDescent="0.2">
      <c r="B465" s="104"/>
      <c r="C465" s="104">
        <v>42437</v>
      </c>
      <c r="D465" s="105"/>
      <c r="E465" s="106" t="s">
        <v>1537</v>
      </c>
      <c r="F465" s="106" t="s">
        <v>1539</v>
      </c>
      <c r="G465" s="111" t="s">
        <v>1540</v>
      </c>
      <c r="H465" s="93">
        <v>0.46</v>
      </c>
      <c r="I465" s="93"/>
      <c r="J465" s="133">
        <f t="shared" si="23"/>
        <v>74421.110000000015</v>
      </c>
    </row>
    <row r="466" spans="2:10" x14ac:dyDescent="0.2">
      <c r="B466" s="104"/>
      <c r="C466" s="104">
        <v>42438</v>
      </c>
      <c r="D466" s="105">
        <v>3935</v>
      </c>
      <c r="E466" s="106" t="s">
        <v>1759</v>
      </c>
      <c r="F466" s="106" t="s">
        <v>1784</v>
      </c>
      <c r="G466" s="111" t="s">
        <v>208</v>
      </c>
      <c r="H466" s="93">
        <v>400</v>
      </c>
      <c r="I466" s="93"/>
      <c r="J466" s="133">
        <f t="shared" si="23"/>
        <v>74821.110000000015</v>
      </c>
    </row>
    <row r="467" spans="2:10" x14ac:dyDescent="0.2">
      <c r="B467" s="104"/>
      <c r="C467" s="104">
        <v>42438</v>
      </c>
      <c r="D467" s="105"/>
      <c r="E467" s="106" t="s">
        <v>1759</v>
      </c>
      <c r="F467" s="106" t="s">
        <v>1539</v>
      </c>
      <c r="G467" s="111" t="s">
        <v>1540</v>
      </c>
      <c r="H467" s="93">
        <v>0.28999999999999998</v>
      </c>
      <c r="I467" s="93"/>
      <c r="J467" s="133">
        <f t="shared" si="23"/>
        <v>74821.400000000009</v>
      </c>
    </row>
    <row r="468" spans="2:10" x14ac:dyDescent="0.2">
      <c r="B468" s="104"/>
      <c r="C468" s="104">
        <v>42447</v>
      </c>
      <c r="D468" s="105">
        <v>2475</v>
      </c>
      <c r="E468" s="106" t="s">
        <v>1785</v>
      </c>
      <c r="F468" s="170" t="s">
        <v>1786</v>
      </c>
      <c r="G468" s="111" t="s">
        <v>119</v>
      </c>
      <c r="H468" s="93">
        <v>400</v>
      </c>
      <c r="I468" s="93"/>
      <c r="J468" s="133">
        <f t="shared" si="23"/>
        <v>75221.400000000009</v>
      </c>
    </row>
    <row r="469" spans="2:10" x14ac:dyDescent="0.2">
      <c r="B469" s="104"/>
      <c r="C469" s="104">
        <v>42452</v>
      </c>
      <c r="D469" s="105">
        <v>3497</v>
      </c>
      <c r="E469" s="106" t="s">
        <v>1787</v>
      </c>
      <c r="F469" s="106" t="s">
        <v>1788</v>
      </c>
      <c r="G469" s="111"/>
      <c r="H469" s="93">
        <v>800</v>
      </c>
      <c r="I469" s="93"/>
      <c r="J469" s="133">
        <f>+J468+H469-I469</f>
        <v>76021.400000000009</v>
      </c>
    </row>
    <row r="470" spans="2:10" x14ac:dyDescent="0.2">
      <c r="B470" s="104"/>
      <c r="C470" s="104">
        <v>42460</v>
      </c>
      <c r="D470" s="105">
        <v>4</v>
      </c>
      <c r="E470" s="106" t="s">
        <v>1789</v>
      </c>
      <c r="F470" s="106" t="s">
        <v>1790</v>
      </c>
      <c r="G470" s="111"/>
      <c r="H470" s="93"/>
      <c r="I470" s="93">
        <v>2800</v>
      </c>
      <c r="J470" s="133">
        <f t="shared" si="23"/>
        <v>73221.400000000009</v>
      </c>
    </row>
    <row r="471" spans="2:10" x14ac:dyDescent="0.2">
      <c r="B471" s="104"/>
      <c r="C471" s="104">
        <v>42460</v>
      </c>
      <c r="D471" s="105"/>
      <c r="E471" s="106" t="s">
        <v>1606</v>
      </c>
      <c r="F471" s="106" t="s">
        <v>1791</v>
      </c>
      <c r="G471" s="111" t="s">
        <v>1540</v>
      </c>
      <c r="H471" s="93"/>
      <c r="I471" s="93">
        <v>14</v>
      </c>
      <c r="J471" s="133">
        <f t="shared" si="23"/>
        <v>73207.400000000009</v>
      </c>
    </row>
    <row r="472" spans="2:10" x14ac:dyDescent="0.2">
      <c r="B472" s="104"/>
      <c r="C472" s="104">
        <v>42460</v>
      </c>
      <c r="D472" s="105"/>
      <c r="E472" s="106" t="s">
        <v>1606</v>
      </c>
      <c r="F472" s="106" t="s">
        <v>1792</v>
      </c>
      <c r="G472" s="111" t="s">
        <v>1546</v>
      </c>
      <c r="H472" s="93"/>
      <c r="I472" s="93">
        <v>2.2400000000000002</v>
      </c>
      <c r="J472" s="133">
        <f t="shared" si="23"/>
        <v>73205.16</v>
      </c>
    </row>
    <row r="473" spans="2:10" ht="25.5" x14ac:dyDescent="0.2">
      <c r="B473" s="94" t="s">
        <v>1527</v>
      </c>
      <c r="C473" s="94" t="s">
        <v>1528</v>
      </c>
      <c r="D473" s="95" t="s">
        <v>1529</v>
      </c>
      <c r="E473" s="151"/>
      <c r="F473" s="52" t="s">
        <v>1531</v>
      </c>
      <c r="G473" s="3" t="s">
        <v>3</v>
      </c>
      <c r="H473" s="96" t="s">
        <v>1532</v>
      </c>
      <c r="I473" s="96" t="s">
        <v>1533</v>
      </c>
      <c r="J473" s="96" t="s">
        <v>1534</v>
      </c>
    </row>
    <row r="474" spans="2:10" x14ac:dyDescent="0.2">
      <c r="B474" s="104"/>
      <c r="C474" s="104">
        <v>42461</v>
      </c>
      <c r="D474" s="105">
        <v>9</v>
      </c>
      <c r="E474" s="106" t="s">
        <v>1606</v>
      </c>
      <c r="F474" s="106" t="s">
        <v>1793</v>
      </c>
      <c r="G474" s="111"/>
      <c r="H474" s="93"/>
      <c r="I474" s="93">
        <v>5000</v>
      </c>
      <c r="J474" s="133">
        <f>+J472+H474-I474</f>
        <v>68205.16</v>
      </c>
    </row>
    <row r="475" spans="2:10" x14ac:dyDescent="0.2">
      <c r="B475" s="104"/>
      <c r="C475" s="104">
        <v>42461</v>
      </c>
      <c r="D475" s="105">
        <v>7</v>
      </c>
      <c r="E475" s="106" t="s">
        <v>1794</v>
      </c>
      <c r="F475" s="106" t="s">
        <v>1795</v>
      </c>
      <c r="G475" s="111"/>
      <c r="H475" s="93"/>
      <c r="I475" s="93">
        <v>28000</v>
      </c>
      <c r="J475" s="133">
        <f t="shared" si="23"/>
        <v>40205.160000000003</v>
      </c>
    </row>
    <row r="476" spans="2:10" x14ac:dyDescent="0.2">
      <c r="B476" s="104"/>
      <c r="C476" s="104">
        <v>42465</v>
      </c>
      <c r="D476" s="105">
        <v>8071</v>
      </c>
      <c r="E476" s="106" t="s">
        <v>805</v>
      </c>
      <c r="F476" s="106" t="s">
        <v>1796</v>
      </c>
      <c r="G476" s="111" t="s">
        <v>806</v>
      </c>
      <c r="H476" s="93">
        <v>11000</v>
      </c>
      <c r="I476" s="93"/>
      <c r="J476" s="133">
        <f t="shared" si="23"/>
        <v>51205.16</v>
      </c>
    </row>
    <row r="477" spans="2:10" x14ac:dyDescent="0.2">
      <c r="B477" s="104"/>
      <c r="C477" s="104">
        <v>42465</v>
      </c>
      <c r="D477" s="105"/>
      <c r="E477" s="106" t="s">
        <v>805</v>
      </c>
      <c r="F477" s="106" t="s">
        <v>1605</v>
      </c>
      <c r="G477" s="111" t="s">
        <v>1540</v>
      </c>
      <c r="H477" s="93">
        <v>1760</v>
      </c>
      <c r="I477" s="93"/>
      <c r="J477" s="133">
        <f t="shared" si="23"/>
        <v>52965.16</v>
      </c>
    </row>
    <row r="478" spans="2:10" x14ac:dyDescent="0.2">
      <c r="B478" s="104"/>
      <c r="C478" s="104">
        <v>42480</v>
      </c>
      <c r="D478" s="105">
        <v>10</v>
      </c>
      <c r="E478" s="106" t="s">
        <v>1797</v>
      </c>
      <c r="F478" s="106" t="s">
        <v>1798</v>
      </c>
      <c r="G478" s="111" t="s">
        <v>1799</v>
      </c>
      <c r="H478" s="93"/>
      <c r="I478" s="93">
        <v>2984</v>
      </c>
      <c r="J478" s="133">
        <f t="shared" si="23"/>
        <v>49981.16</v>
      </c>
    </row>
    <row r="479" spans="2:10" x14ac:dyDescent="0.2">
      <c r="B479" s="104"/>
      <c r="C479" s="104">
        <v>42480</v>
      </c>
      <c r="D479" s="105">
        <v>1904</v>
      </c>
      <c r="E479" s="106" t="s">
        <v>1537</v>
      </c>
      <c r="F479" s="106" t="s">
        <v>1784</v>
      </c>
      <c r="G479" s="111" t="s">
        <v>211</v>
      </c>
      <c r="H479" s="93">
        <v>300</v>
      </c>
      <c r="I479" s="93"/>
      <c r="J479" s="133">
        <f t="shared" si="23"/>
        <v>50281.16</v>
      </c>
    </row>
    <row r="480" spans="2:10" x14ac:dyDescent="0.2">
      <c r="B480" s="104"/>
      <c r="C480" s="104">
        <v>42480</v>
      </c>
      <c r="D480" s="105"/>
      <c r="E480" s="106" t="s">
        <v>1537</v>
      </c>
      <c r="F480" s="106" t="s">
        <v>1539</v>
      </c>
      <c r="G480" s="111" t="s">
        <v>1540</v>
      </c>
      <c r="H480" s="93">
        <v>0.46</v>
      </c>
      <c r="I480" s="93"/>
      <c r="J480" s="133">
        <f t="shared" si="23"/>
        <v>50281.62</v>
      </c>
    </row>
    <row r="481" spans="2:10" x14ac:dyDescent="0.2">
      <c r="B481" s="104"/>
      <c r="C481" s="104">
        <v>42481</v>
      </c>
      <c r="D481" s="105">
        <v>11</v>
      </c>
      <c r="E481" s="106" t="s">
        <v>1789</v>
      </c>
      <c r="F481" s="106" t="s">
        <v>1800</v>
      </c>
      <c r="G481" s="111"/>
      <c r="H481" s="93"/>
      <c r="I481" s="93">
        <v>1400</v>
      </c>
      <c r="J481" s="133">
        <f t="shared" si="23"/>
        <v>48881.62</v>
      </c>
    </row>
    <row r="482" spans="2:10" x14ac:dyDescent="0.2">
      <c r="B482" s="104"/>
      <c r="C482" s="104">
        <v>42486</v>
      </c>
      <c r="D482" s="105">
        <v>8084</v>
      </c>
      <c r="E482" s="106" t="s">
        <v>805</v>
      </c>
      <c r="F482" s="106" t="s">
        <v>1801</v>
      </c>
      <c r="G482" s="111" t="s">
        <v>806</v>
      </c>
      <c r="H482" s="93">
        <v>11000</v>
      </c>
      <c r="I482" s="93"/>
      <c r="J482" s="133">
        <f t="shared" si="23"/>
        <v>59881.62</v>
      </c>
    </row>
    <row r="483" spans="2:10" x14ac:dyDescent="0.2">
      <c r="B483" s="104"/>
      <c r="C483" s="104">
        <v>42486</v>
      </c>
      <c r="D483" s="105"/>
      <c r="E483" s="106" t="s">
        <v>805</v>
      </c>
      <c r="F483" s="106" t="s">
        <v>1802</v>
      </c>
      <c r="G483" s="111" t="s">
        <v>1540</v>
      </c>
      <c r="H483" s="93">
        <v>1760</v>
      </c>
      <c r="I483" s="93"/>
      <c r="J483" s="133">
        <f t="shared" si="23"/>
        <v>61641.62</v>
      </c>
    </row>
    <row r="484" spans="2:10" x14ac:dyDescent="0.2">
      <c r="B484" s="104"/>
      <c r="C484" s="104">
        <v>42486</v>
      </c>
      <c r="D484" s="105">
        <v>7791</v>
      </c>
      <c r="E484" s="106" t="s">
        <v>1803</v>
      </c>
      <c r="F484" s="106" t="s">
        <v>1804</v>
      </c>
      <c r="G484" s="111" t="s">
        <v>422</v>
      </c>
      <c r="H484" s="93">
        <v>1200</v>
      </c>
      <c r="I484" s="93"/>
      <c r="J484" s="133">
        <f t="shared" si="23"/>
        <v>62841.62</v>
      </c>
    </row>
    <row r="485" spans="2:10" x14ac:dyDescent="0.2">
      <c r="B485" s="104"/>
      <c r="C485" s="104">
        <v>42486</v>
      </c>
      <c r="D485" s="105">
        <v>635</v>
      </c>
      <c r="E485" s="106" t="s">
        <v>1700</v>
      </c>
      <c r="F485" s="106" t="s">
        <v>1805</v>
      </c>
      <c r="G485" s="111" t="s">
        <v>401</v>
      </c>
      <c r="H485" s="93">
        <v>1600</v>
      </c>
      <c r="I485" s="93"/>
      <c r="J485" s="133">
        <f t="shared" si="23"/>
        <v>64441.62</v>
      </c>
    </row>
    <row r="486" spans="2:10" x14ac:dyDescent="0.2">
      <c r="B486" s="104"/>
      <c r="C486" s="104">
        <v>42486</v>
      </c>
      <c r="D486" s="105">
        <v>13</v>
      </c>
      <c r="E486" s="106" t="s">
        <v>1789</v>
      </c>
      <c r="F486" s="106" t="s">
        <v>1806</v>
      </c>
      <c r="G486" s="111"/>
      <c r="H486" s="93"/>
      <c r="I486" s="93">
        <v>600</v>
      </c>
      <c r="J486" s="133">
        <f t="shared" si="23"/>
        <v>63841.62</v>
      </c>
    </row>
    <row r="487" spans="2:10" x14ac:dyDescent="0.2">
      <c r="B487" s="104"/>
      <c r="C487" s="104">
        <v>42486</v>
      </c>
      <c r="D487" s="105">
        <v>12</v>
      </c>
      <c r="E487" s="106" t="s">
        <v>1789</v>
      </c>
      <c r="F487" s="106" t="s">
        <v>1807</v>
      </c>
      <c r="G487" s="111"/>
      <c r="H487" s="93"/>
      <c r="I487" s="93">
        <v>1468</v>
      </c>
      <c r="J487" s="133">
        <f t="shared" si="23"/>
        <v>62373.62</v>
      </c>
    </row>
    <row r="488" spans="2:10" x14ac:dyDescent="0.2">
      <c r="B488" s="104"/>
      <c r="C488" s="104">
        <v>42489</v>
      </c>
      <c r="D488" s="105" t="s">
        <v>1682</v>
      </c>
      <c r="E488" s="106" t="s">
        <v>1808</v>
      </c>
      <c r="F488" s="106" t="s">
        <v>1809</v>
      </c>
      <c r="G488" s="111" t="s">
        <v>620</v>
      </c>
      <c r="H488" s="93">
        <v>400</v>
      </c>
      <c r="I488" s="93"/>
      <c r="J488" s="133">
        <f t="shared" si="23"/>
        <v>62773.62</v>
      </c>
    </row>
    <row r="489" spans="2:10" x14ac:dyDescent="0.2">
      <c r="B489" s="104"/>
      <c r="C489" s="104">
        <v>42489</v>
      </c>
      <c r="D489" s="105"/>
      <c r="E489" s="106" t="s">
        <v>1606</v>
      </c>
      <c r="F489" s="106" t="s">
        <v>1791</v>
      </c>
      <c r="G489" s="111" t="s">
        <v>1540</v>
      </c>
      <c r="H489" s="93"/>
      <c r="I489" s="93">
        <v>84</v>
      </c>
      <c r="J489" s="133">
        <f t="shared" si="23"/>
        <v>62689.62</v>
      </c>
    </row>
    <row r="490" spans="2:10" x14ac:dyDescent="0.2">
      <c r="B490" s="104"/>
      <c r="C490" s="104">
        <v>42489</v>
      </c>
      <c r="D490" s="105"/>
      <c r="E490" s="106" t="s">
        <v>1606</v>
      </c>
      <c r="F490" s="106" t="s">
        <v>1792</v>
      </c>
      <c r="G490" s="111" t="s">
        <v>1546</v>
      </c>
      <c r="H490" s="93"/>
      <c r="I490" s="93">
        <v>13.44</v>
      </c>
      <c r="J490" s="133">
        <f t="shared" si="23"/>
        <v>62676.18</v>
      </c>
    </row>
    <row r="491" spans="2:10" ht="25.5" x14ac:dyDescent="0.2">
      <c r="B491" s="94" t="s">
        <v>1527</v>
      </c>
      <c r="C491" s="94" t="s">
        <v>1528</v>
      </c>
      <c r="D491" s="95" t="s">
        <v>1529</v>
      </c>
      <c r="E491" s="151"/>
      <c r="F491" s="52" t="s">
        <v>1531</v>
      </c>
      <c r="G491" s="3" t="s">
        <v>3</v>
      </c>
      <c r="H491" s="96" t="s">
        <v>1532</v>
      </c>
      <c r="I491" s="96" t="s">
        <v>1533</v>
      </c>
      <c r="J491" s="96" t="s">
        <v>1534</v>
      </c>
    </row>
    <row r="492" spans="2:10" x14ac:dyDescent="0.2">
      <c r="B492" s="104"/>
      <c r="C492" s="104">
        <v>42492</v>
      </c>
      <c r="D492" s="105">
        <v>15</v>
      </c>
      <c r="E492" s="106" t="s">
        <v>1794</v>
      </c>
      <c r="F492" s="106" t="s">
        <v>1810</v>
      </c>
      <c r="G492" s="111"/>
      <c r="H492" s="93"/>
      <c r="I492" s="93">
        <v>9000</v>
      </c>
      <c r="J492" s="133">
        <f>+J490+H492-I492</f>
        <v>53676.18</v>
      </c>
    </row>
    <row r="493" spans="2:10" x14ac:dyDescent="0.2">
      <c r="B493" s="104"/>
      <c r="C493" s="104">
        <v>42493</v>
      </c>
      <c r="D493" s="105">
        <v>516</v>
      </c>
      <c r="E493" s="106" t="s">
        <v>1537</v>
      </c>
      <c r="F493" s="106" t="s">
        <v>1811</v>
      </c>
      <c r="G493" s="111" t="s">
        <v>211</v>
      </c>
      <c r="H493" s="93">
        <v>300</v>
      </c>
      <c r="I493" s="93"/>
      <c r="J493" s="133">
        <f>+J492+H493-I493</f>
        <v>53976.18</v>
      </c>
    </row>
    <row r="494" spans="2:10" x14ac:dyDescent="0.2">
      <c r="B494" s="104"/>
      <c r="C494" s="104">
        <v>42493</v>
      </c>
      <c r="D494" s="105"/>
      <c r="E494" s="106" t="s">
        <v>1537</v>
      </c>
      <c r="F494" s="106" t="s">
        <v>1539</v>
      </c>
      <c r="G494" s="111" t="s">
        <v>1540</v>
      </c>
      <c r="H494" s="93">
        <v>0.46</v>
      </c>
      <c r="I494" s="93"/>
      <c r="J494" s="133">
        <f>+J493+H494-I494</f>
        <v>53976.639999999999</v>
      </c>
    </row>
    <row r="495" spans="2:10" x14ac:dyDescent="0.2">
      <c r="B495" s="104"/>
      <c r="C495" s="104">
        <v>42506</v>
      </c>
      <c r="D495" s="105">
        <v>17</v>
      </c>
      <c r="E495" s="106"/>
      <c r="F495" s="106" t="s">
        <v>1812</v>
      </c>
      <c r="G495" s="111" t="s">
        <v>1799</v>
      </c>
      <c r="H495" s="93"/>
      <c r="I495" s="93">
        <v>1760</v>
      </c>
      <c r="J495" s="133">
        <f>+J494+H495-I495</f>
        <v>52216.639999999999</v>
      </c>
    </row>
    <row r="496" spans="2:10" x14ac:dyDescent="0.2">
      <c r="B496" s="104"/>
      <c r="C496" s="104">
        <v>42506</v>
      </c>
      <c r="D496" s="105">
        <v>16</v>
      </c>
      <c r="E496" s="106"/>
      <c r="F496" s="106" t="s">
        <v>1813</v>
      </c>
      <c r="G496" s="111" t="s">
        <v>1814</v>
      </c>
      <c r="H496" s="93"/>
      <c r="I496" s="93">
        <v>1224</v>
      </c>
      <c r="J496" s="133">
        <f>+J495+H496-I496</f>
        <v>50992.639999999999</v>
      </c>
    </row>
    <row r="497" spans="2:10" x14ac:dyDescent="0.2">
      <c r="B497" s="104"/>
      <c r="C497" s="104">
        <v>42507</v>
      </c>
      <c r="D497" s="105">
        <v>18</v>
      </c>
      <c r="E497" s="106"/>
      <c r="F497" s="106" t="s">
        <v>1815</v>
      </c>
      <c r="G497" s="111"/>
      <c r="H497" s="93"/>
      <c r="I497" s="93">
        <v>3450</v>
      </c>
      <c r="J497" s="133">
        <f>+J496+H497-I497</f>
        <v>47542.64</v>
      </c>
    </row>
    <row r="498" spans="2:10" x14ac:dyDescent="0.2">
      <c r="B498" s="104"/>
      <c r="C498" s="104">
        <v>42508</v>
      </c>
      <c r="D498" s="105">
        <v>3403</v>
      </c>
      <c r="E498" s="106"/>
      <c r="F498" s="106"/>
      <c r="G498" s="111"/>
      <c r="H498" s="93">
        <v>1200</v>
      </c>
      <c r="I498" s="93"/>
      <c r="J498" s="133">
        <f t="shared" ref="J498:J504" si="24">+J497+H498-I498</f>
        <v>48742.64</v>
      </c>
    </row>
    <row r="499" spans="2:10" x14ac:dyDescent="0.2">
      <c r="B499" s="104"/>
      <c r="C499" s="104">
        <v>42508</v>
      </c>
      <c r="D499" s="105">
        <v>8112</v>
      </c>
      <c r="E499" s="106"/>
      <c r="F499" s="106" t="s">
        <v>1816</v>
      </c>
      <c r="G499" s="111" t="s">
        <v>806</v>
      </c>
      <c r="H499" s="93">
        <v>11000</v>
      </c>
      <c r="I499" s="93"/>
      <c r="J499" s="133">
        <f t="shared" si="24"/>
        <v>59742.64</v>
      </c>
    </row>
    <row r="500" spans="2:10" x14ac:dyDescent="0.2">
      <c r="B500" s="104"/>
      <c r="C500" s="104">
        <v>42508</v>
      </c>
      <c r="D500" s="105"/>
      <c r="E500" s="106"/>
      <c r="F500" s="106" t="s">
        <v>1817</v>
      </c>
      <c r="G500" s="111" t="s">
        <v>1540</v>
      </c>
      <c r="H500" s="93">
        <v>1760</v>
      </c>
      <c r="I500" s="93"/>
      <c r="J500" s="133">
        <f t="shared" si="24"/>
        <v>61502.64</v>
      </c>
    </row>
    <row r="501" spans="2:10" x14ac:dyDescent="0.2">
      <c r="B501" s="104"/>
      <c r="C501" s="104">
        <v>42510</v>
      </c>
      <c r="D501" s="105">
        <v>19</v>
      </c>
      <c r="E501" s="106"/>
      <c r="F501" s="106" t="s">
        <v>1818</v>
      </c>
      <c r="G501" s="111"/>
      <c r="H501" s="93"/>
      <c r="I501" s="93">
        <v>3000</v>
      </c>
      <c r="J501" s="133">
        <f t="shared" si="24"/>
        <v>58502.64</v>
      </c>
    </row>
    <row r="502" spans="2:10" x14ac:dyDescent="0.2">
      <c r="B502" s="104"/>
      <c r="C502" s="104">
        <v>42520</v>
      </c>
      <c r="D502" s="105">
        <v>9270</v>
      </c>
      <c r="E502" s="106" t="s">
        <v>1785</v>
      </c>
      <c r="F502" s="170" t="s">
        <v>1819</v>
      </c>
      <c r="G502" s="111" t="s">
        <v>119</v>
      </c>
      <c r="H502" s="93">
        <v>800</v>
      </c>
      <c r="I502" s="93"/>
      <c r="J502" s="133">
        <f t="shared" si="24"/>
        <v>59302.64</v>
      </c>
    </row>
    <row r="503" spans="2:10" x14ac:dyDescent="0.2">
      <c r="B503" s="104"/>
      <c r="C503" s="104">
        <v>42521</v>
      </c>
      <c r="D503" s="105"/>
      <c r="E503" s="106"/>
      <c r="F503" s="106" t="s">
        <v>1820</v>
      </c>
      <c r="G503" s="111" t="s">
        <v>1540</v>
      </c>
      <c r="H503" s="93"/>
      <c r="I503" s="93">
        <v>70</v>
      </c>
      <c r="J503" s="133">
        <f t="shared" si="24"/>
        <v>59232.639999999999</v>
      </c>
    </row>
    <row r="504" spans="2:10" x14ac:dyDescent="0.2">
      <c r="B504" s="104"/>
      <c r="C504" s="104">
        <v>42521</v>
      </c>
      <c r="D504" s="105"/>
      <c r="E504" s="106"/>
      <c r="F504" s="106" t="s">
        <v>1821</v>
      </c>
      <c r="G504" s="111" t="s">
        <v>1546</v>
      </c>
      <c r="H504" s="93"/>
      <c r="I504" s="93">
        <v>11.2</v>
      </c>
      <c r="J504" s="133">
        <f t="shared" si="24"/>
        <v>59221.440000000002</v>
      </c>
    </row>
    <row r="505" spans="2:10" ht="25.5" x14ac:dyDescent="0.2">
      <c r="B505" s="94" t="s">
        <v>1527</v>
      </c>
      <c r="C505" s="94" t="s">
        <v>1528</v>
      </c>
      <c r="D505" s="95" t="s">
        <v>1529</v>
      </c>
      <c r="E505" s="151"/>
      <c r="F505" s="52" t="s">
        <v>1531</v>
      </c>
      <c r="G505" s="3" t="s">
        <v>3</v>
      </c>
      <c r="H505" s="96" t="s">
        <v>1532</v>
      </c>
      <c r="I505" s="96" t="s">
        <v>1533</v>
      </c>
      <c r="J505" s="96" t="s">
        <v>1534</v>
      </c>
    </row>
    <row r="506" spans="2:10" x14ac:dyDescent="0.2">
      <c r="B506" s="104"/>
      <c r="C506" s="104">
        <v>42522</v>
      </c>
      <c r="D506" s="105">
        <v>20</v>
      </c>
      <c r="E506" s="106"/>
      <c r="F506" s="106" t="s">
        <v>1822</v>
      </c>
      <c r="G506" s="111"/>
      <c r="H506" s="93"/>
      <c r="I506" s="93">
        <v>3665</v>
      </c>
      <c r="J506" s="133">
        <f>+J504+H506-I506</f>
        <v>55556.44</v>
      </c>
    </row>
    <row r="507" spans="2:10" x14ac:dyDescent="0.2">
      <c r="B507" s="104"/>
      <c r="C507" s="104">
        <v>42528</v>
      </c>
      <c r="D507" s="105"/>
      <c r="E507" s="106"/>
      <c r="F507" s="106" t="s">
        <v>1823</v>
      </c>
      <c r="G507" s="111" t="s">
        <v>1824</v>
      </c>
      <c r="H507" s="93">
        <v>300</v>
      </c>
      <c r="I507" s="93"/>
      <c r="J507" s="133">
        <f t="shared" ref="J507:J518" si="25">+J506+H507-I507</f>
        <v>55856.44</v>
      </c>
    </row>
    <row r="508" spans="2:10" x14ac:dyDescent="0.2">
      <c r="B508" s="104"/>
      <c r="C508" s="104">
        <v>42528</v>
      </c>
      <c r="D508" s="105"/>
      <c r="E508" s="106"/>
      <c r="F508" s="106" t="s">
        <v>1539</v>
      </c>
      <c r="G508" s="111" t="s">
        <v>1540</v>
      </c>
      <c r="H508" s="93">
        <v>0.46</v>
      </c>
      <c r="I508" s="93"/>
      <c r="J508" s="133">
        <f t="shared" si="25"/>
        <v>55856.9</v>
      </c>
    </row>
    <row r="509" spans="2:10" x14ac:dyDescent="0.2">
      <c r="B509" s="104"/>
      <c r="C509" s="104">
        <v>42529</v>
      </c>
      <c r="D509" s="105">
        <v>21</v>
      </c>
      <c r="E509" s="106"/>
      <c r="F509" s="106" t="s">
        <v>1825</v>
      </c>
      <c r="G509" s="111"/>
      <c r="H509" s="93"/>
      <c r="I509" s="93">
        <v>2900</v>
      </c>
      <c r="J509" s="133">
        <f t="shared" si="25"/>
        <v>52956.9</v>
      </c>
    </row>
    <row r="510" spans="2:10" x14ac:dyDescent="0.2">
      <c r="B510" s="104"/>
      <c r="C510" s="104">
        <v>42538</v>
      </c>
      <c r="D510" s="105">
        <v>22</v>
      </c>
      <c r="E510" s="106"/>
      <c r="F510" s="106" t="s">
        <v>1826</v>
      </c>
      <c r="G510" s="111" t="s">
        <v>1799</v>
      </c>
      <c r="H510" s="93"/>
      <c r="I510" s="93">
        <v>1760</v>
      </c>
      <c r="J510" s="133">
        <f t="shared" si="25"/>
        <v>51196.9</v>
      </c>
    </row>
    <row r="511" spans="2:10" x14ac:dyDescent="0.2">
      <c r="B511" s="104"/>
      <c r="C511" s="104"/>
      <c r="D511" s="105"/>
      <c r="E511" s="106"/>
      <c r="F511" s="106"/>
      <c r="G511" s="111" t="s">
        <v>1814</v>
      </c>
      <c r="H511" s="93"/>
      <c r="I511" s="93">
        <v>1224</v>
      </c>
      <c r="J511" s="133">
        <f t="shared" si="25"/>
        <v>49972.9</v>
      </c>
    </row>
    <row r="512" spans="2:10" x14ac:dyDescent="0.2">
      <c r="B512" s="104"/>
      <c r="C512" s="104">
        <v>42545</v>
      </c>
      <c r="D512" s="105">
        <v>27</v>
      </c>
      <c r="E512" s="106"/>
      <c r="F512" s="106" t="s">
        <v>1827</v>
      </c>
      <c r="G512" s="111" t="s">
        <v>1828</v>
      </c>
      <c r="H512" s="93"/>
      <c r="I512" s="93">
        <v>4000</v>
      </c>
      <c r="J512" s="133">
        <f t="shared" si="25"/>
        <v>45972.9</v>
      </c>
    </row>
    <row r="513" spans="2:10" x14ac:dyDescent="0.2">
      <c r="B513" s="104"/>
      <c r="C513" s="104">
        <v>42545</v>
      </c>
      <c r="D513" s="105">
        <v>25</v>
      </c>
      <c r="E513" s="106"/>
      <c r="F513" s="106" t="s">
        <v>1829</v>
      </c>
      <c r="G513" s="111" t="s">
        <v>1830</v>
      </c>
      <c r="H513" s="93"/>
      <c r="I513" s="93">
        <v>3000</v>
      </c>
      <c r="J513" s="133">
        <f t="shared" si="25"/>
        <v>42972.9</v>
      </c>
    </row>
    <row r="514" spans="2:10" x14ac:dyDescent="0.2">
      <c r="B514" s="104"/>
      <c r="C514" s="104">
        <v>42548</v>
      </c>
      <c r="D514" s="105">
        <v>28</v>
      </c>
      <c r="E514" s="106"/>
      <c r="F514" s="106" t="s">
        <v>1831</v>
      </c>
      <c r="G514" s="111" t="s">
        <v>1585</v>
      </c>
      <c r="H514" s="93"/>
      <c r="I514" s="93">
        <v>2700</v>
      </c>
      <c r="J514" s="133">
        <f t="shared" si="25"/>
        <v>40272.9</v>
      </c>
    </row>
    <row r="515" spans="2:10" x14ac:dyDescent="0.2">
      <c r="B515" s="104"/>
      <c r="C515" s="104">
        <v>42549</v>
      </c>
      <c r="D515" s="105">
        <v>8130</v>
      </c>
      <c r="E515" s="106"/>
      <c r="F515" s="106" t="s">
        <v>1832</v>
      </c>
      <c r="G515" s="111" t="s">
        <v>806</v>
      </c>
      <c r="H515" s="93">
        <v>11000</v>
      </c>
      <c r="I515" s="93"/>
      <c r="J515" s="133">
        <f t="shared" si="25"/>
        <v>51272.9</v>
      </c>
    </row>
    <row r="516" spans="2:10" x14ac:dyDescent="0.2">
      <c r="B516" s="104"/>
      <c r="C516" s="104">
        <v>42549</v>
      </c>
      <c r="D516" s="105"/>
      <c r="E516" s="106"/>
      <c r="F516" s="106" t="s">
        <v>1605</v>
      </c>
      <c r="G516" s="111" t="s">
        <v>1540</v>
      </c>
      <c r="H516" s="93">
        <v>1760</v>
      </c>
      <c r="I516" s="93"/>
      <c r="J516" s="133">
        <f t="shared" si="25"/>
        <v>53032.9</v>
      </c>
    </row>
    <row r="517" spans="2:10" x14ac:dyDescent="0.2">
      <c r="B517" s="104"/>
      <c r="C517" s="104">
        <v>42551</v>
      </c>
      <c r="D517" s="105"/>
      <c r="E517" s="106"/>
      <c r="F517" s="106" t="s">
        <v>1833</v>
      </c>
      <c r="G517" s="111" t="s">
        <v>1540</v>
      </c>
      <c r="H517" s="93"/>
      <c r="I517" s="93">
        <v>84</v>
      </c>
      <c r="J517" s="133">
        <f t="shared" si="25"/>
        <v>52948.9</v>
      </c>
    </row>
    <row r="518" spans="2:10" x14ac:dyDescent="0.2">
      <c r="B518" s="104"/>
      <c r="C518" s="104">
        <v>42551</v>
      </c>
      <c r="D518" s="105"/>
      <c r="E518" s="106"/>
      <c r="F518" s="106" t="s">
        <v>1834</v>
      </c>
      <c r="G518" s="111" t="s">
        <v>1546</v>
      </c>
      <c r="H518" s="93"/>
      <c r="I518" s="93">
        <v>13.44</v>
      </c>
      <c r="J518" s="133">
        <f t="shared" si="25"/>
        <v>52935.46</v>
      </c>
    </row>
    <row r="519" spans="2:10" ht="25.5" x14ac:dyDescent="0.2">
      <c r="B519" s="94" t="s">
        <v>1527</v>
      </c>
      <c r="C519" s="94" t="s">
        <v>1528</v>
      </c>
      <c r="D519" s="95" t="s">
        <v>1529</v>
      </c>
      <c r="E519" s="151"/>
      <c r="F519" s="52" t="s">
        <v>1531</v>
      </c>
      <c r="G519" s="3" t="s">
        <v>3</v>
      </c>
      <c r="H519" s="96" t="s">
        <v>1532</v>
      </c>
      <c r="I519" s="96" t="s">
        <v>1533</v>
      </c>
      <c r="J519" s="96" t="s">
        <v>1534</v>
      </c>
    </row>
    <row r="520" spans="2:10" x14ac:dyDescent="0.2">
      <c r="B520" s="104"/>
      <c r="C520" s="104">
        <v>42557</v>
      </c>
      <c r="D520" s="105"/>
      <c r="E520" s="106"/>
      <c r="F520" s="106" t="s">
        <v>1835</v>
      </c>
      <c r="G520" s="111" t="s">
        <v>1540</v>
      </c>
      <c r="H520" s="93"/>
      <c r="I520" s="93">
        <v>30</v>
      </c>
      <c r="J520" s="133">
        <f>+J518+H520-I520</f>
        <v>52905.46</v>
      </c>
    </row>
    <row r="521" spans="2:10" x14ac:dyDescent="0.2">
      <c r="B521" s="104"/>
      <c r="C521" s="104">
        <v>42557</v>
      </c>
      <c r="D521" s="105"/>
      <c r="E521" s="106"/>
      <c r="F521" s="106" t="s">
        <v>1836</v>
      </c>
      <c r="G521" s="111" t="s">
        <v>1546</v>
      </c>
      <c r="H521" s="93"/>
      <c r="I521" s="93">
        <v>4.8</v>
      </c>
      <c r="J521" s="133">
        <f>+J520+H521-I521</f>
        <v>52900.659999999996</v>
      </c>
    </row>
    <row r="522" spans="2:10" x14ac:dyDescent="0.2">
      <c r="B522" s="104"/>
      <c r="C522" s="104">
        <v>42559</v>
      </c>
      <c r="D522" s="105">
        <v>716</v>
      </c>
      <c r="E522" s="106"/>
      <c r="F522" s="106" t="s">
        <v>1837</v>
      </c>
      <c r="G522" s="111" t="s">
        <v>211</v>
      </c>
      <c r="H522" s="93">
        <v>300</v>
      </c>
      <c r="I522" s="93"/>
      <c r="J522" s="133">
        <f>+J521+H522-I522</f>
        <v>53200.659999999996</v>
      </c>
    </row>
    <row r="523" spans="2:10" x14ac:dyDescent="0.2">
      <c r="B523" s="104"/>
      <c r="C523" s="104">
        <v>42559</v>
      </c>
      <c r="D523" s="105"/>
      <c r="E523" s="106"/>
      <c r="F523" s="106" t="s">
        <v>1539</v>
      </c>
      <c r="G523" s="111" t="s">
        <v>1540</v>
      </c>
      <c r="H523" s="93">
        <v>0.46</v>
      </c>
      <c r="I523" s="93"/>
      <c r="J523" s="133">
        <f t="shared" ref="J523:J528" si="26">+J522+H523-I523</f>
        <v>53201.119999999995</v>
      </c>
    </row>
    <row r="524" spans="2:10" x14ac:dyDescent="0.2">
      <c r="B524" s="104"/>
      <c r="C524" s="104">
        <v>42573</v>
      </c>
      <c r="D524" s="105">
        <v>31</v>
      </c>
      <c r="E524" s="106"/>
      <c r="F524" s="106" t="s">
        <v>1838</v>
      </c>
      <c r="G524" s="111" t="s">
        <v>1814</v>
      </c>
      <c r="H524" s="93"/>
      <c r="I524" s="93">
        <v>1224</v>
      </c>
      <c r="J524" s="133">
        <f t="shared" si="26"/>
        <v>51977.119999999995</v>
      </c>
    </row>
    <row r="525" spans="2:10" x14ac:dyDescent="0.2">
      <c r="B525" s="104"/>
      <c r="C525" s="104">
        <v>42573</v>
      </c>
      <c r="D525" s="105">
        <v>32</v>
      </c>
      <c r="E525" s="106"/>
      <c r="F525" s="106" t="s">
        <v>1839</v>
      </c>
      <c r="G525" s="111" t="s">
        <v>1799</v>
      </c>
      <c r="H525" s="93"/>
      <c r="I525" s="93">
        <v>1760</v>
      </c>
      <c r="J525" s="133">
        <f t="shared" si="26"/>
        <v>50217.119999999995</v>
      </c>
    </row>
    <row r="526" spans="2:10" x14ac:dyDescent="0.2">
      <c r="B526" s="104"/>
      <c r="C526" s="104">
        <v>42576</v>
      </c>
      <c r="D526" s="105">
        <v>30</v>
      </c>
      <c r="E526" s="106"/>
      <c r="F526" s="106" t="s">
        <v>1840</v>
      </c>
      <c r="G526" s="111"/>
      <c r="H526" s="93"/>
      <c r="I526" s="93">
        <v>3600</v>
      </c>
      <c r="J526" s="133">
        <f t="shared" si="26"/>
        <v>46617.119999999995</v>
      </c>
    </row>
    <row r="527" spans="2:10" x14ac:dyDescent="0.2">
      <c r="B527" s="104"/>
      <c r="C527" s="104">
        <v>42580</v>
      </c>
      <c r="D527" s="105"/>
      <c r="E527" s="106"/>
      <c r="F527" s="106" t="s">
        <v>1820</v>
      </c>
      <c r="G527" s="111" t="s">
        <v>1540</v>
      </c>
      <c r="H527" s="93"/>
      <c r="I527" s="93">
        <v>42</v>
      </c>
      <c r="J527" s="133">
        <f t="shared" si="26"/>
        <v>46575.119999999995</v>
      </c>
    </row>
    <row r="528" spans="2:10" x14ac:dyDescent="0.2">
      <c r="B528" s="104"/>
      <c r="C528" s="104">
        <v>42580</v>
      </c>
      <c r="D528" s="105"/>
      <c r="E528" s="106"/>
      <c r="F528" s="106" t="s">
        <v>1841</v>
      </c>
      <c r="G528" s="111" t="s">
        <v>1546</v>
      </c>
      <c r="H528" s="93"/>
      <c r="I528" s="93">
        <v>6.72</v>
      </c>
      <c r="J528" s="133">
        <f t="shared" si="26"/>
        <v>46568.399999999994</v>
      </c>
    </row>
    <row r="529" spans="2:10" ht="25.5" x14ac:dyDescent="0.2">
      <c r="B529" s="94" t="s">
        <v>1527</v>
      </c>
      <c r="C529" s="94" t="s">
        <v>1528</v>
      </c>
      <c r="D529" s="95" t="s">
        <v>1529</v>
      </c>
      <c r="E529" s="151"/>
      <c r="F529" s="52" t="s">
        <v>1531</v>
      </c>
      <c r="G529" s="3" t="s">
        <v>3</v>
      </c>
      <c r="H529" s="96" t="s">
        <v>1532</v>
      </c>
      <c r="I529" s="96" t="s">
        <v>1533</v>
      </c>
      <c r="J529" s="96" t="s">
        <v>1534</v>
      </c>
    </row>
    <row r="530" spans="2:10" x14ac:dyDescent="0.2">
      <c r="B530" s="104"/>
      <c r="C530" s="104">
        <v>42588</v>
      </c>
      <c r="D530" s="105">
        <v>4017</v>
      </c>
      <c r="E530" s="106"/>
      <c r="F530" s="106" t="s">
        <v>1842</v>
      </c>
      <c r="G530" s="111" t="s">
        <v>211</v>
      </c>
      <c r="H530" s="93">
        <v>300</v>
      </c>
      <c r="I530" s="93"/>
      <c r="J530" s="133">
        <f>+J528+H530-I530</f>
        <v>46868.399999999994</v>
      </c>
    </row>
    <row r="531" spans="2:10" x14ac:dyDescent="0.2">
      <c r="B531" s="104"/>
      <c r="C531" s="104">
        <v>42588</v>
      </c>
      <c r="D531" s="105"/>
      <c r="E531" s="106"/>
      <c r="F531" s="106" t="s">
        <v>1539</v>
      </c>
      <c r="G531" s="111" t="s">
        <v>1540</v>
      </c>
      <c r="H531" s="93">
        <v>0.46</v>
      </c>
      <c r="I531" s="93"/>
      <c r="J531" s="133">
        <f>+J530+H531-I531</f>
        <v>46868.859999999993</v>
      </c>
    </row>
    <row r="532" spans="2:10" x14ac:dyDescent="0.2">
      <c r="B532" s="104"/>
      <c r="C532" s="104">
        <v>42592</v>
      </c>
      <c r="D532" s="105">
        <v>8156</v>
      </c>
      <c r="E532" s="106"/>
      <c r="F532" s="106" t="s">
        <v>1843</v>
      </c>
      <c r="G532" s="111" t="s">
        <v>806</v>
      </c>
      <c r="H532" s="93">
        <v>11000</v>
      </c>
      <c r="I532" s="93"/>
      <c r="J532" s="133">
        <f>+J531+H532-I532</f>
        <v>57868.859999999993</v>
      </c>
    </row>
    <row r="533" spans="2:10" x14ac:dyDescent="0.2">
      <c r="B533" s="104"/>
      <c r="C533" s="104">
        <v>42592</v>
      </c>
      <c r="D533" s="105"/>
      <c r="E533" s="106"/>
      <c r="F533" s="106" t="s">
        <v>1605</v>
      </c>
      <c r="G533" s="111" t="s">
        <v>1540</v>
      </c>
      <c r="H533" s="93">
        <v>1760</v>
      </c>
      <c r="I533" s="93"/>
      <c r="J533" s="133">
        <f>+J532+H533-I533</f>
        <v>59628.859999999993</v>
      </c>
    </row>
    <row r="534" spans="2:10" x14ac:dyDescent="0.2">
      <c r="B534" s="104"/>
      <c r="C534" s="104">
        <v>42600</v>
      </c>
      <c r="D534" s="105">
        <v>35</v>
      </c>
      <c r="E534" s="106"/>
      <c r="F534" s="106" t="s">
        <v>1844</v>
      </c>
      <c r="G534" s="111" t="s">
        <v>1799</v>
      </c>
      <c r="H534" s="93"/>
      <c r="I534" s="93">
        <v>1760</v>
      </c>
      <c r="J534" s="133">
        <f>+J533+H534-I534</f>
        <v>57868.859999999993</v>
      </c>
    </row>
    <row r="535" spans="2:10" x14ac:dyDescent="0.2">
      <c r="B535" s="104"/>
      <c r="C535" s="104">
        <v>42600</v>
      </c>
      <c r="D535" s="105">
        <v>36</v>
      </c>
      <c r="E535" s="106"/>
      <c r="F535" s="106" t="s">
        <v>1845</v>
      </c>
      <c r="G535" s="111" t="s">
        <v>1814</v>
      </c>
      <c r="H535" s="93"/>
      <c r="I535" s="93">
        <v>1224</v>
      </c>
      <c r="J535" s="133">
        <f>+J534+H535-I535</f>
        <v>56644.859999999993</v>
      </c>
    </row>
    <row r="536" spans="2:10" x14ac:dyDescent="0.2">
      <c r="B536" s="104"/>
      <c r="C536" s="104">
        <v>42604</v>
      </c>
      <c r="D536" s="105">
        <v>8180</v>
      </c>
      <c r="E536" s="106"/>
      <c r="F536" s="106" t="s">
        <v>1846</v>
      </c>
      <c r="G536" s="111" t="s">
        <v>806</v>
      </c>
      <c r="H536" s="93">
        <v>11000</v>
      </c>
      <c r="I536" s="93"/>
      <c r="J536" s="133">
        <f t="shared" ref="J536:J556" si="27">+J535+H536-I536</f>
        <v>67644.859999999986</v>
      </c>
    </row>
    <row r="537" spans="2:10" x14ac:dyDescent="0.2">
      <c r="B537" s="104"/>
      <c r="C537" s="104">
        <v>42604</v>
      </c>
      <c r="D537" s="105"/>
      <c r="E537" s="106"/>
      <c r="F537" s="106" t="s">
        <v>1605</v>
      </c>
      <c r="G537" s="111" t="s">
        <v>1540</v>
      </c>
      <c r="H537" s="93">
        <v>1760</v>
      </c>
      <c r="I537" s="93"/>
      <c r="J537" s="133">
        <f t="shared" si="27"/>
        <v>69404.859999999986</v>
      </c>
    </row>
    <row r="538" spans="2:10" x14ac:dyDescent="0.2">
      <c r="B538" s="104"/>
      <c r="C538" s="104">
        <v>42605</v>
      </c>
      <c r="D538" s="105">
        <v>37</v>
      </c>
      <c r="E538" s="106"/>
      <c r="F538" s="106" t="s">
        <v>1847</v>
      </c>
      <c r="G538" s="111"/>
      <c r="H538" s="93"/>
      <c r="I538" s="93">
        <v>950</v>
      </c>
      <c r="J538" s="133">
        <f t="shared" si="27"/>
        <v>68454.859999999986</v>
      </c>
    </row>
    <row r="539" spans="2:10" x14ac:dyDescent="0.2">
      <c r="B539" s="104"/>
      <c r="C539" s="104">
        <v>42608</v>
      </c>
      <c r="D539" s="105">
        <v>40</v>
      </c>
      <c r="E539" s="106"/>
      <c r="F539" s="106" t="s">
        <v>1829</v>
      </c>
      <c r="G539" s="111"/>
      <c r="H539" s="93"/>
      <c r="I539" s="93">
        <v>3000</v>
      </c>
      <c r="J539" s="133">
        <f t="shared" si="27"/>
        <v>65454.859999999986</v>
      </c>
    </row>
    <row r="540" spans="2:10" x14ac:dyDescent="0.2">
      <c r="B540" s="104"/>
      <c r="C540" s="104">
        <v>42612</v>
      </c>
      <c r="D540" s="105">
        <v>39</v>
      </c>
      <c r="E540" s="106"/>
      <c r="F540" s="106" t="s">
        <v>1848</v>
      </c>
      <c r="G540" s="111"/>
      <c r="H540" s="93"/>
      <c r="I540" s="93">
        <v>2000</v>
      </c>
      <c r="J540" s="133">
        <f t="shared" si="27"/>
        <v>63454.859999999986</v>
      </c>
    </row>
    <row r="541" spans="2:10" x14ac:dyDescent="0.2">
      <c r="B541" s="104"/>
      <c r="C541" s="104">
        <v>42613</v>
      </c>
      <c r="D541" s="105"/>
      <c r="E541" s="106"/>
      <c r="F541" s="106" t="s">
        <v>1849</v>
      </c>
      <c r="G541" s="111" t="s">
        <v>1540</v>
      </c>
      <c r="H541" s="93"/>
      <c r="I541" s="93">
        <v>70</v>
      </c>
      <c r="J541" s="133">
        <f t="shared" si="27"/>
        <v>63384.859999999986</v>
      </c>
    </row>
    <row r="542" spans="2:10" x14ac:dyDescent="0.2">
      <c r="B542" s="104"/>
      <c r="C542" s="104">
        <v>42613</v>
      </c>
      <c r="D542" s="105"/>
      <c r="E542" s="106"/>
      <c r="F542" s="106" t="s">
        <v>1850</v>
      </c>
      <c r="G542" s="111" t="s">
        <v>1546</v>
      </c>
      <c r="H542" s="93"/>
      <c r="I542" s="93">
        <v>11.2</v>
      </c>
      <c r="J542" s="133">
        <f t="shared" si="27"/>
        <v>63373.659999999989</v>
      </c>
    </row>
    <row r="543" spans="2:10" ht="25.5" x14ac:dyDescent="0.2">
      <c r="B543" s="94" t="s">
        <v>1527</v>
      </c>
      <c r="C543" s="94" t="s">
        <v>1528</v>
      </c>
      <c r="D543" s="95" t="s">
        <v>1529</v>
      </c>
      <c r="E543" s="151"/>
      <c r="F543" s="52" t="s">
        <v>1531</v>
      </c>
      <c r="G543" s="3" t="s">
        <v>3</v>
      </c>
      <c r="H543" s="96" t="s">
        <v>1532</v>
      </c>
      <c r="I543" s="96" t="s">
        <v>1533</v>
      </c>
      <c r="J543" s="96" t="s">
        <v>1534</v>
      </c>
    </row>
    <row r="544" spans="2:10" x14ac:dyDescent="0.2">
      <c r="B544" s="104"/>
      <c r="C544" s="104">
        <v>42616</v>
      </c>
      <c r="D544" s="105">
        <v>916</v>
      </c>
      <c r="E544" s="106"/>
      <c r="F544" s="106" t="s">
        <v>1851</v>
      </c>
      <c r="G544" s="111" t="s">
        <v>211</v>
      </c>
      <c r="H544" s="93">
        <v>300</v>
      </c>
      <c r="I544" s="93"/>
      <c r="J544" s="133">
        <f>+J542+H544-I544</f>
        <v>63673.659999999989</v>
      </c>
    </row>
    <row r="545" spans="2:10" x14ac:dyDescent="0.2">
      <c r="B545" s="104"/>
      <c r="C545" s="104">
        <v>42616</v>
      </c>
      <c r="D545" s="105"/>
      <c r="E545" s="106"/>
      <c r="F545" s="106" t="s">
        <v>1539</v>
      </c>
      <c r="G545" s="111" t="s">
        <v>1540</v>
      </c>
      <c r="H545" s="93">
        <v>0.46</v>
      </c>
      <c r="I545" s="93"/>
      <c r="J545" s="133">
        <f t="shared" si="27"/>
        <v>63674.119999999988</v>
      </c>
    </row>
    <row r="546" spans="2:10" x14ac:dyDescent="0.2">
      <c r="B546" s="104"/>
      <c r="C546" s="104">
        <v>42633</v>
      </c>
      <c r="D546" s="105">
        <v>41</v>
      </c>
      <c r="E546" s="106"/>
      <c r="F546" s="106" t="s">
        <v>1852</v>
      </c>
      <c r="G546" s="111"/>
      <c r="H546" s="93"/>
      <c r="I546" s="93">
        <v>2880</v>
      </c>
      <c r="J546" s="133">
        <f t="shared" si="27"/>
        <v>60794.119999999988</v>
      </c>
    </row>
    <row r="547" spans="2:10" x14ac:dyDescent="0.2">
      <c r="B547" s="104"/>
      <c r="C547" s="104">
        <v>42633</v>
      </c>
      <c r="D547" s="105">
        <v>43</v>
      </c>
      <c r="E547" s="106"/>
      <c r="F547" s="106" t="s">
        <v>1840</v>
      </c>
      <c r="G547" s="111"/>
      <c r="H547" s="93"/>
      <c r="I547" s="93">
        <v>3600</v>
      </c>
      <c r="J547" s="133">
        <f t="shared" si="27"/>
        <v>57194.119999999988</v>
      </c>
    </row>
    <row r="548" spans="2:10" x14ac:dyDescent="0.2">
      <c r="B548" s="104"/>
      <c r="C548" s="104">
        <v>42634</v>
      </c>
      <c r="D548" s="105">
        <v>44</v>
      </c>
      <c r="E548" s="106"/>
      <c r="F548" s="106" t="s">
        <v>1853</v>
      </c>
      <c r="G548" s="111"/>
      <c r="H548" s="93"/>
      <c r="I548" s="93">
        <v>1224</v>
      </c>
      <c r="J548" s="133">
        <f t="shared" si="27"/>
        <v>55970.119999999988</v>
      </c>
    </row>
    <row r="549" spans="2:10" x14ac:dyDescent="0.2">
      <c r="B549" s="104"/>
      <c r="C549" s="104">
        <v>42634</v>
      </c>
      <c r="D549" s="105">
        <v>45</v>
      </c>
      <c r="E549" s="106"/>
      <c r="F549" s="106" t="s">
        <v>1854</v>
      </c>
      <c r="G549" s="111"/>
      <c r="H549" s="93"/>
      <c r="I549" s="93">
        <v>1760</v>
      </c>
      <c r="J549" s="133">
        <f t="shared" si="27"/>
        <v>54210.119999999988</v>
      </c>
    </row>
    <row r="550" spans="2:10" x14ac:dyDescent="0.2">
      <c r="B550" s="104"/>
      <c r="C550" s="104">
        <v>42634</v>
      </c>
      <c r="D550" s="105">
        <v>8194</v>
      </c>
      <c r="E550" s="106"/>
      <c r="F550" s="106" t="s">
        <v>1855</v>
      </c>
      <c r="G550" s="111" t="s">
        <v>806</v>
      </c>
      <c r="H550" s="93">
        <v>11000</v>
      </c>
      <c r="I550" s="93"/>
      <c r="J550" s="133">
        <f t="shared" si="27"/>
        <v>65210.119999999988</v>
      </c>
    </row>
    <row r="551" spans="2:10" x14ac:dyDescent="0.2">
      <c r="B551" s="104"/>
      <c r="C551" s="104">
        <v>42634</v>
      </c>
      <c r="D551" s="105"/>
      <c r="E551" s="106"/>
      <c r="F551" s="106" t="s">
        <v>1605</v>
      </c>
      <c r="G551" s="111" t="s">
        <v>1540</v>
      </c>
      <c r="H551" s="93">
        <v>1760</v>
      </c>
      <c r="I551" s="93"/>
      <c r="J551" s="133">
        <f t="shared" si="27"/>
        <v>66970.12</v>
      </c>
    </row>
    <row r="552" spans="2:10" x14ac:dyDescent="0.2">
      <c r="B552" s="104"/>
      <c r="C552" s="104">
        <v>42636</v>
      </c>
      <c r="D552" s="105">
        <v>48</v>
      </c>
      <c r="E552" s="106"/>
      <c r="F552" s="106" t="s">
        <v>1856</v>
      </c>
      <c r="G552" s="111"/>
      <c r="H552" s="93"/>
      <c r="I552" s="93">
        <v>5622</v>
      </c>
      <c r="J552" s="133">
        <f t="shared" si="27"/>
        <v>61348.119999999995</v>
      </c>
    </row>
    <row r="553" spans="2:10" x14ac:dyDescent="0.2">
      <c r="B553" s="104"/>
      <c r="C553" s="104">
        <v>42609</v>
      </c>
      <c r="D553" s="105">
        <v>49</v>
      </c>
      <c r="E553" s="106"/>
      <c r="F553" s="106" t="s">
        <v>1857</v>
      </c>
      <c r="G553" s="111"/>
      <c r="H553" s="93"/>
      <c r="I553" s="93">
        <v>3750</v>
      </c>
      <c r="J553" s="133">
        <f t="shared" si="27"/>
        <v>57598.119999999995</v>
      </c>
    </row>
    <row r="554" spans="2:10" x14ac:dyDescent="0.2">
      <c r="B554" s="104"/>
      <c r="C554" s="104">
        <v>42640</v>
      </c>
      <c r="D554" s="105">
        <v>47</v>
      </c>
      <c r="E554" s="106"/>
      <c r="F554" s="106" t="s">
        <v>1858</v>
      </c>
      <c r="G554" s="111"/>
      <c r="H554" s="93"/>
      <c r="I554" s="93">
        <v>3080</v>
      </c>
      <c r="J554" s="133">
        <f t="shared" si="27"/>
        <v>54518.119999999995</v>
      </c>
    </row>
    <row r="555" spans="2:10" x14ac:dyDescent="0.2">
      <c r="B555" s="104"/>
      <c r="C555" s="104">
        <v>42643</v>
      </c>
      <c r="D555" s="105"/>
      <c r="E555" s="106"/>
      <c r="F555" s="106" t="s">
        <v>1849</v>
      </c>
      <c r="G555" s="111" t="s">
        <v>1540</v>
      </c>
      <c r="H555" s="93"/>
      <c r="I555" s="93">
        <v>98</v>
      </c>
      <c r="J555" s="133">
        <f t="shared" si="27"/>
        <v>54420.119999999995</v>
      </c>
    </row>
    <row r="556" spans="2:10" x14ac:dyDescent="0.2">
      <c r="B556" s="104"/>
      <c r="C556" s="104">
        <v>42643</v>
      </c>
      <c r="D556" s="105"/>
      <c r="E556" s="106"/>
      <c r="F556" s="106" t="s">
        <v>1850</v>
      </c>
      <c r="G556" s="111" t="s">
        <v>1546</v>
      </c>
      <c r="H556" s="93"/>
      <c r="I556" s="93">
        <v>15.68</v>
      </c>
      <c r="J556" s="133">
        <f t="shared" si="27"/>
        <v>54404.439999999995</v>
      </c>
    </row>
    <row r="557" spans="2:10" ht="25.5" x14ac:dyDescent="0.2">
      <c r="B557" s="94" t="s">
        <v>1527</v>
      </c>
      <c r="C557" s="94" t="s">
        <v>1528</v>
      </c>
      <c r="D557" s="95" t="s">
        <v>1529</v>
      </c>
      <c r="E557" s="151"/>
      <c r="F557" s="52" t="s">
        <v>1531</v>
      </c>
      <c r="G557" s="3" t="s">
        <v>3</v>
      </c>
      <c r="H557" s="96" t="s">
        <v>1532</v>
      </c>
      <c r="I557" s="96" t="s">
        <v>1533</v>
      </c>
      <c r="J557" s="96" t="s">
        <v>1534</v>
      </c>
    </row>
    <row r="558" spans="2:10" x14ac:dyDescent="0.2">
      <c r="B558" s="104"/>
      <c r="C558" s="104">
        <v>42648</v>
      </c>
      <c r="D558" s="105">
        <v>8185</v>
      </c>
      <c r="E558" s="106"/>
      <c r="F558" s="339" t="s">
        <v>3194</v>
      </c>
      <c r="G558" s="340" t="s">
        <v>211</v>
      </c>
      <c r="H558" s="93">
        <v>300</v>
      </c>
      <c r="I558" s="93"/>
      <c r="J558" s="133">
        <f>+J556+H558-I558</f>
        <v>54704.439999999995</v>
      </c>
    </row>
    <row r="559" spans="2:10" x14ac:dyDescent="0.2">
      <c r="B559" s="104"/>
      <c r="C559" s="104">
        <v>42648</v>
      </c>
      <c r="D559" s="105"/>
      <c r="E559" s="106"/>
      <c r="F559" s="339" t="s">
        <v>1539</v>
      </c>
      <c r="G559" s="340" t="s">
        <v>1540</v>
      </c>
      <c r="H559" s="93">
        <v>0.46</v>
      </c>
      <c r="I559" s="93"/>
      <c r="J559" s="133">
        <f t="shared" ref="J559:J579" si="28">+J558+H559-I559</f>
        <v>54704.899999999994</v>
      </c>
    </row>
    <row r="560" spans="2:10" x14ac:dyDescent="0.2">
      <c r="B560" s="104"/>
      <c r="C560" s="104">
        <v>42656</v>
      </c>
      <c r="D560" s="105">
        <v>51</v>
      </c>
      <c r="E560" s="106"/>
      <c r="F560" s="339" t="s">
        <v>1908</v>
      </c>
      <c r="G560" s="340">
        <v>0</v>
      </c>
      <c r="H560" s="93"/>
      <c r="I560" s="93">
        <v>12000</v>
      </c>
      <c r="J560" s="133">
        <f t="shared" si="28"/>
        <v>42704.899999999994</v>
      </c>
    </row>
    <row r="561" spans="2:10" x14ac:dyDescent="0.2">
      <c r="B561" s="104"/>
      <c r="C561" s="104">
        <v>42663</v>
      </c>
      <c r="D561" s="105">
        <v>8209</v>
      </c>
      <c r="E561" s="106"/>
      <c r="F561" s="339" t="s">
        <v>3195</v>
      </c>
      <c r="G561" s="340" t="s">
        <v>806</v>
      </c>
      <c r="H561" s="93">
        <v>11000</v>
      </c>
      <c r="I561" s="93"/>
      <c r="J561" s="133">
        <f t="shared" si="28"/>
        <v>53704.899999999994</v>
      </c>
    </row>
    <row r="562" spans="2:10" x14ac:dyDescent="0.2">
      <c r="B562" s="104"/>
      <c r="C562" s="104">
        <v>42663</v>
      </c>
      <c r="D562" s="105"/>
      <c r="E562" s="106"/>
      <c r="F562" s="339" t="s">
        <v>1605</v>
      </c>
      <c r="G562" s="340" t="s">
        <v>1540</v>
      </c>
      <c r="H562" s="93">
        <v>1760</v>
      </c>
      <c r="I562" s="93"/>
      <c r="J562" s="133">
        <f t="shared" si="28"/>
        <v>55464.899999999994</v>
      </c>
    </row>
    <row r="563" spans="2:10" x14ac:dyDescent="0.2">
      <c r="B563" s="104"/>
      <c r="C563" s="104">
        <v>42667</v>
      </c>
      <c r="D563" s="105">
        <v>54</v>
      </c>
      <c r="E563" s="106"/>
      <c r="F563" s="339" t="s">
        <v>3196</v>
      </c>
      <c r="G563" s="340">
        <v>0</v>
      </c>
      <c r="H563" s="93"/>
      <c r="I563" s="93">
        <v>1760</v>
      </c>
      <c r="J563" s="133">
        <f t="shared" si="28"/>
        <v>53704.899999999994</v>
      </c>
    </row>
    <row r="564" spans="2:10" x14ac:dyDescent="0.2">
      <c r="B564" s="104"/>
      <c r="C564" s="104">
        <v>42667</v>
      </c>
      <c r="D564" s="105">
        <v>53</v>
      </c>
      <c r="E564" s="106"/>
      <c r="F564" s="339" t="s">
        <v>3197</v>
      </c>
      <c r="G564" s="340">
        <v>0</v>
      </c>
      <c r="H564" s="93"/>
      <c r="I564" s="93">
        <v>1224</v>
      </c>
      <c r="J564" s="133">
        <f t="shared" si="28"/>
        <v>52480.899999999994</v>
      </c>
    </row>
    <row r="565" spans="2:10" x14ac:dyDescent="0.2">
      <c r="B565" s="104"/>
      <c r="C565" s="104">
        <v>42674</v>
      </c>
      <c r="D565" s="105"/>
      <c r="E565" s="106"/>
      <c r="F565" s="339" t="s">
        <v>1820</v>
      </c>
      <c r="G565" s="340" t="s">
        <v>1540</v>
      </c>
      <c r="H565" s="93"/>
      <c r="I565" s="93">
        <v>42</v>
      </c>
      <c r="J565" s="133">
        <f t="shared" si="28"/>
        <v>52438.899999999994</v>
      </c>
    </row>
    <row r="566" spans="2:10" x14ac:dyDescent="0.2">
      <c r="B566" s="104"/>
      <c r="C566" s="104">
        <v>42674</v>
      </c>
      <c r="D566" s="105"/>
      <c r="E566" s="106"/>
      <c r="F566" s="339" t="s">
        <v>3198</v>
      </c>
      <c r="G566" s="340" t="s">
        <v>1546</v>
      </c>
      <c r="H566" s="93"/>
      <c r="I566" s="93">
        <v>6.72</v>
      </c>
      <c r="J566" s="133">
        <f t="shared" si="28"/>
        <v>52432.179999999993</v>
      </c>
    </row>
    <row r="567" spans="2:10" ht="25.5" x14ac:dyDescent="0.2">
      <c r="B567" s="94" t="s">
        <v>1527</v>
      </c>
      <c r="C567" s="94" t="s">
        <v>1528</v>
      </c>
      <c r="D567" s="95" t="s">
        <v>1529</v>
      </c>
      <c r="E567" s="151"/>
      <c r="F567" s="327" t="s">
        <v>1531</v>
      </c>
      <c r="G567" s="3" t="s">
        <v>3</v>
      </c>
      <c r="H567" s="96" t="s">
        <v>1532</v>
      </c>
      <c r="I567" s="96" t="s">
        <v>1533</v>
      </c>
      <c r="J567" s="96" t="s">
        <v>1534</v>
      </c>
    </row>
    <row r="568" spans="2:10" x14ac:dyDescent="0.2">
      <c r="B568" s="104"/>
      <c r="C568" s="104">
        <v>42677</v>
      </c>
      <c r="D568" s="105">
        <v>55</v>
      </c>
      <c r="E568" s="106"/>
      <c r="F568" s="339" t="s">
        <v>3199</v>
      </c>
      <c r="G568" s="340"/>
      <c r="H568" s="93"/>
      <c r="I568" s="93">
        <v>10000</v>
      </c>
      <c r="J568" s="133">
        <f>+J566+H568-I568</f>
        <v>42432.179999999993</v>
      </c>
    </row>
    <row r="569" spans="2:10" x14ac:dyDescent="0.2">
      <c r="B569" s="104"/>
      <c r="C569" s="104">
        <v>42678</v>
      </c>
      <c r="D569" s="105">
        <v>1116</v>
      </c>
      <c r="E569" s="106"/>
      <c r="F569" s="339" t="s">
        <v>3200</v>
      </c>
      <c r="G569" s="340" t="s">
        <v>211</v>
      </c>
      <c r="H569" s="93">
        <v>300</v>
      </c>
      <c r="I569" s="93"/>
      <c r="J569" s="133">
        <f t="shared" si="28"/>
        <v>42732.179999999993</v>
      </c>
    </row>
    <row r="570" spans="2:10" x14ac:dyDescent="0.2">
      <c r="B570" s="104"/>
      <c r="C570" s="104">
        <v>42678</v>
      </c>
      <c r="D570" s="105"/>
      <c r="E570" s="106"/>
      <c r="F570" s="339" t="s">
        <v>1539</v>
      </c>
      <c r="G570" s="340" t="s">
        <v>1540</v>
      </c>
      <c r="H570" s="93">
        <v>0.46</v>
      </c>
      <c r="I570" s="93"/>
      <c r="J570" s="133">
        <f t="shared" si="28"/>
        <v>42732.639999999992</v>
      </c>
    </row>
    <row r="571" spans="2:10" x14ac:dyDescent="0.2">
      <c r="B571" s="104"/>
      <c r="C571" s="104">
        <v>42682</v>
      </c>
      <c r="D571" s="105">
        <v>56</v>
      </c>
      <c r="E571" s="106"/>
      <c r="F571" s="339" t="s">
        <v>3201</v>
      </c>
      <c r="G571" s="340"/>
      <c r="H571" s="93"/>
      <c r="I571" s="93">
        <v>3000</v>
      </c>
      <c r="J571" s="133">
        <f t="shared" si="28"/>
        <v>39732.639999999992</v>
      </c>
    </row>
    <row r="572" spans="2:10" x14ac:dyDescent="0.2">
      <c r="B572" s="104"/>
      <c r="C572" s="104">
        <v>42691</v>
      </c>
      <c r="D572" s="105">
        <v>57</v>
      </c>
      <c r="E572" s="106"/>
      <c r="F572" s="339" t="s">
        <v>3202</v>
      </c>
      <c r="G572" s="340"/>
      <c r="H572" s="93"/>
      <c r="I572" s="93">
        <v>1224</v>
      </c>
      <c r="J572" s="133">
        <f t="shared" si="28"/>
        <v>38508.639999999992</v>
      </c>
    </row>
    <row r="573" spans="2:10" x14ac:dyDescent="0.2">
      <c r="B573" s="104"/>
      <c r="C573" s="104">
        <v>42691</v>
      </c>
      <c r="D573" s="105">
        <v>58</v>
      </c>
      <c r="E573" s="106"/>
      <c r="F573" s="339" t="s">
        <v>3203</v>
      </c>
      <c r="G573" s="340"/>
      <c r="H573" s="93"/>
      <c r="I573" s="93">
        <v>1760</v>
      </c>
      <c r="J573" s="133">
        <f t="shared" si="28"/>
        <v>36748.639999999992</v>
      </c>
    </row>
    <row r="574" spans="2:10" x14ac:dyDescent="0.2">
      <c r="B574" s="104"/>
      <c r="C574" s="104">
        <v>42698</v>
      </c>
      <c r="D574" s="105">
        <v>8283</v>
      </c>
      <c r="E574" s="106"/>
      <c r="F574" s="339" t="s">
        <v>3204</v>
      </c>
      <c r="G574" s="340" t="s">
        <v>806</v>
      </c>
      <c r="H574" s="93">
        <v>11000</v>
      </c>
      <c r="I574" s="93"/>
      <c r="J574" s="133">
        <f t="shared" si="28"/>
        <v>47748.639999999992</v>
      </c>
    </row>
    <row r="575" spans="2:10" x14ac:dyDescent="0.2">
      <c r="B575" s="104"/>
      <c r="C575" s="104">
        <v>42698</v>
      </c>
      <c r="D575" s="105"/>
      <c r="E575" s="106"/>
      <c r="F575" s="339" t="s">
        <v>1605</v>
      </c>
      <c r="G575" s="340" t="s">
        <v>1540</v>
      </c>
      <c r="H575" s="93">
        <v>1760</v>
      </c>
      <c r="I575" s="93"/>
      <c r="J575" s="133">
        <f t="shared" si="28"/>
        <v>49508.639999999992</v>
      </c>
    </row>
    <row r="576" spans="2:10" x14ac:dyDescent="0.2">
      <c r="B576" s="104"/>
      <c r="C576" s="104">
        <v>42698</v>
      </c>
      <c r="D576" s="105">
        <v>59</v>
      </c>
      <c r="E576" s="106"/>
      <c r="F576" s="339" t="s">
        <v>3205</v>
      </c>
      <c r="G576" s="340"/>
      <c r="H576" s="93"/>
      <c r="I576" s="93">
        <v>14500</v>
      </c>
      <c r="J576" s="133">
        <f t="shared" si="28"/>
        <v>35008.639999999992</v>
      </c>
    </row>
    <row r="577" spans="2:10" x14ac:dyDescent="0.2">
      <c r="B577" s="104"/>
      <c r="C577" s="104">
        <v>42704</v>
      </c>
      <c r="D577" s="105">
        <v>60</v>
      </c>
      <c r="E577" s="106"/>
      <c r="F577" s="339" t="s">
        <v>3206</v>
      </c>
      <c r="G577" s="340"/>
      <c r="H577" s="93"/>
      <c r="I577" s="93">
        <v>14500</v>
      </c>
      <c r="J577" s="133">
        <f t="shared" si="28"/>
        <v>20508.639999999992</v>
      </c>
    </row>
    <row r="578" spans="2:10" x14ac:dyDescent="0.2">
      <c r="B578" s="104"/>
      <c r="C578" s="104">
        <v>42704</v>
      </c>
      <c r="D578" s="105"/>
      <c r="E578" s="106"/>
      <c r="F578" s="339" t="s">
        <v>3207</v>
      </c>
      <c r="G578" s="340" t="s">
        <v>1540</v>
      </c>
      <c r="H578" s="93"/>
      <c r="I578" s="93">
        <v>84</v>
      </c>
      <c r="J578" s="133">
        <f t="shared" si="28"/>
        <v>20424.639999999992</v>
      </c>
    </row>
    <row r="579" spans="2:10" x14ac:dyDescent="0.2">
      <c r="B579" s="104"/>
      <c r="C579" s="104">
        <v>42704</v>
      </c>
      <c r="D579" s="105"/>
      <c r="E579" s="106"/>
      <c r="F579" s="339" t="s">
        <v>1834</v>
      </c>
      <c r="G579" s="340" t="s">
        <v>1546</v>
      </c>
      <c r="H579" s="93"/>
      <c r="I579" s="93">
        <v>13.44</v>
      </c>
      <c r="J579" s="133">
        <f t="shared" si="28"/>
        <v>20411.199999999993</v>
      </c>
    </row>
    <row r="580" spans="2:10" ht="25.5" x14ac:dyDescent="0.2">
      <c r="B580" s="94" t="s">
        <v>1527</v>
      </c>
      <c r="C580" s="94" t="s">
        <v>1528</v>
      </c>
      <c r="D580" s="95" t="s">
        <v>1529</v>
      </c>
      <c r="E580" s="151"/>
      <c r="F580" s="327" t="s">
        <v>1531</v>
      </c>
      <c r="G580" s="3" t="s">
        <v>3</v>
      </c>
      <c r="H580" s="96" t="s">
        <v>1532</v>
      </c>
      <c r="I580" s="96" t="s">
        <v>1533</v>
      </c>
      <c r="J580" s="96" t="s">
        <v>1534</v>
      </c>
    </row>
    <row r="581" spans="2:10" x14ac:dyDescent="0.2">
      <c r="B581" s="104"/>
      <c r="C581" s="104"/>
      <c r="D581" s="105"/>
      <c r="E581" s="106"/>
      <c r="F581" s="106"/>
      <c r="G581" s="111"/>
      <c r="H581" s="93"/>
      <c r="I581" s="93"/>
      <c r="J581" s="133">
        <f>+J579+H581-I581</f>
        <v>20411.199999999993</v>
      </c>
    </row>
    <row r="582" spans="2:10" x14ac:dyDescent="0.2">
      <c r="B582" s="104"/>
      <c r="C582" s="104"/>
      <c r="D582" s="105"/>
      <c r="E582" s="106"/>
      <c r="F582" s="106"/>
      <c r="G582" s="111"/>
      <c r="H582" s="93"/>
      <c r="I582" s="93"/>
      <c r="J582" s="133">
        <f t="shared" ref="J582" si="29">+J581+H582-I582</f>
        <v>20411.199999999993</v>
      </c>
    </row>
    <row r="583" spans="2:10" x14ac:dyDescent="0.2">
      <c r="B583" s="104"/>
      <c r="C583" s="104"/>
      <c r="D583" s="105"/>
      <c r="E583" s="106"/>
      <c r="F583" s="106"/>
      <c r="G583" s="111"/>
      <c r="H583" s="93"/>
      <c r="I583" s="93"/>
      <c r="J583" s="133"/>
    </row>
    <row r="584" spans="2:10" x14ac:dyDescent="0.2">
      <c r="B584" s="104"/>
      <c r="C584" s="104"/>
      <c r="D584" s="105"/>
      <c r="E584" s="106"/>
      <c r="F584" s="106"/>
      <c r="G584" s="111"/>
      <c r="H584" s="93"/>
      <c r="I584" s="93"/>
      <c r="J584" s="133"/>
    </row>
  </sheetData>
  <mergeCells count="1">
    <mergeCell ref="H1:J1"/>
  </mergeCells>
  <pageMargins left="0.39370078740157483" right="0.98425196850393704" top="0.98425196850393704" bottom="0.98425196850393704" header="0.51181102362204722" footer="0.51181102362204722"/>
  <pageSetup scale="1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66</vt:i4>
      </vt:variant>
    </vt:vector>
  </HeadingPairs>
  <TitlesOfParts>
    <vt:vector size="74" baseType="lpstr">
      <vt:lpstr>base</vt:lpstr>
      <vt:lpstr>criterios</vt:lpstr>
      <vt:lpstr>Comprobación</vt:lpstr>
      <vt:lpstr>Cobranza</vt:lpstr>
      <vt:lpstr>Gasto</vt:lpstr>
      <vt:lpstr>Recibos</vt:lpstr>
      <vt:lpstr>financiero</vt:lpstr>
      <vt:lpstr>chequera</vt:lpstr>
      <vt:lpstr>ABR_2016</vt:lpstr>
      <vt:lpstr>AGO_2016</vt:lpstr>
      <vt:lpstr>financiero!Área_de_impresión</vt:lpstr>
      <vt:lpstr>BASE</vt:lpstr>
      <vt:lpstr>DIC_2016</vt:lpstr>
      <vt:lpstr>ENE_2016</vt:lpstr>
      <vt:lpstr>FEB_2016</vt:lpstr>
      <vt:lpstr>G_ABR_2016</vt:lpstr>
      <vt:lpstr>G_ADQ</vt:lpstr>
      <vt:lpstr>G_AGO_2016</vt:lpstr>
      <vt:lpstr>G_AGUA</vt:lpstr>
      <vt:lpstr>G_ALMVG</vt:lpstr>
      <vt:lpstr>G_ASLE</vt:lpstr>
      <vt:lpstr>G_CBR</vt:lpstr>
      <vt:lpstr>G_DIC_2016</vt:lpstr>
      <vt:lpstr>G_DIF</vt:lpstr>
      <vt:lpstr>G_ENE_2016</vt:lpstr>
      <vt:lpstr>G_FEB_2016</vt:lpstr>
      <vt:lpstr>G_HCTB</vt:lpstr>
      <vt:lpstr>G_HJRD</vt:lpstr>
      <vt:lpstr>G_INFRA</vt:lpstr>
      <vt:lpstr>G_IVA</vt:lpstr>
      <vt:lpstr>G_JDN</vt:lpstr>
      <vt:lpstr>G_JUL_2016</vt:lpstr>
      <vt:lpstr>G_JUN_2016</vt:lpstr>
      <vt:lpstr>G_MAR_2016</vt:lpstr>
      <vt:lpstr>G_MAY_2016</vt:lpstr>
      <vt:lpstr>G_MDC</vt:lpstr>
      <vt:lpstr>G_MTCBQ</vt:lpstr>
      <vt:lpstr>G_MTCP</vt:lpstr>
      <vt:lpstr>G_MTCST</vt:lpstr>
      <vt:lpstr>G_MTCYP</vt:lpstr>
      <vt:lpstr>G_MTILM</vt:lpstr>
      <vt:lpstr>G_MTLPZ</vt:lpstr>
      <vt:lpstr>G_MTPTA</vt:lpstr>
      <vt:lpstr>G_NMNVG</vt:lpstr>
      <vt:lpstr>G_NOV_2016</vt:lpstr>
      <vt:lpstr>G_OCT_2016</vt:lpstr>
      <vt:lpstr>G_ORG</vt:lpstr>
      <vt:lpstr>G_P_FIN</vt:lpstr>
      <vt:lpstr>G_P_IVA</vt:lpstr>
      <vt:lpstr>G_PAPE</vt:lpstr>
      <vt:lpstr>G_SEP_2016</vt:lpstr>
      <vt:lpstr>G_SÑ</vt:lpstr>
      <vt:lpstr>G_TLF</vt:lpstr>
      <vt:lpstr>G_TOTAL</vt:lpstr>
      <vt:lpstr>G_TRSP</vt:lpstr>
      <vt:lpstr>G_UNF</vt:lpstr>
      <vt:lpstr>G_USB</vt:lpstr>
      <vt:lpstr>G_VRS</vt:lpstr>
      <vt:lpstr>GASTO</vt:lpstr>
      <vt:lpstr>importe</vt:lpstr>
      <vt:lpstr>ING_CUOTAS</vt:lpstr>
      <vt:lpstr>ING_EXTRA</vt:lpstr>
      <vt:lpstr>ING_LLAVES</vt:lpstr>
      <vt:lpstr>ING_OTROS</vt:lpstr>
      <vt:lpstr>ING_TAR</vt:lpstr>
      <vt:lpstr>ING_TELE</vt:lpstr>
      <vt:lpstr>IVA</vt:lpstr>
      <vt:lpstr>JUL_2016</vt:lpstr>
      <vt:lpstr>JUN_2016</vt:lpstr>
      <vt:lpstr>MAR_2016</vt:lpstr>
      <vt:lpstr>MAY_2016</vt:lpstr>
      <vt:lpstr>NOV_2016</vt:lpstr>
      <vt:lpstr>OCT_2016</vt:lpstr>
      <vt:lpstr>SEP_2016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Ernesto Ramírez Lepe</dc:creator>
  <cp:lastModifiedBy>Hacienda de Coyoacan</cp:lastModifiedBy>
  <cp:lastPrinted>2016-12-19T18:59:27Z</cp:lastPrinted>
  <dcterms:created xsi:type="dcterms:W3CDTF">2016-10-21T17:43:06Z</dcterms:created>
  <dcterms:modified xsi:type="dcterms:W3CDTF">2017-01-03T21:02:47Z</dcterms:modified>
</cp:coreProperties>
</file>