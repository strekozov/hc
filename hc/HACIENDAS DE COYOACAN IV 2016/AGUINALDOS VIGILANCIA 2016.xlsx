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951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Hoja1!$A$1:$K$29</definedName>
  </definedNames>
  <calcPr calcId="144525"/>
</workbook>
</file>

<file path=xl/calcChain.xml><?xml version="1.0" encoding="utf-8"?>
<calcChain xmlns="http://schemas.openxmlformats.org/spreadsheetml/2006/main">
  <c r="F14" i="1" l="1"/>
  <c r="H14" i="1" s="1"/>
  <c r="G16" i="1" l="1"/>
  <c r="J39" i="1"/>
  <c r="H39" i="1"/>
  <c r="G39" i="1"/>
  <c r="J16" i="1"/>
  <c r="F13" i="1" l="1"/>
  <c r="H13" i="1" s="1"/>
  <c r="E12" i="1" l="1"/>
  <c r="F12" i="1" s="1"/>
  <c r="H12" i="1" s="1"/>
  <c r="F10" i="1"/>
  <c r="H10" i="1" s="1"/>
  <c r="F11" i="1"/>
  <c r="H11" i="1" s="1"/>
  <c r="F15" i="1"/>
  <c r="H15" i="1" s="1"/>
  <c r="F9" i="1"/>
  <c r="H9" i="1" s="1"/>
  <c r="F8" i="1"/>
  <c r="H8" i="1" s="1"/>
  <c r="F7" i="1"/>
  <c r="H7" i="1" s="1"/>
  <c r="F6" i="1"/>
  <c r="H16" i="1" l="1"/>
  <c r="E29" i="1"/>
</calcChain>
</file>

<file path=xl/sharedStrings.xml><?xml version="1.0" encoding="utf-8"?>
<sst xmlns="http://schemas.openxmlformats.org/spreadsheetml/2006/main" count="71" uniqueCount="46">
  <si>
    <t>N  O  M  B  R  E</t>
  </si>
  <si>
    <t>P  U  E  S  T  O</t>
  </si>
  <si>
    <t>Olegario Vázquez García</t>
  </si>
  <si>
    <t>Luis Manuel Jimenez G.</t>
  </si>
  <si>
    <t>J. Manuel Olivares Tamayo</t>
  </si>
  <si>
    <t>Roberto Carlos Arambula C.</t>
  </si>
  <si>
    <t>Miguel Soto Gonzalez</t>
  </si>
  <si>
    <t>José Asunción Dominguez</t>
  </si>
  <si>
    <t>Jordi Alejo Hernández</t>
  </si>
  <si>
    <t>Juan Sánchez Espino</t>
  </si>
  <si>
    <t>Jorge Luis Vázquez</t>
  </si>
  <si>
    <t>Jefe de Turno</t>
  </si>
  <si>
    <t>Camaras</t>
  </si>
  <si>
    <t>Vigilante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</si>
  <si>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</si>
  <si>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</si>
  <si>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</si>
  <si>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</si>
  <si>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</si>
  <si>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</si>
  <si>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</si>
  <si>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</si>
  <si>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</si>
  <si>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</si>
  <si>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</si>
  <si>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</si>
  <si>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</t>
  </si>
  <si>
    <t>FECHA</t>
  </si>
  <si>
    <t xml:space="preserve">DIAS   </t>
  </si>
  <si>
    <t>%</t>
  </si>
  <si>
    <t>GRATIFICACION</t>
  </si>
  <si>
    <t xml:space="preserve">SUELDO   </t>
  </si>
  <si>
    <t>QUINCENAL</t>
  </si>
  <si>
    <t>Supervisor  General</t>
  </si>
  <si>
    <t>LABORADOS</t>
  </si>
  <si>
    <t>Daniel Pérez Calderón</t>
  </si>
  <si>
    <t>EXTRAORDINARIA</t>
  </si>
  <si>
    <t xml:space="preserve">                                                              </t>
  </si>
  <si>
    <t xml:space="preserve">                                                                                                                               PAGO DE LA GRATIFICACION DE VIGILANCIA 2016</t>
  </si>
  <si>
    <t>TOTAL</t>
  </si>
  <si>
    <t>Gloria Mazzón Soto</t>
  </si>
  <si>
    <t>Secretaria</t>
  </si>
  <si>
    <t xml:space="preserve">Grisela Peralta </t>
  </si>
  <si>
    <t>Presidente</t>
  </si>
  <si>
    <t>PAGO DE GRATIFICACIONES ADMINISTRATIVO/CAMARAS</t>
  </si>
  <si>
    <t>Jesus Jimènez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</si>
</sst>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0" xfId="0" applyBorder="1"/>
    <xf numFmtId="1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9" fontId="0" fillId="0" borderId="0" xfId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2" borderId="5" xfId="0" applyFill="1" applyBorder="1"/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2" borderId="8" xfId="0" applyFill="1" applyBorder="1"/>
    <xf numFmtId="0" fontId="2" fillId="2" borderId="1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" xfId="0" applyNumberFormat="1" applyBorder="1" applyAlignment="1">
      <alignment horizontal="center"/>
    </xf>
    <xf numFmtId="0" fontId="0" fillId="0" borderId="0" xfId="0" applyFill="1" applyBorder="1"/>
    <xf numFmtId="0" fontId="0" fillId="0" borderId="6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7" xfId="0" applyBorder="1"/>
    <xf numFmtId="164" fontId="0" fillId="0" borderId="13" xfId="0" applyNumberFormat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tabSelected="1" zoomScaleNormal="100" workbookViewId="0">
      <selection activeCell="A11" sqref="A11"/>
    </sheetView>
  </sheetViews>
  <sheetFormatPr baseColWidth="10" defaultRowHeight="15" x14ac:dyDescent="0.25"/>
  <cols>
    <col min="1" max="1" width="4.140625" customWidth="1"/>
    <col min="2" max="2" width="25.42578125" customWidth="1"/>
    <col min="3" max="3" width="18" customWidth="1"/>
    <col min="4" max="4" width="16.140625" customWidth="1"/>
    <col min="5" max="5" width="11.7109375" customWidth="1"/>
    <col min="6" max="6" width="16.5703125" customWidth="1"/>
    <col min="7" max="7" width="14.5703125" customWidth="1"/>
    <col min="8" max="8" width="15.140625" customWidth="1"/>
    <col min="9" max="9" width="16.85546875" customWidth="1"/>
    <col min="10" max="10" width="16.28515625" customWidth="1"/>
  </cols>
  <sheetData>
    <row r="1" spans="1:10" x14ac:dyDescent="0.25">
      <c r="A1" s="28"/>
      <c r="B1" t="s">
        <v>37</v>
      </c>
      <c r="C1" s="28"/>
      <c r="D1" s="29" t="s">
        <v>38</v>
      </c>
      <c r="E1" s="28"/>
      <c r="F1" s="29"/>
      <c r="G1" s="29"/>
      <c r="H1" s="28"/>
    </row>
    <row r="3" spans="1:10" x14ac:dyDescent="0.25">
      <c r="A3" s="21"/>
      <c r="B3" s="22" t="s">
        <v>0</v>
      </c>
      <c r="C3" s="22" t="s">
        <v>1</v>
      </c>
      <c r="D3" s="22" t="s">
        <v>27</v>
      </c>
      <c r="E3" s="22" t="s">
        <v>28</v>
      </c>
      <c r="F3" s="22" t="s">
        <v>29</v>
      </c>
      <c r="G3" s="22" t="s">
        <v>31</v>
      </c>
      <c r="H3" s="17"/>
      <c r="I3" s="17" t="s">
        <v>30</v>
      </c>
      <c r="J3" s="23" t="s">
        <v>39</v>
      </c>
    </row>
    <row r="4" spans="1:10" ht="15" customHeight="1" x14ac:dyDescent="0.25">
      <c r="A4" s="24"/>
      <c r="B4" s="25"/>
      <c r="C4" s="17"/>
      <c r="D4" s="17" t="s">
        <v>26</v>
      </c>
      <c r="E4" s="17" t="s">
        <v>34</v>
      </c>
      <c r="F4" s="17" t="s">
        <v>30</v>
      </c>
      <c r="G4" s="17" t="s">
        <v>32</v>
      </c>
      <c r="H4" s="17" t="s">
        <v>30</v>
      </c>
      <c r="I4" s="17" t="s">
        <v>36</v>
      </c>
      <c r="J4" s="18" t="s">
        <v>30</v>
      </c>
    </row>
    <row r="5" spans="1:10" x14ac:dyDescent="0.25">
      <c r="A5" s="14"/>
      <c r="B5" s="7"/>
      <c r="C5" s="6"/>
      <c r="D5" s="6"/>
      <c r="E5" s="6"/>
      <c r="F5" s="6"/>
      <c r="G5" s="6"/>
      <c r="H5" s="7"/>
      <c r="J5" s="34"/>
    </row>
    <row r="6" spans="1:10" x14ac:dyDescent="0.25">
      <c r="A6" s="15">
        <v>1</v>
      </c>
      <c r="B6" s="7" t="s">
        <v>2</v>
      </c>
      <c r="C6" s="7" t="s">
        <v>11</v>
      </c>
      <c r="D6" s="8">
        <v>42005</v>
      </c>
      <c r="E6" s="5">
        <v>366</v>
      </c>
      <c r="F6" s="19">
        <f>+E6/366</f>
        <v>1</v>
      </c>
      <c r="G6" s="9">
        <v>2600</v>
      </c>
      <c r="H6" s="9">
        <v>2600</v>
      </c>
      <c r="I6" s="33">
        <v>200</v>
      </c>
      <c r="J6" s="20">
        <v>2800</v>
      </c>
    </row>
    <row r="7" spans="1:10" x14ac:dyDescent="0.25">
      <c r="A7" s="15">
        <v>2</v>
      </c>
      <c r="B7" s="7" t="s">
        <v>3</v>
      </c>
      <c r="C7" s="7" t="s">
        <v>13</v>
      </c>
      <c r="D7" s="8">
        <v>42656</v>
      </c>
      <c r="E7" s="5">
        <v>80</v>
      </c>
      <c r="F7" s="19">
        <f>+E7/366</f>
        <v>0.21857923497267759</v>
      </c>
      <c r="G7" s="9">
        <v>2100</v>
      </c>
      <c r="H7" s="9">
        <f t="shared" ref="H7:H12" si="0">+G7*F7</f>
        <v>459.01639344262293</v>
      </c>
      <c r="I7" s="33"/>
      <c r="J7" s="20">
        <v>459.02</v>
      </c>
    </row>
    <row r="8" spans="1:10" x14ac:dyDescent="0.25">
      <c r="A8" s="15">
        <v>3</v>
      </c>
      <c r="B8" s="7" t="s">
        <v>4</v>
      </c>
      <c r="C8" s="7" t="s">
        <v>33</v>
      </c>
      <c r="D8" s="8">
        <v>42005</v>
      </c>
      <c r="E8" s="5">
        <v>366</v>
      </c>
      <c r="F8" s="19">
        <f>+E8/366</f>
        <v>1</v>
      </c>
      <c r="G8" s="9">
        <v>4000</v>
      </c>
      <c r="H8" s="9">
        <f t="shared" si="0"/>
        <v>4000</v>
      </c>
      <c r="I8" s="33"/>
      <c r="J8" s="20">
        <v>4000</v>
      </c>
    </row>
    <row r="9" spans="1:10" x14ac:dyDescent="0.25">
      <c r="A9" s="15">
        <v>4</v>
      </c>
      <c r="B9" s="7" t="s">
        <v>5</v>
      </c>
      <c r="C9" s="7" t="s">
        <v>13</v>
      </c>
      <c r="D9" s="8">
        <v>42516</v>
      </c>
      <c r="E9" s="5">
        <v>220</v>
      </c>
      <c r="F9" s="19">
        <f>+E9/366</f>
        <v>0.60109289617486339</v>
      </c>
      <c r="G9" s="9">
        <v>2200</v>
      </c>
      <c r="H9" s="9">
        <f t="shared" si="0"/>
        <v>1322.4043715846994</v>
      </c>
      <c r="I9" s="33"/>
      <c r="J9" s="20">
        <v>1322.4</v>
      </c>
    </row>
    <row r="10" spans="1:10" x14ac:dyDescent="0.25">
      <c r="A10" s="15">
        <v>5</v>
      </c>
      <c r="B10" s="7" t="s">
        <v>6</v>
      </c>
      <c r="C10" s="7" t="s">
        <v>13</v>
      </c>
      <c r="D10" s="8">
        <v>42444</v>
      </c>
      <c r="E10" s="5">
        <v>294</v>
      </c>
      <c r="F10" s="19">
        <f t="shared" ref="F10:F15" si="1">+E10/366</f>
        <v>0.80327868852459017</v>
      </c>
      <c r="G10" s="9">
        <v>2100</v>
      </c>
      <c r="H10" s="9">
        <f t="shared" si="0"/>
        <v>1686.8852459016393</v>
      </c>
      <c r="I10" s="33"/>
      <c r="J10" s="20">
        <v>1686.89</v>
      </c>
    </row>
    <row r="11" spans="1:10" x14ac:dyDescent="0.25">
      <c r="A11" s="15">
        <v>6</v>
      </c>
      <c r="B11" s="7" t="s">
        <v>7</v>
      </c>
      <c r="C11" s="7" t="s">
        <v>11</v>
      </c>
      <c r="D11" s="8">
        <v>42005</v>
      </c>
      <c r="E11" s="5">
        <v>366</v>
      </c>
      <c r="F11" s="19">
        <f t="shared" si="1"/>
        <v>1</v>
      </c>
      <c r="G11" s="9">
        <v>4000</v>
      </c>
      <c r="H11" s="9">
        <f t="shared" si="0"/>
        <v>4000</v>
      </c>
      <c r="I11" s="33"/>
      <c r="J11" s="20">
        <v>4000</v>
      </c>
    </row>
    <row r="12" spans="1:10" x14ac:dyDescent="0.25">
      <c r="A12" s="15">
        <v>7</v>
      </c>
      <c r="B12" s="7" t="s">
        <v>8</v>
      </c>
      <c r="C12" s="7" t="s">
        <v>13</v>
      </c>
      <c r="D12" s="26">
        <v>42607</v>
      </c>
      <c r="E12" s="5">
        <f>-24+31+30+31+30+31</f>
        <v>129</v>
      </c>
      <c r="F12" s="19">
        <f t="shared" si="1"/>
        <v>0.35245901639344263</v>
      </c>
      <c r="G12" s="9">
        <v>2300</v>
      </c>
      <c r="H12" s="9">
        <f t="shared" si="0"/>
        <v>810.65573770491801</v>
      </c>
      <c r="I12" s="33"/>
      <c r="J12" s="20">
        <v>810.66</v>
      </c>
    </row>
    <row r="13" spans="1:10" x14ac:dyDescent="0.25">
      <c r="A13" s="15">
        <v>8</v>
      </c>
      <c r="B13" s="31" t="s">
        <v>35</v>
      </c>
      <c r="C13" s="31" t="s">
        <v>13</v>
      </c>
      <c r="D13" s="26">
        <v>42561</v>
      </c>
      <c r="E13" s="5">
        <v>175</v>
      </c>
      <c r="F13" s="19">
        <f t="shared" ref="F13:F14" si="2">+E13/366</f>
        <v>0.47814207650273222</v>
      </c>
      <c r="G13" s="9">
        <v>2200</v>
      </c>
      <c r="H13" s="9">
        <f t="shared" ref="H13:H14" si="3">+G13*F13</f>
        <v>1051.9125683060108</v>
      </c>
      <c r="I13" s="33"/>
      <c r="J13" s="20">
        <v>1051.9100000000001</v>
      </c>
    </row>
    <row r="14" spans="1:10" x14ac:dyDescent="0.25">
      <c r="A14" s="15">
        <v>9</v>
      </c>
      <c r="B14" s="31" t="s">
        <v>45</v>
      </c>
      <c r="C14" s="31" t="s">
        <v>13</v>
      </c>
      <c r="D14" s="26">
        <v>42692</v>
      </c>
      <c r="E14" s="5">
        <v>42</v>
      </c>
      <c r="F14" s="19">
        <f t="shared" si="2"/>
        <v>0.11475409836065574</v>
      </c>
      <c r="G14" s="9">
        <v>2200</v>
      </c>
      <c r="H14" s="9">
        <f t="shared" si="3"/>
        <v>252.45901639344262</v>
      </c>
      <c r="I14" s="33"/>
      <c r="J14" s="20">
        <v>252.46</v>
      </c>
    </row>
    <row r="15" spans="1:10" x14ac:dyDescent="0.25">
      <c r="A15" s="15">
        <v>11</v>
      </c>
      <c r="B15" s="7" t="s">
        <v>9</v>
      </c>
      <c r="C15" s="7" t="s">
        <v>13</v>
      </c>
      <c r="D15" s="26">
        <v>42607</v>
      </c>
      <c r="E15" s="5">
        <v>129</v>
      </c>
      <c r="F15" s="19">
        <f t="shared" si="1"/>
        <v>0.35245901639344263</v>
      </c>
      <c r="G15" s="9">
        <v>2800</v>
      </c>
      <c r="H15" s="9">
        <f t="shared" ref="H15" si="4">+G15*F15</f>
        <v>986.88524590163934</v>
      </c>
      <c r="I15" s="33"/>
      <c r="J15" s="20">
        <v>986.89</v>
      </c>
    </row>
    <row r="16" spans="1:10" ht="15.75" thickBot="1" x14ac:dyDescent="0.3">
      <c r="A16" s="16"/>
      <c r="B16" s="4"/>
      <c r="C16" s="4"/>
      <c r="D16" s="4"/>
      <c r="E16" s="32"/>
      <c r="F16" s="4"/>
      <c r="G16" s="11">
        <f>SUM(G6:G15)</f>
        <v>26500</v>
      </c>
      <c r="H16" s="36">
        <f>SUM(H6:H15)</f>
        <v>17170.21857923497</v>
      </c>
      <c r="I16" s="4"/>
      <c r="J16" s="27">
        <f>SUM(J6:J15)</f>
        <v>17370.23</v>
      </c>
    </row>
    <row r="17" spans="4:8" ht="15.75" thickTop="1" x14ac:dyDescent="0.25">
      <c r="D17" s="13" t="s">
        <v>14</v>
      </c>
      <c r="E17" s="30">
        <v>31</v>
      </c>
      <c r="F17" s="7"/>
    </row>
    <row r="18" spans="4:8" x14ac:dyDescent="0.25">
      <c r="D18" s="13" t="s">
        <v>15</v>
      </c>
      <c r="E18" s="30">
        <v>29</v>
      </c>
      <c r="F18" s="7"/>
    </row>
    <row r="19" spans="4:8" x14ac:dyDescent="0.25">
      <c r="D19" s="13" t="s">
        <v>16</v>
      </c>
      <c r="E19" s="30">
        <v>31</v>
      </c>
      <c r="F19" s="7"/>
    </row>
    <row r="20" spans="4:8" x14ac:dyDescent="0.25">
      <c r="D20" s="13" t="s">
        <v>17</v>
      </c>
      <c r="E20" s="30">
        <v>30</v>
      </c>
      <c r="F20" s="7"/>
    </row>
    <row r="21" spans="4:8" x14ac:dyDescent="0.25">
      <c r="D21" s="13" t="s">
        <v>18</v>
      </c>
      <c r="E21" s="30">
        <v>31</v>
      </c>
      <c r="F21" s="7"/>
    </row>
    <row r="22" spans="4:8" x14ac:dyDescent="0.25">
      <c r="D22" s="13" t="s">
        <v>19</v>
      </c>
      <c r="E22" s="30">
        <v>30</v>
      </c>
      <c r="F22" s="7"/>
    </row>
    <row r="23" spans="4:8" x14ac:dyDescent="0.25">
      <c r="D23" s="13" t="s">
        <v>20</v>
      </c>
      <c r="E23" s="30">
        <v>31</v>
      </c>
      <c r="F23" s="7"/>
    </row>
    <row r="24" spans="4:8" x14ac:dyDescent="0.25">
      <c r="D24" s="13" t="s">
        <v>21</v>
      </c>
      <c r="E24" s="30">
        <v>31</v>
      </c>
      <c r="F24" s="7"/>
    </row>
    <row r="25" spans="4:8" x14ac:dyDescent="0.25">
      <c r="D25" s="13" t="s">
        <v>22</v>
      </c>
      <c r="E25" s="30">
        <v>30</v>
      </c>
      <c r="F25" s="7"/>
    </row>
    <row r="26" spans="4:8" x14ac:dyDescent="0.25">
      <c r="D26" s="13" t="s">
        <v>23</v>
      </c>
      <c r="E26" s="30">
        <v>31</v>
      </c>
      <c r="F26" s="7"/>
    </row>
    <row r="27" spans="4:8" x14ac:dyDescent="0.25">
      <c r="D27" s="13" t="s">
        <v>24</v>
      </c>
      <c r="E27" s="30">
        <v>30</v>
      </c>
      <c r="F27" s="7"/>
    </row>
    <row r="28" spans="4:8" x14ac:dyDescent="0.25">
      <c r="D28" s="13" t="s">
        <v>25</v>
      </c>
      <c r="E28" s="30">
        <v>31</v>
      </c>
      <c r="F28" s="7"/>
    </row>
    <row r="29" spans="4:8" x14ac:dyDescent="0.25">
      <c r="E29" s="12">
        <f>SUM(E17:E28)</f>
        <v>366</v>
      </c>
    </row>
    <row r="31" spans="4:8" x14ac:dyDescent="0.25">
      <c r="D31" s="43"/>
      <c r="E31" s="44" t="s">
        <v>44</v>
      </c>
      <c r="F31" s="44"/>
      <c r="G31" s="44"/>
      <c r="H31" s="44"/>
    </row>
    <row r="33" spans="1:10" x14ac:dyDescent="0.25">
      <c r="A33" s="21"/>
      <c r="B33" s="22" t="s">
        <v>0</v>
      </c>
      <c r="C33" s="22" t="s">
        <v>1</v>
      </c>
      <c r="D33" s="22" t="s">
        <v>27</v>
      </c>
      <c r="E33" s="22" t="s">
        <v>28</v>
      </c>
      <c r="F33" s="22" t="s">
        <v>29</v>
      </c>
      <c r="G33" s="22" t="s">
        <v>31</v>
      </c>
      <c r="H33" s="17"/>
      <c r="I33" s="17" t="s">
        <v>30</v>
      </c>
      <c r="J33" s="23" t="s">
        <v>39</v>
      </c>
    </row>
    <row r="34" spans="1:10" x14ac:dyDescent="0.25">
      <c r="A34" s="24"/>
      <c r="B34" s="25"/>
      <c r="C34" s="17"/>
      <c r="D34" s="17" t="s">
        <v>26</v>
      </c>
      <c r="E34" s="17" t="s">
        <v>34</v>
      </c>
      <c r="F34" s="17" t="s">
        <v>30</v>
      </c>
      <c r="G34" s="17" t="s">
        <v>32</v>
      </c>
      <c r="H34" s="17" t="s">
        <v>30</v>
      </c>
      <c r="I34" s="17" t="s">
        <v>36</v>
      </c>
      <c r="J34" s="18" t="s">
        <v>30</v>
      </c>
    </row>
    <row r="35" spans="1:10" x14ac:dyDescent="0.25">
      <c r="J35" s="34"/>
    </row>
    <row r="36" spans="1:10" x14ac:dyDescent="0.25">
      <c r="A36" s="37">
        <v>1</v>
      </c>
      <c r="B36" t="s">
        <v>10</v>
      </c>
      <c r="C36" t="s">
        <v>12</v>
      </c>
      <c r="D36" s="38">
        <v>42005</v>
      </c>
      <c r="E36" s="39">
        <v>366</v>
      </c>
      <c r="F36" s="40">
        <v>1</v>
      </c>
      <c r="G36" s="33">
        <v>2100</v>
      </c>
      <c r="H36" s="33">
        <v>2100</v>
      </c>
      <c r="I36" s="33"/>
      <c r="J36" s="20">
        <v>2100</v>
      </c>
    </row>
    <row r="37" spans="1:10" x14ac:dyDescent="0.25">
      <c r="A37" s="37">
        <v>2</v>
      </c>
      <c r="B37" t="s">
        <v>40</v>
      </c>
      <c r="C37" t="s">
        <v>41</v>
      </c>
      <c r="D37" s="38">
        <v>42005</v>
      </c>
      <c r="E37" s="39">
        <v>366</v>
      </c>
      <c r="F37" s="40">
        <v>1</v>
      </c>
      <c r="G37" s="33">
        <v>2000</v>
      </c>
      <c r="H37" s="33">
        <v>2000</v>
      </c>
      <c r="I37" s="33">
        <v>1000</v>
      </c>
      <c r="J37" s="20">
        <v>3000</v>
      </c>
    </row>
    <row r="38" spans="1:10" x14ac:dyDescent="0.25">
      <c r="A38" s="41">
        <v>3</v>
      </c>
      <c r="B38" s="1" t="s">
        <v>42</v>
      </c>
      <c r="C38" s="1" t="s">
        <v>43</v>
      </c>
      <c r="D38" s="2">
        <v>42005</v>
      </c>
      <c r="E38" s="3">
        <v>366</v>
      </c>
      <c r="F38" s="42">
        <v>1</v>
      </c>
      <c r="G38" s="10">
        <v>4000</v>
      </c>
      <c r="H38" s="10">
        <v>4000</v>
      </c>
      <c r="I38" s="10"/>
      <c r="J38" s="35">
        <v>4000</v>
      </c>
    </row>
    <row r="39" spans="1:10" ht="15.75" thickBot="1" x14ac:dyDescent="0.3">
      <c r="G39" s="11">
        <f>SUM(G29:G38)</f>
        <v>8100</v>
      </c>
      <c r="H39" s="36">
        <f>SUM(H29:H38)</f>
        <v>8100</v>
      </c>
      <c r="I39" s="4"/>
      <c r="J39" s="27">
        <f>SUM(J29:J38)</f>
        <v>9100</v>
      </c>
    </row>
    <row r="40" spans="1:10" ht="15.75" thickTop="1" x14ac:dyDescent="0.25"/>
    <row r="46" spans="1:10" x14ac:dyDescent="0.25">
      <c r="C46" s="44"/>
    </row>
    <row r="48" spans="1:10" x14ac:dyDescent="0.25">
      <c r="D48" s="44"/>
    </row>
  </sheetData>
  <pageMargins left="0.59055118110236227" right="0" top="0.74803149606299213" bottom="0.74803149606299213" header="0.31496062992125984" footer="0.31496062992125984"/>
  <pageSetup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2016-12-08T21:49:20Z</cp:lastPrinted>
  <dcterms:created xsi:type="dcterms:W3CDTF">2016-11-16T19:29:15Z</dcterms:created>
  <dcterms:modified xsi:type="dcterms:W3CDTF">2016-12-08T21:52:26Z</dcterms:modified>
</cp:coreProperties>
</file>