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585" windowWidth="20730" windowHeight="9045" firstSheet="10" activeTab="13"/>
  </bookViews>
  <sheets>
    <sheet name="ENERO-15)" sheetId="6" r:id="rId1"/>
    <sheet name="FEBRERO-15" sheetId="7" r:id="rId2"/>
    <sheet name="MARZO-15" sheetId="4" r:id="rId3"/>
    <sheet name="ABRIL-15 " sheetId="5" r:id="rId4"/>
    <sheet name="MAYO-15 " sheetId="8" r:id="rId5"/>
    <sheet name="JUNIO-15  " sheetId="16" r:id="rId6"/>
    <sheet name="JULIO-15 " sheetId="10" r:id="rId7"/>
    <sheet name="AGOSTO-15 (BS)" sheetId="11" r:id="rId8"/>
    <sheet name="AGOSTO-15 (GP) (2)" sheetId="18" r:id="rId9"/>
    <sheet name="AGOSTO-15 (BS) Y (GP)" sheetId="15" r:id="rId10"/>
    <sheet name="SEPT-15 (2)" sheetId="12" r:id="rId11"/>
    <sheet name="OCTUBRE-15 (2)" sheetId="13" r:id="rId12"/>
    <sheet name="NOVIEMBRE-15 (2)" sheetId="14" r:id="rId13"/>
    <sheet name="DICIEMBRE-15" sheetId="2" r:id="rId14"/>
    <sheet name="Hoja3" sheetId="3" r:id="rId15"/>
    <sheet name="ESTADO DE CUENTA" sheetId="17" r:id="rId16"/>
  </sheets>
  <definedNames>
    <definedName name="_xlnm.Print_Area" localSheetId="3">'ABRIL-15 '!$B$1:$F$51</definedName>
    <definedName name="_xlnm.Print_Area" localSheetId="7">'AGOSTO-15 (BS)'!$B$1:$F$39</definedName>
    <definedName name="_xlnm.Print_Area" localSheetId="9">'AGOSTO-15 (BS) Y (GP)'!$B$1:$F$92</definedName>
    <definedName name="_xlnm.Print_Area" localSheetId="8">'AGOSTO-15 (GP) (2)'!$B$1:$F$60</definedName>
    <definedName name="_xlnm.Print_Area" localSheetId="13">'DICIEMBRE-15'!$B$1:$F$150</definedName>
    <definedName name="_xlnm.Print_Area" localSheetId="0">'ENERO-15)'!$B$1:$F$52</definedName>
    <definedName name="_xlnm.Print_Area" localSheetId="15">'ESTADO DE CUENTA'!$B$1:$F$21</definedName>
    <definedName name="_xlnm.Print_Area" localSheetId="1">'FEBRERO-15'!$B$1:$F$48</definedName>
    <definedName name="_xlnm.Print_Area" localSheetId="6">'JULIO-15 '!$B$1:$F$97</definedName>
    <definedName name="_xlnm.Print_Area" localSheetId="5">'JUNIO-15  '!$B$1:$F$84</definedName>
    <definedName name="_xlnm.Print_Area" localSheetId="2">'MARZO-15'!$B$1:$F$50</definedName>
    <definedName name="_xlnm.Print_Area" localSheetId="4">'MAYO-15 '!$B$1:$F$73</definedName>
    <definedName name="_xlnm.Print_Area" localSheetId="12">'NOVIEMBRE-15 (2)'!$B$1:$F$86</definedName>
    <definedName name="_xlnm.Print_Area" localSheetId="11">'OCTUBRE-15 (2)'!$B$1:$F$135</definedName>
    <definedName name="_xlnm.Print_Area" localSheetId="10">'SEPT-15 (2)'!$B$1:$F$127</definedName>
  </definedNames>
  <calcPr calcId="171027"/>
</workbook>
</file>

<file path=xl/calcChain.xml><?xml version="1.0" encoding="utf-8"?>
<calcChain xmlns="http://schemas.openxmlformats.org/spreadsheetml/2006/main">
  <c r="F6" i="2" l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6" i="14" l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19" i="17" l="1"/>
  <c r="F20" i="17" s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F65" i="15" s="1"/>
  <c r="F66" i="15" s="1"/>
  <c r="F67" i="15" s="1"/>
  <c r="F68" i="15" s="1"/>
  <c r="F69" i="15" s="1"/>
  <c r="F70" i="15" s="1"/>
  <c r="F71" i="15" s="1"/>
  <c r="F72" i="15" s="1"/>
  <c r="F73" i="15" s="1"/>
  <c r="F74" i="15" s="1"/>
  <c r="F75" i="15" s="1"/>
  <c r="F76" i="15" s="1"/>
  <c r="F77" i="15" s="1"/>
  <c r="F78" i="15" s="1"/>
  <c r="F79" i="15" s="1"/>
  <c r="F80" i="15" s="1"/>
  <c r="F81" i="15" s="1"/>
  <c r="F82" i="15" s="1"/>
  <c r="F83" i="15" s="1"/>
  <c r="F84" i="15" s="1"/>
  <c r="F85" i="15" s="1"/>
  <c r="F86" i="15" s="1"/>
  <c r="F87" i="15" s="1"/>
  <c r="F88" i="15" s="1"/>
  <c r="F89" i="15" s="1"/>
  <c r="F90" i="15" s="1"/>
  <c r="F91" i="15" s="1"/>
  <c r="E60" i="18"/>
  <c r="D60" i="18"/>
  <c r="F6" i="18"/>
  <c r="F7" i="18" s="1"/>
  <c r="F8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10" i="17" l="1"/>
  <c r="F11" i="17" s="1"/>
  <c r="F12" i="17" s="1"/>
  <c r="F13" i="17" s="1"/>
  <c r="F14" i="17" s="1"/>
  <c r="F15" i="17" s="1"/>
  <c r="F16" i="17" s="1"/>
  <c r="F17" i="17" s="1"/>
  <c r="E21" i="17"/>
  <c r="D21" i="17"/>
  <c r="D22" i="3" l="1"/>
  <c r="F6" i="13" l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6" i="12" l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6" i="16" l="1"/>
  <c r="F88" i="16" l="1"/>
  <c r="E84" i="16"/>
  <c r="E90" i="16" s="1"/>
  <c r="D84" i="16"/>
  <c r="F7" i="16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53" i="16" s="1"/>
  <c r="F54" i="16" s="1"/>
  <c r="F55" i="16" s="1"/>
  <c r="F56" i="16" s="1"/>
  <c r="F57" i="16" s="1"/>
  <c r="F58" i="16" s="1"/>
  <c r="F59" i="16" s="1"/>
  <c r="F60" i="16" s="1"/>
  <c r="F61" i="16" s="1"/>
  <c r="F62" i="16" s="1"/>
  <c r="F63" i="16" s="1"/>
  <c r="F64" i="16" s="1"/>
  <c r="F65" i="16" s="1"/>
  <c r="F66" i="16" s="1"/>
  <c r="F67" i="16" s="1"/>
  <c r="F68" i="16" s="1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F6" i="11" l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E92" i="15" l="1"/>
  <c r="D92" i="15"/>
  <c r="E97" i="10" l="1"/>
  <c r="F6" i="10" l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6" i="6" l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6" i="8" l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" i="5" l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7" i="4" l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7" i="7" l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86" i="14" l="1"/>
  <c r="D86" i="14"/>
  <c r="E135" i="13" l="1"/>
  <c r="D135" i="13"/>
  <c r="E127" i="12" l="1"/>
  <c r="D127" i="12"/>
  <c r="E39" i="11" l="1"/>
  <c r="D39" i="11"/>
  <c r="E150" i="2" l="1"/>
  <c r="D150" i="2" l="1"/>
  <c r="D97" i="10"/>
  <c r="E69" i="8" l="1"/>
  <c r="E74" i="8" s="1"/>
  <c r="D69" i="8"/>
  <c r="E46" i="4" l="1"/>
  <c r="E43" i="7" l="1"/>
  <c r="D43" i="7"/>
  <c r="E47" i="6"/>
  <c r="D47" i="6"/>
  <c r="E46" i="5" l="1"/>
  <c r="D46" i="5"/>
  <c r="D46" i="4" l="1"/>
</calcChain>
</file>

<file path=xl/comments1.xml><?xml version="1.0" encoding="utf-8"?>
<comments xmlns="http://schemas.openxmlformats.org/spreadsheetml/2006/main">
  <authors>
    <author>Bsala</author>
  </authors>
  <commentList>
    <comment ref="E87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se hizo con el cheque # 230 el dia 16/jun/15 directamente al Ing Roberto Mendoza por  el Dr. Oscar Roldan
</t>
        </r>
      </text>
    </comment>
  </commentList>
</comments>
</file>

<file path=xl/sharedStrings.xml><?xml version="1.0" encoding="utf-8"?>
<sst xmlns="http://schemas.openxmlformats.org/spreadsheetml/2006/main" count="1192" uniqueCount="804">
  <si>
    <t>TOTAL</t>
  </si>
  <si>
    <t>FECHA</t>
  </si>
  <si>
    <t>CONCEPTO</t>
  </si>
  <si>
    <t>INGRESOS</t>
  </si>
  <si>
    <t>DIFERENCIA</t>
  </si>
  <si>
    <t>EGRESOS</t>
  </si>
  <si>
    <t>Saldo del mes de Enero/14</t>
  </si>
  <si>
    <t>EFECTIVO</t>
  </si>
  <si>
    <t>Saldo del mes de Abril/14</t>
  </si>
  <si>
    <t>INGRESOS Y EGRESOS DEL MES DE ENERO/15</t>
  </si>
  <si>
    <t>INGRESOS Y EGRESOS DEL MES DE FEBRERO/15</t>
  </si>
  <si>
    <t>INGRESOS Y EGRESOS DEL MES DE MARZO/15</t>
  </si>
  <si>
    <t>INGRESOS Y EGRESOS DEL MES DE ABRIL/15</t>
  </si>
  <si>
    <t>Saldo del mes de Marzo/15</t>
  </si>
  <si>
    <t>Saldo mes anterior-Febrero/15</t>
  </si>
  <si>
    <t>INGRESOS Y EGRESOS DEL MES DE MAYO/15</t>
  </si>
  <si>
    <t>INGRESOS Y EGRESOS DEL MES DE JULIO/15</t>
  </si>
  <si>
    <t>Saldo del mes de junio/15</t>
  </si>
  <si>
    <t>INGRESOS Y EGRESOS DEL MES DE AGOSTO/15</t>
  </si>
  <si>
    <t>Saldo del mes de julio/15</t>
  </si>
  <si>
    <t>INGRESOS Y EGRESOS DEL MES DE SEPTIEMBRE/15</t>
  </si>
  <si>
    <t>Saldo del mes de Agosto/15</t>
  </si>
  <si>
    <t>INGRESOS Y EGRESOS DEL MES DE OCTUBRE/15</t>
  </si>
  <si>
    <t>Saldo del mes de Septiembre/15</t>
  </si>
  <si>
    <t>INGRESOS Y EGRESOS DEL MES DE NOVIEMBRE/15</t>
  </si>
  <si>
    <t>Saldo del mes de Octubre/15</t>
  </si>
  <si>
    <t>INGRESOS Y EGRESOS DEL MES DE DICIEMBRE/15</t>
  </si>
  <si>
    <t>Saldo del mes de Noviembre/15</t>
  </si>
  <si>
    <t>INGRESOS Y EGRESOS DEL MES DE JUNIO/15</t>
  </si>
  <si>
    <t>Saldo del mes de Mayo/15</t>
  </si>
  <si>
    <t>Ferre Electrica Diaz, 10 cinchos para fijar lonas</t>
  </si>
  <si>
    <t>Saldo del mes de diciembre/14</t>
  </si>
  <si>
    <t>Gloria Mazzón, pago honorarios por captura de datos</t>
  </si>
  <si>
    <t>Entrega al Sr. Baldemar Sala Bay para gastos varios</t>
  </si>
  <si>
    <t>Siegrist Contadores Publicos, honorarios profesionales mes dic/14</t>
  </si>
  <si>
    <t>Electropura, S. de R.L. de C.V. compra de 3 garrafones de agua</t>
  </si>
  <si>
    <t>Nueva Walmart de México, S. de R.L. de C.V. compra mat. Limpieza</t>
  </si>
  <si>
    <t>Jorge Dithurbide Cañizares, Grupo Gama, pago 1° quincena  ene/15</t>
  </si>
  <si>
    <t>Artemio Mora Torres, pago correspondiente a la 1° quincena ene/15</t>
  </si>
  <si>
    <t>Advance Servicio CCTV y Cómputo, honorarios reparacion cableado</t>
  </si>
  <si>
    <t>MD Gran Formato, S.A. de C.V. 1 metro cuadrado lona impresa</t>
  </si>
  <si>
    <t>Roberto Miranda, gratificación por recolección de basura parque</t>
  </si>
  <si>
    <t>Office Depot de México, S.A. de C.V. compra de 4 cartuchos epson</t>
  </si>
  <si>
    <t>Gloria Mazzón, pago de honorarios por captura de datos</t>
  </si>
  <si>
    <t>SAT Servicio de administración tributaría, Colegio Carmel, enero/15</t>
  </si>
  <si>
    <t>Siegrist Contadores Publicos, honorarios profesionales mes ene/15</t>
  </si>
  <si>
    <t>Electropura, S. de R.L. de C.V. compra de 2 garrafones de agua</t>
  </si>
  <si>
    <t>José Alberto González, anticipo para compra de materiales parque</t>
  </si>
  <si>
    <t>Eguía Impresos, 460 copias informe anual</t>
  </si>
  <si>
    <t>José Alberto González, por concepto de pago poda de pasto parque</t>
  </si>
  <si>
    <t>Advance Servicio CCTV y Cómputo, respaldo de una videograbación</t>
  </si>
  <si>
    <t>Manuel Olivares, pago por quitar publlicidad de todas las rejas</t>
  </si>
  <si>
    <t>Jorge López, gratificación por cambio de 5 luminarias en el fracc.</t>
  </si>
  <si>
    <t>Pedro Cortes, pago por recolección de basura en todo el fracc.</t>
  </si>
  <si>
    <t>Jorge Dithurbide Cañizare, Grupo Gama, pago 2° quincena enero/15</t>
  </si>
  <si>
    <t>Artemio Mora Torres, pago correspondiente a la 2° quincena ene/15</t>
  </si>
  <si>
    <t>Advanced Servicio CCTV y Cómputo, 2 barreras vehiculares en alum.</t>
  </si>
  <si>
    <t>Advanced Servicio CCTV y Cómputo, configuración de DVR en grab.</t>
  </si>
  <si>
    <t>Aldama, S.A. compra de una bomba para bicicleta</t>
  </si>
  <si>
    <t>Pedro Cortes, gratificación por recoger y tirar el pasto podado</t>
  </si>
  <si>
    <t>Jorge López, cambiar 9 luminarias en la calle del Hueso</t>
  </si>
  <si>
    <t>Jorge López, gasto para comida de la cuadrilla que esta trabajando</t>
  </si>
  <si>
    <t>Electropura, S. de R.L. de C.V., 2 garrafones de agua</t>
  </si>
  <si>
    <t>Telefonos de México SAB de C.V. mes de dic/14 y ene/15</t>
  </si>
  <si>
    <t>Electropura, S de R.L. de C.V. 3 garrafones</t>
  </si>
  <si>
    <t>Advanced Servicio CCTV y Cómputo, pago honorarios por respaldo</t>
  </si>
  <si>
    <t>Olegario Vázquez, gratificación especial por el trabajo de tarjetones</t>
  </si>
  <si>
    <t>Humberto Soto, gratificación especial por el trabajo de tarjetones</t>
  </si>
  <si>
    <t>Gloria Mazzón Soto, pago de honorarios por captura de datos</t>
  </si>
  <si>
    <t>Jorge López, cambio 7 luminarias, EZ,RM, eq. UP,LD,UP,RV,CL</t>
  </si>
  <si>
    <t>Distribución de papelería y ferretería el Capricho, material hoyo</t>
  </si>
  <si>
    <t>Office Depot de México, S.A. de C.V. compra de material papeleria</t>
  </si>
  <si>
    <t>Electropura, S de R.L. de C.V. 2 garrafones</t>
  </si>
  <si>
    <t>Jorge López, cambio luminarias, CL, EZ, HS, ZB y parque</t>
  </si>
  <si>
    <t>Manuel Olivares, pavimentar hoyo en la calle de Cuchilla y Estopila</t>
  </si>
  <si>
    <t>Horacio Campos, 50 duplicados de llaves kale</t>
  </si>
  <si>
    <t>Artemio Mora Torres, 1° quincena febrero/15</t>
  </si>
  <si>
    <t>Jorge Dithurbide Cañizares, Grupo Gama, pago 1° quincena  feb/15</t>
  </si>
  <si>
    <t>Constantino Cabrera, poda de pasto de la entrada caseta Romeral</t>
  </si>
  <si>
    <t>Electropura, S. de R.L. de C.V. 2 garrafones de agua</t>
  </si>
  <si>
    <t>Siegrist Contadores Publicos, honorarios profesionales mes feb/15</t>
  </si>
  <si>
    <t>Alberto González, recoger y barrer la hojarasca del parque</t>
  </si>
  <si>
    <t xml:space="preserve">Advanced Servicio CCTV y Cómputo, anticipo  compra 8 camaras </t>
  </si>
  <si>
    <t>Pedro Cortés, recoger y tirar toda la hojarasca del parque</t>
  </si>
  <si>
    <t>Electropura, S. de R.L. de C.V. 3 garrafones de agua</t>
  </si>
  <si>
    <t>Jorge Dithurbide Cañizares, Grupo Gama, pago 2° quincena  feb/15</t>
  </si>
  <si>
    <t>Artemio Mora Torres, 2° quincena febrero/15</t>
  </si>
  <si>
    <t>Roberto Miranda, gratificación quincenal por limpieza del parque</t>
  </si>
  <si>
    <t>Pedro Cortés, gratificación por recolección de basura del fraccionamien.</t>
  </si>
  <si>
    <t>Telefonos de México, SAB de C.V., pago mes de Febrero/15</t>
  </si>
  <si>
    <t>Electropura, S. de R.L. de C.V., compra de 3 garrafones</t>
  </si>
  <si>
    <t>Roberto Miranda, Gratificación por recolección de basura</t>
  </si>
  <si>
    <t>Roberto Miranda, Gratificación especial por recoger la hojarasca</t>
  </si>
  <si>
    <t xml:space="preserve">Adanced Servicio y Cómputo, respaldo de una videograbación </t>
  </si>
  <si>
    <t>Grupo ERN, compra de 10 gabinete plastico</t>
  </si>
  <si>
    <t>Gloria Mazzón, pago por captura de datos</t>
  </si>
  <si>
    <t>Dr. Oscar Roldan, gastos erogados en el globo, con motivo de juntas</t>
  </si>
  <si>
    <t>Electropura, S. de R.L. de C.V., compra de 2 garrafones</t>
  </si>
  <si>
    <t>Home Depot México, S. de R.L. de C.V. compra 3 conos señalizaciones</t>
  </si>
  <si>
    <t>Jorge Dithurbide Cañizares, Grupo Gama, pago 1° quincena  marzo/15</t>
  </si>
  <si>
    <t>Artemio Mora Torres, 1° quincena marzo/15</t>
  </si>
  <si>
    <t>Cambio palanca frenos y ajuste de los mismos (bicicletas)</t>
  </si>
  <si>
    <t>Adanced Servicio y Cómputo, pago honorarios configuración tarjetas</t>
  </si>
  <si>
    <t>Cambio eje trasero,alineación y cambio de baleros, ajuste taza (biciclet)</t>
  </si>
  <si>
    <t>Siegrist Contadores Publicos, pago honorarios profesionales marzo/15</t>
  </si>
  <si>
    <t xml:space="preserve">Roberto Medina, gratificación especial por barrer y recoger basura </t>
  </si>
  <si>
    <t>Electropura, S. de R.L. de C.V. compra de 3 garrafones</t>
  </si>
  <si>
    <t xml:space="preserve">Electropura, S. de R.L. de C.V. compra de 2 garrafones </t>
  </si>
  <si>
    <t>Facturar en Linea, S. de R.L. de C.V. compra de 1 paquete de 25 cfdis</t>
  </si>
  <si>
    <t>Esteban Alejo, compra de pintura para caseta el cual se llevo y no regres</t>
  </si>
  <si>
    <t>Gloria Mazzón, pago por captura de datos y 1 día adicional domingo 15</t>
  </si>
  <si>
    <t xml:space="preserve">Gloria Mazzón, pago por captura de datos    </t>
  </si>
  <si>
    <t>Entrega al Sr. Baldemar Sala Bay para gasto varios</t>
  </si>
  <si>
    <t>Advanced Servicio CCTV y Cómputo, respaldo de una videograbación</t>
  </si>
  <si>
    <t>Impresiones Graficas, costo de elaboración de 500 recibos, cobranza</t>
  </si>
  <si>
    <t>Jorge Dithurbide Cañizares, Grupo Gama, pago 2° quincena  marzo/15</t>
  </si>
  <si>
    <t>Artemio Mora Torres, 2° quincena marzo/15</t>
  </si>
  <si>
    <t>Advanced Servicio CCTV y Cómputo, compra de 3 tarjetas con clip</t>
  </si>
  <si>
    <t>Advamced Servicio CCTV y Cómputo, liq. Instalación de circuito de 8 c.</t>
  </si>
  <si>
    <t>Electroura, S. de R.L. de C.V. compra 1 garrafon de agua</t>
  </si>
  <si>
    <t>Roberto Medina, gratificación especial por barrer y tirar basura</t>
  </si>
  <si>
    <t>Electropura, S. de R.L. de C.V. compra 3 garragones de agua</t>
  </si>
  <si>
    <t>Gloria Mazzón, pago por concepto de captura de datos</t>
  </si>
  <si>
    <t>Electropura, S. de R.L. de C.V. compra 2 garragones de agua</t>
  </si>
  <si>
    <t>Office Depot de México, S.A. de C.V. compra de papelería</t>
  </si>
  <si>
    <t>Eguía Impresos, compra de 460 juegos de copias Bond Carta</t>
  </si>
  <si>
    <t>José Alberto González, pago por poda y recolección de pasto del fracc|</t>
  </si>
  <si>
    <t>Electropura, S. de R.L. de C.V., compra de 1 garrafon de agua</t>
  </si>
  <si>
    <t>Telefonos de México, S.A.B. de C.V. pago del mes de marzo/15</t>
  </si>
  <si>
    <t>Siegrist Contadores Publicos, pago honorarios profesionales abril/15</t>
  </si>
  <si>
    <t>Advanced, Servicio CCTV y Cómputo, pago por respalde de videograba.</t>
  </si>
  <si>
    <t>Pedro Cortés, gratificación por la recolección de basura del fraccionami</t>
  </si>
  <si>
    <t>Jorge Dithurbide Cañizares, Grupo Gama, pago 1° quincena abril/15</t>
  </si>
  <si>
    <t>Artemio Mora Torres, pago 1° quincena abril/15</t>
  </si>
  <si>
    <t xml:space="preserve">Servicio CCTV y Cómputo, compra de 50 tarjetas y reconfigutación </t>
  </si>
  <si>
    <t>Eguía Impresos, compra de 450 juegos de copias Bond Carta</t>
  </si>
  <si>
    <t>Pedro Bazan, compostura camion asignado para recoger basura</t>
  </si>
  <si>
    <t>Home Depot México, S. de R.L. de C.V. compra de 1 cadena puerta RM</t>
  </si>
  <si>
    <t>Contro de Plagas, servicio de aplicación contra insectos en general</t>
  </si>
  <si>
    <t>Manuel Olivares, quitar propaganda y mantas de las rejas del Hueso</t>
  </si>
  <si>
    <t>Advanced, Servicio CCTV y Cómputo, pago por 2 respaldos  videograba.</t>
  </si>
  <si>
    <t>Advanced, Servicio CCTV y Cómputo, compra 10 fuentes de energia</t>
  </si>
  <si>
    <t>SAT Administración Tributaria, Colegio Carmer mes de marzo/15</t>
  </si>
  <si>
    <t>Electropura S. de R.L. de C.V. compra 1 garrafon de agua</t>
  </si>
  <si>
    <t>Roberto Medina, gratificación por trabajos adicionales en ZB Y EZ</t>
  </si>
  <si>
    <t>Entrega al Sr. Baldemar Sala para gastos varios</t>
  </si>
  <si>
    <t>Telefonos de México, SAB de C.V. pago el mes de abril/15</t>
  </si>
  <si>
    <t>Electropura S. de R.L. de C.V. compra 3 garrafon de agua</t>
  </si>
  <si>
    <t>Cadena Comercial Oxxo, S.A. de C.V.  Compra de agua ciel</t>
  </si>
  <si>
    <t>Cadena Comercial Oxxo, S.A. de C.V.  Compra de vasos</t>
  </si>
  <si>
    <t>Pedro Cortes, gratificación mensual por recolectar la basura en abril/15</t>
  </si>
  <si>
    <t>Aldan Electríonica, S.A. de C.V. compra de cable espiral telefonico</t>
  </si>
  <si>
    <t>Eguía Impresos, 30 copias</t>
  </si>
  <si>
    <t>Horacio Campos, reparación y ajuste de chapa en Romeral</t>
  </si>
  <si>
    <t>Horacio Campos, reparación y ajuste de chapa LD, EP Y RV</t>
  </si>
  <si>
    <t>Eguía Impresos, 27 copias</t>
  </si>
  <si>
    <t>Daniel Chávez, pago a comidas proporcionadas a los trabajadores delg.</t>
  </si>
  <si>
    <t xml:space="preserve">Cristino Cabrera, Trabajos de jardinería en la caseta de Romeral </t>
  </si>
  <si>
    <t>Agua Dally Inmaculada, compra de 4 garrafones</t>
  </si>
  <si>
    <t xml:space="preserve">Eguía Impresos, 43 copias </t>
  </si>
  <si>
    <t>Jorge Dithurbide Cañizares, Grupo Gama, pago 1° quincena mayo/15</t>
  </si>
  <si>
    <t>Advanced Servicio y Cómputo, Respaldo de una Videograbación</t>
  </si>
  <si>
    <t>Roberto Medina, gratificación por barrer y recoger basura 1a quincena</t>
  </si>
  <si>
    <t>Cadena Comercial Oxxo, S.A. de C.V. compra de 1 garrafon de agua</t>
  </si>
  <si>
    <t xml:space="preserve">José Alberto González, por poda de pasto del parque y recolección </t>
  </si>
  <si>
    <t>Nueva Walmart de México, S. de R.L. de C.V. compra productos de limp</t>
  </si>
  <si>
    <t xml:space="preserve">Ferre Electrica Díaz, 1 rollo poliflex 3/4 y 5 chaluyas </t>
  </si>
  <si>
    <t>Ferre Electrica Díaz, 5 caja 3/4 gair y 5 tapas 3/4 gair</t>
  </si>
  <si>
    <t>Electropura, S. de R.L. de C.V. compra de 1 garrafon de agua</t>
  </si>
  <si>
    <t>Office Depot de México, S.A. de C.V. compra de cartuchos impresora</t>
  </si>
  <si>
    <t>Eguía Impresos, 450 copias bond carta</t>
  </si>
  <si>
    <t>Ferre Electrica Díaz, destrabado de chapa</t>
  </si>
  <si>
    <t>Advanced Servicio y Cómputo, colocación de 40 metros de concertina</t>
  </si>
  <si>
    <t>Advanced Servicio y Cómputo, compra y configuración de 50 tarjetas</t>
  </si>
  <si>
    <t>Cerrajeria Azteca, copias tamaño carta</t>
  </si>
  <si>
    <t>Ferre Electrica Díaz, 1 rollo poliflex 3/4 c/guia</t>
  </si>
  <si>
    <t>Advanced Servicio CCTV y Cómputo, compra de una bobina de cable</t>
  </si>
  <si>
    <t>Pedro Cortes, gratificación por recoger y tirar todo el pasto del parque</t>
  </si>
  <si>
    <t>Electropura,S. de R.L. de C.V. compra de 2 garrafones de agua</t>
  </si>
  <si>
    <t>Jorge Dithurbide Cañizares, Grupo Gama, pago 2° quincena mayo/15</t>
  </si>
  <si>
    <t>Entrega al Sr. Baldemar Sala Bay, para gastos varios</t>
  </si>
  <si>
    <t>SAT Administración Tributaria, Colegio Carmel mes de mayo/15</t>
  </si>
  <si>
    <t>Artemio Mora Torres, pago 2° quincena mayo/15</t>
  </si>
  <si>
    <t>Ferre Electrica Díaz</t>
  </si>
  <si>
    <t>Electropura, S. de R.L. de C.V. compra de 2 garrafones</t>
  </si>
  <si>
    <t>Francisco Suarez, reparar el corto circuito en Landero y Upacuaro</t>
  </si>
  <si>
    <t>Pedro Cortés, gratificación por basura recolectada y tirada del fracc.</t>
  </si>
  <si>
    <t>Eguía impresos, 116 copias</t>
  </si>
  <si>
    <t>José Luis Hernández, trabajos de reparación para hacer dragado en EZ</t>
  </si>
  <si>
    <t>José Luis Hernández, gratificación por el servicio de dragado EZ y limpie</t>
  </si>
  <si>
    <t>Ing. Roberto Mendoza, trabajos topograficos</t>
  </si>
  <si>
    <t>Daniel Chavez, Pago a comidas proporcionadas a trabajadores delega</t>
  </si>
  <si>
    <t>Roberto Medina, gratificación por el trabajo especial de barrer fracc</t>
  </si>
  <si>
    <t>Siegrist Contadores Publicos, pago honorarios profesionales mayo/15</t>
  </si>
  <si>
    <t>Advanced servicio CCTV y Cómputo, compra de 8 fuentes de energía</t>
  </si>
  <si>
    <t>Ing. Roberto Mendoza, trabajos de electrificación, iluminación control</t>
  </si>
  <si>
    <t>Ferre Electrica Cristal, 45 mts cable uso rudo proteccion interna de maya</t>
  </si>
  <si>
    <t>Eletropura, S de R.L. de C.V., compra de 1 garrafon de agua</t>
  </si>
  <si>
    <t>Mario Martínez, pago por reparación pluma Zinampa</t>
  </si>
  <si>
    <t>Olegario Vázquez, pago por reparación pluma Zinampa</t>
  </si>
  <si>
    <t>Advanced servicio CCTV y Cómputo, pago por revisión extracción camar</t>
  </si>
  <si>
    <t>Servicio de grua, para llevarse automovil bandonado calle Zinampa</t>
  </si>
  <si>
    <t>Reparación de bicicleta de rondines</t>
  </si>
  <si>
    <t>Ayuda para alimentos, con motivo del dragado en calle Estanzuela</t>
  </si>
  <si>
    <t>Materiales y Tlapalería Metropolitana, 6 kg de cemento gris</t>
  </si>
  <si>
    <t>Telefonos de México, SAB  de C.V. pago mes de mayo/15</t>
  </si>
  <si>
    <t>Ayuda para alimentos, con motivo del dragado en calle Upacuaro</t>
  </si>
  <si>
    <t>Servicio de grua, para llevarse automovil bandonado calle Landero y HS</t>
  </si>
  <si>
    <t>José Luis Hernández, gratificación por el dragado de calle Upacuaro y CL</t>
  </si>
  <si>
    <t>José Manuel Olivares, detallar con pintura 3 puertas grafiteada</t>
  </si>
  <si>
    <t>Home Depot México, S. de R.L. de C.V. compra de cadena y candado</t>
  </si>
  <si>
    <t>Dr. Oscar Roldan pago de gastos erogados en el Globo cafetería</t>
  </si>
  <si>
    <t xml:space="preserve">Ing. Roberto Mendoza Ordoñez, pago por trabajos topograficos </t>
  </si>
  <si>
    <t>Ing. Roberto Mendoza Ordoñez, liq trabajos de electrificación, etc</t>
  </si>
  <si>
    <t>Comercializadora Caspin, S.A. de C.V. compra de pintura, thinner y bro</t>
  </si>
  <si>
    <t>Jorge Dithurbide Cañizares, Grupo Gama, pago 1° quincena jun/15</t>
  </si>
  <si>
    <t>Artemio Mora Torres, pago 1° quincena junl/15</t>
  </si>
  <si>
    <t>Isaias Rivero Ramíez, nobreak mt tobbin, fax garantia por 5 años</t>
  </si>
  <si>
    <t>Tecnoplaza Electrónica S.A. de C.V. compra varios</t>
  </si>
  <si>
    <t>Jorge Vázquez, honorarios camaras, desisntalar y revisar</t>
  </si>
  <si>
    <t>Pedro Hernández, mantenimiento mensual a las 8 chapas de las puertas</t>
  </si>
  <si>
    <t>Jóse Alberto González, pago por poda del parque y recolección de pasto</t>
  </si>
  <si>
    <t>Olegario Vázquez, pago por tapar 3 bahces en la calle de Zinampra y CL</t>
  </si>
  <si>
    <t>Jóse Luis Hernández, gratificación por el dragado en CL, los días 18 y 19</t>
  </si>
  <si>
    <t>Pedro Córtes, gratificación especial por recoger y tirar el pasto podado</t>
  </si>
  <si>
    <t>Vicente García, gratificación por el trabajo de revisión en el drenaje</t>
  </si>
  <si>
    <t># CHEQUE</t>
  </si>
  <si>
    <t>IMPORTE</t>
  </si>
  <si>
    <t>Entregado a Moen Grupo Industrial, anticipo de techado calle Romeral</t>
  </si>
  <si>
    <t>Entregado a Moen grupo industrial, liquidación de techado calle Romer</t>
  </si>
  <si>
    <t>Cerrajería Gran Sur,  50 duplicados de llaves travex</t>
  </si>
  <si>
    <t>Advanced, Servicio CCTV y Cómputo, pago de intalación de 3 camaras</t>
  </si>
  <si>
    <t>Eguía Impresos, 460 copias bond carta 3 por juego</t>
  </si>
  <si>
    <t>Constantino Cabrera, poda efectuada en la barda de ladrillo, en RM</t>
  </si>
  <si>
    <t>Ing. Roberto Mendoza Ordoñez, Ant. Diseño e impresión de Triptico</t>
  </si>
  <si>
    <t>Nueva Walmart de México, S. de R.L. de C.V. compra material limpieza</t>
  </si>
  <si>
    <t>Ing. Roberto Mendoza Ordoñez, Pago de taxis para transporte y acceso</t>
  </si>
  <si>
    <t>El Universal, Edicto para el fraccionamiento</t>
  </si>
  <si>
    <t>Ing. Roberto Mendoza Ordoñez, Liq. Diseño e impresión de Triptico</t>
  </si>
  <si>
    <t>Jorge Dithurbide Cañizares, Grupo Gama, pago 2° quincena jun/15</t>
  </si>
  <si>
    <t>Artemio Mora Torres, pago 2° quincena junl/15</t>
  </si>
  <si>
    <t>Pedro Cortés, gratificación por la recolección de basura del fraccionami.</t>
  </si>
  <si>
    <t>Ferre Electrica Cristal, compra de material eléctrico</t>
  </si>
  <si>
    <t>Entrega al Sr. Baldemar Sala Bay, para gastos varios (se entrego cheque)</t>
  </si>
  <si>
    <t xml:space="preserve">Gerardo Gutierrez, gratificación por trabajos de cambio de tubos </t>
  </si>
  <si>
    <t xml:space="preserve">José Luis Gómez, pago por el servicio de poda en la caseta RM </t>
  </si>
  <si>
    <t>Electropura, S. de R.L. de C.V., compra de 3 garrafones de agua</t>
  </si>
  <si>
    <t>Nueva Walmart de México, S. de R.L. de C.V. compra de material limp</t>
  </si>
  <si>
    <t>Tecto Plaza Electrónica, S.A. de C.V. compra de 3 camaras y material</t>
  </si>
  <si>
    <t>Ricardo García, gratificación por el manejo de las sillas utilizadas en el</t>
  </si>
  <si>
    <t>Ing. Roberto Mendoza Ordoñez, Ant. Reforzamiento a techumbre</t>
  </si>
  <si>
    <t>Banquetes Cafetales, Evento Sociales, renta de sillas y un tablon(3 días)</t>
  </si>
  <si>
    <t xml:space="preserve">Entrega al Sr. Baldemar Sala Bay, para gastos varios </t>
  </si>
  <si>
    <t>Ing. Roberto Mendoza Ordoñez, cobro de servicios mantenimiento dren</t>
  </si>
  <si>
    <t>Ing. Roberto Mendoza Ordoñez, Ant. 1/4 por estudio topografico fracc.</t>
  </si>
  <si>
    <t>Advanced Servicio CCTV y Cómputo, pago de intalación de 3 camaras</t>
  </si>
  <si>
    <t xml:space="preserve">Impresiones Graficas, compra de 1000 recibos de cobranza </t>
  </si>
  <si>
    <t>Sabina Péreaz González, comida que se le otorgarón al personal deleg</t>
  </si>
  <si>
    <t>Ing. Roberto Mendoza Ordoñez, pago de transporte semanal 5 personas</t>
  </si>
  <si>
    <t>Ing. Roberto Mendoza Ordoñez, compra de disel camión delegación</t>
  </si>
  <si>
    <t>Eguía Impresos, 450 COPIAS Bond Carta 2 por juego</t>
  </si>
  <si>
    <t>Ing. Roberto Mendoza Ordoñez, Liq. Reforzamiento a techumbre</t>
  </si>
  <si>
    <t>Ing. Roberto Mendoza Ordoñez, ant. 3/4 por estudio topografico fracc</t>
  </si>
  <si>
    <t>Ing. Roberto Mendoza Ordoñez, ant. 2/4 por estudio topografico fracc.</t>
  </si>
  <si>
    <t>Gregorio Bazaldoa, trabajo de plomería y combio de piezas en casetas</t>
  </si>
  <si>
    <t>Luis Hernández, trabajos de herrería, en 2 puertas y fabricación bastidor</t>
  </si>
  <si>
    <t>Nueva Walmart de México, S. de R.L. de C.V. compra productos casetas</t>
  </si>
  <si>
    <t>MD gran formato, pago de 2 mantas convocatoria votaciónes mesa direc</t>
  </si>
  <si>
    <t>Artemio Mora Torres, pago 1° quincena julio/15</t>
  </si>
  <si>
    <t>Jorge Dithurbide Cañizares, Grupo Gama, pago 1° quincena jul/15</t>
  </si>
  <si>
    <t>Luis Hernández, trabajos de reparación chapa Estanzuela/Hueso</t>
  </si>
  <si>
    <t>Ferre Electrica Díaz, 20 cinchos para colocación de mantas votaciónes</t>
  </si>
  <si>
    <t>MD gran formato, pago de 1 mantas convocatoria votaciónes mesa direc</t>
  </si>
  <si>
    <t>Roberto Medina, gratificación especial por recoger basura fracci.</t>
  </si>
  <si>
    <t>Ing. Roberto Mendoza Ordoñez, liq. 4/4 por estudio topografico fracc.</t>
  </si>
  <si>
    <t>Alquiladora Casa Reynoso, se alquilo 50 silla y tablon para votaciones</t>
  </si>
  <si>
    <t>Ing. Roberto Mendoza Ordoñez, pago de documento final desazolve</t>
  </si>
  <si>
    <t>Ing. Roberto Mendoza Ordoñez, pago  preparación y exposición dele.</t>
  </si>
  <si>
    <t>Telefonos de México, SAB de C.V. pago del mes de junio/15</t>
  </si>
  <si>
    <t xml:space="preserve">Advanced, Servicio CCTV y Cómputo, reparación de una camara </t>
  </si>
  <si>
    <t xml:space="preserve">Advanced, Servicio CCTV y Cómputo, sustitución de lente y fuente </t>
  </si>
  <si>
    <t>Electropura, S. de R.L. de C.V., compra de 2 garrafones de agua</t>
  </si>
  <si>
    <t>Tecto Plaza Electrónica, S.A. de C.V. compra de 1 camaras y material</t>
  </si>
  <si>
    <t>Advanced Servicio CCTV y Cómputo, 1 respaldo de videograbación USB</t>
  </si>
  <si>
    <t>Constantino Cabrera, remover los árboles chicos sembrados al lado</t>
  </si>
  <si>
    <t>Siegrist Contadores Publicos, pago honorarios profesionales junio/15</t>
  </si>
  <si>
    <t>Gloria Mazzón, pago por concepto de trabajo especial durante votacion</t>
  </si>
  <si>
    <t>Manuel Olivares, gratificación especial por el trabajo de apoyo a la mes</t>
  </si>
  <si>
    <t>Miguel Angel Balderas, pago de gasolina</t>
  </si>
  <si>
    <t>Home Depot México, S. de R.L. de C.V. compra de 2 candados</t>
  </si>
  <si>
    <t>Papelería de Oficina, Cómputo y Regalos, compra pintura para llaves</t>
  </si>
  <si>
    <t>Miguel Angel Balderas, compra de thinner, pinceles y estacionamiento</t>
  </si>
  <si>
    <t>Advanced ServicioCCTV y Cómputo,repatación 1 camara RV</t>
  </si>
  <si>
    <t>Gisela Peralta, compra de 5 paquetes de galletas para la visita a la deleg</t>
  </si>
  <si>
    <t>Abastecedora Lumen, S.A. de CV. Compra de papelería</t>
  </si>
  <si>
    <t>Office Depot de México, S.A. de C.V. compra caja archivo y libro florete</t>
  </si>
  <si>
    <t>Office Depot de México, S.A. de C.V. compra cartuchos, boligrafos etc</t>
  </si>
  <si>
    <t>Ing. Roberto Mendoza, pago de 1 día de trabajo y 1 día de disel</t>
  </si>
  <si>
    <t>Servicio CCTV y Cómputo, pago respaldo de videograbación a USB</t>
  </si>
  <si>
    <t>Materiales y Tlapalería Metropolitana, 1 saco de cemento</t>
  </si>
  <si>
    <t>Luis Hernández, elaborar tapa metalica de la coladera de Recoveco</t>
  </si>
  <si>
    <t>Manuel Olivares, tapar 1 bache grande LD, 1 mediano EZ y 2 en CL</t>
  </si>
  <si>
    <t>Leticia López, cooperación para comida anual de los servidores basura</t>
  </si>
  <si>
    <t>José Luis Gómez, pago por podar pasto jardín, alrrededor de la caseta ZB</t>
  </si>
  <si>
    <t>Advanced Servicio CCTV y Cómputo, pago restauración camaras LD</t>
  </si>
  <si>
    <t>Sistemas y Comunicaciones Gaytan Medina, S.A. de C.V. compra materi</t>
  </si>
  <si>
    <t>Electropura, S. de R.L. de C.V. compra de 4 garrafones</t>
  </si>
  <si>
    <t>SAT Servicio de Administración Tributaría, retención Carmel feb/15</t>
  </si>
  <si>
    <t>SAT Servicio de Administración Tributaría, retención Carmel abril/15</t>
  </si>
  <si>
    <t>SAT Servicio de Administración Tributaría, retención Carmel julio/15</t>
  </si>
  <si>
    <t>SAT Administración Tributaria, Colegio Carmer mes de julio/15</t>
  </si>
  <si>
    <t>Pedro Cortés, gratificación especial, por la recolección de basura fracc</t>
  </si>
  <si>
    <t>Luis Hernández, compra de 2 ruedas para puerta de Zinanpa</t>
  </si>
  <si>
    <t>Office Depot de México, S.A. de C.V. 1 block canario T carta raya SP</t>
  </si>
  <si>
    <t>Luis Hernández, instalación de ruedas en las pueta de Zinampa</t>
  </si>
  <si>
    <t>Ing. Roberto Mendoza Ordoñez,Pago de honorarios por el día 23/7/15</t>
  </si>
  <si>
    <t>Gloria Mázzón, pago por concepto de captura de datos</t>
  </si>
  <si>
    <t>José Alberto González,  pago de poda de pasto del parque fracc</t>
  </si>
  <si>
    <t>Roberto Medina, gratificación especial por barrer calles</t>
  </si>
  <si>
    <t>Daniel Chavez, Pago de comidas proporcionadas a trabajadores delega</t>
  </si>
  <si>
    <t>Advanced Servicio CCTV y Cómputo, restructuración de 4 camaras</t>
  </si>
  <si>
    <t>Telefonos de México, SAB de C.V., pago mes de junio/15</t>
  </si>
  <si>
    <t>Manuel Oliveres, gratificación por quitar anuncios y mantas en rejas</t>
  </si>
  <si>
    <t>Advanced Servicio CCTV y Cómputo, 2 respaldo de videograbacion USB</t>
  </si>
  <si>
    <t>Office Max, compra de 4 cartuchos epson 196</t>
  </si>
  <si>
    <t>Grisela Peralta Portugal, Compensació otorgada trabajo de presedente</t>
  </si>
  <si>
    <t>Office Depot de México, S.A. de C.V. libreta workline</t>
  </si>
  <si>
    <t>Artemio Mora Torres, pago 1° quincena mes de agosto/15</t>
  </si>
  <si>
    <t>Telma Carrilo Chavarria, por concepto de devolución por cobro doble</t>
  </si>
  <si>
    <t xml:space="preserve">Papelería, para poner anuncio cambio de domicilio cobranza </t>
  </si>
  <si>
    <t>Ing. Roberto Mendoza Ordoñez, Suninistro, colocación y fijación rejillas</t>
  </si>
  <si>
    <t>GRISELDA PERALTA</t>
  </si>
  <si>
    <t>Sistemas y Comunicaciones Gaytan Medina, S.A. de C.V. camara y lente</t>
  </si>
  <si>
    <t>Papelería, 84 copias B/N</t>
  </si>
  <si>
    <t>Yolanda Jaime Lugo, compra de 2 kilos de bolsas y 2 metros de jerga</t>
  </si>
  <si>
    <t>Guardías y Custodías Gama, pago de la 1° quincena agosto/15</t>
  </si>
  <si>
    <t>Daniel Chavéz, pago de comidas proporcionadas a trabajadores deleg.</t>
  </si>
  <si>
    <t>José Manuel Olivares, por trabajos dentro del fraccionamiento</t>
  </si>
  <si>
    <t xml:space="preserve">Olegario Vázquez García, por trabajos denro del fraccionamieno  </t>
  </si>
  <si>
    <t>Servicio Robledo , S.A. de C.V., gasolina</t>
  </si>
  <si>
    <t>Operadora central de estacionamientos</t>
  </si>
  <si>
    <t>Operadora Vips S de R.L. de C.V., junta relacionada con el kiosko</t>
  </si>
  <si>
    <t>Grisela Peralta, propina gasolinera y wings</t>
  </si>
  <si>
    <t>Especialistas en alta cocina, S.A. de C.V., Cambio nombre Asociación</t>
  </si>
  <si>
    <t>Daniel Chavéz, pago de comidas proporcionadas a trabajadores Telmex</t>
  </si>
  <si>
    <t>Papelería, compra de sobres para pago de sueldos</t>
  </si>
  <si>
    <t>Nueva Walmart de México, S. de R.L. de C.V. compra 1 calculador</t>
  </si>
  <si>
    <t>Nueva Walmart de México, S. de R.L. de C.V. compra 2  JQ verona</t>
  </si>
  <si>
    <t>Nueva Walmart de México, S. de R.L. de C.V. compra servibol</t>
  </si>
  <si>
    <t>Electropura, S. de R.L. de C.V. compra de 6 garragones de agua</t>
  </si>
  <si>
    <t>Sanborn Hermanos S.A., lonchera vinil azul c/correa</t>
  </si>
  <si>
    <t>Grisela Peralta, pago estacionamiento y oxxo compra de agua domingo</t>
  </si>
  <si>
    <t>Pago sr. Basra domingos 23/08/15</t>
  </si>
  <si>
    <t>Office Depot de México, S.A. de C.V. compra de toner brother y hojas</t>
  </si>
  <si>
    <t>Deprisa desarrolladora de Estacionamientos Privados, S.A. de C.V.</t>
  </si>
  <si>
    <t>Siegrist Contadores Publicos, pago honorarios profesionales julio/15</t>
  </si>
  <si>
    <t>SAT Administración Tributaria, Colegio Carmer mes de agosto/15</t>
  </si>
  <si>
    <t xml:space="preserve">Griselda Peralta, pago estacionamiento </t>
  </si>
  <si>
    <t>Electropura, S. de R.L. de C.V. compra de 3 garragones de agua</t>
  </si>
  <si>
    <t>Daniel Chavez, pago de comidas proporcionadas a trabajadores deleg</t>
  </si>
  <si>
    <t>Advance Servicio CCTV y Cómputo, reparación de sistema de circuito ZB</t>
  </si>
  <si>
    <t xml:space="preserve">Papelería 104 copias </t>
  </si>
  <si>
    <t>Antelmo Chávez, jardinero que tapo un hoyo en el parque</t>
  </si>
  <si>
    <t>Gloria Mázzón,  honorarios por captura de datos del 24 al 28 de agos/15</t>
  </si>
  <si>
    <t>Nueva Walmart de México, S. de R.L. de C.V. compra de escobas</t>
  </si>
  <si>
    <t>Jóse Luis López, poda de árbol y corte de pasto en la entrada de RM</t>
  </si>
  <si>
    <t xml:space="preserve">Servicio CCTV y Cómputo, colocación de 6 transceptores en DVR </t>
  </si>
  <si>
    <t>Nueva Walmart de México, S. de R.L. de C.V., compra de 2 libretas</t>
  </si>
  <si>
    <t>Gratificación especial a la patrulla num. 07 por ayuda despeje areas pub.</t>
  </si>
  <si>
    <t>Pedro Cortéz pago por recolección de basura del fraccionamiento</t>
  </si>
  <si>
    <t>Cadena comercial Oxxo, S.A. de C.V. compra de agua mesa directiva</t>
  </si>
  <si>
    <t>Artemio Mora Torres, pago de la 2° quincena de agosto/15</t>
  </si>
  <si>
    <t>Jorge Dithurbide Cañizares, Grupo Gama, pago 2° quincena ago/15</t>
  </si>
  <si>
    <t>Camil-Mex, compra de refrescos para trabajadores camara 360o</t>
  </si>
  <si>
    <t>Grisela Peralta Portugal, compensación otorgada por trabajo presedent</t>
  </si>
  <si>
    <t>Entrega al Sr. Baldemar Sala, gastos varios</t>
  </si>
  <si>
    <t>Entrega al Sr. Baldemar Sala Bay, para gastos varios chq 238</t>
  </si>
  <si>
    <t>Entrega al Sr. Baldemar Sala Bay, para gastos varios chq 239</t>
  </si>
  <si>
    <t>Entrega a Grisela Peralta Sobrante de fondo (SOBRANTE DE FONDO BS)</t>
  </si>
  <si>
    <t>Entrega a Grisela Peralta EL PAGO DE LA NOMINA DE GAMA</t>
  </si>
  <si>
    <t>Grupo Gama pago 1° quincena (se entregro a Grisela Peralta)</t>
  </si>
  <si>
    <t>Entrega a Grisela Peralta Gastos Varios (SOBRANTE DE FONDO BS)</t>
  </si>
  <si>
    <t>Entrega a Grisela Peralda gastos varios (SOBRANTE DE FONDO)</t>
  </si>
  <si>
    <t>Entrega a Grisela Peralta (Cobranza del 23/08/15 4 ta. Semana)</t>
  </si>
  <si>
    <t>Entrega a Grisela Peralta  (Cobranza 16/15  3er semana)</t>
  </si>
  <si>
    <t>Entrega a Grisela Peralta (Cobranza del 30/058/15 5ta semana)</t>
  </si>
  <si>
    <t>Entrega a Grisela Peralta Gastos Varios</t>
  </si>
  <si>
    <t>Entrega a Grisela Peralta para gastos varios</t>
  </si>
  <si>
    <t xml:space="preserve">Entrega a Grisela Peralda  para gastos varios </t>
  </si>
  <si>
    <t>Daniel Chavez, pago de alimentos para personal de telmex</t>
  </si>
  <si>
    <t xml:space="preserve"> Office Depot de México, S.A. de C.V.</t>
  </si>
  <si>
    <t>Gestión Avance S.A. de C.V. pago de estaciónamiento</t>
  </si>
  <si>
    <t>Ranver, S.A. de C.V. comprobante del Ing. Jorge Vazquez</t>
  </si>
  <si>
    <t>BALDEMAR SALA</t>
  </si>
  <si>
    <t>Constantino Cabrera, compensación por cortar pasto</t>
  </si>
  <si>
    <t>Eguía Impresos, 460 copias bond carta por 5 juegos una con tinta roja</t>
  </si>
  <si>
    <t>Papelería P"kas, 20 copias</t>
  </si>
  <si>
    <t>Electropura, S. de R.L. de C.V. compra de 2 garragones de agua</t>
  </si>
  <si>
    <t>Super Servicio Coapa, S.A. de C.V. pago de gasolina Grisela Peralta</t>
  </si>
  <si>
    <t>Gloria Mazzón, honorarios por captura de datos del 31 de agosto al 4 sep</t>
  </si>
  <si>
    <t>Advanced Servicio CCTV y Cómputo, 1 camara varifocal, coloc. 1 no break</t>
  </si>
  <si>
    <t>Nueva Walmart de México, S. de R.L. de C.V. compra de material limpie</t>
  </si>
  <si>
    <t>Reconocimiento a Oficial sector 07 apoyo</t>
  </si>
  <si>
    <t>Papelería 2 enmicados</t>
  </si>
  <si>
    <t>Electropura, S. de R.L. de C.V. compra de 1 garragones de agua</t>
  </si>
  <si>
    <t>Entrega a Griselda Peralta Cobranza Domingo 6/septiembre/15</t>
  </si>
  <si>
    <t>Claudia Sánchez López, pago por hojalatería y pintura incidente pluma</t>
  </si>
  <si>
    <t>Office Depot de México, S.A. de C.V., compra de papelería</t>
  </si>
  <si>
    <t>Telefonos de México, SAB de CV, pago del mes de agosto/15</t>
  </si>
  <si>
    <t>Office Depot de México, S.A. de C.V., compra de 150 copias</t>
  </si>
  <si>
    <t>Tradición en Panaderías, S.A. de C.V. junta quincenal mesa directiva</t>
  </si>
  <si>
    <t>Gloria Mazzón, honorarios por captura de datos del 07 al 11 sept/15</t>
  </si>
  <si>
    <t>Oficial Franco retiro de unidad en Romeral</t>
  </si>
  <si>
    <t>Fuentes Plaza, A.C. estacionamiento Notaría</t>
  </si>
  <si>
    <t>Modatelas Sapi de C.V. compra de adornos 15 septiembre Zinampa</t>
  </si>
  <si>
    <t>Modatelas Sapi de C.V. compra de adornos 15 septiembre Romeral</t>
  </si>
  <si>
    <t>Estacionamientos Corsa, S,A, de C,V, Griselda Peralta compra de adorn</t>
  </si>
  <si>
    <t>Office Max, compra de cartucho epson 196</t>
  </si>
  <si>
    <t>Entrega a Griselda Peralta fondo sobrante del Dr. Osca Roldán</t>
  </si>
  <si>
    <t>Camión de basura, honorarios por recolección al fraccionamiento</t>
  </si>
  <si>
    <t>Cadena Comercial Oxxo,compra de agua para Mesa directiva y vigilancia</t>
  </si>
  <si>
    <t>Electropura, S.A. de C.V., compra de 1 garrafón de agua</t>
  </si>
  <si>
    <t>Pago a patrulla por apoyo con vecino que tiro deshechos de drenaje</t>
  </si>
  <si>
    <t>Marcelino Carrera Torres, reparción de reja soldadura de barrotes EZ</t>
  </si>
  <si>
    <t>Jorge Dithurbide Cañizares, Grupo Gama, pago 1° quincena sept/15</t>
  </si>
  <si>
    <t>Artemio Mora Torres, pago 1° quincena mes de sept/15</t>
  </si>
  <si>
    <t>Roberto Medina, pago recolección de basur dentro del fraccionamiento</t>
  </si>
  <si>
    <t>Entrega a Griselda Peralta, de la cuenta de cheques para fondo de resev</t>
  </si>
  <si>
    <t>Roberto Medina, recolección de basura 2° quincena de agosto/15</t>
  </si>
  <si>
    <t>Roberto Medina, recolección de basura 1° quincena de sept/15</t>
  </si>
  <si>
    <t>Electropura, S. de R.L. de C.V., compra de 1 garrafon</t>
  </si>
  <si>
    <t>Marcelino Carrera Torres, 50% anticipo de dos registros 2 coladeras</t>
  </si>
  <si>
    <t>Advanced Servicio CCTV y Cómputo, cableado nuevo video y voltaje</t>
  </si>
  <si>
    <t>Marcelino Carrera Torres, liq. 50% terminón de los trabajos de registros</t>
  </si>
  <si>
    <t>Cadena Comercial Oxxo, S.A. de C.V. compra de refresco calado de árb.</t>
  </si>
  <si>
    <t>Cadena Comercial Oxxo, S.A. de C.V. compra de frituras personal poda</t>
  </si>
  <si>
    <t>Entrega a Griselda Peralta de la cobranza del 3er domingo sept/15</t>
  </si>
  <si>
    <t>Cadena Comercial Oxxo, S.A. de C.V. compra refrescos MD, vigilancia</t>
  </si>
  <si>
    <t>Advanced Servicio CCTV y Cómputo, inicio mantenimiento correctivo ZB</t>
  </si>
  <si>
    <t>Tecnoplaza Electrónica S.A. de C.V. compra sistema de huella vigilancia</t>
  </si>
  <si>
    <t>Advanced Servicio CCTV y Cómputo, restructuración de cableado video</t>
  </si>
  <si>
    <t>Advanced Servicio CCTV y Cómputo, No-breck 48116 140100782</t>
  </si>
  <si>
    <t>Tectoplaza Electrónica, S.A. de C.V. compra doble forro negro 8 hilos</t>
  </si>
  <si>
    <t>Marcelino Carrera Torres, A/C de trabajo de herrería en poste de LD</t>
  </si>
  <si>
    <t>Comercializadora Caspin, S.A. de C.V. compra amarrillo cromo, thinner</t>
  </si>
  <si>
    <t>Home Depot México, S. de R.L. de C.V., compra 1 candado</t>
  </si>
  <si>
    <t>SAT Administración Tributaria, Colegio Carmer mes de septiembre/15</t>
  </si>
  <si>
    <t>Siegrist Contadores Publicos, pago honorarios profesionales sept/15</t>
  </si>
  <si>
    <t>Marcelino Carrera Torres, Liq. De trabajo de herrería en poste de LD</t>
  </si>
  <si>
    <t>Administradora Auriga, S.A. de C.V. Griselda Peralta, pago de gasolina</t>
  </si>
  <si>
    <t>Ing. Alberto Mejía Saavedra, pago de cinta reflejante blanco/rojo pluma</t>
  </si>
  <si>
    <t xml:space="preserve">Cadena Comercial Oxxo, S.A. de C.V. refrescos personal delegación </t>
  </si>
  <si>
    <t>Cadena Comercial Oxxo, S.A. de C.V. curnitos persoanl delegación</t>
  </si>
  <si>
    <t>Servicio Robledo, S.A. de C.V. Griselda Peralta pago de gasolina</t>
  </si>
  <si>
    <t>Miguel Baldera, compra de 3 kg. De cemento, brocha, estopa y thiner</t>
  </si>
  <si>
    <t>Tradición en Panaderías, S.A. de C.V. propina y valet parking</t>
  </si>
  <si>
    <t>Antelmo Chávez, sacar tierra de registro del parque</t>
  </si>
  <si>
    <t>Sistemas de Seguridad Electrónica, 50 tarjetas procard 12/RF</t>
  </si>
  <si>
    <t>Dr. Oscar Roldan,  pago de acumulado de juntas de la Mesa Directiva</t>
  </si>
  <si>
    <t>Administradora Auriga, S.A. de C.V.  Miguel A. Baldera, pago de gasolina</t>
  </si>
  <si>
    <t>Antelmo Chávez, por trabajos de ajrdinería en EP y CL</t>
  </si>
  <si>
    <t>Advanced Servicio CCTV y Cómputo, reconfiguración 50 tarjetas</t>
  </si>
  <si>
    <t>Roberto Miranda, pago por llevarse las bolsas de pasto de la calle EZ CL</t>
  </si>
  <si>
    <t>Patrulla 07, pago por apoyo de vigilancia</t>
  </si>
  <si>
    <t>Estacionamiento Cuemanco y propina</t>
  </si>
  <si>
    <t>Cadena Comercial Oxxo, S.A. de C.V. Agua de MD y vigilancia</t>
  </si>
  <si>
    <t>Roberto Miranda, por recolección de basura  en RM, EZ y RV</t>
  </si>
  <si>
    <t>Gloria Mazzón, pago por concepto de 1 días de trabajo extraordinario</t>
  </si>
  <si>
    <t>Antelmo Chávez, pago por corte de pasto de la Cuchilla y Estopila</t>
  </si>
  <si>
    <t>Griselda Peralta, entrega de cobranza del Domingo 27/sept/15</t>
  </si>
  <si>
    <t>Electropura, S. de R.L. de C.V., compra de 4 garrafones de agua</t>
  </si>
  <si>
    <t>Papelería, pago de 2 listas de relación de claves</t>
  </si>
  <si>
    <t>Griselda Peralta, recibio de Baldemar Sala de cuenta de cheques</t>
  </si>
  <si>
    <t>Roberto Miranda, pago por limpieza Romeral y recolección de pasto</t>
  </si>
  <si>
    <t>Roberto Miranda, pago por recolección de basura de la 2° quincena sept</t>
  </si>
  <si>
    <t>Pedro Cortes, pago por recolección de basura de todo el fracc. Sept/15</t>
  </si>
  <si>
    <t>Nueva Walmart de México, S. de R.L. de C.V. compra de papelería</t>
  </si>
  <si>
    <t>Artemio Mora Torres, pago de la 2° quincena de septiembre/15</t>
  </si>
  <si>
    <t>Jorge Dithurbide Cañizares, Grupo Gama, pago 2° quincena sept/15</t>
  </si>
  <si>
    <t>Home Depot México, S. de R.L. de C.V. compra de 1 candado</t>
  </si>
  <si>
    <t>Miguel Angel Balderas, entrego mal el cambio y le faltaron $ 21</t>
  </si>
  <si>
    <t xml:space="preserve">Gloria Mazzón, pago por captura de datos </t>
  </si>
  <si>
    <t>Advanced Servicio CCTV y Cómputo, reparación de plumas</t>
  </si>
  <si>
    <t>Advanced Servicio CCTV y Cómputo, compra materiales para plumas</t>
  </si>
  <si>
    <t>Cadena Comercial Oxxo, S.A. de C.V. compra de agua para mesa direc.</t>
  </si>
  <si>
    <t>Electropura, S. de R.L. de C.V. compra de 5 garrafones de agua</t>
  </si>
  <si>
    <t>Ing. Jorge Vazquez, respaldo de una videograbación y codificar 4 tarjet</t>
  </si>
  <si>
    <t>Entrega a Griselda Peralta, cobranza de la 1° semana de octubre</t>
  </si>
  <si>
    <t>Panmex, S.A de C.V. junta Mes Directiva Elena Osorio</t>
  </si>
  <si>
    <t>Nueva Walmart de México, S. de R.L. de C.V. compra de comida poda</t>
  </si>
  <si>
    <t>Estacionamiento Cuemanco compras en Walmart</t>
  </si>
  <si>
    <t>Centro de copiado y papelería, 3600 copias T. C. reporte trimestras MD</t>
  </si>
  <si>
    <t>Ramiro Parrez, trabajo de electricidad en la camara de 360°</t>
  </si>
  <si>
    <t>Ivan Luna, honoraios por traer polica vial con trafitambos</t>
  </si>
  <si>
    <t>Distribuidora Grammi, S.A. de C.V. compra de candados y materiales</t>
  </si>
  <si>
    <t>Electropura, S. de R.L. de C.V. compra de 4 garrafones de agua</t>
  </si>
  <si>
    <t xml:space="preserve">Sabina Pérez González, pago de alimentos para personal de poda </t>
  </si>
  <si>
    <t>Papelería, enmicado y cinta canela letro tempora Zinampa</t>
  </si>
  <si>
    <t>Pedro Cortes, pago por recoleccilón basura fin de semana</t>
  </si>
  <si>
    <t>Estacionamiento protocolización notaría</t>
  </si>
  <si>
    <t>Estacionmaiento compra material de limpieza</t>
  </si>
  <si>
    <t>Propinas varias, compra material de limpieza</t>
  </si>
  <si>
    <t xml:space="preserve">Propina personal Globo y valet </t>
  </si>
  <si>
    <t>Estacionamiento cuemanco</t>
  </si>
  <si>
    <t>Entrega a Griselda Peralta, Cobranza de la 2da semana de sept/15</t>
  </si>
  <si>
    <t>Compra de tacos y refrescos personal delegacion tala</t>
  </si>
  <si>
    <t>Compra de gasolina para motores de cortadoras de árb.</t>
  </si>
  <si>
    <t>Pago alimentos vigilancia del 15 de septiembre</t>
  </si>
  <si>
    <t>Pago desayuno tacos persoanal delegación clareo árbol</t>
  </si>
  <si>
    <t>Compra de pizza para vigilancia en apoyo a varios trab.</t>
  </si>
  <si>
    <t>Estacionamiento notaría protocolización</t>
  </si>
  <si>
    <t>Compra de agua y paste junta delegación MD</t>
  </si>
  <si>
    <t>Estacionamiento delegación</t>
  </si>
  <si>
    <t>Estacionamiento y propina walmart</t>
  </si>
  <si>
    <t xml:space="preserve">Porpina Valet P. </t>
  </si>
  <si>
    <t xml:space="preserve">Cadena Comercial oxxo,compra refrescos reunión MD con Ing.  Camaras </t>
  </si>
  <si>
    <t>Advanced Servicio CCTV y Cómputo, compra de 1 placa de alimentación</t>
  </si>
  <si>
    <t>Entrega a Griselda Peralta, cobranza de la 2° semana de octubre/15</t>
  </si>
  <si>
    <t>Home Depot México, S. de R.L. de C.V. compra de 1 tapabocas jardin</t>
  </si>
  <si>
    <t>Cadena Comercial Oxxo, S.A. de C.V. compra de refrescos para cuadrilla</t>
  </si>
  <si>
    <t>Servicio del Hueso, compra de gasolina para las maquinas podadoras</t>
  </si>
  <si>
    <t>Advanced Servicio CCTV Cómputo, reparación de DVR caseta ZB</t>
  </si>
  <si>
    <t>Advanced Servicio CCTV Cómputo, reparación de conexiones 2 camaras</t>
  </si>
  <si>
    <t>Advanced Servicio CCTV Cómputo, 1 respaldo USB busqueda de 2 ciurc</t>
  </si>
  <si>
    <t>Telefonos de México, SAB, de C.V.</t>
  </si>
  <si>
    <t>Servicio Robledo, S.A., compra de Gas para camión delegación</t>
  </si>
  <si>
    <t>Renato Muñoz, compra de gasolina para maquinas de corte de pasto</t>
  </si>
  <si>
    <t>Propimex, S. de R.L. de C.V. compra de paq. De coca cola para cuadrilla</t>
  </si>
  <si>
    <t>Roberto Medina, pago 1° quincena de octubre, recolección de basura</t>
  </si>
  <si>
    <t>Mario Martínez, pago por trabajos y apoyo con personal del parque</t>
  </si>
  <si>
    <t>Nueva Walmart de México, S. de R.L. de C.V., compra de papelería</t>
  </si>
  <si>
    <t>Estacionamiento Cuemanco compras en Walmart material limpieza</t>
  </si>
  <si>
    <t>Artemio Mora Torres, pago de la 1° quincena del mes de octubre/15</t>
  </si>
  <si>
    <t>Guardías y Custodías Gama, pago de la 1° quincena del mes de octubre</t>
  </si>
  <si>
    <t>Griselda Peralta Portugal compensación otorgada por trabajo president</t>
  </si>
  <si>
    <t>Gloria Mazzón, pago por trabajo extraordinario elaboración listas pagos</t>
  </si>
  <si>
    <t>Servicio del Hueso, S.A. de C.V. compra de gasolina para maquinas poda</t>
  </si>
  <si>
    <t>Nueva Walmart de México, S. de R.L. de C.V. compra de comida, vaso, platos y refrescos cuadrilla poda parque</t>
  </si>
  <si>
    <t>Camión de basura pago Domingos</t>
  </si>
  <si>
    <t>Sr. Carmelo pago de servicio bicicletas del fraccionamiento</t>
  </si>
  <si>
    <t>Cerrajería GranSur, 50 duplicados de llaves kale</t>
  </si>
  <si>
    <t>Estacionamiento Gransur, compra de 500 llaves</t>
  </si>
  <si>
    <t>Entrega a Grisela Peralta, cobranza de la 3° semana de octubre</t>
  </si>
  <si>
    <t>Entrega a Grisela Peralta, gastos varios</t>
  </si>
  <si>
    <t>Compra de gasolina para maquinas de 6 cuadillas Delegación camión de carga de pasto</t>
  </si>
  <si>
    <t>T  O  T  A  L</t>
  </si>
  <si>
    <t>RELACION DE GASTOS EROGADOS EL MES DE OCTUBRE POR PODA DE PARQUE POR LA DELEGACION</t>
  </si>
  <si>
    <t>Olegario Vázquez, pago por trabajos de jardinería de la caseta de RM</t>
  </si>
  <si>
    <t>Electropura, S. de R.L. de C.V. compra de 6 garrafones de agua</t>
  </si>
  <si>
    <t>Cerrajería y Plomería Azul, 3 duplicados de llaves</t>
  </si>
  <si>
    <t xml:space="preserve">Federico Medina, compra de gasolina camión carga y 6 galones cuadrilla </t>
  </si>
  <si>
    <t>SAT Servicio de Administración Tributaria, pago del mes de Octubre/15</t>
  </si>
  <si>
    <t>Estacionamiento, visita al contador Siegris</t>
  </si>
  <si>
    <t>Estacionamiento Tradición en Pastelería, S.A. de C.V.</t>
  </si>
  <si>
    <t>Baldemar Sala Bay, pago adeudo de la MD  el cierre del mes de ago/15</t>
  </si>
  <si>
    <t>Cadena comercial Oxxo, S.A. de C.V.  refrescos parque y jardines y MD</t>
  </si>
  <si>
    <t>Luis Hernández, anticipo 50%  trabajos de herrería paso camaras y plum</t>
  </si>
  <si>
    <t>Siegrist Contadores Publicos, pago  honorarios profesionales de oct/15</t>
  </si>
  <si>
    <t>Griselda Peralta, compra de paraguas para la cobranza de la M D</t>
  </si>
  <si>
    <t>Sr. Manuel vigilante, pago de mant, de la calle del Hueso sin anuncios</t>
  </si>
  <si>
    <t>Sr. Gaston, poda de árboles y sacar tronco del fraccionamiento</t>
  </si>
  <si>
    <t>Protección y Seguridad Industrial, S.A. de C.V. recarga de 1 extintor</t>
  </si>
  <si>
    <t>Jose Luis Hernández, tapar un pedazo de parque con pasto y tierra</t>
  </si>
  <si>
    <t>Tradición en Pastelería, S.A. de C.V. junta quincenal MD</t>
  </si>
  <si>
    <t>Gloria Mazzón, pago por captura de recibos y los egresos del 19 al 23</t>
  </si>
  <si>
    <t>Ing. Jorge Vazquez, pago de 1 respaldo de videograbación UP_79</t>
  </si>
  <si>
    <t>Advanced Servicio CCTV y Cómputo, Bloqueo y desbloqueo TE</t>
  </si>
  <si>
    <t>Luis Hernández, pago de cerrajería EZ y A/C de herrería UP y CL</t>
  </si>
  <si>
    <t>Camion de Basura, pago de recolección basura tercer domingo</t>
  </si>
  <si>
    <t>Oficial Franco ,pago resguardo a herrero al realizar hoyos en LD y RM</t>
  </si>
  <si>
    <t>Office Depot de México, S.A. de C.V., compra de tuner brother</t>
  </si>
  <si>
    <t>El Bollo, bocadillos MD, cobranza y personal delegación, domingo cobra</t>
  </si>
  <si>
    <t>Cadena comercial Oxxo, S.A. de C.V. compra de refrescos MD</t>
  </si>
  <si>
    <t>Entrega a Griselda Peralta, cobranza de la 4° semana de octubre/15</t>
  </si>
  <si>
    <t>Panería La Esperanza, S.A. de C.V., compra de galletas junta acuerto kios</t>
  </si>
  <si>
    <t>Panería La Esperanza, S.A. de C.V., compra paleta bombon detalles kios</t>
  </si>
  <si>
    <t>Sra. Angelica, compra de galletas, pastes y polvorones, MD, junta</t>
  </si>
  <si>
    <t>Grisela Peralta, compras varias para evento del 30 de octubre/15</t>
  </si>
  <si>
    <t>Estacionamiento Portales, compra para evento del 30 de octubre</t>
  </si>
  <si>
    <t>Estacionamiento calzada del hueso plaza</t>
  </si>
  <si>
    <t>Bolsas, para forrar poster invitación a evento</t>
  </si>
  <si>
    <t>Omega centro de copiado y papelería, 450 copias tamaño carta informe</t>
  </si>
  <si>
    <t>Omega centro de copiado y papelería, 10 copias doble tamaño carta</t>
  </si>
  <si>
    <t>Adminitradora Auriga, S.A. de C.V. gasolina Grisela Peralta</t>
  </si>
  <si>
    <t>Pastelería Bodon, S.A. de C.V., compra  dulces para la ofrenda 01-11-15</t>
  </si>
  <si>
    <t>Pastelería Bodon, S.A. de C.V., compra  dulces para la ofrenda 30-10-15</t>
  </si>
  <si>
    <t>Pastelería  Bodon, S.A. de C.V., compra de dulces para niños fracciona</t>
  </si>
  <si>
    <t>Pastelería Bodon, S.A. de C.V., compra de dulces para repartir niños</t>
  </si>
  <si>
    <t xml:space="preserve">Distribuidora Grammi, S.A. de C.V. compra 4 candados </t>
  </si>
  <si>
    <t>Luis Hernández, liquidación de trabajo de herrería en la entrada de ZB</t>
  </si>
  <si>
    <t>Ferre Electrica Diaz, compra 1 rollo cable, 1 pastilla y centro carga</t>
  </si>
  <si>
    <t>Gloria Mazzón, pago de honorarios por captura de egresos e ingresos</t>
  </si>
  <si>
    <t>Grisela Peralta, compensación por trabajos de presidente MD 2° quinc</t>
  </si>
  <si>
    <t>Electropura, S. de R.L. de C.V., compra de 1 garrafón de agua</t>
  </si>
  <si>
    <t>Fernando Vázquez, pago de catrinas para la ofrenda del kiosco</t>
  </si>
  <si>
    <t>Olegario Vázquez, pago por apoyo en la iluminación del kiosco</t>
  </si>
  <si>
    <t>Luis Hernández, pago de trabajo electricidad, alumbrado kiosco</t>
  </si>
  <si>
    <t>Hector Vázquez, pago por apoyo entrega circulares del día de muertos</t>
  </si>
  <si>
    <t>Helen Osorio, pago por limpieza kiosco con pino y cloro que se devolve</t>
  </si>
  <si>
    <t>Olegario Vázquez, pago por apoyo en adornar el kiosko</t>
  </si>
  <si>
    <t>Mercado de Las Flores Cuemanco, flores para adornar el kiosko</t>
  </si>
  <si>
    <t>Panerías La Esperanza, S.A. de C.V., compra de pan de muerto ofrenda</t>
  </si>
  <si>
    <t>Pedro Cortes, pago por recolección de basura del mes de octubre</t>
  </si>
  <si>
    <t>Pedro Cortes, pago por recolección de pasto del jardin del fraccionami</t>
  </si>
  <si>
    <t>Omega centro de copiado y papelería, 200 copias, 3 copias doble y 1 dis</t>
  </si>
  <si>
    <t>José Luis López, pago por cortar pasto en RV será un total de $ 350</t>
  </si>
  <si>
    <t>Omega centro de copiado y papelería, 4 pliegos de papel crepre</t>
  </si>
  <si>
    <t>Roberto Medina, pago 2° quincena de octubre, recolección de basura</t>
  </si>
  <si>
    <t>Artemio Mora Torres, pago de la 2° quincena del mes de octubre/15</t>
  </si>
  <si>
    <t>Herrería Janiel, Soldar una base al tubo que sirve de señalización ZB</t>
  </si>
  <si>
    <t>Fuentes Plaza, A.C. estacionamiento tesoreria</t>
  </si>
  <si>
    <t>Office Depot de México, S.A. de C.V., compra de papelería varios</t>
  </si>
  <si>
    <t>BANCO</t>
  </si>
  <si>
    <t>CAJA</t>
  </si>
  <si>
    <t>FEBRERO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</si>
  <si>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</si>
  <si>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</si>
  <si>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</si>
  <si>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</si>
  <si>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</si>
  <si>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</si>
  <si>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</si>
  <si>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</si>
  <si>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</si>
  <si>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INICIO DE AÑO</t>
  </si>
  <si>
    <t>EN ESTOS MESES SE PUSO EL TECHO DE LA CASETA</t>
  </si>
  <si>
    <t>ROMERAL Y SE PAGÓ EL TRABAJO DE TOPOGRAFÍA</t>
  </si>
  <si>
    <t>DE TODO EL FRACCIONAMIENTO</t>
  </si>
  <si>
    <t>ESTADO DE CUENTA DEL AÑO 2015 HASTA EL MES DE COTUBRE</t>
  </si>
  <si>
    <t>Cadena Comercial Oxxo, S.A. de C.V. compra de refrescos vigilancia MD</t>
  </si>
  <si>
    <t>Entrega a Grisela Peralta, cobranza 1er domingo noviembre</t>
  </si>
  <si>
    <t>Ing Jorge Vázquez, pago de un respaldo de videgrabación a USB</t>
  </si>
  <si>
    <t>Guardías y Custodías Gama, pago de la 2° quincena del mes de octubre</t>
  </si>
  <si>
    <t>Estacionamiento cuemanco, compra de 1 mesa plegable</t>
  </si>
  <si>
    <t>Nueva Walmart de México, S. de R.L. de C.V., compra 1 mesa plegable</t>
  </si>
  <si>
    <t>Patrulla 007, pago al comandante franco por supervisión tapar hoyos</t>
  </si>
  <si>
    <t>Telefonos de México, S.A. de C.V. pago el mes de octubre</t>
  </si>
  <si>
    <t>Judith Villafaña Perez, compra de 1 café mesa directiva</t>
  </si>
  <si>
    <t>Camión Basura, recolección de basura del fin de semana</t>
  </si>
  <si>
    <t>Entrega a Grisela Peralta, cobranza 2do domingo noviembre</t>
  </si>
  <si>
    <t>Advanced Servicio CCTV y Cómputo, Compra 1 encoder para pluma</t>
  </si>
  <si>
    <t>Tiendas Chedraui, S.A. de C.V. compra de matrial de limpieza</t>
  </si>
  <si>
    <t>Advanced Servicio CCTV y Cómputo, compra 2 mt neopreno para camar</t>
  </si>
  <si>
    <t>Patrulla 007, pago por apoyo a patrullaje en la Col. Haciendas de Coyoa</t>
  </si>
  <si>
    <t>Roberto Miranda, pago por recolección de basura 1er quincena</t>
  </si>
  <si>
    <t>Ing. Jorge Vázquez, cambio de junta a camaras tipo snorkel de ZB</t>
  </si>
  <si>
    <t>Ing. Jorge Vázquez, pago por reparación de pluma vehiculra salida</t>
  </si>
  <si>
    <t>Roberto Miranda, pago por apoyo por barrer Romeral</t>
  </si>
  <si>
    <t>José Antonio Martínez, por apoyo en tráfico y marcar llaves de puertas</t>
  </si>
  <si>
    <t>Artemio Mora Torres, pago 1 er quincena del noviembre/15</t>
  </si>
  <si>
    <t>Guardías y Custodías Gama, pago de la 1° quincena del mes de nov/15</t>
  </si>
  <si>
    <t>Grisela Peralta, compensación otorgada por trabajo en calidad de pres</t>
  </si>
  <si>
    <t>Entrega a Grisela Peralta, cobranza de la 3er domingo noviembre</t>
  </si>
  <si>
    <t>Fuentes Plaza, A.C., estacionamiento visita notaria</t>
  </si>
  <si>
    <t>SAT Servicio de Administración Tributaría, pago mes de noviembre/15</t>
  </si>
  <si>
    <t>Siegrist Contadores Publicos, pago  honorarios profesionales de nov/15</t>
  </si>
  <si>
    <t>Estacionamiento visita contador Siegrist</t>
  </si>
  <si>
    <t>Ing. Jorge Vázquez, pago 2 respaldos de video y 1 USB 8 GB UP 46</t>
  </si>
  <si>
    <t>Ing. Jorge Vázquez, pago de 1 respaldo de video parque</t>
  </si>
  <si>
    <t>Ing. Jorge Vázquez, pago de materiales para camaras</t>
  </si>
  <si>
    <t>Tradición en Pastelería, S.A. de C.V. junta MD sexta del mes de nov/15</t>
  </si>
  <si>
    <t>Grisela Peralta, compensación a trabajadores que arreglarón luminarías</t>
  </si>
  <si>
    <t>Pedro Cortes, pago por recolectar basura y ramas de un árbol Upacuaro</t>
  </si>
  <si>
    <t>Grisela Peralta, pago a jardinero por recortar pasto en caseta RV y bolsa</t>
  </si>
  <si>
    <t xml:space="preserve">Ing. Jorge Vázquez, reparación y mantenimiento de 2 camaras </t>
  </si>
  <si>
    <t>Ing. Jorge Vázquez, reubicación de camra en LD esq. RM</t>
  </si>
  <si>
    <t>Ing. Jorge Vázquez, cableado y reubicación de 2 camaras</t>
  </si>
  <si>
    <t>Advanced Servicio CCTV y Cómputo, Compra de un adaptado de CA de</t>
  </si>
  <si>
    <t>José Luis López, pago por corte de pasto</t>
  </si>
  <si>
    <t>Patrulla 007, pago por apoyo por insidente en Calzada de Hueso</t>
  </si>
  <si>
    <t>Martín Bejarano, pago por reparar corto en Zinampa</t>
  </si>
  <si>
    <t>Luis Hernández, pago por reparación de chapa en Estopila</t>
  </si>
  <si>
    <t>Roberto Miranda, pago por recolección de basura 2da quincena</t>
  </si>
  <si>
    <t>Roberto Miranda, pago por recolección de basura en Romeral 2da quin</t>
  </si>
  <si>
    <t>Pedro Cortes, pago por recolección de basura fracc. Entre semana</t>
  </si>
  <si>
    <t>Electropura, S. de R.L. de C.V.,compra de 5 garrafones de agua</t>
  </si>
  <si>
    <t>Ing. Jorge Vázquez, un respaldo USB daños a upacuaro # 50</t>
  </si>
  <si>
    <t>Tecnoplaza Eletrónica, S.A. de C.V. compra de bullet AHD, balums</t>
  </si>
  <si>
    <t>Artemio Mora Torres, pago de la 2° quincena de noviembre/15</t>
  </si>
  <si>
    <t>Jorge Dithurbide Cañizares, Grupo Gama, pago 2° quincena nov/15</t>
  </si>
  <si>
    <t>Entrega a Grisela Peralta, cobranza de 5ta. Semana de noviembre/15</t>
  </si>
  <si>
    <t>Entrega a Grisela Peralta, cobranza de la 4ta semana de noviembre/15</t>
  </si>
  <si>
    <t xml:space="preserve">Entrega a Grisela Peralta para gastos varios cheque # </t>
  </si>
  <si>
    <t>Marío Martínez, compensación de apoyo extra por trafitambos y repara</t>
  </si>
  <si>
    <t>Advanced Servicio CCTV y Cómputo, compra de 1 bote de aire comp.</t>
  </si>
  <si>
    <t>Tecno Plaza Electrónica S.A. de C.V. compra caja de cable doble forro</t>
  </si>
  <si>
    <t>Telefonofos de México, SAB de C.V. pago mes de noviembre</t>
  </si>
  <si>
    <t>Fuentes Plaza, A.C. estacionamiento notaría</t>
  </si>
  <si>
    <t>Ing. Jorge Vázquez, reparacion de DVR casera ZB falla intermitencia</t>
  </si>
  <si>
    <t>Papelería, compra de 1 prit</t>
  </si>
  <si>
    <t>Martín Bejarano, pago a trabajadores del arreglo de la luz del parque</t>
  </si>
  <si>
    <t>Ing. Jorge Vázquez, repar. centro de carga de camara AUTECH tipo caja</t>
  </si>
  <si>
    <t>Ing. Jorge Váquez, instalación de camara y cableado calle RV</t>
  </si>
  <si>
    <t>Patrulla 007, gratificación por rondines por apagon de luz en parque</t>
  </si>
  <si>
    <t>Servicio Coapa, S.A. de C.V. gasolina Mesa Directiva</t>
  </si>
  <si>
    <t>Lic. Guadalupe Guerrero Notaría No. 160 potocolización MD</t>
  </si>
  <si>
    <t>Ing. Jorge Vázquez, compra de 1 camara profesional marca CNB tipo caja</t>
  </si>
  <si>
    <t>Entrega a Grisela Peralta, gastos varíos</t>
  </si>
  <si>
    <t>Ing. Jorge Vázquez, reparación de camara Autech tipo caja profesional</t>
  </si>
  <si>
    <t>Gustavo Gil, pago por intalación de contactores y reparacion parque</t>
  </si>
  <si>
    <t>Compra de café, refrescos para sres. Del alumbrado público</t>
  </si>
  <si>
    <t xml:space="preserve">Gloría Mazzón, pago por captura de datos </t>
  </si>
  <si>
    <t>Ing. Jorge Váquez, compra de material para reparación de camaras</t>
  </si>
  <si>
    <t>Sr. Raúl, pago por recoleccón de basura</t>
  </si>
  <si>
    <t>Grisela Peralta compra de adonos de navidad para las dos casetas</t>
  </si>
  <si>
    <t>Administradora Auriga, S.A. de C.V. gasolina Grisela Peralta</t>
  </si>
  <si>
    <t>Cadena Comercial Oxxo, S.A. de C.V. compra de aguas y refrescos MD</t>
  </si>
  <si>
    <t>Grisela Peralta, compra de masquin para casetas ZB y RM</t>
  </si>
  <si>
    <t xml:space="preserve">Imagen Publicitaría Impresión de un millar de recibos </t>
  </si>
  <si>
    <t>Entrega a Grisela Peralta, cobranza 1° domingo de diciembre/15</t>
  </si>
  <si>
    <t>Estacionamiento centro, compra de adornos para navidad</t>
  </si>
  <si>
    <t>Bubu, piñatas para fraccionamiento, posada</t>
  </si>
  <si>
    <t>Ing. Jorge Vázquez, pago de 1 respaldo USB UP-54</t>
  </si>
  <si>
    <t>Imagen Publicitaría, compra de 1 Lona y 200 impresiones</t>
  </si>
  <si>
    <t>Ing. Jorge Vázquez, pago mano de obra por reparación de 7 camaras</t>
  </si>
  <si>
    <t xml:space="preserve">Ing. Jorge Vázquez, compra de 30 mts de cable par Duplex </t>
  </si>
  <si>
    <t>Olegarío Vázquez, corte de pasto en casetas</t>
  </si>
  <si>
    <t>SAT Servicio de Administración Tributaría, pago mes diciembre/15</t>
  </si>
  <si>
    <t>Siegrist Contadores Publicos, pago  honorarios profesionales de dic/15</t>
  </si>
  <si>
    <t>Estacionamiento visita al contador siegrist</t>
  </si>
  <si>
    <t>Adcoapa, S.A. de C.V., pago estacionamiento para ordenar lona</t>
  </si>
  <si>
    <t>Plaza Cuemanco, estaciónamiento para mandar hacer lona</t>
  </si>
  <si>
    <t>Farmacia Nacionales, pago de medicametos y doctor a Olegario Vigilan</t>
  </si>
  <si>
    <t>Fuentes Plaza, A.C. estacionamiento orden de Lona</t>
  </si>
  <si>
    <t>Grisela Peralta, compra de velas y 2 piñatas para posada del fraccionam</t>
  </si>
  <si>
    <t>Centro de Copiado y Papelería, pago de 450 copias T. carta y 1 CD</t>
  </si>
  <si>
    <t>Servicio el Hueso, S.A. de C.V. gasolina Gisela Peralta</t>
  </si>
  <si>
    <t>Estacionamiento Cuemanco, entrega de lona</t>
  </si>
  <si>
    <t>Electropura, S. de R.L. de C.V., compra de 5 garrafones de agua</t>
  </si>
  <si>
    <t>Entrega a Gisela Peralta para aguinaldo en vales para vigilancia</t>
  </si>
  <si>
    <t>Gloria Mazzón, por concepto de aguinaldo del año 2015</t>
  </si>
  <si>
    <t>Grisela Peralta, aguinaldo en vales para vigilancia</t>
  </si>
  <si>
    <t>Juan Vázquez, doblar y repartir invitaciones a todo el fracionamiento</t>
  </si>
  <si>
    <t>El paricutin, compra de pollos para comida de fin de año para vigilantes</t>
  </si>
  <si>
    <t>Cadena Comercial Oxxo, S.A. de C.V. compra de refrescos para comida</t>
  </si>
  <si>
    <t>Convertipap, compra de deshechables para comida vigilancia</t>
  </si>
  <si>
    <t>Pedro Cortes, pago por recolección de basura fin de semana</t>
  </si>
  <si>
    <t>Cadena Comercial Oxxo, S.A. de C.V. compra de deshechables comida</t>
  </si>
  <si>
    <t>Papelería P"kas, compra de un USB para canciones navideñas</t>
  </si>
  <si>
    <t>Roberto Miranda, pago por barrer la calle de Romeral</t>
  </si>
  <si>
    <t>Roberto Miranda, pago ppr recolecion de basura 1er quncena diciembre</t>
  </si>
  <si>
    <t>Artemio Mora Torres, pago 1° quincena de diciembre/15</t>
  </si>
  <si>
    <t>Entrega a Grisela Peralta, 2do domingo de cobranza de diciembre/15</t>
  </si>
  <si>
    <t>Gustavo Gil, reparación de lampara y fotocelda</t>
  </si>
  <si>
    <t>Luis Hernández, pago por trabajo de reparacion reja de Romeral</t>
  </si>
  <si>
    <t>Modatelas, Sapi, de C.V., compra adornos colgantes navideños kiosko</t>
  </si>
  <si>
    <t>Art. De Temporada González, compra de 6 faroles</t>
  </si>
  <si>
    <t>Estacionamiento y propina en Modatelas para compra de adornos</t>
  </si>
  <si>
    <t>Modatelas SAPI, de C.V. compra de adonornos navideños</t>
  </si>
  <si>
    <t>Servicio Robledo, S.A. de C.V., gasolina Grisela Peralta</t>
  </si>
  <si>
    <t>Operadora Central de Estacionamiento SAPI,  fantasias Miguel</t>
  </si>
  <si>
    <t>Fantasías Miguel, compra de bolsas de celofan, ligas para aguinaldos</t>
  </si>
  <si>
    <t>Pastelería Bodon, S.A. de C.V., compra de dulces para aguinaldos posad</t>
  </si>
  <si>
    <t>Estacionamiento Cuemanco, Grisela Peralta</t>
  </si>
  <si>
    <t>Advanced Servicio CCTV y Cómputo, compra material electrico</t>
  </si>
  <si>
    <t>Entrega a Grisela Peralta, de la cuenta de banco</t>
  </si>
  <si>
    <t>Nueva Walmart de México S. de R.L. de C.V. compra de material limpie</t>
  </si>
  <si>
    <t>José Manuel Olivares, pago por apoyar en colocación de adornos kiosko</t>
  </si>
  <si>
    <t>Elena Osorio, pago por arreglo del kiosko limpieza</t>
  </si>
  <si>
    <t xml:space="preserve">Roberto Miranda, pago por recolección de basura parque </t>
  </si>
  <si>
    <t>Grisela Peralta, gastos varios para posada en kiosko</t>
  </si>
  <si>
    <t>Centro de Copiado y Papelería, copias</t>
  </si>
  <si>
    <t>José Manuel Olivares, pago por apoyar en limpieza kiosko a fondo</t>
  </si>
  <si>
    <t>Sabine Peréz, comida para oficiales que estan en busqueda de vecino</t>
  </si>
  <si>
    <t>Así Dulces, S.A. de C.V. compra de cucharas para ponche</t>
  </si>
  <si>
    <t>Daniel Linares, compra de tacos de canasta para posada kiosko</t>
  </si>
  <si>
    <t xml:space="preserve">Grisela Peralta, compra de capacillos para velitas </t>
  </si>
  <si>
    <t>Grisela Peralta, compra de canastitas para posada</t>
  </si>
  <si>
    <t>Grisela Peralta, compra de peregrinos que se firafon en posada</t>
  </si>
  <si>
    <t>Mercado San Judas, compras varias para posada</t>
  </si>
  <si>
    <t>Sabine Peréz, pago por preparar ponche</t>
  </si>
  <si>
    <t>Entrega a Grisela Peralta cobranza del 3° domingo de diciembre/15</t>
  </si>
  <si>
    <t>Imagen Publicitaría, compra de 2 lonas para informe de días cierran case</t>
  </si>
  <si>
    <t>Entrega a Grisela Peralta, cobranza 4to. Domingo diciembre/15</t>
  </si>
  <si>
    <t>Entrega de cheque de bancomer 102184 para gastos varios</t>
  </si>
  <si>
    <t>Entrega a Grisela Peralta cobranza del 28 al 31 de diciembre/15</t>
  </si>
  <si>
    <t>Cadena comercial Oxxo, S.A. de C.V. compra de aguas espera banco Inb</t>
  </si>
  <si>
    <t>Ing. Jorge Váquez, compra de una camara nueva profesional CUB</t>
  </si>
  <si>
    <t>Roberto Medina, pago de navidad por sus trabajo exelente en limpieza</t>
  </si>
  <si>
    <t>Imagen Publicitaría, compra de 1 lona para notificación de cierre de pue</t>
  </si>
  <si>
    <t>Estacionamiento Cuemanco, recoger lona</t>
  </si>
  <si>
    <t>Materiales y Tlapalería Metropolitana, material para entrada Romeral</t>
  </si>
  <si>
    <t>Cadena comercial Oxxo, S.A. de C.V., compra refrescos cena navidad</t>
  </si>
  <si>
    <t>Cadena comercial Oxxo, S.A. de C.V., compra de botanas cena navidad</t>
  </si>
  <si>
    <t>Virgínia Sánchez, pago por elaborar 5 cenas para vigilancia</t>
  </si>
  <si>
    <t>Pedro Cortes, pago navidad por el excelante trabajo de recoleccion bas</t>
  </si>
  <si>
    <t>Gloria Mazzón Soto, pago por captura de datos</t>
  </si>
  <si>
    <t>José Manuel Olivares, pago por aplanar piso en la caseta Romeral</t>
  </si>
  <si>
    <t>Olegario Vázquez, pago por recogel costales de desechos planado</t>
  </si>
  <si>
    <t>Cadena comercial Oxxo, S.A. de C.V. compra de agua para MD cobranza</t>
  </si>
  <si>
    <t>José Luis López, pago por fumigación de árbol en Romeral</t>
  </si>
  <si>
    <t>José Manuel Olivares, pago por llevarse escombros</t>
  </si>
  <si>
    <t>Compra candado, para caseta para rega de computadora DVR</t>
  </si>
  <si>
    <t>Roberto Miranda, pago 2° quincena dic/15 por recolección de basura</t>
  </si>
  <si>
    <t>Pedro Cortes, pago mensual por recolección basura</t>
  </si>
  <si>
    <t>Guardias y Custodias Privadas Gama, S.A. de C.V. pago 2° quincena dic/15</t>
  </si>
  <si>
    <t>Artemio Mora Torres, pago 2° quincena de diciembre/15</t>
  </si>
  <si>
    <t>Ing. Jorge Luis Váquez, pago de 1 respaldo de video en USB caseta ZB</t>
  </si>
  <si>
    <t>Tlapalería, compra de 1 candado puerta Zinampa</t>
  </si>
  <si>
    <t>Tlaparería Los Leones, compra de 1 candado y una cadena</t>
  </si>
  <si>
    <t>Sra. Julie, comida para vigilancia fin de año</t>
  </si>
  <si>
    <t>Papelería P"kas, compra de 200 hojas blancas</t>
  </si>
  <si>
    <t>Nueva Walmart de México S. de R.L. de C.V. botanas vigilancia fin de año</t>
  </si>
  <si>
    <t>Nueva Walmart de México S. de R.L. de C.V. refrescos vigilancia fin de añ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</si>
</sst>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[Red]\(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49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0" fontId="1" fillId="0" borderId="5" xfId="0" applyFont="1" applyBorder="1" applyAlignment="1">
      <alignment horizontal="center"/>
    </xf>
    <xf numFmtId="4" fontId="0" fillId="0" borderId="4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4" fontId="0" fillId="0" borderId="11" xfId="0" applyNumberFormat="1" applyBorder="1" applyAlignment="1">
      <alignment horizontal="right"/>
    </xf>
    <xf numFmtId="0" fontId="0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4" fontId="0" fillId="0" borderId="12" xfId="0" applyNumberFormat="1" applyBorder="1" applyAlignment="1">
      <alignment horizontal="right"/>
    </xf>
    <xf numFmtId="4" fontId="0" fillId="0" borderId="12" xfId="0" applyNumberFormat="1" applyBorder="1"/>
    <xf numFmtId="0" fontId="0" fillId="0" borderId="12" xfId="0" applyBorder="1"/>
    <xf numFmtId="0" fontId="0" fillId="0" borderId="12" xfId="0" applyFill="1" applyBorder="1"/>
    <xf numFmtId="4" fontId="0" fillId="0" borderId="14" xfId="0" applyNumberFormat="1" applyBorder="1" applyAlignment="1">
      <alignment horizontal="right"/>
    </xf>
    <xf numFmtId="4" fontId="0" fillId="0" borderId="12" xfId="0" applyNumberFormat="1" applyFont="1" applyBorder="1" applyAlignment="1">
      <alignment horizontal="right"/>
    </xf>
    <xf numFmtId="4" fontId="0" fillId="0" borderId="9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14" fontId="0" fillId="0" borderId="12" xfId="0" applyNumberFormat="1" applyFont="1" applyBorder="1" applyAlignment="1">
      <alignment horizontal="center"/>
    </xf>
    <xf numFmtId="4" fontId="0" fillId="0" borderId="16" xfId="0" applyNumberFormat="1" applyBorder="1"/>
    <xf numFmtId="4" fontId="1" fillId="0" borderId="16" xfId="0" applyNumberFormat="1" applyFont="1" applyBorder="1"/>
    <xf numFmtId="0" fontId="0" fillId="0" borderId="12" xfId="0" applyFont="1" applyFill="1" applyBorder="1" applyAlignment="1">
      <alignment horizontal="left"/>
    </xf>
    <xf numFmtId="14" fontId="0" fillId="0" borderId="9" xfId="0" applyNumberFormat="1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14" fontId="0" fillId="0" borderId="13" xfId="0" applyNumberFormat="1" applyFont="1" applyBorder="1" applyAlignment="1">
      <alignment horizontal="center"/>
    </xf>
    <xf numFmtId="0" fontId="0" fillId="0" borderId="14" xfId="0" applyBorder="1"/>
    <xf numFmtId="14" fontId="0" fillId="0" borderId="12" xfId="0" applyNumberFormat="1" applyFont="1" applyFill="1" applyBorder="1" applyAlignment="1">
      <alignment horizontal="center"/>
    </xf>
    <xf numFmtId="0" fontId="0" fillId="0" borderId="13" xfId="0" applyFill="1" applyBorder="1"/>
    <xf numFmtId="4" fontId="1" fillId="0" borderId="12" xfId="0" applyNumberFormat="1" applyFont="1" applyBorder="1"/>
    <xf numFmtId="0" fontId="2" fillId="0" borderId="0" xfId="0" applyFont="1" applyAlignment="1">
      <alignment horizontal="center"/>
    </xf>
    <xf numFmtId="0" fontId="0" fillId="0" borderId="17" xfId="0" applyBorder="1"/>
    <xf numFmtId="14" fontId="0" fillId="0" borderId="2" xfId="0" applyNumberFormat="1" applyFont="1" applyBorder="1" applyAlignment="1">
      <alignment horizontal="center"/>
    </xf>
    <xf numFmtId="14" fontId="0" fillId="0" borderId="15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14" fontId="0" fillId="0" borderId="20" xfId="0" applyNumberFormat="1" applyFont="1" applyBorder="1" applyAlignment="1">
      <alignment horizontal="center"/>
    </xf>
    <xf numFmtId="14" fontId="1" fillId="0" borderId="0" xfId="0" applyNumberFormat="1" applyFont="1" applyBorder="1"/>
    <xf numFmtId="14" fontId="1" fillId="0" borderId="0" xfId="0" applyNumberFormat="1" applyFont="1"/>
    <xf numFmtId="0" fontId="1" fillId="0" borderId="16" xfId="0" applyFont="1" applyBorder="1" applyAlignment="1">
      <alignment horizontal="center"/>
    </xf>
    <xf numFmtId="0" fontId="0" fillId="0" borderId="12" xfId="0" applyFont="1" applyBorder="1"/>
    <xf numFmtId="14" fontId="0" fillId="0" borderId="1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/>
    <xf numFmtId="4" fontId="1" fillId="0" borderId="0" xfId="0" applyNumberFormat="1" applyFont="1" applyBorder="1" applyAlignment="1"/>
    <xf numFmtId="0" fontId="0" fillId="0" borderId="0" xfId="0" applyFont="1" applyFill="1" applyBorder="1" applyAlignment="1">
      <alignment horizontal="left"/>
    </xf>
    <xf numFmtId="4" fontId="0" fillId="0" borderId="0" xfId="0" applyNumberFormat="1" applyFont="1" applyBorder="1" applyAlignment="1">
      <alignment horizontal="right"/>
    </xf>
    <xf numFmtId="14" fontId="1" fillId="0" borderId="12" xfId="0" applyNumberFormat="1" applyFont="1" applyBorder="1" applyAlignment="1">
      <alignment horizontal="center"/>
    </xf>
    <xf numFmtId="0" fontId="1" fillId="0" borderId="12" xfId="0" applyFont="1" applyBorder="1"/>
    <xf numFmtId="4" fontId="1" fillId="0" borderId="12" xfId="0" applyNumberFormat="1" applyFont="1" applyBorder="1" applyAlignment="1">
      <alignment horizontal="right"/>
    </xf>
    <xf numFmtId="0" fontId="3" fillId="0" borderId="0" xfId="1" applyFill="1"/>
    <xf numFmtId="4" fontId="1" fillId="0" borderId="12" xfId="0" applyNumberFormat="1" applyFont="1" applyBorder="1" applyAlignment="1">
      <alignment horizontal="center"/>
    </xf>
    <xf numFmtId="4" fontId="0" fillId="3" borderId="12" xfId="0" applyNumberFormat="1" applyFill="1" applyBorder="1" applyAlignment="1">
      <alignment horizontal="right"/>
    </xf>
    <xf numFmtId="0" fontId="0" fillId="3" borderId="12" xfId="0" applyFill="1" applyBorder="1"/>
    <xf numFmtId="4" fontId="0" fillId="0" borderId="12" xfId="0" applyNumberFormat="1" applyBorder="1" applyAlignment="1"/>
    <xf numFmtId="0" fontId="1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14" fontId="0" fillId="4" borderId="13" xfId="0" applyNumberFormat="1" applyFont="1" applyFill="1" applyBorder="1" applyAlignment="1">
      <alignment horizontal="center"/>
    </xf>
    <xf numFmtId="0" fontId="0" fillId="4" borderId="12" xfId="0" applyFill="1" applyBorder="1"/>
    <xf numFmtId="4" fontId="0" fillId="4" borderId="12" xfId="0" applyNumberFormat="1" applyFill="1" applyBorder="1" applyAlignment="1">
      <alignment horizontal="right"/>
    </xf>
    <xf numFmtId="14" fontId="0" fillId="4" borderId="12" xfId="0" applyNumberFormat="1" applyFont="1" applyFill="1" applyBorder="1" applyAlignment="1">
      <alignment horizontal="center"/>
    </xf>
    <xf numFmtId="0" fontId="0" fillId="4" borderId="13" xfId="0" applyFill="1" applyBorder="1"/>
    <xf numFmtId="4" fontId="0" fillId="4" borderId="13" xfId="0" applyNumberFormat="1" applyFill="1" applyBorder="1" applyAlignment="1">
      <alignment horizontal="right"/>
    </xf>
    <xf numFmtId="0" fontId="0" fillId="3" borderId="12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15" xfId="0" applyNumberFormat="1" applyBorder="1" applyAlignment="1"/>
    <xf numFmtId="0" fontId="1" fillId="0" borderId="14" xfId="0" applyFont="1" applyBorder="1" applyAlignment="1">
      <alignment horizontal="right"/>
    </xf>
    <xf numFmtId="4" fontId="1" fillId="0" borderId="22" xfId="0" applyNumberFormat="1" applyFont="1" applyBorder="1" applyAlignment="1">
      <alignment horizontal="right"/>
    </xf>
    <xf numFmtId="0" fontId="0" fillId="0" borderId="23" xfId="0" applyBorder="1"/>
    <xf numFmtId="14" fontId="0" fillId="0" borderId="22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4" fontId="1" fillId="0" borderId="24" xfId="0" applyNumberFormat="1" applyFont="1" applyBorder="1" applyAlignment="1">
      <alignment horizontal="center"/>
    </xf>
    <xf numFmtId="4" fontId="0" fillId="0" borderId="21" xfId="0" applyNumberFormat="1" applyFont="1" applyBorder="1"/>
    <xf numFmtId="0" fontId="0" fillId="0" borderId="21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" fontId="0" fillId="0" borderId="21" xfId="0" applyNumberFormat="1" applyBorder="1"/>
    <xf numFmtId="14" fontId="0" fillId="0" borderId="0" xfId="0" applyNumberFormat="1"/>
    <xf numFmtId="0" fontId="0" fillId="5" borderId="12" xfId="0" applyFill="1" applyBorder="1"/>
    <xf numFmtId="4" fontId="0" fillId="0" borderId="0" xfId="0" applyNumberFormat="1" applyFill="1" applyBorder="1"/>
    <xf numFmtId="4" fontId="0" fillId="0" borderId="12" xfId="0" applyNumberFormat="1" applyFont="1" applyBorder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4" fontId="0" fillId="0" borderId="12" xfId="0" applyNumberFormat="1" applyFill="1" applyBorder="1" applyAlignment="1">
      <alignment horizontal="right"/>
    </xf>
    <xf numFmtId="0" fontId="6" fillId="0" borderId="0" xfId="0" applyFont="1" applyAlignment="1">
      <alignment horizontal="center"/>
    </xf>
    <xf numFmtId="15" fontId="0" fillId="3" borderId="0" xfId="0" applyNumberFormat="1" applyFill="1" applyBorder="1" applyAlignment="1">
      <alignment vertical="center"/>
    </xf>
    <xf numFmtId="15" fontId="0" fillId="3" borderId="12" xfId="0" applyNumberFormat="1" applyFill="1" applyBorder="1" applyAlignment="1">
      <alignment vertical="center"/>
    </xf>
    <xf numFmtId="0" fontId="0" fillId="3" borderId="0" xfId="0" applyFill="1"/>
    <xf numFmtId="4" fontId="1" fillId="0" borderId="6" xfId="0" applyNumberFormat="1" applyFont="1" applyBorder="1" applyAlignment="1">
      <alignment horizontal="right"/>
    </xf>
    <xf numFmtId="15" fontId="0" fillId="3" borderId="15" xfId="0" applyNumberFormat="1" applyFill="1" applyBorder="1" applyAlignment="1">
      <alignment vertical="center"/>
    </xf>
    <xf numFmtId="15" fontId="1" fillId="3" borderId="1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0" fillId="0" borderId="9" xfId="0" applyNumberFormat="1" applyFont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4" fontId="0" fillId="0" borderId="22" xfId="0" applyNumberFormat="1" applyBorder="1"/>
    <xf numFmtId="0" fontId="1" fillId="0" borderId="25" xfId="0" applyFont="1" applyFill="1" applyBorder="1" applyAlignment="1">
      <alignment horizontal="center"/>
    </xf>
    <xf numFmtId="17" fontId="0" fillId="0" borderId="10" xfId="0" applyNumberFormat="1" applyFon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0" fillId="5" borderId="12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4" fontId="0" fillId="5" borderId="12" xfId="0" applyNumberFormat="1" applyFill="1" applyBorder="1" applyAlignment="1">
      <alignment horizontal="right"/>
    </xf>
    <xf numFmtId="0" fontId="0" fillId="5" borderId="0" xfId="0" applyFill="1"/>
    <xf numFmtId="0" fontId="7" fillId="0" borderId="0" xfId="0" applyFont="1"/>
    <xf numFmtId="164" fontId="0" fillId="0" borderId="12" xfId="0" applyNumberFormat="1" applyFill="1" applyBorder="1"/>
    <xf numFmtId="164" fontId="0" fillId="0" borderId="4" xfId="0" applyNumberFormat="1" applyFill="1" applyBorder="1"/>
    <xf numFmtId="164" fontId="0" fillId="0" borderId="12" xfId="0" applyNumberFormat="1" applyBorder="1"/>
    <xf numFmtId="14" fontId="0" fillId="0" borderId="12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5" fontId="0" fillId="0" borderId="12" xfId="0" applyNumberFormat="1" applyFill="1" applyBorder="1" applyAlignment="1">
      <alignment vertical="center"/>
    </xf>
    <xf numFmtId="15" fontId="0" fillId="0" borderId="4" xfId="0" applyNumberFormat="1" applyFill="1" applyBorder="1" applyAlignment="1">
      <alignment vertical="center"/>
    </xf>
    <xf numFmtId="15" fontId="0" fillId="0" borderId="4" xfId="0" applyNumberFormat="1" applyBorder="1" applyAlignment="1">
      <alignment vertical="center"/>
    </xf>
    <xf numFmtId="15" fontId="0" fillId="0" borderId="12" xfId="0" applyNumberForma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6"/>
  <sheetViews>
    <sheetView topLeftCell="A28" workbookViewId="0">
      <selection activeCell="D55" sqref="D55"/>
    </sheetView>
  </sheetViews>
  <sheetFormatPr baseColWidth="10" defaultRowHeight="15" x14ac:dyDescent="0.25"/>
  <cols>
    <col min="1" max="2" width="10.7109375" customWidth="1"/>
    <col min="3" max="3" width="63.7109375" customWidth="1"/>
    <col min="4" max="4" width="11.5703125" customWidth="1"/>
    <col min="5" max="6" width="11.7109375" customWidth="1"/>
  </cols>
  <sheetData>
    <row r="1" spans="2:6" x14ac:dyDescent="0.25">
      <c r="B1" s="50">
        <v>42034</v>
      </c>
    </row>
    <row r="3" spans="2:6" ht="15.75" thickBot="1" x14ac:dyDescent="0.3">
      <c r="B3" s="146" t="s">
        <v>9</v>
      </c>
      <c r="C3" s="146"/>
      <c r="D3" s="146"/>
      <c r="E3" s="146"/>
      <c r="F3" s="146"/>
    </row>
    <row r="4" spans="2:6" ht="15.75" thickBot="1" x14ac:dyDescent="0.3">
      <c r="B4" s="7" t="s">
        <v>1</v>
      </c>
      <c r="C4" s="12" t="s">
        <v>2</v>
      </c>
      <c r="D4" s="7" t="s">
        <v>7</v>
      </c>
      <c r="E4" s="8" t="s">
        <v>5</v>
      </c>
      <c r="F4" s="9" t="s">
        <v>4</v>
      </c>
    </row>
    <row r="5" spans="2:6" x14ac:dyDescent="0.25">
      <c r="B5" s="70">
        <v>42004</v>
      </c>
      <c r="C5" s="71" t="s">
        <v>31</v>
      </c>
      <c r="D5" s="72"/>
      <c r="E5" s="72"/>
      <c r="F5" s="42">
        <v>38956.94</v>
      </c>
    </row>
    <row r="6" spans="2:6" x14ac:dyDescent="0.25">
      <c r="B6" s="32">
        <v>42006</v>
      </c>
      <c r="C6" s="22" t="s">
        <v>30</v>
      </c>
      <c r="D6" s="23"/>
      <c r="E6" s="24">
        <v>12.5</v>
      </c>
      <c r="F6" s="25">
        <f>+F5+D6-E6</f>
        <v>38944.44</v>
      </c>
    </row>
    <row r="7" spans="2:6" x14ac:dyDescent="0.25">
      <c r="B7" s="32">
        <v>42006</v>
      </c>
      <c r="C7" s="27" t="s">
        <v>32</v>
      </c>
      <c r="D7" s="13"/>
      <c r="E7" s="13">
        <v>500</v>
      </c>
      <c r="F7" s="25">
        <f t="shared" ref="F7:F46" si="0">+F6+D7-E7</f>
        <v>38444.44</v>
      </c>
    </row>
    <row r="8" spans="2:6" x14ac:dyDescent="0.25">
      <c r="B8" s="32">
        <v>42009</v>
      </c>
      <c r="C8" s="26" t="s">
        <v>33</v>
      </c>
      <c r="D8" s="24">
        <v>30000</v>
      </c>
      <c r="E8" s="24"/>
      <c r="F8" s="25">
        <f t="shared" si="0"/>
        <v>68444.44</v>
      </c>
    </row>
    <row r="9" spans="2:6" x14ac:dyDescent="0.25">
      <c r="B9" s="32">
        <v>42011</v>
      </c>
      <c r="C9" s="26" t="s">
        <v>34</v>
      </c>
      <c r="D9" s="24"/>
      <c r="E9" s="24">
        <v>1000</v>
      </c>
      <c r="F9" s="25">
        <f t="shared" si="0"/>
        <v>67444.44</v>
      </c>
    </row>
    <row r="10" spans="2:6" x14ac:dyDescent="0.25">
      <c r="B10" s="38">
        <v>42011</v>
      </c>
      <c r="C10" s="26" t="s">
        <v>35</v>
      </c>
      <c r="D10" s="24"/>
      <c r="E10" s="24">
        <v>90</v>
      </c>
      <c r="F10" s="25">
        <f t="shared" si="0"/>
        <v>67354.44</v>
      </c>
    </row>
    <row r="11" spans="2:6" x14ac:dyDescent="0.25">
      <c r="B11" s="38">
        <v>42013</v>
      </c>
      <c r="C11" s="26" t="s">
        <v>50</v>
      </c>
      <c r="D11" s="24"/>
      <c r="E11" s="24">
        <v>350</v>
      </c>
      <c r="F11" s="25">
        <f t="shared" si="0"/>
        <v>67004.44</v>
      </c>
    </row>
    <row r="12" spans="2:6" x14ac:dyDescent="0.25">
      <c r="B12" s="38">
        <v>42013</v>
      </c>
      <c r="C12" s="27" t="s">
        <v>32</v>
      </c>
      <c r="D12" s="24"/>
      <c r="E12" s="28">
        <v>500</v>
      </c>
      <c r="F12" s="25">
        <f t="shared" si="0"/>
        <v>66504.44</v>
      </c>
    </row>
    <row r="13" spans="2:6" x14ac:dyDescent="0.25">
      <c r="B13" s="38">
        <v>42016</v>
      </c>
      <c r="C13" s="26" t="s">
        <v>33</v>
      </c>
      <c r="D13" s="24">
        <v>20000</v>
      </c>
      <c r="E13" s="24"/>
      <c r="F13" s="25">
        <f t="shared" si="0"/>
        <v>86504.44</v>
      </c>
    </row>
    <row r="14" spans="2:6" x14ac:dyDescent="0.25">
      <c r="B14" s="38">
        <v>42018</v>
      </c>
      <c r="C14" s="26" t="s">
        <v>35</v>
      </c>
      <c r="D14" s="24"/>
      <c r="E14" s="24">
        <v>90</v>
      </c>
      <c r="F14" s="25">
        <f t="shared" si="0"/>
        <v>86414.44</v>
      </c>
    </row>
    <row r="15" spans="2:6" x14ac:dyDescent="0.25">
      <c r="B15" s="38">
        <v>42019</v>
      </c>
      <c r="C15" s="26" t="s">
        <v>36</v>
      </c>
      <c r="D15" s="24"/>
      <c r="E15" s="24">
        <v>378.6</v>
      </c>
      <c r="F15" s="25">
        <f t="shared" si="0"/>
        <v>86035.839999999997</v>
      </c>
    </row>
    <row r="16" spans="2:6" x14ac:dyDescent="0.25">
      <c r="B16" s="38">
        <v>42019</v>
      </c>
      <c r="C16" s="26" t="s">
        <v>37</v>
      </c>
      <c r="D16" s="24"/>
      <c r="E16" s="24">
        <v>27900</v>
      </c>
      <c r="F16" s="25">
        <f t="shared" si="0"/>
        <v>58135.839999999997</v>
      </c>
    </row>
    <row r="17" spans="2:6" x14ac:dyDescent="0.25">
      <c r="B17" s="38">
        <v>42019</v>
      </c>
      <c r="C17" s="35" t="s">
        <v>38</v>
      </c>
      <c r="D17" s="24"/>
      <c r="E17" s="24">
        <v>3200</v>
      </c>
      <c r="F17" s="25">
        <f t="shared" si="0"/>
        <v>54935.839999999997</v>
      </c>
    </row>
    <row r="18" spans="2:6" x14ac:dyDescent="0.25">
      <c r="B18" s="38">
        <v>42020</v>
      </c>
      <c r="C18" s="26" t="s">
        <v>32</v>
      </c>
      <c r="D18" s="24"/>
      <c r="E18" s="24">
        <v>500</v>
      </c>
      <c r="F18" s="25">
        <f t="shared" si="0"/>
        <v>54435.839999999997</v>
      </c>
    </row>
    <row r="19" spans="2:6" x14ac:dyDescent="0.25">
      <c r="B19" s="38">
        <v>42020</v>
      </c>
      <c r="C19" s="26" t="s">
        <v>39</v>
      </c>
      <c r="D19" s="24"/>
      <c r="E19" s="24">
        <v>600</v>
      </c>
      <c r="F19" s="25">
        <f t="shared" si="0"/>
        <v>53835.839999999997</v>
      </c>
    </row>
    <row r="20" spans="2:6" x14ac:dyDescent="0.25">
      <c r="B20" s="38">
        <v>42020</v>
      </c>
      <c r="C20" s="26" t="s">
        <v>40</v>
      </c>
      <c r="D20" s="24"/>
      <c r="E20" s="24">
        <v>211.31</v>
      </c>
      <c r="F20" s="25">
        <f t="shared" si="0"/>
        <v>53624.53</v>
      </c>
    </row>
    <row r="21" spans="2:6" x14ac:dyDescent="0.25">
      <c r="B21" s="38">
        <v>42023</v>
      </c>
      <c r="C21" s="26" t="s">
        <v>33</v>
      </c>
      <c r="D21" s="24">
        <v>20000</v>
      </c>
      <c r="E21" s="24"/>
      <c r="F21" s="25">
        <f t="shared" si="0"/>
        <v>73624.53</v>
      </c>
    </row>
    <row r="22" spans="2:6" x14ac:dyDescent="0.25">
      <c r="B22" s="38">
        <v>42023</v>
      </c>
      <c r="C22" s="26" t="s">
        <v>41</v>
      </c>
      <c r="D22" s="29"/>
      <c r="E22" s="24">
        <v>300</v>
      </c>
      <c r="F22" s="25">
        <f t="shared" si="0"/>
        <v>73324.53</v>
      </c>
    </row>
    <row r="23" spans="2:6" x14ac:dyDescent="0.25">
      <c r="B23" s="38">
        <v>42024</v>
      </c>
      <c r="C23" s="26" t="s">
        <v>57</v>
      </c>
      <c r="D23" s="24"/>
      <c r="E23" s="28">
        <v>1000</v>
      </c>
      <c r="F23" s="25">
        <f t="shared" si="0"/>
        <v>72324.53</v>
      </c>
    </row>
    <row r="24" spans="2:6" x14ac:dyDescent="0.25">
      <c r="B24" s="32">
        <v>42025</v>
      </c>
      <c r="C24" s="26" t="s">
        <v>42</v>
      </c>
      <c r="D24" s="24"/>
      <c r="E24" s="24">
        <v>816</v>
      </c>
      <c r="F24" s="25">
        <f t="shared" si="0"/>
        <v>71508.53</v>
      </c>
    </row>
    <row r="25" spans="2:6" x14ac:dyDescent="0.25">
      <c r="B25" s="38">
        <v>42025</v>
      </c>
      <c r="C25" s="26" t="s">
        <v>46</v>
      </c>
      <c r="D25" s="24"/>
      <c r="E25" s="24">
        <v>60</v>
      </c>
      <c r="F25" s="25">
        <f t="shared" si="0"/>
        <v>71448.53</v>
      </c>
    </row>
    <row r="26" spans="2:6" x14ac:dyDescent="0.25">
      <c r="B26" s="38">
        <v>42026</v>
      </c>
      <c r="C26" s="26" t="s">
        <v>47</v>
      </c>
      <c r="D26" s="24"/>
      <c r="E26" s="24">
        <v>1000</v>
      </c>
      <c r="F26" s="25">
        <f t="shared" si="0"/>
        <v>70448.53</v>
      </c>
    </row>
    <row r="27" spans="2:6" x14ac:dyDescent="0.25">
      <c r="B27" s="38">
        <v>42026</v>
      </c>
      <c r="C27" s="26" t="s">
        <v>48</v>
      </c>
      <c r="D27" s="24"/>
      <c r="E27" s="24">
        <v>644</v>
      </c>
      <c r="F27" s="25">
        <f t="shared" si="0"/>
        <v>69804.53</v>
      </c>
    </row>
    <row r="28" spans="2:6" x14ac:dyDescent="0.25">
      <c r="B28" s="38">
        <v>42027</v>
      </c>
      <c r="C28" s="26" t="s">
        <v>43</v>
      </c>
      <c r="D28" s="24"/>
      <c r="E28" s="24">
        <v>500</v>
      </c>
      <c r="F28" s="25">
        <f t="shared" si="0"/>
        <v>69304.53</v>
      </c>
    </row>
    <row r="29" spans="2:6" x14ac:dyDescent="0.25">
      <c r="B29" s="83">
        <v>42027</v>
      </c>
      <c r="C29" s="84" t="s">
        <v>44</v>
      </c>
      <c r="D29" s="85"/>
      <c r="E29" s="85">
        <v>1760</v>
      </c>
      <c r="F29" s="25">
        <f t="shared" si="0"/>
        <v>67544.53</v>
      </c>
    </row>
    <row r="30" spans="2:6" x14ac:dyDescent="0.25">
      <c r="B30" s="38">
        <v>42027</v>
      </c>
      <c r="C30" s="26" t="s">
        <v>45</v>
      </c>
      <c r="D30" s="24"/>
      <c r="E30" s="24">
        <v>1051</v>
      </c>
      <c r="F30" s="25">
        <f t="shared" si="0"/>
        <v>66493.53</v>
      </c>
    </row>
    <row r="31" spans="2:6" x14ac:dyDescent="0.25">
      <c r="B31" s="38">
        <v>42027</v>
      </c>
      <c r="C31" s="26" t="s">
        <v>51</v>
      </c>
      <c r="D31" s="24"/>
      <c r="E31" s="24">
        <v>200</v>
      </c>
      <c r="F31" s="25">
        <f t="shared" si="0"/>
        <v>66293.53</v>
      </c>
    </row>
    <row r="32" spans="2:6" x14ac:dyDescent="0.25">
      <c r="B32" s="38">
        <v>42028</v>
      </c>
      <c r="C32" s="26" t="s">
        <v>49</v>
      </c>
      <c r="D32" s="24"/>
      <c r="E32" s="24">
        <v>5000</v>
      </c>
      <c r="F32" s="25">
        <f t="shared" si="0"/>
        <v>61293.53</v>
      </c>
    </row>
    <row r="33" spans="2:8" x14ac:dyDescent="0.25">
      <c r="B33" s="38">
        <v>42028</v>
      </c>
      <c r="C33" s="26" t="s">
        <v>58</v>
      </c>
      <c r="D33" s="24"/>
      <c r="E33" s="28">
        <v>180</v>
      </c>
      <c r="F33" s="25">
        <f t="shared" si="0"/>
        <v>61113.53</v>
      </c>
    </row>
    <row r="34" spans="2:8" x14ac:dyDescent="0.25">
      <c r="B34" s="38">
        <v>42030</v>
      </c>
      <c r="C34" s="26" t="s">
        <v>33</v>
      </c>
      <c r="D34" s="24">
        <v>25000</v>
      </c>
      <c r="E34" s="28"/>
      <c r="F34" s="25">
        <f t="shared" si="0"/>
        <v>86113.53</v>
      </c>
    </row>
    <row r="35" spans="2:8" x14ac:dyDescent="0.25">
      <c r="B35" s="38">
        <v>42030</v>
      </c>
      <c r="C35" s="26" t="s">
        <v>46</v>
      </c>
      <c r="D35" s="24"/>
      <c r="E35" s="24">
        <v>60</v>
      </c>
      <c r="F35" s="25">
        <f t="shared" si="0"/>
        <v>86053.53</v>
      </c>
    </row>
    <row r="36" spans="2:8" x14ac:dyDescent="0.25">
      <c r="B36" s="32">
        <v>42030</v>
      </c>
      <c r="C36" s="27" t="s">
        <v>56</v>
      </c>
      <c r="D36" s="24"/>
      <c r="E36" s="24">
        <v>6000</v>
      </c>
      <c r="F36" s="25">
        <f t="shared" si="0"/>
        <v>80053.53</v>
      </c>
    </row>
    <row r="37" spans="2:8" x14ac:dyDescent="0.25">
      <c r="B37" s="38">
        <v>42031</v>
      </c>
      <c r="C37" s="26" t="s">
        <v>52</v>
      </c>
      <c r="D37" s="24"/>
      <c r="E37" s="24">
        <v>500</v>
      </c>
      <c r="F37" s="25">
        <f t="shared" si="0"/>
        <v>79553.53</v>
      </c>
    </row>
    <row r="38" spans="2:8" x14ac:dyDescent="0.25">
      <c r="B38" s="38">
        <v>42033</v>
      </c>
      <c r="C38" s="26" t="s">
        <v>59</v>
      </c>
      <c r="D38" s="24"/>
      <c r="E38" s="28">
        <v>400</v>
      </c>
      <c r="F38" s="25">
        <f t="shared" si="0"/>
        <v>79153.53</v>
      </c>
    </row>
    <row r="39" spans="2:8" x14ac:dyDescent="0.25">
      <c r="B39" s="38">
        <v>42033</v>
      </c>
      <c r="C39" s="26" t="s">
        <v>60</v>
      </c>
      <c r="D39" s="24"/>
      <c r="E39" s="28">
        <v>3000</v>
      </c>
      <c r="F39" s="25">
        <f t="shared" si="0"/>
        <v>76153.53</v>
      </c>
    </row>
    <row r="40" spans="2:8" x14ac:dyDescent="0.25">
      <c r="B40" s="38">
        <v>42033</v>
      </c>
      <c r="C40" s="26" t="s">
        <v>61</v>
      </c>
      <c r="D40" s="24"/>
      <c r="E40" s="28">
        <v>400</v>
      </c>
      <c r="F40" s="25">
        <f t="shared" si="0"/>
        <v>75753.53</v>
      </c>
      <c r="G40" s="44"/>
    </row>
    <row r="41" spans="2:8" x14ac:dyDescent="0.25">
      <c r="B41" s="38">
        <v>42034</v>
      </c>
      <c r="C41" s="26" t="s">
        <v>62</v>
      </c>
      <c r="D41" s="24"/>
      <c r="E41" s="28">
        <v>60</v>
      </c>
      <c r="F41" s="25">
        <f t="shared" si="0"/>
        <v>75693.53</v>
      </c>
    </row>
    <row r="42" spans="2:8" x14ac:dyDescent="0.25">
      <c r="B42" s="38">
        <v>42034</v>
      </c>
      <c r="C42" s="26" t="s">
        <v>32</v>
      </c>
      <c r="D42" s="24"/>
      <c r="E42" s="28">
        <v>500</v>
      </c>
      <c r="F42" s="25">
        <f t="shared" si="0"/>
        <v>75193.53</v>
      </c>
      <c r="H42" s="11"/>
    </row>
    <row r="43" spans="2:8" x14ac:dyDescent="0.25">
      <c r="B43" s="38">
        <v>42035</v>
      </c>
      <c r="C43" s="26" t="s">
        <v>53</v>
      </c>
      <c r="D43" s="24"/>
      <c r="E43" s="28">
        <v>500</v>
      </c>
      <c r="F43" s="25">
        <f t="shared" si="0"/>
        <v>74693.53</v>
      </c>
    </row>
    <row r="44" spans="2:8" x14ac:dyDescent="0.25">
      <c r="B44" s="38">
        <v>42035</v>
      </c>
      <c r="C44" s="26" t="s">
        <v>54</v>
      </c>
      <c r="D44" s="24"/>
      <c r="E44" s="24">
        <v>27900</v>
      </c>
      <c r="F44" s="25">
        <f t="shared" si="0"/>
        <v>46793.53</v>
      </c>
    </row>
    <row r="45" spans="2:8" x14ac:dyDescent="0.25">
      <c r="B45" s="38">
        <v>42035</v>
      </c>
      <c r="C45" s="26" t="s">
        <v>55</v>
      </c>
      <c r="D45" s="29"/>
      <c r="E45" s="24">
        <v>3200</v>
      </c>
      <c r="F45" s="25">
        <f t="shared" si="0"/>
        <v>43593.53</v>
      </c>
    </row>
    <row r="46" spans="2:8" ht="15.75" thickBot="1" x14ac:dyDescent="0.3">
      <c r="B46" s="38"/>
      <c r="C46" s="26"/>
      <c r="D46" s="24"/>
      <c r="E46" s="28"/>
      <c r="F46" s="25">
        <f t="shared" si="0"/>
        <v>43593.53</v>
      </c>
    </row>
    <row r="47" spans="2:8" ht="15.75" thickBot="1" x14ac:dyDescent="0.3">
      <c r="B47" s="45"/>
      <c r="C47" s="17" t="s">
        <v>0</v>
      </c>
      <c r="D47" s="15">
        <f>SUM(D5:D46)</f>
        <v>95000</v>
      </c>
      <c r="E47" s="15">
        <f>SUM(E5:E46)</f>
        <v>90363.41</v>
      </c>
      <c r="F47" s="16"/>
    </row>
    <row r="48" spans="2:8" x14ac:dyDescent="0.25">
      <c r="B48" s="5"/>
      <c r="C48" s="61"/>
      <c r="D48" s="4"/>
      <c r="E48" s="62"/>
      <c r="F48" s="11"/>
    </row>
    <row r="49" spans="1:6" x14ac:dyDescent="0.25">
      <c r="B49" s="5"/>
      <c r="C49" s="11"/>
      <c r="D49" s="10"/>
      <c r="E49" s="10"/>
      <c r="F49" s="63"/>
    </row>
    <row r="50" spans="1:6" x14ac:dyDescent="0.25">
      <c r="B50" s="5"/>
      <c r="C50" s="11"/>
      <c r="D50" s="10"/>
      <c r="E50" s="10"/>
      <c r="F50" s="63"/>
    </row>
    <row r="51" spans="1:6" x14ac:dyDescent="0.25">
      <c r="A51" s="73"/>
      <c r="B51" s="5"/>
      <c r="C51" s="11"/>
      <c r="D51" s="10"/>
      <c r="E51" s="10"/>
      <c r="F51" s="63"/>
    </row>
    <row r="52" spans="1:6" x14ac:dyDescent="0.25">
      <c r="B52" s="11"/>
      <c r="C52" s="11"/>
      <c r="D52" s="64"/>
      <c r="E52" s="65"/>
      <c r="F52" s="66"/>
    </row>
    <row r="53" spans="1:6" x14ac:dyDescent="0.25">
      <c r="D53" s="2"/>
      <c r="E53" s="3"/>
    </row>
    <row r="54" spans="1:6" x14ac:dyDescent="0.25">
      <c r="D54" s="2"/>
      <c r="E54" s="3"/>
    </row>
    <row r="55" spans="1:6" x14ac:dyDescent="0.25">
      <c r="D55" s="2"/>
      <c r="E55" s="3"/>
    </row>
    <row r="56" spans="1:6" x14ac:dyDescent="0.25">
      <c r="D56" s="2"/>
      <c r="E56" s="3"/>
    </row>
    <row r="57" spans="1:6" x14ac:dyDescent="0.25">
      <c r="D57" s="2"/>
      <c r="E57" s="3"/>
    </row>
    <row r="58" spans="1:6" x14ac:dyDescent="0.25">
      <c r="D58" s="2"/>
      <c r="E58" s="3"/>
    </row>
    <row r="59" spans="1:6" x14ac:dyDescent="0.25">
      <c r="D59" s="2"/>
      <c r="E59" s="3"/>
    </row>
    <row r="60" spans="1:6" x14ac:dyDescent="0.25">
      <c r="D60" s="2"/>
      <c r="E60" s="3"/>
    </row>
    <row r="61" spans="1:6" x14ac:dyDescent="0.25">
      <c r="D61" s="2"/>
      <c r="E61" s="3"/>
    </row>
    <row r="62" spans="1:6" x14ac:dyDescent="0.25">
      <c r="D62" s="2"/>
      <c r="E62" s="3"/>
    </row>
    <row r="63" spans="1:6" x14ac:dyDescent="0.25">
      <c r="D63" s="2"/>
      <c r="E63" s="3"/>
    </row>
    <row r="64" spans="1:6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</sheetData>
  <mergeCells count="1">
    <mergeCell ref="B3:F3"/>
  </mergeCells>
  <printOptions verticalCentered="1"/>
  <pageMargins left="0.25" right="0.25" top="0.75" bottom="0.75" header="0.3" footer="0.3"/>
  <pageSetup paperSize="9" scale="91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30"/>
  <sheetViews>
    <sheetView topLeftCell="A32" workbookViewId="0">
      <selection activeCell="E59" sqref="E59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42063</v>
      </c>
    </row>
    <row r="3" spans="2:6" x14ac:dyDescent="0.25">
      <c r="B3" s="146" t="s">
        <v>10</v>
      </c>
      <c r="C3" s="146"/>
      <c r="D3" s="146"/>
      <c r="E3" s="146"/>
      <c r="F3" s="146"/>
    </row>
    <row r="4" spans="2:6" ht="15.75" thickBot="1" x14ac:dyDescent="0.3">
      <c r="C4" s="18"/>
      <c r="D4" s="18"/>
    </row>
    <row r="5" spans="2:6" ht="15.75" thickBot="1" x14ac:dyDescent="0.3">
      <c r="B5" s="47" t="s">
        <v>1</v>
      </c>
      <c r="C5" s="12" t="s">
        <v>2</v>
      </c>
      <c r="D5" s="7" t="s">
        <v>3</v>
      </c>
      <c r="E5" s="8" t="s">
        <v>5</v>
      </c>
      <c r="F5" s="9" t="s">
        <v>4</v>
      </c>
    </row>
    <row r="6" spans="2:6" x14ac:dyDescent="0.25">
      <c r="B6" s="49">
        <v>42035</v>
      </c>
      <c r="C6" s="48" t="s">
        <v>6</v>
      </c>
      <c r="D6" s="20"/>
      <c r="E6" s="30"/>
      <c r="F6" s="25">
        <v>43593.53</v>
      </c>
    </row>
    <row r="7" spans="2:6" x14ac:dyDescent="0.25">
      <c r="B7" s="38">
        <v>42036</v>
      </c>
      <c r="C7" s="22" t="s">
        <v>87</v>
      </c>
      <c r="D7" s="23"/>
      <c r="E7" s="24">
        <v>300</v>
      </c>
      <c r="F7" s="25">
        <f>+F6+D7-E7</f>
        <v>43293.53</v>
      </c>
    </row>
    <row r="8" spans="2:6" x14ac:dyDescent="0.25">
      <c r="B8" s="32">
        <v>42037</v>
      </c>
      <c r="C8" s="26" t="s">
        <v>33</v>
      </c>
      <c r="D8" s="24">
        <v>10000</v>
      </c>
      <c r="E8" s="24"/>
      <c r="F8" s="25">
        <f t="shared" ref="F8:F42" si="0">+F7+D8-E8</f>
        <v>53293.53</v>
      </c>
    </row>
    <row r="9" spans="2:6" x14ac:dyDescent="0.25">
      <c r="B9" s="32">
        <v>42038</v>
      </c>
      <c r="C9" s="27" t="s">
        <v>69</v>
      </c>
      <c r="D9" s="24"/>
      <c r="E9" s="28">
        <v>2100</v>
      </c>
      <c r="F9" s="25">
        <f t="shared" si="0"/>
        <v>51193.53</v>
      </c>
    </row>
    <row r="10" spans="2:6" x14ac:dyDescent="0.25">
      <c r="B10" s="32">
        <v>42038</v>
      </c>
      <c r="C10" s="26" t="s">
        <v>63</v>
      </c>
      <c r="D10" s="24"/>
      <c r="E10" s="24">
        <v>1688</v>
      </c>
      <c r="F10" s="25">
        <f t="shared" si="0"/>
        <v>49505.53</v>
      </c>
    </row>
    <row r="11" spans="2:6" x14ac:dyDescent="0.25">
      <c r="B11" s="32">
        <v>42039</v>
      </c>
      <c r="C11" s="27" t="s">
        <v>64</v>
      </c>
      <c r="D11" s="24"/>
      <c r="E11" s="24">
        <v>90</v>
      </c>
      <c r="F11" s="25">
        <f t="shared" si="0"/>
        <v>49415.53</v>
      </c>
    </row>
    <row r="12" spans="2:6" x14ac:dyDescent="0.25">
      <c r="B12" s="32">
        <v>42039</v>
      </c>
      <c r="C12" s="27" t="s">
        <v>65</v>
      </c>
      <c r="D12" s="24"/>
      <c r="E12" s="28">
        <v>600</v>
      </c>
      <c r="F12" s="25">
        <f t="shared" si="0"/>
        <v>48815.53</v>
      </c>
    </row>
    <row r="13" spans="2:6" x14ac:dyDescent="0.25">
      <c r="B13" s="32">
        <v>42040</v>
      </c>
      <c r="C13" s="26" t="s">
        <v>66</v>
      </c>
      <c r="D13" s="24"/>
      <c r="E13" s="24">
        <v>500</v>
      </c>
      <c r="F13" s="25">
        <f t="shared" si="0"/>
        <v>48315.53</v>
      </c>
    </row>
    <row r="14" spans="2:6" x14ac:dyDescent="0.25">
      <c r="B14" s="32">
        <v>42041</v>
      </c>
      <c r="C14" s="26" t="s">
        <v>67</v>
      </c>
      <c r="D14" s="24"/>
      <c r="E14" s="24">
        <v>500</v>
      </c>
      <c r="F14" s="25">
        <f t="shared" si="0"/>
        <v>47815.53</v>
      </c>
    </row>
    <row r="15" spans="2:6" x14ac:dyDescent="0.25">
      <c r="B15" s="32">
        <v>42041</v>
      </c>
      <c r="C15" s="26" t="s">
        <v>68</v>
      </c>
      <c r="D15" s="24"/>
      <c r="E15" s="24">
        <v>600</v>
      </c>
      <c r="F15" s="25">
        <f t="shared" si="0"/>
        <v>47215.53</v>
      </c>
    </row>
    <row r="16" spans="2:6" x14ac:dyDescent="0.25">
      <c r="B16" s="32">
        <v>42044</v>
      </c>
      <c r="C16" s="27" t="s">
        <v>33</v>
      </c>
      <c r="D16" s="24">
        <v>40000</v>
      </c>
      <c r="E16" s="28"/>
      <c r="F16" s="25">
        <f t="shared" si="0"/>
        <v>87215.53</v>
      </c>
    </row>
    <row r="17" spans="2:6" x14ac:dyDescent="0.25">
      <c r="B17" s="32">
        <v>42043</v>
      </c>
      <c r="C17" s="26" t="s">
        <v>70</v>
      </c>
      <c r="D17" s="24"/>
      <c r="E17" s="24">
        <v>185</v>
      </c>
      <c r="F17" s="25">
        <f t="shared" si="0"/>
        <v>87030.53</v>
      </c>
    </row>
    <row r="18" spans="2:6" x14ac:dyDescent="0.25">
      <c r="B18" s="32">
        <v>42044</v>
      </c>
      <c r="C18" s="26" t="s">
        <v>71</v>
      </c>
      <c r="D18" s="24"/>
      <c r="E18" s="24">
        <v>833.61</v>
      </c>
      <c r="F18" s="25">
        <f t="shared" si="0"/>
        <v>86196.92</v>
      </c>
    </row>
    <row r="19" spans="2:6" x14ac:dyDescent="0.25">
      <c r="B19" s="32">
        <v>42044</v>
      </c>
      <c r="C19" s="26" t="s">
        <v>82</v>
      </c>
      <c r="D19" s="24"/>
      <c r="E19" s="24">
        <v>15200</v>
      </c>
      <c r="F19" s="25">
        <f t="shared" si="0"/>
        <v>70996.92</v>
      </c>
    </row>
    <row r="20" spans="2:6" x14ac:dyDescent="0.25">
      <c r="B20" s="32">
        <v>42046</v>
      </c>
      <c r="C20" s="26" t="s">
        <v>72</v>
      </c>
      <c r="D20" s="24"/>
      <c r="E20" s="24">
        <v>60</v>
      </c>
      <c r="F20" s="25">
        <f t="shared" si="0"/>
        <v>70936.92</v>
      </c>
    </row>
    <row r="21" spans="2:6" x14ac:dyDescent="0.25">
      <c r="B21" s="32">
        <v>42047</v>
      </c>
      <c r="C21" s="26" t="s">
        <v>73</v>
      </c>
      <c r="D21" s="24"/>
      <c r="E21" s="24">
        <v>3200</v>
      </c>
      <c r="F21" s="25">
        <f t="shared" si="0"/>
        <v>67736.92</v>
      </c>
    </row>
    <row r="22" spans="2:6" x14ac:dyDescent="0.25">
      <c r="B22" s="32">
        <v>42047</v>
      </c>
      <c r="C22" s="26" t="s">
        <v>74</v>
      </c>
      <c r="D22" s="24"/>
      <c r="E22" s="24">
        <v>300</v>
      </c>
      <c r="F22" s="25">
        <f t="shared" si="0"/>
        <v>67436.92</v>
      </c>
    </row>
    <row r="23" spans="2:6" x14ac:dyDescent="0.25">
      <c r="B23" s="32">
        <v>42047</v>
      </c>
      <c r="C23" s="26" t="s">
        <v>65</v>
      </c>
      <c r="D23" s="24"/>
      <c r="E23" s="24">
        <v>500</v>
      </c>
      <c r="F23" s="25">
        <f t="shared" si="0"/>
        <v>66936.92</v>
      </c>
    </row>
    <row r="24" spans="2:6" x14ac:dyDescent="0.25">
      <c r="B24" s="32">
        <v>42047</v>
      </c>
      <c r="C24" s="26" t="s">
        <v>75</v>
      </c>
      <c r="D24" s="24"/>
      <c r="E24" s="24">
        <v>5500</v>
      </c>
      <c r="F24" s="25">
        <f t="shared" si="0"/>
        <v>61436.92</v>
      </c>
    </row>
    <row r="25" spans="2:6" x14ac:dyDescent="0.25">
      <c r="B25" s="32">
        <v>42048</v>
      </c>
      <c r="C25" s="26" t="s">
        <v>68</v>
      </c>
      <c r="D25" s="24"/>
      <c r="E25" s="24">
        <v>600</v>
      </c>
      <c r="F25" s="25">
        <f t="shared" si="0"/>
        <v>60836.92</v>
      </c>
    </row>
    <row r="26" spans="2:6" x14ac:dyDescent="0.25">
      <c r="B26" s="32">
        <v>42050</v>
      </c>
      <c r="C26" s="26" t="s">
        <v>77</v>
      </c>
      <c r="D26" s="24"/>
      <c r="E26" s="24">
        <v>27900</v>
      </c>
      <c r="F26" s="25">
        <f t="shared" si="0"/>
        <v>32936.92</v>
      </c>
    </row>
    <row r="27" spans="2:6" x14ac:dyDescent="0.25">
      <c r="B27" s="32">
        <v>42050</v>
      </c>
      <c r="C27" s="26" t="s">
        <v>76</v>
      </c>
      <c r="D27" s="24"/>
      <c r="E27" s="24">
        <v>3200</v>
      </c>
      <c r="F27" s="25">
        <f t="shared" si="0"/>
        <v>29736.92</v>
      </c>
    </row>
    <row r="28" spans="2:6" x14ac:dyDescent="0.25">
      <c r="B28" s="46">
        <v>42051</v>
      </c>
      <c r="C28" s="26" t="s">
        <v>33</v>
      </c>
      <c r="D28" s="24">
        <v>40000</v>
      </c>
      <c r="E28" s="24"/>
      <c r="F28" s="25">
        <f t="shared" si="0"/>
        <v>69736.92</v>
      </c>
    </row>
    <row r="29" spans="2:6" x14ac:dyDescent="0.25">
      <c r="B29" s="32">
        <v>42051</v>
      </c>
      <c r="C29" s="26" t="s">
        <v>78</v>
      </c>
      <c r="D29" s="24"/>
      <c r="E29" s="24">
        <v>200</v>
      </c>
      <c r="F29" s="25">
        <f t="shared" si="0"/>
        <v>69536.92</v>
      </c>
    </row>
    <row r="30" spans="2:6" x14ac:dyDescent="0.25">
      <c r="B30" s="32">
        <v>42051</v>
      </c>
      <c r="C30" s="26" t="s">
        <v>79</v>
      </c>
      <c r="D30" s="24"/>
      <c r="E30" s="24">
        <v>60</v>
      </c>
      <c r="F30" s="25">
        <f t="shared" si="0"/>
        <v>69476.92</v>
      </c>
    </row>
    <row r="31" spans="2:6" x14ac:dyDescent="0.25">
      <c r="B31" s="32">
        <v>42053</v>
      </c>
      <c r="C31" s="26" t="s">
        <v>80</v>
      </c>
      <c r="D31" s="24"/>
      <c r="E31" s="24">
        <v>1051</v>
      </c>
      <c r="F31" s="25">
        <f t="shared" si="0"/>
        <v>68425.919999999998</v>
      </c>
    </row>
    <row r="32" spans="2:6" x14ac:dyDescent="0.25">
      <c r="B32" s="32">
        <v>42055</v>
      </c>
      <c r="C32" s="26" t="s">
        <v>68</v>
      </c>
      <c r="D32" s="24"/>
      <c r="E32" s="24">
        <v>600</v>
      </c>
      <c r="F32" s="25">
        <f t="shared" si="0"/>
        <v>67825.919999999998</v>
      </c>
    </row>
    <row r="33" spans="2:8" x14ac:dyDescent="0.25">
      <c r="B33" s="46">
        <v>42055</v>
      </c>
      <c r="C33" s="26" t="s">
        <v>79</v>
      </c>
      <c r="D33" s="24"/>
      <c r="E33" s="24">
        <v>60</v>
      </c>
      <c r="F33" s="25">
        <f t="shared" si="0"/>
        <v>67765.919999999998</v>
      </c>
    </row>
    <row r="34" spans="2:8" x14ac:dyDescent="0.25">
      <c r="B34" s="46">
        <v>42055</v>
      </c>
      <c r="C34" s="26" t="s">
        <v>81</v>
      </c>
      <c r="D34" s="24"/>
      <c r="E34" s="24">
        <v>1500</v>
      </c>
      <c r="F34" s="25">
        <f t="shared" si="0"/>
        <v>66265.919999999998</v>
      </c>
      <c r="H34" s="1"/>
    </row>
    <row r="35" spans="2:8" x14ac:dyDescent="0.25">
      <c r="B35" s="46">
        <v>42060</v>
      </c>
      <c r="C35" s="26" t="s">
        <v>83</v>
      </c>
      <c r="D35" s="24"/>
      <c r="E35" s="24">
        <v>600</v>
      </c>
      <c r="F35" s="25">
        <f t="shared" si="0"/>
        <v>65665.919999999998</v>
      </c>
      <c r="H35" s="1"/>
    </row>
    <row r="36" spans="2:8" x14ac:dyDescent="0.25">
      <c r="B36" s="46">
        <v>42061</v>
      </c>
      <c r="C36" s="26" t="s">
        <v>33</v>
      </c>
      <c r="D36" s="24">
        <v>20000</v>
      </c>
      <c r="E36" s="24"/>
      <c r="F36" s="25">
        <f t="shared" si="0"/>
        <v>85665.919999999998</v>
      </c>
      <c r="H36" s="1"/>
    </row>
    <row r="37" spans="2:8" x14ac:dyDescent="0.25">
      <c r="B37" s="46">
        <v>42062</v>
      </c>
      <c r="C37" s="26" t="s">
        <v>40</v>
      </c>
      <c r="D37" s="24"/>
      <c r="E37" s="24">
        <v>92.88</v>
      </c>
      <c r="F37" s="25">
        <f t="shared" si="0"/>
        <v>85573.04</v>
      </c>
    </row>
    <row r="38" spans="2:8" x14ac:dyDescent="0.25">
      <c r="B38" s="46">
        <v>42062</v>
      </c>
      <c r="C38" s="26" t="s">
        <v>84</v>
      </c>
      <c r="D38" s="24"/>
      <c r="E38" s="24">
        <v>90</v>
      </c>
      <c r="F38" s="25">
        <f t="shared" si="0"/>
        <v>85483.04</v>
      </c>
    </row>
    <row r="39" spans="2:8" x14ac:dyDescent="0.25">
      <c r="B39" s="46">
        <v>42062</v>
      </c>
      <c r="C39" s="26" t="s">
        <v>68</v>
      </c>
      <c r="D39" s="24"/>
      <c r="E39" s="24">
        <v>600</v>
      </c>
      <c r="F39" s="25">
        <f t="shared" si="0"/>
        <v>84883.04</v>
      </c>
    </row>
    <row r="40" spans="2:8" x14ac:dyDescent="0.25">
      <c r="B40" s="32">
        <v>42063</v>
      </c>
      <c r="C40" s="26" t="s">
        <v>85</v>
      </c>
      <c r="D40" s="24"/>
      <c r="E40" s="24">
        <v>27900</v>
      </c>
      <c r="F40" s="25">
        <f t="shared" si="0"/>
        <v>56983.039999999994</v>
      </c>
    </row>
    <row r="41" spans="2:8" x14ac:dyDescent="0.25">
      <c r="B41" s="32">
        <v>42063</v>
      </c>
      <c r="C41" s="26" t="s">
        <v>86</v>
      </c>
      <c r="D41" s="24"/>
      <c r="E41" s="24">
        <v>3200</v>
      </c>
      <c r="F41" s="25">
        <f t="shared" si="0"/>
        <v>53783.039999999994</v>
      </c>
    </row>
    <row r="42" spans="2:8" ht="15.75" thickBot="1" x14ac:dyDescent="0.3">
      <c r="B42" s="32">
        <v>42063</v>
      </c>
      <c r="C42" s="26" t="s">
        <v>307</v>
      </c>
      <c r="D42" s="24"/>
      <c r="E42" s="24">
        <v>1760</v>
      </c>
      <c r="F42" s="25">
        <f t="shared" si="0"/>
        <v>52023.039999999994</v>
      </c>
    </row>
    <row r="43" spans="2:8" ht="15.75" thickBot="1" x14ac:dyDescent="0.3">
      <c r="B43" s="14"/>
      <c r="C43" s="17" t="s">
        <v>0</v>
      </c>
      <c r="D43" s="15">
        <f>SUM(D6:D42)</f>
        <v>110000</v>
      </c>
      <c r="E43" s="15">
        <f>SUM(E6:E42)</f>
        <v>101570.49</v>
      </c>
      <c r="F43" s="34"/>
    </row>
    <row r="44" spans="2:8" x14ac:dyDescent="0.25">
      <c r="B44" s="5"/>
      <c r="C44" s="61"/>
      <c r="D44" s="4"/>
      <c r="E44" s="62"/>
      <c r="F44" s="11"/>
    </row>
    <row r="45" spans="2:8" x14ac:dyDescent="0.25">
      <c r="B45" s="5"/>
      <c r="C45" s="11"/>
      <c r="D45" s="10"/>
      <c r="E45" s="10"/>
      <c r="F45" s="63"/>
    </row>
    <row r="46" spans="2:8" x14ac:dyDescent="0.25">
      <c r="B46" s="5"/>
      <c r="C46" s="11"/>
      <c r="D46" s="10"/>
      <c r="E46" s="10"/>
      <c r="F46" s="63"/>
    </row>
    <row r="47" spans="2:8" x14ac:dyDescent="0.25">
      <c r="B47" s="5"/>
      <c r="C47" s="11"/>
      <c r="D47" s="10"/>
      <c r="E47" s="10"/>
      <c r="F47" s="63"/>
    </row>
    <row r="48" spans="2:8" x14ac:dyDescent="0.25">
      <c r="B48" s="11"/>
      <c r="C48" s="11"/>
      <c r="D48" s="64"/>
      <c r="E48" s="65"/>
      <c r="F48" s="66"/>
    </row>
    <row r="49" spans="4:5" x14ac:dyDescent="0.25">
      <c r="D49" s="2"/>
      <c r="E49" s="3"/>
    </row>
    <row r="50" spans="4:5" x14ac:dyDescent="0.25">
      <c r="D50" s="2"/>
      <c r="E50" s="3"/>
    </row>
    <row r="54" spans="4:5" x14ac:dyDescent="0.25">
      <c r="D54" s="2"/>
      <c r="E54" s="3"/>
    </row>
    <row r="55" spans="4:5" x14ac:dyDescent="0.25">
      <c r="D55" s="2"/>
      <c r="E55" s="3"/>
    </row>
    <row r="56" spans="4:5" x14ac:dyDescent="0.25">
      <c r="D56" s="2"/>
      <c r="E56" s="3"/>
    </row>
    <row r="57" spans="4:5" x14ac:dyDescent="0.25">
      <c r="D57" s="2"/>
      <c r="E57" s="3"/>
    </row>
    <row r="58" spans="4:5" x14ac:dyDescent="0.25">
      <c r="D58" s="2"/>
      <c r="E58" s="3"/>
    </row>
    <row r="59" spans="4:5" x14ac:dyDescent="0.25">
      <c r="D59" s="2"/>
      <c r="E59" s="3"/>
    </row>
    <row r="60" spans="4:5" x14ac:dyDescent="0.25">
      <c r="D60" s="2"/>
      <c r="E60" s="3"/>
    </row>
    <row r="61" spans="4:5" x14ac:dyDescent="0.25">
      <c r="D61" s="2"/>
      <c r="E61" s="3"/>
    </row>
    <row r="62" spans="4:5" x14ac:dyDescent="0.25">
      <c r="D62" s="2"/>
      <c r="E62" s="3"/>
    </row>
    <row r="63" spans="4:5" x14ac:dyDescent="0.25">
      <c r="D63" s="2"/>
      <c r="E63" s="3"/>
    </row>
    <row r="64" spans="4:5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1"/>
    </row>
    <row r="70" spans="4:5" x14ac:dyDescent="0.25">
      <c r="D70" s="1"/>
    </row>
    <row r="71" spans="4:5" x14ac:dyDescent="0.25">
      <c r="D71" s="1"/>
    </row>
    <row r="72" spans="4:5" x14ac:dyDescent="0.25">
      <c r="D72" s="1"/>
    </row>
    <row r="73" spans="4:5" x14ac:dyDescent="0.25">
      <c r="D73" s="1"/>
    </row>
    <row r="74" spans="4:5" x14ac:dyDescent="0.25">
      <c r="D74" s="1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</sheetData>
  <mergeCells count="1">
    <mergeCell ref="B3:F3"/>
  </mergeCells>
  <printOptions verticalCentered="1"/>
  <pageMargins left="0.43307086614173229" right="0.23622047244094488" top="0.74803149606299213" bottom="0.74803149606299213" header="0.31496062992125984" footer="0.31496062992125984"/>
  <pageSetup paperSize="9" scale="88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35"/>
  <sheetViews>
    <sheetView topLeftCell="A30" workbookViewId="0">
      <selection activeCell="E57" sqref="E57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42094</v>
      </c>
    </row>
    <row r="3" spans="2:6" x14ac:dyDescent="0.25">
      <c r="B3" s="146" t="s">
        <v>11</v>
      </c>
      <c r="C3" s="146"/>
      <c r="D3" s="146"/>
      <c r="E3" s="146"/>
      <c r="F3" s="146"/>
    </row>
    <row r="4" spans="2:6" ht="15.75" thickBot="1" x14ac:dyDescent="0.3">
      <c r="B4" s="147"/>
      <c r="C4" s="148"/>
      <c r="D4" s="148"/>
      <c r="E4" s="148"/>
      <c r="F4" s="148"/>
    </row>
    <row r="5" spans="2:6" ht="15.75" thickBot="1" x14ac:dyDescent="0.3">
      <c r="B5" s="52" t="s">
        <v>1</v>
      </c>
      <c r="C5" s="12" t="s">
        <v>2</v>
      </c>
      <c r="D5" s="7" t="s">
        <v>3</v>
      </c>
      <c r="E5" s="8" t="s">
        <v>5</v>
      </c>
      <c r="F5" s="9" t="s">
        <v>4</v>
      </c>
    </row>
    <row r="6" spans="2:6" x14ac:dyDescent="0.25">
      <c r="B6" s="36">
        <v>42063</v>
      </c>
      <c r="C6" s="37" t="s">
        <v>14</v>
      </c>
      <c r="D6" s="20"/>
      <c r="E6" s="21"/>
      <c r="F6" s="25">
        <v>52023.040000000001</v>
      </c>
    </row>
    <row r="7" spans="2:6" x14ac:dyDescent="0.25">
      <c r="B7" s="32">
        <v>42064</v>
      </c>
      <c r="C7" s="22" t="s">
        <v>88</v>
      </c>
      <c r="D7" s="23"/>
      <c r="E7" s="24">
        <v>600</v>
      </c>
      <c r="F7" s="25">
        <f>+F6+D7-E7</f>
        <v>51423.040000000001</v>
      </c>
    </row>
    <row r="8" spans="2:6" x14ac:dyDescent="0.25">
      <c r="B8" s="32">
        <v>42065</v>
      </c>
      <c r="C8" s="22" t="s">
        <v>33</v>
      </c>
      <c r="D8" s="74">
        <v>10000</v>
      </c>
      <c r="E8" s="24"/>
      <c r="F8" s="25">
        <f t="shared" ref="F8:F45" si="0">+F7+D8-E8</f>
        <v>61423.040000000001</v>
      </c>
    </row>
    <row r="9" spans="2:6" x14ac:dyDescent="0.25">
      <c r="B9" s="32">
        <v>42065</v>
      </c>
      <c r="C9" s="26" t="s">
        <v>89</v>
      </c>
      <c r="D9" s="24"/>
      <c r="E9" s="24">
        <v>988</v>
      </c>
      <c r="F9" s="25">
        <f t="shared" si="0"/>
        <v>60435.040000000001</v>
      </c>
    </row>
    <row r="10" spans="2:6" x14ac:dyDescent="0.25">
      <c r="B10" s="32">
        <v>42065</v>
      </c>
      <c r="C10" s="26" t="s">
        <v>90</v>
      </c>
      <c r="D10" s="24"/>
      <c r="E10" s="24">
        <v>90</v>
      </c>
      <c r="F10" s="25">
        <f t="shared" si="0"/>
        <v>60345.04</v>
      </c>
    </row>
    <row r="11" spans="2:6" x14ac:dyDescent="0.25">
      <c r="B11" s="32">
        <v>42066</v>
      </c>
      <c r="C11" s="39" t="s">
        <v>91</v>
      </c>
      <c r="D11" s="24"/>
      <c r="E11" s="28">
        <v>300</v>
      </c>
      <c r="F11" s="25">
        <f t="shared" si="0"/>
        <v>60045.04</v>
      </c>
    </row>
    <row r="12" spans="2:6" x14ac:dyDescent="0.25">
      <c r="B12" s="32">
        <v>42067</v>
      </c>
      <c r="C12" s="26" t="s">
        <v>92</v>
      </c>
      <c r="D12" s="24"/>
      <c r="E12" s="24">
        <v>200</v>
      </c>
      <c r="F12" s="25">
        <f t="shared" si="0"/>
        <v>59845.04</v>
      </c>
    </row>
    <row r="13" spans="2:6" x14ac:dyDescent="0.25">
      <c r="B13" s="32">
        <v>42068</v>
      </c>
      <c r="C13" s="26" t="s">
        <v>93</v>
      </c>
      <c r="D13" s="24"/>
      <c r="E13" s="24">
        <v>350</v>
      </c>
      <c r="F13" s="25">
        <f t="shared" si="0"/>
        <v>59495.040000000001</v>
      </c>
    </row>
    <row r="14" spans="2:6" x14ac:dyDescent="0.25">
      <c r="B14" s="32">
        <v>42068</v>
      </c>
      <c r="C14" s="39" t="s">
        <v>94</v>
      </c>
      <c r="D14" s="24"/>
      <c r="E14" s="28">
        <v>420</v>
      </c>
      <c r="F14" s="25">
        <f t="shared" si="0"/>
        <v>59075.040000000001</v>
      </c>
    </row>
    <row r="15" spans="2:6" x14ac:dyDescent="0.25">
      <c r="B15" s="32">
        <v>42069</v>
      </c>
      <c r="C15" s="27" t="s">
        <v>95</v>
      </c>
      <c r="D15" s="24"/>
      <c r="E15" s="24">
        <v>600</v>
      </c>
      <c r="F15" s="25">
        <f t="shared" si="0"/>
        <v>58475.040000000001</v>
      </c>
    </row>
    <row r="16" spans="2:6" x14ac:dyDescent="0.25">
      <c r="B16" s="32">
        <v>42069</v>
      </c>
      <c r="C16" s="26" t="s">
        <v>96</v>
      </c>
      <c r="D16" s="24"/>
      <c r="E16" s="24">
        <v>730</v>
      </c>
      <c r="F16" s="25">
        <f t="shared" si="0"/>
        <v>57745.04</v>
      </c>
    </row>
    <row r="17" spans="2:6" x14ac:dyDescent="0.25">
      <c r="B17" s="32">
        <v>42072</v>
      </c>
      <c r="C17" s="26" t="s">
        <v>33</v>
      </c>
      <c r="D17" s="24">
        <v>20000</v>
      </c>
      <c r="E17" s="24"/>
      <c r="F17" s="25">
        <f t="shared" si="0"/>
        <v>77745.040000000008</v>
      </c>
    </row>
    <row r="18" spans="2:6" x14ac:dyDescent="0.25">
      <c r="B18" s="32">
        <v>42072</v>
      </c>
      <c r="C18" s="26" t="s">
        <v>97</v>
      </c>
      <c r="D18" s="24"/>
      <c r="E18" s="24">
        <v>60</v>
      </c>
      <c r="F18" s="25">
        <f t="shared" si="0"/>
        <v>77685.040000000008</v>
      </c>
    </row>
    <row r="19" spans="2:6" x14ac:dyDescent="0.25">
      <c r="B19" s="40">
        <v>42074</v>
      </c>
      <c r="C19" s="26" t="s">
        <v>104</v>
      </c>
      <c r="D19" s="24"/>
      <c r="E19" s="24">
        <v>1116</v>
      </c>
      <c r="F19" s="25">
        <f t="shared" si="0"/>
        <v>76569.040000000008</v>
      </c>
    </row>
    <row r="20" spans="2:6" x14ac:dyDescent="0.25">
      <c r="B20" s="40">
        <v>42076</v>
      </c>
      <c r="C20" s="26" t="s">
        <v>95</v>
      </c>
      <c r="D20" s="24"/>
      <c r="E20" s="24">
        <v>600</v>
      </c>
      <c r="F20" s="25">
        <f t="shared" si="0"/>
        <v>75969.040000000008</v>
      </c>
    </row>
    <row r="21" spans="2:6" x14ac:dyDescent="0.25">
      <c r="B21" s="40">
        <v>42076</v>
      </c>
      <c r="C21" s="26" t="s">
        <v>79</v>
      </c>
      <c r="D21" s="24"/>
      <c r="E21" s="24">
        <v>60</v>
      </c>
      <c r="F21" s="25">
        <f t="shared" si="0"/>
        <v>75909.040000000008</v>
      </c>
    </row>
    <row r="22" spans="2:6" x14ac:dyDescent="0.25">
      <c r="B22" s="32">
        <v>42077</v>
      </c>
      <c r="C22" s="26" t="s">
        <v>98</v>
      </c>
      <c r="D22" s="24"/>
      <c r="E22" s="24">
        <v>747.03</v>
      </c>
      <c r="F22" s="25">
        <f t="shared" si="0"/>
        <v>75162.010000000009</v>
      </c>
    </row>
    <row r="23" spans="2:6" x14ac:dyDescent="0.25">
      <c r="B23" s="32">
        <v>42078</v>
      </c>
      <c r="C23" s="26" t="s">
        <v>99</v>
      </c>
      <c r="D23" s="24"/>
      <c r="E23" s="24">
        <v>27900</v>
      </c>
      <c r="F23" s="25">
        <f t="shared" si="0"/>
        <v>47262.010000000009</v>
      </c>
    </row>
    <row r="24" spans="2:6" x14ac:dyDescent="0.25">
      <c r="B24" s="38">
        <v>42078</v>
      </c>
      <c r="C24" s="26" t="s">
        <v>100</v>
      </c>
      <c r="D24" s="31"/>
      <c r="E24" s="31">
        <v>3200</v>
      </c>
      <c r="F24" s="25">
        <f t="shared" si="0"/>
        <v>44062.010000000009</v>
      </c>
    </row>
    <row r="25" spans="2:6" x14ac:dyDescent="0.25">
      <c r="B25" s="32">
        <v>42078</v>
      </c>
      <c r="C25" s="26" t="s">
        <v>101</v>
      </c>
      <c r="D25" s="24"/>
      <c r="E25" s="24">
        <v>350</v>
      </c>
      <c r="F25" s="25">
        <f t="shared" si="0"/>
        <v>43712.010000000009</v>
      </c>
    </row>
    <row r="26" spans="2:6" x14ac:dyDescent="0.25">
      <c r="B26" s="32">
        <v>42079</v>
      </c>
      <c r="C26" s="26" t="s">
        <v>102</v>
      </c>
      <c r="D26" s="24"/>
      <c r="E26" s="24">
        <v>700</v>
      </c>
      <c r="F26" s="25">
        <f t="shared" si="0"/>
        <v>43012.010000000009</v>
      </c>
    </row>
    <row r="27" spans="2:6" x14ac:dyDescent="0.25">
      <c r="B27" s="40">
        <v>42079</v>
      </c>
      <c r="C27" s="26" t="s">
        <v>105</v>
      </c>
      <c r="D27" s="24"/>
      <c r="E27" s="24">
        <v>300</v>
      </c>
      <c r="F27" s="25">
        <f t="shared" si="0"/>
        <v>42712.010000000009</v>
      </c>
    </row>
    <row r="28" spans="2:6" x14ac:dyDescent="0.25">
      <c r="B28" s="32">
        <v>42080</v>
      </c>
      <c r="C28" s="53" t="s">
        <v>103</v>
      </c>
      <c r="D28" s="24"/>
      <c r="E28" s="24">
        <v>415</v>
      </c>
      <c r="F28" s="25">
        <f t="shared" si="0"/>
        <v>42297.010000000009</v>
      </c>
    </row>
    <row r="29" spans="2:6" x14ac:dyDescent="0.25">
      <c r="B29" s="32">
        <v>42083</v>
      </c>
      <c r="C29" s="26" t="s">
        <v>110</v>
      </c>
      <c r="D29" s="24"/>
      <c r="E29" s="24">
        <v>800</v>
      </c>
      <c r="F29" s="25">
        <f t="shared" si="0"/>
        <v>41497.010000000009</v>
      </c>
    </row>
    <row r="30" spans="2:6" x14ac:dyDescent="0.25">
      <c r="B30" s="32">
        <v>42083</v>
      </c>
      <c r="C30" s="26" t="s">
        <v>113</v>
      </c>
      <c r="D30" s="24"/>
      <c r="E30" s="24">
        <v>350</v>
      </c>
      <c r="F30" s="25">
        <f t="shared" si="0"/>
        <v>41147.010000000009</v>
      </c>
    </row>
    <row r="31" spans="2:6" x14ac:dyDescent="0.25">
      <c r="B31" s="40">
        <v>42086</v>
      </c>
      <c r="C31" s="26" t="s">
        <v>106</v>
      </c>
      <c r="D31" s="24"/>
      <c r="E31" s="24">
        <v>90</v>
      </c>
      <c r="F31" s="25">
        <f t="shared" si="0"/>
        <v>41057.010000000009</v>
      </c>
    </row>
    <row r="32" spans="2:6" x14ac:dyDescent="0.25">
      <c r="B32" s="32">
        <v>42086</v>
      </c>
      <c r="C32" s="26" t="s">
        <v>107</v>
      </c>
      <c r="D32" s="24"/>
      <c r="E32" s="24">
        <v>60</v>
      </c>
      <c r="F32" s="25">
        <f t="shared" si="0"/>
        <v>40997.010000000009</v>
      </c>
    </row>
    <row r="33" spans="2:6" x14ac:dyDescent="0.25">
      <c r="B33" s="32">
        <v>42086</v>
      </c>
      <c r="C33" s="26" t="s">
        <v>108</v>
      </c>
      <c r="D33" s="24"/>
      <c r="E33" s="24">
        <v>390</v>
      </c>
      <c r="F33" s="25">
        <f t="shared" si="0"/>
        <v>40607.010000000009</v>
      </c>
    </row>
    <row r="34" spans="2:6" x14ac:dyDescent="0.25">
      <c r="B34" s="32">
        <v>42086</v>
      </c>
      <c r="C34" s="26" t="s">
        <v>33</v>
      </c>
      <c r="D34" s="24">
        <v>30000</v>
      </c>
      <c r="E34" s="24"/>
      <c r="F34" s="25">
        <f t="shared" si="0"/>
        <v>70607.010000000009</v>
      </c>
    </row>
    <row r="35" spans="2:6" x14ac:dyDescent="0.25">
      <c r="B35" s="32">
        <v>42086</v>
      </c>
      <c r="C35" s="26" t="s">
        <v>117</v>
      </c>
      <c r="D35" s="24"/>
      <c r="E35" s="24">
        <v>300</v>
      </c>
      <c r="F35" s="25">
        <f t="shared" si="0"/>
        <v>70307.010000000009</v>
      </c>
    </row>
    <row r="36" spans="2:6" x14ac:dyDescent="0.25">
      <c r="B36" s="32">
        <v>42087</v>
      </c>
      <c r="C36" s="26" t="s">
        <v>109</v>
      </c>
      <c r="D36" s="24"/>
      <c r="E36" s="24">
        <v>200</v>
      </c>
      <c r="F36" s="25">
        <f t="shared" si="0"/>
        <v>70107.010000000009</v>
      </c>
    </row>
    <row r="37" spans="2:6" x14ac:dyDescent="0.25">
      <c r="B37" s="32">
        <v>42087</v>
      </c>
      <c r="C37" s="26" t="s">
        <v>114</v>
      </c>
      <c r="D37" s="24"/>
      <c r="E37" s="24">
        <v>650</v>
      </c>
      <c r="F37" s="25">
        <f t="shared" si="0"/>
        <v>69457.010000000009</v>
      </c>
    </row>
    <row r="38" spans="2:6" x14ac:dyDescent="0.25">
      <c r="B38" s="32">
        <v>42090</v>
      </c>
      <c r="C38" s="26" t="s">
        <v>111</v>
      </c>
      <c r="D38" s="24"/>
      <c r="E38" s="24">
        <v>600</v>
      </c>
      <c r="F38" s="25">
        <f t="shared" si="0"/>
        <v>68857.010000000009</v>
      </c>
    </row>
    <row r="39" spans="2:6" x14ac:dyDescent="0.25">
      <c r="B39" s="32">
        <v>42090</v>
      </c>
      <c r="C39" s="26" t="s">
        <v>119</v>
      </c>
      <c r="D39" s="24"/>
      <c r="E39" s="24">
        <v>30</v>
      </c>
      <c r="F39" s="25">
        <f t="shared" si="0"/>
        <v>68827.010000000009</v>
      </c>
    </row>
    <row r="40" spans="2:6" x14ac:dyDescent="0.25">
      <c r="B40" s="32">
        <v>42093</v>
      </c>
      <c r="C40" s="26" t="s">
        <v>112</v>
      </c>
      <c r="D40" s="24">
        <v>20000</v>
      </c>
      <c r="E40" s="28"/>
      <c r="F40" s="25">
        <f t="shared" si="0"/>
        <v>88827.010000000009</v>
      </c>
    </row>
    <row r="41" spans="2:6" x14ac:dyDescent="0.25">
      <c r="B41" s="86">
        <v>42094</v>
      </c>
      <c r="C41" s="84" t="s">
        <v>142</v>
      </c>
      <c r="D41" s="85"/>
      <c r="E41" s="85">
        <v>1760</v>
      </c>
      <c r="F41" s="25">
        <f t="shared" si="0"/>
        <v>87067.010000000009</v>
      </c>
    </row>
    <row r="42" spans="2:6" x14ac:dyDescent="0.25">
      <c r="B42" s="32">
        <v>42094</v>
      </c>
      <c r="C42" s="26" t="s">
        <v>118</v>
      </c>
      <c r="D42" s="24"/>
      <c r="E42" s="24">
        <v>13700</v>
      </c>
      <c r="F42" s="25">
        <f t="shared" si="0"/>
        <v>73367.010000000009</v>
      </c>
    </row>
    <row r="43" spans="2:6" x14ac:dyDescent="0.25">
      <c r="B43" s="32">
        <v>42094</v>
      </c>
      <c r="C43" s="26" t="s">
        <v>115</v>
      </c>
      <c r="D43" s="24"/>
      <c r="E43" s="24">
        <v>27900</v>
      </c>
      <c r="F43" s="25">
        <f t="shared" si="0"/>
        <v>45467.010000000009</v>
      </c>
    </row>
    <row r="44" spans="2:6" x14ac:dyDescent="0.25">
      <c r="B44" s="32">
        <v>42094</v>
      </c>
      <c r="C44" s="39" t="s">
        <v>116</v>
      </c>
      <c r="D44" s="24"/>
      <c r="E44" s="24">
        <v>3200</v>
      </c>
      <c r="F44" s="25">
        <f t="shared" si="0"/>
        <v>42267.010000000009</v>
      </c>
    </row>
    <row r="45" spans="2:6" ht="15.75" thickBot="1" x14ac:dyDescent="0.3">
      <c r="B45" s="32"/>
      <c r="C45" s="26"/>
      <c r="D45" s="24"/>
      <c r="E45" s="24"/>
      <c r="F45" s="25">
        <f t="shared" si="0"/>
        <v>42267.010000000009</v>
      </c>
    </row>
    <row r="46" spans="2:6" ht="15.75" thickBot="1" x14ac:dyDescent="0.3">
      <c r="B46" s="14"/>
      <c r="C46" s="17" t="s">
        <v>0</v>
      </c>
      <c r="D46" s="15">
        <f>SUM(D6:D45)</f>
        <v>80000</v>
      </c>
      <c r="E46" s="15">
        <f>SUM(E6:E45)</f>
        <v>89756.03</v>
      </c>
      <c r="F46" s="34"/>
    </row>
    <row r="47" spans="2:6" x14ac:dyDescent="0.25">
      <c r="B47" s="5"/>
      <c r="C47" s="61"/>
      <c r="D47" s="4"/>
      <c r="E47" s="62"/>
      <c r="F47" s="11"/>
    </row>
    <row r="48" spans="2:6" x14ac:dyDescent="0.25">
      <c r="B48" s="5"/>
      <c r="C48" s="11"/>
      <c r="D48" s="10"/>
      <c r="E48" s="10"/>
      <c r="F48" s="63"/>
    </row>
    <row r="49" spans="2:7" x14ac:dyDescent="0.25">
      <c r="B49" s="5"/>
      <c r="C49" s="11"/>
      <c r="D49" s="10"/>
      <c r="E49" s="10"/>
      <c r="F49" s="63"/>
    </row>
    <row r="50" spans="2:7" x14ac:dyDescent="0.25">
      <c r="B50" s="11"/>
      <c r="C50" s="11"/>
      <c r="D50" s="64"/>
      <c r="E50" s="67"/>
      <c r="F50" s="66"/>
    </row>
    <row r="51" spans="2:7" x14ac:dyDescent="0.25">
      <c r="D51" s="2"/>
      <c r="E51" s="3"/>
    </row>
    <row r="52" spans="2:7" x14ac:dyDescent="0.25">
      <c r="D52" s="2"/>
      <c r="E52" s="3"/>
    </row>
    <row r="53" spans="2:7" x14ac:dyDescent="0.25">
      <c r="D53" s="2"/>
      <c r="E53" s="3"/>
    </row>
    <row r="54" spans="2:7" x14ac:dyDescent="0.25">
      <c r="D54" s="5"/>
      <c r="E54" s="11"/>
      <c r="F54" s="10"/>
    </row>
    <row r="55" spans="2:7" x14ac:dyDescent="0.25">
      <c r="D55" s="2"/>
      <c r="E55" s="3"/>
    </row>
    <row r="56" spans="2:7" x14ac:dyDescent="0.25">
      <c r="D56" s="2"/>
      <c r="E56" s="3"/>
    </row>
    <row r="57" spans="2:7" x14ac:dyDescent="0.25">
      <c r="D57" s="2"/>
      <c r="E57" s="3"/>
      <c r="G57" s="10"/>
    </row>
    <row r="58" spans="2:7" x14ac:dyDescent="0.25">
      <c r="D58" s="2"/>
      <c r="E58" s="3"/>
    </row>
    <row r="59" spans="2:7" x14ac:dyDescent="0.25">
      <c r="D59" s="2"/>
      <c r="E59" s="3"/>
    </row>
    <row r="60" spans="2:7" x14ac:dyDescent="0.25">
      <c r="D60" s="2"/>
      <c r="E60" s="3"/>
    </row>
    <row r="61" spans="2:7" x14ac:dyDescent="0.25">
      <c r="D61" s="2"/>
      <c r="E61" s="3"/>
    </row>
    <row r="62" spans="2:7" x14ac:dyDescent="0.25">
      <c r="D62" s="2"/>
      <c r="E62" s="3"/>
    </row>
    <row r="63" spans="2:7" x14ac:dyDescent="0.25">
      <c r="D63" s="2"/>
      <c r="E63" s="3"/>
    </row>
    <row r="64" spans="2:7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1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</sheetData>
  <mergeCells count="2">
    <mergeCell ref="B3:F3"/>
    <mergeCell ref="B4:F4"/>
  </mergeCells>
  <printOptions verticalCentered="1"/>
  <pageMargins left="0" right="0" top="0.74803149606299213" bottom="0.74803149606299213" header="0.31496062992125984" footer="0.31496062992125984"/>
  <pageSetup paperSize="9" scale="93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37"/>
  <sheetViews>
    <sheetView topLeftCell="A30" workbookViewId="0">
      <selection activeCell="D57" sqref="D57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42124</v>
      </c>
    </row>
    <row r="2" spans="2:6" x14ac:dyDescent="0.25">
      <c r="B2" s="146" t="s">
        <v>12</v>
      </c>
      <c r="C2" s="146"/>
      <c r="D2" s="146"/>
      <c r="E2" s="146"/>
      <c r="F2" s="146"/>
    </row>
    <row r="3" spans="2:6" ht="15.75" thickBot="1" x14ac:dyDescent="0.3">
      <c r="C3" s="6"/>
      <c r="D3" s="6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42093</v>
      </c>
      <c r="C5" s="19" t="s">
        <v>13</v>
      </c>
      <c r="D5" s="20"/>
      <c r="E5" s="21"/>
      <c r="F5" s="25">
        <v>42267.01</v>
      </c>
    </row>
    <row r="6" spans="2:6" x14ac:dyDescent="0.25">
      <c r="B6" s="32">
        <v>42095</v>
      </c>
      <c r="C6" s="22" t="s">
        <v>120</v>
      </c>
      <c r="D6" s="23"/>
      <c r="E6" s="24">
        <v>300</v>
      </c>
      <c r="F6" s="25">
        <f>+F5+D6-E6</f>
        <v>41967.01</v>
      </c>
    </row>
    <row r="7" spans="2:6" x14ac:dyDescent="0.25">
      <c r="B7" s="32">
        <v>42095</v>
      </c>
      <c r="C7" s="26" t="s">
        <v>121</v>
      </c>
      <c r="D7" s="24"/>
      <c r="E7" s="24">
        <v>90</v>
      </c>
      <c r="F7" s="25">
        <f t="shared" ref="F7:F45" si="0">+F6+D7-E7</f>
        <v>41877.01</v>
      </c>
    </row>
    <row r="8" spans="2:6" x14ac:dyDescent="0.25">
      <c r="B8" s="32">
        <v>42095</v>
      </c>
      <c r="C8" s="26" t="s">
        <v>131</v>
      </c>
      <c r="D8" s="24"/>
      <c r="E8" s="24">
        <v>600</v>
      </c>
      <c r="F8" s="25">
        <f t="shared" si="0"/>
        <v>41277.01</v>
      </c>
    </row>
    <row r="9" spans="2:6" x14ac:dyDescent="0.25">
      <c r="B9" s="32">
        <v>42097</v>
      </c>
      <c r="C9" s="26" t="s">
        <v>122</v>
      </c>
      <c r="D9" s="24"/>
      <c r="E9" s="24">
        <v>600</v>
      </c>
      <c r="F9" s="25">
        <f t="shared" si="0"/>
        <v>40677.01</v>
      </c>
    </row>
    <row r="10" spans="2:6" x14ac:dyDescent="0.25">
      <c r="B10" s="32">
        <v>42100</v>
      </c>
      <c r="C10" s="26" t="s">
        <v>33</v>
      </c>
      <c r="D10" s="24">
        <v>20000</v>
      </c>
      <c r="E10" s="24"/>
      <c r="F10" s="25">
        <f t="shared" si="0"/>
        <v>60677.01</v>
      </c>
    </row>
    <row r="11" spans="2:6" x14ac:dyDescent="0.25">
      <c r="B11" s="32">
        <v>42100</v>
      </c>
      <c r="C11" s="27" t="s">
        <v>121</v>
      </c>
      <c r="D11" s="24"/>
      <c r="E11" s="28">
        <v>90</v>
      </c>
      <c r="F11" s="25">
        <f t="shared" si="0"/>
        <v>60587.01</v>
      </c>
    </row>
    <row r="12" spans="2:6" x14ac:dyDescent="0.25">
      <c r="B12" s="32">
        <v>42104</v>
      </c>
      <c r="C12" s="27" t="s">
        <v>123</v>
      </c>
      <c r="D12" s="24"/>
      <c r="E12" s="28">
        <v>60</v>
      </c>
      <c r="F12" s="25">
        <f t="shared" si="0"/>
        <v>60527.01</v>
      </c>
    </row>
    <row r="13" spans="2:6" x14ac:dyDescent="0.25">
      <c r="B13" s="32">
        <v>42104</v>
      </c>
      <c r="C13" s="26" t="s">
        <v>124</v>
      </c>
      <c r="D13" s="24"/>
      <c r="E13" s="24">
        <v>1153.4000000000001</v>
      </c>
      <c r="F13" s="25">
        <f t="shared" si="0"/>
        <v>59373.61</v>
      </c>
    </row>
    <row r="14" spans="2:6" x14ac:dyDescent="0.25">
      <c r="B14" s="32">
        <v>42104</v>
      </c>
      <c r="C14" s="26" t="s">
        <v>125</v>
      </c>
      <c r="D14" s="24"/>
      <c r="E14" s="24">
        <v>1104</v>
      </c>
      <c r="F14" s="25">
        <f t="shared" si="0"/>
        <v>58269.61</v>
      </c>
    </row>
    <row r="15" spans="2:6" x14ac:dyDescent="0.25">
      <c r="B15" s="32">
        <v>42104</v>
      </c>
      <c r="C15" s="26" t="s">
        <v>122</v>
      </c>
      <c r="D15" s="24"/>
      <c r="E15" s="24">
        <v>600</v>
      </c>
      <c r="F15" s="25">
        <f t="shared" si="0"/>
        <v>57669.61</v>
      </c>
    </row>
    <row r="16" spans="2:6" x14ac:dyDescent="0.25">
      <c r="B16" s="32">
        <v>42106</v>
      </c>
      <c r="C16" s="26" t="s">
        <v>126</v>
      </c>
      <c r="D16" s="24"/>
      <c r="E16" s="24">
        <v>5000</v>
      </c>
      <c r="F16" s="25">
        <f t="shared" si="0"/>
        <v>52669.61</v>
      </c>
    </row>
    <row r="17" spans="2:6" x14ac:dyDescent="0.25">
      <c r="B17" s="32">
        <v>42107</v>
      </c>
      <c r="C17" s="26" t="s">
        <v>33</v>
      </c>
      <c r="D17" s="24">
        <v>30000</v>
      </c>
      <c r="E17" s="24"/>
      <c r="F17" s="25">
        <f t="shared" si="0"/>
        <v>82669.61</v>
      </c>
    </row>
    <row r="18" spans="2:6" x14ac:dyDescent="0.25">
      <c r="B18" s="32">
        <v>42107</v>
      </c>
      <c r="C18" s="27" t="s">
        <v>127</v>
      </c>
      <c r="D18" s="24"/>
      <c r="E18" s="28">
        <v>30</v>
      </c>
      <c r="F18" s="25">
        <f t="shared" si="0"/>
        <v>82639.61</v>
      </c>
    </row>
    <row r="19" spans="2:6" x14ac:dyDescent="0.25">
      <c r="B19" s="32">
        <v>42107</v>
      </c>
      <c r="C19" s="27" t="s">
        <v>128</v>
      </c>
      <c r="D19" s="24"/>
      <c r="E19" s="28">
        <v>1114</v>
      </c>
      <c r="F19" s="25">
        <f t="shared" si="0"/>
        <v>81525.61</v>
      </c>
    </row>
    <row r="20" spans="2:6" x14ac:dyDescent="0.25">
      <c r="B20" s="32">
        <v>42108</v>
      </c>
      <c r="C20" s="27" t="s">
        <v>129</v>
      </c>
      <c r="D20" s="24"/>
      <c r="E20" s="28">
        <v>1050</v>
      </c>
      <c r="F20" s="25">
        <f t="shared" si="0"/>
        <v>80475.61</v>
      </c>
    </row>
    <row r="21" spans="2:6" x14ac:dyDescent="0.25">
      <c r="B21" s="32">
        <v>42109</v>
      </c>
      <c r="C21" s="27" t="s">
        <v>46</v>
      </c>
      <c r="D21" s="24"/>
      <c r="E21" s="28">
        <v>60</v>
      </c>
      <c r="F21" s="25">
        <f t="shared" si="0"/>
        <v>80415.61</v>
      </c>
    </row>
    <row r="22" spans="2:6" x14ac:dyDescent="0.25">
      <c r="B22" s="32">
        <v>42109</v>
      </c>
      <c r="C22" s="26" t="s">
        <v>130</v>
      </c>
      <c r="D22" s="24"/>
      <c r="E22" s="24">
        <v>700</v>
      </c>
      <c r="F22" s="25">
        <f t="shared" si="0"/>
        <v>79715.61</v>
      </c>
    </row>
    <row r="23" spans="2:6" x14ac:dyDescent="0.25">
      <c r="B23" s="32">
        <v>42109</v>
      </c>
      <c r="C23" s="27" t="s">
        <v>132</v>
      </c>
      <c r="D23" s="24"/>
      <c r="E23" s="24">
        <v>29000</v>
      </c>
      <c r="F23" s="25">
        <f t="shared" si="0"/>
        <v>50715.61</v>
      </c>
    </row>
    <row r="24" spans="2:6" x14ac:dyDescent="0.25">
      <c r="B24" s="32">
        <v>42109</v>
      </c>
      <c r="C24" s="26" t="s">
        <v>133</v>
      </c>
      <c r="D24" s="24"/>
      <c r="E24" s="24">
        <v>3200</v>
      </c>
      <c r="F24" s="25">
        <f t="shared" si="0"/>
        <v>47515.61</v>
      </c>
    </row>
    <row r="25" spans="2:6" x14ac:dyDescent="0.25">
      <c r="B25" s="32">
        <v>42110</v>
      </c>
      <c r="C25" s="26" t="s">
        <v>134</v>
      </c>
      <c r="D25" s="24"/>
      <c r="E25" s="24">
        <v>5500</v>
      </c>
      <c r="F25" s="25">
        <f t="shared" si="0"/>
        <v>42015.61</v>
      </c>
    </row>
    <row r="26" spans="2:6" x14ac:dyDescent="0.25">
      <c r="B26" s="32">
        <v>42110</v>
      </c>
      <c r="C26" s="26" t="s">
        <v>134</v>
      </c>
      <c r="D26" s="24"/>
      <c r="E26" s="24">
        <v>2600</v>
      </c>
      <c r="F26" s="25">
        <f t="shared" si="0"/>
        <v>39415.61</v>
      </c>
    </row>
    <row r="27" spans="2:6" x14ac:dyDescent="0.25">
      <c r="B27" s="32">
        <v>42111</v>
      </c>
      <c r="C27" s="26" t="s">
        <v>122</v>
      </c>
      <c r="D27" s="24"/>
      <c r="E27" s="24">
        <v>600</v>
      </c>
      <c r="F27" s="25">
        <f t="shared" si="0"/>
        <v>38815.61</v>
      </c>
    </row>
    <row r="28" spans="2:6" x14ac:dyDescent="0.25">
      <c r="B28" s="32">
        <v>42111</v>
      </c>
      <c r="C28" s="26" t="s">
        <v>135</v>
      </c>
      <c r="D28" s="24"/>
      <c r="E28" s="24">
        <v>315</v>
      </c>
      <c r="F28" s="25">
        <f t="shared" si="0"/>
        <v>38500.61</v>
      </c>
    </row>
    <row r="29" spans="2:6" x14ac:dyDescent="0.25">
      <c r="B29" s="32">
        <v>42113</v>
      </c>
      <c r="C29" s="26" t="s">
        <v>33</v>
      </c>
      <c r="D29" s="24">
        <v>12000</v>
      </c>
      <c r="E29" s="24"/>
      <c r="F29" s="25">
        <f t="shared" si="0"/>
        <v>50500.61</v>
      </c>
    </row>
    <row r="30" spans="2:6" x14ac:dyDescent="0.25">
      <c r="B30" s="32">
        <v>42114</v>
      </c>
      <c r="C30" s="26" t="s">
        <v>136</v>
      </c>
      <c r="D30" s="24"/>
      <c r="E30" s="24">
        <v>800</v>
      </c>
      <c r="F30" s="25">
        <f t="shared" si="0"/>
        <v>49700.61</v>
      </c>
    </row>
    <row r="31" spans="2:6" x14ac:dyDescent="0.25">
      <c r="B31" s="32">
        <v>42114</v>
      </c>
      <c r="C31" s="26" t="s">
        <v>120</v>
      </c>
      <c r="D31" s="24"/>
      <c r="E31" s="24">
        <v>300</v>
      </c>
      <c r="F31" s="25">
        <f t="shared" si="0"/>
        <v>49400.61</v>
      </c>
    </row>
    <row r="32" spans="2:6" x14ac:dyDescent="0.25">
      <c r="B32" s="32">
        <v>42114</v>
      </c>
      <c r="C32" s="26" t="s">
        <v>121</v>
      </c>
      <c r="D32" s="24"/>
      <c r="E32" s="24">
        <v>90</v>
      </c>
      <c r="F32" s="25">
        <f t="shared" si="0"/>
        <v>49310.61</v>
      </c>
    </row>
    <row r="33" spans="2:6" x14ac:dyDescent="0.25">
      <c r="B33" s="32">
        <v>42117</v>
      </c>
      <c r="C33" s="26" t="s">
        <v>137</v>
      </c>
      <c r="D33" s="24"/>
      <c r="E33" s="24">
        <v>79.5</v>
      </c>
      <c r="F33" s="25">
        <f t="shared" si="0"/>
        <v>49231.11</v>
      </c>
    </row>
    <row r="34" spans="2:6" x14ac:dyDescent="0.25">
      <c r="B34" s="32">
        <v>42118</v>
      </c>
      <c r="C34" s="26" t="s">
        <v>138</v>
      </c>
      <c r="D34" s="24"/>
      <c r="E34" s="24">
        <v>4250</v>
      </c>
      <c r="F34" s="25">
        <f t="shared" si="0"/>
        <v>44981.11</v>
      </c>
    </row>
    <row r="35" spans="2:6" x14ac:dyDescent="0.25">
      <c r="B35" s="32">
        <v>42118</v>
      </c>
      <c r="C35" s="41" t="s">
        <v>122</v>
      </c>
      <c r="D35" s="31"/>
      <c r="E35" s="31">
        <v>600</v>
      </c>
      <c r="F35" s="25">
        <f t="shared" si="0"/>
        <v>44381.11</v>
      </c>
    </row>
    <row r="36" spans="2:6" x14ac:dyDescent="0.25">
      <c r="B36" s="32">
        <v>42121</v>
      </c>
      <c r="C36" s="26" t="s">
        <v>46</v>
      </c>
      <c r="D36" s="24"/>
      <c r="E36" s="24">
        <v>60</v>
      </c>
      <c r="F36" s="25">
        <f t="shared" si="0"/>
        <v>44321.11</v>
      </c>
    </row>
    <row r="37" spans="2:6" x14ac:dyDescent="0.25">
      <c r="B37" s="32">
        <v>42121</v>
      </c>
      <c r="C37" s="26" t="s">
        <v>33</v>
      </c>
      <c r="D37" s="24">
        <v>27000</v>
      </c>
      <c r="E37" s="24"/>
      <c r="F37" s="25">
        <f t="shared" si="0"/>
        <v>71321.11</v>
      </c>
    </row>
    <row r="38" spans="2:6" x14ac:dyDescent="0.25">
      <c r="B38" s="32">
        <v>42121</v>
      </c>
      <c r="C38" s="26" t="s">
        <v>141</v>
      </c>
      <c r="D38" s="24"/>
      <c r="E38" s="24">
        <v>1500</v>
      </c>
      <c r="F38" s="25">
        <f t="shared" si="0"/>
        <v>69821.11</v>
      </c>
    </row>
    <row r="39" spans="2:6" x14ac:dyDescent="0.25">
      <c r="B39" s="32">
        <v>42123</v>
      </c>
      <c r="C39" s="26" t="s">
        <v>140</v>
      </c>
      <c r="D39" s="24"/>
      <c r="E39" s="24">
        <v>700</v>
      </c>
      <c r="F39" s="25">
        <f t="shared" si="0"/>
        <v>69121.11</v>
      </c>
    </row>
    <row r="40" spans="2:6" x14ac:dyDescent="0.25">
      <c r="B40" s="32">
        <v>42123</v>
      </c>
      <c r="C40" s="26" t="s">
        <v>46</v>
      </c>
      <c r="D40" s="24"/>
      <c r="E40" s="24">
        <v>60</v>
      </c>
      <c r="F40" s="25">
        <f t="shared" si="0"/>
        <v>69061.11</v>
      </c>
    </row>
    <row r="41" spans="2:6" x14ac:dyDescent="0.25">
      <c r="B41" s="32">
        <v>42123</v>
      </c>
      <c r="C41" s="26" t="s">
        <v>35</v>
      </c>
      <c r="D41" s="24"/>
      <c r="E41" s="24">
        <v>90</v>
      </c>
      <c r="F41" s="25">
        <f t="shared" si="0"/>
        <v>68971.11</v>
      </c>
    </row>
    <row r="42" spans="2:6" x14ac:dyDescent="0.25">
      <c r="B42" s="32">
        <v>42123</v>
      </c>
      <c r="C42" s="26" t="s">
        <v>139</v>
      </c>
      <c r="D42" s="24"/>
      <c r="E42" s="24">
        <v>200</v>
      </c>
      <c r="F42" s="25">
        <f t="shared" si="0"/>
        <v>68771.11</v>
      </c>
    </row>
    <row r="43" spans="2:6" x14ac:dyDescent="0.25">
      <c r="B43" s="32">
        <v>42124</v>
      </c>
      <c r="C43" s="26" t="s">
        <v>132</v>
      </c>
      <c r="D43" s="24"/>
      <c r="E43" s="24">
        <v>29000</v>
      </c>
      <c r="F43" s="25">
        <f t="shared" si="0"/>
        <v>39771.11</v>
      </c>
    </row>
    <row r="44" spans="2:6" x14ac:dyDescent="0.25">
      <c r="B44" s="32">
        <v>42124</v>
      </c>
      <c r="C44" s="26" t="s">
        <v>133</v>
      </c>
      <c r="D44" s="24"/>
      <c r="E44" s="24">
        <v>3200</v>
      </c>
      <c r="F44" s="25">
        <f t="shared" si="0"/>
        <v>36571.11</v>
      </c>
    </row>
    <row r="45" spans="2:6" ht="15.75" thickBot="1" x14ac:dyDescent="0.3">
      <c r="B45" s="86">
        <v>42124</v>
      </c>
      <c r="C45" s="87" t="s">
        <v>308</v>
      </c>
      <c r="D45" s="88"/>
      <c r="E45" s="88">
        <v>1760</v>
      </c>
      <c r="F45" s="25">
        <f t="shared" si="0"/>
        <v>34811.11</v>
      </c>
    </row>
    <row r="46" spans="2:6" ht="15.75" thickBot="1" x14ac:dyDescent="0.3">
      <c r="B46" s="14"/>
      <c r="C46" s="17" t="s">
        <v>0</v>
      </c>
      <c r="D46" s="15">
        <f>SUM(D5:D45)</f>
        <v>89000</v>
      </c>
      <c r="E46" s="15">
        <f>SUM(E5:E45)</f>
        <v>96455.9</v>
      </c>
      <c r="F46" s="33"/>
    </row>
    <row r="47" spans="2:6" x14ac:dyDescent="0.25">
      <c r="B47" s="5"/>
      <c r="C47" s="61"/>
      <c r="D47" s="4"/>
      <c r="E47" s="62"/>
      <c r="F47" s="11"/>
    </row>
    <row r="48" spans="2:6" x14ac:dyDescent="0.25">
      <c r="B48" s="5"/>
      <c r="C48" s="68"/>
      <c r="D48" s="69"/>
      <c r="E48" s="10"/>
      <c r="F48" s="63"/>
    </row>
    <row r="49" spans="2:6" x14ac:dyDescent="0.25">
      <c r="B49" s="5"/>
      <c r="C49" s="11"/>
      <c r="D49" s="10"/>
      <c r="E49" s="10"/>
      <c r="F49" s="63"/>
    </row>
    <row r="50" spans="2:6" x14ac:dyDescent="0.25">
      <c r="B50" s="5"/>
      <c r="C50" s="11"/>
      <c r="D50" s="10"/>
      <c r="E50" s="10"/>
      <c r="F50" s="63"/>
    </row>
    <row r="51" spans="2:6" x14ac:dyDescent="0.25">
      <c r="B51" s="11"/>
      <c r="C51" s="11"/>
      <c r="D51" s="64"/>
      <c r="E51" s="67"/>
      <c r="F51" s="66"/>
    </row>
    <row r="52" spans="2:6" x14ac:dyDescent="0.25">
      <c r="D52" s="2"/>
      <c r="E52" s="3"/>
    </row>
    <row r="53" spans="2:6" x14ac:dyDescent="0.25">
      <c r="D53" s="2"/>
      <c r="E53" s="3"/>
    </row>
    <row r="54" spans="2:6" x14ac:dyDescent="0.25">
      <c r="D54" s="2"/>
      <c r="E54" s="3"/>
    </row>
    <row r="55" spans="2:6" x14ac:dyDescent="0.25">
      <c r="D55" s="2"/>
      <c r="E55" s="3"/>
    </row>
    <row r="56" spans="2:6" x14ac:dyDescent="0.25">
      <c r="D56" s="2"/>
      <c r="E56" s="3"/>
    </row>
    <row r="57" spans="2:6" x14ac:dyDescent="0.25">
      <c r="D57" s="2"/>
      <c r="E57" s="3"/>
    </row>
    <row r="58" spans="2:6" x14ac:dyDescent="0.25">
      <c r="D58" s="2"/>
      <c r="E58" s="3"/>
    </row>
    <row r="59" spans="2:6" x14ac:dyDescent="0.25">
      <c r="D59" s="2"/>
      <c r="E59" s="3"/>
    </row>
    <row r="60" spans="2:6" x14ac:dyDescent="0.25">
      <c r="D60" s="2"/>
      <c r="E60" s="3"/>
    </row>
    <row r="61" spans="2:6" x14ac:dyDescent="0.25">
      <c r="D61" s="2"/>
      <c r="E61" s="3"/>
    </row>
    <row r="62" spans="2:6" x14ac:dyDescent="0.25">
      <c r="D62" s="2"/>
      <c r="E62" s="3"/>
    </row>
    <row r="63" spans="2:6" x14ac:dyDescent="0.25">
      <c r="D63" s="2"/>
      <c r="E63" s="3"/>
    </row>
    <row r="64" spans="2:6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2"/>
      <c r="E75" s="3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</sheetData>
  <mergeCells count="1">
    <mergeCell ref="B2:F2"/>
  </mergeCells>
  <printOptions verticalCentered="1"/>
  <pageMargins left="0" right="0" top="0.74803149606299213" bottom="0.74803149606299213" header="0.31496062992125984" footer="0.31496062992125984"/>
  <pageSetup paperSize="9" scale="93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74"/>
  <sheetViews>
    <sheetView topLeftCell="A55" workbookViewId="0">
      <selection activeCell="C82" sqref="C8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42155</v>
      </c>
    </row>
    <row r="2" spans="2:6" x14ac:dyDescent="0.25">
      <c r="B2" s="146" t="s">
        <v>15</v>
      </c>
      <c r="C2" s="146"/>
      <c r="D2" s="146"/>
      <c r="E2" s="146"/>
      <c r="F2" s="146"/>
    </row>
    <row r="3" spans="2:6" ht="15.75" thickBot="1" x14ac:dyDescent="0.3">
      <c r="C3" s="55"/>
      <c r="D3" s="55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42124</v>
      </c>
      <c r="C5" s="19" t="s">
        <v>8</v>
      </c>
      <c r="D5" s="31"/>
      <c r="E5" s="31"/>
      <c r="F5" s="25">
        <v>34811.11</v>
      </c>
    </row>
    <row r="6" spans="2:6" x14ac:dyDescent="0.25">
      <c r="B6" s="32">
        <v>42125</v>
      </c>
      <c r="C6" s="22" t="s">
        <v>143</v>
      </c>
      <c r="D6" s="23"/>
      <c r="E6" s="24">
        <v>30</v>
      </c>
      <c r="F6" s="25">
        <f>+F5+D6-E6</f>
        <v>34781.11</v>
      </c>
    </row>
    <row r="7" spans="2:6" x14ac:dyDescent="0.25">
      <c r="B7" s="32">
        <v>42125</v>
      </c>
      <c r="C7" s="26" t="s">
        <v>122</v>
      </c>
      <c r="D7" s="24"/>
      <c r="E7" s="24">
        <v>600</v>
      </c>
      <c r="F7" s="25">
        <f t="shared" ref="F7:F68" si="0">+F6+D7-E7</f>
        <v>34181.11</v>
      </c>
    </row>
    <row r="8" spans="2:6" x14ac:dyDescent="0.25">
      <c r="B8" s="32">
        <v>42127</v>
      </c>
      <c r="C8" s="26" t="s">
        <v>144</v>
      </c>
      <c r="D8" s="24"/>
      <c r="E8" s="24">
        <v>300</v>
      </c>
      <c r="F8" s="25">
        <f t="shared" si="0"/>
        <v>33881.11</v>
      </c>
    </row>
    <row r="9" spans="2:6" x14ac:dyDescent="0.25">
      <c r="B9" s="32">
        <v>42127</v>
      </c>
      <c r="C9" s="26" t="s">
        <v>176</v>
      </c>
      <c r="D9" s="24"/>
      <c r="E9" s="28">
        <v>1100</v>
      </c>
      <c r="F9" s="25">
        <f t="shared" si="0"/>
        <v>32781.11</v>
      </c>
    </row>
    <row r="10" spans="2:6" x14ac:dyDescent="0.25">
      <c r="B10" s="32">
        <v>42128</v>
      </c>
      <c r="C10" s="26" t="s">
        <v>145</v>
      </c>
      <c r="D10" s="24">
        <v>18000</v>
      </c>
      <c r="E10" s="24"/>
      <c r="F10" s="25">
        <f t="shared" si="0"/>
        <v>50781.11</v>
      </c>
    </row>
    <row r="11" spans="2:6" x14ac:dyDescent="0.25">
      <c r="B11" s="32">
        <v>42128</v>
      </c>
      <c r="C11" s="26" t="s">
        <v>154</v>
      </c>
      <c r="D11" s="24"/>
      <c r="E11" s="28">
        <v>1200</v>
      </c>
      <c r="F11" s="25">
        <f t="shared" si="0"/>
        <v>49581.11</v>
      </c>
    </row>
    <row r="12" spans="2:6" x14ac:dyDescent="0.25">
      <c r="B12" s="32">
        <v>42128</v>
      </c>
      <c r="C12" s="27" t="s">
        <v>122</v>
      </c>
      <c r="D12" s="24"/>
      <c r="E12" s="28">
        <v>120</v>
      </c>
      <c r="F12" s="25">
        <f t="shared" si="0"/>
        <v>49461.11</v>
      </c>
    </row>
    <row r="13" spans="2:6" x14ac:dyDescent="0.25">
      <c r="B13" s="32">
        <v>42130</v>
      </c>
      <c r="C13" s="26" t="s">
        <v>146</v>
      </c>
      <c r="D13" s="24"/>
      <c r="E13" s="24">
        <v>1176</v>
      </c>
      <c r="F13" s="25">
        <f t="shared" si="0"/>
        <v>48285.11</v>
      </c>
    </row>
    <row r="14" spans="2:6" x14ac:dyDescent="0.25">
      <c r="B14" s="32">
        <v>42130</v>
      </c>
      <c r="C14" s="26" t="s">
        <v>147</v>
      </c>
      <c r="D14" s="24"/>
      <c r="E14" s="24">
        <v>90</v>
      </c>
      <c r="F14" s="25">
        <f t="shared" si="0"/>
        <v>48195.11</v>
      </c>
    </row>
    <row r="15" spans="2:6" x14ac:dyDescent="0.25">
      <c r="B15" s="32">
        <v>42130</v>
      </c>
      <c r="C15" s="26" t="s">
        <v>148</v>
      </c>
      <c r="D15" s="24"/>
      <c r="E15" s="24">
        <v>34.5</v>
      </c>
      <c r="F15" s="25">
        <f t="shared" si="0"/>
        <v>48160.61</v>
      </c>
    </row>
    <row r="16" spans="2:6" x14ac:dyDescent="0.25">
      <c r="B16" s="32">
        <v>42130</v>
      </c>
      <c r="C16" s="26" t="s">
        <v>149</v>
      </c>
      <c r="D16" s="24"/>
      <c r="E16" s="24">
        <v>10</v>
      </c>
      <c r="F16" s="25">
        <f t="shared" si="0"/>
        <v>48150.61</v>
      </c>
    </row>
    <row r="17" spans="2:6" x14ac:dyDescent="0.25">
      <c r="B17" s="32">
        <v>42130</v>
      </c>
      <c r="C17" s="26" t="s">
        <v>150</v>
      </c>
      <c r="D17" s="24"/>
      <c r="E17" s="24">
        <v>600</v>
      </c>
      <c r="F17" s="25">
        <f t="shared" si="0"/>
        <v>47550.61</v>
      </c>
    </row>
    <row r="18" spans="2:6" x14ac:dyDescent="0.25">
      <c r="B18" s="32">
        <v>42130</v>
      </c>
      <c r="C18" s="26" t="s">
        <v>151</v>
      </c>
      <c r="D18" s="24"/>
      <c r="E18" s="24">
        <v>54</v>
      </c>
      <c r="F18" s="25">
        <f t="shared" si="0"/>
        <v>47496.61</v>
      </c>
    </row>
    <row r="19" spans="2:6" x14ac:dyDescent="0.25">
      <c r="B19" s="32">
        <v>42131</v>
      </c>
      <c r="C19" s="27" t="s">
        <v>152</v>
      </c>
      <c r="D19" s="24"/>
      <c r="E19" s="28">
        <v>30</v>
      </c>
      <c r="F19" s="25">
        <f t="shared" si="0"/>
        <v>47466.61</v>
      </c>
    </row>
    <row r="20" spans="2:6" x14ac:dyDescent="0.25">
      <c r="B20" s="32">
        <v>42133</v>
      </c>
      <c r="C20" s="27" t="s">
        <v>163</v>
      </c>
      <c r="D20" s="24"/>
      <c r="E20" s="28">
        <v>36</v>
      </c>
      <c r="F20" s="25">
        <f t="shared" si="0"/>
        <v>47430.61</v>
      </c>
    </row>
    <row r="21" spans="2:6" x14ac:dyDescent="0.25">
      <c r="B21" s="32">
        <v>42133</v>
      </c>
      <c r="C21" s="26" t="s">
        <v>438</v>
      </c>
      <c r="D21" s="24"/>
      <c r="E21" s="24">
        <v>4560</v>
      </c>
      <c r="F21" s="25">
        <f t="shared" si="0"/>
        <v>42870.61</v>
      </c>
    </row>
    <row r="22" spans="2:6" x14ac:dyDescent="0.25">
      <c r="B22" s="32">
        <v>42135</v>
      </c>
      <c r="C22" s="27" t="s">
        <v>145</v>
      </c>
      <c r="D22" s="24">
        <v>20000</v>
      </c>
      <c r="E22" s="28"/>
      <c r="F22" s="25">
        <f t="shared" si="0"/>
        <v>62870.61</v>
      </c>
    </row>
    <row r="23" spans="2:6" x14ac:dyDescent="0.25">
      <c r="B23" s="32">
        <v>42135</v>
      </c>
      <c r="C23" s="27" t="s">
        <v>153</v>
      </c>
      <c r="D23" s="24"/>
      <c r="E23" s="28">
        <v>700</v>
      </c>
      <c r="F23" s="25">
        <f t="shared" si="0"/>
        <v>62170.61</v>
      </c>
    </row>
    <row r="24" spans="2:6" x14ac:dyDescent="0.25">
      <c r="B24" s="32">
        <v>42135</v>
      </c>
      <c r="C24" s="26" t="s">
        <v>155</v>
      </c>
      <c r="D24" s="24"/>
      <c r="E24" s="24">
        <v>27</v>
      </c>
      <c r="F24" s="25">
        <f t="shared" si="0"/>
        <v>62143.61</v>
      </c>
    </row>
    <row r="25" spans="2:6" x14ac:dyDescent="0.25">
      <c r="B25" s="32">
        <v>42135</v>
      </c>
      <c r="C25" s="26" t="s">
        <v>156</v>
      </c>
      <c r="D25" s="24"/>
      <c r="E25" s="24">
        <v>290</v>
      </c>
      <c r="F25" s="25">
        <f t="shared" si="0"/>
        <v>61853.61</v>
      </c>
    </row>
    <row r="26" spans="2:6" x14ac:dyDescent="0.25">
      <c r="B26" s="32">
        <v>42135</v>
      </c>
      <c r="C26" s="26" t="s">
        <v>157</v>
      </c>
      <c r="D26" s="24"/>
      <c r="E26" s="24">
        <v>100</v>
      </c>
      <c r="F26" s="25">
        <f t="shared" si="0"/>
        <v>61753.61</v>
      </c>
    </row>
    <row r="27" spans="2:6" x14ac:dyDescent="0.25">
      <c r="B27" s="32">
        <v>42136</v>
      </c>
      <c r="C27" s="26" t="s">
        <v>158</v>
      </c>
      <c r="D27" s="24"/>
      <c r="E27" s="24">
        <v>48</v>
      </c>
      <c r="F27" s="25">
        <f t="shared" si="0"/>
        <v>61705.61</v>
      </c>
    </row>
    <row r="28" spans="2:6" x14ac:dyDescent="0.25">
      <c r="B28" s="32">
        <v>42137</v>
      </c>
      <c r="C28" s="26" t="s">
        <v>174</v>
      </c>
      <c r="D28" s="24"/>
      <c r="E28" s="24">
        <v>20</v>
      </c>
      <c r="F28" s="25">
        <f t="shared" si="0"/>
        <v>61685.61</v>
      </c>
    </row>
    <row r="29" spans="2:6" x14ac:dyDescent="0.25">
      <c r="B29" s="32">
        <v>42138</v>
      </c>
      <c r="C29" s="26" t="s">
        <v>159</v>
      </c>
      <c r="D29" s="24"/>
      <c r="E29" s="24">
        <v>15</v>
      </c>
      <c r="F29" s="25">
        <f t="shared" si="0"/>
        <v>61670.61</v>
      </c>
    </row>
    <row r="30" spans="2:6" x14ac:dyDescent="0.25">
      <c r="B30" s="32">
        <v>42138</v>
      </c>
      <c r="C30" s="26" t="s">
        <v>175</v>
      </c>
      <c r="D30" s="24"/>
      <c r="E30" s="28">
        <v>400</v>
      </c>
      <c r="F30" s="25">
        <f t="shared" si="0"/>
        <v>61270.61</v>
      </c>
    </row>
    <row r="31" spans="2:6" x14ac:dyDescent="0.25">
      <c r="B31" s="32">
        <v>42139</v>
      </c>
      <c r="C31" s="26" t="s">
        <v>166</v>
      </c>
      <c r="D31" s="24"/>
      <c r="E31" s="24">
        <v>575</v>
      </c>
      <c r="F31" s="25">
        <f t="shared" si="0"/>
        <v>60695.61</v>
      </c>
    </row>
    <row r="32" spans="2:6" x14ac:dyDescent="0.25">
      <c r="B32" s="32">
        <v>42139</v>
      </c>
      <c r="C32" s="27" t="s">
        <v>160</v>
      </c>
      <c r="D32" s="24"/>
      <c r="E32" s="24">
        <v>29000</v>
      </c>
      <c r="F32" s="25">
        <f t="shared" si="0"/>
        <v>31695.61</v>
      </c>
    </row>
    <row r="33" spans="2:6" x14ac:dyDescent="0.25">
      <c r="B33" s="32">
        <v>42139</v>
      </c>
      <c r="C33" s="26" t="s">
        <v>133</v>
      </c>
      <c r="D33" s="24"/>
      <c r="E33" s="24">
        <v>3200</v>
      </c>
      <c r="F33" s="25">
        <f t="shared" si="0"/>
        <v>28495.61</v>
      </c>
    </row>
    <row r="34" spans="2:6" x14ac:dyDescent="0.25">
      <c r="B34" s="32">
        <v>42139</v>
      </c>
      <c r="C34" s="26" t="s">
        <v>122</v>
      </c>
      <c r="D34" s="24"/>
      <c r="E34" s="24">
        <v>600</v>
      </c>
      <c r="F34" s="25">
        <f t="shared" si="0"/>
        <v>27895.61</v>
      </c>
    </row>
    <row r="35" spans="2:6" x14ac:dyDescent="0.25">
      <c r="B35" s="32">
        <v>42140</v>
      </c>
      <c r="C35" s="26" t="s">
        <v>161</v>
      </c>
      <c r="D35" s="24"/>
      <c r="E35" s="24">
        <v>350</v>
      </c>
      <c r="F35" s="25">
        <f t="shared" si="0"/>
        <v>27545.61</v>
      </c>
    </row>
    <row r="36" spans="2:6" x14ac:dyDescent="0.25">
      <c r="B36" s="32">
        <v>42140</v>
      </c>
      <c r="C36" s="26" t="s">
        <v>167</v>
      </c>
      <c r="D36" s="24"/>
      <c r="E36" s="24">
        <v>67.5</v>
      </c>
      <c r="F36" s="25">
        <f t="shared" si="0"/>
        <v>27478.11</v>
      </c>
    </row>
    <row r="37" spans="2:6" x14ac:dyDescent="0.25">
      <c r="B37" s="32">
        <v>42140</v>
      </c>
      <c r="C37" s="26" t="s">
        <v>156</v>
      </c>
      <c r="D37" s="24"/>
      <c r="E37" s="24">
        <v>653</v>
      </c>
      <c r="F37" s="25">
        <f t="shared" si="0"/>
        <v>26825.11</v>
      </c>
    </row>
    <row r="38" spans="2:6" x14ac:dyDescent="0.25">
      <c r="B38" s="32">
        <v>42142</v>
      </c>
      <c r="C38" s="26" t="s">
        <v>162</v>
      </c>
      <c r="D38" s="24"/>
      <c r="E38" s="24">
        <v>300</v>
      </c>
      <c r="F38" s="25">
        <f t="shared" si="0"/>
        <v>26525.11</v>
      </c>
    </row>
    <row r="39" spans="2:6" x14ac:dyDescent="0.25">
      <c r="B39" s="32">
        <v>42142</v>
      </c>
      <c r="C39" s="26" t="s">
        <v>145</v>
      </c>
      <c r="D39" s="24">
        <v>25000</v>
      </c>
      <c r="E39" s="24"/>
      <c r="F39" s="25">
        <f t="shared" si="0"/>
        <v>51525.11</v>
      </c>
    </row>
    <row r="40" spans="2:6" x14ac:dyDescent="0.25">
      <c r="B40" s="32">
        <v>42143</v>
      </c>
      <c r="C40" s="27" t="s">
        <v>193</v>
      </c>
      <c r="D40" s="24"/>
      <c r="E40" s="24">
        <v>1050</v>
      </c>
      <c r="F40" s="25">
        <f t="shared" si="0"/>
        <v>50475.11</v>
      </c>
    </row>
    <row r="41" spans="2:6" x14ac:dyDescent="0.25">
      <c r="B41" s="32">
        <v>42144</v>
      </c>
      <c r="C41" s="26" t="s">
        <v>46</v>
      </c>
      <c r="D41" s="24"/>
      <c r="E41" s="24">
        <v>60</v>
      </c>
      <c r="F41" s="25">
        <f t="shared" si="0"/>
        <v>50415.11</v>
      </c>
    </row>
    <row r="42" spans="2:6" x14ac:dyDescent="0.25">
      <c r="B42" s="32">
        <v>42144</v>
      </c>
      <c r="C42" s="26" t="s">
        <v>35</v>
      </c>
      <c r="D42" s="24"/>
      <c r="E42" s="24">
        <v>90</v>
      </c>
      <c r="F42" s="25">
        <f t="shared" si="0"/>
        <v>50325.11</v>
      </c>
    </row>
    <row r="43" spans="2:6" x14ac:dyDescent="0.25">
      <c r="B43" s="32">
        <v>42146</v>
      </c>
      <c r="C43" s="26" t="s">
        <v>122</v>
      </c>
      <c r="D43" s="24"/>
      <c r="E43" s="24">
        <v>600</v>
      </c>
      <c r="F43" s="25">
        <f t="shared" si="0"/>
        <v>49725.11</v>
      </c>
    </row>
    <row r="44" spans="2:6" x14ac:dyDescent="0.25">
      <c r="B44" s="32">
        <v>42146</v>
      </c>
      <c r="C44" s="26" t="s">
        <v>168</v>
      </c>
      <c r="D44" s="24"/>
      <c r="E44" s="24">
        <v>30</v>
      </c>
      <c r="F44" s="25">
        <f t="shared" si="0"/>
        <v>49695.11</v>
      </c>
    </row>
    <row r="45" spans="2:6" x14ac:dyDescent="0.25">
      <c r="B45" s="32">
        <v>42147</v>
      </c>
      <c r="C45" s="26" t="s">
        <v>172</v>
      </c>
      <c r="D45" s="75"/>
      <c r="E45" s="24">
        <v>4000</v>
      </c>
      <c r="F45" s="25">
        <f t="shared" si="0"/>
        <v>45695.11</v>
      </c>
    </row>
    <row r="46" spans="2:6" x14ac:dyDescent="0.25">
      <c r="B46" s="32">
        <v>42148</v>
      </c>
      <c r="C46" s="26" t="s">
        <v>164</v>
      </c>
      <c r="D46" s="24"/>
      <c r="E46" s="24">
        <v>5000</v>
      </c>
      <c r="F46" s="25">
        <f t="shared" si="0"/>
        <v>40695.11</v>
      </c>
    </row>
    <row r="47" spans="2:6" x14ac:dyDescent="0.25">
      <c r="B47" s="32">
        <v>42149</v>
      </c>
      <c r="C47" s="26" t="s">
        <v>156</v>
      </c>
      <c r="D47" s="24"/>
      <c r="E47" s="24">
        <v>929</v>
      </c>
      <c r="F47" s="25">
        <f t="shared" si="0"/>
        <v>39766.11</v>
      </c>
    </row>
    <row r="48" spans="2:6" x14ac:dyDescent="0.25">
      <c r="B48" s="32">
        <v>42149</v>
      </c>
      <c r="C48" s="26" t="s">
        <v>165</v>
      </c>
      <c r="D48" s="24"/>
      <c r="E48" s="24">
        <v>356.8</v>
      </c>
      <c r="F48" s="25">
        <f t="shared" si="0"/>
        <v>39409.31</v>
      </c>
    </row>
    <row r="49" spans="2:6" x14ac:dyDescent="0.25">
      <c r="B49" s="32">
        <v>42149</v>
      </c>
      <c r="C49" s="26" t="s">
        <v>35</v>
      </c>
      <c r="D49" s="24"/>
      <c r="E49" s="24">
        <v>90</v>
      </c>
      <c r="F49" s="25">
        <f t="shared" si="0"/>
        <v>39319.31</v>
      </c>
    </row>
    <row r="50" spans="2:6" x14ac:dyDescent="0.25">
      <c r="B50" s="32">
        <v>42149</v>
      </c>
      <c r="C50" s="76" t="s">
        <v>161</v>
      </c>
      <c r="D50" s="75"/>
      <c r="E50" s="24">
        <v>350</v>
      </c>
      <c r="F50" s="25">
        <f t="shared" si="0"/>
        <v>38969.31</v>
      </c>
    </row>
    <row r="51" spans="2:6" x14ac:dyDescent="0.25">
      <c r="B51" s="32">
        <v>42149</v>
      </c>
      <c r="C51" s="26" t="s">
        <v>145</v>
      </c>
      <c r="D51" s="24">
        <v>20000</v>
      </c>
      <c r="E51" s="24"/>
      <c r="F51" s="25">
        <f t="shared" si="0"/>
        <v>58969.31</v>
      </c>
    </row>
    <row r="52" spans="2:6" x14ac:dyDescent="0.25">
      <c r="B52" s="86">
        <v>42149</v>
      </c>
      <c r="C52" s="84" t="s">
        <v>181</v>
      </c>
      <c r="D52" s="85"/>
      <c r="E52" s="85">
        <v>1760</v>
      </c>
      <c r="F52" s="25">
        <f t="shared" si="0"/>
        <v>57209.31</v>
      </c>
    </row>
    <row r="53" spans="2:6" x14ac:dyDescent="0.25">
      <c r="B53" s="32">
        <v>42150</v>
      </c>
      <c r="C53" s="41" t="s">
        <v>165</v>
      </c>
      <c r="D53" s="31"/>
      <c r="E53" s="31">
        <v>138</v>
      </c>
      <c r="F53" s="25">
        <f t="shared" si="0"/>
        <v>57071.31</v>
      </c>
    </row>
    <row r="54" spans="2:6" x14ac:dyDescent="0.25">
      <c r="B54" s="32">
        <v>42150</v>
      </c>
      <c r="C54" s="26" t="s">
        <v>169</v>
      </c>
      <c r="D54" s="24"/>
      <c r="E54" s="24">
        <v>577</v>
      </c>
      <c r="F54" s="25">
        <f t="shared" si="0"/>
        <v>56494.31</v>
      </c>
    </row>
    <row r="55" spans="2:6" x14ac:dyDescent="0.25">
      <c r="B55" s="32">
        <v>42150</v>
      </c>
      <c r="C55" s="26" t="s">
        <v>170</v>
      </c>
      <c r="D55" s="24"/>
      <c r="E55" s="28">
        <v>157.5</v>
      </c>
      <c r="F55" s="25">
        <f t="shared" si="0"/>
        <v>56336.81</v>
      </c>
    </row>
    <row r="56" spans="2:6" x14ac:dyDescent="0.25">
      <c r="B56" s="32">
        <v>42150</v>
      </c>
      <c r="C56" s="26" t="s">
        <v>173</v>
      </c>
      <c r="D56" s="75"/>
      <c r="E56" s="28">
        <v>5500</v>
      </c>
      <c r="F56" s="25">
        <f t="shared" si="0"/>
        <v>50836.81</v>
      </c>
    </row>
    <row r="57" spans="2:6" x14ac:dyDescent="0.25">
      <c r="B57" s="32">
        <v>42150</v>
      </c>
      <c r="C57" s="26" t="s">
        <v>187</v>
      </c>
      <c r="D57" s="75"/>
      <c r="E57" s="28">
        <v>40.6</v>
      </c>
      <c r="F57" s="25">
        <f t="shared" si="0"/>
        <v>50796.21</v>
      </c>
    </row>
    <row r="58" spans="2:6" x14ac:dyDescent="0.25">
      <c r="B58" s="32">
        <v>42151</v>
      </c>
      <c r="C58" s="26" t="s">
        <v>171</v>
      </c>
      <c r="D58" s="24"/>
      <c r="E58" s="24">
        <v>100</v>
      </c>
      <c r="F58" s="25">
        <f t="shared" si="0"/>
        <v>50696.21</v>
      </c>
    </row>
    <row r="59" spans="2:6" x14ac:dyDescent="0.25">
      <c r="B59" s="32">
        <v>42151</v>
      </c>
      <c r="C59" s="26" t="s">
        <v>177</v>
      </c>
      <c r="D59" s="24"/>
      <c r="E59" s="28">
        <v>600</v>
      </c>
      <c r="F59" s="25">
        <f t="shared" si="0"/>
        <v>50096.21</v>
      </c>
    </row>
    <row r="60" spans="2:6" x14ac:dyDescent="0.25">
      <c r="B60" s="32">
        <v>42153</v>
      </c>
      <c r="C60" s="26" t="s">
        <v>40</v>
      </c>
      <c r="D60" s="24"/>
      <c r="E60" s="28">
        <v>116.25</v>
      </c>
      <c r="F60" s="25">
        <f t="shared" si="0"/>
        <v>49979.96</v>
      </c>
    </row>
    <row r="61" spans="2:6" x14ac:dyDescent="0.25">
      <c r="B61" s="32">
        <v>42153</v>
      </c>
      <c r="C61" s="26" t="s">
        <v>122</v>
      </c>
      <c r="D61" s="24"/>
      <c r="E61" s="24">
        <v>600</v>
      </c>
      <c r="F61" s="25">
        <f t="shared" si="0"/>
        <v>49379.96</v>
      </c>
    </row>
    <row r="62" spans="2:6" x14ac:dyDescent="0.25">
      <c r="B62" s="32">
        <v>42153</v>
      </c>
      <c r="C62" s="26" t="s">
        <v>178</v>
      </c>
      <c r="D62" s="24"/>
      <c r="E62" s="24">
        <v>60</v>
      </c>
      <c r="F62" s="25">
        <f t="shared" si="0"/>
        <v>49319.96</v>
      </c>
    </row>
    <row r="63" spans="2:6" x14ac:dyDescent="0.25">
      <c r="B63" s="32">
        <v>42153</v>
      </c>
      <c r="C63" s="26" t="s">
        <v>225</v>
      </c>
      <c r="D63" s="24"/>
      <c r="E63" s="24">
        <v>400</v>
      </c>
      <c r="F63" s="25">
        <f t="shared" si="0"/>
        <v>48919.96</v>
      </c>
    </row>
    <row r="64" spans="2:6" x14ac:dyDescent="0.25">
      <c r="B64" s="32">
        <v>42153</v>
      </c>
      <c r="C64" s="26" t="s">
        <v>145</v>
      </c>
      <c r="D64" s="24">
        <v>10000</v>
      </c>
      <c r="E64" s="24"/>
      <c r="F64" s="25">
        <f t="shared" si="0"/>
        <v>58919.96</v>
      </c>
    </row>
    <row r="65" spans="2:6" x14ac:dyDescent="0.25">
      <c r="B65" s="32">
        <v>42154</v>
      </c>
      <c r="C65" s="26" t="s">
        <v>156</v>
      </c>
      <c r="D65" s="24"/>
      <c r="E65" s="28">
        <v>456</v>
      </c>
      <c r="F65" s="25">
        <f t="shared" si="0"/>
        <v>58463.96</v>
      </c>
    </row>
    <row r="66" spans="2:6" x14ac:dyDescent="0.25">
      <c r="B66" s="32">
        <v>42155</v>
      </c>
      <c r="C66" s="26" t="s">
        <v>179</v>
      </c>
      <c r="D66" s="24"/>
      <c r="E66" s="24">
        <v>29000</v>
      </c>
      <c r="F66" s="25">
        <f t="shared" si="0"/>
        <v>29463.96</v>
      </c>
    </row>
    <row r="67" spans="2:6" x14ac:dyDescent="0.25">
      <c r="B67" s="32">
        <v>42155</v>
      </c>
      <c r="C67" s="26" t="s">
        <v>182</v>
      </c>
      <c r="D67" s="24"/>
      <c r="E67" s="24">
        <v>3200</v>
      </c>
      <c r="F67" s="25">
        <f t="shared" si="0"/>
        <v>26263.96</v>
      </c>
    </row>
    <row r="68" spans="2:6" ht="15.75" thickBot="1" x14ac:dyDescent="0.3">
      <c r="B68" s="32"/>
      <c r="C68" s="26"/>
      <c r="D68" s="24"/>
      <c r="E68" s="24"/>
      <c r="F68" s="25">
        <f t="shared" si="0"/>
        <v>26263.96</v>
      </c>
    </row>
    <row r="69" spans="2:6" ht="15.75" thickBot="1" x14ac:dyDescent="0.3">
      <c r="B69" s="54"/>
      <c r="C69" s="17" t="s">
        <v>0</v>
      </c>
      <c r="D69" s="15">
        <f>SUM(D5:D68)</f>
        <v>93000</v>
      </c>
      <c r="E69" s="15">
        <f>SUM(E5:E68)</f>
        <v>101547.15000000001</v>
      </c>
      <c r="F69" s="33"/>
    </row>
    <row r="70" spans="2:6" ht="15.75" thickBot="1" x14ac:dyDescent="0.3">
      <c r="B70" s="5"/>
      <c r="C70" s="61"/>
      <c r="D70" s="4"/>
      <c r="E70" s="62"/>
      <c r="F70" s="11"/>
    </row>
    <row r="71" spans="2:6" ht="15.75" thickBot="1" x14ac:dyDescent="0.3">
      <c r="B71" s="54" t="s">
        <v>1</v>
      </c>
      <c r="C71" s="78" t="s">
        <v>2</v>
      </c>
      <c r="D71" s="79" t="s">
        <v>226</v>
      </c>
      <c r="E71" s="79" t="s">
        <v>5</v>
      </c>
      <c r="F71" s="80" t="s">
        <v>227</v>
      </c>
    </row>
    <row r="72" spans="2:6" ht="15.75" thickBot="1" x14ac:dyDescent="0.3">
      <c r="B72" s="54">
        <v>42136</v>
      </c>
      <c r="C72" s="27" t="s">
        <v>228</v>
      </c>
      <c r="D72" s="81">
        <v>226</v>
      </c>
      <c r="E72" s="15">
        <v>33000</v>
      </c>
      <c r="F72" s="33">
        <v>33000</v>
      </c>
    </row>
    <row r="73" spans="2:6" x14ac:dyDescent="0.25">
      <c r="B73" s="11"/>
      <c r="C73" s="11"/>
      <c r="D73" s="64"/>
      <c r="E73" s="67"/>
      <c r="F73" s="66"/>
    </row>
    <row r="74" spans="2:6" x14ac:dyDescent="0.25">
      <c r="E74" s="1">
        <f>SUM(E69+E72)</f>
        <v>134547.15000000002</v>
      </c>
    </row>
  </sheetData>
  <mergeCells count="1">
    <mergeCell ref="B2:F2"/>
  </mergeCells>
  <printOptions verticalCentered="1"/>
  <pageMargins left="1.1811023622047245" right="0.39370078740157483" top="0" bottom="0.74803149606299213" header="0.31496062992125984" footer="0.31496062992125984"/>
  <pageSetup scale="68" fitToWidth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6"/>
  <sheetViews>
    <sheetView topLeftCell="A62" workbookViewId="0">
      <selection activeCell="D89" sqref="D89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42185</v>
      </c>
    </row>
    <row r="2" spans="2:6" x14ac:dyDescent="0.25">
      <c r="B2" s="146" t="s">
        <v>28</v>
      </c>
      <c r="C2" s="146"/>
      <c r="D2" s="146"/>
      <c r="E2" s="146"/>
      <c r="F2" s="146"/>
    </row>
    <row r="3" spans="2:6" ht="15.75" thickBot="1" x14ac:dyDescent="0.3">
      <c r="C3" s="60"/>
      <c r="D3" s="60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42155</v>
      </c>
      <c r="C5" s="19" t="s">
        <v>29</v>
      </c>
      <c r="D5" s="20"/>
      <c r="E5" s="21"/>
      <c r="F5" s="25">
        <v>26263.96</v>
      </c>
    </row>
    <row r="6" spans="2:6" x14ac:dyDescent="0.25">
      <c r="B6" s="32">
        <v>42156</v>
      </c>
      <c r="C6" s="22" t="s">
        <v>180</v>
      </c>
      <c r="D6" s="29">
        <v>15000</v>
      </c>
      <c r="E6" s="24"/>
      <c r="F6" s="25">
        <f>+F5+D6-E6</f>
        <v>41263.96</v>
      </c>
    </row>
    <row r="7" spans="2:6" x14ac:dyDescent="0.25">
      <c r="B7" s="32">
        <v>42156</v>
      </c>
      <c r="C7" s="26" t="s">
        <v>183</v>
      </c>
      <c r="D7" s="77"/>
      <c r="E7" s="24">
        <v>11</v>
      </c>
      <c r="F7" s="25">
        <f t="shared" ref="F7:F69" si="0">+F6+D7-E7</f>
        <v>41252.959999999999</v>
      </c>
    </row>
    <row r="8" spans="2:6" x14ac:dyDescent="0.25">
      <c r="B8" s="32">
        <v>42156</v>
      </c>
      <c r="C8" s="26" t="s">
        <v>184</v>
      </c>
      <c r="D8" s="77"/>
      <c r="E8" s="24">
        <v>60</v>
      </c>
      <c r="F8" s="25">
        <f t="shared" si="0"/>
        <v>41192.959999999999</v>
      </c>
    </row>
    <row r="9" spans="2:6" x14ac:dyDescent="0.25">
      <c r="B9" s="32">
        <v>42156</v>
      </c>
      <c r="C9" s="26" t="s">
        <v>185</v>
      </c>
      <c r="D9" s="77"/>
      <c r="E9" s="24">
        <v>400</v>
      </c>
      <c r="F9" s="25">
        <f t="shared" si="0"/>
        <v>40792.959999999999</v>
      </c>
    </row>
    <row r="10" spans="2:6" x14ac:dyDescent="0.25">
      <c r="B10" s="32">
        <v>42157</v>
      </c>
      <c r="C10" s="26" t="s">
        <v>194</v>
      </c>
      <c r="D10" s="77"/>
      <c r="E10" s="24">
        <v>800</v>
      </c>
      <c r="F10" s="25">
        <f t="shared" si="0"/>
        <v>39992.959999999999</v>
      </c>
    </row>
    <row r="11" spans="2:6" x14ac:dyDescent="0.25">
      <c r="B11" s="32">
        <v>42157</v>
      </c>
      <c r="C11" s="26" t="s">
        <v>180</v>
      </c>
      <c r="D11" s="77">
        <v>10000</v>
      </c>
      <c r="E11" s="24"/>
      <c r="F11" s="25">
        <f t="shared" si="0"/>
        <v>49992.959999999999</v>
      </c>
    </row>
    <row r="12" spans="2:6" x14ac:dyDescent="0.25">
      <c r="B12" s="32">
        <v>42157</v>
      </c>
      <c r="C12" s="26" t="s">
        <v>190</v>
      </c>
      <c r="D12" s="77"/>
      <c r="E12" s="28">
        <v>20000</v>
      </c>
      <c r="F12" s="25">
        <f t="shared" si="0"/>
        <v>29992.959999999999</v>
      </c>
    </row>
    <row r="13" spans="2:6" x14ac:dyDescent="0.25">
      <c r="B13" s="32">
        <v>42158</v>
      </c>
      <c r="C13" s="26" t="s">
        <v>186</v>
      </c>
      <c r="D13" s="77"/>
      <c r="E13" s="28">
        <v>600</v>
      </c>
      <c r="F13" s="25">
        <f t="shared" si="0"/>
        <v>29392.959999999999</v>
      </c>
    </row>
    <row r="14" spans="2:6" x14ac:dyDescent="0.25">
      <c r="B14" s="32">
        <v>42158</v>
      </c>
      <c r="C14" s="26" t="s">
        <v>192</v>
      </c>
      <c r="D14" s="77"/>
      <c r="E14" s="24">
        <v>300</v>
      </c>
      <c r="F14" s="25">
        <f t="shared" si="0"/>
        <v>29092.959999999999</v>
      </c>
    </row>
    <row r="15" spans="2:6" x14ac:dyDescent="0.25">
      <c r="B15" s="32">
        <v>42128</v>
      </c>
      <c r="C15" s="26" t="s">
        <v>196</v>
      </c>
      <c r="D15" s="77"/>
      <c r="E15" s="24">
        <v>1192.5</v>
      </c>
      <c r="F15" s="25">
        <f t="shared" si="0"/>
        <v>27900.46</v>
      </c>
    </row>
    <row r="16" spans="2:6" x14ac:dyDescent="0.25">
      <c r="B16" s="32">
        <v>42159</v>
      </c>
      <c r="C16" s="27" t="s">
        <v>188</v>
      </c>
      <c r="D16" s="77"/>
      <c r="E16" s="28">
        <v>400</v>
      </c>
      <c r="F16" s="25">
        <f t="shared" si="0"/>
        <v>27500.46</v>
      </c>
    </row>
    <row r="17" spans="2:7" x14ac:dyDescent="0.25">
      <c r="B17" s="32">
        <v>42160</v>
      </c>
      <c r="C17" s="26" t="s">
        <v>189</v>
      </c>
      <c r="D17" s="77"/>
      <c r="E17" s="28">
        <v>500</v>
      </c>
      <c r="F17" s="25">
        <f t="shared" si="0"/>
        <v>27000.46</v>
      </c>
    </row>
    <row r="18" spans="2:7" x14ac:dyDescent="0.25">
      <c r="B18" s="32">
        <v>42160</v>
      </c>
      <c r="C18" s="27" t="s">
        <v>95</v>
      </c>
      <c r="D18" s="77"/>
      <c r="E18" s="28">
        <v>600</v>
      </c>
      <c r="F18" s="25">
        <f t="shared" si="0"/>
        <v>26400.46</v>
      </c>
    </row>
    <row r="19" spans="2:7" x14ac:dyDescent="0.25">
      <c r="B19" s="32">
        <v>42160</v>
      </c>
      <c r="C19" s="27" t="s">
        <v>197</v>
      </c>
      <c r="D19" s="77"/>
      <c r="E19" s="28">
        <v>30</v>
      </c>
      <c r="F19" s="25">
        <f t="shared" si="0"/>
        <v>26370.46</v>
      </c>
    </row>
    <row r="20" spans="2:7" x14ac:dyDescent="0.25">
      <c r="B20" s="32">
        <v>42160</v>
      </c>
      <c r="C20" s="27" t="s">
        <v>195</v>
      </c>
      <c r="D20" s="77"/>
      <c r="E20" s="28">
        <v>16500</v>
      </c>
      <c r="F20" s="25">
        <f t="shared" si="0"/>
        <v>9870.4599999999991</v>
      </c>
    </row>
    <row r="21" spans="2:7" x14ac:dyDescent="0.25">
      <c r="B21" s="32">
        <v>42161</v>
      </c>
      <c r="C21" s="26" t="s">
        <v>191</v>
      </c>
      <c r="D21" s="77"/>
      <c r="E21" s="24">
        <v>240</v>
      </c>
      <c r="F21" s="25">
        <f t="shared" si="0"/>
        <v>9630.4599999999991</v>
      </c>
    </row>
    <row r="22" spans="2:7" x14ac:dyDescent="0.25">
      <c r="B22" s="32">
        <v>42163</v>
      </c>
      <c r="C22" s="26" t="s">
        <v>180</v>
      </c>
      <c r="D22" s="77">
        <v>26000</v>
      </c>
      <c r="E22" s="24"/>
      <c r="F22" s="25">
        <f t="shared" si="0"/>
        <v>35630.46</v>
      </c>
    </row>
    <row r="23" spans="2:7" x14ac:dyDescent="0.25">
      <c r="B23" s="32">
        <v>42163</v>
      </c>
      <c r="C23" s="26" t="s">
        <v>198</v>
      </c>
      <c r="D23" s="77"/>
      <c r="E23" s="24">
        <v>300</v>
      </c>
      <c r="F23" s="25">
        <f t="shared" si="0"/>
        <v>35330.46</v>
      </c>
    </row>
    <row r="24" spans="2:7" x14ac:dyDescent="0.25">
      <c r="B24" s="32">
        <v>42163</v>
      </c>
      <c r="C24" s="26" t="s">
        <v>106</v>
      </c>
      <c r="D24" s="77"/>
      <c r="E24" s="24">
        <v>90</v>
      </c>
      <c r="F24" s="25">
        <f t="shared" si="0"/>
        <v>35240.46</v>
      </c>
    </row>
    <row r="25" spans="2:7" x14ac:dyDescent="0.25">
      <c r="B25" s="32">
        <v>42163</v>
      </c>
      <c r="C25" s="26" t="s">
        <v>199</v>
      </c>
      <c r="D25" s="77"/>
      <c r="E25" s="24">
        <v>300</v>
      </c>
      <c r="F25" s="25">
        <f t="shared" si="0"/>
        <v>34940.46</v>
      </c>
    </row>
    <row r="26" spans="2:7" x14ac:dyDescent="0.25">
      <c r="B26" s="32">
        <v>42163</v>
      </c>
      <c r="C26" s="26" t="s">
        <v>200</v>
      </c>
      <c r="D26" s="77"/>
      <c r="E26" s="24">
        <v>2000</v>
      </c>
      <c r="F26" s="25">
        <f t="shared" si="0"/>
        <v>32940.46</v>
      </c>
    </row>
    <row r="27" spans="2:7" x14ac:dyDescent="0.25">
      <c r="B27" s="32">
        <v>42164</v>
      </c>
      <c r="C27" s="27" t="s">
        <v>201</v>
      </c>
      <c r="D27" s="77"/>
      <c r="E27" s="28">
        <v>500</v>
      </c>
      <c r="F27" s="25">
        <f t="shared" si="0"/>
        <v>32440.46</v>
      </c>
    </row>
    <row r="28" spans="2:7" x14ac:dyDescent="0.25">
      <c r="B28" s="32">
        <v>42164</v>
      </c>
      <c r="C28" s="27" t="s">
        <v>202</v>
      </c>
      <c r="D28" s="77"/>
      <c r="E28" s="28">
        <v>280</v>
      </c>
      <c r="F28" s="25">
        <f t="shared" si="0"/>
        <v>32160.46</v>
      </c>
    </row>
    <row r="29" spans="2:7" x14ac:dyDescent="0.25">
      <c r="B29" s="32">
        <v>42165</v>
      </c>
      <c r="C29" s="27" t="s">
        <v>203</v>
      </c>
      <c r="D29" s="77"/>
      <c r="E29" s="28">
        <v>500</v>
      </c>
      <c r="F29" s="25">
        <f t="shared" si="0"/>
        <v>31660.46</v>
      </c>
      <c r="G29" s="1"/>
    </row>
    <row r="30" spans="2:7" x14ac:dyDescent="0.25">
      <c r="B30" s="32">
        <v>42165</v>
      </c>
      <c r="C30" s="35" t="s">
        <v>204</v>
      </c>
      <c r="D30" s="77"/>
      <c r="E30" s="28">
        <v>30</v>
      </c>
      <c r="F30" s="25">
        <f t="shared" si="0"/>
        <v>31630.46</v>
      </c>
    </row>
    <row r="31" spans="2:7" x14ac:dyDescent="0.25">
      <c r="B31" s="32">
        <v>42165</v>
      </c>
      <c r="C31" s="27" t="s">
        <v>205</v>
      </c>
      <c r="D31" s="77"/>
      <c r="E31" s="28">
        <v>1240</v>
      </c>
      <c r="F31" s="25">
        <f t="shared" si="0"/>
        <v>30390.46</v>
      </c>
    </row>
    <row r="32" spans="2:7" x14ac:dyDescent="0.25">
      <c r="B32" s="32">
        <v>42166</v>
      </c>
      <c r="C32" s="27" t="s">
        <v>180</v>
      </c>
      <c r="D32" s="77">
        <v>30000</v>
      </c>
      <c r="E32" s="28"/>
      <c r="F32" s="25">
        <f t="shared" si="0"/>
        <v>60390.46</v>
      </c>
    </row>
    <row r="33" spans="2:6" x14ac:dyDescent="0.25">
      <c r="B33" s="32">
        <v>42166</v>
      </c>
      <c r="C33" s="26" t="s">
        <v>206</v>
      </c>
      <c r="D33" s="77"/>
      <c r="E33" s="24">
        <v>500</v>
      </c>
      <c r="F33" s="25">
        <f t="shared" si="0"/>
        <v>59890.46</v>
      </c>
    </row>
    <row r="34" spans="2:6" x14ac:dyDescent="0.25">
      <c r="B34" s="32">
        <v>42166</v>
      </c>
      <c r="C34" s="26" t="s">
        <v>207</v>
      </c>
      <c r="D34" s="77"/>
      <c r="E34" s="24">
        <v>500</v>
      </c>
      <c r="F34" s="25">
        <f t="shared" si="0"/>
        <v>59390.46</v>
      </c>
    </row>
    <row r="35" spans="2:6" x14ac:dyDescent="0.25">
      <c r="B35" s="32">
        <v>42166</v>
      </c>
      <c r="C35" s="26" t="s">
        <v>124</v>
      </c>
      <c r="D35" s="77"/>
      <c r="E35" s="24">
        <v>878.02</v>
      </c>
      <c r="F35" s="25">
        <f t="shared" si="0"/>
        <v>58512.44</v>
      </c>
    </row>
    <row r="36" spans="2:6" x14ac:dyDescent="0.25">
      <c r="B36" s="32">
        <v>42167</v>
      </c>
      <c r="C36" s="26" t="s">
        <v>184</v>
      </c>
      <c r="D36" s="77"/>
      <c r="E36" s="24">
        <v>60</v>
      </c>
      <c r="F36" s="25">
        <f t="shared" si="0"/>
        <v>58452.44</v>
      </c>
    </row>
    <row r="37" spans="2:6" x14ac:dyDescent="0.25">
      <c r="B37" s="32">
        <v>42167</v>
      </c>
      <c r="C37" s="26" t="s">
        <v>95</v>
      </c>
      <c r="D37" s="77"/>
      <c r="E37" s="24">
        <v>600</v>
      </c>
      <c r="F37" s="25">
        <f t="shared" si="0"/>
        <v>57852.44</v>
      </c>
    </row>
    <row r="38" spans="2:6" x14ac:dyDescent="0.25">
      <c r="B38" s="32">
        <v>42168</v>
      </c>
      <c r="C38" s="26" t="s">
        <v>191</v>
      </c>
      <c r="D38" s="77"/>
      <c r="E38" s="24">
        <v>772</v>
      </c>
      <c r="F38" s="25">
        <f t="shared" si="0"/>
        <v>57080.44</v>
      </c>
    </row>
    <row r="39" spans="2:6" x14ac:dyDescent="0.25">
      <c r="B39" s="32">
        <v>42168</v>
      </c>
      <c r="C39" s="26" t="s">
        <v>208</v>
      </c>
      <c r="D39" s="77"/>
      <c r="E39" s="24">
        <v>800</v>
      </c>
      <c r="F39" s="25">
        <f t="shared" si="0"/>
        <v>56280.44</v>
      </c>
    </row>
    <row r="40" spans="2:6" x14ac:dyDescent="0.25">
      <c r="B40" s="32">
        <v>42169</v>
      </c>
      <c r="C40" s="26" t="s">
        <v>180</v>
      </c>
      <c r="D40" s="77">
        <v>13500</v>
      </c>
      <c r="E40" s="24"/>
      <c r="F40" s="25">
        <f t="shared" si="0"/>
        <v>69780.44</v>
      </c>
    </row>
    <row r="41" spans="2:6" x14ac:dyDescent="0.25">
      <c r="B41" s="32">
        <v>42170</v>
      </c>
      <c r="C41" s="27" t="s">
        <v>215</v>
      </c>
      <c r="D41" s="24"/>
      <c r="E41" s="24">
        <v>29000</v>
      </c>
      <c r="F41" s="25">
        <f t="shared" si="0"/>
        <v>40780.44</v>
      </c>
    </row>
    <row r="42" spans="2:6" x14ac:dyDescent="0.25">
      <c r="B42" s="32">
        <v>42170</v>
      </c>
      <c r="C42" s="26" t="s">
        <v>216</v>
      </c>
      <c r="D42" s="24"/>
      <c r="E42" s="24">
        <v>3200</v>
      </c>
      <c r="F42" s="25">
        <f t="shared" si="0"/>
        <v>37580.44</v>
      </c>
    </row>
    <row r="43" spans="2:6" x14ac:dyDescent="0.25">
      <c r="B43" s="32">
        <v>42170</v>
      </c>
      <c r="C43" s="26" t="s">
        <v>209</v>
      </c>
      <c r="D43" s="77"/>
      <c r="E43" s="24">
        <v>300</v>
      </c>
      <c r="F43" s="25">
        <f t="shared" si="0"/>
        <v>37280.44</v>
      </c>
    </row>
    <row r="44" spans="2:6" x14ac:dyDescent="0.25">
      <c r="B44" s="32">
        <v>42170</v>
      </c>
      <c r="C44" s="26" t="s">
        <v>184</v>
      </c>
      <c r="D44" s="77"/>
      <c r="E44" s="24">
        <v>60</v>
      </c>
      <c r="F44" s="25">
        <f t="shared" si="0"/>
        <v>37220.44</v>
      </c>
    </row>
    <row r="45" spans="2:6" x14ac:dyDescent="0.25">
      <c r="B45" s="32">
        <v>42172</v>
      </c>
      <c r="C45" s="26" t="s">
        <v>210</v>
      </c>
      <c r="D45" s="77"/>
      <c r="E45" s="24">
        <v>264</v>
      </c>
      <c r="F45" s="25">
        <f t="shared" si="0"/>
        <v>36956.44</v>
      </c>
    </row>
    <row r="46" spans="2:6" x14ac:dyDescent="0.25">
      <c r="B46" s="32">
        <v>42172</v>
      </c>
      <c r="C46" s="26" t="s">
        <v>211</v>
      </c>
      <c r="D46" s="77"/>
      <c r="E46" s="24">
        <v>920</v>
      </c>
      <c r="F46" s="25">
        <f t="shared" si="0"/>
        <v>36036.44</v>
      </c>
    </row>
    <row r="47" spans="2:6" x14ac:dyDescent="0.25">
      <c r="B47" s="32">
        <v>42172</v>
      </c>
      <c r="C47" s="26" t="s">
        <v>213</v>
      </c>
      <c r="D47" s="77"/>
      <c r="E47" s="24">
        <v>8000</v>
      </c>
      <c r="F47" s="25">
        <f t="shared" si="0"/>
        <v>28036.440000000002</v>
      </c>
    </row>
    <row r="48" spans="2:6" x14ac:dyDescent="0.25">
      <c r="B48" s="32">
        <v>42172</v>
      </c>
      <c r="C48" s="26" t="s">
        <v>95</v>
      </c>
      <c r="D48" s="77"/>
      <c r="E48" s="24">
        <v>600</v>
      </c>
      <c r="F48" s="25">
        <f t="shared" si="0"/>
        <v>27436.440000000002</v>
      </c>
    </row>
    <row r="49" spans="2:6" x14ac:dyDescent="0.25">
      <c r="B49" s="32">
        <v>42172</v>
      </c>
      <c r="C49" s="26" t="s">
        <v>217</v>
      </c>
      <c r="D49" s="77"/>
      <c r="E49" s="24">
        <v>1500</v>
      </c>
      <c r="F49" s="25">
        <f t="shared" si="0"/>
        <v>25936.440000000002</v>
      </c>
    </row>
    <row r="50" spans="2:6" x14ac:dyDescent="0.25">
      <c r="B50" s="32">
        <v>42173</v>
      </c>
      <c r="C50" s="26" t="s">
        <v>180</v>
      </c>
      <c r="D50" s="77">
        <v>15000</v>
      </c>
      <c r="E50" s="24"/>
      <c r="F50" s="25">
        <f t="shared" si="0"/>
        <v>40936.44</v>
      </c>
    </row>
    <row r="51" spans="2:6" x14ac:dyDescent="0.25">
      <c r="B51" s="32">
        <v>42173</v>
      </c>
      <c r="C51" s="26" t="s">
        <v>218</v>
      </c>
      <c r="D51" s="77"/>
      <c r="E51" s="24">
        <v>4434.3</v>
      </c>
      <c r="F51" s="25">
        <f t="shared" si="0"/>
        <v>36502.14</v>
      </c>
    </row>
    <row r="52" spans="2:6" x14ac:dyDescent="0.25">
      <c r="B52" s="32">
        <v>42174</v>
      </c>
      <c r="C52" s="26" t="s">
        <v>192</v>
      </c>
      <c r="D52" s="77"/>
      <c r="E52" s="24">
        <v>300</v>
      </c>
      <c r="F52" s="25">
        <f t="shared" si="0"/>
        <v>36202.14</v>
      </c>
    </row>
    <row r="53" spans="2:6" x14ac:dyDescent="0.25">
      <c r="B53" s="32">
        <v>42174</v>
      </c>
      <c r="C53" s="26" t="s">
        <v>214</v>
      </c>
      <c r="D53" s="77"/>
      <c r="E53" s="24">
        <v>81</v>
      </c>
      <c r="F53" s="25">
        <f t="shared" si="0"/>
        <v>36121.14</v>
      </c>
    </row>
    <row r="54" spans="2:6" x14ac:dyDescent="0.25">
      <c r="B54" s="32">
        <v>42174</v>
      </c>
      <c r="C54" s="26" t="s">
        <v>219</v>
      </c>
      <c r="D54" s="77"/>
      <c r="E54" s="24">
        <v>1500</v>
      </c>
      <c r="F54" s="25">
        <f t="shared" si="0"/>
        <v>34621.14</v>
      </c>
    </row>
    <row r="55" spans="2:6" x14ac:dyDescent="0.25">
      <c r="B55" s="32">
        <v>42174</v>
      </c>
      <c r="C55" s="26" t="s">
        <v>220</v>
      </c>
      <c r="D55" s="77"/>
      <c r="E55" s="24">
        <v>500</v>
      </c>
      <c r="F55" s="25">
        <f t="shared" si="0"/>
        <v>34121.14</v>
      </c>
    </row>
    <row r="56" spans="2:6" x14ac:dyDescent="0.25">
      <c r="B56" s="32">
        <v>42176</v>
      </c>
      <c r="C56" s="26" t="s">
        <v>180</v>
      </c>
      <c r="D56" s="77">
        <v>14000</v>
      </c>
      <c r="E56" s="24"/>
      <c r="F56" s="25">
        <f t="shared" si="0"/>
        <v>48121.14</v>
      </c>
    </row>
    <row r="57" spans="2:6" x14ac:dyDescent="0.25">
      <c r="B57" s="32">
        <v>42176</v>
      </c>
      <c r="C57" s="26" t="s">
        <v>221</v>
      </c>
      <c r="D57" s="77"/>
      <c r="E57" s="24">
        <v>5000</v>
      </c>
      <c r="F57" s="25">
        <f t="shared" si="0"/>
        <v>43121.14</v>
      </c>
    </row>
    <row r="58" spans="2:6" x14ac:dyDescent="0.25">
      <c r="B58" s="32">
        <v>42177</v>
      </c>
      <c r="C58" s="26" t="s">
        <v>90</v>
      </c>
      <c r="D58" s="77"/>
      <c r="E58" s="24">
        <v>90</v>
      </c>
      <c r="F58" s="25">
        <f t="shared" si="0"/>
        <v>43031.14</v>
      </c>
    </row>
    <row r="59" spans="2:6" x14ac:dyDescent="0.25">
      <c r="B59" s="32">
        <v>42177</v>
      </c>
      <c r="C59" s="26" t="s">
        <v>90</v>
      </c>
      <c r="D59" s="77"/>
      <c r="E59" s="24">
        <v>90</v>
      </c>
      <c r="F59" s="25">
        <f t="shared" si="0"/>
        <v>42941.14</v>
      </c>
    </row>
    <row r="60" spans="2:6" x14ac:dyDescent="0.25">
      <c r="B60" s="32">
        <v>42177</v>
      </c>
      <c r="C60" s="26" t="s">
        <v>319</v>
      </c>
      <c r="D60" s="77"/>
      <c r="E60" s="24">
        <v>198</v>
      </c>
      <c r="F60" s="25">
        <f t="shared" si="0"/>
        <v>42743.14</v>
      </c>
    </row>
    <row r="61" spans="2:6" x14ac:dyDescent="0.25">
      <c r="B61" s="32">
        <v>42178</v>
      </c>
      <c r="C61" s="26" t="s">
        <v>222</v>
      </c>
      <c r="D61" s="77"/>
      <c r="E61" s="24">
        <v>500</v>
      </c>
      <c r="F61" s="25">
        <f t="shared" si="0"/>
        <v>42243.14</v>
      </c>
    </row>
    <row r="62" spans="2:6" x14ac:dyDescent="0.25">
      <c r="B62" s="32">
        <v>42178</v>
      </c>
      <c r="C62" s="26" t="s">
        <v>223</v>
      </c>
      <c r="D62" s="77"/>
      <c r="E62" s="24">
        <v>800</v>
      </c>
      <c r="F62" s="25">
        <f t="shared" si="0"/>
        <v>41443.14</v>
      </c>
    </row>
    <row r="63" spans="2:6" x14ac:dyDescent="0.25">
      <c r="B63" s="32">
        <v>42179</v>
      </c>
      <c r="C63" s="26" t="s">
        <v>224</v>
      </c>
      <c r="D63" s="77"/>
      <c r="E63" s="24">
        <v>600</v>
      </c>
      <c r="F63" s="25">
        <f t="shared" si="0"/>
        <v>40843.14</v>
      </c>
    </row>
    <row r="64" spans="2:6" x14ac:dyDescent="0.25">
      <c r="B64" s="32">
        <v>42180</v>
      </c>
      <c r="C64" s="26" t="s">
        <v>230</v>
      </c>
      <c r="D64" s="77"/>
      <c r="E64" s="24">
        <v>5000</v>
      </c>
      <c r="F64" s="25">
        <f t="shared" si="0"/>
        <v>35843.14</v>
      </c>
    </row>
    <row r="65" spans="2:6" x14ac:dyDescent="0.25">
      <c r="B65" s="32">
        <v>42181</v>
      </c>
      <c r="C65" s="35" t="s">
        <v>97</v>
      </c>
      <c r="D65" s="77"/>
      <c r="E65" s="31">
        <v>60</v>
      </c>
      <c r="F65" s="25">
        <f t="shared" si="0"/>
        <v>35783.14</v>
      </c>
    </row>
    <row r="66" spans="2:6" x14ac:dyDescent="0.25">
      <c r="B66" s="32">
        <v>42181</v>
      </c>
      <c r="C66" s="35" t="s">
        <v>231</v>
      </c>
      <c r="D66" s="77"/>
      <c r="E66" s="31">
        <v>3500</v>
      </c>
      <c r="F66" s="25">
        <f t="shared" si="0"/>
        <v>32283.14</v>
      </c>
    </row>
    <row r="67" spans="2:6" x14ac:dyDescent="0.25">
      <c r="B67" s="32">
        <v>42181</v>
      </c>
      <c r="C67" s="35" t="s">
        <v>95</v>
      </c>
      <c r="D67" s="77"/>
      <c r="E67" s="31">
        <v>600</v>
      </c>
      <c r="F67" s="25">
        <f t="shared" si="0"/>
        <v>31683.14</v>
      </c>
    </row>
    <row r="68" spans="2:6" x14ac:dyDescent="0.25">
      <c r="B68" s="32">
        <v>42182</v>
      </c>
      <c r="C68" s="35" t="s">
        <v>232</v>
      </c>
      <c r="D68" s="77"/>
      <c r="E68" s="31">
        <v>500</v>
      </c>
      <c r="F68" s="25">
        <f t="shared" si="0"/>
        <v>31183.14</v>
      </c>
    </row>
    <row r="69" spans="2:6" x14ac:dyDescent="0.25">
      <c r="B69" s="32">
        <v>42183</v>
      </c>
      <c r="C69" s="35" t="s">
        <v>233</v>
      </c>
      <c r="D69" s="77"/>
      <c r="E69" s="31">
        <v>100</v>
      </c>
      <c r="F69" s="25">
        <f t="shared" si="0"/>
        <v>31083.14</v>
      </c>
    </row>
    <row r="70" spans="2:6" x14ac:dyDescent="0.25">
      <c r="B70" s="32">
        <v>42183</v>
      </c>
      <c r="C70" s="35" t="s">
        <v>234</v>
      </c>
      <c r="D70" s="77"/>
      <c r="E70" s="31">
        <v>2000</v>
      </c>
      <c r="F70" s="25">
        <f t="shared" ref="F70:F82" si="1">+F69+D70-E70</f>
        <v>29083.14</v>
      </c>
    </row>
    <row r="71" spans="2:6" x14ac:dyDescent="0.25">
      <c r="B71" s="32">
        <v>42184</v>
      </c>
      <c r="C71" s="35" t="s">
        <v>180</v>
      </c>
      <c r="D71" s="77">
        <v>14000</v>
      </c>
      <c r="E71" s="31"/>
      <c r="F71" s="25">
        <f t="shared" si="1"/>
        <v>43083.14</v>
      </c>
    </row>
    <row r="72" spans="2:6" x14ac:dyDescent="0.25">
      <c r="B72" s="32">
        <v>42184</v>
      </c>
      <c r="C72" s="35" t="s">
        <v>106</v>
      </c>
      <c r="D72" s="77"/>
      <c r="E72" s="31">
        <v>90</v>
      </c>
      <c r="F72" s="25">
        <f t="shared" si="1"/>
        <v>42993.14</v>
      </c>
    </row>
    <row r="73" spans="2:6" x14ac:dyDescent="0.25">
      <c r="B73" s="32">
        <v>42184</v>
      </c>
      <c r="C73" s="35" t="s">
        <v>235</v>
      </c>
      <c r="D73" s="77"/>
      <c r="E73" s="31">
        <v>409.7</v>
      </c>
      <c r="F73" s="25">
        <f t="shared" si="1"/>
        <v>42583.44</v>
      </c>
    </row>
    <row r="74" spans="2:6" x14ac:dyDescent="0.25">
      <c r="B74" s="32">
        <v>42185</v>
      </c>
      <c r="C74" s="89" t="s">
        <v>254</v>
      </c>
      <c r="D74" s="77"/>
      <c r="E74" s="31">
        <v>20000</v>
      </c>
      <c r="F74" s="25">
        <f t="shared" si="1"/>
        <v>22583.440000000002</v>
      </c>
    </row>
    <row r="75" spans="2:6" x14ac:dyDescent="0.25">
      <c r="B75" s="32">
        <v>42185</v>
      </c>
      <c r="C75" s="35" t="s">
        <v>180</v>
      </c>
      <c r="D75" s="77">
        <v>20000</v>
      </c>
      <c r="E75" s="31"/>
      <c r="F75" s="25">
        <f t="shared" si="1"/>
        <v>42583.44</v>
      </c>
    </row>
    <row r="76" spans="2:6" x14ac:dyDescent="0.25">
      <c r="B76" s="32">
        <v>42185</v>
      </c>
      <c r="C76" s="35" t="s">
        <v>180</v>
      </c>
      <c r="D76" s="77">
        <v>30000</v>
      </c>
      <c r="E76" s="31"/>
      <c r="F76" s="25">
        <f t="shared" si="1"/>
        <v>72583.44</v>
      </c>
    </row>
    <row r="77" spans="2:6" x14ac:dyDescent="0.25">
      <c r="B77" s="32">
        <v>42185</v>
      </c>
      <c r="C77" s="35" t="s">
        <v>236</v>
      </c>
      <c r="D77" s="77"/>
      <c r="E77" s="31">
        <v>1500</v>
      </c>
      <c r="F77" s="25">
        <f t="shared" si="1"/>
        <v>71083.44</v>
      </c>
    </row>
    <row r="78" spans="2:6" x14ac:dyDescent="0.25">
      <c r="B78" s="32">
        <v>42185</v>
      </c>
      <c r="C78" s="35" t="s">
        <v>192</v>
      </c>
      <c r="D78" s="77"/>
      <c r="E78" s="31">
        <v>300</v>
      </c>
      <c r="F78" s="25">
        <f t="shared" si="1"/>
        <v>70783.44</v>
      </c>
    </row>
    <row r="79" spans="2:6" x14ac:dyDescent="0.25">
      <c r="B79" s="32">
        <v>42185</v>
      </c>
      <c r="C79" s="35" t="s">
        <v>237</v>
      </c>
      <c r="D79" s="77"/>
      <c r="E79" s="31">
        <v>11241</v>
      </c>
      <c r="F79" s="25">
        <f t="shared" si="1"/>
        <v>59542.44</v>
      </c>
    </row>
    <row r="80" spans="2:6" x14ac:dyDescent="0.25">
      <c r="B80" s="32">
        <v>42185</v>
      </c>
      <c r="C80" s="26" t="s">
        <v>238</v>
      </c>
      <c r="D80" s="77"/>
      <c r="E80" s="31">
        <v>2000</v>
      </c>
      <c r="F80" s="25">
        <f t="shared" si="1"/>
        <v>57542.44</v>
      </c>
    </row>
    <row r="81" spans="1:6" x14ac:dyDescent="0.25">
      <c r="B81" s="32">
        <v>42185</v>
      </c>
      <c r="C81" s="27" t="s">
        <v>239</v>
      </c>
      <c r="D81" s="24"/>
      <c r="E81" s="24">
        <v>29000</v>
      </c>
      <c r="F81" s="25">
        <f t="shared" si="1"/>
        <v>28542.440000000002</v>
      </c>
    </row>
    <row r="82" spans="1:6" x14ac:dyDescent="0.25">
      <c r="B82" s="32">
        <v>42185</v>
      </c>
      <c r="C82" s="26" t="s">
        <v>240</v>
      </c>
      <c r="D82" s="24"/>
      <c r="E82" s="24">
        <v>3200</v>
      </c>
      <c r="F82" s="25">
        <f t="shared" si="1"/>
        <v>25342.440000000002</v>
      </c>
    </row>
    <row r="83" spans="1:6" x14ac:dyDescent="0.25">
      <c r="B83" s="32">
        <v>42185</v>
      </c>
      <c r="C83" s="26" t="s">
        <v>309</v>
      </c>
      <c r="D83" s="92"/>
      <c r="E83" s="13">
        <v>1760</v>
      </c>
      <c r="F83" s="25">
        <f>+F82+D83-E83</f>
        <v>23582.440000000002</v>
      </c>
    </row>
    <row r="84" spans="1:6" x14ac:dyDescent="0.25">
      <c r="A84" s="95"/>
      <c r="B84" s="96"/>
      <c r="C84" s="93" t="s">
        <v>0</v>
      </c>
      <c r="D84" s="97">
        <f>SUM(D5:D83)</f>
        <v>187500</v>
      </c>
      <c r="E84" s="94">
        <f>SUM(E5:E83)</f>
        <v>190181.52</v>
      </c>
      <c r="F84" s="105"/>
    </row>
    <row r="85" spans="1:6" x14ac:dyDescent="0.25">
      <c r="B85" s="70" t="s">
        <v>1</v>
      </c>
      <c r="C85" s="104" t="s">
        <v>2</v>
      </c>
      <c r="D85" s="74" t="s">
        <v>226</v>
      </c>
      <c r="E85" s="74" t="s">
        <v>5</v>
      </c>
      <c r="F85" s="100" t="s">
        <v>227</v>
      </c>
    </row>
    <row r="86" spans="1:6" x14ac:dyDescent="0.25">
      <c r="B86" s="32">
        <v>42167</v>
      </c>
      <c r="C86" s="27" t="s">
        <v>229</v>
      </c>
      <c r="D86" s="102">
        <v>229</v>
      </c>
      <c r="E86" s="29">
        <v>22000</v>
      </c>
      <c r="F86" s="101">
        <v>22000</v>
      </c>
    </row>
    <row r="87" spans="1:6" x14ac:dyDescent="0.25">
      <c r="B87" s="32">
        <v>42172</v>
      </c>
      <c r="C87" s="26" t="s">
        <v>212</v>
      </c>
      <c r="D87" s="82">
        <v>230</v>
      </c>
      <c r="E87" s="24">
        <v>16000</v>
      </c>
      <c r="F87" s="101">
        <v>16000</v>
      </c>
    </row>
    <row r="88" spans="1:6" x14ac:dyDescent="0.25">
      <c r="B88" s="32"/>
      <c r="C88" s="27"/>
      <c r="D88" s="103"/>
      <c r="E88" s="72" t="s">
        <v>0</v>
      </c>
      <c r="F88" s="101">
        <f>SUM(F86:F87)</f>
        <v>38000</v>
      </c>
    </row>
    <row r="90" spans="1:6" x14ac:dyDescent="0.25">
      <c r="C90" s="98" t="s">
        <v>0</v>
      </c>
      <c r="E90" s="99">
        <f>SUM(E84:E87)</f>
        <v>228181.52</v>
      </c>
    </row>
    <row r="91" spans="1:6" x14ac:dyDescent="0.25">
      <c r="E91" s="1"/>
    </row>
    <row r="96" spans="1:6" x14ac:dyDescent="0.25">
      <c r="B96" s="11"/>
    </row>
  </sheetData>
  <mergeCells count="1">
    <mergeCell ref="B2:F2"/>
  </mergeCells>
  <printOptions verticalCentered="1"/>
  <pageMargins left="0.70866141732283472" right="0.70866141732283472" top="0" bottom="0.74803149606299213" header="0.31496062992125984" footer="0.31496062992125984"/>
  <pageSetup paperSize="9" scale="80" fitToWidth="2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97"/>
  <sheetViews>
    <sheetView workbookViewId="0">
      <selection activeCell="B2" sqref="B2:F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42216</v>
      </c>
    </row>
    <row r="2" spans="2:6" x14ac:dyDescent="0.25">
      <c r="B2" s="146" t="s">
        <v>16</v>
      </c>
      <c r="C2" s="146"/>
      <c r="D2" s="146"/>
      <c r="E2" s="146"/>
      <c r="F2" s="146"/>
    </row>
    <row r="3" spans="2:6" ht="15.75" thickBot="1" x14ac:dyDescent="0.3">
      <c r="C3" s="56"/>
      <c r="D3" s="56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42185</v>
      </c>
      <c r="C5" s="19" t="s">
        <v>17</v>
      </c>
      <c r="D5" s="20"/>
      <c r="E5" s="21"/>
      <c r="F5" s="25">
        <v>23582.44</v>
      </c>
    </row>
    <row r="6" spans="2:6" x14ac:dyDescent="0.25">
      <c r="B6" s="32">
        <v>42186</v>
      </c>
      <c r="C6" s="22" t="s">
        <v>241</v>
      </c>
      <c r="D6" s="23"/>
      <c r="E6" s="24">
        <v>600</v>
      </c>
      <c r="F6" s="25">
        <f>+F5+D6-E6</f>
        <v>22982.44</v>
      </c>
    </row>
    <row r="7" spans="2:6" x14ac:dyDescent="0.25">
      <c r="B7" s="32">
        <v>42186</v>
      </c>
      <c r="C7" s="26" t="s">
        <v>242</v>
      </c>
      <c r="D7" s="24"/>
      <c r="E7" s="24">
        <v>2470</v>
      </c>
      <c r="F7" s="25">
        <f t="shared" ref="F7:F80" si="0">+F6+D7-E7</f>
        <v>20512.439999999999</v>
      </c>
    </row>
    <row r="8" spans="2:6" x14ac:dyDescent="0.25">
      <c r="B8" s="32">
        <v>42187</v>
      </c>
      <c r="C8" s="26" t="s">
        <v>243</v>
      </c>
      <c r="D8" s="24">
        <v>30000</v>
      </c>
      <c r="E8" s="24"/>
      <c r="F8" s="25">
        <f t="shared" si="0"/>
        <v>50512.44</v>
      </c>
    </row>
    <row r="9" spans="2:6" x14ac:dyDescent="0.25">
      <c r="B9" s="32">
        <v>42187</v>
      </c>
      <c r="C9" s="26" t="s">
        <v>244</v>
      </c>
      <c r="D9" s="24"/>
      <c r="E9" s="24">
        <v>500</v>
      </c>
      <c r="F9" s="25">
        <f t="shared" si="0"/>
        <v>50012.44</v>
      </c>
    </row>
    <row r="10" spans="2:6" x14ac:dyDescent="0.25">
      <c r="B10" s="32">
        <v>42187</v>
      </c>
      <c r="C10" s="26" t="s">
        <v>113</v>
      </c>
      <c r="D10" s="24"/>
      <c r="E10" s="24">
        <v>450</v>
      </c>
      <c r="F10" s="25">
        <f t="shared" si="0"/>
        <v>49562.44</v>
      </c>
    </row>
    <row r="11" spans="2:6" x14ac:dyDescent="0.25">
      <c r="B11" s="32">
        <v>42188</v>
      </c>
      <c r="C11" s="26" t="s">
        <v>245</v>
      </c>
      <c r="D11" s="24"/>
      <c r="E11" s="24">
        <v>300</v>
      </c>
      <c r="F11" s="25">
        <f t="shared" si="0"/>
        <v>49262.44</v>
      </c>
    </row>
    <row r="12" spans="2:6" x14ac:dyDescent="0.25">
      <c r="B12" s="32">
        <v>42188</v>
      </c>
      <c r="C12" s="26" t="s">
        <v>246</v>
      </c>
      <c r="D12" s="24"/>
      <c r="E12" s="24">
        <v>90</v>
      </c>
      <c r="F12" s="25">
        <f t="shared" si="0"/>
        <v>49172.44</v>
      </c>
    </row>
    <row r="13" spans="2:6" x14ac:dyDescent="0.25">
      <c r="B13" s="32">
        <v>42188</v>
      </c>
      <c r="C13" s="27" t="s">
        <v>95</v>
      </c>
      <c r="D13" s="24"/>
      <c r="E13" s="24">
        <v>600</v>
      </c>
      <c r="F13" s="25">
        <f t="shared" si="0"/>
        <v>48572.44</v>
      </c>
    </row>
    <row r="14" spans="2:6" x14ac:dyDescent="0.25">
      <c r="B14" s="32">
        <v>42188</v>
      </c>
      <c r="C14" s="26" t="s">
        <v>247</v>
      </c>
      <c r="D14" s="24"/>
      <c r="E14" s="24">
        <v>150</v>
      </c>
      <c r="F14" s="25">
        <f t="shared" si="0"/>
        <v>48422.44</v>
      </c>
    </row>
    <row r="15" spans="2:6" x14ac:dyDescent="0.25">
      <c r="B15" s="32">
        <v>42188</v>
      </c>
      <c r="C15" s="27" t="s">
        <v>248</v>
      </c>
      <c r="D15" s="24"/>
      <c r="E15" s="24">
        <v>4461.3</v>
      </c>
      <c r="F15" s="25">
        <f t="shared" si="0"/>
        <v>43961.14</v>
      </c>
    </row>
    <row r="16" spans="2:6" x14ac:dyDescent="0.25">
      <c r="B16" s="32">
        <v>42189</v>
      </c>
      <c r="C16" s="26" t="s">
        <v>249</v>
      </c>
      <c r="D16" s="24"/>
      <c r="E16" s="24">
        <v>50</v>
      </c>
      <c r="F16" s="25">
        <f t="shared" si="0"/>
        <v>43911.14</v>
      </c>
    </row>
    <row r="17" spans="2:7" x14ac:dyDescent="0.25">
      <c r="B17" s="32">
        <v>42189</v>
      </c>
      <c r="C17" s="76" t="s">
        <v>250</v>
      </c>
      <c r="D17" s="24"/>
      <c r="E17" s="24">
        <v>4000</v>
      </c>
      <c r="F17" s="25">
        <f t="shared" si="0"/>
        <v>39911.14</v>
      </c>
    </row>
    <row r="18" spans="2:7" x14ac:dyDescent="0.25">
      <c r="B18" s="32">
        <v>42189</v>
      </c>
      <c r="C18" s="26" t="s">
        <v>251</v>
      </c>
      <c r="D18" s="24"/>
      <c r="E18" s="24">
        <v>2250</v>
      </c>
      <c r="F18" s="25">
        <f t="shared" si="0"/>
        <v>37661.14</v>
      </c>
    </row>
    <row r="19" spans="2:7" x14ac:dyDescent="0.25">
      <c r="B19" s="32">
        <v>42190</v>
      </c>
      <c r="C19" s="26" t="s">
        <v>247</v>
      </c>
      <c r="D19" s="24"/>
      <c r="E19" s="24">
        <v>285.99</v>
      </c>
      <c r="F19" s="25">
        <f t="shared" si="0"/>
        <v>37375.15</v>
      </c>
    </row>
    <row r="20" spans="2:7" x14ac:dyDescent="0.25">
      <c r="B20" s="32">
        <v>42191</v>
      </c>
      <c r="C20" s="26" t="s">
        <v>252</v>
      </c>
      <c r="D20" s="24">
        <v>25000</v>
      </c>
      <c r="E20" s="24"/>
      <c r="F20" s="25">
        <f t="shared" si="0"/>
        <v>62375.15</v>
      </c>
    </row>
    <row r="21" spans="2:7" x14ac:dyDescent="0.25">
      <c r="B21" s="32">
        <v>42191</v>
      </c>
      <c r="C21" s="76" t="s">
        <v>253</v>
      </c>
      <c r="D21" s="24"/>
      <c r="E21" s="24">
        <v>7120</v>
      </c>
      <c r="F21" s="25">
        <f t="shared" si="0"/>
        <v>55255.15</v>
      </c>
    </row>
    <row r="22" spans="2:7" x14ac:dyDescent="0.25">
      <c r="B22" s="32">
        <v>42191</v>
      </c>
      <c r="C22" s="89" t="s">
        <v>263</v>
      </c>
      <c r="D22" s="24"/>
      <c r="E22" s="24">
        <v>5000</v>
      </c>
      <c r="F22" s="25">
        <f t="shared" si="0"/>
        <v>50255.15</v>
      </c>
    </row>
    <row r="23" spans="2:7" x14ac:dyDescent="0.25">
      <c r="B23" s="32">
        <v>42191</v>
      </c>
      <c r="C23" s="27" t="s">
        <v>246</v>
      </c>
      <c r="D23" s="24"/>
      <c r="E23" s="24">
        <v>90</v>
      </c>
      <c r="F23" s="25">
        <f t="shared" si="0"/>
        <v>50165.15</v>
      </c>
    </row>
    <row r="24" spans="2:7" x14ac:dyDescent="0.25">
      <c r="B24" s="32">
        <v>42191</v>
      </c>
      <c r="C24" s="35" t="s">
        <v>255</v>
      </c>
      <c r="D24" s="24"/>
      <c r="E24" s="24">
        <v>1800</v>
      </c>
      <c r="F24" s="25">
        <f t="shared" si="0"/>
        <v>48365.15</v>
      </c>
    </row>
    <row r="25" spans="2:7" x14ac:dyDescent="0.25">
      <c r="B25" s="32">
        <v>42191</v>
      </c>
      <c r="C25" s="27" t="s">
        <v>256</v>
      </c>
      <c r="D25" s="24"/>
      <c r="E25" s="24">
        <v>750</v>
      </c>
      <c r="F25" s="25">
        <f t="shared" si="0"/>
        <v>47615.15</v>
      </c>
    </row>
    <row r="26" spans="2:7" x14ac:dyDescent="0.25">
      <c r="B26" s="32">
        <v>42191</v>
      </c>
      <c r="C26" s="26" t="s">
        <v>257</v>
      </c>
      <c r="D26" s="24"/>
      <c r="E26" s="24">
        <v>2220</v>
      </c>
      <c r="F26" s="25">
        <f t="shared" si="0"/>
        <v>45395.15</v>
      </c>
    </row>
    <row r="27" spans="2:7" x14ac:dyDescent="0.25">
      <c r="B27" s="32">
        <v>42192</v>
      </c>
      <c r="C27" s="76" t="s">
        <v>258</v>
      </c>
      <c r="D27" s="24"/>
      <c r="E27" s="24">
        <v>250</v>
      </c>
      <c r="F27" s="25">
        <f t="shared" si="0"/>
        <v>45145.15</v>
      </c>
    </row>
    <row r="28" spans="2:7" x14ac:dyDescent="0.25">
      <c r="B28" s="32">
        <v>42192</v>
      </c>
      <c r="C28" s="76" t="s">
        <v>259</v>
      </c>
      <c r="D28" s="24"/>
      <c r="E28" s="24">
        <v>1200</v>
      </c>
      <c r="F28" s="25">
        <f t="shared" si="0"/>
        <v>43945.15</v>
      </c>
    </row>
    <row r="29" spans="2:7" x14ac:dyDescent="0.25">
      <c r="B29" s="32">
        <v>42195</v>
      </c>
      <c r="C29" s="26" t="s">
        <v>95</v>
      </c>
      <c r="D29" s="24"/>
      <c r="E29" s="24">
        <v>600</v>
      </c>
      <c r="F29" s="25">
        <f t="shared" si="0"/>
        <v>43345.15</v>
      </c>
      <c r="G29" s="1"/>
    </row>
    <row r="30" spans="2:7" x14ac:dyDescent="0.25">
      <c r="B30" s="32">
        <v>42195</v>
      </c>
      <c r="C30" s="26" t="s">
        <v>257</v>
      </c>
      <c r="D30" s="24"/>
      <c r="E30" s="24">
        <v>1740</v>
      </c>
      <c r="F30" s="25">
        <f t="shared" si="0"/>
        <v>41605.15</v>
      </c>
    </row>
    <row r="31" spans="2:7" x14ac:dyDescent="0.25">
      <c r="B31" s="32">
        <v>42196</v>
      </c>
      <c r="C31" s="26" t="s">
        <v>260</v>
      </c>
      <c r="D31" s="24"/>
      <c r="E31" s="24">
        <v>315</v>
      </c>
      <c r="F31" s="25">
        <f t="shared" si="0"/>
        <v>41290.15</v>
      </c>
    </row>
    <row r="32" spans="2:7" x14ac:dyDescent="0.25">
      <c r="B32" s="32">
        <v>42196</v>
      </c>
      <c r="C32" s="89" t="s">
        <v>261</v>
      </c>
      <c r="D32" s="24"/>
      <c r="E32" s="24">
        <v>2000</v>
      </c>
      <c r="F32" s="25">
        <f t="shared" si="0"/>
        <v>39290.15</v>
      </c>
    </row>
    <row r="33" spans="2:6" x14ac:dyDescent="0.25">
      <c r="B33" s="32">
        <v>42196</v>
      </c>
      <c r="C33" s="76" t="s">
        <v>262</v>
      </c>
      <c r="D33" s="24"/>
      <c r="E33" s="24">
        <v>5000</v>
      </c>
      <c r="F33" s="25">
        <f t="shared" si="0"/>
        <v>34290.15</v>
      </c>
    </row>
    <row r="34" spans="2:6" x14ac:dyDescent="0.25">
      <c r="B34" s="32">
        <v>42198</v>
      </c>
      <c r="C34" s="76" t="s">
        <v>180</v>
      </c>
      <c r="D34" s="24">
        <v>25000</v>
      </c>
      <c r="E34" s="24"/>
      <c r="F34" s="25">
        <f t="shared" si="0"/>
        <v>59290.15</v>
      </c>
    </row>
    <row r="35" spans="2:6" x14ac:dyDescent="0.25">
      <c r="B35" s="32">
        <v>42198</v>
      </c>
      <c r="C35" s="26" t="s">
        <v>264</v>
      </c>
      <c r="D35" s="24"/>
      <c r="E35" s="24">
        <v>1150</v>
      </c>
      <c r="F35" s="25">
        <f t="shared" si="0"/>
        <v>58140.15</v>
      </c>
    </row>
    <row r="36" spans="2:6" x14ac:dyDescent="0.25">
      <c r="B36" s="32">
        <v>42198</v>
      </c>
      <c r="C36" s="26" t="s">
        <v>265</v>
      </c>
      <c r="D36" s="24"/>
      <c r="E36" s="24">
        <v>1500</v>
      </c>
      <c r="F36" s="25">
        <f t="shared" si="0"/>
        <v>56640.15</v>
      </c>
    </row>
    <row r="37" spans="2:6" x14ac:dyDescent="0.25">
      <c r="B37" s="32">
        <v>42198</v>
      </c>
      <c r="C37" s="26" t="s">
        <v>259</v>
      </c>
      <c r="D37" s="24"/>
      <c r="E37" s="24">
        <v>1500</v>
      </c>
      <c r="F37" s="25">
        <f t="shared" si="0"/>
        <v>55140.15</v>
      </c>
    </row>
    <row r="38" spans="2:6" x14ac:dyDescent="0.25">
      <c r="B38" s="32">
        <v>42198</v>
      </c>
      <c r="C38" s="26" t="s">
        <v>266</v>
      </c>
      <c r="D38" s="24"/>
      <c r="E38" s="24">
        <v>1438.8</v>
      </c>
      <c r="F38" s="25">
        <f t="shared" si="0"/>
        <v>53701.35</v>
      </c>
    </row>
    <row r="39" spans="2:6" x14ac:dyDescent="0.25">
      <c r="B39" s="32">
        <v>42198</v>
      </c>
      <c r="C39" s="26" t="s">
        <v>288</v>
      </c>
      <c r="D39" s="24"/>
      <c r="E39" s="24">
        <v>60</v>
      </c>
      <c r="F39" s="25">
        <f t="shared" si="0"/>
        <v>53641.35</v>
      </c>
    </row>
    <row r="40" spans="2:6" x14ac:dyDescent="0.25">
      <c r="B40" s="32">
        <v>42198</v>
      </c>
      <c r="C40" s="26" t="s">
        <v>289</v>
      </c>
      <c r="D40" s="24"/>
      <c r="E40" s="24">
        <v>238</v>
      </c>
      <c r="F40" s="25">
        <f t="shared" si="0"/>
        <v>53403.35</v>
      </c>
    </row>
    <row r="41" spans="2:6" x14ac:dyDescent="0.25">
      <c r="B41" s="32">
        <v>42199</v>
      </c>
      <c r="C41" s="26" t="s">
        <v>267</v>
      </c>
      <c r="D41" s="24"/>
      <c r="E41" s="24">
        <v>119.04</v>
      </c>
      <c r="F41" s="25">
        <f t="shared" si="0"/>
        <v>53284.31</v>
      </c>
    </row>
    <row r="42" spans="2:6" x14ac:dyDescent="0.25">
      <c r="B42" s="32">
        <v>42199</v>
      </c>
      <c r="C42" s="26" t="s">
        <v>272</v>
      </c>
      <c r="D42" s="24"/>
      <c r="E42" s="24">
        <v>59.52</v>
      </c>
      <c r="F42" s="25">
        <f t="shared" si="0"/>
        <v>53224.79</v>
      </c>
    </row>
    <row r="43" spans="2:6" x14ac:dyDescent="0.25">
      <c r="B43" s="32">
        <v>42199</v>
      </c>
      <c r="C43" s="26" t="s">
        <v>294</v>
      </c>
      <c r="D43" s="24"/>
      <c r="E43" s="24">
        <v>225</v>
      </c>
      <c r="F43" s="25">
        <f t="shared" si="0"/>
        <v>52999.79</v>
      </c>
    </row>
    <row r="44" spans="2:6" x14ac:dyDescent="0.25">
      <c r="B44" s="32">
        <v>42199</v>
      </c>
      <c r="C44" s="26" t="s">
        <v>294</v>
      </c>
      <c r="D44" s="24"/>
      <c r="E44" s="24">
        <v>194.5</v>
      </c>
      <c r="F44" s="25">
        <f t="shared" si="0"/>
        <v>52805.29</v>
      </c>
    </row>
    <row r="45" spans="2:6" x14ac:dyDescent="0.25">
      <c r="B45" s="32">
        <v>42199</v>
      </c>
      <c r="C45" s="26" t="s">
        <v>295</v>
      </c>
      <c r="D45" s="24"/>
      <c r="E45" s="24">
        <v>245.7</v>
      </c>
      <c r="F45" s="25">
        <f t="shared" si="0"/>
        <v>52559.590000000004</v>
      </c>
    </row>
    <row r="46" spans="2:6" x14ac:dyDescent="0.25">
      <c r="B46" s="32">
        <v>42200</v>
      </c>
      <c r="C46" s="27" t="s">
        <v>269</v>
      </c>
      <c r="D46" s="24"/>
      <c r="E46" s="24">
        <v>29000</v>
      </c>
      <c r="F46" s="25">
        <f t="shared" si="0"/>
        <v>23559.590000000004</v>
      </c>
    </row>
    <row r="47" spans="2:6" x14ac:dyDescent="0.25">
      <c r="B47" s="32">
        <v>42200</v>
      </c>
      <c r="C47" s="26" t="s">
        <v>268</v>
      </c>
      <c r="D47" s="24"/>
      <c r="E47" s="24">
        <v>3200</v>
      </c>
      <c r="F47" s="25">
        <f t="shared" si="0"/>
        <v>20359.590000000004</v>
      </c>
    </row>
    <row r="48" spans="2:6" x14ac:dyDescent="0.25">
      <c r="B48" s="32">
        <v>42200</v>
      </c>
      <c r="C48" s="26" t="s">
        <v>270</v>
      </c>
      <c r="D48" s="24"/>
      <c r="E48" s="24">
        <v>350</v>
      </c>
      <c r="F48" s="25">
        <f t="shared" si="0"/>
        <v>20009.590000000004</v>
      </c>
    </row>
    <row r="49" spans="2:6" x14ac:dyDescent="0.25">
      <c r="B49" s="32">
        <v>42200</v>
      </c>
      <c r="C49" s="26" t="s">
        <v>246</v>
      </c>
      <c r="D49" s="24"/>
      <c r="E49" s="24">
        <v>90</v>
      </c>
      <c r="F49" s="25">
        <f t="shared" si="0"/>
        <v>19919.590000000004</v>
      </c>
    </row>
    <row r="50" spans="2:6" x14ac:dyDescent="0.25">
      <c r="B50" s="32">
        <v>42200</v>
      </c>
      <c r="C50" s="26" t="s">
        <v>271</v>
      </c>
      <c r="D50" s="24"/>
      <c r="E50" s="24">
        <v>20</v>
      </c>
      <c r="F50" s="25">
        <f t="shared" si="0"/>
        <v>19899.590000000004</v>
      </c>
    </row>
    <row r="51" spans="2:6" x14ac:dyDescent="0.25">
      <c r="B51" s="32">
        <v>42200</v>
      </c>
      <c r="C51" s="26" t="s">
        <v>290</v>
      </c>
      <c r="D51" s="24"/>
      <c r="E51" s="24">
        <v>23</v>
      </c>
      <c r="F51" s="25">
        <f t="shared" si="0"/>
        <v>19876.590000000004</v>
      </c>
    </row>
    <row r="52" spans="2:6" x14ac:dyDescent="0.25">
      <c r="B52" s="32">
        <v>42201</v>
      </c>
      <c r="C52" s="26" t="s">
        <v>278</v>
      </c>
      <c r="D52" s="24"/>
      <c r="E52" s="24">
        <v>1100</v>
      </c>
      <c r="F52" s="25">
        <f t="shared" si="0"/>
        <v>18776.590000000004</v>
      </c>
    </row>
    <row r="53" spans="2:6" x14ac:dyDescent="0.25">
      <c r="B53" s="32">
        <v>42201</v>
      </c>
      <c r="C53" s="26" t="s">
        <v>291</v>
      </c>
      <c r="D53" s="24"/>
      <c r="E53" s="24">
        <v>70</v>
      </c>
      <c r="F53" s="25">
        <f t="shared" si="0"/>
        <v>18706.590000000004</v>
      </c>
    </row>
    <row r="54" spans="2:6" x14ac:dyDescent="0.25">
      <c r="B54" s="32">
        <v>42202</v>
      </c>
      <c r="C54" s="26" t="s">
        <v>277</v>
      </c>
      <c r="D54" s="24"/>
      <c r="E54" s="24">
        <v>5000</v>
      </c>
      <c r="F54" s="25">
        <f t="shared" si="0"/>
        <v>13706.590000000004</v>
      </c>
    </row>
    <row r="55" spans="2:6" x14ac:dyDescent="0.25">
      <c r="B55" s="32">
        <v>42202</v>
      </c>
      <c r="C55" s="26" t="s">
        <v>95</v>
      </c>
      <c r="D55" s="24"/>
      <c r="E55" s="24">
        <v>600</v>
      </c>
      <c r="F55" s="25">
        <f t="shared" si="0"/>
        <v>13106.590000000004</v>
      </c>
    </row>
    <row r="56" spans="2:6" x14ac:dyDescent="0.25">
      <c r="B56" s="32">
        <v>42202</v>
      </c>
      <c r="C56" s="26" t="s">
        <v>279</v>
      </c>
      <c r="D56" s="24"/>
      <c r="E56" s="24">
        <v>1100</v>
      </c>
      <c r="F56" s="25">
        <f t="shared" si="0"/>
        <v>12006.590000000004</v>
      </c>
    </row>
    <row r="57" spans="2:6" x14ac:dyDescent="0.25">
      <c r="B57" s="32">
        <v>42202</v>
      </c>
      <c r="C57" s="26" t="s">
        <v>280</v>
      </c>
      <c r="D57" s="24"/>
      <c r="E57" s="24">
        <v>600</v>
      </c>
      <c r="F57" s="25">
        <f t="shared" si="0"/>
        <v>11406.590000000004</v>
      </c>
    </row>
    <row r="58" spans="2:6" x14ac:dyDescent="0.25">
      <c r="B58" s="32">
        <v>42202</v>
      </c>
      <c r="C58" s="26" t="s">
        <v>296</v>
      </c>
      <c r="D58" s="24"/>
      <c r="E58" s="24">
        <v>1055.5999999999999</v>
      </c>
      <c r="F58" s="25">
        <f t="shared" si="0"/>
        <v>10350.990000000003</v>
      </c>
    </row>
    <row r="59" spans="2:6" x14ac:dyDescent="0.25">
      <c r="B59" s="32">
        <v>42203</v>
      </c>
      <c r="C59" s="26" t="s">
        <v>273</v>
      </c>
      <c r="D59" s="24"/>
      <c r="E59" s="24">
        <v>300</v>
      </c>
      <c r="F59" s="25">
        <f t="shared" si="0"/>
        <v>10050.990000000003</v>
      </c>
    </row>
    <row r="60" spans="2:6" x14ac:dyDescent="0.25">
      <c r="B60" s="32">
        <v>42203</v>
      </c>
      <c r="C60" s="26" t="s">
        <v>257</v>
      </c>
      <c r="D60" s="24"/>
      <c r="E60" s="24">
        <v>1860</v>
      </c>
      <c r="F60" s="25">
        <f t="shared" si="0"/>
        <v>8190.9900000000034</v>
      </c>
    </row>
    <row r="61" spans="2:6" x14ac:dyDescent="0.25">
      <c r="B61" s="32">
        <v>42203</v>
      </c>
      <c r="C61" s="26" t="s">
        <v>274</v>
      </c>
      <c r="D61" s="24"/>
      <c r="E61" s="24">
        <v>5500</v>
      </c>
      <c r="F61" s="25">
        <f t="shared" si="0"/>
        <v>2690.9900000000034</v>
      </c>
    </row>
    <row r="62" spans="2:6" x14ac:dyDescent="0.25">
      <c r="B62" s="32">
        <v>42204</v>
      </c>
      <c r="C62" s="26" t="s">
        <v>275</v>
      </c>
      <c r="D62" s="24"/>
      <c r="E62" s="24">
        <v>1150</v>
      </c>
      <c r="F62" s="25">
        <f t="shared" si="0"/>
        <v>1540.9900000000034</v>
      </c>
    </row>
    <row r="63" spans="2:6" x14ac:dyDescent="0.25">
      <c r="B63" s="32">
        <v>42204</v>
      </c>
      <c r="C63" s="26" t="s">
        <v>286</v>
      </c>
      <c r="D63" s="24"/>
      <c r="E63" s="24">
        <v>500</v>
      </c>
      <c r="F63" s="25">
        <f t="shared" si="0"/>
        <v>1040.9900000000034</v>
      </c>
    </row>
    <row r="64" spans="2:6" x14ac:dyDescent="0.25">
      <c r="B64" s="32">
        <v>42204</v>
      </c>
      <c r="C64" s="26" t="s">
        <v>287</v>
      </c>
      <c r="D64" s="24"/>
      <c r="E64" s="24">
        <v>250</v>
      </c>
      <c r="F64" s="25">
        <f t="shared" si="0"/>
        <v>790.99000000000342</v>
      </c>
    </row>
    <row r="65" spans="2:6" x14ac:dyDescent="0.25">
      <c r="B65" s="32">
        <v>42205</v>
      </c>
      <c r="C65" s="26" t="s">
        <v>252</v>
      </c>
      <c r="D65" s="24">
        <v>17000</v>
      </c>
      <c r="E65" s="24"/>
      <c r="F65" s="25">
        <f t="shared" si="0"/>
        <v>17790.990000000005</v>
      </c>
    </row>
    <row r="66" spans="2:6" x14ac:dyDescent="0.25">
      <c r="B66" s="32">
        <v>42205</v>
      </c>
      <c r="C66" s="26" t="s">
        <v>246</v>
      </c>
      <c r="D66" s="24"/>
      <c r="E66" s="24">
        <v>90</v>
      </c>
      <c r="F66" s="25">
        <f t="shared" si="0"/>
        <v>17700.990000000005</v>
      </c>
    </row>
    <row r="67" spans="2:6" x14ac:dyDescent="0.25">
      <c r="B67" s="32">
        <v>42205</v>
      </c>
      <c r="C67" s="26" t="s">
        <v>292</v>
      </c>
      <c r="D67" s="24"/>
      <c r="E67" s="24">
        <v>1100</v>
      </c>
      <c r="F67" s="25">
        <f t="shared" si="0"/>
        <v>16600.990000000005</v>
      </c>
    </row>
    <row r="68" spans="2:6" x14ac:dyDescent="0.25">
      <c r="B68" s="32">
        <v>42206</v>
      </c>
      <c r="C68" s="26" t="s">
        <v>276</v>
      </c>
      <c r="D68" s="24"/>
      <c r="E68" s="24">
        <v>6400</v>
      </c>
      <c r="F68" s="25">
        <f t="shared" si="0"/>
        <v>10200.990000000005</v>
      </c>
    </row>
    <row r="69" spans="2:6" x14ac:dyDescent="0.25">
      <c r="B69" s="32">
        <v>42206</v>
      </c>
      <c r="C69" s="26" t="s">
        <v>281</v>
      </c>
      <c r="D69" s="24"/>
      <c r="E69" s="24">
        <v>60</v>
      </c>
      <c r="F69" s="25">
        <f t="shared" si="0"/>
        <v>10140.990000000005</v>
      </c>
    </row>
    <row r="70" spans="2:6" x14ac:dyDescent="0.25">
      <c r="B70" s="32">
        <v>42206</v>
      </c>
      <c r="C70" s="26" t="s">
        <v>282</v>
      </c>
      <c r="D70" s="24"/>
      <c r="E70" s="24">
        <v>3307.5</v>
      </c>
      <c r="F70" s="25">
        <f t="shared" si="0"/>
        <v>6833.4900000000052</v>
      </c>
    </row>
    <row r="71" spans="2:6" x14ac:dyDescent="0.25">
      <c r="B71" s="32">
        <v>42206</v>
      </c>
      <c r="C71" s="26" t="s">
        <v>283</v>
      </c>
      <c r="D71" s="24"/>
      <c r="E71" s="24">
        <v>350</v>
      </c>
      <c r="F71" s="25">
        <f t="shared" si="0"/>
        <v>6483.4900000000052</v>
      </c>
    </row>
    <row r="72" spans="2:6" x14ac:dyDescent="0.25">
      <c r="B72" s="32">
        <v>42207</v>
      </c>
      <c r="C72" s="26" t="s">
        <v>281</v>
      </c>
      <c r="D72" s="24"/>
      <c r="E72" s="24">
        <v>60</v>
      </c>
      <c r="F72" s="25">
        <f t="shared" si="0"/>
        <v>6423.4900000000052</v>
      </c>
    </row>
    <row r="73" spans="2:6" x14ac:dyDescent="0.25">
      <c r="B73" s="32">
        <v>42207</v>
      </c>
      <c r="C73" s="26" t="s">
        <v>246</v>
      </c>
      <c r="D73" s="24"/>
      <c r="E73" s="24">
        <v>90</v>
      </c>
      <c r="F73" s="25">
        <f t="shared" si="0"/>
        <v>6333.4900000000052</v>
      </c>
    </row>
    <row r="74" spans="2:6" x14ac:dyDescent="0.25">
      <c r="B74" s="32">
        <v>42208</v>
      </c>
      <c r="C74" s="26" t="s">
        <v>293</v>
      </c>
      <c r="D74" s="24"/>
      <c r="E74" s="24">
        <v>125</v>
      </c>
      <c r="F74" s="25">
        <f t="shared" si="0"/>
        <v>6208.4900000000052</v>
      </c>
    </row>
    <row r="75" spans="2:6" x14ac:dyDescent="0.25">
      <c r="B75" s="32">
        <v>42209</v>
      </c>
      <c r="C75" s="26" t="s">
        <v>376</v>
      </c>
      <c r="D75" s="24">
        <v>20000</v>
      </c>
      <c r="E75" s="24"/>
      <c r="F75" s="25">
        <f t="shared" si="0"/>
        <v>26208.490000000005</v>
      </c>
    </row>
    <row r="76" spans="2:6" x14ac:dyDescent="0.25">
      <c r="B76" s="32">
        <v>42209</v>
      </c>
      <c r="C76" s="26" t="s">
        <v>257</v>
      </c>
      <c r="D76" s="24"/>
      <c r="E76" s="24">
        <v>1760</v>
      </c>
      <c r="F76" s="25">
        <f t="shared" si="0"/>
        <v>24448.490000000005</v>
      </c>
    </row>
    <row r="77" spans="2:6" x14ac:dyDescent="0.25">
      <c r="B77" s="32">
        <v>42209</v>
      </c>
      <c r="C77" s="26" t="s">
        <v>122</v>
      </c>
      <c r="D77" s="24"/>
      <c r="E77" s="24">
        <v>600</v>
      </c>
      <c r="F77" s="25">
        <f t="shared" si="0"/>
        <v>23848.490000000005</v>
      </c>
    </row>
    <row r="78" spans="2:6" x14ac:dyDescent="0.25">
      <c r="B78" s="32">
        <v>42211</v>
      </c>
      <c r="C78" s="35" t="s">
        <v>284</v>
      </c>
      <c r="D78" s="24"/>
      <c r="E78" s="24">
        <v>100</v>
      </c>
      <c r="F78" s="25">
        <f t="shared" si="0"/>
        <v>23748.490000000005</v>
      </c>
    </row>
    <row r="79" spans="2:6" x14ac:dyDescent="0.25">
      <c r="B79" s="32">
        <v>42212</v>
      </c>
      <c r="C79" s="27" t="s">
        <v>285</v>
      </c>
      <c r="D79" s="24"/>
      <c r="E79" s="24">
        <v>1100</v>
      </c>
      <c r="F79" s="25">
        <f t="shared" si="0"/>
        <v>22648.490000000005</v>
      </c>
    </row>
    <row r="80" spans="2:6" x14ac:dyDescent="0.25">
      <c r="B80" s="86">
        <v>42213</v>
      </c>
      <c r="C80" s="84" t="s">
        <v>310</v>
      </c>
      <c r="D80" s="85"/>
      <c r="E80" s="85">
        <v>1760</v>
      </c>
      <c r="F80" s="25">
        <f t="shared" si="0"/>
        <v>20888.490000000005</v>
      </c>
    </row>
    <row r="81" spans="2:6" x14ac:dyDescent="0.25">
      <c r="B81" s="32">
        <v>42213</v>
      </c>
      <c r="C81" s="26" t="s">
        <v>180</v>
      </c>
      <c r="D81" s="24">
        <v>14000</v>
      </c>
      <c r="E81" s="24"/>
      <c r="F81" s="25">
        <f t="shared" ref="F81:F96" si="1">+F80+D81-E81</f>
        <v>34888.490000000005</v>
      </c>
    </row>
    <row r="82" spans="2:6" x14ac:dyDescent="0.25">
      <c r="B82" s="32">
        <v>42213</v>
      </c>
      <c r="C82" s="26" t="s">
        <v>297</v>
      </c>
      <c r="D82" s="24"/>
      <c r="E82" s="24">
        <v>1300</v>
      </c>
      <c r="F82" s="25">
        <f t="shared" si="1"/>
        <v>33588.490000000005</v>
      </c>
    </row>
    <row r="83" spans="2:6" x14ac:dyDescent="0.25">
      <c r="B83" s="32">
        <v>42214</v>
      </c>
      <c r="C83" s="26" t="s">
        <v>299</v>
      </c>
      <c r="D83" s="24"/>
      <c r="E83" s="24">
        <v>130</v>
      </c>
      <c r="F83" s="25">
        <f t="shared" si="1"/>
        <v>33458.490000000005</v>
      </c>
    </row>
    <row r="84" spans="2:6" x14ac:dyDescent="0.25">
      <c r="B84" s="32">
        <v>42214</v>
      </c>
      <c r="C84" s="26" t="s">
        <v>298</v>
      </c>
      <c r="D84" s="24"/>
      <c r="E84" s="24">
        <v>350</v>
      </c>
      <c r="F84" s="25">
        <f t="shared" si="1"/>
        <v>33108.490000000005</v>
      </c>
    </row>
    <row r="85" spans="2:6" x14ac:dyDescent="0.25">
      <c r="B85" s="32">
        <v>42216</v>
      </c>
      <c r="C85" s="26" t="s">
        <v>377</v>
      </c>
      <c r="D85" s="24">
        <v>20000</v>
      </c>
      <c r="E85" s="24"/>
      <c r="F85" s="25">
        <f t="shared" si="1"/>
        <v>53108.490000000005</v>
      </c>
    </row>
    <row r="86" spans="2:6" x14ac:dyDescent="0.25">
      <c r="B86" s="32">
        <v>42216</v>
      </c>
      <c r="C86" s="26" t="s">
        <v>122</v>
      </c>
      <c r="D86" s="24"/>
      <c r="E86" s="24">
        <v>600</v>
      </c>
      <c r="F86" s="25">
        <f t="shared" si="1"/>
        <v>52508.490000000005</v>
      </c>
    </row>
    <row r="87" spans="2:6" x14ac:dyDescent="0.25">
      <c r="B87" s="32">
        <v>42216</v>
      </c>
      <c r="C87" s="27" t="s">
        <v>269</v>
      </c>
      <c r="D87" s="24"/>
      <c r="E87" s="24">
        <v>29000</v>
      </c>
      <c r="F87" s="25">
        <f t="shared" si="1"/>
        <v>23508.490000000005</v>
      </c>
    </row>
    <row r="88" spans="2:6" x14ac:dyDescent="0.25">
      <c r="B88" s="32">
        <v>42216</v>
      </c>
      <c r="C88" s="26" t="s">
        <v>268</v>
      </c>
      <c r="D88" s="24"/>
      <c r="E88" s="24">
        <v>3200</v>
      </c>
      <c r="F88" s="25">
        <f t="shared" si="1"/>
        <v>20308.490000000005</v>
      </c>
    </row>
    <row r="89" spans="2:6" x14ac:dyDescent="0.25">
      <c r="B89" s="32">
        <v>42216</v>
      </c>
      <c r="C89" s="26" t="s">
        <v>300</v>
      </c>
      <c r="D89" s="24"/>
      <c r="E89" s="24">
        <v>800</v>
      </c>
      <c r="F89" s="25">
        <f t="shared" si="1"/>
        <v>19508.490000000005</v>
      </c>
    </row>
    <row r="90" spans="2:6" x14ac:dyDescent="0.25">
      <c r="B90" s="32">
        <v>42216</v>
      </c>
      <c r="C90" s="26" t="s">
        <v>301</v>
      </c>
      <c r="D90" s="24"/>
      <c r="E90" s="24">
        <v>400</v>
      </c>
      <c r="F90" s="25">
        <f t="shared" si="1"/>
        <v>19108.490000000005</v>
      </c>
    </row>
    <row r="91" spans="2:6" x14ac:dyDescent="0.25">
      <c r="B91" s="32">
        <v>42216</v>
      </c>
      <c r="C91" s="26" t="s">
        <v>302</v>
      </c>
      <c r="D91" s="24"/>
      <c r="E91" s="24">
        <v>400</v>
      </c>
      <c r="F91" s="25">
        <f t="shared" si="1"/>
        <v>18708.490000000005</v>
      </c>
    </row>
    <row r="92" spans="2:6" x14ac:dyDescent="0.25">
      <c r="B92" s="32">
        <v>42216</v>
      </c>
      <c r="C92" s="26" t="s">
        <v>303</v>
      </c>
      <c r="D92" s="24"/>
      <c r="E92" s="24">
        <v>300</v>
      </c>
      <c r="F92" s="25">
        <f t="shared" si="1"/>
        <v>18408.490000000005</v>
      </c>
    </row>
    <row r="93" spans="2:6" x14ac:dyDescent="0.25">
      <c r="B93" s="32">
        <v>42216</v>
      </c>
      <c r="C93" s="26" t="s">
        <v>304</v>
      </c>
      <c r="D93" s="24"/>
      <c r="E93" s="24">
        <v>600</v>
      </c>
      <c r="F93" s="25">
        <f t="shared" si="1"/>
        <v>17808.490000000005</v>
      </c>
    </row>
    <row r="94" spans="2:6" x14ac:dyDescent="0.25">
      <c r="B94" s="32">
        <v>42216</v>
      </c>
      <c r="C94" s="26" t="s">
        <v>305</v>
      </c>
      <c r="D94" s="24"/>
      <c r="E94" s="24">
        <v>2963.61</v>
      </c>
      <c r="F94" s="25">
        <f t="shared" si="1"/>
        <v>14844.880000000005</v>
      </c>
    </row>
    <row r="95" spans="2:6" x14ac:dyDescent="0.25">
      <c r="B95" s="32">
        <v>42216</v>
      </c>
      <c r="C95" s="26" t="s">
        <v>306</v>
      </c>
      <c r="D95" s="24"/>
      <c r="E95" s="24">
        <v>120</v>
      </c>
      <c r="F95" s="25">
        <f t="shared" si="1"/>
        <v>14724.880000000005</v>
      </c>
    </row>
    <row r="96" spans="2:6" ht="15.75" thickBot="1" x14ac:dyDescent="0.3">
      <c r="B96" s="32"/>
      <c r="C96" s="26"/>
      <c r="D96" s="24"/>
      <c r="E96" s="24"/>
      <c r="F96" s="25">
        <f t="shared" si="1"/>
        <v>14724.880000000005</v>
      </c>
    </row>
    <row r="97" spans="2:6" ht="15.75" thickBot="1" x14ac:dyDescent="0.3">
      <c r="B97" s="54"/>
      <c r="C97" s="17" t="s">
        <v>0</v>
      </c>
      <c r="D97" s="15">
        <f>SUM(D5:D95)</f>
        <v>151000</v>
      </c>
      <c r="E97" s="15">
        <f>SUM(E6:E96)</f>
        <v>159857.56</v>
      </c>
      <c r="F97" s="33"/>
    </row>
  </sheetData>
  <mergeCells count="1">
    <mergeCell ref="B2:F2"/>
  </mergeCells>
  <printOptions verticalCentered="1"/>
  <pageMargins left="0.82677165354330706" right="0.23622047244094488" top="0.3543307086614173" bottom="0.74803149606299213" header="0.31496062992125984" footer="0.31496062992125984"/>
  <pageSetup paperSize="9" scale="84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9"/>
  <sheetViews>
    <sheetView topLeftCell="A25" workbookViewId="0">
      <selection activeCell="I43" sqref="I43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8" x14ac:dyDescent="0.25">
      <c r="B1" s="51">
        <v>42247</v>
      </c>
    </row>
    <row r="2" spans="2:8" x14ac:dyDescent="0.25">
      <c r="B2" s="146" t="s">
        <v>18</v>
      </c>
      <c r="C2" s="146"/>
      <c r="D2" s="146"/>
      <c r="E2" s="146"/>
      <c r="F2" s="146"/>
    </row>
    <row r="3" spans="2:8" ht="15.75" thickBot="1" x14ac:dyDescent="0.3">
      <c r="C3" s="57"/>
      <c r="D3" s="110"/>
      <c r="E3" s="111" t="s">
        <v>393</v>
      </c>
      <c r="F3" s="111"/>
    </row>
    <row r="4" spans="2:8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8" x14ac:dyDescent="0.25">
      <c r="B5" s="36">
        <v>42216</v>
      </c>
      <c r="C5" s="19" t="s">
        <v>19</v>
      </c>
      <c r="D5" s="20"/>
      <c r="E5" s="21"/>
      <c r="F5" s="25">
        <v>14724.88</v>
      </c>
      <c r="H5" s="106"/>
    </row>
    <row r="6" spans="2:8" x14ac:dyDescent="0.25">
      <c r="B6" s="32">
        <v>42217</v>
      </c>
      <c r="C6" s="26" t="s">
        <v>311</v>
      </c>
      <c r="D6" s="24"/>
      <c r="E6" s="24">
        <v>600</v>
      </c>
      <c r="F6" s="25">
        <f t="shared" ref="F6:F38" si="0">+F5+D6-E6</f>
        <v>14124.88</v>
      </c>
      <c r="H6" s="106"/>
    </row>
    <row r="7" spans="2:8" x14ac:dyDescent="0.25">
      <c r="B7" s="32">
        <v>42218</v>
      </c>
      <c r="C7" s="22" t="s">
        <v>312</v>
      </c>
      <c r="D7" s="23"/>
      <c r="E7" s="24">
        <v>800</v>
      </c>
      <c r="F7" s="25">
        <f t="shared" si="0"/>
        <v>13324.88</v>
      </c>
    </row>
    <row r="8" spans="2:8" x14ac:dyDescent="0.25">
      <c r="B8" s="32">
        <v>42219</v>
      </c>
      <c r="C8" s="22" t="s">
        <v>375</v>
      </c>
      <c r="D8" s="109">
        <v>21000</v>
      </c>
      <c r="E8" s="24"/>
      <c r="F8" s="25">
        <f t="shared" si="0"/>
        <v>34324.879999999997</v>
      </c>
    </row>
    <row r="9" spans="2:8" x14ac:dyDescent="0.25">
      <c r="B9" s="32">
        <v>42219</v>
      </c>
      <c r="C9" s="26" t="s">
        <v>106</v>
      </c>
      <c r="D9" s="24"/>
      <c r="E9" s="24">
        <v>90</v>
      </c>
      <c r="F9" s="25">
        <f t="shared" si="0"/>
        <v>34234.879999999997</v>
      </c>
    </row>
    <row r="10" spans="2:8" x14ac:dyDescent="0.25">
      <c r="B10" s="32">
        <v>42219</v>
      </c>
      <c r="C10" s="26" t="s">
        <v>313</v>
      </c>
      <c r="D10" s="24"/>
      <c r="E10" s="24">
        <v>69.900000000000006</v>
      </c>
      <c r="F10" s="25">
        <f t="shared" si="0"/>
        <v>34164.979999999996</v>
      </c>
    </row>
    <row r="11" spans="2:8" x14ac:dyDescent="0.25">
      <c r="B11" s="32">
        <v>42221</v>
      </c>
      <c r="C11" s="26" t="s">
        <v>314</v>
      </c>
      <c r="D11" s="24"/>
      <c r="E11" s="24">
        <v>750</v>
      </c>
      <c r="F11" s="25">
        <f t="shared" si="0"/>
        <v>33414.979999999996</v>
      </c>
    </row>
    <row r="12" spans="2:8" x14ac:dyDescent="0.25">
      <c r="B12" s="32">
        <v>42222</v>
      </c>
      <c r="C12" s="26" t="s">
        <v>315</v>
      </c>
      <c r="D12" s="24"/>
      <c r="E12" s="24">
        <v>1300</v>
      </c>
      <c r="F12" s="25">
        <f t="shared" si="0"/>
        <v>32114.979999999996</v>
      </c>
    </row>
    <row r="13" spans="2:8" x14ac:dyDescent="0.25">
      <c r="B13" s="32">
        <v>42223</v>
      </c>
      <c r="C13" s="26" t="s">
        <v>106</v>
      </c>
      <c r="D13" s="24"/>
      <c r="E13" s="24">
        <v>90</v>
      </c>
      <c r="F13" s="25">
        <f t="shared" si="0"/>
        <v>32024.979999999996</v>
      </c>
    </row>
    <row r="14" spans="2:8" x14ac:dyDescent="0.25">
      <c r="B14" s="32">
        <v>42223</v>
      </c>
      <c r="C14" s="26" t="s">
        <v>316</v>
      </c>
      <c r="D14" s="24"/>
      <c r="E14" s="24">
        <v>600</v>
      </c>
      <c r="F14" s="25">
        <f t="shared" si="0"/>
        <v>31424.979999999996</v>
      </c>
    </row>
    <row r="15" spans="2:8" x14ac:dyDescent="0.25">
      <c r="B15" s="32">
        <v>42223</v>
      </c>
      <c r="C15" s="27" t="s">
        <v>317</v>
      </c>
      <c r="D15" s="24"/>
      <c r="E15" s="24">
        <v>5800</v>
      </c>
      <c r="F15" s="25">
        <f t="shared" si="0"/>
        <v>25624.979999999996</v>
      </c>
    </row>
    <row r="16" spans="2:8" x14ac:dyDescent="0.25">
      <c r="B16" s="32">
        <v>42224</v>
      </c>
      <c r="C16" s="26" t="s">
        <v>318</v>
      </c>
      <c r="D16" s="24"/>
      <c r="E16" s="24">
        <v>300</v>
      </c>
      <c r="F16" s="25">
        <f t="shared" si="0"/>
        <v>25324.979999999996</v>
      </c>
    </row>
    <row r="17" spans="2:7" x14ac:dyDescent="0.25">
      <c r="B17" s="32">
        <v>42224</v>
      </c>
      <c r="C17" s="26" t="s">
        <v>319</v>
      </c>
      <c r="D17" s="24"/>
      <c r="E17" s="24">
        <v>380</v>
      </c>
      <c r="F17" s="25">
        <f t="shared" si="0"/>
        <v>24944.979999999996</v>
      </c>
    </row>
    <row r="18" spans="2:7" x14ac:dyDescent="0.25">
      <c r="B18" s="32">
        <v>42226</v>
      </c>
      <c r="C18" s="26" t="s">
        <v>375</v>
      </c>
      <c r="D18" s="24">
        <v>21500</v>
      </c>
      <c r="E18" s="24"/>
      <c r="F18" s="25">
        <f t="shared" si="0"/>
        <v>46444.979999999996</v>
      </c>
    </row>
    <row r="19" spans="2:7" x14ac:dyDescent="0.25">
      <c r="B19" s="32">
        <v>42226</v>
      </c>
      <c r="C19" s="26" t="s">
        <v>320</v>
      </c>
      <c r="D19" s="24"/>
      <c r="E19" s="24">
        <v>2400</v>
      </c>
      <c r="F19" s="25">
        <f t="shared" si="0"/>
        <v>44044.979999999996</v>
      </c>
    </row>
    <row r="20" spans="2:7" x14ac:dyDescent="0.25">
      <c r="B20" s="32">
        <v>42227</v>
      </c>
      <c r="C20" s="27" t="s">
        <v>386</v>
      </c>
      <c r="D20" s="24"/>
      <c r="E20" s="24">
        <v>1500</v>
      </c>
      <c r="F20" s="25">
        <f t="shared" si="0"/>
        <v>42544.979999999996</v>
      </c>
    </row>
    <row r="21" spans="2:7" x14ac:dyDescent="0.25">
      <c r="B21" s="32">
        <v>42227</v>
      </c>
      <c r="C21" s="26" t="s">
        <v>321</v>
      </c>
      <c r="D21" s="24"/>
      <c r="E21" s="24">
        <v>1025</v>
      </c>
      <c r="F21" s="25">
        <f t="shared" si="0"/>
        <v>41519.979999999996</v>
      </c>
    </row>
    <row r="22" spans="2:7" x14ac:dyDescent="0.25">
      <c r="B22" s="32">
        <v>42228</v>
      </c>
      <c r="C22" s="26" t="s">
        <v>106</v>
      </c>
      <c r="D22" s="24"/>
      <c r="E22" s="24">
        <v>90</v>
      </c>
      <c r="F22" s="25">
        <f t="shared" si="0"/>
        <v>41429.979999999996</v>
      </c>
    </row>
    <row r="23" spans="2:7" x14ac:dyDescent="0.25">
      <c r="B23" s="32">
        <v>42228</v>
      </c>
      <c r="C23" s="26" t="s">
        <v>322</v>
      </c>
      <c r="D23" s="24"/>
      <c r="E23" s="24">
        <v>200</v>
      </c>
      <c r="F23" s="25">
        <f t="shared" si="0"/>
        <v>41229.979999999996</v>
      </c>
    </row>
    <row r="24" spans="2:7" x14ac:dyDescent="0.25">
      <c r="B24" s="32">
        <v>42229</v>
      </c>
      <c r="C24" s="26" t="s">
        <v>323</v>
      </c>
      <c r="D24" s="24"/>
      <c r="E24" s="24">
        <v>700</v>
      </c>
      <c r="F24" s="25">
        <f t="shared" si="0"/>
        <v>40529.979999999996</v>
      </c>
    </row>
    <row r="25" spans="2:7" x14ac:dyDescent="0.25">
      <c r="B25" s="32">
        <v>42230</v>
      </c>
      <c r="C25" s="27" t="s">
        <v>324</v>
      </c>
      <c r="D25" s="24"/>
      <c r="E25" s="24">
        <v>746</v>
      </c>
      <c r="F25" s="25">
        <f t="shared" si="0"/>
        <v>39783.979999999996</v>
      </c>
    </row>
    <row r="26" spans="2:7" x14ac:dyDescent="0.25">
      <c r="B26" s="32">
        <v>42230</v>
      </c>
      <c r="C26" s="27" t="s">
        <v>316</v>
      </c>
      <c r="D26" s="24"/>
      <c r="E26" s="24">
        <v>600</v>
      </c>
      <c r="F26" s="25">
        <f t="shared" si="0"/>
        <v>39183.979999999996</v>
      </c>
    </row>
    <row r="27" spans="2:7" x14ac:dyDescent="0.25">
      <c r="B27" s="32">
        <v>42231</v>
      </c>
      <c r="C27" s="27" t="s">
        <v>325</v>
      </c>
      <c r="D27" s="24"/>
      <c r="E27" s="24">
        <v>4000</v>
      </c>
      <c r="F27" s="25">
        <f t="shared" si="0"/>
        <v>35183.979999999996</v>
      </c>
    </row>
    <row r="28" spans="2:7" x14ac:dyDescent="0.25">
      <c r="B28" s="32">
        <v>42231</v>
      </c>
      <c r="C28" s="27" t="s">
        <v>326</v>
      </c>
      <c r="D28" s="24"/>
      <c r="E28" s="24">
        <v>238.8</v>
      </c>
      <c r="F28" s="25">
        <f t="shared" si="0"/>
        <v>34945.179999999993</v>
      </c>
    </row>
    <row r="29" spans="2:7" x14ac:dyDescent="0.25">
      <c r="B29" s="32">
        <v>42231</v>
      </c>
      <c r="C29" s="35" t="s">
        <v>327</v>
      </c>
      <c r="D29" s="24"/>
      <c r="E29" s="24">
        <v>3200</v>
      </c>
      <c r="F29" s="25">
        <f t="shared" si="0"/>
        <v>31745.179999999993</v>
      </c>
      <c r="G29" s="1"/>
    </row>
    <row r="30" spans="2:7" x14ac:dyDescent="0.25">
      <c r="B30" s="32">
        <v>42231</v>
      </c>
      <c r="C30" s="35" t="s">
        <v>380</v>
      </c>
      <c r="D30" s="24"/>
      <c r="E30" s="24">
        <v>29000</v>
      </c>
      <c r="F30" s="25">
        <f t="shared" si="0"/>
        <v>2745.179999999993</v>
      </c>
    </row>
    <row r="31" spans="2:7" x14ac:dyDescent="0.25">
      <c r="B31" s="32">
        <v>42232</v>
      </c>
      <c r="C31" s="26" t="s">
        <v>328</v>
      </c>
      <c r="D31" s="24"/>
      <c r="E31" s="24">
        <v>400</v>
      </c>
      <c r="F31" s="25">
        <f t="shared" si="0"/>
        <v>2345.179999999993</v>
      </c>
    </row>
    <row r="32" spans="2:7" x14ac:dyDescent="0.25">
      <c r="B32" s="32">
        <v>42233</v>
      </c>
      <c r="C32" s="27" t="s">
        <v>387</v>
      </c>
      <c r="D32" s="24"/>
      <c r="E32" s="24">
        <v>1810</v>
      </c>
      <c r="F32" s="25">
        <f t="shared" si="0"/>
        <v>535.17999999999302</v>
      </c>
    </row>
    <row r="33" spans="2:6" x14ac:dyDescent="0.25">
      <c r="B33" s="32">
        <v>42233</v>
      </c>
      <c r="C33" s="26" t="s">
        <v>311</v>
      </c>
      <c r="D33" s="24"/>
      <c r="E33" s="24">
        <v>600</v>
      </c>
      <c r="F33" s="25">
        <f t="shared" si="0"/>
        <v>-64.820000000006985</v>
      </c>
    </row>
    <row r="34" spans="2:6" x14ac:dyDescent="0.25">
      <c r="B34" s="32">
        <v>42234</v>
      </c>
      <c r="C34" s="26" t="s">
        <v>329</v>
      </c>
      <c r="D34" s="24"/>
      <c r="E34" s="24">
        <v>46</v>
      </c>
      <c r="F34" s="25">
        <f t="shared" si="0"/>
        <v>-110.82000000000698</v>
      </c>
    </row>
    <row r="35" spans="2:6" x14ac:dyDescent="0.25">
      <c r="B35" s="32">
        <v>42237</v>
      </c>
      <c r="C35" s="26" t="s">
        <v>316</v>
      </c>
      <c r="D35" s="24"/>
      <c r="E35" s="24">
        <v>800</v>
      </c>
      <c r="F35" s="25">
        <f t="shared" si="0"/>
        <v>-910.82000000000698</v>
      </c>
    </row>
    <row r="36" spans="2:6" x14ac:dyDescent="0.25">
      <c r="B36" s="32">
        <v>42239</v>
      </c>
      <c r="C36" s="27" t="s">
        <v>388</v>
      </c>
      <c r="D36" s="24"/>
      <c r="E36" s="24">
        <v>1119</v>
      </c>
      <c r="F36" s="25">
        <f t="shared" si="0"/>
        <v>-2029.820000000007</v>
      </c>
    </row>
    <row r="37" spans="2:6" x14ac:dyDescent="0.25">
      <c r="B37" s="32">
        <v>42240</v>
      </c>
      <c r="C37" s="35" t="s">
        <v>330</v>
      </c>
      <c r="D37" s="24"/>
      <c r="E37" s="24">
        <v>7000</v>
      </c>
      <c r="F37" s="25">
        <f t="shared" si="0"/>
        <v>-9029.820000000007</v>
      </c>
    </row>
    <row r="38" spans="2:6" ht="15.75" thickBot="1" x14ac:dyDescent="0.3">
      <c r="B38" s="32"/>
      <c r="C38" s="26"/>
      <c r="D38" s="24"/>
      <c r="E38" s="24"/>
      <c r="F38" s="25">
        <f t="shared" si="0"/>
        <v>-9029.820000000007</v>
      </c>
    </row>
    <row r="39" spans="2:6" ht="15.75" thickBot="1" x14ac:dyDescent="0.3">
      <c r="B39" s="54"/>
      <c r="C39" s="17" t="s">
        <v>0</v>
      </c>
      <c r="D39" s="15">
        <f>SUM(D5:D38)</f>
        <v>42500</v>
      </c>
      <c r="E39" s="15">
        <f>SUM(E5:E38)</f>
        <v>66254.7</v>
      </c>
      <c r="F39" s="33"/>
    </row>
  </sheetData>
  <mergeCells count="1">
    <mergeCell ref="B2:F2"/>
  </mergeCells>
  <printOptions verticalCentered="1"/>
  <pageMargins left="0.70866141732283472" right="0.70866141732283472" top="0" bottom="0.74803149606299213" header="0.31496062992125984" footer="0.31496062992125984"/>
  <pageSetup paperSize="9" scale="8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64"/>
  <sheetViews>
    <sheetView topLeftCell="A45" workbookViewId="0">
      <selection activeCell="I72" sqref="I7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9" x14ac:dyDescent="0.25">
      <c r="B1" s="51">
        <v>42247</v>
      </c>
    </row>
    <row r="2" spans="2:9" x14ac:dyDescent="0.25">
      <c r="B2" s="146" t="s">
        <v>18</v>
      </c>
      <c r="C2" s="146"/>
      <c r="D2" s="146"/>
      <c r="E2" s="146"/>
      <c r="F2" s="146"/>
    </row>
    <row r="3" spans="2:9" ht="15.75" thickBot="1" x14ac:dyDescent="0.3">
      <c r="C3" s="60"/>
      <c r="D3" s="60"/>
      <c r="E3" s="90" t="s">
        <v>331</v>
      </c>
      <c r="F3" s="90"/>
    </row>
    <row r="4" spans="2:9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9" x14ac:dyDescent="0.25">
      <c r="B5" s="36">
        <v>42216</v>
      </c>
      <c r="C5" s="19" t="s">
        <v>19</v>
      </c>
      <c r="D5" s="20"/>
      <c r="E5" s="21"/>
      <c r="F5" s="25">
        <v>0</v>
      </c>
    </row>
    <row r="6" spans="2:9" x14ac:dyDescent="0.25">
      <c r="B6" s="32">
        <v>42227</v>
      </c>
      <c r="C6" s="26" t="s">
        <v>332</v>
      </c>
      <c r="D6" s="24"/>
      <c r="E6" s="24">
        <v>3320</v>
      </c>
      <c r="F6" s="25">
        <f>+F5+D6-E6</f>
        <v>-3320</v>
      </c>
    </row>
    <row r="7" spans="2:9" x14ac:dyDescent="0.25">
      <c r="B7" s="32">
        <v>42227</v>
      </c>
      <c r="C7" s="107" t="s">
        <v>381</v>
      </c>
      <c r="D7" s="24">
        <v>1500</v>
      </c>
      <c r="E7" s="24"/>
      <c r="F7" s="25">
        <f t="shared" ref="F7:F59" si="0">+F6+D7-E7</f>
        <v>-1820</v>
      </c>
    </row>
    <row r="8" spans="2:9" x14ac:dyDescent="0.25">
      <c r="B8" s="32">
        <v>42229</v>
      </c>
      <c r="C8" s="22" t="s">
        <v>333</v>
      </c>
      <c r="D8" s="23"/>
      <c r="E8" s="24">
        <v>33.6</v>
      </c>
      <c r="F8" s="25">
        <f t="shared" si="0"/>
        <v>-1853.6</v>
      </c>
    </row>
    <row r="9" spans="2:9" x14ac:dyDescent="0.25">
      <c r="B9" s="32">
        <v>42230</v>
      </c>
      <c r="C9" s="41" t="s">
        <v>165</v>
      </c>
      <c r="D9" s="24"/>
      <c r="E9" s="24">
        <v>306.68</v>
      </c>
      <c r="F9" s="25">
        <f t="shared" si="0"/>
        <v>-2160.2799999999997</v>
      </c>
    </row>
    <row r="10" spans="2:9" x14ac:dyDescent="0.25">
      <c r="B10" s="32">
        <v>42230</v>
      </c>
      <c r="C10" s="26" t="s">
        <v>334</v>
      </c>
      <c r="D10" s="24"/>
      <c r="E10" s="24">
        <v>114</v>
      </c>
      <c r="F10" s="25">
        <f t="shared" si="0"/>
        <v>-2274.2799999999997</v>
      </c>
    </row>
    <row r="11" spans="2:9" x14ac:dyDescent="0.25">
      <c r="B11" s="32">
        <v>42231</v>
      </c>
      <c r="C11" s="107" t="s">
        <v>379</v>
      </c>
      <c r="D11" s="24">
        <v>29000</v>
      </c>
      <c r="E11" s="24"/>
      <c r="F11" s="25">
        <f t="shared" si="0"/>
        <v>26725.72</v>
      </c>
    </row>
    <row r="12" spans="2:9" x14ac:dyDescent="0.25">
      <c r="B12" s="32">
        <v>42231</v>
      </c>
      <c r="C12" s="26" t="s">
        <v>335</v>
      </c>
      <c r="D12" s="24"/>
      <c r="E12" s="24">
        <v>29000</v>
      </c>
      <c r="F12" s="25">
        <f t="shared" si="0"/>
        <v>-2274.2799999999988</v>
      </c>
      <c r="I12" s="1"/>
    </row>
    <row r="13" spans="2:9" x14ac:dyDescent="0.25">
      <c r="B13" s="32">
        <v>42231</v>
      </c>
      <c r="C13" s="26" t="s">
        <v>336</v>
      </c>
      <c r="D13" s="24"/>
      <c r="E13" s="24">
        <v>112</v>
      </c>
      <c r="F13" s="25">
        <f t="shared" si="0"/>
        <v>-2386.2799999999988</v>
      </c>
      <c r="I13" s="1"/>
    </row>
    <row r="14" spans="2:9" x14ac:dyDescent="0.25">
      <c r="B14" s="32">
        <v>42232</v>
      </c>
      <c r="C14" s="26" t="s">
        <v>384</v>
      </c>
      <c r="D14" s="24">
        <v>22200</v>
      </c>
      <c r="E14" s="24"/>
      <c r="F14" s="25">
        <f t="shared" si="0"/>
        <v>19813.72</v>
      </c>
      <c r="I14" s="1"/>
    </row>
    <row r="15" spans="2:9" x14ac:dyDescent="0.25">
      <c r="B15" s="32">
        <v>42232</v>
      </c>
      <c r="C15" s="26" t="s">
        <v>337</v>
      </c>
      <c r="D15" s="24"/>
      <c r="E15" s="24">
        <v>200</v>
      </c>
      <c r="F15" s="25">
        <f t="shared" si="0"/>
        <v>19613.72</v>
      </c>
      <c r="I15" s="63"/>
    </row>
    <row r="16" spans="2:9" x14ac:dyDescent="0.25">
      <c r="B16" s="32">
        <v>42232</v>
      </c>
      <c r="C16" s="26" t="s">
        <v>338</v>
      </c>
      <c r="D16" s="24"/>
      <c r="E16" s="24">
        <v>200</v>
      </c>
      <c r="F16" s="25">
        <f t="shared" si="0"/>
        <v>19413.72</v>
      </c>
      <c r="I16" s="1"/>
    </row>
    <row r="17" spans="2:9" x14ac:dyDescent="0.25">
      <c r="B17" s="32">
        <v>42233</v>
      </c>
      <c r="C17" s="107" t="s">
        <v>378</v>
      </c>
      <c r="D17" s="24">
        <v>1810</v>
      </c>
      <c r="E17" s="24"/>
      <c r="F17" s="25">
        <f t="shared" si="0"/>
        <v>21223.72</v>
      </c>
      <c r="I17" s="63"/>
    </row>
    <row r="18" spans="2:9" x14ac:dyDescent="0.25">
      <c r="B18" s="32">
        <v>42233</v>
      </c>
      <c r="C18" s="26" t="s">
        <v>340</v>
      </c>
      <c r="D18" s="24"/>
      <c r="E18" s="24">
        <v>26</v>
      </c>
      <c r="F18" s="25">
        <f t="shared" si="0"/>
        <v>21197.72</v>
      </c>
      <c r="I18" s="108"/>
    </row>
    <row r="19" spans="2:9" x14ac:dyDescent="0.25">
      <c r="B19" s="32">
        <v>42233</v>
      </c>
      <c r="C19" s="26" t="s">
        <v>341</v>
      </c>
      <c r="D19" s="24"/>
      <c r="E19" s="24">
        <v>220.5</v>
      </c>
      <c r="F19" s="25">
        <f t="shared" si="0"/>
        <v>20977.22</v>
      </c>
    </row>
    <row r="20" spans="2:9" x14ac:dyDescent="0.25">
      <c r="B20" s="32">
        <v>42234</v>
      </c>
      <c r="C20" s="27" t="s">
        <v>339</v>
      </c>
      <c r="D20" s="24"/>
      <c r="E20" s="24">
        <v>407.1</v>
      </c>
      <c r="F20" s="25">
        <f t="shared" si="0"/>
        <v>20570.120000000003</v>
      </c>
    </row>
    <row r="21" spans="2:9" x14ac:dyDescent="0.25">
      <c r="B21" s="32">
        <v>42234</v>
      </c>
      <c r="C21" s="26" t="s">
        <v>342</v>
      </c>
      <c r="D21" s="24"/>
      <c r="E21" s="24">
        <v>35</v>
      </c>
      <c r="F21" s="25">
        <f t="shared" si="0"/>
        <v>20535.120000000003</v>
      </c>
    </row>
    <row r="22" spans="2:9" x14ac:dyDescent="0.25">
      <c r="B22" s="32">
        <v>42235</v>
      </c>
      <c r="C22" s="26" t="s">
        <v>343</v>
      </c>
      <c r="D22" s="24"/>
      <c r="E22" s="24">
        <v>199</v>
      </c>
      <c r="F22" s="25">
        <f t="shared" si="0"/>
        <v>20336.120000000003</v>
      </c>
    </row>
    <row r="23" spans="2:9" x14ac:dyDescent="0.25">
      <c r="B23" s="32">
        <v>42236</v>
      </c>
      <c r="C23" s="26" t="s">
        <v>344</v>
      </c>
      <c r="D23" s="24"/>
      <c r="E23" s="24">
        <v>1246</v>
      </c>
      <c r="F23" s="25">
        <f t="shared" si="0"/>
        <v>19090.120000000003</v>
      </c>
    </row>
    <row r="24" spans="2:9" x14ac:dyDescent="0.25">
      <c r="B24" s="32">
        <v>42236</v>
      </c>
      <c r="C24" s="26" t="s">
        <v>345</v>
      </c>
      <c r="D24" s="24"/>
      <c r="E24" s="24">
        <v>23</v>
      </c>
      <c r="F24" s="25">
        <f t="shared" si="0"/>
        <v>19067.120000000003</v>
      </c>
    </row>
    <row r="25" spans="2:9" x14ac:dyDescent="0.25">
      <c r="B25" s="32">
        <v>42237</v>
      </c>
      <c r="C25" s="26" t="s">
        <v>346</v>
      </c>
      <c r="D25" s="24"/>
      <c r="E25" s="24">
        <v>15.9</v>
      </c>
      <c r="F25" s="25">
        <f t="shared" si="0"/>
        <v>19051.22</v>
      </c>
    </row>
    <row r="26" spans="2:9" x14ac:dyDescent="0.25">
      <c r="B26" s="32">
        <v>42237</v>
      </c>
      <c r="C26" s="26" t="s">
        <v>347</v>
      </c>
      <c r="D26" s="24"/>
      <c r="E26" s="24">
        <v>31.8</v>
      </c>
      <c r="F26" s="25">
        <f t="shared" si="0"/>
        <v>19019.420000000002</v>
      </c>
    </row>
    <row r="27" spans="2:9" x14ac:dyDescent="0.25">
      <c r="B27" s="32">
        <v>42237</v>
      </c>
      <c r="C27" s="26" t="s">
        <v>348</v>
      </c>
      <c r="D27" s="24"/>
      <c r="E27" s="24">
        <v>69</v>
      </c>
      <c r="F27" s="25">
        <f t="shared" si="0"/>
        <v>18950.420000000002</v>
      </c>
    </row>
    <row r="28" spans="2:9" x14ac:dyDescent="0.25">
      <c r="B28" s="32">
        <v>42237</v>
      </c>
      <c r="C28" s="26" t="s">
        <v>349</v>
      </c>
      <c r="D28" s="24"/>
      <c r="E28" s="24">
        <v>192</v>
      </c>
      <c r="F28" s="25">
        <f t="shared" si="0"/>
        <v>18758.420000000002</v>
      </c>
    </row>
    <row r="29" spans="2:9" x14ac:dyDescent="0.25">
      <c r="B29" s="32">
        <v>42237</v>
      </c>
      <c r="C29" s="27" t="s">
        <v>426</v>
      </c>
      <c r="D29" s="24"/>
      <c r="E29" s="24">
        <v>300</v>
      </c>
      <c r="F29" s="25">
        <f t="shared" si="0"/>
        <v>18458.420000000002</v>
      </c>
      <c r="G29" s="1"/>
    </row>
    <row r="30" spans="2:9" x14ac:dyDescent="0.25">
      <c r="B30" s="32">
        <v>42238</v>
      </c>
      <c r="C30" s="27" t="s">
        <v>350</v>
      </c>
      <c r="D30" s="24"/>
      <c r="E30" s="24">
        <v>299</v>
      </c>
      <c r="F30" s="25">
        <f t="shared" si="0"/>
        <v>18159.420000000002</v>
      </c>
    </row>
    <row r="31" spans="2:9" x14ac:dyDescent="0.25">
      <c r="B31" s="32">
        <v>42239</v>
      </c>
      <c r="C31" s="107" t="s">
        <v>382</v>
      </c>
      <c r="D31" s="24">
        <v>1119</v>
      </c>
      <c r="E31" s="24"/>
      <c r="F31" s="25">
        <f t="shared" si="0"/>
        <v>19278.420000000002</v>
      </c>
    </row>
    <row r="32" spans="2:9" x14ac:dyDescent="0.25">
      <c r="B32" s="32">
        <v>42239</v>
      </c>
      <c r="C32" s="27" t="s">
        <v>351</v>
      </c>
      <c r="D32" s="24"/>
      <c r="E32" s="24">
        <v>43</v>
      </c>
      <c r="F32" s="25">
        <f t="shared" si="0"/>
        <v>19235.420000000002</v>
      </c>
    </row>
    <row r="33" spans="2:6" x14ac:dyDescent="0.25">
      <c r="B33" s="32">
        <v>42239</v>
      </c>
      <c r="C33" s="27" t="s">
        <v>352</v>
      </c>
      <c r="D33" s="24"/>
      <c r="E33" s="24">
        <v>50</v>
      </c>
      <c r="F33" s="25">
        <f t="shared" si="0"/>
        <v>19185.420000000002</v>
      </c>
    </row>
    <row r="34" spans="2:6" x14ac:dyDescent="0.25">
      <c r="B34" s="32">
        <v>42239</v>
      </c>
      <c r="C34" s="35" t="s">
        <v>353</v>
      </c>
      <c r="D34" s="24"/>
      <c r="E34" s="24">
        <v>809.5</v>
      </c>
      <c r="F34" s="25">
        <f t="shared" si="0"/>
        <v>18375.920000000002</v>
      </c>
    </row>
    <row r="35" spans="2:6" x14ac:dyDescent="0.25">
      <c r="B35" s="32">
        <v>42240</v>
      </c>
      <c r="C35" s="35" t="s">
        <v>383</v>
      </c>
      <c r="D35" s="24">
        <v>16260</v>
      </c>
      <c r="E35" s="24"/>
      <c r="F35" s="25">
        <f t="shared" si="0"/>
        <v>34635.919999999998</v>
      </c>
    </row>
    <row r="36" spans="2:6" x14ac:dyDescent="0.25">
      <c r="B36" s="32">
        <v>42240</v>
      </c>
      <c r="C36" s="26" t="s">
        <v>354</v>
      </c>
      <c r="D36" s="24"/>
      <c r="E36" s="24">
        <v>49</v>
      </c>
      <c r="F36" s="25">
        <f t="shared" si="0"/>
        <v>34586.92</v>
      </c>
    </row>
    <row r="37" spans="2:6" x14ac:dyDescent="0.25">
      <c r="B37" s="32">
        <v>42240</v>
      </c>
      <c r="C37" s="27" t="s">
        <v>355</v>
      </c>
      <c r="D37" s="24"/>
      <c r="E37" s="24">
        <v>1100</v>
      </c>
      <c r="F37" s="25">
        <f t="shared" si="0"/>
        <v>33486.92</v>
      </c>
    </row>
    <row r="38" spans="2:6" x14ac:dyDescent="0.25">
      <c r="B38" s="32">
        <v>42240</v>
      </c>
      <c r="C38" s="27" t="s">
        <v>356</v>
      </c>
      <c r="D38" s="24"/>
      <c r="E38" s="24">
        <v>1760</v>
      </c>
      <c r="F38" s="25">
        <f t="shared" si="0"/>
        <v>31726.92</v>
      </c>
    </row>
    <row r="39" spans="2:6" x14ac:dyDescent="0.25">
      <c r="B39" s="32">
        <v>42240</v>
      </c>
      <c r="C39" s="26" t="s">
        <v>357</v>
      </c>
      <c r="D39" s="24"/>
      <c r="E39" s="24">
        <v>24</v>
      </c>
      <c r="F39" s="25">
        <f t="shared" si="0"/>
        <v>31702.92</v>
      </c>
    </row>
    <row r="40" spans="2:6" x14ac:dyDescent="0.25">
      <c r="B40" s="32">
        <v>42240</v>
      </c>
      <c r="C40" s="35" t="s">
        <v>358</v>
      </c>
      <c r="D40" s="24"/>
      <c r="E40" s="24">
        <v>96</v>
      </c>
      <c r="F40" s="25">
        <f t="shared" si="0"/>
        <v>31606.92</v>
      </c>
    </row>
    <row r="41" spans="2:6" x14ac:dyDescent="0.25">
      <c r="B41" s="32">
        <v>42240</v>
      </c>
      <c r="C41" s="26" t="s">
        <v>359</v>
      </c>
      <c r="D41" s="24"/>
      <c r="E41" s="24">
        <v>140</v>
      </c>
      <c r="F41" s="25">
        <f t="shared" si="0"/>
        <v>31466.92</v>
      </c>
    </row>
    <row r="42" spans="2:6" x14ac:dyDescent="0.25">
      <c r="B42" s="32">
        <v>42241</v>
      </c>
      <c r="C42" s="26" t="s">
        <v>361</v>
      </c>
      <c r="D42" s="24"/>
      <c r="E42" s="24">
        <v>104</v>
      </c>
      <c r="F42" s="25">
        <f t="shared" si="0"/>
        <v>31362.92</v>
      </c>
    </row>
    <row r="43" spans="2:6" x14ac:dyDescent="0.25">
      <c r="B43" s="32">
        <v>42242</v>
      </c>
      <c r="C43" s="26" t="s">
        <v>360</v>
      </c>
      <c r="D43" s="24"/>
      <c r="E43" s="24">
        <v>400</v>
      </c>
      <c r="F43" s="25">
        <f t="shared" si="0"/>
        <v>30962.92</v>
      </c>
    </row>
    <row r="44" spans="2:6" x14ac:dyDescent="0.25">
      <c r="B44" s="32">
        <v>42243</v>
      </c>
      <c r="C44" s="26" t="s">
        <v>362</v>
      </c>
      <c r="D44" s="24"/>
      <c r="E44" s="24">
        <v>180</v>
      </c>
      <c r="F44" s="25">
        <f t="shared" si="0"/>
        <v>30782.92</v>
      </c>
    </row>
    <row r="45" spans="2:6" x14ac:dyDescent="0.25">
      <c r="B45" s="32">
        <v>42244</v>
      </c>
      <c r="C45" s="26" t="s">
        <v>363</v>
      </c>
      <c r="D45" s="24"/>
      <c r="E45" s="24">
        <v>800</v>
      </c>
      <c r="F45" s="25">
        <f t="shared" si="0"/>
        <v>29982.92</v>
      </c>
    </row>
    <row r="46" spans="2:6" x14ac:dyDescent="0.25">
      <c r="B46" s="32">
        <v>42244</v>
      </c>
      <c r="C46" s="26" t="s">
        <v>364</v>
      </c>
      <c r="D46" s="24"/>
      <c r="E46" s="24">
        <v>160.9</v>
      </c>
      <c r="F46" s="25">
        <f t="shared" si="0"/>
        <v>29822.019999999997</v>
      </c>
    </row>
    <row r="47" spans="2:6" x14ac:dyDescent="0.25">
      <c r="B47" s="32">
        <v>42244</v>
      </c>
      <c r="C47" s="26" t="s">
        <v>373</v>
      </c>
      <c r="D47" s="24"/>
      <c r="E47" s="24">
        <v>90.5</v>
      </c>
      <c r="F47" s="25">
        <f t="shared" si="0"/>
        <v>29731.519999999997</v>
      </c>
    </row>
    <row r="48" spans="2:6" x14ac:dyDescent="0.25">
      <c r="B48" s="32">
        <v>42244</v>
      </c>
      <c r="C48" s="26" t="s">
        <v>365</v>
      </c>
      <c r="D48" s="24"/>
      <c r="E48" s="24">
        <v>300</v>
      </c>
      <c r="F48" s="25">
        <f t="shared" si="0"/>
        <v>29431.519999999997</v>
      </c>
    </row>
    <row r="49" spans="2:6" x14ac:dyDescent="0.25">
      <c r="B49" s="32">
        <v>42244</v>
      </c>
      <c r="C49" s="26" t="s">
        <v>366</v>
      </c>
      <c r="D49" s="24"/>
      <c r="E49" s="24">
        <v>400</v>
      </c>
      <c r="F49" s="25">
        <f t="shared" si="0"/>
        <v>29031.519999999997</v>
      </c>
    </row>
    <row r="50" spans="2:6" x14ac:dyDescent="0.25">
      <c r="B50" s="32">
        <v>42245</v>
      </c>
      <c r="C50" s="26" t="s">
        <v>46</v>
      </c>
      <c r="D50" s="24"/>
      <c r="E50" s="24">
        <v>64</v>
      </c>
      <c r="F50" s="25">
        <f t="shared" si="0"/>
        <v>28967.519999999997</v>
      </c>
    </row>
    <row r="51" spans="2:6" x14ac:dyDescent="0.25">
      <c r="B51" s="32">
        <v>42245</v>
      </c>
      <c r="C51" s="26" t="s">
        <v>367</v>
      </c>
      <c r="D51" s="24"/>
      <c r="E51" s="24">
        <v>36.9</v>
      </c>
      <c r="F51" s="25">
        <f t="shared" si="0"/>
        <v>28930.619999999995</v>
      </c>
    </row>
    <row r="52" spans="2:6" x14ac:dyDescent="0.25">
      <c r="B52" s="32">
        <v>42246</v>
      </c>
      <c r="C52" s="26" t="s">
        <v>385</v>
      </c>
      <c r="D52" s="24">
        <v>16720</v>
      </c>
      <c r="E52" s="24"/>
      <c r="F52" s="25">
        <f t="shared" si="0"/>
        <v>45650.619999999995</v>
      </c>
    </row>
    <row r="53" spans="2:6" x14ac:dyDescent="0.25">
      <c r="B53" s="32">
        <v>42246</v>
      </c>
      <c r="C53" s="26" t="s">
        <v>368</v>
      </c>
      <c r="D53" s="24"/>
      <c r="E53" s="24">
        <v>400</v>
      </c>
      <c r="F53" s="25">
        <f t="shared" si="0"/>
        <v>45250.619999999995</v>
      </c>
    </row>
    <row r="54" spans="2:6" x14ac:dyDescent="0.25">
      <c r="B54" s="32">
        <v>42246</v>
      </c>
      <c r="C54" s="26" t="s">
        <v>370</v>
      </c>
      <c r="D54" s="24"/>
      <c r="E54" s="24">
        <v>58</v>
      </c>
      <c r="F54" s="25">
        <f t="shared" si="0"/>
        <v>45192.619999999995</v>
      </c>
    </row>
    <row r="55" spans="2:6" x14ac:dyDescent="0.25">
      <c r="B55" s="32">
        <v>42247</v>
      </c>
      <c r="C55" s="26" t="s">
        <v>369</v>
      </c>
      <c r="D55" s="24"/>
      <c r="E55" s="24">
        <v>600</v>
      </c>
      <c r="F55" s="25">
        <f t="shared" si="0"/>
        <v>44592.619999999995</v>
      </c>
    </row>
    <row r="56" spans="2:6" x14ac:dyDescent="0.25">
      <c r="B56" s="32">
        <v>42247</v>
      </c>
      <c r="C56" s="26" t="s">
        <v>371</v>
      </c>
      <c r="D56" s="24"/>
      <c r="E56" s="24">
        <v>3200</v>
      </c>
      <c r="F56" s="25">
        <f t="shared" si="0"/>
        <v>41392.619999999995</v>
      </c>
    </row>
    <row r="57" spans="2:6" x14ac:dyDescent="0.25">
      <c r="B57" s="32">
        <v>42247</v>
      </c>
      <c r="C57" s="27" t="s">
        <v>372</v>
      </c>
      <c r="D57" s="24"/>
      <c r="E57" s="24">
        <v>29000</v>
      </c>
      <c r="F57" s="25">
        <f t="shared" si="0"/>
        <v>12392.619999999995</v>
      </c>
    </row>
    <row r="58" spans="2:6" x14ac:dyDescent="0.25">
      <c r="B58" s="32">
        <v>42247</v>
      </c>
      <c r="C58" s="26" t="s">
        <v>374</v>
      </c>
      <c r="D58" s="24"/>
      <c r="E58" s="24">
        <v>4000</v>
      </c>
      <c r="F58" s="25">
        <f t="shared" si="0"/>
        <v>8392.6199999999953</v>
      </c>
    </row>
    <row r="59" spans="2:6" ht="15.75" thickBot="1" x14ac:dyDescent="0.3">
      <c r="B59" s="32"/>
      <c r="C59" s="26"/>
      <c r="D59" s="24"/>
      <c r="E59" s="24"/>
      <c r="F59" s="25">
        <f t="shared" si="0"/>
        <v>8392.6199999999953</v>
      </c>
    </row>
    <row r="60" spans="2:6" ht="15.75" thickBot="1" x14ac:dyDescent="0.3">
      <c r="B60" s="54"/>
      <c r="C60" s="17" t="s">
        <v>0</v>
      </c>
      <c r="D60" s="15">
        <f>SUM(D5:D59)</f>
        <v>88609</v>
      </c>
      <c r="E60" s="15">
        <f>SUM(E5:E59)</f>
        <v>80216.38</v>
      </c>
      <c r="F60" s="25"/>
    </row>
    <row r="62" spans="2:6" x14ac:dyDescent="0.25">
      <c r="C62" s="120"/>
      <c r="E62" s="1"/>
    </row>
    <row r="63" spans="2:6" x14ac:dyDescent="0.25">
      <c r="C63" s="120"/>
      <c r="E63" s="63"/>
    </row>
    <row r="64" spans="2:6" x14ac:dyDescent="0.25">
      <c r="D64" s="120"/>
      <c r="E64" s="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6"/>
  <sheetViews>
    <sheetView topLeftCell="A76" workbookViewId="0">
      <selection activeCell="A82" sqref="A8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9" x14ac:dyDescent="0.25">
      <c r="B1" s="51">
        <v>42247</v>
      </c>
    </row>
    <row r="2" spans="2:9" x14ac:dyDescent="0.25">
      <c r="B2" s="146" t="s">
        <v>18</v>
      </c>
      <c r="C2" s="146"/>
      <c r="D2" s="146"/>
      <c r="E2" s="146"/>
      <c r="F2" s="146"/>
    </row>
    <row r="3" spans="2:9" ht="15.75" thickBot="1" x14ac:dyDescent="0.3">
      <c r="C3" s="60"/>
      <c r="D3" s="60"/>
      <c r="E3" s="90" t="s">
        <v>331</v>
      </c>
      <c r="F3" s="90"/>
    </row>
    <row r="4" spans="2:9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9" x14ac:dyDescent="0.25">
      <c r="B5" s="36">
        <v>42216</v>
      </c>
      <c r="C5" s="19" t="s">
        <v>19</v>
      </c>
      <c r="D5" s="20"/>
      <c r="E5" s="21"/>
      <c r="F5" s="25">
        <v>14724.88</v>
      </c>
    </row>
    <row r="6" spans="2:9" x14ac:dyDescent="0.25">
      <c r="B6" s="32">
        <v>42217</v>
      </c>
      <c r="C6" s="26" t="s">
        <v>311</v>
      </c>
      <c r="D6" s="24"/>
      <c r="E6" s="24">
        <v>600</v>
      </c>
      <c r="F6" s="25">
        <f t="shared" ref="F6:F69" si="0">+F5+D6-E6</f>
        <v>14124.88</v>
      </c>
    </row>
    <row r="7" spans="2:9" x14ac:dyDescent="0.25">
      <c r="B7" s="32">
        <v>42218</v>
      </c>
      <c r="C7" s="22" t="s">
        <v>312</v>
      </c>
      <c r="D7" s="23"/>
      <c r="E7" s="24">
        <v>800</v>
      </c>
      <c r="F7" s="25">
        <f t="shared" si="0"/>
        <v>13324.88</v>
      </c>
    </row>
    <row r="8" spans="2:9" x14ac:dyDescent="0.25">
      <c r="B8" s="32">
        <v>42219</v>
      </c>
      <c r="C8" s="22" t="s">
        <v>375</v>
      </c>
      <c r="D8" s="109">
        <v>21000</v>
      </c>
      <c r="E8" s="24"/>
      <c r="F8" s="25">
        <f t="shared" si="0"/>
        <v>34324.879999999997</v>
      </c>
    </row>
    <row r="9" spans="2:9" x14ac:dyDescent="0.25">
      <c r="B9" s="32">
        <v>42219</v>
      </c>
      <c r="C9" s="26" t="s">
        <v>106</v>
      </c>
      <c r="D9" s="24"/>
      <c r="E9" s="24">
        <v>90</v>
      </c>
      <c r="F9" s="25">
        <f t="shared" si="0"/>
        <v>34234.879999999997</v>
      </c>
    </row>
    <row r="10" spans="2:9" x14ac:dyDescent="0.25">
      <c r="B10" s="32">
        <v>42219</v>
      </c>
      <c r="C10" s="26" t="s">
        <v>313</v>
      </c>
      <c r="D10" s="24"/>
      <c r="E10" s="24">
        <v>69.900000000000006</v>
      </c>
      <c r="F10" s="25">
        <f t="shared" si="0"/>
        <v>34164.979999999996</v>
      </c>
    </row>
    <row r="11" spans="2:9" x14ac:dyDescent="0.25">
      <c r="B11" s="32">
        <v>42221</v>
      </c>
      <c r="C11" s="26" t="s">
        <v>314</v>
      </c>
      <c r="D11" s="24"/>
      <c r="E11" s="24">
        <v>750</v>
      </c>
      <c r="F11" s="25">
        <f t="shared" si="0"/>
        <v>33414.979999999996</v>
      </c>
    </row>
    <row r="12" spans="2:9" x14ac:dyDescent="0.25">
      <c r="B12" s="32">
        <v>42222</v>
      </c>
      <c r="C12" s="26" t="s">
        <v>315</v>
      </c>
      <c r="D12" s="24"/>
      <c r="E12" s="24">
        <v>1300</v>
      </c>
      <c r="F12" s="25">
        <f t="shared" si="0"/>
        <v>32114.979999999996</v>
      </c>
      <c r="I12" s="1"/>
    </row>
    <row r="13" spans="2:9" x14ac:dyDescent="0.25">
      <c r="B13" s="32">
        <v>42223</v>
      </c>
      <c r="C13" s="26" t="s">
        <v>106</v>
      </c>
      <c r="D13" s="24"/>
      <c r="E13" s="24">
        <v>90</v>
      </c>
      <c r="F13" s="25">
        <f t="shared" si="0"/>
        <v>32024.979999999996</v>
      </c>
      <c r="I13" s="1"/>
    </row>
    <row r="14" spans="2:9" x14ac:dyDescent="0.25">
      <c r="B14" s="32">
        <v>42223</v>
      </c>
      <c r="C14" s="26" t="s">
        <v>316</v>
      </c>
      <c r="D14" s="24"/>
      <c r="E14" s="24">
        <v>600</v>
      </c>
      <c r="F14" s="25">
        <f t="shared" si="0"/>
        <v>31424.979999999996</v>
      </c>
      <c r="I14" s="1"/>
    </row>
    <row r="15" spans="2:9" x14ac:dyDescent="0.25">
      <c r="B15" s="32">
        <v>42223</v>
      </c>
      <c r="C15" s="27" t="s">
        <v>317</v>
      </c>
      <c r="D15" s="24"/>
      <c r="E15" s="24">
        <v>5800</v>
      </c>
      <c r="F15" s="25">
        <f t="shared" si="0"/>
        <v>25624.979999999996</v>
      </c>
      <c r="I15" s="63"/>
    </row>
    <row r="16" spans="2:9" x14ac:dyDescent="0.25">
      <c r="B16" s="32">
        <v>42224</v>
      </c>
      <c r="C16" s="26" t="s">
        <v>318</v>
      </c>
      <c r="D16" s="24"/>
      <c r="E16" s="24">
        <v>300</v>
      </c>
      <c r="F16" s="25">
        <f t="shared" si="0"/>
        <v>25324.979999999996</v>
      </c>
      <c r="I16" s="1"/>
    </row>
    <row r="17" spans="2:9" x14ac:dyDescent="0.25">
      <c r="B17" s="32">
        <v>42224</v>
      </c>
      <c r="C17" s="26" t="s">
        <v>319</v>
      </c>
      <c r="D17" s="24"/>
      <c r="E17" s="24">
        <v>380</v>
      </c>
      <c r="F17" s="25">
        <f t="shared" si="0"/>
        <v>24944.979999999996</v>
      </c>
      <c r="I17" s="63"/>
    </row>
    <row r="18" spans="2:9" x14ac:dyDescent="0.25">
      <c r="B18" s="32">
        <v>42226</v>
      </c>
      <c r="C18" s="26" t="s">
        <v>375</v>
      </c>
      <c r="D18" s="24">
        <v>21500</v>
      </c>
      <c r="E18" s="24"/>
      <c r="F18" s="25">
        <f t="shared" si="0"/>
        <v>46444.979999999996</v>
      </c>
      <c r="I18" s="108"/>
    </row>
    <row r="19" spans="2:9" x14ac:dyDescent="0.25">
      <c r="B19" s="32">
        <v>42226</v>
      </c>
      <c r="C19" s="26" t="s">
        <v>320</v>
      </c>
      <c r="D19" s="24"/>
      <c r="E19" s="24">
        <v>2400</v>
      </c>
      <c r="F19" s="25">
        <f t="shared" si="0"/>
        <v>44044.979999999996</v>
      </c>
    </row>
    <row r="20" spans="2:9" x14ac:dyDescent="0.25">
      <c r="B20" s="32">
        <v>42227</v>
      </c>
      <c r="C20" s="27" t="s">
        <v>386</v>
      </c>
      <c r="D20" s="24"/>
      <c r="E20" s="24">
        <v>1500</v>
      </c>
      <c r="F20" s="25">
        <f t="shared" si="0"/>
        <v>42544.979999999996</v>
      </c>
    </row>
    <row r="21" spans="2:9" x14ac:dyDescent="0.25">
      <c r="B21" s="32">
        <v>42227</v>
      </c>
      <c r="C21" s="26" t="s">
        <v>321</v>
      </c>
      <c r="D21" s="24"/>
      <c r="E21" s="24">
        <v>1025</v>
      </c>
      <c r="F21" s="25">
        <f t="shared" si="0"/>
        <v>41519.979999999996</v>
      </c>
    </row>
    <row r="22" spans="2:9" x14ac:dyDescent="0.25">
      <c r="B22" s="32">
        <v>42228</v>
      </c>
      <c r="C22" s="26" t="s">
        <v>106</v>
      </c>
      <c r="D22" s="24"/>
      <c r="E22" s="24">
        <v>90</v>
      </c>
      <c r="F22" s="25">
        <f t="shared" si="0"/>
        <v>41429.979999999996</v>
      </c>
    </row>
    <row r="23" spans="2:9" x14ac:dyDescent="0.25">
      <c r="B23" s="32">
        <v>42228</v>
      </c>
      <c r="C23" s="26" t="s">
        <v>322</v>
      </c>
      <c r="D23" s="24"/>
      <c r="E23" s="24">
        <v>200</v>
      </c>
      <c r="F23" s="25">
        <f t="shared" si="0"/>
        <v>41229.979999999996</v>
      </c>
    </row>
    <row r="24" spans="2:9" x14ac:dyDescent="0.25">
      <c r="B24" s="32">
        <v>42229</v>
      </c>
      <c r="C24" s="26" t="s">
        <v>323</v>
      </c>
      <c r="D24" s="24"/>
      <c r="E24" s="24">
        <v>700</v>
      </c>
      <c r="F24" s="25">
        <f t="shared" si="0"/>
        <v>40529.979999999996</v>
      </c>
    </row>
    <row r="25" spans="2:9" x14ac:dyDescent="0.25">
      <c r="B25" s="32">
        <v>42230</v>
      </c>
      <c r="C25" s="27" t="s">
        <v>324</v>
      </c>
      <c r="D25" s="24"/>
      <c r="E25" s="24">
        <v>746</v>
      </c>
      <c r="F25" s="25">
        <f t="shared" si="0"/>
        <v>39783.979999999996</v>
      </c>
    </row>
    <row r="26" spans="2:9" x14ac:dyDescent="0.25">
      <c r="B26" s="32">
        <v>42230</v>
      </c>
      <c r="C26" s="27" t="s">
        <v>316</v>
      </c>
      <c r="D26" s="24"/>
      <c r="E26" s="24">
        <v>600</v>
      </c>
      <c r="F26" s="25">
        <f t="shared" si="0"/>
        <v>39183.979999999996</v>
      </c>
    </row>
    <row r="27" spans="2:9" x14ac:dyDescent="0.25">
      <c r="B27" s="32">
        <v>42231</v>
      </c>
      <c r="C27" s="27" t="s">
        <v>325</v>
      </c>
      <c r="D27" s="24"/>
      <c r="E27" s="24">
        <v>4000</v>
      </c>
      <c r="F27" s="25">
        <f t="shared" si="0"/>
        <v>35183.979999999996</v>
      </c>
    </row>
    <row r="28" spans="2:9" x14ac:dyDescent="0.25">
      <c r="B28" s="32">
        <v>42231</v>
      </c>
      <c r="C28" s="27" t="s">
        <v>326</v>
      </c>
      <c r="D28" s="24"/>
      <c r="E28" s="24">
        <v>238.8</v>
      </c>
      <c r="F28" s="25">
        <f t="shared" si="0"/>
        <v>34945.179999999993</v>
      </c>
    </row>
    <row r="29" spans="2:9" x14ac:dyDescent="0.25">
      <c r="B29" s="32">
        <v>42231</v>
      </c>
      <c r="C29" s="35" t="s">
        <v>327</v>
      </c>
      <c r="D29" s="24"/>
      <c r="E29" s="24">
        <v>3200</v>
      </c>
      <c r="F29" s="25">
        <f t="shared" si="0"/>
        <v>31745.179999999993</v>
      </c>
      <c r="G29" s="1"/>
    </row>
    <row r="30" spans="2:9" x14ac:dyDescent="0.25">
      <c r="B30" s="32">
        <v>42231</v>
      </c>
      <c r="C30" s="35" t="s">
        <v>380</v>
      </c>
      <c r="D30" s="24"/>
      <c r="E30" s="24">
        <v>29000</v>
      </c>
      <c r="F30" s="25">
        <f t="shared" si="0"/>
        <v>2745.179999999993</v>
      </c>
    </row>
    <row r="31" spans="2:9" x14ac:dyDescent="0.25">
      <c r="B31" s="32">
        <v>42232</v>
      </c>
      <c r="C31" s="26" t="s">
        <v>328</v>
      </c>
      <c r="D31" s="24"/>
      <c r="E31" s="24">
        <v>400</v>
      </c>
      <c r="F31" s="25">
        <f t="shared" si="0"/>
        <v>2345.179999999993</v>
      </c>
    </row>
    <row r="32" spans="2:9" x14ac:dyDescent="0.25">
      <c r="B32" s="32">
        <v>42233</v>
      </c>
      <c r="C32" s="27" t="s">
        <v>387</v>
      </c>
      <c r="D32" s="24"/>
      <c r="E32" s="24">
        <v>1810</v>
      </c>
      <c r="F32" s="25">
        <f t="shared" si="0"/>
        <v>535.17999999999302</v>
      </c>
    </row>
    <row r="33" spans="2:6" x14ac:dyDescent="0.25">
      <c r="B33" s="32">
        <v>42233</v>
      </c>
      <c r="C33" s="26" t="s">
        <v>311</v>
      </c>
      <c r="D33" s="24"/>
      <c r="E33" s="24">
        <v>600</v>
      </c>
      <c r="F33" s="25">
        <f t="shared" si="0"/>
        <v>-64.820000000006985</v>
      </c>
    </row>
    <row r="34" spans="2:6" x14ac:dyDescent="0.25">
      <c r="B34" s="32">
        <v>42234</v>
      </c>
      <c r="C34" s="26" t="s">
        <v>329</v>
      </c>
      <c r="D34" s="24"/>
      <c r="E34" s="24">
        <v>46</v>
      </c>
      <c r="F34" s="25">
        <f t="shared" si="0"/>
        <v>-110.82000000000698</v>
      </c>
    </row>
    <row r="35" spans="2:6" x14ac:dyDescent="0.25">
      <c r="B35" s="32">
        <v>42237</v>
      </c>
      <c r="C35" s="26" t="s">
        <v>316</v>
      </c>
      <c r="D35" s="24"/>
      <c r="E35" s="24">
        <v>800</v>
      </c>
      <c r="F35" s="25">
        <f t="shared" si="0"/>
        <v>-910.82000000000698</v>
      </c>
    </row>
    <row r="36" spans="2:6" x14ac:dyDescent="0.25">
      <c r="B36" s="32">
        <v>42239</v>
      </c>
      <c r="C36" s="27" t="s">
        <v>388</v>
      </c>
      <c r="D36" s="24"/>
      <c r="E36" s="24">
        <v>1119</v>
      </c>
      <c r="F36" s="25">
        <f t="shared" si="0"/>
        <v>-2029.820000000007</v>
      </c>
    </row>
    <row r="37" spans="2:6" x14ac:dyDescent="0.25">
      <c r="B37" s="32">
        <v>42240</v>
      </c>
      <c r="C37" s="35" t="s">
        <v>330</v>
      </c>
      <c r="D37" s="24"/>
      <c r="E37" s="24">
        <v>7000</v>
      </c>
      <c r="F37" s="25">
        <f t="shared" si="0"/>
        <v>-9029.820000000007</v>
      </c>
    </row>
    <row r="38" spans="2:6" x14ac:dyDescent="0.25">
      <c r="B38" s="32">
        <v>42227</v>
      </c>
      <c r="C38" s="26" t="s">
        <v>332</v>
      </c>
      <c r="D38" s="24"/>
      <c r="E38" s="24">
        <v>3320</v>
      </c>
      <c r="F38" s="25">
        <f t="shared" si="0"/>
        <v>-12349.820000000007</v>
      </c>
    </row>
    <row r="39" spans="2:6" x14ac:dyDescent="0.25">
      <c r="B39" s="32">
        <v>42227</v>
      </c>
      <c r="C39" s="107" t="s">
        <v>381</v>
      </c>
      <c r="D39" s="24">
        <v>1500</v>
      </c>
      <c r="E39" s="24"/>
      <c r="F39" s="25">
        <f t="shared" si="0"/>
        <v>-10849.820000000007</v>
      </c>
    </row>
    <row r="40" spans="2:6" x14ac:dyDescent="0.25">
      <c r="B40" s="32">
        <v>42229</v>
      </c>
      <c r="C40" s="22" t="s">
        <v>333</v>
      </c>
      <c r="D40" s="23"/>
      <c r="E40" s="24">
        <v>33.6</v>
      </c>
      <c r="F40" s="25">
        <f t="shared" si="0"/>
        <v>-10883.420000000007</v>
      </c>
    </row>
    <row r="41" spans="2:6" x14ac:dyDescent="0.25">
      <c r="B41" s="32">
        <v>42230</v>
      </c>
      <c r="C41" s="41" t="s">
        <v>165</v>
      </c>
      <c r="D41" s="24"/>
      <c r="E41" s="24">
        <v>306.68</v>
      </c>
      <c r="F41" s="25">
        <f t="shared" si="0"/>
        <v>-11190.100000000008</v>
      </c>
    </row>
    <row r="42" spans="2:6" x14ac:dyDescent="0.25">
      <c r="B42" s="32">
        <v>42230</v>
      </c>
      <c r="C42" s="26" t="s">
        <v>334</v>
      </c>
      <c r="D42" s="24"/>
      <c r="E42" s="24">
        <v>114</v>
      </c>
      <c r="F42" s="25">
        <f t="shared" si="0"/>
        <v>-11304.100000000008</v>
      </c>
    </row>
    <row r="43" spans="2:6" x14ac:dyDescent="0.25">
      <c r="B43" s="32">
        <v>42231</v>
      </c>
      <c r="C43" s="107" t="s">
        <v>379</v>
      </c>
      <c r="D43" s="24">
        <v>29000</v>
      </c>
      <c r="E43" s="24"/>
      <c r="F43" s="25">
        <f t="shared" si="0"/>
        <v>17695.899999999994</v>
      </c>
    </row>
    <row r="44" spans="2:6" x14ac:dyDescent="0.25">
      <c r="B44" s="32">
        <v>42231</v>
      </c>
      <c r="C44" s="26" t="s">
        <v>335</v>
      </c>
      <c r="D44" s="24"/>
      <c r="E44" s="24">
        <v>29000</v>
      </c>
      <c r="F44" s="25">
        <f t="shared" si="0"/>
        <v>-11304.100000000006</v>
      </c>
    </row>
    <row r="45" spans="2:6" x14ac:dyDescent="0.25">
      <c r="B45" s="32">
        <v>42231</v>
      </c>
      <c r="C45" s="26" t="s">
        <v>336</v>
      </c>
      <c r="D45" s="24"/>
      <c r="E45" s="24">
        <v>112</v>
      </c>
      <c r="F45" s="25">
        <f t="shared" si="0"/>
        <v>-11416.100000000006</v>
      </c>
    </row>
    <row r="46" spans="2:6" x14ac:dyDescent="0.25">
      <c r="B46" s="32">
        <v>42232</v>
      </c>
      <c r="C46" s="26" t="s">
        <v>384</v>
      </c>
      <c r="D46" s="24">
        <v>22200</v>
      </c>
      <c r="E46" s="24"/>
      <c r="F46" s="25">
        <f t="shared" si="0"/>
        <v>10783.899999999994</v>
      </c>
    </row>
    <row r="47" spans="2:6" x14ac:dyDescent="0.25">
      <c r="B47" s="32">
        <v>42232</v>
      </c>
      <c r="C47" s="26" t="s">
        <v>337</v>
      </c>
      <c r="D47" s="24"/>
      <c r="E47" s="24">
        <v>200</v>
      </c>
      <c r="F47" s="25">
        <f t="shared" si="0"/>
        <v>10583.899999999994</v>
      </c>
    </row>
    <row r="48" spans="2:6" x14ac:dyDescent="0.25">
      <c r="B48" s="32">
        <v>42232</v>
      </c>
      <c r="C48" s="26" t="s">
        <v>338</v>
      </c>
      <c r="D48" s="24"/>
      <c r="E48" s="24">
        <v>200</v>
      </c>
      <c r="F48" s="25">
        <f t="shared" si="0"/>
        <v>10383.899999999994</v>
      </c>
    </row>
    <row r="49" spans="2:6" x14ac:dyDescent="0.25">
      <c r="B49" s="32">
        <v>42233</v>
      </c>
      <c r="C49" s="107" t="s">
        <v>378</v>
      </c>
      <c r="D49" s="24">
        <v>1810</v>
      </c>
      <c r="E49" s="24"/>
      <c r="F49" s="25">
        <f t="shared" si="0"/>
        <v>12193.899999999994</v>
      </c>
    </row>
    <row r="50" spans="2:6" x14ac:dyDescent="0.25">
      <c r="B50" s="32">
        <v>42233</v>
      </c>
      <c r="C50" s="26" t="s">
        <v>340</v>
      </c>
      <c r="D50" s="24"/>
      <c r="E50" s="24">
        <v>26</v>
      </c>
      <c r="F50" s="25">
        <f t="shared" si="0"/>
        <v>12167.899999999994</v>
      </c>
    </row>
    <row r="51" spans="2:6" x14ac:dyDescent="0.25">
      <c r="B51" s="32">
        <v>42233</v>
      </c>
      <c r="C51" s="26" t="s">
        <v>341</v>
      </c>
      <c r="D51" s="24"/>
      <c r="E51" s="24">
        <v>220.5</v>
      </c>
      <c r="F51" s="25">
        <f t="shared" si="0"/>
        <v>11947.399999999994</v>
      </c>
    </row>
    <row r="52" spans="2:6" x14ac:dyDescent="0.25">
      <c r="B52" s="32">
        <v>42234</v>
      </c>
      <c r="C52" s="27" t="s">
        <v>339</v>
      </c>
      <c r="D52" s="24"/>
      <c r="E52" s="24">
        <v>407.1</v>
      </c>
      <c r="F52" s="25">
        <f t="shared" si="0"/>
        <v>11540.299999999994</v>
      </c>
    </row>
    <row r="53" spans="2:6" x14ac:dyDescent="0.25">
      <c r="B53" s="32">
        <v>42234</v>
      </c>
      <c r="C53" s="26" t="s">
        <v>342</v>
      </c>
      <c r="D53" s="24"/>
      <c r="E53" s="24">
        <v>35</v>
      </c>
      <c r="F53" s="25">
        <f t="shared" si="0"/>
        <v>11505.299999999994</v>
      </c>
    </row>
    <row r="54" spans="2:6" x14ac:dyDescent="0.25">
      <c r="B54" s="32">
        <v>42235</v>
      </c>
      <c r="C54" s="26" t="s">
        <v>343</v>
      </c>
      <c r="D54" s="24"/>
      <c r="E54" s="24">
        <v>199</v>
      </c>
      <c r="F54" s="25">
        <f t="shared" si="0"/>
        <v>11306.299999999994</v>
      </c>
    </row>
    <row r="55" spans="2:6" x14ac:dyDescent="0.25">
      <c r="B55" s="32">
        <v>42236</v>
      </c>
      <c r="C55" s="26" t="s">
        <v>344</v>
      </c>
      <c r="D55" s="24"/>
      <c r="E55" s="24">
        <v>1246</v>
      </c>
      <c r="F55" s="25">
        <f t="shared" si="0"/>
        <v>10060.299999999994</v>
      </c>
    </row>
    <row r="56" spans="2:6" x14ac:dyDescent="0.25">
      <c r="B56" s="32">
        <v>42236</v>
      </c>
      <c r="C56" s="26" t="s">
        <v>345</v>
      </c>
      <c r="D56" s="24"/>
      <c r="E56" s="24">
        <v>23</v>
      </c>
      <c r="F56" s="25">
        <f t="shared" si="0"/>
        <v>10037.299999999994</v>
      </c>
    </row>
    <row r="57" spans="2:6" x14ac:dyDescent="0.25">
      <c r="B57" s="32">
        <v>42237</v>
      </c>
      <c r="C57" s="26" t="s">
        <v>346</v>
      </c>
      <c r="D57" s="24"/>
      <c r="E57" s="24">
        <v>15.9</v>
      </c>
      <c r="F57" s="25">
        <f t="shared" si="0"/>
        <v>10021.399999999994</v>
      </c>
    </row>
    <row r="58" spans="2:6" x14ac:dyDescent="0.25">
      <c r="B58" s="32">
        <v>42237</v>
      </c>
      <c r="C58" s="26" t="s">
        <v>347</v>
      </c>
      <c r="D58" s="24"/>
      <c r="E58" s="24">
        <v>31.8</v>
      </c>
      <c r="F58" s="25">
        <f t="shared" si="0"/>
        <v>9989.5999999999949</v>
      </c>
    </row>
    <row r="59" spans="2:6" x14ac:dyDescent="0.25">
      <c r="B59" s="32">
        <v>42237</v>
      </c>
      <c r="C59" s="26" t="s">
        <v>348</v>
      </c>
      <c r="D59" s="24"/>
      <c r="E59" s="24">
        <v>69</v>
      </c>
      <c r="F59" s="25">
        <f t="shared" si="0"/>
        <v>9920.5999999999949</v>
      </c>
    </row>
    <row r="60" spans="2:6" x14ac:dyDescent="0.25">
      <c r="B60" s="32">
        <v>42237</v>
      </c>
      <c r="C60" s="26" t="s">
        <v>349</v>
      </c>
      <c r="D60" s="24"/>
      <c r="E60" s="24">
        <v>192</v>
      </c>
      <c r="F60" s="25">
        <f t="shared" si="0"/>
        <v>9728.5999999999949</v>
      </c>
    </row>
    <row r="61" spans="2:6" x14ac:dyDescent="0.25">
      <c r="B61" s="32">
        <v>42237</v>
      </c>
      <c r="C61" s="27" t="s">
        <v>426</v>
      </c>
      <c r="D61" s="24"/>
      <c r="E61" s="24">
        <v>300</v>
      </c>
      <c r="F61" s="25">
        <f t="shared" si="0"/>
        <v>9428.5999999999949</v>
      </c>
    </row>
    <row r="62" spans="2:6" x14ac:dyDescent="0.25">
      <c r="B62" s="32">
        <v>42238</v>
      </c>
      <c r="C62" s="27" t="s">
        <v>350</v>
      </c>
      <c r="D62" s="24"/>
      <c r="E62" s="24">
        <v>299</v>
      </c>
      <c r="F62" s="25">
        <f t="shared" si="0"/>
        <v>9129.5999999999949</v>
      </c>
    </row>
    <row r="63" spans="2:6" x14ac:dyDescent="0.25">
      <c r="B63" s="32">
        <v>42239</v>
      </c>
      <c r="C63" s="107" t="s">
        <v>382</v>
      </c>
      <c r="D63" s="24">
        <v>1119</v>
      </c>
      <c r="E63" s="24"/>
      <c r="F63" s="25">
        <f t="shared" si="0"/>
        <v>10248.599999999995</v>
      </c>
    </row>
    <row r="64" spans="2:6" x14ac:dyDescent="0.25">
      <c r="B64" s="32">
        <v>42239</v>
      </c>
      <c r="C64" s="27" t="s">
        <v>351</v>
      </c>
      <c r="D64" s="24"/>
      <c r="E64" s="24">
        <v>43</v>
      </c>
      <c r="F64" s="25">
        <f t="shared" si="0"/>
        <v>10205.599999999995</v>
      </c>
    </row>
    <row r="65" spans="2:6" x14ac:dyDescent="0.25">
      <c r="B65" s="32">
        <v>42239</v>
      </c>
      <c r="C65" s="27" t="s">
        <v>352</v>
      </c>
      <c r="D65" s="24"/>
      <c r="E65" s="24">
        <v>50</v>
      </c>
      <c r="F65" s="25">
        <f t="shared" si="0"/>
        <v>10155.599999999995</v>
      </c>
    </row>
    <row r="66" spans="2:6" x14ac:dyDescent="0.25">
      <c r="B66" s="32">
        <v>42239</v>
      </c>
      <c r="C66" s="35" t="s">
        <v>353</v>
      </c>
      <c r="D66" s="24"/>
      <c r="E66" s="24">
        <v>809.5</v>
      </c>
      <c r="F66" s="25">
        <f t="shared" si="0"/>
        <v>9346.0999999999949</v>
      </c>
    </row>
    <row r="67" spans="2:6" x14ac:dyDescent="0.25">
      <c r="B67" s="32">
        <v>42240</v>
      </c>
      <c r="C67" s="35" t="s">
        <v>383</v>
      </c>
      <c r="D67" s="24">
        <v>16260</v>
      </c>
      <c r="E67" s="24"/>
      <c r="F67" s="25">
        <f t="shared" si="0"/>
        <v>25606.099999999995</v>
      </c>
    </row>
    <row r="68" spans="2:6" x14ac:dyDescent="0.25">
      <c r="B68" s="32">
        <v>42240</v>
      </c>
      <c r="C68" s="26" t="s">
        <v>354</v>
      </c>
      <c r="D68" s="24"/>
      <c r="E68" s="24">
        <v>49</v>
      </c>
      <c r="F68" s="25">
        <f t="shared" si="0"/>
        <v>25557.099999999995</v>
      </c>
    </row>
    <row r="69" spans="2:6" x14ac:dyDescent="0.25">
      <c r="B69" s="32">
        <v>42240</v>
      </c>
      <c r="C69" s="27" t="s">
        <v>355</v>
      </c>
      <c r="D69" s="24"/>
      <c r="E69" s="24">
        <v>1100</v>
      </c>
      <c r="F69" s="25">
        <f t="shared" si="0"/>
        <v>24457.099999999995</v>
      </c>
    </row>
    <row r="70" spans="2:6" x14ac:dyDescent="0.25">
      <c r="B70" s="32">
        <v>42240</v>
      </c>
      <c r="C70" s="27" t="s">
        <v>356</v>
      </c>
      <c r="D70" s="24"/>
      <c r="E70" s="24">
        <v>1760</v>
      </c>
      <c r="F70" s="25">
        <f t="shared" ref="F70:F91" si="1">+F69+D70-E70</f>
        <v>22697.099999999995</v>
      </c>
    </row>
    <row r="71" spans="2:6" x14ac:dyDescent="0.25">
      <c r="B71" s="32">
        <v>42240</v>
      </c>
      <c r="C71" s="26" t="s">
        <v>357</v>
      </c>
      <c r="D71" s="24"/>
      <c r="E71" s="24">
        <v>24</v>
      </c>
      <c r="F71" s="25">
        <f t="shared" si="1"/>
        <v>22673.099999999995</v>
      </c>
    </row>
    <row r="72" spans="2:6" x14ac:dyDescent="0.25">
      <c r="B72" s="32">
        <v>42240</v>
      </c>
      <c r="C72" s="35" t="s">
        <v>358</v>
      </c>
      <c r="D72" s="24"/>
      <c r="E72" s="24">
        <v>96</v>
      </c>
      <c r="F72" s="25">
        <f t="shared" si="1"/>
        <v>22577.099999999995</v>
      </c>
    </row>
    <row r="73" spans="2:6" x14ac:dyDescent="0.25">
      <c r="B73" s="32">
        <v>42240</v>
      </c>
      <c r="C73" s="26" t="s">
        <v>359</v>
      </c>
      <c r="D73" s="24"/>
      <c r="E73" s="24">
        <v>140</v>
      </c>
      <c r="F73" s="25">
        <f t="shared" si="1"/>
        <v>22437.099999999995</v>
      </c>
    </row>
    <row r="74" spans="2:6" x14ac:dyDescent="0.25">
      <c r="B74" s="32">
        <v>42241</v>
      </c>
      <c r="C74" s="26" t="s">
        <v>361</v>
      </c>
      <c r="D74" s="24"/>
      <c r="E74" s="24">
        <v>104</v>
      </c>
      <c r="F74" s="25">
        <f t="shared" si="1"/>
        <v>22333.099999999995</v>
      </c>
    </row>
    <row r="75" spans="2:6" x14ac:dyDescent="0.25">
      <c r="B75" s="32">
        <v>42242</v>
      </c>
      <c r="C75" s="26" t="s">
        <v>360</v>
      </c>
      <c r="D75" s="24"/>
      <c r="E75" s="24">
        <v>400</v>
      </c>
      <c r="F75" s="25">
        <f t="shared" si="1"/>
        <v>21933.099999999995</v>
      </c>
    </row>
    <row r="76" spans="2:6" x14ac:dyDescent="0.25">
      <c r="B76" s="32">
        <v>42243</v>
      </c>
      <c r="C76" s="26" t="s">
        <v>362</v>
      </c>
      <c r="D76" s="24"/>
      <c r="E76" s="24">
        <v>180</v>
      </c>
      <c r="F76" s="25">
        <f t="shared" si="1"/>
        <v>21753.099999999995</v>
      </c>
    </row>
    <row r="77" spans="2:6" x14ac:dyDescent="0.25">
      <c r="B77" s="32">
        <v>42244</v>
      </c>
      <c r="C77" s="26" t="s">
        <v>363</v>
      </c>
      <c r="D77" s="24"/>
      <c r="E77" s="24">
        <v>800</v>
      </c>
      <c r="F77" s="25">
        <f t="shared" si="1"/>
        <v>20953.099999999995</v>
      </c>
    </row>
    <row r="78" spans="2:6" x14ac:dyDescent="0.25">
      <c r="B78" s="32">
        <v>42244</v>
      </c>
      <c r="C78" s="26" t="s">
        <v>364</v>
      </c>
      <c r="D78" s="24"/>
      <c r="E78" s="24">
        <v>160.9</v>
      </c>
      <c r="F78" s="25">
        <f t="shared" si="1"/>
        <v>20792.199999999993</v>
      </c>
    </row>
    <row r="79" spans="2:6" x14ac:dyDescent="0.25">
      <c r="B79" s="32">
        <v>42244</v>
      </c>
      <c r="C79" s="26" t="s">
        <v>373</v>
      </c>
      <c r="D79" s="24"/>
      <c r="E79" s="24">
        <v>90.5</v>
      </c>
      <c r="F79" s="25">
        <f t="shared" si="1"/>
        <v>20701.699999999993</v>
      </c>
    </row>
    <row r="80" spans="2:6" x14ac:dyDescent="0.25">
      <c r="B80" s="32">
        <v>42244</v>
      </c>
      <c r="C80" s="26" t="s">
        <v>365</v>
      </c>
      <c r="D80" s="24"/>
      <c r="E80" s="24">
        <v>300</v>
      </c>
      <c r="F80" s="25">
        <f t="shared" si="1"/>
        <v>20401.699999999993</v>
      </c>
    </row>
    <row r="81" spans="2:6" x14ac:dyDescent="0.25">
      <c r="B81" s="32">
        <v>42244</v>
      </c>
      <c r="C81" s="26" t="s">
        <v>366</v>
      </c>
      <c r="D81" s="24"/>
      <c r="E81" s="24">
        <v>400</v>
      </c>
      <c r="F81" s="25">
        <f t="shared" si="1"/>
        <v>20001.699999999993</v>
      </c>
    </row>
    <row r="82" spans="2:6" x14ac:dyDescent="0.25">
      <c r="B82" s="32">
        <v>42245</v>
      </c>
      <c r="C82" s="26" t="s">
        <v>46</v>
      </c>
      <c r="D82" s="24"/>
      <c r="E82" s="24">
        <v>64</v>
      </c>
      <c r="F82" s="25">
        <f t="shared" si="1"/>
        <v>19937.699999999993</v>
      </c>
    </row>
    <row r="83" spans="2:6" x14ac:dyDescent="0.25">
      <c r="B83" s="32">
        <v>42245</v>
      </c>
      <c r="C83" s="26" t="s">
        <v>367</v>
      </c>
      <c r="D83" s="24"/>
      <c r="E83" s="24">
        <v>36.9</v>
      </c>
      <c r="F83" s="25">
        <f t="shared" si="1"/>
        <v>19900.799999999992</v>
      </c>
    </row>
    <row r="84" spans="2:6" x14ac:dyDescent="0.25">
      <c r="B84" s="32">
        <v>42246</v>
      </c>
      <c r="C84" s="26" t="s">
        <v>385</v>
      </c>
      <c r="D84" s="24">
        <v>16720</v>
      </c>
      <c r="E84" s="24"/>
      <c r="F84" s="25">
        <f t="shared" si="1"/>
        <v>36620.799999999988</v>
      </c>
    </row>
    <row r="85" spans="2:6" x14ac:dyDescent="0.25">
      <c r="B85" s="32">
        <v>42246</v>
      </c>
      <c r="C85" s="26" t="s">
        <v>368</v>
      </c>
      <c r="D85" s="24"/>
      <c r="E85" s="24">
        <v>400</v>
      </c>
      <c r="F85" s="25">
        <f t="shared" si="1"/>
        <v>36220.799999999988</v>
      </c>
    </row>
    <row r="86" spans="2:6" x14ac:dyDescent="0.25">
      <c r="B86" s="32">
        <v>42246</v>
      </c>
      <c r="C86" s="26" t="s">
        <v>370</v>
      </c>
      <c r="D86" s="24"/>
      <c r="E86" s="24">
        <v>58</v>
      </c>
      <c r="F86" s="25">
        <f t="shared" si="1"/>
        <v>36162.799999999988</v>
      </c>
    </row>
    <row r="87" spans="2:6" x14ac:dyDescent="0.25">
      <c r="B87" s="32">
        <v>42247</v>
      </c>
      <c r="C87" s="26" t="s">
        <v>369</v>
      </c>
      <c r="D87" s="24"/>
      <c r="E87" s="24">
        <v>600</v>
      </c>
      <c r="F87" s="25">
        <f t="shared" si="1"/>
        <v>35562.799999999988</v>
      </c>
    </row>
    <row r="88" spans="2:6" x14ac:dyDescent="0.25">
      <c r="B88" s="32">
        <v>42247</v>
      </c>
      <c r="C88" s="26" t="s">
        <v>371</v>
      </c>
      <c r="D88" s="24"/>
      <c r="E88" s="24">
        <v>3200</v>
      </c>
      <c r="F88" s="25">
        <f t="shared" si="1"/>
        <v>32362.799999999988</v>
      </c>
    </row>
    <row r="89" spans="2:6" x14ac:dyDescent="0.25">
      <c r="B89" s="32">
        <v>42247</v>
      </c>
      <c r="C89" s="27" t="s">
        <v>372</v>
      </c>
      <c r="D89" s="24"/>
      <c r="E89" s="24">
        <v>29000</v>
      </c>
      <c r="F89" s="25">
        <f t="shared" si="1"/>
        <v>3362.7999999999884</v>
      </c>
    </row>
    <row r="90" spans="2:6" x14ac:dyDescent="0.25">
      <c r="B90" s="32">
        <v>42247</v>
      </c>
      <c r="C90" s="26" t="s">
        <v>374</v>
      </c>
      <c r="D90" s="24"/>
      <c r="E90" s="24">
        <v>4000</v>
      </c>
      <c r="F90" s="25">
        <f t="shared" si="1"/>
        <v>-637.20000000001164</v>
      </c>
    </row>
    <row r="91" spans="2:6" ht="15.75" thickBot="1" x14ac:dyDescent="0.3">
      <c r="B91" s="32"/>
      <c r="C91" s="26"/>
      <c r="D91" s="24"/>
      <c r="E91" s="24"/>
      <c r="F91" s="25">
        <f t="shared" si="1"/>
        <v>-637.20000000001164</v>
      </c>
    </row>
    <row r="92" spans="2:6" ht="15.75" thickBot="1" x14ac:dyDescent="0.3">
      <c r="B92" s="54"/>
      <c r="C92" s="17" t="s">
        <v>0</v>
      </c>
      <c r="D92" s="15">
        <f>SUM(D5:D91)</f>
        <v>131109</v>
      </c>
      <c r="E92" s="15">
        <f>SUM(E5:E91)</f>
        <v>146471.07999999999</v>
      </c>
      <c r="F92" s="25"/>
    </row>
    <row r="94" spans="2:6" x14ac:dyDescent="0.25">
      <c r="C94" s="91"/>
      <c r="E94" s="1"/>
    </row>
    <row r="95" spans="2:6" x14ac:dyDescent="0.25">
      <c r="C95" s="91"/>
      <c r="E95" s="63"/>
    </row>
    <row r="96" spans="2:6" x14ac:dyDescent="0.25">
      <c r="D96" s="91"/>
      <c r="E96" s="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27"/>
  <sheetViews>
    <sheetView topLeftCell="A114" workbookViewId="0">
      <selection activeCell="C123" sqref="C123:E125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42277</v>
      </c>
    </row>
    <row r="2" spans="2:6" x14ac:dyDescent="0.25">
      <c r="B2" s="146" t="s">
        <v>20</v>
      </c>
      <c r="C2" s="146"/>
      <c r="D2" s="146"/>
      <c r="E2" s="146"/>
      <c r="F2" s="146"/>
    </row>
    <row r="3" spans="2:6" ht="15.75" thickBot="1" x14ac:dyDescent="0.3">
      <c r="C3" s="58"/>
      <c r="D3" s="58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42247</v>
      </c>
      <c r="C5" s="19" t="s">
        <v>21</v>
      </c>
      <c r="D5" s="20"/>
      <c r="E5" s="21"/>
      <c r="F5" s="25">
        <v>8392.6200000000008</v>
      </c>
    </row>
    <row r="6" spans="2:6" x14ac:dyDescent="0.25">
      <c r="B6" s="32">
        <v>42248</v>
      </c>
      <c r="C6" s="26" t="s">
        <v>389</v>
      </c>
      <c r="D6" s="24"/>
      <c r="E6" s="24">
        <v>98</v>
      </c>
      <c r="F6" s="25">
        <f t="shared" ref="F6:F64" si="0">+F5+D6-E6</f>
        <v>8294.6200000000008</v>
      </c>
    </row>
    <row r="7" spans="2:6" x14ac:dyDescent="0.25">
      <c r="B7" s="32">
        <v>42248</v>
      </c>
      <c r="C7" s="26" t="s">
        <v>390</v>
      </c>
      <c r="D7" s="24"/>
      <c r="E7" s="24">
        <v>211.84</v>
      </c>
      <c r="F7" s="25">
        <f t="shared" si="0"/>
        <v>8082.7800000000007</v>
      </c>
    </row>
    <row r="8" spans="2:6" x14ac:dyDescent="0.25">
      <c r="B8" s="32">
        <v>42248</v>
      </c>
      <c r="C8" s="22" t="s">
        <v>391</v>
      </c>
      <c r="D8" s="23"/>
      <c r="E8" s="24">
        <v>3.5</v>
      </c>
      <c r="F8" s="25">
        <f t="shared" si="0"/>
        <v>8079.2800000000007</v>
      </c>
    </row>
    <row r="9" spans="2:6" x14ac:dyDescent="0.25">
      <c r="B9" s="32">
        <v>42248</v>
      </c>
      <c r="C9" s="26" t="s">
        <v>392</v>
      </c>
      <c r="D9" s="24"/>
      <c r="E9" s="24">
        <v>30</v>
      </c>
      <c r="F9" s="25">
        <f t="shared" si="0"/>
        <v>8049.2800000000007</v>
      </c>
    </row>
    <row r="10" spans="2:6" x14ac:dyDescent="0.25">
      <c r="B10" s="32">
        <v>42248</v>
      </c>
      <c r="C10" s="27" t="s">
        <v>515</v>
      </c>
      <c r="D10" s="24"/>
      <c r="E10" s="24">
        <v>120</v>
      </c>
      <c r="F10" s="25">
        <f t="shared" si="0"/>
        <v>7929.2800000000007</v>
      </c>
    </row>
    <row r="11" spans="2:6" x14ac:dyDescent="0.25">
      <c r="B11" s="32">
        <v>42248</v>
      </c>
      <c r="C11" s="26" t="s">
        <v>428</v>
      </c>
      <c r="D11" s="24"/>
      <c r="E11" s="24">
        <v>300</v>
      </c>
      <c r="F11" s="25">
        <f t="shared" si="0"/>
        <v>7629.2800000000007</v>
      </c>
    </row>
    <row r="12" spans="2:6" x14ac:dyDescent="0.25">
      <c r="B12" s="32">
        <v>42248</v>
      </c>
      <c r="C12" s="26" t="s">
        <v>394</v>
      </c>
      <c r="D12" s="24"/>
      <c r="E12" s="24">
        <v>70</v>
      </c>
      <c r="F12" s="25">
        <f t="shared" si="0"/>
        <v>7559.2800000000007</v>
      </c>
    </row>
    <row r="13" spans="2:6" x14ac:dyDescent="0.25">
      <c r="B13" s="32">
        <v>42248</v>
      </c>
      <c r="C13" s="26" t="s">
        <v>395</v>
      </c>
      <c r="D13" s="24"/>
      <c r="E13" s="24">
        <v>920</v>
      </c>
      <c r="F13" s="25">
        <f t="shared" si="0"/>
        <v>6639.2800000000007</v>
      </c>
    </row>
    <row r="14" spans="2:6" x14ac:dyDescent="0.25">
      <c r="B14" s="32">
        <v>42249</v>
      </c>
      <c r="C14" s="26" t="s">
        <v>396</v>
      </c>
      <c r="D14" s="24"/>
      <c r="E14" s="24">
        <v>20</v>
      </c>
      <c r="F14" s="25">
        <f t="shared" si="0"/>
        <v>6619.2800000000007</v>
      </c>
    </row>
    <row r="15" spans="2:6" x14ac:dyDescent="0.25">
      <c r="B15" s="32">
        <v>42249</v>
      </c>
      <c r="C15" s="27" t="s">
        <v>499</v>
      </c>
      <c r="D15" s="24"/>
      <c r="E15" s="24">
        <v>20</v>
      </c>
      <c r="F15" s="25">
        <f t="shared" si="0"/>
        <v>6599.2800000000007</v>
      </c>
    </row>
    <row r="16" spans="2:6" x14ac:dyDescent="0.25">
      <c r="B16" s="32">
        <v>42249</v>
      </c>
      <c r="C16" s="26" t="s">
        <v>397</v>
      </c>
      <c r="D16" s="24"/>
      <c r="E16" s="24">
        <v>64</v>
      </c>
      <c r="F16" s="25">
        <f t="shared" si="0"/>
        <v>6535.2800000000007</v>
      </c>
    </row>
    <row r="17" spans="2:7" x14ac:dyDescent="0.25">
      <c r="B17" s="32">
        <v>42250</v>
      </c>
      <c r="C17" s="26" t="s">
        <v>439</v>
      </c>
      <c r="D17" s="24"/>
      <c r="E17" s="24">
        <v>1835</v>
      </c>
      <c r="F17" s="25">
        <f t="shared" si="0"/>
        <v>4700.2800000000007</v>
      </c>
    </row>
    <row r="18" spans="2:7" x14ac:dyDescent="0.25">
      <c r="B18" s="32">
        <v>42251</v>
      </c>
      <c r="C18" s="26" t="s">
        <v>398</v>
      </c>
      <c r="D18" s="24"/>
      <c r="E18" s="24">
        <v>271.39999999999998</v>
      </c>
      <c r="F18" s="25">
        <f t="shared" si="0"/>
        <v>4428.880000000001</v>
      </c>
    </row>
    <row r="19" spans="2:7" x14ac:dyDescent="0.25">
      <c r="B19" s="32">
        <v>42251</v>
      </c>
      <c r="C19" s="26" t="s">
        <v>399</v>
      </c>
      <c r="D19" s="24"/>
      <c r="E19" s="24">
        <v>800</v>
      </c>
      <c r="F19" s="25">
        <f t="shared" si="0"/>
        <v>3628.880000000001</v>
      </c>
    </row>
    <row r="20" spans="2:7" x14ac:dyDescent="0.25">
      <c r="B20" s="32">
        <v>42251</v>
      </c>
      <c r="C20" s="26" t="s">
        <v>400</v>
      </c>
      <c r="D20" s="24"/>
      <c r="E20" s="24">
        <v>1150</v>
      </c>
      <c r="F20" s="25">
        <f t="shared" si="0"/>
        <v>2478.880000000001</v>
      </c>
    </row>
    <row r="21" spans="2:7" x14ac:dyDescent="0.25">
      <c r="B21" s="32">
        <v>42252</v>
      </c>
      <c r="C21" s="26" t="s">
        <v>401</v>
      </c>
      <c r="D21" s="24"/>
      <c r="E21" s="24">
        <v>156.85</v>
      </c>
      <c r="F21" s="25">
        <f t="shared" si="0"/>
        <v>2322.0300000000011</v>
      </c>
    </row>
    <row r="22" spans="2:7" x14ac:dyDescent="0.25">
      <c r="B22" s="32">
        <v>42252</v>
      </c>
      <c r="C22" s="26" t="s">
        <v>402</v>
      </c>
      <c r="D22" s="24"/>
      <c r="E22" s="24">
        <v>400</v>
      </c>
      <c r="F22" s="25">
        <f t="shared" si="0"/>
        <v>1922.0300000000011</v>
      </c>
    </row>
    <row r="23" spans="2:7" x14ac:dyDescent="0.25">
      <c r="B23" s="32">
        <v>42252</v>
      </c>
      <c r="C23" s="27" t="s">
        <v>500</v>
      </c>
      <c r="D23" s="24"/>
      <c r="E23" s="24">
        <v>3</v>
      </c>
      <c r="F23" s="25">
        <f t="shared" si="0"/>
        <v>1919.0300000000011</v>
      </c>
    </row>
    <row r="24" spans="2:7" x14ac:dyDescent="0.25">
      <c r="B24" s="32">
        <v>42252</v>
      </c>
      <c r="C24" s="27" t="s">
        <v>501</v>
      </c>
      <c r="D24" s="24"/>
      <c r="E24" s="24">
        <v>10</v>
      </c>
      <c r="F24" s="25">
        <f t="shared" si="0"/>
        <v>1909.0300000000011</v>
      </c>
    </row>
    <row r="25" spans="2:7" x14ac:dyDescent="0.25">
      <c r="B25" s="32">
        <v>42252</v>
      </c>
      <c r="C25" s="26" t="s">
        <v>403</v>
      </c>
      <c r="D25" s="24"/>
      <c r="E25" s="24">
        <v>19</v>
      </c>
      <c r="F25" s="25">
        <f t="shared" si="0"/>
        <v>1890.0300000000011</v>
      </c>
    </row>
    <row r="26" spans="2:7" x14ac:dyDescent="0.25">
      <c r="B26" s="32">
        <v>42253</v>
      </c>
      <c r="C26" s="27" t="s">
        <v>420</v>
      </c>
      <c r="D26" s="24"/>
      <c r="E26" s="24">
        <v>64</v>
      </c>
      <c r="F26" s="25">
        <f t="shared" si="0"/>
        <v>1826.0300000000011</v>
      </c>
    </row>
    <row r="27" spans="2:7" x14ac:dyDescent="0.25">
      <c r="B27" s="32">
        <v>42254</v>
      </c>
      <c r="C27" s="27" t="s">
        <v>404</v>
      </c>
      <c r="D27" s="24"/>
      <c r="E27" s="24">
        <v>32</v>
      </c>
      <c r="F27" s="25">
        <f t="shared" si="0"/>
        <v>1794.0300000000011</v>
      </c>
    </row>
    <row r="28" spans="2:7" x14ac:dyDescent="0.25">
      <c r="B28" s="32">
        <v>42254</v>
      </c>
      <c r="C28" s="35" t="s">
        <v>405</v>
      </c>
      <c r="D28" s="24">
        <v>35830</v>
      </c>
      <c r="E28" s="24"/>
      <c r="F28" s="25">
        <f t="shared" si="0"/>
        <v>37624.03</v>
      </c>
    </row>
    <row r="29" spans="2:7" x14ac:dyDescent="0.25">
      <c r="B29" s="32">
        <v>42254</v>
      </c>
      <c r="C29" s="26" t="s">
        <v>406</v>
      </c>
      <c r="D29" s="24"/>
      <c r="E29" s="24">
        <v>2000</v>
      </c>
      <c r="F29" s="25">
        <f t="shared" si="0"/>
        <v>35624.03</v>
      </c>
      <c r="G29" s="1"/>
    </row>
    <row r="30" spans="2:7" x14ac:dyDescent="0.25">
      <c r="B30" s="32">
        <v>42254</v>
      </c>
      <c r="C30" s="26" t="s">
        <v>407</v>
      </c>
      <c r="D30" s="24"/>
      <c r="E30" s="24">
        <v>567.16</v>
      </c>
      <c r="F30" s="25">
        <f t="shared" si="0"/>
        <v>35056.869999999995</v>
      </c>
    </row>
    <row r="31" spans="2:7" x14ac:dyDescent="0.25">
      <c r="B31" s="32">
        <v>42256</v>
      </c>
      <c r="C31" s="26" t="s">
        <v>408</v>
      </c>
      <c r="D31" s="24"/>
      <c r="E31" s="24">
        <v>1095</v>
      </c>
      <c r="F31" s="25">
        <f t="shared" si="0"/>
        <v>33961.869999999995</v>
      </c>
    </row>
    <row r="32" spans="2:7" x14ac:dyDescent="0.25">
      <c r="B32" s="32">
        <v>42256</v>
      </c>
      <c r="C32" s="26" t="s">
        <v>404</v>
      </c>
      <c r="D32" s="24"/>
      <c r="E32" s="24">
        <v>32</v>
      </c>
      <c r="F32" s="25">
        <f t="shared" si="0"/>
        <v>33929.869999999995</v>
      </c>
    </row>
    <row r="33" spans="2:6" x14ac:dyDescent="0.25">
      <c r="B33" s="32">
        <v>42257</v>
      </c>
      <c r="C33" s="35" t="s">
        <v>409</v>
      </c>
      <c r="D33" s="24"/>
      <c r="E33" s="24">
        <v>105</v>
      </c>
      <c r="F33" s="25">
        <f t="shared" si="0"/>
        <v>33824.869999999995</v>
      </c>
    </row>
    <row r="34" spans="2:6" x14ac:dyDescent="0.25">
      <c r="B34" s="32">
        <v>42257</v>
      </c>
      <c r="C34" s="22" t="s">
        <v>410</v>
      </c>
      <c r="D34" s="24"/>
      <c r="E34" s="24">
        <v>293</v>
      </c>
      <c r="F34" s="25">
        <f t="shared" si="0"/>
        <v>33531.869999999995</v>
      </c>
    </row>
    <row r="35" spans="2:6" x14ac:dyDescent="0.25">
      <c r="B35" s="32">
        <v>42257</v>
      </c>
      <c r="C35" s="27" t="s">
        <v>502</v>
      </c>
      <c r="D35" s="24"/>
      <c r="E35" s="24">
        <v>40</v>
      </c>
      <c r="F35" s="25">
        <f t="shared" si="0"/>
        <v>33491.869999999995</v>
      </c>
    </row>
    <row r="36" spans="2:6" x14ac:dyDescent="0.25">
      <c r="B36" s="32">
        <v>42257</v>
      </c>
      <c r="C36" s="27" t="s">
        <v>503</v>
      </c>
      <c r="D36" s="24"/>
      <c r="E36" s="24">
        <v>5</v>
      </c>
      <c r="F36" s="25">
        <f t="shared" si="0"/>
        <v>33486.869999999995</v>
      </c>
    </row>
    <row r="37" spans="2:6" x14ac:dyDescent="0.25">
      <c r="B37" s="32">
        <v>42257</v>
      </c>
      <c r="C37" s="27" t="s">
        <v>440</v>
      </c>
      <c r="D37" s="24"/>
      <c r="E37" s="24">
        <v>700</v>
      </c>
      <c r="F37" s="25">
        <f t="shared" si="0"/>
        <v>32786.869999999995</v>
      </c>
    </row>
    <row r="38" spans="2:6" x14ac:dyDescent="0.25">
      <c r="B38" s="32">
        <v>42258</v>
      </c>
      <c r="C38" s="27" t="s">
        <v>441</v>
      </c>
      <c r="D38" s="24"/>
      <c r="E38" s="24">
        <v>1100</v>
      </c>
      <c r="F38" s="25">
        <f t="shared" si="0"/>
        <v>31686.869999999995</v>
      </c>
    </row>
    <row r="39" spans="2:6" x14ac:dyDescent="0.25">
      <c r="B39" s="32">
        <v>42258</v>
      </c>
      <c r="C39" s="26" t="s">
        <v>411</v>
      </c>
      <c r="D39" s="24"/>
      <c r="E39" s="24">
        <v>800</v>
      </c>
      <c r="F39" s="25">
        <f t="shared" si="0"/>
        <v>30886.869999999995</v>
      </c>
    </row>
    <row r="40" spans="2:6" x14ac:dyDescent="0.25">
      <c r="B40" s="32">
        <v>42258</v>
      </c>
      <c r="C40" s="26" t="s">
        <v>412</v>
      </c>
      <c r="D40" s="24"/>
      <c r="E40" s="24">
        <v>500</v>
      </c>
      <c r="F40" s="25">
        <f t="shared" si="0"/>
        <v>30386.869999999995</v>
      </c>
    </row>
    <row r="41" spans="2:6" x14ac:dyDescent="0.25">
      <c r="B41" s="32">
        <v>42258</v>
      </c>
      <c r="C41" s="26" t="s">
        <v>413</v>
      </c>
      <c r="D41" s="24"/>
      <c r="E41" s="24">
        <v>16</v>
      </c>
      <c r="F41" s="25">
        <f t="shared" si="0"/>
        <v>30370.869999999995</v>
      </c>
    </row>
    <row r="42" spans="2:6" x14ac:dyDescent="0.25">
      <c r="B42" s="32">
        <v>42258</v>
      </c>
      <c r="C42" s="27" t="s">
        <v>514</v>
      </c>
      <c r="D42" s="24"/>
      <c r="E42" s="24">
        <v>10</v>
      </c>
      <c r="F42" s="25">
        <f t="shared" si="0"/>
        <v>30360.869999999995</v>
      </c>
    </row>
    <row r="43" spans="2:6" x14ac:dyDescent="0.25">
      <c r="B43" s="32">
        <v>42258</v>
      </c>
      <c r="C43" s="26" t="s">
        <v>397</v>
      </c>
      <c r="D43" s="24"/>
      <c r="E43" s="24">
        <v>64</v>
      </c>
      <c r="F43" s="25">
        <f t="shared" si="0"/>
        <v>30296.869999999995</v>
      </c>
    </row>
    <row r="44" spans="2:6" x14ac:dyDescent="0.25">
      <c r="B44" s="32">
        <v>42258</v>
      </c>
      <c r="C44" s="26" t="s">
        <v>398</v>
      </c>
      <c r="D44" s="24"/>
      <c r="E44" s="24">
        <v>271.39999999999998</v>
      </c>
      <c r="F44" s="25">
        <f t="shared" si="0"/>
        <v>30025.469999999994</v>
      </c>
    </row>
    <row r="45" spans="2:6" x14ac:dyDescent="0.25">
      <c r="B45" s="32">
        <v>42258</v>
      </c>
      <c r="C45" s="26" t="s">
        <v>415</v>
      </c>
      <c r="D45" s="24"/>
      <c r="E45" s="24">
        <v>381.89</v>
      </c>
      <c r="F45" s="25">
        <f t="shared" si="0"/>
        <v>29643.579999999994</v>
      </c>
    </row>
    <row r="46" spans="2:6" x14ac:dyDescent="0.25">
      <c r="B46" s="32">
        <v>42258</v>
      </c>
      <c r="C46" s="26" t="s">
        <v>414</v>
      </c>
      <c r="D46" s="24"/>
      <c r="E46" s="24">
        <v>312.91000000000003</v>
      </c>
      <c r="F46" s="25">
        <f t="shared" si="0"/>
        <v>29330.669999999995</v>
      </c>
    </row>
    <row r="47" spans="2:6" x14ac:dyDescent="0.25">
      <c r="B47" s="32">
        <v>42258</v>
      </c>
      <c r="C47" s="26" t="s">
        <v>416</v>
      </c>
      <c r="D47" s="24"/>
      <c r="E47" s="24">
        <v>36</v>
      </c>
      <c r="F47" s="25">
        <f t="shared" si="0"/>
        <v>29294.669999999995</v>
      </c>
    </row>
    <row r="48" spans="2:6" x14ac:dyDescent="0.25">
      <c r="B48" s="32">
        <v>42258</v>
      </c>
      <c r="C48" s="26" t="s">
        <v>417</v>
      </c>
      <c r="D48" s="24"/>
      <c r="E48" s="24">
        <v>396</v>
      </c>
      <c r="F48" s="25">
        <f t="shared" si="0"/>
        <v>28898.669999999995</v>
      </c>
    </row>
    <row r="49" spans="2:6" x14ac:dyDescent="0.25">
      <c r="B49" s="32">
        <v>42260</v>
      </c>
      <c r="C49" s="26" t="s">
        <v>420</v>
      </c>
      <c r="D49" s="24"/>
      <c r="E49" s="24">
        <v>71.5</v>
      </c>
      <c r="F49" s="25">
        <f t="shared" si="0"/>
        <v>28827.169999999995</v>
      </c>
    </row>
    <row r="50" spans="2:6" x14ac:dyDescent="0.25">
      <c r="B50" s="32">
        <v>42260</v>
      </c>
      <c r="C50" s="26" t="s">
        <v>418</v>
      </c>
      <c r="D50" s="24">
        <v>410</v>
      </c>
      <c r="E50" s="24"/>
      <c r="F50" s="25">
        <f t="shared" si="0"/>
        <v>29237.169999999995</v>
      </c>
    </row>
    <row r="51" spans="2:6" x14ac:dyDescent="0.25">
      <c r="B51" s="32">
        <v>42260</v>
      </c>
      <c r="C51" s="27" t="s">
        <v>419</v>
      </c>
      <c r="D51" s="24"/>
      <c r="E51" s="24">
        <v>50</v>
      </c>
      <c r="F51" s="25">
        <f t="shared" si="0"/>
        <v>29187.169999999995</v>
      </c>
    </row>
    <row r="52" spans="2:6" x14ac:dyDescent="0.25">
      <c r="B52" s="32">
        <v>42261</v>
      </c>
      <c r="C52" s="27" t="s">
        <v>504</v>
      </c>
      <c r="D52" s="24">
        <v>18080</v>
      </c>
      <c r="E52" s="24"/>
      <c r="F52" s="25">
        <f t="shared" si="0"/>
        <v>47267.17</v>
      </c>
    </row>
    <row r="53" spans="2:6" x14ac:dyDescent="0.25">
      <c r="B53" s="32">
        <v>42261</v>
      </c>
      <c r="C53" s="27" t="s">
        <v>422</v>
      </c>
      <c r="D53" s="24"/>
      <c r="E53" s="24">
        <v>400</v>
      </c>
      <c r="F53" s="25">
        <f t="shared" si="0"/>
        <v>46867.17</v>
      </c>
    </row>
    <row r="54" spans="2:6" x14ac:dyDescent="0.25">
      <c r="B54" s="32">
        <v>42261</v>
      </c>
      <c r="C54" s="26" t="s">
        <v>421</v>
      </c>
      <c r="D54" s="24"/>
      <c r="E54" s="24">
        <v>32</v>
      </c>
      <c r="F54" s="25">
        <f t="shared" si="0"/>
        <v>46835.17</v>
      </c>
    </row>
    <row r="55" spans="2:6" x14ac:dyDescent="0.25">
      <c r="B55" s="32">
        <v>42261</v>
      </c>
      <c r="C55" s="26" t="s">
        <v>423</v>
      </c>
      <c r="D55" s="24"/>
      <c r="E55" s="24">
        <v>900</v>
      </c>
      <c r="F55" s="25">
        <f t="shared" si="0"/>
        <v>45935.17</v>
      </c>
    </row>
    <row r="56" spans="2:6" x14ac:dyDescent="0.25">
      <c r="B56" s="32">
        <v>42261</v>
      </c>
      <c r="C56" s="26" t="s">
        <v>427</v>
      </c>
      <c r="D56" s="24">
        <v>10000</v>
      </c>
      <c r="E56" s="24"/>
      <c r="F56" s="25">
        <f t="shared" si="0"/>
        <v>55935.17</v>
      </c>
    </row>
    <row r="57" spans="2:6" x14ac:dyDescent="0.25">
      <c r="B57" s="32">
        <v>42262</v>
      </c>
      <c r="C57" s="27" t="s">
        <v>374</v>
      </c>
      <c r="D57" s="24"/>
      <c r="E57" s="24">
        <v>4000</v>
      </c>
      <c r="F57" s="25">
        <f t="shared" si="0"/>
        <v>51935.17</v>
      </c>
    </row>
    <row r="58" spans="2:6" x14ac:dyDescent="0.25">
      <c r="B58" s="32">
        <v>42262</v>
      </c>
      <c r="C58" s="35" t="s">
        <v>425</v>
      </c>
      <c r="D58" s="24"/>
      <c r="E58" s="24">
        <v>3200</v>
      </c>
      <c r="F58" s="25">
        <f t="shared" si="0"/>
        <v>48735.17</v>
      </c>
    </row>
    <row r="59" spans="2:6" x14ac:dyDescent="0.25">
      <c r="B59" s="32">
        <v>42262</v>
      </c>
      <c r="C59" s="27" t="s">
        <v>424</v>
      </c>
      <c r="D59" s="24"/>
      <c r="E59" s="24">
        <v>29000</v>
      </c>
      <c r="F59" s="25">
        <f t="shared" si="0"/>
        <v>19735.169999999998</v>
      </c>
    </row>
    <row r="60" spans="2:6" x14ac:dyDescent="0.25">
      <c r="B60" s="32">
        <v>42265</v>
      </c>
      <c r="C60" s="27" t="s">
        <v>442</v>
      </c>
      <c r="D60" s="24"/>
      <c r="E60" s="24">
        <v>1231.7</v>
      </c>
      <c r="F60" s="25">
        <f t="shared" si="0"/>
        <v>18503.469999999998</v>
      </c>
    </row>
    <row r="61" spans="2:6" x14ac:dyDescent="0.25">
      <c r="B61" s="32">
        <v>42265</v>
      </c>
      <c r="C61" s="26" t="s">
        <v>429</v>
      </c>
      <c r="D61" s="24"/>
      <c r="E61" s="24">
        <v>300</v>
      </c>
      <c r="F61" s="25">
        <f t="shared" si="0"/>
        <v>18203.469999999998</v>
      </c>
    </row>
    <row r="62" spans="2:6" x14ac:dyDescent="0.25">
      <c r="B62" s="32">
        <v>42265</v>
      </c>
      <c r="C62" s="26" t="s">
        <v>430</v>
      </c>
      <c r="D62" s="24"/>
      <c r="E62" s="24">
        <v>32</v>
      </c>
      <c r="F62" s="25">
        <f t="shared" si="0"/>
        <v>18171.469999999998</v>
      </c>
    </row>
    <row r="63" spans="2:6" x14ac:dyDescent="0.25">
      <c r="B63" s="32">
        <v>42265</v>
      </c>
      <c r="C63" s="26" t="s">
        <v>431</v>
      </c>
      <c r="D63" s="24"/>
      <c r="E63" s="24">
        <v>1500</v>
      </c>
      <c r="F63" s="25">
        <f t="shared" si="0"/>
        <v>16671.469999999998</v>
      </c>
    </row>
    <row r="64" spans="2:6" x14ac:dyDescent="0.25">
      <c r="B64" s="32">
        <v>42265</v>
      </c>
      <c r="C64" s="26" t="s">
        <v>432</v>
      </c>
      <c r="D64" s="24"/>
      <c r="E64" s="24">
        <v>2000</v>
      </c>
      <c r="F64" s="25">
        <f t="shared" si="0"/>
        <v>14671.469999999998</v>
      </c>
    </row>
    <row r="65" spans="2:6" x14ac:dyDescent="0.25">
      <c r="B65" s="32">
        <v>42265</v>
      </c>
      <c r="C65" s="26" t="s">
        <v>95</v>
      </c>
      <c r="D65" s="24"/>
      <c r="E65" s="24">
        <v>800</v>
      </c>
      <c r="F65" s="25">
        <f t="shared" ref="F65:F126" si="1">+F64+D65-E65</f>
        <v>13871.469999999998</v>
      </c>
    </row>
    <row r="66" spans="2:6" x14ac:dyDescent="0.25">
      <c r="B66" s="32">
        <v>42266</v>
      </c>
      <c r="C66" s="26" t="s">
        <v>433</v>
      </c>
      <c r="D66" s="24"/>
      <c r="E66" s="24">
        <v>1500</v>
      </c>
      <c r="F66" s="25">
        <f t="shared" si="1"/>
        <v>12371.469999999998</v>
      </c>
    </row>
    <row r="67" spans="2:6" x14ac:dyDescent="0.25">
      <c r="B67" s="32">
        <v>42266</v>
      </c>
      <c r="C67" s="26" t="s">
        <v>435</v>
      </c>
      <c r="D67" s="24"/>
      <c r="E67" s="24">
        <v>65.599999999999994</v>
      </c>
      <c r="F67" s="25">
        <f t="shared" si="1"/>
        <v>12305.869999999997</v>
      </c>
    </row>
    <row r="68" spans="2:6" x14ac:dyDescent="0.25">
      <c r="B68" s="32">
        <v>42266</v>
      </c>
      <c r="C68" s="26" t="s">
        <v>434</v>
      </c>
      <c r="D68" s="24"/>
      <c r="E68" s="24">
        <v>29</v>
      </c>
      <c r="F68" s="25">
        <f t="shared" si="1"/>
        <v>12276.869999999997</v>
      </c>
    </row>
    <row r="69" spans="2:6" x14ac:dyDescent="0.25">
      <c r="B69" s="32">
        <v>42266</v>
      </c>
      <c r="C69" s="27" t="s">
        <v>505</v>
      </c>
      <c r="D69" s="24"/>
      <c r="E69" s="24">
        <v>227</v>
      </c>
      <c r="F69" s="25">
        <f t="shared" si="1"/>
        <v>12049.869999999997</v>
      </c>
    </row>
    <row r="70" spans="2:6" x14ac:dyDescent="0.25">
      <c r="B70" s="32">
        <v>42266</v>
      </c>
      <c r="C70" s="27" t="s">
        <v>506</v>
      </c>
      <c r="D70" s="24"/>
      <c r="E70" s="24">
        <v>100</v>
      </c>
      <c r="F70" s="25">
        <f t="shared" si="1"/>
        <v>11949.869999999997</v>
      </c>
    </row>
    <row r="71" spans="2:6" x14ac:dyDescent="0.25">
      <c r="B71" s="32">
        <v>42267</v>
      </c>
      <c r="C71" s="26" t="s">
        <v>436</v>
      </c>
      <c r="D71" s="24">
        <v>17330</v>
      </c>
      <c r="E71" s="24"/>
      <c r="F71" s="25">
        <f t="shared" si="1"/>
        <v>29279.869999999995</v>
      </c>
    </row>
    <row r="72" spans="2:6" x14ac:dyDescent="0.25">
      <c r="B72" s="32">
        <v>42267</v>
      </c>
      <c r="C72" s="26" t="s">
        <v>419</v>
      </c>
      <c r="D72" s="24"/>
      <c r="E72" s="24">
        <v>50</v>
      </c>
      <c r="F72" s="25">
        <f t="shared" si="1"/>
        <v>29229.869999999995</v>
      </c>
    </row>
    <row r="73" spans="2:6" x14ac:dyDescent="0.25">
      <c r="B73" s="32">
        <v>42267</v>
      </c>
      <c r="C73" s="27" t="s">
        <v>507</v>
      </c>
      <c r="D73" s="24"/>
      <c r="E73" s="24">
        <v>100</v>
      </c>
      <c r="F73" s="25">
        <f t="shared" si="1"/>
        <v>29129.869999999995</v>
      </c>
    </row>
    <row r="74" spans="2:6" x14ac:dyDescent="0.25">
      <c r="B74" s="32">
        <v>42267</v>
      </c>
      <c r="C74" s="27" t="s">
        <v>508</v>
      </c>
      <c r="D74" s="24"/>
      <c r="E74" s="24">
        <v>240</v>
      </c>
      <c r="F74" s="25">
        <f t="shared" si="1"/>
        <v>28889.869999999995</v>
      </c>
    </row>
    <row r="75" spans="2:6" x14ac:dyDescent="0.25">
      <c r="B75" s="32">
        <v>42267</v>
      </c>
      <c r="C75" s="26" t="s">
        <v>437</v>
      </c>
      <c r="D75" s="24"/>
      <c r="E75" s="24">
        <v>60</v>
      </c>
      <c r="F75" s="25">
        <f t="shared" si="1"/>
        <v>28829.869999999995</v>
      </c>
    </row>
    <row r="76" spans="2:6" x14ac:dyDescent="0.25">
      <c r="B76" s="32">
        <v>42267</v>
      </c>
      <c r="C76" s="27" t="s">
        <v>509</v>
      </c>
      <c r="D76" s="24"/>
      <c r="E76" s="24">
        <v>290</v>
      </c>
      <c r="F76" s="25">
        <f t="shared" si="1"/>
        <v>28539.869999999995</v>
      </c>
    </row>
    <row r="77" spans="2:6" x14ac:dyDescent="0.25">
      <c r="B77" s="40">
        <v>42268</v>
      </c>
      <c r="C77" s="27" t="s">
        <v>35</v>
      </c>
      <c r="D77" s="112"/>
      <c r="E77" s="112">
        <v>96</v>
      </c>
      <c r="F77" s="25">
        <f t="shared" si="1"/>
        <v>28443.869999999995</v>
      </c>
    </row>
    <row r="78" spans="2:6" x14ac:dyDescent="0.25">
      <c r="B78" s="40">
        <v>42269</v>
      </c>
      <c r="C78" s="27" t="s">
        <v>443</v>
      </c>
      <c r="D78" s="112"/>
      <c r="E78" s="112">
        <v>400</v>
      </c>
      <c r="F78" s="25">
        <f t="shared" si="1"/>
        <v>28043.869999999995</v>
      </c>
    </row>
    <row r="79" spans="2:6" x14ac:dyDescent="0.25">
      <c r="B79" s="40">
        <v>42269</v>
      </c>
      <c r="C79" s="27" t="s">
        <v>306</v>
      </c>
      <c r="D79" s="112"/>
      <c r="E79" s="112">
        <v>128</v>
      </c>
      <c r="F79" s="25">
        <f t="shared" si="1"/>
        <v>27915.869999999995</v>
      </c>
    </row>
    <row r="80" spans="2:6" x14ac:dyDescent="0.25">
      <c r="B80" s="40">
        <v>42269</v>
      </c>
      <c r="C80" s="27" t="s">
        <v>444</v>
      </c>
      <c r="D80" s="112"/>
      <c r="E80" s="112">
        <v>273.5</v>
      </c>
      <c r="F80" s="25">
        <f t="shared" si="1"/>
        <v>27642.369999999995</v>
      </c>
    </row>
    <row r="81" spans="2:6" x14ac:dyDescent="0.25">
      <c r="B81" s="40">
        <v>42269</v>
      </c>
      <c r="C81" s="27" t="s">
        <v>445</v>
      </c>
      <c r="D81" s="112"/>
      <c r="E81" s="112">
        <v>129</v>
      </c>
      <c r="F81" s="25">
        <f t="shared" si="1"/>
        <v>27513.369999999995</v>
      </c>
    </row>
    <row r="82" spans="2:6" x14ac:dyDescent="0.25">
      <c r="B82" s="40">
        <v>42270</v>
      </c>
      <c r="C82" s="27" t="s">
        <v>446</v>
      </c>
      <c r="D82" s="112"/>
      <c r="E82" s="112">
        <v>1760</v>
      </c>
      <c r="F82" s="25">
        <f t="shared" si="1"/>
        <v>25753.369999999995</v>
      </c>
    </row>
    <row r="83" spans="2:6" x14ac:dyDescent="0.25">
      <c r="B83" s="40">
        <v>42270</v>
      </c>
      <c r="C83" s="27" t="s">
        <v>447</v>
      </c>
      <c r="D83" s="112"/>
      <c r="E83" s="112">
        <v>1050</v>
      </c>
      <c r="F83" s="25">
        <f t="shared" si="1"/>
        <v>24703.369999999995</v>
      </c>
    </row>
    <row r="84" spans="2:6" x14ac:dyDescent="0.25">
      <c r="B84" s="40">
        <v>42270</v>
      </c>
      <c r="C84" s="27" t="s">
        <v>448</v>
      </c>
      <c r="D84" s="112"/>
      <c r="E84" s="112">
        <v>350</v>
      </c>
      <c r="F84" s="25">
        <f t="shared" si="1"/>
        <v>24353.369999999995</v>
      </c>
    </row>
    <row r="85" spans="2:6" x14ac:dyDescent="0.25">
      <c r="B85" s="40">
        <v>42270</v>
      </c>
      <c r="C85" s="27" t="s">
        <v>449</v>
      </c>
      <c r="D85" s="112"/>
      <c r="E85" s="112">
        <v>200</v>
      </c>
      <c r="F85" s="25">
        <f t="shared" si="1"/>
        <v>24153.369999999995</v>
      </c>
    </row>
    <row r="86" spans="2:6" x14ac:dyDescent="0.25">
      <c r="B86" s="40">
        <v>42270</v>
      </c>
      <c r="C86" s="27" t="s">
        <v>510</v>
      </c>
      <c r="D86" s="112"/>
      <c r="E86" s="112">
        <v>70</v>
      </c>
      <c r="F86" s="25">
        <f t="shared" si="1"/>
        <v>24083.369999999995</v>
      </c>
    </row>
    <row r="87" spans="2:6" x14ac:dyDescent="0.25">
      <c r="B87" s="32">
        <v>42270</v>
      </c>
      <c r="C87" s="26" t="s">
        <v>450</v>
      </c>
      <c r="D87" s="24"/>
      <c r="E87" s="24">
        <v>555</v>
      </c>
      <c r="F87" s="25">
        <f t="shared" si="1"/>
        <v>23528.369999999995</v>
      </c>
    </row>
    <row r="88" spans="2:6" x14ac:dyDescent="0.25">
      <c r="B88" s="32">
        <v>42270</v>
      </c>
      <c r="C88" s="26" t="s">
        <v>451</v>
      </c>
      <c r="D88" s="24"/>
      <c r="E88" s="24">
        <v>54</v>
      </c>
      <c r="F88" s="25">
        <f t="shared" si="1"/>
        <v>23474.369999999995</v>
      </c>
    </row>
    <row r="89" spans="2:6" x14ac:dyDescent="0.25">
      <c r="B89" s="32">
        <v>42270</v>
      </c>
      <c r="C89" s="26" t="s">
        <v>452</v>
      </c>
      <c r="D89" s="24"/>
      <c r="E89" s="24">
        <v>109</v>
      </c>
      <c r="F89" s="25">
        <f t="shared" si="1"/>
        <v>23365.369999999995</v>
      </c>
    </row>
    <row r="90" spans="2:6" x14ac:dyDescent="0.25">
      <c r="B90" s="32">
        <v>42271</v>
      </c>
      <c r="C90" s="26" t="s">
        <v>453</v>
      </c>
      <c r="D90" s="24"/>
      <c r="E90" s="24">
        <v>135.69999999999999</v>
      </c>
      <c r="F90" s="25">
        <f t="shared" si="1"/>
        <v>23229.669999999995</v>
      </c>
    </row>
    <row r="91" spans="2:6" x14ac:dyDescent="0.25">
      <c r="B91" s="32">
        <v>42271</v>
      </c>
      <c r="C91" s="26" t="s">
        <v>454</v>
      </c>
      <c r="D91" s="24"/>
      <c r="E91" s="24">
        <v>180</v>
      </c>
      <c r="F91" s="25">
        <f t="shared" si="1"/>
        <v>23049.669999999995</v>
      </c>
    </row>
    <row r="92" spans="2:6" x14ac:dyDescent="0.25">
      <c r="B92" s="32">
        <v>42271</v>
      </c>
      <c r="C92" s="26" t="s">
        <v>410</v>
      </c>
      <c r="D92" s="24"/>
      <c r="E92" s="24">
        <v>205</v>
      </c>
      <c r="F92" s="25">
        <f t="shared" si="1"/>
        <v>22844.669999999995</v>
      </c>
    </row>
    <row r="93" spans="2:6" x14ac:dyDescent="0.25">
      <c r="B93" s="32">
        <v>42271</v>
      </c>
      <c r="C93" s="26" t="s">
        <v>455</v>
      </c>
      <c r="D93" s="24"/>
      <c r="E93" s="24">
        <v>40</v>
      </c>
      <c r="F93" s="25">
        <f t="shared" si="1"/>
        <v>22804.669999999995</v>
      </c>
    </row>
    <row r="94" spans="2:6" x14ac:dyDescent="0.25">
      <c r="B94" s="32">
        <v>42271</v>
      </c>
      <c r="C94" s="26" t="s">
        <v>456</v>
      </c>
      <c r="D94" s="24"/>
      <c r="E94" s="24">
        <v>120</v>
      </c>
      <c r="F94" s="25">
        <f t="shared" si="1"/>
        <v>22684.669999999995</v>
      </c>
    </row>
    <row r="95" spans="2:6" x14ac:dyDescent="0.25">
      <c r="B95" s="32">
        <v>42271</v>
      </c>
      <c r="C95" s="26" t="s">
        <v>457</v>
      </c>
      <c r="D95" s="24"/>
      <c r="E95" s="24">
        <v>5500</v>
      </c>
      <c r="F95" s="25">
        <f t="shared" si="1"/>
        <v>17184.669999999995</v>
      </c>
    </row>
    <row r="96" spans="2:6" x14ac:dyDescent="0.25">
      <c r="B96" s="32">
        <v>42272</v>
      </c>
      <c r="C96" s="26" t="s">
        <v>458</v>
      </c>
      <c r="D96" s="24"/>
      <c r="E96" s="24">
        <v>720</v>
      </c>
      <c r="F96" s="25">
        <f t="shared" si="1"/>
        <v>16464.669999999995</v>
      </c>
    </row>
    <row r="97" spans="2:6" x14ac:dyDescent="0.25">
      <c r="B97" s="32">
        <v>42272</v>
      </c>
      <c r="C97" s="26" t="s">
        <v>459</v>
      </c>
      <c r="D97" s="24"/>
      <c r="E97" s="24">
        <v>200</v>
      </c>
      <c r="F97" s="25">
        <f t="shared" si="1"/>
        <v>16264.669999999995</v>
      </c>
    </row>
    <row r="98" spans="2:6" x14ac:dyDescent="0.25">
      <c r="B98" s="32">
        <v>42272</v>
      </c>
      <c r="C98" s="26" t="s">
        <v>460</v>
      </c>
      <c r="D98" s="24"/>
      <c r="E98" s="24">
        <v>350</v>
      </c>
      <c r="F98" s="25">
        <f t="shared" si="1"/>
        <v>15914.669999999995</v>
      </c>
    </row>
    <row r="99" spans="2:6" x14ac:dyDescent="0.25">
      <c r="B99" s="32">
        <v>42272</v>
      </c>
      <c r="C99" s="26" t="s">
        <v>95</v>
      </c>
      <c r="D99" s="24"/>
      <c r="E99" s="24">
        <v>800</v>
      </c>
      <c r="F99" s="25">
        <f t="shared" si="1"/>
        <v>15114.669999999995</v>
      </c>
    </row>
    <row r="100" spans="2:6" x14ac:dyDescent="0.25">
      <c r="B100" s="32">
        <v>42272</v>
      </c>
      <c r="C100" s="26" t="s">
        <v>461</v>
      </c>
      <c r="D100" s="24"/>
      <c r="E100" s="24">
        <v>900</v>
      </c>
      <c r="F100" s="25">
        <f t="shared" si="1"/>
        <v>14214.669999999995</v>
      </c>
    </row>
    <row r="101" spans="2:6" x14ac:dyDescent="0.25">
      <c r="B101" s="32">
        <v>42272</v>
      </c>
      <c r="C101" s="26" t="s">
        <v>511</v>
      </c>
      <c r="D101" s="24"/>
      <c r="E101" s="24">
        <v>150</v>
      </c>
      <c r="F101" s="25">
        <f t="shared" si="1"/>
        <v>14064.669999999995</v>
      </c>
    </row>
    <row r="102" spans="2:6" x14ac:dyDescent="0.25">
      <c r="B102" s="32">
        <v>42272</v>
      </c>
      <c r="C102" s="26" t="s">
        <v>512</v>
      </c>
      <c r="D102" s="24"/>
      <c r="E102" s="24">
        <v>48</v>
      </c>
      <c r="F102" s="25">
        <f t="shared" si="1"/>
        <v>14016.669999999995</v>
      </c>
    </row>
    <row r="103" spans="2:6" x14ac:dyDescent="0.25">
      <c r="B103" s="32">
        <v>42273</v>
      </c>
      <c r="C103" s="26" t="s">
        <v>462</v>
      </c>
      <c r="D103" s="24"/>
      <c r="E103" s="24">
        <v>30</v>
      </c>
      <c r="F103" s="25">
        <f t="shared" si="1"/>
        <v>13986.669999999995</v>
      </c>
    </row>
    <row r="104" spans="2:6" x14ac:dyDescent="0.25">
      <c r="B104" s="32">
        <v>42273</v>
      </c>
      <c r="C104" s="26" t="s">
        <v>463</v>
      </c>
      <c r="D104" s="24"/>
      <c r="E104" s="24">
        <v>400</v>
      </c>
      <c r="F104" s="25">
        <f t="shared" si="1"/>
        <v>13586.669999999995</v>
      </c>
    </row>
    <row r="105" spans="2:6" x14ac:dyDescent="0.25">
      <c r="B105" s="32">
        <v>42273</v>
      </c>
      <c r="C105" s="26" t="s">
        <v>419</v>
      </c>
      <c r="D105" s="24"/>
      <c r="E105" s="24">
        <v>80</v>
      </c>
      <c r="F105" s="25">
        <f t="shared" si="1"/>
        <v>13506.669999999995</v>
      </c>
    </row>
    <row r="106" spans="2:6" x14ac:dyDescent="0.25">
      <c r="B106" s="32">
        <v>42273</v>
      </c>
      <c r="C106" s="26" t="s">
        <v>401</v>
      </c>
      <c r="D106" s="24"/>
      <c r="E106" s="24">
        <v>248.3</v>
      </c>
      <c r="F106" s="25">
        <f t="shared" si="1"/>
        <v>13258.369999999995</v>
      </c>
    </row>
    <row r="107" spans="2:6" x14ac:dyDescent="0.25">
      <c r="B107" s="32">
        <v>42273</v>
      </c>
      <c r="C107" s="26" t="s">
        <v>464</v>
      </c>
      <c r="D107" s="24"/>
      <c r="E107" s="24">
        <v>13</v>
      </c>
      <c r="F107" s="25">
        <f t="shared" si="1"/>
        <v>13245.369999999995</v>
      </c>
    </row>
    <row r="108" spans="2:6" x14ac:dyDescent="0.25">
      <c r="B108" s="32">
        <v>42273</v>
      </c>
      <c r="C108" s="26" t="s">
        <v>467</v>
      </c>
      <c r="D108" s="24"/>
      <c r="E108" s="24">
        <v>200</v>
      </c>
      <c r="F108" s="25">
        <f t="shared" si="1"/>
        <v>13045.369999999995</v>
      </c>
    </row>
    <row r="109" spans="2:6" x14ac:dyDescent="0.25">
      <c r="B109" s="32">
        <v>42274</v>
      </c>
      <c r="C109" s="26" t="s">
        <v>465</v>
      </c>
      <c r="D109" s="24"/>
      <c r="E109" s="24">
        <v>48</v>
      </c>
      <c r="F109" s="25">
        <f t="shared" si="1"/>
        <v>12997.369999999995</v>
      </c>
    </row>
    <row r="110" spans="2:6" x14ac:dyDescent="0.25">
      <c r="B110" s="32">
        <v>42274</v>
      </c>
      <c r="C110" s="26" t="s">
        <v>466</v>
      </c>
      <c r="D110" s="24"/>
      <c r="E110" s="24">
        <v>30</v>
      </c>
      <c r="F110" s="25">
        <f t="shared" si="1"/>
        <v>12967.369999999995</v>
      </c>
    </row>
    <row r="111" spans="2:6" x14ac:dyDescent="0.25">
      <c r="B111" s="32">
        <v>42275</v>
      </c>
      <c r="C111" s="26" t="s">
        <v>469</v>
      </c>
      <c r="D111" s="24">
        <v>18840</v>
      </c>
      <c r="E111" s="24"/>
      <c r="F111" s="25">
        <f t="shared" si="1"/>
        <v>31807.369999999995</v>
      </c>
    </row>
    <row r="112" spans="2:6" x14ac:dyDescent="0.25">
      <c r="B112" s="32">
        <v>42275</v>
      </c>
      <c r="C112" s="26" t="s">
        <v>468</v>
      </c>
      <c r="D112" s="24"/>
      <c r="E112" s="24">
        <v>350</v>
      </c>
      <c r="F112" s="25">
        <f t="shared" si="1"/>
        <v>31457.369999999995</v>
      </c>
    </row>
    <row r="113" spans="2:6" x14ac:dyDescent="0.25">
      <c r="B113" s="32">
        <v>42275</v>
      </c>
      <c r="C113" s="26" t="s">
        <v>470</v>
      </c>
      <c r="D113" s="24"/>
      <c r="E113" s="24">
        <v>128</v>
      </c>
      <c r="F113" s="25">
        <f t="shared" si="1"/>
        <v>31329.369999999995</v>
      </c>
    </row>
    <row r="114" spans="2:6" x14ac:dyDescent="0.25">
      <c r="B114" s="32">
        <v>42275</v>
      </c>
      <c r="C114" s="26" t="s">
        <v>471</v>
      </c>
      <c r="D114" s="24"/>
      <c r="E114" s="24">
        <v>19</v>
      </c>
      <c r="F114" s="25">
        <f t="shared" si="1"/>
        <v>31310.369999999995</v>
      </c>
    </row>
    <row r="115" spans="2:6" x14ac:dyDescent="0.25">
      <c r="B115" s="32">
        <v>42276</v>
      </c>
      <c r="C115" s="26" t="s">
        <v>472</v>
      </c>
      <c r="D115" s="24">
        <v>10000</v>
      </c>
      <c r="E115" s="24"/>
      <c r="F115" s="25">
        <f t="shared" si="1"/>
        <v>41310.369999999995</v>
      </c>
    </row>
    <row r="116" spans="2:6" x14ac:dyDescent="0.25">
      <c r="B116" s="32">
        <v>42276</v>
      </c>
      <c r="C116" s="26" t="s">
        <v>473</v>
      </c>
      <c r="D116" s="24"/>
      <c r="E116" s="24">
        <v>150</v>
      </c>
      <c r="F116" s="25">
        <f t="shared" si="1"/>
        <v>41160.369999999995</v>
      </c>
    </row>
    <row r="117" spans="2:6" x14ac:dyDescent="0.25">
      <c r="B117" s="32">
        <v>42277</v>
      </c>
      <c r="C117" s="26" t="s">
        <v>474</v>
      </c>
      <c r="D117" s="24"/>
      <c r="E117" s="24">
        <v>350</v>
      </c>
      <c r="F117" s="25">
        <f t="shared" si="1"/>
        <v>40810.369999999995</v>
      </c>
    </row>
    <row r="118" spans="2:6" x14ac:dyDescent="0.25">
      <c r="B118" s="32">
        <v>42277</v>
      </c>
      <c r="C118" s="26" t="s">
        <v>475</v>
      </c>
      <c r="D118" s="24"/>
      <c r="E118" s="24">
        <v>600</v>
      </c>
      <c r="F118" s="25">
        <f t="shared" si="1"/>
        <v>40210.369999999995</v>
      </c>
    </row>
    <row r="119" spans="2:6" x14ac:dyDescent="0.25">
      <c r="B119" s="32">
        <v>42277</v>
      </c>
      <c r="C119" s="26" t="s">
        <v>419</v>
      </c>
      <c r="D119" s="24"/>
      <c r="E119" s="24">
        <v>80</v>
      </c>
      <c r="F119" s="25">
        <f t="shared" si="1"/>
        <v>40130.369999999995</v>
      </c>
    </row>
    <row r="120" spans="2:6" x14ac:dyDescent="0.25">
      <c r="B120" s="32">
        <v>42277</v>
      </c>
      <c r="C120" s="26" t="s">
        <v>401</v>
      </c>
      <c r="D120" s="24"/>
      <c r="E120" s="24">
        <v>194.9</v>
      </c>
      <c r="F120" s="25">
        <f t="shared" si="1"/>
        <v>39935.469999999994</v>
      </c>
    </row>
    <row r="121" spans="2:6" x14ac:dyDescent="0.25">
      <c r="B121" s="32">
        <v>42277</v>
      </c>
      <c r="C121" s="26" t="s">
        <v>476</v>
      </c>
      <c r="D121" s="24"/>
      <c r="E121" s="24">
        <v>39.799999999999997</v>
      </c>
      <c r="F121" s="25">
        <f t="shared" si="1"/>
        <v>39895.669999999991</v>
      </c>
    </row>
    <row r="122" spans="2:6" x14ac:dyDescent="0.25">
      <c r="B122" s="32">
        <v>42277</v>
      </c>
      <c r="C122" s="26" t="s">
        <v>513</v>
      </c>
      <c r="D122" s="24"/>
      <c r="E122" s="24">
        <v>15</v>
      </c>
      <c r="F122" s="25">
        <f t="shared" si="1"/>
        <v>39880.669999999991</v>
      </c>
    </row>
    <row r="123" spans="2:6" x14ac:dyDescent="0.25">
      <c r="B123" s="32">
        <v>42247</v>
      </c>
      <c r="C123" s="26" t="s">
        <v>477</v>
      </c>
      <c r="D123" s="24"/>
      <c r="E123" s="24">
        <v>3200</v>
      </c>
      <c r="F123" s="25">
        <f t="shared" si="1"/>
        <v>36680.669999999991</v>
      </c>
    </row>
    <row r="124" spans="2:6" x14ac:dyDescent="0.25">
      <c r="B124" s="32">
        <v>42247</v>
      </c>
      <c r="C124" s="27" t="s">
        <v>478</v>
      </c>
      <c r="D124" s="24"/>
      <c r="E124" s="24">
        <v>29000</v>
      </c>
      <c r="F124" s="25">
        <f t="shared" si="1"/>
        <v>7680.669999999991</v>
      </c>
    </row>
    <row r="125" spans="2:6" x14ac:dyDescent="0.25">
      <c r="B125" s="32">
        <v>42247</v>
      </c>
      <c r="C125" s="26" t="s">
        <v>374</v>
      </c>
      <c r="D125" s="24"/>
      <c r="E125" s="24">
        <v>4000</v>
      </c>
      <c r="F125" s="25">
        <f t="shared" si="1"/>
        <v>3680.669999999991</v>
      </c>
    </row>
    <row r="126" spans="2:6" ht="15.75" thickBot="1" x14ac:dyDescent="0.3">
      <c r="B126" s="32"/>
      <c r="C126" s="26"/>
      <c r="D126" s="24"/>
      <c r="E126" s="24"/>
      <c r="F126" s="25">
        <f t="shared" si="1"/>
        <v>3680.669999999991</v>
      </c>
    </row>
    <row r="127" spans="2:6" ht="15.75" thickBot="1" x14ac:dyDescent="0.3">
      <c r="B127" s="54"/>
      <c r="C127" s="17" t="s">
        <v>0</v>
      </c>
      <c r="D127" s="15">
        <f>SUM(D5:D126)</f>
        <v>110490</v>
      </c>
      <c r="E127" s="15">
        <f>SUM(E5:E126)</f>
        <v>115201.95</v>
      </c>
      <c r="F127" s="33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39"/>
  <sheetViews>
    <sheetView topLeftCell="A124" zoomScaleNormal="100" workbookViewId="0">
      <selection activeCell="C150" sqref="C150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42308</v>
      </c>
    </row>
    <row r="2" spans="2:6" x14ac:dyDescent="0.25">
      <c r="B2" s="146" t="s">
        <v>22</v>
      </c>
      <c r="C2" s="146"/>
      <c r="D2" s="146"/>
      <c r="E2" s="146"/>
      <c r="F2" s="146"/>
    </row>
    <row r="3" spans="2:6" ht="15.75" thickBot="1" x14ac:dyDescent="0.3">
      <c r="C3" s="59"/>
      <c r="D3" s="59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42277</v>
      </c>
      <c r="C5" s="19" t="s">
        <v>23</v>
      </c>
      <c r="D5" s="20"/>
      <c r="E5" s="21"/>
      <c r="F5" s="25">
        <v>3680.67</v>
      </c>
    </row>
    <row r="6" spans="2:6" x14ac:dyDescent="0.25">
      <c r="B6" s="32">
        <v>42278</v>
      </c>
      <c r="C6" s="26" t="s">
        <v>479</v>
      </c>
      <c r="D6" s="24"/>
      <c r="E6" s="24">
        <v>119</v>
      </c>
      <c r="F6" s="25">
        <f t="shared" ref="F6:F93" si="0">+F5+D6-E6</f>
        <v>3561.67</v>
      </c>
    </row>
    <row r="7" spans="2:6" x14ac:dyDescent="0.25">
      <c r="B7" s="32">
        <v>42278</v>
      </c>
      <c r="C7" s="26" t="s">
        <v>480</v>
      </c>
      <c r="D7" s="24"/>
      <c r="E7" s="24">
        <v>21</v>
      </c>
      <c r="F7" s="25">
        <f t="shared" si="0"/>
        <v>3540.67</v>
      </c>
    </row>
    <row r="8" spans="2:6" x14ac:dyDescent="0.25">
      <c r="B8" s="32">
        <v>42279</v>
      </c>
      <c r="C8" s="22" t="s">
        <v>481</v>
      </c>
      <c r="D8" s="23"/>
      <c r="E8" s="24">
        <v>800</v>
      </c>
      <c r="F8" s="25">
        <f t="shared" si="0"/>
        <v>2740.67</v>
      </c>
    </row>
    <row r="9" spans="2:6" x14ac:dyDescent="0.25">
      <c r="B9" s="32">
        <v>42279</v>
      </c>
      <c r="C9" s="26" t="s">
        <v>482</v>
      </c>
      <c r="D9" s="24"/>
      <c r="E9" s="24">
        <v>400</v>
      </c>
      <c r="F9" s="25">
        <f t="shared" si="0"/>
        <v>2340.67</v>
      </c>
    </row>
    <row r="10" spans="2:6" x14ac:dyDescent="0.25">
      <c r="B10" s="32">
        <v>42279</v>
      </c>
      <c r="C10" s="26" t="s">
        <v>483</v>
      </c>
      <c r="D10" s="24"/>
      <c r="E10" s="24">
        <v>500</v>
      </c>
      <c r="F10" s="25">
        <f t="shared" si="0"/>
        <v>1840.67</v>
      </c>
    </row>
    <row r="11" spans="2:6" x14ac:dyDescent="0.25">
      <c r="B11" s="32">
        <v>42281</v>
      </c>
      <c r="C11" s="26" t="s">
        <v>484</v>
      </c>
      <c r="D11" s="24"/>
      <c r="E11" s="24">
        <v>26</v>
      </c>
      <c r="F11" s="25">
        <f t="shared" si="0"/>
        <v>1814.67</v>
      </c>
    </row>
    <row r="12" spans="2:6" x14ac:dyDescent="0.25">
      <c r="B12" s="32">
        <v>42282</v>
      </c>
      <c r="C12" s="26" t="s">
        <v>487</v>
      </c>
      <c r="D12" s="24">
        <v>25815</v>
      </c>
      <c r="E12" s="24"/>
      <c r="F12" s="25">
        <f t="shared" si="0"/>
        <v>27629.67</v>
      </c>
    </row>
    <row r="13" spans="2:6" x14ac:dyDescent="0.25">
      <c r="B13" s="32">
        <v>42282</v>
      </c>
      <c r="C13" s="26" t="s">
        <v>485</v>
      </c>
      <c r="D13" s="24"/>
      <c r="E13" s="24">
        <v>160</v>
      </c>
      <c r="F13" s="25">
        <f t="shared" si="0"/>
        <v>27469.67</v>
      </c>
    </row>
    <row r="14" spans="2:6" x14ac:dyDescent="0.25">
      <c r="B14" s="32">
        <v>42282</v>
      </c>
      <c r="C14" s="26" t="s">
        <v>486</v>
      </c>
      <c r="D14" s="24"/>
      <c r="E14" s="24">
        <v>400</v>
      </c>
      <c r="F14" s="25">
        <f t="shared" si="0"/>
        <v>27069.67</v>
      </c>
    </row>
    <row r="15" spans="2:6" x14ac:dyDescent="0.25">
      <c r="B15" s="32">
        <v>42283</v>
      </c>
      <c r="C15" s="26" t="s">
        <v>488</v>
      </c>
      <c r="D15" s="24"/>
      <c r="E15" s="24">
        <v>96.5</v>
      </c>
      <c r="F15" s="25">
        <f t="shared" si="0"/>
        <v>26973.17</v>
      </c>
    </row>
    <row r="16" spans="2:6" x14ac:dyDescent="0.25">
      <c r="B16" s="32">
        <v>42284</v>
      </c>
      <c r="C16" s="26" t="s">
        <v>489</v>
      </c>
      <c r="D16" s="24"/>
      <c r="E16" s="24">
        <v>571</v>
      </c>
      <c r="F16" s="25">
        <f t="shared" si="0"/>
        <v>26402.17</v>
      </c>
    </row>
    <row r="17" spans="2:7" x14ac:dyDescent="0.25">
      <c r="B17" s="32">
        <v>42284</v>
      </c>
      <c r="C17" s="27" t="s">
        <v>490</v>
      </c>
      <c r="D17" s="24"/>
      <c r="E17" s="24">
        <v>3</v>
      </c>
      <c r="F17" s="25">
        <f t="shared" si="0"/>
        <v>26399.17</v>
      </c>
    </row>
    <row r="18" spans="2:7" x14ac:dyDescent="0.25">
      <c r="B18" s="32">
        <v>42284</v>
      </c>
      <c r="C18" s="26" t="s">
        <v>491</v>
      </c>
      <c r="D18" s="24"/>
      <c r="E18" s="24">
        <v>1080</v>
      </c>
      <c r="F18" s="25">
        <f t="shared" si="0"/>
        <v>25319.17</v>
      </c>
    </row>
    <row r="19" spans="2:7" x14ac:dyDescent="0.25">
      <c r="B19" s="32">
        <v>42284</v>
      </c>
      <c r="C19" s="26" t="s">
        <v>492</v>
      </c>
      <c r="D19" s="24"/>
      <c r="E19" s="24">
        <v>200</v>
      </c>
      <c r="F19" s="25">
        <f t="shared" si="0"/>
        <v>25119.17</v>
      </c>
    </row>
    <row r="20" spans="2:7" x14ac:dyDescent="0.25">
      <c r="B20" s="32">
        <v>42284</v>
      </c>
      <c r="C20" s="26" t="s">
        <v>493</v>
      </c>
      <c r="D20" s="24"/>
      <c r="E20" s="24">
        <v>300</v>
      </c>
      <c r="F20" s="25">
        <f t="shared" si="0"/>
        <v>24819.17</v>
      </c>
    </row>
    <row r="21" spans="2:7" x14ac:dyDescent="0.25">
      <c r="B21" s="32">
        <v>42286</v>
      </c>
      <c r="C21" s="26" t="s">
        <v>494</v>
      </c>
      <c r="D21" s="24"/>
      <c r="E21" s="24">
        <v>1577.92</v>
      </c>
      <c r="F21" s="25">
        <f t="shared" si="0"/>
        <v>23241.25</v>
      </c>
    </row>
    <row r="22" spans="2:7" x14ac:dyDescent="0.25">
      <c r="B22" s="32">
        <v>42286</v>
      </c>
      <c r="C22" s="26" t="s">
        <v>495</v>
      </c>
      <c r="D22" s="24"/>
      <c r="E22" s="24">
        <v>128</v>
      </c>
      <c r="F22" s="25">
        <f t="shared" si="0"/>
        <v>23113.25</v>
      </c>
    </row>
    <row r="23" spans="2:7" x14ac:dyDescent="0.25">
      <c r="B23" s="32">
        <v>42286</v>
      </c>
      <c r="C23" s="26" t="s">
        <v>496</v>
      </c>
      <c r="D23" s="24"/>
      <c r="E23" s="24">
        <v>300</v>
      </c>
      <c r="F23" s="25">
        <f t="shared" si="0"/>
        <v>22813.25</v>
      </c>
    </row>
    <row r="24" spans="2:7" x14ac:dyDescent="0.25">
      <c r="B24" s="32">
        <v>42286</v>
      </c>
      <c r="C24" s="27" t="s">
        <v>481</v>
      </c>
      <c r="D24" s="24"/>
      <c r="E24" s="24">
        <v>1000</v>
      </c>
      <c r="F24" s="25">
        <f t="shared" si="0"/>
        <v>21813.25</v>
      </c>
    </row>
    <row r="25" spans="2:7" x14ac:dyDescent="0.25">
      <c r="B25" s="32">
        <v>42286</v>
      </c>
      <c r="C25" s="27" t="s">
        <v>516</v>
      </c>
      <c r="D25" s="24"/>
      <c r="E25" s="24">
        <v>500</v>
      </c>
      <c r="F25" s="25">
        <f t="shared" si="0"/>
        <v>21313.25</v>
      </c>
    </row>
    <row r="26" spans="2:7" x14ac:dyDescent="0.25">
      <c r="B26" s="32">
        <v>42286</v>
      </c>
      <c r="C26" s="26" t="s">
        <v>328</v>
      </c>
      <c r="D26" s="24">
        <v>400</v>
      </c>
      <c r="E26" s="24"/>
      <c r="F26" s="25">
        <f t="shared" si="0"/>
        <v>21713.25</v>
      </c>
    </row>
    <row r="27" spans="2:7" x14ac:dyDescent="0.25">
      <c r="B27" s="32">
        <v>42287</v>
      </c>
      <c r="C27" s="26" t="s">
        <v>476</v>
      </c>
      <c r="D27" s="24"/>
      <c r="E27" s="24">
        <v>199.5</v>
      </c>
      <c r="F27" s="25">
        <f t="shared" si="0"/>
        <v>21513.75</v>
      </c>
    </row>
    <row r="28" spans="2:7" x14ac:dyDescent="0.25">
      <c r="B28" s="32">
        <v>42287</v>
      </c>
      <c r="C28" s="27" t="s">
        <v>497</v>
      </c>
      <c r="D28" s="24"/>
      <c r="E28" s="24">
        <v>36</v>
      </c>
      <c r="F28" s="25">
        <f t="shared" si="0"/>
        <v>21477.75</v>
      </c>
    </row>
    <row r="29" spans="2:7" x14ac:dyDescent="0.25">
      <c r="B29" s="32">
        <v>42287</v>
      </c>
      <c r="C29" s="26" t="s">
        <v>490</v>
      </c>
      <c r="D29" s="24"/>
      <c r="E29" s="24">
        <v>3</v>
      </c>
      <c r="F29" s="25">
        <f t="shared" si="0"/>
        <v>21474.75</v>
      </c>
      <c r="G29" s="1"/>
    </row>
    <row r="30" spans="2:7" x14ac:dyDescent="0.25">
      <c r="B30" s="32">
        <v>42288</v>
      </c>
      <c r="C30" s="35" t="s">
        <v>498</v>
      </c>
      <c r="D30" s="24"/>
      <c r="E30" s="24">
        <v>80</v>
      </c>
      <c r="F30" s="25">
        <f t="shared" si="0"/>
        <v>21394.75</v>
      </c>
    </row>
    <row r="31" spans="2:7" x14ac:dyDescent="0.25">
      <c r="B31" s="32">
        <v>42288</v>
      </c>
      <c r="C31" s="26" t="s">
        <v>484</v>
      </c>
      <c r="D31" s="24"/>
      <c r="E31" s="24">
        <v>103.5</v>
      </c>
      <c r="F31" s="25">
        <f t="shared" si="0"/>
        <v>21291.25</v>
      </c>
    </row>
    <row r="32" spans="2:7" x14ac:dyDescent="0.25">
      <c r="B32" s="32">
        <v>42289</v>
      </c>
      <c r="C32" s="26" t="s">
        <v>517</v>
      </c>
      <c r="D32" s="24">
        <v>27210</v>
      </c>
      <c r="E32" s="24"/>
      <c r="F32" s="25">
        <f t="shared" si="0"/>
        <v>48501.25</v>
      </c>
    </row>
    <row r="33" spans="2:6" x14ac:dyDescent="0.25">
      <c r="B33" s="32">
        <v>42289</v>
      </c>
      <c r="C33" s="26" t="s">
        <v>518</v>
      </c>
      <c r="D33" s="24"/>
      <c r="E33" s="24">
        <v>406</v>
      </c>
      <c r="F33" s="25">
        <f t="shared" si="0"/>
        <v>48095.25</v>
      </c>
    </row>
    <row r="34" spans="2:6" x14ac:dyDescent="0.25">
      <c r="B34" s="32">
        <v>42290</v>
      </c>
      <c r="C34" s="26" t="s">
        <v>519</v>
      </c>
      <c r="D34" s="24"/>
      <c r="E34" s="24">
        <v>53.5</v>
      </c>
      <c r="F34" s="25">
        <f t="shared" si="0"/>
        <v>48041.75</v>
      </c>
    </row>
    <row r="35" spans="2:6" x14ac:dyDescent="0.25">
      <c r="B35" s="32">
        <v>42290</v>
      </c>
      <c r="C35" s="35" t="s">
        <v>520</v>
      </c>
      <c r="D35" s="24"/>
      <c r="E35" s="24">
        <v>407.1</v>
      </c>
      <c r="F35" s="25">
        <f t="shared" si="0"/>
        <v>47634.65</v>
      </c>
    </row>
    <row r="36" spans="2:6" x14ac:dyDescent="0.25">
      <c r="B36" s="32">
        <v>42291</v>
      </c>
      <c r="C36" s="22" t="s">
        <v>519</v>
      </c>
      <c r="D36" s="24"/>
      <c r="E36" s="24">
        <v>61.5</v>
      </c>
      <c r="F36" s="25">
        <f t="shared" si="0"/>
        <v>47573.15</v>
      </c>
    </row>
    <row r="37" spans="2:6" x14ac:dyDescent="0.25">
      <c r="B37" s="32">
        <v>42291</v>
      </c>
      <c r="C37" s="26" t="s">
        <v>35</v>
      </c>
      <c r="D37" s="24"/>
      <c r="E37" s="24">
        <v>96</v>
      </c>
      <c r="F37" s="25">
        <f t="shared" si="0"/>
        <v>47477.15</v>
      </c>
    </row>
    <row r="38" spans="2:6" x14ac:dyDescent="0.25">
      <c r="B38" s="32">
        <v>42291</v>
      </c>
      <c r="C38" s="26" t="s">
        <v>521</v>
      </c>
      <c r="D38" s="24"/>
      <c r="E38" s="24">
        <v>500</v>
      </c>
      <c r="F38" s="25">
        <f t="shared" si="0"/>
        <v>46977.15</v>
      </c>
    </row>
    <row r="39" spans="2:6" x14ac:dyDescent="0.25">
      <c r="B39" s="32">
        <v>42291</v>
      </c>
      <c r="C39" s="26" t="s">
        <v>522</v>
      </c>
      <c r="D39" s="24"/>
      <c r="E39" s="24">
        <v>800</v>
      </c>
      <c r="F39" s="25">
        <f t="shared" si="0"/>
        <v>46177.15</v>
      </c>
    </row>
    <row r="40" spans="2:6" x14ac:dyDescent="0.25">
      <c r="B40" s="32">
        <v>42292</v>
      </c>
      <c r="C40" s="26" t="s">
        <v>523</v>
      </c>
      <c r="D40" s="24"/>
      <c r="E40" s="24">
        <v>350</v>
      </c>
      <c r="F40" s="25">
        <f t="shared" si="0"/>
        <v>45827.15</v>
      </c>
    </row>
    <row r="41" spans="2:6" x14ac:dyDescent="0.25">
      <c r="B41" s="32">
        <v>42292</v>
      </c>
      <c r="C41" s="26" t="s">
        <v>235</v>
      </c>
      <c r="D41" s="24"/>
      <c r="E41" s="24">
        <v>189.6</v>
      </c>
      <c r="F41" s="25">
        <f t="shared" si="0"/>
        <v>45637.55</v>
      </c>
    </row>
    <row r="42" spans="2:6" x14ac:dyDescent="0.25">
      <c r="B42" s="32">
        <v>42292</v>
      </c>
      <c r="C42" s="26" t="s">
        <v>524</v>
      </c>
      <c r="D42" s="24"/>
      <c r="E42" s="24">
        <v>1187</v>
      </c>
      <c r="F42" s="25">
        <f t="shared" si="0"/>
        <v>44450.55</v>
      </c>
    </row>
    <row r="43" spans="2:6" x14ac:dyDescent="0.25">
      <c r="B43" s="32">
        <v>42292</v>
      </c>
      <c r="C43" s="26" t="s">
        <v>525</v>
      </c>
      <c r="D43" s="24"/>
      <c r="E43" s="24">
        <v>203.55</v>
      </c>
      <c r="F43" s="25">
        <f t="shared" si="0"/>
        <v>44247</v>
      </c>
    </row>
    <row r="44" spans="2:6" x14ac:dyDescent="0.25">
      <c r="B44" s="32">
        <v>42292</v>
      </c>
      <c r="C44" s="26" t="s">
        <v>526</v>
      </c>
      <c r="D44" s="24"/>
      <c r="E44" s="24">
        <v>200</v>
      </c>
      <c r="F44" s="25">
        <f t="shared" si="0"/>
        <v>44047</v>
      </c>
    </row>
    <row r="45" spans="2:6" x14ac:dyDescent="0.25">
      <c r="B45" s="32">
        <v>42292</v>
      </c>
      <c r="C45" s="26" t="s">
        <v>527</v>
      </c>
      <c r="D45" s="24"/>
      <c r="E45" s="24">
        <v>176</v>
      </c>
      <c r="F45" s="25">
        <f t="shared" si="0"/>
        <v>43871</v>
      </c>
    </row>
    <row r="46" spans="2:6" x14ac:dyDescent="0.25">
      <c r="B46" s="32">
        <v>42292</v>
      </c>
      <c r="C46" s="26" t="s">
        <v>528</v>
      </c>
      <c r="D46" s="24"/>
      <c r="E46" s="24">
        <v>350</v>
      </c>
      <c r="F46" s="25">
        <f t="shared" si="0"/>
        <v>43521</v>
      </c>
    </row>
    <row r="47" spans="2:6" x14ac:dyDescent="0.25">
      <c r="B47" s="32">
        <v>42292</v>
      </c>
      <c r="C47" s="26" t="s">
        <v>529</v>
      </c>
      <c r="D47" s="24"/>
      <c r="E47" s="24">
        <v>250</v>
      </c>
      <c r="F47" s="25">
        <f t="shared" si="0"/>
        <v>43271</v>
      </c>
    </row>
    <row r="48" spans="2:6" x14ac:dyDescent="0.25">
      <c r="B48" s="32">
        <v>42292</v>
      </c>
      <c r="C48" s="26" t="s">
        <v>530</v>
      </c>
      <c r="D48" s="24"/>
      <c r="E48" s="24">
        <v>46</v>
      </c>
      <c r="F48" s="25">
        <f t="shared" si="0"/>
        <v>43225</v>
      </c>
    </row>
    <row r="49" spans="2:6" x14ac:dyDescent="0.25">
      <c r="B49" s="32">
        <v>42292</v>
      </c>
      <c r="C49" s="26" t="s">
        <v>531</v>
      </c>
      <c r="D49" s="24"/>
      <c r="E49" s="24">
        <v>3</v>
      </c>
      <c r="F49" s="25">
        <f t="shared" si="0"/>
        <v>43222</v>
      </c>
    </row>
    <row r="50" spans="2:6" x14ac:dyDescent="0.25">
      <c r="B50" s="32">
        <v>42292</v>
      </c>
      <c r="C50" s="26" t="s">
        <v>532</v>
      </c>
      <c r="D50" s="24"/>
      <c r="E50" s="24">
        <v>3200</v>
      </c>
      <c r="F50" s="25">
        <f t="shared" si="0"/>
        <v>40022</v>
      </c>
    </row>
    <row r="51" spans="2:6" x14ac:dyDescent="0.25">
      <c r="B51" s="32">
        <v>42292</v>
      </c>
      <c r="C51" s="26" t="s">
        <v>533</v>
      </c>
      <c r="D51" s="24"/>
      <c r="E51" s="24">
        <v>29000</v>
      </c>
      <c r="F51" s="25">
        <f t="shared" si="0"/>
        <v>11022</v>
      </c>
    </row>
    <row r="52" spans="2:6" x14ac:dyDescent="0.25">
      <c r="B52" s="32">
        <v>42292</v>
      </c>
      <c r="C52" s="26" t="s">
        <v>534</v>
      </c>
      <c r="D52" s="24"/>
      <c r="E52" s="24">
        <v>4000</v>
      </c>
      <c r="F52" s="25">
        <f t="shared" si="0"/>
        <v>7022</v>
      </c>
    </row>
    <row r="53" spans="2:6" x14ac:dyDescent="0.25">
      <c r="B53" s="32">
        <v>42293</v>
      </c>
      <c r="C53" s="26" t="s">
        <v>481</v>
      </c>
      <c r="D53" s="24"/>
      <c r="E53" s="24">
        <v>1000</v>
      </c>
      <c r="F53" s="25">
        <f t="shared" si="0"/>
        <v>6022</v>
      </c>
    </row>
    <row r="54" spans="2:6" x14ac:dyDescent="0.25">
      <c r="B54" s="32">
        <v>42293</v>
      </c>
      <c r="C54" s="26" t="s">
        <v>535</v>
      </c>
      <c r="D54" s="24"/>
      <c r="E54" s="24">
        <v>200</v>
      </c>
      <c r="F54" s="25">
        <f t="shared" si="0"/>
        <v>5822</v>
      </c>
    </row>
    <row r="55" spans="2:6" x14ac:dyDescent="0.25">
      <c r="B55" s="32">
        <v>42293</v>
      </c>
      <c r="C55" s="26" t="s">
        <v>536</v>
      </c>
      <c r="D55" s="24"/>
      <c r="E55" s="24">
        <v>199.98</v>
      </c>
      <c r="F55" s="25">
        <f t="shared" si="0"/>
        <v>5622.02</v>
      </c>
    </row>
    <row r="56" spans="2:6" x14ac:dyDescent="0.25">
      <c r="B56" s="32">
        <v>42293</v>
      </c>
      <c r="C56" s="26" t="s">
        <v>496</v>
      </c>
      <c r="D56" s="24"/>
      <c r="E56" s="24">
        <v>2250</v>
      </c>
      <c r="F56" s="25">
        <f t="shared" si="0"/>
        <v>3372.0200000000004</v>
      </c>
    </row>
    <row r="57" spans="2:6" x14ac:dyDescent="0.25">
      <c r="B57" s="32">
        <v>42293</v>
      </c>
      <c r="C57" s="26" t="s">
        <v>538</v>
      </c>
      <c r="D57" s="24"/>
      <c r="E57" s="24">
        <v>80</v>
      </c>
      <c r="F57" s="25">
        <f t="shared" si="0"/>
        <v>3292.0200000000004</v>
      </c>
    </row>
    <row r="58" spans="2:6" x14ac:dyDescent="0.25">
      <c r="B58" s="32">
        <v>42293</v>
      </c>
      <c r="C58" s="26" t="s">
        <v>539</v>
      </c>
      <c r="D58" s="24"/>
      <c r="E58" s="24">
        <v>480</v>
      </c>
      <c r="F58" s="25">
        <f t="shared" si="0"/>
        <v>2812.0200000000004</v>
      </c>
    </row>
    <row r="59" spans="2:6" x14ac:dyDescent="0.25">
      <c r="B59" s="32">
        <v>42294</v>
      </c>
      <c r="C59" s="26" t="s">
        <v>540</v>
      </c>
      <c r="D59" s="24"/>
      <c r="E59" s="24">
        <v>5000</v>
      </c>
      <c r="F59" s="25">
        <f t="shared" si="0"/>
        <v>-2187.9799999999996</v>
      </c>
    </row>
    <row r="60" spans="2:6" x14ac:dyDescent="0.25">
      <c r="B60" s="32">
        <v>42294</v>
      </c>
      <c r="C60" s="26" t="s">
        <v>541</v>
      </c>
      <c r="D60" s="24"/>
      <c r="E60" s="24">
        <v>17</v>
      </c>
      <c r="F60" s="25">
        <f t="shared" si="0"/>
        <v>-2204.9799999999996</v>
      </c>
    </row>
    <row r="61" spans="2:6" x14ac:dyDescent="0.25">
      <c r="B61" s="32">
        <v>42295</v>
      </c>
      <c r="C61" s="26" t="s">
        <v>484</v>
      </c>
      <c r="D61" s="24"/>
      <c r="E61" s="24">
        <v>41</v>
      </c>
      <c r="F61" s="25">
        <f t="shared" si="0"/>
        <v>-2245.9799999999996</v>
      </c>
    </row>
    <row r="62" spans="2:6" x14ac:dyDescent="0.25">
      <c r="B62" s="32">
        <v>42295</v>
      </c>
      <c r="C62" s="26" t="s">
        <v>542</v>
      </c>
      <c r="D62" s="24">
        <v>16810</v>
      </c>
      <c r="E62" s="24"/>
      <c r="F62" s="25">
        <f t="shared" si="0"/>
        <v>14564.02</v>
      </c>
    </row>
    <row r="63" spans="2:6" x14ac:dyDescent="0.25">
      <c r="B63" s="32">
        <v>42296</v>
      </c>
      <c r="C63" s="26" t="s">
        <v>543</v>
      </c>
      <c r="D63" s="24">
        <v>20000</v>
      </c>
      <c r="E63" s="24"/>
      <c r="F63" s="25">
        <f t="shared" si="0"/>
        <v>34564.020000000004</v>
      </c>
    </row>
    <row r="64" spans="2:6" x14ac:dyDescent="0.25">
      <c r="B64" s="32">
        <v>42296</v>
      </c>
      <c r="C64" s="115" t="s">
        <v>547</v>
      </c>
      <c r="D64" s="24"/>
      <c r="E64" s="24">
        <v>350</v>
      </c>
      <c r="F64" s="25">
        <f t="shared" si="0"/>
        <v>34214.020000000004</v>
      </c>
    </row>
    <row r="65" spans="2:6" x14ac:dyDescent="0.25">
      <c r="B65" s="32">
        <v>42296</v>
      </c>
      <c r="C65" s="115" t="s">
        <v>554</v>
      </c>
      <c r="D65" s="24"/>
      <c r="E65" s="24">
        <v>9000</v>
      </c>
      <c r="F65" s="25">
        <f t="shared" si="0"/>
        <v>25214.020000000004</v>
      </c>
    </row>
    <row r="66" spans="2:6" x14ac:dyDescent="0.25">
      <c r="B66" s="32">
        <v>42296</v>
      </c>
      <c r="C66" s="115" t="s">
        <v>548</v>
      </c>
      <c r="D66" s="24"/>
      <c r="E66" s="24">
        <v>96</v>
      </c>
      <c r="F66" s="25">
        <f t="shared" si="0"/>
        <v>25118.020000000004</v>
      </c>
    </row>
    <row r="67" spans="2:6" x14ac:dyDescent="0.25">
      <c r="B67" s="32">
        <v>42296</v>
      </c>
      <c r="C67" s="114" t="s">
        <v>555</v>
      </c>
      <c r="D67" s="24"/>
      <c r="E67" s="24">
        <v>220</v>
      </c>
      <c r="F67" s="25">
        <f t="shared" si="0"/>
        <v>24898.020000000004</v>
      </c>
    </row>
    <row r="68" spans="2:6" x14ac:dyDescent="0.25">
      <c r="B68" s="32">
        <v>42296</v>
      </c>
      <c r="C68" s="115" t="s">
        <v>549</v>
      </c>
      <c r="D68" s="24"/>
      <c r="E68" s="24">
        <v>195</v>
      </c>
      <c r="F68" s="25">
        <f t="shared" si="0"/>
        <v>24703.020000000004</v>
      </c>
    </row>
    <row r="69" spans="2:6" x14ac:dyDescent="0.25">
      <c r="B69" s="32">
        <v>42296</v>
      </c>
      <c r="C69" s="115" t="s">
        <v>556</v>
      </c>
      <c r="D69" s="24"/>
      <c r="E69" s="24">
        <v>1750</v>
      </c>
      <c r="F69" s="25">
        <f t="shared" si="0"/>
        <v>22953.020000000004</v>
      </c>
    </row>
    <row r="70" spans="2:6" x14ac:dyDescent="0.25">
      <c r="B70" s="32">
        <v>42296</v>
      </c>
      <c r="C70" s="115" t="s">
        <v>550</v>
      </c>
      <c r="D70" s="24"/>
      <c r="E70" s="24">
        <v>200</v>
      </c>
      <c r="F70" s="25">
        <f t="shared" si="0"/>
        <v>22753.020000000004</v>
      </c>
    </row>
    <row r="71" spans="2:6" x14ac:dyDescent="0.25">
      <c r="B71" s="32">
        <v>42297</v>
      </c>
      <c r="C71" s="115" t="s">
        <v>609</v>
      </c>
      <c r="D71" s="24"/>
      <c r="E71" s="24">
        <v>250</v>
      </c>
      <c r="F71" s="25">
        <f t="shared" si="0"/>
        <v>22503.020000000004</v>
      </c>
    </row>
    <row r="72" spans="2:6" x14ac:dyDescent="0.25">
      <c r="B72" s="32">
        <v>42298</v>
      </c>
      <c r="C72" s="115" t="s">
        <v>551</v>
      </c>
      <c r="D72" s="24"/>
      <c r="E72" s="24">
        <v>1760</v>
      </c>
      <c r="F72" s="25">
        <f t="shared" si="0"/>
        <v>20743.020000000004</v>
      </c>
    </row>
    <row r="73" spans="2:6" x14ac:dyDescent="0.25">
      <c r="B73" s="32">
        <v>42298</v>
      </c>
      <c r="C73" s="115" t="s">
        <v>557</v>
      </c>
      <c r="D73" s="24"/>
      <c r="E73" s="24">
        <v>1150</v>
      </c>
      <c r="F73" s="25">
        <f t="shared" si="0"/>
        <v>19593.020000000004</v>
      </c>
    </row>
    <row r="74" spans="2:6" x14ac:dyDescent="0.25">
      <c r="B74" s="32">
        <v>42298</v>
      </c>
      <c r="C74" s="114" t="s">
        <v>552</v>
      </c>
      <c r="D74" s="24"/>
      <c r="E74" s="24">
        <v>80</v>
      </c>
      <c r="F74" s="25">
        <f t="shared" si="0"/>
        <v>19513.020000000004</v>
      </c>
    </row>
    <row r="75" spans="2:6" x14ac:dyDescent="0.25">
      <c r="B75" s="32">
        <v>42298</v>
      </c>
      <c r="C75" s="115" t="s">
        <v>558</v>
      </c>
      <c r="D75" s="24"/>
      <c r="E75" s="24">
        <v>400</v>
      </c>
      <c r="F75" s="25">
        <f t="shared" si="0"/>
        <v>19113.020000000004</v>
      </c>
    </row>
    <row r="76" spans="2:6" x14ac:dyDescent="0.25">
      <c r="B76" s="32">
        <v>42298</v>
      </c>
      <c r="C76" s="114" t="s">
        <v>559</v>
      </c>
      <c r="D76" s="24"/>
      <c r="E76" s="24">
        <v>200</v>
      </c>
      <c r="F76" s="25">
        <f t="shared" si="0"/>
        <v>18913.020000000004</v>
      </c>
    </row>
    <row r="77" spans="2:6" x14ac:dyDescent="0.25">
      <c r="B77" s="32">
        <v>42299</v>
      </c>
      <c r="C77" s="115" t="s">
        <v>560</v>
      </c>
      <c r="D77" s="24"/>
      <c r="E77" s="24">
        <v>100</v>
      </c>
      <c r="F77" s="25">
        <f t="shared" si="0"/>
        <v>18813.020000000004</v>
      </c>
    </row>
    <row r="78" spans="2:6" x14ac:dyDescent="0.25">
      <c r="B78" s="32">
        <v>42299</v>
      </c>
      <c r="C78" s="115" t="s">
        <v>561</v>
      </c>
      <c r="D78" s="24"/>
      <c r="E78" s="24">
        <v>720</v>
      </c>
      <c r="F78" s="25">
        <f t="shared" si="0"/>
        <v>18093.020000000004</v>
      </c>
    </row>
    <row r="79" spans="2:6" x14ac:dyDescent="0.25">
      <c r="B79" s="32">
        <v>42299</v>
      </c>
      <c r="C79" s="115" t="s">
        <v>562</v>
      </c>
      <c r="D79" s="24"/>
      <c r="E79" s="24">
        <v>80</v>
      </c>
      <c r="F79" s="25">
        <f t="shared" si="0"/>
        <v>18013.020000000004</v>
      </c>
    </row>
    <row r="80" spans="2:6" x14ac:dyDescent="0.25">
      <c r="B80" s="32">
        <v>42299</v>
      </c>
      <c r="C80" s="115" t="s">
        <v>563</v>
      </c>
      <c r="D80" s="24"/>
      <c r="E80" s="24">
        <v>328</v>
      </c>
      <c r="F80" s="25">
        <f t="shared" si="0"/>
        <v>17685.020000000004</v>
      </c>
    </row>
    <row r="81" spans="2:6" x14ac:dyDescent="0.25">
      <c r="B81" s="32">
        <v>42299</v>
      </c>
      <c r="C81" s="115" t="s">
        <v>553</v>
      </c>
      <c r="D81" s="24"/>
      <c r="E81" s="24">
        <v>50</v>
      </c>
      <c r="F81" s="25">
        <f t="shared" si="0"/>
        <v>17635.020000000004</v>
      </c>
    </row>
    <row r="82" spans="2:6" x14ac:dyDescent="0.25">
      <c r="B82" s="32">
        <v>42300</v>
      </c>
      <c r="C82" s="115" t="s">
        <v>564</v>
      </c>
      <c r="D82" s="24"/>
      <c r="E82" s="24">
        <v>1000</v>
      </c>
      <c r="F82" s="25">
        <f t="shared" si="0"/>
        <v>16635.020000000004</v>
      </c>
    </row>
    <row r="83" spans="2:6" x14ac:dyDescent="0.25">
      <c r="B83" s="32">
        <v>42300</v>
      </c>
      <c r="C83" s="115" t="s">
        <v>496</v>
      </c>
      <c r="D83" s="24"/>
      <c r="E83" s="24">
        <v>1800</v>
      </c>
      <c r="F83" s="25">
        <f t="shared" si="0"/>
        <v>14835.020000000004</v>
      </c>
    </row>
    <row r="84" spans="2:6" x14ac:dyDescent="0.25">
      <c r="B84" s="32">
        <v>42300</v>
      </c>
      <c r="C84" s="115" t="s">
        <v>485</v>
      </c>
      <c r="D84" s="24"/>
      <c r="E84" s="24">
        <v>250</v>
      </c>
      <c r="F84" s="25">
        <f t="shared" si="0"/>
        <v>14585.020000000004</v>
      </c>
    </row>
    <row r="85" spans="2:6" x14ac:dyDescent="0.25">
      <c r="B85" s="32">
        <v>42300</v>
      </c>
      <c r="C85" s="115" t="s">
        <v>565</v>
      </c>
      <c r="D85" s="24"/>
      <c r="E85" s="24">
        <v>350</v>
      </c>
      <c r="F85" s="25">
        <f t="shared" si="0"/>
        <v>14235.020000000004</v>
      </c>
    </row>
    <row r="86" spans="2:6" x14ac:dyDescent="0.25">
      <c r="B86" s="32">
        <v>42300</v>
      </c>
      <c r="C86" s="115" t="s">
        <v>566</v>
      </c>
      <c r="D86" s="24"/>
      <c r="E86" s="24">
        <v>1200</v>
      </c>
      <c r="F86" s="25">
        <f t="shared" si="0"/>
        <v>13035.020000000004</v>
      </c>
    </row>
    <row r="87" spans="2:6" x14ac:dyDescent="0.25">
      <c r="B87" s="32">
        <v>42300</v>
      </c>
      <c r="C87" s="115" t="s">
        <v>567</v>
      </c>
      <c r="D87" s="24"/>
      <c r="E87" s="24">
        <v>1400</v>
      </c>
      <c r="F87" s="25">
        <f t="shared" si="0"/>
        <v>11635.020000000004</v>
      </c>
    </row>
    <row r="88" spans="2:6" x14ac:dyDescent="0.25">
      <c r="B88" s="32">
        <v>42302</v>
      </c>
      <c r="C88" s="115" t="s">
        <v>568</v>
      </c>
      <c r="D88" s="24"/>
      <c r="E88" s="24">
        <v>80</v>
      </c>
      <c r="F88" s="25">
        <f t="shared" si="0"/>
        <v>11555.020000000004</v>
      </c>
    </row>
    <row r="89" spans="2:6" x14ac:dyDescent="0.25">
      <c r="B89" s="32">
        <v>42302</v>
      </c>
      <c r="C89" s="115" t="s">
        <v>569</v>
      </c>
      <c r="D89" s="24"/>
      <c r="E89" s="24">
        <v>500</v>
      </c>
      <c r="F89" s="25">
        <f t="shared" si="0"/>
        <v>11055.020000000004</v>
      </c>
    </row>
    <row r="90" spans="2:6" x14ac:dyDescent="0.25">
      <c r="B90" s="32">
        <v>42302</v>
      </c>
      <c r="C90" s="115" t="s">
        <v>570</v>
      </c>
      <c r="D90" s="24"/>
      <c r="E90" s="24">
        <v>799</v>
      </c>
      <c r="F90" s="25">
        <f t="shared" si="0"/>
        <v>10256.020000000004</v>
      </c>
    </row>
    <row r="91" spans="2:6" x14ac:dyDescent="0.25">
      <c r="B91" s="32">
        <v>42302</v>
      </c>
      <c r="C91" s="115" t="s">
        <v>571</v>
      </c>
      <c r="D91" s="24"/>
      <c r="E91" s="24">
        <v>505</v>
      </c>
      <c r="F91" s="25">
        <f t="shared" si="0"/>
        <v>9751.0200000000041</v>
      </c>
    </row>
    <row r="92" spans="2:6" x14ac:dyDescent="0.25">
      <c r="B92" s="32">
        <v>42302</v>
      </c>
      <c r="C92" s="115" t="s">
        <v>572</v>
      </c>
      <c r="D92" s="24"/>
      <c r="E92" s="24">
        <v>143.5</v>
      </c>
      <c r="F92" s="25">
        <f t="shared" si="0"/>
        <v>9607.5200000000041</v>
      </c>
    </row>
    <row r="93" spans="2:6" x14ac:dyDescent="0.25">
      <c r="B93" s="32">
        <v>42302</v>
      </c>
      <c r="C93" s="115" t="s">
        <v>573</v>
      </c>
      <c r="D93" s="24">
        <v>31500</v>
      </c>
      <c r="E93" s="24"/>
      <c r="F93" s="25">
        <f t="shared" si="0"/>
        <v>41107.520000000004</v>
      </c>
    </row>
    <row r="94" spans="2:6" x14ac:dyDescent="0.25">
      <c r="B94" s="32">
        <v>42303</v>
      </c>
      <c r="C94" s="115" t="s">
        <v>574</v>
      </c>
      <c r="D94" s="24"/>
      <c r="E94" s="24">
        <v>135</v>
      </c>
      <c r="F94" s="25">
        <f t="shared" ref="F94:F133" si="1">+F93+D94-E94</f>
        <v>40972.520000000004</v>
      </c>
    </row>
    <row r="95" spans="2:6" x14ac:dyDescent="0.25">
      <c r="B95" s="32">
        <v>42303</v>
      </c>
      <c r="C95" s="115" t="s">
        <v>575</v>
      </c>
      <c r="D95" s="24"/>
      <c r="E95" s="24">
        <v>60</v>
      </c>
      <c r="F95" s="25">
        <f t="shared" si="1"/>
        <v>40912.520000000004</v>
      </c>
    </row>
    <row r="96" spans="2:6" x14ac:dyDescent="0.25">
      <c r="B96" s="32">
        <v>42303</v>
      </c>
      <c r="C96" s="115" t="s">
        <v>576</v>
      </c>
      <c r="D96" s="24"/>
      <c r="E96" s="24">
        <v>162.5</v>
      </c>
      <c r="F96" s="25">
        <f t="shared" si="1"/>
        <v>40750.020000000004</v>
      </c>
    </row>
    <row r="97" spans="2:6" x14ac:dyDescent="0.25">
      <c r="B97" s="32">
        <v>42304</v>
      </c>
      <c r="C97" s="115" t="s">
        <v>584</v>
      </c>
      <c r="D97" s="24"/>
      <c r="E97" s="24">
        <v>218.5</v>
      </c>
      <c r="F97" s="25">
        <f t="shared" si="1"/>
        <v>40531.520000000004</v>
      </c>
    </row>
    <row r="98" spans="2:6" x14ac:dyDescent="0.25">
      <c r="B98" s="32">
        <v>42304</v>
      </c>
      <c r="C98" s="115" t="s">
        <v>585</v>
      </c>
      <c r="D98" s="24"/>
      <c r="E98" s="24">
        <v>144.62</v>
      </c>
      <c r="F98" s="25">
        <f t="shared" si="1"/>
        <v>40386.9</v>
      </c>
    </row>
    <row r="99" spans="2:6" x14ac:dyDescent="0.25">
      <c r="B99" s="32">
        <v>42304</v>
      </c>
      <c r="C99" s="115" t="s">
        <v>586</v>
      </c>
      <c r="D99" s="24"/>
      <c r="E99" s="24">
        <v>708</v>
      </c>
      <c r="F99" s="25">
        <f t="shared" si="1"/>
        <v>39678.9</v>
      </c>
    </row>
    <row r="100" spans="2:6" x14ac:dyDescent="0.25">
      <c r="B100" s="32">
        <v>42304</v>
      </c>
      <c r="C100" s="115" t="s">
        <v>577</v>
      </c>
      <c r="D100" s="24"/>
      <c r="E100" s="24">
        <v>1407</v>
      </c>
      <c r="F100" s="25">
        <f t="shared" si="1"/>
        <v>38271.9</v>
      </c>
    </row>
    <row r="101" spans="2:6" x14ac:dyDescent="0.25">
      <c r="B101" s="32">
        <v>42304</v>
      </c>
      <c r="C101" s="115" t="s">
        <v>578</v>
      </c>
      <c r="D101" s="24"/>
      <c r="E101" s="24">
        <v>80</v>
      </c>
      <c r="F101" s="25">
        <f t="shared" si="1"/>
        <v>38191.9</v>
      </c>
    </row>
    <row r="102" spans="2:6" x14ac:dyDescent="0.25">
      <c r="B102" s="32">
        <v>42304</v>
      </c>
      <c r="C102" s="115" t="s">
        <v>597</v>
      </c>
      <c r="D102" s="24"/>
      <c r="E102" s="24">
        <v>250</v>
      </c>
      <c r="F102" s="25">
        <f t="shared" si="1"/>
        <v>37941.9</v>
      </c>
    </row>
    <row r="103" spans="2:6" x14ac:dyDescent="0.25">
      <c r="B103" s="32">
        <v>42304</v>
      </c>
      <c r="C103" s="115" t="s">
        <v>579</v>
      </c>
      <c r="D103" s="24"/>
      <c r="E103" s="24">
        <v>20</v>
      </c>
      <c r="F103" s="25">
        <f t="shared" si="1"/>
        <v>37921.9</v>
      </c>
    </row>
    <row r="104" spans="2:6" x14ac:dyDescent="0.25">
      <c r="B104" s="32">
        <v>42304</v>
      </c>
      <c r="C104" s="115" t="s">
        <v>610</v>
      </c>
      <c r="D104" s="24"/>
      <c r="E104" s="24">
        <v>20</v>
      </c>
      <c r="F104" s="25">
        <f t="shared" si="1"/>
        <v>37901.9</v>
      </c>
    </row>
    <row r="105" spans="2:6" x14ac:dyDescent="0.25">
      <c r="B105" s="32">
        <v>42305</v>
      </c>
      <c r="C105" s="115" t="s">
        <v>580</v>
      </c>
      <c r="D105" s="24"/>
      <c r="E105" s="24">
        <v>48</v>
      </c>
      <c r="F105" s="25">
        <f t="shared" si="1"/>
        <v>37853.9</v>
      </c>
    </row>
    <row r="106" spans="2:6" x14ac:dyDescent="0.25">
      <c r="B106" s="32">
        <v>42305</v>
      </c>
      <c r="C106" s="115" t="s">
        <v>581</v>
      </c>
      <c r="D106" s="24"/>
      <c r="E106" s="24">
        <v>450</v>
      </c>
      <c r="F106" s="25">
        <f t="shared" si="1"/>
        <v>37403.9</v>
      </c>
    </row>
    <row r="107" spans="2:6" x14ac:dyDescent="0.25">
      <c r="B107" s="32">
        <v>42305</v>
      </c>
      <c r="C107" s="115" t="s">
        <v>582</v>
      </c>
      <c r="D107" s="24"/>
      <c r="E107" s="24">
        <v>30</v>
      </c>
      <c r="F107" s="25">
        <f t="shared" si="1"/>
        <v>37373.9</v>
      </c>
    </row>
    <row r="108" spans="2:6" x14ac:dyDescent="0.25">
      <c r="B108" s="32">
        <v>42305</v>
      </c>
      <c r="C108" s="115" t="s">
        <v>470</v>
      </c>
      <c r="D108" s="24"/>
      <c r="E108" s="24">
        <v>128</v>
      </c>
      <c r="F108" s="25">
        <f t="shared" si="1"/>
        <v>37245.9</v>
      </c>
    </row>
    <row r="109" spans="2:6" x14ac:dyDescent="0.25">
      <c r="B109" s="32">
        <v>42305</v>
      </c>
      <c r="C109" s="115" t="s">
        <v>583</v>
      </c>
      <c r="D109" s="24"/>
      <c r="E109" s="24">
        <v>203.55</v>
      </c>
      <c r="F109" s="25">
        <f t="shared" si="1"/>
        <v>37042.35</v>
      </c>
    </row>
    <row r="110" spans="2:6" x14ac:dyDescent="0.25">
      <c r="B110" s="32">
        <v>42305</v>
      </c>
      <c r="C110" s="115" t="s">
        <v>587</v>
      </c>
      <c r="D110" s="24"/>
      <c r="E110" s="24">
        <v>104</v>
      </c>
      <c r="F110" s="25">
        <f t="shared" si="1"/>
        <v>36938.35</v>
      </c>
    </row>
    <row r="111" spans="2:6" x14ac:dyDescent="0.25">
      <c r="B111" s="32">
        <v>42305</v>
      </c>
      <c r="C111" s="115" t="s">
        <v>587</v>
      </c>
      <c r="D111" s="24"/>
      <c r="E111" s="24">
        <v>127</v>
      </c>
      <c r="F111" s="25">
        <f t="shared" si="1"/>
        <v>36811.35</v>
      </c>
    </row>
    <row r="112" spans="2:6" x14ac:dyDescent="0.25">
      <c r="B112" s="32">
        <v>42305</v>
      </c>
      <c r="C112" s="115" t="s">
        <v>588</v>
      </c>
      <c r="D112" s="24"/>
      <c r="E112" s="24">
        <v>550</v>
      </c>
      <c r="F112" s="25">
        <f t="shared" si="1"/>
        <v>36261.35</v>
      </c>
    </row>
    <row r="113" spans="2:6" x14ac:dyDescent="0.25">
      <c r="B113" s="32">
        <v>42306</v>
      </c>
      <c r="C113" s="115" t="s">
        <v>589</v>
      </c>
      <c r="D113" s="24"/>
      <c r="E113" s="24">
        <v>750</v>
      </c>
      <c r="F113" s="25">
        <f t="shared" si="1"/>
        <v>35511.35</v>
      </c>
    </row>
    <row r="114" spans="2:6" x14ac:dyDescent="0.25">
      <c r="B114" s="32">
        <v>42306</v>
      </c>
      <c r="C114" s="115" t="s">
        <v>596</v>
      </c>
      <c r="D114" s="24"/>
      <c r="E114" s="24">
        <v>400</v>
      </c>
      <c r="F114" s="25">
        <f t="shared" si="1"/>
        <v>35111.35</v>
      </c>
    </row>
    <row r="115" spans="2:6" x14ac:dyDescent="0.25">
      <c r="B115" s="32">
        <v>42306</v>
      </c>
      <c r="C115" s="115" t="s">
        <v>595</v>
      </c>
      <c r="D115" s="24"/>
      <c r="E115" s="24">
        <v>350</v>
      </c>
      <c r="F115" s="25">
        <f t="shared" si="1"/>
        <v>34761.35</v>
      </c>
    </row>
    <row r="116" spans="2:6" x14ac:dyDescent="0.25">
      <c r="B116" s="32">
        <v>42306</v>
      </c>
      <c r="C116" s="115" t="s">
        <v>590</v>
      </c>
      <c r="D116" s="24"/>
      <c r="E116" s="24">
        <v>1001</v>
      </c>
      <c r="F116" s="25">
        <f t="shared" si="1"/>
        <v>33760.35</v>
      </c>
    </row>
    <row r="117" spans="2:6" x14ac:dyDescent="0.25">
      <c r="B117" s="32">
        <v>42306</v>
      </c>
      <c r="C117" s="115" t="s">
        <v>611</v>
      </c>
      <c r="D117" s="24"/>
      <c r="E117" s="24">
        <v>1393.9</v>
      </c>
      <c r="F117" s="25">
        <f t="shared" si="1"/>
        <v>32366.449999999997</v>
      </c>
    </row>
    <row r="118" spans="2:6" x14ac:dyDescent="0.25">
      <c r="B118" s="32">
        <v>42307</v>
      </c>
      <c r="C118" s="115" t="s">
        <v>594</v>
      </c>
      <c r="D118" s="24"/>
      <c r="E118" s="24">
        <v>1200</v>
      </c>
      <c r="F118" s="25">
        <f t="shared" si="1"/>
        <v>31166.449999999997</v>
      </c>
    </row>
    <row r="119" spans="2:6" x14ac:dyDescent="0.25">
      <c r="B119" s="32">
        <v>42307</v>
      </c>
      <c r="C119" s="115" t="s">
        <v>591</v>
      </c>
      <c r="D119" s="24"/>
      <c r="E119" s="24">
        <v>1000</v>
      </c>
      <c r="F119" s="25">
        <f t="shared" si="1"/>
        <v>30166.449999999997</v>
      </c>
    </row>
    <row r="120" spans="2:6" x14ac:dyDescent="0.25">
      <c r="B120" s="32">
        <v>42307</v>
      </c>
      <c r="C120" s="115" t="s">
        <v>593</v>
      </c>
      <c r="D120" s="24"/>
      <c r="E120" s="24">
        <v>32</v>
      </c>
      <c r="F120" s="25">
        <f t="shared" si="1"/>
        <v>30134.449999999997</v>
      </c>
    </row>
    <row r="121" spans="2:6" x14ac:dyDescent="0.25">
      <c r="B121" s="32">
        <v>42308</v>
      </c>
      <c r="C121" s="115" t="s">
        <v>592</v>
      </c>
      <c r="D121" s="24"/>
      <c r="E121" s="24">
        <v>4000</v>
      </c>
      <c r="F121" s="25">
        <f t="shared" si="1"/>
        <v>26134.449999999997</v>
      </c>
    </row>
    <row r="122" spans="2:6" x14ac:dyDescent="0.25">
      <c r="B122" s="32">
        <v>42308</v>
      </c>
      <c r="C122" s="115" t="s">
        <v>598</v>
      </c>
      <c r="D122" s="24"/>
      <c r="E122" s="24">
        <v>350</v>
      </c>
      <c r="F122" s="25">
        <f t="shared" si="1"/>
        <v>25784.449999999997</v>
      </c>
    </row>
    <row r="123" spans="2:6" x14ac:dyDescent="0.25">
      <c r="B123" s="32">
        <v>42308</v>
      </c>
      <c r="C123" s="115" t="s">
        <v>599</v>
      </c>
      <c r="D123" s="24"/>
      <c r="E123" s="24">
        <v>350</v>
      </c>
      <c r="F123" s="25">
        <f t="shared" si="1"/>
        <v>25434.449999999997</v>
      </c>
    </row>
    <row r="124" spans="2:6" x14ac:dyDescent="0.25">
      <c r="B124" s="32">
        <v>42308</v>
      </c>
      <c r="C124" s="115" t="s">
        <v>600</v>
      </c>
      <c r="D124" s="24"/>
      <c r="E124" s="24">
        <v>87</v>
      </c>
      <c r="F124" s="25">
        <f t="shared" si="1"/>
        <v>25347.449999999997</v>
      </c>
    </row>
    <row r="125" spans="2:6" x14ac:dyDescent="0.25">
      <c r="B125" s="32">
        <v>42308</v>
      </c>
      <c r="C125" s="115" t="s">
        <v>601</v>
      </c>
      <c r="D125" s="24"/>
      <c r="E125" s="24">
        <v>120</v>
      </c>
      <c r="F125" s="25">
        <f t="shared" si="1"/>
        <v>25227.449999999997</v>
      </c>
    </row>
    <row r="126" spans="2:6" x14ac:dyDescent="0.25">
      <c r="B126" s="32">
        <v>42308</v>
      </c>
      <c r="C126" s="115" t="s">
        <v>602</v>
      </c>
      <c r="D126" s="24"/>
      <c r="E126" s="24">
        <v>600</v>
      </c>
      <c r="F126" s="25">
        <f t="shared" si="1"/>
        <v>24627.449999999997</v>
      </c>
    </row>
    <row r="127" spans="2:6" x14ac:dyDescent="0.25">
      <c r="B127" s="32">
        <v>42308</v>
      </c>
      <c r="C127" s="115" t="s">
        <v>603</v>
      </c>
      <c r="D127" s="24"/>
      <c r="E127" s="24">
        <v>400</v>
      </c>
      <c r="F127" s="25">
        <f t="shared" si="1"/>
        <v>24227.449999999997</v>
      </c>
    </row>
    <row r="128" spans="2:6" x14ac:dyDescent="0.25">
      <c r="B128" s="32">
        <v>42308</v>
      </c>
      <c r="C128" s="115" t="s">
        <v>604</v>
      </c>
      <c r="D128" s="24"/>
      <c r="E128" s="24">
        <v>84</v>
      </c>
      <c r="F128" s="25">
        <f t="shared" si="1"/>
        <v>24143.449999999997</v>
      </c>
    </row>
    <row r="129" spans="2:6" x14ac:dyDescent="0.25">
      <c r="B129" s="32">
        <v>42308</v>
      </c>
      <c r="C129" s="115" t="s">
        <v>605</v>
      </c>
      <c r="D129" s="24"/>
      <c r="E129" s="24">
        <v>100</v>
      </c>
      <c r="F129" s="25">
        <f t="shared" si="1"/>
        <v>24043.449999999997</v>
      </c>
    </row>
    <row r="130" spans="2:6" x14ac:dyDescent="0.25">
      <c r="B130" s="32">
        <v>42308</v>
      </c>
      <c r="C130" s="115" t="s">
        <v>606</v>
      </c>
      <c r="D130" s="24"/>
      <c r="E130" s="24">
        <v>18</v>
      </c>
      <c r="F130" s="25">
        <f t="shared" si="1"/>
        <v>24025.449999999997</v>
      </c>
    </row>
    <row r="131" spans="2:6" x14ac:dyDescent="0.25">
      <c r="B131" s="32">
        <v>42308</v>
      </c>
      <c r="C131" s="115" t="s">
        <v>607</v>
      </c>
      <c r="D131" s="24"/>
      <c r="E131" s="24">
        <v>350</v>
      </c>
      <c r="F131" s="25">
        <f t="shared" si="1"/>
        <v>23675.449999999997</v>
      </c>
    </row>
    <row r="132" spans="2:6" x14ac:dyDescent="0.25">
      <c r="B132" s="32">
        <v>42308</v>
      </c>
      <c r="C132" s="118" t="s">
        <v>608</v>
      </c>
      <c r="D132" s="24"/>
      <c r="E132" s="24">
        <v>3200</v>
      </c>
      <c r="F132" s="25">
        <f t="shared" si="1"/>
        <v>20475.449999999997</v>
      </c>
    </row>
    <row r="133" spans="2:6" x14ac:dyDescent="0.25">
      <c r="B133" s="32">
        <v>42308</v>
      </c>
      <c r="C133" s="118" t="s">
        <v>568</v>
      </c>
      <c r="D133" s="24"/>
      <c r="E133" s="24">
        <v>80</v>
      </c>
      <c r="F133" s="25">
        <f t="shared" si="1"/>
        <v>20395.449999999997</v>
      </c>
    </row>
    <row r="134" spans="2:6" ht="15.75" thickBot="1" x14ac:dyDescent="0.3">
      <c r="B134" s="32"/>
      <c r="C134" s="118"/>
      <c r="D134" s="24"/>
      <c r="E134" s="24"/>
      <c r="F134" s="25">
        <f>+F133+D134-E134</f>
        <v>20395.449999999997</v>
      </c>
    </row>
    <row r="135" spans="2:6" ht="15.75" thickBot="1" x14ac:dyDescent="0.3">
      <c r="B135" s="54"/>
      <c r="C135" s="119" t="s">
        <v>0</v>
      </c>
      <c r="D135" s="117">
        <f>SUM(D5:D134)</f>
        <v>121735</v>
      </c>
      <c r="E135" s="15">
        <f>SUM(E5:E134)</f>
        <v>105020.21999999999</v>
      </c>
      <c r="F135" s="33"/>
    </row>
    <row r="136" spans="2:6" x14ac:dyDescent="0.25">
      <c r="B136" s="116"/>
      <c r="C136" s="114"/>
    </row>
    <row r="137" spans="2:6" x14ac:dyDescent="0.25">
      <c r="B137" s="116"/>
      <c r="C137" s="114"/>
    </row>
    <row r="138" spans="2:6" x14ac:dyDescent="0.25">
      <c r="B138" s="116"/>
      <c r="C138" s="114"/>
    </row>
    <row r="139" spans="2:6" x14ac:dyDescent="0.25">
      <c r="B139" s="116"/>
      <c r="C139" s="114"/>
    </row>
  </sheetData>
  <mergeCells count="1">
    <mergeCell ref="B2:F2"/>
  </mergeCells>
  <printOptions verticalCentered="1"/>
  <pageMargins left="0.70866141732283472" right="0.70866141732283472" top="0.35433070866141736" bottom="0.74803149606299213" header="0.31496062992125984" footer="0.31496062992125984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86"/>
  <sheetViews>
    <sheetView topLeftCell="A68" zoomScaleNormal="100" workbookViewId="0">
      <selection activeCell="C71" sqref="C71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42338</v>
      </c>
    </row>
    <row r="2" spans="2:6" x14ac:dyDescent="0.25">
      <c r="B2" s="146" t="s">
        <v>24</v>
      </c>
      <c r="C2" s="146"/>
      <c r="D2" s="146"/>
      <c r="E2" s="146"/>
      <c r="F2" s="146"/>
    </row>
    <row r="3" spans="2:6" ht="15.75" thickBot="1" x14ac:dyDescent="0.3">
      <c r="C3" s="60"/>
      <c r="D3" s="60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42308</v>
      </c>
      <c r="C5" s="19" t="s">
        <v>25</v>
      </c>
      <c r="D5" s="20"/>
      <c r="E5" s="21"/>
      <c r="F5" s="25">
        <v>20395.45</v>
      </c>
    </row>
    <row r="6" spans="2:6" x14ac:dyDescent="0.25">
      <c r="B6" s="32">
        <v>42309</v>
      </c>
      <c r="C6" s="26" t="s">
        <v>629</v>
      </c>
      <c r="D6" s="24"/>
      <c r="E6" s="24">
        <v>109</v>
      </c>
      <c r="F6" s="25">
        <f>+F5+D6-E6</f>
        <v>20286.45</v>
      </c>
    </row>
    <row r="7" spans="2:6" x14ac:dyDescent="0.25">
      <c r="B7" s="32">
        <v>42309</v>
      </c>
      <c r="C7" s="26" t="s">
        <v>630</v>
      </c>
      <c r="D7" s="24">
        <v>30085</v>
      </c>
      <c r="E7" s="24"/>
      <c r="F7" s="25">
        <f t="shared" ref="F7:F85" si="0">+F6+D7-E7</f>
        <v>50371.45</v>
      </c>
    </row>
    <row r="8" spans="2:6" x14ac:dyDescent="0.25">
      <c r="B8" s="32">
        <v>42310</v>
      </c>
      <c r="C8" s="26" t="s">
        <v>35</v>
      </c>
      <c r="D8" s="24"/>
      <c r="E8" s="24">
        <v>110</v>
      </c>
      <c r="F8" s="25">
        <f t="shared" si="0"/>
        <v>50261.45</v>
      </c>
    </row>
    <row r="9" spans="2:6" x14ac:dyDescent="0.25">
      <c r="B9" s="32">
        <v>42310</v>
      </c>
      <c r="C9" s="26" t="s">
        <v>530</v>
      </c>
      <c r="D9" s="23"/>
      <c r="E9" s="24">
        <v>89</v>
      </c>
      <c r="F9" s="25">
        <f t="shared" si="0"/>
        <v>50172.45</v>
      </c>
    </row>
    <row r="10" spans="2:6" x14ac:dyDescent="0.25">
      <c r="B10" s="32">
        <v>42311</v>
      </c>
      <c r="C10" s="26" t="s">
        <v>631</v>
      </c>
      <c r="D10" s="24"/>
      <c r="E10" s="24">
        <v>350</v>
      </c>
      <c r="F10" s="25">
        <f t="shared" si="0"/>
        <v>49822.45</v>
      </c>
    </row>
    <row r="11" spans="2:6" x14ac:dyDescent="0.25">
      <c r="B11" s="32">
        <v>42311</v>
      </c>
      <c r="C11" s="26" t="s">
        <v>632</v>
      </c>
      <c r="D11" s="24"/>
      <c r="E11" s="24">
        <v>29000</v>
      </c>
      <c r="F11" s="25">
        <f t="shared" si="0"/>
        <v>20822.449999999997</v>
      </c>
    </row>
    <row r="12" spans="2:6" x14ac:dyDescent="0.25">
      <c r="B12" s="32">
        <v>42311</v>
      </c>
      <c r="C12" s="26" t="s">
        <v>653</v>
      </c>
      <c r="D12" s="24"/>
      <c r="E12" s="24">
        <v>30</v>
      </c>
      <c r="F12" s="25">
        <f t="shared" si="0"/>
        <v>20792.449999999997</v>
      </c>
    </row>
    <row r="13" spans="2:6" x14ac:dyDescent="0.25">
      <c r="B13" s="32">
        <v>42312</v>
      </c>
      <c r="C13" s="26" t="s">
        <v>634</v>
      </c>
      <c r="D13" s="24"/>
      <c r="E13" s="24">
        <v>1599</v>
      </c>
      <c r="F13" s="25">
        <f t="shared" si="0"/>
        <v>19193.449999999997</v>
      </c>
    </row>
    <row r="14" spans="2:6" x14ac:dyDescent="0.25">
      <c r="B14" s="32">
        <v>42312</v>
      </c>
      <c r="C14" s="26" t="s">
        <v>633</v>
      </c>
      <c r="D14" s="24"/>
      <c r="E14" s="24">
        <v>3</v>
      </c>
      <c r="F14" s="25">
        <f t="shared" si="0"/>
        <v>19190.449999999997</v>
      </c>
    </row>
    <row r="15" spans="2:6" x14ac:dyDescent="0.25">
      <c r="B15" s="32">
        <v>42312</v>
      </c>
      <c r="C15" s="26" t="s">
        <v>635</v>
      </c>
      <c r="D15" s="24"/>
      <c r="E15" s="24">
        <v>500</v>
      </c>
      <c r="F15" s="25">
        <f t="shared" si="0"/>
        <v>18690.449999999997</v>
      </c>
    </row>
    <row r="16" spans="2:6" x14ac:dyDescent="0.25">
      <c r="B16" s="32">
        <v>42313</v>
      </c>
      <c r="C16" s="35" t="s">
        <v>636</v>
      </c>
      <c r="D16" s="24"/>
      <c r="E16" s="24">
        <v>1219</v>
      </c>
      <c r="F16" s="25">
        <f t="shared" si="0"/>
        <v>17471.449999999997</v>
      </c>
    </row>
    <row r="17" spans="2:7" x14ac:dyDescent="0.25">
      <c r="B17" s="32">
        <v>42314</v>
      </c>
      <c r="C17" s="26" t="s">
        <v>35</v>
      </c>
      <c r="D17" s="24"/>
      <c r="E17" s="24">
        <v>110</v>
      </c>
      <c r="F17" s="25">
        <f t="shared" si="0"/>
        <v>17361.449999999997</v>
      </c>
    </row>
    <row r="18" spans="2:7" x14ac:dyDescent="0.25">
      <c r="B18" s="32">
        <v>42314</v>
      </c>
      <c r="C18" s="26" t="s">
        <v>481</v>
      </c>
      <c r="D18" s="24"/>
      <c r="E18" s="24">
        <v>1000</v>
      </c>
      <c r="F18" s="25">
        <f t="shared" si="0"/>
        <v>16361.449999999997</v>
      </c>
    </row>
    <row r="19" spans="2:7" x14ac:dyDescent="0.25">
      <c r="B19" s="32">
        <v>42316</v>
      </c>
      <c r="C19" s="27" t="s">
        <v>637</v>
      </c>
      <c r="D19" s="24"/>
      <c r="E19" s="24">
        <v>22</v>
      </c>
      <c r="F19" s="25">
        <f t="shared" si="0"/>
        <v>16339.449999999997</v>
      </c>
    </row>
    <row r="20" spans="2:7" x14ac:dyDescent="0.25">
      <c r="B20" s="32">
        <v>42316</v>
      </c>
      <c r="C20" s="26" t="s">
        <v>629</v>
      </c>
      <c r="D20" s="24"/>
      <c r="E20" s="24">
        <v>58</v>
      </c>
      <c r="F20" s="25">
        <f t="shared" si="0"/>
        <v>16281.449999999997</v>
      </c>
    </row>
    <row r="21" spans="2:7" x14ac:dyDescent="0.25">
      <c r="B21" s="32">
        <v>42316</v>
      </c>
      <c r="C21" s="26" t="s">
        <v>629</v>
      </c>
      <c r="D21" s="24"/>
      <c r="E21" s="24">
        <v>45</v>
      </c>
      <c r="F21" s="25">
        <f t="shared" si="0"/>
        <v>16236.449999999997</v>
      </c>
    </row>
    <row r="22" spans="2:7" x14ac:dyDescent="0.25">
      <c r="B22" s="32">
        <v>42316</v>
      </c>
      <c r="C22" s="26" t="s">
        <v>638</v>
      </c>
      <c r="D22" s="24"/>
      <c r="E22" s="24">
        <v>80</v>
      </c>
      <c r="F22" s="25">
        <f t="shared" si="0"/>
        <v>16156.449999999997</v>
      </c>
    </row>
    <row r="23" spans="2:7" x14ac:dyDescent="0.25">
      <c r="B23" s="32">
        <v>42316</v>
      </c>
      <c r="C23" s="26" t="s">
        <v>639</v>
      </c>
      <c r="D23" s="24">
        <v>25720</v>
      </c>
      <c r="E23" s="24"/>
      <c r="F23" s="25">
        <f t="shared" si="0"/>
        <v>41876.449999999997</v>
      </c>
    </row>
    <row r="24" spans="2:7" x14ac:dyDescent="0.25">
      <c r="B24" s="32">
        <v>42317</v>
      </c>
      <c r="C24" s="26" t="s">
        <v>631</v>
      </c>
      <c r="D24" s="24"/>
      <c r="E24" s="24">
        <v>700</v>
      </c>
      <c r="F24" s="25">
        <f t="shared" si="0"/>
        <v>41176.449999999997</v>
      </c>
    </row>
    <row r="25" spans="2:7" x14ac:dyDescent="0.25">
      <c r="B25" s="32">
        <v>42317</v>
      </c>
      <c r="C25" s="26" t="s">
        <v>631</v>
      </c>
      <c r="D25" s="24"/>
      <c r="E25" s="24">
        <v>400</v>
      </c>
      <c r="F25" s="25">
        <f t="shared" si="0"/>
        <v>40776.449999999997</v>
      </c>
    </row>
    <row r="26" spans="2:7" x14ac:dyDescent="0.25">
      <c r="B26" s="32">
        <v>42317</v>
      </c>
      <c r="C26" s="35" t="s">
        <v>640</v>
      </c>
      <c r="D26" s="24"/>
      <c r="E26" s="24">
        <v>550</v>
      </c>
      <c r="F26" s="25">
        <f t="shared" si="0"/>
        <v>40226.449999999997</v>
      </c>
    </row>
    <row r="27" spans="2:7" x14ac:dyDescent="0.25">
      <c r="B27" s="32">
        <v>42317</v>
      </c>
      <c r="C27" s="27" t="s">
        <v>46</v>
      </c>
      <c r="D27" s="24"/>
      <c r="E27" s="24">
        <v>75</v>
      </c>
      <c r="F27" s="25">
        <f t="shared" si="0"/>
        <v>40151.449999999997</v>
      </c>
    </row>
    <row r="28" spans="2:7" x14ac:dyDescent="0.25">
      <c r="B28" s="32">
        <v>42318</v>
      </c>
      <c r="C28" s="27" t="s">
        <v>641</v>
      </c>
      <c r="D28" s="24"/>
      <c r="E28" s="24">
        <v>231</v>
      </c>
      <c r="F28" s="25">
        <f t="shared" si="0"/>
        <v>39920.449999999997</v>
      </c>
    </row>
    <row r="29" spans="2:7" x14ac:dyDescent="0.25">
      <c r="B29" s="32">
        <v>42319</v>
      </c>
      <c r="C29" s="26" t="s">
        <v>646</v>
      </c>
      <c r="D29" s="24"/>
      <c r="E29" s="24">
        <v>700</v>
      </c>
      <c r="F29" s="25">
        <f t="shared" si="0"/>
        <v>39220.449999999997</v>
      </c>
      <c r="G29" s="1"/>
    </row>
    <row r="30" spans="2:7" x14ac:dyDescent="0.25">
      <c r="B30" s="32">
        <v>42319</v>
      </c>
      <c r="C30" s="27" t="s">
        <v>642</v>
      </c>
      <c r="D30" s="24"/>
      <c r="E30" s="24">
        <v>280</v>
      </c>
      <c r="F30" s="25">
        <f t="shared" si="0"/>
        <v>38940.449999999997</v>
      </c>
    </row>
    <row r="31" spans="2:7" x14ac:dyDescent="0.25">
      <c r="B31" s="32">
        <v>42319</v>
      </c>
      <c r="C31" s="26" t="s">
        <v>643</v>
      </c>
      <c r="D31" s="24"/>
      <c r="E31" s="24">
        <v>300</v>
      </c>
      <c r="F31" s="25">
        <f t="shared" si="0"/>
        <v>38640.449999999997</v>
      </c>
    </row>
    <row r="32" spans="2:7" x14ac:dyDescent="0.25">
      <c r="B32" s="32">
        <v>42321</v>
      </c>
      <c r="C32" s="35" t="s">
        <v>481</v>
      </c>
      <c r="D32" s="24"/>
      <c r="E32" s="24">
        <v>1000</v>
      </c>
      <c r="F32" s="25">
        <f t="shared" si="0"/>
        <v>37640.449999999997</v>
      </c>
    </row>
    <row r="33" spans="2:6" x14ac:dyDescent="0.25">
      <c r="B33" s="32">
        <v>42321</v>
      </c>
      <c r="C33" s="26" t="s">
        <v>644</v>
      </c>
      <c r="D33" s="24"/>
      <c r="E33" s="24">
        <v>350</v>
      </c>
      <c r="F33" s="25">
        <f t="shared" si="0"/>
        <v>37290.449999999997</v>
      </c>
    </row>
    <row r="34" spans="2:6" x14ac:dyDescent="0.25">
      <c r="B34" s="32">
        <v>42321</v>
      </c>
      <c r="C34" s="26" t="s">
        <v>645</v>
      </c>
      <c r="D34" s="24"/>
      <c r="E34" s="24">
        <v>280</v>
      </c>
      <c r="F34" s="25">
        <f t="shared" si="0"/>
        <v>37010.449999999997</v>
      </c>
    </row>
    <row r="35" spans="2:6" x14ac:dyDescent="0.25">
      <c r="B35" s="32">
        <v>42321</v>
      </c>
      <c r="C35" s="26" t="s">
        <v>470</v>
      </c>
      <c r="D35" s="24"/>
      <c r="E35" s="24">
        <v>140</v>
      </c>
      <c r="F35" s="25">
        <f t="shared" si="0"/>
        <v>36870.449999999997</v>
      </c>
    </row>
    <row r="36" spans="2:6" x14ac:dyDescent="0.25">
      <c r="B36" s="32">
        <v>42017</v>
      </c>
      <c r="C36" s="26" t="s">
        <v>647</v>
      </c>
      <c r="D36" s="24"/>
      <c r="E36" s="24">
        <v>100</v>
      </c>
      <c r="F36" s="25">
        <f t="shared" si="0"/>
        <v>36770.449999999997</v>
      </c>
    </row>
    <row r="37" spans="2:6" x14ac:dyDescent="0.25">
      <c r="B37" s="32">
        <v>42321</v>
      </c>
      <c r="C37" s="35" t="s">
        <v>648</v>
      </c>
      <c r="D37" s="24"/>
      <c r="E37" s="24">
        <v>400</v>
      </c>
      <c r="F37" s="25">
        <f t="shared" si="0"/>
        <v>36370.449999999997</v>
      </c>
    </row>
    <row r="38" spans="2:6" x14ac:dyDescent="0.25">
      <c r="B38" s="32">
        <v>42323</v>
      </c>
      <c r="C38" s="22" t="s">
        <v>638</v>
      </c>
      <c r="D38" s="24"/>
      <c r="E38" s="24">
        <v>80</v>
      </c>
      <c r="F38" s="25">
        <f t="shared" si="0"/>
        <v>36290.449999999997</v>
      </c>
    </row>
    <row r="39" spans="2:6" x14ac:dyDescent="0.25">
      <c r="B39" s="32">
        <v>42323</v>
      </c>
      <c r="C39" s="26" t="s">
        <v>649</v>
      </c>
      <c r="D39" s="24"/>
      <c r="E39" s="24">
        <v>3200</v>
      </c>
      <c r="F39" s="25">
        <f t="shared" si="0"/>
        <v>33090.449999999997</v>
      </c>
    </row>
    <row r="40" spans="2:6" x14ac:dyDescent="0.25">
      <c r="B40" s="32">
        <v>42323</v>
      </c>
      <c r="C40" s="26" t="s">
        <v>629</v>
      </c>
      <c r="D40" s="24"/>
      <c r="E40" s="24">
        <v>76</v>
      </c>
      <c r="F40" s="25">
        <f t="shared" si="0"/>
        <v>33014.449999999997</v>
      </c>
    </row>
    <row r="41" spans="2:6" x14ac:dyDescent="0.25">
      <c r="B41" s="32">
        <v>42323</v>
      </c>
      <c r="C41" s="26" t="s">
        <v>650</v>
      </c>
      <c r="D41" s="24"/>
      <c r="E41" s="24">
        <v>29000</v>
      </c>
      <c r="F41" s="25">
        <f t="shared" si="0"/>
        <v>4014.4499999999971</v>
      </c>
    </row>
    <row r="42" spans="2:6" x14ac:dyDescent="0.25">
      <c r="B42" s="32">
        <v>42323</v>
      </c>
      <c r="C42" s="26" t="s">
        <v>651</v>
      </c>
      <c r="D42" s="24"/>
      <c r="E42" s="24">
        <v>4000</v>
      </c>
      <c r="F42" s="25">
        <f t="shared" si="0"/>
        <v>14.44999999999709</v>
      </c>
    </row>
    <row r="43" spans="2:6" x14ac:dyDescent="0.25">
      <c r="B43" s="32">
        <v>42323</v>
      </c>
      <c r="C43" s="26" t="s">
        <v>652</v>
      </c>
      <c r="D43" s="24">
        <v>24060</v>
      </c>
      <c r="E43" s="24"/>
      <c r="F43" s="25">
        <f t="shared" si="0"/>
        <v>24074.449999999997</v>
      </c>
    </row>
    <row r="44" spans="2:6" x14ac:dyDescent="0.25">
      <c r="B44" s="32">
        <v>42326</v>
      </c>
      <c r="C44" s="26" t="s">
        <v>485</v>
      </c>
      <c r="D44" s="24"/>
      <c r="E44" s="24">
        <v>170</v>
      </c>
      <c r="F44" s="25">
        <f t="shared" si="0"/>
        <v>23904.449999999997</v>
      </c>
    </row>
    <row r="45" spans="2:6" x14ac:dyDescent="0.25">
      <c r="B45" s="32">
        <v>42326</v>
      </c>
      <c r="C45" s="26" t="s">
        <v>654</v>
      </c>
      <c r="D45" s="24"/>
      <c r="E45" s="24">
        <v>1760</v>
      </c>
      <c r="F45" s="25">
        <f t="shared" si="0"/>
        <v>22144.449999999997</v>
      </c>
    </row>
    <row r="46" spans="2:6" x14ac:dyDescent="0.25">
      <c r="B46" s="32">
        <v>42326</v>
      </c>
      <c r="C46" s="115" t="s">
        <v>655</v>
      </c>
      <c r="D46" s="24"/>
      <c r="E46" s="24">
        <v>1100</v>
      </c>
      <c r="F46" s="25">
        <f t="shared" si="0"/>
        <v>21044.449999999997</v>
      </c>
    </row>
    <row r="47" spans="2:6" x14ac:dyDescent="0.25">
      <c r="B47" s="32">
        <v>42326</v>
      </c>
      <c r="C47" s="26" t="s">
        <v>656</v>
      </c>
      <c r="D47" s="24"/>
      <c r="E47" s="24">
        <v>80</v>
      </c>
      <c r="F47" s="25">
        <f t="shared" si="0"/>
        <v>20964.449999999997</v>
      </c>
    </row>
    <row r="48" spans="2:6" x14ac:dyDescent="0.25">
      <c r="B48" s="32">
        <v>42326</v>
      </c>
      <c r="C48" s="26" t="s">
        <v>653</v>
      </c>
      <c r="D48" s="24"/>
      <c r="E48" s="24">
        <v>20</v>
      </c>
      <c r="F48" s="25">
        <f t="shared" si="0"/>
        <v>20944.449999999997</v>
      </c>
    </row>
    <row r="49" spans="2:6" x14ac:dyDescent="0.25">
      <c r="B49" s="32">
        <v>42326</v>
      </c>
      <c r="C49" s="26" t="s">
        <v>485</v>
      </c>
      <c r="D49" s="24"/>
      <c r="E49" s="24">
        <v>160</v>
      </c>
      <c r="F49" s="25">
        <f t="shared" si="0"/>
        <v>20784.449999999997</v>
      </c>
    </row>
    <row r="50" spans="2:6" x14ac:dyDescent="0.25">
      <c r="B50" s="32">
        <v>42326</v>
      </c>
      <c r="C50" s="26" t="s">
        <v>657</v>
      </c>
      <c r="D50" s="24"/>
      <c r="E50" s="24">
        <v>850</v>
      </c>
      <c r="F50" s="25">
        <f t="shared" si="0"/>
        <v>19934.449999999997</v>
      </c>
    </row>
    <row r="51" spans="2:6" x14ac:dyDescent="0.25">
      <c r="B51" s="32">
        <v>42326</v>
      </c>
      <c r="C51" s="26" t="s">
        <v>658</v>
      </c>
      <c r="D51" s="24"/>
      <c r="E51" s="24">
        <v>350</v>
      </c>
      <c r="F51" s="25">
        <f t="shared" si="0"/>
        <v>19584.449999999997</v>
      </c>
    </row>
    <row r="52" spans="2:6" x14ac:dyDescent="0.25">
      <c r="B52" s="32">
        <v>42326</v>
      </c>
      <c r="C52" s="26" t="s">
        <v>659</v>
      </c>
      <c r="D52" s="24"/>
      <c r="E52" s="24">
        <v>2278.6999999999998</v>
      </c>
      <c r="F52" s="25">
        <f t="shared" si="0"/>
        <v>17305.749999999996</v>
      </c>
    </row>
    <row r="53" spans="2:6" x14ac:dyDescent="0.25">
      <c r="B53" s="32">
        <v>42327</v>
      </c>
      <c r="C53" s="26" t="s">
        <v>660</v>
      </c>
      <c r="D53" s="24"/>
      <c r="E53" s="24">
        <v>396</v>
      </c>
      <c r="F53" s="25">
        <f t="shared" si="0"/>
        <v>16909.749999999996</v>
      </c>
    </row>
    <row r="54" spans="2:6" x14ac:dyDescent="0.25">
      <c r="B54" s="32">
        <v>42328</v>
      </c>
      <c r="C54" s="26" t="s">
        <v>661</v>
      </c>
      <c r="D54" s="24"/>
      <c r="E54" s="24">
        <v>80</v>
      </c>
      <c r="F54" s="25">
        <f t="shared" si="0"/>
        <v>16829.749999999996</v>
      </c>
    </row>
    <row r="55" spans="2:6" x14ac:dyDescent="0.25">
      <c r="B55" s="32">
        <v>42328</v>
      </c>
      <c r="C55" s="26" t="s">
        <v>46</v>
      </c>
      <c r="D55" s="24"/>
      <c r="E55" s="24">
        <v>74</v>
      </c>
      <c r="F55" s="25">
        <f t="shared" si="0"/>
        <v>16755.749999999996</v>
      </c>
    </row>
    <row r="56" spans="2:6" x14ac:dyDescent="0.25">
      <c r="B56" s="32">
        <v>42328</v>
      </c>
      <c r="C56" s="26" t="s">
        <v>481</v>
      </c>
      <c r="D56" s="24"/>
      <c r="E56" s="24">
        <v>1000</v>
      </c>
      <c r="F56" s="25">
        <f t="shared" si="0"/>
        <v>15755.749999999996</v>
      </c>
    </row>
    <row r="57" spans="2:6" x14ac:dyDescent="0.25">
      <c r="B57" s="32">
        <v>42330</v>
      </c>
      <c r="C57" s="26" t="s">
        <v>629</v>
      </c>
      <c r="D57" s="24"/>
      <c r="E57" s="24">
        <v>61</v>
      </c>
      <c r="F57" s="25">
        <f t="shared" si="0"/>
        <v>15694.749999999996</v>
      </c>
    </row>
    <row r="58" spans="2:6" x14ac:dyDescent="0.25">
      <c r="B58" s="32">
        <v>42330</v>
      </c>
      <c r="C58" s="26" t="s">
        <v>662</v>
      </c>
      <c r="D58" s="24"/>
      <c r="E58" s="24">
        <v>160</v>
      </c>
      <c r="F58" s="25">
        <f t="shared" si="0"/>
        <v>15534.749999999996</v>
      </c>
    </row>
    <row r="59" spans="2:6" x14ac:dyDescent="0.25">
      <c r="B59" s="32">
        <v>42330</v>
      </c>
      <c r="C59" s="26" t="s">
        <v>681</v>
      </c>
      <c r="D59" s="24">
        <v>16280</v>
      </c>
      <c r="E59" s="24"/>
      <c r="F59" s="25">
        <f t="shared" si="0"/>
        <v>31814.749999999996</v>
      </c>
    </row>
    <row r="60" spans="2:6" x14ac:dyDescent="0.25">
      <c r="B60" s="32">
        <v>42331</v>
      </c>
      <c r="C60" s="26" t="s">
        <v>485</v>
      </c>
      <c r="D60" s="24"/>
      <c r="E60" s="24">
        <v>170</v>
      </c>
      <c r="F60" s="25">
        <f t="shared" si="0"/>
        <v>31644.749999999996</v>
      </c>
    </row>
    <row r="61" spans="2:6" x14ac:dyDescent="0.25">
      <c r="B61" s="32">
        <v>42331</v>
      </c>
      <c r="C61" s="26" t="s">
        <v>663</v>
      </c>
      <c r="D61" s="24"/>
      <c r="E61" s="24">
        <v>350</v>
      </c>
      <c r="F61" s="25">
        <f t="shared" si="0"/>
        <v>31294.749999999996</v>
      </c>
    </row>
    <row r="62" spans="2:6" x14ac:dyDescent="0.25">
      <c r="B62" s="32">
        <v>42332</v>
      </c>
      <c r="C62" s="26" t="s">
        <v>664</v>
      </c>
      <c r="D62" s="24"/>
      <c r="E62" s="24">
        <v>1200</v>
      </c>
      <c r="F62" s="25">
        <f t="shared" si="0"/>
        <v>30094.749999999996</v>
      </c>
    </row>
    <row r="63" spans="2:6" x14ac:dyDescent="0.25">
      <c r="B63" s="32">
        <v>42332</v>
      </c>
      <c r="C63" s="26" t="s">
        <v>665</v>
      </c>
      <c r="D63" s="24"/>
      <c r="E63" s="24">
        <v>600</v>
      </c>
      <c r="F63" s="25">
        <f t="shared" si="0"/>
        <v>29494.749999999996</v>
      </c>
    </row>
    <row r="64" spans="2:6" x14ac:dyDescent="0.25">
      <c r="B64" s="32">
        <v>42333</v>
      </c>
      <c r="C64" s="26" t="s">
        <v>666</v>
      </c>
      <c r="D64" s="24"/>
      <c r="E64" s="24">
        <v>1500</v>
      </c>
      <c r="F64" s="25">
        <f t="shared" si="0"/>
        <v>27994.749999999996</v>
      </c>
    </row>
    <row r="65" spans="2:6" x14ac:dyDescent="0.25">
      <c r="B65" s="32">
        <v>42333</v>
      </c>
      <c r="C65" s="35" t="s">
        <v>667</v>
      </c>
      <c r="D65" s="24"/>
      <c r="E65" s="24">
        <v>350</v>
      </c>
      <c r="F65" s="25">
        <f t="shared" si="0"/>
        <v>27644.749999999996</v>
      </c>
    </row>
    <row r="66" spans="2:6" x14ac:dyDescent="0.25">
      <c r="B66" s="32">
        <v>42333</v>
      </c>
      <c r="C66" s="26" t="s">
        <v>668</v>
      </c>
      <c r="D66" s="24"/>
      <c r="E66" s="24">
        <v>230</v>
      </c>
      <c r="F66" s="25">
        <f t="shared" si="0"/>
        <v>27414.749999999996</v>
      </c>
    </row>
    <row r="67" spans="2:6" x14ac:dyDescent="0.25">
      <c r="B67" s="32">
        <v>42335</v>
      </c>
      <c r="C67" s="26" t="s">
        <v>481</v>
      </c>
      <c r="D67" s="24"/>
      <c r="E67" s="24">
        <v>1000</v>
      </c>
      <c r="F67" s="25">
        <f t="shared" si="0"/>
        <v>26414.749999999996</v>
      </c>
    </row>
    <row r="68" spans="2:6" x14ac:dyDescent="0.25">
      <c r="B68" s="32">
        <v>42336</v>
      </c>
      <c r="C68" s="26" t="s">
        <v>669</v>
      </c>
      <c r="D68" s="24"/>
      <c r="E68" s="24">
        <v>400</v>
      </c>
      <c r="F68" s="25">
        <f t="shared" si="0"/>
        <v>26014.749999999996</v>
      </c>
    </row>
    <row r="69" spans="2:6" x14ac:dyDescent="0.25">
      <c r="B69" s="32">
        <v>42336</v>
      </c>
      <c r="C69" s="26" t="s">
        <v>670</v>
      </c>
      <c r="D69" s="24"/>
      <c r="E69" s="24">
        <v>600</v>
      </c>
      <c r="F69" s="25">
        <f t="shared" si="0"/>
        <v>25414.749999999996</v>
      </c>
    </row>
    <row r="70" spans="2:6" x14ac:dyDescent="0.25">
      <c r="B70" s="32">
        <v>42336</v>
      </c>
      <c r="C70" s="26" t="s">
        <v>671</v>
      </c>
      <c r="D70" s="24"/>
      <c r="E70" s="24">
        <v>400</v>
      </c>
      <c r="F70" s="25">
        <f t="shared" si="0"/>
        <v>25014.749999999996</v>
      </c>
    </row>
    <row r="71" spans="2:6" x14ac:dyDescent="0.25">
      <c r="B71" s="32">
        <v>42337</v>
      </c>
      <c r="C71" s="26" t="s">
        <v>629</v>
      </c>
      <c r="D71" s="24"/>
      <c r="E71" s="24">
        <v>121.5</v>
      </c>
      <c r="F71" s="25">
        <f t="shared" si="0"/>
        <v>24893.249999999996</v>
      </c>
    </row>
    <row r="72" spans="2:6" x14ac:dyDescent="0.25">
      <c r="B72" s="32">
        <v>42337</v>
      </c>
      <c r="C72" s="26" t="s">
        <v>680</v>
      </c>
      <c r="D72" s="24">
        <v>15360</v>
      </c>
      <c r="E72" s="24"/>
      <c r="F72" s="25">
        <f t="shared" si="0"/>
        <v>40253.25</v>
      </c>
    </row>
    <row r="73" spans="2:6" x14ac:dyDescent="0.25">
      <c r="B73" s="32">
        <v>42338</v>
      </c>
      <c r="C73" s="26" t="s">
        <v>672</v>
      </c>
      <c r="D73" s="24"/>
      <c r="E73" s="24">
        <v>350</v>
      </c>
      <c r="F73" s="25">
        <f t="shared" si="0"/>
        <v>39903.25</v>
      </c>
    </row>
    <row r="74" spans="2:6" x14ac:dyDescent="0.25">
      <c r="B74" s="32">
        <v>42338</v>
      </c>
      <c r="C74" s="26" t="s">
        <v>673</v>
      </c>
      <c r="D74" s="24"/>
      <c r="E74" s="24">
        <v>100</v>
      </c>
      <c r="F74" s="25">
        <f t="shared" si="0"/>
        <v>39803.25</v>
      </c>
    </row>
    <row r="75" spans="2:6" x14ac:dyDescent="0.25">
      <c r="B75" s="32">
        <v>42338</v>
      </c>
      <c r="C75" s="26" t="s">
        <v>674</v>
      </c>
      <c r="D75" s="24"/>
      <c r="E75" s="24">
        <v>600</v>
      </c>
      <c r="F75" s="25">
        <f t="shared" si="0"/>
        <v>39203.25</v>
      </c>
    </row>
    <row r="76" spans="2:6" x14ac:dyDescent="0.25">
      <c r="B76" s="32">
        <v>42338</v>
      </c>
      <c r="C76" s="26" t="s">
        <v>675</v>
      </c>
      <c r="D76" s="24"/>
      <c r="E76" s="24">
        <v>192</v>
      </c>
      <c r="F76" s="25">
        <f t="shared" si="0"/>
        <v>39011.25</v>
      </c>
    </row>
    <row r="77" spans="2:6" x14ac:dyDescent="0.25">
      <c r="B77" s="32">
        <v>42338</v>
      </c>
      <c r="C77" s="26" t="s">
        <v>676</v>
      </c>
      <c r="D77" s="24"/>
      <c r="E77" s="24">
        <v>350</v>
      </c>
      <c r="F77" s="25">
        <f t="shared" si="0"/>
        <v>38661.25</v>
      </c>
    </row>
    <row r="78" spans="2:6" x14ac:dyDescent="0.25">
      <c r="B78" s="32">
        <v>42338</v>
      </c>
      <c r="C78" s="26" t="s">
        <v>670</v>
      </c>
      <c r="D78" s="24"/>
      <c r="E78" s="24">
        <v>200</v>
      </c>
      <c r="F78" s="25">
        <f t="shared" si="0"/>
        <v>38461.25</v>
      </c>
    </row>
    <row r="79" spans="2:6" x14ac:dyDescent="0.25">
      <c r="B79" s="32">
        <v>42338</v>
      </c>
      <c r="C79" s="26" t="s">
        <v>677</v>
      </c>
      <c r="D79" s="24"/>
      <c r="E79" s="24">
        <v>1394</v>
      </c>
      <c r="F79" s="25">
        <f t="shared" si="0"/>
        <v>37067.25</v>
      </c>
    </row>
    <row r="80" spans="2:6" x14ac:dyDescent="0.25">
      <c r="B80" s="32">
        <v>42338</v>
      </c>
      <c r="C80" s="26" t="s">
        <v>682</v>
      </c>
      <c r="D80" s="24">
        <v>20000</v>
      </c>
      <c r="E80" s="24"/>
      <c r="F80" s="25">
        <f t="shared" si="0"/>
        <v>57067.25</v>
      </c>
    </row>
    <row r="81" spans="2:6" x14ac:dyDescent="0.25">
      <c r="B81" s="32">
        <v>42338</v>
      </c>
      <c r="C81" s="26" t="s">
        <v>678</v>
      </c>
      <c r="D81" s="24"/>
      <c r="E81" s="24">
        <v>3200</v>
      </c>
      <c r="F81" s="25">
        <f t="shared" si="0"/>
        <v>53867.25</v>
      </c>
    </row>
    <row r="82" spans="2:6" x14ac:dyDescent="0.25">
      <c r="B82" s="32">
        <v>42338</v>
      </c>
      <c r="C82" s="27" t="s">
        <v>679</v>
      </c>
      <c r="D82" s="24"/>
      <c r="E82" s="24">
        <v>29000</v>
      </c>
      <c r="F82" s="25">
        <f t="shared" si="0"/>
        <v>24867.25</v>
      </c>
    </row>
    <row r="83" spans="2:6" x14ac:dyDescent="0.25">
      <c r="B83" s="32">
        <v>42338</v>
      </c>
      <c r="C83" s="26" t="s">
        <v>374</v>
      </c>
      <c r="D83" s="24"/>
      <c r="E83" s="24">
        <v>4000</v>
      </c>
      <c r="F83" s="25">
        <f t="shared" si="0"/>
        <v>20867.25</v>
      </c>
    </row>
    <row r="84" spans="2:6" x14ac:dyDescent="0.25">
      <c r="B84" s="32"/>
      <c r="C84" s="26"/>
      <c r="D84" s="24"/>
      <c r="E84" s="24"/>
      <c r="F84" s="25">
        <f t="shared" si="0"/>
        <v>20867.25</v>
      </c>
    </row>
    <row r="85" spans="2:6" ht="15.75" thickBot="1" x14ac:dyDescent="0.3">
      <c r="B85" s="32"/>
      <c r="C85" s="26"/>
      <c r="D85" s="24"/>
      <c r="E85" s="24"/>
      <c r="F85" s="25">
        <f t="shared" si="0"/>
        <v>20867.25</v>
      </c>
    </row>
    <row r="86" spans="2:6" ht="15.75" thickBot="1" x14ac:dyDescent="0.3">
      <c r="B86" s="54"/>
      <c r="C86" s="17" t="s">
        <v>0</v>
      </c>
      <c r="D86" s="15">
        <f>SUM(D5:D85)</f>
        <v>131505</v>
      </c>
      <c r="E86" s="15">
        <f>SUM(E5:E85)</f>
        <v>131033.2</v>
      </c>
      <c r="F86" s="33"/>
    </row>
  </sheetData>
  <mergeCells count="1">
    <mergeCell ref="B2:F2"/>
  </mergeCells>
  <printOptions verticalCentered="1"/>
  <pageMargins left="0.7" right="0.7" top="0.75" bottom="0.75" header="0.3" footer="0.3"/>
  <pageSetup paperSize="9" scale="80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0"/>
  <sheetViews>
    <sheetView tabSelected="1" topLeftCell="A124" workbookViewId="0">
      <selection activeCell="D124" sqref="D124"/>
    </sheetView>
  </sheetViews>
  <sheetFormatPr baseColWidth="10" defaultRowHeight="15" x14ac:dyDescent="0.25"/>
  <cols>
    <col min="1" max="2" width="10.7109375" customWidth="1"/>
    <col min="3" max="3" width="65.140625" customWidth="1"/>
    <col min="4" max="6" width="11.7109375" customWidth="1"/>
  </cols>
  <sheetData>
    <row r="1" spans="2:6" x14ac:dyDescent="0.25">
      <c r="B1" s="51">
        <v>42369</v>
      </c>
    </row>
    <row r="2" spans="2:6" x14ac:dyDescent="0.25">
      <c r="B2" s="146" t="s">
        <v>26</v>
      </c>
      <c r="C2" s="146"/>
      <c r="D2" s="146"/>
      <c r="E2" s="146"/>
      <c r="F2" s="146"/>
    </row>
    <row r="3" spans="2:6" ht="15.75" thickBot="1" x14ac:dyDescent="0.3">
      <c r="C3" s="43"/>
      <c r="D3" s="43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42338</v>
      </c>
      <c r="C5" s="19" t="s">
        <v>27</v>
      </c>
      <c r="D5" s="20"/>
      <c r="E5" s="21"/>
      <c r="F5" s="25">
        <v>20867.25</v>
      </c>
    </row>
    <row r="6" spans="2:6" x14ac:dyDescent="0.25">
      <c r="B6" s="32">
        <v>42339</v>
      </c>
      <c r="C6" s="26" t="s">
        <v>683</v>
      </c>
      <c r="D6" s="24"/>
      <c r="E6" s="24">
        <v>300</v>
      </c>
      <c r="F6" s="25">
        <f t="shared" ref="F6:F111" si="0">+F5+D6-E6</f>
        <v>20567.25</v>
      </c>
    </row>
    <row r="7" spans="2:6" x14ac:dyDescent="0.25">
      <c r="B7" s="32">
        <v>42339</v>
      </c>
      <c r="C7" s="26" t="s">
        <v>684</v>
      </c>
      <c r="D7" s="24"/>
      <c r="E7" s="24">
        <v>190</v>
      </c>
      <c r="F7" s="25">
        <f t="shared" si="0"/>
        <v>20377.25</v>
      </c>
    </row>
    <row r="8" spans="2:6" x14ac:dyDescent="0.25">
      <c r="B8" s="32">
        <v>42339</v>
      </c>
      <c r="C8" s="22" t="s">
        <v>685</v>
      </c>
      <c r="D8" s="23"/>
      <c r="E8" s="24">
        <v>1230</v>
      </c>
      <c r="F8" s="25">
        <f t="shared" si="0"/>
        <v>19147.25</v>
      </c>
    </row>
    <row r="9" spans="2:6" x14ac:dyDescent="0.25">
      <c r="B9" s="32">
        <v>42339</v>
      </c>
      <c r="C9" s="26" t="s">
        <v>686</v>
      </c>
      <c r="D9" s="24"/>
      <c r="E9" s="24">
        <v>1037</v>
      </c>
      <c r="F9" s="25">
        <f t="shared" si="0"/>
        <v>18110.25</v>
      </c>
    </row>
    <row r="10" spans="2:6" x14ac:dyDescent="0.25">
      <c r="B10" s="32">
        <v>42339</v>
      </c>
      <c r="C10" s="26" t="s">
        <v>687</v>
      </c>
      <c r="D10" s="24"/>
      <c r="E10" s="24">
        <v>45</v>
      </c>
      <c r="F10" s="25">
        <f t="shared" si="0"/>
        <v>18065.25</v>
      </c>
    </row>
    <row r="11" spans="2:6" x14ac:dyDescent="0.25">
      <c r="B11" s="32">
        <v>42339</v>
      </c>
      <c r="C11" s="26" t="s">
        <v>693</v>
      </c>
      <c r="D11" s="24"/>
      <c r="E11" s="24">
        <v>450</v>
      </c>
      <c r="F11" s="25">
        <f t="shared" si="0"/>
        <v>17615.25</v>
      </c>
    </row>
    <row r="12" spans="2:6" x14ac:dyDescent="0.25">
      <c r="B12" s="32">
        <v>42339</v>
      </c>
      <c r="C12" s="26" t="s">
        <v>688</v>
      </c>
      <c r="D12" s="24"/>
      <c r="E12" s="24">
        <v>400</v>
      </c>
      <c r="F12" s="25">
        <f t="shared" si="0"/>
        <v>17215.25</v>
      </c>
    </row>
    <row r="13" spans="2:6" x14ac:dyDescent="0.25">
      <c r="B13" s="32">
        <v>42339</v>
      </c>
      <c r="C13" s="26" t="s">
        <v>689</v>
      </c>
      <c r="D13" s="24"/>
      <c r="E13" s="24">
        <v>25</v>
      </c>
      <c r="F13" s="25">
        <f t="shared" si="0"/>
        <v>17190.25</v>
      </c>
    </row>
    <row r="14" spans="2:6" x14ac:dyDescent="0.25">
      <c r="B14" s="32">
        <v>42339</v>
      </c>
      <c r="C14" s="26" t="s">
        <v>690</v>
      </c>
      <c r="D14" s="24"/>
      <c r="E14" s="24">
        <v>300</v>
      </c>
      <c r="F14" s="25">
        <f t="shared" si="0"/>
        <v>16890.25</v>
      </c>
    </row>
    <row r="15" spans="2:6" x14ac:dyDescent="0.25">
      <c r="B15" s="32">
        <v>42340</v>
      </c>
      <c r="C15" s="26" t="s">
        <v>721</v>
      </c>
      <c r="D15" s="24"/>
      <c r="E15" s="24">
        <v>3</v>
      </c>
      <c r="F15" s="25">
        <f t="shared" si="0"/>
        <v>16887.25</v>
      </c>
    </row>
    <row r="16" spans="2:6" x14ac:dyDescent="0.25">
      <c r="B16" s="32">
        <v>42340</v>
      </c>
      <c r="C16" s="26" t="s">
        <v>691</v>
      </c>
      <c r="D16" s="24"/>
      <c r="E16" s="24">
        <v>350</v>
      </c>
      <c r="F16" s="25">
        <f t="shared" si="0"/>
        <v>16537.25</v>
      </c>
    </row>
    <row r="17" spans="2:7" x14ac:dyDescent="0.25">
      <c r="B17" s="32">
        <v>42340</v>
      </c>
      <c r="C17" s="35" t="s">
        <v>692</v>
      </c>
      <c r="D17" s="24"/>
      <c r="E17" s="24">
        <v>600</v>
      </c>
      <c r="F17" s="25">
        <f t="shared" si="0"/>
        <v>15937.25</v>
      </c>
    </row>
    <row r="18" spans="2:7" x14ac:dyDescent="0.25">
      <c r="B18" s="32">
        <v>42340</v>
      </c>
      <c r="C18" s="35" t="s">
        <v>695</v>
      </c>
      <c r="D18" s="24"/>
      <c r="E18" s="24">
        <v>7499.99</v>
      </c>
      <c r="F18" s="25">
        <f t="shared" si="0"/>
        <v>8437.26</v>
      </c>
    </row>
    <row r="19" spans="2:7" x14ac:dyDescent="0.25">
      <c r="B19" s="32">
        <v>42340</v>
      </c>
      <c r="C19" s="26" t="s">
        <v>694</v>
      </c>
      <c r="D19" s="24"/>
      <c r="E19" s="24">
        <v>200</v>
      </c>
      <c r="F19" s="25">
        <f t="shared" si="0"/>
        <v>8237.26</v>
      </c>
    </row>
    <row r="20" spans="2:7" x14ac:dyDescent="0.25">
      <c r="B20" s="32">
        <v>42341</v>
      </c>
      <c r="C20" s="26" t="s">
        <v>697</v>
      </c>
      <c r="D20" s="24">
        <v>5000</v>
      </c>
      <c r="E20" s="24"/>
      <c r="F20" s="25">
        <f t="shared" si="0"/>
        <v>13237.26</v>
      </c>
    </row>
    <row r="21" spans="2:7" x14ac:dyDescent="0.25">
      <c r="B21" s="32">
        <v>42341</v>
      </c>
      <c r="C21" s="26" t="s">
        <v>698</v>
      </c>
      <c r="D21" s="24"/>
      <c r="E21" s="24">
        <v>600</v>
      </c>
      <c r="F21" s="25">
        <f t="shared" si="0"/>
        <v>12637.26</v>
      </c>
    </row>
    <row r="22" spans="2:7" x14ac:dyDescent="0.25">
      <c r="B22" s="32">
        <v>42341</v>
      </c>
      <c r="C22" s="26" t="s">
        <v>699</v>
      </c>
      <c r="D22" s="24"/>
      <c r="E22" s="24">
        <v>6200</v>
      </c>
      <c r="F22" s="25">
        <f t="shared" si="0"/>
        <v>6437.26</v>
      </c>
    </row>
    <row r="23" spans="2:7" x14ac:dyDescent="0.25">
      <c r="B23" s="32">
        <v>42341</v>
      </c>
      <c r="C23" s="26" t="s">
        <v>700</v>
      </c>
      <c r="D23" s="24"/>
      <c r="E23" s="24">
        <v>150</v>
      </c>
      <c r="F23" s="25">
        <f t="shared" si="0"/>
        <v>6287.26</v>
      </c>
    </row>
    <row r="24" spans="2:7" x14ac:dyDescent="0.25">
      <c r="B24" s="32">
        <v>42341</v>
      </c>
      <c r="C24" s="26" t="s">
        <v>696</v>
      </c>
      <c r="D24" s="24"/>
      <c r="E24" s="24">
        <v>1200</v>
      </c>
      <c r="F24" s="25">
        <f t="shared" si="0"/>
        <v>5087.26</v>
      </c>
    </row>
    <row r="25" spans="2:7" x14ac:dyDescent="0.25">
      <c r="B25" s="32">
        <v>42342</v>
      </c>
      <c r="C25" s="27" t="s">
        <v>701</v>
      </c>
      <c r="D25" s="24"/>
      <c r="E25" s="24">
        <v>1000</v>
      </c>
      <c r="F25" s="25">
        <f t="shared" si="0"/>
        <v>4087.26</v>
      </c>
    </row>
    <row r="26" spans="2:7" x14ac:dyDescent="0.25">
      <c r="B26" s="32">
        <v>42342</v>
      </c>
      <c r="C26" s="27" t="s">
        <v>702</v>
      </c>
      <c r="D26" s="24"/>
      <c r="E26" s="24">
        <v>600</v>
      </c>
      <c r="F26" s="25">
        <f t="shared" si="0"/>
        <v>3487.26</v>
      </c>
    </row>
    <row r="27" spans="2:7" x14ac:dyDescent="0.25">
      <c r="B27" s="32">
        <v>42342</v>
      </c>
      <c r="C27" s="26" t="s">
        <v>548</v>
      </c>
      <c r="D27" s="24"/>
      <c r="E27" s="24">
        <v>210</v>
      </c>
      <c r="F27" s="25">
        <f t="shared" si="0"/>
        <v>3277.26</v>
      </c>
    </row>
    <row r="28" spans="2:7" x14ac:dyDescent="0.25">
      <c r="B28" s="32">
        <v>42343</v>
      </c>
      <c r="C28" s="27" t="s">
        <v>703</v>
      </c>
      <c r="D28" s="112"/>
      <c r="E28" s="112">
        <v>80</v>
      </c>
      <c r="F28" s="25">
        <f t="shared" si="0"/>
        <v>3197.26</v>
      </c>
    </row>
    <row r="29" spans="2:7" x14ac:dyDescent="0.25">
      <c r="B29" s="32">
        <v>42343</v>
      </c>
      <c r="C29" s="27" t="s">
        <v>704</v>
      </c>
      <c r="D29" s="112"/>
      <c r="E29" s="112">
        <v>1040</v>
      </c>
      <c r="F29" s="25">
        <f t="shared" si="0"/>
        <v>2157.2600000000002</v>
      </c>
      <c r="G29" s="1"/>
    </row>
    <row r="30" spans="2:7" x14ac:dyDescent="0.25">
      <c r="B30" s="32">
        <v>42343</v>
      </c>
      <c r="C30" s="27" t="s">
        <v>710</v>
      </c>
      <c r="D30" s="112"/>
      <c r="E30" s="112">
        <v>80</v>
      </c>
      <c r="F30" s="25">
        <f t="shared" si="0"/>
        <v>2077.2600000000002</v>
      </c>
    </row>
    <row r="31" spans="2:7" x14ac:dyDescent="0.25">
      <c r="B31" s="32">
        <v>42343</v>
      </c>
      <c r="C31" s="26" t="s">
        <v>705</v>
      </c>
      <c r="D31" s="24"/>
      <c r="E31" s="24">
        <v>200</v>
      </c>
      <c r="F31" s="25">
        <f t="shared" si="0"/>
        <v>1877.2600000000002</v>
      </c>
    </row>
    <row r="32" spans="2:7" x14ac:dyDescent="0.25">
      <c r="B32" s="32">
        <v>42343</v>
      </c>
      <c r="C32" s="26" t="s">
        <v>706</v>
      </c>
      <c r="D32" s="24"/>
      <c r="E32" s="24">
        <v>97</v>
      </c>
      <c r="F32" s="25">
        <f t="shared" si="0"/>
        <v>1780.2600000000002</v>
      </c>
    </row>
    <row r="33" spans="2:6" x14ac:dyDescent="0.25">
      <c r="B33" s="32">
        <v>42344</v>
      </c>
      <c r="C33" s="26" t="s">
        <v>707</v>
      </c>
      <c r="D33" s="24"/>
      <c r="E33" s="24">
        <v>120</v>
      </c>
      <c r="F33" s="25">
        <f t="shared" si="0"/>
        <v>1660.2600000000002</v>
      </c>
    </row>
    <row r="34" spans="2:6" x14ac:dyDescent="0.25">
      <c r="B34" s="40">
        <v>42344</v>
      </c>
      <c r="C34" s="35" t="s">
        <v>708</v>
      </c>
      <c r="D34" s="24"/>
      <c r="E34" s="24">
        <v>750</v>
      </c>
      <c r="F34" s="25">
        <f t="shared" si="0"/>
        <v>910.26000000000022</v>
      </c>
    </row>
    <row r="35" spans="2:6" x14ac:dyDescent="0.25">
      <c r="B35" s="32">
        <v>42344</v>
      </c>
      <c r="C35" s="27" t="s">
        <v>709</v>
      </c>
      <c r="D35" s="24">
        <v>26725</v>
      </c>
      <c r="E35" s="24"/>
      <c r="F35" s="25">
        <f t="shared" si="0"/>
        <v>27635.260000000002</v>
      </c>
    </row>
    <row r="36" spans="2:6" x14ac:dyDescent="0.25">
      <c r="B36" s="32">
        <v>42345</v>
      </c>
      <c r="C36" s="27" t="s">
        <v>711</v>
      </c>
      <c r="D36" s="24"/>
      <c r="E36" s="24">
        <v>304.5</v>
      </c>
      <c r="F36" s="25">
        <f t="shared" si="0"/>
        <v>27330.760000000002</v>
      </c>
    </row>
    <row r="37" spans="2:6" x14ac:dyDescent="0.25">
      <c r="B37" s="32">
        <v>42346</v>
      </c>
      <c r="C37" s="26" t="s">
        <v>712</v>
      </c>
      <c r="D37" s="24"/>
      <c r="E37" s="24">
        <v>350</v>
      </c>
      <c r="F37" s="25">
        <f t="shared" si="0"/>
        <v>26980.760000000002</v>
      </c>
    </row>
    <row r="38" spans="2:6" x14ac:dyDescent="0.25">
      <c r="B38" s="32">
        <v>42347</v>
      </c>
      <c r="C38" s="26" t="s">
        <v>713</v>
      </c>
      <c r="D38" s="24"/>
      <c r="E38" s="24">
        <v>1000</v>
      </c>
      <c r="F38" s="25">
        <f t="shared" si="0"/>
        <v>25980.760000000002</v>
      </c>
    </row>
    <row r="39" spans="2:6" x14ac:dyDescent="0.25">
      <c r="B39" s="32">
        <v>42347</v>
      </c>
      <c r="C39" s="26" t="s">
        <v>714</v>
      </c>
      <c r="D39" s="24"/>
      <c r="E39" s="24">
        <v>600</v>
      </c>
      <c r="F39" s="25">
        <f t="shared" si="0"/>
        <v>25380.760000000002</v>
      </c>
    </row>
    <row r="40" spans="2:6" x14ac:dyDescent="0.25">
      <c r="B40" s="32">
        <v>42347</v>
      </c>
      <c r="C40" s="26" t="s">
        <v>715</v>
      </c>
      <c r="D40" s="24"/>
      <c r="E40" s="24">
        <v>600</v>
      </c>
      <c r="F40" s="25">
        <f t="shared" si="0"/>
        <v>24780.760000000002</v>
      </c>
    </row>
    <row r="41" spans="2:6" x14ac:dyDescent="0.25">
      <c r="B41" s="32">
        <v>42347</v>
      </c>
      <c r="C41" s="26" t="s">
        <v>716</v>
      </c>
      <c r="D41" s="24"/>
      <c r="E41" s="24">
        <v>500</v>
      </c>
      <c r="F41" s="25">
        <f t="shared" si="0"/>
        <v>24280.760000000002</v>
      </c>
    </row>
    <row r="42" spans="2:6" x14ac:dyDescent="0.25">
      <c r="B42" s="32">
        <v>42347</v>
      </c>
      <c r="C42" s="27" t="s">
        <v>717</v>
      </c>
      <c r="D42" s="24"/>
      <c r="E42" s="24">
        <v>1760</v>
      </c>
      <c r="F42" s="25">
        <f t="shared" si="0"/>
        <v>22520.760000000002</v>
      </c>
    </row>
    <row r="43" spans="2:6" x14ac:dyDescent="0.25">
      <c r="B43" s="32">
        <v>42347</v>
      </c>
      <c r="C43" s="142" t="s">
        <v>718</v>
      </c>
      <c r="D43" s="24"/>
      <c r="E43" s="24">
        <v>2200</v>
      </c>
      <c r="F43" s="25">
        <f t="shared" si="0"/>
        <v>20320.760000000002</v>
      </c>
    </row>
    <row r="44" spans="2:6" x14ac:dyDescent="0.25">
      <c r="B44" s="32">
        <v>42347</v>
      </c>
      <c r="C44" s="26" t="s">
        <v>719</v>
      </c>
      <c r="D44" s="24"/>
      <c r="E44" s="24">
        <v>100</v>
      </c>
      <c r="F44" s="25">
        <f t="shared" si="0"/>
        <v>20220.760000000002</v>
      </c>
    </row>
    <row r="45" spans="2:6" x14ac:dyDescent="0.25">
      <c r="B45" s="32">
        <v>42347</v>
      </c>
      <c r="C45" s="26" t="s">
        <v>720</v>
      </c>
      <c r="D45" s="24"/>
      <c r="E45" s="24">
        <v>24</v>
      </c>
      <c r="F45" s="25">
        <f t="shared" si="0"/>
        <v>20196.760000000002</v>
      </c>
    </row>
    <row r="46" spans="2:6" x14ac:dyDescent="0.25">
      <c r="B46" s="32">
        <v>42347</v>
      </c>
      <c r="C46" s="26" t="s">
        <v>722</v>
      </c>
      <c r="D46" s="24"/>
      <c r="E46" s="24">
        <v>307</v>
      </c>
      <c r="F46" s="25">
        <f t="shared" si="0"/>
        <v>19889.760000000002</v>
      </c>
    </row>
    <row r="47" spans="2:6" x14ac:dyDescent="0.25">
      <c r="B47" s="32">
        <v>42348</v>
      </c>
      <c r="C47" s="26" t="s">
        <v>723</v>
      </c>
      <c r="D47" s="24"/>
      <c r="E47" s="24">
        <v>20</v>
      </c>
      <c r="F47" s="25">
        <f t="shared" si="0"/>
        <v>19869.760000000002</v>
      </c>
    </row>
    <row r="48" spans="2:6" x14ac:dyDescent="0.25">
      <c r="B48" s="32">
        <v>42348</v>
      </c>
      <c r="C48" s="26" t="s">
        <v>724</v>
      </c>
      <c r="D48" s="24"/>
      <c r="E48" s="24">
        <v>310</v>
      </c>
      <c r="F48" s="25">
        <f t="shared" si="0"/>
        <v>19559.760000000002</v>
      </c>
    </row>
    <row r="49" spans="2:6" x14ac:dyDescent="0.25">
      <c r="B49" s="32">
        <v>42348</v>
      </c>
      <c r="C49" s="26" t="s">
        <v>725</v>
      </c>
      <c r="D49" s="24"/>
      <c r="E49" s="24">
        <v>155</v>
      </c>
      <c r="F49" s="25">
        <f t="shared" si="0"/>
        <v>19404.760000000002</v>
      </c>
    </row>
    <row r="50" spans="2:6" x14ac:dyDescent="0.25">
      <c r="B50" s="32">
        <v>42348</v>
      </c>
      <c r="C50" s="26" t="s">
        <v>726</v>
      </c>
      <c r="D50" s="24"/>
      <c r="E50" s="24">
        <v>339.25</v>
      </c>
      <c r="F50" s="25">
        <f t="shared" si="0"/>
        <v>19065.510000000002</v>
      </c>
    </row>
    <row r="51" spans="2:6" x14ac:dyDescent="0.25">
      <c r="B51" s="32">
        <v>42348</v>
      </c>
      <c r="C51" s="26" t="s">
        <v>727</v>
      </c>
      <c r="D51" s="24"/>
      <c r="E51" s="24">
        <v>3</v>
      </c>
      <c r="F51" s="25">
        <f t="shared" si="0"/>
        <v>19062.510000000002</v>
      </c>
    </row>
    <row r="52" spans="2:6" x14ac:dyDescent="0.25">
      <c r="B52" s="32">
        <v>42349</v>
      </c>
      <c r="C52" s="26" t="s">
        <v>728</v>
      </c>
      <c r="D52" s="24"/>
      <c r="E52" s="24">
        <v>185</v>
      </c>
      <c r="F52" s="25">
        <f t="shared" si="0"/>
        <v>18877.510000000002</v>
      </c>
    </row>
    <row r="53" spans="2:6" x14ac:dyDescent="0.25">
      <c r="B53" s="32">
        <v>42349</v>
      </c>
      <c r="C53" s="26" t="s">
        <v>701</v>
      </c>
      <c r="D53" s="24"/>
      <c r="E53" s="24">
        <v>1000</v>
      </c>
      <c r="F53" s="25">
        <f t="shared" si="0"/>
        <v>17877.510000000002</v>
      </c>
    </row>
    <row r="54" spans="2:6" x14ac:dyDescent="0.25">
      <c r="B54" s="32">
        <v>42349</v>
      </c>
      <c r="C54" s="26" t="s">
        <v>729</v>
      </c>
      <c r="D54" s="24">
        <v>26000</v>
      </c>
      <c r="E54" s="24"/>
      <c r="F54" s="25">
        <f t="shared" si="0"/>
        <v>43877.51</v>
      </c>
    </row>
    <row r="55" spans="2:6" x14ac:dyDescent="0.25">
      <c r="B55" s="32">
        <v>42349</v>
      </c>
      <c r="C55" s="26" t="s">
        <v>730</v>
      </c>
      <c r="D55" s="24"/>
      <c r="E55" s="24">
        <v>3000</v>
      </c>
      <c r="F55" s="25">
        <f t="shared" si="0"/>
        <v>40877.51</v>
      </c>
    </row>
    <row r="56" spans="2:6" x14ac:dyDescent="0.25">
      <c r="B56" s="32">
        <v>42349</v>
      </c>
      <c r="C56" s="26" t="s">
        <v>731</v>
      </c>
      <c r="D56" s="24"/>
      <c r="E56" s="24">
        <v>22750</v>
      </c>
      <c r="F56" s="25">
        <f t="shared" si="0"/>
        <v>18127.510000000002</v>
      </c>
    </row>
    <row r="57" spans="2:6" x14ac:dyDescent="0.25">
      <c r="B57" s="32">
        <v>42350</v>
      </c>
      <c r="C57" s="26" t="s">
        <v>732</v>
      </c>
      <c r="D57" s="24"/>
      <c r="E57" s="24">
        <v>250</v>
      </c>
      <c r="F57" s="25">
        <f t="shared" si="0"/>
        <v>17877.510000000002</v>
      </c>
    </row>
    <row r="58" spans="2:6" x14ac:dyDescent="0.25">
      <c r="B58" s="32">
        <v>42350</v>
      </c>
      <c r="C58" s="26" t="s">
        <v>733</v>
      </c>
      <c r="D58" s="24"/>
      <c r="E58" s="24">
        <v>493</v>
      </c>
      <c r="F58" s="25">
        <f t="shared" si="0"/>
        <v>17384.510000000002</v>
      </c>
    </row>
    <row r="59" spans="2:6" x14ac:dyDescent="0.25">
      <c r="B59" s="32">
        <v>42350</v>
      </c>
      <c r="C59" s="26" t="s">
        <v>734</v>
      </c>
      <c r="D59" s="24"/>
      <c r="E59" s="24">
        <v>177</v>
      </c>
      <c r="F59" s="25">
        <f t="shared" si="0"/>
        <v>17207.510000000002</v>
      </c>
    </row>
    <row r="60" spans="2:6" x14ac:dyDescent="0.25">
      <c r="B60" s="32">
        <v>42350</v>
      </c>
      <c r="C60" s="26" t="s">
        <v>735</v>
      </c>
      <c r="D60" s="24"/>
      <c r="E60" s="24">
        <v>77</v>
      </c>
      <c r="F60" s="25">
        <f t="shared" si="0"/>
        <v>17130.510000000002</v>
      </c>
    </row>
    <row r="61" spans="2:6" x14ac:dyDescent="0.25">
      <c r="B61" s="32">
        <v>42351</v>
      </c>
      <c r="C61" s="26" t="s">
        <v>736</v>
      </c>
      <c r="D61" s="24"/>
      <c r="E61" s="24">
        <v>80</v>
      </c>
      <c r="F61" s="25">
        <f>+F60+D61-E61</f>
        <v>17050.510000000002</v>
      </c>
    </row>
    <row r="62" spans="2:6" x14ac:dyDescent="0.25">
      <c r="B62" s="32">
        <v>42351</v>
      </c>
      <c r="C62" s="26" t="s">
        <v>733</v>
      </c>
      <c r="D62" s="24"/>
      <c r="E62" s="24">
        <v>365</v>
      </c>
      <c r="F62" s="25">
        <f t="shared" si="0"/>
        <v>16685.510000000002</v>
      </c>
    </row>
    <row r="63" spans="2:6" x14ac:dyDescent="0.25">
      <c r="B63" s="32">
        <v>42351</v>
      </c>
      <c r="C63" s="26" t="s">
        <v>734</v>
      </c>
      <c r="D63" s="24"/>
      <c r="E63" s="24">
        <v>171</v>
      </c>
      <c r="F63" s="25">
        <f t="shared" si="0"/>
        <v>16514.510000000002</v>
      </c>
    </row>
    <row r="64" spans="2:6" x14ac:dyDescent="0.25">
      <c r="B64" s="32">
        <v>42351</v>
      </c>
      <c r="C64" s="26" t="s">
        <v>737</v>
      </c>
      <c r="D64" s="24"/>
      <c r="E64" s="24">
        <v>91</v>
      </c>
      <c r="F64" s="25">
        <f t="shared" si="0"/>
        <v>16423.510000000002</v>
      </c>
    </row>
    <row r="65" spans="2:6" x14ac:dyDescent="0.25">
      <c r="B65" s="32">
        <v>42351</v>
      </c>
      <c r="C65" s="26" t="s">
        <v>738</v>
      </c>
      <c r="D65" s="24"/>
      <c r="E65" s="24">
        <v>240</v>
      </c>
      <c r="F65" s="25">
        <f t="shared" si="0"/>
        <v>16183.510000000002</v>
      </c>
    </row>
    <row r="66" spans="2:6" x14ac:dyDescent="0.25">
      <c r="B66" s="32">
        <v>42351</v>
      </c>
      <c r="C66" s="26" t="s">
        <v>740</v>
      </c>
      <c r="D66" s="24"/>
      <c r="E66" s="24">
        <v>350</v>
      </c>
      <c r="F66" s="25">
        <f t="shared" si="0"/>
        <v>15833.510000000002</v>
      </c>
    </row>
    <row r="67" spans="2:6" x14ac:dyDescent="0.25">
      <c r="B67" s="32">
        <v>42351</v>
      </c>
      <c r="C67" s="26" t="s">
        <v>739</v>
      </c>
      <c r="D67" s="24"/>
      <c r="E67" s="24">
        <v>100</v>
      </c>
      <c r="F67" s="25">
        <f t="shared" si="0"/>
        <v>15733.510000000002</v>
      </c>
    </row>
    <row r="68" spans="2:6" x14ac:dyDescent="0.25">
      <c r="B68" s="32">
        <v>42351</v>
      </c>
      <c r="C68" s="26" t="s">
        <v>742</v>
      </c>
      <c r="D68" s="24">
        <v>20400</v>
      </c>
      <c r="E68" s="24"/>
      <c r="F68" s="25">
        <f t="shared" si="0"/>
        <v>36133.51</v>
      </c>
    </row>
    <row r="69" spans="2:6" x14ac:dyDescent="0.25">
      <c r="B69" s="32">
        <v>42353</v>
      </c>
      <c r="C69" s="26" t="s">
        <v>743</v>
      </c>
      <c r="D69" s="24"/>
      <c r="E69" s="24">
        <v>1000</v>
      </c>
      <c r="F69" s="25">
        <f t="shared" si="0"/>
        <v>35133.51</v>
      </c>
    </row>
    <row r="70" spans="2:6" x14ac:dyDescent="0.25">
      <c r="B70" s="32">
        <v>42353</v>
      </c>
      <c r="C70" s="26" t="s">
        <v>744</v>
      </c>
      <c r="D70" s="24"/>
      <c r="E70" s="24">
        <v>500</v>
      </c>
      <c r="F70" s="25">
        <f t="shared" si="0"/>
        <v>34633.51</v>
      </c>
    </row>
    <row r="71" spans="2:6" x14ac:dyDescent="0.25">
      <c r="B71" s="32">
        <v>42353</v>
      </c>
      <c r="C71" s="26" t="s">
        <v>741</v>
      </c>
      <c r="D71" s="24"/>
      <c r="E71" s="24">
        <v>3200</v>
      </c>
      <c r="F71" s="25">
        <f t="shared" si="0"/>
        <v>31433.510000000002</v>
      </c>
    </row>
    <row r="72" spans="2:6" x14ac:dyDescent="0.25">
      <c r="B72" s="32">
        <v>42353</v>
      </c>
      <c r="C72" s="27" t="s">
        <v>679</v>
      </c>
      <c r="D72" s="24"/>
      <c r="E72" s="24">
        <v>29000</v>
      </c>
      <c r="F72" s="25">
        <f t="shared" si="0"/>
        <v>2433.510000000002</v>
      </c>
    </row>
    <row r="73" spans="2:6" x14ac:dyDescent="0.25">
      <c r="B73" s="32">
        <v>42353</v>
      </c>
      <c r="C73" s="26" t="s">
        <v>374</v>
      </c>
      <c r="D73" s="24"/>
      <c r="E73" s="24">
        <v>4000</v>
      </c>
      <c r="F73" s="25">
        <f t="shared" si="0"/>
        <v>-1566.489999999998</v>
      </c>
    </row>
    <row r="74" spans="2:6" x14ac:dyDescent="0.25">
      <c r="B74" s="32">
        <v>42354</v>
      </c>
      <c r="C74" s="26" t="s">
        <v>745</v>
      </c>
      <c r="D74" s="24"/>
      <c r="E74" s="24">
        <v>54.99</v>
      </c>
      <c r="F74" s="25">
        <f t="shared" si="0"/>
        <v>-1621.479999999998</v>
      </c>
    </row>
    <row r="75" spans="2:6" x14ac:dyDescent="0.25">
      <c r="B75" s="32">
        <v>42354</v>
      </c>
      <c r="C75" s="26" t="s">
        <v>746</v>
      </c>
      <c r="D75" s="24"/>
      <c r="E75" s="24">
        <v>108</v>
      </c>
      <c r="F75" s="25">
        <f t="shared" si="0"/>
        <v>-1729.479999999998</v>
      </c>
    </row>
    <row r="76" spans="2:6" x14ac:dyDescent="0.25">
      <c r="B76" s="32">
        <v>42354</v>
      </c>
      <c r="C76" s="26" t="s">
        <v>747</v>
      </c>
      <c r="D76" s="24"/>
      <c r="E76" s="24">
        <v>20</v>
      </c>
      <c r="F76" s="25">
        <f t="shared" si="0"/>
        <v>-1749.479999999998</v>
      </c>
    </row>
    <row r="77" spans="2:6" x14ac:dyDescent="0.25">
      <c r="B77" s="32">
        <v>42354</v>
      </c>
      <c r="C77" s="26" t="s">
        <v>748</v>
      </c>
      <c r="D77" s="24"/>
      <c r="E77" s="24">
        <v>292.02</v>
      </c>
      <c r="F77" s="25">
        <f t="shared" si="0"/>
        <v>-2041.499999999998</v>
      </c>
    </row>
    <row r="78" spans="2:6" x14ac:dyDescent="0.25">
      <c r="B78" s="32">
        <v>42354</v>
      </c>
      <c r="C78" s="26" t="s">
        <v>470</v>
      </c>
      <c r="D78" s="24"/>
      <c r="E78" s="24">
        <v>109</v>
      </c>
      <c r="F78" s="25">
        <f t="shared" si="0"/>
        <v>-2150.4999999999982</v>
      </c>
    </row>
    <row r="79" spans="2:6" x14ac:dyDescent="0.25">
      <c r="B79" s="32">
        <v>42354</v>
      </c>
      <c r="C79" s="26" t="s">
        <v>722</v>
      </c>
      <c r="D79" s="24"/>
      <c r="E79" s="24">
        <v>450</v>
      </c>
      <c r="F79" s="25">
        <f t="shared" si="0"/>
        <v>-2600.4999999999982</v>
      </c>
    </row>
    <row r="80" spans="2:6" x14ac:dyDescent="0.25">
      <c r="B80" s="32">
        <v>42355</v>
      </c>
      <c r="C80" s="26" t="s">
        <v>749</v>
      </c>
      <c r="D80" s="24"/>
      <c r="E80" s="24">
        <v>271.39999999999998</v>
      </c>
      <c r="F80" s="25">
        <f t="shared" si="0"/>
        <v>-2871.8999999999983</v>
      </c>
    </row>
    <row r="81" spans="2:6" x14ac:dyDescent="0.25">
      <c r="B81" s="32">
        <v>42355</v>
      </c>
      <c r="C81" s="26" t="s">
        <v>750</v>
      </c>
      <c r="D81" s="24"/>
      <c r="E81" s="24">
        <v>18</v>
      </c>
      <c r="F81" s="25">
        <f t="shared" si="0"/>
        <v>-2889.8999999999983</v>
      </c>
    </row>
    <row r="82" spans="2:6" x14ac:dyDescent="0.25">
      <c r="B82" s="32">
        <v>42355</v>
      </c>
      <c r="C82" s="26" t="s">
        <v>751</v>
      </c>
      <c r="D82" s="24"/>
      <c r="E82" s="24">
        <v>181.08</v>
      </c>
      <c r="F82" s="25">
        <f t="shared" si="0"/>
        <v>-3070.9799999999982</v>
      </c>
    </row>
    <row r="83" spans="2:6" x14ac:dyDescent="0.25">
      <c r="B83" s="32">
        <v>42355</v>
      </c>
      <c r="C83" s="26" t="s">
        <v>752</v>
      </c>
      <c r="D83" s="24"/>
      <c r="E83" s="24">
        <v>816.5</v>
      </c>
      <c r="F83" s="25">
        <f t="shared" si="0"/>
        <v>-3887.4799999999982</v>
      </c>
    </row>
    <row r="84" spans="2:6" x14ac:dyDescent="0.25">
      <c r="B84" s="32">
        <v>42355</v>
      </c>
      <c r="C84" s="26" t="s">
        <v>753</v>
      </c>
      <c r="D84" s="24"/>
      <c r="E84" s="24">
        <v>20</v>
      </c>
      <c r="F84" s="25">
        <f t="shared" si="0"/>
        <v>-3907.4799999999982</v>
      </c>
    </row>
    <row r="85" spans="2:6" x14ac:dyDescent="0.25">
      <c r="B85" s="32">
        <v>42355</v>
      </c>
      <c r="C85" s="26" t="s">
        <v>754</v>
      </c>
      <c r="D85" s="24"/>
      <c r="E85" s="24">
        <v>600</v>
      </c>
      <c r="F85" s="25">
        <f t="shared" si="0"/>
        <v>-4507.4799999999977</v>
      </c>
    </row>
    <row r="86" spans="2:6" x14ac:dyDescent="0.25">
      <c r="B86" s="32">
        <v>42355</v>
      </c>
      <c r="C86" s="26" t="s">
        <v>756</v>
      </c>
      <c r="D86" s="24"/>
      <c r="E86" s="24">
        <v>278.39999999999998</v>
      </c>
      <c r="F86" s="25">
        <f t="shared" si="0"/>
        <v>-4785.8799999999974</v>
      </c>
    </row>
    <row r="87" spans="2:6" x14ac:dyDescent="0.25">
      <c r="B87" s="32">
        <v>42356</v>
      </c>
      <c r="C87" s="26" t="s">
        <v>755</v>
      </c>
      <c r="D87" s="24">
        <v>15000</v>
      </c>
      <c r="E87" s="24"/>
      <c r="F87" s="25">
        <f t="shared" si="0"/>
        <v>10214.120000000003</v>
      </c>
    </row>
    <row r="88" spans="2:6" x14ac:dyDescent="0.25">
      <c r="B88" s="32">
        <v>42356</v>
      </c>
      <c r="C88" s="26" t="s">
        <v>124</v>
      </c>
      <c r="D88" s="24"/>
      <c r="E88" s="24">
        <v>278.39999999999998</v>
      </c>
      <c r="F88" s="25">
        <f t="shared" si="0"/>
        <v>9935.720000000003</v>
      </c>
    </row>
    <row r="89" spans="2:6" x14ac:dyDescent="0.25">
      <c r="B89" s="32">
        <v>42356</v>
      </c>
      <c r="C89" s="26" t="s">
        <v>757</v>
      </c>
      <c r="D89" s="24"/>
      <c r="E89" s="24">
        <v>500</v>
      </c>
      <c r="F89" s="25">
        <f t="shared" si="0"/>
        <v>9435.720000000003</v>
      </c>
    </row>
    <row r="90" spans="2:6" x14ac:dyDescent="0.25">
      <c r="B90" s="32">
        <v>42356</v>
      </c>
      <c r="C90" s="26" t="s">
        <v>470</v>
      </c>
      <c r="D90" s="24"/>
      <c r="E90" s="24">
        <v>142</v>
      </c>
      <c r="F90" s="25">
        <f t="shared" si="0"/>
        <v>9293.720000000003</v>
      </c>
    </row>
    <row r="91" spans="2:6" x14ac:dyDescent="0.25">
      <c r="B91" s="32">
        <v>42356</v>
      </c>
      <c r="C91" s="26" t="s">
        <v>758</v>
      </c>
      <c r="D91" s="24"/>
      <c r="E91" s="24">
        <v>350</v>
      </c>
      <c r="F91" s="25">
        <f t="shared" si="0"/>
        <v>8943.720000000003</v>
      </c>
    </row>
    <row r="92" spans="2:6" x14ac:dyDescent="0.25">
      <c r="B92" s="32">
        <v>42356</v>
      </c>
      <c r="C92" s="26" t="s">
        <v>759</v>
      </c>
      <c r="D92" s="24"/>
      <c r="E92" s="24">
        <v>200</v>
      </c>
      <c r="F92" s="25">
        <f t="shared" si="0"/>
        <v>8743.720000000003</v>
      </c>
    </row>
    <row r="93" spans="2:6" x14ac:dyDescent="0.25">
      <c r="B93" s="32">
        <v>42356</v>
      </c>
      <c r="C93" s="26" t="s">
        <v>760</v>
      </c>
      <c r="D93" s="24"/>
      <c r="E93" s="24">
        <v>797</v>
      </c>
      <c r="F93" s="25">
        <f t="shared" si="0"/>
        <v>7946.720000000003</v>
      </c>
    </row>
    <row r="94" spans="2:6" x14ac:dyDescent="0.25">
      <c r="B94" s="32">
        <v>42356</v>
      </c>
      <c r="C94" s="26" t="s">
        <v>760</v>
      </c>
      <c r="D94" s="24"/>
      <c r="E94" s="24">
        <v>572</v>
      </c>
      <c r="F94" s="25">
        <f t="shared" si="0"/>
        <v>7374.720000000003</v>
      </c>
    </row>
    <row r="95" spans="2:6" x14ac:dyDescent="0.25">
      <c r="B95" s="32">
        <v>42356</v>
      </c>
      <c r="C95" s="26" t="s">
        <v>701</v>
      </c>
      <c r="D95" s="24"/>
      <c r="E95" s="24">
        <v>1000</v>
      </c>
      <c r="F95" s="25">
        <f t="shared" si="0"/>
        <v>6374.720000000003</v>
      </c>
    </row>
    <row r="96" spans="2:6" x14ac:dyDescent="0.25">
      <c r="B96" s="32">
        <v>42356</v>
      </c>
      <c r="C96" s="26" t="s">
        <v>761</v>
      </c>
      <c r="D96" s="24"/>
      <c r="E96" s="24">
        <v>23</v>
      </c>
      <c r="F96" s="25">
        <f t="shared" si="0"/>
        <v>6351.720000000003</v>
      </c>
    </row>
    <row r="97" spans="2:6" x14ac:dyDescent="0.25">
      <c r="B97" s="32">
        <v>42356</v>
      </c>
      <c r="C97" s="26" t="s">
        <v>762</v>
      </c>
      <c r="D97" s="24"/>
      <c r="E97" s="24">
        <v>500</v>
      </c>
      <c r="F97" s="25">
        <f t="shared" si="0"/>
        <v>5851.720000000003</v>
      </c>
    </row>
    <row r="98" spans="2:6" x14ac:dyDescent="0.25">
      <c r="B98" s="32">
        <v>42356</v>
      </c>
      <c r="C98" s="26" t="s">
        <v>763</v>
      </c>
      <c r="D98" s="24"/>
      <c r="E98" s="24">
        <v>132</v>
      </c>
      <c r="F98" s="25">
        <f t="shared" si="0"/>
        <v>5719.720000000003</v>
      </c>
    </row>
    <row r="99" spans="2:6" x14ac:dyDescent="0.25">
      <c r="B99" s="32">
        <v>42356</v>
      </c>
      <c r="C99" s="26" t="s">
        <v>764</v>
      </c>
      <c r="D99" s="24"/>
      <c r="E99" s="24">
        <v>61</v>
      </c>
      <c r="F99" s="25">
        <f t="shared" si="0"/>
        <v>5658.720000000003</v>
      </c>
    </row>
    <row r="100" spans="2:6" x14ac:dyDescent="0.25">
      <c r="B100" s="32">
        <v>42357</v>
      </c>
      <c r="C100" s="26" t="s">
        <v>765</v>
      </c>
      <c r="D100" s="24"/>
      <c r="E100" s="24">
        <v>2100</v>
      </c>
      <c r="F100" s="25">
        <f t="shared" si="0"/>
        <v>3558.720000000003</v>
      </c>
    </row>
    <row r="101" spans="2:6" x14ac:dyDescent="0.25">
      <c r="B101" s="32">
        <v>42357</v>
      </c>
      <c r="C101" s="26" t="s">
        <v>736</v>
      </c>
      <c r="D101" s="24"/>
      <c r="E101" s="24">
        <v>80</v>
      </c>
      <c r="F101" s="25">
        <f t="shared" si="0"/>
        <v>3478.720000000003</v>
      </c>
    </row>
    <row r="102" spans="2:6" x14ac:dyDescent="0.25">
      <c r="B102" s="32">
        <v>42357</v>
      </c>
      <c r="C102" s="26" t="s">
        <v>761</v>
      </c>
      <c r="D102" s="24"/>
      <c r="E102" s="24">
        <v>75</v>
      </c>
      <c r="F102" s="25">
        <f t="shared" si="0"/>
        <v>3403.720000000003</v>
      </c>
    </row>
    <row r="103" spans="2:6" x14ac:dyDescent="0.25">
      <c r="B103" s="32">
        <v>42357</v>
      </c>
      <c r="C103" s="26" t="s">
        <v>766</v>
      </c>
      <c r="D103" s="24"/>
      <c r="E103" s="24">
        <v>94.5</v>
      </c>
      <c r="F103" s="25">
        <f t="shared" si="0"/>
        <v>3309.220000000003</v>
      </c>
    </row>
    <row r="104" spans="2:6" x14ac:dyDescent="0.25">
      <c r="B104" s="32">
        <v>42357</v>
      </c>
      <c r="C104" s="26" t="s">
        <v>767</v>
      </c>
      <c r="D104" s="24"/>
      <c r="E104" s="24">
        <v>23</v>
      </c>
      <c r="F104" s="25">
        <f t="shared" si="0"/>
        <v>3286.220000000003</v>
      </c>
    </row>
    <row r="105" spans="2:6" x14ac:dyDescent="0.25">
      <c r="B105" s="32">
        <v>42357</v>
      </c>
      <c r="C105" s="26" t="s">
        <v>768</v>
      </c>
      <c r="D105" s="24"/>
      <c r="E105" s="24">
        <v>200</v>
      </c>
      <c r="F105" s="25">
        <f t="shared" si="0"/>
        <v>3086.220000000003</v>
      </c>
    </row>
    <row r="106" spans="2:6" x14ac:dyDescent="0.25">
      <c r="B106" s="32">
        <v>42357</v>
      </c>
      <c r="C106" s="26" t="s">
        <v>769</v>
      </c>
      <c r="D106" s="24"/>
      <c r="E106" s="24">
        <v>210</v>
      </c>
      <c r="F106" s="25">
        <f t="shared" si="0"/>
        <v>2876.220000000003</v>
      </c>
    </row>
    <row r="107" spans="2:6" x14ac:dyDescent="0.25">
      <c r="B107" s="32">
        <v>42357</v>
      </c>
      <c r="C107" s="26" t="s">
        <v>770</v>
      </c>
      <c r="D107" s="24"/>
      <c r="E107" s="24">
        <v>200</v>
      </c>
      <c r="F107" s="25">
        <f t="shared" si="0"/>
        <v>2676.220000000003</v>
      </c>
    </row>
    <row r="108" spans="2:6" x14ac:dyDescent="0.25">
      <c r="B108" s="32">
        <v>42358</v>
      </c>
      <c r="C108" s="26" t="s">
        <v>629</v>
      </c>
      <c r="D108" s="24"/>
      <c r="E108" s="24">
        <v>120</v>
      </c>
      <c r="F108" s="25">
        <f t="shared" si="0"/>
        <v>2556.220000000003</v>
      </c>
    </row>
    <row r="109" spans="2:6" x14ac:dyDescent="0.25">
      <c r="B109" s="32">
        <v>42359</v>
      </c>
      <c r="C109" s="26" t="s">
        <v>771</v>
      </c>
      <c r="D109" s="24">
        <v>33200</v>
      </c>
      <c r="E109" s="24"/>
      <c r="F109" s="25">
        <f t="shared" si="0"/>
        <v>35756.22</v>
      </c>
    </row>
    <row r="110" spans="2:6" x14ac:dyDescent="0.25">
      <c r="B110" s="32">
        <v>42359</v>
      </c>
      <c r="C110" s="26" t="s">
        <v>246</v>
      </c>
      <c r="D110" s="24"/>
      <c r="E110" s="24">
        <v>199</v>
      </c>
      <c r="F110" s="25">
        <f t="shared" si="0"/>
        <v>35557.22</v>
      </c>
    </row>
    <row r="111" spans="2:6" x14ac:dyDescent="0.25">
      <c r="B111" s="32">
        <v>42359</v>
      </c>
      <c r="C111" s="26" t="s">
        <v>772</v>
      </c>
      <c r="D111" s="24"/>
      <c r="E111" s="24">
        <v>1400</v>
      </c>
      <c r="F111" s="25">
        <f t="shared" si="0"/>
        <v>34157.22</v>
      </c>
    </row>
    <row r="112" spans="2:6" x14ac:dyDescent="0.25">
      <c r="B112" s="32">
        <v>42359</v>
      </c>
      <c r="C112" s="26" t="s">
        <v>124</v>
      </c>
      <c r="D112" s="24"/>
      <c r="E112" s="24">
        <v>956.6</v>
      </c>
      <c r="F112" s="25">
        <f t="shared" ref="F112:F148" si="1">+F111+D112-E112</f>
        <v>33200.620000000003</v>
      </c>
    </row>
    <row r="113" spans="2:6" x14ac:dyDescent="0.25">
      <c r="B113" s="139">
        <v>42360</v>
      </c>
      <c r="C113" s="142" t="s">
        <v>776</v>
      </c>
      <c r="D113" s="24"/>
      <c r="E113" s="136">
        <v>37</v>
      </c>
      <c r="F113" s="25">
        <f t="shared" si="1"/>
        <v>33163.620000000003</v>
      </c>
    </row>
    <row r="114" spans="2:6" x14ac:dyDescent="0.25">
      <c r="B114" s="140">
        <v>42360</v>
      </c>
      <c r="C114" s="142" t="s">
        <v>777</v>
      </c>
      <c r="D114" s="24"/>
      <c r="E114" s="136">
        <v>1100</v>
      </c>
      <c r="F114" s="25">
        <f t="shared" si="1"/>
        <v>32063.620000000003</v>
      </c>
    </row>
    <row r="115" spans="2:6" x14ac:dyDescent="0.25">
      <c r="B115" s="139">
        <v>42360</v>
      </c>
      <c r="C115" s="143" t="s">
        <v>124</v>
      </c>
      <c r="D115" s="24"/>
      <c r="E115" s="136">
        <v>1235</v>
      </c>
      <c r="F115" s="25">
        <f t="shared" si="1"/>
        <v>30828.620000000003</v>
      </c>
    </row>
    <row r="116" spans="2:6" x14ac:dyDescent="0.25">
      <c r="B116" s="139">
        <v>42361</v>
      </c>
      <c r="C116" s="142" t="s">
        <v>778</v>
      </c>
      <c r="D116" s="24"/>
      <c r="E116" s="137">
        <v>400</v>
      </c>
      <c r="F116" s="25">
        <f t="shared" si="1"/>
        <v>30428.620000000003</v>
      </c>
    </row>
    <row r="117" spans="2:6" x14ac:dyDescent="0.25">
      <c r="B117" s="139">
        <v>42361</v>
      </c>
      <c r="C117" s="142" t="s">
        <v>779</v>
      </c>
      <c r="D117" s="24"/>
      <c r="E117" s="136">
        <v>600</v>
      </c>
      <c r="F117" s="25">
        <f t="shared" si="1"/>
        <v>29828.620000000003</v>
      </c>
    </row>
    <row r="118" spans="2:6" x14ac:dyDescent="0.25">
      <c r="B118" s="139">
        <v>42361</v>
      </c>
      <c r="C118" s="142" t="s">
        <v>780</v>
      </c>
      <c r="D118" s="24"/>
      <c r="E118" s="136">
        <v>3</v>
      </c>
      <c r="F118" s="25">
        <f t="shared" si="1"/>
        <v>29825.620000000003</v>
      </c>
    </row>
    <row r="119" spans="2:6" x14ac:dyDescent="0.25">
      <c r="B119" s="139">
        <v>42361</v>
      </c>
      <c r="C119" s="142" t="s">
        <v>781</v>
      </c>
      <c r="D119" s="24"/>
      <c r="E119" s="136">
        <v>530</v>
      </c>
      <c r="F119" s="25">
        <f t="shared" si="1"/>
        <v>29295.620000000003</v>
      </c>
    </row>
    <row r="120" spans="2:6" x14ac:dyDescent="0.25">
      <c r="B120" s="139">
        <v>42362</v>
      </c>
      <c r="C120" s="142" t="s">
        <v>782</v>
      </c>
      <c r="D120" s="24"/>
      <c r="E120" s="136">
        <v>75</v>
      </c>
      <c r="F120" s="25">
        <f t="shared" si="1"/>
        <v>29220.620000000003</v>
      </c>
    </row>
    <row r="121" spans="2:6" x14ac:dyDescent="0.25">
      <c r="B121" s="139">
        <v>42362</v>
      </c>
      <c r="C121" s="142" t="s">
        <v>783</v>
      </c>
      <c r="D121" s="24"/>
      <c r="E121" s="136">
        <v>46</v>
      </c>
      <c r="F121" s="25">
        <f t="shared" si="1"/>
        <v>29174.620000000003</v>
      </c>
    </row>
    <row r="122" spans="2:6" x14ac:dyDescent="0.25">
      <c r="B122" s="139">
        <v>42362</v>
      </c>
      <c r="C122" s="142" t="s">
        <v>784</v>
      </c>
      <c r="D122" s="24"/>
      <c r="E122" s="136">
        <v>600</v>
      </c>
      <c r="F122" s="25">
        <f t="shared" si="1"/>
        <v>28574.620000000003</v>
      </c>
    </row>
    <row r="123" spans="2:6" x14ac:dyDescent="0.25">
      <c r="B123" s="139">
        <v>42362</v>
      </c>
      <c r="C123" s="142" t="s">
        <v>785</v>
      </c>
      <c r="D123" s="24"/>
      <c r="E123" s="136">
        <v>500</v>
      </c>
      <c r="F123" s="25">
        <f t="shared" si="1"/>
        <v>28074.620000000003</v>
      </c>
    </row>
    <row r="124" spans="2:6" x14ac:dyDescent="0.25">
      <c r="B124" s="139">
        <v>42363</v>
      </c>
      <c r="C124" s="142" t="s">
        <v>786</v>
      </c>
      <c r="D124" s="24"/>
      <c r="E124" s="136">
        <v>1000</v>
      </c>
      <c r="F124" s="25">
        <f t="shared" si="1"/>
        <v>27074.620000000003</v>
      </c>
    </row>
    <row r="125" spans="2:6" x14ac:dyDescent="0.25">
      <c r="B125" s="139">
        <v>42364</v>
      </c>
      <c r="C125" s="142" t="s">
        <v>787</v>
      </c>
      <c r="D125" s="24"/>
      <c r="E125" s="136">
        <v>500</v>
      </c>
      <c r="F125" s="25">
        <f t="shared" si="1"/>
        <v>26574.620000000003</v>
      </c>
    </row>
    <row r="126" spans="2:6" x14ac:dyDescent="0.25">
      <c r="B126" s="139">
        <v>42364</v>
      </c>
      <c r="C126" s="142" t="s">
        <v>788</v>
      </c>
      <c r="D126" s="24"/>
      <c r="E126" s="136">
        <v>500</v>
      </c>
      <c r="F126" s="25">
        <f t="shared" si="1"/>
        <v>26074.620000000003</v>
      </c>
    </row>
    <row r="127" spans="2:6" x14ac:dyDescent="0.25">
      <c r="B127" s="139">
        <v>42365</v>
      </c>
      <c r="C127" s="142" t="s">
        <v>789</v>
      </c>
      <c r="D127" s="24"/>
      <c r="E127" s="136">
        <v>65</v>
      </c>
      <c r="F127" s="25">
        <f t="shared" si="1"/>
        <v>26009.620000000003</v>
      </c>
    </row>
    <row r="128" spans="2:6" x14ac:dyDescent="0.25">
      <c r="B128" s="139">
        <v>42365</v>
      </c>
      <c r="C128" s="142" t="s">
        <v>789</v>
      </c>
      <c r="D128" s="24"/>
      <c r="E128" s="136">
        <v>23</v>
      </c>
      <c r="F128" s="25">
        <f t="shared" si="1"/>
        <v>25986.620000000003</v>
      </c>
    </row>
    <row r="129" spans="2:6" x14ac:dyDescent="0.25">
      <c r="B129" s="139">
        <v>42366</v>
      </c>
      <c r="C129" s="142" t="s">
        <v>773</v>
      </c>
      <c r="D129" s="24">
        <v>6310</v>
      </c>
      <c r="E129" s="136"/>
      <c r="F129" s="25">
        <f t="shared" si="1"/>
        <v>32296.620000000003</v>
      </c>
    </row>
    <row r="130" spans="2:6" x14ac:dyDescent="0.25">
      <c r="B130" s="139">
        <v>42366</v>
      </c>
      <c r="C130" s="142" t="s">
        <v>774</v>
      </c>
      <c r="D130" s="24">
        <v>4400</v>
      </c>
      <c r="E130" s="136"/>
      <c r="F130" s="25">
        <f t="shared" si="1"/>
        <v>36696.620000000003</v>
      </c>
    </row>
    <row r="131" spans="2:6" x14ac:dyDescent="0.25">
      <c r="B131" s="139">
        <v>42366</v>
      </c>
      <c r="C131" s="142" t="s">
        <v>775</v>
      </c>
      <c r="D131" s="24">
        <v>6160</v>
      </c>
      <c r="E131" s="136"/>
      <c r="F131" s="25">
        <f t="shared" si="1"/>
        <v>42856.62</v>
      </c>
    </row>
    <row r="132" spans="2:6" x14ac:dyDescent="0.25">
      <c r="B132" s="139">
        <v>42366</v>
      </c>
      <c r="C132" s="142" t="s">
        <v>790</v>
      </c>
      <c r="D132" s="24"/>
      <c r="E132" s="136">
        <v>150</v>
      </c>
      <c r="F132" s="25">
        <f t="shared" si="1"/>
        <v>42706.62</v>
      </c>
    </row>
    <row r="133" spans="2:6" x14ac:dyDescent="0.25">
      <c r="B133" s="139">
        <v>42366</v>
      </c>
      <c r="C133" s="143" t="s">
        <v>791</v>
      </c>
      <c r="D133" s="24"/>
      <c r="E133" s="136">
        <v>150</v>
      </c>
      <c r="F133" s="25">
        <f t="shared" si="1"/>
        <v>42556.62</v>
      </c>
    </row>
    <row r="134" spans="2:6" x14ac:dyDescent="0.25">
      <c r="B134" s="139">
        <v>42366</v>
      </c>
      <c r="C134" s="142" t="s">
        <v>97</v>
      </c>
      <c r="D134" s="24"/>
      <c r="E134" s="136">
        <v>78</v>
      </c>
      <c r="F134" s="25">
        <f t="shared" si="1"/>
        <v>42478.62</v>
      </c>
    </row>
    <row r="135" spans="2:6" x14ac:dyDescent="0.25">
      <c r="B135" s="139">
        <v>42366</v>
      </c>
      <c r="C135" s="142" t="s">
        <v>792</v>
      </c>
      <c r="D135" s="24"/>
      <c r="E135" s="136">
        <v>130</v>
      </c>
      <c r="F135" s="25">
        <f t="shared" si="1"/>
        <v>42348.62</v>
      </c>
    </row>
    <row r="136" spans="2:6" x14ac:dyDescent="0.25">
      <c r="B136" s="139">
        <v>42367</v>
      </c>
      <c r="C136" s="142" t="s">
        <v>797</v>
      </c>
      <c r="D136" s="24"/>
      <c r="E136" s="137">
        <v>350</v>
      </c>
      <c r="F136" s="25">
        <f t="shared" si="1"/>
        <v>41998.62</v>
      </c>
    </row>
    <row r="137" spans="2:6" x14ac:dyDescent="0.25">
      <c r="B137" s="139">
        <v>42368</v>
      </c>
      <c r="C137" s="142" t="s">
        <v>798</v>
      </c>
      <c r="D137" s="24"/>
      <c r="E137" s="136">
        <v>130</v>
      </c>
      <c r="F137" s="25">
        <f t="shared" si="1"/>
        <v>41868.620000000003</v>
      </c>
    </row>
    <row r="138" spans="2:6" x14ac:dyDescent="0.25">
      <c r="B138" s="139">
        <v>42368</v>
      </c>
      <c r="C138" s="142" t="s">
        <v>799</v>
      </c>
      <c r="D138" s="24"/>
      <c r="E138" s="136">
        <v>150</v>
      </c>
      <c r="F138" s="25">
        <f t="shared" si="1"/>
        <v>41718.620000000003</v>
      </c>
    </row>
    <row r="139" spans="2:6" x14ac:dyDescent="0.25">
      <c r="B139" s="139">
        <v>42368</v>
      </c>
      <c r="C139" s="142" t="s">
        <v>800</v>
      </c>
      <c r="D139" s="24"/>
      <c r="E139" s="136">
        <v>480</v>
      </c>
      <c r="F139" s="25">
        <f t="shared" si="1"/>
        <v>41238.620000000003</v>
      </c>
    </row>
    <row r="140" spans="2:6" x14ac:dyDescent="0.25">
      <c r="B140" s="139">
        <v>42368</v>
      </c>
      <c r="C140" s="142" t="s">
        <v>801</v>
      </c>
      <c r="D140" s="24"/>
      <c r="E140" s="136">
        <v>40</v>
      </c>
      <c r="F140" s="25">
        <f t="shared" si="1"/>
        <v>41198.620000000003</v>
      </c>
    </row>
    <row r="141" spans="2:6" x14ac:dyDescent="0.25">
      <c r="B141" s="139">
        <v>42368</v>
      </c>
      <c r="C141" s="142" t="s">
        <v>802</v>
      </c>
      <c r="D141" s="24"/>
      <c r="E141" s="136">
        <v>56</v>
      </c>
      <c r="F141" s="25">
        <f t="shared" si="1"/>
        <v>41142.620000000003</v>
      </c>
    </row>
    <row r="142" spans="2:6" x14ac:dyDescent="0.25">
      <c r="B142" s="139">
        <v>42368</v>
      </c>
      <c r="C142" s="142" t="s">
        <v>803</v>
      </c>
      <c r="D142" s="24"/>
      <c r="E142" s="136">
        <v>92.8</v>
      </c>
      <c r="F142" s="25">
        <f t="shared" si="1"/>
        <v>41049.82</v>
      </c>
    </row>
    <row r="143" spans="2:6" x14ac:dyDescent="0.25">
      <c r="B143" s="139">
        <v>42369</v>
      </c>
      <c r="C143" s="142" t="s">
        <v>793</v>
      </c>
      <c r="D143" s="24"/>
      <c r="E143" s="136">
        <v>450</v>
      </c>
      <c r="F143" s="25">
        <f t="shared" si="1"/>
        <v>40599.82</v>
      </c>
    </row>
    <row r="144" spans="2:6" x14ac:dyDescent="0.25">
      <c r="B144" s="139">
        <v>42369</v>
      </c>
      <c r="C144" s="142" t="s">
        <v>794</v>
      </c>
      <c r="D144" s="24"/>
      <c r="E144" s="137">
        <v>600</v>
      </c>
      <c r="F144" s="25">
        <f t="shared" si="1"/>
        <v>39999.82</v>
      </c>
    </row>
    <row r="145" spans="2:6" x14ac:dyDescent="0.25">
      <c r="B145" s="141">
        <v>42369</v>
      </c>
      <c r="C145" s="144" t="s">
        <v>796</v>
      </c>
      <c r="D145" s="24"/>
      <c r="E145" s="138">
        <v>3200</v>
      </c>
      <c r="F145" s="25">
        <f t="shared" si="1"/>
        <v>36799.82</v>
      </c>
    </row>
    <row r="146" spans="2:6" x14ac:dyDescent="0.25">
      <c r="B146" s="141">
        <v>42369</v>
      </c>
      <c r="C146" s="145" t="s">
        <v>795</v>
      </c>
      <c r="D146" s="24"/>
      <c r="E146" s="138">
        <v>29000</v>
      </c>
      <c r="F146" s="25">
        <f t="shared" si="1"/>
        <v>7799.82</v>
      </c>
    </row>
    <row r="147" spans="2:6" x14ac:dyDescent="0.25">
      <c r="B147" s="141">
        <v>42369</v>
      </c>
      <c r="C147" s="26" t="s">
        <v>374</v>
      </c>
      <c r="D147" s="24"/>
      <c r="E147" s="138">
        <v>4000</v>
      </c>
      <c r="F147" s="25">
        <f t="shared" si="1"/>
        <v>3799.8199999999997</v>
      </c>
    </row>
    <row r="148" spans="2:6" x14ac:dyDescent="0.25">
      <c r="B148" s="32"/>
      <c r="C148" s="26"/>
      <c r="D148" s="24"/>
      <c r="E148" s="24"/>
      <c r="F148" s="25">
        <f t="shared" si="1"/>
        <v>3799.8199999999997</v>
      </c>
    </row>
    <row r="149" spans="2:6" ht="15.75" thickBot="1" x14ac:dyDescent="0.3">
      <c r="B149" s="32"/>
      <c r="C149" s="26"/>
      <c r="D149" s="24"/>
      <c r="E149" s="24"/>
      <c r="F149" s="25">
        <f>+F148+D149-E149</f>
        <v>3799.8199999999997</v>
      </c>
    </row>
    <row r="150" spans="2:6" ht="15.75" thickBot="1" x14ac:dyDescent="0.3">
      <c r="B150" s="54"/>
      <c r="C150" s="17" t="s">
        <v>0</v>
      </c>
      <c r="D150" s="15">
        <f>SUM(D5:D149)</f>
        <v>143195</v>
      </c>
      <c r="E150" s="15">
        <f>SUM(E5:E149)</f>
        <v>160262.43</v>
      </c>
      <c r="F150" s="33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9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>
      <selection activeCell="D27" sqref="D27"/>
    </sheetView>
  </sheetViews>
  <sheetFormatPr baseColWidth="10" defaultRowHeight="15" x14ac:dyDescent="0.25"/>
  <cols>
    <col min="1" max="1" width="1.28515625" customWidth="1"/>
    <col min="2" max="2" width="10.7109375" customWidth="1"/>
    <col min="3" max="3" width="97.85546875" customWidth="1"/>
  </cols>
  <sheetData>
    <row r="2" spans="2:5" ht="18.75" x14ac:dyDescent="0.3">
      <c r="C2" s="113" t="s">
        <v>546</v>
      </c>
    </row>
    <row r="3" spans="2:5" x14ac:dyDescent="0.25">
      <c r="E3" s="10"/>
    </row>
    <row r="6" spans="2:5" x14ac:dyDescent="0.25">
      <c r="B6" s="32">
        <v>42284</v>
      </c>
      <c r="C6" s="26" t="s">
        <v>537</v>
      </c>
      <c r="D6" s="24">
        <v>571</v>
      </c>
    </row>
    <row r="7" spans="2:5" x14ac:dyDescent="0.25">
      <c r="B7" s="32">
        <v>42286</v>
      </c>
      <c r="C7" s="26" t="s">
        <v>496</v>
      </c>
      <c r="D7" s="24">
        <v>300</v>
      </c>
    </row>
    <row r="8" spans="2:5" x14ac:dyDescent="0.25">
      <c r="B8" s="32">
        <v>42289</v>
      </c>
      <c r="C8" s="26" t="s">
        <v>518</v>
      </c>
      <c r="D8" s="24">
        <v>406</v>
      </c>
    </row>
    <row r="9" spans="2:5" x14ac:dyDescent="0.25">
      <c r="B9" s="32">
        <v>42290</v>
      </c>
      <c r="C9" s="26" t="s">
        <v>519</v>
      </c>
      <c r="D9" s="24">
        <v>53.5</v>
      </c>
    </row>
    <row r="10" spans="2:5" x14ac:dyDescent="0.25">
      <c r="B10" s="32">
        <v>42290</v>
      </c>
      <c r="C10" s="35" t="s">
        <v>520</v>
      </c>
      <c r="D10" s="24">
        <v>407.1</v>
      </c>
    </row>
    <row r="11" spans="2:5" x14ac:dyDescent="0.25">
      <c r="B11" s="32">
        <v>42291</v>
      </c>
      <c r="C11" s="22" t="s">
        <v>519</v>
      </c>
      <c r="D11" s="24">
        <v>61.5</v>
      </c>
    </row>
    <row r="12" spans="2:5" x14ac:dyDescent="0.25">
      <c r="B12" s="32">
        <v>42292</v>
      </c>
      <c r="C12" s="26" t="s">
        <v>525</v>
      </c>
      <c r="D12" s="24">
        <v>203.55</v>
      </c>
    </row>
    <row r="13" spans="2:5" x14ac:dyDescent="0.25">
      <c r="B13" s="32">
        <v>42292</v>
      </c>
      <c r="C13" s="26" t="s">
        <v>526</v>
      </c>
      <c r="D13" s="24">
        <v>200</v>
      </c>
    </row>
    <row r="14" spans="2:5" x14ac:dyDescent="0.25">
      <c r="B14" s="32">
        <v>42292</v>
      </c>
      <c r="C14" s="26" t="s">
        <v>527</v>
      </c>
      <c r="D14" s="24">
        <v>176</v>
      </c>
    </row>
    <row r="15" spans="2:5" x14ac:dyDescent="0.25">
      <c r="B15" s="32">
        <v>42292</v>
      </c>
      <c r="C15" s="26" t="s">
        <v>529</v>
      </c>
      <c r="D15" s="24">
        <v>250</v>
      </c>
    </row>
    <row r="16" spans="2:5" x14ac:dyDescent="0.25">
      <c r="B16" s="32">
        <v>42293</v>
      </c>
      <c r="C16" s="26" t="s">
        <v>536</v>
      </c>
      <c r="D16" s="24">
        <v>199.98</v>
      </c>
    </row>
    <row r="17" spans="2:4" x14ac:dyDescent="0.25">
      <c r="B17" s="32">
        <v>42293</v>
      </c>
      <c r="C17" s="26" t="s">
        <v>496</v>
      </c>
      <c r="D17" s="24">
        <v>2250</v>
      </c>
    </row>
    <row r="18" spans="2:4" x14ac:dyDescent="0.25">
      <c r="B18" s="32">
        <v>42296</v>
      </c>
      <c r="C18" s="26" t="s">
        <v>519</v>
      </c>
      <c r="D18" s="24">
        <v>220</v>
      </c>
    </row>
    <row r="19" spans="2:4" x14ac:dyDescent="0.25">
      <c r="B19" s="32">
        <v>42296</v>
      </c>
      <c r="C19" s="26" t="s">
        <v>544</v>
      </c>
      <c r="D19" s="24">
        <v>200</v>
      </c>
    </row>
    <row r="20" spans="2:4" x14ac:dyDescent="0.25">
      <c r="B20" s="32">
        <v>42300</v>
      </c>
      <c r="C20" s="26" t="s">
        <v>496</v>
      </c>
      <c r="D20" s="24">
        <v>1800</v>
      </c>
    </row>
    <row r="21" spans="2:4" x14ac:dyDescent="0.25">
      <c r="B21" s="32"/>
      <c r="C21" s="26"/>
      <c r="D21" s="24"/>
    </row>
    <row r="22" spans="2:4" x14ac:dyDescent="0.25">
      <c r="B22" s="32"/>
      <c r="C22" s="23" t="s">
        <v>545</v>
      </c>
      <c r="D22" s="24">
        <f>SUM(D6:D21)</f>
        <v>7298.6299999999992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6"/>
  <sheetViews>
    <sheetView zoomScaleNormal="100" workbookViewId="0">
      <selection activeCell="G9" sqref="G9"/>
    </sheetView>
  </sheetViews>
  <sheetFormatPr baseColWidth="10" defaultRowHeight="15" x14ac:dyDescent="0.25"/>
  <cols>
    <col min="1" max="1" width="13.42578125" customWidth="1"/>
    <col min="2" max="2" width="12.140625" customWidth="1"/>
    <col min="3" max="3" width="17.5703125" customWidth="1"/>
    <col min="4" max="7" width="11.7109375" customWidth="1"/>
    <col min="8" max="8" width="89.5703125" customWidth="1"/>
  </cols>
  <sheetData>
    <row r="1" spans="2:8" x14ac:dyDescent="0.25">
      <c r="B1" s="51"/>
    </row>
    <row r="2" spans="2:8" ht="15.75" x14ac:dyDescent="0.25">
      <c r="B2" s="51"/>
      <c r="C2" s="135" t="s">
        <v>628</v>
      </c>
      <c r="D2" s="135"/>
      <c r="E2" s="135"/>
      <c r="F2" s="135"/>
      <c r="G2" s="135"/>
      <c r="H2" s="90"/>
    </row>
    <row r="3" spans="2:8" x14ac:dyDescent="0.25">
      <c r="B3" s="51"/>
    </row>
    <row r="4" spans="2:8" x14ac:dyDescent="0.25">
      <c r="B4" s="51"/>
    </row>
    <row r="5" spans="2:8" x14ac:dyDescent="0.25">
      <c r="B5" s="51"/>
    </row>
    <row r="6" spans="2:8" x14ac:dyDescent="0.25">
      <c r="B6" s="146"/>
      <c r="C6" s="146"/>
      <c r="D6" s="146"/>
      <c r="E6" s="146"/>
      <c r="F6" s="146"/>
      <c r="G6" s="121"/>
    </row>
    <row r="7" spans="2:8" ht="15.75" thickBot="1" x14ac:dyDescent="0.3">
      <c r="C7" s="60"/>
      <c r="D7" s="60"/>
    </row>
    <row r="8" spans="2:8" ht="15.75" thickBot="1" x14ac:dyDescent="0.3">
      <c r="B8" s="7" t="s">
        <v>1</v>
      </c>
      <c r="C8" s="12" t="s">
        <v>2</v>
      </c>
      <c r="D8" s="7" t="s">
        <v>3</v>
      </c>
      <c r="E8" s="8" t="s">
        <v>5</v>
      </c>
      <c r="F8" s="123" t="s">
        <v>613</v>
      </c>
      <c r="G8" s="125" t="s">
        <v>612</v>
      </c>
    </row>
    <row r="9" spans="2:8" ht="15.75" thickBot="1" x14ac:dyDescent="0.3">
      <c r="B9" s="36"/>
      <c r="C9" s="130" t="s">
        <v>624</v>
      </c>
      <c r="D9" s="122"/>
      <c r="E9" s="21"/>
      <c r="F9" s="124">
        <v>38956.94</v>
      </c>
      <c r="G9" s="25">
        <v>122612.72</v>
      </c>
    </row>
    <row r="10" spans="2:8" x14ac:dyDescent="0.25">
      <c r="B10" s="36">
        <v>42005</v>
      </c>
      <c r="C10" s="126" t="s">
        <v>615</v>
      </c>
      <c r="D10" s="24">
        <v>95000</v>
      </c>
      <c r="E10" s="24">
        <v>90363.41</v>
      </c>
      <c r="F10" s="124">
        <f t="shared" ref="F10:F20" si="0">+F9+D10-E10</f>
        <v>43593.53</v>
      </c>
      <c r="G10" s="25">
        <v>157797.18</v>
      </c>
    </row>
    <row r="11" spans="2:8" x14ac:dyDescent="0.25">
      <c r="B11" s="32">
        <v>42036</v>
      </c>
      <c r="C11" s="127" t="s">
        <v>614</v>
      </c>
      <c r="D11" s="24">
        <v>110000</v>
      </c>
      <c r="E11" s="24">
        <v>101570.49</v>
      </c>
      <c r="F11" s="124">
        <f t="shared" si="0"/>
        <v>52023.039999999994</v>
      </c>
      <c r="G11" s="25">
        <v>158497.93</v>
      </c>
    </row>
    <row r="12" spans="2:8" x14ac:dyDescent="0.25">
      <c r="B12" s="32">
        <v>42064</v>
      </c>
      <c r="C12" s="104" t="s">
        <v>616</v>
      </c>
      <c r="D12" s="29">
        <v>80000</v>
      </c>
      <c r="E12" s="24">
        <v>89756.03</v>
      </c>
      <c r="F12" s="124">
        <f t="shared" si="0"/>
        <v>42267.00999999998</v>
      </c>
      <c r="G12" s="25">
        <v>210758.68</v>
      </c>
    </row>
    <row r="13" spans="2:8" x14ac:dyDescent="0.25">
      <c r="B13" s="32">
        <v>42095</v>
      </c>
      <c r="C13" s="128" t="s">
        <v>617</v>
      </c>
      <c r="D13" s="24">
        <v>89000</v>
      </c>
      <c r="E13" s="24">
        <v>96455.9</v>
      </c>
      <c r="F13" s="124">
        <f t="shared" si="0"/>
        <v>34811.109999999986</v>
      </c>
      <c r="G13" s="25">
        <v>228619.43</v>
      </c>
    </row>
    <row r="14" spans="2:8" x14ac:dyDescent="0.25">
      <c r="B14" s="32">
        <v>42125</v>
      </c>
      <c r="C14" s="128" t="s">
        <v>618</v>
      </c>
      <c r="D14" s="24">
        <v>93000</v>
      </c>
      <c r="E14" s="24">
        <v>101547.15</v>
      </c>
      <c r="F14" s="124">
        <f t="shared" si="0"/>
        <v>26263.959999999992</v>
      </c>
      <c r="G14" s="25">
        <v>211064.19</v>
      </c>
    </row>
    <row r="15" spans="2:8" x14ac:dyDescent="0.25">
      <c r="B15" s="131">
        <v>42156</v>
      </c>
      <c r="C15" s="132" t="s">
        <v>619</v>
      </c>
      <c r="D15" s="133">
        <v>187500</v>
      </c>
      <c r="E15" s="133">
        <v>190181.52</v>
      </c>
      <c r="F15" s="124">
        <f t="shared" si="0"/>
        <v>23582.440000000002</v>
      </c>
      <c r="G15" s="25">
        <v>111987.65</v>
      </c>
    </row>
    <row r="16" spans="2:8" x14ac:dyDescent="0.25">
      <c r="B16" s="131">
        <v>42186</v>
      </c>
      <c r="C16" s="132" t="s">
        <v>620</v>
      </c>
      <c r="D16" s="133">
        <v>151000</v>
      </c>
      <c r="E16" s="133">
        <v>159857.56</v>
      </c>
      <c r="F16" s="124">
        <f t="shared" si="0"/>
        <v>14724.880000000005</v>
      </c>
      <c r="G16" s="25">
        <v>24623.69</v>
      </c>
    </row>
    <row r="17" spans="2:7" x14ac:dyDescent="0.25">
      <c r="B17" s="32">
        <v>42217</v>
      </c>
      <c r="C17" s="128" t="s">
        <v>621</v>
      </c>
      <c r="D17" s="24">
        <v>42500</v>
      </c>
      <c r="E17" s="24">
        <v>66254.7</v>
      </c>
      <c r="F17" s="124">
        <f t="shared" si="0"/>
        <v>-9029.8199999999924</v>
      </c>
      <c r="G17" s="25">
        <v>40284.589999999997</v>
      </c>
    </row>
    <row r="18" spans="2:7" x14ac:dyDescent="0.25">
      <c r="B18" s="32">
        <v>42217</v>
      </c>
      <c r="C18" s="128" t="s">
        <v>621</v>
      </c>
      <c r="D18" s="24">
        <v>88609</v>
      </c>
      <c r="E18" s="24">
        <v>80216.38</v>
      </c>
      <c r="F18" s="124">
        <v>8392.6200000000008</v>
      </c>
      <c r="G18" s="25">
        <v>40284.589999999997</v>
      </c>
    </row>
    <row r="19" spans="2:7" x14ac:dyDescent="0.25">
      <c r="B19" s="32">
        <v>42248</v>
      </c>
      <c r="C19" s="129" t="s">
        <v>622</v>
      </c>
      <c r="D19" s="24">
        <v>110490</v>
      </c>
      <c r="E19" s="24">
        <v>115201.95</v>
      </c>
      <c r="F19" s="124">
        <f t="shared" si="0"/>
        <v>3680.6699999999983</v>
      </c>
      <c r="G19" s="25">
        <v>49072.97</v>
      </c>
    </row>
    <row r="20" spans="2:7" ht="15.75" thickBot="1" x14ac:dyDescent="0.3">
      <c r="B20" s="32">
        <v>42278</v>
      </c>
      <c r="C20" s="128" t="s">
        <v>623</v>
      </c>
      <c r="D20" s="24">
        <v>121735</v>
      </c>
      <c r="E20" s="24">
        <v>105020.22</v>
      </c>
      <c r="F20" s="124">
        <f t="shared" si="0"/>
        <v>20395.449999999997</v>
      </c>
      <c r="G20" s="25">
        <v>44117.77</v>
      </c>
    </row>
    <row r="21" spans="2:7" ht="15.75" thickBot="1" x14ac:dyDescent="0.3">
      <c r="B21" s="54"/>
      <c r="C21" s="17" t="s">
        <v>0</v>
      </c>
      <c r="D21" s="15">
        <f>SUM(D9:D20)</f>
        <v>1168834</v>
      </c>
      <c r="E21" s="15">
        <f>SUM(E9:E20)</f>
        <v>1196425.31</v>
      </c>
      <c r="F21" s="33"/>
      <c r="G21" s="63"/>
    </row>
    <row r="24" spans="2:7" x14ac:dyDescent="0.25">
      <c r="C24" s="134"/>
      <c r="D24" s="90" t="s">
        <v>625</v>
      </c>
      <c r="E24" s="90"/>
      <c r="F24" s="90"/>
      <c r="G24" s="90"/>
    </row>
    <row r="25" spans="2:7" x14ac:dyDescent="0.25">
      <c r="D25" s="90" t="s">
        <v>626</v>
      </c>
      <c r="E25" s="90"/>
      <c r="F25" s="90"/>
      <c r="G25" s="90"/>
    </row>
    <row r="26" spans="2:7" x14ac:dyDescent="0.25">
      <c r="D26" s="90" t="s">
        <v>627</v>
      </c>
      <c r="E26" s="90"/>
      <c r="F26" s="90"/>
      <c r="G26" s="90"/>
    </row>
  </sheetData>
  <mergeCells count="1">
    <mergeCell ref="B6:F6"/>
  </mergeCells>
  <printOptions verticalCentered="1"/>
  <pageMargins left="0.70866141732283461" right="0.70866141732283461" top="0.3543307086614173" bottom="0.74803149606299213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15</vt:i4>
      </vt:variant>
    </vt:vector>
  </HeadingPairs>
  <TitlesOfParts>
    <vt:vector size="31" baseType="lpstr">
      <vt:lpstr>ENERO-15)</vt:lpstr>
      <vt:lpstr>FEBRERO-15</vt:lpstr>
      <vt:lpstr>MARZO-15</vt:lpstr>
      <vt:lpstr>ABRIL-15 </vt:lpstr>
      <vt:lpstr>MAYO-15 </vt:lpstr>
      <vt:lpstr>JUNIO-15  </vt:lpstr>
      <vt:lpstr>JULIO-15 </vt:lpstr>
      <vt:lpstr>AGOSTO-15 (BS)</vt:lpstr>
      <vt:lpstr>AGOSTO-15 (GP) (2)</vt:lpstr>
      <vt:lpstr>AGOSTO-15 (BS) Y (GP)</vt:lpstr>
      <vt:lpstr>SEPT-15 (2)</vt:lpstr>
      <vt:lpstr>OCTUBRE-15 (2)</vt:lpstr>
      <vt:lpstr>NOVIEMBRE-15 (2)</vt:lpstr>
      <vt:lpstr>DICIEMBRE-15</vt:lpstr>
      <vt:lpstr>Hoja3</vt:lpstr>
      <vt:lpstr>ESTADO DE CUENTA</vt:lpstr>
      <vt:lpstr>'ABRIL-15 '!Área_de_impresión</vt:lpstr>
      <vt:lpstr>'AGOSTO-15 (BS)'!Área_de_impresión</vt:lpstr>
      <vt:lpstr>'AGOSTO-15 (BS) Y (GP)'!Área_de_impresión</vt:lpstr>
      <vt:lpstr>'AGOSTO-15 (GP) (2)'!Área_de_impresión</vt:lpstr>
      <vt:lpstr>'DICIEMBRE-15'!Área_de_impresión</vt:lpstr>
      <vt:lpstr>'ENERO-15)'!Área_de_impresión</vt:lpstr>
      <vt:lpstr>'ESTADO DE CUENTA'!Área_de_impresión</vt:lpstr>
      <vt:lpstr>'FEBRERO-15'!Área_de_impresión</vt:lpstr>
      <vt:lpstr>'JULIO-15 '!Área_de_impresión</vt:lpstr>
      <vt:lpstr>'JUNIO-15  '!Área_de_impresión</vt:lpstr>
      <vt:lpstr>'MARZO-15'!Área_de_impresión</vt:lpstr>
      <vt:lpstr>'MAYO-15 '!Área_de_impresión</vt:lpstr>
      <vt:lpstr>'NOVIEMBRE-15 (2)'!Área_de_impresión</vt:lpstr>
      <vt:lpstr>'OCTUBRE-15 (2)'!Área_de_impresión</vt:lpstr>
      <vt:lpstr>'SEPT-15 (2)'!Área_de_impresión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2016-01-21T23:06:51Z</cp:lastPrinted>
  <dcterms:created xsi:type="dcterms:W3CDTF">2014-03-03T21:03:38Z</dcterms:created>
  <dcterms:modified xsi:type="dcterms:W3CDTF">2016-03-31T23:49:47Z</dcterms:modified>
</cp:coreProperties>
</file>