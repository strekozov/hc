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1ER BIMESTRE 2012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52" i="1" l="1"/>
  <c r="D54" i="1"/>
  <c r="D51" i="1" l="1"/>
  <c r="D25" i="1" l="1"/>
  <c r="D24" i="1"/>
  <c r="D9" i="1"/>
  <c r="C9" i="1" l="1"/>
  <c r="D46" i="1" l="1"/>
  <c r="C46" i="1"/>
  <c r="D33" i="1"/>
  <c r="C33" i="1"/>
  <c r="D47" i="1" l="1"/>
  <c r="C24" i="1"/>
</calcChain>
</file>

<file path=xl/sharedStrings.xml><?xml version="1.0" encoding="utf-8"?>
<sst xmlns="http://schemas.openxmlformats.org/spreadsheetml/2006/main" count="59" uniqueCount="45">
  <si>
    <t>Venta de llaves</t>
  </si>
  <si>
    <t>Venta tarjetones</t>
  </si>
  <si>
    <t>Aportación Colegio Carmel</t>
  </si>
  <si>
    <t>Pago de vigilancia</t>
  </si>
  <si>
    <t>Gasolina</t>
  </si>
  <si>
    <t>Imprenta y papelería</t>
  </si>
  <si>
    <t>Tarjetones</t>
  </si>
  <si>
    <t>Materiales y mano de obra</t>
  </si>
  <si>
    <t>Diversos: gratificaciones, agua, limpieza</t>
  </si>
  <si>
    <t>INGRESO PARCIAL</t>
  </si>
  <si>
    <t>INGRESO TOTAL</t>
  </si>
  <si>
    <t>EGRESO PARCIAL</t>
  </si>
  <si>
    <t>EGRESO TOTAL</t>
  </si>
  <si>
    <t>SALDO AL CORTE</t>
  </si>
  <si>
    <t>SALDO TOTAL AL CORTE</t>
  </si>
  <si>
    <t>CONCEPTO DE LOS INGRESOS DE MARZO</t>
  </si>
  <si>
    <t>Cuotas de vigilancia</t>
  </si>
  <si>
    <t>CONCEPTO DE LOS EGRESOS DE MARZO</t>
  </si>
  <si>
    <t>CONCEPTO DE LOS INGRESOS DE ABRIL</t>
  </si>
  <si>
    <t>TOTAL  INGRESOS DE MARZO</t>
  </si>
  <si>
    <t>TOTAL EGRESOS DE MARZO</t>
  </si>
  <si>
    <t>CONCEPTO DE LOS EGRESOS DE ABRIL</t>
  </si>
  <si>
    <t>Pago de llaves</t>
  </si>
  <si>
    <t>Telmex: pago abril</t>
  </si>
  <si>
    <t>Retiro de juegos en mal estado del parque</t>
  </si>
  <si>
    <t>Instalación de malla ciclón en Recoveco</t>
  </si>
  <si>
    <t>Telmex: pago marzo</t>
  </si>
  <si>
    <t xml:space="preserve">Finiquito de instalación de reja en Upácuaro </t>
  </si>
  <si>
    <t>SALDO REMANENTE DE ENERO Y FEBRERO</t>
  </si>
  <si>
    <t>TOTAL DE INGRESOS DE MARZO Y ABRIL</t>
  </si>
  <si>
    <t>TOTAL DE EGRESOS DE MARZO Y ABRIL</t>
  </si>
  <si>
    <t>TOTAL DE INGRESOS DE ABRIL</t>
  </si>
  <si>
    <t>TOTAL DE EGRESOS DE ABRIL</t>
  </si>
  <si>
    <t>INGRESOS 2O. BIMESTRE MÁS REMANENTE</t>
  </si>
  <si>
    <t>Compra de 3 chapas e instalación de las mismas</t>
  </si>
  <si>
    <t>Extinguidores, candados,botiquines y materiales</t>
  </si>
  <si>
    <t>Cámaras para caseta Romeral</t>
  </si>
  <si>
    <t>Diversos: agua, materiales, art.limpieza, tarjetero</t>
  </si>
  <si>
    <t>Cuotas vecinales</t>
  </si>
  <si>
    <t>Caseta prefabricada para acceso Recoveco</t>
  </si>
  <si>
    <t>REMANENTE DISPONIBLE EN BANCO Y CAJA</t>
  </si>
  <si>
    <t>Gratificaciones diversas</t>
  </si>
  <si>
    <t>Instalación de la reja en Calzada del Hueso (parque)</t>
  </si>
  <si>
    <t>INFORME DE INGRESOS Y EGRESOS: MARZO Y ABRIL 2012</t>
  </si>
  <si>
    <t>** El costo de la instalación y equipo de las plumas automáticas del acceso de Zinampa, se verá reflejado en el informe de mayo.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</si>
</sst>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44" fontId="0" fillId="0" borderId="1" xfId="1" applyFont="1" applyBorder="1"/>
    <xf numFmtId="0" fontId="0" fillId="0" borderId="1" xfId="0" applyBorder="1" applyAlignment="1">
      <alignment horizontal="right"/>
    </xf>
    <xf numFmtId="44" fontId="0" fillId="0" borderId="1" xfId="0" applyNumberFormat="1" applyBorder="1"/>
    <xf numFmtId="0" fontId="0" fillId="0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" fontId="0" fillId="0" borderId="0" xfId="0" applyNumberFormat="1"/>
    <xf numFmtId="44" fontId="0" fillId="0" borderId="0" xfId="0" applyNumberFormat="1" applyAlignment="1"/>
    <xf numFmtId="0" fontId="3" fillId="0" borderId="0" xfId="0" applyFont="1" applyAlignment="1">
      <alignment horizontal="center"/>
    </xf>
    <xf numFmtId="44" fontId="0" fillId="0" borderId="0" xfId="0" applyNumberForma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topLeftCell="A37" workbookViewId="0">
      <selection activeCell="I48" sqref="I48"/>
    </sheetView>
  </sheetViews>
  <sheetFormatPr baseColWidth="10" defaultRowHeight="15" x14ac:dyDescent="0.25"/>
  <cols>
    <col min="1" max="1" width="51.7109375" customWidth="1"/>
    <col min="2" max="2" width="23.5703125" customWidth="1"/>
    <col min="3" max="3" width="15.42578125" customWidth="1"/>
    <col min="4" max="4" width="16.85546875" customWidth="1"/>
    <col min="5" max="6" width="12.5703125" bestFit="1" customWidth="1"/>
    <col min="8" max="8" width="12.5703125" bestFit="1" customWidth="1"/>
  </cols>
  <sheetData>
    <row r="1" spans="1:4" x14ac:dyDescent="0.25">
      <c r="A1" s="14" t="s">
        <v>43</v>
      </c>
      <c r="B1" s="14"/>
      <c r="C1" s="14"/>
      <c r="D1" s="14"/>
    </row>
    <row r="4" spans="1:4" x14ac:dyDescent="0.25">
      <c r="A4" s="10" t="s">
        <v>15</v>
      </c>
      <c r="B4" s="10" t="s">
        <v>9</v>
      </c>
      <c r="C4" s="10" t="s">
        <v>10</v>
      </c>
      <c r="D4" s="11" t="s">
        <v>13</v>
      </c>
    </row>
    <row r="5" spans="1:4" x14ac:dyDescent="0.25">
      <c r="A5" s="4" t="s">
        <v>16</v>
      </c>
      <c r="B5" s="6">
        <v>73915</v>
      </c>
      <c r="C5" s="4"/>
      <c r="D5" s="4"/>
    </row>
    <row r="6" spans="1:4" x14ac:dyDescent="0.25">
      <c r="A6" s="4" t="s">
        <v>0</v>
      </c>
      <c r="B6" s="6">
        <v>19570</v>
      </c>
      <c r="C6" s="4"/>
      <c r="D6" s="4"/>
    </row>
    <row r="7" spans="1:4" x14ac:dyDescent="0.25">
      <c r="A7" s="4" t="s">
        <v>1</v>
      </c>
      <c r="B7" s="6">
        <v>1220</v>
      </c>
      <c r="C7" s="4"/>
      <c r="D7" s="4"/>
    </row>
    <row r="8" spans="1:4" x14ac:dyDescent="0.25">
      <c r="A8" s="4" t="s">
        <v>2</v>
      </c>
      <c r="B8" s="6">
        <v>8092.91</v>
      </c>
      <c r="C8" s="4"/>
      <c r="D8" s="4"/>
    </row>
    <row r="9" spans="1:4" x14ac:dyDescent="0.25">
      <c r="A9" s="5" t="s">
        <v>19</v>
      </c>
      <c r="C9" s="2">
        <f>SUM(B5:B8)</f>
        <v>102797.91</v>
      </c>
      <c r="D9" s="2">
        <f>SUM(B5:B8)</f>
        <v>102797.91</v>
      </c>
    </row>
    <row r="11" spans="1:4" x14ac:dyDescent="0.25">
      <c r="A11" s="10" t="s">
        <v>17</v>
      </c>
      <c r="B11" s="10" t="s">
        <v>11</v>
      </c>
      <c r="C11" s="10" t="s">
        <v>12</v>
      </c>
      <c r="D11" s="11" t="s">
        <v>13</v>
      </c>
    </row>
    <row r="12" spans="1:4" x14ac:dyDescent="0.25">
      <c r="A12" s="4" t="s">
        <v>3</v>
      </c>
      <c r="B12" s="6">
        <v>57703</v>
      </c>
      <c r="C12" s="4"/>
      <c r="D12" s="4"/>
    </row>
    <row r="13" spans="1:4" x14ac:dyDescent="0.25">
      <c r="A13" s="4" t="s">
        <v>42</v>
      </c>
      <c r="B13" s="6">
        <v>21500</v>
      </c>
      <c r="C13" s="4"/>
      <c r="D13" s="4"/>
    </row>
    <row r="14" spans="1:4" x14ac:dyDescent="0.25">
      <c r="A14" s="4" t="s">
        <v>22</v>
      </c>
      <c r="B14" s="6">
        <v>11700</v>
      </c>
      <c r="C14" s="4"/>
      <c r="D14" s="4"/>
    </row>
    <row r="15" spans="1:4" x14ac:dyDescent="0.25">
      <c r="A15" s="4" t="s">
        <v>27</v>
      </c>
      <c r="B15" s="6">
        <v>8450</v>
      </c>
      <c r="C15" s="4"/>
      <c r="D15" s="4"/>
    </row>
    <row r="16" spans="1:4" x14ac:dyDescent="0.25">
      <c r="A16" s="4" t="s">
        <v>34</v>
      </c>
      <c r="B16" s="6">
        <v>4350</v>
      </c>
      <c r="C16" s="4"/>
      <c r="D16" s="4"/>
    </row>
    <row r="17" spans="1:8" x14ac:dyDescent="0.25">
      <c r="A17" s="4" t="s">
        <v>26</v>
      </c>
      <c r="B17" s="6">
        <v>725</v>
      </c>
      <c r="C17" s="4"/>
      <c r="D17" s="4"/>
    </row>
    <row r="18" spans="1:8" x14ac:dyDescent="0.25">
      <c r="A18" s="4" t="s">
        <v>5</v>
      </c>
      <c r="B18" s="6">
        <v>3811.14</v>
      </c>
      <c r="C18" s="4"/>
      <c r="D18" s="4"/>
    </row>
    <row r="19" spans="1:8" x14ac:dyDescent="0.25">
      <c r="A19" s="4" t="s">
        <v>37</v>
      </c>
      <c r="B19" s="6">
        <v>4818.47</v>
      </c>
      <c r="C19" s="4"/>
      <c r="D19" s="4"/>
    </row>
    <row r="20" spans="1:8" x14ac:dyDescent="0.25">
      <c r="A20" s="4" t="s">
        <v>41</v>
      </c>
      <c r="B20" s="6">
        <v>4680</v>
      </c>
      <c r="C20" s="4"/>
      <c r="D20" s="4"/>
    </row>
    <row r="21" spans="1:8" x14ac:dyDescent="0.25">
      <c r="A21" s="4" t="s">
        <v>4</v>
      </c>
      <c r="B21" s="6">
        <v>1216.9100000000001</v>
      </c>
      <c r="C21" s="4"/>
      <c r="D21" s="4"/>
    </row>
    <row r="22" spans="1:8" x14ac:dyDescent="0.25">
      <c r="A22" s="4" t="s">
        <v>36</v>
      </c>
      <c r="B22" s="6">
        <v>6000</v>
      </c>
      <c r="C22" s="4"/>
      <c r="D22" s="4"/>
    </row>
    <row r="23" spans="1:8" x14ac:dyDescent="0.25">
      <c r="A23" s="4" t="s">
        <v>35</v>
      </c>
      <c r="B23" s="6">
        <v>4327.8999999999996</v>
      </c>
      <c r="C23" s="4"/>
      <c r="D23" s="4"/>
    </row>
    <row r="24" spans="1:8" x14ac:dyDescent="0.25">
      <c r="A24" s="7" t="s">
        <v>20</v>
      </c>
      <c r="B24" s="6"/>
      <c r="C24" s="8">
        <f>SUM(B12:B23)</f>
        <v>129282.42</v>
      </c>
      <c r="D24" s="8">
        <f>SUM(B12:B23)</f>
        <v>129282.42</v>
      </c>
      <c r="F24" s="2"/>
    </row>
    <row r="25" spans="1:8" x14ac:dyDescent="0.25">
      <c r="A25" s="9" t="s">
        <v>14</v>
      </c>
      <c r="B25" s="6"/>
      <c r="C25" s="4"/>
      <c r="D25" s="8">
        <f>D9-D24</f>
        <v>-26484.509999999995</v>
      </c>
    </row>
    <row r="26" spans="1:8" x14ac:dyDescent="0.25">
      <c r="H26" s="2"/>
    </row>
    <row r="28" spans="1:8" x14ac:dyDescent="0.25">
      <c r="A28" s="10" t="s">
        <v>18</v>
      </c>
      <c r="B28" s="10" t="s">
        <v>9</v>
      </c>
      <c r="C28" s="10" t="s">
        <v>10</v>
      </c>
      <c r="D28" s="11" t="s">
        <v>13</v>
      </c>
    </row>
    <row r="29" spans="1:8" x14ac:dyDescent="0.25">
      <c r="A29" s="4" t="s">
        <v>38</v>
      </c>
      <c r="B29" s="6">
        <v>79065</v>
      </c>
      <c r="C29" s="4"/>
      <c r="D29" s="4"/>
    </row>
    <row r="30" spans="1:8" x14ac:dyDescent="0.25">
      <c r="A30" s="4" t="s">
        <v>0</v>
      </c>
      <c r="B30" s="6">
        <v>5520</v>
      </c>
      <c r="C30" s="6"/>
      <c r="D30" s="4"/>
    </row>
    <row r="31" spans="1:8" x14ac:dyDescent="0.25">
      <c r="A31" s="4" t="s">
        <v>6</v>
      </c>
      <c r="B31" s="6">
        <v>1300</v>
      </c>
      <c r="C31" s="4"/>
      <c r="D31" s="4"/>
    </row>
    <row r="32" spans="1:8" x14ac:dyDescent="0.25">
      <c r="A32" s="4" t="s">
        <v>2</v>
      </c>
      <c r="B32" s="1">
        <v>8092.91</v>
      </c>
      <c r="C32" s="1"/>
      <c r="D32" s="4"/>
    </row>
    <row r="33" spans="1:9" x14ac:dyDescent="0.25">
      <c r="A33" s="7" t="s">
        <v>31</v>
      </c>
      <c r="B33" s="4"/>
      <c r="C33" s="8">
        <f>SUM(B29:B32)</f>
        <v>93977.91</v>
      </c>
      <c r="D33" s="8">
        <f>SUM(B29:B32)</f>
        <v>93977.91</v>
      </c>
    </row>
    <row r="35" spans="1:9" x14ac:dyDescent="0.25">
      <c r="A35" s="10" t="s">
        <v>21</v>
      </c>
      <c r="B35" s="10" t="s">
        <v>11</v>
      </c>
      <c r="C35" s="10" t="s">
        <v>12</v>
      </c>
      <c r="D35" s="11" t="s">
        <v>13</v>
      </c>
    </row>
    <row r="36" spans="1:9" x14ac:dyDescent="0.25">
      <c r="A36" s="4" t="s">
        <v>3</v>
      </c>
      <c r="B36" s="6">
        <v>58228</v>
      </c>
      <c r="C36" s="4"/>
      <c r="D36" s="4"/>
    </row>
    <row r="37" spans="1:9" x14ac:dyDescent="0.25">
      <c r="A37" s="4" t="s">
        <v>5</v>
      </c>
      <c r="B37" s="6">
        <v>2579.3000000000002</v>
      </c>
      <c r="C37" s="4"/>
      <c r="D37" s="4"/>
    </row>
    <row r="38" spans="1:9" x14ac:dyDescent="0.25">
      <c r="A38" s="4" t="s">
        <v>7</v>
      </c>
      <c r="B38" s="6">
        <v>5334.46</v>
      </c>
      <c r="C38" s="4"/>
      <c r="D38" s="4"/>
    </row>
    <row r="39" spans="1:9" x14ac:dyDescent="0.25">
      <c r="A39" s="4" t="s">
        <v>25</v>
      </c>
      <c r="B39" s="6">
        <v>3460</v>
      </c>
      <c r="C39" s="4"/>
      <c r="D39" s="4"/>
      <c r="I39" s="2"/>
    </row>
    <row r="40" spans="1:9" x14ac:dyDescent="0.25">
      <c r="A40" s="4" t="s">
        <v>24</v>
      </c>
      <c r="B40" s="6">
        <v>800</v>
      </c>
      <c r="C40" s="4"/>
      <c r="D40" s="4"/>
    </row>
    <row r="41" spans="1:9" x14ac:dyDescent="0.25">
      <c r="A41" s="4" t="s">
        <v>4</v>
      </c>
      <c r="B41" s="6">
        <v>1176.29</v>
      </c>
      <c r="C41" s="4"/>
      <c r="D41" s="4"/>
    </row>
    <row r="42" spans="1:9" x14ac:dyDescent="0.25">
      <c r="A42" s="4" t="s">
        <v>22</v>
      </c>
      <c r="B42" s="6">
        <v>3870</v>
      </c>
      <c r="C42" s="4"/>
      <c r="D42" s="4"/>
    </row>
    <row r="43" spans="1:9" x14ac:dyDescent="0.25">
      <c r="A43" s="4" t="s">
        <v>39</v>
      </c>
      <c r="B43" s="6">
        <v>3500</v>
      </c>
      <c r="C43" s="4"/>
      <c r="D43" s="4"/>
    </row>
    <row r="44" spans="1:9" x14ac:dyDescent="0.25">
      <c r="A44" s="4" t="s">
        <v>23</v>
      </c>
      <c r="B44" s="6">
        <v>1631</v>
      </c>
      <c r="C44" s="4"/>
      <c r="D44" s="4"/>
    </row>
    <row r="45" spans="1:9" x14ac:dyDescent="0.25">
      <c r="A45" s="4" t="s">
        <v>8</v>
      </c>
      <c r="B45" s="6">
        <v>1890</v>
      </c>
      <c r="C45" s="4"/>
      <c r="D45" s="4"/>
    </row>
    <row r="46" spans="1:9" x14ac:dyDescent="0.25">
      <c r="A46" s="7" t="s">
        <v>32</v>
      </c>
      <c r="B46" s="6"/>
      <c r="C46" s="8">
        <f>SUM(B36:B45)</f>
        <v>82469.05</v>
      </c>
      <c r="D46" s="8">
        <f>SUM(B36:B45)</f>
        <v>82469.05</v>
      </c>
    </row>
    <row r="47" spans="1:9" x14ac:dyDescent="0.25">
      <c r="A47" s="9" t="s">
        <v>14</v>
      </c>
      <c r="B47" s="6"/>
      <c r="C47" s="4"/>
      <c r="D47" s="8">
        <f>D33-D46</f>
        <v>11508.86</v>
      </c>
    </row>
    <row r="49" spans="1:6" x14ac:dyDescent="0.25">
      <c r="A49" t="s">
        <v>28</v>
      </c>
      <c r="D49" s="2">
        <v>75147.44</v>
      </c>
    </row>
    <row r="50" spans="1:6" x14ac:dyDescent="0.25">
      <c r="A50" t="s">
        <v>29</v>
      </c>
      <c r="D50" s="2">
        <v>196775.82</v>
      </c>
      <c r="E50" s="13"/>
    </row>
    <row r="51" spans="1:6" x14ac:dyDescent="0.25">
      <c r="A51" t="s">
        <v>33</v>
      </c>
      <c r="D51" s="1">
        <f>SUM(D49:D50)</f>
        <v>271923.26</v>
      </c>
      <c r="E51" s="12"/>
    </row>
    <row r="52" spans="1:6" x14ac:dyDescent="0.25">
      <c r="A52" t="s">
        <v>30</v>
      </c>
      <c r="D52" s="2">
        <f>+D24+D46</f>
        <v>211751.47</v>
      </c>
      <c r="E52" s="15"/>
      <c r="F52" s="15"/>
    </row>
    <row r="54" spans="1:6" x14ac:dyDescent="0.25">
      <c r="A54" t="s">
        <v>40</v>
      </c>
      <c r="D54" s="15">
        <f>+D51-D52</f>
        <v>60171.790000000008</v>
      </c>
    </row>
    <row r="56" spans="1:6" x14ac:dyDescent="0.25">
      <c r="A56" t="s">
        <v>44</v>
      </c>
    </row>
    <row r="66" spans="2:3" x14ac:dyDescent="0.25">
      <c r="B66" s="3"/>
      <c r="C66" s="3"/>
    </row>
    <row r="74" spans="2:3" x14ac:dyDescent="0.25">
      <c r="B74" s="3"/>
      <c r="C74" s="3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1ER BIMESTRE 2012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2012-03-13T02:38:06Z</dcterms:created>
  <dcterms:modified xsi:type="dcterms:W3CDTF">2012-05-25T15:43:05Z</dcterms:modified>
</cp:coreProperties>
</file>