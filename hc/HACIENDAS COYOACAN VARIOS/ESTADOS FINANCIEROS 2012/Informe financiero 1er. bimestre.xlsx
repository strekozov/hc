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1ER BIMESTRE 2012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49" i="1" l="1"/>
  <c r="D48" i="1"/>
  <c r="D44" i="1" l="1"/>
  <c r="C44" i="1"/>
  <c r="D32" i="1"/>
  <c r="C32" i="1"/>
  <c r="D24" i="1"/>
  <c r="D45" i="1" l="1"/>
  <c r="D47" i="1"/>
  <c r="C23" i="1"/>
  <c r="C11" i="1" l="1"/>
</calcChain>
</file>

<file path=xl/sharedStrings.xml><?xml version="1.0" encoding="utf-8"?>
<sst xmlns="http://schemas.openxmlformats.org/spreadsheetml/2006/main" count="53" uniqueCount="40">
  <si>
    <t>INFORME DE INGRESOS Y EGRESOS</t>
  </si>
  <si>
    <t>Cuotas de vigilancia (incluye pagos anuales)</t>
  </si>
  <si>
    <t>Venta de llaves</t>
  </si>
  <si>
    <t>Venta tarjetones</t>
  </si>
  <si>
    <t>Aportación Colegio Carmel</t>
  </si>
  <si>
    <t>Pago de vigilancia</t>
  </si>
  <si>
    <t>Gastos de Notaría</t>
  </si>
  <si>
    <t>Pago primer lote de llaves</t>
  </si>
  <si>
    <t>Primer pago de herrería por chapas</t>
  </si>
  <si>
    <t>Mano de obra y materiales para rehabilitación de casetas</t>
  </si>
  <si>
    <t>Pago Telmex: noviembre, diciembre y enero</t>
  </si>
  <si>
    <t>Gasolina</t>
  </si>
  <si>
    <t>Imprenta y papelería</t>
  </si>
  <si>
    <t>TOTAL INGRESOS ENERO</t>
  </si>
  <si>
    <t>Diversos (limpieza, gratificaciones, agua, extinguidores</t>
  </si>
  <si>
    <t>TOTAL DE EGRESOS ENERO</t>
  </si>
  <si>
    <t>Cuotas de mantenimiento</t>
  </si>
  <si>
    <t>Tarjetones</t>
  </si>
  <si>
    <t>TOTAL INGRESOS FEBRERO</t>
  </si>
  <si>
    <t>Primer pago por reja de Upácuaro y Calzada del Hueso</t>
  </si>
  <si>
    <t>Pago anual de página web</t>
  </si>
  <si>
    <t>Pago por segundo y tercer lote de llaves</t>
  </si>
  <si>
    <t>Telmex: pago febrero</t>
  </si>
  <si>
    <t>Materiales y mano de obra</t>
  </si>
  <si>
    <t>Diversos: gratificaciones, agua, limpieza</t>
  </si>
  <si>
    <t>Período de Reporte: Enero y Febrero 2012</t>
  </si>
  <si>
    <t>INGRESO PARCIAL</t>
  </si>
  <si>
    <t>INGRESO TOTAL</t>
  </si>
  <si>
    <t>EGRESO PARCIAL</t>
  </si>
  <si>
    <t>EGRESO TOTAL</t>
  </si>
  <si>
    <t>SALDO AL CORTE</t>
  </si>
  <si>
    <t>SALDO TOTAL AL CORTE</t>
  </si>
  <si>
    <t>TOTAL DE EGRESOS FEBRERO</t>
  </si>
  <si>
    <t>CONCEPTO DE LOS EGRESOS DE FEBRERO</t>
  </si>
  <si>
    <t>CONCEPTO DE LOS INGRESOS DE FEBRERO</t>
  </si>
  <si>
    <t>CONCEPTO DE LOS INGRESOS DE ENERO</t>
  </si>
  <si>
    <t>CONCEPTO DE LOS EGRESOS DE ENERO</t>
  </si>
  <si>
    <t>TOTAL DE INGRESOS DE ENERO Y FEBRERO</t>
  </si>
  <si>
    <t>TOTAL DE EGRESOS DE ENERO Y FEBRERO</t>
  </si>
  <si>
    <t>SALDO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</si>
</sst>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F41" sqref="F41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6" max="6" width="12.5703125" bestFit="1" customWidth="1"/>
    <col min="8" max="8" width="12.5703125" bestFit="1" customWidth="1"/>
  </cols>
  <sheetData>
    <row r="1" spans="1:4" x14ac:dyDescent="0.25">
      <c r="A1" s="13" t="s">
        <v>0</v>
      </c>
      <c r="B1" s="13"/>
      <c r="C1" s="13"/>
      <c r="D1" s="13"/>
    </row>
    <row r="3" spans="1:4" x14ac:dyDescent="0.25">
      <c r="A3" s="14" t="s">
        <v>25</v>
      </c>
      <c r="B3" s="14"/>
      <c r="C3" s="14"/>
      <c r="D3" s="14"/>
    </row>
    <row r="4" spans="1:4" x14ac:dyDescent="0.25">
      <c r="C4" s="5"/>
      <c r="D4" s="5"/>
    </row>
    <row r="6" spans="1:4" x14ac:dyDescent="0.25">
      <c r="A6" s="11" t="s">
        <v>35</v>
      </c>
      <c r="B6" s="11" t="s">
        <v>26</v>
      </c>
      <c r="C6" s="11" t="s">
        <v>27</v>
      </c>
      <c r="D6" s="12" t="s">
        <v>30</v>
      </c>
    </row>
    <row r="7" spans="1:4" x14ac:dyDescent="0.25">
      <c r="A7" s="4" t="s">
        <v>1</v>
      </c>
      <c r="B7" s="7">
        <v>125570</v>
      </c>
      <c r="C7" s="4"/>
      <c r="D7" s="4"/>
    </row>
    <row r="8" spans="1:4" x14ac:dyDescent="0.25">
      <c r="A8" s="4" t="s">
        <v>2</v>
      </c>
      <c r="B8" s="7">
        <v>16610</v>
      </c>
      <c r="C8" s="4"/>
      <c r="D8" s="4"/>
    </row>
    <row r="9" spans="1:4" x14ac:dyDescent="0.25">
      <c r="A9" s="4" t="s">
        <v>3</v>
      </c>
      <c r="B9" s="7">
        <v>2820</v>
      </c>
      <c r="C9" s="4"/>
      <c r="D9" s="4"/>
    </row>
    <row r="10" spans="1:4" x14ac:dyDescent="0.25">
      <c r="A10" s="4" t="s">
        <v>4</v>
      </c>
      <c r="B10" s="7">
        <v>8092.91</v>
      </c>
      <c r="C10" s="4"/>
      <c r="D10" s="4"/>
    </row>
    <row r="11" spans="1:4" x14ac:dyDescent="0.25">
      <c r="A11" s="6" t="s">
        <v>13</v>
      </c>
      <c r="C11" s="2">
        <f>SUM(B7:B10)</f>
        <v>153092.91</v>
      </c>
      <c r="D11" s="2">
        <v>153092.91</v>
      </c>
    </row>
    <row r="13" spans="1:4" x14ac:dyDescent="0.25">
      <c r="A13" s="11" t="s">
        <v>36</v>
      </c>
      <c r="B13" s="11" t="s">
        <v>28</v>
      </c>
      <c r="C13" s="11" t="s">
        <v>29</v>
      </c>
      <c r="D13" s="12" t="s">
        <v>30</v>
      </c>
    </row>
    <row r="14" spans="1:4" x14ac:dyDescent="0.25">
      <c r="A14" s="4" t="s">
        <v>5</v>
      </c>
      <c r="B14" s="7">
        <v>44636</v>
      </c>
      <c r="C14" s="4"/>
      <c r="D14" s="4"/>
    </row>
    <row r="15" spans="1:4" x14ac:dyDescent="0.25">
      <c r="A15" s="4" t="s">
        <v>6</v>
      </c>
      <c r="B15" s="7">
        <v>8000</v>
      </c>
      <c r="C15" s="4"/>
      <c r="D15" s="4"/>
    </row>
    <row r="16" spans="1:4" x14ac:dyDescent="0.25">
      <c r="A16" s="4" t="s">
        <v>7</v>
      </c>
      <c r="B16" s="7">
        <v>20000</v>
      </c>
      <c r="C16" s="4"/>
      <c r="D16" s="4"/>
    </row>
    <row r="17" spans="1:8" x14ac:dyDescent="0.25">
      <c r="A17" s="4" t="s">
        <v>8</v>
      </c>
      <c r="B17" s="7">
        <v>3750</v>
      </c>
      <c r="C17" s="4"/>
      <c r="D17" s="4"/>
    </row>
    <row r="18" spans="1:8" x14ac:dyDescent="0.25">
      <c r="A18" s="4" t="s">
        <v>9</v>
      </c>
      <c r="B18" s="7">
        <v>6062.25</v>
      </c>
      <c r="C18" s="4"/>
      <c r="D18" s="4"/>
    </row>
    <row r="19" spans="1:8" x14ac:dyDescent="0.25">
      <c r="A19" s="4" t="s">
        <v>10</v>
      </c>
      <c r="B19" s="7">
        <v>1251</v>
      </c>
      <c r="C19" s="4"/>
      <c r="D19" s="4"/>
    </row>
    <row r="20" spans="1:8" x14ac:dyDescent="0.25">
      <c r="A20" s="4" t="s">
        <v>12</v>
      </c>
      <c r="B20" s="7">
        <v>6866.08</v>
      </c>
      <c r="C20" s="4"/>
      <c r="D20" s="4"/>
    </row>
    <row r="21" spans="1:8" x14ac:dyDescent="0.25">
      <c r="A21" s="4" t="s">
        <v>11</v>
      </c>
      <c r="B21" s="7">
        <v>1210.6400000000001</v>
      </c>
      <c r="C21" s="4"/>
      <c r="D21" s="4"/>
    </row>
    <row r="22" spans="1:8" x14ac:dyDescent="0.25">
      <c r="A22" s="4" t="s">
        <v>14</v>
      </c>
      <c r="B22" s="7">
        <v>1909.16</v>
      </c>
      <c r="C22" s="4"/>
      <c r="D22" s="4"/>
    </row>
    <row r="23" spans="1:8" x14ac:dyDescent="0.25">
      <c r="A23" s="8" t="s">
        <v>15</v>
      </c>
      <c r="B23" s="7"/>
      <c r="C23" s="9">
        <f>SUM(B14:B22)</f>
        <v>93685.13</v>
      </c>
      <c r="D23" s="9">
        <v>93685.13</v>
      </c>
      <c r="F23" s="2"/>
    </row>
    <row r="24" spans="1:8" x14ac:dyDescent="0.25">
      <c r="A24" s="10" t="s">
        <v>31</v>
      </c>
      <c r="B24" s="7"/>
      <c r="C24" s="4"/>
      <c r="D24" s="9">
        <f>D11-D23</f>
        <v>59407.78</v>
      </c>
    </row>
    <row r="25" spans="1:8" x14ac:dyDescent="0.25">
      <c r="H25" s="2"/>
    </row>
    <row r="27" spans="1:8" x14ac:dyDescent="0.25">
      <c r="A27" s="11" t="s">
        <v>34</v>
      </c>
      <c r="B27" s="11" t="s">
        <v>26</v>
      </c>
      <c r="C27" s="11" t="s">
        <v>27</v>
      </c>
      <c r="D27" s="12" t="s">
        <v>30</v>
      </c>
    </row>
    <row r="28" spans="1:8" x14ac:dyDescent="0.25">
      <c r="A28" s="4" t="s">
        <v>16</v>
      </c>
      <c r="B28" s="7">
        <v>75180.25</v>
      </c>
      <c r="C28" s="4"/>
      <c r="D28" s="4"/>
    </row>
    <row r="29" spans="1:8" x14ac:dyDescent="0.25">
      <c r="A29" s="4" t="s">
        <v>2</v>
      </c>
      <c r="B29" s="7">
        <v>73266</v>
      </c>
      <c r="C29" s="7"/>
      <c r="D29" s="4"/>
    </row>
    <row r="30" spans="1:8" x14ac:dyDescent="0.25">
      <c r="A30" s="4" t="s">
        <v>17</v>
      </c>
      <c r="B30" s="7">
        <v>1150</v>
      </c>
      <c r="C30" s="4"/>
      <c r="D30" s="4"/>
    </row>
    <row r="31" spans="1:8" x14ac:dyDescent="0.25">
      <c r="A31" s="4" t="s">
        <v>4</v>
      </c>
      <c r="B31" s="1">
        <v>8092.91</v>
      </c>
      <c r="C31" s="1"/>
      <c r="D31" s="4"/>
    </row>
    <row r="32" spans="1:8" x14ac:dyDescent="0.25">
      <c r="A32" s="8" t="s">
        <v>18</v>
      </c>
      <c r="B32" s="4"/>
      <c r="C32" s="9">
        <f>SUM(B28:B31)</f>
        <v>157689.16</v>
      </c>
      <c r="D32" s="9">
        <f>SUM(B28:B31)</f>
        <v>157689.16</v>
      </c>
    </row>
    <row r="34" spans="1:9" x14ac:dyDescent="0.25">
      <c r="A34" s="11" t="s">
        <v>33</v>
      </c>
      <c r="B34" s="11" t="s">
        <v>28</v>
      </c>
      <c r="C34" s="11" t="s">
        <v>29</v>
      </c>
      <c r="D34" s="12" t="s">
        <v>30</v>
      </c>
    </row>
    <row r="35" spans="1:9" x14ac:dyDescent="0.25">
      <c r="A35" s="4" t="s">
        <v>5</v>
      </c>
      <c r="B35" s="7">
        <v>49896</v>
      </c>
      <c r="C35" s="4"/>
      <c r="D35" s="4"/>
    </row>
    <row r="36" spans="1:9" x14ac:dyDescent="0.25">
      <c r="A36" s="4" t="s">
        <v>12</v>
      </c>
      <c r="B36" s="7">
        <v>2472.5</v>
      </c>
      <c r="C36" s="4"/>
      <c r="D36" s="4"/>
    </row>
    <row r="37" spans="1:9" x14ac:dyDescent="0.25">
      <c r="A37" s="4" t="s">
        <v>23</v>
      </c>
      <c r="B37" s="7">
        <v>18015</v>
      </c>
      <c r="C37" s="4"/>
      <c r="D37" s="4"/>
    </row>
    <row r="38" spans="1:9" x14ac:dyDescent="0.25">
      <c r="A38" s="4" t="s">
        <v>19</v>
      </c>
      <c r="B38" s="7">
        <v>6000</v>
      </c>
      <c r="C38" s="4"/>
      <c r="D38" s="4"/>
      <c r="I38" s="2"/>
    </row>
    <row r="39" spans="1:9" x14ac:dyDescent="0.25">
      <c r="A39" s="4" t="s">
        <v>20</v>
      </c>
      <c r="B39" s="7">
        <v>468</v>
      </c>
      <c r="C39" s="4"/>
      <c r="D39" s="4"/>
    </row>
    <row r="40" spans="1:9" x14ac:dyDescent="0.25">
      <c r="A40" s="4" t="s">
        <v>11</v>
      </c>
      <c r="B40" s="7">
        <v>1295</v>
      </c>
      <c r="C40" s="4"/>
      <c r="D40" s="4"/>
    </row>
    <row r="41" spans="1:9" x14ac:dyDescent="0.25">
      <c r="A41" s="4" t="s">
        <v>21</v>
      </c>
      <c r="B41" s="7">
        <v>61000</v>
      </c>
      <c r="C41" s="4"/>
      <c r="D41" s="4"/>
    </row>
    <row r="42" spans="1:9" x14ac:dyDescent="0.25">
      <c r="A42" s="4" t="s">
        <v>22</v>
      </c>
      <c r="B42" s="7">
        <v>545</v>
      </c>
      <c r="C42" s="4"/>
      <c r="D42" s="4"/>
    </row>
    <row r="43" spans="1:9" x14ac:dyDescent="0.25">
      <c r="A43" s="4" t="s">
        <v>24</v>
      </c>
      <c r="B43" s="7">
        <v>2258</v>
      </c>
      <c r="C43" s="4"/>
      <c r="D43" s="4"/>
    </row>
    <row r="44" spans="1:9" x14ac:dyDescent="0.25">
      <c r="A44" s="8" t="s">
        <v>32</v>
      </c>
      <c r="B44" s="7"/>
      <c r="C44" s="9">
        <f>SUM(B35:B43)</f>
        <v>141949.5</v>
      </c>
      <c r="D44" s="9">
        <f>SUM(B35:B43)</f>
        <v>141949.5</v>
      </c>
    </row>
    <row r="45" spans="1:9" x14ac:dyDescent="0.25">
      <c r="A45" s="10" t="s">
        <v>31</v>
      </c>
      <c r="B45" s="7"/>
      <c r="C45" s="4"/>
      <c r="D45" s="9">
        <f>D32-D44</f>
        <v>15739.660000000003</v>
      </c>
    </row>
    <row r="47" spans="1:9" x14ac:dyDescent="0.25">
      <c r="A47" t="s">
        <v>37</v>
      </c>
      <c r="D47" s="2">
        <f>SUM(D11,D32)</f>
        <v>310782.07</v>
      </c>
    </row>
    <row r="48" spans="1:9" x14ac:dyDescent="0.25">
      <c r="A48" t="s">
        <v>38</v>
      </c>
      <c r="D48" s="2">
        <f>SUM(D23,D44)</f>
        <v>235634.63</v>
      </c>
    </row>
    <row r="49" spans="1:4" x14ac:dyDescent="0.25">
      <c r="A49" t="s">
        <v>39</v>
      </c>
      <c r="D49" s="2">
        <f>SUM(D47-D48)</f>
        <v>75147.44</v>
      </c>
    </row>
    <row r="64" spans="1:4" x14ac:dyDescent="0.25">
      <c r="B64" s="3"/>
      <c r="C64" s="3"/>
    </row>
    <row r="72" spans="2:3" x14ac:dyDescent="0.25">
      <c r="B72" s="3"/>
      <c r="C72" s="3"/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1ER BIMESTRE 2012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2012-03-13T02:38:06Z</dcterms:created>
  <dcterms:modified xsi:type="dcterms:W3CDTF">2012-04-05T02:22:10Z</dcterms:modified>
</cp:coreProperties>
</file>