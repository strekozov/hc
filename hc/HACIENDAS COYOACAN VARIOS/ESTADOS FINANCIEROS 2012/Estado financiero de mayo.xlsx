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G25" i="1" l="1"/>
  <c r="F9" i="1" l="1"/>
  <c r="G14" i="1" s="1"/>
  <c r="G19" i="1" s="1"/>
</calcChain>
</file>

<file path=xl/sharedStrings.xml><?xml version="1.0" encoding="utf-8"?>
<sst xmlns="http://schemas.openxmlformats.org/spreadsheetml/2006/main" count="19" uniqueCount="19">
  <si>
    <t>Estado financiero de mayo</t>
  </si>
  <si>
    <t>INGRESOS</t>
  </si>
  <si>
    <t>Cuotas de vigilancia:</t>
  </si>
  <si>
    <t>Recibos del 1660 - 2001</t>
  </si>
  <si>
    <t>Aportación Carso I.</t>
  </si>
  <si>
    <t>Transferencia bancaria</t>
  </si>
  <si>
    <t>EGRESOS  (ver archivo anexo)</t>
  </si>
  <si>
    <t>TOTAL INGRESOS DE MAYO</t>
  </si>
  <si>
    <t>Total venta de tarjetones</t>
  </si>
  <si>
    <t>Total venta de llaves</t>
  </si>
  <si>
    <t>Total venta de tarjetas electrónicas</t>
  </si>
  <si>
    <t>Aportación Colegio Carmel</t>
  </si>
  <si>
    <t>Remanente de marzo y abril</t>
  </si>
  <si>
    <t>Saldo de mayo</t>
  </si>
  <si>
    <t>DISPONIBLE EN BANCO Y CAJA</t>
  </si>
  <si>
    <t>SALDO TOTAL DE MAYO  (negativo)</t>
  </si>
  <si>
    <t>(negativo)</t>
  </si>
  <si>
    <t>TOTAL CUOTAS DE VIGILANCIA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</si>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</sst>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44" fontId="0" fillId="0" borderId="0" xfId="0" applyNumberForma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19" sqref="G19"/>
    </sheetView>
  </sheetViews>
  <sheetFormatPr baseColWidth="10" defaultRowHeight="15" x14ac:dyDescent="0.25"/>
  <cols>
    <col min="6" max="7" width="12.5703125" bestFit="1" customWidth="1"/>
  </cols>
  <sheetData>
    <row r="1" spans="1:7" x14ac:dyDescent="0.25">
      <c r="A1" t="s">
        <v>0</v>
      </c>
    </row>
    <row r="3" spans="1:7" x14ac:dyDescent="0.25">
      <c r="A3" t="s">
        <v>1</v>
      </c>
    </row>
    <row r="5" spans="1:7" x14ac:dyDescent="0.25">
      <c r="A5" t="s">
        <v>2</v>
      </c>
    </row>
    <row r="6" spans="1:7" x14ac:dyDescent="0.25">
      <c r="B6" t="s">
        <v>3</v>
      </c>
      <c r="E6" s="1">
        <v>81725</v>
      </c>
      <c r="F6" s="1"/>
      <c r="G6" s="1"/>
    </row>
    <row r="7" spans="1:7" x14ac:dyDescent="0.25">
      <c r="B7" t="s">
        <v>4</v>
      </c>
      <c r="E7" s="1">
        <v>1000</v>
      </c>
      <c r="F7" s="1"/>
      <c r="G7" s="1"/>
    </row>
    <row r="8" spans="1:7" x14ac:dyDescent="0.25">
      <c r="B8" t="s">
        <v>5</v>
      </c>
      <c r="E8" s="1">
        <v>300</v>
      </c>
      <c r="F8" s="1"/>
      <c r="G8" s="1"/>
    </row>
    <row r="9" spans="1:7" x14ac:dyDescent="0.25">
      <c r="A9" t="s">
        <v>17</v>
      </c>
      <c r="F9" s="1">
        <f>SUM(E6:E8)</f>
        <v>83025</v>
      </c>
      <c r="G9" s="1"/>
    </row>
    <row r="10" spans="1:7" x14ac:dyDescent="0.25">
      <c r="A10" t="s">
        <v>8</v>
      </c>
      <c r="E10" s="1"/>
      <c r="F10" s="1">
        <v>540</v>
      </c>
      <c r="G10" s="1"/>
    </row>
    <row r="11" spans="1:7" x14ac:dyDescent="0.25">
      <c r="A11" t="s">
        <v>9</v>
      </c>
      <c r="E11" s="1"/>
      <c r="F11" s="1">
        <v>4050</v>
      </c>
      <c r="G11" s="1"/>
    </row>
    <row r="12" spans="1:7" x14ac:dyDescent="0.25">
      <c r="A12" t="s">
        <v>10</v>
      </c>
      <c r="E12" s="1"/>
      <c r="F12" s="1">
        <v>58880</v>
      </c>
      <c r="G12" s="1"/>
    </row>
    <row r="13" spans="1:7" x14ac:dyDescent="0.25">
      <c r="A13" t="s">
        <v>11</v>
      </c>
      <c r="E13" s="1"/>
      <c r="F13" s="1">
        <v>11271.4</v>
      </c>
      <c r="G13" s="1"/>
    </row>
    <row r="14" spans="1:7" x14ac:dyDescent="0.25">
      <c r="A14" t="s">
        <v>7</v>
      </c>
      <c r="E14" s="1"/>
      <c r="G14" s="1">
        <f>SUM(F9:F13)</f>
        <v>157766.39999999999</v>
      </c>
    </row>
    <row r="15" spans="1:7" x14ac:dyDescent="0.25">
      <c r="A15" t="s">
        <v>18</v>
      </c>
      <c r="E15" s="1"/>
      <c r="F15" s="1"/>
      <c r="G15" s="1"/>
    </row>
    <row r="16" spans="1:7" x14ac:dyDescent="0.25">
      <c r="E16" s="1"/>
      <c r="F16" s="1"/>
      <c r="G16" s="1"/>
    </row>
    <row r="17" spans="1:7" x14ac:dyDescent="0.25">
      <c r="A17" t="s">
        <v>6</v>
      </c>
      <c r="E17" s="1"/>
      <c r="F17" s="1"/>
      <c r="G17" s="1">
        <v>170679.31</v>
      </c>
    </row>
    <row r="18" spans="1:7" x14ac:dyDescent="0.25">
      <c r="E18" s="1"/>
      <c r="F18" s="1"/>
      <c r="G18" s="1"/>
    </row>
    <row r="19" spans="1:7" x14ac:dyDescent="0.25">
      <c r="A19" t="s">
        <v>15</v>
      </c>
      <c r="E19" s="1"/>
      <c r="F19" s="1"/>
      <c r="G19" s="1">
        <f>SUM(G14-G17)</f>
        <v>-12912.910000000003</v>
      </c>
    </row>
    <row r="20" spans="1:7" x14ac:dyDescent="0.25">
      <c r="E20" s="1"/>
      <c r="F20" s="1"/>
      <c r="G20" s="1"/>
    </row>
    <row r="22" spans="1:7" x14ac:dyDescent="0.25">
      <c r="A22" t="s">
        <v>12</v>
      </c>
      <c r="F22" s="1">
        <v>60171.79</v>
      </c>
    </row>
    <row r="23" spans="1:7" x14ac:dyDescent="0.25">
      <c r="A23" t="s">
        <v>13</v>
      </c>
      <c r="C23" t="s">
        <v>16</v>
      </c>
      <c r="F23" s="1">
        <v>12912.91</v>
      </c>
    </row>
    <row r="25" spans="1:7" x14ac:dyDescent="0.25">
      <c r="A25" t="s">
        <v>14</v>
      </c>
      <c r="G25" s="2">
        <f>SUM(F22-F23)</f>
        <v>47258.880000000005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Baldemar Sala Bay</cp:lastModifiedBy>
  <dcterms:created xsi:type="dcterms:W3CDTF">2012-06-09T16:41:29Z</dcterms:created>
  <dcterms:modified xsi:type="dcterms:W3CDTF">2013-09-07T17:01:39Z</dcterms:modified>
</cp:coreProperties>
</file>