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G23" i="1" l="1"/>
  <c r="G18" i="1"/>
  <c r="F26" i="1" s="1"/>
  <c r="F16" i="1"/>
  <c r="F9" i="1"/>
</calcChain>
</file>

<file path=xl/sharedStrings.xml><?xml version="1.0" encoding="utf-8"?>
<sst xmlns="http://schemas.openxmlformats.org/spreadsheetml/2006/main" count="19" uniqueCount="16">
  <si>
    <t>ESTADO FINANCIERO MARZO Y ABRIL</t>
  </si>
  <si>
    <t>Remanente de enero y febrero</t>
  </si>
  <si>
    <t>Ingresos de Marzo</t>
  </si>
  <si>
    <t>Ingresos de Abril</t>
  </si>
  <si>
    <t>Egresos de Marzo</t>
  </si>
  <si>
    <t>Egresos de Abril</t>
  </si>
  <si>
    <t>SALDO TOTAL DISPONIBLE</t>
  </si>
  <si>
    <t>Cuotas vecinales</t>
  </si>
  <si>
    <t>Venta de llaves</t>
  </si>
  <si>
    <t>Venta de tarjetones</t>
  </si>
  <si>
    <t>Aportación Col. Carmel</t>
  </si>
  <si>
    <t>TOTAL INGRESOS MARZO</t>
  </si>
  <si>
    <t>Aportación col. Carmel</t>
  </si>
  <si>
    <t>TOTAL DE INGRESOS ABRIL</t>
  </si>
  <si>
    <t xml:space="preserve">TOTAL DE INGRESOS </t>
  </si>
  <si>
    <t>TOTAL DE EGRESOS DE MARZO Y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</si>
</sst>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44" fontId="2" fillId="0" borderId="0" xfId="1" applyFont="1"/>
    <xf numFmtId="44" fontId="2" fillId="0" borderId="0" xfId="0" applyNumberFormat="1" applyFont="1"/>
    <xf numFmtId="44" fontId="1" fillId="0" borderId="0" xfId="1" applyFont="1"/>
    <xf numFmtId="0" fontId="0" fillId="0" borderId="0" xfId="0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G30" sqref="G30"/>
    </sheetView>
  </sheetViews>
  <sheetFormatPr baseColWidth="10" defaultRowHeight="15" x14ac:dyDescent="0.25"/>
  <cols>
    <col min="5" max="7" width="12.5703125" bestFit="1" customWidth="1"/>
  </cols>
  <sheetData>
    <row r="1" spans="1:7" x14ac:dyDescent="0.25">
      <c r="A1" t="s">
        <v>0</v>
      </c>
      <c r="D1">
        <v>2012</v>
      </c>
    </row>
    <row r="2" spans="1:7" x14ac:dyDescent="0.25">
      <c r="D2" s="5"/>
    </row>
    <row r="3" spans="1:7" x14ac:dyDescent="0.25">
      <c r="A3" t="s">
        <v>1</v>
      </c>
      <c r="F3" s="4">
        <v>75147.44</v>
      </c>
    </row>
    <row r="4" spans="1:7" x14ac:dyDescent="0.25">
      <c r="A4" t="s">
        <v>2</v>
      </c>
      <c r="E4" s="1"/>
      <c r="F4" s="1"/>
    </row>
    <row r="5" spans="1:7" x14ac:dyDescent="0.25">
      <c r="B5" t="s">
        <v>7</v>
      </c>
      <c r="D5" s="1"/>
      <c r="E5" s="1">
        <v>73915</v>
      </c>
      <c r="F5" s="1"/>
      <c r="G5" s="1"/>
    </row>
    <row r="6" spans="1:7" x14ac:dyDescent="0.25">
      <c r="B6" t="s">
        <v>8</v>
      </c>
      <c r="D6" s="1"/>
      <c r="E6" s="1">
        <v>19570</v>
      </c>
      <c r="F6" s="1"/>
      <c r="G6" s="1"/>
    </row>
    <row r="7" spans="1:7" x14ac:dyDescent="0.25">
      <c r="B7" t="s">
        <v>9</v>
      </c>
      <c r="D7" s="1"/>
      <c r="E7" s="1">
        <v>1220</v>
      </c>
      <c r="G7" s="1"/>
    </row>
    <row r="8" spans="1:7" x14ac:dyDescent="0.25">
      <c r="B8" t="s">
        <v>10</v>
      </c>
      <c r="D8" s="1"/>
      <c r="E8" s="1">
        <v>8092.91</v>
      </c>
      <c r="F8" s="1"/>
      <c r="G8" s="1"/>
    </row>
    <row r="9" spans="1:7" x14ac:dyDescent="0.25">
      <c r="A9" t="s">
        <v>11</v>
      </c>
      <c r="D9" s="1"/>
      <c r="E9" s="1"/>
      <c r="F9" s="4">
        <f>SUM(E5:E8)</f>
        <v>102797.91</v>
      </c>
    </row>
    <row r="10" spans="1:7" x14ac:dyDescent="0.25">
      <c r="D10" s="1"/>
      <c r="E10" s="1"/>
      <c r="F10" s="1"/>
    </row>
    <row r="11" spans="1:7" x14ac:dyDescent="0.25">
      <c r="A11" t="s">
        <v>3</v>
      </c>
      <c r="D11" s="1"/>
      <c r="E11" s="1"/>
      <c r="F11" s="1"/>
      <c r="G11" s="1"/>
    </row>
    <row r="12" spans="1:7" x14ac:dyDescent="0.25">
      <c r="B12" t="s">
        <v>7</v>
      </c>
      <c r="D12" s="1"/>
      <c r="E12" s="1">
        <v>78265</v>
      </c>
      <c r="G12" s="1"/>
    </row>
    <row r="13" spans="1:7" x14ac:dyDescent="0.25">
      <c r="B13" t="s">
        <v>8</v>
      </c>
      <c r="D13" s="1"/>
      <c r="E13" s="1">
        <v>5520</v>
      </c>
      <c r="F13" s="1"/>
      <c r="G13" s="1"/>
    </row>
    <row r="14" spans="1:7" x14ac:dyDescent="0.25">
      <c r="B14" t="s">
        <v>9</v>
      </c>
      <c r="E14" s="1">
        <v>1300</v>
      </c>
    </row>
    <row r="15" spans="1:7" x14ac:dyDescent="0.25">
      <c r="B15" t="s">
        <v>12</v>
      </c>
      <c r="E15" s="1">
        <v>8092.91</v>
      </c>
    </row>
    <row r="16" spans="1:7" x14ac:dyDescent="0.25">
      <c r="A16" t="s">
        <v>13</v>
      </c>
      <c r="F16" s="4">
        <f>SUM(E12:E15)</f>
        <v>93177.91</v>
      </c>
    </row>
    <row r="18" spans="1:7" x14ac:dyDescent="0.25">
      <c r="A18" t="s">
        <v>14</v>
      </c>
      <c r="G18" s="3">
        <f>SUM(F2:F16)</f>
        <v>271123.26</v>
      </c>
    </row>
    <row r="20" spans="1:7" x14ac:dyDescent="0.25">
      <c r="A20" t="s">
        <v>4</v>
      </c>
      <c r="E20" s="1">
        <v>129282</v>
      </c>
    </row>
    <row r="21" spans="1:7" x14ac:dyDescent="0.25">
      <c r="A21" t="s">
        <v>5</v>
      </c>
      <c r="E21" s="1">
        <v>82201</v>
      </c>
    </row>
    <row r="23" spans="1:7" x14ac:dyDescent="0.25">
      <c r="A23" t="s">
        <v>15</v>
      </c>
      <c r="G23" s="2">
        <f>SUM(E20:E21)</f>
        <v>211483</v>
      </c>
    </row>
    <row r="26" spans="1:7" x14ac:dyDescent="0.25">
      <c r="A26" t="s">
        <v>6</v>
      </c>
      <c r="F26" s="3">
        <f>SUM(G18-G23)</f>
        <v>59640.260000000009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2012-05-02T03:35:41Z</dcterms:created>
  <dcterms:modified xsi:type="dcterms:W3CDTF">2012-05-21T05:03:33Z</dcterms:modified>
</cp:coreProperties>
</file>