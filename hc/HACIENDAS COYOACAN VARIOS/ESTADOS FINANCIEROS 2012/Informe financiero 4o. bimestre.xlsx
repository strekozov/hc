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1ER BIMESTRE 2012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54" i="1" l="1"/>
  <c r="D24" i="1" l="1"/>
  <c r="D10" i="1"/>
  <c r="D25" i="1" l="1"/>
  <c r="C10" i="1"/>
  <c r="D49" i="1" l="1"/>
  <c r="D55" i="1" s="1"/>
  <c r="D57" i="1" s="1"/>
  <c r="C49" i="1"/>
  <c r="D34" i="1"/>
  <c r="C34" i="1"/>
  <c r="D50" i="1" l="1"/>
  <c r="C24" i="1"/>
</calcChain>
</file>

<file path=xl/sharedStrings.xml><?xml version="1.0" encoding="utf-8"?>
<sst xmlns="http://schemas.openxmlformats.org/spreadsheetml/2006/main" count="61" uniqueCount="43">
  <si>
    <t>Venta de llaves</t>
  </si>
  <si>
    <t>Aportación Colegio Carmel</t>
  </si>
  <si>
    <t>Pago de vigilancia</t>
  </si>
  <si>
    <t>Gasolina</t>
  </si>
  <si>
    <t>Imprenta y papelería</t>
  </si>
  <si>
    <t>Tarjetones</t>
  </si>
  <si>
    <t>INGRESO PARCIAL</t>
  </si>
  <si>
    <t>INGRESO TOTAL</t>
  </si>
  <si>
    <t>EGRESO PARCIAL</t>
  </si>
  <si>
    <t>EGRESO TOTAL</t>
  </si>
  <si>
    <t>SALDO AL CORTE</t>
  </si>
  <si>
    <t>SALDO TOTAL AL CORTE</t>
  </si>
  <si>
    <t>Pago de llaves</t>
  </si>
  <si>
    <t>Cuotas vecinales</t>
  </si>
  <si>
    <t>INFORME DE INGRESOS Y EGRESOS: JULIO Y AGOSTO 2012</t>
  </si>
  <si>
    <t>CONCEPTO DE LOS INGRESOS DE JULIO</t>
  </si>
  <si>
    <t>Venta de tarjetas electrónicas</t>
  </si>
  <si>
    <t>CONCEPTO DE LOS EGRESOS DE JULIO</t>
  </si>
  <si>
    <t>CONCEPTO DE LOS INGRESOS DE AGOSTO</t>
  </si>
  <si>
    <t>CONCEPTO DE LOS EGRESOS DE AGOSTO</t>
  </si>
  <si>
    <t>SALDO REMANENTE DE MAYO  Y JUNIO</t>
  </si>
  <si>
    <t>TOTAL DE INGRESOS DE JULIO Y AGOSTO</t>
  </si>
  <si>
    <t>INGRESOS 40. BIMESTRE MAS REMANENTE</t>
  </si>
  <si>
    <t>TOTAL DE EGRESOS DE JULIO Y AGOSTO</t>
  </si>
  <si>
    <t>Ampliación de techo en Caseta Romeral</t>
  </si>
  <si>
    <t>Instalación de cámaras en Recoveco y Estanzuela</t>
  </si>
  <si>
    <t>Telmex: pago agosto</t>
  </si>
  <si>
    <t>Gastos de contabilidad y otros</t>
  </si>
  <si>
    <t>Finiquito de plumas automáticas en acceso Zinamba</t>
  </si>
  <si>
    <t>Pago de trabajos y gratificaciones diversas</t>
  </si>
  <si>
    <t>Agua para casetas y artículos de limpieza</t>
  </si>
  <si>
    <t>TOTAL EGRESOS DE AGOSTO</t>
  </si>
  <si>
    <t>TOTAL EGRESOS DE JULIO</t>
  </si>
  <si>
    <t>Materiales</t>
  </si>
  <si>
    <t>Telmex: pago julio</t>
  </si>
  <si>
    <t>Pago de mano de obra y gratificaciones diversas</t>
  </si>
  <si>
    <t>Cámaras para caseta Romeral y un monitor</t>
  </si>
  <si>
    <t>Compra de dos bicicletas para vigilancia</t>
  </si>
  <si>
    <t>Materiales y trabajos de herrería en casetas y puertas</t>
  </si>
  <si>
    <t>TOTAL INGRESOS DE AGOSTO</t>
  </si>
  <si>
    <t>Venta de tarjetones</t>
  </si>
  <si>
    <t>TOTAL INGRESOS DE JULIO</t>
  </si>
  <si>
    <t>SALDO DISPONIBLE EN BANCO Y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</si>
</sst>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44" fontId="0" fillId="0" borderId="1" xfId="1" applyFont="1" applyBorder="1"/>
    <xf numFmtId="0" fontId="0" fillId="0" borderId="1" xfId="0" applyBorder="1" applyAlignment="1">
      <alignment horizontal="right"/>
    </xf>
    <xf numFmtId="44" fontId="0" fillId="0" borderId="1" xfId="0" applyNumberFormat="1" applyBorder="1"/>
    <xf numFmtId="0" fontId="0" fillId="0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" fontId="0" fillId="0" borderId="0" xfId="0" applyNumberFormat="1"/>
    <xf numFmtId="44" fontId="0" fillId="0" borderId="0" xfId="0" applyNumberFormat="1" applyAlignment="1"/>
    <xf numFmtId="44" fontId="0" fillId="0" borderId="0" xfId="0" applyNumberFormat="1" applyFill="1"/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workbookViewId="0">
      <selection activeCell="F45" sqref="F45"/>
    </sheetView>
  </sheetViews>
  <sheetFormatPr baseColWidth="10" defaultRowHeight="15" x14ac:dyDescent="0.25"/>
  <cols>
    <col min="1" max="1" width="51.7109375" customWidth="1"/>
    <col min="2" max="2" width="23.5703125" customWidth="1"/>
    <col min="3" max="3" width="15.42578125" customWidth="1"/>
    <col min="4" max="4" width="16.85546875" customWidth="1"/>
    <col min="5" max="6" width="12.5703125" bestFit="1" customWidth="1"/>
    <col min="8" max="8" width="12.5703125" bestFit="1" customWidth="1"/>
  </cols>
  <sheetData>
    <row r="1" spans="1:4" x14ac:dyDescent="0.25">
      <c r="A1" s="15" t="s">
        <v>14</v>
      </c>
      <c r="B1" s="15"/>
      <c r="C1" s="15"/>
      <c r="D1" s="15"/>
    </row>
    <row r="4" spans="1:4" x14ac:dyDescent="0.25">
      <c r="A4" s="10" t="s">
        <v>15</v>
      </c>
      <c r="B4" s="10" t="s">
        <v>6</v>
      </c>
      <c r="C4" s="10" t="s">
        <v>7</v>
      </c>
      <c r="D4" s="11" t="s">
        <v>10</v>
      </c>
    </row>
    <row r="5" spans="1:4" x14ac:dyDescent="0.25">
      <c r="A5" s="4" t="s">
        <v>13</v>
      </c>
      <c r="B5" s="6">
        <v>81025</v>
      </c>
      <c r="C5" s="4"/>
      <c r="D5" s="4"/>
    </row>
    <row r="6" spans="1:4" x14ac:dyDescent="0.25">
      <c r="A6" s="4" t="s">
        <v>0</v>
      </c>
      <c r="B6" s="6">
        <v>3450</v>
      </c>
      <c r="C6" s="4"/>
      <c r="D6" s="4"/>
    </row>
    <row r="7" spans="1:4" x14ac:dyDescent="0.25">
      <c r="A7" s="4" t="s">
        <v>40</v>
      </c>
      <c r="B7" s="6">
        <v>320</v>
      </c>
      <c r="C7" s="4"/>
      <c r="D7" s="4"/>
    </row>
    <row r="8" spans="1:4" x14ac:dyDescent="0.25">
      <c r="A8" s="4" t="s">
        <v>16</v>
      </c>
      <c r="B8" s="6">
        <v>12800</v>
      </c>
      <c r="C8" s="4"/>
      <c r="D8" s="4"/>
    </row>
    <row r="9" spans="1:4" x14ac:dyDescent="0.25">
      <c r="A9" s="4" t="s">
        <v>1</v>
      </c>
      <c r="B9" s="6">
        <v>11241.7</v>
      </c>
      <c r="C9" s="4"/>
      <c r="D9" s="4"/>
    </row>
    <row r="10" spans="1:4" x14ac:dyDescent="0.25">
      <c r="A10" s="5" t="s">
        <v>41</v>
      </c>
      <c r="C10" s="2">
        <f>SUM(B5:B9)</f>
        <v>108836.7</v>
      </c>
      <c r="D10" s="2">
        <f>SUM(B5:B9)</f>
        <v>108836.7</v>
      </c>
    </row>
    <row r="12" spans="1:4" x14ac:dyDescent="0.25">
      <c r="A12" s="10" t="s">
        <v>17</v>
      </c>
      <c r="B12" s="10" t="s">
        <v>8</v>
      </c>
      <c r="C12" s="10" t="s">
        <v>9</v>
      </c>
      <c r="D12" s="11" t="s">
        <v>10</v>
      </c>
    </row>
    <row r="13" spans="1:4" x14ac:dyDescent="0.25">
      <c r="A13" s="4" t="s">
        <v>2</v>
      </c>
      <c r="B13" s="6">
        <v>61827</v>
      </c>
      <c r="C13" s="4"/>
      <c r="D13" s="4"/>
    </row>
    <row r="14" spans="1:4" x14ac:dyDescent="0.25">
      <c r="A14" s="4" t="s">
        <v>36</v>
      </c>
      <c r="B14" s="6">
        <v>22061</v>
      </c>
      <c r="C14" s="4"/>
      <c r="D14" s="4"/>
    </row>
    <row r="15" spans="1:4" x14ac:dyDescent="0.25">
      <c r="A15" s="4" t="s">
        <v>12</v>
      </c>
      <c r="B15" s="6">
        <v>6960</v>
      </c>
      <c r="C15" s="4"/>
      <c r="D15" s="4"/>
    </row>
    <row r="16" spans="1:4" x14ac:dyDescent="0.25">
      <c r="A16" s="4" t="s">
        <v>37</v>
      </c>
      <c r="B16" s="6">
        <v>3300</v>
      </c>
      <c r="C16" s="4"/>
      <c r="D16" s="4"/>
    </row>
    <row r="17" spans="1:8" x14ac:dyDescent="0.25">
      <c r="A17" s="4" t="s">
        <v>33</v>
      </c>
      <c r="B17" s="6">
        <v>5524</v>
      </c>
      <c r="C17" s="4"/>
      <c r="D17" s="4"/>
    </row>
    <row r="18" spans="1:8" x14ac:dyDescent="0.25">
      <c r="A18" s="4" t="s">
        <v>34</v>
      </c>
      <c r="B18" s="6">
        <v>786</v>
      </c>
      <c r="C18" s="4"/>
      <c r="D18" s="4"/>
    </row>
    <row r="19" spans="1:8" x14ac:dyDescent="0.25">
      <c r="A19" s="4" t="s">
        <v>4</v>
      </c>
      <c r="B19" s="6">
        <v>1777.9</v>
      </c>
      <c r="C19" s="4"/>
      <c r="D19" s="4"/>
    </row>
    <row r="20" spans="1:8" x14ac:dyDescent="0.25">
      <c r="A20" s="4" t="s">
        <v>30</v>
      </c>
      <c r="B20" s="6">
        <v>696.1</v>
      </c>
      <c r="C20" s="4"/>
      <c r="D20" s="4"/>
    </row>
    <row r="21" spans="1:8" x14ac:dyDescent="0.25">
      <c r="A21" s="4" t="s">
        <v>35</v>
      </c>
      <c r="B21" s="6">
        <v>4520</v>
      </c>
      <c r="C21" s="4"/>
      <c r="D21" s="4"/>
    </row>
    <row r="22" spans="1:8" x14ac:dyDescent="0.25">
      <c r="A22" s="4" t="s">
        <v>3</v>
      </c>
      <c r="B22" s="6">
        <v>2298.5</v>
      </c>
      <c r="C22" s="4"/>
      <c r="D22" s="4"/>
    </row>
    <row r="23" spans="1:8" x14ac:dyDescent="0.25">
      <c r="A23" s="4" t="s">
        <v>27</v>
      </c>
      <c r="B23" s="6">
        <v>2142.5</v>
      </c>
      <c r="C23" s="4"/>
      <c r="D23" s="4"/>
    </row>
    <row r="24" spans="1:8" x14ac:dyDescent="0.25">
      <c r="A24" s="7" t="s">
        <v>32</v>
      </c>
      <c r="B24" s="6"/>
      <c r="C24" s="8">
        <f>SUM(B13:B23)</f>
        <v>111893</v>
      </c>
      <c r="D24" s="8">
        <f>SUM(B13:B23)</f>
        <v>111893</v>
      </c>
      <c r="F24" s="2"/>
    </row>
    <row r="25" spans="1:8" x14ac:dyDescent="0.25">
      <c r="A25" s="9" t="s">
        <v>11</v>
      </c>
      <c r="B25" s="6"/>
      <c r="C25" s="4"/>
      <c r="D25" s="8">
        <f>D10-D24</f>
        <v>-3056.3000000000029</v>
      </c>
    </row>
    <row r="26" spans="1:8" x14ac:dyDescent="0.25">
      <c r="H26" s="2"/>
    </row>
    <row r="28" spans="1:8" x14ac:dyDescent="0.25">
      <c r="A28" s="10" t="s">
        <v>18</v>
      </c>
      <c r="B28" s="10" t="s">
        <v>6</v>
      </c>
      <c r="C28" s="10" t="s">
        <v>7</v>
      </c>
      <c r="D28" s="11" t="s">
        <v>10</v>
      </c>
    </row>
    <row r="29" spans="1:8" x14ac:dyDescent="0.25">
      <c r="A29" s="4" t="s">
        <v>13</v>
      </c>
      <c r="B29" s="6">
        <v>81845</v>
      </c>
      <c r="C29" s="4"/>
      <c r="D29" s="4"/>
    </row>
    <row r="30" spans="1:8" x14ac:dyDescent="0.25">
      <c r="A30" s="4" t="s">
        <v>0</v>
      </c>
      <c r="B30" s="6">
        <v>5800</v>
      </c>
      <c r="C30" s="6"/>
      <c r="D30" s="4"/>
    </row>
    <row r="31" spans="1:8" x14ac:dyDescent="0.25">
      <c r="A31" s="4" t="s">
        <v>16</v>
      </c>
      <c r="B31" s="6">
        <v>5760</v>
      </c>
      <c r="C31" s="6"/>
      <c r="D31" s="4"/>
    </row>
    <row r="32" spans="1:8" x14ac:dyDescent="0.25">
      <c r="A32" s="4" t="s">
        <v>5</v>
      </c>
      <c r="B32" s="6">
        <v>300</v>
      </c>
      <c r="C32" s="4"/>
      <c r="D32" s="4"/>
    </row>
    <row r="33" spans="1:9" x14ac:dyDescent="0.25">
      <c r="A33" s="4" t="s">
        <v>1</v>
      </c>
      <c r="B33" s="1">
        <v>11241.7</v>
      </c>
      <c r="C33" s="1"/>
      <c r="D33" s="4"/>
    </row>
    <row r="34" spans="1:9" x14ac:dyDescent="0.25">
      <c r="A34" s="7" t="s">
        <v>39</v>
      </c>
      <c r="B34" s="4"/>
      <c r="C34" s="8">
        <f>SUM(B29:B33)</f>
        <v>104946.7</v>
      </c>
      <c r="D34" s="8">
        <f>SUM(B29:B33)</f>
        <v>104946.7</v>
      </c>
    </row>
    <row r="36" spans="1:9" x14ac:dyDescent="0.25">
      <c r="A36" s="10" t="s">
        <v>19</v>
      </c>
      <c r="B36" s="10" t="s">
        <v>8</v>
      </c>
      <c r="C36" s="10" t="s">
        <v>9</v>
      </c>
      <c r="D36" s="11" t="s">
        <v>10</v>
      </c>
    </row>
    <row r="37" spans="1:9" x14ac:dyDescent="0.25">
      <c r="A37" s="4" t="s">
        <v>2</v>
      </c>
      <c r="B37" s="6">
        <v>62324.18</v>
      </c>
      <c r="C37" s="4"/>
      <c r="D37" s="4"/>
    </row>
    <row r="38" spans="1:9" x14ac:dyDescent="0.25">
      <c r="A38" s="4" t="s">
        <v>4</v>
      </c>
      <c r="B38" s="6">
        <v>1172.99</v>
      </c>
      <c r="C38" s="4"/>
      <c r="D38" s="4"/>
    </row>
    <row r="39" spans="1:9" x14ac:dyDescent="0.25">
      <c r="A39" s="4" t="s">
        <v>38</v>
      </c>
      <c r="B39" s="6">
        <v>5471.99</v>
      </c>
      <c r="C39" s="4"/>
      <c r="D39" s="4"/>
    </row>
    <row r="40" spans="1:9" x14ac:dyDescent="0.25">
      <c r="A40" s="4" t="s">
        <v>24</v>
      </c>
      <c r="B40" s="6">
        <v>5700</v>
      </c>
      <c r="C40" s="4"/>
      <c r="D40" s="4"/>
      <c r="I40" s="2"/>
    </row>
    <row r="41" spans="1:9" x14ac:dyDescent="0.25">
      <c r="A41" s="4" t="s">
        <v>28</v>
      </c>
      <c r="B41" s="6">
        <v>20000</v>
      </c>
      <c r="C41" s="4"/>
      <c r="D41" s="4"/>
      <c r="I41" s="2"/>
    </row>
    <row r="42" spans="1:9" x14ac:dyDescent="0.25">
      <c r="A42" s="4" t="s">
        <v>25</v>
      </c>
      <c r="B42" s="6">
        <v>5500</v>
      </c>
      <c r="C42" s="4"/>
      <c r="D42" s="4"/>
    </row>
    <row r="43" spans="1:9" x14ac:dyDescent="0.25">
      <c r="A43" s="4" t="s">
        <v>3</v>
      </c>
      <c r="B43" s="6">
        <v>2833.33</v>
      </c>
      <c r="C43" s="4"/>
      <c r="D43" s="4"/>
    </row>
    <row r="44" spans="1:9" x14ac:dyDescent="0.25">
      <c r="A44" s="4" t="s">
        <v>12</v>
      </c>
      <c r="B44" s="6">
        <v>5000</v>
      </c>
      <c r="C44" s="4"/>
      <c r="D44" s="4"/>
    </row>
    <row r="45" spans="1:9" x14ac:dyDescent="0.25">
      <c r="A45" s="4" t="s">
        <v>27</v>
      </c>
      <c r="B45" s="6">
        <v>2320</v>
      </c>
      <c r="C45" s="4"/>
      <c r="D45" s="4"/>
    </row>
    <row r="46" spans="1:9" x14ac:dyDescent="0.25">
      <c r="A46" s="4" t="s">
        <v>29</v>
      </c>
      <c r="B46" s="6">
        <v>5640</v>
      </c>
      <c r="C46" s="4"/>
      <c r="D46" s="4"/>
    </row>
    <row r="47" spans="1:9" x14ac:dyDescent="0.25">
      <c r="A47" s="4" t="s">
        <v>26</v>
      </c>
      <c r="B47" s="6">
        <v>795</v>
      </c>
      <c r="C47" s="4"/>
      <c r="D47" s="4"/>
    </row>
    <row r="48" spans="1:9" x14ac:dyDescent="0.25">
      <c r="A48" s="4" t="s">
        <v>30</v>
      </c>
      <c r="B48" s="6">
        <v>728.4</v>
      </c>
      <c r="C48" s="4"/>
      <c r="D48" s="4"/>
    </row>
    <row r="49" spans="1:6" x14ac:dyDescent="0.25">
      <c r="A49" s="7" t="s">
        <v>31</v>
      </c>
      <c r="B49" s="6"/>
      <c r="C49" s="8">
        <f>SUM(B37:B48)</f>
        <v>117485.89</v>
      </c>
      <c r="D49" s="8">
        <f>SUM(B37:B48)</f>
        <v>117485.89</v>
      </c>
    </row>
    <row r="50" spans="1:6" x14ac:dyDescent="0.25">
      <c r="A50" s="9" t="s">
        <v>11</v>
      </c>
      <c r="B50" s="6"/>
      <c r="C50" s="4"/>
      <c r="D50" s="8">
        <f>D34-D49</f>
        <v>-12539.190000000002</v>
      </c>
    </row>
    <row r="52" spans="1:6" x14ac:dyDescent="0.25">
      <c r="A52" t="s">
        <v>20</v>
      </c>
      <c r="D52" s="2">
        <v>62875.93</v>
      </c>
    </row>
    <row r="53" spans="1:6" x14ac:dyDescent="0.25">
      <c r="A53" t="s">
        <v>21</v>
      </c>
      <c r="D53" s="2">
        <v>213783.4</v>
      </c>
      <c r="E53" s="13"/>
    </row>
    <row r="54" spans="1:6" x14ac:dyDescent="0.25">
      <c r="A54" t="s">
        <v>22</v>
      </c>
      <c r="D54" s="1">
        <f>SUM(D52:D53)</f>
        <v>276659.33</v>
      </c>
      <c r="E54" s="12"/>
    </row>
    <row r="55" spans="1:6" x14ac:dyDescent="0.25">
      <c r="A55" t="s">
        <v>23</v>
      </c>
      <c r="D55" s="2">
        <f>+D24+D49</f>
        <v>229378.89</v>
      </c>
      <c r="E55" s="14"/>
      <c r="F55" s="14"/>
    </row>
    <row r="57" spans="1:6" x14ac:dyDescent="0.25">
      <c r="A57" t="s">
        <v>42</v>
      </c>
      <c r="D57" s="14">
        <f>+D54-D55</f>
        <v>47280.44</v>
      </c>
    </row>
    <row r="69" spans="2:3" x14ac:dyDescent="0.25">
      <c r="B69" s="3"/>
      <c r="C69" s="3"/>
    </row>
    <row r="77" spans="2:3" x14ac:dyDescent="0.25">
      <c r="B77" s="3"/>
      <c r="C77" s="3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1ER BIMESTRE 2012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2012-03-13T02:38:06Z</dcterms:created>
  <dcterms:modified xsi:type="dcterms:W3CDTF">2012-09-08T15:46:38Z</dcterms:modified>
</cp:coreProperties>
</file>