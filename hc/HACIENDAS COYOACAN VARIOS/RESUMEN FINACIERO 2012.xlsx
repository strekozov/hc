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120" yWindow="105" windowWidth="19440" windowHeight="9525"/>
  </bookViews>
  <sheets>
    <sheet name="RESUMEN FINANCIERO" sheetId="4" r:id="rId1"/>
  </sheets>
  <definedNames>
    <definedName name="_xlnm.Print_Area" localSheetId="0">'RESUMEN FINANCIERO'!$C$1:$N$31</definedName>
  </definedNames>
  <calcPr calcId="145621"/>
</workbook>
</file>

<file path=xl/calcChain.xml><?xml version="1.0" encoding="utf-8"?>
<calcChain xmlns="http://schemas.openxmlformats.org/spreadsheetml/2006/main">
  <c r="I30" i="4" l="1"/>
  <c r="J28" i="4" l="1"/>
  <c r="L28" i="4" s="1"/>
  <c r="N28" i="4" s="1"/>
  <c r="M30" i="4" l="1"/>
  <c r="K30" i="4"/>
  <c r="H30" i="4"/>
  <c r="F30" i="4"/>
  <c r="E30" i="4"/>
  <c r="D30" i="4"/>
  <c r="G30" i="4" l="1"/>
  <c r="J26" i="4"/>
  <c r="L26" i="4" s="1"/>
  <c r="N26" i="4" s="1"/>
  <c r="J24" i="4" l="1"/>
  <c r="L24" i="4" s="1"/>
  <c r="N24" i="4" s="1"/>
  <c r="J22" i="4" l="1"/>
  <c r="L22" i="4" s="1"/>
  <c r="N22" i="4" s="1"/>
  <c r="L20" i="4" l="1"/>
  <c r="N20" i="4" s="1"/>
  <c r="J18" i="4" l="1"/>
  <c r="L18" i="4" s="1"/>
  <c r="N18" i="4" s="1"/>
  <c r="J16" i="4"/>
  <c r="L16" i="4" s="1"/>
  <c r="N16" i="4" s="1"/>
  <c r="J14" i="4"/>
  <c r="L14" i="4" l="1"/>
  <c r="N14" i="4" s="1"/>
  <c r="J12" i="4"/>
  <c r="L12" i="4" s="1"/>
  <c r="N12" i="4" s="1"/>
  <c r="J10" i="4"/>
  <c r="L10" i="4" s="1"/>
  <c r="N10" i="4" s="1"/>
  <c r="J8" i="4"/>
  <c r="L8" i="4" s="1"/>
  <c r="N8" i="4" s="1"/>
  <c r="J6" i="4"/>
  <c r="L6" i="4" l="1"/>
  <c r="L30" i="4" s="1"/>
  <c r="J30" i="4"/>
  <c r="N6" i="4"/>
</calcChain>
</file>

<file path=xl/comments1.xml><?xml version="1.0" encoding="utf-8"?>
<comments xmlns="http://schemas.openxmlformats.org/spreadsheetml/2006/main">
  <authors>
    <author>Baldemar Sala Bay</author>
  </authors>
  <commentList>
    <comment ref="D6" authorId="0">
      <text>
        <r>
          <rPr>
            <b/>
            <sz val="9"/>
            <color indexed="81"/>
            <rFont val="Tahoma"/>
            <family val="2"/>
          </rPr>
          <t>Baldemar Sala Bay:
Se elevo el ingreso por este concepto, en virtud de los pagos anuales de varios residentes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M6" authorId="0">
      <text>
        <r>
          <rPr>
            <b/>
            <sz val="9"/>
            <color indexed="81"/>
            <rFont val="Tahoma"/>
            <family val="2"/>
          </rPr>
          <t>Baldemar Sala Bay:
Gastos Notaria $ 8,000.00
Pago ler lote llaves $ 20,000.00
Mano de obra casetas $ 6,062.25
Imprenta y papelería $ 6,866.08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M8" authorId="0">
      <text>
        <r>
          <rPr>
            <b/>
            <sz val="9"/>
            <color indexed="81"/>
            <rFont val="Tahoma"/>
            <family val="2"/>
          </rPr>
          <t>Baldemar Sala Bay:
Se incrementó este concepto:
Llaves 2 y 3 lote $ 61,000.00
Materiales y mano de obra para barda inconclusa Hueso $ 18,015.00
Primer pago reja Upacuaro $ 6,000.00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M14" authorId="0">
      <text>
        <r>
          <rPr>
            <b/>
            <sz val="9"/>
            <color indexed="81"/>
            <rFont val="Tahoma"/>
            <family val="2"/>
          </rPr>
          <t xml:space="preserve">Baldemar Sala Bay:
Anticipo plumas automáticas Zinampa $ 53,000.00
Anticipo camaras acceso Zinampa            10,000.00
Pago 1er lote  tarjetas electrónicas.        21,200.00
                                                  Total $  84,000.00 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<sst xmlns="http://schemas.openxmlformats.org/spreadsheetml/2006/main" count="33" uniqueCount="32">
  <si>
    <t>MESA DIRECTIVA 2012</t>
  </si>
  <si>
    <t>TOTAL</t>
  </si>
  <si>
    <t>SALDO MES</t>
  </si>
  <si>
    <t>SALDO</t>
  </si>
  <si>
    <t>M E S</t>
  </si>
  <si>
    <t>VIGILANCIA</t>
  </si>
  <si>
    <t>LLAVES</t>
  </si>
  <si>
    <t>TARJETONES</t>
  </si>
  <si>
    <t>TARJETAS</t>
  </si>
  <si>
    <t>CARMEL</t>
  </si>
  <si>
    <t>INGRESOS</t>
  </si>
  <si>
    <t>ANTERIOR</t>
  </si>
  <si>
    <t>DISPONIBLE</t>
  </si>
  <si>
    <t>VARIOS</t>
  </si>
  <si>
    <t>BANCO-CAJA</t>
  </si>
  <si>
    <t>ENERO</t>
  </si>
  <si>
    <t>FEBRERO</t>
  </si>
  <si>
    <t>MARZO</t>
  </si>
  <si>
    <t>ABRIL</t>
  </si>
  <si>
    <t>MAYO</t>
  </si>
  <si>
    <t>JUNIO</t>
  </si>
  <si>
    <t>JULIO</t>
  </si>
  <si>
    <t xml:space="preserve">AGOSTO </t>
  </si>
  <si>
    <t>SEPTIEMBRE</t>
  </si>
  <si>
    <t>OCTUBRE</t>
  </si>
  <si>
    <t>NOVIEMBRE</t>
  </si>
  <si>
    <t>DICIEMBRE</t>
  </si>
  <si>
    <t>ELECTRONI</t>
  </si>
  <si>
    <t>FRACCIONAMIENTO HACIENDAS DE COYOACAN - RESUMEN FINANCIERO 2012</t>
  </si>
  <si>
    <t>E  G  R  E  S  O  S</t>
  </si>
  <si>
    <t>I    N    G    R    E    S    O    S</t>
  </si>
  <si>
    <t>C. EXTRAS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</si>
</sst>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&quot;$&quot;#,##0.00"/>
  </numFmts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b/>
      <sz val="11"/>
      <color indexed="9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indexed="30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4" tint="0.59999389629810485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auto="1"/>
      </top>
      <bottom style="double">
        <color auto="1"/>
      </bottom>
      <diagonal/>
    </border>
  </borders>
  <cellStyleXfs count="1">
    <xf numFmtId="0" fontId="0" fillId="0" borderId="0"/>
  </cellStyleXfs>
  <cellXfs count="23">
    <xf numFmtId="0" fontId="0" fillId="0" borderId="0" xfId="0"/>
    <xf numFmtId="4" fontId="0" fillId="0" borderId="0" xfId="0" applyNumberFormat="1"/>
    <xf numFmtId="0" fontId="1" fillId="0" borderId="0" xfId="0" applyFont="1"/>
    <xf numFmtId="4" fontId="0" fillId="0" borderId="0" xfId="0" applyNumberFormat="1" applyFont="1" applyAlignment="1">
      <alignment horizontal="center"/>
    </xf>
    <xf numFmtId="164" fontId="1" fillId="0" borderId="0" xfId="0" applyNumberFormat="1" applyFont="1" applyAlignment="1">
      <alignment horizontal="center"/>
    </xf>
    <xf numFmtId="4" fontId="1" fillId="0" borderId="0" xfId="0" applyNumberFormat="1" applyFont="1" applyAlignment="1">
      <alignment horizontal="center"/>
    </xf>
    <xf numFmtId="164" fontId="0" fillId="0" borderId="0" xfId="0" applyNumberFormat="1" applyFont="1" applyAlignment="1">
      <alignment horizontal="center" vertical="center"/>
    </xf>
    <xf numFmtId="164" fontId="1" fillId="0" borderId="0" xfId="0" applyNumberFormat="1" applyFont="1" applyAlignment="1">
      <alignment horizontal="center" vertical="center"/>
    </xf>
    <xf numFmtId="164" fontId="0" fillId="0" borderId="0" xfId="0" applyNumberFormat="1"/>
    <xf numFmtId="4" fontId="0" fillId="0" borderId="0" xfId="0" applyNumberFormat="1" applyFont="1" applyFill="1" applyAlignment="1">
      <alignment horizontal="center"/>
    </xf>
    <xf numFmtId="4" fontId="1" fillId="0" borderId="0" xfId="0" applyNumberFormat="1" applyFont="1" applyFill="1" applyAlignment="1">
      <alignment horizontal="center"/>
    </xf>
    <xf numFmtId="164" fontId="0" fillId="0" borderId="0" xfId="0" applyNumberFormat="1" applyFont="1" applyFill="1" applyAlignment="1">
      <alignment horizontal="center" vertical="center"/>
    </xf>
    <xf numFmtId="164" fontId="1" fillId="0" borderId="0" xfId="0" applyNumberFormat="1" applyFont="1" applyAlignment="1"/>
    <xf numFmtId="4" fontId="1" fillId="3" borderId="1" xfId="0" applyNumberFormat="1" applyFont="1" applyFill="1" applyBorder="1" applyAlignment="1">
      <alignment horizontal="center"/>
    </xf>
    <xf numFmtId="164" fontId="1" fillId="4" borderId="1" xfId="0" applyNumberFormat="1" applyFont="1" applyFill="1" applyBorder="1" applyAlignment="1">
      <alignment horizontal="center"/>
    </xf>
    <xf numFmtId="164" fontId="1" fillId="3" borderId="1" xfId="0" applyNumberFormat="1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164" fontId="1" fillId="3" borderId="1" xfId="0" applyNumberFormat="1" applyFont="1" applyFill="1" applyBorder="1" applyAlignment="1">
      <alignment horizontal="center"/>
    </xf>
    <xf numFmtId="0" fontId="4" fillId="2" borderId="0" xfId="0" applyFont="1" applyFill="1" applyAlignment="1">
      <alignment horizontal="center"/>
    </xf>
    <xf numFmtId="0" fontId="4" fillId="2" borderId="0" xfId="0" applyFont="1" applyFill="1" applyAlignment="1"/>
    <xf numFmtId="0" fontId="0" fillId="0" borderId="0" xfId="0" applyFont="1"/>
    <xf numFmtId="4" fontId="0" fillId="3" borderId="1" xfId="0" applyNumberFormat="1" applyFill="1" applyBorder="1"/>
    <xf numFmtId="0" fontId="4" fillId="2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FF99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C1:P31"/>
  <sheetViews>
    <sheetView tabSelected="1" topLeftCell="A27" workbookViewId="0">
      <pane ySplit="1995" topLeftCell="A7" activePane="bottomLeft"/>
      <selection activeCell="C1" sqref="C1:N30"/>
      <selection pane="bottomLeft" activeCell="G30" sqref="G30"/>
    </sheetView>
  </sheetViews>
  <sheetFormatPr baseColWidth="10" defaultRowHeight="15" x14ac:dyDescent="0.25"/>
  <cols>
    <col min="4" max="4" width="11.42578125" customWidth="1"/>
    <col min="5" max="5" width="10" customWidth="1"/>
    <col min="6" max="7" width="13.42578125" customWidth="1"/>
    <col min="8" max="8" width="11.42578125" customWidth="1"/>
    <col min="9" max="9" width="10.42578125" customWidth="1"/>
    <col min="10" max="10" width="12.5703125" customWidth="1"/>
    <col min="11" max="11" width="12.140625" style="16" customWidth="1"/>
    <col min="12" max="12" width="12.7109375" customWidth="1"/>
    <col min="13" max="13" width="13.5703125" customWidth="1"/>
    <col min="14" max="14" width="14.85546875" customWidth="1"/>
  </cols>
  <sheetData>
    <row r="1" spans="3:16" x14ac:dyDescent="0.25">
      <c r="C1" s="22" t="s">
        <v>28</v>
      </c>
      <c r="D1" s="22"/>
      <c r="E1" s="22"/>
      <c r="F1" s="22"/>
      <c r="G1" s="22"/>
      <c r="H1" s="22"/>
      <c r="I1" s="22"/>
      <c r="J1" s="22"/>
      <c r="K1" s="22"/>
      <c r="L1" s="22"/>
      <c r="M1" s="22"/>
      <c r="N1" s="22"/>
      <c r="P1" s="1"/>
    </row>
    <row r="2" spans="3:16" ht="17.25" customHeight="1" x14ac:dyDescent="0.25">
      <c r="C2" s="22" t="s">
        <v>0</v>
      </c>
      <c r="D2" s="22"/>
      <c r="E2" s="22"/>
      <c r="F2" s="22"/>
      <c r="G2" s="22"/>
      <c r="H2" s="22"/>
      <c r="I2" s="22"/>
      <c r="J2" s="22"/>
      <c r="K2" s="22"/>
      <c r="L2" s="22"/>
      <c r="M2" s="22"/>
      <c r="N2" s="22"/>
      <c r="P2" s="1"/>
    </row>
    <row r="3" spans="3:16" ht="17.25" customHeight="1" x14ac:dyDescent="0.25">
      <c r="C3" s="18"/>
      <c r="D3" s="22" t="s">
        <v>30</v>
      </c>
      <c r="E3" s="22"/>
      <c r="F3" s="22"/>
      <c r="G3" s="22"/>
      <c r="H3" s="22"/>
      <c r="I3" s="22"/>
      <c r="J3" s="22"/>
      <c r="K3" s="19"/>
      <c r="L3" s="19"/>
      <c r="M3" s="18" t="s">
        <v>29</v>
      </c>
      <c r="N3" s="18"/>
      <c r="P3" s="1"/>
    </row>
    <row r="4" spans="3:16" ht="17.25" customHeight="1" x14ac:dyDescent="0.25">
      <c r="C4" s="18">
        <v>2012</v>
      </c>
      <c r="D4" s="18"/>
      <c r="E4" s="18"/>
      <c r="F4" s="18"/>
      <c r="G4" s="18"/>
      <c r="H4" s="18" t="s">
        <v>8</v>
      </c>
      <c r="I4" s="18"/>
      <c r="J4" s="18" t="s">
        <v>1</v>
      </c>
      <c r="K4" s="18" t="s">
        <v>2</v>
      </c>
      <c r="L4" s="18" t="s">
        <v>1</v>
      </c>
      <c r="M4" s="18"/>
      <c r="N4" s="18" t="s">
        <v>3</v>
      </c>
      <c r="P4" s="1"/>
    </row>
    <row r="5" spans="3:16" ht="17.25" customHeight="1" x14ac:dyDescent="0.25">
      <c r="C5" s="18" t="s">
        <v>4</v>
      </c>
      <c r="D5" s="18" t="s">
        <v>5</v>
      </c>
      <c r="E5" s="18" t="s">
        <v>6</v>
      </c>
      <c r="F5" s="18" t="s">
        <v>7</v>
      </c>
      <c r="G5" s="18" t="s">
        <v>31</v>
      </c>
      <c r="H5" s="18" t="s">
        <v>27</v>
      </c>
      <c r="I5" s="18" t="s">
        <v>9</v>
      </c>
      <c r="J5" s="18" t="s">
        <v>10</v>
      </c>
      <c r="K5" s="18" t="s">
        <v>11</v>
      </c>
      <c r="L5" s="18" t="s">
        <v>12</v>
      </c>
      <c r="M5" s="18" t="s">
        <v>13</v>
      </c>
      <c r="N5" s="18" t="s">
        <v>14</v>
      </c>
      <c r="P5" s="1"/>
    </row>
    <row r="6" spans="3:16" x14ac:dyDescent="0.25">
      <c r="C6" s="2" t="s">
        <v>15</v>
      </c>
      <c r="D6" s="3">
        <v>125570</v>
      </c>
      <c r="E6" s="3">
        <v>16610</v>
      </c>
      <c r="F6" s="3">
        <v>2820</v>
      </c>
      <c r="G6" s="3"/>
      <c r="H6" s="3"/>
      <c r="I6" s="3">
        <v>8092.91</v>
      </c>
      <c r="J6" s="4">
        <f>SUM(D6:I6)</f>
        <v>153092.91</v>
      </c>
      <c r="K6" s="5">
        <v>0</v>
      </c>
      <c r="L6" s="4">
        <f>+J6+K6</f>
        <v>153092.91</v>
      </c>
      <c r="M6" s="6">
        <v>93685.13</v>
      </c>
      <c r="N6" s="7">
        <f>+L6-M6</f>
        <v>59407.78</v>
      </c>
      <c r="P6" s="1"/>
    </row>
    <row r="7" spans="3:16" x14ac:dyDescent="0.25">
      <c r="C7" s="2"/>
      <c r="D7" s="3"/>
      <c r="E7" s="3"/>
      <c r="F7" s="3"/>
      <c r="G7" s="3"/>
      <c r="H7" s="3"/>
      <c r="I7" s="3"/>
      <c r="J7" s="4"/>
      <c r="K7" s="5"/>
      <c r="L7" s="4"/>
      <c r="M7" s="6"/>
      <c r="N7" s="7"/>
      <c r="P7" s="1"/>
    </row>
    <row r="8" spans="3:16" x14ac:dyDescent="0.25">
      <c r="C8" s="2" t="s">
        <v>16</v>
      </c>
      <c r="D8" s="3">
        <v>75180.25</v>
      </c>
      <c r="E8" s="3">
        <v>73266</v>
      </c>
      <c r="F8" s="3">
        <v>1150</v>
      </c>
      <c r="G8" s="3"/>
      <c r="H8" s="3"/>
      <c r="I8" s="3">
        <v>8092.91</v>
      </c>
      <c r="J8" s="4">
        <f>SUM(D8:I8)</f>
        <v>157689.16</v>
      </c>
      <c r="K8" s="5">
        <v>59407.78</v>
      </c>
      <c r="L8" s="4">
        <f t="shared" ref="L8:L16" si="0">+J8+K8</f>
        <v>217096.94</v>
      </c>
      <c r="M8" s="6">
        <v>141949.5</v>
      </c>
      <c r="N8" s="7">
        <f t="shared" ref="N8:N16" si="1">+L8-M8</f>
        <v>75147.44</v>
      </c>
      <c r="O8" s="8"/>
      <c r="P8" s="1"/>
    </row>
    <row r="9" spans="3:16" x14ac:dyDescent="0.25">
      <c r="C9" s="2"/>
      <c r="D9" s="3"/>
      <c r="E9" s="3"/>
      <c r="F9" s="3"/>
      <c r="G9" s="3"/>
      <c r="H9" s="3"/>
      <c r="I9" s="3"/>
      <c r="J9" s="4"/>
      <c r="K9" s="5"/>
      <c r="L9" s="4"/>
      <c r="M9" s="6"/>
      <c r="N9" s="7"/>
      <c r="P9" s="1"/>
    </row>
    <row r="10" spans="3:16" x14ac:dyDescent="0.25">
      <c r="C10" s="2" t="s">
        <v>17</v>
      </c>
      <c r="D10" s="9">
        <v>73915</v>
      </c>
      <c r="E10" s="9">
        <v>19570</v>
      </c>
      <c r="F10" s="9">
        <v>1220</v>
      </c>
      <c r="G10" s="9"/>
      <c r="H10" s="9"/>
      <c r="I10" s="9">
        <v>8092.91</v>
      </c>
      <c r="J10" s="4">
        <f>SUM(D10:I10)</f>
        <v>102797.91</v>
      </c>
      <c r="K10" s="10">
        <v>75147.44</v>
      </c>
      <c r="L10" s="4">
        <f t="shared" si="0"/>
        <v>177945.35</v>
      </c>
      <c r="M10" s="11">
        <v>129282.42</v>
      </c>
      <c r="N10" s="7">
        <f t="shared" si="1"/>
        <v>48662.930000000008</v>
      </c>
      <c r="P10" s="1"/>
    </row>
    <row r="11" spans="3:16" x14ac:dyDescent="0.25">
      <c r="C11" s="2"/>
      <c r="D11" s="3"/>
      <c r="E11" s="3"/>
      <c r="F11" s="3"/>
      <c r="G11" s="3"/>
      <c r="H11" s="3"/>
      <c r="I11" s="3"/>
      <c r="J11" s="4"/>
      <c r="K11" s="5"/>
      <c r="L11" s="4"/>
      <c r="M11" s="6"/>
      <c r="N11" s="7"/>
      <c r="P11" s="1"/>
    </row>
    <row r="12" spans="3:16" x14ac:dyDescent="0.25">
      <c r="C12" s="2" t="s">
        <v>18</v>
      </c>
      <c r="D12" s="9">
        <v>79065</v>
      </c>
      <c r="E12" s="9">
        <v>5520</v>
      </c>
      <c r="F12" s="9">
        <v>1300</v>
      </c>
      <c r="G12" s="9"/>
      <c r="H12" s="9"/>
      <c r="I12" s="9">
        <v>8092.91</v>
      </c>
      <c r="J12" s="4">
        <f>SUM(D12:I12)</f>
        <v>93977.91</v>
      </c>
      <c r="K12" s="10">
        <v>48662.93</v>
      </c>
      <c r="L12" s="4">
        <f t="shared" si="0"/>
        <v>142640.84</v>
      </c>
      <c r="M12" s="11">
        <v>82469.05</v>
      </c>
      <c r="N12" s="7">
        <f t="shared" si="1"/>
        <v>60171.789999999994</v>
      </c>
      <c r="P12" s="1"/>
    </row>
    <row r="13" spans="3:16" x14ac:dyDescent="0.25">
      <c r="C13" s="20"/>
      <c r="D13" s="3"/>
      <c r="E13" s="3"/>
      <c r="F13" s="3"/>
      <c r="G13" s="3"/>
      <c r="H13" s="3"/>
      <c r="I13" s="3"/>
      <c r="J13" s="4"/>
      <c r="K13" s="5"/>
      <c r="L13" s="4"/>
      <c r="M13" s="6"/>
      <c r="N13" s="7"/>
      <c r="P13" s="1"/>
    </row>
    <row r="14" spans="3:16" x14ac:dyDescent="0.25">
      <c r="C14" s="2" t="s">
        <v>19</v>
      </c>
      <c r="D14" s="3">
        <v>83025</v>
      </c>
      <c r="E14" s="3">
        <v>4050</v>
      </c>
      <c r="F14" s="3">
        <v>540</v>
      </c>
      <c r="G14" s="3"/>
      <c r="H14" s="3">
        <v>58880</v>
      </c>
      <c r="I14" s="3">
        <v>11271.4</v>
      </c>
      <c r="J14" s="4">
        <f>SUM(D14:I14)</f>
        <v>157766.39999999999</v>
      </c>
      <c r="K14" s="4">
        <v>60171.79</v>
      </c>
      <c r="L14" s="4">
        <f t="shared" si="0"/>
        <v>217938.19</v>
      </c>
      <c r="M14" s="6">
        <v>170679.31</v>
      </c>
      <c r="N14" s="7">
        <f t="shared" si="1"/>
        <v>47258.880000000005</v>
      </c>
      <c r="P14" s="1"/>
    </row>
    <row r="15" spans="3:16" x14ac:dyDescent="0.25">
      <c r="C15" s="20"/>
      <c r="D15" s="3"/>
      <c r="E15" s="3"/>
      <c r="F15" s="3"/>
      <c r="G15" s="3"/>
      <c r="H15" s="3"/>
      <c r="I15" s="3"/>
      <c r="J15" s="4"/>
      <c r="K15" s="4"/>
      <c r="L15" s="4"/>
      <c r="M15" s="6"/>
      <c r="N15" s="7"/>
      <c r="P15" s="1"/>
    </row>
    <row r="16" spans="3:16" x14ac:dyDescent="0.25">
      <c r="C16" s="2" t="s">
        <v>20</v>
      </c>
      <c r="D16" s="3">
        <v>93790.45</v>
      </c>
      <c r="E16" s="3">
        <v>4420</v>
      </c>
      <c r="F16" s="3">
        <v>420</v>
      </c>
      <c r="G16" s="3"/>
      <c r="H16" s="3">
        <v>41920</v>
      </c>
      <c r="I16" s="3">
        <v>11271.4</v>
      </c>
      <c r="J16" s="4">
        <f>SUM(D16:I16)</f>
        <v>151821.85</v>
      </c>
      <c r="K16" s="4">
        <v>47258.879999999997</v>
      </c>
      <c r="L16" s="4">
        <f t="shared" si="0"/>
        <v>199080.73</v>
      </c>
      <c r="M16" s="6">
        <v>136204.93</v>
      </c>
      <c r="N16" s="7">
        <f t="shared" si="1"/>
        <v>62875.800000000017</v>
      </c>
      <c r="P16" s="1"/>
    </row>
    <row r="17" spans="3:16" x14ac:dyDescent="0.25">
      <c r="C17" s="2"/>
      <c r="D17" s="3"/>
      <c r="E17" s="3"/>
      <c r="F17" s="3"/>
      <c r="G17" s="3"/>
      <c r="H17" s="3"/>
      <c r="I17" s="3"/>
      <c r="J17" s="12"/>
      <c r="K17" s="4"/>
      <c r="L17" s="12"/>
      <c r="M17" s="6"/>
      <c r="N17" s="6"/>
      <c r="P17" s="1"/>
    </row>
    <row r="18" spans="3:16" x14ac:dyDescent="0.25">
      <c r="C18" s="2" t="s">
        <v>21</v>
      </c>
      <c r="D18" s="3">
        <v>81025</v>
      </c>
      <c r="E18" s="3">
        <v>3450</v>
      </c>
      <c r="F18" s="3">
        <v>320</v>
      </c>
      <c r="G18" s="3"/>
      <c r="H18" s="3">
        <v>12800</v>
      </c>
      <c r="I18" s="3">
        <v>11271.4</v>
      </c>
      <c r="J18" s="12">
        <f>SUM(D18:I18)</f>
        <v>108866.4</v>
      </c>
      <c r="K18" s="4">
        <v>62875.8</v>
      </c>
      <c r="L18" s="12">
        <f>SUM(J18:K18)</f>
        <v>171742.2</v>
      </c>
      <c r="M18" s="6">
        <v>111893</v>
      </c>
      <c r="N18" s="6">
        <f>SUM(L18-M18)</f>
        <v>59849.200000000012</v>
      </c>
      <c r="P18" s="1"/>
    </row>
    <row r="19" spans="3:16" x14ac:dyDescent="0.25">
      <c r="C19" s="2"/>
      <c r="D19" s="3"/>
      <c r="E19" s="3"/>
      <c r="F19" s="3"/>
      <c r="G19" s="3"/>
      <c r="H19" s="3"/>
      <c r="I19" s="3"/>
      <c r="J19" s="12"/>
      <c r="K19" s="4"/>
      <c r="L19" s="12"/>
      <c r="M19" s="6"/>
      <c r="N19" s="6"/>
      <c r="P19" s="1"/>
    </row>
    <row r="20" spans="3:16" x14ac:dyDescent="0.25">
      <c r="C20" s="2" t="s">
        <v>22</v>
      </c>
      <c r="D20" s="3">
        <v>81845</v>
      </c>
      <c r="E20" s="3">
        <v>5800</v>
      </c>
      <c r="F20" s="3">
        <v>300</v>
      </c>
      <c r="G20" s="3"/>
      <c r="H20" s="3">
        <v>5760</v>
      </c>
      <c r="I20" s="3">
        <v>11271.4</v>
      </c>
      <c r="J20" s="12">
        <v>104946.7</v>
      </c>
      <c r="K20" s="4">
        <v>59819.53</v>
      </c>
      <c r="L20" s="12">
        <f>SUM(J20:K20)</f>
        <v>164766.22999999998</v>
      </c>
      <c r="M20" s="6">
        <v>117485.89</v>
      </c>
      <c r="N20" s="6">
        <f>SUM(L20-M20)</f>
        <v>47280.339999999982</v>
      </c>
      <c r="P20" s="1"/>
    </row>
    <row r="21" spans="3:16" x14ac:dyDescent="0.25">
      <c r="C21" s="2"/>
      <c r="D21" s="3"/>
      <c r="E21" s="3"/>
      <c r="F21" s="3"/>
      <c r="G21" s="3"/>
      <c r="H21" s="3"/>
      <c r="I21" s="3"/>
      <c r="J21" s="12"/>
      <c r="K21" s="4"/>
      <c r="L21" s="12"/>
      <c r="M21" s="6"/>
      <c r="N21" s="6"/>
    </row>
    <row r="22" spans="3:16" x14ac:dyDescent="0.25">
      <c r="C22" s="2" t="s">
        <v>23</v>
      </c>
      <c r="D22" s="3">
        <v>89725</v>
      </c>
      <c r="E22" s="3">
        <v>3900</v>
      </c>
      <c r="F22" s="3">
        <v>480</v>
      </c>
      <c r="G22" s="3">
        <v>25400</v>
      </c>
      <c r="H22" s="3">
        <v>7360</v>
      </c>
      <c r="I22" s="3">
        <v>11271.4</v>
      </c>
      <c r="J22" s="12">
        <f>SUM(D22:I22)</f>
        <v>138136.4</v>
      </c>
      <c r="K22" s="4">
        <v>47280.34</v>
      </c>
      <c r="L22" s="12">
        <f>SUM(J22:K22)</f>
        <v>185416.74</v>
      </c>
      <c r="M22" s="6">
        <v>113189.8</v>
      </c>
      <c r="N22" s="6">
        <f>SUM(L22-M22)</f>
        <v>72226.939999999988</v>
      </c>
    </row>
    <row r="23" spans="3:16" x14ac:dyDescent="0.25">
      <c r="C23" s="2"/>
      <c r="D23" s="3"/>
      <c r="E23" s="3"/>
      <c r="F23" s="3"/>
      <c r="G23" s="3"/>
      <c r="H23" s="3"/>
      <c r="I23" s="3"/>
      <c r="J23" s="12"/>
      <c r="K23" s="4"/>
      <c r="L23" s="12"/>
      <c r="M23" s="6"/>
      <c r="N23" s="6"/>
    </row>
    <row r="24" spans="3:16" x14ac:dyDescent="0.25">
      <c r="C24" s="2" t="s">
        <v>24</v>
      </c>
      <c r="D24" s="3">
        <v>69975</v>
      </c>
      <c r="E24" s="3">
        <v>2590</v>
      </c>
      <c r="F24" s="3">
        <v>680</v>
      </c>
      <c r="G24" s="3">
        <v>7600</v>
      </c>
      <c r="H24" s="3">
        <v>1760</v>
      </c>
      <c r="I24" s="3">
        <v>11271.4</v>
      </c>
      <c r="J24" s="12">
        <f>SUM(D24:I24)</f>
        <v>93876.4</v>
      </c>
      <c r="K24" s="4">
        <v>72226.94</v>
      </c>
      <c r="L24" s="12">
        <f>SUM(J24:K24)</f>
        <v>166103.34</v>
      </c>
      <c r="M24" s="6">
        <v>140332.26</v>
      </c>
      <c r="N24" s="6">
        <f>SUM(L24-M24)</f>
        <v>25771.079999999987</v>
      </c>
    </row>
    <row r="25" spans="3:16" x14ac:dyDescent="0.25">
      <c r="C25" s="2"/>
      <c r="D25" s="3"/>
      <c r="E25" s="3"/>
      <c r="F25" s="3"/>
      <c r="G25" s="3"/>
      <c r="H25" s="3"/>
      <c r="I25" s="3"/>
      <c r="J25" s="12"/>
      <c r="K25" s="4"/>
      <c r="L25" s="12"/>
      <c r="M25" s="6"/>
      <c r="N25" s="6"/>
    </row>
    <row r="26" spans="3:16" x14ac:dyDescent="0.25">
      <c r="C26" s="2" t="s">
        <v>25</v>
      </c>
      <c r="D26" s="3">
        <v>75425</v>
      </c>
      <c r="E26" s="3">
        <v>2470</v>
      </c>
      <c r="F26" s="3">
        <v>300</v>
      </c>
      <c r="G26" s="3">
        <v>4450</v>
      </c>
      <c r="H26" s="3">
        <v>1760</v>
      </c>
      <c r="I26" s="3">
        <v>10000</v>
      </c>
      <c r="J26" s="12">
        <f>SUM(D26:I26)</f>
        <v>94405</v>
      </c>
      <c r="K26" s="4">
        <v>25771.08</v>
      </c>
      <c r="L26" s="12">
        <f>SUM(J26:K26)</f>
        <v>120176.08</v>
      </c>
      <c r="M26" s="6">
        <v>87926.63</v>
      </c>
      <c r="N26" s="6">
        <f>SUM(L26-M26)</f>
        <v>32249.449999999997</v>
      </c>
    </row>
    <row r="27" spans="3:16" x14ac:dyDescent="0.25">
      <c r="C27" s="2"/>
      <c r="D27" s="3"/>
      <c r="E27" s="3"/>
      <c r="F27" s="3"/>
      <c r="G27" s="3"/>
      <c r="H27" s="3"/>
      <c r="I27" s="3"/>
      <c r="J27" s="12"/>
      <c r="K27" s="4"/>
      <c r="L27" s="12"/>
      <c r="M27" s="6"/>
      <c r="N27" s="6"/>
    </row>
    <row r="28" spans="3:16" x14ac:dyDescent="0.25">
      <c r="C28" s="2" t="s">
        <v>26</v>
      </c>
      <c r="D28" s="3">
        <v>84175</v>
      </c>
      <c r="E28" s="3">
        <v>1660</v>
      </c>
      <c r="F28" s="3">
        <v>320</v>
      </c>
      <c r="G28" s="3">
        <v>10350</v>
      </c>
      <c r="H28" s="3">
        <v>2080</v>
      </c>
      <c r="I28" s="3">
        <v>10000</v>
      </c>
      <c r="J28" s="12">
        <f>SUM(D28:I28)</f>
        <v>108585</v>
      </c>
      <c r="K28" s="4">
        <v>32249.45</v>
      </c>
      <c r="L28" s="12">
        <f>SUM(J28:K28)</f>
        <v>140834.45000000001</v>
      </c>
      <c r="M28" s="6">
        <v>113923.06</v>
      </c>
      <c r="N28" s="6">
        <f>SUM(L28-M28)</f>
        <v>26911.390000000014</v>
      </c>
    </row>
    <row r="29" spans="3:16" x14ac:dyDescent="0.25">
      <c r="C29" s="2"/>
      <c r="D29" s="3"/>
      <c r="E29" s="3"/>
      <c r="F29" s="3"/>
      <c r="G29" s="3"/>
      <c r="H29" s="3"/>
      <c r="I29" s="3"/>
      <c r="J29" s="12"/>
      <c r="K29" s="4"/>
      <c r="L29" s="12"/>
      <c r="M29" s="6"/>
      <c r="N29" s="6"/>
    </row>
    <row r="30" spans="3:16" ht="15.75" thickBot="1" x14ac:dyDescent="0.3">
      <c r="C30" s="2"/>
      <c r="D30" s="13">
        <f>SUM(D6:D28)</f>
        <v>1012715.7</v>
      </c>
      <c r="E30" s="13">
        <f>SUM(E6:E28)</f>
        <v>143306</v>
      </c>
      <c r="F30" s="13">
        <f>SUM(F6:F29)</f>
        <v>9850</v>
      </c>
      <c r="G30" s="21">
        <f>SUM(G22:G29)</f>
        <v>47800</v>
      </c>
      <c r="H30" s="13">
        <f>SUM(H6:H29)</f>
        <v>132320</v>
      </c>
      <c r="I30" s="13">
        <f>SUM(I6:I29)</f>
        <v>120000.03999999998</v>
      </c>
      <c r="J30" s="17">
        <f>SUM(J6:J28)</f>
        <v>1465962.0399999998</v>
      </c>
      <c r="K30" s="13">
        <f>SUM(K6:K28)</f>
        <v>590871.95999999985</v>
      </c>
      <c r="L30" s="14">
        <f>SUM(L6:L28)</f>
        <v>2056834</v>
      </c>
      <c r="M30" s="15">
        <f>SUM(M6:M28)</f>
        <v>1439020.98</v>
      </c>
      <c r="N30" s="15"/>
    </row>
    <row r="31" spans="3:16" ht="15.75" thickTop="1" x14ac:dyDescent="0.25"/>
  </sheetData>
  <mergeCells count="3">
    <mergeCell ref="C1:N1"/>
    <mergeCell ref="C2:N2"/>
    <mergeCell ref="D3:J3"/>
  </mergeCells>
  <printOptions horizontalCentered="1"/>
  <pageMargins left="0.39370078740157483" right="0.39370078740157483" top="0.98425196850393704" bottom="0.98425196850393704" header="0.51181102362204722" footer="0.51181102362204722"/>
  <pageSetup paperSize="9" scale="95" orientation="landscape" r:id="rId1"/>
  <ignoredErrors>
    <ignoredError sqref="G30" formula="1"/>
  </ignoredErrors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RESUMEN FINANCIERO</vt:lpstr>
      <vt:lpstr>'RESUMEN FINANCIERO'!Área_de_impresión</vt:lpstr>
    </vt:vector>
  </TitlesOfParts>
  <Company>Microsoft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Baldemar Sala Bay</dc:creator>
  <cp:lastModifiedBy>Baldemar Sala Bay</cp:lastModifiedBy>
  <cp:lastPrinted>2012-10-03T15:22:39Z</cp:lastPrinted>
  <dcterms:created xsi:type="dcterms:W3CDTF">2012-06-13T20:11:44Z</dcterms:created>
  <dcterms:modified xsi:type="dcterms:W3CDTF">2013-06-04T15:07:28Z</dcterms:modified>
</cp:coreProperties>
</file>