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9440" windowHeight="10035"/>
  </bookViews>
  <sheets>
    <sheet name="SEGUNDO BIMENTRE 2013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C49" i="1" l="1"/>
  <c r="D49" i="1"/>
  <c r="D25" i="1" l="1"/>
  <c r="D11" i="1"/>
  <c r="D26" i="1" l="1"/>
  <c r="C11" i="1"/>
  <c r="D35" i="1" l="1"/>
  <c r="D53" i="1" s="1"/>
  <c r="D54" i="1" s="1"/>
  <c r="C35" i="1"/>
  <c r="D50" i="1" l="1"/>
  <c r="C25" i="1"/>
  <c r="D55" i="1" s="1"/>
  <c r="D57" i="1" s="1"/>
</calcChain>
</file>

<file path=xl/sharedStrings.xml><?xml version="1.0" encoding="utf-8"?>
<sst xmlns="http://schemas.openxmlformats.org/spreadsheetml/2006/main" count="62" uniqueCount="43">
  <si>
    <t>Venta de llaves</t>
  </si>
  <si>
    <t>Aportación Colegio Carmel</t>
  </si>
  <si>
    <t>Pago de vigilancia</t>
  </si>
  <si>
    <t>Gasolina</t>
  </si>
  <si>
    <t>INGRESO PARCIAL</t>
  </si>
  <si>
    <t>INGRESO TOTAL</t>
  </si>
  <si>
    <t>EGRESO PARCIAL</t>
  </si>
  <si>
    <t>EGRESO TOTAL</t>
  </si>
  <si>
    <t>SALDO AL CORTE</t>
  </si>
  <si>
    <t>SALDO TOTAL AL CORTE</t>
  </si>
  <si>
    <t>Cuotas de vigilancia</t>
  </si>
  <si>
    <t>Venta de tarjetas electrónicas</t>
  </si>
  <si>
    <t>Materiales</t>
  </si>
  <si>
    <t>Agua para casetas y artículos de limpieza</t>
  </si>
  <si>
    <t>Venta de Tarjetas Electrónicas</t>
  </si>
  <si>
    <t>Venta de tarjetones</t>
  </si>
  <si>
    <t>Gratificaciones diversas</t>
  </si>
  <si>
    <t>SALDO DISPONIBLE EN BANCO Y CAJA</t>
  </si>
  <si>
    <t>Cuotas extraordinarias</t>
  </si>
  <si>
    <t xml:space="preserve">Gastos de contabilidad </t>
  </si>
  <si>
    <t>Papelería e imprenta</t>
  </si>
  <si>
    <t>Gastos de administración</t>
  </si>
  <si>
    <t>Pago de tarjetas electrónicas</t>
  </si>
  <si>
    <t>Pago de mano de obra por trabajos diversos en casetas</t>
  </si>
  <si>
    <t>Gratificaciones (alumbrado público, cobranza, basura…</t>
  </si>
  <si>
    <t>INFORME DE INGRESOS Y EGRESOS: 2o. BIMESTRE 2013</t>
  </si>
  <si>
    <t>CONCEPTO DE LOS INGRESOS DE MARZO</t>
  </si>
  <si>
    <t>CONCEPTO DE LOS EGRESOS DE MARZO</t>
  </si>
  <si>
    <t>CONCEPTO DE LOS INGRESOS DE ABRIL</t>
  </si>
  <si>
    <t>CONCEPTO DE LOS EGRESOS DE ABRIL</t>
  </si>
  <si>
    <t>Telmex: pago marzo</t>
  </si>
  <si>
    <t>TOTAL EGRESOS DE MARZO</t>
  </si>
  <si>
    <t>TOTAL INGRESOS DE MARZO</t>
  </si>
  <si>
    <t>TOTAL INGRESOS DE ABRIL</t>
  </si>
  <si>
    <t>TOTAL EGRESOS DE ABRIL</t>
  </si>
  <si>
    <t>SALDO REMANENTE DE ENERO Y FREBRERO</t>
  </si>
  <si>
    <t>TOTAL DE INGRESOS DE MARZO Y ABRIL</t>
  </si>
  <si>
    <t>INGRESOS SEGUNDO BIMESTRE MÁS REMANENTE</t>
  </si>
  <si>
    <t>TOTAL DE EGRESOS DE MARZO Y ABRIL</t>
  </si>
  <si>
    <t>Telmex: pago abril</t>
  </si>
  <si>
    <t>Trabajos de herrería</t>
  </si>
  <si>
    <t>Pago de llaves</t>
  </si>
  <si>
    <t>Reparación y mantenimiento de plumas y cámaras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</si>
</sst>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" fontId="0" fillId="0" borderId="0" xfId="0" applyNumberFormat="1"/>
    <xf numFmtId="44" fontId="0" fillId="0" borderId="0" xfId="0" applyNumberFormat="1" applyAlignment="1"/>
    <xf numFmtId="44" fontId="0" fillId="0" borderId="0" xfId="0" applyNumberFormat="1" applyFill="1"/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7"/>
  <sheetViews>
    <sheetView tabSelected="1" workbookViewId="0">
      <selection activeCell="E57" sqref="E57"/>
    </sheetView>
  </sheetViews>
  <sheetFormatPr baseColWidth="10" defaultRowHeight="15" x14ac:dyDescent="0.25"/>
  <cols>
    <col min="1" max="1" width="51.7109375" customWidth="1"/>
    <col min="2" max="2" width="23.5703125" customWidth="1"/>
    <col min="3" max="3" width="15.42578125" customWidth="1"/>
    <col min="4" max="4" width="16.85546875" customWidth="1"/>
    <col min="5" max="6" width="12.5703125" bestFit="1" customWidth="1"/>
    <col min="8" max="8" width="12.5703125" bestFit="1" customWidth="1"/>
  </cols>
  <sheetData>
    <row r="1" spans="1:4" x14ac:dyDescent="0.25">
      <c r="A1" s="15" t="s">
        <v>25</v>
      </c>
      <c r="B1" s="15"/>
      <c r="C1" s="15"/>
      <c r="D1" s="15"/>
    </row>
    <row r="4" spans="1:4" x14ac:dyDescent="0.25">
      <c r="A4" s="10" t="s">
        <v>26</v>
      </c>
      <c r="B4" s="10" t="s">
        <v>4</v>
      </c>
      <c r="C4" s="10" t="s">
        <v>5</v>
      </c>
      <c r="D4" s="11" t="s">
        <v>8</v>
      </c>
    </row>
    <row r="5" spans="1:4" x14ac:dyDescent="0.25">
      <c r="A5" s="4" t="s">
        <v>10</v>
      </c>
      <c r="B5" s="6">
        <v>83235</v>
      </c>
      <c r="C5" s="4"/>
      <c r="D5" s="4"/>
    </row>
    <row r="6" spans="1:4" x14ac:dyDescent="0.25">
      <c r="A6" s="4" t="s">
        <v>18</v>
      </c>
      <c r="B6" s="6">
        <v>300</v>
      </c>
      <c r="C6" s="4"/>
      <c r="D6" s="4"/>
    </row>
    <row r="7" spans="1:4" x14ac:dyDescent="0.25">
      <c r="A7" s="4" t="s">
        <v>0</v>
      </c>
      <c r="B7" s="6">
        <v>1650</v>
      </c>
      <c r="C7" s="4"/>
      <c r="D7" s="4"/>
    </row>
    <row r="8" spans="1:4" x14ac:dyDescent="0.25">
      <c r="A8" s="4" t="s">
        <v>11</v>
      </c>
      <c r="B8" s="6">
        <v>2560</v>
      </c>
      <c r="C8" s="4"/>
      <c r="D8" s="4"/>
    </row>
    <row r="9" spans="1:4" x14ac:dyDescent="0.25">
      <c r="A9" s="4" t="s">
        <v>15</v>
      </c>
      <c r="B9" s="6">
        <v>310</v>
      </c>
      <c r="C9" s="4"/>
      <c r="D9" s="4"/>
    </row>
    <row r="10" spans="1:4" x14ac:dyDescent="0.25">
      <c r="A10" s="4" t="s">
        <v>1</v>
      </c>
      <c r="B10" s="6">
        <v>10000</v>
      </c>
      <c r="C10" s="4"/>
      <c r="D10" s="4"/>
    </row>
    <row r="11" spans="1:4" x14ac:dyDescent="0.25">
      <c r="A11" s="5" t="s">
        <v>32</v>
      </c>
      <c r="C11" s="2">
        <f>SUM(B5:B10)</f>
        <v>98055</v>
      </c>
      <c r="D11" s="2">
        <f>SUM(B5:B10)</f>
        <v>98055</v>
      </c>
    </row>
    <row r="13" spans="1:4" x14ac:dyDescent="0.25">
      <c r="A13" s="10" t="s">
        <v>27</v>
      </c>
      <c r="B13" s="10" t="s">
        <v>6</v>
      </c>
      <c r="C13" s="10" t="s">
        <v>7</v>
      </c>
      <c r="D13" s="11" t="s">
        <v>8</v>
      </c>
    </row>
    <row r="14" spans="1:4" x14ac:dyDescent="0.25">
      <c r="A14" s="4" t="s">
        <v>2</v>
      </c>
      <c r="B14" s="6">
        <v>60925.5</v>
      </c>
      <c r="C14" s="4"/>
      <c r="D14" s="4"/>
    </row>
    <row r="15" spans="1:4" x14ac:dyDescent="0.25">
      <c r="A15" s="4" t="s">
        <v>12</v>
      </c>
      <c r="B15" s="6">
        <v>4092.5</v>
      </c>
      <c r="C15" s="4"/>
      <c r="D15" s="4"/>
    </row>
    <row r="16" spans="1:4" x14ac:dyDescent="0.25">
      <c r="A16" s="4" t="s">
        <v>20</v>
      </c>
      <c r="B16" s="6">
        <v>1002.69</v>
      </c>
      <c r="C16" s="4"/>
      <c r="D16" s="4"/>
    </row>
    <row r="17" spans="1:8" x14ac:dyDescent="0.25">
      <c r="A17" s="4" t="s">
        <v>13</v>
      </c>
      <c r="B17" s="6">
        <v>420</v>
      </c>
      <c r="C17" s="4"/>
      <c r="D17" s="4"/>
    </row>
    <row r="18" spans="1:8" x14ac:dyDescent="0.25">
      <c r="A18" s="4" t="s">
        <v>24</v>
      </c>
      <c r="B18" s="6">
        <v>2000</v>
      </c>
      <c r="C18" s="4"/>
      <c r="D18" s="4"/>
    </row>
    <row r="19" spans="1:8" x14ac:dyDescent="0.25">
      <c r="A19" s="4" t="s">
        <v>23</v>
      </c>
      <c r="B19" s="6">
        <v>4000</v>
      </c>
      <c r="C19" s="4"/>
      <c r="D19" s="4"/>
    </row>
    <row r="20" spans="1:8" x14ac:dyDescent="0.25">
      <c r="A20" s="4" t="s">
        <v>21</v>
      </c>
      <c r="B20" s="6">
        <v>3714.5</v>
      </c>
      <c r="C20" s="4"/>
      <c r="D20" s="4"/>
    </row>
    <row r="21" spans="1:8" x14ac:dyDescent="0.25">
      <c r="A21" s="4" t="s">
        <v>22</v>
      </c>
      <c r="B21" s="6">
        <v>4950</v>
      </c>
      <c r="C21" s="4"/>
      <c r="D21" s="4"/>
    </row>
    <row r="22" spans="1:8" x14ac:dyDescent="0.25">
      <c r="A22" s="4" t="s">
        <v>30</v>
      </c>
      <c r="B22" s="6">
        <v>871</v>
      </c>
      <c r="C22" s="4"/>
      <c r="D22" s="4"/>
    </row>
    <row r="23" spans="1:8" x14ac:dyDescent="0.25">
      <c r="A23" s="4" t="s">
        <v>3</v>
      </c>
      <c r="B23" s="6">
        <v>865.01</v>
      </c>
      <c r="C23" s="4"/>
      <c r="D23" s="4"/>
    </row>
    <row r="24" spans="1:8" x14ac:dyDescent="0.25">
      <c r="A24" s="4" t="s">
        <v>19</v>
      </c>
      <c r="B24" s="6">
        <v>2320</v>
      </c>
      <c r="C24" s="4"/>
      <c r="D24" s="4"/>
    </row>
    <row r="25" spans="1:8" x14ac:dyDescent="0.25">
      <c r="A25" s="7" t="s">
        <v>31</v>
      </c>
      <c r="B25" s="6"/>
      <c r="C25" s="8">
        <f>SUM(B14:B24)</f>
        <v>85161.2</v>
      </c>
      <c r="D25" s="8">
        <f>SUM(B14:B24)</f>
        <v>85161.2</v>
      </c>
      <c r="F25" s="2"/>
    </row>
    <row r="26" spans="1:8" x14ac:dyDescent="0.25">
      <c r="A26" s="9" t="s">
        <v>9</v>
      </c>
      <c r="B26" s="6"/>
      <c r="C26" s="4"/>
      <c r="D26" s="8">
        <f>D11-D25</f>
        <v>12893.800000000003</v>
      </c>
    </row>
    <row r="27" spans="1:8" x14ac:dyDescent="0.25">
      <c r="H27" s="2"/>
    </row>
    <row r="28" spans="1:8" x14ac:dyDescent="0.25">
      <c r="A28" s="10" t="s">
        <v>28</v>
      </c>
      <c r="B28" s="10" t="s">
        <v>4</v>
      </c>
      <c r="C28" s="10" t="s">
        <v>5</v>
      </c>
      <c r="D28" s="11" t="s">
        <v>8</v>
      </c>
    </row>
    <row r="29" spans="1:8" x14ac:dyDescent="0.25">
      <c r="A29" s="4" t="s">
        <v>10</v>
      </c>
      <c r="B29" s="6">
        <v>59275</v>
      </c>
      <c r="C29" s="4"/>
      <c r="D29" s="4"/>
    </row>
    <row r="30" spans="1:8" x14ac:dyDescent="0.25">
      <c r="A30" s="4" t="s">
        <v>18</v>
      </c>
      <c r="B30" s="6">
        <v>0</v>
      </c>
      <c r="C30" s="4"/>
      <c r="D30" s="4"/>
    </row>
    <row r="31" spans="1:8" x14ac:dyDescent="0.25">
      <c r="A31" s="4" t="s">
        <v>0</v>
      </c>
      <c r="B31" s="6">
        <v>1240</v>
      </c>
      <c r="C31" s="6"/>
      <c r="D31" s="4"/>
    </row>
    <row r="32" spans="1:8" x14ac:dyDescent="0.25">
      <c r="A32" s="4" t="s">
        <v>14</v>
      </c>
      <c r="B32" s="6">
        <v>2240</v>
      </c>
      <c r="C32" s="6"/>
      <c r="D32" s="4"/>
    </row>
    <row r="33" spans="1:9" x14ac:dyDescent="0.25">
      <c r="A33" s="4" t="s">
        <v>15</v>
      </c>
      <c r="B33" s="6">
        <v>240</v>
      </c>
      <c r="C33" s="4"/>
      <c r="D33" s="4"/>
    </row>
    <row r="34" spans="1:9" x14ac:dyDescent="0.25">
      <c r="A34" s="4" t="s">
        <v>1</v>
      </c>
      <c r="B34" s="1">
        <v>10000</v>
      </c>
      <c r="C34" s="1"/>
      <c r="D34" s="4"/>
    </row>
    <row r="35" spans="1:9" x14ac:dyDescent="0.25">
      <c r="A35" s="7" t="s">
        <v>33</v>
      </c>
      <c r="B35" s="4"/>
      <c r="C35" s="8">
        <f>SUM(B29:B34)</f>
        <v>72995</v>
      </c>
      <c r="D35" s="8">
        <f>SUM(B29:B34)</f>
        <v>72995</v>
      </c>
    </row>
    <row r="37" spans="1:9" x14ac:dyDescent="0.25">
      <c r="A37" s="10" t="s">
        <v>29</v>
      </c>
      <c r="B37" s="10" t="s">
        <v>6</v>
      </c>
      <c r="C37" s="10" t="s">
        <v>7</v>
      </c>
      <c r="D37" s="11" t="s">
        <v>8</v>
      </c>
    </row>
    <row r="38" spans="1:9" x14ac:dyDescent="0.25">
      <c r="A38" s="4" t="s">
        <v>2</v>
      </c>
      <c r="B38" s="6">
        <v>57420</v>
      </c>
      <c r="C38" s="4"/>
      <c r="D38" s="4"/>
    </row>
    <row r="39" spans="1:9" x14ac:dyDescent="0.25">
      <c r="A39" s="4" t="s">
        <v>12</v>
      </c>
      <c r="B39" s="6">
        <v>50</v>
      </c>
      <c r="C39" s="4"/>
      <c r="D39" s="4"/>
    </row>
    <row r="40" spans="1:9" x14ac:dyDescent="0.25">
      <c r="A40" s="4" t="s">
        <v>20</v>
      </c>
      <c r="B40" s="6">
        <v>984</v>
      </c>
      <c r="C40" s="4"/>
      <c r="D40" s="4"/>
      <c r="I40" s="2"/>
    </row>
    <row r="41" spans="1:9" x14ac:dyDescent="0.25">
      <c r="A41" s="4" t="s">
        <v>40</v>
      </c>
      <c r="B41" s="6">
        <v>350</v>
      </c>
      <c r="C41" s="4"/>
      <c r="D41" s="4"/>
    </row>
    <row r="42" spans="1:9" x14ac:dyDescent="0.25">
      <c r="A42" s="4" t="s">
        <v>3</v>
      </c>
      <c r="B42" s="6">
        <v>1505.46</v>
      </c>
      <c r="C42" s="4"/>
      <c r="D42" s="4"/>
    </row>
    <row r="43" spans="1:9" x14ac:dyDescent="0.25">
      <c r="A43" s="4" t="s">
        <v>41</v>
      </c>
      <c r="B43" s="6">
        <v>2400</v>
      </c>
      <c r="C43" s="4"/>
      <c r="D43" s="4"/>
    </row>
    <row r="44" spans="1:9" x14ac:dyDescent="0.25">
      <c r="A44" s="4" t="s">
        <v>21</v>
      </c>
      <c r="B44" s="6">
        <v>4709.5</v>
      </c>
      <c r="C44" s="4"/>
      <c r="D44" s="4"/>
    </row>
    <row r="45" spans="1:9" x14ac:dyDescent="0.25">
      <c r="A45" s="4" t="s">
        <v>39</v>
      </c>
      <c r="B45" s="6">
        <v>812</v>
      </c>
      <c r="C45" s="4"/>
      <c r="D45" s="4"/>
    </row>
    <row r="46" spans="1:9" x14ac:dyDescent="0.25">
      <c r="A46" s="4" t="s">
        <v>16</v>
      </c>
      <c r="B46" s="6">
        <v>520</v>
      </c>
      <c r="C46" s="4"/>
      <c r="D46" s="4"/>
    </row>
    <row r="47" spans="1:9" x14ac:dyDescent="0.25">
      <c r="A47" s="4" t="s">
        <v>13</v>
      </c>
      <c r="B47" s="6">
        <v>501</v>
      </c>
      <c r="C47" s="4"/>
      <c r="D47" s="4"/>
    </row>
    <row r="48" spans="1:9" x14ac:dyDescent="0.25">
      <c r="A48" s="4" t="s">
        <v>42</v>
      </c>
      <c r="B48" s="6">
        <v>2450</v>
      </c>
      <c r="C48" s="4"/>
      <c r="D48" s="4"/>
    </row>
    <row r="49" spans="1:6" x14ac:dyDescent="0.25">
      <c r="A49" s="7" t="s">
        <v>34</v>
      </c>
      <c r="B49" s="6"/>
      <c r="C49" s="8">
        <f>SUM(B38:B48)</f>
        <v>71701.959999999992</v>
      </c>
      <c r="D49" s="8">
        <f>SUM(B38:B48)</f>
        <v>71701.959999999992</v>
      </c>
    </row>
    <row r="50" spans="1:6" x14ac:dyDescent="0.25">
      <c r="A50" s="9" t="s">
        <v>9</v>
      </c>
      <c r="B50" s="6"/>
      <c r="C50" s="4"/>
      <c r="D50" s="8">
        <f>D35-D49</f>
        <v>1293.0400000000081</v>
      </c>
    </row>
    <row r="52" spans="1:6" x14ac:dyDescent="0.25">
      <c r="A52" t="s">
        <v>35</v>
      </c>
      <c r="D52" s="2">
        <v>29380.81</v>
      </c>
    </row>
    <row r="53" spans="1:6" x14ac:dyDescent="0.25">
      <c r="A53" t="s">
        <v>36</v>
      </c>
      <c r="D53" s="2">
        <f>SUM(D11+D35)</f>
        <v>171050</v>
      </c>
      <c r="E53" s="13"/>
    </row>
    <row r="54" spans="1:6" x14ac:dyDescent="0.25">
      <c r="A54" t="s">
        <v>37</v>
      </c>
      <c r="D54" s="1">
        <f>SUM(D52:D53)</f>
        <v>200430.81</v>
      </c>
      <c r="E54" s="12"/>
    </row>
    <row r="55" spans="1:6" x14ac:dyDescent="0.25">
      <c r="A55" t="s">
        <v>38</v>
      </c>
      <c r="D55" s="2">
        <f>SUM(C25+C49)</f>
        <v>156863.15999999997</v>
      </c>
      <c r="E55" s="14"/>
      <c r="F55" s="14"/>
    </row>
    <row r="57" spans="1:6" x14ac:dyDescent="0.25">
      <c r="A57" t="s">
        <v>17</v>
      </c>
      <c r="D57" s="14">
        <f>+D54-D55</f>
        <v>43567.650000000023</v>
      </c>
    </row>
    <row r="69" spans="2:3" x14ac:dyDescent="0.25">
      <c r="B69" s="3"/>
      <c r="C69" s="3"/>
    </row>
    <row r="77" spans="2:3" x14ac:dyDescent="0.25">
      <c r="B77" s="3"/>
      <c r="C77" s="3"/>
    </row>
  </sheetData>
  <mergeCells count="1">
    <mergeCell ref="A1:D1"/>
  </mergeCells>
  <pageMargins left="0.70866141732283472" right="0.70866141732283472" top="0.74803149606299213" bottom="0.74803149606299213" header="0.31496062992125984" footer="0.31496062992125984"/>
  <pageSetup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SEGUNDO BIMENTRE 2013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cp:lastPrinted>2012-11-21T02:32:24Z</cp:lastPrinted>
  <dcterms:created xsi:type="dcterms:W3CDTF">2012-03-13T02:38:06Z</dcterms:created>
  <dcterms:modified xsi:type="dcterms:W3CDTF">2013-05-28T17:22:21Z</dcterms:modified>
</cp:coreProperties>
</file>