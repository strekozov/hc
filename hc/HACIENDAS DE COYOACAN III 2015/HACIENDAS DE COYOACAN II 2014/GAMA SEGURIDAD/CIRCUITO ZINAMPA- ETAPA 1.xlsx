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715" windowHeight="9525"/>
  </bookViews>
  <sheets>
    <sheet name="Hoja1" sheetId="1" r:id="rId1"/>
    <sheet name="Hoja2" sheetId="2" r:id="rId2"/>
    <sheet name="Hoja3" sheetId="3" r:id="rId3"/>
  </sheets>
  <definedNames>
    <definedName name="_xlnm.Print_Area" localSheetId="0">Hoja1!$B$1:$G$19</definedName>
  </definedNames>
  <calcPr calcId="145621"/>
</workbook>
</file>

<file path=xl/calcChain.xml><?xml version="1.0" encoding="utf-8"?>
<calcChain xmlns="http://schemas.openxmlformats.org/spreadsheetml/2006/main">
  <c r="F18" i="1" l="1"/>
  <c r="F13" i="1"/>
  <c r="F12" i="1"/>
  <c r="F11" i="1"/>
  <c r="F9" i="1"/>
  <c r="F6" i="1"/>
</calcChain>
</file>

<file path=xl/sharedStrings.xml><?xml version="1.0" encoding="utf-8"?>
<sst xmlns="http://schemas.openxmlformats.org/spreadsheetml/2006/main" count="23" uniqueCount="23">
  <si>
    <t>Cámaras Tipo Bala para intemperie WCD 50S</t>
  </si>
  <si>
    <t xml:space="preserve">PRECIO </t>
  </si>
  <si>
    <t xml:space="preserve">UNITARIO </t>
  </si>
  <si>
    <t xml:space="preserve">COSTO </t>
  </si>
  <si>
    <t>TOTAL</t>
  </si>
  <si>
    <t xml:space="preserve">FECHA </t>
  </si>
  <si>
    <t>COMPRA</t>
  </si>
  <si>
    <t>CANTIDAD</t>
  </si>
  <si>
    <t>DESCRIPCION DEL PRODUCTO</t>
  </si>
  <si>
    <t xml:space="preserve">Alta definición 700 TVL 42 infrarojos auto </t>
  </si>
  <si>
    <t>balance de blancos en completa obscuridad</t>
  </si>
  <si>
    <t>racion de la promoción.</t>
  </si>
  <si>
    <t>Incrementó el precio de las cámaras por expi-</t>
  </si>
  <si>
    <t>Fuentes de alimentación  de 2 amperes</t>
  </si>
  <si>
    <t>Balum de video (tranceptors)</t>
  </si>
  <si>
    <t>Bobina de cable UTP para exterior 305 Mts</t>
  </si>
  <si>
    <t>Tornilleria, herrajes y caja de registro</t>
  </si>
  <si>
    <t>Mano de obra en instalación y reacondiciona-</t>
  </si>
  <si>
    <t>miento del DVR en la caseta (colocar ventilador</t>
  </si>
  <si>
    <t>interior) y substitución de todos los balum</t>
  </si>
  <si>
    <t xml:space="preserve">                                                                     COSTO TOTAL</t>
  </si>
  <si>
    <t>Tiempo estimado de terminación, 15 días habiles</t>
  </si>
  <si>
    <t>CIRCUITO ZINAMPA - ETAPA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</si>
</sst>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tabSelected="1" workbookViewId="0">
      <selection activeCell="H12" sqref="H12"/>
    </sheetView>
  </sheetViews>
  <sheetFormatPr baseColWidth="10" defaultRowHeight="15" x14ac:dyDescent="0.25"/>
  <cols>
    <col min="2" max="2" width="11.42578125" style="2"/>
    <col min="3" max="3" width="43.5703125" customWidth="1"/>
    <col min="4" max="4" width="2.85546875" customWidth="1"/>
    <col min="5" max="6" width="11.42578125" style="2"/>
    <col min="7" max="7" width="14.7109375" style="2" customWidth="1"/>
  </cols>
  <sheetData>
    <row r="2" spans="2:7" x14ac:dyDescent="0.25">
      <c r="B2" s="12" t="s">
        <v>22</v>
      </c>
      <c r="C2" s="12"/>
      <c r="D2" s="12"/>
      <c r="E2" s="12"/>
      <c r="F2" s="12"/>
      <c r="G2" s="12"/>
    </row>
    <row r="3" spans="2:7" x14ac:dyDescent="0.25">
      <c r="B3" s="13"/>
      <c r="C3" s="14"/>
      <c r="D3" s="14"/>
      <c r="E3" s="13"/>
      <c r="F3" s="13"/>
      <c r="G3" s="13"/>
    </row>
    <row r="4" spans="2:7" x14ac:dyDescent="0.25">
      <c r="B4" s="6"/>
      <c r="C4" s="7"/>
      <c r="D4" s="7"/>
      <c r="E4" s="8" t="s">
        <v>1</v>
      </c>
      <c r="F4" s="8" t="s">
        <v>3</v>
      </c>
      <c r="G4" s="8" t="s">
        <v>5</v>
      </c>
    </row>
    <row r="5" spans="2:7" x14ac:dyDescent="0.25">
      <c r="B5" s="15" t="s">
        <v>7</v>
      </c>
      <c r="C5" s="15" t="s">
        <v>8</v>
      </c>
      <c r="D5" s="13"/>
      <c r="E5" s="16" t="s">
        <v>2</v>
      </c>
      <c r="F5" s="16" t="s">
        <v>4</v>
      </c>
      <c r="G5" s="16" t="s">
        <v>6</v>
      </c>
    </row>
    <row r="6" spans="2:7" x14ac:dyDescent="0.25">
      <c r="B6" s="2">
        <v>6</v>
      </c>
      <c r="C6" t="s">
        <v>0</v>
      </c>
      <c r="E6" s="1">
        <v>1395</v>
      </c>
      <c r="F6" s="1">
        <f>+B6*E6</f>
        <v>8370</v>
      </c>
      <c r="G6" s="3">
        <v>41848</v>
      </c>
    </row>
    <row r="7" spans="2:7" x14ac:dyDescent="0.25">
      <c r="C7" t="s">
        <v>9</v>
      </c>
    </row>
    <row r="8" spans="2:7" x14ac:dyDescent="0.25">
      <c r="C8" t="s">
        <v>10</v>
      </c>
      <c r="E8" s="1"/>
    </row>
    <row r="9" spans="2:7" x14ac:dyDescent="0.25">
      <c r="C9" t="s">
        <v>12</v>
      </c>
      <c r="E9" s="1">
        <v>1595</v>
      </c>
      <c r="F9" s="4">
        <f>+E9*B6</f>
        <v>9570</v>
      </c>
      <c r="G9" s="3">
        <v>41848</v>
      </c>
    </row>
    <row r="10" spans="2:7" x14ac:dyDescent="0.25">
      <c r="C10" t="s">
        <v>11</v>
      </c>
    </row>
    <row r="11" spans="2:7" x14ac:dyDescent="0.25">
      <c r="B11" s="2">
        <v>6</v>
      </c>
      <c r="C11" t="s">
        <v>13</v>
      </c>
      <c r="E11" s="4">
        <v>140</v>
      </c>
      <c r="F11" s="4">
        <f>+E11*B11</f>
        <v>840</v>
      </c>
      <c r="G11" s="3">
        <v>41850</v>
      </c>
    </row>
    <row r="12" spans="2:7" x14ac:dyDescent="0.25">
      <c r="B12" s="2">
        <v>32</v>
      </c>
      <c r="C12" t="s">
        <v>14</v>
      </c>
      <c r="E12" s="4">
        <v>90</v>
      </c>
      <c r="F12" s="4">
        <f>+E12*B12/2</f>
        <v>1440</v>
      </c>
      <c r="G12" s="3">
        <v>41841</v>
      </c>
    </row>
    <row r="13" spans="2:7" x14ac:dyDescent="0.25">
      <c r="B13" s="2">
        <v>1</v>
      </c>
      <c r="C13" t="s">
        <v>15</v>
      </c>
      <c r="E13" s="4">
        <v>1310</v>
      </c>
      <c r="F13" s="4">
        <f>E13</f>
        <v>1310</v>
      </c>
      <c r="G13" s="3">
        <v>41837</v>
      </c>
    </row>
    <row r="14" spans="2:7" x14ac:dyDescent="0.25">
      <c r="C14" t="s">
        <v>16</v>
      </c>
      <c r="E14" s="4">
        <v>1200</v>
      </c>
      <c r="F14" s="4">
        <v>1200</v>
      </c>
      <c r="G14" s="3">
        <v>41844</v>
      </c>
    </row>
    <row r="15" spans="2:7" x14ac:dyDescent="0.25">
      <c r="C15" t="s">
        <v>17</v>
      </c>
      <c r="E15" s="4"/>
      <c r="F15" s="4"/>
    </row>
    <row r="16" spans="2:7" x14ac:dyDescent="0.25">
      <c r="C16" t="s">
        <v>18</v>
      </c>
      <c r="E16" s="4"/>
      <c r="F16" s="4"/>
    </row>
    <row r="17" spans="3:7" x14ac:dyDescent="0.25">
      <c r="C17" t="s">
        <v>19</v>
      </c>
      <c r="E17" s="17">
        <v>7000</v>
      </c>
      <c r="F17" s="17">
        <v>7000</v>
      </c>
      <c r="G17" s="18">
        <v>41852</v>
      </c>
    </row>
    <row r="18" spans="3:7" ht="15.75" thickBot="1" x14ac:dyDescent="0.3">
      <c r="C18" s="5" t="s">
        <v>20</v>
      </c>
      <c r="E18" s="9"/>
      <c r="F18" s="10">
        <f>SUM(F9:F17)</f>
        <v>21360</v>
      </c>
      <c r="G18" s="11"/>
    </row>
    <row r="19" spans="3:7" ht="15.75" thickTop="1" x14ac:dyDescent="0.25">
      <c r="C19" s="5" t="s">
        <v>21</v>
      </c>
      <c r="E19" s="4"/>
      <c r="F19" s="4"/>
    </row>
    <row r="20" spans="3:7" x14ac:dyDescent="0.25">
      <c r="E20" s="4"/>
      <c r="F20" s="4"/>
    </row>
    <row r="21" spans="3:7" x14ac:dyDescent="0.25">
      <c r="E21" s="4"/>
      <c r="F21" s="4"/>
    </row>
    <row r="22" spans="3:7" x14ac:dyDescent="0.25">
      <c r="E22" s="4"/>
      <c r="F22" s="4"/>
    </row>
    <row r="23" spans="3:7" x14ac:dyDescent="0.25">
      <c r="E23" s="4"/>
      <c r="F23" s="4"/>
    </row>
    <row r="24" spans="3:7" x14ac:dyDescent="0.25">
      <c r="E24" s="4"/>
      <c r="F24" s="4"/>
    </row>
    <row r="25" spans="3:7" x14ac:dyDescent="0.25">
      <c r="E25" s="4"/>
      <c r="F25" s="4"/>
    </row>
    <row r="26" spans="3:7" x14ac:dyDescent="0.25">
      <c r="E26" s="4"/>
      <c r="F26" s="4"/>
    </row>
    <row r="27" spans="3:7" x14ac:dyDescent="0.25">
      <c r="E27" s="4"/>
      <c r="F27" s="4"/>
    </row>
    <row r="28" spans="3:7" x14ac:dyDescent="0.25">
      <c r="E28" s="4"/>
      <c r="F28" s="4"/>
    </row>
  </sheetData>
  <mergeCells count="1">
    <mergeCell ref="B2:G2"/>
  </mergeCells>
  <printOptions horizontalCentered="1" verticalCentered="1"/>
  <pageMargins left="0.11811023622047245" right="0.70866141732283472" top="0.55118110236220474" bottom="1.3385826771653544" header="0.39370078740157483" footer="0.70866141732283472"/>
  <pageSetup paperSize="9" scale="11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2014-07-20T04:29:02Z</cp:lastPrinted>
  <dcterms:created xsi:type="dcterms:W3CDTF">2014-07-20T03:32:34Z</dcterms:created>
  <dcterms:modified xsi:type="dcterms:W3CDTF">2014-07-20T04:33:14Z</dcterms:modified>
</cp:coreProperties>
</file>