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5255" windowHeight="793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Hoja1!$A$1:$J$30</definedName>
  </definedNames>
  <calcPr calcId="145621"/>
</workbook>
</file>

<file path=xl/calcChain.xml><?xml version="1.0" encoding="utf-8"?>
<calcChain xmlns="http://schemas.openxmlformats.org/spreadsheetml/2006/main">
  <c r="D27" i="1" l="1"/>
  <c r="C26" i="1"/>
  <c r="H26" i="1"/>
  <c r="I27" i="1" s="1"/>
  <c r="H19" i="1"/>
  <c r="H18" i="1"/>
  <c r="H10" i="1"/>
  <c r="I11" i="1" s="1"/>
  <c r="C27" i="1"/>
  <c r="D26" i="1"/>
  <c r="D19" i="1"/>
  <c r="C19" i="1"/>
  <c r="D18" i="1"/>
  <c r="D11" i="1"/>
  <c r="C11" i="1"/>
  <c r="C10" i="1"/>
  <c r="D10" i="1"/>
  <c r="I19" i="1" l="1"/>
</calcChain>
</file>

<file path=xl/sharedStrings.xml><?xml version="1.0" encoding="utf-8"?>
<sst xmlns="http://schemas.openxmlformats.org/spreadsheetml/2006/main" count="55" uniqueCount="24">
  <si>
    <t>EJERCICIO 2013</t>
  </si>
  <si>
    <t xml:space="preserve">NUM </t>
  </si>
  <si>
    <t>N O M B R E</t>
  </si>
  <si>
    <t>SUELDO</t>
  </si>
  <si>
    <t xml:space="preserve">SUELDO </t>
  </si>
  <si>
    <t>TOTAL</t>
  </si>
  <si>
    <t xml:space="preserve">                              DEDUCCIONES</t>
  </si>
  <si>
    <t>DIARIO</t>
  </si>
  <si>
    <t>MENSUAL</t>
  </si>
  <si>
    <t>I.S.P.T.</t>
  </si>
  <si>
    <t>I.M.S.S.</t>
  </si>
  <si>
    <t>ENCARGADO Y JEFE DE TURNO</t>
  </si>
  <si>
    <t>SEGUNDO Y GUARDIA</t>
  </si>
  <si>
    <t>ASPIRANTE</t>
  </si>
  <si>
    <t>QUINCENAL</t>
  </si>
  <si>
    <t>VIGILANTE HAC. DE COYOACAN</t>
  </si>
  <si>
    <t>ASPIRANTE HACIENDAS DE COYOACAN</t>
  </si>
  <si>
    <t>NETO</t>
  </si>
  <si>
    <t>TRABAJADORES</t>
  </si>
  <si>
    <t>JEFE DE TURNO HAC. DE COYOACAN</t>
  </si>
  <si>
    <t>ESTOS DATOS DEL MES Y EL PAGO BIMESTRAL CONTEMPLA TAMBIEN EL PAGO A INFONAVIT Y  RETIRO CESANTIA Y VEJEZ</t>
  </si>
  <si>
    <t xml:space="preserve">% </t>
  </si>
  <si>
    <t>DIFERENCIA</t>
  </si>
  <si>
    <t>COMPARATIVO DE SUELDOS ENTRE GAMA-HAC. DE COYOACAN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</si>
</sst>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0" fillId="0" borderId="0" xfId="0" applyNumberFormat="1" applyFont="1"/>
    <xf numFmtId="4" fontId="0" fillId="0" borderId="0" xfId="0" applyNumberFormat="1" applyFont="1" applyAlignment="1">
      <alignment horizontal="center"/>
    </xf>
    <xf numFmtId="14" fontId="4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"/>
  <sheetViews>
    <sheetView tabSelected="1" workbookViewId="0">
      <selection activeCell="N10" sqref="N10"/>
    </sheetView>
  </sheetViews>
  <sheetFormatPr baseColWidth="10" defaultRowHeight="15" x14ac:dyDescent="0.25"/>
  <cols>
    <col min="1" max="1" width="17.85546875" style="3" customWidth="1"/>
    <col min="2" max="2" width="41.7109375" style="3" customWidth="1"/>
    <col min="3" max="3" width="11.42578125" style="3"/>
    <col min="4" max="4" width="13.7109375" style="3" customWidth="1"/>
    <col min="5" max="5" width="12.7109375" style="3" customWidth="1"/>
    <col min="6" max="7" width="11.42578125" style="3"/>
    <col min="8" max="8" width="12.85546875" style="3" customWidth="1"/>
    <col min="9" max="9" width="14.28515625" style="3" customWidth="1"/>
    <col min="10" max="10" width="2.42578125" style="3" customWidth="1"/>
    <col min="11" max="16384" width="11.42578125" style="3"/>
  </cols>
  <sheetData>
    <row r="2" spans="1:9" x14ac:dyDescent="0.25">
      <c r="A2" s="2">
        <v>41571</v>
      </c>
    </row>
    <row r="3" spans="1:9" x14ac:dyDescent="0.25">
      <c r="A3" s="15" t="s">
        <v>23</v>
      </c>
      <c r="B3" s="15"/>
      <c r="C3" s="15"/>
      <c r="D3" s="15"/>
      <c r="E3" s="15"/>
      <c r="F3" s="15"/>
      <c r="G3" s="15"/>
      <c r="H3" s="15"/>
    </row>
    <row r="4" spans="1:9" x14ac:dyDescent="0.25">
      <c r="A4" s="15" t="s">
        <v>0</v>
      </c>
      <c r="B4" s="15"/>
      <c r="C4" s="15"/>
      <c r="D4" s="15"/>
      <c r="E4" s="15"/>
      <c r="F4" s="15"/>
      <c r="G4" s="15"/>
      <c r="H4" s="15"/>
    </row>
    <row r="7" spans="1:9" x14ac:dyDescent="0.25">
      <c r="A7" s="16" t="s">
        <v>1</v>
      </c>
      <c r="B7" s="16" t="s">
        <v>2</v>
      </c>
      <c r="C7" s="16" t="s">
        <v>3</v>
      </c>
      <c r="D7" s="16" t="s">
        <v>3</v>
      </c>
      <c r="E7" s="16" t="s">
        <v>4</v>
      </c>
      <c r="F7" s="16" t="s">
        <v>6</v>
      </c>
      <c r="G7" s="17"/>
      <c r="H7" s="16" t="s">
        <v>5</v>
      </c>
      <c r="I7" s="16" t="s">
        <v>21</v>
      </c>
    </row>
    <row r="8" spans="1:9" x14ac:dyDescent="0.25">
      <c r="A8" s="16" t="s">
        <v>18</v>
      </c>
      <c r="B8" s="18"/>
      <c r="C8" s="16" t="s">
        <v>7</v>
      </c>
      <c r="D8" s="16" t="s">
        <v>14</v>
      </c>
      <c r="E8" s="16" t="s">
        <v>8</v>
      </c>
      <c r="F8" s="16" t="s">
        <v>9</v>
      </c>
      <c r="G8" s="16" t="s">
        <v>10</v>
      </c>
      <c r="H8" s="18" t="s">
        <v>17</v>
      </c>
      <c r="I8" s="16" t="s">
        <v>22</v>
      </c>
    </row>
    <row r="9" spans="1:9" x14ac:dyDescent="0.25">
      <c r="H9" s="4"/>
    </row>
    <row r="10" spans="1:9" x14ac:dyDescent="0.25">
      <c r="A10" s="4">
        <v>1</v>
      </c>
      <c r="B10" s="5" t="s">
        <v>11</v>
      </c>
      <c r="C10" s="7">
        <f>+E10/30</f>
        <v>178.53333333333333</v>
      </c>
      <c r="D10" s="7">
        <f>+E10/2</f>
        <v>2678</v>
      </c>
      <c r="E10" s="7">
        <v>5356</v>
      </c>
      <c r="F10" s="7">
        <v>317.07</v>
      </c>
      <c r="G10" s="7">
        <v>222.42</v>
      </c>
      <c r="H10" s="7">
        <f>+E10-F10-G10</f>
        <v>4816.51</v>
      </c>
      <c r="I10" s="4"/>
    </row>
    <row r="11" spans="1:9" x14ac:dyDescent="0.25">
      <c r="A11" s="8"/>
      <c r="B11" s="9" t="s">
        <v>19</v>
      </c>
      <c r="C11" s="12">
        <f>+E11/30</f>
        <v>213.33333333333334</v>
      </c>
      <c r="D11" s="1">
        <f>+E11/2</f>
        <v>3200</v>
      </c>
      <c r="E11" s="1">
        <v>6400</v>
      </c>
      <c r="F11" s="13"/>
      <c r="G11" s="13"/>
      <c r="H11" s="1">
        <v>6400</v>
      </c>
      <c r="I11" s="14">
        <f>+H11/H10-1</f>
        <v>0.32876294246248827</v>
      </c>
    </row>
    <row r="12" spans="1:9" x14ac:dyDescent="0.25">
      <c r="A12" s="8"/>
      <c r="B12" s="5"/>
      <c r="C12" s="6"/>
      <c r="D12" s="6"/>
      <c r="H12" s="4"/>
    </row>
    <row r="13" spans="1:9" x14ac:dyDescent="0.25">
      <c r="A13" s="8"/>
      <c r="B13" s="10"/>
      <c r="H13" s="4"/>
    </row>
    <row r="14" spans="1:9" x14ac:dyDescent="0.25">
      <c r="A14" s="8"/>
      <c r="B14" s="10"/>
      <c r="H14" s="4"/>
    </row>
    <row r="15" spans="1:9" x14ac:dyDescent="0.25">
      <c r="A15" s="16" t="s">
        <v>1</v>
      </c>
      <c r="B15" s="16" t="s">
        <v>2</v>
      </c>
      <c r="C15" s="16" t="s">
        <v>3</v>
      </c>
      <c r="D15" s="16" t="s">
        <v>3</v>
      </c>
      <c r="E15" s="16" t="s">
        <v>4</v>
      </c>
      <c r="F15" s="16" t="s">
        <v>6</v>
      </c>
      <c r="G15" s="17"/>
      <c r="H15" s="16" t="s">
        <v>5</v>
      </c>
      <c r="I15" s="16" t="s">
        <v>21</v>
      </c>
    </row>
    <row r="16" spans="1:9" x14ac:dyDescent="0.25">
      <c r="A16" s="16" t="s">
        <v>18</v>
      </c>
      <c r="B16" s="18"/>
      <c r="C16" s="16" t="s">
        <v>7</v>
      </c>
      <c r="D16" s="16" t="s">
        <v>14</v>
      </c>
      <c r="E16" s="16" t="s">
        <v>8</v>
      </c>
      <c r="F16" s="16" t="s">
        <v>9</v>
      </c>
      <c r="G16" s="16" t="s">
        <v>10</v>
      </c>
      <c r="H16" s="18" t="s">
        <v>17</v>
      </c>
      <c r="I16" s="16" t="s">
        <v>22</v>
      </c>
    </row>
    <row r="17" spans="1:9" x14ac:dyDescent="0.25">
      <c r="H17" s="4"/>
    </row>
    <row r="18" spans="1:9" x14ac:dyDescent="0.25">
      <c r="A18" s="4">
        <v>1</v>
      </c>
      <c r="B18" s="5" t="s">
        <v>12</v>
      </c>
      <c r="C18" s="7">
        <v>140</v>
      </c>
      <c r="D18" s="7">
        <f>+E18/2</f>
        <v>2128</v>
      </c>
      <c r="E18" s="7">
        <v>4256</v>
      </c>
      <c r="F18" s="7">
        <v>252.19</v>
      </c>
      <c r="G18" s="7">
        <v>222.42</v>
      </c>
      <c r="H18" s="7">
        <f>+E18-F18-G18</f>
        <v>3781.39</v>
      </c>
      <c r="I18" s="4"/>
    </row>
    <row r="19" spans="1:9" x14ac:dyDescent="0.25">
      <c r="A19" s="8"/>
      <c r="B19" s="9" t="s">
        <v>15</v>
      </c>
      <c r="C19" s="12">
        <f>+E19/30</f>
        <v>186.66666666666666</v>
      </c>
      <c r="D19" s="1">
        <f>+E19/2</f>
        <v>2800</v>
      </c>
      <c r="E19" s="1">
        <v>5600</v>
      </c>
      <c r="F19" s="13"/>
      <c r="G19" s="13"/>
      <c r="H19" s="1">
        <f>E19</f>
        <v>5600</v>
      </c>
      <c r="I19" s="14">
        <f>+H19/H18-1</f>
        <v>0.48093690415429258</v>
      </c>
    </row>
    <row r="20" spans="1:9" x14ac:dyDescent="0.25">
      <c r="A20" s="8"/>
      <c r="B20" s="10"/>
      <c r="H20" s="4"/>
    </row>
    <row r="21" spans="1:9" x14ac:dyDescent="0.25">
      <c r="A21" s="8"/>
      <c r="B21" s="10"/>
      <c r="H21" s="4"/>
    </row>
    <row r="22" spans="1:9" x14ac:dyDescent="0.25">
      <c r="A22" s="8"/>
      <c r="B22" s="10"/>
      <c r="H22" s="4"/>
    </row>
    <row r="23" spans="1:9" x14ac:dyDescent="0.25">
      <c r="A23" s="16" t="s">
        <v>1</v>
      </c>
      <c r="B23" s="16" t="s">
        <v>2</v>
      </c>
      <c r="C23" s="16" t="s">
        <v>3</v>
      </c>
      <c r="D23" s="16"/>
      <c r="E23" s="16" t="s">
        <v>4</v>
      </c>
      <c r="F23" s="16" t="s">
        <v>6</v>
      </c>
      <c r="G23" s="17"/>
      <c r="H23" s="16" t="s">
        <v>5</v>
      </c>
      <c r="I23" s="16" t="s">
        <v>21</v>
      </c>
    </row>
    <row r="24" spans="1:9" x14ac:dyDescent="0.25">
      <c r="A24" s="16" t="s">
        <v>18</v>
      </c>
      <c r="B24" s="18"/>
      <c r="C24" s="16" t="s">
        <v>7</v>
      </c>
      <c r="D24" s="16"/>
      <c r="E24" s="16" t="s">
        <v>8</v>
      </c>
      <c r="F24" s="16" t="s">
        <v>9</v>
      </c>
      <c r="G24" s="16" t="s">
        <v>10</v>
      </c>
      <c r="H24" s="18" t="s">
        <v>17</v>
      </c>
      <c r="I24" s="16" t="s">
        <v>22</v>
      </c>
    </row>
    <row r="25" spans="1:9" x14ac:dyDescent="0.25">
      <c r="H25" s="4"/>
    </row>
    <row r="26" spans="1:9" x14ac:dyDescent="0.25">
      <c r="A26" s="4">
        <v>1</v>
      </c>
      <c r="B26" s="5" t="s">
        <v>13</v>
      </c>
      <c r="C26" s="7">
        <f>+E26/30</f>
        <v>131.73333333333332</v>
      </c>
      <c r="D26" s="7">
        <f>+E26/2</f>
        <v>1976</v>
      </c>
      <c r="E26" s="7">
        <v>3952</v>
      </c>
      <c r="F26" s="7">
        <v>230.7</v>
      </c>
      <c r="G26" s="7">
        <v>206.53</v>
      </c>
      <c r="H26" s="7">
        <f>+E26-F26-G26</f>
        <v>3514.77</v>
      </c>
      <c r="I26" s="14"/>
    </row>
    <row r="27" spans="1:9" x14ac:dyDescent="0.25">
      <c r="A27" s="8"/>
      <c r="B27" s="11" t="s">
        <v>16</v>
      </c>
      <c r="C27" s="12">
        <f>+E27/30</f>
        <v>186.66666666666666</v>
      </c>
      <c r="D27" s="1">
        <f>+E27/2</f>
        <v>2800</v>
      </c>
      <c r="E27" s="1">
        <v>5600</v>
      </c>
      <c r="F27" s="13"/>
      <c r="G27" s="13"/>
      <c r="H27" s="1">
        <v>5600</v>
      </c>
      <c r="I27" s="14">
        <f>+H27/H26-1</f>
        <v>0.59327637370297337</v>
      </c>
    </row>
    <row r="28" spans="1:9" x14ac:dyDescent="0.25">
      <c r="A28" s="8"/>
      <c r="B28" s="10"/>
      <c r="H28" s="4"/>
    </row>
    <row r="29" spans="1:9" x14ac:dyDescent="0.25">
      <c r="A29" s="11" t="s">
        <v>20</v>
      </c>
      <c r="B29" s="11"/>
      <c r="C29" s="11"/>
      <c r="D29" s="11"/>
      <c r="E29" s="11"/>
      <c r="F29" s="11"/>
      <c r="G29" s="11"/>
      <c r="H29" s="11"/>
    </row>
  </sheetData>
  <mergeCells count="2">
    <mergeCell ref="A3:H3"/>
    <mergeCell ref="A4:H4"/>
  </mergeCells>
  <printOptions horizontalCentered="1"/>
  <pageMargins left="0" right="0" top="0.74803149606299213" bottom="0.74803149606299213" header="0.31496062992125984" footer="0.31496062992125984"/>
  <pageSetup paperSize="9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Baldemar Sala Bay</cp:lastModifiedBy>
  <cp:lastPrinted>2013-10-25T14:44:55Z</cp:lastPrinted>
  <dcterms:created xsi:type="dcterms:W3CDTF">2013-10-23T17:17:35Z</dcterms:created>
  <dcterms:modified xsi:type="dcterms:W3CDTF">2013-10-25T14:50:13Z</dcterms:modified>
</cp:coreProperties>
</file>