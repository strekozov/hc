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75" windowWidth="23715" windowHeight="9270"/>
  </bookViews>
  <sheets>
    <sheet name="Hoja1" sheetId="1" r:id="rId1"/>
    <sheet name="Hoja2" sheetId="2" r:id="rId2"/>
    <sheet name="Hoja3" sheetId="3" r:id="rId3"/>
  </sheets>
  <definedNames>
    <definedName name="_xlnm.Print_Area" localSheetId="0">Hoja1!$D$1:$O$24</definedName>
  </definedNames>
  <calcPr calcId="145621"/>
</workbook>
</file>

<file path=xl/calcChain.xml><?xml version="1.0" encoding="utf-8"?>
<calcChain xmlns="http://schemas.openxmlformats.org/spreadsheetml/2006/main">
  <c r="I24" i="1" l="1"/>
  <c r="K22" i="1" l="1"/>
  <c r="L22" i="1" s="1"/>
  <c r="I9" i="1"/>
  <c r="K9" i="1"/>
  <c r="L9" i="1" s="1"/>
  <c r="K7" i="1" l="1"/>
  <c r="L7" i="1" s="1"/>
</calcChain>
</file>

<file path=xl/sharedStrings.xml><?xml version="1.0" encoding="utf-8"?>
<sst xmlns="http://schemas.openxmlformats.org/spreadsheetml/2006/main" count="36" uniqueCount="36">
  <si>
    <t>GRUPO BENGALA. S.A. DE C. V.</t>
  </si>
  <si>
    <t>E M P R E S A</t>
  </si>
  <si>
    <t>REGISTRO DE SEGURIDAD</t>
  </si>
  <si>
    <t>PUBLICA</t>
  </si>
  <si>
    <t>1266/05</t>
  </si>
  <si>
    <t>PERMISO</t>
  </si>
  <si>
    <t>COSTO ELEMENTO</t>
  </si>
  <si>
    <t>24X24    12X12</t>
  </si>
  <si>
    <t>NUMERO DE</t>
  </si>
  <si>
    <t>ELEMENTOS</t>
  </si>
  <si>
    <t>COSTO</t>
  </si>
  <si>
    <t>MENSUAL</t>
  </si>
  <si>
    <t>I V A</t>
  </si>
  <si>
    <t xml:space="preserve">SEPROCIN SEGURIDAD PRIVADA </t>
  </si>
  <si>
    <t>3 RADIOS COMUNICACIÓN INTERNA</t>
  </si>
  <si>
    <t>1 RADIO COMUNICACION C/CENTRAL</t>
  </si>
  <si>
    <t>2 BICICLETAS</t>
  </si>
  <si>
    <t>UNIFORME.-PANTALON, CAMISA,</t>
  </si>
  <si>
    <t>CORBATA, CORDON DE MANDO, FOR-</t>
  </si>
  <si>
    <t xml:space="preserve">NITURA, GAS PIMIENTA, TOLETE Y </t>
  </si>
  <si>
    <t>EQUIPO PROPORCIONADO</t>
  </si>
  <si>
    <t>12 EDIFICIOS 780 DEPARTAMENTOS</t>
  </si>
  <si>
    <t>TODOS SE REGISTRAN PERSONALMETE</t>
  </si>
  <si>
    <t>3 PUERTAS PEATONALES</t>
  </si>
  <si>
    <t>CPS SEGURIDAD PRIVADA</t>
  </si>
  <si>
    <t>3589-13</t>
  </si>
  <si>
    <t>RESIDENCIAL VILLA COAPA 2 ENTRADAS,</t>
  </si>
  <si>
    <t>VISTAS EL MAUREL</t>
  </si>
  <si>
    <t>UNA PARA VISITANTES Y PROVEDORES</t>
  </si>
  <si>
    <t>OTRA EXLUSIVAMENTE PARA RESIDENTES</t>
  </si>
  <si>
    <t>GRUPO ADMINISTRADO POR HC</t>
  </si>
  <si>
    <t>500 casas</t>
  </si>
  <si>
    <t>HACIENDAS DE COYOACAN</t>
  </si>
  <si>
    <t xml:space="preserve">SUPERVISION DIRECTA  EXTERNA </t>
  </si>
  <si>
    <t>IMPERMEABLE</t>
  </si>
  <si>
    <t>CHAMARRA,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</si>
</sst>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1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64" fontId="1" fillId="0" borderId="0" xfId="0" applyNumberFormat="1" applyFont="1" applyAlignment="1">
      <alignment horizontal="center"/>
    </xf>
    <xf numFmtId="4" fontId="1" fillId="0" borderId="0" xfId="0" applyNumberFormat="1" applyFont="1" applyAlignment="1">
      <alignment horizontal="center"/>
    </xf>
    <xf numFmtId="164" fontId="1" fillId="0" borderId="0" xfId="0" applyNumberFormat="1" applyFont="1" applyFill="1" applyBorder="1" applyAlignment="1">
      <alignment horizontal="center"/>
    </xf>
    <xf numFmtId="4" fontId="1" fillId="0" borderId="0" xfId="0" applyNumberFormat="1" applyFont="1" applyFill="1" applyBorder="1" applyAlignment="1">
      <alignment horizontal="center"/>
    </xf>
    <xf numFmtId="14" fontId="1" fillId="0" borderId="0" xfId="0" applyNumberFormat="1" applyFont="1"/>
    <xf numFmtId="0" fontId="2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9" fontId="1" fillId="2" borderId="0" xfId="0" applyNumberFormat="1" applyFont="1" applyFill="1" applyAlignment="1">
      <alignment horizontal="center"/>
    </xf>
    <xf numFmtId="4" fontId="1" fillId="2" borderId="0" xfId="0" applyNumberFormat="1" applyFont="1" applyFill="1" applyAlignment="1">
      <alignment horizontal="center"/>
    </xf>
    <xf numFmtId="164" fontId="1" fillId="2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0C0C0"/>
      <color rgb="FFB2B2B2"/>
      <color rgb="FF969696"/>
      <color rgb="FF808080"/>
      <color rgb="FF958A5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D1:O26"/>
  <sheetViews>
    <sheetView tabSelected="1" workbookViewId="0">
      <selection activeCell="L27" sqref="L27"/>
    </sheetView>
  </sheetViews>
  <sheetFormatPr baseColWidth="10" defaultRowHeight="15" x14ac:dyDescent="0.25"/>
  <cols>
    <col min="6" max="6" width="14.140625" customWidth="1"/>
    <col min="7" max="7" width="9.7109375" style="5" customWidth="1"/>
    <col min="8" max="8" width="12.7109375" style="1" customWidth="1"/>
    <col min="9" max="9" width="16.42578125" customWidth="1"/>
    <col min="10" max="10" width="12.140625" style="1" customWidth="1"/>
    <col min="11" max="11" width="10" style="1" customWidth="1"/>
    <col min="12" max="12" width="10.5703125" style="1" customWidth="1"/>
    <col min="15" max="15" width="10.140625" customWidth="1"/>
  </cols>
  <sheetData>
    <row r="1" spans="4:15" x14ac:dyDescent="0.25">
      <c r="D1" s="12">
        <v>41444</v>
      </c>
    </row>
    <row r="2" spans="4:15" ht="15.75" x14ac:dyDescent="0.25">
      <c r="D2" s="13" t="s">
        <v>32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</row>
    <row r="4" spans="4:15" x14ac:dyDescent="0.25">
      <c r="D4" s="14" t="s">
        <v>1</v>
      </c>
      <c r="E4" s="14"/>
      <c r="F4" s="14"/>
      <c r="G4" s="15" t="s">
        <v>2</v>
      </c>
      <c r="H4" s="15"/>
      <c r="I4" s="16" t="s">
        <v>6</v>
      </c>
      <c r="J4" s="17" t="s">
        <v>8</v>
      </c>
      <c r="K4" s="17" t="s">
        <v>10</v>
      </c>
      <c r="L4" s="17" t="s">
        <v>12</v>
      </c>
      <c r="M4" s="14" t="s">
        <v>20</v>
      </c>
      <c r="N4" s="14"/>
      <c r="O4" s="14"/>
    </row>
    <row r="5" spans="4:15" x14ac:dyDescent="0.25">
      <c r="D5" s="16"/>
      <c r="E5" s="16"/>
      <c r="F5" s="16"/>
      <c r="G5" s="18" t="s">
        <v>3</v>
      </c>
      <c r="H5" s="17" t="s">
        <v>5</v>
      </c>
      <c r="I5" s="17" t="s">
        <v>7</v>
      </c>
      <c r="J5" s="17" t="s">
        <v>9</v>
      </c>
      <c r="K5" s="17" t="s">
        <v>11</v>
      </c>
      <c r="L5" s="19">
        <v>0.16</v>
      </c>
      <c r="M5" s="16"/>
      <c r="N5" s="16"/>
      <c r="O5" s="16"/>
    </row>
    <row r="6" spans="4:15" x14ac:dyDescent="0.25">
      <c r="K6" s="6"/>
      <c r="L6" s="7"/>
    </row>
    <row r="7" spans="4:15" x14ac:dyDescent="0.25">
      <c r="D7" s="3" t="s">
        <v>0</v>
      </c>
      <c r="G7" s="5" t="s">
        <v>4</v>
      </c>
      <c r="H7" s="4">
        <v>1928</v>
      </c>
      <c r="I7" s="6">
        <v>7000</v>
      </c>
      <c r="J7" s="1">
        <v>8</v>
      </c>
      <c r="K7" s="8">
        <f>+I7*J7</f>
        <v>56000</v>
      </c>
      <c r="L7" s="8">
        <f>+K7*1.16</f>
        <v>64959.999999999993</v>
      </c>
    </row>
    <row r="9" spans="4:15" x14ac:dyDescent="0.25">
      <c r="D9" s="3" t="s">
        <v>13</v>
      </c>
      <c r="I9" s="6">
        <f>52000/8</f>
        <v>6500</v>
      </c>
      <c r="J9" s="2">
        <v>8</v>
      </c>
      <c r="K9" s="8">
        <f>26000*2</f>
        <v>52000</v>
      </c>
      <c r="L9" s="20">
        <f>+K9*1.16</f>
        <v>60319.999999999993</v>
      </c>
    </row>
    <row r="10" spans="4:15" x14ac:dyDescent="0.25">
      <c r="D10" s="3" t="s">
        <v>27</v>
      </c>
      <c r="I10" s="6"/>
      <c r="K10" s="6"/>
      <c r="L10" s="7"/>
    </row>
    <row r="11" spans="4:15" x14ac:dyDescent="0.25">
      <c r="D11" t="s">
        <v>21</v>
      </c>
      <c r="I11" s="6"/>
      <c r="K11" s="6"/>
      <c r="L11" s="7"/>
    </row>
    <row r="12" spans="4:15" x14ac:dyDescent="0.25">
      <c r="D12" s="3" t="s">
        <v>26</v>
      </c>
      <c r="E12" s="3"/>
      <c r="F12" s="3"/>
      <c r="I12" s="6"/>
      <c r="K12" s="6"/>
      <c r="L12" s="7"/>
    </row>
    <row r="13" spans="4:15" x14ac:dyDescent="0.25">
      <c r="D13" s="16" t="s">
        <v>31</v>
      </c>
      <c r="E13" s="3"/>
      <c r="F13" s="3"/>
      <c r="I13" s="6"/>
      <c r="K13" s="6"/>
      <c r="L13" s="7"/>
      <c r="M13" t="s">
        <v>14</v>
      </c>
    </row>
    <row r="14" spans="4:15" x14ac:dyDescent="0.25">
      <c r="D14" t="s">
        <v>28</v>
      </c>
      <c r="I14" s="6"/>
      <c r="K14" s="6"/>
      <c r="L14" s="7"/>
      <c r="M14" t="s">
        <v>15</v>
      </c>
    </row>
    <row r="15" spans="4:15" x14ac:dyDescent="0.25">
      <c r="D15" t="s">
        <v>22</v>
      </c>
      <c r="I15" s="6"/>
      <c r="K15" s="6"/>
      <c r="L15" s="7"/>
      <c r="M15" t="s">
        <v>16</v>
      </c>
    </row>
    <row r="16" spans="4:15" x14ac:dyDescent="0.25">
      <c r="D16" t="s">
        <v>29</v>
      </c>
      <c r="I16" s="6"/>
      <c r="K16" s="6"/>
      <c r="L16" s="7"/>
      <c r="M16" t="s">
        <v>17</v>
      </c>
    </row>
    <row r="17" spans="4:14" x14ac:dyDescent="0.25">
      <c r="D17" t="s">
        <v>23</v>
      </c>
      <c r="I17" s="1"/>
      <c r="K17" s="6"/>
      <c r="L17" s="7"/>
      <c r="M17" t="s">
        <v>18</v>
      </c>
    </row>
    <row r="18" spans="4:14" x14ac:dyDescent="0.25">
      <c r="I18" s="1"/>
      <c r="K18" s="6"/>
      <c r="L18" s="7"/>
      <c r="M18" t="s">
        <v>19</v>
      </c>
    </row>
    <row r="19" spans="4:14" x14ac:dyDescent="0.25">
      <c r="M19" t="s">
        <v>35</v>
      </c>
      <c r="N19" t="s">
        <v>34</v>
      </c>
    </row>
    <row r="20" spans="4:14" x14ac:dyDescent="0.25">
      <c r="M20" t="s">
        <v>33</v>
      </c>
    </row>
    <row r="22" spans="4:14" x14ac:dyDescent="0.25">
      <c r="D22" s="3" t="s">
        <v>24</v>
      </c>
      <c r="G22" s="5" t="s">
        <v>25</v>
      </c>
      <c r="H22" s="1">
        <v>3304</v>
      </c>
      <c r="I22" s="6">
        <v>7000</v>
      </c>
      <c r="J22" s="2">
        <v>8</v>
      </c>
      <c r="K22" s="8">
        <f>+I22*J22</f>
        <v>56000</v>
      </c>
      <c r="L22" s="9">
        <f>+K22*1.16</f>
        <v>64959.999999999993</v>
      </c>
    </row>
    <row r="23" spans="4:14" x14ac:dyDescent="0.25">
      <c r="I23" s="6"/>
      <c r="J23" s="2"/>
      <c r="K23" s="10"/>
      <c r="L23" s="11"/>
    </row>
    <row r="24" spans="4:14" ht="15.75" thickTop="1" x14ac:dyDescent="0.25">
      <c r="D24" s="3" t="s">
        <v>30</v>
      </c>
      <c r="I24" s="6">
        <f>+K24/8</f>
        <v>5875</v>
      </c>
      <c r="K24" s="8">
        <v>47000</v>
      </c>
      <c r="L24" s="21">
        <v>47000</v>
      </c>
    </row>
    <row r="26" spans="4:14" x14ac:dyDescent="0.25">
      <c r="L26" s="6"/>
    </row>
  </sheetData>
  <mergeCells count="4">
    <mergeCell ref="D4:F4"/>
    <mergeCell ref="G4:H4"/>
    <mergeCell ref="M4:O4"/>
    <mergeCell ref="D2:O2"/>
  </mergeCells>
  <printOptions horizontalCentered="1"/>
  <pageMargins left="0.11811023622047245" right="0.11811023622047245" top="0.74803149606299213" bottom="0.74803149606299213" header="0.31496062992125984" footer="0.31496062992125984"/>
  <pageSetup paperSize="9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Hoja1</vt:lpstr>
      <vt:lpstr>Hoja2</vt:lpstr>
      <vt:lpstr>Hoja3</vt:lpstr>
      <vt:lpstr>Hoja1!Área_de_impresión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Baldemar Sala Bay</dc:creator>
  <cp:lastModifiedBy>Baldemar Sala Bay</cp:lastModifiedBy>
  <cp:lastPrinted>2013-06-19T20:41:37Z</cp:lastPrinted>
  <dcterms:created xsi:type="dcterms:W3CDTF">2013-06-17T21:57:07Z</dcterms:created>
  <dcterms:modified xsi:type="dcterms:W3CDTF">2013-06-19T21:21:05Z</dcterms:modified>
</cp:coreProperties>
</file>